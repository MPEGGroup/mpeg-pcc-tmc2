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3DD35CF6-A060-453A-8E58-EF7CA16B8020}" xr6:coauthVersionLast="47" xr6:coauthVersionMax="47" xr10:uidLastSave="{00000000-0000-0000-0000-000000000000}"/>
  <bookViews>
    <workbookView xWindow="6240" yWindow="2700" windowWidth="21600" windowHeight="14295" firstSheet="2" activeTab="4"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 name="Results" sheetId="8" r:id="rId8"/>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0" i="8" l="1"/>
  <c r="F60" i="8"/>
  <c r="E60" i="8"/>
  <c r="D60" i="8"/>
  <c r="G59" i="8"/>
  <c r="F59" i="8"/>
  <c r="E59" i="8"/>
  <c r="D59" i="8"/>
  <c r="G58" i="8"/>
  <c r="F58" i="8"/>
  <c r="E58" i="8"/>
  <c r="D58" i="8"/>
  <c r="G57" i="8"/>
  <c r="F57" i="8"/>
  <c r="E57" i="8"/>
  <c r="D57" i="8"/>
  <c r="S46" i="8"/>
  <c r="R46" i="8"/>
  <c r="Q46" i="8"/>
  <c r="P46" i="8"/>
  <c r="D30" i="8" s="1"/>
  <c r="O46" i="8"/>
  <c r="G29" i="8" s="1"/>
  <c r="N46" i="8"/>
  <c r="F29" i="8" s="1"/>
  <c r="M46" i="8"/>
  <c r="E29" i="8" s="1"/>
  <c r="E31" i="8" s="1"/>
  <c r="L46" i="8"/>
  <c r="K46" i="8"/>
  <c r="J46" i="8"/>
  <c r="I46" i="8"/>
  <c r="H46" i="8"/>
  <c r="G46" i="8"/>
  <c r="F46" i="8"/>
  <c r="E46" i="8"/>
  <c r="D46" i="8"/>
  <c r="D27" i="8" s="1"/>
  <c r="D31" i="8" s="1"/>
  <c r="S45" i="8"/>
  <c r="R45" i="8"/>
  <c r="Q45" i="8"/>
  <c r="P45" i="8"/>
  <c r="O45" i="8"/>
  <c r="N45" i="8"/>
  <c r="M45" i="8"/>
  <c r="L45" i="8"/>
  <c r="K45" i="8"/>
  <c r="J45" i="8"/>
  <c r="I45" i="8"/>
  <c r="H45" i="8"/>
  <c r="G45" i="8"/>
  <c r="F45" i="8"/>
  <c r="E45" i="8"/>
  <c r="D45" i="8"/>
  <c r="S44" i="8"/>
  <c r="R44" i="8"/>
  <c r="Q44" i="8"/>
  <c r="P44" i="8"/>
  <c r="O44" i="8"/>
  <c r="N44" i="8"/>
  <c r="M44" i="8"/>
  <c r="L44" i="8"/>
  <c r="K44" i="8"/>
  <c r="J44" i="8"/>
  <c r="I44" i="8"/>
  <c r="H44" i="8"/>
  <c r="G44" i="8"/>
  <c r="F44" i="8"/>
  <c r="E44" i="8"/>
  <c r="D44" i="8"/>
  <c r="S43" i="8"/>
  <c r="R43" i="8"/>
  <c r="Q43" i="8"/>
  <c r="P43" i="8"/>
  <c r="O43" i="8"/>
  <c r="N43" i="8"/>
  <c r="M43" i="8"/>
  <c r="L43" i="8"/>
  <c r="K43" i="8"/>
  <c r="J43" i="8"/>
  <c r="I43" i="8"/>
  <c r="H43" i="8"/>
  <c r="G43" i="8"/>
  <c r="F43" i="8"/>
  <c r="E43" i="8"/>
  <c r="D43" i="8"/>
  <c r="G31" i="8"/>
  <c r="G30" i="8"/>
  <c r="F30" i="8"/>
  <c r="E30" i="8"/>
  <c r="D29" i="8"/>
  <c r="G28" i="8"/>
  <c r="F28" i="8"/>
  <c r="E28" i="8"/>
  <c r="D28" i="8"/>
  <c r="G27" i="8"/>
  <c r="F27" i="8"/>
  <c r="E27" i="8"/>
  <c r="G22" i="8"/>
  <c r="E22" i="8"/>
  <c r="K9" i="8"/>
  <c r="BB47" i="7"/>
  <c r="F22" i="8" s="1"/>
  <c r="BA47" i="7"/>
  <c r="BC46" i="7"/>
  <c r="BC47" i="7" s="1"/>
  <c r="BB46" i="7"/>
  <c r="BA46" i="7"/>
  <c r="AZ46" i="7"/>
  <c r="AZ47" i="7" s="1"/>
  <c r="D22" i="8" s="1"/>
  <c r="AE46" i="7"/>
  <c r="AD46" i="7"/>
  <c r="AC46" i="7"/>
  <c r="AB46" i="7"/>
  <c r="BB45" i="7"/>
  <c r="BA45" i="7"/>
  <c r="BC44" i="7"/>
  <c r="BC45" i="7" s="1"/>
  <c r="BB44" i="7"/>
  <c r="BA44" i="7"/>
  <c r="AZ44" i="7"/>
  <c r="AZ45" i="7" s="1"/>
  <c r="AE44" i="7"/>
  <c r="AD44" i="7"/>
  <c r="AC44" i="7"/>
  <c r="AB44" i="7"/>
  <c r="AK41" i="7"/>
  <c r="M40" i="7"/>
  <c r="BF39" i="7"/>
  <c r="AL39" i="7"/>
  <c r="BG39" i="7" s="1"/>
  <c r="AK39" i="7"/>
  <c r="AJ39" i="7"/>
  <c r="AI39" i="7"/>
  <c r="AH39" i="7"/>
  <c r="AG39" i="7"/>
  <c r="N39" i="7"/>
  <c r="K39" i="7" s="1"/>
  <c r="M39" i="7"/>
  <c r="L39" i="7"/>
  <c r="J39" i="7"/>
  <c r="I39" i="7"/>
  <c r="BF38" i="7"/>
  <c r="AL38" i="7"/>
  <c r="AK38" i="7"/>
  <c r="AJ38" i="7"/>
  <c r="AH38" i="7"/>
  <c r="AG38" i="7"/>
  <c r="N38" i="7"/>
  <c r="M38" i="7"/>
  <c r="L38" i="7"/>
  <c r="K38" i="7"/>
  <c r="J38" i="7"/>
  <c r="I38" i="7"/>
  <c r="BG37" i="7"/>
  <c r="BF37" i="7"/>
  <c r="AL37" i="7"/>
  <c r="AI37" i="7" s="1"/>
  <c r="AK37" i="7"/>
  <c r="AJ37" i="7"/>
  <c r="AH37" i="7"/>
  <c r="AG37" i="7"/>
  <c r="N37" i="7"/>
  <c r="M37" i="7"/>
  <c r="L37" i="7"/>
  <c r="K37" i="7"/>
  <c r="BE37" i="7" s="1"/>
  <c r="J37" i="7"/>
  <c r="I37" i="7"/>
  <c r="BF36" i="7"/>
  <c r="AL36" i="7"/>
  <c r="AK36" i="7"/>
  <c r="AJ36" i="7"/>
  <c r="AI36" i="7"/>
  <c r="AH36" i="7"/>
  <c r="AG36" i="7"/>
  <c r="N36" i="7"/>
  <c r="M36" i="7"/>
  <c r="L36" i="7"/>
  <c r="J36" i="7"/>
  <c r="I36" i="7"/>
  <c r="BF35" i="7"/>
  <c r="AL35" i="7"/>
  <c r="AK35" i="7"/>
  <c r="AJ35" i="7"/>
  <c r="AI35" i="7"/>
  <c r="AH35" i="7"/>
  <c r="AG35" i="7"/>
  <c r="N35" i="7"/>
  <c r="M35" i="7"/>
  <c r="L35" i="7"/>
  <c r="K35" i="7"/>
  <c r="J35" i="7"/>
  <c r="I35" i="7"/>
  <c r="BF34" i="7"/>
  <c r="AL34" i="7"/>
  <c r="AK34" i="7"/>
  <c r="AJ34" i="7"/>
  <c r="AH34" i="7"/>
  <c r="AG34" i="7"/>
  <c r="N34" i="7"/>
  <c r="K34" i="7" s="1"/>
  <c r="M34" i="7"/>
  <c r="L34" i="7"/>
  <c r="J34" i="7"/>
  <c r="I34" i="7"/>
  <c r="BG33" i="7"/>
  <c r="BF33" i="7"/>
  <c r="AL33" i="7"/>
  <c r="AK33" i="7"/>
  <c r="AJ33" i="7"/>
  <c r="AI33" i="7"/>
  <c r="AH33" i="7"/>
  <c r="AG33" i="7"/>
  <c r="N33" i="7"/>
  <c r="M33" i="7"/>
  <c r="L33" i="7"/>
  <c r="K33" i="7"/>
  <c r="BE33" i="7" s="1"/>
  <c r="J33" i="7"/>
  <c r="I33" i="7"/>
  <c r="BF32" i="7"/>
  <c r="AL32" i="7"/>
  <c r="AI32" i="7" s="1"/>
  <c r="AK32" i="7"/>
  <c r="AJ32" i="7"/>
  <c r="AH32" i="7"/>
  <c r="AG32" i="7"/>
  <c r="N32" i="7"/>
  <c r="K32" i="7" s="1"/>
  <c r="M32" i="7"/>
  <c r="L32" i="7"/>
  <c r="L42" i="7" s="1"/>
  <c r="J32" i="7"/>
  <c r="I32" i="7"/>
  <c r="BG31" i="7"/>
  <c r="BF31" i="7"/>
  <c r="AL31" i="7"/>
  <c r="AK31" i="7"/>
  <c r="AJ31" i="7"/>
  <c r="AI31" i="7"/>
  <c r="BE31" i="7" s="1"/>
  <c r="AH31" i="7"/>
  <c r="AG31" i="7"/>
  <c r="N31" i="7"/>
  <c r="M31" i="7"/>
  <c r="L31" i="7"/>
  <c r="K31" i="7"/>
  <c r="J31" i="7"/>
  <c r="I31" i="7"/>
  <c r="BF30" i="7"/>
  <c r="AL30" i="7"/>
  <c r="AK30" i="7"/>
  <c r="AK42" i="7" s="1"/>
  <c r="AJ30" i="7"/>
  <c r="AH30" i="7"/>
  <c r="AG30" i="7"/>
  <c r="N30" i="7"/>
  <c r="M30" i="7"/>
  <c r="M42" i="7" s="1"/>
  <c r="L30" i="7"/>
  <c r="J30" i="7"/>
  <c r="I30" i="7"/>
  <c r="BG29" i="7"/>
  <c r="BF29" i="7"/>
  <c r="AL29" i="7"/>
  <c r="AK29" i="7"/>
  <c r="AJ29" i="7"/>
  <c r="AI29" i="7"/>
  <c r="AH29" i="7"/>
  <c r="AG29" i="7"/>
  <c r="N29" i="7"/>
  <c r="M29" i="7"/>
  <c r="L29" i="7"/>
  <c r="K29" i="7"/>
  <c r="BE29" i="7" s="1"/>
  <c r="J29" i="7"/>
  <c r="I29" i="7"/>
  <c r="BF28" i="7"/>
  <c r="AL28" i="7"/>
  <c r="AI28" i="7" s="1"/>
  <c r="AK28" i="7"/>
  <c r="AJ28" i="7"/>
  <c r="AH28" i="7"/>
  <c r="AG28" i="7"/>
  <c r="N28" i="7"/>
  <c r="K28" i="7" s="1"/>
  <c r="M28" i="7"/>
  <c r="L28" i="7"/>
  <c r="J28" i="7"/>
  <c r="I28" i="7"/>
  <c r="BF27" i="7"/>
  <c r="AL27" i="7"/>
  <c r="BG27" i="7" s="1"/>
  <c r="AK27" i="7"/>
  <c r="AJ27" i="7"/>
  <c r="AI27" i="7"/>
  <c r="BE27" i="7" s="1"/>
  <c r="AH27" i="7"/>
  <c r="AG27" i="7"/>
  <c r="N27" i="7"/>
  <c r="M27" i="7"/>
  <c r="L27" i="7"/>
  <c r="K27" i="7"/>
  <c r="J27" i="7"/>
  <c r="I27" i="7"/>
  <c r="BF26" i="7"/>
  <c r="AL26" i="7"/>
  <c r="AK26" i="7"/>
  <c r="AJ26" i="7"/>
  <c r="AH26" i="7"/>
  <c r="AG26" i="7"/>
  <c r="N26" i="7"/>
  <c r="K26" i="7" s="1"/>
  <c r="M26" i="7"/>
  <c r="L26" i="7"/>
  <c r="J26" i="7"/>
  <c r="I26" i="7"/>
  <c r="BG25" i="7"/>
  <c r="BF25" i="7"/>
  <c r="AL25" i="7"/>
  <c r="AK25" i="7"/>
  <c r="AJ25" i="7"/>
  <c r="AI25" i="7"/>
  <c r="AH25" i="7"/>
  <c r="AH41" i="7" s="1"/>
  <c r="AG25" i="7"/>
  <c r="N25" i="7"/>
  <c r="M25" i="7"/>
  <c r="M41" i="7" s="1"/>
  <c r="L25" i="7"/>
  <c r="L41" i="7" s="1"/>
  <c r="K25" i="7"/>
  <c r="K41" i="7" s="1"/>
  <c r="J25" i="7"/>
  <c r="J41" i="7" s="1"/>
  <c r="I25" i="7"/>
  <c r="BF24" i="7"/>
  <c r="AL24" i="7"/>
  <c r="AI24" i="7" s="1"/>
  <c r="AK24" i="7"/>
  <c r="AJ24" i="7"/>
  <c r="AH24" i="7"/>
  <c r="AG24" i="7"/>
  <c r="N24" i="7"/>
  <c r="K24" i="7" s="1"/>
  <c r="M24" i="7"/>
  <c r="L24" i="7"/>
  <c r="J24" i="7"/>
  <c r="I24" i="7"/>
  <c r="BG23" i="7"/>
  <c r="BF23" i="7"/>
  <c r="AL23" i="7"/>
  <c r="AK23" i="7"/>
  <c r="AJ23" i="7"/>
  <c r="AI23" i="7"/>
  <c r="BE23" i="7" s="1"/>
  <c r="AH23" i="7"/>
  <c r="AG23" i="7"/>
  <c r="N23" i="7"/>
  <c r="M23" i="7"/>
  <c r="L23" i="7"/>
  <c r="K23" i="7"/>
  <c r="J23" i="7"/>
  <c r="I23" i="7"/>
  <c r="BF22" i="7"/>
  <c r="AL22" i="7"/>
  <c r="AK22" i="7"/>
  <c r="AJ22" i="7"/>
  <c r="AH22" i="7"/>
  <c r="AG22" i="7"/>
  <c r="N22" i="7"/>
  <c r="K22" i="7" s="1"/>
  <c r="M22" i="7"/>
  <c r="L22" i="7"/>
  <c r="J22" i="7"/>
  <c r="I22" i="7"/>
  <c r="BG21" i="7"/>
  <c r="BF21" i="7"/>
  <c r="BE21" i="7"/>
  <c r="AL21" i="7"/>
  <c r="AK21" i="7"/>
  <c r="AJ21" i="7"/>
  <c r="AI21" i="7"/>
  <c r="AH21" i="7"/>
  <c r="AG21" i="7"/>
  <c r="N21" i="7"/>
  <c r="M21" i="7"/>
  <c r="L21" i="7"/>
  <c r="K21" i="7"/>
  <c r="J21" i="7"/>
  <c r="I21" i="7"/>
  <c r="BF20" i="7"/>
  <c r="AL20" i="7"/>
  <c r="AI20" i="7" s="1"/>
  <c r="BE20" i="7" s="1"/>
  <c r="AK20" i="7"/>
  <c r="AJ20" i="7"/>
  <c r="AH20" i="7"/>
  <c r="AG20" i="7"/>
  <c r="N20" i="7"/>
  <c r="K20" i="7" s="1"/>
  <c r="M20" i="7"/>
  <c r="L20" i="7"/>
  <c r="J20" i="7"/>
  <c r="I20" i="7"/>
  <c r="BG19" i="7"/>
  <c r="BF19" i="7"/>
  <c r="AL19" i="7"/>
  <c r="AK19" i="7"/>
  <c r="AJ19" i="7"/>
  <c r="AI19" i="7"/>
  <c r="BE19" i="7" s="1"/>
  <c r="AH19" i="7"/>
  <c r="AG19" i="7"/>
  <c r="N19" i="7"/>
  <c r="M19" i="7"/>
  <c r="L19" i="7"/>
  <c r="K19" i="7"/>
  <c r="J19" i="7"/>
  <c r="I19" i="7"/>
  <c r="BF18" i="7"/>
  <c r="AL18" i="7"/>
  <c r="AK18" i="7"/>
  <c r="AJ18" i="7"/>
  <c r="AH18" i="7"/>
  <c r="AG18" i="7"/>
  <c r="N18" i="7"/>
  <c r="K18" i="7" s="1"/>
  <c r="M18" i="7"/>
  <c r="L18" i="7"/>
  <c r="J18" i="7"/>
  <c r="I18" i="7"/>
  <c r="BG17" i="7"/>
  <c r="BF17" i="7"/>
  <c r="AL17" i="7"/>
  <c r="AK17" i="7"/>
  <c r="AJ17" i="7"/>
  <c r="AI17" i="7"/>
  <c r="AH17" i="7"/>
  <c r="AG17" i="7"/>
  <c r="N17" i="7"/>
  <c r="M17" i="7"/>
  <c r="L17" i="7"/>
  <c r="K17" i="7"/>
  <c r="BE17" i="7" s="1"/>
  <c r="J17" i="7"/>
  <c r="I17" i="7"/>
  <c r="BF16" i="7"/>
  <c r="AL16" i="7"/>
  <c r="AI16" i="7" s="1"/>
  <c r="BE16" i="7" s="1"/>
  <c r="AK16" i="7"/>
  <c r="AJ16" i="7"/>
  <c r="AH16" i="7"/>
  <c r="AG16" i="7"/>
  <c r="N16" i="7"/>
  <c r="K16" i="7" s="1"/>
  <c r="M16" i="7"/>
  <c r="L16" i="7"/>
  <c r="J16" i="7"/>
  <c r="I16" i="7"/>
  <c r="BG15" i="7"/>
  <c r="BF15" i="7"/>
  <c r="AL15" i="7"/>
  <c r="AK15" i="7"/>
  <c r="AJ15" i="7"/>
  <c r="AI15" i="7"/>
  <c r="BE15" i="7" s="1"/>
  <c r="AH15" i="7"/>
  <c r="AG15" i="7"/>
  <c r="N15" i="7"/>
  <c r="M15" i="7"/>
  <c r="L15" i="7"/>
  <c r="K15" i="7"/>
  <c r="J15" i="7"/>
  <c r="I15" i="7"/>
  <c r="BF14" i="7"/>
  <c r="AL14" i="7"/>
  <c r="AK14" i="7"/>
  <c r="AJ14" i="7"/>
  <c r="AH14" i="7"/>
  <c r="AG14" i="7"/>
  <c r="N14" i="7"/>
  <c r="K14" i="7" s="1"/>
  <c r="M14" i="7"/>
  <c r="L14" i="7"/>
  <c r="J14" i="7"/>
  <c r="I14" i="7"/>
  <c r="BG13" i="7"/>
  <c r="BF13" i="7"/>
  <c r="AL13" i="7"/>
  <c r="AK13" i="7"/>
  <c r="AJ13" i="7"/>
  <c r="AI13" i="7"/>
  <c r="AH13" i="7"/>
  <c r="AG13" i="7"/>
  <c r="N13" i="7"/>
  <c r="M13" i="7"/>
  <c r="L13" i="7"/>
  <c r="K13" i="7"/>
  <c r="BE13" i="7" s="1"/>
  <c r="J13" i="7"/>
  <c r="I13" i="7"/>
  <c r="BF12" i="7"/>
  <c r="AL12" i="7"/>
  <c r="AI12" i="7" s="1"/>
  <c r="BE12" i="7" s="1"/>
  <c r="AK12" i="7"/>
  <c r="AJ12" i="7"/>
  <c r="AH12" i="7"/>
  <c r="AG12" i="7"/>
  <c r="N12" i="7"/>
  <c r="K12" i="7" s="1"/>
  <c r="M12" i="7"/>
  <c r="L12" i="7"/>
  <c r="J12" i="7"/>
  <c r="I12" i="7"/>
  <c r="BG11" i="7"/>
  <c r="BF11" i="7"/>
  <c r="AL11" i="7"/>
  <c r="AK11" i="7"/>
  <c r="AJ11" i="7"/>
  <c r="AI11" i="7"/>
  <c r="BE11" i="7" s="1"/>
  <c r="AH11" i="7"/>
  <c r="AG11" i="7"/>
  <c r="N11" i="7"/>
  <c r="M11" i="7"/>
  <c r="L11" i="7"/>
  <c r="K11" i="7"/>
  <c r="J11" i="7"/>
  <c r="I11" i="7"/>
  <c r="BF10" i="7"/>
  <c r="AL10" i="7"/>
  <c r="AK10" i="7"/>
  <c r="AJ10" i="7"/>
  <c r="AH10" i="7"/>
  <c r="AG10" i="7"/>
  <c r="N10" i="7"/>
  <c r="M10" i="7"/>
  <c r="L10" i="7"/>
  <c r="J10" i="7"/>
  <c r="I10" i="7"/>
  <c r="BG9" i="7"/>
  <c r="BF9" i="7"/>
  <c r="AL9" i="7"/>
  <c r="AK9" i="7"/>
  <c r="AJ9" i="7"/>
  <c r="AI9" i="7"/>
  <c r="AH9" i="7"/>
  <c r="AG9" i="7"/>
  <c r="N9" i="7"/>
  <c r="M9" i="7"/>
  <c r="L9" i="7"/>
  <c r="K9" i="7"/>
  <c r="BE9" i="7" s="1"/>
  <c r="J9" i="7"/>
  <c r="I9" i="7"/>
  <c r="BF8" i="7"/>
  <c r="AL8" i="7"/>
  <c r="AI8" i="7" s="1"/>
  <c r="AK8" i="7"/>
  <c r="AJ8" i="7"/>
  <c r="AH8" i="7"/>
  <c r="AG8" i="7"/>
  <c r="N8" i="7"/>
  <c r="K8" i="7" s="1"/>
  <c r="M8" i="7"/>
  <c r="L8" i="7"/>
  <c r="J8" i="7"/>
  <c r="I8" i="7"/>
  <c r="BG7" i="7"/>
  <c r="BF7" i="7"/>
  <c r="AL7" i="7"/>
  <c r="AK7" i="7"/>
  <c r="AJ7" i="7"/>
  <c r="AI7" i="7"/>
  <c r="BE7" i="7" s="1"/>
  <c r="AH7" i="7"/>
  <c r="AG7" i="7"/>
  <c r="N7" i="7"/>
  <c r="M7" i="7"/>
  <c r="L7" i="7"/>
  <c r="K7" i="7"/>
  <c r="J7" i="7"/>
  <c r="I7" i="7"/>
  <c r="BF6" i="7"/>
  <c r="AL6" i="7"/>
  <c r="AK6" i="7"/>
  <c r="AJ6" i="7"/>
  <c r="AJ43" i="7" s="1"/>
  <c r="AH6" i="7"/>
  <c r="AG6" i="7"/>
  <c r="N6" i="7"/>
  <c r="K6" i="7" s="1"/>
  <c r="M6" i="7"/>
  <c r="L6" i="7"/>
  <c r="J6" i="7"/>
  <c r="I6" i="7"/>
  <c r="BG5" i="7"/>
  <c r="BF5" i="7"/>
  <c r="BE5" i="7"/>
  <c r="AL5" i="7"/>
  <c r="AK5" i="7"/>
  <c r="AK43" i="7" s="1"/>
  <c r="AJ5" i="7"/>
  <c r="AI5" i="7"/>
  <c r="AH5" i="7"/>
  <c r="AH43" i="7" s="1"/>
  <c r="AG5" i="7"/>
  <c r="N5" i="7"/>
  <c r="M5" i="7"/>
  <c r="L5" i="7"/>
  <c r="K5" i="7"/>
  <c r="J5" i="7"/>
  <c r="I5" i="7"/>
  <c r="AG1" i="7"/>
  <c r="I1" i="7"/>
  <c r="AZ18" i="6"/>
  <c r="AY18" i="6"/>
  <c r="AX18" i="6"/>
  <c r="AX19" i="6" s="1"/>
  <c r="E20" i="8" s="1"/>
  <c r="AW18" i="6"/>
  <c r="AW19" i="6" s="1"/>
  <c r="D20" i="8" s="1"/>
  <c r="AC18" i="6"/>
  <c r="AZ19" i="6" s="1"/>
  <c r="G20" i="8" s="1"/>
  <c r="AB18" i="6"/>
  <c r="AA18" i="6"/>
  <c r="Z18" i="6"/>
  <c r="AZ16" i="6"/>
  <c r="AY16" i="6"/>
  <c r="AY17" i="6" s="1"/>
  <c r="AX16" i="6"/>
  <c r="AX17" i="6" s="1"/>
  <c r="AW16" i="6"/>
  <c r="AW17" i="6" s="1"/>
  <c r="AC16" i="6"/>
  <c r="AZ17" i="6" s="1"/>
  <c r="AB16" i="6"/>
  <c r="AA16" i="6"/>
  <c r="Z16" i="6"/>
  <c r="AI14" i="6"/>
  <c r="AH13" i="6"/>
  <c r="M13" i="6"/>
  <c r="J13" i="6"/>
  <c r="AK11" i="6"/>
  <c r="AH11" i="6" s="1"/>
  <c r="AJ11" i="6"/>
  <c r="BE11" i="6" s="1"/>
  <c r="K11" i="8" s="1"/>
  <c r="AI11" i="6"/>
  <c r="AG11" i="6"/>
  <c r="BB11" i="6" s="1"/>
  <c r="H11" i="8" s="1"/>
  <c r="AF11" i="6"/>
  <c r="AE11" i="6"/>
  <c r="N11" i="6"/>
  <c r="BF11" i="6" s="1"/>
  <c r="M11" i="6"/>
  <c r="M14" i="6" s="1"/>
  <c r="L11" i="6"/>
  <c r="J11" i="6"/>
  <c r="I11" i="6"/>
  <c r="H11" i="6"/>
  <c r="AK10" i="6"/>
  <c r="BG10" i="6" s="1" a="1"/>
  <c r="BG10" i="6" s="1"/>
  <c r="AJ10" i="6"/>
  <c r="BE10" i="6" s="1"/>
  <c r="K10" i="8" s="1"/>
  <c r="AI10" i="6"/>
  <c r="AH10" i="6"/>
  <c r="AG10" i="6"/>
  <c r="AG14" i="6" s="1"/>
  <c r="BB14" i="6" s="1"/>
  <c r="AF10" i="6"/>
  <c r="AE10" i="6"/>
  <c r="N10" i="6"/>
  <c r="M10" i="6"/>
  <c r="L10" i="6"/>
  <c r="K10" i="6"/>
  <c r="J10" i="6"/>
  <c r="J14" i="6" s="1"/>
  <c r="I10" i="6"/>
  <c r="H10" i="6"/>
  <c r="AK9" i="6"/>
  <c r="BF9" i="6" s="1"/>
  <c r="AJ9" i="6"/>
  <c r="BE9" i="6" s="1"/>
  <c r="AI9" i="6"/>
  <c r="AH9" i="6"/>
  <c r="AG9" i="6"/>
  <c r="AF9" i="6"/>
  <c r="AE9" i="6"/>
  <c r="N9" i="6"/>
  <c r="K9" i="6" s="1"/>
  <c r="K13" i="6" s="1"/>
  <c r="M9" i="6"/>
  <c r="L9" i="6"/>
  <c r="L13" i="6" s="1"/>
  <c r="J9" i="6"/>
  <c r="I9" i="6"/>
  <c r="H9" i="6"/>
  <c r="BG8" i="6" a="1"/>
  <c r="BG8" i="6" s="1"/>
  <c r="BF8" i="6"/>
  <c r="AK8" i="6"/>
  <c r="AH8" i="6" s="1"/>
  <c r="BC8" i="6" s="1"/>
  <c r="I8" i="8" s="1"/>
  <c r="AJ8" i="6"/>
  <c r="BE8" i="6" s="1"/>
  <c r="K8" i="8" s="1"/>
  <c r="AI8" i="6"/>
  <c r="AG8" i="6"/>
  <c r="BB8" i="6" s="1"/>
  <c r="H8" i="8" s="1"/>
  <c r="AF8" i="6"/>
  <c r="AE8" i="6"/>
  <c r="N8" i="6"/>
  <c r="K8" i="6" s="1"/>
  <c r="M8" i="6"/>
  <c r="L8" i="6"/>
  <c r="BD8" i="6" s="1"/>
  <c r="J8" i="8" s="1"/>
  <c r="J8" i="6"/>
  <c r="I8" i="6"/>
  <c r="H8" i="6"/>
  <c r="AK7" i="6"/>
  <c r="AH7" i="6" s="1"/>
  <c r="AJ7" i="6"/>
  <c r="AI7" i="6"/>
  <c r="AG7" i="6"/>
  <c r="BB7" i="6" s="1"/>
  <c r="H7" i="8" s="1"/>
  <c r="AF7" i="6"/>
  <c r="AE7" i="6"/>
  <c r="N7" i="6"/>
  <c r="BF7" i="6" s="1"/>
  <c r="M7" i="6"/>
  <c r="M15" i="6" s="1"/>
  <c r="L7" i="6"/>
  <c r="BD7" i="6" s="1"/>
  <c r="J7" i="8" s="1"/>
  <c r="J7" i="6"/>
  <c r="I7" i="6"/>
  <c r="H7" i="6"/>
  <c r="AK6" i="6"/>
  <c r="BG6" i="6" s="1" a="1"/>
  <c r="BG6" i="6" s="1"/>
  <c r="AJ6" i="6"/>
  <c r="BE6" i="6" s="1"/>
  <c r="K6" i="8" s="1"/>
  <c r="AI6" i="6"/>
  <c r="AH6" i="6"/>
  <c r="AG6" i="6"/>
  <c r="AF6" i="6"/>
  <c r="AE6" i="6"/>
  <c r="N6" i="6"/>
  <c r="M6" i="6"/>
  <c r="L6" i="6"/>
  <c r="BD6" i="6" s="1"/>
  <c r="J6" i="8" s="1"/>
  <c r="K6" i="6"/>
  <c r="J6" i="6"/>
  <c r="BB6" i="6" s="1"/>
  <c r="H6" i="8" s="1"/>
  <c r="I6" i="6"/>
  <c r="H6" i="6"/>
  <c r="AK5" i="6"/>
  <c r="BF5" i="6" s="1"/>
  <c r="AJ5" i="6"/>
  <c r="AI5" i="6"/>
  <c r="BD5" i="6" s="1"/>
  <c r="J5" i="8" s="1"/>
  <c r="AH5" i="6"/>
  <c r="BC5" i="6" s="1"/>
  <c r="I5" i="8" s="1"/>
  <c r="AG5" i="6"/>
  <c r="AF5" i="6"/>
  <c r="AE5" i="6"/>
  <c r="N5" i="6"/>
  <c r="M5" i="6"/>
  <c r="M12" i="6" s="1"/>
  <c r="L5" i="6"/>
  <c r="L12" i="6" s="1"/>
  <c r="K5" i="6"/>
  <c r="J5" i="6"/>
  <c r="I5" i="6"/>
  <c r="H5" i="6"/>
  <c r="AE1" i="6"/>
  <c r="H1" i="6"/>
  <c r="AZ19" i="5"/>
  <c r="G19" i="8" s="1"/>
  <c r="G23" i="8" s="1"/>
  <c r="AZ18" i="5"/>
  <c r="AY18" i="5"/>
  <c r="AY19" i="5" s="1"/>
  <c r="F19" i="8" s="1"/>
  <c r="AX18" i="5"/>
  <c r="AW18" i="5"/>
  <c r="AC18" i="5"/>
  <c r="AB18" i="5"/>
  <c r="AA18" i="5"/>
  <c r="AX19" i="5" s="1"/>
  <c r="E19" i="8" s="1"/>
  <c r="E23" i="8" s="1"/>
  <c r="Z18" i="5"/>
  <c r="AW19" i="5" s="1"/>
  <c r="D19" i="8" s="1"/>
  <c r="D23" i="8" s="1"/>
  <c r="AZ17" i="5"/>
  <c r="AZ16" i="5"/>
  <c r="AY16" i="5"/>
  <c r="AY17" i="5" s="1"/>
  <c r="AX16" i="5"/>
  <c r="AW16" i="5"/>
  <c r="AC16" i="5"/>
  <c r="AB16" i="5"/>
  <c r="AA16" i="5"/>
  <c r="AX17" i="5" s="1"/>
  <c r="Z16" i="5"/>
  <c r="AW17" i="5" s="1"/>
  <c r="M14" i="5"/>
  <c r="AI13" i="5"/>
  <c r="AG13" i="5"/>
  <c r="BB13" i="5" s="1"/>
  <c r="D13" i="8" s="1"/>
  <c r="M13" i="5"/>
  <c r="L13" i="5"/>
  <c r="J13" i="5"/>
  <c r="AK11" i="5"/>
  <c r="AH11" i="5" s="1"/>
  <c r="BC11" i="5" s="1"/>
  <c r="E11" i="8" s="1"/>
  <c r="AJ11" i="5"/>
  <c r="BE11" i="5" s="1"/>
  <c r="G11" i="8" s="1"/>
  <c r="AI11" i="5"/>
  <c r="AG11" i="5"/>
  <c r="BB11" i="5" s="1"/>
  <c r="D11" i="8" s="1"/>
  <c r="AF11" i="5"/>
  <c r="AE11" i="5"/>
  <c r="N11" i="5"/>
  <c r="M11" i="5"/>
  <c r="L11" i="5"/>
  <c r="K11" i="5"/>
  <c r="J11" i="5"/>
  <c r="I11" i="5"/>
  <c r="H11" i="5"/>
  <c r="AK10" i="5"/>
  <c r="BF10" i="5" s="1"/>
  <c r="AJ10" i="5"/>
  <c r="AI10" i="5"/>
  <c r="AH10" i="5"/>
  <c r="BC10" i="5" s="1"/>
  <c r="E10" i="8" s="1"/>
  <c r="AG10" i="5"/>
  <c r="BB10" i="5" s="1"/>
  <c r="D10" i="8" s="1"/>
  <c r="AF10" i="5"/>
  <c r="AE10" i="5"/>
  <c r="N10" i="5"/>
  <c r="K10" i="5" s="1"/>
  <c r="K14" i="5" s="1"/>
  <c r="M10" i="5"/>
  <c r="L10" i="5"/>
  <c r="L14" i="5" s="1"/>
  <c r="J10" i="5"/>
  <c r="J14" i="5" s="1"/>
  <c r="I10" i="5"/>
  <c r="H10" i="5"/>
  <c r="BG9" i="5" a="1"/>
  <c r="BG9" i="5" s="1"/>
  <c r="BG13" i="5" s="1"/>
  <c r="AK9" i="5"/>
  <c r="AH9" i="5" s="1"/>
  <c r="BC9" i="5" s="1"/>
  <c r="E9" i="8" s="1"/>
  <c r="AJ9" i="5"/>
  <c r="AJ13" i="5" s="1"/>
  <c r="BE13" i="5" s="1"/>
  <c r="G13" i="8" s="1"/>
  <c r="AI9" i="5"/>
  <c r="AG9" i="5"/>
  <c r="BB9" i="5" s="1"/>
  <c r="D9" i="8" s="1"/>
  <c r="AF9" i="5"/>
  <c r="AE9" i="5"/>
  <c r="N9" i="5"/>
  <c r="K9" i="5" s="1"/>
  <c r="K13" i="5" s="1"/>
  <c r="M9" i="5"/>
  <c r="L9" i="5"/>
  <c r="BD9" i="5" s="1"/>
  <c r="F9" i="8" s="1"/>
  <c r="J9" i="5"/>
  <c r="I9" i="5"/>
  <c r="H9" i="5"/>
  <c r="BF8" i="5"/>
  <c r="AK8" i="5"/>
  <c r="AH8" i="5" s="1"/>
  <c r="BC8" i="5" s="1"/>
  <c r="E8" i="8" s="1"/>
  <c r="AJ8" i="5"/>
  <c r="AI8" i="5"/>
  <c r="AG8" i="5"/>
  <c r="BB8" i="5" s="1"/>
  <c r="D8" i="8" s="1"/>
  <c r="AF8" i="5"/>
  <c r="AE8" i="5"/>
  <c r="N8" i="5"/>
  <c r="M8" i="5"/>
  <c r="M15" i="5" s="1"/>
  <c r="L8" i="5"/>
  <c r="BD8" i="5" s="1"/>
  <c r="F8" i="8" s="1"/>
  <c r="K8" i="5"/>
  <c r="J8" i="5"/>
  <c r="I8" i="5"/>
  <c r="H8" i="5"/>
  <c r="AK7" i="5"/>
  <c r="AH7" i="5" s="1"/>
  <c r="AH12" i="5" s="1"/>
  <c r="AJ7" i="5"/>
  <c r="BE7" i="5" s="1"/>
  <c r="G7" i="8" s="1"/>
  <c r="AI7" i="5"/>
  <c r="AG7" i="5"/>
  <c r="AF7" i="5"/>
  <c r="AE7" i="5"/>
  <c r="N7" i="5"/>
  <c r="M7" i="5"/>
  <c r="L7" i="5"/>
  <c r="BD7" i="5" s="1"/>
  <c r="F7" i="8" s="1"/>
  <c r="K7" i="5"/>
  <c r="J7" i="5"/>
  <c r="J15" i="5" s="1"/>
  <c r="I7" i="5"/>
  <c r="H7" i="5"/>
  <c r="AK6" i="5"/>
  <c r="BF6" i="5" s="1"/>
  <c r="AJ6" i="5"/>
  <c r="AI6" i="5"/>
  <c r="BD6" i="5" s="1"/>
  <c r="F6" i="8" s="1"/>
  <c r="AH6" i="5"/>
  <c r="BC6" i="5" s="1"/>
  <c r="E6" i="8" s="1"/>
  <c r="AG6" i="5"/>
  <c r="BB6" i="5" s="1"/>
  <c r="D6" i="8" s="1"/>
  <c r="AF6" i="5"/>
  <c r="AE6" i="5"/>
  <c r="N6" i="5"/>
  <c r="M6" i="5"/>
  <c r="L6" i="5"/>
  <c r="K6" i="5"/>
  <c r="J6" i="5"/>
  <c r="I6" i="5"/>
  <c r="H6" i="5"/>
  <c r="BF5" i="5"/>
  <c r="AK5" i="5"/>
  <c r="AJ5" i="5"/>
  <c r="BE5" i="5" s="1"/>
  <c r="G5" i="8" s="1"/>
  <c r="AI5" i="5"/>
  <c r="AH5" i="5"/>
  <c r="AG5" i="5"/>
  <c r="AF5" i="5"/>
  <c r="AE5" i="5"/>
  <c r="N5" i="5"/>
  <c r="K5" i="5" s="1"/>
  <c r="M5" i="5"/>
  <c r="L5" i="5"/>
  <c r="BD5" i="5" s="1"/>
  <c r="F5" i="8" s="1"/>
  <c r="J5" i="5"/>
  <c r="I5" i="5"/>
  <c r="H5" i="5"/>
  <c r="AE1" i="5"/>
  <c r="H1" i="5"/>
  <c r="BC47" i="3"/>
  <c r="G21" i="8" s="1"/>
  <c r="BB47" i="3"/>
  <c r="F21" i="8" s="1"/>
  <c r="BA47" i="3"/>
  <c r="E21" i="8" s="1"/>
  <c r="AZ47" i="3"/>
  <c r="D21" i="8" s="1"/>
  <c r="BC46" i="3"/>
  <c r="BB46" i="3"/>
  <c r="BA46" i="3"/>
  <c r="AZ46" i="3"/>
  <c r="AE46" i="3"/>
  <c r="AD46" i="3"/>
  <c r="AC46" i="3"/>
  <c r="AB46" i="3"/>
  <c r="BC45" i="3"/>
  <c r="BB45" i="3"/>
  <c r="BA45" i="3"/>
  <c r="AZ45" i="3"/>
  <c r="BC44" i="3"/>
  <c r="BB44" i="3"/>
  <c r="BA44" i="3"/>
  <c r="AZ44" i="3"/>
  <c r="AE44" i="3"/>
  <c r="AD44" i="3"/>
  <c r="AC44" i="3"/>
  <c r="AB44" i="3"/>
  <c r="BF39" i="3"/>
  <c r="AL39" i="3"/>
  <c r="BG39" i="3" s="1"/>
  <c r="AK39" i="3"/>
  <c r="AJ39" i="3"/>
  <c r="AH39" i="3"/>
  <c r="AG39" i="3"/>
  <c r="N39" i="3"/>
  <c r="K39" i="3" s="1"/>
  <c r="M39" i="3"/>
  <c r="L39" i="3"/>
  <c r="J39" i="3"/>
  <c r="I39" i="3"/>
  <c r="BG38" i="3"/>
  <c r="BF38" i="3"/>
  <c r="BE38" i="3"/>
  <c r="AL38" i="3"/>
  <c r="AI38" i="3" s="1"/>
  <c r="AK38" i="3"/>
  <c r="AJ38" i="3"/>
  <c r="AH38" i="3"/>
  <c r="AG38" i="3"/>
  <c r="N38" i="3"/>
  <c r="M38" i="3"/>
  <c r="L38" i="3"/>
  <c r="K38" i="3"/>
  <c r="J38" i="3"/>
  <c r="I38" i="3"/>
  <c r="BF37" i="3"/>
  <c r="AL37" i="3"/>
  <c r="AI37" i="3" s="1"/>
  <c r="AK37" i="3"/>
  <c r="AJ37" i="3"/>
  <c r="AH37" i="3"/>
  <c r="AG37" i="3"/>
  <c r="N37" i="3"/>
  <c r="K37" i="3" s="1"/>
  <c r="M37" i="3"/>
  <c r="L37" i="3"/>
  <c r="J37" i="3"/>
  <c r="I37" i="3"/>
  <c r="BF36" i="3"/>
  <c r="AL36" i="3"/>
  <c r="BG36" i="3" s="1"/>
  <c r="AK36" i="3"/>
  <c r="AJ36" i="3"/>
  <c r="AI36" i="3"/>
  <c r="BE36" i="3" s="1"/>
  <c r="AH36" i="3"/>
  <c r="AG36" i="3"/>
  <c r="N36" i="3"/>
  <c r="K36" i="3" s="1"/>
  <c r="M36" i="3"/>
  <c r="L36" i="3"/>
  <c r="J36" i="3"/>
  <c r="I36" i="3"/>
  <c r="BF35" i="3"/>
  <c r="AL35" i="3"/>
  <c r="AK35" i="3"/>
  <c r="AJ35" i="3"/>
  <c r="AH35" i="3"/>
  <c r="AG35" i="3"/>
  <c r="N35" i="3"/>
  <c r="M35" i="3"/>
  <c r="L35" i="3"/>
  <c r="K35" i="3"/>
  <c r="J35" i="3"/>
  <c r="I35" i="3"/>
  <c r="BG34" i="3"/>
  <c r="BF34" i="3"/>
  <c r="AL34" i="3"/>
  <c r="AI34" i="3" s="1"/>
  <c r="AK34" i="3"/>
  <c r="AJ34" i="3"/>
  <c r="AH34" i="3"/>
  <c r="AG34" i="3"/>
  <c r="N34" i="3"/>
  <c r="M34" i="3"/>
  <c r="L34" i="3"/>
  <c r="K34" i="3"/>
  <c r="J34" i="3"/>
  <c r="I34" i="3"/>
  <c r="BF33" i="3"/>
  <c r="AL33" i="3"/>
  <c r="AK33" i="3"/>
  <c r="AJ33" i="3"/>
  <c r="AI33" i="3"/>
  <c r="AH33" i="3"/>
  <c r="AG33" i="3"/>
  <c r="N33" i="3"/>
  <c r="M33" i="3"/>
  <c r="L33" i="3"/>
  <c r="J33" i="3"/>
  <c r="I33" i="3"/>
  <c r="BF32" i="3"/>
  <c r="AL32" i="3"/>
  <c r="BG32" i="3" s="1"/>
  <c r="AK32" i="3"/>
  <c r="AJ32" i="3"/>
  <c r="AH32" i="3"/>
  <c r="AG32" i="3"/>
  <c r="N32" i="3"/>
  <c r="K32" i="3" s="1"/>
  <c r="M32" i="3"/>
  <c r="L32" i="3"/>
  <c r="J32" i="3"/>
  <c r="I32" i="3"/>
  <c r="BF31" i="3"/>
  <c r="AL31" i="3"/>
  <c r="AI31" i="3" s="1"/>
  <c r="BE31" i="3" s="1"/>
  <c r="AK31" i="3"/>
  <c r="AJ31" i="3"/>
  <c r="AH31" i="3"/>
  <c r="AG31" i="3"/>
  <c r="N31" i="3"/>
  <c r="M31" i="3"/>
  <c r="L31" i="3"/>
  <c r="K31" i="3"/>
  <c r="J31" i="3"/>
  <c r="I31" i="3"/>
  <c r="BF30" i="3"/>
  <c r="AL30" i="3"/>
  <c r="AK30" i="3"/>
  <c r="AK42" i="3" s="1"/>
  <c r="AJ30" i="3"/>
  <c r="AH30" i="3"/>
  <c r="AH42" i="3" s="1"/>
  <c r="AG30" i="3"/>
  <c r="N30" i="3"/>
  <c r="K30" i="3" s="1"/>
  <c r="M30" i="3"/>
  <c r="L30" i="3"/>
  <c r="L42" i="3" s="1"/>
  <c r="J30" i="3"/>
  <c r="I30" i="3"/>
  <c r="BF29" i="3"/>
  <c r="AL29" i="3"/>
  <c r="AK29" i="3"/>
  <c r="AJ29" i="3"/>
  <c r="AI29" i="3"/>
  <c r="AH29" i="3"/>
  <c r="AG29" i="3"/>
  <c r="N29" i="3"/>
  <c r="BG29" i="3" s="1"/>
  <c r="M29" i="3"/>
  <c r="L29" i="3"/>
  <c r="K29" i="3"/>
  <c r="J29" i="3"/>
  <c r="I29" i="3"/>
  <c r="BF28" i="3"/>
  <c r="AL28" i="3"/>
  <c r="AI28" i="3" s="1"/>
  <c r="BE28" i="3" s="1"/>
  <c r="AK28" i="3"/>
  <c r="AJ28" i="3"/>
  <c r="AH28" i="3"/>
  <c r="AG28" i="3"/>
  <c r="N28" i="3"/>
  <c r="M28" i="3"/>
  <c r="L28" i="3"/>
  <c r="K28" i="3"/>
  <c r="J28" i="3"/>
  <c r="I28" i="3"/>
  <c r="BF27" i="3"/>
  <c r="AL27" i="3"/>
  <c r="AI27" i="3" s="1"/>
  <c r="BE27" i="3" s="1"/>
  <c r="AK27" i="3"/>
  <c r="AJ27" i="3"/>
  <c r="AH27" i="3"/>
  <c r="AG27" i="3"/>
  <c r="N27" i="3"/>
  <c r="K27" i="3" s="1"/>
  <c r="M27" i="3"/>
  <c r="L27" i="3"/>
  <c r="J27" i="3"/>
  <c r="I27" i="3"/>
  <c r="BF26" i="3"/>
  <c r="AL26" i="3"/>
  <c r="AK26" i="3"/>
  <c r="AJ26" i="3"/>
  <c r="AI26" i="3"/>
  <c r="AH26" i="3"/>
  <c r="AG26" i="3"/>
  <c r="N26" i="3"/>
  <c r="BG26" i="3" s="1"/>
  <c r="M26" i="3"/>
  <c r="L26" i="3"/>
  <c r="J26" i="3"/>
  <c r="I26" i="3"/>
  <c r="BF25" i="3"/>
  <c r="AL25" i="3"/>
  <c r="AI25" i="3" s="1"/>
  <c r="AK25" i="3"/>
  <c r="AJ25" i="3"/>
  <c r="AH25" i="3"/>
  <c r="AG25" i="3"/>
  <c r="N25" i="3"/>
  <c r="M25" i="3"/>
  <c r="L25" i="3"/>
  <c r="J25" i="3"/>
  <c r="J41" i="3" s="1"/>
  <c r="I25" i="3"/>
  <c r="BG24" i="3"/>
  <c r="BF24" i="3"/>
  <c r="AL24" i="3"/>
  <c r="AI24" i="3" s="1"/>
  <c r="BE24" i="3" s="1"/>
  <c r="AK24" i="3"/>
  <c r="AJ24" i="3"/>
  <c r="AH24" i="3"/>
  <c r="AG24" i="3"/>
  <c r="N24" i="3"/>
  <c r="M24" i="3"/>
  <c r="L24" i="3"/>
  <c r="K24" i="3"/>
  <c r="J24" i="3"/>
  <c r="I24" i="3"/>
  <c r="BF23" i="3"/>
  <c r="AL23" i="3"/>
  <c r="AI23" i="3" s="1"/>
  <c r="AK23" i="3"/>
  <c r="AJ23" i="3"/>
  <c r="AH23" i="3"/>
  <c r="AG23" i="3"/>
  <c r="N23" i="3"/>
  <c r="BG23" i="3" s="1"/>
  <c r="M23" i="3"/>
  <c r="L23" i="3"/>
  <c r="J23" i="3"/>
  <c r="I23" i="3"/>
  <c r="BF22" i="3"/>
  <c r="AL22" i="3"/>
  <c r="AK22" i="3"/>
  <c r="AJ22" i="3"/>
  <c r="AI22" i="3"/>
  <c r="AH22" i="3"/>
  <c r="AG22" i="3"/>
  <c r="N22" i="3"/>
  <c r="BG22" i="3" s="1"/>
  <c r="M22" i="3"/>
  <c r="L22" i="3"/>
  <c r="J22" i="3"/>
  <c r="I22" i="3"/>
  <c r="BF21" i="3"/>
  <c r="AL21" i="3"/>
  <c r="AI21" i="3" s="1"/>
  <c r="AK21" i="3"/>
  <c r="AJ21" i="3"/>
  <c r="AH21" i="3"/>
  <c r="AG21" i="3"/>
  <c r="N21" i="3"/>
  <c r="K21" i="3" s="1"/>
  <c r="M21" i="3"/>
  <c r="L21" i="3"/>
  <c r="J21" i="3"/>
  <c r="I21" i="3"/>
  <c r="BG20" i="3"/>
  <c r="BF20" i="3"/>
  <c r="AL20" i="3"/>
  <c r="AI20" i="3" s="1"/>
  <c r="BE20" i="3" s="1"/>
  <c r="AK20" i="3"/>
  <c r="AJ20" i="3"/>
  <c r="AH20" i="3"/>
  <c r="AG20" i="3"/>
  <c r="N20" i="3"/>
  <c r="M20" i="3"/>
  <c r="L20" i="3"/>
  <c r="K20" i="3"/>
  <c r="J20" i="3"/>
  <c r="I20" i="3"/>
  <c r="BF19" i="3"/>
  <c r="AL19" i="3"/>
  <c r="AI19" i="3" s="1"/>
  <c r="AK19" i="3"/>
  <c r="AJ19" i="3"/>
  <c r="AH19" i="3"/>
  <c r="AG19" i="3"/>
  <c r="N19" i="3"/>
  <c r="BG19" i="3" s="1"/>
  <c r="M19" i="3"/>
  <c r="L19" i="3"/>
  <c r="J19" i="3"/>
  <c r="I19" i="3"/>
  <c r="BF18" i="3"/>
  <c r="AL18" i="3"/>
  <c r="AK18" i="3"/>
  <c r="AJ18" i="3"/>
  <c r="AI18" i="3"/>
  <c r="AH18" i="3"/>
  <c r="AG18" i="3"/>
  <c r="N18" i="3"/>
  <c r="BG18" i="3" s="1"/>
  <c r="M18" i="3"/>
  <c r="L18" i="3"/>
  <c r="J18" i="3"/>
  <c r="I18" i="3"/>
  <c r="BF17" i="3"/>
  <c r="AL17" i="3"/>
  <c r="AI17" i="3" s="1"/>
  <c r="BE17" i="3" s="1"/>
  <c r="AK17" i="3"/>
  <c r="AJ17" i="3"/>
  <c r="AH17" i="3"/>
  <c r="AG17" i="3"/>
  <c r="N17" i="3"/>
  <c r="K17" i="3" s="1"/>
  <c r="M17" i="3"/>
  <c r="L17" i="3"/>
  <c r="J17" i="3"/>
  <c r="I17" i="3"/>
  <c r="BG16" i="3"/>
  <c r="BF16" i="3"/>
  <c r="AL16" i="3"/>
  <c r="AI16" i="3" s="1"/>
  <c r="BE16" i="3" s="1"/>
  <c r="AK16" i="3"/>
  <c r="AJ16" i="3"/>
  <c r="AH16" i="3"/>
  <c r="AG16" i="3"/>
  <c r="N16" i="3"/>
  <c r="M16" i="3"/>
  <c r="L16" i="3"/>
  <c r="K16" i="3"/>
  <c r="J16" i="3"/>
  <c r="I16" i="3"/>
  <c r="BF15" i="3"/>
  <c r="AL15" i="3"/>
  <c r="AI15" i="3" s="1"/>
  <c r="AK15" i="3"/>
  <c r="AJ15" i="3"/>
  <c r="AH15" i="3"/>
  <c r="AG15" i="3"/>
  <c r="N15" i="3"/>
  <c r="M15" i="3"/>
  <c r="L15" i="3"/>
  <c r="J15" i="3"/>
  <c r="I15" i="3"/>
  <c r="BF14" i="3"/>
  <c r="AL14" i="3"/>
  <c r="AK14" i="3"/>
  <c r="AJ14" i="3"/>
  <c r="AI14" i="3"/>
  <c r="AH14" i="3"/>
  <c r="AG14" i="3"/>
  <c r="N14" i="3"/>
  <c r="BG14" i="3" s="1"/>
  <c r="M14" i="3"/>
  <c r="L14" i="3"/>
  <c r="J14" i="3"/>
  <c r="I14" i="3"/>
  <c r="BF13" i="3"/>
  <c r="AL13" i="3"/>
  <c r="BG13" i="3" s="1"/>
  <c r="AK13" i="3"/>
  <c r="AJ13" i="3"/>
  <c r="AH13" i="3"/>
  <c r="AG13" i="3"/>
  <c r="N13" i="3"/>
  <c r="K13" i="3" s="1"/>
  <c r="M13" i="3"/>
  <c r="L13" i="3"/>
  <c r="J13" i="3"/>
  <c r="I13" i="3"/>
  <c r="BG12" i="3"/>
  <c r="BF12" i="3"/>
  <c r="AL12" i="3"/>
  <c r="BH10" i="3" s="1" a="1"/>
  <c r="BH10" i="3" s="1"/>
  <c r="AK12" i="3"/>
  <c r="AJ12" i="3"/>
  <c r="AH12" i="3"/>
  <c r="AG12" i="3"/>
  <c r="N12" i="3"/>
  <c r="M12" i="3"/>
  <c r="L12" i="3"/>
  <c r="K12" i="3"/>
  <c r="J12" i="3"/>
  <c r="I12" i="3"/>
  <c r="BF11" i="3"/>
  <c r="AL11" i="3"/>
  <c r="AI11" i="3" s="1"/>
  <c r="AK11" i="3"/>
  <c r="AJ11" i="3"/>
  <c r="AH11" i="3"/>
  <c r="AG11" i="3"/>
  <c r="N11" i="3"/>
  <c r="K11" i="3" s="1"/>
  <c r="M11" i="3"/>
  <c r="L11" i="3"/>
  <c r="J11" i="3"/>
  <c r="I11" i="3"/>
  <c r="BF10" i="3"/>
  <c r="AL10" i="3"/>
  <c r="AK10" i="3"/>
  <c r="AJ10" i="3"/>
  <c r="AI10" i="3"/>
  <c r="AH10" i="3"/>
  <c r="AG10" i="3"/>
  <c r="N10" i="3"/>
  <c r="M10" i="3"/>
  <c r="L10" i="3"/>
  <c r="J10" i="3"/>
  <c r="I10" i="3"/>
  <c r="BF9" i="3"/>
  <c r="AL9" i="3"/>
  <c r="AI9" i="3" s="1"/>
  <c r="AK9" i="3"/>
  <c r="AJ9" i="3"/>
  <c r="AH9" i="3"/>
  <c r="AG9" i="3"/>
  <c r="N9" i="3"/>
  <c r="K9" i="3" s="1"/>
  <c r="M9" i="3"/>
  <c r="L9" i="3"/>
  <c r="J9" i="3"/>
  <c r="I9" i="3"/>
  <c r="BG8" i="3"/>
  <c r="BF8" i="3"/>
  <c r="AL8" i="3"/>
  <c r="AI8" i="3" s="1"/>
  <c r="BE8" i="3" s="1"/>
  <c r="AK8" i="3"/>
  <c r="AJ8" i="3"/>
  <c r="AH8" i="3"/>
  <c r="AG8" i="3"/>
  <c r="N8" i="3"/>
  <c r="M8" i="3"/>
  <c r="L8" i="3"/>
  <c r="K8" i="3"/>
  <c r="J8" i="3"/>
  <c r="I8" i="3"/>
  <c r="BF7" i="3"/>
  <c r="AL7" i="3"/>
  <c r="AI7" i="3" s="1"/>
  <c r="AK7" i="3"/>
  <c r="AJ7" i="3"/>
  <c r="AH7" i="3"/>
  <c r="AH40" i="3" s="1"/>
  <c r="AG7" i="3"/>
  <c r="N7" i="3"/>
  <c r="BG7" i="3" s="1"/>
  <c r="M7" i="3"/>
  <c r="L7" i="3"/>
  <c r="J7" i="3"/>
  <c r="I7" i="3"/>
  <c r="BF6" i="3"/>
  <c r="AL6" i="3"/>
  <c r="AK6" i="3"/>
  <c r="AJ6" i="3"/>
  <c r="AI6" i="3"/>
  <c r="AH6" i="3"/>
  <c r="AG6" i="3"/>
  <c r="N6" i="3"/>
  <c r="BG6" i="3" s="1"/>
  <c r="M6" i="3"/>
  <c r="L6" i="3"/>
  <c r="J6" i="3"/>
  <c r="I6" i="3"/>
  <c r="BF5" i="3"/>
  <c r="AL5" i="3"/>
  <c r="AI5" i="3" s="1"/>
  <c r="AK5" i="3"/>
  <c r="AK43" i="3" s="1"/>
  <c r="AJ5" i="3"/>
  <c r="AJ43" i="3" s="1"/>
  <c r="AH5" i="3"/>
  <c r="AH43" i="3" s="1"/>
  <c r="AG5" i="3"/>
  <c r="N5" i="3"/>
  <c r="M5" i="3"/>
  <c r="L5" i="3"/>
  <c r="J5" i="3"/>
  <c r="I5" i="3"/>
  <c r="AG1" i="3"/>
  <c r="I1" i="3"/>
  <c r="B1" i="2"/>
  <c r="B2" i="2" s="1"/>
  <c r="C48" i="1"/>
  <c r="C35" i="1"/>
  <c r="C24" i="1"/>
  <c r="C23" i="1"/>
  <c r="E20" i="1"/>
  <c r="D20" i="1"/>
  <c r="C13" i="1"/>
  <c r="BT35" i="7"/>
  <c r="BT30" i="7"/>
  <c r="BP25" i="7"/>
  <c r="BK25" i="7"/>
  <c r="BQ20" i="7"/>
  <c r="BM15" i="7"/>
  <c r="BN10" i="7"/>
  <c r="BK5" i="7"/>
  <c r="BQ35" i="3"/>
  <c r="BL30" i="3"/>
  <c r="BN20" i="3"/>
  <c r="BQ10" i="3"/>
  <c r="BK10" i="3"/>
  <c r="BN5" i="7"/>
  <c r="BN5" i="3"/>
  <c r="BR25" i="7"/>
  <c r="BM5" i="3"/>
  <c r="BS35" i="7"/>
  <c r="BS30" i="7"/>
  <c r="BN25" i="7"/>
  <c r="BP20" i="7"/>
  <c r="BL15" i="7"/>
  <c r="BM10" i="7"/>
  <c r="BP35" i="3"/>
  <c r="BJ30" i="3"/>
  <c r="BT25" i="3"/>
  <c r="BM20" i="3"/>
  <c r="BP10" i="3"/>
  <c r="BQ30" i="3"/>
  <c r="BS25" i="7"/>
  <c r="BT10" i="3"/>
  <c r="BM5" i="7"/>
  <c r="BL15" i="3"/>
  <c r="BR35" i="7"/>
  <c r="BR30" i="7"/>
  <c r="BK30" i="7"/>
  <c r="BM25" i="7"/>
  <c r="BN20" i="7"/>
  <c r="BK15" i="7"/>
  <c r="BL10" i="7"/>
  <c r="BN35" i="3"/>
  <c r="BS25" i="3"/>
  <c r="BL20" i="3"/>
  <c r="BN10" i="3"/>
  <c r="BS10" i="7"/>
  <c r="BS20" i="3"/>
  <c r="BM15" i="3"/>
  <c r="BJ5" i="7"/>
  <c r="BQ35" i="7"/>
  <c r="BQ30" i="7"/>
  <c r="BL25" i="7"/>
  <c r="BM20" i="7"/>
  <c r="BM35" i="3"/>
  <c r="BR25" i="3"/>
  <c r="BK25" i="3"/>
  <c r="BT15" i="3"/>
  <c r="BM10" i="3"/>
  <c r="BS20" i="7"/>
  <c r="BP35" i="7"/>
  <c r="BJ35" i="7"/>
  <c r="BP30" i="7"/>
  <c r="BL20" i="7"/>
  <c r="BT5" i="7"/>
  <c r="BL35" i="3"/>
  <c r="BQ25" i="3"/>
  <c r="BS15" i="3"/>
  <c r="BL10" i="3"/>
  <c r="BT5" i="3"/>
  <c r="BN15" i="3"/>
  <c r="BT35" i="3"/>
  <c r="BN30" i="3"/>
  <c r="BN35" i="7"/>
  <c r="BN30" i="7"/>
  <c r="BS5" i="7"/>
  <c r="BT30" i="3"/>
  <c r="BP25" i="3"/>
  <c r="BR15" i="3"/>
  <c r="BJ15" i="3"/>
  <c r="BS5" i="3"/>
  <c r="BS10" i="3"/>
  <c r="BM35" i="7"/>
  <c r="BM30" i="7"/>
  <c r="BT15" i="7"/>
  <c r="BR5" i="7"/>
  <c r="BS30" i="3"/>
  <c r="BN25" i="3"/>
  <c r="BQ15" i="3"/>
  <c r="BR5" i="3"/>
  <c r="BK5" i="3"/>
  <c r="BT25" i="7"/>
  <c r="BP5" i="7"/>
  <c r="BL25" i="3"/>
  <c r="BR10" i="7"/>
  <c r="BQ10" i="7"/>
  <c r="BJ20" i="3"/>
  <c r="BL35" i="7"/>
  <c r="BL30" i="7"/>
  <c r="BS15" i="7"/>
  <c r="BT10" i="7"/>
  <c r="BQ5" i="7"/>
  <c r="BR30" i="3"/>
  <c r="BM25" i="3"/>
  <c r="BT20" i="3"/>
  <c r="BP15" i="3"/>
  <c r="BQ5" i="3"/>
  <c r="BK35" i="7"/>
  <c r="BR15" i="7"/>
  <c r="BP5" i="3"/>
  <c r="BQ15" i="7"/>
  <c r="BR20" i="3"/>
  <c r="BP15" i="7"/>
  <c r="BT20" i="7"/>
  <c r="BQ25" i="7"/>
  <c r="BR20" i="7"/>
  <c r="BN15" i="7"/>
  <c r="BJ15" i="7"/>
  <c r="BP10" i="7"/>
  <c r="BL5" i="7"/>
  <c r="BR35" i="3"/>
  <c r="BJ35" i="3"/>
  <c r="BM30" i="3"/>
  <c r="BP20" i="3"/>
  <c r="BR10" i="3"/>
  <c r="BL5" i="3"/>
  <c r="BP30" i="3"/>
  <c r="BS35" i="3"/>
  <c r="BQ20" i="3"/>
  <c r="AG14" i="5" l="1"/>
  <c r="L15" i="5"/>
  <c r="BD11" i="5"/>
  <c r="F11" i="8" s="1"/>
  <c r="H14" i="8"/>
  <c r="E33" i="1"/>
  <c r="AH15" i="6"/>
  <c r="BD10" i="6"/>
  <c r="J10" i="8" s="1"/>
  <c r="BD11" i="6"/>
  <c r="J11" i="8" s="1"/>
  <c r="L14" i="6"/>
  <c r="BD14" i="6" s="1"/>
  <c r="J14" i="8" s="1"/>
  <c r="M43" i="7"/>
  <c r="AH42" i="7"/>
  <c r="BE35" i="7"/>
  <c r="J43" i="7"/>
  <c r="J42" i="7"/>
  <c r="J42" i="3"/>
  <c r="M42" i="3"/>
  <c r="BE34" i="3"/>
  <c r="M8" i="8"/>
  <c r="O11" i="8"/>
  <c r="L10" i="8"/>
  <c r="N6" i="8"/>
  <c r="L8" i="8"/>
  <c r="BM42" i="3"/>
  <c r="F11" i="1" s="1"/>
  <c r="N11" i="8"/>
  <c r="BL43" i="7"/>
  <c r="E46" i="1" s="1"/>
  <c r="Q6" i="8"/>
  <c r="S8" i="8"/>
  <c r="BQ41" i="7"/>
  <c r="R13" i="8" s="1"/>
  <c r="U8" i="8"/>
  <c r="Q7" i="8"/>
  <c r="N8" i="8"/>
  <c r="R7" i="8"/>
  <c r="S7" i="8"/>
  <c r="M5" i="8"/>
  <c r="L7" i="8"/>
  <c r="P8" i="8"/>
  <c r="BM41" i="3"/>
  <c r="F10" i="1" s="1"/>
  <c r="R5" i="8"/>
  <c r="U6" i="8"/>
  <c r="T7" i="8"/>
  <c r="BL42" i="7"/>
  <c r="E45" i="1" s="1"/>
  <c r="R6" i="8"/>
  <c r="S6" i="8"/>
  <c r="BL41" i="3"/>
  <c r="E10" i="1" s="1"/>
  <c r="Q5" i="8"/>
  <c r="U9" i="8"/>
  <c r="M7" i="8"/>
  <c r="BN41" i="3"/>
  <c r="G10" i="1" s="1"/>
  <c r="S5" i="8"/>
  <c r="U7" i="8"/>
  <c r="BM42" i="7"/>
  <c r="F45" i="1" s="1"/>
  <c r="O6" i="8"/>
  <c r="O5" i="8"/>
  <c r="N7" i="8"/>
  <c r="T5" i="8"/>
  <c r="BN42" i="7"/>
  <c r="G45" i="1" s="1"/>
  <c r="BN42" i="3"/>
  <c r="G11" i="1" s="1"/>
  <c r="P11" i="8"/>
  <c r="P5" i="8"/>
  <c r="O7" i="8"/>
  <c r="BQ41" i="3"/>
  <c r="M13" i="8" s="1"/>
  <c r="BP42" i="7"/>
  <c r="H45" i="1" s="1"/>
  <c r="Q11" i="8"/>
  <c r="T8" i="8"/>
  <c r="P7" i="8"/>
  <c r="BK41" i="3"/>
  <c r="D10" i="1" s="1"/>
  <c r="BR41" i="3"/>
  <c r="N13" i="8" s="1"/>
  <c r="BL41" i="7"/>
  <c r="E44" i="1" s="1"/>
  <c r="R11" i="8"/>
  <c r="O8" i="8"/>
  <c r="T6" i="8"/>
  <c r="BM41" i="7"/>
  <c r="F44" i="1" s="1"/>
  <c r="BK42" i="7"/>
  <c r="D45" i="1" s="1"/>
  <c r="BR42" i="7"/>
  <c r="S11" i="8"/>
  <c r="BM43" i="7"/>
  <c r="F46" i="1" s="1"/>
  <c r="P6" i="8"/>
  <c r="T9" i="8"/>
  <c r="L6" i="8"/>
  <c r="BJ42" i="3"/>
  <c r="C11" i="1" s="1"/>
  <c r="L11" i="8"/>
  <c r="Q8" i="8"/>
  <c r="BN41" i="7"/>
  <c r="G44" i="1" s="1"/>
  <c r="BS42" i="7"/>
  <c r="T11" i="8"/>
  <c r="BN43" i="7"/>
  <c r="G46" i="1" s="1"/>
  <c r="M6" i="8"/>
  <c r="BL42" i="3"/>
  <c r="E11" i="1" s="1"/>
  <c r="M11" i="8"/>
  <c r="R8" i="8"/>
  <c r="BK41" i="7"/>
  <c r="D44" i="1" s="1"/>
  <c r="BP41" i="7"/>
  <c r="BT42" i="7"/>
  <c r="U11" i="8"/>
  <c r="BS40" i="7"/>
  <c r="Q14" i="8"/>
  <c r="BT41" i="7"/>
  <c r="U13" i="8" s="1"/>
  <c r="BP43" i="7"/>
  <c r="BS43" i="7"/>
  <c r="Q10" i="8"/>
  <c r="J10" i="1"/>
  <c r="T10" i="8"/>
  <c r="BP40" i="7"/>
  <c r="BE9" i="3"/>
  <c r="BE5" i="3"/>
  <c r="BE15" i="3"/>
  <c r="BE22" i="3"/>
  <c r="BC12" i="5"/>
  <c r="AI41" i="3"/>
  <c r="BE21" i="3"/>
  <c r="BE26" i="3"/>
  <c r="BE14" i="3"/>
  <c r="BE11" i="3"/>
  <c r="BE18" i="3"/>
  <c r="BM43" i="3"/>
  <c r="F12" i="1" s="1"/>
  <c r="BM40" i="3"/>
  <c r="F9" i="1" s="1"/>
  <c r="K7" i="3"/>
  <c r="BE7" i="3" s="1"/>
  <c r="BG11" i="3"/>
  <c r="AI13" i="3"/>
  <c r="BE13" i="3" s="1"/>
  <c r="K15" i="3"/>
  <c r="BG15" i="3"/>
  <c r="K19" i="3"/>
  <c r="BE19" i="3" s="1"/>
  <c r="K23" i="3"/>
  <c r="BE23" i="3" s="1"/>
  <c r="BG27" i="3"/>
  <c r="L5" i="8"/>
  <c r="BP43" i="3"/>
  <c r="BP40" i="3"/>
  <c r="BH15" i="3" a="1"/>
  <c r="BH15" i="3" s="1"/>
  <c r="AK41" i="3"/>
  <c r="BP41" i="3"/>
  <c r="L9" i="8"/>
  <c r="BG28" i="3"/>
  <c r="AJ42" i="3"/>
  <c r="N10" i="8"/>
  <c r="BR42" i="3"/>
  <c r="AI32" i="3"/>
  <c r="BE32" i="3" s="1"/>
  <c r="BE37" i="3"/>
  <c r="AI15" i="5"/>
  <c r="BD15" i="5" s="1"/>
  <c r="F15" i="8" s="1"/>
  <c r="BE8" i="5"/>
  <c r="G8" i="8" s="1"/>
  <c r="BC10" i="6"/>
  <c r="I10" i="8" s="1"/>
  <c r="BG6" i="7"/>
  <c r="BH5" i="7" a="1"/>
  <c r="BH5" i="7" s="1"/>
  <c r="AI6" i="7"/>
  <c r="BE25" i="7"/>
  <c r="BH30" i="7" a="1"/>
  <c r="BH30" i="7" s="1"/>
  <c r="BG30" i="7"/>
  <c r="AI30" i="7"/>
  <c r="BG34" i="7"/>
  <c r="AI34" i="7"/>
  <c r="BE34" i="7" s="1"/>
  <c r="O10" i="8"/>
  <c r="BS42" i="3"/>
  <c r="BC6" i="6"/>
  <c r="I6" i="8" s="1"/>
  <c r="BG38" i="7"/>
  <c r="AI38" i="7"/>
  <c r="BE38" i="7" s="1"/>
  <c r="BR43" i="3"/>
  <c r="BR40" i="3"/>
  <c r="BH30" i="3" a="1"/>
  <c r="BH30" i="3" s="1"/>
  <c r="BH42" i="3" s="1"/>
  <c r="BT42" i="3"/>
  <c r="P10" i="8"/>
  <c r="BF9" i="5"/>
  <c r="BD10" i="5"/>
  <c r="F10" i="8" s="1"/>
  <c r="AI14" i="5"/>
  <c r="BD14" i="5" s="1"/>
  <c r="F14" i="8" s="1"/>
  <c r="U5" i="8"/>
  <c r="BT43" i="7"/>
  <c r="BT40" i="7"/>
  <c r="BE8" i="7"/>
  <c r="BH35" i="7" a="1"/>
  <c r="BH35" i="7" s="1"/>
  <c r="BS41" i="3"/>
  <c r="O9" i="8"/>
  <c r="BE10" i="5"/>
  <c r="G10" i="8" s="1"/>
  <c r="AJ14" i="5"/>
  <c r="BE14" i="5" s="1"/>
  <c r="AH13" i="5"/>
  <c r="BC13" i="5" s="1"/>
  <c r="K5" i="3"/>
  <c r="BG5" i="3"/>
  <c r="BG9" i="3"/>
  <c r="BG17" i="3"/>
  <c r="BG21" i="3"/>
  <c r="K25" i="3"/>
  <c r="K41" i="3" s="1"/>
  <c r="BG25" i="3"/>
  <c r="P9" i="8"/>
  <c r="BT41" i="3"/>
  <c r="BG31" i="3"/>
  <c r="AJ40" i="3"/>
  <c r="J12" i="5"/>
  <c r="BG5" i="5" a="1"/>
  <c r="BG5" i="5" s="1"/>
  <c r="BD13" i="5"/>
  <c r="F13" i="8" s="1"/>
  <c r="BE7" i="6"/>
  <c r="K7" i="8" s="1"/>
  <c r="BB9" i="6"/>
  <c r="H9" i="8" s="1"/>
  <c r="AG13" i="6"/>
  <c r="BB13" i="6" s="1"/>
  <c r="K11" i="6"/>
  <c r="K14" i="6" s="1"/>
  <c r="AJ14" i="6"/>
  <c r="BE14" i="6" s="1"/>
  <c r="BH10" i="7" a="1"/>
  <c r="BH10" i="7" s="1"/>
  <c r="BG10" i="7"/>
  <c r="AI10" i="7"/>
  <c r="BG14" i="7"/>
  <c r="AI14" i="7"/>
  <c r="BE14" i="7" s="1"/>
  <c r="M9" i="8"/>
  <c r="L43" i="3"/>
  <c r="L40" i="3"/>
  <c r="L41" i="3"/>
  <c r="BG30" i="3"/>
  <c r="BH35" i="3" a="1"/>
  <c r="BH35" i="3" s="1"/>
  <c r="BG35" i="3"/>
  <c r="AI35" i="3"/>
  <c r="BE35" i="3" s="1"/>
  <c r="AK40" i="3"/>
  <c r="BP42" i="3"/>
  <c r="BE6" i="5"/>
  <c r="G6" i="8" s="1"/>
  <c r="AJ15" i="5"/>
  <c r="BE15" i="5" s="1"/>
  <c r="AJ12" i="5"/>
  <c r="AG12" i="6"/>
  <c r="BB5" i="6"/>
  <c r="H5" i="8" s="1"/>
  <c r="AG15" i="6"/>
  <c r="K7" i="6"/>
  <c r="BC7" i="6" s="1"/>
  <c r="I7" i="8" s="1"/>
  <c r="BC9" i="6"/>
  <c r="I9" i="8" s="1"/>
  <c r="AI12" i="6"/>
  <c r="BD12" i="6" s="1"/>
  <c r="J12" i="8" s="1"/>
  <c r="L43" i="7"/>
  <c r="L40" i="7"/>
  <c r="BH15" i="7" a="1"/>
  <c r="BH15" i="7" s="1"/>
  <c r="BG18" i="7"/>
  <c r="AI18" i="7"/>
  <c r="BE18" i="7" s="1"/>
  <c r="BG36" i="7"/>
  <c r="K36" i="7"/>
  <c r="BE36" i="7" s="1"/>
  <c r="N9" i="8"/>
  <c r="M41" i="3"/>
  <c r="BH25" i="3" a="1"/>
  <c r="BH25" i="3" s="1"/>
  <c r="BH41" i="3" s="1"/>
  <c r="BQ40" i="3"/>
  <c r="BD9" i="6"/>
  <c r="J9" i="8" s="1"/>
  <c r="AI13" i="6"/>
  <c r="BD13" i="6" s="1"/>
  <c r="J13" i="8" s="1"/>
  <c r="AJ40" i="7"/>
  <c r="J43" i="3"/>
  <c r="J40" i="3"/>
  <c r="M43" i="3"/>
  <c r="M40" i="3"/>
  <c r="K6" i="3"/>
  <c r="BE6" i="3" s="1"/>
  <c r="K10" i="3"/>
  <c r="BE10" i="3" s="1"/>
  <c r="BG10" i="3"/>
  <c r="AI12" i="3"/>
  <c r="BE12" i="3" s="1"/>
  <c r="K14" i="3"/>
  <c r="K18" i="3"/>
  <c r="K22" i="3"/>
  <c r="K26" i="3"/>
  <c r="BS40" i="3"/>
  <c r="K12" i="5"/>
  <c r="K15" i="5"/>
  <c r="BB14" i="5"/>
  <c r="AH14" i="6"/>
  <c r="AI15" i="6"/>
  <c r="BQ42" i="7"/>
  <c r="R10" i="8"/>
  <c r="BH5" i="3" a="1"/>
  <c r="BH5" i="3" s="1"/>
  <c r="C47" i="1"/>
  <c r="BT40" i="3"/>
  <c r="BB7" i="5"/>
  <c r="D7" i="8" s="1"/>
  <c r="M12" i="5"/>
  <c r="BE5" i="6"/>
  <c r="K5" i="8" s="1"/>
  <c r="AJ15" i="6"/>
  <c r="BE15" i="6" s="1"/>
  <c r="AJ12" i="6"/>
  <c r="BE12" i="6" s="1"/>
  <c r="BG22" i="7"/>
  <c r="BH20" i="7" a="1"/>
  <c r="BH20" i="7" s="1"/>
  <c r="AI22" i="7"/>
  <c r="BE22" i="7" s="1"/>
  <c r="AI41" i="7"/>
  <c r="BE41" i="7" s="1"/>
  <c r="BR40" i="7"/>
  <c r="F31" i="8"/>
  <c r="BH20" i="3" a="1"/>
  <c r="BH20" i="3" s="1"/>
  <c r="BL43" i="3"/>
  <c r="E12" i="1" s="1"/>
  <c r="BL40" i="3"/>
  <c r="E9" i="1" s="1"/>
  <c r="AH41" i="3"/>
  <c r="BE29" i="3"/>
  <c r="BG33" i="3"/>
  <c r="K33" i="3"/>
  <c r="K42" i="3" s="1"/>
  <c r="BQ43" i="3"/>
  <c r="BC7" i="5"/>
  <c r="E7" i="8" s="1"/>
  <c r="AJ41" i="7"/>
  <c r="BR41" i="7"/>
  <c r="S9" i="8"/>
  <c r="BG26" i="7"/>
  <c r="BH25" i="7" a="1"/>
  <c r="BH25" i="7" s="1"/>
  <c r="BH41" i="7" s="1"/>
  <c r="AI26" i="7"/>
  <c r="BE26" i="7" s="1"/>
  <c r="I10" i="1"/>
  <c r="BS43" i="3"/>
  <c r="BB5" i="5"/>
  <c r="D5" i="8" s="1"/>
  <c r="AG15" i="5"/>
  <c r="BB15" i="5" s="1"/>
  <c r="AG12" i="5"/>
  <c r="BB12" i="5" s="1"/>
  <c r="AI12" i="5"/>
  <c r="BD12" i="5" s="1"/>
  <c r="F12" i="8" s="1"/>
  <c r="J15" i="6"/>
  <c r="BG14" i="6"/>
  <c r="BC13" i="6"/>
  <c r="AY19" i="6"/>
  <c r="BE24" i="7"/>
  <c r="BE28" i="7"/>
  <c r="AJ42" i="7"/>
  <c r="BE32" i="7"/>
  <c r="S10" i="8"/>
  <c r="C14" i="1"/>
  <c r="BN43" i="3"/>
  <c r="G12" i="1" s="1"/>
  <c r="BN40" i="3"/>
  <c r="G9" i="1" s="1"/>
  <c r="AJ41" i="3"/>
  <c r="AI30" i="3"/>
  <c r="M10" i="8"/>
  <c r="BQ42" i="3"/>
  <c r="BT43" i="3"/>
  <c r="BC5" i="5"/>
  <c r="E5" i="8" s="1"/>
  <c r="BB10" i="6"/>
  <c r="H10" i="8" s="1"/>
  <c r="AJ13" i="6"/>
  <c r="BE13" i="6" s="1"/>
  <c r="BE39" i="7"/>
  <c r="BR43" i="7"/>
  <c r="N5" i="8"/>
  <c r="BG6" i="5" a="1"/>
  <c r="BG6" i="5" s="1"/>
  <c r="BE9" i="5"/>
  <c r="G9" i="8" s="1"/>
  <c r="BG10" i="5" a="1"/>
  <c r="BG10" i="5" s="1"/>
  <c r="L12" i="5"/>
  <c r="BG5" i="6" a="1"/>
  <c r="BG5" i="6" s="1"/>
  <c r="BG9" i="6" a="1"/>
  <c r="BG9" i="6" s="1"/>
  <c r="BG13" i="6" s="1"/>
  <c r="AH12" i="6"/>
  <c r="L15" i="6"/>
  <c r="BG8" i="7"/>
  <c r="BG12" i="7"/>
  <c r="BG16" i="7"/>
  <c r="BG20" i="7"/>
  <c r="BG24" i="7"/>
  <c r="BG28" i="7"/>
  <c r="BG32" i="7"/>
  <c r="BN40" i="7"/>
  <c r="G43" i="1" s="1"/>
  <c r="BS41" i="7"/>
  <c r="BG37" i="3"/>
  <c r="AI39" i="3"/>
  <c r="BE39" i="3" s="1"/>
  <c r="AH40" i="7"/>
  <c r="BQ40" i="7"/>
  <c r="BQ43" i="7"/>
  <c r="AH14" i="5"/>
  <c r="BC14" i="5" s="1"/>
  <c r="AK40" i="7"/>
  <c r="U10" i="8"/>
  <c r="BG8" i="5" a="1"/>
  <c r="BG8" i="5" s="1"/>
  <c r="AH15" i="5"/>
  <c r="BG7" i="6" a="1"/>
  <c r="BG7" i="6" s="1"/>
  <c r="BG11" i="6" a="1"/>
  <c r="BG11" i="6" s="1"/>
  <c r="K10" i="7"/>
  <c r="K40" i="7" s="1"/>
  <c r="K30" i="7"/>
  <c r="BF7" i="5"/>
  <c r="BF11" i="5"/>
  <c r="BF6" i="6"/>
  <c r="BF10" i="6"/>
  <c r="J12" i="6"/>
  <c r="Q9" i="8"/>
  <c r="R9" i="8"/>
  <c r="BG7" i="5" a="1"/>
  <c r="BG7" i="5" s="1"/>
  <c r="BG11" i="5" a="1"/>
  <c r="BG11" i="5" s="1"/>
  <c r="BG35" i="7"/>
  <c r="J40" i="7"/>
  <c r="BL40" i="7"/>
  <c r="E43" i="1" s="1"/>
  <c r="BM40" i="7"/>
  <c r="F43" i="1" s="1"/>
  <c r="BK15" i="3"/>
  <c r="BJ10" i="7"/>
  <c r="BK10" i="7"/>
  <c r="BJ25" i="7"/>
  <c r="BJ30" i="7"/>
  <c r="BK20" i="7"/>
  <c r="BJ25" i="3"/>
  <c r="BK30" i="3"/>
  <c r="BK35" i="3"/>
  <c r="BJ10" i="3"/>
  <c r="BJ5" i="3"/>
  <c r="BJ20" i="7"/>
  <c r="BK20" i="3"/>
  <c r="BB15" i="6" l="1"/>
  <c r="BE33" i="3"/>
  <c r="BK42" i="3"/>
  <c r="D11" i="1" s="1"/>
  <c r="BJ41" i="3"/>
  <c r="C10" i="1" s="1"/>
  <c r="BJ42" i="7"/>
  <c r="C45" i="1" s="1"/>
  <c r="BJ41" i="7"/>
  <c r="C44" i="1" s="1"/>
  <c r="BK43" i="7"/>
  <c r="D46" i="1" s="1"/>
  <c r="BK40" i="7"/>
  <c r="D43" i="1" s="1"/>
  <c r="BJ43" i="7"/>
  <c r="C46" i="1" s="1"/>
  <c r="BJ40" i="7"/>
  <c r="C43" i="1" s="1"/>
  <c r="BK43" i="3"/>
  <c r="D12" i="1" s="1"/>
  <c r="BK40" i="3"/>
  <c r="D9" i="1" s="1"/>
  <c r="S14" i="8"/>
  <c r="J45" i="1"/>
  <c r="I44" i="1"/>
  <c r="T14" i="8"/>
  <c r="K45" i="1"/>
  <c r="U14" i="8"/>
  <c r="L45" i="1"/>
  <c r="L44" i="1"/>
  <c r="Q13" i="8"/>
  <c r="H44" i="1"/>
  <c r="Q12" i="8"/>
  <c r="H43" i="1"/>
  <c r="T15" i="8"/>
  <c r="K46" i="1"/>
  <c r="Q15" i="8"/>
  <c r="H46" i="1"/>
  <c r="T12" i="8"/>
  <c r="K43" i="1"/>
  <c r="M14" i="8"/>
  <c r="I11" i="1"/>
  <c r="BC14" i="6"/>
  <c r="H15" i="8"/>
  <c r="E34" i="1"/>
  <c r="K43" i="7"/>
  <c r="O13" i="8"/>
  <c r="K10" i="1"/>
  <c r="L15" i="8"/>
  <c r="H12" i="1"/>
  <c r="BB12" i="6"/>
  <c r="H13" i="8"/>
  <c r="E32" i="1"/>
  <c r="O12" i="8"/>
  <c r="K9" i="1"/>
  <c r="G15" i="8"/>
  <c r="D22" i="1"/>
  <c r="U15" i="8"/>
  <c r="L46" i="1"/>
  <c r="R12" i="8"/>
  <c r="I43" i="1"/>
  <c r="AI43" i="7"/>
  <c r="AI40" i="7"/>
  <c r="BE40" i="7" s="1"/>
  <c r="BE6" i="7"/>
  <c r="AI40" i="3"/>
  <c r="BJ43" i="3"/>
  <c r="C12" i="1" s="1"/>
  <c r="BJ40" i="3"/>
  <c r="C9" i="1" s="1"/>
  <c r="I13" i="8"/>
  <c r="C32" i="1"/>
  <c r="BE12" i="5"/>
  <c r="S15" i="8"/>
  <c r="J46" i="1"/>
  <c r="K42" i="7"/>
  <c r="BH43" i="3"/>
  <c r="BH40" i="3"/>
  <c r="L14" i="8"/>
  <c r="H11" i="1"/>
  <c r="BC11" i="6"/>
  <c r="I11" i="8" s="1"/>
  <c r="BH43" i="7"/>
  <c r="BH40" i="7"/>
  <c r="AI43" i="3"/>
  <c r="AI42" i="7"/>
  <c r="BE30" i="7"/>
  <c r="J43" i="1"/>
  <c r="S12" i="8"/>
  <c r="BC12" i="6"/>
  <c r="D12" i="8"/>
  <c r="E19" i="1"/>
  <c r="M15" i="8"/>
  <c r="I12" i="1"/>
  <c r="BG12" i="5"/>
  <c r="BG15" i="5"/>
  <c r="K43" i="3"/>
  <c r="K40" i="3"/>
  <c r="K12" i="6"/>
  <c r="N12" i="8"/>
  <c r="J9" i="1"/>
  <c r="C21" i="1"/>
  <c r="E14" i="8"/>
  <c r="U12" i="8"/>
  <c r="L43" i="1"/>
  <c r="K13" i="8"/>
  <c r="D32" i="1"/>
  <c r="D15" i="8"/>
  <c r="E22" i="1"/>
  <c r="R14" i="8"/>
  <c r="I45" i="1"/>
  <c r="BE10" i="7"/>
  <c r="E13" i="8"/>
  <c r="C20" i="1"/>
  <c r="K15" i="6"/>
  <c r="BC15" i="6" s="1"/>
  <c r="L13" i="8"/>
  <c r="H10" i="1"/>
  <c r="D14" i="8"/>
  <c r="E21" i="1"/>
  <c r="P12" i="8"/>
  <c r="L9" i="1"/>
  <c r="N14" i="8"/>
  <c r="J11" i="1"/>
  <c r="T13" i="8"/>
  <c r="K44" i="1"/>
  <c r="BG15" i="6"/>
  <c r="BG12" i="6"/>
  <c r="D21" i="1"/>
  <c r="G14" i="8"/>
  <c r="O14" i="8"/>
  <c r="K11" i="1"/>
  <c r="F20" i="8"/>
  <c r="F23" i="8" s="1"/>
  <c r="C36" i="1"/>
  <c r="BH42" i="7"/>
  <c r="O15" i="8"/>
  <c r="K12" i="1"/>
  <c r="K12" i="8"/>
  <c r="D31" i="1"/>
  <c r="M12" i="8"/>
  <c r="I9" i="1"/>
  <c r="BE25" i="3"/>
  <c r="K14" i="8"/>
  <c r="D33" i="1"/>
  <c r="E12" i="8"/>
  <c r="C19" i="1"/>
  <c r="AI42" i="3"/>
  <c r="BE42" i="3" s="1"/>
  <c r="BE30" i="3"/>
  <c r="N15" i="8"/>
  <c r="J12" i="1"/>
  <c r="R15" i="8"/>
  <c r="I46" i="1"/>
  <c r="S13" i="8"/>
  <c r="J44" i="1"/>
  <c r="BC15" i="5"/>
  <c r="BG14" i="5"/>
  <c r="P15" i="8"/>
  <c r="L12" i="1"/>
  <c r="K15" i="8"/>
  <c r="D34" i="1"/>
  <c r="BD15" i="6"/>
  <c r="J15" i="8" s="1"/>
  <c r="P13" i="8"/>
  <c r="L10" i="1"/>
  <c r="P14" i="8"/>
  <c r="L11" i="1"/>
  <c r="L12" i="8"/>
  <c r="H9" i="1"/>
  <c r="BE41" i="3"/>
  <c r="BE43" i="7" l="1"/>
  <c r="I12" i="8"/>
  <c r="C31" i="1"/>
  <c r="BE42" i="7"/>
  <c r="D19" i="1"/>
  <c r="G12" i="8"/>
  <c r="H12" i="8"/>
  <c r="E31" i="1"/>
  <c r="BE43" i="3"/>
  <c r="I14" i="8"/>
  <c r="C33" i="1"/>
  <c r="I15" i="8"/>
  <c r="C34" i="1"/>
  <c r="E15" i="8"/>
  <c r="C22" i="1"/>
  <c r="BE40" i="3"/>
</calcChain>
</file>

<file path=xl/sharedStrings.xml><?xml version="1.0" encoding="utf-8"?>
<sst xmlns="http://schemas.openxmlformats.org/spreadsheetml/2006/main" count="1664" uniqueCount="609">
  <si>
    <t>Reference:</t>
  </si>
  <si>
    <t>ALL_master+r7.0</t>
  </si>
  <si>
    <t>Tested:</t>
  </si>
  <si>
    <t>mpeg128-integration+r7.1.09</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</si>
  <si>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</si>
  <si>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</si>
  <si>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</si>
  <si>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</si>
  <si>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</si>
  <si>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</si>
  <si>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</si>
  <si>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</si>
  <si>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</si>
  <si>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</si>
  <si>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</si>
  <si>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</si>
  <si>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</si>
  <si>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</si>
  <si>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</si>
  <si>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</si>
  <si>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</si>
  <si>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</si>
  <si>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</si>
  <si>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</si>
  <si>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</si>
  <si>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</si>
  <si>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</si>
  <si>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</si>
  <si>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</si>
  <si>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</si>
  <si>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</si>
  <si>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</si>
  <si>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</si>
  <si>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</si>
  <si>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</si>
  <si>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</si>
  <si>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</si>
  <si>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</si>
  <si>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</si>
  <si>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</si>
  <si>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</si>
  <si>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</si>
  <si>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</si>
  <si>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</si>
  <si>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</si>
  <si>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</si>
  <si>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</si>
  <si>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</si>
  <si>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</si>
  <si>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</si>
  <si>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</si>
  <si>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</si>
  <si>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</si>
  <si>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</si>
  <si>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</si>
  <si>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</si>
  <si>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</si>
  <si>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</si>
  <si>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</si>
  <si>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</si>
  <si>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</si>
  <si>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</si>
  <si>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</si>
  <si>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</si>
  <si>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</si>
  <si>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</si>
  <si>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</si>
  <si>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</si>
  <si>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</si>
  <si>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</si>
  <si>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</si>
  <si>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</si>
  <si>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</si>
  <si>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</si>
  <si>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</si>
  <si>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</si>
  <si>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</si>
  <si>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</si>
  <si>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</si>
  <si>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</si>
  <si>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</si>
  <si>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</si>
  <si>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</si>
  <si>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</si>
  <si>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</si>
  <si>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</si>
  <si>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</si>
  <si>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</si>
  <si>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</si>
  <si>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</si>
  <si>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</si>
  <si>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</si>
  <si>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</si>
  <si>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</si>
  <si>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</si>
  <si>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</si>
  <si>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</si>
  <si>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</si>
  <si>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</si>
  <si>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</si>
  <si>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</si>
  <si>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</si>
  <si>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</si>
  <si>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</si>
  <si>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</si>
  <si>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</si>
  <si>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</si>
  <si>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</si>
  <si>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</si>
  <si>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</si>
  <si>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</si>
  <si>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</si>
  <si>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</si>
  <si>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</si>
  <si>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</si>
  <si>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</si>
  <si>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</si>
  <si>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</si>
  <si>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</si>
  <si>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</si>
  <si>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</si>
  <si>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</si>
  <si>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</si>
  <si>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</si>
  <si>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</si>
  <si>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</si>
  <si>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</si>
  <si>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</si>
  <si>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</si>
  <si>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</si>
  <si>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</si>
  <si>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</si>
  <si>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</si>
  <si>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</si>
  <si>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</si>
  <si>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</si>
  <si>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</si>
  <si>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</si>
  <si>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</si>
  <si>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</si>
  <si>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</si>
  <si>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</si>
  <si>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</si>
  <si>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</si>
  <si>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</si>
  <si>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</si>
  <si>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</si>
  <si>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</si>
  <si>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</si>
  <si>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</si>
  <si>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</si>
  <si>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</si>
  <si>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</si>
  <si>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</si>
  <si>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</si>
  <si>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</si>
  <si>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</si>
  <si>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</si>
  <si>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</si>
  <si>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</si>
  <si>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</si>
  <si>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</si>
  <si>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</si>
  <si>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</si>
  <si>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</si>
  <si>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</si>
  <si>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</si>
  <si>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</si>
  <si>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</si>
  <si>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</si>
  <si>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</si>
  <si>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</si>
  <si>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</si>
  <si>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</si>
  <si>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</si>
  <si>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</si>
  <si>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</si>
  <si>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</si>
  <si>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</si>
  <si>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</si>
  <si>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</si>
  <si>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</si>
  <si>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</si>
  <si>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</si>
  <si>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</si>
  <si>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</si>
  <si>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</si>
  <si>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</si>
  <si>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</si>
  <si>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</si>
  <si>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</si>
  <si>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</si>
  <si>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</si>
  <si>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</si>
  <si>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</si>
  <si>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</si>
  <si>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</si>
  <si>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</si>
  <si>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</si>
  <si>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</si>
  <si>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</si>
  <si>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</si>
  <si>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</si>
  <si>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</si>
  <si>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</si>
  <si>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</si>
  <si>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</si>
  <si>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</si>
  <si>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</si>
  <si>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</si>
  <si>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</si>
  <si>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</si>
  <si>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</si>
  <si>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</si>
  <si>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</si>
  <si>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</si>
  <si>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</si>
  <si>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</si>
  <si>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</si>
  <si>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</si>
  <si>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</si>
  <si>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</si>
  <si>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</si>
  <si>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</si>
  <si>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</si>
  <si>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</si>
  <si>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</si>
  <si>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</si>
  <si>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</si>
  <si>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</si>
  <si>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</si>
  <si>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</si>
  <si>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</si>
  <si>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</si>
  <si>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</si>
  <si>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</si>
  <si>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</si>
  <si>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</si>
  <si>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</si>
  <si>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</si>
  <si>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</si>
  <si>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</si>
  <si>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</si>
  <si>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</si>
  <si>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</si>
  <si>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</si>
  <si>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</si>
  <si>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</si>
  <si>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</si>
  <si>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</si>
  <si>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</si>
  <si>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</si>
  <si>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</si>
  <si>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</si>
  <si>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</si>
  <si>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</si>
  <si>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</si>
  <si>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</si>
  <si>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</si>
  <si>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</si>
  <si>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</si>
  <si>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</si>
  <si>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</si>
  <si>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</si>
  <si>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</si>
  <si>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</si>
  <si>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</si>
  <si>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</si>
  <si>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</si>
  <si>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</si>
  <si>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</si>
  <si>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</si>
  <si>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</si>
  <si>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</si>
  <si>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</si>
  <si>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</si>
  <si>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</si>
  <si>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</si>
  <si>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</si>
  <si>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</si>
  <si>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</si>
  <si>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</si>
  <si>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</si>
  <si>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</si>
  <si>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</si>
  <si>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</si>
  <si>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</si>
  <si>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</si>
  <si>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</si>
  <si>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</si>
  <si>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</si>
  <si>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</si>
  <si>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</si>
  <si>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</si>
  <si>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</si>
  <si>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</si>
  <si>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</si>
  <si>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</si>
  <si>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</si>
  <si>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</si>
  <si>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</si>
  <si>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</si>
  <si>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</si>
  <si>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</si>
  <si>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</si>
  <si>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</si>
  <si>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</si>
  <si>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</si>
  <si>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</si>
  <si>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</si>
  <si>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</si>
  <si>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</si>
  <si>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</si>
  <si>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</si>
  <si>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</si>
  <si>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</si>
  <si>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</si>
  <si>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</si>
  <si>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</si>
  <si>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</si>
  <si>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</si>
  <si>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</si>
  <si>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</si>
  <si>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</si>
  <si>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</si>
  <si>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</si>
  <si>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</si>
  <si>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</si>
  <si>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</si>
  <si>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</si>
  <si>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</si>
  <si>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</si>
  <si>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</si>
  <si>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</si>
  <si>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</si>
  <si>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</si>
  <si>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</si>
  <si>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</si>
  <si>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</si>
  <si>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</si>
  <si>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</si>
  <si>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</si>
  <si>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</si>
  <si>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</si>
  <si>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</si>
  <si>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</si>
  <si>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</si>
  <si>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</si>
  <si>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</si>
  <si>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</si>
  <si>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</si>
  <si>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</si>
  <si>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</si>
  <si>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</si>
  <si>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</si>
  <si>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</si>
  <si>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</si>
  <si>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</si>
  <si>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</si>
  <si>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</si>
  <si>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</si>
  <si>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</si>
  <si>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</si>
  <si>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</si>
  <si>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</si>
  <si>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</si>
  <si>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</si>
  <si>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</si>
  <si>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</si>
  <si>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</si>
  <si>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</si>
  <si>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</si>
  <si>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</si>
  <si>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</si>
  <si>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</si>
  <si>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</si>
  <si>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</si>
  <si>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</si>
  <si>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</si>
  <si>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</si>
  <si>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</si>
  <si>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</si>
  <si>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</si>
  <si>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</si>
  <si>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</si>
  <si>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</si>
  <si>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</si>
  <si>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</si>
  <si>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</si>
  <si>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</si>
  <si>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</si>
  <si>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</si>
  <si>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</si>
  <si>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</si>
  <si>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</si>
  <si>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</si>
  <si>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</si>
  <si>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</si>
  <si>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</si>
  <si>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</si>
  <si>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</si>
  <si>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</si>
  <si>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</si>
  <si>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</si>
  <si>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</si>
  <si>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</si>
  <si>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</si>
  <si>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</si>
  <si>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</si>
  <si>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</si>
  <si>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</si>
  <si>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</si>
  <si>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</si>
  <si>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</si>
  <si>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</si>
  <si>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</si>
  <si>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</si>
  <si>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</si>
  <si>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</si>
  <si>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</si>
  <si>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</si>
  <si>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</si>
  <si>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</si>
  <si>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</si>
  <si>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</si>
  <si>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</si>
  <si>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</si>
  <si>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</si>
  <si>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</si>
  <si>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</si>
  <si>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</si>
  <si>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</si>
  <si>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</si>
  <si>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</si>
  <si>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</si>
  <si>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</si>
  <si>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</si>
  <si>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</si>
  <si>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</si>
  <si>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</si>
  <si>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</si>
  <si>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</si>
  <si>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</si>
  <si>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</si>
  <si>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</si>
  <si>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</si>
  <si>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</si>
  <si>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</si>
  <si>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</si>
  <si>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</si>
  <si>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</si>
  <si>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</si>
  <si>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</si>
  <si>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</si>
  <si>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</si>
  <si>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</si>
  <si>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</si>
  <si>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</si>
  <si>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</si>
  <si>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</si>
  <si>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</si>
  <si>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</si>
  <si>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</si>
  <si>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</si>
  <si>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</si>
  <si>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</si>
  <si>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</si>
  <si>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</si>
  <si>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</si>
  <si>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</si>
  <si>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</si>
  <si>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</si>
  <si>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</si>
  <si>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</si>
  <si>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</si>
  <si>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</si>
  <si>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</si>
  <si>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</si>
  <si>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</si>
  <si>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</si>
  <si>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</si>
  <si>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</si>
  <si>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</si>
  <si>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</si>
  <si>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</si>
  <si>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</si>
  <si>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</si>
  <si>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</si>
  <si>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</si>
  <si>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</si>
  <si>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</si>
  <si>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</si>
  <si>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</si>
  <si>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</si>
  <si>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</si>
  <si>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</si>
  <si>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</si>
  <si>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</si>
  <si>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</si>
  <si>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</si>
  <si>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</si>
  <si>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</si>
  <si>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</si>
  <si>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</si>
  <si>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</si>
  <si>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</si>
  <si>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</si>
  <si>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</si>
  <si>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</si>
  <si>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</si>
  <si>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</si>
  <si>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</si>
  <si>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</si>
  <si>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</si>
  <si>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</si>
  <si>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</si>
  <si>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</si>
  <si>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</si>
  <si>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</si>
  <si>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</si>
  <si>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</si>
  <si>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</si>
  <si>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</si>
  <si>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</si>
  <si>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</si>
  <si>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</si>
  <si>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</si>
  <si>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</si>
  <si>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</si>
  <si>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</si>
  <si>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</si>
  <si>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</si>
  <si>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</si>
  <si>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</si>
  <si>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</si>
  <si>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</si>
  <si>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</si>
  <si>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</si>
  <si>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</si>
  <si>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</si>
  <si>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</si>
  <si>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</si>
  <si>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</si>
  <si>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</si>
  <si>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</si>
  <si>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</si>
  <si>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</si>
  <si>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</si>
  <si>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</si>
  <si>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</si>
  <si>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</si>
  <si>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</si>
  <si>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</si>
  <si>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</si>
  <si>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</si>
  <si>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</si>
  <si>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</si>
  <si>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</si>
  <si>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</si>
  <si>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</si>
  <si>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</si>
  <si>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</si>
  <si>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</si>
  <si>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</si>
  <si>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</si>
  <si>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</si>
  <si>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</si>
  <si>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</si>
  <si>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</si>
  <si>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</si>
  <si>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</si>
  <si>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</si>
  <si>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</si>
  <si>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</si>
  <si>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</si>
  <si>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</si>
  <si>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Seq.</t>
  </si>
  <si>
    <t>CWAI</t>
  </si>
  <si>
    <t>CWLD</t>
  </si>
  <si>
    <t>C2AI</t>
  </si>
  <si>
    <t>C2RA</t>
  </si>
  <si>
    <t>T.Geom</t>
  </si>
  <si>
    <t>Geom.</t>
  </si>
  <si>
    <t xml:space="preserve"> Cb</t>
  </si>
  <si>
    <t>Cr</t>
  </si>
  <si>
    <t>Cb</t>
  </si>
  <si>
    <t>A</t>
  </si>
  <si>
    <t>Loot</t>
  </si>
  <si>
    <t>R&amp;B</t>
  </si>
  <si>
    <t>Soldier</t>
  </si>
  <si>
    <t>Queen</t>
  </si>
  <si>
    <t>B</t>
  </si>
  <si>
    <t>Long.</t>
  </si>
  <si>
    <t xml:space="preserve">C </t>
  </si>
  <si>
    <t>Basket</t>
  </si>
  <si>
    <t>Dancer</t>
  </si>
  <si>
    <t>A avg</t>
  </si>
  <si>
    <t>B avg</t>
  </si>
  <si>
    <t>C avg</t>
  </si>
  <si>
    <t>Cond.</t>
  </si>
  <si>
    <t>Encoder runtime [%]</t>
  </si>
  <si>
    <t>Decoder runtime [%]</t>
  </si>
  <si>
    <t>Avg.</t>
  </si>
  <si>
    <t>Encoder Memory (Go)</t>
  </si>
  <si>
    <t>Decoder Memory (Go)</t>
  </si>
  <si>
    <t>Anchor</t>
  </si>
  <si>
    <t>Tested</t>
  </si>
  <si>
    <t>Memory Enc (Go)</t>
  </si>
  <si>
    <t>Memory Dec (Go)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</si>
</sst>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5">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s>
  <borders count="20">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auto="1"/>
      </bottom>
      <diagonal/>
    </border>
    <border>
      <left/>
      <right style="medium">
        <color indexed="64"/>
      </right>
      <top/>
      <bottom style="medium">
        <color auto="1"/>
      </bottom>
      <diagonal/>
    </border>
    <border>
      <left style="medium">
        <color indexed="64"/>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top style="medium">
        <color indexed="64"/>
      </top>
      <bottom/>
      <diagonal/>
    </border>
    <border>
      <left/>
      <right/>
      <top style="medium">
        <color indexed="64"/>
      </top>
      <bottom style="medium">
        <color auto="1"/>
      </bottom>
      <diagonal/>
    </border>
    <border>
      <left/>
      <right style="medium">
        <color indexed="64"/>
      </right>
      <top style="medium">
        <color auto="1"/>
      </top>
      <bottom/>
      <diagonal/>
    </border>
  </borders>
  <cellStyleXfs count="1">
    <xf numFmtId="0" fontId="0" fillId="0" borderId="0"/>
  </cellStyleXfs>
  <cellXfs count="19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2" borderId="9" xfId="0" applyFont="1" applyFill="1" applyBorder="1" applyAlignment="1">
      <alignment horizontal="center" wrapText="1"/>
    </xf>
    <xf numFmtId="0" fontId="1" fillId="12" borderId="10" xfId="0" applyFont="1" applyFill="1" applyBorder="1" applyAlignment="1">
      <alignment horizontal="center" wrapText="1"/>
    </xf>
    <xf numFmtId="0" fontId="0" fillId="8" borderId="5" xfId="0" applyFill="1" applyBorder="1"/>
    <xf numFmtId="164" fontId="0" fillId="8" borderId="5" xfId="0" applyNumberFormat="1" applyFill="1" applyBorder="1" applyAlignment="1">
      <alignment horizontal="center"/>
    </xf>
    <xf numFmtId="164" fontId="0" fillId="8" borderId="2" xfId="0" applyNumberFormat="1" applyFill="1" applyBorder="1" applyAlignment="1">
      <alignment horizontal="center"/>
    </xf>
    <xf numFmtId="164" fontId="0" fillId="8" borderId="6" xfId="0" applyNumberFormat="1" applyFill="1" applyBorder="1" applyAlignment="1">
      <alignment horizontal="center"/>
    </xf>
    <xf numFmtId="0" fontId="0" fillId="10" borderId="9" xfId="0" applyFill="1" applyBorder="1"/>
    <xf numFmtId="164" fontId="0" fillId="10" borderId="9" xfId="0" applyNumberFormat="1" applyFill="1" applyBorder="1" applyAlignment="1">
      <alignment horizontal="center"/>
    </xf>
    <xf numFmtId="164" fontId="0" fillId="10" borderId="0" xfId="0" applyNumberFormat="1" applyFill="1" applyAlignment="1">
      <alignment horizontal="center"/>
    </xf>
    <xf numFmtId="164" fontId="0" fillId="10" borderId="10" xfId="0" applyNumberFormat="1" applyFill="1" applyBorder="1" applyAlignment="1">
      <alignment horizontal="center"/>
    </xf>
    <xf numFmtId="0" fontId="0" fillId="8" borderId="9" xfId="0" applyFill="1" applyBorder="1"/>
    <xf numFmtId="164" fontId="0" fillId="8" borderId="9" xfId="0" applyNumberFormat="1" applyFill="1" applyBorder="1" applyAlignment="1">
      <alignment horizontal="center"/>
    </xf>
    <xf numFmtId="164" fontId="0" fillId="8" borderId="0" xfId="0" applyNumberFormat="1" applyFill="1" applyAlignment="1">
      <alignment horizontal="center"/>
    </xf>
    <xf numFmtId="164" fontId="0" fillId="8" borderId="10" xfId="0" applyNumberFormat="1" applyFill="1" applyBorder="1" applyAlignment="1">
      <alignment horizontal="center"/>
    </xf>
    <xf numFmtId="0" fontId="0" fillId="10" borderId="11" xfId="0" applyFill="1" applyBorder="1"/>
    <xf numFmtId="164" fontId="0" fillId="10" borderId="11" xfId="0" applyNumberFormat="1" applyFill="1" applyBorder="1" applyAlignment="1">
      <alignment horizontal="center"/>
    </xf>
    <xf numFmtId="164" fontId="0" fillId="10" borderId="12" xfId="0" applyNumberFormat="1" applyFill="1" applyBorder="1" applyAlignment="1">
      <alignment horizontal="center"/>
    </xf>
    <xf numFmtId="0" fontId="0" fillId="8" borderId="11" xfId="0" applyFill="1" applyBorder="1"/>
    <xf numFmtId="164" fontId="0" fillId="8" borderId="11" xfId="0" applyNumberFormat="1" applyFill="1" applyBorder="1" applyAlignment="1">
      <alignment horizontal="center"/>
    </xf>
    <xf numFmtId="164" fontId="0" fillId="8" borderId="12" xfId="0" applyNumberFormat="1" applyFill="1" applyBorder="1" applyAlignment="1">
      <alignment horizontal="center"/>
    </xf>
    <xf numFmtId="164" fontId="0" fillId="0" borderId="9" xfId="0" applyNumberFormat="1" applyBorder="1" applyAlignment="1">
      <alignment horizontal="center"/>
    </xf>
    <xf numFmtId="164" fontId="0" fillId="0" borderId="0" xfId="0" applyNumberFormat="1" applyAlignment="1">
      <alignment horizontal="center"/>
    </xf>
    <xf numFmtId="164" fontId="0" fillId="0" borderId="10" xfId="0" applyNumberFormat="1" applyBorder="1" applyAlignment="1">
      <alignment horizontal="center"/>
    </xf>
    <xf numFmtId="164" fontId="0" fillId="0" borderId="11" xfId="0" applyNumberFormat="1" applyBorder="1" applyAlignment="1">
      <alignment horizontal="center"/>
    </xf>
    <xf numFmtId="164" fontId="0" fillId="0" borderId="3" xfId="0" applyNumberFormat="1" applyBorder="1" applyAlignment="1">
      <alignment horizontal="center"/>
    </xf>
    <xf numFmtId="164" fontId="0" fillId="0" borderId="12" xfId="0" applyNumberFormat="1" applyBorder="1" applyAlignment="1">
      <alignment horizontal="center"/>
    </xf>
    <xf numFmtId="0" fontId="0" fillId="0" borderId="0" xfId="0"/>
    <xf numFmtId="0" fontId="1" fillId="5" borderId="11" xfId="0" applyFont="1" applyFill="1" applyBorder="1" applyAlignment="1">
      <alignment horizontal="center" wrapText="1"/>
    </xf>
    <xf numFmtId="0" fontId="1" fillId="5" borderId="12" xfId="0" applyFont="1" applyFill="1" applyBorder="1" applyAlignment="1">
      <alignment horizontal="center" wrapText="1"/>
    </xf>
    <xf numFmtId="0" fontId="1" fillId="12" borderId="0" xfId="0" applyFont="1" applyFill="1" applyAlignment="1">
      <alignment horizontal="center" wrapText="1"/>
    </xf>
    <xf numFmtId="0" fontId="0" fillId="8" borderId="6" xfId="0" applyFill="1" applyBorder="1"/>
    <xf numFmtId="0" fontId="0" fillId="10" borderId="10" xfId="0" applyFill="1" applyBorder="1"/>
    <xf numFmtId="0" fontId="0" fillId="8" borderId="10" xfId="0" applyFill="1" applyBorder="1"/>
    <xf numFmtId="0" fontId="0" fillId="10" borderId="12" xfId="0" applyFill="1" applyBorder="1"/>
    <xf numFmtId="0" fontId="0" fillId="8" borderId="12" xfId="0" applyFill="1" applyBorder="1"/>
    <xf numFmtId="164" fontId="0" fillId="8" borderId="1" xfId="0" applyNumberFormat="1" applyFill="1" applyBorder="1" applyAlignment="1">
      <alignment horizontal="center"/>
    </xf>
    <xf numFmtId="164" fontId="0" fillId="8" borderId="8" xfId="0" applyNumberFormat="1" applyFill="1" applyBorder="1" applyAlignment="1">
      <alignment horizontal="center"/>
    </xf>
    <xf numFmtId="164" fontId="0" fillId="0" borderId="5" xfId="0" applyNumberFormat="1" applyBorder="1" applyAlignment="1">
      <alignment horizontal="center"/>
    </xf>
    <xf numFmtId="164" fontId="0" fillId="0" borderId="2" xfId="0" applyNumberFormat="1" applyBorder="1" applyAlignment="1">
      <alignment horizontal="center"/>
    </xf>
    <xf numFmtId="164" fontId="0" fillId="0" borderId="6" xfId="0" applyNumberFormat="1" applyBorder="1" applyAlignment="1">
      <alignment horizontal="center"/>
    </xf>
    <xf numFmtId="164" fontId="0" fillId="0" borderId="7" xfId="0" applyNumberFormat="1" applyBorder="1" applyAlignment="1">
      <alignment horizontal="center"/>
    </xf>
    <xf numFmtId="164" fontId="0" fillId="0" borderId="1" xfId="0" applyNumberFormat="1" applyBorder="1" applyAlignment="1">
      <alignment horizontal="center"/>
    </xf>
    <xf numFmtId="164" fontId="0" fillId="0" borderId="8" xfId="0" applyNumberFormat="1" applyBorder="1" applyAlignment="1">
      <alignment horizontal="center"/>
    </xf>
    <xf numFmtId="0" fontId="0" fillId="12" borderId="10" xfId="0" applyFill="1" applyBorder="1"/>
    <xf numFmtId="0" fontId="0" fillId="14" borderId="9" xfId="0" applyFill="1" applyBorder="1"/>
    <xf numFmtId="9" fontId="0" fillId="14" borderId="10" xfId="0" applyNumberFormat="1" applyFill="1" applyBorder="1"/>
    <xf numFmtId="0" fontId="0" fillId="13" borderId="9" xfId="0" applyFill="1" applyBorder="1"/>
    <xf numFmtId="9" fontId="0" fillId="13" borderId="10" xfId="0" applyNumberFormat="1" applyFill="1" applyBorder="1"/>
    <xf numFmtId="9" fontId="0" fillId="0" borderId="3" xfId="0" applyNumberFormat="1" applyBorder="1"/>
    <xf numFmtId="9" fontId="0" fillId="0" borderId="12" xfId="0" applyNumberFormat="1" applyBorder="1"/>
    <xf numFmtId="0" fontId="0" fillId="13" borderId="5" xfId="0" applyFill="1" applyBorder="1"/>
    <xf numFmtId="9" fontId="0" fillId="0" borderId="6" xfId="0" applyNumberFormat="1" applyBorder="1"/>
    <xf numFmtId="0" fontId="0" fillId="14" borderId="11" xfId="0" applyFill="1" applyBorder="1"/>
    <xf numFmtId="9" fontId="0" fillId="14" borderId="12" xfId="0" applyNumberFormat="1" applyFill="1" applyBorder="1"/>
    <xf numFmtId="0" fontId="0" fillId="12" borderId="5" xfId="0" applyFill="1" applyBorder="1" applyAlignment="1">
      <alignment horizontal="center" vertical="center"/>
    </xf>
    <xf numFmtId="0" fontId="0" fillId="12" borderId="9" xfId="0" applyFill="1" applyBorder="1" applyAlignment="1">
      <alignment horizontal="center" vertical="center"/>
    </xf>
    <xf numFmtId="9" fontId="0" fillId="0" borderId="2" xfId="0" applyNumberFormat="1" applyBorder="1"/>
    <xf numFmtId="9" fontId="0" fillId="14" borderId="3" xfId="0" applyNumberFormat="1" applyFill="1" applyBorder="1"/>
    <xf numFmtId="0" fontId="0" fillId="12" borderId="9" xfId="0" applyFill="1" applyBorder="1" applyAlignment="1">
      <alignment horizontal="center"/>
    </xf>
    <xf numFmtId="9" fontId="0" fillId="0" borderId="5" xfId="0" applyNumberFormat="1" applyBorder="1"/>
    <xf numFmtId="9" fontId="0" fillId="14" borderId="9" xfId="0" applyNumberFormat="1" applyFill="1" applyBorder="1"/>
    <xf numFmtId="9" fontId="0" fillId="13" borderId="9" xfId="0" applyNumberFormat="1" applyFill="1" applyBorder="1"/>
    <xf numFmtId="9" fontId="0" fillId="14" borderId="11" xfId="0" applyNumberFormat="1" applyFill="1" applyBorder="1"/>
    <xf numFmtId="9" fontId="0" fillId="0" borderId="11" xfId="0" applyNumberFormat="1" applyBorder="1"/>
    <xf numFmtId="2" fontId="0" fillId="0" borderId="5" xfId="0" applyNumberFormat="1" applyBorder="1"/>
    <xf numFmtId="2" fontId="0" fillId="0" borderId="6" xfId="0" applyNumberFormat="1" applyBorder="1"/>
    <xf numFmtId="2" fontId="0" fillId="0" borderId="2" xfId="0" applyNumberFormat="1" applyBorder="1"/>
    <xf numFmtId="2" fontId="0" fillId="14" borderId="9" xfId="0" applyNumberFormat="1" applyFill="1" applyBorder="1"/>
    <xf numFmtId="2" fontId="0" fillId="14" borderId="10" xfId="0" applyNumberFormat="1" applyFill="1" applyBorder="1"/>
    <xf numFmtId="2" fontId="0" fillId="13" borderId="9" xfId="0" applyNumberFormat="1" applyFill="1" applyBorder="1"/>
    <xf numFmtId="2" fontId="0" fillId="13" borderId="10" xfId="0" applyNumberFormat="1" applyFill="1" applyBorder="1"/>
    <xf numFmtId="2" fontId="0" fillId="14" borderId="11" xfId="0" applyNumberFormat="1" applyFill="1" applyBorder="1"/>
    <xf numFmtId="2" fontId="0" fillId="14" borderId="12" xfId="0" applyNumberFormat="1" applyFill="1" applyBorder="1"/>
    <xf numFmtId="2" fontId="0" fillId="14" borderId="3" xfId="0" applyNumberFormat="1" applyFill="1" applyBorder="1"/>
    <xf numFmtId="2" fontId="0" fillId="0" borderId="11" xfId="0" applyNumberFormat="1" applyBorder="1"/>
    <xf numFmtId="2" fontId="0" fillId="0" borderId="12" xfId="0" applyNumberFormat="1" applyBorder="1"/>
    <xf numFmtId="2" fontId="0" fillId="0" borderId="3" xfId="0" applyNumberFormat="1" applyBorder="1"/>
    <xf numFmtId="0" fontId="0" fillId="12" borderId="0" xfId="0" applyFill="1" applyAlignment="1">
      <alignment horizontal="center"/>
    </xf>
    <xf numFmtId="0" fontId="0" fillId="8" borderId="2" xfId="0" applyFill="1" applyBorder="1"/>
    <xf numFmtId="0" fontId="0" fillId="8" borderId="0" xfId="0" applyFill="1"/>
    <xf numFmtId="2" fontId="0" fillId="0" borderId="9" xfId="0" applyNumberFormat="1" applyBorder="1"/>
    <xf numFmtId="2" fontId="0" fillId="0" borderId="10" xfId="0" applyNumberFormat="1" applyBorder="1"/>
    <xf numFmtId="2" fontId="0" fillId="0" borderId="7" xfId="0" applyNumberFormat="1" applyBorder="1"/>
    <xf numFmtId="2" fontId="0" fillId="0" borderId="1" xfId="0" applyNumberFormat="1" applyBorder="1"/>
    <xf numFmtId="2" fontId="0" fillId="0" borderId="8" xfId="0" applyNumberFormat="1" applyBorder="1"/>
    <xf numFmtId="2" fontId="0" fillId="14" borderId="5" xfId="0" applyNumberFormat="1" applyFill="1" applyBorder="1"/>
    <xf numFmtId="2" fontId="0" fillId="14" borderId="6" xfId="0" applyNumberFormat="1" applyFill="1" applyBorder="1"/>
    <xf numFmtId="2" fontId="0" fillId="14" borderId="2" xfId="0" applyNumberFormat="1" applyFill="1" applyBorder="1"/>
    <xf numFmtId="2" fontId="0" fillId="13" borderId="11" xfId="0" applyNumberFormat="1" applyFill="1" applyBorder="1"/>
    <xf numFmtId="2" fontId="0" fillId="13" borderId="12" xfId="0" applyNumberFormat="1" applyFill="1" applyBorder="1"/>
    <xf numFmtId="2" fontId="0" fillId="13" borderId="3" xfId="0" applyNumberFormat="1" applyFill="1" applyBorder="1"/>
    <xf numFmtId="0" fontId="0" fillId="12" borderId="11" xfId="0" applyFill="1" applyBorder="1" applyAlignment="1">
      <alignment horizontal="center"/>
    </xf>
    <xf numFmtId="0" fontId="0" fillId="12" borderId="12" xfId="0" applyFill="1" applyBorder="1"/>
    <xf numFmtId="2" fontId="0" fillId="13" borderId="0" xfId="0" applyNumberFormat="1" applyFill="1"/>
    <xf numFmtId="2" fontId="0" fillId="14" borderId="0" xfId="0" applyNumberFormat="1" applyFill="1"/>
    <xf numFmtId="9" fontId="0" fillId="14" borderId="0" xfId="0" applyNumberFormat="1" applyFill="1"/>
    <xf numFmtId="9" fontId="0" fillId="13" borderId="0" xfId="0" applyNumberFormat="1" applyFill="1"/>
    <xf numFmtId="0" fontId="0" fillId="10" borderId="5" xfId="0" applyFill="1" applyBorder="1"/>
    <xf numFmtId="0" fontId="0" fillId="10" borderId="6" xfId="0" applyFill="1" applyBorder="1"/>
    <xf numFmtId="0" fontId="0" fillId="12" borderId="0" xfId="0" applyFill="1"/>
    <xf numFmtId="2" fontId="0" fillId="0" borderId="0" xfId="0" applyNumberFormat="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11" xfId="0" applyBorder="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12" borderId="13" xfId="0" applyFill="1" applyBorder="1" applyAlignment="1">
      <alignment horizontal="center"/>
    </xf>
    <xf numFmtId="0" fontId="0" fillId="0" borderId="18" xfId="0" applyBorder="1"/>
    <xf numFmtId="0" fontId="0" fillId="0" borderId="8" xfId="0" applyBorder="1"/>
    <xf numFmtId="0" fontId="0" fillId="12" borderId="7" xfId="0" applyFill="1" applyBorder="1" applyAlignment="1">
      <alignment horizontal="center"/>
    </xf>
    <xf numFmtId="0" fontId="1" fillId="12" borderId="7" xfId="0" applyFont="1" applyFill="1" applyBorder="1" applyAlignment="1">
      <alignment horizontal="center" vertical="top" textRotation="180" wrapText="1"/>
    </xf>
    <xf numFmtId="0" fontId="0" fillId="0" borderId="11" xfId="0" applyBorder="1"/>
    <xf numFmtId="0" fontId="1" fillId="12" borderId="8" xfId="0" applyFont="1" applyFill="1" applyBorder="1" applyAlignment="1">
      <alignment horizontal="center" vertical="top" textRotation="180"/>
    </xf>
    <xf numFmtId="0" fontId="0" fillId="0" borderId="12" xfId="0" applyBorder="1"/>
    <xf numFmtId="0" fontId="0" fillId="12" borderId="14" xfId="0" applyFill="1" applyBorder="1" applyAlignment="1">
      <alignment horizontal="center"/>
    </xf>
    <xf numFmtId="0" fontId="0" fillId="0" borderId="6" xfId="0" applyBorder="1"/>
    <xf numFmtId="0" fontId="0" fillId="12" borderId="8" xfId="0" applyFill="1" applyBorder="1" applyAlignment="1">
      <alignment horizontal="center"/>
    </xf>
    <xf numFmtId="0" fontId="1" fillId="12" borderId="6" xfId="0" applyFont="1" applyFill="1" applyBorder="1" applyAlignment="1">
      <alignment horizontal="center" wrapText="1"/>
    </xf>
    <xf numFmtId="0" fontId="0" fillId="0" borderId="17" xfId="0" applyBorder="1"/>
    <xf numFmtId="0" fontId="1" fillId="12" borderId="14" xfId="0" applyFont="1" applyFill="1" applyBorder="1" applyAlignment="1">
      <alignment horizontal="center" wrapText="1"/>
    </xf>
    <xf numFmtId="0" fontId="1" fillId="12" borderId="2" xfId="0" applyFont="1" applyFill="1" applyBorder="1" applyAlignment="1">
      <alignment horizontal="center" wrapText="1"/>
    </xf>
    <xf numFmtId="0" fontId="1" fillId="12" borderId="5" xfId="0" applyFont="1" applyFill="1" applyBorder="1" applyAlignment="1">
      <alignment horizontal="center" wrapText="1"/>
    </xf>
    <xf numFmtId="0" fontId="0" fillId="0" borderId="9" xfId="0" applyBorder="1"/>
    <xf numFmtId="0" fontId="0" fillId="0" borderId="10" xfId="0" applyBorder="1"/>
    <xf numFmtId="0" fontId="1" fillId="0" borderId="15" xfId="0" applyFont="1" applyBorder="1" applyAlignment="1">
      <alignment horizontal="left" wrapText="1"/>
    </xf>
    <xf numFmtId="0" fontId="1" fillId="0" borderId="13" xfId="0" applyFont="1" applyBorder="1" applyAlignment="1">
      <alignment horizontal="left" wrapText="1"/>
    </xf>
    <xf numFmtId="0" fontId="0" fillId="12" borderId="19" xfId="0" applyFill="1" applyBorder="1" applyAlignment="1">
      <alignment horizontal="center"/>
    </xf>
    <xf numFmtId="0" fontId="0" fillId="0" borderId="19" xfId="0" applyBorder="1"/>
    <xf numFmtId="0" fontId="0" fillId="0" borderId="15" xfId="0" applyBorder="1" applyAlignment="1">
      <alignment horizontal="left" wrapText="1"/>
    </xf>
    <xf numFmtId="0" fontId="1" fillId="0" borderId="16" xfId="0" applyFont="1" applyBorder="1" applyAlignment="1">
      <alignment horizontal="left" wrapText="1"/>
    </xf>
  </cellXfs>
  <cellStyles count="1">
    <cellStyle name="Normal" xfId="0" builtinId="0"/>
  </cellStyles>
  <dxfs count="17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ALL_master+r7.0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Graphs!graph_a_y_range_A</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0-5B70-40A1-89E1-CC178C670155}"/>
            </c:ext>
          </c:extLst>
        </c:ser>
        <c:ser>
          <c:idx val="1"/>
          <c:order val="1"/>
          <c:tx>
            <c:strRef>
              <c:f>Graphs!graph_a_B_title</c:f>
              <c:strCache>
                <c:ptCount val="1"/>
                <c:pt idx="0">
                  <c:v>mpeg128-integration+r7.1.09</c:v>
                </c:pt>
              </c:strCache>
            </c:strRef>
          </c:tx>
          <c:spPr>
            <a:ln>
              <a:prstDash val="solid"/>
            </a:ln>
          </c:spPr>
          <c:marker>
            <c:symbol val="none"/>
          </c:marker>
          <c:xVal>
            <c:numRef>
              <c:f>Graphs!graph_a_x_range_B</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Graphs!graph_a_y_range_B</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1-5B70-40A1-89E1-CC178C67015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ALL_master+r7.0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Graphs!graph_b_y_range_A</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0-52A4-4CF6-BFEB-FA85E1A57713}"/>
            </c:ext>
          </c:extLst>
        </c:ser>
        <c:ser>
          <c:idx val="1"/>
          <c:order val="1"/>
          <c:tx>
            <c:strRef>
              <c:f>Graphs!graph_b_B_title</c:f>
              <c:strCache>
                <c:ptCount val="1"/>
                <c:pt idx="0">
                  <c:v>mpeg128-integration+r7.1.09</c:v>
                </c:pt>
              </c:strCache>
            </c:strRef>
          </c:tx>
          <c:spPr>
            <a:ln>
              <a:prstDash val="solid"/>
            </a:ln>
          </c:spPr>
          <c:marker>
            <c:symbol val="none"/>
          </c:marker>
          <c:xVal>
            <c:numRef>
              <c:f>Graphs!graph_b_x_range_B</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Graphs!graph_b_y_range_B</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1-52A4-4CF6-BFEB-FA85E1A57713}"/>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ALL_master+r7.0</c:v>
                </c:pt>
              </c:strCache>
            </c:strRef>
          </c:tx>
          <c:spPr>
            <a:ln>
              <a:prstDash val="solid"/>
            </a:ln>
          </c:spPr>
          <c:marker>
            <c:symbol val="none"/>
          </c:marker>
          <c:xVal>
            <c:numRef>
              <c:f>Graphs!graph_c_x_range_A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Graphs!graph_c_y_range_A</c:f>
              <c:numCache>
                <c:formatCode>0.00</c:formatCode>
                <c:ptCount val="5"/>
                <c:pt idx="0">
                  <c:v>32.3283293333334</c:v>
                </c:pt>
                <c:pt idx="1">
                  <c:v>34.6094856666667</c:v>
                </c:pt>
                <c:pt idx="2">
                  <c:v>37.152868666666699</c:v>
                </c:pt>
                <c:pt idx="3">
                  <c:v>39.7669863333333</c:v>
                </c:pt>
                <c:pt idx="4">
                  <c:v>42.307991999999999</c:v>
                </c:pt>
              </c:numCache>
            </c:numRef>
          </c:yVal>
          <c:smooth val="1"/>
          <c:extLst>
            <c:ext xmlns:c16="http://schemas.microsoft.com/office/drawing/2014/chart" uri="{C3380CC4-5D6E-409C-BE32-E72D297353CC}">
              <c16:uniqueId val="{00000000-F74B-483D-A76A-6CCDE9C6D774}"/>
            </c:ext>
          </c:extLst>
        </c:ser>
        <c:ser>
          <c:idx val="1"/>
          <c:order val="1"/>
          <c:tx>
            <c:strRef>
              <c:f>Graphs!graph_c_B_title</c:f>
              <c:strCache>
                <c:ptCount val="1"/>
                <c:pt idx="0">
                  <c:v>mpeg128-integration+r7.1.09</c:v>
                </c:pt>
              </c:strCache>
            </c:strRef>
          </c:tx>
          <c:spPr>
            <a:ln>
              <a:prstDash val="solid"/>
            </a:ln>
          </c:spPr>
          <c:marker>
            <c:symbol val="none"/>
          </c:marker>
          <c:xVal>
            <c:numRef>
              <c:f>Graphs!graph_c_x_range_B</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Graphs!graph_c_y_range_B</c:f>
              <c:numCache>
                <c:formatCode>0.00</c:formatCode>
                <c:ptCount val="5"/>
                <c:pt idx="0">
                  <c:v>32.326273333333297</c:v>
                </c:pt>
                <c:pt idx="1">
                  <c:v>34.599027</c:v>
                </c:pt>
                <c:pt idx="2">
                  <c:v>37.138562333333297</c:v>
                </c:pt>
                <c:pt idx="3">
                  <c:v>39.744085666666599</c:v>
                </c:pt>
                <c:pt idx="4">
                  <c:v>42.292687999999998</c:v>
                </c:pt>
              </c:numCache>
            </c:numRef>
          </c:yVal>
          <c:smooth val="1"/>
          <c:extLst>
            <c:ext xmlns:c16="http://schemas.microsoft.com/office/drawing/2014/chart" uri="{C3380CC4-5D6E-409C-BE32-E72D297353CC}">
              <c16:uniqueId val="{00000001-F74B-483D-A76A-6CCDE9C6D774}"/>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ALL_master+r7.0</c:v>
                </c:pt>
              </c:strCache>
            </c:strRef>
          </c:tx>
          <c:spPr>
            <a:ln>
              <a:prstDash val="solid"/>
            </a:ln>
          </c:spPr>
          <c:marker>
            <c:symbol val="none"/>
          </c:marker>
          <c:xVal>
            <c:numRef>
              <c:f>Graphs!graph_d_x_range_A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Graphs!graph_d_y_range_A</c:f>
              <c:numCache>
                <c:formatCode>0.00</c:formatCode>
                <c:ptCount val="5"/>
                <c:pt idx="0">
                  <c:v>44.148968666666697</c:v>
                </c:pt>
                <c:pt idx="1">
                  <c:v>45.440466666666602</c:v>
                </c:pt>
                <c:pt idx="2">
                  <c:v>46.555207666666703</c:v>
                </c:pt>
                <c:pt idx="3">
                  <c:v>47.905351000000003</c:v>
                </c:pt>
                <c:pt idx="4">
                  <c:v>49.425619333333302</c:v>
                </c:pt>
              </c:numCache>
            </c:numRef>
          </c:yVal>
          <c:smooth val="1"/>
          <c:extLst>
            <c:ext xmlns:c16="http://schemas.microsoft.com/office/drawing/2014/chart" uri="{C3380CC4-5D6E-409C-BE32-E72D297353CC}">
              <c16:uniqueId val="{00000000-E23C-401D-847D-4D2C9CA1D5D7}"/>
            </c:ext>
          </c:extLst>
        </c:ser>
        <c:ser>
          <c:idx val="1"/>
          <c:order val="1"/>
          <c:tx>
            <c:strRef>
              <c:f>Graphs!graph_d_B_title</c:f>
              <c:strCache>
                <c:ptCount val="1"/>
                <c:pt idx="0">
                  <c:v>mpeg128-integration+r7.1.09</c:v>
                </c:pt>
              </c:strCache>
            </c:strRef>
          </c:tx>
          <c:spPr>
            <a:ln>
              <a:prstDash val="solid"/>
            </a:ln>
          </c:spPr>
          <c:marker>
            <c:symbol val="none"/>
          </c:marker>
          <c:xVal>
            <c:numRef>
              <c:f>Graphs!graph_d_x_range_B</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Graphs!graph_d_y_range_B</c:f>
              <c:numCache>
                <c:formatCode>0.00</c:formatCode>
                <c:ptCount val="5"/>
                <c:pt idx="0">
                  <c:v>44.147258333333298</c:v>
                </c:pt>
                <c:pt idx="1">
                  <c:v>45.436083333333301</c:v>
                </c:pt>
                <c:pt idx="2">
                  <c:v>46.565525333333298</c:v>
                </c:pt>
                <c:pt idx="3">
                  <c:v>47.904731333333302</c:v>
                </c:pt>
                <c:pt idx="4">
                  <c:v>49.426783333333297</c:v>
                </c:pt>
              </c:numCache>
            </c:numRef>
          </c:yVal>
          <c:smooth val="1"/>
          <c:extLst>
            <c:ext xmlns:c16="http://schemas.microsoft.com/office/drawing/2014/chart" uri="{C3380CC4-5D6E-409C-BE32-E72D297353CC}">
              <c16:uniqueId val="{00000001-E23C-401D-847D-4D2C9CA1D5D7}"/>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ALL_master+r7.0</c:v>
                </c:pt>
              </c:strCache>
            </c:strRef>
          </c:tx>
          <c:spPr>
            <a:ln>
              <a:prstDash val="solid"/>
            </a:ln>
          </c:spPr>
          <c:marker>
            <c:symbol val="none"/>
          </c:marker>
          <c:xVal>
            <c:numRef>
              <c:f>Graphs!graph_e_x_range_A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Graphs!graph_e_y_range_A</c:f>
              <c:numCache>
                <c:formatCode>0.00</c:formatCode>
                <c:ptCount val="5"/>
                <c:pt idx="0">
                  <c:v>43.7879723333334</c:v>
                </c:pt>
                <c:pt idx="1">
                  <c:v>45.216034333333297</c:v>
                </c:pt>
                <c:pt idx="2">
                  <c:v>46.460288333333303</c:v>
                </c:pt>
                <c:pt idx="3">
                  <c:v>47.986803000000002</c:v>
                </c:pt>
                <c:pt idx="4">
                  <c:v>49.570092000000002</c:v>
                </c:pt>
              </c:numCache>
            </c:numRef>
          </c:yVal>
          <c:smooth val="1"/>
          <c:extLst>
            <c:ext xmlns:c16="http://schemas.microsoft.com/office/drawing/2014/chart" uri="{C3380CC4-5D6E-409C-BE32-E72D297353CC}">
              <c16:uniqueId val="{00000000-E840-496C-8E3B-252F1E02189E}"/>
            </c:ext>
          </c:extLst>
        </c:ser>
        <c:ser>
          <c:idx val="1"/>
          <c:order val="1"/>
          <c:tx>
            <c:strRef>
              <c:f>Graphs!graph_e_B_title</c:f>
              <c:strCache>
                <c:ptCount val="1"/>
                <c:pt idx="0">
                  <c:v>mpeg128-integration+r7.1.09</c:v>
                </c:pt>
              </c:strCache>
            </c:strRef>
          </c:tx>
          <c:spPr>
            <a:ln>
              <a:prstDash val="solid"/>
            </a:ln>
          </c:spPr>
          <c:marker>
            <c:symbol val="none"/>
          </c:marker>
          <c:xVal>
            <c:numRef>
              <c:f>Graphs!graph_e_x_range_B</c:f>
              <c:numCache>
                <c:formatCode>0.00</c:formatCode>
                <c:ptCount val="5"/>
                <c:pt idx="0">
                  <c:v>3.4473518433458014E-2</c:v>
                </c:pt>
                <c:pt idx="1">
                  <c:v>7.1818447166810101E-2</c:v>
                </c:pt>
                <c:pt idx="2">
                  <c:v>0.14239459963094717</c:v>
                </c:pt>
                <c:pt idx="3">
                  <c:v>0.26859583188056796</c:v>
                </c:pt>
                <c:pt idx="4">
                  <c:v>0.49375730409452229</c:v>
                </c:pt>
              </c:numCache>
            </c:numRef>
          </c:xVal>
          <c:yVal>
            <c:numRef>
              <c:f>Graphs!graph_e_y_range_B</c:f>
              <c:numCache>
                <c:formatCode>0.00</c:formatCode>
                <c:ptCount val="5"/>
                <c:pt idx="0">
                  <c:v>43.801342333333302</c:v>
                </c:pt>
                <c:pt idx="1">
                  <c:v>45.237760999999999</c:v>
                </c:pt>
                <c:pt idx="2">
                  <c:v>46.476092666666702</c:v>
                </c:pt>
                <c:pt idx="3">
                  <c:v>47.995258333333297</c:v>
                </c:pt>
                <c:pt idx="4">
                  <c:v>49.583480999999999</c:v>
                </c:pt>
              </c:numCache>
            </c:numRef>
          </c:yVal>
          <c:smooth val="1"/>
          <c:extLst>
            <c:ext xmlns:c16="http://schemas.microsoft.com/office/drawing/2014/chart" uri="{C3380CC4-5D6E-409C-BE32-E72D297353CC}">
              <c16:uniqueId val="{00000001-E840-496C-8E3B-252F1E02189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FE4-4668-A3AD-D82D6E8CE3D8}"/>
            </c:ext>
          </c:extLst>
        </c:ser>
        <c:ser>
          <c:idx val="1"/>
          <c:order val="1"/>
          <c:tx>
            <c:strRef>
              <c:f>Graphs!graph_f_B_title</c:f>
              <c:strCache>
                <c:ptCount val="1"/>
                <c:pt idx="0">
                  <c:v>mpeg128-integration+r7.1.09</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FE4-4668-A3AD-D82D6E8CE3D8}"/>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defaultRowHeight="15" x14ac:dyDescent="0.25"/>
  <cols>
    <col min="2" max="2" width="16.7109375" style="76" customWidth="1"/>
    <col min="3" max="12" width="24.7109375" style="76" customWidth="1"/>
  </cols>
  <sheetData>
    <row r="1" spans="2:12" x14ac:dyDescent="0.25">
      <c r="B1" t="s">
        <v>0</v>
      </c>
      <c r="C1" s="164" t="s">
        <v>1</v>
      </c>
      <c r="D1" s="156"/>
      <c r="E1" s="156"/>
    </row>
    <row r="2" spans="2:12" x14ac:dyDescent="0.25">
      <c r="B2" t="s">
        <v>2</v>
      </c>
      <c r="C2" s="165" t="s">
        <v>3</v>
      </c>
      <c r="D2" s="156"/>
      <c r="E2" s="156"/>
    </row>
    <row r="4" spans="2:12" s="1" customFormat="1" x14ac:dyDescent="0.25">
      <c r="B4" s="1" t="s">
        <v>4</v>
      </c>
    </row>
    <row r="6" spans="2:12" x14ac:dyDescent="0.25">
      <c r="B6" s="159" t="s">
        <v>5</v>
      </c>
      <c r="C6" s="160" t="s">
        <v>6</v>
      </c>
      <c r="D6" s="161"/>
      <c r="E6" s="161"/>
      <c r="F6" s="161"/>
      <c r="G6" s="161"/>
      <c r="H6" s="161"/>
      <c r="I6" s="161"/>
      <c r="J6" s="161"/>
      <c r="K6" s="161"/>
      <c r="L6" s="161"/>
    </row>
    <row r="7" spans="2:12" x14ac:dyDescent="0.25">
      <c r="B7" s="156"/>
      <c r="C7" s="162" t="s">
        <v>7</v>
      </c>
      <c r="D7" s="156"/>
      <c r="E7" s="163" t="s">
        <v>8</v>
      </c>
      <c r="F7" s="156"/>
      <c r="G7" s="156"/>
      <c r="H7" s="162" t="s">
        <v>9</v>
      </c>
      <c r="I7" s="156"/>
      <c r="J7" s="163" t="s">
        <v>10</v>
      </c>
      <c r="K7" s="156"/>
      <c r="L7" s="156"/>
    </row>
    <row r="8" spans="2:12" x14ac:dyDescent="0.25">
      <c r="B8" s="158"/>
      <c r="C8" s="2" t="s">
        <v>11</v>
      </c>
      <c r="D8" s="2" t="s">
        <v>12</v>
      </c>
      <c r="E8" s="3" t="s">
        <v>13</v>
      </c>
      <c r="F8" s="3" t="s">
        <v>14</v>
      </c>
      <c r="G8" s="3" t="s">
        <v>15</v>
      </c>
      <c r="H8" s="2" t="s">
        <v>11</v>
      </c>
      <c r="I8" s="2" t="s">
        <v>12</v>
      </c>
      <c r="J8" s="3" t="s">
        <v>13</v>
      </c>
      <c r="K8" s="3" t="s">
        <v>14</v>
      </c>
      <c r="L8" s="3" t="s">
        <v>15</v>
      </c>
    </row>
    <row r="9" spans="2:12" x14ac:dyDescent="0.25">
      <c r="B9" t="s">
        <v>16</v>
      </c>
      <c r="C9" s="71">
        <f>'C2 lossyG,lossyA,intra'!$BJ$40:$BJ$40</f>
        <v>0</v>
      </c>
      <c r="D9" s="71">
        <f>'C2 lossyG,lossyA,intra'!$BK$40:$BK$40</f>
        <v>0</v>
      </c>
      <c r="E9" s="71">
        <f>'C2 lossyG,lossyA,intra'!$BL$40:$BL$40</f>
        <v>5.4623503575275401E-3</v>
      </c>
      <c r="F9" s="71">
        <f>'C2 lossyG,lossyA,intra'!$BM$40:$BM$40</f>
        <v>-1.4682206394323133E-2</v>
      </c>
      <c r="G9" s="71">
        <f>'C2 lossyG,lossyA,intra'!$BN$40:$BN$40</f>
        <v>-1.3402604847387561E-2</v>
      </c>
      <c r="H9" s="71">
        <f>'C2 lossyG,lossyA,intra'!$BP$40:$BP$40</f>
        <v>-5.7232051481213853E-3</v>
      </c>
      <c r="I9" s="71">
        <f>'C2 lossyG,lossyA,intra'!$BQ$40:$BQ$40</f>
        <v>-6.2579111996476644E-3</v>
      </c>
      <c r="J9" s="71">
        <f>'C2 lossyG,lossyA,intra'!$BR$40:$BR$40</f>
        <v>6.9108008697277845E-3</v>
      </c>
      <c r="K9" s="71">
        <f>'C2 lossyG,lossyA,intra'!$BS$40:$BS$40</f>
        <v>-1.0451656601952908E-2</v>
      </c>
      <c r="L9" s="71">
        <f>'C2 lossyG,lossyA,intra'!$BT$40:$BT$40</f>
        <v>-9.3264278975057069E-3</v>
      </c>
    </row>
    <row r="10" spans="2:12" x14ac:dyDescent="0.25">
      <c r="B10" t="s">
        <v>17</v>
      </c>
      <c r="C10" s="71">
        <f>'C2 lossyG,lossyA,intra'!$BJ$41:$BJ$41</f>
        <v>0</v>
      </c>
      <c r="D10" s="71">
        <f>'C2 lossyG,lossyA,intra'!$BK$41:$BK$41</f>
        <v>0</v>
      </c>
      <c r="E10" s="71">
        <f>'C2 lossyG,lossyA,intra'!$BL$41:$BL$41</f>
        <v>1.3413159626287641E-3</v>
      </c>
      <c r="F10" s="71">
        <f>'C2 lossyG,lossyA,intra'!$BM$41:$BM$41</f>
        <v>-4.1120106876736395E-3</v>
      </c>
      <c r="G10" s="71">
        <f>'C2 lossyG,lossyA,intra'!$BN$41:$BN$41</f>
        <v>-4.2681680172343972E-3</v>
      </c>
      <c r="H10" s="71">
        <f>'C2 lossyG,lossyA,intra'!$BP$41:$BP$41</f>
        <v>-2.3971486954180721E-3</v>
      </c>
      <c r="I10" s="71">
        <f>'C2 lossyG,lossyA,intra'!$BQ$41:$BQ$41</f>
        <v>-2.6920670826076076E-3</v>
      </c>
      <c r="J10" s="71">
        <f>'C2 lossyG,lossyA,intra'!$BR$41:$BR$41</f>
        <v>1.5322965403998801E-3</v>
      </c>
      <c r="K10" s="71">
        <f>'C2 lossyG,lossyA,intra'!$BS$41:$BS$41</f>
        <v>-3.5064394042273461E-3</v>
      </c>
      <c r="L10" s="71">
        <f>'C2 lossyG,lossyA,intra'!$BT$41:$BT$41</f>
        <v>-3.6093902230144304E-3</v>
      </c>
    </row>
    <row r="11" spans="2:12" x14ac:dyDescent="0.25">
      <c r="B11" t="s">
        <v>18</v>
      </c>
      <c r="C11" s="71">
        <f>'C2 lossyG,lossyA,intra'!$BJ$42:$BJ$42</f>
        <v>0</v>
      </c>
      <c r="D11" s="71">
        <f>'C2 lossyG,lossyA,intra'!$BK$42:$BK$42</f>
        <v>0</v>
      </c>
      <c r="E11" s="71">
        <f>'C2 lossyG,lossyA,intra'!$BL$42:$BL$42</f>
        <v>-1.4193574596677028E-4</v>
      </c>
      <c r="F11" s="71">
        <f>'C2 lossyG,lossyA,intra'!$BM$42:$BM$42</f>
        <v>3.2651944313646375E-3</v>
      </c>
      <c r="G11" s="71">
        <f>'C2 lossyG,lossyA,intra'!$BN$42:$BN$42</f>
        <v>-1.3965802617482703E-3</v>
      </c>
      <c r="H11" s="71">
        <f>'C2 lossyG,lossyA,intra'!$BP$42:$BP$42</f>
        <v>-1.0437460550066779E-3</v>
      </c>
      <c r="I11" s="71">
        <f>'C2 lossyG,lossyA,intra'!$BQ$42:$BQ$42</f>
        <v>-1.1312046403715303E-3</v>
      </c>
      <c r="J11" s="71">
        <f>'C2 lossyG,lossyA,intra'!$BR$42:$BR$42</f>
        <v>3.6589114323903882E-4</v>
      </c>
      <c r="K11" s="71">
        <f>'C2 lossyG,lossyA,intra'!$BS$42:$BS$42</f>
        <v>2.5141182815210383E-3</v>
      </c>
      <c r="L11" s="71">
        <f>'C2 lossyG,lossyA,intra'!$BT$42:$BT$42</f>
        <v>-6.1152156808208513E-4</v>
      </c>
    </row>
    <row r="12" spans="2:12" x14ac:dyDescent="0.25">
      <c r="B12" s="4" t="s">
        <v>19</v>
      </c>
      <c r="C12" s="5">
        <f>'C2 lossyG,lossyA,intra'!$BJ$43:$BJ$43</f>
        <v>0</v>
      </c>
      <c r="D12" s="5">
        <f>'C2 lossyG,lossyA,intra'!$BK$43:$BK$43</f>
        <v>0</v>
      </c>
      <c r="E12" s="5">
        <f>'C2 lossyG,lossyA,intra'!$BL$43:$BL$43</f>
        <v>3.272406557257912E-3</v>
      </c>
      <c r="F12" s="5">
        <f>'C2 lossyG,lossyA,intra'!$BM$43:$BM$43</f>
        <v>-8.0443496288909854E-3</v>
      </c>
      <c r="G12" s="5">
        <f>'C2 lossyG,lossyA,intra'!$BN$43:$BN$43</f>
        <v>-8.6673925614687407E-3</v>
      </c>
      <c r="H12" s="5">
        <f>'C2 lossyG,lossyA,intra'!$BP$43:$BP$43</f>
        <v>-3.9110659139881387E-3</v>
      </c>
      <c r="I12" s="5">
        <f>'C2 lossyG,lossyA,intra'!$BQ$43:$BQ$43</f>
        <v>-4.2837315945630462E-3</v>
      </c>
      <c r="J12" s="5">
        <f>'C2 lossyG,lossyA,intra'!$BR$43:$BR$43</f>
        <v>4.2724689008270134E-3</v>
      </c>
      <c r="K12" s="5">
        <f>'C2 lossyG,lossyA,intra'!$BS$43:$BS$43</f>
        <v>-5.7549756069995572E-3</v>
      </c>
      <c r="L12" s="5">
        <f>'C2 lossyG,lossyA,intra'!$BT$43:$BT$43</f>
        <v>-6.019734992743061E-3</v>
      </c>
    </row>
    <row r="13" spans="2:12" x14ac:dyDescent="0.25">
      <c r="B13" t="s">
        <v>20</v>
      </c>
      <c r="C13" s="155" t="e">
        <f>'C2 lossyG,lossyA,intra'!AZ47</f>
        <v>#NUM!</v>
      </c>
      <c r="D13" s="156"/>
      <c r="E13" s="156"/>
      <c r="F13" s="156"/>
      <c r="G13" s="156"/>
      <c r="H13" s="156"/>
      <c r="I13" s="156"/>
      <c r="J13" s="156"/>
      <c r="K13" s="156"/>
      <c r="L13" s="156"/>
    </row>
    <row r="14" spans="2:12" x14ac:dyDescent="0.25">
      <c r="B14" s="6" t="s">
        <v>21</v>
      </c>
      <c r="C14" s="157">
        <f>'C2 lossyG,lossyA,intra'!BB47</f>
        <v>6.6877644411564603</v>
      </c>
      <c r="D14" s="158"/>
      <c r="E14" s="158"/>
      <c r="F14" s="158"/>
      <c r="G14" s="158"/>
      <c r="H14" s="158"/>
      <c r="I14" s="158"/>
      <c r="J14" s="158"/>
      <c r="K14" s="158"/>
      <c r="L14" s="158"/>
    </row>
    <row r="16" spans="2:12" x14ac:dyDescent="0.25">
      <c r="B16" s="159" t="s">
        <v>22</v>
      </c>
      <c r="C16" s="160" t="s">
        <v>23</v>
      </c>
      <c r="D16" s="161"/>
      <c r="E16" s="161"/>
    </row>
    <row r="17" spans="2:5" x14ac:dyDescent="0.25">
      <c r="B17" s="156"/>
      <c r="C17" s="162" t="s">
        <v>24</v>
      </c>
      <c r="D17" s="156"/>
      <c r="E17" s="156"/>
    </row>
    <row r="18" spans="2:5" x14ac:dyDescent="0.25">
      <c r="B18" s="158"/>
      <c r="C18" s="2" t="s">
        <v>25</v>
      </c>
      <c r="D18" s="2" t="s">
        <v>26</v>
      </c>
      <c r="E18" s="2" t="s">
        <v>27</v>
      </c>
    </row>
    <row r="19" spans="2:5" x14ac:dyDescent="0.25">
      <c r="B19" t="s">
        <v>16</v>
      </c>
      <c r="C19" s="71">
        <f>'CW losslG,losslA,intra'!BC12</f>
        <v>1.0001223709292388</v>
      </c>
      <c r="D19" s="71">
        <f>'CW losslG,losslA,intra'!BE12</f>
        <v>1.0077384249303087</v>
      </c>
      <c r="E19" s="71">
        <f>'CW losslG,losslA,intra'!BB12</f>
        <v>1.0066006618540813</v>
      </c>
    </row>
    <row r="20" spans="2:5" x14ac:dyDescent="0.25">
      <c r="B20" t="s">
        <v>17</v>
      </c>
      <c r="C20" s="71">
        <f>'CW losslG,losslA,intra'!BC13</f>
        <v>1.0001060274394813</v>
      </c>
      <c r="D20" s="71">
        <f>'CW losslG,losslA,intra'!BE13</f>
        <v>1.0053609438104265</v>
      </c>
      <c r="E20" s="71">
        <f>'CW losslG,losslA,intra'!BB13</f>
        <v>1.0048209549226848</v>
      </c>
    </row>
    <row r="21" spans="2:5" x14ac:dyDescent="0.25">
      <c r="B21" t="s">
        <v>18</v>
      </c>
      <c r="C21" s="71">
        <f>'CW losslG,losslA,intra'!BC14</f>
        <v>1.0000665706564424</v>
      </c>
      <c r="D21" s="71">
        <f>'CW losslG,losslA,intra'!BE14</f>
        <v>1.0030491834120243</v>
      </c>
      <c r="E21" s="71">
        <f>'CW losslG,losslA,intra'!BB14</f>
        <v>1.0026991001429508</v>
      </c>
    </row>
    <row r="22" spans="2:5" x14ac:dyDescent="0.25">
      <c r="B22" s="4" t="s">
        <v>19</v>
      </c>
      <c r="C22" s="5">
        <f>'CW losslG,losslA,intra'!BC15</f>
        <v>1.0001068141378466</v>
      </c>
      <c r="D22" s="5">
        <f>'CW losslG,losslA,intra'!BE15</f>
        <v>1.0060030124509667</v>
      </c>
      <c r="E22" s="5">
        <f>'CW losslG,losslA,intra'!BB15</f>
        <v>1.005225852785768</v>
      </c>
    </row>
    <row r="23" spans="2:5" x14ac:dyDescent="0.25">
      <c r="B23" t="s">
        <v>20</v>
      </c>
      <c r="C23" s="155">
        <f>'CW losslG,losslA,intra'!AW19</f>
        <v>0.96821133363230405</v>
      </c>
      <c r="D23" s="156"/>
      <c r="E23" s="156"/>
    </row>
    <row r="24" spans="2:5" x14ac:dyDescent="0.25">
      <c r="B24" s="6" t="s">
        <v>21</v>
      </c>
      <c r="C24" s="157">
        <f>'CW losslG,losslA,intra'!AY19</f>
        <v>1.1485060244963265</v>
      </c>
      <c r="D24" s="158"/>
      <c r="E24" s="158"/>
    </row>
    <row r="26" spans="2:5" s="1" customFormat="1" x14ac:dyDescent="0.25">
      <c r="B26" s="1" t="s">
        <v>28</v>
      </c>
    </row>
    <row r="28" spans="2:5" x14ac:dyDescent="0.25">
      <c r="B28" s="159" t="s">
        <v>29</v>
      </c>
      <c r="C28" s="160" t="s">
        <v>30</v>
      </c>
      <c r="D28" s="161"/>
      <c r="E28" s="161"/>
    </row>
    <row r="29" spans="2:5" x14ac:dyDescent="0.25">
      <c r="B29" s="156"/>
      <c r="C29" s="162" t="s">
        <v>24</v>
      </c>
      <c r="D29" s="156"/>
      <c r="E29" s="156"/>
    </row>
    <row r="30" spans="2:5" x14ac:dyDescent="0.25">
      <c r="B30" s="158"/>
      <c r="C30" s="2" t="s">
        <v>25</v>
      </c>
      <c r="D30" s="2" t="s">
        <v>26</v>
      </c>
      <c r="E30" s="2" t="s">
        <v>27</v>
      </c>
    </row>
    <row r="31" spans="2:5" x14ac:dyDescent="0.25">
      <c r="B31" t="s">
        <v>16</v>
      </c>
      <c r="C31" s="71">
        <f>'CW losslG,losslA,interLD'!BC12</f>
        <v>1.0001293908592981</v>
      </c>
      <c r="D31" s="71">
        <f>'CW losslG,losslA,interLD'!BE12</f>
        <v>1.0078391200552259</v>
      </c>
      <c r="E31" s="71">
        <f>'CW losslG,losslA,interLD'!BB12</f>
        <v>1.0067277479926031</v>
      </c>
    </row>
    <row r="32" spans="2:5" x14ac:dyDescent="0.25">
      <c r="B32" t="s">
        <v>17</v>
      </c>
      <c r="C32" s="71">
        <f>'CW losslG,losslA,interLD'!BC13</f>
        <v>1.0001062633371438</v>
      </c>
      <c r="D32" s="71">
        <f>'CW losslG,losslA,interLD'!BE13</f>
        <v>1.0054070580268217</v>
      </c>
      <c r="E32" s="71">
        <f>'CW losslG,losslA,interLD'!BB13</f>
        <v>1.0048604127239451</v>
      </c>
    </row>
    <row r="33" spans="2:12" x14ac:dyDescent="0.25">
      <c r="B33" t="s">
        <v>18</v>
      </c>
      <c r="C33" s="71">
        <f>'CW losslG,losslA,interLD'!BC14</f>
        <v>1.0000664659876413</v>
      </c>
      <c r="D33" s="71">
        <f>'CW losslG,losslA,interLD'!BE14</f>
        <v>1.0030494999930293</v>
      </c>
      <c r="E33" s="71">
        <f>'CW losslG,losslA,interLD'!BB14</f>
        <v>1.0026992653530209</v>
      </c>
    </row>
    <row r="34" spans="2:12" x14ac:dyDescent="0.25">
      <c r="B34" s="4" t="s">
        <v>19</v>
      </c>
      <c r="C34" s="5">
        <f>'CW losslG,losslA,interLD'!BC15</f>
        <v>1.0001105023740158</v>
      </c>
      <c r="D34" s="5">
        <f>'CW losslG,losslA,interLD'!BE15</f>
        <v>1.0060539964413955</v>
      </c>
      <c r="E34" s="5">
        <f>'CW losslG,losslA,interLD'!BB15</f>
        <v>1.0052877140275727</v>
      </c>
    </row>
    <row r="35" spans="2:12" x14ac:dyDescent="0.25">
      <c r="B35" t="s">
        <v>20</v>
      </c>
      <c r="C35" s="155">
        <f>'CW losslG,losslA,interLD'!AW19</f>
        <v>0.96093731906775148</v>
      </c>
      <c r="D35" s="156"/>
      <c r="E35" s="156"/>
    </row>
    <row r="36" spans="2:12" x14ac:dyDescent="0.25">
      <c r="B36" s="6" t="s">
        <v>21</v>
      </c>
      <c r="C36" s="157">
        <f>'CW losslG,losslA,interLD'!AY19</f>
        <v>1.1702322089564643</v>
      </c>
      <c r="D36" s="158"/>
      <c r="E36" s="158"/>
    </row>
    <row r="38" spans="2:12" s="1" customFormat="1" x14ac:dyDescent="0.25">
      <c r="B38" s="1" t="s">
        <v>31</v>
      </c>
    </row>
    <row r="40" spans="2:12" x14ac:dyDescent="0.25">
      <c r="B40" s="159" t="s">
        <v>32</v>
      </c>
      <c r="C40" s="160" t="s">
        <v>33</v>
      </c>
      <c r="D40" s="161"/>
      <c r="E40" s="161"/>
      <c r="F40" s="161"/>
      <c r="G40" s="161"/>
      <c r="H40" s="161"/>
      <c r="I40" s="161"/>
      <c r="J40" s="161"/>
      <c r="K40" s="161"/>
      <c r="L40" s="161"/>
    </row>
    <row r="41" spans="2:12" x14ac:dyDescent="0.25">
      <c r="B41" s="156"/>
      <c r="C41" s="162" t="s">
        <v>7</v>
      </c>
      <c r="D41" s="156"/>
      <c r="E41" s="163" t="s">
        <v>8</v>
      </c>
      <c r="F41" s="156"/>
      <c r="G41" s="156"/>
      <c r="H41" s="162" t="s">
        <v>9</v>
      </c>
      <c r="I41" s="156"/>
      <c r="J41" s="163" t="s">
        <v>10</v>
      </c>
      <c r="K41" s="156"/>
      <c r="L41" s="156"/>
    </row>
    <row r="42" spans="2:12" x14ac:dyDescent="0.25">
      <c r="B42" s="158"/>
      <c r="C42" s="2" t="s">
        <v>11</v>
      </c>
      <c r="D42" s="2" t="s">
        <v>12</v>
      </c>
      <c r="E42" s="3" t="s">
        <v>13</v>
      </c>
      <c r="F42" s="3" t="s">
        <v>14</v>
      </c>
      <c r="G42" s="3" t="s">
        <v>15</v>
      </c>
      <c r="H42" s="2" t="s">
        <v>11</v>
      </c>
      <c r="I42" s="2" t="s">
        <v>12</v>
      </c>
      <c r="J42" s="3" t="s">
        <v>13</v>
      </c>
      <c r="K42" s="3" t="s">
        <v>14</v>
      </c>
      <c r="L42" s="3" t="s">
        <v>15</v>
      </c>
    </row>
    <row r="43" spans="2:12" x14ac:dyDescent="0.25">
      <c r="B43" t="s">
        <v>16</v>
      </c>
      <c r="C43" s="71">
        <f>'C2 lossyG,lossyA,interRA'!$BJ$40:$BJ$40</f>
        <v>0</v>
      </c>
      <c r="D43" s="71">
        <f>'C2 lossyG,lossyA,interRA'!$BK$40:$BK$40</f>
        <v>0</v>
      </c>
      <c r="E43" s="71">
        <f>'C2 lossyG,lossyA,interRA'!$BL$40:$BL$40</f>
        <v>-1.1851254426187646E-2</v>
      </c>
      <c r="F43" s="71">
        <f>'C2 lossyG,lossyA,interRA'!$BM$40:$BM$40</f>
        <v>-2.6341081033247976E-2</v>
      </c>
      <c r="G43" s="71">
        <f>'C2 lossyG,lossyA,interRA'!$BN$40:$BN$40</f>
        <v>-1.9951792689208186E-2</v>
      </c>
      <c r="H43" s="71">
        <f>'C2 lossyG,lossyA,interRA'!$BP$40:$BP$40</f>
        <v>-6.8435588149633186E-3</v>
      </c>
      <c r="I43" s="71">
        <f>'C2 lossyG,lossyA,interRA'!$BQ$40:$BQ$40</f>
        <v>-8.3520960374703357E-3</v>
      </c>
      <c r="J43" s="71">
        <f>'C2 lossyG,lossyA,interRA'!$BR$40:$BR$40</f>
        <v>-2.4457975425709599E-3</v>
      </c>
      <c r="K43" s="71">
        <f>'C2 lossyG,lossyA,interRA'!$BS$40:$BS$40</f>
        <v>-1.3415598291154518E-2</v>
      </c>
      <c r="L43" s="71">
        <f>'C2 lossyG,lossyA,interRA'!$BT$40:$BT$40</f>
        <v>-1.0319457145405969E-2</v>
      </c>
    </row>
    <row r="44" spans="2:12" x14ac:dyDescent="0.25">
      <c r="B44" t="s">
        <v>17</v>
      </c>
      <c r="C44" s="71">
        <f>'C2 lossyG,lossyA,interRA'!$BJ$41:$BJ$41</f>
        <v>0</v>
      </c>
      <c r="D44" s="71">
        <f>'C2 lossyG,lossyA,interRA'!$BK$41:$BK$41</f>
        <v>0</v>
      </c>
      <c r="E44" s="71">
        <f>'C2 lossyG,lossyA,interRA'!$BL$41:$BL$41</f>
        <v>-4.7530301661526941E-3</v>
      </c>
      <c r="F44" s="71">
        <f>'C2 lossyG,lossyA,interRA'!$BM$41:$BM$41</f>
        <v>-8.3426677927715964E-3</v>
      </c>
      <c r="G44" s="71">
        <f>'C2 lossyG,lossyA,interRA'!$BN$41:$BN$41</f>
        <v>-8.9525878222982413E-3</v>
      </c>
      <c r="H44" s="71">
        <f>'C2 lossyG,lossyA,interRA'!$BP$41:$BP$41</f>
        <v>-3.1642420939872462E-3</v>
      </c>
      <c r="I44" s="71">
        <f>'C2 lossyG,lossyA,interRA'!$BQ$41:$BQ$41</f>
        <v>-3.6168564656122726E-3</v>
      </c>
      <c r="J44" s="71">
        <f>'C2 lossyG,lossyA,interRA'!$BR$41:$BR$41</f>
        <v>-2.6607028943852473E-3</v>
      </c>
      <c r="K44" s="71">
        <f>'C2 lossyG,lossyA,interRA'!$BS$41:$BS$41</f>
        <v>-5.6183131650451301E-3</v>
      </c>
      <c r="L44" s="71">
        <f>'C2 lossyG,lossyA,interRA'!$BT$41:$BT$41</f>
        <v>-6.1882654452914965E-3</v>
      </c>
    </row>
    <row r="45" spans="2:12" x14ac:dyDescent="0.25">
      <c r="B45" t="s">
        <v>18</v>
      </c>
      <c r="C45" s="71">
        <f>'C2 lossyG,lossyA,interRA'!$BJ$42:$BJ$42</f>
        <v>0</v>
      </c>
      <c r="D45" s="71">
        <f>'C2 lossyG,lossyA,interRA'!$BK$42:$BK$42</f>
        <v>0</v>
      </c>
      <c r="E45" s="71">
        <f>'C2 lossyG,lossyA,interRA'!$BL$42:$BL$42</f>
        <v>-1.1789933258628538E-3</v>
      </c>
      <c r="F45" s="71">
        <f>'C2 lossyG,lossyA,interRA'!$BM$42:$BM$42</f>
        <v>-2.3744601749531302E-3</v>
      </c>
      <c r="G45" s="71">
        <f>'C2 lossyG,lossyA,interRA'!$BN$42:$BN$42</f>
        <v>1.5044942851687226E-2</v>
      </c>
      <c r="H45" s="71">
        <f>'C2 lossyG,lossyA,interRA'!$BP$42:$BP$42</f>
        <v>-7.1036182621520005E-4</v>
      </c>
      <c r="I45" s="71">
        <f>'C2 lossyG,lossyA,interRA'!$BQ$42:$BQ$42</f>
        <v>-7.8229635332965897E-4</v>
      </c>
      <c r="J45" s="71">
        <f>'C2 lossyG,lossyA,interRA'!$BR$42:$BR$42</f>
        <v>-2.1251805791971945E-4</v>
      </c>
      <c r="K45" s="71">
        <f>'C2 lossyG,lossyA,interRA'!$BS$42:$BS$42</f>
        <v>-3.818785902475752E-4</v>
      </c>
      <c r="L45" s="71">
        <f>'C2 lossyG,lossyA,interRA'!$BT$42:$BT$42</f>
        <v>1.0505359280722604E-2</v>
      </c>
    </row>
    <row r="46" spans="2:12" x14ac:dyDescent="0.25">
      <c r="B46" s="4" t="s">
        <v>19</v>
      </c>
      <c r="C46" s="5">
        <f>'C2 lossyG,lossyA,interRA'!$BJ$43:$BJ$43</f>
        <v>0</v>
      </c>
      <c r="D46" s="5">
        <f>'C2 lossyG,lossyA,interRA'!$BK$43:$BK$43</f>
        <v>0</v>
      </c>
      <c r="E46" s="5">
        <f>'C2 lossyG,lossyA,interRA'!$BL$43:$BL$43</f>
        <v>-7.7880049318041411E-3</v>
      </c>
      <c r="F46" s="5">
        <f>'C2 lossyG,lossyA,interRA'!$BM$43:$BM$43</f>
        <v>-1.6922273182238538E-2</v>
      </c>
      <c r="G46" s="5">
        <f>'C2 lossyG,lossyA,interRA'!$BN$43:$BN$43</f>
        <v>-8.3814104108223628E-3</v>
      </c>
      <c r="H46" s="5">
        <f>'C2 lossyG,lossyA,interRA'!$BP$43:$BP$43</f>
        <v>-4.5656001437529891E-3</v>
      </c>
      <c r="I46" s="5">
        <f>'C2 lossyG,lossyA,interRA'!$BQ$43:$BQ$43</f>
        <v>-5.5128333317361333E-3</v>
      </c>
      <c r="J46" s="5">
        <f>'C2 lossyG,lossyA,interRA'!$BR$43:$BR$43</f>
        <v>-1.8384184543583609E-3</v>
      </c>
      <c r="K46" s="5">
        <f>'C2 lossyG,lossyA,interRA'!$BS$43:$BS$43</f>
        <v>-8.5777805014511932E-3</v>
      </c>
      <c r="L46" s="5">
        <f>'C2 lossyG,lossyA,interRA'!$BT$43:$BT$43</f>
        <v>-3.7793393522100238E-3</v>
      </c>
    </row>
    <row r="47" spans="2:12" x14ac:dyDescent="0.25">
      <c r="B47" t="s">
        <v>20</v>
      </c>
      <c r="C47" s="155" t="e">
        <f>'C2 lossyG,lossyA,interRA'!AZ47</f>
        <v>#NUM!</v>
      </c>
      <c r="D47" s="156"/>
      <c r="E47" s="156"/>
      <c r="F47" s="156"/>
      <c r="G47" s="156"/>
      <c r="H47" s="156"/>
      <c r="I47" s="156"/>
      <c r="J47" s="156"/>
      <c r="K47" s="156"/>
      <c r="L47" s="156"/>
    </row>
    <row r="48" spans="2:12" x14ac:dyDescent="0.25">
      <c r="B48" s="6" t="s">
        <v>21</v>
      </c>
      <c r="C48" s="157">
        <f>'C2 lossyG,lossyA,interRA'!BB47</f>
        <v>6.8780400680501579</v>
      </c>
      <c r="D48" s="158"/>
      <c r="E48" s="158"/>
      <c r="F48" s="158"/>
      <c r="G48" s="158"/>
      <c r="H48" s="158"/>
      <c r="I48" s="158"/>
      <c r="J48" s="158"/>
      <c r="K48" s="158"/>
      <c r="L48" s="158"/>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73" priority="23" operator="greaterThanOrEqual">
      <formula>1.03</formula>
    </cfRule>
    <cfRule type="cellIs" dxfId="172" priority="24" operator="lessThanOrEqual">
      <formula>0.97</formula>
    </cfRule>
  </conditionalFormatting>
  <conditionalFormatting sqref="C31 C32 C33 C34">
    <cfRule type="cellIs" dxfId="171" priority="27" operator="greaterThanOrEqual">
      <formula>1.03</formula>
    </cfRule>
    <cfRule type="cellIs" dxfId="170" priority="28" operator="lessThanOrEqual">
      <formula>0.97</formula>
    </cfRule>
  </conditionalFormatting>
  <conditionalFormatting sqref="C43 C44 C45 C46">
    <cfRule type="cellIs" dxfId="169" priority="51" operator="greaterThanOrEqual">
      <formula>0.03</formula>
    </cfRule>
    <cfRule type="cellIs" dxfId="168" priority="52" operator="lessThanOrEqual">
      <formula>-0.03</formula>
    </cfRule>
  </conditionalFormatting>
  <conditionalFormatting sqref="C9 C10 C11 C12">
    <cfRule type="cellIs" dxfId="167" priority="15" operator="greaterThanOrEqual">
      <formula>0.03</formula>
    </cfRule>
    <cfRule type="cellIs" dxfId="166" priority="16" operator="lessThanOrEqual">
      <formula>-0.03</formula>
    </cfRule>
  </conditionalFormatting>
  <conditionalFormatting sqref="D19 D20 D21 D22">
    <cfRule type="cellIs" dxfId="165" priority="25" operator="greaterThanOrEqual">
      <formula>1.03</formula>
    </cfRule>
    <cfRule type="cellIs" dxfId="164" priority="26" operator="lessThanOrEqual">
      <formula>0.97</formula>
    </cfRule>
  </conditionalFormatting>
  <conditionalFormatting sqref="D31 D32 D33 D34">
    <cfRule type="cellIs" dxfId="163" priority="29" operator="greaterThanOrEqual">
      <formula>1.03</formula>
    </cfRule>
    <cfRule type="cellIs" dxfId="162" priority="30" operator="lessThanOrEqual">
      <formula>0.97</formula>
    </cfRule>
  </conditionalFormatting>
  <conditionalFormatting sqref="D43 D44 D45 D46">
    <cfRule type="cellIs" dxfId="161" priority="35" operator="greaterThanOrEqual">
      <formula>0.03</formula>
    </cfRule>
    <cfRule type="cellIs" dxfId="160" priority="36" operator="lessThanOrEqual">
      <formula>-0.03</formula>
    </cfRule>
  </conditionalFormatting>
  <conditionalFormatting sqref="D9 D10 D11 D12">
    <cfRule type="cellIs" dxfId="159" priority="7" operator="greaterThanOrEqual">
      <formula>0.03</formula>
    </cfRule>
    <cfRule type="cellIs" dxfId="158" priority="8" operator="lessThanOrEqual">
      <formula>-0.03</formula>
    </cfRule>
  </conditionalFormatting>
  <conditionalFormatting sqref="E19 E20 E21 E22">
    <cfRule type="cellIs" dxfId="157" priority="21" operator="greaterThanOrEqual">
      <formula>1.03</formula>
    </cfRule>
    <cfRule type="cellIs" dxfId="156" priority="22" operator="lessThanOrEqual">
      <formula>0.97</formula>
    </cfRule>
  </conditionalFormatting>
  <conditionalFormatting sqref="E31 E32 E33 E34">
    <cfRule type="cellIs" dxfId="155" priority="31" operator="greaterThanOrEqual">
      <formula>1.03</formula>
    </cfRule>
    <cfRule type="cellIs" dxfId="154" priority="32" operator="lessThanOrEqual">
      <formula>0.97</formula>
    </cfRule>
  </conditionalFormatting>
  <conditionalFormatting sqref="E43 E44 E45 E46">
    <cfRule type="cellIs" dxfId="153" priority="37" operator="greaterThanOrEqual">
      <formula>0.03</formula>
    </cfRule>
    <cfRule type="cellIs" dxfId="152" priority="38" operator="lessThanOrEqual">
      <formula>-0.03</formula>
    </cfRule>
  </conditionalFormatting>
  <conditionalFormatting sqref="E9 E10 E11 E12">
    <cfRule type="cellIs" dxfId="151" priority="9" operator="greaterThanOrEqual">
      <formula>0.03</formula>
    </cfRule>
    <cfRule type="cellIs" dxfId="150" priority="10" operator="lessThanOrEqual">
      <formula>-0.03</formula>
    </cfRule>
  </conditionalFormatting>
  <conditionalFormatting sqref="F43 F44 F45 F46">
    <cfRule type="cellIs" dxfId="149" priority="47" operator="greaterThanOrEqual">
      <formula>0.03</formula>
    </cfRule>
    <cfRule type="cellIs" dxfId="148" priority="48" operator="lessThanOrEqual">
      <formula>-0.03</formula>
    </cfRule>
  </conditionalFormatting>
  <conditionalFormatting sqref="F9 F10 F11 F12">
    <cfRule type="cellIs" dxfId="147" priority="11" operator="greaterThanOrEqual">
      <formula>0.03</formula>
    </cfRule>
    <cfRule type="cellIs" dxfId="146" priority="12" operator="lessThanOrEqual">
      <formula>-0.03</formula>
    </cfRule>
  </conditionalFormatting>
  <conditionalFormatting sqref="G43 G44 G45 G46">
    <cfRule type="cellIs" dxfId="145" priority="49" operator="greaterThanOrEqual">
      <formula>0.03</formula>
    </cfRule>
    <cfRule type="cellIs" dxfId="144" priority="50" operator="lessThanOrEqual">
      <formula>-0.03</formula>
    </cfRule>
  </conditionalFormatting>
  <conditionalFormatting sqref="G9 G10 G11 G12">
    <cfRule type="cellIs" dxfId="143" priority="13" operator="greaterThanOrEqual">
      <formula>0.03</formula>
    </cfRule>
    <cfRule type="cellIs" dxfId="142" priority="14" operator="lessThanOrEqual">
      <formula>-0.03</formula>
    </cfRule>
  </conditionalFormatting>
  <conditionalFormatting sqref="H43 H44 H45 H46">
    <cfRule type="cellIs" dxfId="141" priority="39" operator="greaterThanOrEqual">
      <formula>0.03</formula>
    </cfRule>
    <cfRule type="cellIs" dxfId="140" priority="40" operator="lessThanOrEqual">
      <formula>-0.03</formula>
    </cfRule>
  </conditionalFormatting>
  <conditionalFormatting sqref="H9 H10 H11 H12">
    <cfRule type="cellIs" dxfId="139" priority="5" operator="greaterThanOrEqual">
      <formula>0.03</formula>
    </cfRule>
    <cfRule type="cellIs" dxfId="138" priority="6" operator="lessThanOrEqual">
      <formula>-0.03</formula>
    </cfRule>
  </conditionalFormatting>
  <conditionalFormatting sqref="I43 I44 I45 I46">
    <cfRule type="cellIs" dxfId="137" priority="45" operator="greaterThanOrEqual">
      <formula>0.03</formula>
    </cfRule>
    <cfRule type="cellIs" dxfId="136" priority="46" operator="lessThanOrEqual">
      <formula>-0.03</formula>
    </cfRule>
  </conditionalFormatting>
  <conditionalFormatting sqref="I9 I10 I11 I12">
    <cfRule type="cellIs" dxfId="135" priority="19" operator="greaterThanOrEqual">
      <formula>0.03</formula>
    </cfRule>
    <cfRule type="cellIs" dxfId="134" priority="20" operator="lessThanOrEqual">
      <formula>-0.03</formula>
    </cfRule>
  </conditionalFormatting>
  <conditionalFormatting sqref="J43 J44 J45 J46">
    <cfRule type="cellIs" dxfId="133" priority="41" operator="greaterThanOrEqual">
      <formula>0.03</formula>
    </cfRule>
    <cfRule type="cellIs" dxfId="132" priority="42" operator="lessThanOrEqual">
      <formula>-0.03</formula>
    </cfRule>
  </conditionalFormatting>
  <conditionalFormatting sqref="J9 J10 J11 J12">
    <cfRule type="cellIs" dxfId="131" priority="1" operator="greaterThanOrEqual">
      <formula>0.03</formula>
    </cfRule>
    <cfRule type="cellIs" dxfId="130" priority="2" operator="lessThanOrEqual">
      <formula>-0.03</formula>
    </cfRule>
  </conditionalFormatting>
  <conditionalFormatting sqref="K43 K44 K45 K46">
    <cfRule type="cellIs" dxfId="129" priority="43" operator="greaterThanOrEqual">
      <formula>0.03</formula>
    </cfRule>
    <cfRule type="cellIs" dxfId="128" priority="44" operator="lessThanOrEqual">
      <formula>-0.03</formula>
    </cfRule>
  </conditionalFormatting>
  <conditionalFormatting sqref="K9 K10 K11 K12">
    <cfRule type="cellIs" dxfId="127" priority="17" operator="greaterThanOrEqual">
      <formula>0.03</formula>
    </cfRule>
    <cfRule type="cellIs" dxfId="126" priority="18" operator="lessThanOrEqual">
      <formula>-0.03</formula>
    </cfRule>
  </conditionalFormatting>
  <conditionalFormatting sqref="L43 L44 L45 L46">
    <cfRule type="cellIs" dxfId="125" priority="33" operator="greaterThanOrEqual">
      <formula>0.03</formula>
    </cfRule>
    <cfRule type="cellIs" dxfId="124" priority="34" operator="lessThanOrEqual">
      <formula>-0.03</formula>
    </cfRule>
  </conditionalFormatting>
  <conditionalFormatting sqref="L9 L10 L11 L12">
    <cfRule type="cellIs" dxfId="123" priority="3" operator="greaterThanOrEqual">
      <formula>0.03</formula>
    </cfRule>
    <cfRule type="cellIs" dxfId="12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76" customWidth="1"/>
    <col min="2" max="2" width="24.7109375" style="76" customWidth="1"/>
    <col min="4" max="4" width="24.7109375" style="76" customWidth="1"/>
    <col min="9" max="9" width="16.7109375" style="76" customWidth="1"/>
  </cols>
  <sheetData>
    <row r="1" spans="1:16" x14ac:dyDescent="0.25">
      <c r="A1" t="s">
        <v>34</v>
      </c>
      <c r="B1" s="7" t="str">
        <f>M1</f>
        <v>C2 lossyG,lossyA,intra</v>
      </c>
      <c r="C1" t="s">
        <v>35</v>
      </c>
      <c r="I1" t="s">
        <v>36</v>
      </c>
      <c r="M1" t="s">
        <v>37</v>
      </c>
      <c r="N1" t="s">
        <v>38</v>
      </c>
      <c r="O1" t="s">
        <v>39</v>
      </c>
      <c r="P1" t="s">
        <v>40</v>
      </c>
    </row>
    <row r="2" spans="1:16" x14ac:dyDescent="0.25">
      <c r="A2" t="s">
        <v>41</v>
      </c>
      <c r="B2" s="7" t="str">
        <f>HLOOKUP(B1,M1:ZZ3,3,0)</f>
        <v>8ivfbv2_loot_vox10</v>
      </c>
      <c r="C2" t="s">
        <v>42</v>
      </c>
      <c r="I2" t="s">
        <v>43</v>
      </c>
      <c r="J2" t="s">
        <v>44</v>
      </c>
      <c r="M2" t="s">
        <v>45</v>
      </c>
      <c r="N2" t="s">
        <v>46</v>
      </c>
      <c r="O2" t="s">
        <v>47</v>
      </c>
      <c r="P2" t="s">
        <v>48</v>
      </c>
    </row>
    <row r="3" spans="1:16" x14ac:dyDescent="0.25">
      <c r="I3" t="s">
        <v>49</v>
      </c>
      <c r="J3" t="s">
        <v>50</v>
      </c>
      <c r="M3" t="s">
        <v>51</v>
      </c>
      <c r="N3" t="s">
        <v>51</v>
      </c>
      <c r="O3" t="s">
        <v>51</v>
      </c>
      <c r="P3" t="s">
        <v>51</v>
      </c>
    </row>
    <row r="4" spans="1:16" x14ac:dyDescent="0.25">
      <c r="A4" t="s">
        <v>52</v>
      </c>
      <c r="B4" s="7" t="s">
        <v>53</v>
      </c>
      <c r="C4" t="s">
        <v>54</v>
      </c>
      <c r="D4" s="7" t="s">
        <v>55</v>
      </c>
      <c r="E4" t="s">
        <v>56</v>
      </c>
      <c r="I4" t="s">
        <v>57</v>
      </c>
      <c r="J4" t="s">
        <v>58</v>
      </c>
      <c r="M4" t="s">
        <v>59</v>
      </c>
      <c r="N4" t="s">
        <v>59</v>
      </c>
      <c r="O4" t="s">
        <v>59</v>
      </c>
      <c r="P4" t="s">
        <v>59</v>
      </c>
    </row>
    <row r="5" spans="1:16" x14ac:dyDescent="0.25">
      <c r="A5" t="s">
        <v>52</v>
      </c>
      <c r="B5" s="7" t="s">
        <v>53</v>
      </c>
      <c r="C5" t="s">
        <v>54</v>
      </c>
      <c r="D5" s="7" t="s">
        <v>60</v>
      </c>
      <c r="E5" t="s">
        <v>61</v>
      </c>
      <c r="I5" t="s">
        <v>62</v>
      </c>
      <c r="J5" t="s">
        <v>63</v>
      </c>
      <c r="M5" t="s">
        <v>64</v>
      </c>
      <c r="N5" t="s">
        <v>64</v>
      </c>
      <c r="O5" t="s">
        <v>64</v>
      </c>
      <c r="P5" t="s">
        <v>64</v>
      </c>
    </row>
    <row r="6" spans="1:16" x14ac:dyDescent="0.25">
      <c r="A6" t="s">
        <v>52</v>
      </c>
      <c r="B6" s="7" t="s">
        <v>65</v>
      </c>
      <c r="C6" t="s">
        <v>54</v>
      </c>
      <c r="D6" s="7" t="s">
        <v>66</v>
      </c>
      <c r="E6" t="s">
        <v>67</v>
      </c>
      <c r="I6" t="s">
        <v>68</v>
      </c>
      <c r="J6" t="s">
        <v>69</v>
      </c>
      <c r="M6" t="s">
        <v>70</v>
      </c>
      <c r="N6" t="s">
        <v>70</v>
      </c>
      <c r="O6" t="s">
        <v>70</v>
      </c>
      <c r="P6" t="s">
        <v>70</v>
      </c>
    </row>
    <row r="7" spans="1:16" x14ac:dyDescent="0.25">
      <c r="A7" t="s">
        <v>52</v>
      </c>
      <c r="B7" s="7" t="s">
        <v>65</v>
      </c>
      <c r="C7" t="s">
        <v>54</v>
      </c>
      <c r="D7" s="7" t="s">
        <v>49</v>
      </c>
      <c r="E7" t="s">
        <v>71</v>
      </c>
      <c r="I7" t="s">
        <v>55</v>
      </c>
      <c r="J7" t="s">
        <v>72</v>
      </c>
      <c r="M7" t="s">
        <v>73</v>
      </c>
      <c r="N7" t="s">
        <v>73</v>
      </c>
      <c r="O7" t="s">
        <v>73</v>
      </c>
      <c r="P7" t="s">
        <v>73</v>
      </c>
    </row>
    <row r="8" spans="1:16" x14ac:dyDescent="0.25">
      <c r="A8" t="s">
        <v>52</v>
      </c>
      <c r="B8" s="7" t="s">
        <v>65</v>
      </c>
      <c r="C8" t="s">
        <v>54</v>
      </c>
      <c r="D8" s="7" t="s">
        <v>62</v>
      </c>
      <c r="E8" t="s">
        <v>74</v>
      </c>
      <c r="I8" t="s">
        <v>75</v>
      </c>
      <c r="J8" t="s">
        <v>76</v>
      </c>
      <c r="M8" t="s">
        <v>77</v>
      </c>
      <c r="N8" t="s">
        <v>77</v>
      </c>
      <c r="O8" t="s">
        <v>77</v>
      </c>
      <c r="P8" t="s">
        <v>77</v>
      </c>
    </row>
    <row r="9" spans="1:16" x14ac:dyDescent="0.25">
      <c r="A9" t="s">
        <v>52</v>
      </c>
      <c r="B9" s="7" t="s">
        <v>78</v>
      </c>
      <c r="C9" t="s">
        <v>54</v>
      </c>
      <c r="D9" s="7" t="s">
        <v>79</v>
      </c>
      <c r="E9" t="s">
        <v>80</v>
      </c>
      <c r="I9" t="s">
        <v>60</v>
      </c>
      <c r="J9" t="s">
        <v>81</v>
      </c>
      <c r="M9" t="s">
        <v>82</v>
      </c>
      <c r="N9" t="s">
        <v>82</v>
      </c>
      <c r="O9" t="s">
        <v>82</v>
      </c>
      <c r="P9" t="s">
        <v>82</v>
      </c>
    </row>
    <row r="10" spans="1:16" x14ac:dyDescent="0.25">
      <c r="I10" t="s">
        <v>83</v>
      </c>
      <c r="J10" t="s">
        <v>84</v>
      </c>
    </row>
    <row r="11" spans="1:16" x14ac:dyDescent="0.25">
      <c r="I11" t="s">
        <v>85</v>
      </c>
      <c r="J11" t="s">
        <v>86</v>
      </c>
    </row>
    <row r="12" spans="1:16" x14ac:dyDescent="0.25">
      <c r="I12" t="s">
        <v>87</v>
      </c>
      <c r="J12" t="s">
        <v>88</v>
      </c>
    </row>
    <row r="13" spans="1:16" x14ac:dyDescent="0.25">
      <c r="I13" t="s">
        <v>89</v>
      </c>
      <c r="J13" t="s">
        <v>90</v>
      </c>
    </row>
    <row r="14" spans="1:16" x14ac:dyDescent="0.25">
      <c r="I14" t="s">
        <v>91</v>
      </c>
      <c r="J14" t="s">
        <v>92</v>
      </c>
    </row>
    <row r="15" spans="1:16" x14ac:dyDescent="0.25">
      <c r="I15" t="s">
        <v>93</v>
      </c>
      <c r="J15" t="s">
        <v>94</v>
      </c>
    </row>
    <row r="16" spans="1:16" x14ac:dyDescent="0.25">
      <c r="I16" t="s">
        <v>95</v>
      </c>
      <c r="J16" t="s">
        <v>96</v>
      </c>
    </row>
    <row r="17" spans="9:10" x14ac:dyDescent="0.25">
      <c r="I17" t="s">
        <v>79</v>
      </c>
      <c r="J17" t="s">
        <v>97</v>
      </c>
    </row>
    <row r="18" spans="9:10" x14ac:dyDescent="0.25">
      <c r="I18" t="s">
        <v>98</v>
      </c>
      <c r="J18" t="s">
        <v>99</v>
      </c>
    </row>
    <row r="19" spans="9:10" x14ac:dyDescent="0.25">
      <c r="I19" t="s">
        <v>100</v>
      </c>
      <c r="J19" t="s">
        <v>101</v>
      </c>
    </row>
    <row r="20" spans="9:10" x14ac:dyDescent="0.25">
      <c r="I20" t="s">
        <v>102</v>
      </c>
      <c r="J20" t="s">
        <v>103</v>
      </c>
    </row>
    <row r="21" spans="9:10" x14ac:dyDescent="0.25">
      <c r="I21" t="s">
        <v>104</v>
      </c>
      <c r="J21" t="s">
        <v>105</v>
      </c>
    </row>
    <row r="22" spans="9:10" x14ac:dyDescent="0.25">
      <c r="I22" t="s">
        <v>66</v>
      </c>
      <c r="J22" t="s">
        <v>106</v>
      </c>
    </row>
    <row r="23" spans="9:10" x14ac:dyDescent="0.25">
      <c r="I23" t="s">
        <v>107</v>
      </c>
      <c r="J23" t="s">
        <v>108</v>
      </c>
    </row>
    <row r="24" spans="9:10" x14ac:dyDescent="0.25">
      <c r="I24" t="s">
        <v>109</v>
      </c>
      <c r="J24" t="s">
        <v>110</v>
      </c>
    </row>
    <row r="25" spans="9:10" x14ac:dyDescent="0.25">
      <c r="I25" t="s">
        <v>111</v>
      </c>
      <c r="J25" t="s">
        <v>112</v>
      </c>
    </row>
    <row r="26" spans="9:10" x14ac:dyDescent="0.25">
      <c r="I26" t="s">
        <v>113</v>
      </c>
      <c r="J26" t="s">
        <v>114</v>
      </c>
    </row>
    <row r="27" spans="9:10" x14ac:dyDescent="0.25">
      <c r="I27" t="s">
        <v>115</v>
      </c>
      <c r="J27" t="s">
        <v>116</v>
      </c>
    </row>
    <row r="28" spans="9:10" x14ac:dyDescent="0.25">
      <c r="I28" t="s">
        <v>117</v>
      </c>
      <c r="J28" t="s">
        <v>118</v>
      </c>
    </row>
    <row r="29" spans="9:10" x14ac:dyDescent="0.25">
      <c r="I29" t="s">
        <v>119</v>
      </c>
      <c r="J29" t="s">
        <v>120</v>
      </c>
    </row>
    <row r="30" spans="9:10" x14ac:dyDescent="0.25">
      <c r="I30" t="s">
        <v>121</v>
      </c>
      <c r="J30" t="s">
        <v>122</v>
      </c>
    </row>
    <row r="31" spans="9:10" x14ac:dyDescent="0.25">
      <c r="I31" t="s">
        <v>123</v>
      </c>
      <c r="J31" t="s">
        <v>124</v>
      </c>
    </row>
    <row r="32" spans="9:10" x14ac:dyDescent="0.25">
      <c r="I32" t="s">
        <v>125</v>
      </c>
      <c r="J32" t="s">
        <v>126</v>
      </c>
    </row>
    <row r="33" spans="9:10" x14ac:dyDescent="0.25">
      <c r="I33" t="s">
        <v>127</v>
      </c>
      <c r="J33" t="s">
        <v>128</v>
      </c>
    </row>
    <row r="34" spans="9:10" x14ac:dyDescent="0.25">
      <c r="I34" t="s">
        <v>129</v>
      </c>
      <c r="J34" t="s">
        <v>130</v>
      </c>
    </row>
    <row r="35" spans="9:10" x14ac:dyDescent="0.25">
      <c r="I35" t="s">
        <v>65</v>
      </c>
      <c r="J35" t="s">
        <v>131</v>
      </c>
    </row>
    <row r="36" spans="9:10" x14ac:dyDescent="0.25">
      <c r="I36" t="s">
        <v>53</v>
      </c>
      <c r="J36" t="s">
        <v>132</v>
      </c>
    </row>
    <row r="37" spans="9:10" x14ac:dyDescent="0.25">
      <c r="I37" t="s">
        <v>133</v>
      </c>
      <c r="J37" t="s">
        <v>134</v>
      </c>
    </row>
    <row r="38" spans="9:10" x14ac:dyDescent="0.25">
      <c r="I38" t="s">
        <v>78</v>
      </c>
      <c r="J38" t="s">
        <v>135</v>
      </c>
    </row>
    <row r="39" spans="9:10" x14ac:dyDescent="0.25">
      <c r="I39" t="s">
        <v>136</v>
      </c>
      <c r="J39" t="s">
        <v>137</v>
      </c>
    </row>
  </sheetData>
  <conditionalFormatting sqref="B2">
    <cfRule type="expression" dxfId="121" priority="1">
      <formula>ISNA(MATCH(B2,OFFSET(M:M,2,MATCH(B1,M1:ZZ1,0)-1,COUNTA(INDEX(M:ZZ,,MATCH(B1,M1:ZZ1,0)))-2),0))</formula>
    </cfRule>
  </conditionalFormatting>
  <conditionalFormatting sqref="B4 D4 B5 D5 B6 D6 B7 D7 B8 D8 B9 D9">
    <cfRule type="expression" dxfId="12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G52" sqref="G52"/>
    </sheetView>
  </sheetViews>
  <sheetFormatPr defaultRowHeight="15" outlineLevelRow="2" x14ac:dyDescent="0.25"/>
  <cols>
    <col min="2" max="2" width="24.7109375" style="76" customWidth="1"/>
    <col min="4" max="5" width="10.7109375" style="76" customWidth="1"/>
    <col min="8" max="8" width="1.7109375" style="76" customWidth="1"/>
    <col min="10" max="13" width="10.7109375" style="76" customWidth="1"/>
    <col min="14" max="14" width="24.7109375" style="76" hidden="1" customWidth="1"/>
    <col min="15" max="15" width="12.7109375" style="76" customWidth="1"/>
    <col min="16" max="16" width="10.7109375" style="76" customWidth="1"/>
    <col min="19" max="22" width="12.7109375" style="76" customWidth="1"/>
    <col min="23" max="27" width="11.7109375" style="76" customWidth="1"/>
    <col min="32" max="32" width="1.7109375" style="76" customWidth="1"/>
    <col min="34" max="37" width="10.7109375" style="76" customWidth="1"/>
    <col min="38" max="38" width="24.7109375" style="76" hidden="1" customWidth="1"/>
    <col min="39" max="39" width="12.7109375" style="76" customWidth="1"/>
    <col min="40" max="40" width="10.7109375" style="76" customWidth="1"/>
    <col min="43" max="46" width="12.7109375" style="76" customWidth="1"/>
    <col min="47" max="51" width="11.7109375" style="76" customWidth="1"/>
    <col min="56" max="56" width="1.7109375" style="76" customWidth="1"/>
    <col min="61" max="61" width="1.7109375" style="76" customWidth="1"/>
    <col min="64" max="66" width="11.7109375" style="76" customWidth="1"/>
    <col min="67" max="67" width="1.7109375" style="76" customWidth="1"/>
    <col min="70" max="72" width="11.7109375" style="76" customWidth="1"/>
    <col min="73" max="73" width="1.7109375" style="76" customWidth="1"/>
  </cols>
  <sheetData>
    <row r="1" spans="1:72" x14ac:dyDescent="0.25">
      <c r="A1" s="168" t="s">
        <v>138</v>
      </c>
      <c r="B1" s="156"/>
      <c r="C1" s="156"/>
      <c r="D1" s="156"/>
      <c r="E1" s="156"/>
      <c r="F1" s="156"/>
      <c r="G1" s="156"/>
      <c r="I1" s="164" t="str">
        <f>Summary!$C$1</f>
        <v>ALL_master+r7.0</v>
      </c>
      <c r="J1" s="156"/>
      <c r="K1" s="156"/>
      <c r="L1" s="156"/>
      <c r="M1" s="156"/>
      <c r="N1" s="156"/>
      <c r="O1" s="156"/>
      <c r="P1" s="156"/>
      <c r="Q1" s="156"/>
      <c r="R1" s="156"/>
      <c r="S1" s="156"/>
      <c r="T1" s="156"/>
      <c r="U1" s="156"/>
      <c r="V1" s="156"/>
      <c r="W1" s="156"/>
      <c r="X1" s="156"/>
      <c r="Y1" s="156"/>
      <c r="Z1" s="156"/>
      <c r="AA1" s="156"/>
      <c r="AB1" s="156"/>
      <c r="AC1" s="156"/>
      <c r="AD1" s="156"/>
      <c r="AE1" s="156"/>
      <c r="AG1" s="165" t="str">
        <f>Summary!$C$2</f>
        <v>mpeg128-integration+r7.1.09</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25">
      <c r="A2" s="170" t="s">
        <v>139</v>
      </c>
      <c r="B2" s="169" t="s">
        <v>140</v>
      </c>
      <c r="C2" s="170" t="s">
        <v>141</v>
      </c>
      <c r="D2" s="169" t="s">
        <v>142</v>
      </c>
      <c r="E2" s="170" t="s">
        <v>143</v>
      </c>
      <c r="F2" s="169" t="s">
        <v>144</v>
      </c>
      <c r="G2" s="170" t="s">
        <v>145</v>
      </c>
      <c r="I2" s="169" t="s">
        <v>146</v>
      </c>
      <c r="J2" s="167" t="s">
        <v>147</v>
      </c>
      <c r="K2" s="156"/>
      <c r="L2" s="156"/>
      <c r="M2" s="156"/>
      <c r="N2" s="170" t="s">
        <v>148</v>
      </c>
      <c r="O2" s="169" t="s">
        <v>149</v>
      </c>
      <c r="P2" s="170" t="s">
        <v>86</v>
      </c>
      <c r="Q2" s="169" t="s">
        <v>88</v>
      </c>
      <c r="R2" s="170" t="s">
        <v>84</v>
      </c>
      <c r="S2" s="166" t="s">
        <v>150</v>
      </c>
      <c r="T2" s="156"/>
      <c r="U2" s="156"/>
      <c r="V2" s="156"/>
      <c r="W2" s="167" t="s">
        <v>151</v>
      </c>
      <c r="X2" s="156"/>
      <c r="Y2" s="166" t="s">
        <v>152</v>
      </c>
      <c r="Z2" s="156"/>
      <c r="AA2" s="156"/>
      <c r="AB2" s="167" t="s">
        <v>153</v>
      </c>
      <c r="AC2" s="156"/>
      <c r="AD2" s="166" t="s">
        <v>154</v>
      </c>
      <c r="AE2" s="156"/>
      <c r="AG2" s="170" t="s">
        <v>146</v>
      </c>
      <c r="AH2" s="166" t="s">
        <v>147</v>
      </c>
      <c r="AI2" s="156"/>
      <c r="AJ2" s="156"/>
      <c r="AK2" s="156"/>
      <c r="AL2" s="169" t="s">
        <v>155</v>
      </c>
      <c r="AM2" s="170" t="s">
        <v>149</v>
      </c>
      <c r="AN2" s="169" t="s">
        <v>86</v>
      </c>
      <c r="AO2" s="170" t="s">
        <v>88</v>
      </c>
      <c r="AP2" s="169" t="s">
        <v>84</v>
      </c>
      <c r="AQ2" s="167" t="s">
        <v>150</v>
      </c>
      <c r="AR2" s="156"/>
      <c r="AS2" s="156"/>
      <c r="AT2" s="156"/>
      <c r="AU2" s="166" t="s">
        <v>151</v>
      </c>
      <c r="AV2" s="156"/>
      <c r="AW2" s="167" t="s">
        <v>152</v>
      </c>
      <c r="AX2" s="156"/>
      <c r="AY2" s="156"/>
      <c r="AZ2" s="166" t="s">
        <v>153</v>
      </c>
      <c r="BA2" s="156"/>
      <c r="BB2" s="167" t="s">
        <v>154</v>
      </c>
      <c r="BC2" s="156"/>
      <c r="BE2" s="169" t="s">
        <v>156</v>
      </c>
      <c r="BF2" s="170" t="s">
        <v>157</v>
      </c>
      <c r="BG2" s="169" t="s">
        <v>158</v>
      </c>
      <c r="BH2" s="170" t="s">
        <v>158</v>
      </c>
      <c r="BJ2" s="166" t="s">
        <v>7</v>
      </c>
      <c r="BK2" s="156"/>
      <c r="BL2" s="167" t="s">
        <v>8</v>
      </c>
      <c r="BM2" s="156"/>
      <c r="BN2" s="156"/>
      <c r="BP2" s="166" t="s">
        <v>9</v>
      </c>
      <c r="BQ2" s="156"/>
      <c r="BR2" s="167" t="s">
        <v>10</v>
      </c>
      <c r="BS2" s="156"/>
      <c r="BT2" s="156"/>
    </row>
    <row r="3" spans="1:72" x14ac:dyDescent="0.25">
      <c r="A3" s="158"/>
      <c r="B3" s="158"/>
      <c r="C3" s="158"/>
      <c r="D3" s="158"/>
      <c r="E3" s="158"/>
      <c r="F3" s="158"/>
      <c r="G3" s="158"/>
      <c r="I3" s="158"/>
      <c r="J3" s="152" t="s">
        <v>27</v>
      </c>
      <c r="K3" s="152" t="s">
        <v>25</v>
      </c>
      <c r="L3" s="152" t="s">
        <v>159</v>
      </c>
      <c r="M3" s="152" t="s">
        <v>160</v>
      </c>
      <c r="N3" s="158"/>
      <c r="O3" s="158"/>
      <c r="P3" s="158"/>
      <c r="Q3" s="158"/>
      <c r="R3" s="158"/>
      <c r="S3" s="153" t="s">
        <v>27</v>
      </c>
      <c r="T3" s="153" t="s">
        <v>159</v>
      </c>
      <c r="U3" s="153" t="s">
        <v>161</v>
      </c>
      <c r="V3" s="153" t="s">
        <v>26</v>
      </c>
      <c r="W3" s="152" t="s">
        <v>11</v>
      </c>
      <c r="X3" s="152" t="s">
        <v>12</v>
      </c>
      <c r="Y3" s="153" t="s">
        <v>13</v>
      </c>
      <c r="Z3" s="153" t="s">
        <v>14</v>
      </c>
      <c r="AA3" s="153" t="s">
        <v>15</v>
      </c>
      <c r="AB3" s="152" t="s">
        <v>162</v>
      </c>
      <c r="AC3" s="152" t="s">
        <v>163</v>
      </c>
      <c r="AD3" s="153" t="s">
        <v>162</v>
      </c>
      <c r="AE3" s="153" t="s">
        <v>163</v>
      </c>
      <c r="AG3" s="158"/>
      <c r="AH3" s="153" t="s">
        <v>27</v>
      </c>
      <c r="AI3" s="153" t="s">
        <v>25</v>
      </c>
      <c r="AJ3" s="153" t="s">
        <v>159</v>
      </c>
      <c r="AK3" s="153" t="s">
        <v>160</v>
      </c>
      <c r="AL3" s="158"/>
      <c r="AM3" s="158"/>
      <c r="AN3" s="158"/>
      <c r="AO3" s="158"/>
      <c r="AP3" s="158"/>
      <c r="AQ3" s="152" t="s">
        <v>27</v>
      </c>
      <c r="AR3" s="152" t="s">
        <v>159</v>
      </c>
      <c r="AS3" s="152" t="s">
        <v>161</v>
      </c>
      <c r="AT3" s="152" t="s">
        <v>26</v>
      </c>
      <c r="AU3" s="153" t="s">
        <v>11</v>
      </c>
      <c r="AV3" s="153" t="s">
        <v>12</v>
      </c>
      <c r="AW3" s="152" t="s">
        <v>13</v>
      </c>
      <c r="AX3" s="152" t="s">
        <v>14</v>
      </c>
      <c r="AY3" s="152" t="s">
        <v>15</v>
      </c>
      <c r="AZ3" s="153" t="s">
        <v>162</v>
      </c>
      <c r="BA3" s="153" t="s">
        <v>163</v>
      </c>
      <c r="BB3" s="152" t="s">
        <v>162</v>
      </c>
      <c r="BC3" s="152" t="s">
        <v>163</v>
      </c>
      <c r="BE3" s="158"/>
      <c r="BF3" s="158"/>
      <c r="BG3" s="158"/>
      <c r="BH3" s="158"/>
      <c r="BJ3" s="153" t="s">
        <v>11</v>
      </c>
      <c r="BK3" s="153" t="s">
        <v>12</v>
      </c>
      <c r="BL3" s="152" t="s">
        <v>13</v>
      </c>
      <c r="BM3" s="152" t="s">
        <v>14</v>
      </c>
      <c r="BN3" s="152" t="s">
        <v>15</v>
      </c>
      <c r="BP3" s="153" t="s">
        <v>11</v>
      </c>
      <c r="BQ3" s="153" t="s">
        <v>12</v>
      </c>
      <c r="BR3" s="152" t="s">
        <v>13</v>
      </c>
      <c r="BS3" s="152" t="s">
        <v>14</v>
      </c>
      <c r="BT3" s="152" t="s">
        <v>15</v>
      </c>
    </row>
    <row r="4" spans="1:72" ht="123" hidden="1" customHeight="1" x14ac:dyDescent="0.25">
      <c r="A4" s="8" t="s">
        <v>164</v>
      </c>
      <c r="B4" s="9" t="s">
        <v>165</v>
      </c>
      <c r="C4" s="8" t="s">
        <v>166</v>
      </c>
      <c r="D4" s="9" t="s">
        <v>167</v>
      </c>
      <c r="E4" s="8" t="s">
        <v>168</v>
      </c>
      <c r="F4" s="9" t="s">
        <v>169</v>
      </c>
      <c r="G4" s="8" t="s">
        <v>170</v>
      </c>
      <c r="I4" s="9" t="s">
        <v>171</v>
      </c>
      <c r="J4" s="8" t="s">
        <v>172</v>
      </c>
      <c r="K4" s="8" t="s">
        <v>173</v>
      </c>
      <c r="L4" s="8" t="s">
        <v>174</v>
      </c>
      <c r="M4" s="8" t="s">
        <v>175</v>
      </c>
      <c r="N4" s="8" t="s">
        <v>176</v>
      </c>
      <c r="O4" s="9" t="s">
        <v>177</v>
      </c>
      <c r="P4" s="8" t="s">
        <v>178</v>
      </c>
      <c r="Q4" s="9" t="s">
        <v>179</v>
      </c>
      <c r="R4" s="8" t="s">
        <v>180</v>
      </c>
      <c r="S4" s="9" t="s">
        <v>181</v>
      </c>
      <c r="T4" s="9" t="s">
        <v>182</v>
      </c>
      <c r="U4" s="9" t="s">
        <v>183</v>
      </c>
      <c r="V4" s="9" t="s">
        <v>184</v>
      </c>
      <c r="W4" s="8" t="s">
        <v>185</v>
      </c>
      <c r="X4" s="8" t="s">
        <v>186</v>
      </c>
      <c r="Y4" s="9" t="s">
        <v>187</v>
      </c>
      <c r="Z4" s="9" t="s">
        <v>188</v>
      </c>
      <c r="AA4" s="9" t="s">
        <v>189</v>
      </c>
      <c r="AB4" s="8" t="s">
        <v>190</v>
      </c>
      <c r="AC4" s="8" t="s">
        <v>191</v>
      </c>
      <c r="AD4" s="9" t="s">
        <v>192</v>
      </c>
      <c r="AE4" s="9" t="s">
        <v>193</v>
      </c>
      <c r="AG4" s="8" t="s">
        <v>194</v>
      </c>
      <c r="AH4" s="9" t="s">
        <v>195</v>
      </c>
      <c r="AI4" s="9" t="s">
        <v>196</v>
      </c>
      <c r="AJ4" s="9" t="s">
        <v>197</v>
      </c>
      <c r="AK4" s="9" t="s">
        <v>198</v>
      </c>
      <c r="AL4" s="9" t="s">
        <v>199</v>
      </c>
      <c r="AM4" s="8" t="s">
        <v>200</v>
      </c>
      <c r="AN4" s="9" t="s">
        <v>201</v>
      </c>
      <c r="AO4" s="8" t="s">
        <v>202</v>
      </c>
      <c r="AP4" s="9" t="s">
        <v>203</v>
      </c>
      <c r="AQ4" s="8" t="s">
        <v>204</v>
      </c>
      <c r="AR4" s="8" t="s">
        <v>205</v>
      </c>
      <c r="AS4" s="8" t="s">
        <v>206</v>
      </c>
      <c r="AT4" s="8" t="s">
        <v>207</v>
      </c>
      <c r="AU4" s="9" t="s">
        <v>208</v>
      </c>
      <c r="AV4" s="9" t="s">
        <v>209</v>
      </c>
      <c r="AW4" s="8" t="s">
        <v>210</v>
      </c>
      <c r="AX4" s="8" t="s">
        <v>211</v>
      </c>
      <c r="AY4" s="8" t="s">
        <v>212</v>
      </c>
      <c r="AZ4" s="9" t="s">
        <v>213</v>
      </c>
      <c r="BA4" s="9" t="s">
        <v>214</v>
      </c>
      <c r="BB4" s="8" t="s">
        <v>215</v>
      </c>
      <c r="BC4" s="8" t="s">
        <v>216</v>
      </c>
      <c r="BE4" s="9" t="s">
        <v>217</v>
      </c>
      <c r="BF4" s="8" t="s">
        <v>218</v>
      </c>
      <c r="BG4" s="9" t="s">
        <v>219</v>
      </c>
      <c r="BH4" s="8" t="s">
        <v>220</v>
      </c>
      <c r="BJ4" s="9" t="s">
        <v>221</v>
      </c>
      <c r="BK4" s="9" t="s">
        <v>222</v>
      </c>
      <c r="BL4" s="8" t="s">
        <v>223</v>
      </c>
      <c r="BM4" s="8" t="s">
        <v>224</v>
      </c>
      <c r="BN4" s="8" t="s">
        <v>225</v>
      </c>
      <c r="BP4" s="9" t="s">
        <v>226</v>
      </c>
      <c r="BQ4" s="9" t="s">
        <v>227</v>
      </c>
      <c r="BR4" s="8" t="s">
        <v>228</v>
      </c>
      <c r="BS4" s="8" t="s">
        <v>229</v>
      </c>
      <c r="BT4" s="8" t="s">
        <v>230</v>
      </c>
    </row>
    <row r="5" spans="1:72" x14ac:dyDescent="0.25">
      <c r="A5" s="129" t="s">
        <v>231</v>
      </c>
      <c r="B5" s="129" t="s">
        <v>51</v>
      </c>
      <c r="C5" s="10" t="s">
        <v>232</v>
      </c>
      <c r="D5" s="129">
        <v>238146391</v>
      </c>
      <c r="E5" s="10">
        <v>10</v>
      </c>
      <c r="F5" s="10">
        <v>300</v>
      </c>
      <c r="G5" s="10">
        <v>30</v>
      </c>
      <c r="I5" s="11">
        <f t="shared" ref="I5:I39" si="0">IF(OR(ISBLANK(S5),ISBLANK(G5)),"·",S5*G5/F5/1000000)</f>
        <v>2.2900407999999999</v>
      </c>
      <c r="J5" s="12">
        <f t="shared" ref="J5:J39" si="1">IF(ISBLANK(S5),"·",S5/D5)</f>
        <v>9.6161054147572617E-2</v>
      </c>
      <c r="K5" s="12">
        <f t="shared" ref="K5:K39" si="2">IF(N5="","·",N5/D5)</f>
        <v>6.1653304668387775E-2</v>
      </c>
      <c r="L5" s="12">
        <f t="shared" ref="L5:L39" si="3">IF(T5="","·",T5/D5)</f>
        <v>3.4664359032843796E-2</v>
      </c>
      <c r="M5" s="12">
        <f t="shared" ref="M5:M39" si="4">IF(ISBLANK(V5),"·",V5/D5)</f>
        <v>3.4507749479184842E-2</v>
      </c>
      <c r="N5" s="129">
        <f t="shared" ref="N5:N39" si="5">IF(OR(ISBLANK(T5),ISBLANK(U5)),"",T5+U5)</f>
        <v>14682512</v>
      </c>
      <c r="O5" s="12">
        <v>16</v>
      </c>
      <c r="P5" s="13">
        <v>210114715</v>
      </c>
      <c r="Q5" s="13">
        <v>700382.38333333295</v>
      </c>
      <c r="R5" s="13">
        <v>14452.67</v>
      </c>
      <c r="S5" s="14">
        <v>22900408</v>
      </c>
      <c r="T5" s="14">
        <v>8255192</v>
      </c>
      <c r="U5" s="14">
        <v>6427320</v>
      </c>
      <c r="V5" s="14">
        <v>8217896</v>
      </c>
      <c r="W5" s="15">
        <v>66.306621000000007</v>
      </c>
      <c r="X5" s="15">
        <v>68.366856666666706</v>
      </c>
      <c r="Y5" s="15">
        <v>32.3283293333334</v>
      </c>
      <c r="Z5" s="15">
        <v>44.148968666666697</v>
      </c>
      <c r="AA5" s="15">
        <v>43.7879723333334</v>
      </c>
      <c r="AB5" s="16">
        <v>33723</v>
      </c>
      <c r="AC5" s="16">
        <v>16039</v>
      </c>
      <c r="AD5" s="16">
        <v>76.209000000000003</v>
      </c>
      <c r="AE5" s="16">
        <v>269.79000000000002</v>
      </c>
      <c r="AG5" s="11">
        <f t="shared" ref="AG5:AG39" si="6">IF(OR(ISBLANK(AQ5),ISBLANK(G5)),"·",AQ5*G5/F5/1000000)</f>
        <v>2.2892256</v>
      </c>
      <c r="AH5" s="12">
        <f t="shared" ref="AH5:AH39" si="7">IF(ISBLANK(AQ5),"·",AQ5/D5)</f>
        <v>9.6126823101845782E-2</v>
      </c>
      <c r="AI5" s="12">
        <f t="shared" ref="AI5:AI39" si="8">IF(AL5="","·",AL5/D5)</f>
        <v>6.1653304668387775E-2</v>
      </c>
      <c r="AJ5" s="12">
        <f t="shared" ref="AJ5:AJ39" si="9">IF(AR5="","·",AR5/D5)</f>
        <v>3.4664359032843796E-2</v>
      </c>
      <c r="AK5" s="12">
        <f t="shared" ref="AK5:AK39" si="10">IF(ISBLANK(AT5),"·",AT5/D5)</f>
        <v>3.4473518433458014E-2</v>
      </c>
      <c r="AL5" s="129">
        <f t="shared" ref="AL5:AL39" si="11">IF(OR(ISBLANK(AR5),ISBLANK(AS5)),"",AR5+AS5)</f>
        <v>14682512</v>
      </c>
      <c r="AM5" s="12">
        <v>16</v>
      </c>
      <c r="AN5" s="13">
        <v>210114715</v>
      </c>
      <c r="AO5" s="13">
        <v>700382.38333333295</v>
      </c>
      <c r="AP5" s="13">
        <v>14452.67</v>
      </c>
      <c r="AQ5" s="14">
        <v>22892256</v>
      </c>
      <c r="AR5" s="14">
        <v>8255192</v>
      </c>
      <c r="AS5" s="14">
        <v>6427320</v>
      </c>
      <c r="AT5" s="14">
        <v>8209744</v>
      </c>
      <c r="AU5" s="15">
        <v>66.306621000000007</v>
      </c>
      <c r="AV5" s="15">
        <v>68.366856666666706</v>
      </c>
      <c r="AW5" s="15">
        <v>32.326273333333297</v>
      </c>
      <c r="AX5" s="15">
        <v>44.147258333333298</v>
      </c>
      <c r="AY5" s="15">
        <v>43.801342333333302</v>
      </c>
      <c r="AZ5" s="16">
        <v>0</v>
      </c>
      <c r="BA5" s="16">
        <v>0</v>
      </c>
      <c r="BB5" s="16">
        <v>473.37</v>
      </c>
      <c r="BC5" s="16">
        <v>267.32799999999997</v>
      </c>
      <c r="BE5" s="62">
        <f t="shared" ref="BE5:BE43" si="12">AI5/K5</f>
        <v>1</v>
      </c>
      <c r="BF5" s="17">
        <f t="shared" ref="BF5:BF39" si="13">(AP5/AO5) - (R5/Q5)</f>
        <v>0</v>
      </c>
      <c r="BG5" s="17">
        <f t="shared" ref="BG5:BG39" si="14">(AL5/AQ5) - (N5/S5)</f>
        <v>2.2831409400014824E-4</v>
      </c>
      <c r="BH5" s="17">
        <f t="array" ref="BH5">AVERAGE(AL5:AL9/AQ5:AQ9) - AVERAGE(N5:N9/S5:S9)</f>
        <v>7.1798716238202775E-4</v>
      </c>
      <c r="BJ5" s="62">
        <f>IF( OR(ISBLANK(N5:N9),ISBLANK(AL5:AL9), ISBLANK(W5:W9),ISBLANK(AU5:AU9)), "·", bdRateExtend( N5:N9,W5:W9, AL5:AL9,AU5:AU9))</f>
        <v>0</v>
      </c>
      <c r="BK5" s="62">
        <f>IF( OR(ISBLANK(N5:N9),ISBLANK(AL5:AL9), ISBLANK(X5:X9),ISBLANK(AV5:AV9)), "·", bdRateExtend( N5:N9,X5:X9, AL5:AL9,AV5:AV9))</f>
        <v>0</v>
      </c>
      <c r="BL5" s="62">
        <f>IF( OR(ISBLANK(V5:V9),ISBLANK(AT5:AT9), ISBLANK(Y5:Y9),ISBLANK(AW5:AW9)), "·", bdRateExtend( V5:V9,Y5:Y9, AT5:AT9,AW5:AW9))</f>
        <v>6.2925083742304544E-4</v>
      </c>
      <c r="BM5" s="62">
        <f>IF( OR(ISBLANK(V5:V9),ISBLANK(AT5:AT9), ISBLANK(Z5:Z9),ISBLANK(AX5:AX9)), "·", bdRateExtend( V5:V9,Z5:Z9, AT5:AT9,AX5:AX9))</f>
        <v>-3.5533565474965556E-3</v>
      </c>
      <c r="BN5" s="62">
        <f>IF( OR(ISBLANK(V5:V9),ISBLANK(AT5:AT9), ISBLANK(AA5:AA9),ISBLANK(AY5:AY9)), "·", bdRateExtend( V5:V9,AA5:AA9, AT5:AT9,AY5:AY9))</f>
        <v>-1.0202897408375544E-2</v>
      </c>
      <c r="BP5" s="62">
        <f>IF( OR(ISBLANK(S5:S9),ISBLANK(AQ5:AQ9), ISBLANK(W5:W9),ISBLANK(AU5:AU9)), "·", bdRateExtend( S5:S9,W5:W9, AQ5:AQ9,AU5:AU9))</f>
        <v>-1.7337871357783197E-3</v>
      </c>
      <c r="BQ5" s="62">
        <f>IF( OR(ISBLANK(S5:S9),ISBLANK(AQ5:AQ9), ISBLANK(X5:X9),ISBLANK(AV5:AV9)), "·", bdRateExtend( S5:S9,X5:X9, AQ5:AQ9,AV5:AV9))</f>
        <v>-1.9872954520990804E-3</v>
      </c>
      <c r="BR5" s="62">
        <f>IF( OR(ISBLANK(S5:S9),ISBLANK(AQ5:AQ9), ISBLANK(Y5:Y9),ISBLANK(AW5:AW9)), "·", bdRateExtend( S5:S9,Y5:Y9, AQ5:AQ9,AW5:AW9))</f>
        <v>1.0487450614053984E-3</v>
      </c>
      <c r="BS5" s="62">
        <f>IF( OR(ISBLANK(S5:S9),ISBLANK(AQ5:AQ9), ISBLANK(Z5:Z9),ISBLANK(AX5:AX9)), "·", bdRateExtend( S5:S9,Z5:Z9, AQ5:AQ9,AX5:AX9))</f>
        <v>-2.3849469192767092E-3</v>
      </c>
      <c r="BT5" s="62">
        <f>IF( OR(ISBLANK(S5:S9),ISBLANK(AQ5:AQ9), ISBLANK(AA5:AA9),ISBLANK(AY5:AY9)), "·", bdRateExtend( S5:S9,AA5:AA9, AQ5:AQ9,AY5:AY9))</f>
        <v>-7.0369899678256465E-3</v>
      </c>
    </row>
    <row r="6" spans="1:72" outlineLevel="1" x14ac:dyDescent="0.25">
      <c r="A6" s="18"/>
      <c r="B6" s="18" t="s">
        <v>51</v>
      </c>
      <c r="C6" s="19" t="s">
        <v>233</v>
      </c>
      <c r="D6" s="18">
        <v>238146391</v>
      </c>
      <c r="E6" s="19">
        <v>10</v>
      </c>
      <c r="F6" s="19">
        <v>300</v>
      </c>
      <c r="G6" s="19">
        <v>30</v>
      </c>
      <c r="I6" s="20">
        <f t="shared" si="0"/>
        <v>3.5017536000000002</v>
      </c>
      <c r="J6" s="21">
        <f t="shared" si="1"/>
        <v>0.14704206036025966</v>
      </c>
      <c r="K6" s="21">
        <f t="shared" si="2"/>
        <v>7.506441699551096E-2</v>
      </c>
      <c r="L6" s="21">
        <f t="shared" si="3"/>
        <v>4.8075471359966988E-2</v>
      </c>
      <c r="M6" s="21">
        <f t="shared" si="4"/>
        <v>7.1977643364748697E-2</v>
      </c>
      <c r="N6" s="18">
        <f t="shared" si="5"/>
        <v>17876320</v>
      </c>
      <c r="O6" s="21">
        <v>16</v>
      </c>
      <c r="P6" s="22">
        <v>230812362</v>
      </c>
      <c r="Q6" s="22">
        <v>769374.54</v>
      </c>
      <c r="R6" s="22">
        <v>19712.863333333298</v>
      </c>
      <c r="S6" s="23">
        <v>35017536</v>
      </c>
      <c r="T6" s="23">
        <v>11449000</v>
      </c>
      <c r="U6" s="23">
        <v>6427320</v>
      </c>
      <c r="V6" s="23">
        <v>17141216</v>
      </c>
      <c r="W6" s="24">
        <v>68.157705000000007</v>
      </c>
      <c r="X6" s="24">
        <v>70.306218666666695</v>
      </c>
      <c r="Y6" s="24">
        <v>34.6094856666667</v>
      </c>
      <c r="Z6" s="24">
        <v>45.440466666666602</v>
      </c>
      <c r="AA6" s="24">
        <v>45.216034333333297</v>
      </c>
      <c r="AB6" s="25">
        <v>33873.699999999997</v>
      </c>
      <c r="AC6" s="25">
        <v>16840.8</v>
      </c>
      <c r="AD6" s="25">
        <v>79.099000000000004</v>
      </c>
      <c r="AE6" s="25">
        <v>266.57100000000003</v>
      </c>
      <c r="AG6" s="20">
        <f t="shared" si="6"/>
        <v>3.4979624</v>
      </c>
      <c r="AH6" s="21">
        <f t="shared" si="7"/>
        <v>0.14688286416232108</v>
      </c>
      <c r="AI6" s="21">
        <f t="shared" si="8"/>
        <v>7.506441699551096E-2</v>
      </c>
      <c r="AJ6" s="21">
        <f t="shared" si="9"/>
        <v>4.8075471359966988E-2</v>
      </c>
      <c r="AK6" s="21">
        <f t="shared" si="10"/>
        <v>7.1818447166810101E-2</v>
      </c>
      <c r="AL6" s="18">
        <f t="shared" si="11"/>
        <v>17876320</v>
      </c>
      <c r="AM6" s="21">
        <v>16</v>
      </c>
      <c r="AN6" s="22">
        <v>230812362</v>
      </c>
      <c r="AO6" s="22">
        <v>769374.54</v>
      </c>
      <c r="AP6" s="22">
        <v>19712.863333333298</v>
      </c>
      <c r="AQ6" s="23">
        <v>34979624</v>
      </c>
      <c r="AR6" s="23">
        <v>11449000</v>
      </c>
      <c r="AS6" s="23">
        <v>6427320</v>
      </c>
      <c r="AT6" s="23">
        <v>17103304</v>
      </c>
      <c r="AU6" s="24">
        <v>68.157705000000007</v>
      </c>
      <c r="AV6" s="24">
        <v>70.306218666666695</v>
      </c>
      <c r="AW6" s="24">
        <v>34.599027</v>
      </c>
      <c r="AX6" s="24">
        <v>45.436083333333301</v>
      </c>
      <c r="AY6" s="24">
        <v>45.237760999999999</v>
      </c>
      <c r="AZ6" s="25">
        <v>33299.1</v>
      </c>
      <c r="BA6" s="25">
        <v>16786.7</v>
      </c>
      <c r="BB6" s="25">
        <v>519.66200000000003</v>
      </c>
      <c r="BC6" s="25">
        <v>265.86</v>
      </c>
      <c r="BE6" s="58">
        <f t="shared" si="12"/>
        <v>1</v>
      </c>
      <c r="BF6" s="26">
        <f t="shared" si="13"/>
        <v>0</v>
      </c>
      <c r="BG6" s="26">
        <f t="shared" si="14"/>
        <v>5.5329162344974758E-4</v>
      </c>
      <c r="BH6" s="26"/>
      <c r="BJ6" s="58"/>
      <c r="BK6" s="58"/>
      <c r="BL6" s="58"/>
      <c r="BM6" s="58"/>
      <c r="BN6" s="58"/>
      <c r="BP6" s="58"/>
      <c r="BQ6" s="58"/>
      <c r="BR6" s="58"/>
      <c r="BS6" s="58"/>
      <c r="BT6" s="58"/>
    </row>
    <row r="7" spans="1:72" outlineLevel="1" x14ac:dyDescent="0.25">
      <c r="A7" s="129"/>
      <c r="B7" s="129" t="s">
        <v>51</v>
      </c>
      <c r="C7" s="10" t="s">
        <v>234</v>
      </c>
      <c r="D7" s="129">
        <v>238146391</v>
      </c>
      <c r="E7" s="10">
        <v>10</v>
      </c>
      <c r="F7" s="10">
        <v>300</v>
      </c>
      <c r="G7" s="10">
        <v>30</v>
      </c>
      <c r="I7" s="11">
        <f t="shared" si="0"/>
        <v>5.6469272000000004</v>
      </c>
      <c r="J7" s="12">
        <f t="shared" si="1"/>
        <v>0.23711999901774702</v>
      </c>
      <c r="K7" s="12">
        <f t="shared" si="2"/>
        <v>9.4405898429088517E-2</v>
      </c>
      <c r="L7" s="12">
        <f t="shared" si="3"/>
        <v>6.7416952793544538E-2</v>
      </c>
      <c r="M7" s="12">
        <f t="shared" si="4"/>
        <v>0.14271410058865852</v>
      </c>
      <c r="N7" s="129">
        <f t="shared" si="5"/>
        <v>22482424</v>
      </c>
      <c r="O7" s="12">
        <v>16</v>
      </c>
      <c r="P7" s="13">
        <v>236176991</v>
      </c>
      <c r="Q7" s="13">
        <v>787256.63666666695</v>
      </c>
      <c r="R7" s="13">
        <v>21575.106666666699</v>
      </c>
      <c r="S7" s="14">
        <v>56469272</v>
      </c>
      <c r="T7" s="14">
        <v>16055104</v>
      </c>
      <c r="U7" s="14">
        <v>6427320</v>
      </c>
      <c r="V7" s="14">
        <v>33986848</v>
      </c>
      <c r="W7" s="15">
        <v>69.5551173333332</v>
      </c>
      <c r="X7" s="15">
        <v>71.985771333333304</v>
      </c>
      <c r="Y7" s="15">
        <v>37.152868666666699</v>
      </c>
      <c r="Z7" s="15">
        <v>46.555207666666703</v>
      </c>
      <c r="AA7" s="15">
        <v>46.460288333333303</v>
      </c>
      <c r="AB7" s="16">
        <v>33764.199999999997</v>
      </c>
      <c r="AC7" s="16">
        <v>17648.599999999999</v>
      </c>
      <c r="AD7" s="16">
        <v>79.784999999999997</v>
      </c>
      <c r="AE7" s="16">
        <v>271.80399999999997</v>
      </c>
      <c r="AG7" s="11">
        <f t="shared" si="6"/>
        <v>5.6393184000000005</v>
      </c>
      <c r="AH7" s="12">
        <f t="shared" si="7"/>
        <v>0.2368004980600357</v>
      </c>
      <c r="AI7" s="12">
        <f t="shared" si="8"/>
        <v>9.4405898429088517E-2</v>
      </c>
      <c r="AJ7" s="12">
        <f t="shared" si="9"/>
        <v>6.7416952793544538E-2</v>
      </c>
      <c r="AK7" s="12">
        <f t="shared" si="10"/>
        <v>0.14239459963094717</v>
      </c>
      <c r="AL7" s="129">
        <f t="shared" si="11"/>
        <v>22482424</v>
      </c>
      <c r="AM7" s="12">
        <v>16</v>
      </c>
      <c r="AN7" s="13">
        <v>236176991</v>
      </c>
      <c r="AO7" s="13">
        <v>787256.63666666695</v>
      </c>
      <c r="AP7" s="13">
        <v>21575.106666666699</v>
      </c>
      <c r="AQ7" s="14">
        <v>56393184</v>
      </c>
      <c r="AR7" s="14">
        <v>16055104</v>
      </c>
      <c r="AS7" s="14">
        <v>6427320</v>
      </c>
      <c r="AT7" s="14">
        <v>33910760</v>
      </c>
      <c r="AU7" s="15">
        <v>69.5551173333332</v>
      </c>
      <c r="AV7" s="15">
        <v>71.985771333333304</v>
      </c>
      <c r="AW7" s="15">
        <v>37.138562333333297</v>
      </c>
      <c r="AX7" s="15">
        <v>46.565525333333298</v>
      </c>
      <c r="AY7" s="15">
        <v>46.476092666666702</v>
      </c>
      <c r="AZ7" s="16">
        <v>33207.800000000003</v>
      </c>
      <c r="BA7" s="16">
        <v>17580.7</v>
      </c>
      <c r="BB7" s="16">
        <v>527.77599999999995</v>
      </c>
      <c r="BC7" s="16">
        <v>270.98200000000003</v>
      </c>
      <c r="BE7" s="62">
        <f t="shared" si="12"/>
        <v>1</v>
      </c>
      <c r="BF7" s="17">
        <f t="shared" si="13"/>
        <v>0</v>
      </c>
      <c r="BG7" s="17">
        <f t="shared" si="14"/>
        <v>5.3718082013703983E-4</v>
      </c>
      <c r="BH7" s="17"/>
      <c r="BJ7" s="62"/>
      <c r="BK7" s="62"/>
      <c r="BL7" s="62"/>
      <c r="BM7" s="62"/>
      <c r="BN7" s="62"/>
      <c r="BP7" s="62"/>
      <c r="BQ7" s="62"/>
      <c r="BR7" s="62"/>
      <c r="BS7" s="62"/>
      <c r="BT7" s="62"/>
    </row>
    <row r="8" spans="1:72" outlineLevel="1" x14ac:dyDescent="0.25">
      <c r="A8" s="18"/>
      <c r="B8" s="18" t="s">
        <v>51</v>
      </c>
      <c r="C8" s="19" t="s">
        <v>235</v>
      </c>
      <c r="D8" s="18">
        <v>238146391</v>
      </c>
      <c r="E8" s="19">
        <v>10</v>
      </c>
      <c r="F8" s="19">
        <v>300</v>
      </c>
      <c r="G8" s="19">
        <v>30</v>
      </c>
      <c r="I8" s="20">
        <f t="shared" si="0"/>
        <v>9.4556559999999994</v>
      </c>
      <c r="J8" s="21">
        <f t="shared" si="1"/>
        <v>0.39705224842143422</v>
      </c>
      <c r="K8" s="21">
        <f t="shared" si="2"/>
        <v>0.1272722709453111</v>
      </c>
      <c r="L8" s="21">
        <f t="shared" si="3"/>
        <v>0.10028332530976714</v>
      </c>
      <c r="M8" s="21">
        <f t="shared" si="4"/>
        <v>0.26977997747612309</v>
      </c>
      <c r="N8" s="18">
        <f t="shared" si="5"/>
        <v>30309432</v>
      </c>
      <c r="O8" s="21">
        <v>16</v>
      </c>
      <c r="P8" s="22">
        <v>245523356</v>
      </c>
      <c r="Q8" s="22">
        <v>818411.186666667</v>
      </c>
      <c r="R8" s="22">
        <v>24831.63</v>
      </c>
      <c r="S8" s="23">
        <v>94556560</v>
      </c>
      <c r="T8" s="23">
        <v>23882112</v>
      </c>
      <c r="U8" s="23">
        <v>6427320</v>
      </c>
      <c r="V8" s="23">
        <v>64247128</v>
      </c>
      <c r="W8" s="24">
        <v>70.687753333333404</v>
      </c>
      <c r="X8" s="24">
        <v>73.255345666666599</v>
      </c>
      <c r="Y8" s="24">
        <v>39.7669863333333</v>
      </c>
      <c r="Z8" s="24">
        <v>47.905351000000003</v>
      </c>
      <c r="AA8" s="24">
        <v>47.986803000000002</v>
      </c>
      <c r="AB8" s="25">
        <v>33782.1</v>
      </c>
      <c r="AC8" s="25">
        <v>18875.5</v>
      </c>
      <c r="AD8" s="25">
        <v>82.936000000000007</v>
      </c>
      <c r="AE8" s="25">
        <v>287.822</v>
      </c>
      <c r="AG8" s="20">
        <f t="shared" si="6"/>
        <v>9.4274559999999994</v>
      </c>
      <c r="AH8" s="21">
        <f t="shared" si="7"/>
        <v>0.39586810282587909</v>
      </c>
      <c r="AI8" s="21">
        <f t="shared" si="8"/>
        <v>0.1272722709453111</v>
      </c>
      <c r="AJ8" s="21">
        <f t="shared" si="9"/>
        <v>0.10028332530976714</v>
      </c>
      <c r="AK8" s="21">
        <f t="shared" si="10"/>
        <v>0.26859583188056796</v>
      </c>
      <c r="AL8" s="18">
        <f t="shared" si="11"/>
        <v>30309432</v>
      </c>
      <c r="AM8" s="21">
        <v>16</v>
      </c>
      <c r="AN8" s="22">
        <v>245523356</v>
      </c>
      <c r="AO8" s="22">
        <v>818411.186666667</v>
      </c>
      <c r="AP8" s="22">
        <v>24831.63</v>
      </c>
      <c r="AQ8" s="23">
        <v>94274560</v>
      </c>
      <c r="AR8" s="23">
        <v>23882112</v>
      </c>
      <c r="AS8" s="23">
        <v>6427320</v>
      </c>
      <c r="AT8" s="23">
        <v>63965128</v>
      </c>
      <c r="AU8" s="24">
        <v>70.687753333333404</v>
      </c>
      <c r="AV8" s="24">
        <v>73.255345666666599</v>
      </c>
      <c r="AW8" s="24">
        <v>39.744085666666599</v>
      </c>
      <c r="AX8" s="24">
        <v>47.904731333333302</v>
      </c>
      <c r="AY8" s="24">
        <v>47.995258333333297</v>
      </c>
      <c r="AZ8" s="25">
        <v>33219.9</v>
      </c>
      <c r="BA8" s="25">
        <v>18829.5</v>
      </c>
      <c r="BB8" s="25">
        <v>547.74599999999998</v>
      </c>
      <c r="BC8" s="25">
        <v>277.13200000000001</v>
      </c>
      <c r="BE8" s="58">
        <f t="shared" si="12"/>
        <v>1</v>
      </c>
      <c r="BF8" s="26">
        <f t="shared" si="13"/>
        <v>0</v>
      </c>
      <c r="BG8" s="26">
        <f t="shared" si="14"/>
        <v>9.5882804401609123E-4</v>
      </c>
      <c r="BH8" s="26"/>
      <c r="BJ8" s="58"/>
      <c r="BK8" s="58"/>
      <c r="BL8" s="58"/>
      <c r="BM8" s="58"/>
      <c r="BN8" s="58"/>
      <c r="BP8" s="58"/>
      <c r="BQ8" s="58"/>
      <c r="BR8" s="58"/>
      <c r="BS8" s="58"/>
      <c r="BT8" s="58"/>
    </row>
    <row r="9" spans="1:72" outlineLevel="1" x14ac:dyDescent="0.25">
      <c r="A9" s="129"/>
      <c r="B9" s="27" t="s">
        <v>51</v>
      </c>
      <c r="C9" s="28" t="s">
        <v>236</v>
      </c>
      <c r="D9" s="27">
        <v>238146391</v>
      </c>
      <c r="E9" s="28">
        <v>10</v>
      </c>
      <c r="F9" s="28">
        <v>300</v>
      </c>
      <c r="G9" s="28">
        <v>30</v>
      </c>
      <c r="I9" s="29">
        <f t="shared" si="0"/>
        <v>16.762344800000001</v>
      </c>
      <c r="J9" s="30">
        <f t="shared" si="1"/>
        <v>0.70386726120909382</v>
      </c>
      <c r="K9" s="30">
        <f t="shared" si="2"/>
        <v>0.20698277136603763</v>
      </c>
      <c r="L9" s="30">
        <f t="shared" si="3"/>
        <v>0.15538711229094376</v>
      </c>
      <c r="M9" s="30">
        <f t="shared" si="4"/>
        <v>0.49688448984305622</v>
      </c>
      <c r="N9" s="27">
        <f t="shared" si="5"/>
        <v>49292200</v>
      </c>
      <c r="O9" s="30">
        <v>16</v>
      </c>
      <c r="P9" s="31">
        <v>236237089</v>
      </c>
      <c r="Q9" s="31">
        <v>787456.96333333303</v>
      </c>
      <c r="R9" s="31">
        <v>10954.163333333299</v>
      </c>
      <c r="S9" s="32">
        <v>167623448</v>
      </c>
      <c r="T9" s="32">
        <v>37004880</v>
      </c>
      <c r="U9" s="32">
        <v>12287320</v>
      </c>
      <c r="V9" s="32">
        <v>118331248</v>
      </c>
      <c r="W9" s="33">
        <v>71.789984666666697</v>
      </c>
      <c r="X9" s="33">
        <v>75.226265666666706</v>
      </c>
      <c r="Y9" s="33">
        <v>42.307991999999999</v>
      </c>
      <c r="Z9" s="33">
        <v>49.425619333333302</v>
      </c>
      <c r="AA9" s="33">
        <v>49.570092000000002</v>
      </c>
      <c r="AB9" s="34">
        <v>34075.699999999997</v>
      </c>
      <c r="AC9" s="34">
        <v>21034.2</v>
      </c>
      <c r="AD9" s="34">
        <v>80.09</v>
      </c>
      <c r="AE9" s="34">
        <v>298.39400000000001</v>
      </c>
      <c r="AG9" s="29">
        <f t="shared" si="6"/>
        <v>16.687871999999999</v>
      </c>
      <c r="AH9" s="30">
        <f t="shared" si="7"/>
        <v>0.70074007546055994</v>
      </c>
      <c r="AI9" s="30">
        <f t="shared" si="8"/>
        <v>0.20698277136603763</v>
      </c>
      <c r="AJ9" s="30">
        <f t="shared" si="9"/>
        <v>0.15538711229094376</v>
      </c>
      <c r="AK9" s="30">
        <f t="shared" si="10"/>
        <v>0.49375730409452229</v>
      </c>
      <c r="AL9" s="27">
        <f t="shared" si="11"/>
        <v>49292200</v>
      </c>
      <c r="AM9" s="30">
        <v>16</v>
      </c>
      <c r="AN9" s="31">
        <v>236237089</v>
      </c>
      <c r="AO9" s="31">
        <v>787456.96333333303</v>
      </c>
      <c r="AP9" s="31">
        <v>10954.163333333299</v>
      </c>
      <c r="AQ9" s="32">
        <v>166878720</v>
      </c>
      <c r="AR9" s="32">
        <v>37004880</v>
      </c>
      <c r="AS9" s="32">
        <v>12287320</v>
      </c>
      <c r="AT9" s="32">
        <v>117586520</v>
      </c>
      <c r="AU9" s="33">
        <v>71.789984666666697</v>
      </c>
      <c r="AV9" s="33">
        <v>75.226265666666706</v>
      </c>
      <c r="AW9" s="33">
        <v>42.292687999999998</v>
      </c>
      <c r="AX9" s="33">
        <v>49.426783333333297</v>
      </c>
      <c r="AY9" s="33">
        <v>49.583480999999999</v>
      </c>
      <c r="AZ9" s="34">
        <v>33194.699999999997</v>
      </c>
      <c r="BA9" s="34">
        <v>20897.3</v>
      </c>
      <c r="BB9" s="34">
        <v>525.33000000000004</v>
      </c>
      <c r="BC9" s="34">
        <v>291.12299999999999</v>
      </c>
      <c r="BE9" s="35">
        <f t="shared" si="12"/>
        <v>1</v>
      </c>
      <c r="BF9" s="36">
        <f t="shared" si="13"/>
        <v>0</v>
      </c>
      <c r="BG9" s="36">
        <f t="shared" si="14"/>
        <v>1.3123212303068899E-3</v>
      </c>
      <c r="BH9" s="36"/>
      <c r="BJ9" s="35"/>
      <c r="BK9" s="35"/>
      <c r="BL9" s="35"/>
      <c r="BM9" s="35"/>
      <c r="BN9" s="35"/>
      <c r="BP9" s="35"/>
      <c r="BQ9" s="35"/>
      <c r="BR9" s="35"/>
      <c r="BS9" s="35"/>
      <c r="BT9" s="35"/>
    </row>
    <row r="10" spans="1:72" x14ac:dyDescent="0.25">
      <c r="A10" s="18"/>
      <c r="B10" s="18" t="s">
        <v>59</v>
      </c>
      <c r="C10" s="19" t="s">
        <v>232</v>
      </c>
      <c r="D10" s="18">
        <v>218121242</v>
      </c>
      <c r="E10" s="19">
        <v>10</v>
      </c>
      <c r="F10" s="19">
        <v>300</v>
      </c>
      <c r="G10" s="19">
        <v>30</v>
      </c>
      <c r="I10" s="20">
        <f t="shared" si="0"/>
        <v>3.4153104000000001</v>
      </c>
      <c r="J10" s="21">
        <f t="shared" si="1"/>
        <v>0.1565785325942716</v>
      </c>
      <c r="K10" s="21">
        <f t="shared" si="2"/>
        <v>8.2980272045214187E-2</v>
      </c>
      <c r="L10" s="21">
        <f t="shared" si="3"/>
        <v>4.3115727353138768E-2</v>
      </c>
      <c r="M10" s="21">
        <f t="shared" si="4"/>
        <v>7.3598260549057395E-2</v>
      </c>
      <c r="N10" s="18">
        <f t="shared" si="5"/>
        <v>18099760</v>
      </c>
      <c r="O10" s="21">
        <v>16</v>
      </c>
      <c r="P10" s="22">
        <v>199595828</v>
      </c>
      <c r="Q10" s="22">
        <v>665319.42666666699</v>
      </c>
      <c r="R10" s="22">
        <v>19570.46</v>
      </c>
      <c r="S10" s="23">
        <v>34153104</v>
      </c>
      <c r="T10" s="23">
        <v>9404456</v>
      </c>
      <c r="U10" s="23">
        <v>8695304</v>
      </c>
      <c r="V10" s="23">
        <v>16053344</v>
      </c>
      <c r="W10" s="24">
        <v>65.811761000000004</v>
      </c>
      <c r="X10" s="24">
        <v>67.675730000000001</v>
      </c>
      <c r="Y10" s="24">
        <v>32.273243666666701</v>
      </c>
      <c r="Z10" s="24">
        <v>39.159148000000002</v>
      </c>
      <c r="AA10" s="24">
        <v>31.9833796666667</v>
      </c>
      <c r="AB10" s="25">
        <v>31336.6</v>
      </c>
      <c r="AC10" s="25">
        <v>16887.599999999999</v>
      </c>
      <c r="AD10" s="25">
        <v>72.850999999999999</v>
      </c>
      <c r="AE10" s="25">
        <v>271.09199999999998</v>
      </c>
      <c r="AG10" s="20">
        <f t="shared" si="6"/>
        <v>3.4144992000000003</v>
      </c>
      <c r="AH10" s="21">
        <f t="shared" si="7"/>
        <v>0.1565413422687186</v>
      </c>
      <c r="AI10" s="21">
        <f t="shared" si="8"/>
        <v>8.2980272045214187E-2</v>
      </c>
      <c r="AJ10" s="21">
        <f t="shared" si="9"/>
        <v>4.3115727353138768E-2</v>
      </c>
      <c r="AK10" s="21">
        <f t="shared" si="10"/>
        <v>7.3561070223504416E-2</v>
      </c>
      <c r="AL10" s="18">
        <f t="shared" si="11"/>
        <v>18099760</v>
      </c>
      <c r="AM10" s="21">
        <v>16</v>
      </c>
      <c r="AN10" s="22">
        <v>199595828</v>
      </c>
      <c r="AO10" s="22">
        <v>665319.42666666699</v>
      </c>
      <c r="AP10" s="22">
        <v>19570.46</v>
      </c>
      <c r="AQ10" s="23">
        <v>34144992</v>
      </c>
      <c r="AR10" s="23">
        <v>9404456</v>
      </c>
      <c r="AS10" s="23">
        <v>8695304</v>
      </c>
      <c r="AT10" s="23">
        <v>16045232</v>
      </c>
      <c r="AU10" s="24">
        <v>65.811761000000004</v>
      </c>
      <c r="AV10" s="24">
        <v>67.675730000000001</v>
      </c>
      <c r="AW10" s="24">
        <v>32.281323666666701</v>
      </c>
      <c r="AX10" s="24">
        <v>39.166944666666701</v>
      </c>
      <c r="AY10" s="24">
        <v>31.988359000000099</v>
      </c>
      <c r="AZ10" s="25">
        <v>30696.799999999999</v>
      </c>
      <c r="BA10" s="25">
        <v>16799.099999999999</v>
      </c>
      <c r="BB10" s="25">
        <v>451.31799999999998</v>
      </c>
      <c r="BC10" s="25">
        <v>267.70299999999997</v>
      </c>
      <c r="BE10" s="58">
        <f t="shared" si="12"/>
        <v>1</v>
      </c>
      <c r="BF10" s="26">
        <f t="shared" si="13"/>
        <v>0</v>
      </c>
      <c r="BG10" s="26">
        <f t="shared" si="14"/>
        <v>1.259051695818858E-4</v>
      </c>
      <c r="BH10" s="26">
        <f t="array" ref="BH10">AVERAGE(AL10:AL14/AQ10:AQ14) - AVERAGE(N10:N14/S10:S14)</f>
        <v>5.667176660116291E-4</v>
      </c>
      <c r="BJ10" s="58">
        <f>IF( OR(ISBLANK(N10:N14),ISBLANK(AL10:AL14), ISBLANK(W10:W14),ISBLANK(AU10:AU14)), "·", bdRateExtend( N10:N14,W10:W14, AL10:AL14,AU10:AU14))</f>
        <v>0</v>
      </c>
      <c r="BK10" s="58">
        <f>IF( OR(ISBLANK(N10:N14),ISBLANK(AL10:AL14), ISBLANK(X10:X14),ISBLANK(AV10:AV14)), "·", bdRateExtend( N10:N14,X10:X14, AL10:AL14,AV10:AV14))</f>
        <v>0</v>
      </c>
      <c r="BL10" s="58">
        <f>IF( OR(ISBLANK(V10:V14),ISBLANK(AT10:AT14), ISBLANK(Y10:Y14),ISBLANK(AW10:AW14)), "·", bdRateExtend( V10:V14,Y10:Y14, AT10:AT14,AW10:AW14))</f>
        <v>1.2006894909011301E-4</v>
      </c>
      <c r="BM10" s="58">
        <f>IF( OR(ISBLANK(V10:V14),ISBLANK(AT10:AT14), ISBLANK(Z10:Z14),ISBLANK(AX10:AX14)), "·", bdRateExtend( V10:V14,Z10:Z14, AT10:AT14,AX10:AX14))</f>
        <v>-4.8932395248041383E-3</v>
      </c>
      <c r="BN10" s="58">
        <f>IF( OR(ISBLANK(V10:V14),ISBLANK(AT10:AT14), ISBLANK(AA10:AA14),ISBLANK(AY10:AY14)), "·", bdRateExtend( V10:V14,AA10:AA14, AT10:AT14,AY10:AY14))</f>
        <v>-3.620037759755057E-3</v>
      </c>
      <c r="BP10" s="58">
        <f>IF( OR(ISBLANK(S10:S14),ISBLANK(AQ10:AQ14), ISBLANK(W10:W14),ISBLANK(AU10:AU14)), "·", bdRateExtend( S10:S14,W10:W14, AQ10:AQ14,AU10:AU14))</f>
        <v>-1.6634764586369588E-3</v>
      </c>
      <c r="BQ10" s="58">
        <f>IF( OR(ISBLANK(S10:S14),ISBLANK(AQ10:AQ14), ISBLANK(X10:X14),ISBLANK(AV10:AV14)), "·", bdRateExtend( S10:S14,X10:X14, AQ10:AQ14,AV10:AV14))</f>
        <v>-1.9727265254202431E-3</v>
      </c>
      <c r="BR10" s="58">
        <f>IF( OR(ISBLANK(S10:S14),ISBLANK(AQ10:AQ14), ISBLANK(Y10:Y14),ISBLANK(AW10:AW14)), "·", bdRateExtend( S10:S14,Y10:Y14, AQ10:AQ14,AW10:AW14))</f>
        <v>7.7114675882783423E-4</v>
      </c>
      <c r="BS10" s="58">
        <f>IF( OR(ISBLANK(S10:S14),ISBLANK(AQ10:AQ14), ISBLANK(Z10:Z14),ISBLANK(AX10:AX14)), "·", bdRateExtend( S10:S14,Z10:Z14, AQ10:AQ14,AX10:AX14))</f>
        <v>-3.4785402800229237E-3</v>
      </c>
      <c r="BT10" s="58">
        <f>IF( OR(ISBLANK(S10:S14),ISBLANK(AQ10:AQ14), ISBLANK(AA10:AA14),ISBLANK(AY10:AY14)), "·", bdRateExtend( S10:S14,AA10:AA14, AQ10:AQ14,AY10:AY14))</f>
        <v>-2.6510611897068159E-3</v>
      </c>
    </row>
    <row r="11" spans="1:72" outlineLevel="1" x14ac:dyDescent="0.25">
      <c r="A11" s="129"/>
      <c r="B11" s="129" t="s">
        <v>59</v>
      </c>
      <c r="C11" s="10" t="s">
        <v>233</v>
      </c>
      <c r="D11" s="129">
        <v>218121242</v>
      </c>
      <c r="E11" s="10">
        <v>10</v>
      </c>
      <c r="F11" s="10">
        <v>300</v>
      </c>
      <c r="G11" s="10">
        <v>30</v>
      </c>
      <c r="I11" s="11">
        <f t="shared" si="0"/>
        <v>4.9173967999999997</v>
      </c>
      <c r="J11" s="12">
        <f t="shared" si="1"/>
        <v>0.22544327892649721</v>
      </c>
      <c r="K11" s="12">
        <f t="shared" si="2"/>
        <v>0.10087699757367052</v>
      </c>
      <c r="L11" s="12">
        <f t="shared" si="3"/>
        <v>6.101245288159509E-2</v>
      </c>
      <c r="M11" s="12">
        <f t="shared" si="4"/>
        <v>0.1245662813528267</v>
      </c>
      <c r="N11" s="129">
        <f t="shared" si="5"/>
        <v>22003416</v>
      </c>
      <c r="O11" s="12">
        <v>16</v>
      </c>
      <c r="P11" s="13">
        <v>213479129</v>
      </c>
      <c r="Q11" s="13">
        <v>711597.09666666703</v>
      </c>
      <c r="R11" s="13">
        <v>24836.7133333333</v>
      </c>
      <c r="S11" s="14">
        <v>49173968</v>
      </c>
      <c r="T11" s="14">
        <v>13308112</v>
      </c>
      <c r="U11" s="14">
        <v>8695304</v>
      </c>
      <c r="V11" s="14">
        <v>27170552</v>
      </c>
      <c r="W11" s="15">
        <v>67.515264000000002</v>
      </c>
      <c r="X11" s="15">
        <v>69.557891999999995</v>
      </c>
      <c r="Y11" s="15">
        <v>34.111839666666597</v>
      </c>
      <c r="Z11" s="15">
        <v>40.016579333333297</v>
      </c>
      <c r="AA11" s="15">
        <v>33.746840333333303</v>
      </c>
      <c r="AB11" s="16">
        <v>31307.4</v>
      </c>
      <c r="AC11" s="16">
        <v>17645.2</v>
      </c>
      <c r="AD11" s="16">
        <v>75.516999999999996</v>
      </c>
      <c r="AE11" s="16">
        <v>277.262</v>
      </c>
      <c r="AG11" s="11">
        <f t="shared" si="6"/>
        <v>4.9128559999999997</v>
      </c>
      <c r="AH11" s="12">
        <f t="shared" si="7"/>
        <v>0.2252351011278397</v>
      </c>
      <c r="AI11" s="12">
        <f t="shared" si="8"/>
        <v>0.10087699757367052</v>
      </c>
      <c r="AJ11" s="12">
        <f t="shared" si="9"/>
        <v>6.101245288159509E-2</v>
      </c>
      <c r="AK11" s="12">
        <f t="shared" si="10"/>
        <v>0.12435810355416919</v>
      </c>
      <c r="AL11" s="129">
        <f t="shared" si="11"/>
        <v>22003416</v>
      </c>
      <c r="AM11" s="12">
        <v>16</v>
      </c>
      <c r="AN11" s="13">
        <v>213479129</v>
      </c>
      <c r="AO11" s="13">
        <v>711597.09666666703</v>
      </c>
      <c r="AP11" s="13">
        <v>24836.7133333333</v>
      </c>
      <c r="AQ11" s="14">
        <v>49128560</v>
      </c>
      <c r="AR11" s="14">
        <v>13308112</v>
      </c>
      <c r="AS11" s="14">
        <v>8695304</v>
      </c>
      <c r="AT11" s="14">
        <v>27125144</v>
      </c>
      <c r="AU11" s="15">
        <v>67.515264000000002</v>
      </c>
      <c r="AV11" s="15">
        <v>69.557891999999995</v>
      </c>
      <c r="AW11" s="15">
        <v>34.110876333333302</v>
      </c>
      <c r="AX11" s="15">
        <v>40.020099999999999</v>
      </c>
      <c r="AY11" s="15">
        <v>33.744524333333302</v>
      </c>
      <c r="AZ11" s="16">
        <v>30899.599999999999</v>
      </c>
      <c r="BA11" s="16">
        <v>17525.8</v>
      </c>
      <c r="BB11" s="16">
        <v>481.55700000000002</v>
      </c>
      <c r="BC11" s="16">
        <v>273.959</v>
      </c>
      <c r="BE11" s="62">
        <f t="shared" si="12"/>
        <v>1</v>
      </c>
      <c r="BF11" s="17">
        <f t="shared" si="13"/>
        <v>0</v>
      </c>
      <c r="BG11" s="17">
        <f t="shared" si="14"/>
        <v>4.1357396770164145E-4</v>
      </c>
      <c r="BH11" s="17"/>
      <c r="BJ11" s="62"/>
      <c r="BK11" s="62"/>
      <c r="BL11" s="62"/>
      <c r="BM11" s="62"/>
      <c r="BN11" s="62"/>
      <c r="BP11" s="62"/>
      <c r="BQ11" s="62"/>
      <c r="BR11" s="62"/>
      <c r="BS11" s="62"/>
      <c r="BT11" s="62"/>
    </row>
    <row r="12" spans="1:72" outlineLevel="1" x14ac:dyDescent="0.25">
      <c r="A12" s="18"/>
      <c r="B12" s="18" t="s">
        <v>59</v>
      </c>
      <c r="C12" s="19" t="s">
        <v>234</v>
      </c>
      <c r="D12" s="18">
        <v>218121242</v>
      </c>
      <c r="E12" s="19">
        <v>10</v>
      </c>
      <c r="F12" s="19">
        <v>300</v>
      </c>
      <c r="G12" s="19">
        <v>30</v>
      </c>
      <c r="I12" s="20">
        <f t="shared" si="0"/>
        <v>7.5933479999999998</v>
      </c>
      <c r="J12" s="21">
        <f t="shared" si="1"/>
        <v>0.3481251037439077</v>
      </c>
      <c r="K12" s="21">
        <f t="shared" si="2"/>
        <v>0.12835672373440823</v>
      </c>
      <c r="L12" s="21">
        <f t="shared" si="3"/>
        <v>8.8492179042332794E-2</v>
      </c>
      <c r="M12" s="21">
        <f t="shared" si="4"/>
        <v>0.2197683800094995</v>
      </c>
      <c r="N12" s="18">
        <f t="shared" si="5"/>
        <v>27997328</v>
      </c>
      <c r="O12" s="21">
        <v>16</v>
      </c>
      <c r="P12" s="22">
        <v>217337189</v>
      </c>
      <c r="Q12" s="22">
        <v>724457.29666666698</v>
      </c>
      <c r="R12" s="22">
        <v>26579.32</v>
      </c>
      <c r="S12" s="23">
        <v>75933480</v>
      </c>
      <c r="T12" s="23">
        <v>19302024</v>
      </c>
      <c r="U12" s="23">
        <v>8695304</v>
      </c>
      <c r="V12" s="23">
        <v>47936152</v>
      </c>
      <c r="W12" s="24">
        <v>68.866620999999995</v>
      </c>
      <c r="X12" s="24">
        <v>71.213702999999995</v>
      </c>
      <c r="Y12" s="24">
        <v>36.2135866666667</v>
      </c>
      <c r="Z12" s="24">
        <v>40.9009833333334</v>
      </c>
      <c r="AA12" s="24">
        <v>35.496738000000001</v>
      </c>
      <c r="AB12" s="25">
        <v>31345</v>
      </c>
      <c r="AC12" s="25">
        <v>18427.599999999999</v>
      </c>
      <c r="AD12" s="25">
        <v>77.569000000000003</v>
      </c>
      <c r="AE12" s="25">
        <v>295.71499999999997</v>
      </c>
      <c r="AG12" s="20">
        <f t="shared" si="6"/>
        <v>7.5813712000000004</v>
      </c>
      <c r="AH12" s="21">
        <f t="shared" si="7"/>
        <v>0.34757601462768123</v>
      </c>
      <c r="AI12" s="21">
        <f t="shared" si="8"/>
        <v>0.12835672373440823</v>
      </c>
      <c r="AJ12" s="21">
        <f t="shared" si="9"/>
        <v>8.8492179042332794E-2</v>
      </c>
      <c r="AK12" s="21">
        <f t="shared" si="10"/>
        <v>0.21921929089327302</v>
      </c>
      <c r="AL12" s="18">
        <f t="shared" si="11"/>
        <v>27997328</v>
      </c>
      <c r="AM12" s="21">
        <v>16</v>
      </c>
      <c r="AN12" s="22">
        <v>217337189</v>
      </c>
      <c r="AO12" s="22">
        <v>724457.29666666698</v>
      </c>
      <c r="AP12" s="22">
        <v>26579.32</v>
      </c>
      <c r="AQ12" s="23">
        <v>75813712</v>
      </c>
      <c r="AR12" s="23">
        <v>19302024</v>
      </c>
      <c r="AS12" s="23">
        <v>8695304</v>
      </c>
      <c r="AT12" s="23">
        <v>47816384</v>
      </c>
      <c r="AU12" s="24">
        <v>68.866620999999995</v>
      </c>
      <c r="AV12" s="24">
        <v>71.213702999999995</v>
      </c>
      <c r="AW12" s="24">
        <v>36.201666000000003</v>
      </c>
      <c r="AX12" s="24">
        <v>40.9066263333333</v>
      </c>
      <c r="AY12" s="24">
        <v>35.495655333333303</v>
      </c>
      <c r="AZ12" s="25">
        <v>30764.799999999999</v>
      </c>
      <c r="BA12" s="25">
        <v>18305.5</v>
      </c>
      <c r="BB12" s="25">
        <v>488.83300000000003</v>
      </c>
      <c r="BC12" s="25">
        <v>279.57600000000002</v>
      </c>
      <c r="BE12" s="58">
        <f t="shared" si="12"/>
        <v>1</v>
      </c>
      <c r="BF12" s="26">
        <f t="shared" si="13"/>
        <v>0</v>
      </c>
      <c r="BG12" s="26">
        <f t="shared" si="14"/>
        <v>5.8247369576297503E-4</v>
      </c>
      <c r="BH12" s="26"/>
      <c r="BJ12" s="58"/>
      <c r="BK12" s="58"/>
      <c r="BL12" s="58"/>
      <c r="BM12" s="58"/>
      <c r="BN12" s="58"/>
      <c r="BP12" s="58"/>
      <c r="BQ12" s="58"/>
      <c r="BR12" s="58"/>
      <c r="BS12" s="58"/>
      <c r="BT12" s="58"/>
    </row>
    <row r="13" spans="1:72" outlineLevel="1" x14ac:dyDescent="0.25">
      <c r="A13" s="129"/>
      <c r="B13" s="129" t="s">
        <v>59</v>
      </c>
      <c r="C13" s="10" t="s">
        <v>235</v>
      </c>
      <c r="D13" s="129">
        <v>218121242</v>
      </c>
      <c r="E13" s="10">
        <v>10</v>
      </c>
      <c r="F13" s="10">
        <v>300</v>
      </c>
      <c r="G13" s="10">
        <v>30</v>
      </c>
      <c r="I13" s="11">
        <f t="shared" si="0"/>
        <v>12.836843999999999</v>
      </c>
      <c r="J13" s="12">
        <f t="shared" si="1"/>
        <v>0.5885187468353037</v>
      </c>
      <c r="K13" s="12">
        <f t="shared" si="2"/>
        <v>0.1761312178847762</v>
      </c>
      <c r="L13" s="12">
        <f t="shared" si="3"/>
        <v>0.13626667319270078</v>
      </c>
      <c r="M13" s="12">
        <f t="shared" si="4"/>
        <v>0.41238752895052744</v>
      </c>
      <c r="N13" s="129">
        <f t="shared" si="5"/>
        <v>38417960</v>
      </c>
      <c r="O13" s="12">
        <v>16</v>
      </c>
      <c r="P13" s="13">
        <v>224970663</v>
      </c>
      <c r="Q13" s="13">
        <v>749902.21</v>
      </c>
      <c r="R13" s="13">
        <v>30093.82</v>
      </c>
      <c r="S13" s="14">
        <v>128368440</v>
      </c>
      <c r="T13" s="14">
        <v>29722656</v>
      </c>
      <c r="U13" s="14">
        <v>8695304</v>
      </c>
      <c r="V13" s="14">
        <v>89950480</v>
      </c>
      <c r="W13" s="15">
        <v>69.944933000000006</v>
      </c>
      <c r="X13" s="15">
        <v>72.473840999999993</v>
      </c>
      <c r="Y13" s="15">
        <v>38.548840333333303</v>
      </c>
      <c r="Z13" s="15">
        <v>42.076446666666698</v>
      </c>
      <c r="AA13" s="15">
        <v>37.5143116666667</v>
      </c>
      <c r="AB13" s="16">
        <v>31321.200000000001</v>
      </c>
      <c r="AC13" s="16">
        <v>19851.7</v>
      </c>
      <c r="AD13" s="16">
        <v>77.938999999999993</v>
      </c>
      <c r="AE13" s="16">
        <v>299.40899999999999</v>
      </c>
      <c r="AG13" s="11">
        <f t="shared" si="6"/>
        <v>12.788560800000001</v>
      </c>
      <c r="AH13" s="12">
        <f t="shared" si="7"/>
        <v>0.58630515225105861</v>
      </c>
      <c r="AI13" s="12">
        <f t="shared" si="8"/>
        <v>0.1761312178847762</v>
      </c>
      <c r="AJ13" s="12">
        <f t="shared" si="9"/>
        <v>0.13626667319270078</v>
      </c>
      <c r="AK13" s="12">
        <f t="shared" si="10"/>
        <v>0.41017393436628241</v>
      </c>
      <c r="AL13" s="129">
        <f t="shared" si="11"/>
        <v>38417960</v>
      </c>
      <c r="AM13" s="12">
        <v>16</v>
      </c>
      <c r="AN13" s="13">
        <v>224970663</v>
      </c>
      <c r="AO13" s="13">
        <v>749902.21</v>
      </c>
      <c r="AP13" s="13">
        <v>30093.82</v>
      </c>
      <c r="AQ13" s="14">
        <v>127885608</v>
      </c>
      <c r="AR13" s="14">
        <v>29722656</v>
      </c>
      <c r="AS13" s="14">
        <v>8695304</v>
      </c>
      <c r="AT13" s="14">
        <v>89467648</v>
      </c>
      <c r="AU13" s="15">
        <v>69.944933000000006</v>
      </c>
      <c r="AV13" s="15">
        <v>72.473840999999993</v>
      </c>
      <c r="AW13" s="15">
        <v>38.521727666666699</v>
      </c>
      <c r="AX13" s="15">
        <v>42.073988999999997</v>
      </c>
      <c r="AY13" s="15">
        <v>37.512836333333297</v>
      </c>
      <c r="AZ13" s="16">
        <v>30688.1</v>
      </c>
      <c r="BA13" s="16">
        <v>19736.8</v>
      </c>
      <c r="BB13" s="16">
        <v>506.00200000000001</v>
      </c>
      <c r="BC13" s="16">
        <v>292.21800000000002</v>
      </c>
      <c r="BE13" s="62">
        <f t="shared" si="12"/>
        <v>1</v>
      </c>
      <c r="BF13" s="17">
        <f t="shared" si="13"/>
        <v>0</v>
      </c>
      <c r="BG13" s="17">
        <f t="shared" si="14"/>
        <v>1.1299270602073697E-3</v>
      </c>
      <c r="BH13" s="17"/>
      <c r="BJ13" s="62"/>
      <c r="BK13" s="62"/>
      <c r="BL13" s="62"/>
      <c r="BM13" s="62"/>
      <c r="BN13" s="62"/>
      <c r="BP13" s="62"/>
      <c r="BQ13" s="62"/>
      <c r="BR13" s="62"/>
      <c r="BS13" s="62"/>
      <c r="BT13" s="62"/>
    </row>
    <row r="14" spans="1:72" outlineLevel="1" x14ac:dyDescent="0.25">
      <c r="A14" s="18"/>
      <c r="B14" s="37" t="s">
        <v>59</v>
      </c>
      <c r="C14" s="38" t="s">
        <v>236</v>
      </c>
      <c r="D14" s="37">
        <v>218121242</v>
      </c>
      <c r="E14" s="38">
        <v>10</v>
      </c>
      <c r="F14" s="38">
        <v>300</v>
      </c>
      <c r="G14" s="38">
        <v>30</v>
      </c>
      <c r="I14" s="39">
        <f t="shared" si="0"/>
        <v>22.980359199999999</v>
      </c>
      <c r="J14" s="40">
        <f t="shared" si="1"/>
        <v>1.0535589743249307</v>
      </c>
      <c r="K14" s="40">
        <f t="shared" si="2"/>
        <v>0.28971329624099612</v>
      </c>
      <c r="L14" s="40">
        <f t="shared" si="3"/>
        <v>0.21558223109696029</v>
      </c>
      <c r="M14" s="40">
        <f t="shared" si="4"/>
        <v>0.76384567808393466</v>
      </c>
      <c r="N14" s="37">
        <f t="shared" si="5"/>
        <v>63192624</v>
      </c>
      <c r="O14" s="40">
        <v>16</v>
      </c>
      <c r="P14" s="41">
        <v>212784934</v>
      </c>
      <c r="Q14" s="41">
        <v>709283.11333333305</v>
      </c>
      <c r="R14" s="41">
        <v>14214.696666666699</v>
      </c>
      <c r="S14" s="42">
        <v>229803592</v>
      </c>
      <c r="T14" s="42">
        <v>47023064</v>
      </c>
      <c r="U14" s="42">
        <v>16169560</v>
      </c>
      <c r="V14" s="42">
        <v>166610968</v>
      </c>
      <c r="W14" s="43">
        <v>70.819807333333301</v>
      </c>
      <c r="X14" s="43">
        <v>74.589538000000005</v>
      </c>
      <c r="Y14" s="43">
        <v>40.788118333333301</v>
      </c>
      <c r="Z14" s="43">
        <v>43.380349333333299</v>
      </c>
      <c r="AA14" s="43">
        <v>39.221720666666599</v>
      </c>
      <c r="AB14" s="44">
        <v>31403.599999999999</v>
      </c>
      <c r="AC14" s="44">
        <v>22221</v>
      </c>
      <c r="AD14" s="44">
        <v>75.168999999999997</v>
      </c>
      <c r="AE14" s="44">
        <v>310.66300000000001</v>
      </c>
      <c r="AG14" s="39">
        <f t="shared" si="6"/>
        <v>22.931848800000001</v>
      </c>
      <c r="AH14" s="40">
        <f t="shared" si="7"/>
        <v>1.0513349635153828</v>
      </c>
      <c r="AI14" s="40">
        <f t="shared" si="8"/>
        <v>0.28971329624099612</v>
      </c>
      <c r="AJ14" s="40">
        <f t="shared" si="9"/>
        <v>0.21558223109696029</v>
      </c>
      <c r="AK14" s="40">
        <f t="shared" si="10"/>
        <v>0.76162166727438674</v>
      </c>
      <c r="AL14" s="37">
        <f t="shared" si="11"/>
        <v>63192624</v>
      </c>
      <c r="AM14" s="40">
        <v>16</v>
      </c>
      <c r="AN14" s="41">
        <v>212784934</v>
      </c>
      <c r="AO14" s="41">
        <v>709283.11333333305</v>
      </c>
      <c r="AP14" s="41">
        <v>14214.696666666699</v>
      </c>
      <c r="AQ14" s="42">
        <v>229318488</v>
      </c>
      <c r="AR14" s="42">
        <v>47023064</v>
      </c>
      <c r="AS14" s="42">
        <v>16169560</v>
      </c>
      <c r="AT14" s="42">
        <v>166125864</v>
      </c>
      <c r="AU14" s="43">
        <v>70.819807333333301</v>
      </c>
      <c r="AV14" s="43">
        <v>74.589538000000005</v>
      </c>
      <c r="AW14" s="43">
        <v>40.780632666666598</v>
      </c>
      <c r="AX14" s="43">
        <v>43.390104333333298</v>
      </c>
      <c r="AY14" s="43">
        <v>39.250982999999998</v>
      </c>
      <c r="AZ14" s="44">
        <v>31005.7</v>
      </c>
      <c r="BA14" s="44">
        <v>22051.200000000001</v>
      </c>
      <c r="BB14" s="44">
        <v>477.36099999999999</v>
      </c>
      <c r="BC14" s="44">
        <v>305.07499999999999</v>
      </c>
      <c r="BE14" s="45">
        <f t="shared" si="12"/>
        <v>1</v>
      </c>
      <c r="BF14" s="46">
        <f t="shared" si="13"/>
        <v>0</v>
      </c>
      <c r="BG14" s="46">
        <f t="shared" si="14"/>
        <v>5.8170843680432904E-4</v>
      </c>
      <c r="BH14" s="46"/>
      <c r="BJ14" s="45"/>
      <c r="BK14" s="45"/>
      <c r="BL14" s="45"/>
      <c r="BM14" s="45"/>
      <c r="BN14" s="45"/>
      <c r="BP14" s="45"/>
      <c r="BQ14" s="45"/>
      <c r="BR14" s="45"/>
      <c r="BS14" s="45"/>
      <c r="BT14" s="45"/>
    </row>
    <row r="15" spans="1:72" x14ac:dyDescent="0.25">
      <c r="A15" s="129"/>
      <c r="B15" s="129" t="s">
        <v>64</v>
      </c>
      <c r="C15" s="10" t="s">
        <v>232</v>
      </c>
      <c r="D15" s="129">
        <v>322589704</v>
      </c>
      <c r="E15" s="10">
        <v>10</v>
      </c>
      <c r="F15" s="10">
        <v>300</v>
      </c>
      <c r="G15" s="10">
        <v>30</v>
      </c>
      <c r="I15" s="11">
        <f t="shared" si="0"/>
        <v>4.4088704000000005</v>
      </c>
      <c r="J15" s="12">
        <f t="shared" si="1"/>
        <v>0.13667114434625602</v>
      </c>
      <c r="K15" s="12">
        <f t="shared" si="2"/>
        <v>7.7953238085986767E-2</v>
      </c>
      <c r="L15" s="12">
        <f t="shared" si="3"/>
        <v>4.180334286180442E-2</v>
      </c>
      <c r="M15" s="12">
        <f t="shared" si="4"/>
        <v>5.8717906260269237E-2</v>
      </c>
      <c r="N15" s="129">
        <f t="shared" si="5"/>
        <v>25146912</v>
      </c>
      <c r="O15" s="12">
        <v>16</v>
      </c>
      <c r="P15" s="13">
        <v>295692711</v>
      </c>
      <c r="Q15" s="13">
        <v>985642.37</v>
      </c>
      <c r="R15" s="13">
        <v>28254.27</v>
      </c>
      <c r="S15" s="14">
        <v>44088704</v>
      </c>
      <c r="T15" s="14">
        <v>13485328</v>
      </c>
      <c r="U15" s="14">
        <v>11661584</v>
      </c>
      <c r="V15" s="14">
        <v>18941792</v>
      </c>
      <c r="W15" s="15">
        <v>65.952931333333296</v>
      </c>
      <c r="X15" s="15">
        <v>67.740381333333403</v>
      </c>
      <c r="Y15" s="15">
        <v>29.509761666666702</v>
      </c>
      <c r="Z15" s="15">
        <v>43.2017046666667</v>
      </c>
      <c r="AA15" s="15">
        <v>43.416326666666698</v>
      </c>
      <c r="AB15" s="16">
        <v>44163.9</v>
      </c>
      <c r="AC15" s="16">
        <v>16747.099999999999</v>
      </c>
      <c r="AD15" s="16">
        <v>97.58</v>
      </c>
      <c r="AE15" s="16">
        <v>272.65100000000001</v>
      </c>
      <c r="AG15" s="11">
        <f t="shared" si="6"/>
        <v>4.4059375999999997</v>
      </c>
      <c r="AH15" s="12">
        <f t="shared" si="7"/>
        <v>0.13658023009934625</v>
      </c>
      <c r="AI15" s="12">
        <f t="shared" si="8"/>
        <v>7.7953238085986767E-2</v>
      </c>
      <c r="AJ15" s="12">
        <f t="shared" si="9"/>
        <v>4.180334286180442E-2</v>
      </c>
      <c r="AK15" s="12">
        <f t="shared" si="10"/>
        <v>5.8626992013359483E-2</v>
      </c>
      <c r="AL15" s="129">
        <f t="shared" si="11"/>
        <v>25146912</v>
      </c>
      <c r="AM15" s="12">
        <v>16</v>
      </c>
      <c r="AN15" s="13">
        <v>295692711</v>
      </c>
      <c r="AO15" s="13">
        <v>985642.37</v>
      </c>
      <c r="AP15" s="13">
        <v>28254.27</v>
      </c>
      <c r="AQ15" s="14">
        <v>44059376</v>
      </c>
      <c r="AR15" s="14">
        <v>13485328</v>
      </c>
      <c r="AS15" s="14">
        <v>11661584</v>
      </c>
      <c r="AT15" s="14">
        <v>18912464</v>
      </c>
      <c r="AU15" s="15">
        <v>65.952931333333296</v>
      </c>
      <c r="AV15" s="15">
        <v>67.740381333333403</v>
      </c>
      <c r="AW15" s="15">
        <v>29.506841666666698</v>
      </c>
      <c r="AX15" s="15">
        <v>43.201269000000003</v>
      </c>
      <c r="AY15" s="15">
        <v>43.416677</v>
      </c>
      <c r="AZ15" s="16">
        <v>43064.4</v>
      </c>
      <c r="BA15" s="16">
        <v>16617.400000000001</v>
      </c>
      <c r="BB15" s="16">
        <v>662.66499999999996</v>
      </c>
      <c r="BC15" s="16">
        <v>271.49599999999998</v>
      </c>
      <c r="BE15" s="62">
        <f t="shared" si="12"/>
        <v>1</v>
      </c>
      <c r="BF15" s="17">
        <f t="shared" si="13"/>
        <v>0</v>
      </c>
      <c r="BG15" s="17">
        <f t="shared" si="14"/>
        <v>3.7966576219616854E-4</v>
      </c>
      <c r="BH15" s="17">
        <f t="array" ref="BH15">AVERAGE(AL15:AL19/AQ15:AQ19) - AVERAGE(N15:N19/S15:S19)</f>
        <v>9.9024478231068969E-4</v>
      </c>
      <c r="BJ15" s="62">
        <f>IF( OR(ISBLANK(N15:N19),ISBLANK(AL15:AL19), ISBLANK(W15:W19),ISBLANK(AU15:AU19)), "·", bdRateExtend( N15:N19,W15:W19, AL15:AL19,AU15:AU19))</f>
        <v>0</v>
      </c>
      <c r="BK15" s="62">
        <f>IF( OR(ISBLANK(N15:N19),ISBLANK(AL15:AL19), ISBLANK(X15:X19),ISBLANK(AV15:AV19)), "·", bdRateExtend( N15:N19,X15:X19, AL15:AL19,AV15:AV19))</f>
        <v>0</v>
      </c>
      <c r="BL15" s="62">
        <f>IF( OR(ISBLANK(V15:V19),ISBLANK(AT15:AT19), ISBLANK(Y15:Y19),ISBLANK(AW15:AW19)), "·", bdRateExtend( V15:V19,Y15:Y19, AT15:AT19,AW15:AW19))</f>
        <v>-6.8267455182735581E-5</v>
      </c>
      <c r="BM15" s="62">
        <f>IF( OR(ISBLANK(V15:V19),ISBLANK(AT15:AT19), ISBLANK(Z15:Z19),ISBLANK(AX15:AX19)), "·", bdRateExtend( V15:V19,Z15:Z19, AT15:AT19,AX15:AX19))</f>
        <v>-6.0310761142262637E-3</v>
      </c>
      <c r="BN15" s="62">
        <f>IF( OR(ISBLANK(V15:V19),ISBLANK(AT15:AT19), ISBLANK(AA15:AA19),ISBLANK(AY15:AY19)), "·", bdRateExtend( V15:V19,AA15:AA19, AT15:AT19,AY15:AY19))</f>
        <v>-7.0816399204293168E-3</v>
      </c>
      <c r="BP15" s="62">
        <f>IF( OR(ISBLANK(S15:S19),ISBLANK(AQ15:AQ19), ISBLANK(W15:W19),ISBLANK(AU15:AU19)), "·", bdRateExtend( S15:S19,W15:W19, AQ15:AQ19,AU15:AU19))</f>
        <v>-2.7444623940834356E-3</v>
      </c>
      <c r="BQ15" s="62">
        <f>IF( OR(ISBLANK(S15:S19),ISBLANK(AQ15:AQ19), ISBLANK(X15:X19),ISBLANK(AV15:AV19)), "·", bdRateExtend( S15:S19,X15:X19, AQ15:AQ19,AV15:AV19))</f>
        <v>-3.341598885042818E-3</v>
      </c>
      <c r="BR15" s="62">
        <f>IF( OR(ISBLANK(S15:S19),ISBLANK(AQ15:AQ19), ISBLANK(Y15:Y19),ISBLANK(AW15:AW19)), "·", bdRateExtend( S15:S19,Y15:Y19, AQ15:AQ19,AW15:AW19))</f>
        <v>7.0434487963999537E-4</v>
      </c>
      <c r="BS15" s="62">
        <f>IF( OR(ISBLANK(S15:S19),ISBLANK(AQ15:AQ19), ISBLANK(Z15:Z19),ISBLANK(AX15:AX19)), "·", bdRateExtend( S15:S19,Z15:Z19, AQ15:AQ19,AX15:AX19))</f>
        <v>-4.3237519485957998E-3</v>
      </c>
      <c r="BT15" s="62">
        <f>IF( OR(ISBLANK(S15:S19),ISBLANK(AQ15:AQ19), ISBLANK(AA15:AA19),ISBLANK(AY15:AY19)), "·", bdRateExtend( S15:S19,AA15:AA19, AQ15:AQ19,AY15:AY19))</f>
        <v>-5.2821999364887073E-3</v>
      </c>
    </row>
    <row r="16" spans="1:72" outlineLevel="1" x14ac:dyDescent="0.25">
      <c r="A16" s="18"/>
      <c r="B16" s="18" t="s">
        <v>64</v>
      </c>
      <c r="C16" s="19" t="s">
        <v>233</v>
      </c>
      <c r="D16" s="18">
        <v>322589704</v>
      </c>
      <c r="E16" s="19">
        <v>10</v>
      </c>
      <c r="F16" s="19">
        <v>300</v>
      </c>
      <c r="G16" s="19">
        <v>30</v>
      </c>
      <c r="I16" s="20">
        <f t="shared" si="0"/>
        <v>7.0072488000000002</v>
      </c>
      <c r="J16" s="21">
        <f t="shared" si="1"/>
        <v>0.21721861278002846</v>
      </c>
      <c r="K16" s="21">
        <f t="shared" si="2"/>
        <v>9.5251099520522825E-2</v>
      </c>
      <c r="L16" s="21">
        <f t="shared" si="3"/>
        <v>5.910120429634047E-2</v>
      </c>
      <c r="M16" s="21">
        <f t="shared" si="4"/>
        <v>0.12196751325950564</v>
      </c>
      <c r="N16" s="18">
        <f t="shared" si="5"/>
        <v>30727024</v>
      </c>
      <c r="O16" s="21">
        <v>16</v>
      </c>
      <c r="P16" s="22">
        <v>315645479</v>
      </c>
      <c r="Q16" s="22">
        <v>1052151.5966666699</v>
      </c>
      <c r="R16" s="22">
        <v>35009.363333333298</v>
      </c>
      <c r="S16" s="23">
        <v>70072488</v>
      </c>
      <c r="T16" s="23">
        <v>19065440</v>
      </c>
      <c r="U16" s="23">
        <v>11661584</v>
      </c>
      <c r="V16" s="23">
        <v>39345464</v>
      </c>
      <c r="W16" s="24">
        <v>67.752667000000002</v>
      </c>
      <c r="X16" s="24">
        <v>69.809411333333301</v>
      </c>
      <c r="Y16" s="24">
        <v>31.926724333333301</v>
      </c>
      <c r="Z16" s="24">
        <v>44.065351333333297</v>
      </c>
      <c r="AA16" s="24">
        <v>44.376904000000003</v>
      </c>
      <c r="AB16" s="25">
        <v>44541.3</v>
      </c>
      <c r="AC16" s="25">
        <v>17887.7</v>
      </c>
      <c r="AD16" s="25">
        <v>103.123</v>
      </c>
      <c r="AE16" s="25">
        <v>271.68599999999998</v>
      </c>
      <c r="AG16" s="20">
        <f t="shared" si="6"/>
        <v>6.9987944000000004</v>
      </c>
      <c r="AH16" s="21">
        <f t="shared" si="7"/>
        <v>0.21695653373983689</v>
      </c>
      <c r="AI16" s="21">
        <f t="shared" si="8"/>
        <v>9.5251099520522825E-2</v>
      </c>
      <c r="AJ16" s="21">
        <f t="shared" si="9"/>
        <v>5.910120429634047E-2</v>
      </c>
      <c r="AK16" s="21">
        <f t="shared" si="10"/>
        <v>0.12170543421931408</v>
      </c>
      <c r="AL16" s="18">
        <f t="shared" si="11"/>
        <v>30727024</v>
      </c>
      <c r="AM16" s="21">
        <v>16</v>
      </c>
      <c r="AN16" s="22">
        <v>315645479</v>
      </c>
      <c r="AO16" s="22">
        <v>1052151.5966666699</v>
      </c>
      <c r="AP16" s="22">
        <v>35009.363333333298</v>
      </c>
      <c r="AQ16" s="23">
        <v>69987944</v>
      </c>
      <c r="AR16" s="23">
        <v>19065440</v>
      </c>
      <c r="AS16" s="23">
        <v>11661584</v>
      </c>
      <c r="AT16" s="23">
        <v>39260920</v>
      </c>
      <c r="AU16" s="24">
        <v>67.752667000000002</v>
      </c>
      <c r="AV16" s="24">
        <v>69.809411333333301</v>
      </c>
      <c r="AW16" s="24">
        <v>31.918554</v>
      </c>
      <c r="AX16" s="24">
        <v>44.068763333333301</v>
      </c>
      <c r="AY16" s="24">
        <v>44.377466333333302</v>
      </c>
      <c r="AZ16" s="25">
        <v>43164.1</v>
      </c>
      <c r="BA16" s="25">
        <v>17791</v>
      </c>
      <c r="BB16" s="25">
        <v>705.18299999999999</v>
      </c>
      <c r="BC16" s="25">
        <v>276.38799999999998</v>
      </c>
      <c r="BE16" s="58">
        <f t="shared" si="12"/>
        <v>1</v>
      </c>
      <c r="BF16" s="26">
        <f t="shared" si="13"/>
        <v>0</v>
      </c>
      <c r="BG16" s="26">
        <f t="shared" si="14"/>
        <v>5.2970310381911245E-4</v>
      </c>
      <c r="BH16" s="26"/>
      <c r="BJ16" s="58"/>
      <c r="BK16" s="58"/>
      <c r="BL16" s="58"/>
      <c r="BM16" s="58"/>
      <c r="BN16" s="58"/>
      <c r="BP16" s="58"/>
      <c r="BQ16" s="58"/>
      <c r="BR16" s="58"/>
      <c r="BS16" s="58"/>
      <c r="BT16" s="58"/>
    </row>
    <row r="17" spans="1:72" outlineLevel="1" x14ac:dyDescent="0.25">
      <c r="A17" s="129"/>
      <c r="B17" s="129" t="s">
        <v>64</v>
      </c>
      <c r="C17" s="10" t="s">
        <v>234</v>
      </c>
      <c r="D17" s="129">
        <v>322589704</v>
      </c>
      <c r="E17" s="10">
        <v>10</v>
      </c>
      <c r="F17" s="10">
        <v>300</v>
      </c>
      <c r="G17" s="10">
        <v>30</v>
      </c>
      <c r="I17" s="11">
        <f t="shared" si="0"/>
        <v>11.641604800000001</v>
      </c>
      <c r="J17" s="12">
        <f t="shared" si="1"/>
        <v>0.3608796144343156</v>
      </c>
      <c r="K17" s="12">
        <f t="shared" si="2"/>
        <v>0.12120714181256076</v>
      </c>
      <c r="L17" s="12">
        <f t="shared" si="3"/>
        <v>8.5057246588378405E-2</v>
      </c>
      <c r="M17" s="12">
        <f t="shared" si="4"/>
        <v>0.23967247262175484</v>
      </c>
      <c r="N17" s="129">
        <f t="shared" si="5"/>
        <v>39100176</v>
      </c>
      <c r="O17" s="12">
        <v>16</v>
      </c>
      <c r="P17" s="13">
        <v>319981779</v>
      </c>
      <c r="Q17" s="13">
        <v>1066605.93</v>
      </c>
      <c r="R17" s="13">
        <v>36803.99</v>
      </c>
      <c r="S17" s="14">
        <v>116416048</v>
      </c>
      <c r="T17" s="14">
        <v>27438592</v>
      </c>
      <c r="U17" s="14">
        <v>11661584</v>
      </c>
      <c r="V17" s="14">
        <v>77315872</v>
      </c>
      <c r="W17" s="15">
        <v>69.144569999999902</v>
      </c>
      <c r="X17" s="15">
        <v>71.605159666666594</v>
      </c>
      <c r="Y17" s="15">
        <v>34.487856000000001</v>
      </c>
      <c r="Z17" s="15">
        <v>44.9311303333333</v>
      </c>
      <c r="AA17" s="15">
        <v>45.3356693333333</v>
      </c>
      <c r="AB17" s="16">
        <v>44112.5</v>
      </c>
      <c r="AC17" s="16">
        <v>19258.599999999999</v>
      </c>
      <c r="AD17" s="16">
        <v>104.9</v>
      </c>
      <c r="AE17" s="16">
        <v>288.01499999999999</v>
      </c>
      <c r="AG17" s="11">
        <f t="shared" si="6"/>
        <v>11.6090888</v>
      </c>
      <c r="AH17" s="12">
        <f t="shared" si="7"/>
        <v>0.35987164674046757</v>
      </c>
      <c r="AI17" s="12">
        <f t="shared" si="8"/>
        <v>0.12120714181256076</v>
      </c>
      <c r="AJ17" s="12">
        <f t="shared" si="9"/>
        <v>8.5057246588378405E-2</v>
      </c>
      <c r="AK17" s="12">
        <f t="shared" si="10"/>
        <v>0.23866450492790681</v>
      </c>
      <c r="AL17" s="129">
        <f t="shared" si="11"/>
        <v>39100176</v>
      </c>
      <c r="AM17" s="12">
        <v>16</v>
      </c>
      <c r="AN17" s="13">
        <v>319981779</v>
      </c>
      <c r="AO17" s="13">
        <v>1066605.93</v>
      </c>
      <c r="AP17" s="13">
        <v>36803.99</v>
      </c>
      <c r="AQ17" s="14">
        <v>116090888</v>
      </c>
      <c r="AR17" s="14">
        <v>27438592</v>
      </c>
      <c r="AS17" s="14">
        <v>11661584</v>
      </c>
      <c r="AT17" s="14">
        <v>76990712</v>
      </c>
      <c r="AU17" s="15">
        <v>69.144569999999902</v>
      </c>
      <c r="AV17" s="15">
        <v>71.605159666666594</v>
      </c>
      <c r="AW17" s="15">
        <v>34.4701356666666</v>
      </c>
      <c r="AX17" s="15">
        <v>44.925890000000003</v>
      </c>
      <c r="AY17" s="15">
        <v>45.338106666666697</v>
      </c>
      <c r="AZ17" s="16">
        <v>43518.2</v>
      </c>
      <c r="BA17" s="16">
        <v>19249.8</v>
      </c>
      <c r="BB17" s="16">
        <v>716.39700000000005</v>
      </c>
      <c r="BC17" s="16">
        <v>281.44099999999997</v>
      </c>
      <c r="BE17" s="62">
        <f t="shared" si="12"/>
        <v>1</v>
      </c>
      <c r="BF17" s="17">
        <f t="shared" si="13"/>
        <v>0</v>
      </c>
      <c r="BG17" s="17">
        <f t="shared" si="14"/>
        <v>9.4072967049790845E-4</v>
      </c>
      <c r="BH17" s="17"/>
      <c r="BJ17" s="62"/>
      <c r="BK17" s="62"/>
      <c r="BL17" s="62"/>
      <c r="BM17" s="62"/>
      <c r="BN17" s="62"/>
      <c r="BP17" s="62"/>
      <c r="BQ17" s="62"/>
      <c r="BR17" s="62"/>
      <c r="BS17" s="62"/>
      <c r="BT17" s="62"/>
    </row>
    <row r="18" spans="1:72" outlineLevel="1" x14ac:dyDescent="0.25">
      <c r="A18" s="18"/>
      <c r="B18" s="18" t="s">
        <v>64</v>
      </c>
      <c r="C18" s="19" t="s">
        <v>235</v>
      </c>
      <c r="D18" s="18">
        <v>322589704</v>
      </c>
      <c r="E18" s="19">
        <v>10</v>
      </c>
      <c r="F18" s="19">
        <v>300</v>
      </c>
      <c r="G18" s="19">
        <v>30</v>
      </c>
      <c r="I18" s="20">
        <f t="shared" si="0"/>
        <v>20.102016800000001</v>
      </c>
      <c r="J18" s="21">
        <f t="shared" si="1"/>
        <v>0.62314502139225125</v>
      </c>
      <c r="K18" s="21">
        <f t="shared" si="2"/>
        <v>0.16442168904435958</v>
      </c>
      <c r="L18" s="21">
        <f t="shared" si="3"/>
        <v>0.12827179382017723</v>
      </c>
      <c r="M18" s="21">
        <f t="shared" si="4"/>
        <v>0.4587233323478917</v>
      </c>
      <c r="N18" s="18">
        <f t="shared" si="5"/>
        <v>53040744</v>
      </c>
      <c r="O18" s="21">
        <v>16</v>
      </c>
      <c r="P18" s="22">
        <v>330485852</v>
      </c>
      <c r="Q18" s="22">
        <v>1101619.5066666701</v>
      </c>
      <c r="R18" s="22">
        <v>41193.003333333298</v>
      </c>
      <c r="S18" s="23">
        <v>201020168</v>
      </c>
      <c r="T18" s="23">
        <v>41379160</v>
      </c>
      <c r="U18" s="23">
        <v>11661584</v>
      </c>
      <c r="V18" s="23">
        <v>147979424</v>
      </c>
      <c r="W18" s="24">
        <v>70.367146666666699</v>
      </c>
      <c r="X18" s="24">
        <v>72.960699000000005</v>
      </c>
      <c r="Y18" s="24">
        <v>37.189156333333301</v>
      </c>
      <c r="Z18" s="24">
        <v>46.288521000000003</v>
      </c>
      <c r="AA18" s="24">
        <v>46.795698333333299</v>
      </c>
      <c r="AB18" s="25">
        <v>44082</v>
      </c>
      <c r="AC18" s="25">
        <v>21565.1</v>
      </c>
      <c r="AD18" s="25">
        <v>107.233</v>
      </c>
      <c r="AE18" s="25">
        <v>294.46300000000002</v>
      </c>
      <c r="AG18" s="20">
        <f t="shared" si="6"/>
        <v>19.983626399999999</v>
      </c>
      <c r="AH18" s="21">
        <f t="shared" si="7"/>
        <v>0.61947502205464067</v>
      </c>
      <c r="AI18" s="21">
        <f t="shared" si="8"/>
        <v>0.16442168904435958</v>
      </c>
      <c r="AJ18" s="21">
        <f t="shared" si="9"/>
        <v>0.12827179382017723</v>
      </c>
      <c r="AK18" s="21">
        <f t="shared" si="10"/>
        <v>0.45505333301028106</v>
      </c>
      <c r="AL18" s="18">
        <f t="shared" si="11"/>
        <v>53040744</v>
      </c>
      <c r="AM18" s="21">
        <v>16</v>
      </c>
      <c r="AN18" s="22">
        <v>330485852</v>
      </c>
      <c r="AO18" s="22">
        <v>1101619.5066666701</v>
      </c>
      <c r="AP18" s="22">
        <v>41193.003333333298</v>
      </c>
      <c r="AQ18" s="23">
        <v>199836264</v>
      </c>
      <c r="AR18" s="23">
        <v>41379160</v>
      </c>
      <c r="AS18" s="23">
        <v>11661584</v>
      </c>
      <c r="AT18" s="23">
        <v>146795520</v>
      </c>
      <c r="AU18" s="24">
        <v>70.367146666666699</v>
      </c>
      <c r="AV18" s="24">
        <v>72.960699000000005</v>
      </c>
      <c r="AW18" s="24">
        <v>37.152290666666701</v>
      </c>
      <c r="AX18" s="24">
        <v>46.289817999999997</v>
      </c>
      <c r="AY18" s="24">
        <v>46.800843999999998</v>
      </c>
      <c r="AZ18" s="25">
        <v>43459.8</v>
      </c>
      <c r="BA18" s="25">
        <v>21581.8</v>
      </c>
      <c r="BB18" s="25">
        <v>740.00800000000004</v>
      </c>
      <c r="BC18" s="25">
        <v>295.97500000000002</v>
      </c>
      <c r="BE18" s="58">
        <f t="shared" si="12"/>
        <v>1</v>
      </c>
      <c r="BF18" s="26">
        <f t="shared" si="13"/>
        <v>0</v>
      </c>
      <c r="BG18" s="26">
        <f t="shared" si="14"/>
        <v>1.5631914166756578E-3</v>
      </c>
      <c r="BH18" s="26"/>
      <c r="BJ18" s="58"/>
      <c r="BK18" s="58"/>
      <c r="BL18" s="58"/>
      <c r="BM18" s="58"/>
      <c r="BN18" s="58"/>
      <c r="BP18" s="58"/>
      <c r="BQ18" s="58"/>
      <c r="BR18" s="58"/>
      <c r="BS18" s="58"/>
      <c r="BT18" s="58"/>
    </row>
    <row r="19" spans="1:72" outlineLevel="1" x14ac:dyDescent="0.25">
      <c r="A19" s="129"/>
      <c r="B19" s="27" t="s">
        <v>64</v>
      </c>
      <c r="C19" s="28" t="s">
        <v>236</v>
      </c>
      <c r="D19" s="27">
        <v>322589704</v>
      </c>
      <c r="E19" s="28">
        <v>10</v>
      </c>
      <c r="F19" s="28">
        <v>300</v>
      </c>
      <c r="G19" s="28">
        <v>30</v>
      </c>
      <c r="I19" s="29">
        <f t="shared" si="0"/>
        <v>35.542555200000002</v>
      </c>
      <c r="J19" s="30">
        <f t="shared" si="1"/>
        <v>1.1017882703410771</v>
      </c>
      <c r="K19" s="30">
        <f t="shared" si="2"/>
        <v>0.26405313915412504</v>
      </c>
      <c r="L19" s="30">
        <f t="shared" si="3"/>
        <v>0.19726162122024823</v>
      </c>
      <c r="M19" s="30">
        <f t="shared" si="4"/>
        <v>0.83773513118695198</v>
      </c>
      <c r="N19" s="27">
        <f t="shared" si="5"/>
        <v>85180824</v>
      </c>
      <c r="O19" s="30">
        <v>16</v>
      </c>
      <c r="P19" s="31">
        <v>314292335</v>
      </c>
      <c r="Q19" s="31">
        <v>1047641.11666667</v>
      </c>
      <c r="R19" s="31">
        <v>18188.7366666667</v>
      </c>
      <c r="S19" s="32">
        <v>355425552</v>
      </c>
      <c r="T19" s="32">
        <v>63634568</v>
      </c>
      <c r="U19" s="32">
        <v>21546256</v>
      </c>
      <c r="V19" s="32">
        <v>270244728</v>
      </c>
      <c r="W19" s="33">
        <v>71.149593666666703</v>
      </c>
      <c r="X19" s="33">
        <v>75.005414999999999</v>
      </c>
      <c r="Y19" s="33">
        <v>39.700364</v>
      </c>
      <c r="Z19" s="33">
        <v>48.061613333333298</v>
      </c>
      <c r="AA19" s="33">
        <v>48.639729666666597</v>
      </c>
      <c r="AB19" s="34">
        <v>44172.4</v>
      </c>
      <c r="AC19" s="34">
        <v>25011.9</v>
      </c>
      <c r="AD19" s="34">
        <v>103.491</v>
      </c>
      <c r="AE19" s="34">
        <v>322.22899999999998</v>
      </c>
      <c r="AG19" s="29">
        <f t="shared" si="6"/>
        <v>35.315926399999995</v>
      </c>
      <c r="AH19" s="30">
        <f t="shared" si="7"/>
        <v>1.0947629748282357</v>
      </c>
      <c r="AI19" s="30">
        <f t="shared" si="8"/>
        <v>0.26405313915412504</v>
      </c>
      <c r="AJ19" s="30">
        <f t="shared" si="9"/>
        <v>0.19726162122024823</v>
      </c>
      <c r="AK19" s="30">
        <f t="shared" si="10"/>
        <v>0.83070983567411072</v>
      </c>
      <c r="AL19" s="27">
        <f t="shared" si="11"/>
        <v>85180824</v>
      </c>
      <c r="AM19" s="30">
        <v>16</v>
      </c>
      <c r="AN19" s="31">
        <v>314292335</v>
      </c>
      <c r="AO19" s="31">
        <v>1047641.11666667</v>
      </c>
      <c r="AP19" s="31">
        <v>18188.7366666667</v>
      </c>
      <c r="AQ19" s="32">
        <v>353159264</v>
      </c>
      <c r="AR19" s="32">
        <v>63634568</v>
      </c>
      <c r="AS19" s="32">
        <v>21546256</v>
      </c>
      <c r="AT19" s="32">
        <v>267978440</v>
      </c>
      <c r="AU19" s="33">
        <v>71.149593666666703</v>
      </c>
      <c r="AV19" s="33">
        <v>75.005414999999999</v>
      </c>
      <c r="AW19" s="33">
        <v>39.680292333333298</v>
      </c>
      <c r="AX19" s="33">
        <v>48.065980000000003</v>
      </c>
      <c r="AY19" s="33">
        <v>48.647580666666698</v>
      </c>
      <c r="AZ19" s="34">
        <v>43242.400000000001</v>
      </c>
      <c r="BA19" s="34">
        <v>24954.1</v>
      </c>
      <c r="BB19" s="34">
        <v>698.56200000000001</v>
      </c>
      <c r="BC19" s="34">
        <v>315.66300000000001</v>
      </c>
      <c r="BE19" s="35">
        <f t="shared" si="12"/>
        <v>1</v>
      </c>
      <c r="BF19" s="36">
        <f t="shared" si="13"/>
        <v>0</v>
      </c>
      <c r="BG19" s="36">
        <f t="shared" si="14"/>
        <v>1.537933958364518E-3</v>
      </c>
      <c r="BH19" s="36"/>
      <c r="BJ19" s="35"/>
      <c r="BK19" s="35"/>
      <c r="BL19" s="35"/>
      <c r="BM19" s="35"/>
      <c r="BN19" s="35"/>
      <c r="BP19" s="35"/>
      <c r="BQ19" s="35"/>
      <c r="BR19" s="35"/>
      <c r="BS19" s="35"/>
      <c r="BT19" s="35"/>
    </row>
    <row r="20" spans="1:72" x14ac:dyDescent="0.25">
      <c r="A20" s="18"/>
      <c r="B20" s="18" t="s">
        <v>70</v>
      </c>
      <c r="C20" s="19" t="s">
        <v>232</v>
      </c>
      <c r="D20" s="18">
        <v>250602891</v>
      </c>
      <c r="E20" s="19">
        <v>10</v>
      </c>
      <c r="F20" s="19">
        <v>250</v>
      </c>
      <c r="G20" s="19">
        <v>50</v>
      </c>
      <c r="I20" s="20">
        <f t="shared" si="0"/>
        <v>4.9183664</v>
      </c>
      <c r="J20" s="21">
        <f t="shared" si="1"/>
        <v>9.8130679585815311E-2</v>
      </c>
      <c r="K20" s="21">
        <f t="shared" si="2"/>
        <v>5.9044809662630746E-2</v>
      </c>
      <c r="L20" s="21">
        <f t="shared" si="3"/>
        <v>2.9198226607848671E-2</v>
      </c>
      <c r="M20" s="21">
        <f t="shared" si="4"/>
        <v>3.9085869923184566E-2</v>
      </c>
      <c r="N20" s="18">
        <f t="shared" si="5"/>
        <v>14796800</v>
      </c>
      <c r="O20" s="21">
        <v>16</v>
      </c>
      <c r="P20" s="22">
        <v>233912910</v>
      </c>
      <c r="Q20" s="22">
        <v>935651.64</v>
      </c>
      <c r="R20" s="22">
        <v>27733.488000000001</v>
      </c>
      <c r="S20" s="23">
        <v>24591832</v>
      </c>
      <c r="T20" s="23">
        <v>7317160</v>
      </c>
      <c r="U20" s="23">
        <v>7479640</v>
      </c>
      <c r="V20" s="23">
        <v>9795032</v>
      </c>
      <c r="W20" s="24">
        <v>67.265048399999998</v>
      </c>
      <c r="X20" s="24">
        <v>69.083568400000004</v>
      </c>
      <c r="Y20" s="24">
        <v>31.089112799999999</v>
      </c>
      <c r="Z20" s="24">
        <v>40.281544799999999</v>
      </c>
      <c r="AA20" s="24">
        <v>39.065310400000001</v>
      </c>
      <c r="AB20" s="25">
        <v>33766.400000000001</v>
      </c>
      <c r="AC20" s="25">
        <v>15286.7</v>
      </c>
      <c r="AD20" s="25">
        <v>74.941999999999993</v>
      </c>
      <c r="AE20" s="25">
        <v>243.255</v>
      </c>
      <c r="AG20" s="20">
        <f t="shared" si="6"/>
        <v>4.8906464000000005</v>
      </c>
      <c r="AH20" s="21">
        <f t="shared" si="7"/>
        <v>9.7577613340462221E-2</v>
      </c>
      <c r="AI20" s="21">
        <f t="shared" si="8"/>
        <v>5.9044809662630746E-2</v>
      </c>
      <c r="AJ20" s="21">
        <f t="shared" si="9"/>
        <v>2.9198226607848671E-2</v>
      </c>
      <c r="AK20" s="21">
        <f t="shared" si="10"/>
        <v>3.8532803677831476E-2</v>
      </c>
      <c r="AL20" s="18">
        <f t="shared" si="11"/>
        <v>14796800</v>
      </c>
      <c r="AM20" s="21">
        <v>16</v>
      </c>
      <c r="AN20" s="22">
        <v>233912910</v>
      </c>
      <c r="AO20" s="22">
        <v>935651.64</v>
      </c>
      <c r="AP20" s="22">
        <v>27733.488000000001</v>
      </c>
      <c r="AQ20" s="23">
        <v>24453232</v>
      </c>
      <c r="AR20" s="23">
        <v>7317160</v>
      </c>
      <c r="AS20" s="23">
        <v>7479640</v>
      </c>
      <c r="AT20" s="23">
        <v>9656432</v>
      </c>
      <c r="AU20" s="24">
        <v>67.265048399999998</v>
      </c>
      <c r="AV20" s="24">
        <v>69.083568400000004</v>
      </c>
      <c r="AW20" s="24">
        <v>31.087987200000001</v>
      </c>
      <c r="AX20" s="24">
        <v>40.296405200000002</v>
      </c>
      <c r="AY20" s="24">
        <v>39.077879199999998</v>
      </c>
      <c r="AZ20" s="25">
        <v>34124.699999999997</v>
      </c>
      <c r="BA20" s="25">
        <v>15266.1</v>
      </c>
      <c r="BB20" s="25">
        <v>536.70500000000004</v>
      </c>
      <c r="BC20" s="25">
        <v>246.971</v>
      </c>
      <c r="BE20" s="58">
        <f t="shared" si="12"/>
        <v>1</v>
      </c>
      <c r="BF20" s="26">
        <f t="shared" si="13"/>
        <v>0</v>
      </c>
      <c r="BG20" s="26">
        <f t="shared" si="14"/>
        <v>3.4103887145134903E-3</v>
      </c>
      <c r="BH20" s="26">
        <f t="array" ref="BH20">AVERAGE(AL20:AL24/AQ20:AQ24) - AVERAGE(N20:N24/S20:S24)</f>
        <v>6.2826105612848737E-3</v>
      </c>
      <c r="BJ20" s="58">
        <f>IF( OR(ISBLANK(N20:N24),ISBLANK(AL20:AL24), ISBLANK(W20:W24),ISBLANK(AU20:AU24)), "·", bdRateExtend( N20:N24,W20:W24, AL20:AL24,AU20:AU24))</f>
        <v>0</v>
      </c>
      <c r="BK20" s="58">
        <f>IF( OR(ISBLANK(N20:N24),ISBLANK(AL20:AL24), ISBLANK(X20:X24),ISBLANK(AV20:AV24)), "·", bdRateExtend( N20:N24,X20:X24, AL20:AL24,AV20:AV24))</f>
        <v>0</v>
      </c>
      <c r="BL20" s="58">
        <f>IF( OR(ISBLANK(V20:V24),ISBLANK(AT20:AT24), ISBLANK(Y20:Y24),ISBLANK(AW20:AW24)), "·", bdRateExtend( V20:V24,Y20:Y24, AT20:AT24,AW20:AW24))</f>
        <v>2.1168349098779737E-2</v>
      </c>
      <c r="BM20" s="58">
        <f>IF( OR(ISBLANK(V20:V24),ISBLANK(AT20:AT24), ISBLANK(Z20:Z24),ISBLANK(AX20:AX24)), "·", bdRateExtend( V20:V24,Z20:Z24, AT20:AT24,AX20:AX24))</f>
        <v>-4.4251153390765574E-2</v>
      </c>
      <c r="BN20" s="58">
        <f>IF( OR(ISBLANK(V20:V24),ISBLANK(AT20:AT24), ISBLANK(AA20:AA24),ISBLANK(AY20:AY24)), "·", bdRateExtend( V20:V24,AA20:AA24, AT20:AT24,AY20:AY24))</f>
        <v>-3.2705844300990328E-2</v>
      </c>
      <c r="BP20" s="58">
        <f>IF( OR(ISBLANK(S20:S24),ISBLANK(AQ20:AQ24), ISBLANK(W20:W24),ISBLANK(AU20:AU24)), "·", bdRateExtend( S20:S24,W20:W24, AQ20:AQ24,AU20:AU24))</f>
        <v>-1.6751094603986827E-2</v>
      </c>
      <c r="BQ20" s="58">
        <f>IF( OR(ISBLANK(S20:S24),ISBLANK(AQ20:AQ24), ISBLANK(X20:X24),ISBLANK(AV20:AV24)), "·", bdRateExtend( S20:S24,X20:X24, AQ20:AQ24,AV20:AV24))</f>
        <v>-1.7730023936028516E-2</v>
      </c>
      <c r="BR20" s="58">
        <f>IF( OR(ISBLANK(S20:S24),ISBLANK(AQ20:AQ24), ISBLANK(Y20:Y24),ISBLANK(AW20:AW24)), "·", bdRateExtend( S20:S24,Y20:Y24, AQ20:AQ24,AW20:AW24))</f>
        <v>2.511896677903791E-2</v>
      </c>
      <c r="BS20" s="58">
        <f>IF( OR(ISBLANK(S20:S24),ISBLANK(AQ20:AQ24), ISBLANK(Z20:Z24),ISBLANK(AX20:AX24)), "·", bdRateExtend( S20:S24,Z20:Z24, AQ20:AQ24,AX20:AX24))</f>
        <v>-3.1619387259916198E-2</v>
      </c>
      <c r="BT20" s="58">
        <f>IF( OR(ISBLANK(S20:S24),ISBLANK(AQ20:AQ24), ISBLANK(AA20:AA24),ISBLANK(AY20:AY24)), "·", bdRateExtend( S20:S24,AA20:AA24, AQ20:AQ24,AY20:AY24))</f>
        <v>-2.2335460496001658E-2</v>
      </c>
    </row>
    <row r="21" spans="1:72" outlineLevel="1" x14ac:dyDescent="0.25">
      <c r="A21" s="129"/>
      <c r="B21" s="129" t="s">
        <v>70</v>
      </c>
      <c r="C21" s="10" t="s">
        <v>233</v>
      </c>
      <c r="D21" s="129">
        <v>250602891</v>
      </c>
      <c r="E21" s="10">
        <v>10</v>
      </c>
      <c r="F21" s="10">
        <v>250</v>
      </c>
      <c r="G21" s="10">
        <v>50</v>
      </c>
      <c r="I21" s="11">
        <f t="shared" si="0"/>
        <v>7.2844384</v>
      </c>
      <c r="J21" s="12">
        <f t="shared" si="1"/>
        <v>0.14533827544710967</v>
      </c>
      <c r="K21" s="12">
        <f t="shared" si="2"/>
        <v>7.005687735661438E-2</v>
      </c>
      <c r="L21" s="12">
        <f t="shared" si="3"/>
        <v>4.0210294301832296E-2</v>
      </c>
      <c r="M21" s="12">
        <f t="shared" si="4"/>
        <v>7.5281398090495291E-2</v>
      </c>
      <c r="N21" s="129">
        <f t="shared" si="5"/>
        <v>17556456</v>
      </c>
      <c r="O21" s="12">
        <v>16</v>
      </c>
      <c r="P21" s="13">
        <v>243598892</v>
      </c>
      <c r="Q21" s="13">
        <v>974395.56799999997</v>
      </c>
      <c r="R21" s="13">
        <v>33172.135999999999</v>
      </c>
      <c r="S21" s="14">
        <v>36422192</v>
      </c>
      <c r="T21" s="14">
        <v>10076816</v>
      </c>
      <c r="U21" s="14">
        <v>7479640</v>
      </c>
      <c r="V21" s="14">
        <v>18865736</v>
      </c>
      <c r="W21" s="15">
        <v>68.859277599999999</v>
      </c>
      <c r="X21" s="15">
        <v>71.013437600000003</v>
      </c>
      <c r="Y21" s="15">
        <v>32.8951232</v>
      </c>
      <c r="Z21" s="15">
        <v>41.455698400000003</v>
      </c>
      <c r="AA21" s="15">
        <v>40.4010964</v>
      </c>
      <c r="AB21" s="16">
        <v>34187.800000000003</v>
      </c>
      <c r="AC21" s="16">
        <v>16150.9</v>
      </c>
      <c r="AD21" s="16">
        <v>76.498999999999995</v>
      </c>
      <c r="AE21" s="16">
        <v>245.47800000000001</v>
      </c>
      <c r="AG21" s="11">
        <f t="shared" si="6"/>
        <v>7.1795904000000004</v>
      </c>
      <c r="AH21" s="12">
        <f t="shared" si="7"/>
        <v>0.14324636023452739</v>
      </c>
      <c r="AI21" s="12">
        <f t="shared" si="8"/>
        <v>7.005687735661438E-2</v>
      </c>
      <c r="AJ21" s="12">
        <f t="shared" si="9"/>
        <v>4.0210294301832296E-2</v>
      </c>
      <c r="AK21" s="12">
        <f t="shared" si="10"/>
        <v>7.3189482877913006E-2</v>
      </c>
      <c r="AL21" s="129">
        <f t="shared" si="11"/>
        <v>17556456</v>
      </c>
      <c r="AM21" s="12">
        <v>16</v>
      </c>
      <c r="AN21" s="13">
        <v>243598892</v>
      </c>
      <c r="AO21" s="13">
        <v>974395.56799999997</v>
      </c>
      <c r="AP21" s="13">
        <v>33172.135999999999</v>
      </c>
      <c r="AQ21" s="14">
        <v>35897952</v>
      </c>
      <c r="AR21" s="14">
        <v>10076816</v>
      </c>
      <c r="AS21" s="14">
        <v>7479640</v>
      </c>
      <c r="AT21" s="14">
        <v>18341496</v>
      </c>
      <c r="AU21" s="15">
        <v>68.859277599999999</v>
      </c>
      <c r="AV21" s="15">
        <v>71.013437600000003</v>
      </c>
      <c r="AW21" s="15">
        <v>32.850496800000002</v>
      </c>
      <c r="AX21" s="15">
        <v>41.473146800000002</v>
      </c>
      <c r="AY21" s="15">
        <v>40.391191999999997</v>
      </c>
      <c r="AZ21" s="16">
        <v>34078.199999999997</v>
      </c>
      <c r="BA21" s="16">
        <v>16098.3</v>
      </c>
      <c r="BB21" s="16">
        <v>556.52599999999995</v>
      </c>
      <c r="BC21" s="16">
        <v>252.39099999999999</v>
      </c>
      <c r="BE21" s="62">
        <f t="shared" si="12"/>
        <v>1</v>
      </c>
      <c r="BF21" s="17">
        <f t="shared" si="13"/>
        <v>0</v>
      </c>
      <c r="BG21" s="17">
        <f t="shared" si="14"/>
        <v>7.0393288691130707E-3</v>
      </c>
      <c r="BH21" s="17"/>
      <c r="BJ21" s="62"/>
      <c r="BK21" s="62"/>
      <c r="BL21" s="62"/>
      <c r="BM21" s="62"/>
      <c r="BN21" s="62"/>
      <c r="BP21" s="62"/>
      <c r="BQ21" s="62"/>
      <c r="BR21" s="62"/>
      <c r="BS21" s="62"/>
      <c r="BT21" s="62"/>
    </row>
    <row r="22" spans="1:72" outlineLevel="1" x14ac:dyDescent="0.25">
      <c r="A22" s="18"/>
      <c r="B22" s="18" t="s">
        <v>70</v>
      </c>
      <c r="C22" s="19" t="s">
        <v>234</v>
      </c>
      <c r="D22" s="18">
        <v>250602891</v>
      </c>
      <c r="E22" s="19">
        <v>10</v>
      </c>
      <c r="F22" s="19">
        <v>250</v>
      </c>
      <c r="G22" s="19">
        <v>50</v>
      </c>
      <c r="I22" s="20">
        <f t="shared" si="0"/>
        <v>11.813779199999999</v>
      </c>
      <c r="J22" s="21">
        <f t="shared" si="1"/>
        <v>0.23570716109575926</v>
      </c>
      <c r="K22" s="21">
        <f t="shared" si="2"/>
        <v>8.6903642304748993E-2</v>
      </c>
      <c r="L22" s="21">
        <f t="shared" si="3"/>
        <v>5.7057059249966915E-2</v>
      </c>
      <c r="M22" s="21">
        <f t="shared" si="4"/>
        <v>0.14880351879101028</v>
      </c>
      <c r="N22" s="18">
        <f t="shared" si="5"/>
        <v>21778304</v>
      </c>
      <c r="O22" s="21">
        <v>16</v>
      </c>
      <c r="P22" s="22">
        <v>254522160</v>
      </c>
      <c r="Q22" s="22">
        <v>1018088.64</v>
      </c>
      <c r="R22" s="22">
        <v>35582.472000000002</v>
      </c>
      <c r="S22" s="23">
        <v>59068896</v>
      </c>
      <c r="T22" s="23">
        <v>14298664</v>
      </c>
      <c r="U22" s="23">
        <v>7479640</v>
      </c>
      <c r="V22" s="23">
        <v>37290592</v>
      </c>
      <c r="W22" s="24">
        <v>70.041861600000004</v>
      </c>
      <c r="X22" s="24">
        <v>72.450412799999995</v>
      </c>
      <c r="Y22" s="24">
        <v>34.857053999999998</v>
      </c>
      <c r="Z22" s="24">
        <v>42.523152799999998</v>
      </c>
      <c r="AA22" s="24">
        <v>41.523831999999999</v>
      </c>
      <c r="AB22" s="25">
        <v>33955.199999999997</v>
      </c>
      <c r="AC22" s="25">
        <v>17013</v>
      </c>
      <c r="AD22" s="25">
        <v>78.55</v>
      </c>
      <c r="AE22" s="25">
        <v>250.267</v>
      </c>
      <c r="AG22" s="20">
        <f t="shared" si="6"/>
        <v>11.559660800000001</v>
      </c>
      <c r="AH22" s="21">
        <f t="shared" si="7"/>
        <v>0.23063702006534315</v>
      </c>
      <c r="AI22" s="21">
        <f t="shared" si="8"/>
        <v>8.6903642304748993E-2</v>
      </c>
      <c r="AJ22" s="21">
        <f t="shared" si="9"/>
        <v>5.7057059249966915E-2</v>
      </c>
      <c r="AK22" s="21">
        <f t="shared" si="10"/>
        <v>0.14373337776059414</v>
      </c>
      <c r="AL22" s="18">
        <f t="shared" si="11"/>
        <v>21778304</v>
      </c>
      <c r="AM22" s="21">
        <v>16</v>
      </c>
      <c r="AN22" s="22">
        <v>254522160</v>
      </c>
      <c r="AO22" s="22">
        <v>1018088.64</v>
      </c>
      <c r="AP22" s="22">
        <v>35582.472000000002</v>
      </c>
      <c r="AQ22" s="23">
        <v>57798304</v>
      </c>
      <c r="AR22" s="23">
        <v>14298664</v>
      </c>
      <c r="AS22" s="23">
        <v>7479640</v>
      </c>
      <c r="AT22" s="23">
        <v>36020000</v>
      </c>
      <c r="AU22" s="24">
        <v>70.041861600000004</v>
      </c>
      <c r="AV22" s="24">
        <v>72.450412799999995</v>
      </c>
      <c r="AW22" s="24">
        <v>34.734970799999999</v>
      </c>
      <c r="AX22" s="24">
        <v>42.539732000000001</v>
      </c>
      <c r="AY22" s="24">
        <v>41.5218968</v>
      </c>
      <c r="AZ22" s="25">
        <v>34050.199999999997</v>
      </c>
      <c r="BA22" s="25">
        <v>17005.5</v>
      </c>
      <c r="BB22" s="25">
        <v>585.98699999999997</v>
      </c>
      <c r="BC22" s="25">
        <v>259.36200000000002</v>
      </c>
      <c r="BE22" s="58">
        <f t="shared" si="12"/>
        <v>1</v>
      </c>
      <c r="BF22" s="26">
        <f t="shared" si="13"/>
        <v>0</v>
      </c>
      <c r="BG22" s="26">
        <f t="shared" si="14"/>
        <v>8.1050597998271745E-3</v>
      </c>
      <c r="BH22" s="26"/>
      <c r="BJ22" s="58"/>
      <c r="BK22" s="58"/>
      <c r="BL22" s="58"/>
      <c r="BM22" s="58"/>
      <c r="BN22" s="58"/>
      <c r="BP22" s="58"/>
      <c r="BQ22" s="58"/>
      <c r="BR22" s="58"/>
      <c r="BS22" s="58"/>
      <c r="BT22" s="58"/>
    </row>
    <row r="23" spans="1:72" outlineLevel="1" x14ac:dyDescent="0.25">
      <c r="A23" s="129"/>
      <c r="B23" s="129" t="s">
        <v>70</v>
      </c>
      <c r="C23" s="10" t="s">
        <v>235</v>
      </c>
      <c r="D23" s="129">
        <v>250602891</v>
      </c>
      <c r="E23" s="10">
        <v>10</v>
      </c>
      <c r="F23" s="10">
        <v>250</v>
      </c>
      <c r="G23" s="10">
        <v>50</v>
      </c>
      <c r="I23" s="11">
        <f t="shared" si="0"/>
        <v>20.714559999999999</v>
      </c>
      <c r="J23" s="12">
        <f t="shared" si="1"/>
        <v>0.41329451382905236</v>
      </c>
      <c r="K23" s="12">
        <f t="shared" si="2"/>
        <v>0.11643517711852734</v>
      </c>
      <c r="L23" s="12">
        <f t="shared" si="3"/>
        <v>8.6588594063745264E-2</v>
      </c>
      <c r="M23" s="12">
        <f t="shared" si="4"/>
        <v>0.296859336710525</v>
      </c>
      <c r="N23" s="129">
        <f t="shared" si="5"/>
        <v>29178992</v>
      </c>
      <c r="O23" s="12">
        <v>16</v>
      </c>
      <c r="P23" s="13">
        <v>254709425</v>
      </c>
      <c r="Q23" s="13">
        <v>1018837.7</v>
      </c>
      <c r="R23" s="13">
        <v>37597.303999999996</v>
      </c>
      <c r="S23" s="14">
        <v>103572800</v>
      </c>
      <c r="T23" s="14">
        <v>21699352</v>
      </c>
      <c r="U23" s="14">
        <v>7479640</v>
      </c>
      <c r="V23" s="14">
        <v>74393808</v>
      </c>
      <c r="W23" s="15">
        <v>71.086374399999997</v>
      </c>
      <c r="X23" s="15">
        <v>73.828453199999998</v>
      </c>
      <c r="Y23" s="15">
        <v>36.4327884</v>
      </c>
      <c r="Z23" s="15">
        <v>43.832136400000003</v>
      </c>
      <c r="AA23" s="15">
        <v>42.745331200000003</v>
      </c>
      <c r="AB23" s="16">
        <v>33957.300000000003</v>
      </c>
      <c r="AC23" s="16">
        <v>18408.3</v>
      </c>
      <c r="AD23" s="16">
        <v>78.677999999999997</v>
      </c>
      <c r="AE23" s="16">
        <v>264.70699999999999</v>
      </c>
      <c r="AG23" s="11">
        <f t="shared" si="6"/>
        <v>20.288039999999999</v>
      </c>
      <c r="AH23" s="12">
        <f t="shared" si="7"/>
        <v>0.40478463594420383</v>
      </c>
      <c r="AI23" s="12">
        <f t="shared" si="8"/>
        <v>0.11643517711852734</v>
      </c>
      <c r="AJ23" s="12">
        <f t="shared" si="9"/>
        <v>8.6588594063745264E-2</v>
      </c>
      <c r="AK23" s="12">
        <f t="shared" si="10"/>
        <v>0.28834945882567653</v>
      </c>
      <c r="AL23" s="129">
        <f t="shared" si="11"/>
        <v>29178992</v>
      </c>
      <c r="AM23" s="12">
        <v>16</v>
      </c>
      <c r="AN23" s="13">
        <v>254709425</v>
      </c>
      <c r="AO23" s="13">
        <v>1018837.7</v>
      </c>
      <c r="AP23" s="13">
        <v>37597.303999999996</v>
      </c>
      <c r="AQ23" s="14">
        <v>101440200</v>
      </c>
      <c r="AR23" s="14">
        <v>21699352</v>
      </c>
      <c r="AS23" s="14">
        <v>7479640</v>
      </c>
      <c r="AT23" s="14">
        <v>72261208</v>
      </c>
      <c r="AU23" s="15">
        <v>71.086374399999997</v>
      </c>
      <c r="AV23" s="15">
        <v>73.828453199999998</v>
      </c>
      <c r="AW23" s="15">
        <v>36.217287200000001</v>
      </c>
      <c r="AX23" s="15">
        <v>43.851308000000003</v>
      </c>
      <c r="AY23" s="15">
        <v>42.746985199999997</v>
      </c>
      <c r="AZ23" s="16">
        <v>33621</v>
      </c>
      <c r="BA23" s="16">
        <v>18378.8</v>
      </c>
      <c r="BB23" s="16">
        <v>581.29100000000005</v>
      </c>
      <c r="BC23" s="16">
        <v>264.81900000000002</v>
      </c>
      <c r="BE23" s="62">
        <f t="shared" si="12"/>
        <v>1</v>
      </c>
      <c r="BF23" s="17">
        <f t="shared" si="13"/>
        <v>0</v>
      </c>
      <c r="BG23" s="17">
        <f t="shared" si="14"/>
        <v>5.9227564701531121E-3</v>
      </c>
      <c r="BH23" s="17"/>
      <c r="BJ23" s="62"/>
      <c r="BK23" s="62"/>
      <c r="BL23" s="62"/>
      <c r="BM23" s="62"/>
      <c r="BN23" s="62"/>
      <c r="BP23" s="62"/>
      <c r="BQ23" s="62"/>
      <c r="BR23" s="62"/>
      <c r="BS23" s="62"/>
      <c r="BT23" s="62"/>
    </row>
    <row r="24" spans="1:72" outlineLevel="1" x14ac:dyDescent="0.25">
      <c r="A24" s="37"/>
      <c r="B24" s="37" t="s">
        <v>70</v>
      </c>
      <c r="C24" s="38" t="s">
        <v>236</v>
      </c>
      <c r="D24" s="37">
        <v>250602891</v>
      </c>
      <c r="E24" s="38">
        <v>10</v>
      </c>
      <c r="F24" s="38">
        <v>250</v>
      </c>
      <c r="G24" s="38">
        <v>50</v>
      </c>
      <c r="I24" s="39">
        <f t="shared" si="0"/>
        <v>36.358060799999997</v>
      </c>
      <c r="J24" s="40">
        <f t="shared" si="1"/>
        <v>0.7254118389240769</v>
      </c>
      <c r="K24" s="40">
        <f t="shared" si="2"/>
        <v>0.19238462815658419</v>
      </c>
      <c r="L24" s="40">
        <f t="shared" si="3"/>
        <v>0.13619389570410023</v>
      </c>
      <c r="M24" s="40">
        <f t="shared" si="4"/>
        <v>0.53302721076749271</v>
      </c>
      <c r="N24" s="37">
        <f t="shared" si="5"/>
        <v>48212144</v>
      </c>
      <c r="O24" s="40">
        <v>16</v>
      </c>
      <c r="P24" s="41">
        <v>244491264</v>
      </c>
      <c r="Q24" s="41">
        <v>977965.05599999998</v>
      </c>
      <c r="R24" s="41">
        <v>18776.612000000001</v>
      </c>
      <c r="S24" s="42">
        <v>181790304</v>
      </c>
      <c r="T24" s="42">
        <v>34130584</v>
      </c>
      <c r="U24" s="42">
        <v>14081560</v>
      </c>
      <c r="V24" s="42">
        <v>133578160</v>
      </c>
      <c r="W24" s="43">
        <v>71.859961200000001</v>
      </c>
      <c r="X24" s="43">
        <v>75.795926399999999</v>
      </c>
      <c r="Y24" s="43">
        <v>37.611800000000002</v>
      </c>
      <c r="Z24" s="43">
        <v>44.779111200000003</v>
      </c>
      <c r="AA24" s="43">
        <v>43.446710799999998</v>
      </c>
      <c r="AB24" s="44">
        <v>34596.199999999997</v>
      </c>
      <c r="AC24" s="44">
        <v>20328.599999999999</v>
      </c>
      <c r="AD24" s="44">
        <v>76.022999999999996</v>
      </c>
      <c r="AE24" s="44">
        <v>275.25599999999997</v>
      </c>
      <c r="AG24" s="39">
        <f t="shared" si="6"/>
        <v>35.431481600000005</v>
      </c>
      <c r="AH24" s="40">
        <f t="shared" si="7"/>
        <v>0.7069248375111522</v>
      </c>
      <c r="AI24" s="40">
        <f t="shared" si="8"/>
        <v>0.19238462815658419</v>
      </c>
      <c r="AJ24" s="40">
        <f t="shared" si="9"/>
        <v>0.13619389570410023</v>
      </c>
      <c r="AK24" s="40">
        <f t="shared" si="10"/>
        <v>0.51454020935456801</v>
      </c>
      <c r="AL24" s="37">
        <f t="shared" si="11"/>
        <v>48212144</v>
      </c>
      <c r="AM24" s="40">
        <v>16</v>
      </c>
      <c r="AN24" s="41">
        <v>244491264</v>
      </c>
      <c r="AO24" s="41">
        <v>977965.05599999998</v>
      </c>
      <c r="AP24" s="41">
        <v>18776.612000000001</v>
      </c>
      <c r="AQ24" s="42">
        <v>177157408</v>
      </c>
      <c r="AR24" s="42">
        <v>34130584</v>
      </c>
      <c r="AS24" s="42">
        <v>14081560</v>
      </c>
      <c r="AT24" s="42">
        <v>128945264</v>
      </c>
      <c r="AU24" s="43">
        <v>71.859961200000001</v>
      </c>
      <c r="AV24" s="43">
        <v>75.795926399999999</v>
      </c>
      <c r="AW24" s="43">
        <v>37.320363200000003</v>
      </c>
      <c r="AX24" s="43">
        <v>44.964394400000003</v>
      </c>
      <c r="AY24" s="43">
        <v>43.600688400000003</v>
      </c>
      <c r="AZ24" s="44">
        <v>33425.599999999999</v>
      </c>
      <c r="BA24" s="44">
        <v>20305.2</v>
      </c>
      <c r="BB24" s="44">
        <v>559.98900000000003</v>
      </c>
      <c r="BC24" s="44">
        <v>282.00299999999999</v>
      </c>
      <c r="BE24" s="45">
        <f t="shared" si="12"/>
        <v>1</v>
      </c>
      <c r="BF24" s="46">
        <f t="shared" si="13"/>
        <v>0</v>
      </c>
      <c r="BG24" s="46">
        <f t="shared" si="14"/>
        <v>6.9355189528174099E-3</v>
      </c>
      <c r="BH24" s="46"/>
      <c r="BJ24" s="45"/>
      <c r="BK24" s="45"/>
      <c r="BL24" s="45"/>
      <c r="BM24" s="45"/>
      <c r="BN24" s="45"/>
      <c r="BP24" s="45"/>
      <c r="BQ24" s="45"/>
      <c r="BR24" s="45"/>
      <c r="BS24" s="45"/>
      <c r="BT24" s="45"/>
    </row>
    <row r="25" spans="1:72" x14ac:dyDescent="0.25">
      <c r="A25" s="129" t="s">
        <v>237</v>
      </c>
      <c r="B25" s="129" t="s">
        <v>73</v>
      </c>
      <c r="C25" s="10" t="s">
        <v>232</v>
      </c>
      <c r="D25" s="129">
        <v>250294582</v>
      </c>
      <c r="E25" s="10">
        <v>10</v>
      </c>
      <c r="F25" s="10">
        <v>300</v>
      </c>
      <c r="G25" s="10">
        <v>30</v>
      </c>
      <c r="I25" s="11">
        <f t="shared" si="0"/>
        <v>4.6658792</v>
      </c>
      <c r="J25" s="12">
        <f t="shared" si="1"/>
        <v>0.18641550938565662</v>
      </c>
      <c r="K25" s="12">
        <f t="shared" si="2"/>
        <v>6.4877473056927773E-2</v>
      </c>
      <c r="L25" s="12">
        <f t="shared" si="3"/>
        <v>3.6544586490489833E-2</v>
      </c>
      <c r="M25" s="12">
        <f t="shared" si="4"/>
        <v>0.12153803632872884</v>
      </c>
      <c r="N25" s="129">
        <f t="shared" si="5"/>
        <v>16238480</v>
      </c>
      <c r="O25" s="12">
        <v>16</v>
      </c>
      <c r="P25" s="13">
        <v>229868535</v>
      </c>
      <c r="Q25" s="13">
        <v>766228.45</v>
      </c>
      <c r="R25" s="13">
        <v>15692.583333333299</v>
      </c>
      <c r="S25" s="14">
        <v>46658792</v>
      </c>
      <c r="T25" s="14">
        <v>9146912</v>
      </c>
      <c r="U25" s="14">
        <v>7091568</v>
      </c>
      <c r="V25" s="14">
        <v>30420312</v>
      </c>
      <c r="W25" s="15">
        <v>66.290462666666699</v>
      </c>
      <c r="X25" s="15">
        <v>68.083682666666704</v>
      </c>
      <c r="Y25" s="15">
        <v>27.2859366666667</v>
      </c>
      <c r="Z25" s="15">
        <v>33.097762000000003</v>
      </c>
      <c r="AA25" s="15">
        <v>32.5287826666667</v>
      </c>
      <c r="AB25" s="16">
        <v>14634.5</v>
      </c>
      <c r="AC25" s="16">
        <v>16373.7</v>
      </c>
      <c r="AD25" s="16">
        <v>79.033000000000001</v>
      </c>
      <c r="AE25" s="16">
        <v>261.411</v>
      </c>
      <c r="AG25" s="11">
        <f t="shared" si="6"/>
        <v>4.6636031999999998</v>
      </c>
      <c r="AH25" s="12">
        <f t="shared" si="7"/>
        <v>0.18632457653438139</v>
      </c>
      <c r="AI25" s="12">
        <f t="shared" si="8"/>
        <v>6.4877473056927773E-2</v>
      </c>
      <c r="AJ25" s="12">
        <f t="shared" si="9"/>
        <v>3.6544586490489833E-2</v>
      </c>
      <c r="AK25" s="12">
        <f t="shared" si="10"/>
        <v>0.12144710347745362</v>
      </c>
      <c r="AL25" s="129">
        <f t="shared" si="11"/>
        <v>16238480</v>
      </c>
      <c r="AM25" s="12">
        <v>16</v>
      </c>
      <c r="AN25" s="13">
        <v>229868535</v>
      </c>
      <c r="AO25" s="13">
        <v>766228.45</v>
      </c>
      <c r="AP25" s="13">
        <v>15692.583333333299</v>
      </c>
      <c r="AQ25" s="14">
        <v>46636032</v>
      </c>
      <c r="AR25" s="14">
        <v>9146912</v>
      </c>
      <c r="AS25" s="14">
        <v>7091568</v>
      </c>
      <c r="AT25" s="14">
        <v>30397552</v>
      </c>
      <c r="AU25" s="15">
        <v>66.290462666666699</v>
      </c>
      <c r="AV25" s="15">
        <v>68.083682666666704</v>
      </c>
      <c r="AW25" s="15">
        <v>27.282872000000001</v>
      </c>
      <c r="AX25" s="15">
        <v>33.1026666666666</v>
      </c>
      <c r="AY25" s="15">
        <v>32.534654000000003</v>
      </c>
      <c r="AZ25" s="16">
        <v>14668</v>
      </c>
      <c r="BA25" s="16">
        <v>16336.4</v>
      </c>
      <c r="BB25" s="16">
        <v>516.63800000000003</v>
      </c>
      <c r="BC25" s="16">
        <v>262.14</v>
      </c>
      <c r="BE25" s="62">
        <f t="shared" si="12"/>
        <v>1</v>
      </c>
      <c r="BF25" s="17">
        <f t="shared" si="13"/>
        <v>0</v>
      </c>
      <c r="BG25" s="17">
        <f t="shared" si="14"/>
        <v>1.6984882631443377E-4</v>
      </c>
      <c r="BH25" s="17">
        <f t="array" ref="BH25">AVERAGE(AL25:AL29/AQ25:AQ29) - AVERAGE(N25:N29/S25:S29)</f>
        <v>3.9882281272654585E-4</v>
      </c>
      <c r="BJ25" s="62">
        <f>IF( OR(ISBLANK(N25:N29),ISBLANK(AL25:AL29), ISBLANK(W25:W29),ISBLANK(AU25:AU29)), "·", bdRateExtend( N25:N29,W25:W29, AL25:AL29,AU25:AU29))</f>
        <v>0</v>
      </c>
      <c r="BK25" s="62">
        <f>IF( OR(ISBLANK(N25:N29),ISBLANK(AL25:AL29), ISBLANK(X25:X29),ISBLANK(AV25:AV29)), "·", bdRateExtend( N25:N29,X25:X29, AL25:AL29,AV25:AV29))</f>
        <v>0</v>
      </c>
      <c r="BL25" s="62">
        <f>IF( OR(ISBLANK(V25:V29),ISBLANK(AT25:AT29), ISBLANK(Y25:Y29),ISBLANK(AW25:AW29)), "·", bdRateExtend( V25:V29,Y25:Y29, AT25:AT29,AW25:AW29))</f>
        <v>1.3413159626287641E-3</v>
      </c>
      <c r="BM25" s="62">
        <f>IF( OR(ISBLANK(V25:V29),ISBLANK(AT25:AT29), ISBLANK(Z25:Z29),ISBLANK(AX25:AX29)), "·", bdRateExtend( V25:V29,Z25:Z29, AT25:AT29,AX25:AX29))</f>
        <v>-4.1120106876736395E-3</v>
      </c>
      <c r="BN25" s="62">
        <f>IF( OR(ISBLANK(V25:V29),ISBLANK(AT25:AT29), ISBLANK(AA25:AA29),ISBLANK(AY25:AY29)), "·", bdRateExtend( V25:V29,AA25:AA29, AT25:AT29,AY25:AY29))</f>
        <v>-4.2681680172343972E-3</v>
      </c>
      <c r="BP25" s="62">
        <f>IF( OR(ISBLANK(S25:S29),ISBLANK(AQ25:AQ29), ISBLANK(W25:W29),ISBLANK(AU25:AU29)), "·", bdRateExtend( S25:S29,W25:W29, AQ25:AQ29,AU25:AU29))</f>
        <v>-2.3971486954180721E-3</v>
      </c>
      <c r="BQ25" s="62">
        <f>IF( OR(ISBLANK(S25:S29),ISBLANK(AQ25:AQ29), ISBLANK(X25:X29),ISBLANK(AV25:AV29)), "·", bdRateExtend( S25:S29,X25:X29, AQ25:AQ29,AV25:AV29))</f>
        <v>-2.6920670826076076E-3</v>
      </c>
      <c r="BR25" s="62">
        <f>IF( OR(ISBLANK(S25:S29),ISBLANK(AQ25:AQ29), ISBLANK(Y25:Y29),ISBLANK(AW25:AW29)), "·", bdRateExtend( S25:S29,Y25:Y29, AQ25:AQ29,AW25:AW29))</f>
        <v>1.5322965403998801E-3</v>
      </c>
      <c r="BS25" s="62">
        <f>IF( OR(ISBLANK(S25:S29),ISBLANK(AQ25:AQ29), ISBLANK(Z25:Z29),ISBLANK(AX25:AX29)), "·", bdRateExtend( S25:S29,Z25:Z29, AQ25:AQ29,AX25:AX29))</f>
        <v>-3.5064394042273461E-3</v>
      </c>
      <c r="BT25" s="62">
        <f>IF( OR(ISBLANK(S25:S29),ISBLANK(AQ25:AQ29), ISBLANK(AA25:AA29),ISBLANK(AY25:AY29)), "·", bdRateExtend( S25:S29,AA25:AA29, AQ25:AQ29,AY25:AY29))</f>
        <v>-3.6093902230144304E-3</v>
      </c>
    </row>
    <row r="26" spans="1:72" outlineLevel="1" x14ac:dyDescent="0.25">
      <c r="A26" s="18"/>
      <c r="B26" s="18" t="s">
        <v>73</v>
      </c>
      <c r="C26" s="19" t="s">
        <v>233</v>
      </c>
      <c r="D26" s="18">
        <v>250294582</v>
      </c>
      <c r="E26" s="19">
        <v>10</v>
      </c>
      <c r="F26" s="19">
        <v>300</v>
      </c>
      <c r="G26" s="19">
        <v>30</v>
      </c>
      <c r="I26" s="20">
        <f t="shared" si="0"/>
        <v>8.0070896000000005</v>
      </c>
      <c r="J26" s="21">
        <f t="shared" si="1"/>
        <v>0.31990662906159112</v>
      </c>
      <c r="K26" s="21">
        <f t="shared" si="2"/>
        <v>7.9907027312321133E-2</v>
      </c>
      <c r="L26" s="21">
        <f t="shared" si="3"/>
        <v>5.1574140745883186E-2</v>
      </c>
      <c r="M26" s="21">
        <f t="shared" si="4"/>
        <v>0.23999960174926999</v>
      </c>
      <c r="N26" s="18">
        <f t="shared" si="5"/>
        <v>20000296</v>
      </c>
      <c r="O26" s="21">
        <v>16</v>
      </c>
      <c r="P26" s="22">
        <v>243598891</v>
      </c>
      <c r="Q26" s="22">
        <v>811996.30333333299</v>
      </c>
      <c r="R26" s="22">
        <v>19489.3</v>
      </c>
      <c r="S26" s="23">
        <v>80070896</v>
      </c>
      <c r="T26" s="23">
        <v>12908728</v>
      </c>
      <c r="U26" s="23">
        <v>7091568</v>
      </c>
      <c r="V26" s="23">
        <v>60070600</v>
      </c>
      <c r="W26" s="24">
        <v>68.005527000000001</v>
      </c>
      <c r="X26" s="24">
        <v>70.039568000000003</v>
      </c>
      <c r="Y26" s="24">
        <v>29.682770999999999</v>
      </c>
      <c r="Z26" s="24">
        <v>34.267501000000003</v>
      </c>
      <c r="AA26" s="24">
        <v>33.848175666666698</v>
      </c>
      <c r="AB26" s="25">
        <v>14660.7</v>
      </c>
      <c r="AC26" s="25">
        <v>17308.400000000001</v>
      </c>
      <c r="AD26" s="25">
        <v>81.948999999999998</v>
      </c>
      <c r="AE26" s="25">
        <v>268.54500000000002</v>
      </c>
      <c r="AG26" s="20">
        <f t="shared" si="6"/>
        <v>7.9963312000000002</v>
      </c>
      <c r="AH26" s="21">
        <f t="shared" si="7"/>
        <v>0.31947679954174957</v>
      </c>
      <c r="AI26" s="21">
        <f t="shared" si="8"/>
        <v>7.9907027312321133E-2</v>
      </c>
      <c r="AJ26" s="21">
        <f t="shared" si="9"/>
        <v>5.1574140745883186E-2</v>
      </c>
      <c r="AK26" s="21">
        <f t="shared" si="10"/>
        <v>0.23956977222942843</v>
      </c>
      <c r="AL26" s="18">
        <f t="shared" si="11"/>
        <v>20000296</v>
      </c>
      <c r="AM26" s="21">
        <v>16</v>
      </c>
      <c r="AN26" s="22">
        <v>243598891</v>
      </c>
      <c r="AO26" s="22">
        <v>811996.30333333299</v>
      </c>
      <c r="AP26" s="22">
        <v>19489.3</v>
      </c>
      <c r="AQ26" s="23">
        <v>79963312</v>
      </c>
      <c r="AR26" s="23">
        <v>12908728</v>
      </c>
      <c r="AS26" s="23">
        <v>7091568</v>
      </c>
      <c r="AT26" s="23">
        <v>59963016</v>
      </c>
      <c r="AU26" s="24">
        <v>68.005527000000001</v>
      </c>
      <c r="AV26" s="24">
        <v>70.039568000000003</v>
      </c>
      <c r="AW26" s="24">
        <v>29.6744353333333</v>
      </c>
      <c r="AX26" s="24">
        <v>34.266967666666702</v>
      </c>
      <c r="AY26" s="24">
        <v>33.8504096666667</v>
      </c>
      <c r="AZ26" s="25">
        <v>14708.5</v>
      </c>
      <c r="BA26" s="25">
        <v>17298.7</v>
      </c>
      <c r="BB26" s="25">
        <v>544.93899999999996</v>
      </c>
      <c r="BC26" s="25">
        <v>268.93299999999999</v>
      </c>
      <c r="BE26" s="58">
        <f t="shared" si="12"/>
        <v>1</v>
      </c>
      <c r="BF26" s="26">
        <f t="shared" si="13"/>
        <v>0</v>
      </c>
      <c r="BG26" s="26">
        <f t="shared" si="14"/>
        <v>3.3606141247921606E-4</v>
      </c>
      <c r="BH26" s="26"/>
      <c r="BJ26" s="58"/>
      <c r="BK26" s="58"/>
      <c r="BL26" s="58"/>
      <c r="BM26" s="58"/>
      <c r="BN26" s="58"/>
      <c r="BP26" s="58"/>
      <c r="BQ26" s="58"/>
      <c r="BR26" s="58"/>
      <c r="BS26" s="58"/>
      <c r="BT26" s="58"/>
    </row>
    <row r="27" spans="1:72" outlineLevel="1" x14ac:dyDescent="0.25">
      <c r="A27" s="129"/>
      <c r="B27" s="129" t="s">
        <v>73</v>
      </c>
      <c r="C27" s="10" t="s">
        <v>234</v>
      </c>
      <c r="D27" s="129">
        <v>250294582</v>
      </c>
      <c r="E27" s="10">
        <v>10</v>
      </c>
      <c r="F27" s="10">
        <v>300</v>
      </c>
      <c r="G27" s="10">
        <v>30</v>
      </c>
      <c r="I27" s="11">
        <f t="shared" si="0"/>
        <v>14.112280800000001</v>
      </c>
      <c r="J27" s="12">
        <f t="shared" si="1"/>
        <v>0.56382685902485896</v>
      </c>
      <c r="K27" s="12">
        <f t="shared" si="2"/>
        <v>0.10260795816986562</v>
      </c>
      <c r="L27" s="12">
        <f t="shared" si="3"/>
        <v>7.4275071603427681E-2</v>
      </c>
      <c r="M27" s="12">
        <f t="shared" si="4"/>
        <v>0.46121890085499334</v>
      </c>
      <c r="N27" s="129">
        <f t="shared" si="5"/>
        <v>25682216</v>
      </c>
      <c r="O27" s="12">
        <v>16</v>
      </c>
      <c r="P27" s="13">
        <v>246298785</v>
      </c>
      <c r="Q27" s="13">
        <v>820995.95</v>
      </c>
      <c r="R27" s="13">
        <v>20455.656666666699</v>
      </c>
      <c r="S27" s="14">
        <v>141122808</v>
      </c>
      <c r="T27" s="14">
        <v>18590648</v>
      </c>
      <c r="U27" s="14">
        <v>7091568</v>
      </c>
      <c r="V27" s="14">
        <v>115440592</v>
      </c>
      <c r="W27" s="15">
        <v>69.314347333333302</v>
      </c>
      <c r="X27" s="15">
        <v>71.731666666666598</v>
      </c>
      <c r="Y27" s="15">
        <v>32.204014999999998</v>
      </c>
      <c r="Z27" s="15">
        <v>35.540293333333302</v>
      </c>
      <c r="AA27" s="15">
        <v>35.188237666666701</v>
      </c>
      <c r="AB27" s="16">
        <v>14607.7</v>
      </c>
      <c r="AC27" s="16">
        <v>18548</v>
      </c>
      <c r="AD27" s="16">
        <v>82.533000000000001</v>
      </c>
      <c r="AE27" s="16">
        <v>286.899</v>
      </c>
      <c r="AG27" s="11">
        <f t="shared" si="6"/>
        <v>14.072672000000001</v>
      </c>
      <c r="AH27" s="12">
        <f t="shared" si="7"/>
        <v>0.56224437171396702</v>
      </c>
      <c r="AI27" s="12">
        <f t="shared" si="8"/>
        <v>0.10260795816986562</v>
      </c>
      <c r="AJ27" s="12">
        <f t="shared" si="9"/>
        <v>7.4275071603427681E-2</v>
      </c>
      <c r="AK27" s="12">
        <f t="shared" si="10"/>
        <v>0.4596364135441014</v>
      </c>
      <c r="AL27" s="129">
        <f t="shared" si="11"/>
        <v>25682216</v>
      </c>
      <c r="AM27" s="12">
        <v>16</v>
      </c>
      <c r="AN27" s="13">
        <v>246298785</v>
      </c>
      <c r="AO27" s="13">
        <v>820995.95</v>
      </c>
      <c r="AP27" s="13">
        <v>20455.656666666699</v>
      </c>
      <c r="AQ27" s="14">
        <v>140726720</v>
      </c>
      <c r="AR27" s="14">
        <v>18590648</v>
      </c>
      <c r="AS27" s="14">
        <v>7091568</v>
      </c>
      <c r="AT27" s="14">
        <v>115044504</v>
      </c>
      <c r="AU27" s="15">
        <v>69.314347333333302</v>
      </c>
      <c r="AV27" s="15">
        <v>71.731666666666598</v>
      </c>
      <c r="AW27" s="15">
        <v>32.1860316666667</v>
      </c>
      <c r="AX27" s="15">
        <v>35.538375666666603</v>
      </c>
      <c r="AY27" s="15">
        <v>35.187346666666699</v>
      </c>
      <c r="AZ27" s="16">
        <v>14693.4</v>
      </c>
      <c r="BA27" s="16">
        <v>18631.099999999999</v>
      </c>
      <c r="BB27" s="16">
        <v>549.24800000000005</v>
      </c>
      <c r="BC27" s="16">
        <v>279.71600000000001</v>
      </c>
      <c r="BE27" s="62">
        <f t="shared" si="12"/>
        <v>1</v>
      </c>
      <c r="BF27" s="17">
        <f t="shared" si="13"/>
        <v>0</v>
      </c>
      <c r="BG27" s="17">
        <f t="shared" si="14"/>
        <v>5.1221277351792827E-4</v>
      </c>
      <c r="BH27" s="17"/>
      <c r="BJ27" s="62"/>
      <c r="BK27" s="62"/>
      <c r="BL27" s="62"/>
      <c r="BM27" s="62"/>
      <c r="BN27" s="62"/>
      <c r="BP27" s="62"/>
      <c r="BQ27" s="62"/>
      <c r="BR27" s="62"/>
      <c r="BS27" s="62"/>
      <c r="BT27" s="62"/>
    </row>
    <row r="28" spans="1:72" outlineLevel="1" x14ac:dyDescent="0.25">
      <c r="A28" s="18"/>
      <c r="B28" s="18" t="s">
        <v>73</v>
      </c>
      <c r="C28" s="19" t="s">
        <v>235</v>
      </c>
      <c r="D28" s="18">
        <v>250294582</v>
      </c>
      <c r="E28" s="19">
        <v>10</v>
      </c>
      <c r="F28" s="19">
        <v>300</v>
      </c>
      <c r="G28" s="19">
        <v>30</v>
      </c>
      <c r="I28" s="20">
        <f t="shared" si="0"/>
        <v>26.131964800000002</v>
      </c>
      <c r="J28" s="21">
        <f t="shared" si="1"/>
        <v>1.0440483605833706</v>
      </c>
      <c r="K28" s="21">
        <f t="shared" si="2"/>
        <v>0.14037302653239214</v>
      </c>
      <c r="L28" s="21">
        <f t="shared" si="3"/>
        <v>0.1120401399659542</v>
      </c>
      <c r="M28" s="21">
        <f t="shared" si="4"/>
        <v>0.90367533405097833</v>
      </c>
      <c r="N28" s="18">
        <f t="shared" si="5"/>
        <v>35134608</v>
      </c>
      <c r="O28" s="21">
        <v>16</v>
      </c>
      <c r="P28" s="22">
        <v>253016684</v>
      </c>
      <c r="Q28" s="22">
        <v>843388.94666666701</v>
      </c>
      <c r="R28" s="22">
        <v>22933.3</v>
      </c>
      <c r="S28" s="23">
        <v>261319648</v>
      </c>
      <c r="T28" s="23">
        <v>28043040</v>
      </c>
      <c r="U28" s="23">
        <v>7091568</v>
      </c>
      <c r="V28" s="23">
        <v>226185040</v>
      </c>
      <c r="W28" s="24">
        <v>70.456214000000102</v>
      </c>
      <c r="X28" s="24">
        <v>73.021119666666706</v>
      </c>
      <c r="Y28" s="24">
        <v>34.898159999999997</v>
      </c>
      <c r="Z28" s="24">
        <v>37.363379333333299</v>
      </c>
      <c r="AA28" s="24">
        <v>36.935742333333401</v>
      </c>
      <c r="AB28" s="25">
        <v>14604.2</v>
      </c>
      <c r="AC28" s="25">
        <v>20961.3</v>
      </c>
      <c r="AD28" s="25">
        <v>82.798000000000002</v>
      </c>
      <c r="AE28" s="25">
        <v>303.65100000000001</v>
      </c>
      <c r="AG28" s="20">
        <f t="shared" si="6"/>
        <v>25.9982504</v>
      </c>
      <c r="AH28" s="21">
        <f t="shared" si="7"/>
        <v>1.0387060795427046</v>
      </c>
      <c r="AI28" s="21">
        <f t="shared" si="8"/>
        <v>0.14037302653239214</v>
      </c>
      <c r="AJ28" s="21">
        <f t="shared" si="9"/>
        <v>0.1120401399659542</v>
      </c>
      <c r="AK28" s="21">
        <f t="shared" si="10"/>
        <v>0.89833305301031241</v>
      </c>
      <c r="AL28" s="18">
        <f t="shared" si="11"/>
        <v>35134608</v>
      </c>
      <c r="AM28" s="21">
        <v>16</v>
      </c>
      <c r="AN28" s="22">
        <v>253016684</v>
      </c>
      <c r="AO28" s="22">
        <v>843388.94666666701</v>
      </c>
      <c r="AP28" s="22">
        <v>22933.3</v>
      </c>
      <c r="AQ28" s="23">
        <v>259982504</v>
      </c>
      <c r="AR28" s="23">
        <v>28043040</v>
      </c>
      <c r="AS28" s="23">
        <v>7091568</v>
      </c>
      <c r="AT28" s="23">
        <v>224847896</v>
      </c>
      <c r="AU28" s="24">
        <v>70.456214000000102</v>
      </c>
      <c r="AV28" s="24">
        <v>73.021119666666706</v>
      </c>
      <c r="AW28" s="24">
        <v>34.865637</v>
      </c>
      <c r="AX28" s="24">
        <v>37.363936666666703</v>
      </c>
      <c r="AY28" s="24">
        <v>36.934083666666702</v>
      </c>
      <c r="AZ28" s="25">
        <v>14687.5</v>
      </c>
      <c r="BA28" s="25">
        <v>21015.7</v>
      </c>
      <c r="BB28" s="25">
        <v>563.78</v>
      </c>
      <c r="BC28" s="25">
        <v>293.25200000000001</v>
      </c>
      <c r="BE28" s="58">
        <f t="shared" si="12"/>
        <v>1</v>
      </c>
      <c r="BF28" s="26">
        <f t="shared" si="13"/>
        <v>0</v>
      </c>
      <c r="BG28" s="26">
        <f t="shared" si="14"/>
        <v>6.915078355707871E-4</v>
      </c>
      <c r="BH28" s="26"/>
      <c r="BJ28" s="58"/>
      <c r="BK28" s="58"/>
      <c r="BL28" s="58"/>
      <c r="BM28" s="58"/>
      <c r="BN28" s="58"/>
      <c r="BP28" s="58"/>
      <c r="BQ28" s="58"/>
      <c r="BR28" s="58"/>
      <c r="BS28" s="58"/>
      <c r="BT28" s="58"/>
    </row>
    <row r="29" spans="1:72" outlineLevel="1" x14ac:dyDescent="0.25">
      <c r="A29" s="27"/>
      <c r="B29" s="27" t="s">
        <v>73</v>
      </c>
      <c r="C29" s="28" t="s">
        <v>236</v>
      </c>
      <c r="D29" s="27">
        <v>250294582</v>
      </c>
      <c r="E29" s="28">
        <v>10</v>
      </c>
      <c r="F29" s="28">
        <v>300</v>
      </c>
      <c r="G29" s="28">
        <v>30</v>
      </c>
      <c r="I29" s="29">
        <f t="shared" si="0"/>
        <v>46.908114399999995</v>
      </c>
      <c r="J29" s="30">
        <f t="shared" si="1"/>
        <v>1.8741162523446073</v>
      </c>
      <c r="K29" s="30">
        <f t="shared" si="2"/>
        <v>0.22663557295858686</v>
      </c>
      <c r="L29" s="30">
        <f t="shared" si="3"/>
        <v>0.17322864783385522</v>
      </c>
      <c r="M29" s="30">
        <f t="shared" si="4"/>
        <v>1.6474806793860204</v>
      </c>
      <c r="N29" s="27">
        <f t="shared" si="5"/>
        <v>56725656</v>
      </c>
      <c r="O29" s="30">
        <v>16</v>
      </c>
      <c r="P29" s="31">
        <v>243471533</v>
      </c>
      <c r="Q29" s="31">
        <v>811571.77666666696</v>
      </c>
      <c r="R29" s="31">
        <v>10616.586666666701</v>
      </c>
      <c r="S29" s="32">
        <v>469081144</v>
      </c>
      <c r="T29" s="32">
        <v>43358192</v>
      </c>
      <c r="U29" s="32">
        <v>13367464</v>
      </c>
      <c r="V29" s="32">
        <v>412355488</v>
      </c>
      <c r="W29" s="33">
        <v>71.196085666666704</v>
      </c>
      <c r="X29" s="33">
        <v>74.950534666666599</v>
      </c>
      <c r="Y29" s="33">
        <v>37.311348666666703</v>
      </c>
      <c r="Z29" s="33">
        <v>39.399046333333303</v>
      </c>
      <c r="AA29" s="33">
        <v>38.751006333333301</v>
      </c>
      <c r="AB29" s="34">
        <v>14584.4</v>
      </c>
      <c r="AC29" s="34">
        <v>24328.5</v>
      </c>
      <c r="AD29" s="34">
        <v>81.953000000000003</v>
      </c>
      <c r="AE29" s="34">
        <v>319.34800000000001</v>
      </c>
      <c r="AG29" s="29">
        <f t="shared" si="6"/>
        <v>46.798023200000003</v>
      </c>
      <c r="AH29" s="30">
        <f t="shared" si="7"/>
        <v>1.8697177871792687</v>
      </c>
      <c r="AI29" s="30">
        <f t="shared" si="8"/>
        <v>0.22663557295858686</v>
      </c>
      <c r="AJ29" s="30">
        <f t="shared" si="9"/>
        <v>0.17322864783385522</v>
      </c>
      <c r="AK29" s="30">
        <f t="shared" si="10"/>
        <v>1.6430822142206818</v>
      </c>
      <c r="AL29" s="27">
        <f t="shared" si="11"/>
        <v>56725656</v>
      </c>
      <c r="AM29" s="30">
        <v>16</v>
      </c>
      <c r="AN29" s="31">
        <v>243471533</v>
      </c>
      <c r="AO29" s="31">
        <v>811571.77666666696</v>
      </c>
      <c r="AP29" s="31">
        <v>10616.586666666701</v>
      </c>
      <c r="AQ29" s="32">
        <v>467980232</v>
      </c>
      <c r="AR29" s="32">
        <v>43358192</v>
      </c>
      <c r="AS29" s="32">
        <v>13367464</v>
      </c>
      <c r="AT29" s="32">
        <v>411254576</v>
      </c>
      <c r="AU29" s="33">
        <v>71.196085666666704</v>
      </c>
      <c r="AV29" s="33">
        <v>74.950534666666599</v>
      </c>
      <c r="AW29" s="33">
        <v>37.2875606666667</v>
      </c>
      <c r="AX29" s="33">
        <v>39.4105286666667</v>
      </c>
      <c r="AY29" s="33">
        <v>38.764485999999998</v>
      </c>
      <c r="AZ29" s="34">
        <v>14718.4</v>
      </c>
      <c r="BA29" s="34">
        <v>24313.599999999999</v>
      </c>
      <c r="BB29" s="34">
        <v>541.93899999999996</v>
      </c>
      <c r="BC29" s="34">
        <v>310.803</v>
      </c>
      <c r="BE29" s="35">
        <f t="shared" si="12"/>
        <v>1</v>
      </c>
      <c r="BF29" s="36">
        <f t="shared" si="13"/>
        <v>0</v>
      </c>
      <c r="BG29" s="36">
        <f t="shared" si="14"/>
        <v>2.8448321575035018E-4</v>
      </c>
      <c r="BH29" s="36"/>
      <c r="BJ29" s="35"/>
      <c r="BK29" s="35"/>
      <c r="BL29" s="35"/>
      <c r="BM29" s="35"/>
      <c r="BN29" s="35"/>
      <c r="BP29" s="35"/>
      <c r="BQ29" s="35"/>
      <c r="BR29" s="35"/>
      <c r="BS29" s="35"/>
      <c r="BT29" s="35"/>
    </row>
    <row r="30" spans="1:72" x14ac:dyDescent="0.25">
      <c r="A30" s="18" t="s">
        <v>238</v>
      </c>
      <c r="B30" s="18" t="s">
        <v>77</v>
      </c>
      <c r="C30" s="19" t="s">
        <v>232</v>
      </c>
      <c r="D30" s="18">
        <v>186907991</v>
      </c>
      <c r="E30" s="19">
        <v>11</v>
      </c>
      <c r="F30" s="19">
        <v>64</v>
      </c>
      <c r="G30" s="19">
        <v>30</v>
      </c>
      <c r="I30" s="20">
        <f t="shared" si="0"/>
        <v>5.8772324999999999</v>
      </c>
      <c r="J30" s="21">
        <f t="shared" si="1"/>
        <v>6.7081647675513237E-2</v>
      </c>
      <c r="K30" s="21">
        <f t="shared" si="2"/>
        <v>4.1093630929883572E-2</v>
      </c>
      <c r="L30" s="21">
        <f t="shared" si="3"/>
        <v>2.5444990203762879E-2</v>
      </c>
      <c r="M30" s="21">
        <f t="shared" si="4"/>
        <v>2.5988016745629672E-2</v>
      </c>
      <c r="N30" s="18">
        <f t="shared" si="5"/>
        <v>7680728</v>
      </c>
      <c r="O30" s="21">
        <v>16</v>
      </c>
      <c r="P30" s="22">
        <v>169180132</v>
      </c>
      <c r="Q30" s="22">
        <v>2643439.5625</v>
      </c>
      <c r="R30" s="22">
        <v>32386.1875</v>
      </c>
      <c r="S30" s="23">
        <v>12538096</v>
      </c>
      <c r="T30" s="23">
        <v>4755872</v>
      </c>
      <c r="U30" s="23">
        <v>2924856</v>
      </c>
      <c r="V30" s="23">
        <v>4857368</v>
      </c>
      <c r="W30" s="24">
        <v>73.425825000000003</v>
      </c>
      <c r="X30" s="24">
        <v>75.7108109375</v>
      </c>
      <c r="Y30" s="24">
        <v>34.765978124999997</v>
      </c>
      <c r="Z30" s="24">
        <v>42.277029687499997</v>
      </c>
      <c r="AA30" s="24">
        <v>43.833979687499998</v>
      </c>
      <c r="AB30" s="25">
        <v>6535.89</v>
      </c>
      <c r="AC30" s="25">
        <v>11286.3</v>
      </c>
      <c r="AD30" s="25">
        <v>58.497999999999998</v>
      </c>
      <c r="AE30" s="25">
        <v>187.286</v>
      </c>
      <c r="AG30" s="20">
        <f t="shared" si="6"/>
        <v>5.8779225000000004</v>
      </c>
      <c r="AH30" s="21">
        <f t="shared" si="7"/>
        <v>6.7089523208239923E-2</v>
      </c>
      <c r="AI30" s="21">
        <f t="shared" si="8"/>
        <v>4.1093630929883572E-2</v>
      </c>
      <c r="AJ30" s="21">
        <f t="shared" si="9"/>
        <v>2.5444990203762879E-2</v>
      </c>
      <c r="AK30" s="21">
        <f t="shared" si="10"/>
        <v>2.5995892278356358E-2</v>
      </c>
      <c r="AL30" s="18">
        <f t="shared" si="11"/>
        <v>7680728</v>
      </c>
      <c r="AM30" s="21">
        <v>16</v>
      </c>
      <c r="AN30" s="22">
        <v>169180132</v>
      </c>
      <c r="AO30" s="22">
        <v>2643439.5625</v>
      </c>
      <c r="AP30" s="22">
        <v>32386.1875</v>
      </c>
      <c r="AQ30" s="23">
        <v>12539568</v>
      </c>
      <c r="AR30" s="23">
        <v>4755872</v>
      </c>
      <c r="AS30" s="23">
        <v>2924856</v>
      </c>
      <c r="AT30" s="23">
        <v>4858840</v>
      </c>
      <c r="AU30" s="24">
        <v>73.425825000000003</v>
      </c>
      <c r="AV30" s="24">
        <v>75.7108109375</v>
      </c>
      <c r="AW30" s="24">
        <v>34.771393750000001</v>
      </c>
      <c r="AX30" s="24">
        <v>42.271803124999998</v>
      </c>
      <c r="AY30" s="24">
        <v>43.839759375</v>
      </c>
      <c r="AZ30" s="25">
        <v>6749.99</v>
      </c>
      <c r="BA30" s="25">
        <v>11272.4</v>
      </c>
      <c r="BB30" s="25">
        <v>388.00799999999998</v>
      </c>
      <c r="BC30" s="25">
        <v>183.81299999999999</v>
      </c>
      <c r="BE30" s="58">
        <f t="shared" si="12"/>
        <v>1</v>
      </c>
      <c r="BF30" s="26">
        <f t="shared" si="13"/>
        <v>0</v>
      </c>
      <c r="BG30" s="26">
        <f t="shared" si="14"/>
        <v>-7.1911116203748904E-5</v>
      </c>
      <c r="BH30" s="26">
        <f t="array" ref="BH30">AVERAGE(AL30:AL34/AQ30:AQ34) - AVERAGE(N30:N34/S30:S34)</f>
        <v>3.6869206593687087E-4</v>
      </c>
      <c r="BJ30" s="58">
        <f>IF( OR(ISBLANK(N30:N34),ISBLANK(AL30:AL34), ISBLANK(W30:W34),ISBLANK(AU30:AU34)), "·", bdRateExtend( N30:N34,W30:W34, AL30:AL34,AU30:AU34))</f>
        <v>0</v>
      </c>
      <c r="BK30" s="58">
        <f>IF( OR(ISBLANK(N30:N34),ISBLANK(AL30:AL34), ISBLANK(X30:X34),ISBLANK(AV30:AV34)), "·", bdRateExtend( N30:N34,X30:X34, AL30:AL34,AV30:AV34))</f>
        <v>0</v>
      </c>
      <c r="BL30" s="58">
        <f>IF( OR(ISBLANK(V30:V34),ISBLANK(AT30:AT34), ISBLANK(Y30:Y34),ISBLANK(AW30:AW34)), "·", bdRateExtend( V30:V34,Y30:Y34, AT30:AT34,AW30:AW34))</f>
        <v>-2.6273853398361968E-4</v>
      </c>
      <c r="BM30" s="58">
        <f>IF( OR(ISBLANK(V30:V34),ISBLANK(AT30:AT34), ISBLANK(Z30:Z34),ISBLANK(AX30:AX34)), "·", bdRateExtend( V30:V34,Z30:Z34, AT30:AT34,AX30:AX34))</f>
        <v>3.7816452949648305E-3</v>
      </c>
      <c r="BN30" s="58">
        <f>IF( OR(ISBLANK(V30:V34),ISBLANK(AT30:AT34), ISBLANK(AA30:AA34),ISBLANK(AY30:AY34)), "·", bdRateExtend( V30:V34,AA30:AA34, AT30:AT34,AY30:AY34))</f>
        <v>-7.3747901677441163E-3</v>
      </c>
      <c r="BP30" s="58">
        <f>IF( OR(ISBLANK(S30:S34),ISBLANK(AQ30:AQ34), ISBLANK(W30:W34),ISBLANK(AU30:AU34)), "·", bdRateExtend( S30:S34,W30:W34, AQ30:AQ34,AU30:AU34))</f>
        <v>-1.0286756024628918E-3</v>
      </c>
      <c r="BQ30" s="58">
        <f>IF( OR(ISBLANK(S30:S34),ISBLANK(AQ30:AQ34), ISBLANK(X30:X34),ISBLANK(AV30:AV34)), "·", bdRateExtend( S30:S34,X30:X34, AQ30:AQ34,AV30:AV34))</f>
        <v>-1.1001147054607863E-3</v>
      </c>
      <c r="BR30" s="58">
        <f>IF( OR(ISBLANK(S30:S34),ISBLANK(AQ30:AQ34), ISBLANK(Y30:Y34),ISBLANK(AW30:AW34)), "·", bdRateExtend( S30:S34,Y30:Y34, AQ30:AQ34,AW30:AW34))</f>
        <v>2.7152916198058819E-4</v>
      </c>
      <c r="BS30" s="58">
        <f>IF( OR(ISBLANK(S30:S34),ISBLANK(AQ30:AQ34), ISBLANK(Z30:Z34),ISBLANK(AX30:AX34)), "·", bdRateExtend( S30:S34,Z30:Z34, AQ30:AQ34,AX30:AX34))</f>
        <v>2.862027124118649E-3</v>
      </c>
      <c r="BT30" s="58">
        <f>IF( OR(ISBLANK(S30:S34),ISBLANK(AQ30:AQ34), ISBLANK(AA30:AA34),ISBLANK(AY30:AY34)), "·", bdRateExtend( S30:S34,AA30:AA34, AQ30:AQ34,AY30:AY34))</f>
        <v>-4.8339751855548396E-3</v>
      </c>
    </row>
    <row r="31" spans="1:72" outlineLevel="1" x14ac:dyDescent="0.25">
      <c r="A31" s="129"/>
      <c r="B31" s="129" t="s">
        <v>77</v>
      </c>
      <c r="C31" s="10" t="s">
        <v>233</v>
      </c>
      <c r="D31" s="129">
        <v>186907991</v>
      </c>
      <c r="E31" s="10">
        <v>11</v>
      </c>
      <c r="F31" s="10">
        <v>64</v>
      </c>
      <c r="G31" s="10">
        <v>30</v>
      </c>
      <c r="I31" s="11">
        <f t="shared" si="0"/>
        <v>8.3592337499999996</v>
      </c>
      <c r="J31" s="12">
        <f t="shared" si="1"/>
        <v>9.5410752127767506E-2</v>
      </c>
      <c r="K31" s="12">
        <f t="shared" si="2"/>
        <v>5.0494577302476064E-2</v>
      </c>
      <c r="L31" s="12">
        <f t="shared" si="3"/>
        <v>3.4845936576355367E-2</v>
      </c>
      <c r="M31" s="12">
        <f t="shared" si="4"/>
        <v>4.4916174825291443E-2</v>
      </c>
      <c r="N31" s="129">
        <f t="shared" si="5"/>
        <v>9437840</v>
      </c>
      <c r="O31" s="12">
        <v>16</v>
      </c>
      <c r="P31" s="13">
        <v>180452170</v>
      </c>
      <c r="Q31" s="13">
        <v>2819565.15625</v>
      </c>
      <c r="R31" s="13">
        <v>41116.796875</v>
      </c>
      <c r="S31" s="14">
        <v>17833032</v>
      </c>
      <c r="T31" s="14">
        <v>6512984</v>
      </c>
      <c r="U31" s="14">
        <v>2924856</v>
      </c>
      <c r="V31" s="14">
        <v>8395192</v>
      </c>
      <c r="W31" s="15">
        <v>75.137903124999994</v>
      </c>
      <c r="X31" s="15">
        <v>77.582792187500004</v>
      </c>
      <c r="Y31" s="15">
        <v>36.699199999999998</v>
      </c>
      <c r="Z31" s="15">
        <v>42.816385937500002</v>
      </c>
      <c r="AA31" s="15">
        <v>45.059417187500003</v>
      </c>
      <c r="AB31" s="16">
        <v>6527.34</v>
      </c>
      <c r="AC31" s="16">
        <v>11729.1</v>
      </c>
      <c r="AD31" s="16">
        <v>60.314999999999998</v>
      </c>
      <c r="AE31" s="16">
        <v>187.982</v>
      </c>
      <c r="AG31" s="11">
        <f t="shared" si="6"/>
        <v>8.3512087499999996</v>
      </c>
      <c r="AH31" s="12">
        <f t="shared" si="7"/>
        <v>9.5319156258011462E-2</v>
      </c>
      <c r="AI31" s="12">
        <f t="shared" si="8"/>
        <v>5.0494577302476064E-2</v>
      </c>
      <c r="AJ31" s="12">
        <f t="shared" si="9"/>
        <v>3.4845936576355367E-2</v>
      </c>
      <c r="AK31" s="12">
        <f t="shared" si="10"/>
        <v>4.4824578955535398E-2</v>
      </c>
      <c r="AL31" s="129">
        <f t="shared" si="11"/>
        <v>9437840</v>
      </c>
      <c r="AM31" s="12">
        <v>16</v>
      </c>
      <c r="AN31" s="13">
        <v>180452170</v>
      </c>
      <c r="AO31" s="13">
        <v>2819565.15625</v>
      </c>
      <c r="AP31" s="13">
        <v>41116.796875</v>
      </c>
      <c r="AQ31" s="14">
        <v>17815912</v>
      </c>
      <c r="AR31" s="14">
        <v>6512984</v>
      </c>
      <c r="AS31" s="14">
        <v>2924856</v>
      </c>
      <c r="AT31" s="14">
        <v>8378072</v>
      </c>
      <c r="AU31" s="15">
        <v>75.137903124999994</v>
      </c>
      <c r="AV31" s="15">
        <v>77.582792187500004</v>
      </c>
      <c r="AW31" s="15">
        <v>36.6978875</v>
      </c>
      <c r="AX31" s="15">
        <v>42.803424999999997</v>
      </c>
      <c r="AY31" s="15">
        <v>45.101806250000003</v>
      </c>
      <c r="AZ31" s="16">
        <v>6782.95</v>
      </c>
      <c r="BA31" s="16">
        <v>11701.5</v>
      </c>
      <c r="BB31" s="16">
        <v>412.75200000000001</v>
      </c>
      <c r="BC31" s="16">
        <v>187.42400000000001</v>
      </c>
      <c r="BE31" s="62">
        <f t="shared" si="12"/>
        <v>1</v>
      </c>
      <c r="BF31" s="17">
        <f t="shared" si="13"/>
        <v>0</v>
      </c>
      <c r="BG31" s="17">
        <f t="shared" si="14"/>
        <v>5.0856108273888978E-4</v>
      </c>
      <c r="BH31" s="17"/>
      <c r="BJ31" s="62"/>
      <c r="BK31" s="62"/>
      <c r="BL31" s="62"/>
      <c r="BM31" s="62"/>
      <c r="BN31" s="62"/>
      <c r="BP31" s="62"/>
      <c r="BQ31" s="62"/>
      <c r="BR31" s="62"/>
      <c r="BS31" s="62"/>
      <c r="BT31" s="62"/>
    </row>
    <row r="32" spans="1:72" outlineLevel="1" x14ac:dyDescent="0.25">
      <c r="A32" s="18"/>
      <c r="B32" s="18" t="s">
        <v>77</v>
      </c>
      <c r="C32" s="19" t="s">
        <v>234</v>
      </c>
      <c r="D32" s="18">
        <v>186907991</v>
      </c>
      <c r="E32" s="19">
        <v>11</v>
      </c>
      <c r="F32" s="19">
        <v>64</v>
      </c>
      <c r="G32" s="19">
        <v>30</v>
      </c>
      <c r="I32" s="20">
        <f t="shared" si="0"/>
        <v>12.86695125</v>
      </c>
      <c r="J32" s="21">
        <f t="shared" si="1"/>
        <v>0.14686100820590384</v>
      </c>
      <c r="K32" s="21">
        <f t="shared" si="2"/>
        <v>6.4035442979000295E-2</v>
      </c>
      <c r="L32" s="21">
        <f t="shared" si="3"/>
        <v>4.8386802252879599E-2</v>
      </c>
      <c r="M32" s="21">
        <f t="shared" si="4"/>
        <v>8.2825565226903541E-2</v>
      </c>
      <c r="N32" s="18">
        <f t="shared" si="5"/>
        <v>11968736</v>
      </c>
      <c r="O32" s="21">
        <v>16</v>
      </c>
      <c r="P32" s="22">
        <v>184663139</v>
      </c>
      <c r="Q32" s="22">
        <v>2885361.546875</v>
      </c>
      <c r="R32" s="22">
        <v>44778.625</v>
      </c>
      <c r="S32" s="23">
        <v>27449496</v>
      </c>
      <c r="T32" s="23">
        <v>9043880</v>
      </c>
      <c r="U32" s="23">
        <v>2924856</v>
      </c>
      <c r="V32" s="23">
        <v>15480760</v>
      </c>
      <c r="W32" s="24">
        <v>76.444009374999993</v>
      </c>
      <c r="X32" s="24">
        <v>79.129159375</v>
      </c>
      <c r="Y32" s="24">
        <v>38.458793749999998</v>
      </c>
      <c r="Z32" s="24">
        <v>43.332940624999999</v>
      </c>
      <c r="AA32" s="24">
        <v>46.298910937499997</v>
      </c>
      <c r="AB32" s="25">
        <v>6547.88</v>
      </c>
      <c r="AC32" s="25">
        <v>12209.2</v>
      </c>
      <c r="AD32" s="25">
        <v>61.956000000000003</v>
      </c>
      <c r="AE32" s="25">
        <v>194.72200000000001</v>
      </c>
      <c r="AG32" s="20">
        <f t="shared" si="6"/>
        <v>12.85482</v>
      </c>
      <c r="AH32" s="21">
        <f t="shared" si="7"/>
        <v>0.14672254435606233</v>
      </c>
      <c r="AI32" s="21">
        <f t="shared" si="8"/>
        <v>6.4035442979000295E-2</v>
      </c>
      <c r="AJ32" s="21">
        <f t="shared" si="9"/>
        <v>4.8386802252879599E-2</v>
      </c>
      <c r="AK32" s="21">
        <f t="shared" si="10"/>
        <v>8.2687101377062047E-2</v>
      </c>
      <c r="AL32" s="18">
        <f t="shared" si="11"/>
        <v>11968736</v>
      </c>
      <c r="AM32" s="21">
        <v>16</v>
      </c>
      <c r="AN32" s="22">
        <v>184663139</v>
      </c>
      <c r="AO32" s="22">
        <v>2885361.546875</v>
      </c>
      <c r="AP32" s="22">
        <v>44778.625</v>
      </c>
      <c r="AQ32" s="23">
        <v>27423616</v>
      </c>
      <c r="AR32" s="23">
        <v>9043880</v>
      </c>
      <c r="AS32" s="23">
        <v>2924856</v>
      </c>
      <c r="AT32" s="23">
        <v>15454880</v>
      </c>
      <c r="AU32" s="24">
        <v>76.444009374999993</v>
      </c>
      <c r="AV32" s="24">
        <v>79.129159375</v>
      </c>
      <c r="AW32" s="24">
        <v>38.453512500000002</v>
      </c>
      <c r="AX32" s="24">
        <v>43.326978124999997</v>
      </c>
      <c r="AY32" s="24">
        <v>46.292881250000001</v>
      </c>
      <c r="AZ32" s="25">
        <v>6800.95</v>
      </c>
      <c r="BA32" s="25">
        <v>12208.4</v>
      </c>
      <c r="BB32" s="25">
        <v>421.91899999999998</v>
      </c>
      <c r="BC32" s="25">
        <v>191.298</v>
      </c>
      <c r="BE32" s="58">
        <f t="shared" si="12"/>
        <v>1</v>
      </c>
      <c r="BF32" s="26">
        <f t="shared" si="13"/>
        <v>0</v>
      </c>
      <c r="BG32" s="26">
        <f t="shared" si="14"/>
        <v>4.1148448594013898E-4</v>
      </c>
      <c r="BH32" s="26"/>
      <c r="BJ32" s="58"/>
      <c r="BK32" s="58"/>
      <c r="BL32" s="58"/>
      <c r="BM32" s="58"/>
      <c r="BN32" s="58"/>
      <c r="BP32" s="58"/>
      <c r="BQ32" s="58"/>
      <c r="BR32" s="58"/>
      <c r="BS32" s="58"/>
      <c r="BT32" s="58"/>
    </row>
    <row r="33" spans="1:72" outlineLevel="1" x14ac:dyDescent="0.25">
      <c r="A33" s="129"/>
      <c r="B33" s="129" t="s">
        <v>77</v>
      </c>
      <c r="C33" s="10" t="s">
        <v>235</v>
      </c>
      <c r="D33" s="129">
        <v>186907991</v>
      </c>
      <c r="E33" s="10">
        <v>11</v>
      </c>
      <c r="F33" s="10">
        <v>64</v>
      </c>
      <c r="G33" s="10">
        <v>30</v>
      </c>
      <c r="I33" s="11">
        <f t="shared" si="0"/>
        <v>21.428763750000002</v>
      </c>
      <c r="J33" s="12">
        <f t="shared" si="1"/>
        <v>0.2445839568196953</v>
      </c>
      <c r="K33" s="12">
        <f t="shared" si="2"/>
        <v>8.6467271482255678E-2</v>
      </c>
      <c r="L33" s="12">
        <f t="shared" si="3"/>
        <v>7.0818630756134981E-2</v>
      </c>
      <c r="M33" s="12">
        <f t="shared" si="4"/>
        <v>0.15811668533743964</v>
      </c>
      <c r="N33" s="129">
        <f t="shared" si="5"/>
        <v>16161424</v>
      </c>
      <c r="O33" s="12">
        <v>16</v>
      </c>
      <c r="P33" s="13">
        <v>188952868</v>
      </c>
      <c r="Q33" s="13">
        <v>2952388.5625</v>
      </c>
      <c r="R33" s="13">
        <v>49662.96875</v>
      </c>
      <c r="S33" s="14">
        <v>45714696</v>
      </c>
      <c r="T33" s="14">
        <v>13236568</v>
      </c>
      <c r="U33" s="14">
        <v>2924856</v>
      </c>
      <c r="V33" s="14">
        <v>29553272</v>
      </c>
      <c r="W33" s="15">
        <v>77.586043750000002</v>
      </c>
      <c r="X33" s="15">
        <v>80.332601562500003</v>
      </c>
      <c r="Y33" s="15">
        <v>40.064645312499998</v>
      </c>
      <c r="Z33" s="15">
        <v>44.027356249999997</v>
      </c>
      <c r="AA33" s="15">
        <v>47.883262500000001</v>
      </c>
      <c r="AB33" s="16">
        <v>6567.89</v>
      </c>
      <c r="AC33" s="16">
        <v>12827.2</v>
      </c>
      <c r="AD33" s="16">
        <v>62.213000000000001</v>
      </c>
      <c r="AE33" s="16">
        <v>200.04400000000001</v>
      </c>
      <c r="AG33" s="11">
        <f t="shared" si="6"/>
        <v>21.388601250000001</v>
      </c>
      <c r="AH33" s="12">
        <f t="shared" si="7"/>
        <v>0.2441255494528321</v>
      </c>
      <c r="AI33" s="12">
        <f t="shared" si="8"/>
        <v>8.6467271482255678E-2</v>
      </c>
      <c r="AJ33" s="12">
        <f t="shared" si="9"/>
        <v>7.0818630756134981E-2</v>
      </c>
      <c r="AK33" s="12">
        <f t="shared" si="10"/>
        <v>0.15765827797057644</v>
      </c>
      <c r="AL33" s="129">
        <f t="shared" si="11"/>
        <v>16161424</v>
      </c>
      <c r="AM33" s="12">
        <v>16</v>
      </c>
      <c r="AN33" s="13">
        <v>188952868</v>
      </c>
      <c r="AO33" s="13">
        <v>2952388.5625</v>
      </c>
      <c r="AP33" s="13">
        <v>49662.96875</v>
      </c>
      <c r="AQ33" s="14">
        <v>45629016</v>
      </c>
      <c r="AR33" s="14">
        <v>13236568</v>
      </c>
      <c r="AS33" s="14">
        <v>2924856</v>
      </c>
      <c r="AT33" s="14">
        <v>29467592</v>
      </c>
      <c r="AU33" s="15">
        <v>77.586043750000002</v>
      </c>
      <c r="AV33" s="15">
        <v>80.332601562500003</v>
      </c>
      <c r="AW33" s="15">
        <v>40.056317187499999</v>
      </c>
      <c r="AX33" s="15">
        <v>44.025435937499999</v>
      </c>
      <c r="AY33" s="15">
        <v>47.886992187499999</v>
      </c>
      <c r="AZ33" s="16">
        <v>6798.24</v>
      </c>
      <c r="BA33" s="16">
        <v>12838</v>
      </c>
      <c r="BB33" s="16">
        <v>433.42200000000003</v>
      </c>
      <c r="BC33" s="16">
        <v>200.768</v>
      </c>
      <c r="BE33" s="62">
        <f t="shared" si="12"/>
        <v>1</v>
      </c>
      <c r="BF33" s="17">
        <f t="shared" si="13"/>
        <v>0</v>
      </c>
      <c r="BG33" s="17">
        <f t="shared" si="14"/>
        <v>6.6383805157582687E-4</v>
      </c>
      <c r="BH33" s="17"/>
      <c r="BJ33" s="62"/>
      <c r="BK33" s="62"/>
      <c r="BL33" s="62"/>
      <c r="BM33" s="62"/>
      <c r="BN33" s="62"/>
      <c r="BP33" s="62"/>
      <c r="BQ33" s="62"/>
      <c r="BR33" s="62"/>
      <c r="BS33" s="62"/>
      <c r="BT33" s="62"/>
    </row>
    <row r="34" spans="1:72" outlineLevel="1" x14ac:dyDescent="0.25">
      <c r="A34" s="18"/>
      <c r="B34" s="37" t="s">
        <v>77</v>
      </c>
      <c r="C34" s="38" t="s">
        <v>236</v>
      </c>
      <c r="D34" s="37">
        <v>186907991</v>
      </c>
      <c r="E34" s="38">
        <v>11</v>
      </c>
      <c r="F34" s="38">
        <v>64</v>
      </c>
      <c r="G34" s="38">
        <v>30</v>
      </c>
      <c r="I34" s="39">
        <f t="shared" si="0"/>
        <v>40.080228750000003</v>
      </c>
      <c r="J34" s="40">
        <f t="shared" si="1"/>
        <v>0.4574683379909637</v>
      </c>
      <c r="K34" s="40">
        <f t="shared" si="2"/>
        <v>0.1386743063328951</v>
      </c>
      <c r="L34" s="40">
        <f t="shared" si="3"/>
        <v>0.10748569867192034</v>
      </c>
      <c r="M34" s="40">
        <f t="shared" si="4"/>
        <v>0.31879403165806858</v>
      </c>
      <c r="N34" s="37">
        <f t="shared" si="5"/>
        <v>25919336</v>
      </c>
      <c r="O34" s="40">
        <v>16</v>
      </c>
      <c r="P34" s="41">
        <v>185214441</v>
      </c>
      <c r="Q34" s="41">
        <v>2893975.640625</v>
      </c>
      <c r="R34" s="41">
        <v>21165.515625</v>
      </c>
      <c r="S34" s="42">
        <v>85504488</v>
      </c>
      <c r="T34" s="42">
        <v>20089936</v>
      </c>
      <c r="U34" s="42">
        <v>5829400</v>
      </c>
      <c r="V34" s="42">
        <v>59585152</v>
      </c>
      <c r="W34" s="43">
        <v>78.508043749999999</v>
      </c>
      <c r="X34" s="43">
        <v>81.993964062499998</v>
      </c>
      <c r="Y34" s="43">
        <v>41.55774375</v>
      </c>
      <c r="Z34" s="43">
        <v>44.809234375000003</v>
      </c>
      <c r="AA34" s="43">
        <v>49.269304687499996</v>
      </c>
      <c r="AB34" s="44">
        <v>6541.44</v>
      </c>
      <c r="AC34" s="44">
        <v>14030.3</v>
      </c>
      <c r="AD34" s="44">
        <v>60.945</v>
      </c>
      <c r="AE34" s="44">
        <v>209.17699999999999</v>
      </c>
      <c r="AG34" s="39">
        <f t="shared" si="6"/>
        <v>40.036447500000001</v>
      </c>
      <c r="AH34" s="40">
        <f t="shared" si="7"/>
        <v>0.45696862687909368</v>
      </c>
      <c r="AI34" s="40">
        <f t="shared" si="8"/>
        <v>0.1386743063328951</v>
      </c>
      <c r="AJ34" s="40">
        <f t="shared" si="9"/>
        <v>0.10748569867192034</v>
      </c>
      <c r="AK34" s="40">
        <f t="shared" si="10"/>
        <v>0.31829432054619861</v>
      </c>
      <c r="AL34" s="37">
        <f t="shared" si="11"/>
        <v>25919336</v>
      </c>
      <c r="AM34" s="40">
        <v>16</v>
      </c>
      <c r="AN34" s="41">
        <v>185214441</v>
      </c>
      <c r="AO34" s="41">
        <v>2893975.640625</v>
      </c>
      <c r="AP34" s="41">
        <v>21165.515625</v>
      </c>
      <c r="AQ34" s="42">
        <v>85411088</v>
      </c>
      <c r="AR34" s="42">
        <v>20089936</v>
      </c>
      <c r="AS34" s="42">
        <v>5829400</v>
      </c>
      <c r="AT34" s="42">
        <v>59491752</v>
      </c>
      <c r="AU34" s="43">
        <v>78.508043749999999</v>
      </c>
      <c r="AV34" s="43">
        <v>81.993964062499998</v>
      </c>
      <c r="AW34" s="43">
        <v>41.551774999999999</v>
      </c>
      <c r="AX34" s="43">
        <v>44.809354687499997</v>
      </c>
      <c r="AY34" s="43">
        <v>49.270271874999999</v>
      </c>
      <c r="AZ34" s="44">
        <v>6780.99</v>
      </c>
      <c r="BA34" s="44">
        <v>14075.4</v>
      </c>
      <c r="BB34" s="44">
        <v>422.55099999999999</v>
      </c>
      <c r="BC34" s="44">
        <v>206.98699999999999</v>
      </c>
      <c r="BE34" s="45">
        <f t="shared" si="12"/>
        <v>1</v>
      </c>
      <c r="BF34" s="46">
        <f t="shared" si="13"/>
        <v>0</v>
      </c>
      <c r="BG34" s="46">
        <f t="shared" si="14"/>
        <v>3.3148782563335866E-4</v>
      </c>
      <c r="BH34" s="46"/>
      <c r="BJ34" s="45"/>
      <c r="BK34" s="45"/>
      <c r="BL34" s="45"/>
      <c r="BM34" s="45"/>
      <c r="BN34" s="45"/>
      <c r="BP34" s="45"/>
      <c r="BQ34" s="45"/>
      <c r="BR34" s="45"/>
      <c r="BS34" s="45"/>
      <c r="BT34" s="45"/>
    </row>
    <row r="35" spans="1:72" x14ac:dyDescent="0.25">
      <c r="A35" s="129"/>
      <c r="B35" s="129" t="s">
        <v>82</v>
      </c>
      <c r="C35" s="10" t="s">
        <v>232</v>
      </c>
      <c r="D35" s="129">
        <v>166028718</v>
      </c>
      <c r="E35" s="10">
        <v>11</v>
      </c>
      <c r="F35" s="10">
        <v>64</v>
      </c>
      <c r="G35" s="10">
        <v>30</v>
      </c>
      <c r="I35" s="11">
        <f t="shared" si="0"/>
        <v>6.2564475000000002</v>
      </c>
      <c r="J35" s="12">
        <f t="shared" si="1"/>
        <v>8.0390237067300613E-2</v>
      </c>
      <c r="K35" s="12">
        <f t="shared" si="2"/>
        <v>4.7424132974393018E-2</v>
      </c>
      <c r="L35" s="12">
        <f t="shared" si="3"/>
        <v>2.8873029062357756E-2</v>
      </c>
      <c r="M35" s="12">
        <f t="shared" si="4"/>
        <v>3.2966104092907587E-2</v>
      </c>
      <c r="N35" s="129">
        <f t="shared" si="5"/>
        <v>7873768</v>
      </c>
      <c r="O35" s="12">
        <v>16</v>
      </c>
      <c r="P35" s="13">
        <v>149439565</v>
      </c>
      <c r="Q35" s="13">
        <v>2334993.203125</v>
      </c>
      <c r="R35" s="13">
        <v>31998.515625</v>
      </c>
      <c r="S35" s="14">
        <v>13347088</v>
      </c>
      <c r="T35" s="14">
        <v>4793752</v>
      </c>
      <c r="U35" s="14">
        <v>3080016</v>
      </c>
      <c r="V35" s="14">
        <v>5473320</v>
      </c>
      <c r="W35" s="15">
        <v>73.210637500000004</v>
      </c>
      <c r="X35" s="15">
        <v>75.474950000000007</v>
      </c>
      <c r="Y35" s="15">
        <v>34.080990624999998</v>
      </c>
      <c r="Z35" s="15">
        <v>42.529596875000003</v>
      </c>
      <c r="AA35" s="15">
        <v>44.065096875000002</v>
      </c>
      <c r="AB35" s="16">
        <v>5903.18</v>
      </c>
      <c r="AC35" s="16">
        <v>14478.5</v>
      </c>
      <c r="AD35" s="16">
        <v>57.284999999999997</v>
      </c>
      <c r="AE35" s="16">
        <v>240.05199999999999</v>
      </c>
      <c r="AG35" s="11">
        <f t="shared" si="6"/>
        <v>6.2556562500000004</v>
      </c>
      <c r="AH35" s="12">
        <f t="shared" si="7"/>
        <v>8.0380070151478258E-2</v>
      </c>
      <c r="AI35" s="12">
        <f t="shared" si="8"/>
        <v>4.7424132974393018E-2</v>
      </c>
      <c r="AJ35" s="12">
        <f t="shared" si="9"/>
        <v>2.8873029062357756E-2</v>
      </c>
      <c r="AK35" s="12">
        <f t="shared" si="10"/>
        <v>3.2955937177085233E-2</v>
      </c>
      <c r="AL35" s="129">
        <f t="shared" si="11"/>
        <v>7873768</v>
      </c>
      <c r="AM35" s="12">
        <v>16</v>
      </c>
      <c r="AN35" s="13">
        <v>149439565</v>
      </c>
      <c r="AO35" s="13">
        <v>2334993.203125</v>
      </c>
      <c r="AP35" s="13">
        <v>31998.515625</v>
      </c>
      <c r="AQ35" s="14">
        <v>13345400</v>
      </c>
      <c r="AR35" s="14">
        <v>4793752</v>
      </c>
      <c r="AS35" s="14">
        <v>3080016</v>
      </c>
      <c r="AT35" s="14">
        <v>5471632</v>
      </c>
      <c r="AU35" s="15">
        <v>73.210637500000004</v>
      </c>
      <c r="AV35" s="15">
        <v>75.474950000000007</v>
      </c>
      <c r="AW35" s="15">
        <v>34.087684375000002</v>
      </c>
      <c r="AX35" s="15">
        <v>42.537615625000001</v>
      </c>
      <c r="AY35" s="15">
        <v>44.077350000000003</v>
      </c>
      <c r="AZ35" s="16">
        <v>6085.34</v>
      </c>
      <c r="BA35" s="16">
        <v>14504.2</v>
      </c>
      <c r="BB35" s="16">
        <v>349.70299999999997</v>
      </c>
      <c r="BC35" s="16">
        <v>236.90799999999999</v>
      </c>
      <c r="BE35" s="62">
        <f t="shared" si="12"/>
        <v>1</v>
      </c>
      <c r="BF35" s="17">
        <f t="shared" si="13"/>
        <v>0</v>
      </c>
      <c r="BG35" s="17">
        <f t="shared" si="14"/>
        <v>7.4616854497389085E-5</v>
      </c>
      <c r="BH35" s="17">
        <f t="array" ref="BH35">AVERAGE(AL35:AL39/AQ35:AQ39) - AVERAGE(N35:N39/S35:S39)</f>
        <v>3.9867340834903731E-4</v>
      </c>
      <c r="BJ35" s="62">
        <f>IF( OR(ISBLANK(N35:N39),ISBLANK(AL35:AL39), ISBLANK(W35:W39),ISBLANK(AU35:AU39)), "·", bdRateExtend( N35:N39,W35:W39, AL35:AL39,AU35:AU39))</f>
        <v>0</v>
      </c>
      <c r="BK35" s="62">
        <f>IF( OR(ISBLANK(N35:N39),ISBLANK(AL35:AL39), ISBLANK(X35:X39),ISBLANK(AV35:AV39)), "·", bdRateExtend( N35:N39,X35:X39, AL35:AL39,AV35:AV39))</f>
        <v>0</v>
      </c>
      <c r="BL35" s="62">
        <f>IF( OR(ISBLANK(V35:V39),ISBLANK(AT35:AT39), ISBLANK(Y35:Y39),ISBLANK(AW35:AW39)), "·", bdRateExtend( V35:V39,Y35:Y39, AT35:AT39,AW35:AW39))</f>
        <v>-2.1132957949920872E-5</v>
      </c>
      <c r="BM35" s="62">
        <f>IF( OR(ISBLANK(V35:V39),ISBLANK(AT35:AT39), ISBLANK(Z35:Z39),ISBLANK(AX35:AX39)), "·", bdRateExtend( V35:V39,Z35:Z39, AT35:AT39,AX35:AX39))</f>
        <v>2.7487435677644445E-3</v>
      </c>
      <c r="BN35" s="62">
        <f>IF( OR(ISBLANK(V35:V39),ISBLANK(AT35:AT39), ISBLANK(AA35:AA39),ISBLANK(AY35:AY39)), "·", bdRateExtend( V35:V39,AA35:AA39, AT35:AT39,AY35:AY39))</f>
        <v>4.5816296442475757E-3</v>
      </c>
      <c r="BP35" s="62">
        <f>IF( OR(ISBLANK(S35:S39),ISBLANK(AQ35:AQ39), ISBLANK(W35:W39),ISBLANK(AU35:AU39)), "·", bdRateExtend( S35:S39,W35:W39, AQ35:AQ39,AU35:AU39))</f>
        <v>-1.0588165075504641E-3</v>
      </c>
      <c r="BQ35" s="62">
        <f>IF( OR(ISBLANK(S35:S39),ISBLANK(AQ35:AQ39), ISBLANK(X35:X39),ISBLANK(AV35:AV39)), "·", bdRateExtend( S35:S39,X35:X39, AQ35:AQ39,AV35:AV39))</f>
        <v>-1.1622945752822744E-3</v>
      </c>
      <c r="BR35" s="62">
        <f>IF( OR(ISBLANK(S35:S39),ISBLANK(AQ35:AQ39), ISBLANK(Y35:Y39),ISBLANK(AW35:AW39)), "·", bdRateExtend( S35:S39,Y35:Y39, AQ35:AQ39,AW35:AW39))</f>
        <v>4.6025312449748945E-4</v>
      </c>
      <c r="BS35" s="62">
        <f>IF( OR(ISBLANK(S35:S39),ISBLANK(AQ35:AQ39), ISBLANK(Z35:Z39),ISBLANK(AX35:AX39)), "·", bdRateExtend( S35:S39,Z35:Z39, AQ35:AQ39,AX35:AX39))</f>
        <v>2.1662094389234277E-3</v>
      </c>
      <c r="BT35" s="62">
        <f>IF( OR(ISBLANK(S35:S39),ISBLANK(AQ35:AQ39), ISBLANK(AA35:AA39),ISBLANK(AY35:AY39)), "·", bdRateExtend( S35:S39,AA35:AA39, AQ35:AQ39,AY35:AY39))</f>
        <v>3.6109320493906694E-3</v>
      </c>
    </row>
    <row r="36" spans="1:72" outlineLevel="1" x14ac:dyDescent="0.25">
      <c r="A36" s="18"/>
      <c r="B36" s="18" t="s">
        <v>82</v>
      </c>
      <c r="C36" s="19" t="s">
        <v>233</v>
      </c>
      <c r="D36" s="18">
        <v>166028718</v>
      </c>
      <c r="E36" s="19">
        <v>11</v>
      </c>
      <c r="F36" s="19">
        <v>64</v>
      </c>
      <c r="G36" s="19">
        <v>30</v>
      </c>
      <c r="I36" s="20">
        <f t="shared" si="0"/>
        <v>8.8954574999999991</v>
      </c>
      <c r="J36" s="21">
        <f t="shared" si="1"/>
        <v>0.11429935874105827</v>
      </c>
      <c r="K36" s="21">
        <f t="shared" si="2"/>
        <v>5.7964719091548968E-2</v>
      </c>
      <c r="L36" s="21">
        <f t="shared" si="3"/>
        <v>3.9413615179513702E-2</v>
      </c>
      <c r="M36" s="21">
        <f t="shared" si="4"/>
        <v>5.6334639649509306E-2</v>
      </c>
      <c r="N36" s="18">
        <f t="shared" si="5"/>
        <v>9623808</v>
      </c>
      <c r="O36" s="21">
        <v>16</v>
      </c>
      <c r="P36" s="22">
        <v>159793992</v>
      </c>
      <c r="Q36" s="22">
        <v>2496781.125</v>
      </c>
      <c r="R36" s="22">
        <v>40635.875</v>
      </c>
      <c r="S36" s="23">
        <v>18976976</v>
      </c>
      <c r="T36" s="23">
        <v>6543792</v>
      </c>
      <c r="U36" s="23">
        <v>3080016</v>
      </c>
      <c r="V36" s="23">
        <v>9353168</v>
      </c>
      <c r="W36" s="24">
        <v>74.940449999999998</v>
      </c>
      <c r="X36" s="24">
        <v>77.395582812499995</v>
      </c>
      <c r="Y36" s="24">
        <v>36.166871874999998</v>
      </c>
      <c r="Z36" s="24">
        <v>43.171703125000001</v>
      </c>
      <c r="AA36" s="24">
        <v>45.373907812500001</v>
      </c>
      <c r="AB36" s="25">
        <v>5930.59</v>
      </c>
      <c r="AC36" s="25">
        <v>15029.5</v>
      </c>
      <c r="AD36" s="25">
        <v>58.521999999999998</v>
      </c>
      <c r="AE36" s="25">
        <v>240.88399999999999</v>
      </c>
      <c r="AG36" s="20">
        <f t="shared" si="6"/>
        <v>8.8916400000000007</v>
      </c>
      <c r="AH36" s="21">
        <f t="shared" si="7"/>
        <v>0.11425030698604804</v>
      </c>
      <c r="AI36" s="21">
        <f t="shared" si="8"/>
        <v>5.7964719091548968E-2</v>
      </c>
      <c r="AJ36" s="21">
        <f t="shared" si="9"/>
        <v>3.9413615179513702E-2</v>
      </c>
      <c r="AK36" s="21">
        <f t="shared" si="10"/>
        <v>5.628558789449907E-2</v>
      </c>
      <c r="AL36" s="18">
        <f t="shared" si="11"/>
        <v>9623808</v>
      </c>
      <c r="AM36" s="21">
        <v>16</v>
      </c>
      <c r="AN36" s="22">
        <v>159793992</v>
      </c>
      <c r="AO36" s="22">
        <v>2496781.125</v>
      </c>
      <c r="AP36" s="22">
        <v>40635.875</v>
      </c>
      <c r="AQ36" s="23">
        <v>18968832</v>
      </c>
      <c r="AR36" s="23">
        <v>6543792</v>
      </c>
      <c r="AS36" s="23">
        <v>3080016</v>
      </c>
      <c r="AT36" s="23">
        <v>9345024</v>
      </c>
      <c r="AU36" s="24">
        <v>74.940449999999998</v>
      </c>
      <c r="AV36" s="24">
        <v>77.395582812499995</v>
      </c>
      <c r="AW36" s="24">
        <v>36.167735937499998</v>
      </c>
      <c r="AX36" s="24">
        <v>43.155681250000001</v>
      </c>
      <c r="AY36" s="24">
        <v>45.348968749999997</v>
      </c>
      <c r="AZ36" s="25">
        <v>0</v>
      </c>
      <c r="BA36" s="25">
        <v>0</v>
      </c>
      <c r="BB36" s="25">
        <v>372.565</v>
      </c>
      <c r="BC36" s="25">
        <v>240.428</v>
      </c>
      <c r="BE36" s="58">
        <f t="shared" si="12"/>
        <v>1</v>
      </c>
      <c r="BF36" s="26">
        <f t="shared" si="13"/>
        <v>0</v>
      </c>
      <c r="BG36" s="26">
        <f t="shared" si="14"/>
        <v>2.1772942041276E-4</v>
      </c>
      <c r="BH36" s="26"/>
      <c r="BJ36" s="58"/>
      <c r="BK36" s="58"/>
      <c r="BL36" s="58"/>
      <c r="BM36" s="58"/>
      <c r="BN36" s="58"/>
      <c r="BP36" s="58"/>
      <c r="BQ36" s="58"/>
      <c r="BR36" s="58"/>
      <c r="BS36" s="58"/>
      <c r="BT36" s="58"/>
    </row>
    <row r="37" spans="1:72" outlineLevel="1" x14ac:dyDescent="0.25">
      <c r="A37" s="129"/>
      <c r="B37" s="129" t="s">
        <v>82</v>
      </c>
      <c r="C37" s="10" t="s">
        <v>234</v>
      </c>
      <c r="D37" s="129">
        <v>166028718</v>
      </c>
      <c r="E37" s="10">
        <v>11</v>
      </c>
      <c r="F37" s="10">
        <v>64</v>
      </c>
      <c r="G37" s="10">
        <v>30</v>
      </c>
      <c r="I37" s="11">
        <f t="shared" si="0"/>
        <v>13.545367499999999</v>
      </c>
      <c r="J37" s="12">
        <f t="shared" si="1"/>
        <v>0.17404690193415817</v>
      </c>
      <c r="K37" s="12">
        <f t="shared" si="2"/>
        <v>7.3177557150082909E-2</v>
      </c>
      <c r="L37" s="12">
        <f t="shared" si="3"/>
        <v>5.4626453238047649E-2</v>
      </c>
      <c r="M37" s="12">
        <f t="shared" si="4"/>
        <v>0.10086934478407525</v>
      </c>
      <c r="N37" s="129">
        <f t="shared" si="5"/>
        <v>12149576</v>
      </c>
      <c r="O37" s="12">
        <v>16</v>
      </c>
      <c r="P37" s="13">
        <v>163362133</v>
      </c>
      <c r="Q37" s="13">
        <v>2552533.328125</v>
      </c>
      <c r="R37" s="13">
        <v>43997.828125</v>
      </c>
      <c r="S37" s="14">
        <v>28896784</v>
      </c>
      <c r="T37" s="14">
        <v>9069560</v>
      </c>
      <c r="U37" s="14">
        <v>3080016</v>
      </c>
      <c r="V37" s="14">
        <v>16747208</v>
      </c>
      <c r="W37" s="15">
        <v>76.241079687500005</v>
      </c>
      <c r="X37" s="15">
        <v>78.977154687500004</v>
      </c>
      <c r="Y37" s="15">
        <v>38.022651562500002</v>
      </c>
      <c r="Z37" s="15">
        <v>43.730821874999997</v>
      </c>
      <c r="AA37" s="15">
        <v>46.551312500000002</v>
      </c>
      <c r="AB37" s="16">
        <v>5903.65</v>
      </c>
      <c r="AC37" s="16">
        <v>15508.4</v>
      </c>
      <c r="AD37" s="16">
        <v>59.084000000000003</v>
      </c>
      <c r="AE37" s="16">
        <v>244.10499999999999</v>
      </c>
      <c r="AG37" s="11">
        <f t="shared" si="6"/>
        <v>13.5280725</v>
      </c>
      <c r="AH37" s="12">
        <f t="shared" si="7"/>
        <v>0.1738246753191216</v>
      </c>
      <c r="AI37" s="12">
        <f t="shared" si="8"/>
        <v>7.3177557150082909E-2</v>
      </c>
      <c r="AJ37" s="12">
        <f t="shared" si="9"/>
        <v>5.4626453238047649E-2</v>
      </c>
      <c r="AK37" s="12">
        <f t="shared" si="10"/>
        <v>0.10064711816903868</v>
      </c>
      <c r="AL37" s="129">
        <f t="shared" si="11"/>
        <v>12149576</v>
      </c>
      <c r="AM37" s="12">
        <v>16</v>
      </c>
      <c r="AN37" s="13">
        <v>163362133</v>
      </c>
      <c r="AO37" s="13">
        <v>2552533.328125</v>
      </c>
      <c r="AP37" s="13">
        <v>43997.828125</v>
      </c>
      <c r="AQ37" s="14">
        <v>28859888</v>
      </c>
      <c r="AR37" s="14">
        <v>9069560</v>
      </c>
      <c r="AS37" s="14">
        <v>3080016</v>
      </c>
      <c r="AT37" s="14">
        <v>16710312</v>
      </c>
      <c r="AU37" s="15">
        <v>76.241079687500005</v>
      </c>
      <c r="AV37" s="15">
        <v>78.977154687500004</v>
      </c>
      <c r="AW37" s="15">
        <v>38.015401562500003</v>
      </c>
      <c r="AX37" s="15">
        <v>43.721659375000002</v>
      </c>
      <c r="AY37" s="15">
        <v>46.522646875</v>
      </c>
      <c r="AZ37" s="16">
        <v>0</v>
      </c>
      <c r="BA37" s="16">
        <v>0</v>
      </c>
      <c r="BB37" s="16">
        <v>379.93299999999999</v>
      </c>
      <c r="BC37" s="16">
        <v>245.93899999999999</v>
      </c>
      <c r="BE37" s="62">
        <f t="shared" si="12"/>
        <v>1</v>
      </c>
      <c r="BF37" s="17">
        <f t="shared" si="13"/>
        <v>0</v>
      </c>
      <c r="BG37" s="17">
        <f t="shared" si="14"/>
        <v>5.37522013194347E-4</v>
      </c>
      <c r="BH37" s="17"/>
      <c r="BJ37" s="62"/>
      <c r="BK37" s="62"/>
      <c r="BL37" s="62"/>
      <c r="BM37" s="62"/>
      <c r="BN37" s="62"/>
      <c r="BP37" s="62"/>
      <c r="BQ37" s="62"/>
      <c r="BR37" s="62"/>
      <c r="BS37" s="62"/>
      <c r="BT37" s="62"/>
    </row>
    <row r="38" spans="1:72" outlineLevel="1" x14ac:dyDescent="0.25">
      <c r="A38" s="18"/>
      <c r="B38" s="18" t="s">
        <v>82</v>
      </c>
      <c r="C38" s="19" t="s">
        <v>235</v>
      </c>
      <c r="D38" s="18">
        <v>166028718</v>
      </c>
      <c r="E38" s="19">
        <v>11</v>
      </c>
      <c r="F38" s="19">
        <v>64</v>
      </c>
      <c r="G38" s="19">
        <v>30</v>
      </c>
      <c r="I38" s="20">
        <f t="shared" si="0"/>
        <v>22.638791250000001</v>
      </c>
      <c r="J38" s="21">
        <f t="shared" si="1"/>
        <v>0.2908899651926482</v>
      </c>
      <c r="K38" s="21">
        <f t="shared" si="2"/>
        <v>9.8384184355383625E-2</v>
      </c>
      <c r="L38" s="21">
        <f t="shared" si="3"/>
        <v>7.9833080443348359E-2</v>
      </c>
      <c r="M38" s="21">
        <f t="shared" si="4"/>
        <v>0.19250578083726455</v>
      </c>
      <c r="N38" s="18">
        <f t="shared" si="5"/>
        <v>16334600</v>
      </c>
      <c r="O38" s="21">
        <v>16</v>
      </c>
      <c r="P38" s="22">
        <v>167645166</v>
      </c>
      <c r="Q38" s="22">
        <v>2619455.71875</v>
      </c>
      <c r="R38" s="22">
        <v>49216.015625</v>
      </c>
      <c r="S38" s="23">
        <v>48296088</v>
      </c>
      <c r="T38" s="23">
        <v>13254584</v>
      </c>
      <c r="U38" s="23">
        <v>3080016</v>
      </c>
      <c r="V38" s="23">
        <v>31961488</v>
      </c>
      <c r="W38" s="24">
        <v>77.421584374999995</v>
      </c>
      <c r="X38" s="24">
        <v>80.181292187500006</v>
      </c>
      <c r="Y38" s="24">
        <v>39.794079687500002</v>
      </c>
      <c r="Z38" s="24">
        <v>44.509331250000002</v>
      </c>
      <c r="AA38" s="24">
        <v>47.874910937499997</v>
      </c>
      <c r="AB38" s="25">
        <v>5888.58</v>
      </c>
      <c r="AC38" s="25">
        <v>16169.8</v>
      </c>
      <c r="AD38" s="25">
        <v>59.786999999999999</v>
      </c>
      <c r="AE38" s="25">
        <v>248.726</v>
      </c>
      <c r="AG38" s="20">
        <f t="shared" si="6"/>
        <v>22.584787500000001</v>
      </c>
      <c r="AH38" s="21">
        <f t="shared" si="7"/>
        <v>0.29019606114166346</v>
      </c>
      <c r="AI38" s="21">
        <f t="shared" si="8"/>
        <v>9.8384184355383625E-2</v>
      </c>
      <c r="AJ38" s="21">
        <f t="shared" si="9"/>
        <v>7.9833080443348359E-2</v>
      </c>
      <c r="AK38" s="21">
        <f t="shared" si="10"/>
        <v>0.19181187678627984</v>
      </c>
      <c r="AL38" s="18">
        <f t="shared" si="11"/>
        <v>16334600</v>
      </c>
      <c r="AM38" s="21">
        <v>16</v>
      </c>
      <c r="AN38" s="22">
        <v>167645166</v>
      </c>
      <c r="AO38" s="22">
        <v>2619455.71875</v>
      </c>
      <c r="AP38" s="22">
        <v>49216.015625</v>
      </c>
      <c r="AQ38" s="23">
        <v>48180880</v>
      </c>
      <c r="AR38" s="23">
        <v>13254584</v>
      </c>
      <c r="AS38" s="23">
        <v>3080016</v>
      </c>
      <c r="AT38" s="23">
        <v>31846280</v>
      </c>
      <c r="AU38" s="24">
        <v>77.421584374999995</v>
      </c>
      <c r="AV38" s="24">
        <v>80.181292187500006</v>
      </c>
      <c r="AW38" s="24">
        <v>39.781451562500003</v>
      </c>
      <c r="AX38" s="24">
        <v>44.508240624999999</v>
      </c>
      <c r="AY38" s="24">
        <v>47.868728124999997</v>
      </c>
      <c r="AZ38" s="25">
        <v>0</v>
      </c>
      <c r="BA38" s="25">
        <v>0</v>
      </c>
      <c r="BB38" s="25">
        <v>389.01799999999997</v>
      </c>
      <c r="BC38" s="25">
        <v>249.197</v>
      </c>
      <c r="BE38" s="58">
        <f t="shared" si="12"/>
        <v>1</v>
      </c>
      <c r="BF38" s="26">
        <f t="shared" si="13"/>
        <v>0</v>
      </c>
      <c r="BG38" s="26">
        <f t="shared" si="14"/>
        <v>8.087316864424654E-4</v>
      </c>
      <c r="BH38" s="26"/>
      <c r="BJ38" s="58"/>
      <c r="BK38" s="58"/>
      <c r="BL38" s="58"/>
      <c r="BM38" s="58"/>
      <c r="BN38" s="58"/>
      <c r="BP38" s="58"/>
      <c r="BQ38" s="58"/>
      <c r="BR38" s="58"/>
      <c r="BS38" s="58"/>
      <c r="BT38" s="58"/>
    </row>
    <row r="39" spans="1:72" outlineLevel="1" x14ac:dyDescent="0.25">
      <c r="A39" s="27"/>
      <c r="B39" s="27" t="s">
        <v>82</v>
      </c>
      <c r="C39" s="28" t="s">
        <v>236</v>
      </c>
      <c r="D39" s="27">
        <v>166028718</v>
      </c>
      <c r="E39" s="28">
        <v>11</v>
      </c>
      <c r="F39" s="28">
        <v>64</v>
      </c>
      <c r="G39" s="28">
        <v>30</v>
      </c>
      <c r="I39" s="29">
        <f t="shared" si="0"/>
        <v>41.416919999999998</v>
      </c>
      <c r="J39" s="30">
        <f t="shared" si="1"/>
        <v>0.53217357252616981</v>
      </c>
      <c r="K39" s="30">
        <f t="shared" si="2"/>
        <v>0.15856095449704069</v>
      </c>
      <c r="L39" s="30">
        <f t="shared" si="3"/>
        <v>0.1213118805145505</v>
      </c>
      <c r="M39" s="30">
        <f t="shared" si="4"/>
        <v>0.37361261802912915</v>
      </c>
      <c r="N39" s="27">
        <f t="shared" si="5"/>
        <v>26325672</v>
      </c>
      <c r="O39" s="30">
        <v>16</v>
      </c>
      <c r="P39" s="31">
        <v>163814525</v>
      </c>
      <c r="Q39" s="31">
        <v>2559601.953125</v>
      </c>
      <c r="R39" s="31">
        <v>20010.140625</v>
      </c>
      <c r="S39" s="32">
        <v>88356096</v>
      </c>
      <c r="T39" s="32">
        <v>20141256</v>
      </c>
      <c r="U39" s="32">
        <v>6184416</v>
      </c>
      <c r="V39" s="32">
        <v>62030424</v>
      </c>
      <c r="W39" s="33">
        <v>78.307156250000006</v>
      </c>
      <c r="X39" s="33">
        <v>81.904659374999994</v>
      </c>
      <c r="Y39" s="33">
        <v>41.377910937499998</v>
      </c>
      <c r="Z39" s="33">
        <v>45.4940703125</v>
      </c>
      <c r="AA39" s="33">
        <v>49.188935937499998</v>
      </c>
      <c r="AB39" s="34">
        <v>5918.73</v>
      </c>
      <c r="AC39" s="34">
        <v>17416.2</v>
      </c>
      <c r="AD39" s="34">
        <v>59.048999999999999</v>
      </c>
      <c r="AE39" s="34">
        <v>261.233</v>
      </c>
      <c r="AG39" s="29">
        <f t="shared" si="6"/>
        <v>41.367663749999998</v>
      </c>
      <c r="AH39" s="30">
        <f t="shared" si="7"/>
        <v>0.53154066997011928</v>
      </c>
      <c r="AI39" s="30">
        <f t="shared" si="8"/>
        <v>0.15856095449704069</v>
      </c>
      <c r="AJ39" s="30">
        <f t="shared" si="9"/>
        <v>0.1213118805145505</v>
      </c>
      <c r="AK39" s="30">
        <f t="shared" si="10"/>
        <v>0.37297971547307857</v>
      </c>
      <c r="AL39" s="27">
        <f t="shared" si="11"/>
        <v>26325672</v>
      </c>
      <c r="AM39" s="30">
        <v>16</v>
      </c>
      <c r="AN39" s="31">
        <v>163814525</v>
      </c>
      <c r="AO39" s="31">
        <v>2559601.953125</v>
      </c>
      <c r="AP39" s="31">
        <v>20010.140625</v>
      </c>
      <c r="AQ39" s="32">
        <v>88251016</v>
      </c>
      <c r="AR39" s="32">
        <v>20141256</v>
      </c>
      <c r="AS39" s="32">
        <v>6184416</v>
      </c>
      <c r="AT39" s="32">
        <v>61925344</v>
      </c>
      <c r="AU39" s="33">
        <v>78.307156250000006</v>
      </c>
      <c r="AV39" s="33">
        <v>81.904659374999994</v>
      </c>
      <c r="AW39" s="33">
        <v>41.3705421875</v>
      </c>
      <c r="AX39" s="33">
        <v>45.495809375</v>
      </c>
      <c r="AY39" s="33">
        <v>49.194292187499997</v>
      </c>
      <c r="AZ39" s="34">
        <v>0</v>
      </c>
      <c r="BA39" s="34">
        <v>0</v>
      </c>
      <c r="BB39" s="34">
        <v>381.86599999999999</v>
      </c>
      <c r="BC39" s="34">
        <v>265.71199999999999</v>
      </c>
      <c r="BE39" s="35">
        <f t="shared" si="12"/>
        <v>1</v>
      </c>
      <c r="BF39" s="36">
        <f t="shared" si="13"/>
        <v>0</v>
      </c>
      <c r="BG39" s="36">
        <f t="shared" si="14"/>
        <v>3.5476706719766993E-4</v>
      </c>
      <c r="BH39" s="36"/>
      <c r="BJ39" s="35"/>
      <c r="BK39" s="35"/>
      <c r="BL39" s="35"/>
      <c r="BM39" s="35"/>
      <c r="BN39" s="35"/>
      <c r="BP39" s="35"/>
      <c r="BQ39" s="35"/>
      <c r="BR39" s="35"/>
      <c r="BS39" s="35"/>
      <c r="BT39" s="35"/>
    </row>
    <row r="40" spans="1:72" x14ac:dyDescent="0.25">
      <c r="B40" s="47" t="s">
        <v>16</v>
      </c>
      <c r="J40" s="48">
        <f>AVERAGE(J5:J24)</f>
        <v>0.400552619587838</v>
      </c>
      <c r="K40" s="48">
        <f>AVERAGE(K5:K24)</f>
        <v>0.1295574306050031</v>
      </c>
      <c r="L40" s="48">
        <f>AVERAGE(L5:L24)</f>
        <v>9.0551988153411797E-2</v>
      </c>
      <c r="M40" s="48">
        <f>AVERAGE(M5:M24)</f>
        <v>0.27099518898283492</v>
      </c>
      <c r="AH40" s="48">
        <f>AVERAGE(AH5:AH24)</f>
        <v>0.39771139059797689</v>
      </c>
      <c r="AI40" s="48">
        <f>AVERAGE(AI5:AI24)</f>
        <v>0.1295574306050031</v>
      </c>
      <c r="AJ40" s="48">
        <f>AVERAGE(AJ5:AJ24)</f>
        <v>9.0551988153411797E-2</v>
      </c>
      <c r="AK40" s="48">
        <f>AVERAGE(AK5:AK24)</f>
        <v>0.26815395999297387</v>
      </c>
      <c r="BE40" s="71">
        <f t="shared" si="12"/>
        <v>1</v>
      </c>
      <c r="BH40" s="151">
        <f>AVERAGE(BH5:BH24)</f>
        <v>2.1393900429973051E-3</v>
      </c>
      <c r="BJ40" s="71">
        <f>AVERAGE(BJ5:BJ24)</f>
        <v>0</v>
      </c>
      <c r="BK40" s="71">
        <f>AVERAGE(BK5:BK24)</f>
        <v>0</v>
      </c>
      <c r="BL40" s="71">
        <f>AVERAGE(BL5:BL24)</f>
        <v>5.4623503575275401E-3</v>
      </c>
      <c r="BM40" s="71">
        <f>AVERAGE(BM5:BM24)</f>
        <v>-1.4682206394323133E-2</v>
      </c>
      <c r="BN40" s="71">
        <f>AVERAGE(BN5:BN24)</f>
        <v>-1.3402604847387561E-2</v>
      </c>
      <c r="BP40" s="71">
        <f>AVERAGE(BP5:BP24)</f>
        <v>-5.7232051481213853E-3</v>
      </c>
      <c r="BQ40" s="71">
        <f>AVERAGE(BQ5:BQ24)</f>
        <v>-6.2579111996476644E-3</v>
      </c>
      <c r="BR40" s="71">
        <f>AVERAGE(BR5:BR24)</f>
        <v>6.9108008697277845E-3</v>
      </c>
      <c r="BS40" s="71">
        <f>AVERAGE(BS5:BS24)</f>
        <v>-1.0451656601952908E-2</v>
      </c>
      <c r="BT40" s="71">
        <f>AVERAGE(BT5:BT24)</f>
        <v>-9.3264278975057069E-3</v>
      </c>
    </row>
    <row r="41" spans="1:72" x14ac:dyDescent="0.25">
      <c r="B41" s="47" t="s">
        <v>17</v>
      </c>
      <c r="J41" s="48">
        <f>AVERAGE(J25:J29)</f>
        <v>0.79766272208001698</v>
      </c>
      <c r="K41" s="48">
        <f>AVERAGE(K25:K29)</f>
        <v>0.1228802116060187</v>
      </c>
      <c r="L41" s="48">
        <f>AVERAGE(L25:L29)</f>
        <v>8.9532517327922029E-2</v>
      </c>
      <c r="M41" s="48">
        <f>AVERAGE(M25:M29)</f>
        <v>0.67478251047399818</v>
      </c>
      <c r="AH41" s="48">
        <f>AVERAGE(AH25:AH29)</f>
        <v>0.7952939229024143</v>
      </c>
      <c r="AI41" s="48">
        <f>AVERAGE(AI25:AI29)</f>
        <v>0.1228802116060187</v>
      </c>
      <c r="AJ41" s="48">
        <f>AVERAGE(AJ25:AJ29)</f>
        <v>8.9532517327922029E-2</v>
      </c>
      <c r="AK41" s="48">
        <f>AVERAGE(AK25:AK29)</f>
        <v>0.67241371129639549</v>
      </c>
      <c r="BE41" s="71">
        <f t="shared" si="12"/>
        <v>1</v>
      </c>
      <c r="BH41" s="151">
        <f>AVERAGE(BH25:BH29)</f>
        <v>3.9882281272654585E-4</v>
      </c>
      <c r="BJ41" s="71">
        <f>AVERAGE(BJ25:BJ29)</f>
        <v>0</v>
      </c>
      <c r="BK41" s="71">
        <f>AVERAGE(BK25:BK29)</f>
        <v>0</v>
      </c>
      <c r="BL41" s="71">
        <f>AVERAGE(BL25:BL29)</f>
        <v>1.3413159626287641E-3</v>
      </c>
      <c r="BM41" s="71">
        <f>AVERAGE(BM25:BM29)</f>
        <v>-4.1120106876736395E-3</v>
      </c>
      <c r="BN41" s="71">
        <f>AVERAGE(BN25:BN29)</f>
        <v>-4.2681680172343972E-3</v>
      </c>
      <c r="BP41" s="71">
        <f>AVERAGE(BP25:BP29)</f>
        <v>-2.3971486954180721E-3</v>
      </c>
      <c r="BQ41" s="71">
        <f>AVERAGE(BQ25:BQ29)</f>
        <v>-2.6920670826076076E-3</v>
      </c>
      <c r="BR41" s="71">
        <f>AVERAGE(BR25:BR29)</f>
        <v>1.5322965403998801E-3</v>
      </c>
      <c r="BS41" s="71">
        <f>AVERAGE(BS25:BS29)</f>
        <v>-3.5064394042273461E-3</v>
      </c>
      <c r="BT41" s="71">
        <f>AVERAGE(BT25:BT29)</f>
        <v>-3.6093902230144304E-3</v>
      </c>
    </row>
    <row r="42" spans="1:72" x14ac:dyDescent="0.25">
      <c r="B42" s="47" t="s">
        <v>18</v>
      </c>
      <c r="J42" s="48">
        <f>AVERAGE(J30:J39)</f>
        <v>0.2203205738281179</v>
      </c>
      <c r="K42" s="48">
        <f>AVERAGE(K30:K39)</f>
        <v>8.1627677709495999E-2</v>
      </c>
      <c r="L42" s="48">
        <f>AVERAGE(L30:L39)</f>
        <v>6.1104011689887119E-2</v>
      </c>
      <c r="M42" s="48">
        <f>AVERAGE(M30:M39)</f>
        <v>0.13869289611862187</v>
      </c>
      <c r="AH42" s="48">
        <f>AVERAGE(AH30:AH39)</f>
        <v>0.22004171837226702</v>
      </c>
      <c r="AI42" s="48">
        <f>AVERAGE(AI30:AI39)</f>
        <v>8.1627677709495999E-2</v>
      </c>
      <c r="AJ42" s="48">
        <f>AVERAGE(AJ30:AJ39)</f>
        <v>6.1104011689887119E-2</v>
      </c>
      <c r="AK42" s="48">
        <f>AVERAGE(AK30:AK39)</f>
        <v>0.13841404066277102</v>
      </c>
      <c r="BE42" s="71">
        <f t="shared" si="12"/>
        <v>1</v>
      </c>
      <c r="BH42" s="151">
        <f>AVERAGE(BH30:BH39)</f>
        <v>3.8368273714295409E-4</v>
      </c>
      <c r="BJ42" s="71">
        <f>AVERAGE(BJ30:BJ39)</f>
        <v>0</v>
      </c>
      <c r="BK42" s="71">
        <f>AVERAGE(BK30:BK39)</f>
        <v>0</v>
      </c>
      <c r="BL42" s="71">
        <f>AVERAGE(BL30:BL39)</f>
        <v>-1.4193574596677028E-4</v>
      </c>
      <c r="BM42" s="71">
        <f>AVERAGE(BM30:BM39)</f>
        <v>3.2651944313646375E-3</v>
      </c>
      <c r="BN42" s="71">
        <f>AVERAGE(BN30:BN39)</f>
        <v>-1.3965802617482703E-3</v>
      </c>
      <c r="BP42" s="71">
        <f>AVERAGE(BP30:BP39)</f>
        <v>-1.0437460550066779E-3</v>
      </c>
      <c r="BQ42" s="71">
        <f>AVERAGE(BQ30:BQ39)</f>
        <v>-1.1312046403715303E-3</v>
      </c>
      <c r="BR42" s="71">
        <f>AVERAGE(BR30:BR39)</f>
        <v>3.6589114323903882E-4</v>
      </c>
      <c r="BS42" s="71">
        <f>AVERAGE(BS30:BS39)</f>
        <v>2.5141182815210383E-3</v>
      </c>
      <c r="BT42" s="71">
        <f>AVERAGE(BT30:BT39)</f>
        <v>-6.1152156808208513E-4</v>
      </c>
    </row>
    <row r="43" spans="1:72" x14ac:dyDescent="0.25">
      <c r="B43" s="47" t="s">
        <v>19</v>
      </c>
      <c r="J43" s="48">
        <f>AVERAGE(J5:J39)</f>
        <v>0.40578776401251498</v>
      </c>
      <c r="K43" s="48">
        <f>AVERAGE(K5:K39)</f>
        <v>0.11490932706357473</v>
      </c>
      <c r="L43" s="48">
        <f>AVERAGE(L5:L39)</f>
        <v>8.1992641903049071E-2</v>
      </c>
      <c r="M43" s="48">
        <f>AVERAGE(M5:M39)</f>
        <v>0.29087843694894017</v>
      </c>
      <c r="AH43" s="48">
        <f>AVERAGE(AH5:AH39)</f>
        <v>0.40374613171983659</v>
      </c>
      <c r="AI43" s="48">
        <f>AVERAGE(AI5:AI39)</f>
        <v>0.11490932706357473</v>
      </c>
      <c r="AJ43" s="48">
        <f>AVERAGE(AJ5:AJ39)</f>
        <v>8.1992641903049071E-2</v>
      </c>
      <c r="AK43" s="48">
        <f>AVERAGE(AK5:AK39)</f>
        <v>0.28883680465626194</v>
      </c>
      <c r="BE43" s="71">
        <f t="shared" si="12"/>
        <v>1</v>
      </c>
      <c r="BH43" s="151">
        <f>AVERAGE(BH5:BH39)</f>
        <v>1.389106922714525E-3</v>
      </c>
      <c r="BJ43" s="71">
        <f>AVERAGE(BJ5:BJ39)</f>
        <v>0</v>
      </c>
      <c r="BK43" s="71">
        <f>AVERAGE(BK5:BK39)</f>
        <v>0</v>
      </c>
      <c r="BL43" s="71">
        <f>AVERAGE(BL5:BL39)</f>
        <v>3.272406557257912E-3</v>
      </c>
      <c r="BM43" s="71">
        <f>AVERAGE(BM5:BM39)</f>
        <v>-8.0443496288909854E-3</v>
      </c>
      <c r="BN43" s="71">
        <f>AVERAGE(BN5:BN39)</f>
        <v>-8.6673925614687407E-3</v>
      </c>
      <c r="BP43" s="71">
        <f>AVERAGE(BP5:BP39)</f>
        <v>-3.9110659139881387E-3</v>
      </c>
      <c r="BQ43" s="71">
        <f>AVERAGE(BQ5:BQ39)</f>
        <v>-4.2837315945630462E-3</v>
      </c>
      <c r="BR43" s="71">
        <f>AVERAGE(BR5:BR39)</f>
        <v>4.2724689008270134E-3</v>
      </c>
      <c r="BS43" s="71">
        <f>AVERAGE(BS5:BS39)</f>
        <v>-5.7549756069995572E-3</v>
      </c>
      <c r="BT43" s="71">
        <f>AVERAGE(BT5:BT39)</f>
        <v>-6.019734992743061E-3</v>
      </c>
    </row>
    <row r="44" spans="1:72" hidden="1" outlineLevel="2" x14ac:dyDescent="0.25">
      <c r="A44" s="47" t="s">
        <v>239</v>
      </c>
      <c r="B44" s="47" t="s">
        <v>240</v>
      </c>
      <c r="AB44" s="49">
        <f>SUM(AB5:AB24,AB25:AB29,AB30:AB39)</f>
        <v>852824.16999999981</v>
      </c>
      <c r="AC44" s="49">
        <f>SUM(AC5:AC24,AC25:AC29,AC30:AC39)</f>
        <v>611333.50000000012</v>
      </c>
      <c r="AD44" s="49">
        <f>SUM(AD5:AD24,AD25:AD29,AD30:AD39)</f>
        <v>2684.1029999999996</v>
      </c>
      <c r="AE44" s="49">
        <f>SUM(AE5:AE24,AE25:AE29,AE30:AE39)</f>
        <v>9230.594000000001</v>
      </c>
      <c r="AZ44" s="49">
        <f>SUM(AZ5:AZ24,AZ25:AZ29,AZ30:AZ39)</f>
        <v>786199.35999999975</v>
      </c>
      <c r="BA44" s="49">
        <f>SUM(BA5:BA24,BA25:BA29,BA30:BA39)</f>
        <v>529956</v>
      </c>
      <c r="BB44" s="49">
        <f>SUM(BB5:BB24,BB25:BB29,BB30:BB39)</f>
        <v>18010.548999999999</v>
      </c>
      <c r="BC44" s="49">
        <f>SUM(BC5:BC24,BC25:BC29,BC30:BC39)</f>
        <v>9160.7830000000013</v>
      </c>
    </row>
    <row r="45" spans="1:72" hidden="1" outlineLevel="2" x14ac:dyDescent="0.25">
      <c r="B45" s="47" t="s">
        <v>241</v>
      </c>
      <c r="AZ45" s="151">
        <f>AZ44/AB44</f>
        <v>0.92187743693990276</v>
      </c>
      <c r="BA45" s="151">
        <f>BA44/AC44</f>
        <v>0.86688525984589415</v>
      </c>
      <c r="BB45" s="151">
        <f>BB44/AD44</f>
        <v>6.7100811705064975</v>
      </c>
      <c r="BC45" s="151">
        <f>BC44/AE44</f>
        <v>0.99243699809568053</v>
      </c>
    </row>
    <row r="46" spans="1:72" hidden="1" outlineLevel="2" x14ac:dyDescent="0.25">
      <c r="B46" s="47" t="s">
        <v>242</v>
      </c>
      <c r="AB46" s="49">
        <f>GEOMEAN(AB5:AB24,AB25:AB29,AB30:AB39)</f>
        <v>19029.996836451963</v>
      </c>
      <c r="AC46" s="49">
        <f>GEOMEAN(AC5:AC24,AC25:AC29,AC30:AC39)</f>
        <v>17174.065123785618</v>
      </c>
      <c r="AD46" s="49">
        <f>GEOMEAN(AD5:AD24,AD25:AD29,AD30:AD39)</f>
        <v>75.479984249576546</v>
      </c>
      <c r="AE46" s="49">
        <f>GEOMEAN(AE5:AE24,AE25:AE29,AE30:AE39)</f>
        <v>261.20810258993669</v>
      </c>
      <c r="AZ46" s="49" t="e">
        <f>GEOMEAN(AZ5:AZ24,AZ25:AZ29,AZ30:AZ39)</f>
        <v>#NUM!</v>
      </c>
      <c r="BA46" s="49" t="e">
        <f>GEOMEAN(BA5:BA24,BA25:BA29,BA30:BA39)</f>
        <v>#NUM!</v>
      </c>
      <c r="BB46" s="49">
        <f>GEOMEAN(BB5:BB24,BB25:BB29,BB30:BB39)</f>
        <v>504.79235468336771</v>
      </c>
      <c r="BC46" s="49">
        <f>GEOMEAN(BC5:BC24,BC25:BC29,BC30:BC39)</f>
        <v>259.41533453330686</v>
      </c>
    </row>
    <row r="47" spans="1:72" outlineLevel="2" collapsed="1" x14ac:dyDescent="0.25">
      <c r="B47" s="47" t="s">
        <v>243</v>
      </c>
      <c r="AZ47" s="151" t="e">
        <f>AZ46/AB46</f>
        <v>#NUM!</v>
      </c>
      <c r="BA47" s="151" t="e">
        <f>BA46/AC46</f>
        <v>#NUM!</v>
      </c>
      <c r="BB47" s="151">
        <f>BB46/AD46</f>
        <v>6.6877644411564603</v>
      </c>
      <c r="BC47" s="151">
        <f>BC46/AE46</f>
        <v>0.99313662922836565</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119" priority="1" operator="greaterThanOrEqual">
      <formula>1.03</formula>
    </cfRule>
    <cfRule type="cellIs" dxfId="11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17" priority="21" operator="greaterThanOrEqual">
      <formula>0.03</formula>
    </cfRule>
    <cfRule type="cellIs" dxfId="11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15" priority="19" operator="greaterThanOrEqual">
      <formula>0.03</formula>
    </cfRule>
    <cfRule type="cellIs" dxfId="11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13" priority="5" operator="greaterThanOrEqual">
      <formula>0.03</formula>
    </cfRule>
    <cfRule type="cellIs" dxfId="11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11" priority="9" operator="greaterThanOrEqual">
      <formula>0.03</formula>
    </cfRule>
    <cfRule type="cellIs" dxfId="11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09" priority="11" operator="greaterThanOrEqual">
      <formula>0.03</formula>
    </cfRule>
    <cfRule type="cellIs" dxfId="10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107" priority="7" operator="greaterThanOrEqual">
      <formula>0.03</formula>
    </cfRule>
    <cfRule type="cellIs" dxfId="10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105" priority="13" operator="greaterThanOrEqual">
      <formula>0.03</formula>
    </cfRule>
    <cfRule type="cellIs" dxfId="10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103" priority="3" operator="greaterThanOrEqual">
      <formula>0.03</formula>
    </cfRule>
    <cfRule type="cellIs" dxfId="10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01" priority="15" operator="greaterThanOrEqual">
      <formula>0.03</formula>
    </cfRule>
    <cfRule type="cellIs" dxfId="10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99" priority="17" operator="greaterThanOrEqual">
      <formula>0.03</formula>
    </cfRule>
    <cfRule type="cellIs" dxfId="9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244</v>
      </c>
      <c r="B1">
        <v>1</v>
      </c>
    </row>
    <row r="2" spans="1:2" x14ac:dyDescent="0.25">
      <c r="A2" t="s">
        <v>245</v>
      </c>
      <c r="B2">
        <v>2</v>
      </c>
    </row>
    <row r="3" spans="1:2" x14ac:dyDescent="0.25">
      <c r="A3" t="s">
        <v>246</v>
      </c>
      <c r="B3">
        <v>3</v>
      </c>
    </row>
    <row r="4" spans="1:2" x14ac:dyDescent="0.25">
      <c r="A4" t="s">
        <v>247</v>
      </c>
      <c r="B4">
        <v>4</v>
      </c>
    </row>
    <row r="5" spans="1:2" x14ac:dyDescent="0.25">
      <c r="A5" t="s">
        <v>248</v>
      </c>
      <c r="B5">
        <v>5</v>
      </c>
    </row>
    <row r="6" spans="1:2" x14ac:dyDescent="0.25">
      <c r="A6" t="s">
        <v>249</v>
      </c>
      <c r="B6">
        <v>6</v>
      </c>
    </row>
    <row r="7" spans="1:2" x14ac:dyDescent="0.25">
      <c r="A7" t="s">
        <v>250</v>
      </c>
      <c r="B7">
        <v>7</v>
      </c>
    </row>
    <row r="8" spans="1:2" x14ac:dyDescent="0.25">
      <c r="A8" t="s">
        <v>251</v>
      </c>
      <c r="B8">
        <v>9</v>
      </c>
    </row>
    <row r="9" spans="1:2" x14ac:dyDescent="0.25">
      <c r="A9" t="s">
        <v>252</v>
      </c>
      <c r="B9">
        <v>10</v>
      </c>
    </row>
    <row r="10" spans="1:2" x14ac:dyDescent="0.25">
      <c r="A10" t="s">
        <v>253</v>
      </c>
      <c r="B10">
        <v>11</v>
      </c>
    </row>
    <row r="11" spans="1:2" x14ac:dyDescent="0.25">
      <c r="A11" t="s">
        <v>254</v>
      </c>
      <c r="B11">
        <v>12</v>
      </c>
    </row>
    <row r="12" spans="1:2" x14ac:dyDescent="0.25">
      <c r="A12" t="s">
        <v>255</v>
      </c>
      <c r="B12">
        <v>13</v>
      </c>
    </row>
    <row r="13" spans="1:2" x14ac:dyDescent="0.25">
      <c r="A13" t="s">
        <v>256</v>
      </c>
      <c r="B13">
        <v>14</v>
      </c>
    </row>
    <row r="14" spans="1:2" x14ac:dyDescent="0.25">
      <c r="A14" t="s">
        <v>257</v>
      </c>
      <c r="B14">
        <v>15</v>
      </c>
    </row>
    <row r="15" spans="1:2" x14ac:dyDescent="0.25">
      <c r="A15" t="s">
        <v>258</v>
      </c>
      <c r="B15">
        <v>16</v>
      </c>
    </row>
    <row r="16" spans="1:2" x14ac:dyDescent="0.25">
      <c r="A16" t="s">
        <v>259</v>
      </c>
      <c r="B16">
        <v>17</v>
      </c>
    </row>
    <row r="17" spans="1:2" x14ac:dyDescent="0.25">
      <c r="A17" t="s">
        <v>260</v>
      </c>
      <c r="B17">
        <v>18</v>
      </c>
    </row>
    <row r="18" spans="1:2" x14ac:dyDescent="0.25">
      <c r="A18" t="s">
        <v>261</v>
      </c>
      <c r="B18">
        <v>19</v>
      </c>
    </row>
    <row r="19" spans="1:2" x14ac:dyDescent="0.25">
      <c r="A19" t="s">
        <v>262</v>
      </c>
      <c r="B19">
        <v>20</v>
      </c>
    </row>
    <row r="20" spans="1:2" x14ac:dyDescent="0.25">
      <c r="A20" t="s">
        <v>263</v>
      </c>
      <c r="B20">
        <v>21</v>
      </c>
    </row>
    <row r="21" spans="1:2" x14ac:dyDescent="0.25">
      <c r="A21" t="s">
        <v>264</v>
      </c>
      <c r="B21">
        <v>22</v>
      </c>
    </row>
    <row r="22" spans="1:2" x14ac:dyDescent="0.25">
      <c r="A22" t="s">
        <v>265</v>
      </c>
      <c r="B22">
        <v>23</v>
      </c>
    </row>
    <row r="23" spans="1:2" x14ac:dyDescent="0.25">
      <c r="A23" t="s">
        <v>266</v>
      </c>
      <c r="B23">
        <v>24</v>
      </c>
    </row>
    <row r="24" spans="1:2" x14ac:dyDescent="0.25">
      <c r="A24" t="s">
        <v>267</v>
      </c>
      <c r="B24">
        <v>25</v>
      </c>
    </row>
    <row r="25" spans="1:2" x14ac:dyDescent="0.25">
      <c r="A25" t="s">
        <v>268</v>
      </c>
      <c r="B25">
        <v>26</v>
      </c>
    </row>
    <row r="26" spans="1:2" x14ac:dyDescent="0.25">
      <c r="A26" t="s">
        <v>269</v>
      </c>
      <c r="B26">
        <v>27</v>
      </c>
    </row>
    <row r="27" spans="1:2" x14ac:dyDescent="0.25">
      <c r="A27" t="s">
        <v>270</v>
      </c>
      <c r="B27">
        <v>28</v>
      </c>
    </row>
    <row r="28" spans="1:2" x14ac:dyDescent="0.25">
      <c r="A28" t="s">
        <v>271</v>
      </c>
      <c r="B28">
        <v>29</v>
      </c>
    </row>
    <row r="29" spans="1:2" x14ac:dyDescent="0.25">
      <c r="A29" t="s">
        <v>272</v>
      </c>
      <c r="B29">
        <v>30</v>
      </c>
    </row>
    <row r="30" spans="1:2" x14ac:dyDescent="0.25">
      <c r="A30" t="s">
        <v>273</v>
      </c>
      <c r="B30">
        <v>31</v>
      </c>
    </row>
    <row r="31" spans="1:2" x14ac:dyDescent="0.25">
      <c r="A31" t="s">
        <v>274</v>
      </c>
      <c r="B31">
        <v>33</v>
      </c>
    </row>
    <row r="32" spans="1:2" x14ac:dyDescent="0.25">
      <c r="A32" t="s">
        <v>275</v>
      </c>
      <c r="B32">
        <v>34</v>
      </c>
    </row>
    <row r="33" spans="1:2" x14ac:dyDescent="0.25">
      <c r="A33" t="s">
        <v>276</v>
      </c>
      <c r="B33">
        <v>35</v>
      </c>
    </row>
    <row r="34" spans="1:2" x14ac:dyDescent="0.25">
      <c r="A34" t="s">
        <v>277</v>
      </c>
      <c r="B34">
        <v>36</v>
      </c>
    </row>
    <row r="35" spans="1:2" x14ac:dyDescent="0.25">
      <c r="A35" t="s">
        <v>278</v>
      </c>
      <c r="B35">
        <v>37</v>
      </c>
    </row>
    <row r="36" spans="1:2" x14ac:dyDescent="0.25">
      <c r="A36" t="s">
        <v>279</v>
      </c>
      <c r="B36">
        <v>38</v>
      </c>
    </row>
    <row r="37" spans="1:2" x14ac:dyDescent="0.25">
      <c r="A37" t="s">
        <v>280</v>
      </c>
      <c r="B37">
        <v>39</v>
      </c>
    </row>
    <row r="38" spans="1:2" x14ac:dyDescent="0.25">
      <c r="A38" t="s">
        <v>281</v>
      </c>
      <c r="B38">
        <v>40</v>
      </c>
    </row>
    <row r="39" spans="1:2" x14ac:dyDescent="0.25">
      <c r="A39" t="s">
        <v>282</v>
      </c>
      <c r="B39">
        <v>41</v>
      </c>
    </row>
    <row r="40" spans="1:2" x14ac:dyDescent="0.25">
      <c r="A40" t="s">
        <v>283</v>
      </c>
      <c r="B40">
        <v>42</v>
      </c>
    </row>
    <row r="41" spans="1:2" x14ac:dyDescent="0.25">
      <c r="A41" t="s">
        <v>284</v>
      </c>
      <c r="B41">
        <v>43</v>
      </c>
    </row>
    <row r="42" spans="1:2" x14ac:dyDescent="0.25">
      <c r="A42" t="s">
        <v>285</v>
      </c>
      <c r="B42">
        <v>44</v>
      </c>
    </row>
    <row r="43" spans="1:2" x14ac:dyDescent="0.25">
      <c r="A43" t="s">
        <v>286</v>
      </c>
      <c r="B43">
        <v>45</v>
      </c>
    </row>
    <row r="44" spans="1:2" x14ac:dyDescent="0.25">
      <c r="A44" t="s">
        <v>287</v>
      </c>
      <c r="B44">
        <v>46</v>
      </c>
    </row>
    <row r="45" spans="1:2" x14ac:dyDescent="0.25">
      <c r="A45" t="s">
        <v>288</v>
      </c>
      <c r="B45">
        <v>47</v>
      </c>
    </row>
    <row r="46" spans="1:2" x14ac:dyDescent="0.25">
      <c r="A46" t="s">
        <v>289</v>
      </c>
      <c r="B46">
        <v>48</v>
      </c>
    </row>
    <row r="47" spans="1:2" x14ac:dyDescent="0.25">
      <c r="A47" t="s">
        <v>290</v>
      </c>
      <c r="B47">
        <v>49</v>
      </c>
    </row>
    <row r="48" spans="1:2" x14ac:dyDescent="0.25">
      <c r="A48" t="s">
        <v>291</v>
      </c>
      <c r="B48">
        <v>50</v>
      </c>
    </row>
    <row r="49" spans="1:2" x14ac:dyDescent="0.25">
      <c r="A49" t="s">
        <v>292</v>
      </c>
      <c r="B49">
        <v>51</v>
      </c>
    </row>
    <row r="50" spans="1:2" x14ac:dyDescent="0.25">
      <c r="A50" t="s">
        <v>293</v>
      </c>
      <c r="B50">
        <v>52</v>
      </c>
    </row>
    <row r="51" spans="1:2" x14ac:dyDescent="0.25">
      <c r="A51" t="s">
        <v>294</v>
      </c>
      <c r="B51">
        <v>53</v>
      </c>
    </row>
    <row r="52" spans="1:2" x14ac:dyDescent="0.25">
      <c r="A52" t="s">
        <v>295</v>
      </c>
      <c r="B52">
        <v>54</v>
      </c>
    </row>
    <row r="53" spans="1:2" x14ac:dyDescent="0.25">
      <c r="A53" t="s">
        <v>296</v>
      </c>
      <c r="B53">
        <v>55</v>
      </c>
    </row>
    <row r="54" spans="1:2" x14ac:dyDescent="0.25">
      <c r="A54" t="s">
        <v>297</v>
      </c>
      <c r="B54">
        <v>57</v>
      </c>
    </row>
    <row r="55" spans="1:2" x14ac:dyDescent="0.25">
      <c r="A55" t="s">
        <v>298</v>
      </c>
      <c r="B55">
        <v>58</v>
      </c>
    </row>
    <row r="56" spans="1:2" x14ac:dyDescent="0.25">
      <c r="A56" t="s">
        <v>299</v>
      </c>
      <c r="B56">
        <v>59</v>
      </c>
    </row>
    <row r="57" spans="1:2" x14ac:dyDescent="0.25">
      <c r="A57" t="s">
        <v>300</v>
      </c>
      <c r="B57">
        <v>60</v>
      </c>
    </row>
    <row r="58" spans="1:2" x14ac:dyDescent="0.25">
      <c r="A58" t="s">
        <v>301</v>
      </c>
      <c r="B58">
        <v>62</v>
      </c>
    </row>
    <row r="59" spans="1:2" x14ac:dyDescent="0.25">
      <c r="A59" t="s">
        <v>302</v>
      </c>
      <c r="B59">
        <v>63</v>
      </c>
    </row>
    <row r="60" spans="1:2" x14ac:dyDescent="0.25">
      <c r="A60" t="s">
        <v>303</v>
      </c>
      <c r="B60">
        <v>64</v>
      </c>
    </row>
    <row r="61" spans="1:2" x14ac:dyDescent="0.25">
      <c r="A61" t="s">
        <v>304</v>
      </c>
      <c r="B61">
        <v>65</v>
      </c>
    </row>
    <row r="62" spans="1:2" x14ac:dyDescent="0.25">
      <c r="A62" t="s">
        <v>305</v>
      </c>
      <c r="B62">
        <v>66</v>
      </c>
    </row>
    <row r="63" spans="1:2" x14ac:dyDescent="0.25">
      <c r="A63" t="s">
        <v>306</v>
      </c>
      <c r="B63">
        <v>68</v>
      </c>
    </row>
    <row r="64" spans="1:2" x14ac:dyDescent="0.25">
      <c r="A64" t="s">
        <v>307</v>
      </c>
      <c r="B64">
        <v>69</v>
      </c>
    </row>
    <row r="65" spans="1:24" x14ac:dyDescent="0.25">
      <c r="A65" t="s">
        <v>308</v>
      </c>
      <c r="B65">
        <v>70</v>
      </c>
    </row>
    <row r="66" spans="1:24" x14ac:dyDescent="0.25">
      <c r="A66" t="s">
        <v>309</v>
      </c>
      <c r="B66">
        <v>71</v>
      </c>
    </row>
    <row r="67" spans="1:24" x14ac:dyDescent="0.25">
      <c r="A67" t="s">
        <v>310</v>
      </c>
      <c r="B67">
        <v>72</v>
      </c>
    </row>
    <row r="68" spans="1:24" x14ac:dyDescent="0.25">
      <c r="A68" t="s">
        <v>311</v>
      </c>
      <c r="B68" t="s">
        <v>312</v>
      </c>
    </row>
    <row r="69" spans="1:24" x14ac:dyDescent="0.25">
      <c r="A69" t="s">
        <v>313</v>
      </c>
      <c r="B69" t="s">
        <v>314</v>
      </c>
    </row>
    <row r="70" spans="1:24" x14ac:dyDescent="0.25">
      <c r="A70" t="s">
        <v>315</v>
      </c>
      <c r="B70" t="s">
        <v>316</v>
      </c>
    </row>
    <row r="71" spans="1:24" x14ac:dyDescent="0.25">
      <c r="A71" t="s">
        <v>317</v>
      </c>
      <c r="B71" t="s">
        <v>318</v>
      </c>
    </row>
    <row r="72" spans="1:24" x14ac:dyDescent="0.25">
      <c r="A72" t="s">
        <v>319</v>
      </c>
      <c r="B72" t="s">
        <v>320</v>
      </c>
    </row>
    <row r="73" spans="1:24" x14ac:dyDescent="0.25">
      <c r="A73" t="s">
        <v>321</v>
      </c>
      <c r="B73" t="s">
        <v>322</v>
      </c>
    </row>
    <row r="74" spans="1:24" x14ac:dyDescent="0.25">
      <c r="A74" t="s">
        <v>323</v>
      </c>
      <c r="B74" t="s">
        <v>324</v>
      </c>
    </row>
    <row r="75" spans="1:24" x14ac:dyDescent="0.25">
      <c r="A75" t="s">
        <v>325</v>
      </c>
      <c r="B75" t="s">
        <v>326</v>
      </c>
    </row>
    <row r="76" spans="1:24" x14ac:dyDescent="0.25">
      <c r="A76" t="s">
        <v>327</v>
      </c>
      <c r="B76" t="s">
        <v>328</v>
      </c>
    </row>
    <row r="77" spans="1:24" x14ac:dyDescent="0.25">
      <c r="A77" t="s">
        <v>329</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5">
      <c r="A78" t="s">
        <v>330</v>
      </c>
      <c r="B78">
        <v>1</v>
      </c>
    </row>
    <row r="79" spans="1:24" x14ac:dyDescent="0.25">
      <c r="A79" t="s">
        <v>331</v>
      </c>
      <c r="B79">
        <v>2</v>
      </c>
    </row>
    <row r="80" spans="1:24" x14ac:dyDescent="0.25">
      <c r="A80" t="s">
        <v>332</v>
      </c>
      <c r="B80">
        <v>3</v>
      </c>
    </row>
    <row r="81" spans="1:2" x14ac:dyDescent="0.25">
      <c r="A81" t="s">
        <v>333</v>
      </c>
      <c r="B81">
        <v>4</v>
      </c>
    </row>
    <row r="82" spans="1:2" x14ac:dyDescent="0.25">
      <c r="A82" t="s">
        <v>334</v>
      </c>
      <c r="B82">
        <v>5</v>
      </c>
    </row>
    <row r="83" spans="1:2" x14ac:dyDescent="0.25">
      <c r="A83" t="s">
        <v>335</v>
      </c>
      <c r="B83">
        <v>6</v>
      </c>
    </row>
    <row r="84" spans="1:2" x14ac:dyDescent="0.25">
      <c r="A84" t="s">
        <v>336</v>
      </c>
      <c r="B84">
        <v>8</v>
      </c>
    </row>
    <row r="85" spans="1:2" x14ac:dyDescent="0.25">
      <c r="A85" t="s">
        <v>337</v>
      </c>
      <c r="B85">
        <v>9</v>
      </c>
    </row>
    <row r="86" spans="1:2" x14ac:dyDescent="0.25">
      <c r="A86" t="s">
        <v>338</v>
      </c>
      <c r="B86">
        <v>10</v>
      </c>
    </row>
    <row r="87" spans="1:2" x14ac:dyDescent="0.25">
      <c r="A87" t="s">
        <v>339</v>
      </c>
      <c r="B87">
        <v>11</v>
      </c>
    </row>
    <row r="88" spans="1:2" x14ac:dyDescent="0.25">
      <c r="A88" t="s">
        <v>340</v>
      </c>
      <c r="B88">
        <v>12</v>
      </c>
    </row>
    <row r="89" spans="1:2" x14ac:dyDescent="0.25">
      <c r="A89" t="s">
        <v>341</v>
      </c>
      <c r="B89">
        <v>13</v>
      </c>
    </row>
    <row r="90" spans="1:2" x14ac:dyDescent="0.25">
      <c r="A90" t="s">
        <v>342</v>
      </c>
      <c r="B90">
        <v>14</v>
      </c>
    </row>
    <row r="91" spans="1:2" x14ac:dyDescent="0.25">
      <c r="A91" t="s">
        <v>343</v>
      </c>
      <c r="B91">
        <v>15</v>
      </c>
    </row>
    <row r="92" spans="1:2" x14ac:dyDescent="0.25">
      <c r="A92" t="s">
        <v>344</v>
      </c>
      <c r="B92">
        <v>16</v>
      </c>
    </row>
    <row r="93" spans="1:2" x14ac:dyDescent="0.25">
      <c r="A93" t="s">
        <v>345</v>
      </c>
      <c r="B93">
        <v>17</v>
      </c>
    </row>
    <row r="94" spans="1:2" x14ac:dyDescent="0.25">
      <c r="A94" t="s">
        <v>346</v>
      </c>
      <c r="B94">
        <v>18</v>
      </c>
    </row>
    <row r="95" spans="1:2" x14ac:dyDescent="0.25">
      <c r="A95" t="s">
        <v>347</v>
      </c>
      <c r="B95">
        <v>19</v>
      </c>
    </row>
    <row r="96" spans="1:2" x14ac:dyDescent="0.25">
      <c r="A96" t="s">
        <v>348</v>
      </c>
      <c r="B96">
        <v>20</v>
      </c>
    </row>
    <row r="97" spans="1:2" x14ac:dyDescent="0.25">
      <c r="A97" t="s">
        <v>349</v>
      </c>
      <c r="B97">
        <v>21</v>
      </c>
    </row>
    <row r="98" spans="1:2" x14ac:dyDescent="0.25">
      <c r="A98" t="s">
        <v>350</v>
      </c>
      <c r="B98">
        <v>22</v>
      </c>
    </row>
    <row r="99" spans="1:2" x14ac:dyDescent="0.25">
      <c r="A99" t="s">
        <v>351</v>
      </c>
      <c r="B99">
        <v>23</v>
      </c>
    </row>
    <row r="100" spans="1:2" x14ac:dyDescent="0.25">
      <c r="A100" t="s">
        <v>352</v>
      </c>
      <c r="B100">
        <v>24</v>
      </c>
    </row>
    <row r="101" spans="1:2" x14ac:dyDescent="0.25">
      <c r="A101" t="s">
        <v>353</v>
      </c>
      <c r="B101">
        <v>25</v>
      </c>
    </row>
    <row r="102" spans="1:2" x14ac:dyDescent="0.25">
      <c r="A102" t="s">
        <v>354</v>
      </c>
      <c r="B102">
        <v>26</v>
      </c>
    </row>
    <row r="103" spans="1:2" x14ac:dyDescent="0.25">
      <c r="A103" t="s">
        <v>355</v>
      </c>
      <c r="B103">
        <v>27</v>
      </c>
    </row>
    <row r="104" spans="1:2" x14ac:dyDescent="0.25">
      <c r="A104" t="s">
        <v>356</v>
      </c>
      <c r="B104">
        <v>28</v>
      </c>
    </row>
    <row r="105" spans="1:2" x14ac:dyDescent="0.25">
      <c r="A105" t="s">
        <v>357</v>
      </c>
      <c r="B105">
        <v>29</v>
      </c>
    </row>
    <row r="106" spans="1:2" x14ac:dyDescent="0.25">
      <c r="A106" t="s">
        <v>358</v>
      </c>
      <c r="B106">
        <v>31</v>
      </c>
    </row>
    <row r="107" spans="1:2" x14ac:dyDescent="0.25">
      <c r="A107" t="s">
        <v>359</v>
      </c>
      <c r="B107">
        <v>32</v>
      </c>
    </row>
    <row r="108" spans="1:2" x14ac:dyDescent="0.25">
      <c r="A108" t="s">
        <v>360</v>
      </c>
      <c r="B108">
        <v>33</v>
      </c>
    </row>
    <row r="109" spans="1:2" x14ac:dyDescent="0.25">
      <c r="A109" t="s">
        <v>361</v>
      </c>
      <c r="B109">
        <v>34</v>
      </c>
    </row>
    <row r="110" spans="1:2" x14ac:dyDescent="0.25">
      <c r="A110" t="s">
        <v>362</v>
      </c>
      <c r="B110">
        <v>35</v>
      </c>
    </row>
    <row r="111" spans="1:2" x14ac:dyDescent="0.25">
      <c r="A111" t="s">
        <v>363</v>
      </c>
      <c r="B111">
        <v>36</v>
      </c>
    </row>
    <row r="112" spans="1:2" x14ac:dyDescent="0.25">
      <c r="A112" t="s">
        <v>364</v>
      </c>
      <c r="B112">
        <v>37</v>
      </c>
    </row>
    <row r="113" spans="1:2" x14ac:dyDescent="0.25">
      <c r="A113" t="s">
        <v>365</v>
      </c>
      <c r="B113">
        <v>38</v>
      </c>
    </row>
    <row r="114" spans="1:2" x14ac:dyDescent="0.25">
      <c r="A114" t="s">
        <v>366</v>
      </c>
      <c r="B114">
        <v>39</v>
      </c>
    </row>
    <row r="115" spans="1:2" x14ac:dyDescent="0.25">
      <c r="A115" t="s">
        <v>367</v>
      </c>
      <c r="B115">
        <v>40</v>
      </c>
    </row>
    <row r="116" spans="1:2" x14ac:dyDescent="0.25">
      <c r="A116" t="s">
        <v>368</v>
      </c>
      <c r="B116">
        <v>41</v>
      </c>
    </row>
    <row r="117" spans="1:2" x14ac:dyDescent="0.25">
      <c r="A117" t="s">
        <v>369</v>
      </c>
      <c r="B117">
        <v>42</v>
      </c>
    </row>
    <row r="118" spans="1:2" x14ac:dyDescent="0.25">
      <c r="A118" t="s">
        <v>370</v>
      </c>
      <c r="B118">
        <v>43</v>
      </c>
    </row>
    <row r="119" spans="1:2" x14ac:dyDescent="0.25">
      <c r="A119" t="s">
        <v>371</v>
      </c>
      <c r="B119">
        <v>44</v>
      </c>
    </row>
    <row r="120" spans="1:2" x14ac:dyDescent="0.25">
      <c r="A120" t="s">
        <v>372</v>
      </c>
      <c r="B120">
        <v>45</v>
      </c>
    </row>
    <row r="121" spans="1:2" x14ac:dyDescent="0.25">
      <c r="A121" t="s">
        <v>373</v>
      </c>
      <c r="B121">
        <v>46</v>
      </c>
    </row>
    <row r="122" spans="1:2" x14ac:dyDescent="0.25">
      <c r="A122" t="s">
        <v>374</v>
      </c>
      <c r="B122">
        <v>47</v>
      </c>
    </row>
    <row r="123" spans="1:2" x14ac:dyDescent="0.25">
      <c r="A123" t="s">
        <v>375</v>
      </c>
      <c r="B123">
        <v>48</v>
      </c>
    </row>
    <row r="124" spans="1:2" x14ac:dyDescent="0.25">
      <c r="A124" t="s">
        <v>376</v>
      </c>
      <c r="B124">
        <v>49</v>
      </c>
    </row>
    <row r="125" spans="1:2" x14ac:dyDescent="0.25">
      <c r="A125" t="s">
        <v>377</v>
      </c>
      <c r="B125">
        <v>50</v>
      </c>
    </row>
    <row r="126" spans="1:2" x14ac:dyDescent="0.25">
      <c r="A126" t="s">
        <v>378</v>
      </c>
      <c r="B126">
        <v>51</v>
      </c>
    </row>
    <row r="127" spans="1:2" x14ac:dyDescent="0.25">
      <c r="A127" t="s">
        <v>379</v>
      </c>
      <c r="B127">
        <v>52</v>
      </c>
    </row>
    <row r="128" spans="1:2" x14ac:dyDescent="0.25">
      <c r="A128" t="s">
        <v>380</v>
      </c>
      <c r="B128">
        <v>54</v>
      </c>
    </row>
    <row r="129" spans="1:23" x14ac:dyDescent="0.25">
      <c r="A129" t="s">
        <v>381</v>
      </c>
      <c r="B129">
        <v>55</v>
      </c>
    </row>
    <row r="130" spans="1:23" x14ac:dyDescent="0.25">
      <c r="A130" t="s">
        <v>382</v>
      </c>
      <c r="B130">
        <v>56</v>
      </c>
    </row>
    <row r="131" spans="1:23" x14ac:dyDescent="0.25">
      <c r="A131" t="s">
        <v>383</v>
      </c>
      <c r="B131">
        <v>57</v>
      </c>
    </row>
    <row r="132" spans="1:23" x14ac:dyDescent="0.25">
      <c r="A132" t="s">
        <v>384</v>
      </c>
      <c r="B132">
        <v>58</v>
      </c>
    </row>
    <row r="133" spans="1:23" x14ac:dyDescent="0.25">
      <c r="A133" t="s">
        <v>385</v>
      </c>
      <c r="B133">
        <v>59</v>
      </c>
    </row>
    <row r="134" spans="1:23" x14ac:dyDescent="0.25">
      <c r="A134" t="s">
        <v>386</v>
      </c>
      <c r="B134" t="s">
        <v>387</v>
      </c>
    </row>
    <row r="135" spans="1:23" x14ac:dyDescent="0.25">
      <c r="A135" t="s">
        <v>388</v>
      </c>
      <c r="B135" t="s">
        <v>389</v>
      </c>
    </row>
    <row r="136" spans="1:23" x14ac:dyDescent="0.25">
      <c r="A136" t="s">
        <v>390</v>
      </c>
      <c r="B136" t="s">
        <v>391</v>
      </c>
    </row>
    <row r="137" spans="1:23" x14ac:dyDescent="0.25">
      <c r="A137" t="s">
        <v>392</v>
      </c>
      <c r="B137" t="s">
        <v>393</v>
      </c>
    </row>
    <row r="138" spans="1:23" x14ac:dyDescent="0.25">
      <c r="A138" t="s">
        <v>394</v>
      </c>
      <c r="B138" t="s">
        <v>395</v>
      </c>
    </row>
    <row r="139" spans="1:23" x14ac:dyDescent="0.25">
      <c r="A139" t="s">
        <v>396</v>
      </c>
      <c r="B139" t="s">
        <v>397</v>
      </c>
    </row>
    <row r="140" spans="1:23" x14ac:dyDescent="0.25">
      <c r="A140" t="s">
        <v>398</v>
      </c>
      <c r="B140" t="s">
        <v>399</v>
      </c>
    </row>
    <row r="141" spans="1:23" x14ac:dyDescent="0.25">
      <c r="A141" t="s">
        <v>400</v>
      </c>
      <c r="B141" t="s">
        <v>401</v>
      </c>
    </row>
    <row r="142" spans="1:23" x14ac:dyDescent="0.25">
      <c r="A142" t="s">
        <v>402</v>
      </c>
      <c r="B142" t="s">
        <v>403</v>
      </c>
    </row>
    <row r="143" spans="1:23" x14ac:dyDescent="0.25">
      <c r="A143" t="s">
        <v>404</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5">
      <c r="A144" t="s">
        <v>405</v>
      </c>
      <c r="B144">
        <v>1</v>
      </c>
    </row>
    <row r="145" spans="1:2" x14ac:dyDescent="0.25">
      <c r="A145" t="s">
        <v>406</v>
      </c>
      <c r="B145">
        <v>2</v>
      </c>
    </row>
    <row r="146" spans="1:2" x14ac:dyDescent="0.25">
      <c r="A146" t="s">
        <v>407</v>
      </c>
      <c r="B146">
        <v>3</v>
      </c>
    </row>
    <row r="147" spans="1:2" x14ac:dyDescent="0.25">
      <c r="A147" t="s">
        <v>408</v>
      </c>
      <c r="B147">
        <v>4</v>
      </c>
    </row>
    <row r="148" spans="1:2" x14ac:dyDescent="0.25">
      <c r="A148" t="s">
        <v>409</v>
      </c>
      <c r="B148">
        <v>5</v>
      </c>
    </row>
    <row r="149" spans="1:2" x14ac:dyDescent="0.25">
      <c r="A149" t="s">
        <v>410</v>
      </c>
      <c r="B149">
        <v>6</v>
      </c>
    </row>
    <row r="150" spans="1:2" x14ac:dyDescent="0.25">
      <c r="A150" t="s">
        <v>411</v>
      </c>
      <c r="B150">
        <v>8</v>
      </c>
    </row>
    <row r="151" spans="1:2" x14ac:dyDescent="0.25">
      <c r="A151" t="s">
        <v>412</v>
      </c>
      <c r="B151">
        <v>9</v>
      </c>
    </row>
    <row r="152" spans="1:2" x14ac:dyDescent="0.25">
      <c r="A152" t="s">
        <v>413</v>
      </c>
      <c r="B152">
        <v>10</v>
      </c>
    </row>
    <row r="153" spans="1:2" x14ac:dyDescent="0.25">
      <c r="A153" t="s">
        <v>414</v>
      </c>
      <c r="B153">
        <v>11</v>
      </c>
    </row>
    <row r="154" spans="1:2" x14ac:dyDescent="0.25">
      <c r="A154" t="s">
        <v>415</v>
      </c>
      <c r="B154">
        <v>12</v>
      </c>
    </row>
    <row r="155" spans="1:2" x14ac:dyDescent="0.25">
      <c r="A155" t="s">
        <v>416</v>
      </c>
      <c r="B155">
        <v>13</v>
      </c>
    </row>
    <row r="156" spans="1:2" x14ac:dyDescent="0.25">
      <c r="A156" t="s">
        <v>417</v>
      </c>
      <c r="B156">
        <v>14</v>
      </c>
    </row>
    <row r="157" spans="1:2" x14ac:dyDescent="0.25">
      <c r="A157" t="s">
        <v>418</v>
      </c>
      <c r="B157">
        <v>15</v>
      </c>
    </row>
    <row r="158" spans="1:2" x14ac:dyDescent="0.25">
      <c r="A158" t="s">
        <v>419</v>
      </c>
      <c r="B158">
        <v>16</v>
      </c>
    </row>
    <row r="159" spans="1:2" x14ac:dyDescent="0.25">
      <c r="A159" t="s">
        <v>420</v>
      </c>
      <c r="B159">
        <v>17</v>
      </c>
    </row>
    <row r="160" spans="1:2" x14ac:dyDescent="0.25">
      <c r="A160" t="s">
        <v>421</v>
      </c>
      <c r="B160">
        <v>18</v>
      </c>
    </row>
    <row r="161" spans="1:2" x14ac:dyDescent="0.25">
      <c r="A161" t="s">
        <v>422</v>
      </c>
      <c r="B161">
        <v>19</v>
      </c>
    </row>
    <row r="162" spans="1:2" x14ac:dyDescent="0.25">
      <c r="A162" t="s">
        <v>423</v>
      </c>
      <c r="B162">
        <v>20</v>
      </c>
    </row>
    <row r="163" spans="1:2" x14ac:dyDescent="0.25">
      <c r="A163" t="s">
        <v>424</v>
      </c>
      <c r="B163">
        <v>21</v>
      </c>
    </row>
    <row r="164" spans="1:2" x14ac:dyDescent="0.25">
      <c r="A164" t="s">
        <v>425</v>
      </c>
      <c r="B164">
        <v>22</v>
      </c>
    </row>
    <row r="165" spans="1:2" x14ac:dyDescent="0.25">
      <c r="A165" t="s">
        <v>426</v>
      </c>
      <c r="B165">
        <v>23</v>
      </c>
    </row>
    <row r="166" spans="1:2" x14ac:dyDescent="0.25">
      <c r="A166" t="s">
        <v>427</v>
      </c>
      <c r="B166">
        <v>24</v>
      </c>
    </row>
    <row r="167" spans="1:2" x14ac:dyDescent="0.25">
      <c r="A167" t="s">
        <v>428</v>
      </c>
      <c r="B167">
        <v>25</v>
      </c>
    </row>
    <row r="168" spans="1:2" x14ac:dyDescent="0.25">
      <c r="A168" t="s">
        <v>429</v>
      </c>
      <c r="B168">
        <v>26</v>
      </c>
    </row>
    <row r="169" spans="1:2" x14ac:dyDescent="0.25">
      <c r="A169" t="s">
        <v>430</v>
      </c>
      <c r="B169">
        <v>27</v>
      </c>
    </row>
    <row r="170" spans="1:2" x14ac:dyDescent="0.25">
      <c r="A170" t="s">
        <v>431</v>
      </c>
      <c r="B170">
        <v>28</v>
      </c>
    </row>
    <row r="171" spans="1:2" x14ac:dyDescent="0.25">
      <c r="A171" t="s">
        <v>432</v>
      </c>
      <c r="B171">
        <v>29</v>
      </c>
    </row>
    <row r="172" spans="1:2" x14ac:dyDescent="0.25">
      <c r="A172" t="s">
        <v>433</v>
      </c>
      <c r="B172">
        <v>31</v>
      </c>
    </row>
    <row r="173" spans="1:2" x14ac:dyDescent="0.25">
      <c r="A173" t="s">
        <v>434</v>
      </c>
      <c r="B173">
        <v>32</v>
      </c>
    </row>
    <row r="174" spans="1:2" x14ac:dyDescent="0.25">
      <c r="A174" t="s">
        <v>435</v>
      </c>
      <c r="B174">
        <v>33</v>
      </c>
    </row>
    <row r="175" spans="1:2" x14ac:dyDescent="0.25">
      <c r="A175" t="s">
        <v>436</v>
      </c>
      <c r="B175">
        <v>34</v>
      </c>
    </row>
    <row r="176" spans="1:2" x14ac:dyDescent="0.25">
      <c r="A176" t="s">
        <v>437</v>
      </c>
      <c r="B176">
        <v>35</v>
      </c>
    </row>
    <row r="177" spans="1:2" x14ac:dyDescent="0.25">
      <c r="A177" t="s">
        <v>438</v>
      </c>
      <c r="B177">
        <v>36</v>
      </c>
    </row>
    <row r="178" spans="1:2" x14ac:dyDescent="0.25">
      <c r="A178" t="s">
        <v>439</v>
      </c>
      <c r="B178">
        <v>37</v>
      </c>
    </row>
    <row r="179" spans="1:2" x14ac:dyDescent="0.25">
      <c r="A179" t="s">
        <v>440</v>
      </c>
      <c r="B179">
        <v>38</v>
      </c>
    </row>
    <row r="180" spans="1:2" x14ac:dyDescent="0.25">
      <c r="A180" t="s">
        <v>441</v>
      </c>
      <c r="B180">
        <v>39</v>
      </c>
    </row>
    <row r="181" spans="1:2" x14ac:dyDescent="0.25">
      <c r="A181" t="s">
        <v>442</v>
      </c>
      <c r="B181">
        <v>40</v>
      </c>
    </row>
    <row r="182" spans="1:2" x14ac:dyDescent="0.25">
      <c r="A182" t="s">
        <v>443</v>
      </c>
      <c r="B182">
        <v>41</v>
      </c>
    </row>
    <row r="183" spans="1:2" x14ac:dyDescent="0.25">
      <c r="A183" t="s">
        <v>444</v>
      </c>
      <c r="B183">
        <v>42</v>
      </c>
    </row>
    <row r="184" spans="1:2" x14ac:dyDescent="0.25">
      <c r="A184" t="s">
        <v>445</v>
      </c>
      <c r="B184">
        <v>43</v>
      </c>
    </row>
    <row r="185" spans="1:2" x14ac:dyDescent="0.25">
      <c r="A185" t="s">
        <v>446</v>
      </c>
      <c r="B185">
        <v>44</v>
      </c>
    </row>
    <row r="186" spans="1:2" x14ac:dyDescent="0.25">
      <c r="A186" t="s">
        <v>447</v>
      </c>
      <c r="B186">
        <v>45</v>
      </c>
    </row>
    <row r="187" spans="1:2" x14ac:dyDescent="0.25">
      <c r="A187" t="s">
        <v>448</v>
      </c>
      <c r="B187">
        <v>46</v>
      </c>
    </row>
    <row r="188" spans="1:2" x14ac:dyDescent="0.25">
      <c r="A188" t="s">
        <v>449</v>
      </c>
      <c r="B188">
        <v>47</v>
      </c>
    </row>
    <row r="189" spans="1:2" x14ac:dyDescent="0.25">
      <c r="A189" t="s">
        <v>450</v>
      </c>
      <c r="B189">
        <v>48</v>
      </c>
    </row>
    <row r="190" spans="1:2" x14ac:dyDescent="0.25">
      <c r="A190" t="s">
        <v>451</v>
      </c>
      <c r="B190">
        <v>49</v>
      </c>
    </row>
    <row r="191" spans="1:2" x14ac:dyDescent="0.25">
      <c r="A191" t="s">
        <v>452</v>
      </c>
      <c r="B191">
        <v>50</v>
      </c>
    </row>
    <row r="192" spans="1:2" x14ac:dyDescent="0.25">
      <c r="A192" t="s">
        <v>453</v>
      </c>
      <c r="B192">
        <v>51</v>
      </c>
    </row>
    <row r="193" spans="1:2" x14ac:dyDescent="0.25">
      <c r="A193" t="s">
        <v>454</v>
      </c>
      <c r="B193">
        <v>52</v>
      </c>
    </row>
    <row r="194" spans="1:2" x14ac:dyDescent="0.25">
      <c r="A194" t="s">
        <v>455</v>
      </c>
      <c r="B194">
        <v>54</v>
      </c>
    </row>
    <row r="195" spans="1:2" x14ac:dyDescent="0.25">
      <c r="A195" t="s">
        <v>456</v>
      </c>
      <c r="B195">
        <v>55</v>
      </c>
    </row>
    <row r="196" spans="1:2" x14ac:dyDescent="0.25">
      <c r="A196" t="s">
        <v>457</v>
      </c>
      <c r="B196">
        <v>56</v>
      </c>
    </row>
    <row r="197" spans="1:2" x14ac:dyDescent="0.25">
      <c r="A197" t="s">
        <v>458</v>
      </c>
      <c r="B197">
        <v>57</v>
      </c>
    </row>
    <row r="198" spans="1:2" x14ac:dyDescent="0.25">
      <c r="A198" t="s">
        <v>459</v>
      </c>
      <c r="B198">
        <v>58</v>
      </c>
    </row>
    <row r="199" spans="1:2" x14ac:dyDescent="0.25">
      <c r="A199" t="s">
        <v>460</v>
      </c>
      <c r="B199">
        <v>59</v>
      </c>
    </row>
    <row r="200" spans="1:2" x14ac:dyDescent="0.25">
      <c r="A200" t="s">
        <v>461</v>
      </c>
      <c r="B200" t="s">
        <v>462</v>
      </c>
    </row>
    <row r="201" spans="1:2" x14ac:dyDescent="0.25">
      <c r="A201" t="s">
        <v>463</v>
      </c>
      <c r="B201" t="s">
        <v>464</v>
      </c>
    </row>
    <row r="202" spans="1:2" x14ac:dyDescent="0.25">
      <c r="A202" t="s">
        <v>465</v>
      </c>
      <c r="B202" t="s">
        <v>466</v>
      </c>
    </row>
    <row r="203" spans="1:2" x14ac:dyDescent="0.25">
      <c r="A203" t="s">
        <v>467</v>
      </c>
      <c r="B203" t="s">
        <v>468</v>
      </c>
    </row>
    <row r="204" spans="1:2" x14ac:dyDescent="0.25">
      <c r="A204" t="s">
        <v>469</v>
      </c>
      <c r="B204" t="s">
        <v>470</v>
      </c>
    </row>
    <row r="205" spans="1:2" x14ac:dyDescent="0.25">
      <c r="A205" t="s">
        <v>471</v>
      </c>
      <c r="B205" t="s">
        <v>472</v>
      </c>
    </row>
    <row r="206" spans="1:2" x14ac:dyDescent="0.25">
      <c r="A206" t="s">
        <v>473</v>
      </c>
      <c r="B206" t="s">
        <v>474</v>
      </c>
    </row>
    <row r="207" spans="1:2" x14ac:dyDescent="0.25">
      <c r="A207" t="s">
        <v>475</v>
      </c>
      <c r="B207" t="s">
        <v>476</v>
      </c>
    </row>
    <row r="208" spans="1:2" x14ac:dyDescent="0.25">
      <c r="A208" t="s">
        <v>477</v>
      </c>
      <c r="B208" t="s">
        <v>478</v>
      </c>
    </row>
    <row r="209" spans="1:23" x14ac:dyDescent="0.25">
      <c r="A209" t="s">
        <v>479</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5">
      <c r="A210" t="s">
        <v>480</v>
      </c>
      <c r="B210">
        <v>1</v>
      </c>
    </row>
    <row r="211" spans="1:23" x14ac:dyDescent="0.25">
      <c r="A211" t="s">
        <v>481</v>
      </c>
      <c r="B211">
        <v>2</v>
      </c>
    </row>
    <row r="212" spans="1:23" x14ac:dyDescent="0.25">
      <c r="A212" t="s">
        <v>482</v>
      </c>
      <c r="B212">
        <v>3</v>
      </c>
    </row>
    <row r="213" spans="1:23" x14ac:dyDescent="0.25">
      <c r="A213" t="s">
        <v>483</v>
      </c>
      <c r="B213">
        <v>4</v>
      </c>
    </row>
    <row r="214" spans="1:23" x14ac:dyDescent="0.25">
      <c r="A214" t="s">
        <v>484</v>
      </c>
      <c r="B214">
        <v>5</v>
      </c>
    </row>
    <row r="215" spans="1:23" x14ac:dyDescent="0.25">
      <c r="A215" t="s">
        <v>485</v>
      </c>
      <c r="B215">
        <v>6</v>
      </c>
    </row>
    <row r="216" spans="1:23" x14ac:dyDescent="0.25">
      <c r="A216" t="s">
        <v>486</v>
      </c>
      <c r="B216">
        <v>7</v>
      </c>
    </row>
    <row r="217" spans="1:23" x14ac:dyDescent="0.25">
      <c r="A217" t="s">
        <v>487</v>
      </c>
      <c r="B217">
        <v>9</v>
      </c>
    </row>
    <row r="218" spans="1:23" x14ac:dyDescent="0.25">
      <c r="A218" t="s">
        <v>488</v>
      </c>
      <c r="B218">
        <v>10</v>
      </c>
    </row>
    <row r="219" spans="1:23" x14ac:dyDescent="0.25">
      <c r="A219" t="s">
        <v>489</v>
      </c>
      <c r="B219">
        <v>11</v>
      </c>
    </row>
    <row r="220" spans="1:23" x14ac:dyDescent="0.25">
      <c r="A220" t="s">
        <v>490</v>
      </c>
      <c r="B220">
        <v>12</v>
      </c>
    </row>
    <row r="221" spans="1:23" x14ac:dyDescent="0.25">
      <c r="A221" t="s">
        <v>491</v>
      </c>
      <c r="B221">
        <v>13</v>
      </c>
    </row>
    <row r="222" spans="1:23" x14ac:dyDescent="0.25">
      <c r="A222" t="s">
        <v>492</v>
      </c>
      <c r="B222">
        <v>14</v>
      </c>
    </row>
    <row r="223" spans="1:23" x14ac:dyDescent="0.25">
      <c r="A223" t="s">
        <v>493</v>
      </c>
      <c r="B223">
        <v>15</v>
      </c>
    </row>
    <row r="224" spans="1:23" x14ac:dyDescent="0.25">
      <c r="A224" t="s">
        <v>494</v>
      </c>
      <c r="B224">
        <v>16</v>
      </c>
    </row>
    <row r="225" spans="1:2" x14ac:dyDescent="0.25">
      <c r="A225" t="s">
        <v>495</v>
      </c>
      <c r="B225">
        <v>17</v>
      </c>
    </row>
    <row r="226" spans="1:2" x14ac:dyDescent="0.25">
      <c r="A226" t="s">
        <v>496</v>
      </c>
      <c r="B226">
        <v>18</v>
      </c>
    </row>
    <row r="227" spans="1:2" x14ac:dyDescent="0.25">
      <c r="A227" t="s">
        <v>497</v>
      </c>
      <c r="B227">
        <v>19</v>
      </c>
    </row>
    <row r="228" spans="1:2" x14ac:dyDescent="0.25">
      <c r="A228" t="s">
        <v>498</v>
      </c>
      <c r="B228">
        <v>20</v>
      </c>
    </row>
    <row r="229" spans="1:2" x14ac:dyDescent="0.25">
      <c r="A229" t="s">
        <v>499</v>
      </c>
      <c r="B229">
        <v>21</v>
      </c>
    </row>
    <row r="230" spans="1:2" x14ac:dyDescent="0.25">
      <c r="A230" t="s">
        <v>500</v>
      </c>
      <c r="B230">
        <v>22</v>
      </c>
    </row>
    <row r="231" spans="1:2" x14ac:dyDescent="0.25">
      <c r="A231" t="s">
        <v>501</v>
      </c>
      <c r="B231">
        <v>23</v>
      </c>
    </row>
    <row r="232" spans="1:2" x14ac:dyDescent="0.25">
      <c r="A232" t="s">
        <v>502</v>
      </c>
      <c r="B232">
        <v>24</v>
      </c>
    </row>
    <row r="233" spans="1:2" x14ac:dyDescent="0.25">
      <c r="A233" t="s">
        <v>503</v>
      </c>
      <c r="B233">
        <v>25</v>
      </c>
    </row>
    <row r="234" spans="1:2" x14ac:dyDescent="0.25">
      <c r="A234" t="s">
        <v>504</v>
      </c>
      <c r="B234">
        <v>26</v>
      </c>
    </row>
    <row r="235" spans="1:2" x14ac:dyDescent="0.25">
      <c r="A235" t="s">
        <v>505</v>
      </c>
      <c r="B235">
        <v>27</v>
      </c>
    </row>
    <row r="236" spans="1:2" x14ac:dyDescent="0.25">
      <c r="A236" t="s">
        <v>506</v>
      </c>
      <c r="B236">
        <v>28</v>
      </c>
    </row>
    <row r="237" spans="1:2" x14ac:dyDescent="0.25">
      <c r="A237" t="s">
        <v>507</v>
      </c>
      <c r="B237">
        <v>29</v>
      </c>
    </row>
    <row r="238" spans="1:2" x14ac:dyDescent="0.25">
      <c r="A238" t="s">
        <v>508</v>
      </c>
      <c r="B238">
        <v>30</v>
      </c>
    </row>
    <row r="239" spans="1:2" x14ac:dyDescent="0.25">
      <c r="A239" t="s">
        <v>509</v>
      </c>
      <c r="B239">
        <v>31</v>
      </c>
    </row>
    <row r="240" spans="1:2" x14ac:dyDescent="0.25">
      <c r="A240" t="s">
        <v>510</v>
      </c>
      <c r="B240">
        <v>33</v>
      </c>
    </row>
    <row r="241" spans="1:2" x14ac:dyDescent="0.25">
      <c r="A241" t="s">
        <v>511</v>
      </c>
      <c r="B241">
        <v>34</v>
      </c>
    </row>
    <row r="242" spans="1:2" x14ac:dyDescent="0.25">
      <c r="A242" t="s">
        <v>512</v>
      </c>
      <c r="B242">
        <v>35</v>
      </c>
    </row>
    <row r="243" spans="1:2" x14ac:dyDescent="0.25">
      <c r="A243" t="s">
        <v>513</v>
      </c>
      <c r="B243">
        <v>36</v>
      </c>
    </row>
    <row r="244" spans="1:2" x14ac:dyDescent="0.25">
      <c r="A244" t="s">
        <v>514</v>
      </c>
      <c r="B244">
        <v>37</v>
      </c>
    </row>
    <row r="245" spans="1:2" x14ac:dyDescent="0.25">
      <c r="A245" t="s">
        <v>515</v>
      </c>
      <c r="B245">
        <v>38</v>
      </c>
    </row>
    <row r="246" spans="1:2" x14ac:dyDescent="0.25">
      <c r="A246" t="s">
        <v>516</v>
      </c>
      <c r="B246">
        <v>39</v>
      </c>
    </row>
    <row r="247" spans="1:2" x14ac:dyDescent="0.25">
      <c r="A247" t="s">
        <v>517</v>
      </c>
      <c r="B247">
        <v>40</v>
      </c>
    </row>
    <row r="248" spans="1:2" x14ac:dyDescent="0.25">
      <c r="A248" t="s">
        <v>518</v>
      </c>
      <c r="B248">
        <v>41</v>
      </c>
    </row>
    <row r="249" spans="1:2" x14ac:dyDescent="0.25">
      <c r="A249" t="s">
        <v>519</v>
      </c>
      <c r="B249">
        <v>42</v>
      </c>
    </row>
    <row r="250" spans="1:2" x14ac:dyDescent="0.25">
      <c r="A250" t="s">
        <v>520</v>
      </c>
      <c r="B250">
        <v>43</v>
      </c>
    </row>
    <row r="251" spans="1:2" x14ac:dyDescent="0.25">
      <c r="A251" t="s">
        <v>521</v>
      </c>
      <c r="B251">
        <v>44</v>
      </c>
    </row>
    <row r="252" spans="1:2" x14ac:dyDescent="0.25">
      <c r="A252" t="s">
        <v>522</v>
      </c>
      <c r="B252">
        <v>45</v>
      </c>
    </row>
    <row r="253" spans="1:2" x14ac:dyDescent="0.25">
      <c r="A253" t="s">
        <v>523</v>
      </c>
      <c r="B253">
        <v>46</v>
      </c>
    </row>
    <row r="254" spans="1:2" x14ac:dyDescent="0.25">
      <c r="A254" t="s">
        <v>524</v>
      </c>
      <c r="B254">
        <v>47</v>
      </c>
    </row>
    <row r="255" spans="1:2" x14ac:dyDescent="0.25">
      <c r="A255" t="s">
        <v>525</v>
      </c>
      <c r="B255">
        <v>48</v>
      </c>
    </row>
    <row r="256" spans="1:2" x14ac:dyDescent="0.25">
      <c r="A256" t="s">
        <v>526</v>
      </c>
      <c r="B256">
        <v>49</v>
      </c>
    </row>
    <row r="257" spans="1:2" x14ac:dyDescent="0.25">
      <c r="A257" t="s">
        <v>527</v>
      </c>
      <c r="B257">
        <v>50</v>
      </c>
    </row>
    <row r="258" spans="1:2" x14ac:dyDescent="0.25">
      <c r="A258" t="s">
        <v>528</v>
      </c>
      <c r="B258">
        <v>51</v>
      </c>
    </row>
    <row r="259" spans="1:2" x14ac:dyDescent="0.25">
      <c r="A259" t="s">
        <v>529</v>
      </c>
      <c r="B259">
        <v>52</v>
      </c>
    </row>
    <row r="260" spans="1:2" x14ac:dyDescent="0.25">
      <c r="A260" t="s">
        <v>530</v>
      </c>
      <c r="B260">
        <v>53</v>
      </c>
    </row>
    <row r="261" spans="1:2" x14ac:dyDescent="0.25">
      <c r="A261" t="s">
        <v>531</v>
      </c>
      <c r="B261">
        <v>54</v>
      </c>
    </row>
    <row r="262" spans="1:2" x14ac:dyDescent="0.25">
      <c r="A262" t="s">
        <v>532</v>
      </c>
      <c r="B262">
        <v>55</v>
      </c>
    </row>
    <row r="263" spans="1:2" x14ac:dyDescent="0.25">
      <c r="A263" t="s">
        <v>533</v>
      </c>
      <c r="B263">
        <v>57</v>
      </c>
    </row>
    <row r="264" spans="1:2" x14ac:dyDescent="0.25">
      <c r="A264" t="s">
        <v>534</v>
      </c>
      <c r="B264">
        <v>58</v>
      </c>
    </row>
    <row r="265" spans="1:2" x14ac:dyDescent="0.25">
      <c r="A265" t="s">
        <v>535</v>
      </c>
      <c r="B265">
        <v>59</v>
      </c>
    </row>
    <row r="266" spans="1:2" x14ac:dyDescent="0.25">
      <c r="A266" t="s">
        <v>536</v>
      </c>
      <c r="B266">
        <v>60</v>
      </c>
    </row>
    <row r="267" spans="1:2" x14ac:dyDescent="0.25">
      <c r="A267" t="s">
        <v>537</v>
      </c>
      <c r="B267">
        <v>62</v>
      </c>
    </row>
    <row r="268" spans="1:2" x14ac:dyDescent="0.25">
      <c r="A268" t="s">
        <v>538</v>
      </c>
      <c r="B268">
        <v>63</v>
      </c>
    </row>
    <row r="269" spans="1:2" x14ac:dyDescent="0.25">
      <c r="A269" t="s">
        <v>539</v>
      </c>
      <c r="B269">
        <v>64</v>
      </c>
    </row>
    <row r="270" spans="1:2" x14ac:dyDescent="0.25">
      <c r="A270" t="s">
        <v>540</v>
      </c>
      <c r="B270">
        <v>65</v>
      </c>
    </row>
    <row r="271" spans="1:2" x14ac:dyDescent="0.25">
      <c r="A271" t="s">
        <v>541</v>
      </c>
      <c r="B271">
        <v>66</v>
      </c>
    </row>
    <row r="272" spans="1:2" x14ac:dyDescent="0.25">
      <c r="A272" t="s">
        <v>542</v>
      </c>
      <c r="B272">
        <v>68</v>
      </c>
    </row>
    <row r="273" spans="1:24" x14ac:dyDescent="0.25">
      <c r="A273" t="s">
        <v>543</v>
      </c>
      <c r="B273">
        <v>69</v>
      </c>
    </row>
    <row r="274" spans="1:24" x14ac:dyDescent="0.25">
      <c r="A274" t="s">
        <v>544</v>
      </c>
      <c r="B274">
        <v>70</v>
      </c>
    </row>
    <row r="275" spans="1:24" x14ac:dyDescent="0.25">
      <c r="A275" t="s">
        <v>545</v>
      </c>
      <c r="B275">
        <v>71</v>
      </c>
    </row>
    <row r="276" spans="1:24" x14ac:dyDescent="0.25">
      <c r="A276" t="s">
        <v>546</v>
      </c>
      <c r="B276">
        <v>72</v>
      </c>
    </row>
    <row r="277" spans="1:24" x14ac:dyDescent="0.25">
      <c r="A277" t="s">
        <v>547</v>
      </c>
      <c r="B277" t="s">
        <v>548</v>
      </c>
    </row>
    <row r="278" spans="1:24" x14ac:dyDescent="0.25">
      <c r="A278" t="s">
        <v>549</v>
      </c>
      <c r="B278" t="s">
        <v>550</v>
      </c>
    </row>
    <row r="279" spans="1:24" x14ac:dyDescent="0.25">
      <c r="A279" t="s">
        <v>551</v>
      </c>
      <c r="B279" t="s">
        <v>552</v>
      </c>
    </row>
    <row r="280" spans="1:24" x14ac:dyDescent="0.25">
      <c r="A280" t="s">
        <v>553</v>
      </c>
      <c r="B280" t="s">
        <v>554</v>
      </c>
    </row>
    <row r="281" spans="1:24" x14ac:dyDescent="0.25">
      <c r="A281" t="s">
        <v>555</v>
      </c>
      <c r="B281" t="s">
        <v>556</v>
      </c>
    </row>
    <row r="282" spans="1:24" x14ac:dyDescent="0.25">
      <c r="A282" t="s">
        <v>557</v>
      </c>
      <c r="B282" t="s">
        <v>558</v>
      </c>
    </row>
    <row r="283" spans="1:24" x14ac:dyDescent="0.25">
      <c r="A283" t="s">
        <v>559</v>
      </c>
      <c r="B283" t="s">
        <v>560</v>
      </c>
    </row>
    <row r="284" spans="1:24" x14ac:dyDescent="0.25">
      <c r="A284" t="s">
        <v>561</v>
      </c>
      <c r="B284" t="s">
        <v>562</v>
      </c>
    </row>
    <row r="285" spans="1:24" x14ac:dyDescent="0.25">
      <c r="A285" t="s">
        <v>563</v>
      </c>
      <c r="B285" t="s">
        <v>564</v>
      </c>
    </row>
    <row r="286" spans="1:24" x14ac:dyDescent="0.25">
      <c r="A286" t="s">
        <v>565</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tabSelected="1" zoomScale="55" zoomScaleNormal="55" workbookViewId="0">
      <pane xSplit="2" ySplit="4" topLeftCell="C5" activePane="bottomRight" state="frozen"/>
      <selection pane="topRight" activeCell="C1" sqref="C1"/>
      <selection pane="bottomLeft" activeCell="A5" sqref="A5"/>
      <selection pane="bottomRight" activeCell="F27" sqref="F27"/>
    </sheetView>
  </sheetViews>
  <sheetFormatPr defaultRowHeight="15" outlineLevelRow="2" x14ac:dyDescent="0.25"/>
  <cols>
    <col min="2" max="2" width="24.7109375" style="76" customWidth="1"/>
    <col min="3" max="4" width="10.7109375" style="76" customWidth="1"/>
    <col min="7" max="7" width="1.7109375" style="76" customWidth="1"/>
    <col min="10" max="13" width="10.7109375" style="76" customWidth="1"/>
    <col min="14" max="14" width="24.7109375" style="76" hidden="1" customWidth="1"/>
    <col min="15" max="15" width="12.7109375" style="76" customWidth="1"/>
    <col min="16" max="16" width="10.7109375" style="76" customWidth="1"/>
    <col min="17" max="20" width="12.7109375" style="76" customWidth="1"/>
    <col min="21" max="25" width="11.7109375" style="76" customWidth="1"/>
    <col min="30" max="30" width="1.7109375" style="76" customWidth="1"/>
    <col min="33" max="36" width="10.7109375" style="76" customWidth="1"/>
    <col min="37" max="37" width="24.7109375" style="76" hidden="1" customWidth="1"/>
    <col min="38" max="38" width="12.7109375" style="76" customWidth="1"/>
    <col min="39" max="39" width="10.7109375" style="76" customWidth="1"/>
    <col min="40" max="43" width="12.7109375" style="76" customWidth="1"/>
    <col min="44" max="48" width="11.7109375" style="76" customWidth="1"/>
    <col min="53" max="53" width="1.7109375" style="76" customWidth="1"/>
    <col min="60" max="60" width="1.7109375" style="76" customWidth="1"/>
  </cols>
  <sheetData>
    <row r="1" spans="1:59" x14ac:dyDescent="0.25">
      <c r="A1" s="168" t="s">
        <v>566</v>
      </c>
      <c r="B1" s="156"/>
      <c r="C1" s="156"/>
      <c r="D1" s="156"/>
      <c r="E1" s="156"/>
      <c r="F1" s="156"/>
      <c r="H1" s="164" t="str">
        <f>Summary!$C$1</f>
        <v>ALL_master+r7.0</v>
      </c>
      <c r="I1" s="156"/>
      <c r="J1" s="156"/>
      <c r="K1" s="156"/>
      <c r="L1" s="156"/>
      <c r="M1" s="156"/>
      <c r="N1" s="156"/>
      <c r="O1" s="156"/>
      <c r="P1" s="156"/>
      <c r="Q1" s="156"/>
      <c r="R1" s="156"/>
      <c r="S1" s="156"/>
      <c r="T1" s="156"/>
      <c r="U1" s="156"/>
      <c r="V1" s="156"/>
      <c r="W1" s="156"/>
      <c r="X1" s="156"/>
      <c r="Y1" s="156"/>
      <c r="Z1" s="156"/>
      <c r="AA1" s="156"/>
      <c r="AB1" s="156"/>
      <c r="AC1" s="156"/>
      <c r="AE1" s="165" t="str">
        <f>Summary!$C$2</f>
        <v>mpeg128-integration+r7.1.09</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25">
      <c r="A2" s="170" t="s">
        <v>139</v>
      </c>
      <c r="B2" s="169" t="s">
        <v>140</v>
      </c>
      <c r="C2" s="170" t="s">
        <v>142</v>
      </c>
      <c r="D2" s="169" t="s">
        <v>143</v>
      </c>
      <c r="E2" s="170" t="s">
        <v>144</v>
      </c>
      <c r="F2" s="169" t="s">
        <v>145</v>
      </c>
      <c r="H2" s="170" t="s">
        <v>567</v>
      </c>
      <c r="I2" s="169" t="s">
        <v>146</v>
      </c>
      <c r="J2" s="167" t="s">
        <v>147</v>
      </c>
      <c r="K2" s="156"/>
      <c r="L2" s="156"/>
      <c r="M2" s="156"/>
      <c r="N2" s="170" t="s">
        <v>148</v>
      </c>
      <c r="O2" s="169" t="s">
        <v>149</v>
      </c>
      <c r="P2" s="170" t="s">
        <v>86</v>
      </c>
      <c r="Q2" s="166" t="s">
        <v>150</v>
      </c>
      <c r="R2" s="156"/>
      <c r="S2" s="156"/>
      <c r="T2" s="156"/>
      <c r="U2" s="167" t="s">
        <v>151</v>
      </c>
      <c r="V2" s="156"/>
      <c r="W2" s="166" t="s">
        <v>152</v>
      </c>
      <c r="X2" s="156"/>
      <c r="Y2" s="156"/>
      <c r="Z2" s="167" t="s">
        <v>153</v>
      </c>
      <c r="AA2" s="156"/>
      <c r="AB2" s="166" t="s">
        <v>154</v>
      </c>
      <c r="AC2" s="156"/>
      <c r="AE2" s="170" t="s">
        <v>567</v>
      </c>
      <c r="AF2" s="169" t="s">
        <v>146</v>
      </c>
      <c r="AG2" s="167" t="s">
        <v>147</v>
      </c>
      <c r="AH2" s="156"/>
      <c r="AI2" s="156"/>
      <c r="AJ2" s="156"/>
      <c r="AK2" s="170" t="s">
        <v>155</v>
      </c>
      <c r="AL2" s="169" t="s">
        <v>149</v>
      </c>
      <c r="AM2" s="170" t="s">
        <v>86</v>
      </c>
      <c r="AN2" s="166" t="s">
        <v>150</v>
      </c>
      <c r="AO2" s="156"/>
      <c r="AP2" s="156"/>
      <c r="AQ2" s="156"/>
      <c r="AR2" s="167" t="s">
        <v>151</v>
      </c>
      <c r="AS2" s="156"/>
      <c r="AT2" s="166" t="s">
        <v>152</v>
      </c>
      <c r="AU2" s="156"/>
      <c r="AV2" s="156"/>
      <c r="AW2" s="167" t="s">
        <v>153</v>
      </c>
      <c r="AX2" s="156"/>
      <c r="AY2" s="166" t="s">
        <v>154</v>
      </c>
      <c r="AZ2" s="156"/>
      <c r="BB2" s="167" t="s">
        <v>24</v>
      </c>
      <c r="BC2" s="156"/>
      <c r="BD2" s="156"/>
      <c r="BE2" s="156"/>
      <c r="BF2" s="169" t="s">
        <v>158</v>
      </c>
      <c r="BG2" s="170" t="s">
        <v>158</v>
      </c>
    </row>
    <row r="3" spans="1:59" ht="28.9" customHeight="1" x14ac:dyDescent="0.25">
      <c r="A3" s="158"/>
      <c r="B3" s="158"/>
      <c r="C3" s="158"/>
      <c r="D3" s="158"/>
      <c r="E3" s="158"/>
      <c r="F3" s="158"/>
      <c r="H3" s="158"/>
      <c r="I3" s="158"/>
      <c r="J3" s="152" t="s">
        <v>27</v>
      </c>
      <c r="K3" s="152" t="s">
        <v>25</v>
      </c>
      <c r="L3" s="152" t="s">
        <v>159</v>
      </c>
      <c r="M3" s="152" t="s">
        <v>160</v>
      </c>
      <c r="N3" s="158"/>
      <c r="O3" s="158"/>
      <c r="P3" s="158"/>
      <c r="Q3" s="153" t="s">
        <v>27</v>
      </c>
      <c r="R3" s="153" t="s">
        <v>159</v>
      </c>
      <c r="S3" s="153" t="s">
        <v>161</v>
      </c>
      <c r="T3" s="153" t="s">
        <v>26</v>
      </c>
      <c r="U3" s="152" t="s">
        <v>11</v>
      </c>
      <c r="V3" s="152" t="s">
        <v>12</v>
      </c>
      <c r="W3" s="153" t="s">
        <v>13</v>
      </c>
      <c r="X3" s="153" t="s">
        <v>14</v>
      </c>
      <c r="Y3" s="153" t="s">
        <v>15</v>
      </c>
      <c r="Z3" s="152" t="s">
        <v>162</v>
      </c>
      <c r="AA3" s="152" t="s">
        <v>163</v>
      </c>
      <c r="AB3" s="153" t="s">
        <v>162</v>
      </c>
      <c r="AC3" s="153" t="s">
        <v>163</v>
      </c>
      <c r="AE3" s="158"/>
      <c r="AF3" s="158"/>
      <c r="AG3" s="152" t="s">
        <v>27</v>
      </c>
      <c r="AH3" s="152" t="s">
        <v>25</v>
      </c>
      <c r="AI3" s="152" t="s">
        <v>159</v>
      </c>
      <c r="AJ3" s="152" t="s">
        <v>160</v>
      </c>
      <c r="AK3" s="158"/>
      <c r="AL3" s="158"/>
      <c r="AM3" s="158"/>
      <c r="AN3" s="153" t="s">
        <v>27</v>
      </c>
      <c r="AO3" s="153" t="s">
        <v>159</v>
      </c>
      <c r="AP3" s="153" t="s">
        <v>161</v>
      </c>
      <c r="AQ3" s="153" t="s">
        <v>26</v>
      </c>
      <c r="AR3" s="152" t="s">
        <v>11</v>
      </c>
      <c r="AS3" s="152" t="s">
        <v>12</v>
      </c>
      <c r="AT3" s="153" t="s">
        <v>13</v>
      </c>
      <c r="AU3" s="153" t="s">
        <v>14</v>
      </c>
      <c r="AV3" s="153" t="s">
        <v>15</v>
      </c>
      <c r="AW3" s="152" t="s">
        <v>162</v>
      </c>
      <c r="AX3" s="152" t="s">
        <v>163</v>
      </c>
      <c r="AY3" s="153" t="s">
        <v>162</v>
      </c>
      <c r="AZ3" s="153" t="s">
        <v>163</v>
      </c>
      <c r="BB3" s="152" t="s">
        <v>27</v>
      </c>
      <c r="BC3" s="152" t="s">
        <v>25</v>
      </c>
      <c r="BD3" s="152" t="s">
        <v>159</v>
      </c>
      <c r="BE3" s="152" t="s">
        <v>26</v>
      </c>
      <c r="BF3" s="158"/>
      <c r="BG3" s="158"/>
    </row>
    <row r="4" spans="1:59" ht="123" hidden="1" customHeight="1" x14ac:dyDescent="0.25">
      <c r="A4" s="8" t="s">
        <v>164</v>
      </c>
      <c r="B4" s="9" t="s">
        <v>165</v>
      </c>
      <c r="C4" s="8" t="s">
        <v>167</v>
      </c>
      <c r="D4" s="9" t="s">
        <v>168</v>
      </c>
      <c r="E4" s="8" t="s">
        <v>169</v>
      </c>
      <c r="F4" s="9" t="s">
        <v>170</v>
      </c>
      <c r="H4" s="8" t="s">
        <v>568</v>
      </c>
      <c r="I4" s="9" t="s">
        <v>171</v>
      </c>
      <c r="J4" s="8" t="s">
        <v>172</v>
      </c>
      <c r="K4" s="8" t="s">
        <v>173</v>
      </c>
      <c r="L4" s="8" t="s">
        <v>174</v>
      </c>
      <c r="M4" s="8" t="s">
        <v>175</v>
      </c>
      <c r="N4" s="8" t="s">
        <v>176</v>
      </c>
      <c r="O4" s="9" t="s">
        <v>177</v>
      </c>
      <c r="P4" s="8" t="s">
        <v>178</v>
      </c>
      <c r="Q4" s="9" t="s">
        <v>181</v>
      </c>
      <c r="R4" s="9" t="s">
        <v>182</v>
      </c>
      <c r="S4" s="9" t="s">
        <v>183</v>
      </c>
      <c r="T4" s="9" t="s">
        <v>184</v>
      </c>
      <c r="U4" s="8" t="s">
        <v>185</v>
      </c>
      <c r="V4" s="8" t="s">
        <v>186</v>
      </c>
      <c r="W4" s="9" t="s">
        <v>187</v>
      </c>
      <c r="X4" s="9" t="s">
        <v>188</v>
      </c>
      <c r="Y4" s="9" t="s">
        <v>189</v>
      </c>
      <c r="Z4" s="8" t="s">
        <v>190</v>
      </c>
      <c r="AA4" s="8" t="s">
        <v>191</v>
      </c>
      <c r="AB4" s="9" t="s">
        <v>192</v>
      </c>
      <c r="AC4" s="9" t="s">
        <v>193</v>
      </c>
      <c r="AE4" s="8" t="s">
        <v>569</v>
      </c>
      <c r="AF4" s="9" t="s">
        <v>194</v>
      </c>
      <c r="AG4" s="8" t="s">
        <v>195</v>
      </c>
      <c r="AH4" s="8" t="s">
        <v>196</v>
      </c>
      <c r="AI4" s="8" t="s">
        <v>197</v>
      </c>
      <c r="AJ4" s="8" t="s">
        <v>198</v>
      </c>
      <c r="AK4" s="8" t="s">
        <v>199</v>
      </c>
      <c r="AL4" s="9" t="s">
        <v>200</v>
      </c>
      <c r="AM4" s="8" t="s">
        <v>201</v>
      </c>
      <c r="AN4" s="9" t="s">
        <v>204</v>
      </c>
      <c r="AO4" s="9" t="s">
        <v>205</v>
      </c>
      <c r="AP4" s="9" t="s">
        <v>206</v>
      </c>
      <c r="AQ4" s="9" t="s">
        <v>207</v>
      </c>
      <c r="AR4" s="8" t="s">
        <v>208</v>
      </c>
      <c r="AS4" s="8" t="s">
        <v>209</v>
      </c>
      <c r="AT4" s="9" t="s">
        <v>210</v>
      </c>
      <c r="AU4" s="9" t="s">
        <v>211</v>
      </c>
      <c r="AV4" s="9" t="s">
        <v>212</v>
      </c>
      <c r="AW4" s="8" t="s">
        <v>213</v>
      </c>
      <c r="AX4" s="8" t="s">
        <v>214</v>
      </c>
      <c r="AY4" s="9" t="s">
        <v>215</v>
      </c>
      <c r="AZ4" s="9" t="s">
        <v>216</v>
      </c>
      <c r="BB4" s="8" t="s">
        <v>570</v>
      </c>
      <c r="BC4" s="8" t="s">
        <v>217</v>
      </c>
      <c r="BD4" s="8" t="s">
        <v>571</v>
      </c>
      <c r="BE4" s="8" t="s">
        <v>572</v>
      </c>
      <c r="BF4" s="9" t="s">
        <v>219</v>
      </c>
      <c r="BG4" s="8" t="s">
        <v>220</v>
      </c>
    </row>
    <row r="5" spans="1:59" collapsed="1" x14ac:dyDescent="0.25">
      <c r="A5" s="129" t="s">
        <v>231</v>
      </c>
      <c r="B5" s="129" t="s">
        <v>51</v>
      </c>
      <c r="C5" s="129">
        <v>238146391</v>
      </c>
      <c r="D5" s="10">
        <v>10</v>
      </c>
      <c r="E5" s="10">
        <v>300</v>
      </c>
      <c r="F5" s="10">
        <v>30</v>
      </c>
      <c r="H5" s="17">
        <f t="shared" ref="H5:H11" si="0">IF(ISBLANK(Q5),"·",Q5/(C5*(D5*3+IF(AND(ISNUMBER(T5),T5&gt;0),24,0))))</f>
        <v>0.16815677665038176</v>
      </c>
      <c r="I5" s="11">
        <f t="shared" ref="I5:I11" si="1">IF(OR(ISBLANK(Q5),ISBLANK(F5)),"·",Q5*F5/E5/1000000)</f>
        <v>216.24801919999999</v>
      </c>
      <c r="J5" s="12">
        <f t="shared" ref="J5:J11" si="2">IF(ISBLANK(Q5),"·",Q5/C5)</f>
        <v>9.0804659391206144</v>
      </c>
      <c r="K5" s="12">
        <f t="shared" ref="K5:K11" si="3">IF(N5="","·",N5/C5)</f>
        <v>1.4354223659009806</v>
      </c>
      <c r="L5" s="12">
        <f t="shared" ref="L5:L11" si="4">IF(R5="","·",R5/C5)</f>
        <v>1.3377396930613155</v>
      </c>
      <c r="M5" s="12">
        <f t="shared" ref="M5:M11" si="5">IF(ISBLANK(T5),"·",T5/C5)</f>
        <v>7.6450435732196338</v>
      </c>
      <c r="N5" s="129">
        <f t="shared" ref="N5:N11" si="6">IF(OR(ISBLANK(R5),ISBLANK(S5)),"",R5+S5)</f>
        <v>341840656</v>
      </c>
      <c r="O5" s="12">
        <v>16</v>
      </c>
      <c r="P5" s="13">
        <v>238146391</v>
      </c>
      <c r="Q5" s="14">
        <v>2162480192</v>
      </c>
      <c r="R5" s="14">
        <v>318577880</v>
      </c>
      <c r="S5" s="14">
        <v>23262776</v>
      </c>
      <c r="T5" s="14">
        <v>1820639536</v>
      </c>
      <c r="U5" s="15" t="s">
        <v>573</v>
      </c>
      <c r="V5" s="15" t="s">
        <v>573</v>
      </c>
      <c r="W5" s="15" t="s">
        <v>573</v>
      </c>
      <c r="X5" s="15" t="s">
        <v>573</v>
      </c>
      <c r="Y5" s="15" t="s">
        <v>573</v>
      </c>
      <c r="Z5" s="16">
        <v>33088.5</v>
      </c>
      <c r="AA5" s="16">
        <v>54664.9</v>
      </c>
      <c r="AB5" s="16">
        <v>40.137999999999998</v>
      </c>
      <c r="AC5" s="16">
        <v>230.12700000000001</v>
      </c>
      <c r="AE5" s="17">
        <f t="shared" ref="AE5:AE11" si="7">IF(ISBLANK(Q5),"·",Q5/(C5*(D5*3+IF(AND(ISNUMBER(T5),T5&gt;0),24,0))))</f>
        <v>0.16815677665038176</v>
      </c>
      <c r="AF5" s="11">
        <f t="shared" ref="AF5:AF11" si="8">IF(OR(ISBLANK(AN5),ISBLANK(F5)),"·",AN5*F5/E5/1000000)</f>
        <v>217.12653359999999</v>
      </c>
      <c r="AG5" s="12">
        <f t="shared" ref="AG5:AG11" si="9">IF(ISBLANK(AN5),"·",AN5/C5)</f>
        <v>9.1173556184607474</v>
      </c>
      <c r="AH5" s="12">
        <f t="shared" ref="AH5:AH11" si="10">IF(AK5="","·",AK5/C5)</f>
        <v>1.4356078652478927</v>
      </c>
      <c r="AI5" s="12">
        <f t="shared" ref="AI5:AI11" si="11">IF(AO5="","·",AO5/C5)</f>
        <v>1.3377396930613155</v>
      </c>
      <c r="AJ5" s="12">
        <f t="shared" ref="AJ5:AJ11" si="12">IF(ISBLANK(AQ5),"·",AQ5/C5)</f>
        <v>7.6817477532128544</v>
      </c>
      <c r="AK5" s="129">
        <f t="shared" ref="AK5:AK11" si="13">IF(OR(ISBLANK(AO5),ISBLANK(AP5)),"",AO5+AP5)</f>
        <v>341884832</v>
      </c>
      <c r="AL5" s="12">
        <v>16</v>
      </c>
      <c r="AM5" s="13">
        <v>238146391</v>
      </c>
      <c r="AN5" s="14">
        <v>2171265336</v>
      </c>
      <c r="AO5" s="14">
        <v>318577880</v>
      </c>
      <c r="AP5" s="14">
        <v>23306952</v>
      </c>
      <c r="AQ5" s="14">
        <v>1829380504</v>
      </c>
      <c r="AR5" s="15" t="s">
        <v>573</v>
      </c>
      <c r="AS5" s="15" t="s">
        <v>573</v>
      </c>
      <c r="AT5" s="15" t="s">
        <v>573</v>
      </c>
      <c r="AU5" s="15" t="s">
        <v>573</v>
      </c>
      <c r="AV5" s="15" t="s">
        <v>573</v>
      </c>
      <c r="AW5" s="16">
        <v>31621</v>
      </c>
      <c r="AX5" s="16">
        <v>53578.3</v>
      </c>
      <c r="AY5" s="16">
        <v>45.826999999999998</v>
      </c>
      <c r="AZ5" s="16">
        <v>217.685</v>
      </c>
      <c r="BB5" s="62">
        <f t="shared" ref="BB5:BB15" si="14">AG5/J5</f>
        <v>1.0040625315471097</v>
      </c>
      <c r="BC5" s="62">
        <f t="shared" ref="BC5:BC15" si="15">AH5/K5</f>
        <v>1.0001292298011504</v>
      </c>
      <c r="BD5" s="62">
        <f t="shared" ref="BD5:BD15" si="16">AI5/L5</f>
        <v>1</v>
      </c>
      <c r="BE5" s="62">
        <f t="shared" ref="BE5:BE15" si="17">AJ5/M5</f>
        <v>1.0048010426156098</v>
      </c>
      <c r="BF5" s="17">
        <f t="shared" ref="BF5:BF11" si="18">(AK5/AN5) - (N5/Q5)</f>
        <v>-6.1925294287695776E-4</v>
      </c>
      <c r="BG5" s="17">
        <f t="array" ref="BG5">AVERAGE(AK5:AK5/AN5:AN5) - AVERAGE(N5:N5/Q5:Q5)</f>
        <v>-6.1925294287695776E-4</v>
      </c>
    </row>
    <row r="6" spans="1:59" collapsed="1" x14ac:dyDescent="0.25">
      <c r="A6" s="18"/>
      <c r="B6" s="18" t="s">
        <v>59</v>
      </c>
      <c r="C6" s="18">
        <v>218121242</v>
      </c>
      <c r="D6" s="19">
        <v>10</v>
      </c>
      <c r="E6" s="19">
        <v>300</v>
      </c>
      <c r="F6" s="19">
        <v>30</v>
      </c>
      <c r="H6" s="26">
        <f t="shared" si="0"/>
        <v>0.23933612725959691</v>
      </c>
      <c r="I6" s="20">
        <f t="shared" si="1"/>
        <v>281.90318400000001</v>
      </c>
      <c r="J6" s="21">
        <f t="shared" si="2"/>
        <v>12.924150872018233</v>
      </c>
      <c r="K6" s="21">
        <f t="shared" si="3"/>
        <v>1.7650532175128546</v>
      </c>
      <c r="L6" s="21">
        <f t="shared" si="4"/>
        <v>1.6027027390573909</v>
      </c>
      <c r="M6" s="21">
        <f t="shared" si="5"/>
        <v>11.159097654505379</v>
      </c>
      <c r="N6" s="18">
        <f t="shared" si="6"/>
        <v>384995600</v>
      </c>
      <c r="O6" s="21">
        <v>16</v>
      </c>
      <c r="P6" s="22">
        <v>218121242</v>
      </c>
      <c r="Q6" s="23">
        <v>2819031840</v>
      </c>
      <c r="R6" s="23">
        <v>349583512</v>
      </c>
      <c r="S6" s="23">
        <v>35412088</v>
      </c>
      <c r="T6" s="23">
        <v>2434036240</v>
      </c>
      <c r="U6" s="24" t="s">
        <v>573</v>
      </c>
      <c r="V6" s="24" t="s">
        <v>573</v>
      </c>
      <c r="W6" s="24" t="s">
        <v>573</v>
      </c>
      <c r="X6" s="24" t="s">
        <v>573</v>
      </c>
      <c r="Y6" s="24" t="s">
        <v>573</v>
      </c>
      <c r="Z6" s="25">
        <v>30493.3</v>
      </c>
      <c r="AA6" s="25">
        <v>55844.3</v>
      </c>
      <c r="AB6" s="25">
        <v>39.860999999999997</v>
      </c>
      <c r="AC6" s="25">
        <v>251.071</v>
      </c>
      <c r="AE6" s="26">
        <f t="shared" si="7"/>
        <v>0.23933612725959691</v>
      </c>
      <c r="AF6" s="20">
        <f t="shared" si="8"/>
        <v>283.5018776</v>
      </c>
      <c r="AG6" s="21">
        <f t="shared" si="9"/>
        <v>12.997444678038281</v>
      </c>
      <c r="AH6" s="21">
        <f t="shared" si="10"/>
        <v>1.7652569207358539</v>
      </c>
      <c r="AI6" s="21">
        <f t="shared" si="11"/>
        <v>1.6027027390573909</v>
      </c>
      <c r="AJ6" s="21">
        <f t="shared" si="12"/>
        <v>11.232187757302427</v>
      </c>
      <c r="AK6" s="18">
        <f t="shared" si="13"/>
        <v>385040032</v>
      </c>
      <c r="AL6" s="21">
        <v>16</v>
      </c>
      <c r="AM6" s="22">
        <v>218121242</v>
      </c>
      <c r="AN6" s="23">
        <v>2835018776</v>
      </c>
      <c r="AO6" s="23">
        <v>349583512</v>
      </c>
      <c r="AP6" s="23">
        <v>35456520</v>
      </c>
      <c r="AQ6" s="23">
        <v>2449978744</v>
      </c>
      <c r="AR6" s="24" t="s">
        <v>573</v>
      </c>
      <c r="AS6" s="24" t="s">
        <v>573</v>
      </c>
      <c r="AT6" s="24" t="s">
        <v>573</v>
      </c>
      <c r="AU6" s="24" t="s">
        <v>573</v>
      </c>
      <c r="AV6" s="24" t="s">
        <v>573</v>
      </c>
      <c r="AW6" s="25">
        <v>30146.400000000001</v>
      </c>
      <c r="AX6" s="25">
        <v>56625.4</v>
      </c>
      <c r="AY6" s="25">
        <v>51.09</v>
      </c>
      <c r="AZ6" s="25">
        <v>271.63200000000001</v>
      </c>
      <c r="BB6" s="58">
        <f t="shared" si="14"/>
        <v>1.0056710732291694</v>
      </c>
      <c r="BC6" s="58">
        <f t="shared" si="15"/>
        <v>1.000115409111169</v>
      </c>
      <c r="BD6" s="58">
        <f t="shared" si="16"/>
        <v>1</v>
      </c>
      <c r="BE6" s="58">
        <f t="shared" si="17"/>
        <v>1.0065498219533493</v>
      </c>
      <c r="BF6" s="26">
        <f t="shared" si="18"/>
        <v>-7.5445928563683262E-4</v>
      </c>
      <c r="BG6" s="26">
        <f t="array" ref="BG6">AVERAGE(AK6:AK6/AN6:AN6) - AVERAGE(N6:N6/Q6:Q6)</f>
        <v>-7.5445928563683262E-4</v>
      </c>
    </row>
    <row r="7" spans="1:59" collapsed="1" x14ac:dyDescent="0.25">
      <c r="A7" s="129"/>
      <c r="B7" s="129" t="s">
        <v>64</v>
      </c>
      <c r="C7" s="129">
        <v>322589704</v>
      </c>
      <c r="D7" s="10">
        <v>10</v>
      </c>
      <c r="E7" s="10">
        <v>300</v>
      </c>
      <c r="F7" s="10">
        <v>30</v>
      </c>
      <c r="H7" s="17">
        <f t="shared" si="0"/>
        <v>0.18677300330655269</v>
      </c>
      <c r="I7" s="11">
        <f t="shared" si="1"/>
        <v>325.35565839999998</v>
      </c>
      <c r="J7" s="12">
        <f t="shared" si="2"/>
        <v>10.085742178553845</v>
      </c>
      <c r="K7" s="12">
        <f t="shared" si="3"/>
        <v>1.6489351563433654</v>
      </c>
      <c r="L7" s="12">
        <f t="shared" si="4"/>
        <v>1.5287124724848626</v>
      </c>
      <c r="M7" s="12">
        <f t="shared" si="5"/>
        <v>8.4368070222104787</v>
      </c>
      <c r="N7" s="129">
        <f t="shared" si="6"/>
        <v>531929504</v>
      </c>
      <c r="O7" s="12">
        <v>16</v>
      </c>
      <c r="P7" s="13">
        <v>322589704</v>
      </c>
      <c r="Q7" s="14">
        <v>3253556584</v>
      </c>
      <c r="R7" s="14">
        <v>493146904</v>
      </c>
      <c r="S7" s="14">
        <v>38782600</v>
      </c>
      <c r="T7" s="14">
        <v>2721627080</v>
      </c>
      <c r="U7" s="15" t="s">
        <v>573</v>
      </c>
      <c r="V7" s="15" t="s">
        <v>573</v>
      </c>
      <c r="W7" s="15" t="s">
        <v>573</v>
      </c>
      <c r="X7" s="15" t="s">
        <v>573</v>
      </c>
      <c r="Y7" s="15" t="s">
        <v>573</v>
      </c>
      <c r="Z7" s="16">
        <v>42158.8</v>
      </c>
      <c r="AA7" s="16">
        <v>70642.399999999994</v>
      </c>
      <c r="AB7" s="16">
        <v>50.826999999999998</v>
      </c>
      <c r="AC7" s="16">
        <v>255.31299999999999</v>
      </c>
      <c r="AE7" s="17">
        <f t="shared" si="7"/>
        <v>0.18677300330655269</v>
      </c>
      <c r="AF7" s="11">
        <f t="shared" si="8"/>
        <v>327.76496960000003</v>
      </c>
      <c r="AG7" s="12">
        <f t="shared" si="9"/>
        <v>10.160428728376278</v>
      </c>
      <c r="AH7" s="12">
        <f t="shared" si="10"/>
        <v>1.6491670050324978</v>
      </c>
      <c r="AI7" s="12">
        <f t="shared" si="11"/>
        <v>1.5287124724848626</v>
      </c>
      <c r="AJ7" s="12">
        <f t="shared" si="12"/>
        <v>8.5112617233437806</v>
      </c>
      <c r="AK7" s="129">
        <f t="shared" si="13"/>
        <v>532004296</v>
      </c>
      <c r="AL7" s="12">
        <v>16</v>
      </c>
      <c r="AM7" s="13">
        <v>322589704</v>
      </c>
      <c r="AN7" s="14">
        <v>3277649696</v>
      </c>
      <c r="AO7" s="14">
        <v>493146904</v>
      </c>
      <c r="AP7" s="14">
        <v>38857392</v>
      </c>
      <c r="AQ7" s="14">
        <v>2745645400</v>
      </c>
      <c r="AR7" s="15" t="s">
        <v>573</v>
      </c>
      <c r="AS7" s="15" t="s">
        <v>573</v>
      </c>
      <c r="AT7" s="15" t="s">
        <v>573</v>
      </c>
      <c r="AU7" s="15" t="s">
        <v>573</v>
      </c>
      <c r="AV7" s="15" t="s">
        <v>573</v>
      </c>
      <c r="AW7" s="16">
        <v>40559.699999999997</v>
      </c>
      <c r="AX7" s="16">
        <v>70290.100000000006</v>
      </c>
      <c r="AY7" s="16">
        <v>58.015999999999998</v>
      </c>
      <c r="AZ7" s="16">
        <v>253.357</v>
      </c>
      <c r="BB7" s="62">
        <f t="shared" si="14"/>
        <v>1.0074051615141666</v>
      </c>
      <c r="BC7" s="62">
        <f t="shared" si="15"/>
        <v>1.0001406050979267</v>
      </c>
      <c r="BD7" s="62">
        <f t="shared" si="16"/>
        <v>1</v>
      </c>
      <c r="BE7" s="62">
        <f t="shared" si="17"/>
        <v>1.0088249856773177</v>
      </c>
      <c r="BF7" s="17">
        <f t="shared" si="18"/>
        <v>-1.1789642730845595E-3</v>
      </c>
      <c r="BG7" s="17">
        <f t="array" ref="BG7">AVERAGE(AK7:AK7/AN7:AN7) - AVERAGE(N7:N7/Q7:Q7)</f>
        <v>-1.1789642730845595E-3</v>
      </c>
    </row>
    <row r="8" spans="1:59" collapsed="1" x14ac:dyDescent="0.25">
      <c r="A8" s="37"/>
      <c r="B8" s="37" t="s">
        <v>70</v>
      </c>
      <c r="C8" s="37">
        <v>250602891</v>
      </c>
      <c r="D8" s="38">
        <v>10</v>
      </c>
      <c r="E8" s="38">
        <v>250</v>
      </c>
      <c r="F8" s="38">
        <v>50</v>
      </c>
      <c r="H8" s="46">
        <f t="shared" si="0"/>
        <v>0.15951636555689364</v>
      </c>
      <c r="I8" s="39">
        <f t="shared" si="1"/>
        <v>431.73283360000005</v>
      </c>
      <c r="J8" s="40">
        <f t="shared" si="2"/>
        <v>8.6138837400722572</v>
      </c>
      <c r="K8" s="40">
        <f t="shared" si="3"/>
        <v>1.2314001916282762</v>
      </c>
      <c r="L8" s="40">
        <f t="shared" si="4"/>
        <v>1.0860655554049454</v>
      </c>
      <c r="M8" s="40">
        <f t="shared" si="5"/>
        <v>7.3824835484439806</v>
      </c>
      <c r="N8" s="37">
        <f t="shared" si="6"/>
        <v>308592448</v>
      </c>
      <c r="O8" s="40">
        <v>16</v>
      </c>
      <c r="P8" s="41">
        <v>250602891</v>
      </c>
      <c r="Q8" s="42">
        <v>2158664168</v>
      </c>
      <c r="R8" s="42">
        <v>272171168</v>
      </c>
      <c r="S8" s="42">
        <v>36421280</v>
      </c>
      <c r="T8" s="42">
        <v>1850071720</v>
      </c>
      <c r="U8" s="43" t="s">
        <v>573</v>
      </c>
      <c r="V8" s="43" t="s">
        <v>573</v>
      </c>
      <c r="W8" s="43" t="s">
        <v>573</v>
      </c>
      <c r="X8" s="43" t="s">
        <v>573</v>
      </c>
      <c r="Y8" s="43" t="s">
        <v>573</v>
      </c>
      <c r="Z8" s="44">
        <v>33467</v>
      </c>
      <c r="AA8" s="44">
        <v>50337.5</v>
      </c>
      <c r="AB8" s="44">
        <v>40.136000000000003</v>
      </c>
      <c r="AC8" s="44">
        <v>216.82300000000001</v>
      </c>
      <c r="AE8" s="46">
        <f t="shared" si="7"/>
        <v>0.15951636555689364</v>
      </c>
      <c r="AF8" s="39">
        <f t="shared" si="8"/>
        <v>435.93318399999998</v>
      </c>
      <c r="AG8" s="40">
        <f t="shared" si="9"/>
        <v>8.6976886471752639</v>
      </c>
      <c r="AH8" s="40">
        <f t="shared" si="10"/>
        <v>1.2315232548534327</v>
      </c>
      <c r="AI8" s="40">
        <f t="shared" si="11"/>
        <v>1.0860655554049454</v>
      </c>
      <c r="AJ8" s="40">
        <f t="shared" si="12"/>
        <v>7.4661653923218312</v>
      </c>
      <c r="AK8" s="37">
        <f t="shared" si="13"/>
        <v>308623288</v>
      </c>
      <c r="AL8" s="40">
        <v>16</v>
      </c>
      <c r="AM8" s="41">
        <v>250602891</v>
      </c>
      <c r="AN8" s="42">
        <v>2179665920</v>
      </c>
      <c r="AO8" s="42">
        <v>272171168</v>
      </c>
      <c r="AP8" s="42">
        <v>36452120</v>
      </c>
      <c r="AQ8" s="42">
        <v>1871042632</v>
      </c>
      <c r="AR8" s="43" t="s">
        <v>573</v>
      </c>
      <c r="AS8" s="43" t="s">
        <v>573</v>
      </c>
      <c r="AT8" s="43" t="s">
        <v>573</v>
      </c>
      <c r="AU8" s="43" t="s">
        <v>573</v>
      </c>
      <c r="AV8" s="43" t="s">
        <v>573</v>
      </c>
      <c r="AW8" s="44">
        <v>31838</v>
      </c>
      <c r="AX8" s="44">
        <v>50319.7</v>
      </c>
      <c r="AY8" s="44">
        <v>48.98</v>
      </c>
      <c r="AZ8" s="44">
        <v>220.92500000000001</v>
      </c>
      <c r="BB8" s="45">
        <f t="shared" si="14"/>
        <v>1.0097290501743299</v>
      </c>
      <c r="BC8" s="45">
        <f t="shared" si="15"/>
        <v>1.0000999376368407</v>
      </c>
      <c r="BD8" s="45">
        <f t="shared" si="16"/>
        <v>1</v>
      </c>
      <c r="BE8" s="45">
        <f t="shared" si="17"/>
        <v>1.0113351886704154</v>
      </c>
      <c r="BF8" s="46">
        <f t="shared" si="18"/>
        <v>-1.3632691976994682E-3</v>
      </c>
      <c r="BG8" s="46">
        <f t="array" ref="BG8">AVERAGE(AK8:AK8/AN8:AN8) - AVERAGE(N8:N8/Q8:Q8)</f>
        <v>-1.3632691976994682E-3</v>
      </c>
    </row>
    <row r="9" spans="1:59" collapsed="1" x14ac:dyDescent="0.25">
      <c r="A9" s="27" t="s">
        <v>237</v>
      </c>
      <c r="B9" s="27" t="s">
        <v>73</v>
      </c>
      <c r="C9" s="27">
        <v>250294582</v>
      </c>
      <c r="D9" s="28">
        <v>10</v>
      </c>
      <c r="E9" s="28">
        <v>300</v>
      </c>
      <c r="F9" s="28">
        <v>30</v>
      </c>
      <c r="H9" s="36">
        <f t="shared" si="0"/>
        <v>0.2743461495095999</v>
      </c>
      <c r="I9" s="29">
        <f t="shared" si="1"/>
        <v>370.80371600000001</v>
      </c>
      <c r="J9" s="30">
        <f t="shared" si="2"/>
        <v>14.814692073518396</v>
      </c>
      <c r="K9" s="30">
        <f t="shared" si="3"/>
        <v>1.5223399442182093</v>
      </c>
      <c r="L9" s="30">
        <f t="shared" si="4"/>
        <v>1.4219677835455504</v>
      </c>
      <c r="M9" s="30">
        <f t="shared" si="5"/>
        <v>13.292352129300186</v>
      </c>
      <c r="N9" s="27">
        <f t="shared" si="6"/>
        <v>381033440</v>
      </c>
      <c r="O9" s="30">
        <v>16</v>
      </c>
      <c r="P9" s="31">
        <v>250294582</v>
      </c>
      <c r="Q9" s="32">
        <v>3708037160</v>
      </c>
      <c r="R9" s="32">
        <v>355910832</v>
      </c>
      <c r="S9" s="32">
        <v>25122608</v>
      </c>
      <c r="T9" s="32">
        <v>3327003720</v>
      </c>
      <c r="U9" s="33" t="s">
        <v>573</v>
      </c>
      <c r="V9" s="33" t="s">
        <v>573</v>
      </c>
      <c r="W9" s="33" t="s">
        <v>573</v>
      </c>
      <c r="X9" s="33" t="s">
        <v>573</v>
      </c>
      <c r="Y9" s="33" t="s">
        <v>573</v>
      </c>
      <c r="Z9" s="34">
        <v>14039.4</v>
      </c>
      <c r="AA9" s="34">
        <v>61801.2</v>
      </c>
      <c r="AB9" s="34">
        <v>46.289000000000001</v>
      </c>
      <c r="AC9" s="34">
        <v>289.755</v>
      </c>
      <c r="AE9" s="36">
        <f t="shared" si="7"/>
        <v>0.2743461495095999</v>
      </c>
      <c r="AF9" s="29">
        <f t="shared" si="8"/>
        <v>372.59134399999999</v>
      </c>
      <c r="AG9" s="30">
        <f t="shared" si="9"/>
        <v>14.886113036198283</v>
      </c>
      <c r="AH9" s="30">
        <f t="shared" si="10"/>
        <v>1.5225013540245149</v>
      </c>
      <c r="AI9" s="30">
        <f t="shared" si="11"/>
        <v>1.4219677835455504</v>
      </c>
      <c r="AJ9" s="30">
        <f t="shared" si="12"/>
        <v>13.363611682173767</v>
      </c>
      <c r="AK9" s="27">
        <f t="shared" si="13"/>
        <v>381073840</v>
      </c>
      <c r="AL9" s="30">
        <v>16</v>
      </c>
      <c r="AM9" s="31">
        <v>250294582</v>
      </c>
      <c r="AN9" s="32">
        <v>3725913440</v>
      </c>
      <c r="AO9" s="32">
        <v>355910832</v>
      </c>
      <c r="AP9" s="32">
        <v>25163008</v>
      </c>
      <c r="AQ9" s="32">
        <v>3344839600</v>
      </c>
      <c r="AR9" s="33" t="s">
        <v>573</v>
      </c>
      <c r="AS9" s="33" t="s">
        <v>573</v>
      </c>
      <c r="AT9" s="33" t="s">
        <v>573</v>
      </c>
      <c r="AU9" s="33" t="s">
        <v>573</v>
      </c>
      <c r="AV9" s="33" t="s">
        <v>573</v>
      </c>
      <c r="AW9" s="34">
        <v>13571.7</v>
      </c>
      <c r="AX9" s="34">
        <v>60642.1</v>
      </c>
      <c r="AY9" s="34">
        <v>49.441000000000003</v>
      </c>
      <c r="AZ9" s="34">
        <v>262.38200000000001</v>
      </c>
      <c r="BB9" s="35">
        <f t="shared" si="14"/>
        <v>1.0048209549226848</v>
      </c>
      <c r="BC9" s="35">
        <f t="shared" si="15"/>
        <v>1.0001060274394813</v>
      </c>
      <c r="BD9" s="35">
        <f t="shared" si="16"/>
        <v>1</v>
      </c>
      <c r="BE9" s="35">
        <f t="shared" si="17"/>
        <v>1.0053609438104265</v>
      </c>
      <c r="BF9" s="36">
        <f t="shared" si="18"/>
        <v>-4.8217573145646619E-4</v>
      </c>
      <c r="BG9" s="36">
        <f t="array" ref="BG9">AVERAGE(AK9:AK9/AN9:AN9) - AVERAGE(N9:N9/Q9:Q9)</f>
        <v>-4.8217573145646619E-4</v>
      </c>
    </row>
    <row r="10" spans="1:59" collapsed="1" x14ac:dyDescent="0.25">
      <c r="A10" s="18" t="s">
        <v>238</v>
      </c>
      <c r="B10" s="18" t="s">
        <v>77</v>
      </c>
      <c r="C10" s="18">
        <v>186907991</v>
      </c>
      <c r="D10" s="19">
        <v>11</v>
      </c>
      <c r="E10" s="19">
        <v>64</v>
      </c>
      <c r="F10" s="19">
        <v>30</v>
      </c>
      <c r="H10" s="26">
        <f t="shared" si="0"/>
        <v>0.17218626898640779</v>
      </c>
      <c r="I10" s="20">
        <f t="shared" si="1"/>
        <v>859.88925374999997</v>
      </c>
      <c r="J10" s="21">
        <f t="shared" si="2"/>
        <v>9.8146173322252448</v>
      </c>
      <c r="K10" s="21">
        <f t="shared" si="3"/>
        <v>1.1272296217661448</v>
      </c>
      <c r="L10" s="21">
        <f t="shared" si="4"/>
        <v>1.0768247142520515</v>
      </c>
      <c r="M10" s="21">
        <f t="shared" si="5"/>
        <v>8.6873877104590989</v>
      </c>
      <c r="N10" s="18">
        <f t="shared" si="6"/>
        <v>210688224</v>
      </c>
      <c r="O10" s="21">
        <v>16</v>
      </c>
      <c r="P10" s="22">
        <v>186907991</v>
      </c>
      <c r="Q10" s="23">
        <v>1834430408</v>
      </c>
      <c r="R10" s="23">
        <v>201267144</v>
      </c>
      <c r="S10" s="23">
        <v>9421080</v>
      </c>
      <c r="T10" s="23">
        <v>1623742184</v>
      </c>
      <c r="U10" s="24" t="s">
        <v>573</v>
      </c>
      <c r="V10" s="24" t="s">
        <v>573</v>
      </c>
      <c r="W10" s="24" t="s">
        <v>573</v>
      </c>
      <c r="X10" s="24" t="s">
        <v>573</v>
      </c>
      <c r="Y10" s="24" t="s">
        <v>573</v>
      </c>
      <c r="Z10" s="25">
        <v>6123.11</v>
      </c>
      <c r="AA10" s="25">
        <v>39403.599999999999</v>
      </c>
      <c r="AB10" s="25">
        <v>33.235999999999997</v>
      </c>
      <c r="AC10" s="25">
        <v>179.35300000000001</v>
      </c>
      <c r="AE10" s="26">
        <f t="shared" si="7"/>
        <v>0.17218626898640779</v>
      </c>
      <c r="AF10" s="20">
        <f t="shared" si="8"/>
        <v>862.01050499999997</v>
      </c>
      <c r="AG10" s="21">
        <f t="shared" si="9"/>
        <v>9.8388289027193068</v>
      </c>
      <c r="AH10" s="21">
        <f t="shared" si="10"/>
        <v>1.1273144977519982</v>
      </c>
      <c r="AI10" s="21">
        <f t="shared" si="11"/>
        <v>1.0768247142520515</v>
      </c>
      <c r="AJ10" s="21">
        <f t="shared" si="12"/>
        <v>8.7115144049673088</v>
      </c>
      <c r="AK10" s="18">
        <f t="shared" si="13"/>
        <v>210704088</v>
      </c>
      <c r="AL10" s="21">
        <v>16</v>
      </c>
      <c r="AM10" s="22">
        <v>186907991</v>
      </c>
      <c r="AN10" s="23">
        <v>1838955744</v>
      </c>
      <c r="AO10" s="23">
        <v>201267144</v>
      </c>
      <c r="AP10" s="23">
        <v>9436944</v>
      </c>
      <c r="AQ10" s="23">
        <v>1628251656</v>
      </c>
      <c r="AR10" s="24" t="s">
        <v>573</v>
      </c>
      <c r="AS10" s="24" t="s">
        <v>573</v>
      </c>
      <c r="AT10" s="24" t="s">
        <v>573</v>
      </c>
      <c r="AU10" s="24" t="s">
        <v>573</v>
      </c>
      <c r="AV10" s="24" t="s">
        <v>573</v>
      </c>
      <c r="AW10" s="25">
        <v>5847.77</v>
      </c>
      <c r="AX10" s="25">
        <v>37541.9</v>
      </c>
      <c r="AY10" s="25">
        <v>33.555999999999997</v>
      </c>
      <c r="AZ10" s="25">
        <v>154.53800000000001</v>
      </c>
      <c r="BB10" s="58">
        <f t="shared" si="14"/>
        <v>1.0024668888938304</v>
      </c>
      <c r="BC10" s="58">
        <f t="shared" si="15"/>
        <v>1.0000752960924859</v>
      </c>
      <c r="BD10" s="58">
        <f t="shared" si="16"/>
        <v>1</v>
      </c>
      <c r="BE10" s="58">
        <f t="shared" si="17"/>
        <v>1.0027772093651539</v>
      </c>
      <c r="BF10" s="26">
        <f t="shared" si="18"/>
        <v>-2.7400357049943425E-4</v>
      </c>
      <c r="BG10" s="26">
        <f t="array" ref="BG10">AVERAGE(AK10:AK10/AN10:AN10) - AVERAGE(N10:N10/Q10:Q10)</f>
        <v>-2.7400357049943425E-4</v>
      </c>
    </row>
    <row r="11" spans="1:59" collapsed="1" x14ac:dyDescent="0.25">
      <c r="A11" s="27"/>
      <c r="B11" s="27" t="s">
        <v>82</v>
      </c>
      <c r="C11" s="27">
        <v>166028718</v>
      </c>
      <c r="D11" s="28">
        <v>11</v>
      </c>
      <c r="E11" s="28">
        <v>64</v>
      </c>
      <c r="F11" s="28">
        <v>30</v>
      </c>
      <c r="H11" s="36">
        <f t="shared" si="0"/>
        <v>0.17471294523751893</v>
      </c>
      <c r="I11" s="29">
        <f t="shared" si="1"/>
        <v>775.04056875000003</v>
      </c>
      <c r="J11" s="30">
        <f t="shared" si="2"/>
        <v>9.9586378785385783</v>
      </c>
      <c r="K11" s="30">
        <f t="shared" si="3"/>
        <v>1.1936502214032636</v>
      </c>
      <c r="L11" s="30">
        <f t="shared" si="4"/>
        <v>1.1351388017101958</v>
      </c>
      <c r="M11" s="30">
        <f t="shared" si="5"/>
        <v>8.7649876571353165</v>
      </c>
      <c r="N11" s="27">
        <f t="shared" si="6"/>
        <v>198180216</v>
      </c>
      <c r="O11" s="30">
        <v>16</v>
      </c>
      <c r="P11" s="31">
        <v>166028718</v>
      </c>
      <c r="Q11" s="32">
        <v>1653419880</v>
      </c>
      <c r="R11" s="32">
        <v>188465640</v>
      </c>
      <c r="S11" s="32">
        <v>9714576</v>
      </c>
      <c r="T11" s="32">
        <v>1455239664</v>
      </c>
      <c r="U11" s="33" t="s">
        <v>573</v>
      </c>
      <c r="V11" s="33" t="s">
        <v>573</v>
      </c>
      <c r="W11" s="33" t="s">
        <v>573</v>
      </c>
      <c r="X11" s="33" t="s">
        <v>573</v>
      </c>
      <c r="Y11" s="33" t="s">
        <v>573</v>
      </c>
      <c r="Z11" s="34">
        <v>5278.25</v>
      </c>
      <c r="AA11" s="34">
        <v>40052.9</v>
      </c>
      <c r="AB11" s="34">
        <v>31.239000000000001</v>
      </c>
      <c r="AC11" s="34">
        <v>181.71600000000001</v>
      </c>
      <c r="AE11" s="36">
        <f t="shared" si="7"/>
        <v>0.17471294523751893</v>
      </c>
      <c r="AF11" s="29">
        <f t="shared" si="8"/>
        <v>777.30985124999995</v>
      </c>
      <c r="AG11" s="30">
        <f t="shared" si="9"/>
        <v>9.9877963040104909</v>
      </c>
      <c r="AH11" s="30">
        <f t="shared" si="10"/>
        <v>1.1937198479120943</v>
      </c>
      <c r="AI11" s="30">
        <f t="shared" si="11"/>
        <v>1.1351388017101958</v>
      </c>
      <c r="AJ11" s="30">
        <f t="shared" si="12"/>
        <v>8.7940764560983968</v>
      </c>
      <c r="AK11" s="27">
        <f t="shared" si="13"/>
        <v>198191776</v>
      </c>
      <c r="AL11" s="30">
        <v>16</v>
      </c>
      <c r="AM11" s="31">
        <v>166028718</v>
      </c>
      <c r="AN11" s="32">
        <v>1658261016</v>
      </c>
      <c r="AO11" s="32">
        <v>188465640</v>
      </c>
      <c r="AP11" s="32">
        <v>9726136</v>
      </c>
      <c r="AQ11" s="32">
        <v>1460069240</v>
      </c>
      <c r="AR11" s="33" t="s">
        <v>573</v>
      </c>
      <c r="AS11" s="33" t="s">
        <v>573</v>
      </c>
      <c r="AT11" s="33" t="s">
        <v>573</v>
      </c>
      <c r="AU11" s="33" t="s">
        <v>573</v>
      </c>
      <c r="AV11" s="33" t="s">
        <v>573</v>
      </c>
      <c r="AW11" s="34">
        <v>5273.66</v>
      </c>
      <c r="AX11" s="34">
        <v>38839.300000000003</v>
      </c>
      <c r="AY11" s="34">
        <v>37.46</v>
      </c>
      <c r="AZ11" s="34">
        <v>188.12700000000001</v>
      </c>
      <c r="BB11" s="35">
        <f t="shared" si="14"/>
        <v>1.0029279531827089</v>
      </c>
      <c r="BC11" s="35">
        <f t="shared" si="15"/>
        <v>1.0000583307467985</v>
      </c>
      <c r="BD11" s="35">
        <f t="shared" si="16"/>
        <v>1</v>
      </c>
      <c r="BE11" s="35">
        <f t="shared" si="17"/>
        <v>1.0033187495637144</v>
      </c>
      <c r="BF11" s="36">
        <f t="shared" si="18"/>
        <v>-3.4295107265978897E-4</v>
      </c>
      <c r="BG11" s="36">
        <f t="array" ref="BG11">AVERAGE(AK11:AK11/AN11:AN11) - AVERAGE(N11:N11/Q11:Q11)</f>
        <v>-3.4295107265978897E-4</v>
      </c>
    </row>
    <row r="12" spans="1:59" x14ac:dyDescent="0.25">
      <c r="B12" s="47" t="s">
        <v>16</v>
      </c>
      <c r="J12" s="48">
        <f>AVERAGE(J5:J8)</f>
        <v>10.176060682441236</v>
      </c>
      <c r="K12" s="48">
        <f>AVERAGE(K5:K8)</f>
        <v>1.5202027328463692</v>
      </c>
      <c r="L12" s="48">
        <f>AVERAGE(L5:L8)</f>
        <v>1.3888051150021286</v>
      </c>
      <c r="M12" s="48">
        <f>AVERAGE(M5:M8)</f>
        <v>8.6558579495948678</v>
      </c>
      <c r="AG12" s="48">
        <f>AVERAGE(AG5:AG8)</f>
        <v>10.243229418012641</v>
      </c>
      <c r="AH12" s="48">
        <f>AVERAGE(AH5:AH8)</f>
        <v>1.5203887614674192</v>
      </c>
      <c r="AI12" s="48">
        <f>AVERAGE(AI5:AI8)</f>
        <v>1.3888051150021286</v>
      </c>
      <c r="AJ12" s="48">
        <f>AVERAGE(AJ5:AJ8)</f>
        <v>8.7228406565452232</v>
      </c>
      <c r="BB12" s="71">
        <f t="shared" si="14"/>
        <v>1.0066006618540813</v>
      </c>
      <c r="BC12" s="71">
        <f t="shared" si="15"/>
        <v>1.0001223709292388</v>
      </c>
      <c r="BD12" s="71">
        <f t="shared" si="16"/>
        <v>1</v>
      </c>
      <c r="BE12" s="71">
        <f t="shared" si="17"/>
        <v>1.0077384249303087</v>
      </c>
      <c r="BG12" s="151">
        <f>AVERAGE(BG5:BG8)</f>
        <v>-9.7898642482445453E-4</v>
      </c>
    </row>
    <row r="13" spans="1:59" x14ac:dyDescent="0.25">
      <c r="B13" s="47" t="s">
        <v>17</v>
      </c>
      <c r="J13" s="48">
        <f>AVERAGE(J9:J9)</f>
        <v>14.814692073518396</v>
      </c>
      <c r="K13" s="48">
        <f>AVERAGE(K9:K9)</f>
        <v>1.5223399442182093</v>
      </c>
      <c r="L13" s="48">
        <f>AVERAGE(L9:L9)</f>
        <v>1.4219677835455504</v>
      </c>
      <c r="M13" s="48">
        <f>AVERAGE(M9:M9)</f>
        <v>13.292352129300186</v>
      </c>
      <c r="AG13" s="48">
        <f>AVERAGE(AG9:AG9)</f>
        <v>14.886113036198283</v>
      </c>
      <c r="AH13" s="48">
        <f>AVERAGE(AH9:AH9)</f>
        <v>1.5225013540245149</v>
      </c>
      <c r="AI13" s="48">
        <f>AVERAGE(AI9:AI9)</f>
        <v>1.4219677835455504</v>
      </c>
      <c r="AJ13" s="48">
        <f>AVERAGE(AJ9:AJ9)</f>
        <v>13.363611682173767</v>
      </c>
      <c r="BB13" s="71">
        <f t="shared" si="14"/>
        <v>1.0048209549226848</v>
      </c>
      <c r="BC13" s="71">
        <f t="shared" si="15"/>
        <v>1.0001060274394813</v>
      </c>
      <c r="BD13" s="71">
        <f t="shared" si="16"/>
        <v>1</v>
      </c>
      <c r="BE13" s="71">
        <f t="shared" si="17"/>
        <v>1.0053609438104265</v>
      </c>
      <c r="BG13" s="151">
        <f>AVERAGE(BG9:BG9)</f>
        <v>-4.8217573145646619E-4</v>
      </c>
    </row>
    <row r="14" spans="1:59" x14ac:dyDescent="0.25">
      <c r="B14" s="47" t="s">
        <v>18</v>
      </c>
      <c r="J14" s="48">
        <f>AVERAGE(J10:J11)</f>
        <v>9.8866276053819107</v>
      </c>
      <c r="K14" s="48">
        <f>AVERAGE(K10:K11)</f>
        <v>1.1604399215847043</v>
      </c>
      <c r="L14" s="48">
        <f>AVERAGE(L10:L11)</f>
        <v>1.1059817579811235</v>
      </c>
      <c r="M14" s="48">
        <f>AVERAGE(M10:M11)</f>
        <v>8.7261876837972068</v>
      </c>
      <c r="AG14" s="48">
        <f>AVERAGE(AG10:AG11)</f>
        <v>9.9133126033648988</v>
      </c>
      <c r="AH14" s="48">
        <f>AVERAGE(AH10:AH11)</f>
        <v>1.1605171728320463</v>
      </c>
      <c r="AI14" s="48">
        <f>AVERAGE(AI10:AI11)</f>
        <v>1.1059817579811235</v>
      </c>
      <c r="AJ14" s="48">
        <f>AVERAGE(AJ10:AJ11)</f>
        <v>8.7527954305328528</v>
      </c>
      <c r="BB14" s="71">
        <f t="shared" si="14"/>
        <v>1.0026991001429508</v>
      </c>
      <c r="BC14" s="71">
        <f t="shared" si="15"/>
        <v>1.0000665706564424</v>
      </c>
      <c r="BD14" s="71">
        <f t="shared" si="16"/>
        <v>1</v>
      </c>
      <c r="BE14" s="71">
        <f t="shared" si="17"/>
        <v>1.0030491834120243</v>
      </c>
      <c r="BG14" s="151">
        <f>AVERAGE(BG10:BG11)</f>
        <v>-3.0847732157961161E-4</v>
      </c>
    </row>
    <row r="15" spans="1:59" x14ac:dyDescent="0.25">
      <c r="B15" s="47" t="s">
        <v>19</v>
      </c>
      <c r="J15" s="48">
        <f>AVERAGE(J5:J11)</f>
        <v>10.75602714486388</v>
      </c>
      <c r="K15" s="48">
        <f>AVERAGE(K5:K11)</f>
        <v>1.4177186741104422</v>
      </c>
      <c r="L15" s="48">
        <f>AVERAGE(L5:L11)</f>
        <v>1.3127359656451874</v>
      </c>
      <c r="M15" s="48">
        <f>AVERAGE(M5:M11)</f>
        <v>9.3383084707534376</v>
      </c>
      <c r="AG15" s="48">
        <f>AVERAGE(AG5:AG11)</f>
        <v>10.812236559282663</v>
      </c>
      <c r="AH15" s="48">
        <f>AVERAGE(AH5:AH11)</f>
        <v>1.4178701065083263</v>
      </c>
      <c r="AI15" s="48">
        <f>AVERAGE(AI5:AI11)</f>
        <v>1.3127359656451874</v>
      </c>
      <c r="AJ15" s="48">
        <f>AVERAGE(AJ5:AJ11)</f>
        <v>9.3943664527743387</v>
      </c>
      <c r="BB15" s="71">
        <f t="shared" si="14"/>
        <v>1.005225852785768</v>
      </c>
      <c r="BC15" s="71">
        <f t="shared" si="15"/>
        <v>1.0001068141378466</v>
      </c>
      <c r="BD15" s="71">
        <f t="shared" si="16"/>
        <v>1</v>
      </c>
      <c r="BE15" s="71">
        <f t="shared" si="17"/>
        <v>1.0060030124509667</v>
      </c>
      <c r="BG15" s="151">
        <f>AVERAGE(BG5:BG11)</f>
        <v>-7.1643943913050109E-4</v>
      </c>
    </row>
    <row r="16" spans="1:59" hidden="1" outlineLevel="2" x14ac:dyDescent="0.25">
      <c r="A16" s="47" t="s">
        <v>239</v>
      </c>
      <c r="B16" s="47" t="s">
        <v>240</v>
      </c>
      <c r="Z16" s="49">
        <f>SUM(Z5:Z8,Z9:Z9,Z10:Z11)</f>
        <v>164648.35999999999</v>
      </c>
      <c r="AA16" s="49">
        <f>SUM(AA5:AA8,AA9:AA9,AA10:AA11)</f>
        <v>372746.8</v>
      </c>
      <c r="AB16" s="49">
        <f>SUM(AB5:AB8,AB9:AB9,AB10:AB11)</f>
        <v>281.72599999999994</v>
      </c>
      <c r="AC16" s="49">
        <f>SUM(AC5:AC8,AC9:AC9,AC10:AC11)</f>
        <v>1604.1579999999999</v>
      </c>
      <c r="AW16" s="49">
        <f>SUM(AW5:AW8,AW9:AW9,AW10:AW11)</f>
        <v>158858.23000000001</v>
      </c>
      <c r="AX16" s="49">
        <f>SUM(AX5:AX8,AX9:AX9,AX10:AX11)</f>
        <v>367836.8</v>
      </c>
      <c r="AY16" s="49">
        <f>SUM(AY5:AY8,AY9:AY9,AY10:AY11)</f>
        <v>324.36999999999995</v>
      </c>
      <c r="AZ16" s="49">
        <f>SUM(AZ5:AZ8,AZ9:AZ9,AZ10:AZ11)</f>
        <v>1568.646</v>
      </c>
    </row>
    <row r="17" spans="2:52" hidden="1" outlineLevel="2" x14ac:dyDescent="0.25">
      <c r="B17" s="47" t="s">
        <v>241</v>
      </c>
      <c r="AW17" s="151">
        <f>AW16/Z16</f>
        <v>0.96483335758704203</v>
      </c>
      <c r="AX17" s="151">
        <f>AX16/AA16</f>
        <v>0.98682751937776525</v>
      </c>
      <c r="AY17" s="151">
        <f>AY16/AB16</f>
        <v>1.151366930989685</v>
      </c>
      <c r="AZ17" s="151">
        <f>AZ16/AC16</f>
        <v>0.97786252975081012</v>
      </c>
    </row>
    <row r="18" spans="2:52" hidden="1" outlineLevel="2" x14ac:dyDescent="0.25">
      <c r="B18" s="47" t="s">
        <v>242</v>
      </c>
      <c r="Z18" s="49">
        <f>GEOMEAN(Z5:Z8,Z9:Z9,Z10:Z11)</f>
        <v>18138.425483874787</v>
      </c>
      <c r="AA18" s="49">
        <f>GEOMEAN(AA5:AA8,AA9:AA9,AA10:AA11)</f>
        <v>52219.196129157863</v>
      </c>
      <c r="AB18" s="49">
        <f>GEOMEAN(AB5:AB8,AB9:AB9,AB10:AB11)</f>
        <v>39.752042746026902</v>
      </c>
      <c r="AC18" s="49">
        <f>GEOMEAN(AC5:AC8,AC9:AC9,AC10:AC11)</f>
        <v>226.09785971678531</v>
      </c>
      <c r="AW18" s="49">
        <f>GEOMEAN(AW5:AW8,AW9:AW9,AW10:AW11)</f>
        <v>17561.829127732577</v>
      </c>
      <c r="AX18" s="49">
        <f>GEOMEAN(AX5:AX8,AX9:AX9,AX10:AX11)</f>
        <v>51407.650540139395</v>
      </c>
      <c r="AY18" s="49">
        <f>GEOMEAN(AY5:AY8,AY9:AY9,AY10:AY11)</f>
        <v>45.655460579847393</v>
      </c>
      <c r="AZ18" s="49">
        <f>GEOMEAN(AZ5:AZ8,AZ9:AZ9,AZ10:AZ11)</f>
        <v>220.38017481443973</v>
      </c>
    </row>
    <row r="19" spans="2:52" outlineLevel="2" collapsed="1" x14ac:dyDescent="0.25">
      <c r="B19" s="47" t="s">
        <v>243</v>
      </c>
      <c r="AW19" s="151">
        <f>AW18/Z18</f>
        <v>0.96821133363230405</v>
      </c>
      <c r="AX19" s="151">
        <f>AX18/AA18</f>
        <v>0.98445886476285072</v>
      </c>
      <c r="AY19" s="151">
        <f>AY18/AB18</f>
        <v>1.1485060244963265</v>
      </c>
      <c r="AZ19" s="151">
        <f>AZ18/AC18</f>
        <v>0.97471145941183313</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97" priority="3" operator="greaterThanOrEqual">
      <formula>1.03</formula>
    </cfRule>
    <cfRule type="cellIs" dxfId="96" priority="4" operator="lessThanOrEqual">
      <formula>0.97</formula>
    </cfRule>
  </conditionalFormatting>
  <conditionalFormatting sqref="BC5 BC6 BC7 BC8 BC9 BC10 BC11 BC12 BC13 BC14 BC15">
    <cfRule type="cellIs" dxfId="95" priority="7" operator="greaterThanOrEqual">
      <formula>1.03</formula>
    </cfRule>
    <cfRule type="cellIs" dxfId="94" priority="8" operator="lessThanOrEqual">
      <formula>0.97</formula>
    </cfRule>
  </conditionalFormatting>
  <conditionalFormatting sqref="BD5 BD6 BD7 BD8 BD9 BD10 BD11 BD12 BD13 BD14 BD15">
    <cfRule type="cellIs" dxfId="93" priority="1" operator="greaterThanOrEqual">
      <formula>1.03</formula>
    </cfRule>
    <cfRule type="cellIs" dxfId="92" priority="2" operator="lessThanOrEqual">
      <formula>0.97</formula>
    </cfRule>
  </conditionalFormatting>
  <conditionalFormatting sqref="BE5 BE6 BE7 BE8 BE9 BE10 BE11 BE12 BE13 BE14 BE15">
    <cfRule type="cellIs" dxfId="91" priority="5" operator="greaterThanOrEqual">
      <formula>1.03</formula>
    </cfRule>
    <cfRule type="cellIs" dxfId="9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H37" sqref="H37"/>
    </sheetView>
  </sheetViews>
  <sheetFormatPr defaultRowHeight="15" outlineLevelRow="2" x14ac:dyDescent="0.25"/>
  <cols>
    <col min="2" max="2" width="24.7109375" style="76" customWidth="1"/>
    <col min="3" max="4" width="10.7109375" style="76" customWidth="1"/>
    <col min="7" max="7" width="1.7109375" style="76" customWidth="1"/>
    <col min="10" max="13" width="10.7109375" style="76" customWidth="1"/>
    <col min="14" max="14" width="24.7109375" style="76" hidden="1" customWidth="1"/>
    <col min="15" max="15" width="12.7109375" style="76" customWidth="1"/>
    <col min="16" max="16" width="10.7109375" style="76" customWidth="1"/>
    <col min="17" max="20" width="12.7109375" style="76" customWidth="1"/>
    <col min="21" max="25" width="11.7109375" style="76" customWidth="1"/>
    <col min="30" max="30" width="1.7109375" style="76" customWidth="1"/>
    <col min="33" max="36" width="10.7109375" style="76" customWidth="1"/>
    <col min="37" max="37" width="24.7109375" style="76" hidden="1" customWidth="1"/>
    <col min="38" max="38" width="12.7109375" style="76" customWidth="1"/>
    <col min="39" max="39" width="10.7109375" style="76" customWidth="1"/>
    <col min="40" max="43" width="12.7109375" style="76" customWidth="1"/>
    <col min="44" max="48" width="11.7109375" style="76" customWidth="1"/>
    <col min="53" max="53" width="1.7109375" style="76" customWidth="1"/>
    <col min="60" max="60" width="1.7109375" style="76" customWidth="1"/>
  </cols>
  <sheetData>
    <row r="1" spans="1:59" x14ac:dyDescent="0.25">
      <c r="A1" s="168" t="s">
        <v>574</v>
      </c>
      <c r="B1" s="156"/>
      <c r="C1" s="156"/>
      <c r="D1" s="156"/>
      <c r="E1" s="156"/>
      <c r="F1" s="156"/>
      <c r="H1" s="164" t="str">
        <f>Summary!$C$1</f>
        <v>ALL_master+r7.0</v>
      </c>
      <c r="I1" s="156"/>
      <c r="J1" s="156"/>
      <c r="K1" s="156"/>
      <c r="L1" s="156"/>
      <c r="M1" s="156"/>
      <c r="N1" s="156"/>
      <c r="O1" s="156"/>
      <c r="P1" s="156"/>
      <c r="Q1" s="156"/>
      <c r="R1" s="156"/>
      <c r="S1" s="156"/>
      <c r="T1" s="156"/>
      <c r="U1" s="156"/>
      <c r="V1" s="156"/>
      <c r="W1" s="156"/>
      <c r="X1" s="156"/>
      <c r="Y1" s="156"/>
      <c r="Z1" s="156"/>
      <c r="AA1" s="156"/>
      <c r="AB1" s="156"/>
      <c r="AC1" s="156"/>
      <c r="AE1" s="165" t="str">
        <f>Summary!$C$2</f>
        <v>mpeg128-integration+r7.1.09</v>
      </c>
      <c r="AF1" s="156"/>
      <c r="AG1" s="156"/>
      <c r="AH1" s="156"/>
      <c r="AI1" s="156"/>
      <c r="AJ1" s="156"/>
      <c r="AK1" s="156"/>
      <c r="AL1" s="156"/>
      <c r="AM1" s="156"/>
      <c r="AN1" s="156"/>
      <c r="AO1" s="156"/>
      <c r="AP1" s="156"/>
      <c r="AQ1" s="156"/>
      <c r="AR1" s="156"/>
      <c r="AS1" s="156"/>
      <c r="AT1" s="156"/>
      <c r="AU1" s="156"/>
      <c r="AV1" s="156"/>
      <c r="AW1" s="156"/>
      <c r="AX1" s="156"/>
      <c r="AY1" s="156"/>
      <c r="AZ1" s="156"/>
    </row>
    <row r="2" spans="1:59" ht="30" customHeight="1" x14ac:dyDescent="0.25">
      <c r="A2" s="170" t="s">
        <v>139</v>
      </c>
      <c r="B2" s="169" t="s">
        <v>140</v>
      </c>
      <c r="C2" s="170" t="s">
        <v>142</v>
      </c>
      <c r="D2" s="169" t="s">
        <v>143</v>
      </c>
      <c r="E2" s="170" t="s">
        <v>144</v>
      </c>
      <c r="F2" s="169" t="s">
        <v>145</v>
      </c>
      <c r="H2" s="170" t="s">
        <v>567</v>
      </c>
      <c r="I2" s="169" t="s">
        <v>146</v>
      </c>
      <c r="J2" s="167" t="s">
        <v>147</v>
      </c>
      <c r="K2" s="156"/>
      <c r="L2" s="156"/>
      <c r="M2" s="156"/>
      <c r="N2" s="170" t="s">
        <v>148</v>
      </c>
      <c r="O2" s="169" t="s">
        <v>149</v>
      </c>
      <c r="P2" s="170" t="s">
        <v>86</v>
      </c>
      <c r="Q2" s="166" t="s">
        <v>150</v>
      </c>
      <c r="R2" s="156"/>
      <c r="S2" s="156"/>
      <c r="T2" s="156"/>
      <c r="U2" s="167" t="s">
        <v>151</v>
      </c>
      <c r="V2" s="156"/>
      <c r="W2" s="166" t="s">
        <v>152</v>
      </c>
      <c r="X2" s="156"/>
      <c r="Y2" s="156"/>
      <c r="Z2" s="167" t="s">
        <v>153</v>
      </c>
      <c r="AA2" s="156"/>
      <c r="AB2" s="166" t="s">
        <v>154</v>
      </c>
      <c r="AC2" s="156"/>
      <c r="AE2" s="170" t="s">
        <v>567</v>
      </c>
      <c r="AF2" s="169" t="s">
        <v>146</v>
      </c>
      <c r="AG2" s="167" t="s">
        <v>147</v>
      </c>
      <c r="AH2" s="156"/>
      <c r="AI2" s="156"/>
      <c r="AJ2" s="156"/>
      <c r="AK2" s="170" t="s">
        <v>155</v>
      </c>
      <c r="AL2" s="169" t="s">
        <v>149</v>
      </c>
      <c r="AM2" s="170" t="s">
        <v>86</v>
      </c>
      <c r="AN2" s="166" t="s">
        <v>150</v>
      </c>
      <c r="AO2" s="156"/>
      <c r="AP2" s="156"/>
      <c r="AQ2" s="156"/>
      <c r="AR2" s="167" t="s">
        <v>151</v>
      </c>
      <c r="AS2" s="156"/>
      <c r="AT2" s="166" t="s">
        <v>152</v>
      </c>
      <c r="AU2" s="156"/>
      <c r="AV2" s="156"/>
      <c r="AW2" s="167" t="s">
        <v>153</v>
      </c>
      <c r="AX2" s="156"/>
      <c r="AY2" s="166" t="s">
        <v>154</v>
      </c>
      <c r="AZ2" s="156"/>
      <c r="BB2" s="167" t="s">
        <v>24</v>
      </c>
      <c r="BC2" s="156"/>
      <c r="BD2" s="156"/>
      <c r="BE2" s="156"/>
      <c r="BF2" s="169" t="s">
        <v>158</v>
      </c>
      <c r="BG2" s="170" t="s">
        <v>158</v>
      </c>
    </row>
    <row r="3" spans="1:59" ht="28.9" customHeight="1" x14ac:dyDescent="0.25">
      <c r="A3" s="158"/>
      <c r="B3" s="158"/>
      <c r="C3" s="158"/>
      <c r="D3" s="158"/>
      <c r="E3" s="158"/>
      <c r="F3" s="158"/>
      <c r="H3" s="158"/>
      <c r="I3" s="158"/>
      <c r="J3" s="152" t="s">
        <v>27</v>
      </c>
      <c r="K3" s="152" t="s">
        <v>25</v>
      </c>
      <c r="L3" s="152" t="s">
        <v>159</v>
      </c>
      <c r="M3" s="152" t="s">
        <v>160</v>
      </c>
      <c r="N3" s="158"/>
      <c r="O3" s="158"/>
      <c r="P3" s="158"/>
      <c r="Q3" s="153" t="s">
        <v>27</v>
      </c>
      <c r="R3" s="153" t="s">
        <v>159</v>
      </c>
      <c r="S3" s="153" t="s">
        <v>161</v>
      </c>
      <c r="T3" s="153" t="s">
        <v>26</v>
      </c>
      <c r="U3" s="152" t="s">
        <v>11</v>
      </c>
      <c r="V3" s="152" t="s">
        <v>12</v>
      </c>
      <c r="W3" s="153" t="s">
        <v>13</v>
      </c>
      <c r="X3" s="153" t="s">
        <v>14</v>
      </c>
      <c r="Y3" s="153" t="s">
        <v>15</v>
      </c>
      <c r="Z3" s="152" t="s">
        <v>162</v>
      </c>
      <c r="AA3" s="152" t="s">
        <v>163</v>
      </c>
      <c r="AB3" s="153" t="s">
        <v>162</v>
      </c>
      <c r="AC3" s="153" t="s">
        <v>163</v>
      </c>
      <c r="AE3" s="158"/>
      <c r="AF3" s="158"/>
      <c r="AG3" s="152" t="s">
        <v>27</v>
      </c>
      <c r="AH3" s="152" t="s">
        <v>25</v>
      </c>
      <c r="AI3" s="152" t="s">
        <v>159</v>
      </c>
      <c r="AJ3" s="152" t="s">
        <v>160</v>
      </c>
      <c r="AK3" s="158"/>
      <c r="AL3" s="158"/>
      <c r="AM3" s="158"/>
      <c r="AN3" s="153" t="s">
        <v>27</v>
      </c>
      <c r="AO3" s="153" t="s">
        <v>159</v>
      </c>
      <c r="AP3" s="153" t="s">
        <v>161</v>
      </c>
      <c r="AQ3" s="153" t="s">
        <v>26</v>
      </c>
      <c r="AR3" s="152" t="s">
        <v>11</v>
      </c>
      <c r="AS3" s="152" t="s">
        <v>12</v>
      </c>
      <c r="AT3" s="153" t="s">
        <v>13</v>
      </c>
      <c r="AU3" s="153" t="s">
        <v>14</v>
      </c>
      <c r="AV3" s="153" t="s">
        <v>15</v>
      </c>
      <c r="AW3" s="152" t="s">
        <v>162</v>
      </c>
      <c r="AX3" s="152" t="s">
        <v>163</v>
      </c>
      <c r="AY3" s="153" t="s">
        <v>162</v>
      </c>
      <c r="AZ3" s="153" t="s">
        <v>163</v>
      </c>
      <c r="BB3" s="152" t="s">
        <v>27</v>
      </c>
      <c r="BC3" s="152" t="s">
        <v>25</v>
      </c>
      <c r="BD3" s="152" t="s">
        <v>159</v>
      </c>
      <c r="BE3" s="152" t="s">
        <v>26</v>
      </c>
      <c r="BF3" s="158"/>
      <c r="BG3" s="158"/>
    </row>
    <row r="4" spans="1:59" ht="123" hidden="1" customHeight="1" x14ac:dyDescent="0.25">
      <c r="A4" s="8" t="s">
        <v>164</v>
      </c>
      <c r="B4" s="9" t="s">
        <v>165</v>
      </c>
      <c r="C4" s="8" t="s">
        <v>167</v>
      </c>
      <c r="D4" s="9" t="s">
        <v>168</v>
      </c>
      <c r="E4" s="8" t="s">
        <v>169</v>
      </c>
      <c r="F4" s="9" t="s">
        <v>170</v>
      </c>
      <c r="H4" s="8" t="s">
        <v>568</v>
      </c>
      <c r="I4" s="9" t="s">
        <v>171</v>
      </c>
      <c r="J4" s="8" t="s">
        <v>172</v>
      </c>
      <c r="K4" s="8" t="s">
        <v>173</v>
      </c>
      <c r="L4" s="8" t="s">
        <v>174</v>
      </c>
      <c r="M4" s="8" t="s">
        <v>175</v>
      </c>
      <c r="N4" s="8" t="s">
        <v>176</v>
      </c>
      <c r="O4" s="9" t="s">
        <v>177</v>
      </c>
      <c r="P4" s="8" t="s">
        <v>178</v>
      </c>
      <c r="Q4" s="9" t="s">
        <v>181</v>
      </c>
      <c r="R4" s="9" t="s">
        <v>182</v>
      </c>
      <c r="S4" s="9" t="s">
        <v>183</v>
      </c>
      <c r="T4" s="9" t="s">
        <v>184</v>
      </c>
      <c r="U4" s="8" t="s">
        <v>185</v>
      </c>
      <c r="V4" s="8" t="s">
        <v>186</v>
      </c>
      <c r="W4" s="9" t="s">
        <v>187</v>
      </c>
      <c r="X4" s="9" t="s">
        <v>188</v>
      </c>
      <c r="Y4" s="9" t="s">
        <v>189</v>
      </c>
      <c r="Z4" s="8" t="s">
        <v>190</v>
      </c>
      <c r="AA4" s="8" t="s">
        <v>191</v>
      </c>
      <c r="AB4" s="9" t="s">
        <v>192</v>
      </c>
      <c r="AC4" s="9" t="s">
        <v>193</v>
      </c>
      <c r="AE4" s="8" t="s">
        <v>569</v>
      </c>
      <c r="AF4" s="9" t="s">
        <v>194</v>
      </c>
      <c r="AG4" s="8" t="s">
        <v>195</v>
      </c>
      <c r="AH4" s="8" t="s">
        <v>196</v>
      </c>
      <c r="AI4" s="8" t="s">
        <v>197</v>
      </c>
      <c r="AJ4" s="8" t="s">
        <v>198</v>
      </c>
      <c r="AK4" s="8" t="s">
        <v>199</v>
      </c>
      <c r="AL4" s="9" t="s">
        <v>200</v>
      </c>
      <c r="AM4" s="8" t="s">
        <v>201</v>
      </c>
      <c r="AN4" s="9" t="s">
        <v>204</v>
      </c>
      <c r="AO4" s="9" t="s">
        <v>205</v>
      </c>
      <c r="AP4" s="9" t="s">
        <v>206</v>
      </c>
      <c r="AQ4" s="9" t="s">
        <v>207</v>
      </c>
      <c r="AR4" s="8" t="s">
        <v>208</v>
      </c>
      <c r="AS4" s="8" t="s">
        <v>209</v>
      </c>
      <c r="AT4" s="9" t="s">
        <v>210</v>
      </c>
      <c r="AU4" s="9" t="s">
        <v>211</v>
      </c>
      <c r="AV4" s="9" t="s">
        <v>212</v>
      </c>
      <c r="AW4" s="8" t="s">
        <v>213</v>
      </c>
      <c r="AX4" s="8" t="s">
        <v>214</v>
      </c>
      <c r="AY4" s="9" t="s">
        <v>215</v>
      </c>
      <c r="AZ4" s="9" t="s">
        <v>216</v>
      </c>
      <c r="BB4" s="8" t="s">
        <v>570</v>
      </c>
      <c r="BC4" s="8" t="s">
        <v>217</v>
      </c>
      <c r="BD4" s="8" t="s">
        <v>571</v>
      </c>
      <c r="BE4" s="8" t="s">
        <v>572</v>
      </c>
      <c r="BF4" s="9" t="s">
        <v>219</v>
      </c>
      <c r="BG4" s="8" t="s">
        <v>220</v>
      </c>
    </row>
    <row r="5" spans="1:59" collapsed="1" x14ac:dyDescent="0.25">
      <c r="A5" s="129" t="s">
        <v>231</v>
      </c>
      <c r="B5" s="129" t="s">
        <v>51</v>
      </c>
      <c r="C5" s="129">
        <v>238146391</v>
      </c>
      <c r="D5" s="10">
        <v>10</v>
      </c>
      <c r="E5" s="10">
        <v>300</v>
      </c>
      <c r="F5" s="10">
        <v>30</v>
      </c>
      <c r="H5" s="17">
        <f t="shared" ref="H5:H11" si="0">IF(ISBLANK(Q5),"·",Q5/(C5*(D5*3+IF(AND(ISNUMBER(T5),T5&gt;0),24,0))))</f>
        <v>0.16672605691824546</v>
      </c>
      <c r="I5" s="11">
        <f t="shared" ref="I5:I11" si="1">IF(OR(ISBLANK(Q5),ISBLANK(F5)),"·",Q5*F5/E5/1000000)</f>
        <v>214.4081272</v>
      </c>
      <c r="J5" s="12">
        <f t="shared" ref="J5:J11" si="2">IF(ISBLANK(Q5),"·",Q5/C5)</f>
        <v>9.003207073585255</v>
      </c>
      <c r="K5" s="12">
        <f t="shared" ref="K5:K11" si="3">IF(N5="","·",N5/C5)</f>
        <v>1.4187239646222478</v>
      </c>
      <c r="L5" s="12">
        <f t="shared" ref="L5:L11" si="4">IF(R5="","·",R5/C5)</f>
        <v>1.3191548554687105</v>
      </c>
      <c r="M5" s="12">
        <f t="shared" ref="M5:M11" si="5">IF(ISBLANK(T5),"·",T5/C5)</f>
        <v>7.5844831089630071</v>
      </c>
      <c r="N5" s="129">
        <f t="shared" ref="N5:N11" si="6">IF(OR(ISBLANK(R5),ISBLANK(S5)),"",R5+S5)</f>
        <v>337863992</v>
      </c>
      <c r="O5" s="12">
        <v>16</v>
      </c>
      <c r="P5" s="13">
        <v>238146391</v>
      </c>
      <c r="Q5" s="14">
        <v>2144081272</v>
      </c>
      <c r="R5" s="14">
        <v>314151968</v>
      </c>
      <c r="S5" s="14">
        <v>23712024</v>
      </c>
      <c r="T5" s="14">
        <v>1806217280</v>
      </c>
      <c r="U5" s="15" t="s">
        <v>573</v>
      </c>
      <c r="V5" s="15" t="s">
        <v>573</v>
      </c>
      <c r="W5" s="15" t="s">
        <v>573</v>
      </c>
      <c r="X5" s="15" t="s">
        <v>573</v>
      </c>
      <c r="Y5" s="15" t="s">
        <v>573</v>
      </c>
      <c r="Z5" s="16">
        <v>32018.9</v>
      </c>
      <c r="AA5" s="16">
        <v>78341.399999999994</v>
      </c>
      <c r="AB5" s="16">
        <v>39.866999999999997</v>
      </c>
      <c r="AC5" s="16">
        <v>229.53899999999999</v>
      </c>
      <c r="AE5" s="17">
        <f t="shared" ref="AE5:AE11" si="7">IF(ISBLANK(Q5),"·",Q5/(C5*(D5*3+IF(AND(ISNUMBER(T5),T5&gt;0),24,0))))</f>
        <v>0.16672605691824546</v>
      </c>
      <c r="AF5" s="11">
        <f t="shared" ref="AF5:AF11" si="8">IF(OR(ISBLANK(AN5),ISBLANK(F5)),"·",AN5*F5/E5/1000000)</f>
        <v>215.28795440000002</v>
      </c>
      <c r="AG5" s="12">
        <f t="shared" ref="AG5:AG11" si="9">IF(ISBLANK(AN5),"·",AN5/C5)</f>
        <v>9.0401518786820496</v>
      </c>
      <c r="AH5" s="12">
        <f t="shared" ref="AH5:AH11" si="10">IF(AK5="","·",AK5/C5)</f>
        <v>1.4189099678609027</v>
      </c>
      <c r="AI5" s="12">
        <f t="shared" ref="AI5:AI11" si="11">IF(AO5="","·",AO5/C5)</f>
        <v>1.3191548554687105</v>
      </c>
      <c r="AJ5" s="12">
        <f t="shared" ref="AJ5:AJ11" si="12">IF(ISBLANK(AQ5),"·",AQ5/C5)</f>
        <v>7.6212419108211469</v>
      </c>
      <c r="AK5" s="129">
        <f t="shared" ref="AK5:AK11" si="13">IF(OR(ISBLANK(AO5),ISBLANK(AP5)),"",AO5+AP5)</f>
        <v>337908288</v>
      </c>
      <c r="AL5" s="12">
        <v>16</v>
      </c>
      <c r="AM5" s="13">
        <v>238146391</v>
      </c>
      <c r="AN5" s="14">
        <v>2152879544</v>
      </c>
      <c r="AO5" s="14">
        <v>314151968</v>
      </c>
      <c r="AP5" s="14">
        <v>23756320</v>
      </c>
      <c r="AQ5" s="14">
        <v>1814971256</v>
      </c>
      <c r="AR5" s="15" t="s">
        <v>573</v>
      </c>
      <c r="AS5" s="15" t="s">
        <v>573</v>
      </c>
      <c r="AT5" s="15" t="s">
        <v>573</v>
      </c>
      <c r="AU5" s="15" t="s">
        <v>573</v>
      </c>
      <c r="AV5" s="15" t="s">
        <v>573</v>
      </c>
      <c r="AW5" s="16">
        <v>31968.7</v>
      </c>
      <c r="AX5" s="16">
        <v>80923</v>
      </c>
      <c r="AY5" s="16">
        <v>48.417000000000002</v>
      </c>
      <c r="AZ5" s="16">
        <v>230.381</v>
      </c>
      <c r="BB5" s="62">
        <f t="shared" ref="BB5:BB15" si="14">AG5/J5</f>
        <v>1.0041035160909704</v>
      </c>
      <c r="BC5" s="62">
        <f t="shared" ref="BC5:BC15" si="15">AH5/K5</f>
        <v>1.0001311060102551</v>
      </c>
      <c r="BD5" s="62">
        <f t="shared" ref="BD5:BD15" si="16">AI5/L5</f>
        <v>1</v>
      </c>
      <c r="BE5" s="62">
        <f t="shared" ref="BE5:BE15" si="17">AJ5/M5</f>
        <v>1.0048465796983186</v>
      </c>
      <c r="BF5" s="17">
        <f t="shared" ref="BF5:BF11" si="18">(AK5/AN5) - (N5/Q5)</f>
        <v>-6.2341357252054808E-4</v>
      </c>
      <c r="BG5" s="17">
        <f t="array" ref="BG5">AVERAGE(AK5:AK5/AN5:AN5) - AVERAGE(N5:N5/Q5:Q5)</f>
        <v>-6.2341357252054808E-4</v>
      </c>
    </row>
    <row r="6" spans="1:59" collapsed="1" x14ac:dyDescent="0.25">
      <c r="A6" s="18"/>
      <c r="B6" s="18" t="s">
        <v>59</v>
      </c>
      <c r="C6" s="18">
        <v>218121242</v>
      </c>
      <c r="D6" s="19">
        <v>10</v>
      </c>
      <c r="E6" s="19">
        <v>300</v>
      </c>
      <c r="F6" s="19">
        <v>30</v>
      </c>
      <c r="H6" s="26">
        <f t="shared" si="0"/>
        <v>0.23786748975276922</v>
      </c>
      <c r="I6" s="20">
        <f t="shared" si="1"/>
        <v>280.17334239999997</v>
      </c>
      <c r="J6" s="21">
        <f t="shared" si="2"/>
        <v>12.844844446649539</v>
      </c>
      <c r="K6" s="21">
        <f t="shared" si="3"/>
        <v>1.7645737777341282</v>
      </c>
      <c r="L6" s="21">
        <f t="shared" si="4"/>
        <v>1.5954921070915229</v>
      </c>
      <c r="M6" s="21">
        <f t="shared" si="5"/>
        <v>11.080270668915411</v>
      </c>
      <c r="N6" s="18">
        <f t="shared" si="6"/>
        <v>384891024</v>
      </c>
      <c r="O6" s="21">
        <v>16</v>
      </c>
      <c r="P6" s="22">
        <v>218121242</v>
      </c>
      <c r="Q6" s="23">
        <v>2801733424</v>
      </c>
      <c r="R6" s="23">
        <v>348010720</v>
      </c>
      <c r="S6" s="23">
        <v>36880304</v>
      </c>
      <c r="T6" s="23">
        <v>2416842400</v>
      </c>
      <c r="U6" s="24" t="s">
        <v>573</v>
      </c>
      <c r="V6" s="24" t="s">
        <v>573</v>
      </c>
      <c r="W6" s="24" t="s">
        <v>573</v>
      </c>
      <c r="X6" s="24" t="s">
        <v>573</v>
      </c>
      <c r="Y6" s="24" t="s">
        <v>573</v>
      </c>
      <c r="Z6" s="25">
        <v>29862.2</v>
      </c>
      <c r="AA6" s="25">
        <v>94075.9</v>
      </c>
      <c r="AB6" s="25">
        <v>39.613</v>
      </c>
      <c r="AC6" s="25">
        <v>247.02799999999999</v>
      </c>
      <c r="AE6" s="26">
        <f t="shared" si="7"/>
        <v>0.23786748975276922</v>
      </c>
      <c r="AF6" s="20">
        <f t="shared" si="8"/>
        <v>281.77016560000004</v>
      </c>
      <c r="AG6" s="21">
        <f t="shared" si="9"/>
        <v>12.918052502195087</v>
      </c>
      <c r="AH6" s="21">
        <f t="shared" si="10"/>
        <v>1.7647772242191799</v>
      </c>
      <c r="AI6" s="21">
        <f t="shared" si="11"/>
        <v>1.5954921070915229</v>
      </c>
      <c r="AJ6" s="21">
        <f t="shared" si="12"/>
        <v>11.153275277975906</v>
      </c>
      <c r="AK6" s="18">
        <f t="shared" si="13"/>
        <v>384935400</v>
      </c>
      <c r="AL6" s="21">
        <v>16</v>
      </c>
      <c r="AM6" s="22">
        <v>218121242</v>
      </c>
      <c r="AN6" s="23">
        <v>2817701656</v>
      </c>
      <c r="AO6" s="23">
        <v>348010720</v>
      </c>
      <c r="AP6" s="23">
        <v>36924680</v>
      </c>
      <c r="AQ6" s="23">
        <v>2432766256</v>
      </c>
      <c r="AR6" s="24" t="s">
        <v>573</v>
      </c>
      <c r="AS6" s="24" t="s">
        <v>573</v>
      </c>
      <c r="AT6" s="24" t="s">
        <v>573</v>
      </c>
      <c r="AU6" s="24" t="s">
        <v>573</v>
      </c>
      <c r="AV6" s="24" t="s">
        <v>573</v>
      </c>
      <c r="AW6" s="25">
        <v>28928.6</v>
      </c>
      <c r="AX6" s="25">
        <v>93718.6</v>
      </c>
      <c r="AY6" s="25">
        <v>48.569000000000003</v>
      </c>
      <c r="AZ6" s="25">
        <v>257.67500000000001</v>
      </c>
      <c r="BB6" s="58">
        <f t="shared" si="14"/>
        <v>1.0056994116082616</v>
      </c>
      <c r="BC6" s="58">
        <f t="shared" si="15"/>
        <v>1.0001152949724283</v>
      </c>
      <c r="BD6" s="58">
        <f t="shared" si="16"/>
        <v>1</v>
      </c>
      <c r="BE6" s="58">
        <f t="shared" si="17"/>
        <v>1.00658870268082</v>
      </c>
      <c r="BF6" s="26">
        <f t="shared" si="18"/>
        <v>-7.6277641585106859E-4</v>
      </c>
      <c r="BG6" s="26">
        <f t="array" ref="BG6">AVERAGE(AK6:AK6/AN6:AN6) - AVERAGE(N6:N6/Q6:Q6)</f>
        <v>-7.6277641585106859E-4</v>
      </c>
    </row>
    <row r="7" spans="1:59" collapsed="1" x14ac:dyDescent="0.25">
      <c r="A7" s="129"/>
      <c r="B7" s="129" t="s">
        <v>64</v>
      </c>
      <c r="C7" s="129">
        <v>322589704</v>
      </c>
      <c r="D7" s="10">
        <v>10</v>
      </c>
      <c r="E7" s="10">
        <v>300</v>
      </c>
      <c r="F7" s="10">
        <v>30</v>
      </c>
      <c r="H7" s="17">
        <f t="shared" si="0"/>
        <v>0.18275918963888843</v>
      </c>
      <c r="I7" s="11">
        <f t="shared" si="1"/>
        <v>318.36365760000001</v>
      </c>
      <c r="J7" s="12">
        <f t="shared" si="2"/>
        <v>9.8689962404999765</v>
      </c>
      <c r="K7" s="12">
        <f t="shared" si="3"/>
        <v>1.5560574989708909</v>
      </c>
      <c r="L7" s="12">
        <f t="shared" si="4"/>
        <v>1.4374309974877562</v>
      </c>
      <c r="M7" s="12">
        <f t="shared" si="5"/>
        <v>8.3129387415290843</v>
      </c>
      <c r="N7" s="129">
        <f t="shared" si="6"/>
        <v>501968128</v>
      </c>
      <c r="O7" s="12">
        <v>16</v>
      </c>
      <c r="P7" s="13">
        <v>322589704</v>
      </c>
      <c r="Q7" s="14">
        <v>3183636576</v>
      </c>
      <c r="R7" s="14">
        <v>463700440</v>
      </c>
      <c r="S7" s="14">
        <v>38267688</v>
      </c>
      <c r="T7" s="14">
        <v>2681668448</v>
      </c>
      <c r="U7" s="15" t="s">
        <v>573</v>
      </c>
      <c r="V7" s="15" t="s">
        <v>573</v>
      </c>
      <c r="W7" s="15" t="s">
        <v>573</v>
      </c>
      <c r="X7" s="15" t="s">
        <v>573</v>
      </c>
      <c r="Y7" s="15" t="s">
        <v>573</v>
      </c>
      <c r="Z7" s="16">
        <v>40887.9</v>
      </c>
      <c r="AA7" s="16">
        <v>96090</v>
      </c>
      <c r="AB7" s="16">
        <v>55.051000000000002</v>
      </c>
      <c r="AC7" s="16">
        <v>277.40499999999997</v>
      </c>
      <c r="AE7" s="17">
        <f t="shared" si="7"/>
        <v>0.18275918963888843</v>
      </c>
      <c r="AF7" s="11">
        <f t="shared" si="8"/>
        <v>320.77603039999997</v>
      </c>
      <c r="AG7" s="12">
        <f t="shared" si="9"/>
        <v>9.943777697257195</v>
      </c>
      <c r="AH7" s="12">
        <f t="shared" si="10"/>
        <v>1.5562893228607197</v>
      </c>
      <c r="AI7" s="12">
        <f t="shared" si="11"/>
        <v>1.4374309974877562</v>
      </c>
      <c r="AJ7" s="12">
        <f t="shared" si="12"/>
        <v>8.3874883743964741</v>
      </c>
      <c r="AK7" s="129">
        <f t="shared" si="13"/>
        <v>502042912</v>
      </c>
      <c r="AL7" s="12">
        <v>16</v>
      </c>
      <c r="AM7" s="13">
        <v>322589704</v>
      </c>
      <c r="AN7" s="14">
        <v>3207760304</v>
      </c>
      <c r="AO7" s="14">
        <v>463700440</v>
      </c>
      <c r="AP7" s="14">
        <v>38342472</v>
      </c>
      <c r="AQ7" s="14">
        <v>2705717392</v>
      </c>
      <c r="AR7" s="15" t="s">
        <v>573</v>
      </c>
      <c r="AS7" s="15" t="s">
        <v>573</v>
      </c>
      <c r="AT7" s="15" t="s">
        <v>573</v>
      </c>
      <c r="AU7" s="15" t="s">
        <v>573</v>
      </c>
      <c r="AV7" s="15" t="s">
        <v>573</v>
      </c>
      <c r="AW7" s="16">
        <v>40139.5</v>
      </c>
      <c r="AX7" s="16">
        <v>95978.9</v>
      </c>
      <c r="AY7" s="16">
        <v>60.173000000000002</v>
      </c>
      <c r="AZ7" s="16">
        <v>270.32299999999998</v>
      </c>
      <c r="BB7" s="62">
        <f t="shared" si="14"/>
        <v>1.0075774126299017</v>
      </c>
      <c r="BC7" s="62">
        <f t="shared" si="15"/>
        <v>1.0001489815703997</v>
      </c>
      <c r="BD7" s="62">
        <f t="shared" si="16"/>
        <v>1</v>
      </c>
      <c r="BE7" s="62">
        <f t="shared" si="17"/>
        <v>1.0089679035519605</v>
      </c>
      <c r="BF7" s="17">
        <f t="shared" si="18"/>
        <v>-1.1624421027549015E-3</v>
      </c>
      <c r="BG7" s="17">
        <f t="array" ref="BG7">AVERAGE(AK7:AK7/AN7:AN7) - AVERAGE(N7:N7/Q7:Q7)</f>
        <v>-1.1624421027549015E-3</v>
      </c>
    </row>
    <row r="8" spans="1:59" collapsed="1" x14ac:dyDescent="0.25">
      <c r="A8" s="37"/>
      <c r="B8" s="37" t="s">
        <v>70</v>
      </c>
      <c r="C8" s="37">
        <v>250602891</v>
      </c>
      <c r="D8" s="38">
        <v>10</v>
      </c>
      <c r="E8" s="38">
        <v>250</v>
      </c>
      <c r="F8" s="38">
        <v>50</v>
      </c>
      <c r="H8" s="46">
        <f t="shared" si="0"/>
        <v>0.15159640963008092</v>
      </c>
      <c r="I8" s="39">
        <f t="shared" si="1"/>
        <v>410.29738400000002</v>
      </c>
      <c r="J8" s="40">
        <f t="shared" si="2"/>
        <v>8.1862061200243694</v>
      </c>
      <c r="K8" s="40">
        <f t="shared" si="3"/>
        <v>1.0127743657993156</v>
      </c>
      <c r="L8" s="40">
        <f t="shared" si="4"/>
        <v>0.89337136976604148</v>
      </c>
      <c r="M8" s="40">
        <f t="shared" si="5"/>
        <v>7.1734317542250539</v>
      </c>
      <c r="N8" s="37">
        <f t="shared" si="6"/>
        <v>253804184</v>
      </c>
      <c r="O8" s="40">
        <v>16</v>
      </c>
      <c r="P8" s="41">
        <v>250602891</v>
      </c>
      <c r="Q8" s="42">
        <v>2051486920</v>
      </c>
      <c r="R8" s="42">
        <v>223881448</v>
      </c>
      <c r="S8" s="42">
        <v>29922736</v>
      </c>
      <c r="T8" s="42">
        <v>1797682736</v>
      </c>
      <c r="U8" s="43" t="s">
        <v>573</v>
      </c>
      <c r="V8" s="43" t="s">
        <v>573</v>
      </c>
      <c r="W8" s="43" t="s">
        <v>573</v>
      </c>
      <c r="X8" s="43" t="s">
        <v>573</v>
      </c>
      <c r="Y8" s="43" t="s">
        <v>573</v>
      </c>
      <c r="Z8" s="44">
        <v>33136.400000000001</v>
      </c>
      <c r="AA8" s="44">
        <v>65741.899999999994</v>
      </c>
      <c r="AB8" s="44">
        <v>41.021000000000001</v>
      </c>
      <c r="AC8" s="44">
        <v>217.11600000000001</v>
      </c>
      <c r="AE8" s="46">
        <f t="shared" si="7"/>
        <v>0.15159640963008092</v>
      </c>
      <c r="AF8" s="39">
        <f t="shared" si="8"/>
        <v>414.48369120000001</v>
      </c>
      <c r="AG8" s="40">
        <f t="shared" si="9"/>
        <v>8.2697308388194131</v>
      </c>
      <c r="AH8" s="40">
        <f t="shared" si="10"/>
        <v>1.0128973651784408</v>
      </c>
      <c r="AI8" s="40">
        <f t="shared" si="11"/>
        <v>0.89337136976604148</v>
      </c>
      <c r="AJ8" s="40">
        <f t="shared" si="12"/>
        <v>7.2568334736409721</v>
      </c>
      <c r="AK8" s="37">
        <f t="shared" si="13"/>
        <v>253835008</v>
      </c>
      <c r="AL8" s="40">
        <v>16</v>
      </c>
      <c r="AM8" s="41">
        <v>250602891</v>
      </c>
      <c r="AN8" s="42">
        <v>2072418456</v>
      </c>
      <c r="AO8" s="42">
        <v>223881448</v>
      </c>
      <c r="AP8" s="42">
        <v>29953560</v>
      </c>
      <c r="AQ8" s="42">
        <v>1818583448</v>
      </c>
      <c r="AR8" s="43" t="s">
        <v>573</v>
      </c>
      <c r="AS8" s="43" t="s">
        <v>573</v>
      </c>
      <c r="AT8" s="43" t="s">
        <v>573</v>
      </c>
      <c r="AU8" s="43" t="s">
        <v>573</v>
      </c>
      <c r="AV8" s="43" t="s">
        <v>573</v>
      </c>
      <c r="AW8" s="44">
        <v>31498.5</v>
      </c>
      <c r="AX8" s="44">
        <v>64950.9</v>
      </c>
      <c r="AY8" s="44">
        <v>46.539000000000001</v>
      </c>
      <c r="AZ8" s="44">
        <v>218.27799999999999</v>
      </c>
      <c r="BB8" s="45">
        <f t="shared" si="14"/>
        <v>1.0102031047802147</v>
      </c>
      <c r="BC8" s="45">
        <f t="shared" si="15"/>
        <v>1.0001214479584779</v>
      </c>
      <c r="BD8" s="45">
        <f t="shared" si="16"/>
        <v>1</v>
      </c>
      <c r="BE8" s="45">
        <f t="shared" si="17"/>
        <v>1.0116264742278751</v>
      </c>
      <c r="BF8" s="46">
        <f t="shared" si="18"/>
        <v>-1.234676653067257E-3</v>
      </c>
      <c r="BG8" s="46">
        <f t="array" ref="BG8">AVERAGE(AK8:AK8/AN8:AN8) - AVERAGE(N8:N8/Q8:Q8)</f>
        <v>-1.234676653067257E-3</v>
      </c>
    </row>
    <row r="9" spans="1:59" collapsed="1" x14ac:dyDescent="0.25">
      <c r="A9" s="27" t="s">
        <v>237</v>
      </c>
      <c r="B9" s="27" t="s">
        <v>73</v>
      </c>
      <c r="C9" s="27">
        <v>250294582</v>
      </c>
      <c r="D9" s="28">
        <v>10</v>
      </c>
      <c r="E9" s="28">
        <v>300</v>
      </c>
      <c r="F9" s="28">
        <v>30</v>
      </c>
      <c r="H9" s="36">
        <f t="shared" si="0"/>
        <v>0.27254858821899292</v>
      </c>
      <c r="I9" s="29">
        <f t="shared" si="1"/>
        <v>368.3741488</v>
      </c>
      <c r="J9" s="30">
        <f t="shared" si="2"/>
        <v>14.717623763825619</v>
      </c>
      <c r="K9" s="30">
        <f t="shared" si="3"/>
        <v>1.5177573120619927</v>
      </c>
      <c r="L9" s="30">
        <f t="shared" si="4"/>
        <v>1.4142692069938614</v>
      </c>
      <c r="M9" s="30">
        <f t="shared" si="5"/>
        <v>13.199866451763626</v>
      </c>
      <c r="N9" s="27">
        <f t="shared" si="6"/>
        <v>379886432</v>
      </c>
      <c r="O9" s="30">
        <v>16</v>
      </c>
      <c r="P9" s="31">
        <v>250294582</v>
      </c>
      <c r="Q9" s="32">
        <v>3683741488</v>
      </c>
      <c r="R9" s="32">
        <v>353983920</v>
      </c>
      <c r="S9" s="32">
        <v>25902512</v>
      </c>
      <c r="T9" s="32">
        <v>3303855056</v>
      </c>
      <c r="U9" s="33" t="s">
        <v>573</v>
      </c>
      <c r="V9" s="33" t="s">
        <v>573</v>
      </c>
      <c r="W9" s="33" t="s">
        <v>573</v>
      </c>
      <c r="X9" s="33" t="s">
        <v>573</v>
      </c>
      <c r="Y9" s="33" t="s">
        <v>573</v>
      </c>
      <c r="Z9" s="34">
        <v>13571.2</v>
      </c>
      <c r="AA9" s="34">
        <v>96371.5</v>
      </c>
      <c r="AB9" s="34">
        <v>41.058999999999997</v>
      </c>
      <c r="AC9" s="34">
        <v>257.96199999999999</v>
      </c>
      <c r="AE9" s="36">
        <f t="shared" si="7"/>
        <v>0.27254858821899292</v>
      </c>
      <c r="AF9" s="29">
        <f t="shared" si="8"/>
        <v>370.1645992</v>
      </c>
      <c r="AG9" s="30">
        <f t="shared" si="9"/>
        <v>14.789157489633554</v>
      </c>
      <c r="AH9" s="30">
        <f t="shared" si="10"/>
        <v>1.5179185940189468</v>
      </c>
      <c r="AI9" s="30">
        <f t="shared" si="11"/>
        <v>1.4142692069938614</v>
      </c>
      <c r="AJ9" s="30">
        <f t="shared" si="12"/>
        <v>13.271238895614609</v>
      </c>
      <c r="AK9" s="27">
        <f t="shared" si="13"/>
        <v>379926800</v>
      </c>
      <c r="AL9" s="30">
        <v>16</v>
      </c>
      <c r="AM9" s="31">
        <v>250294582</v>
      </c>
      <c r="AN9" s="32">
        <v>3701645992</v>
      </c>
      <c r="AO9" s="32">
        <v>353983920</v>
      </c>
      <c r="AP9" s="32">
        <v>25942880</v>
      </c>
      <c r="AQ9" s="32">
        <v>3321719192</v>
      </c>
      <c r="AR9" s="33" t="s">
        <v>573</v>
      </c>
      <c r="AS9" s="33" t="s">
        <v>573</v>
      </c>
      <c r="AT9" s="33" t="s">
        <v>573</v>
      </c>
      <c r="AU9" s="33" t="s">
        <v>573</v>
      </c>
      <c r="AV9" s="33" t="s">
        <v>573</v>
      </c>
      <c r="AW9" s="34">
        <v>13270.5</v>
      </c>
      <c r="AX9" s="34">
        <v>96689.8</v>
      </c>
      <c r="AY9" s="34">
        <v>48.918999999999997</v>
      </c>
      <c r="AZ9" s="34">
        <v>259.27300000000002</v>
      </c>
      <c r="BB9" s="35">
        <f t="shared" si="14"/>
        <v>1.0048604127239451</v>
      </c>
      <c r="BC9" s="35">
        <f t="shared" si="15"/>
        <v>1.0001062633371438</v>
      </c>
      <c r="BD9" s="35">
        <f t="shared" si="16"/>
        <v>1</v>
      </c>
      <c r="BE9" s="35">
        <f t="shared" si="17"/>
        <v>1.0054070580268217</v>
      </c>
      <c r="BF9" s="36">
        <f t="shared" si="18"/>
        <v>-4.879010179931198E-4</v>
      </c>
      <c r="BG9" s="36">
        <f t="array" ref="BG9">AVERAGE(AK9:AK9/AN9:AN9) - AVERAGE(N9:N9/Q9:Q9)</f>
        <v>-4.879010179931198E-4</v>
      </c>
    </row>
    <row r="10" spans="1:59" collapsed="1" x14ac:dyDescent="0.25">
      <c r="A10" s="18" t="s">
        <v>238</v>
      </c>
      <c r="B10" s="18" t="s">
        <v>77</v>
      </c>
      <c r="C10" s="18">
        <v>186907991</v>
      </c>
      <c r="D10" s="19">
        <v>11</v>
      </c>
      <c r="E10" s="19">
        <v>64</v>
      </c>
      <c r="F10" s="19">
        <v>30</v>
      </c>
      <c r="H10" s="26">
        <f t="shared" si="0"/>
        <v>0.17214285143279823</v>
      </c>
      <c r="I10" s="20">
        <f t="shared" si="1"/>
        <v>859.67242874999999</v>
      </c>
      <c r="J10" s="21">
        <f t="shared" si="2"/>
        <v>9.8121425316694992</v>
      </c>
      <c r="K10" s="21">
        <f t="shared" si="3"/>
        <v>1.1267253736625953</v>
      </c>
      <c r="L10" s="21">
        <f t="shared" si="4"/>
        <v>1.0744377430069323</v>
      </c>
      <c r="M10" s="21">
        <f t="shared" si="5"/>
        <v>8.6854171580069046</v>
      </c>
      <c r="N10" s="18">
        <f t="shared" si="6"/>
        <v>210593976</v>
      </c>
      <c r="O10" s="21">
        <v>16</v>
      </c>
      <c r="P10" s="22">
        <v>186907991</v>
      </c>
      <c r="Q10" s="23">
        <v>1833967848</v>
      </c>
      <c r="R10" s="23">
        <v>200821000</v>
      </c>
      <c r="S10" s="23">
        <v>9772976</v>
      </c>
      <c r="T10" s="23">
        <v>1623373872</v>
      </c>
      <c r="U10" s="24" t="s">
        <v>573</v>
      </c>
      <c r="V10" s="24" t="s">
        <v>573</v>
      </c>
      <c r="W10" s="24" t="s">
        <v>573</v>
      </c>
      <c r="X10" s="24" t="s">
        <v>573</v>
      </c>
      <c r="Y10" s="24" t="s">
        <v>573</v>
      </c>
      <c r="Z10" s="25">
        <v>6170.81</v>
      </c>
      <c r="AA10" s="25">
        <v>79549.600000000006</v>
      </c>
      <c r="AB10" s="25">
        <v>33.96</v>
      </c>
      <c r="AC10" s="25">
        <v>208.94900000000001</v>
      </c>
      <c r="AE10" s="26">
        <f t="shared" si="7"/>
        <v>0.17214285143279823</v>
      </c>
      <c r="AF10" s="20">
        <f t="shared" si="8"/>
        <v>861.78986250000003</v>
      </c>
      <c r="AG10" s="21">
        <f t="shared" si="9"/>
        <v>9.8363105299227147</v>
      </c>
      <c r="AH10" s="21">
        <f t="shared" si="10"/>
        <v>1.1268101212430237</v>
      </c>
      <c r="AI10" s="21">
        <f t="shared" si="11"/>
        <v>1.0744377430069323</v>
      </c>
      <c r="AJ10" s="21">
        <f t="shared" si="12"/>
        <v>8.7095004086796912</v>
      </c>
      <c r="AK10" s="18">
        <f t="shared" si="13"/>
        <v>210609816</v>
      </c>
      <c r="AL10" s="21">
        <v>16</v>
      </c>
      <c r="AM10" s="22">
        <v>186907991</v>
      </c>
      <c r="AN10" s="23">
        <v>1838485040</v>
      </c>
      <c r="AO10" s="23">
        <v>200821000</v>
      </c>
      <c r="AP10" s="23">
        <v>9788816</v>
      </c>
      <c r="AQ10" s="23">
        <v>1627875224</v>
      </c>
      <c r="AR10" s="24" t="s">
        <v>573</v>
      </c>
      <c r="AS10" s="24" t="s">
        <v>573</v>
      </c>
      <c r="AT10" s="24" t="s">
        <v>573</v>
      </c>
      <c r="AU10" s="24" t="s">
        <v>573</v>
      </c>
      <c r="AV10" s="24" t="s">
        <v>573</v>
      </c>
      <c r="AW10" s="25">
        <v>5714.65</v>
      </c>
      <c r="AX10" s="25">
        <v>74928.600000000006</v>
      </c>
      <c r="AY10" s="25">
        <v>39.564999999999998</v>
      </c>
      <c r="AZ10" s="25">
        <v>202.71600000000001</v>
      </c>
      <c r="BB10" s="58">
        <f t="shared" si="14"/>
        <v>1.0024630704430975</v>
      </c>
      <c r="BC10" s="58">
        <f t="shared" si="15"/>
        <v>1.0000752158266863</v>
      </c>
      <c r="BD10" s="58">
        <f t="shared" si="16"/>
        <v>1</v>
      </c>
      <c r="BE10" s="58">
        <f t="shared" si="17"/>
        <v>1.0027728375315381</v>
      </c>
      <c r="BF10" s="26">
        <f t="shared" si="18"/>
        <v>-2.7352292068691386E-4</v>
      </c>
      <c r="BG10" s="26">
        <f t="array" ref="BG10">AVERAGE(AK10:AK10/AN10:AN10) - AVERAGE(N10:N10/Q10:Q10)</f>
        <v>-2.7352292068691386E-4</v>
      </c>
    </row>
    <row r="11" spans="1:59" collapsed="1" x14ac:dyDescent="0.25">
      <c r="A11" s="27"/>
      <c r="B11" s="27" t="s">
        <v>82</v>
      </c>
      <c r="C11" s="27">
        <v>166028718</v>
      </c>
      <c r="D11" s="28">
        <v>11</v>
      </c>
      <c r="E11" s="28">
        <v>64</v>
      </c>
      <c r="F11" s="28">
        <v>30</v>
      </c>
      <c r="H11" s="36">
        <f t="shared" si="0"/>
        <v>0.1746962091770341</v>
      </c>
      <c r="I11" s="29">
        <f t="shared" si="1"/>
        <v>774.96632624999995</v>
      </c>
      <c r="J11" s="30">
        <f t="shared" si="2"/>
        <v>9.9576839230909435</v>
      </c>
      <c r="K11" s="30">
        <f t="shared" si="3"/>
        <v>1.1944275327115397</v>
      </c>
      <c r="L11" s="30">
        <f t="shared" si="4"/>
        <v>1.1339409848361295</v>
      </c>
      <c r="M11" s="30">
        <f t="shared" si="5"/>
        <v>8.7632563903794036</v>
      </c>
      <c r="N11" s="27">
        <f t="shared" si="6"/>
        <v>198309272</v>
      </c>
      <c r="O11" s="30">
        <v>16</v>
      </c>
      <c r="P11" s="31">
        <v>166028718</v>
      </c>
      <c r="Q11" s="32">
        <v>1653261496</v>
      </c>
      <c r="R11" s="32">
        <v>188266768</v>
      </c>
      <c r="S11" s="32">
        <v>10042504</v>
      </c>
      <c r="T11" s="32">
        <v>1454952224</v>
      </c>
      <c r="U11" s="33" t="s">
        <v>573</v>
      </c>
      <c r="V11" s="33" t="s">
        <v>573</v>
      </c>
      <c r="W11" s="33" t="s">
        <v>573</v>
      </c>
      <c r="X11" s="33" t="s">
        <v>573</v>
      </c>
      <c r="Y11" s="33" t="s">
        <v>573</v>
      </c>
      <c r="Z11" s="34">
        <v>5333.08</v>
      </c>
      <c r="AA11" s="34">
        <v>82595.199999999997</v>
      </c>
      <c r="AB11" s="34">
        <v>32.752000000000002</v>
      </c>
      <c r="AC11" s="34">
        <v>198.99700000000001</v>
      </c>
      <c r="AE11" s="36">
        <f t="shared" si="7"/>
        <v>0.1746962091770341</v>
      </c>
      <c r="AF11" s="29">
        <f t="shared" si="8"/>
        <v>777.23853374999999</v>
      </c>
      <c r="AG11" s="30">
        <f t="shared" si="9"/>
        <v>9.9868799324222941</v>
      </c>
      <c r="AH11" s="30">
        <f t="shared" si="10"/>
        <v>1.1944970628515001</v>
      </c>
      <c r="AI11" s="30">
        <f t="shared" si="11"/>
        <v>1.1339409848361295</v>
      </c>
      <c r="AJ11" s="30">
        <f t="shared" si="12"/>
        <v>8.792382869570794</v>
      </c>
      <c r="AK11" s="27">
        <f t="shared" si="13"/>
        <v>198320816</v>
      </c>
      <c r="AL11" s="30">
        <v>16</v>
      </c>
      <c r="AM11" s="31">
        <v>166028718</v>
      </c>
      <c r="AN11" s="32">
        <v>1658108872</v>
      </c>
      <c r="AO11" s="32">
        <v>188266768</v>
      </c>
      <c r="AP11" s="32">
        <v>10054048</v>
      </c>
      <c r="AQ11" s="32">
        <v>1459788056</v>
      </c>
      <c r="AR11" s="33" t="s">
        <v>573</v>
      </c>
      <c r="AS11" s="33" t="s">
        <v>573</v>
      </c>
      <c r="AT11" s="33" t="s">
        <v>573</v>
      </c>
      <c r="AU11" s="33" t="s">
        <v>573</v>
      </c>
      <c r="AV11" s="33" t="s">
        <v>573</v>
      </c>
      <c r="AW11" s="34">
        <v>4936.75</v>
      </c>
      <c r="AX11" s="34">
        <v>76822.100000000006</v>
      </c>
      <c r="AY11" s="34">
        <v>38.404000000000003</v>
      </c>
      <c r="AZ11" s="34">
        <v>184.39</v>
      </c>
      <c r="BB11" s="35">
        <f t="shared" si="14"/>
        <v>1.0029320080409108</v>
      </c>
      <c r="BC11" s="35">
        <f t="shared" si="15"/>
        <v>1.0000582121041723</v>
      </c>
      <c r="BD11" s="35">
        <f t="shared" si="16"/>
        <v>1</v>
      </c>
      <c r="BE11" s="35">
        <f t="shared" si="17"/>
        <v>1.0033237050125985</v>
      </c>
      <c r="BF11" s="36">
        <f t="shared" si="18"/>
        <v>-3.437050423617527E-4</v>
      </c>
      <c r="BG11" s="36">
        <f t="array" ref="BG11">AVERAGE(AK11:AK11/AN11:AN11) - AVERAGE(N11:N11/Q11:Q11)</f>
        <v>-3.437050423617527E-4</v>
      </c>
    </row>
    <row r="12" spans="1:59" x14ac:dyDescent="0.25">
      <c r="B12" s="47" t="s">
        <v>16</v>
      </c>
      <c r="J12" s="48">
        <f>AVERAGE(J5:J8)</f>
        <v>9.9758134701897845</v>
      </c>
      <c r="K12" s="48">
        <f>AVERAGE(K5:K8)</f>
        <v>1.4380324017816457</v>
      </c>
      <c r="L12" s="48">
        <f>AVERAGE(L5:L8)</f>
        <v>1.3113623324535078</v>
      </c>
      <c r="M12" s="48">
        <f>AVERAGE(M5:M8)</f>
        <v>8.5377810684081386</v>
      </c>
      <c r="AG12" s="48">
        <f>AVERAGE(AG5:AG8)</f>
        <v>10.042928229238436</v>
      </c>
      <c r="AH12" s="48">
        <f>AVERAGE(AH5:AH8)</f>
        <v>1.4382184700298108</v>
      </c>
      <c r="AI12" s="48">
        <f>AVERAGE(AI5:AI8)</f>
        <v>1.3113623324535078</v>
      </c>
      <c r="AJ12" s="48">
        <f>AVERAGE(AJ5:AJ8)</f>
        <v>8.6047097592086246</v>
      </c>
      <c r="BB12" s="71">
        <f t="shared" si="14"/>
        <v>1.0067277479926031</v>
      </c>
      <c r="BC12" s="71">
        <f t="shared" si="15"/>
        <v>1.0001293908592981</v>
      </c>
      <c r="BD12" s="71">
        <f t="shared" si="16"/>
        <v>1</v>
      </c>
      <c r="BE12" s="71">
        <f t="shared" si="17"/>
        <v>1.0078391200552259</v>
      </c>
      <c r="BG12" s="151">
        <f>AVERAGE(BG5:BG8)</f>
        <v>-9.4582718604844379E-4</v>
      </c>
    </row>
    <row r="13" spans="1:59" x14ac:dyDescent="0.25">
      <c r="B13" s="47" t="s">
        <v>17</v>
      </c>
      <c r="J13" s="48">
        <f>AVERAGE(J9:J9)</f>
        <v>14.717623763825619</v>
      </c>
      <c r="K13" s="48">
        <f>AVERAGE(K9:K9)</f>
        <v>1.5177573120619927</v>
      </c>
      <c r="L13" s="48">
        <f>AVERAGE(L9:L9)</f>
        <v>1.4142692069938614</v>
      </c>
      <c r="M13" s="48">
        <f>AVERAGE(M9:M9)</f>
        <v>13.199866451763626</v>
      </c>
      <c r="AG13" s="48">
        <f>AVERAGE(AG9:AG9)</f>
        <v>14.789157489633554</v>
      </c>
      <c r="AH13" s="48">
        <f>AVERAGE(AH9:AH9)</f>
        <v>1.5179185940189468</v>
      </c>
      <c r="AI13" s="48">
        <f>AVERAGE(AI9:AI9)</f>
        <v>1.4142692069938614</v>
      </c>
      <c r="AJ13" s="48">
        <f>AVERAGE(AJ9:AJ9)</f>
        <v>13.271238895614609</v>
      </c>
      <c r="BB13" s="71">
        <f t="shared" si="14"/>
        <v>1.0048604127239451</v>
      </c>
      <c r="BC13" s="71">
        <f t="shared" si="15"/>
        <v>1.0001062633371438</v>
      </c>
      <c r="BD13" s="71">
        <f t="shared" si="16"/>
        <v>1</v>
      </c>
      <c r="BE13" s="71">
        <f t="shared" si="17"/>
        <v>1.0054070580268217</v>
      </c>
      <c r="BG13" s="151">
        <f>AVERAGE(BG9:BG9)</f>
        <v>-4.879010179931198E-4</v>
      </c>
    </row>
    <row r="14" spans="1:59" x14ac:dyDescent="0.25">
      <c r="B14" s="47" t="s">
        <v>18</v>
      </c>
      <c r="J14" s="48">
        <f>AVERAGE(J10:J11)</f>
        <v>9.8849132273802205</v>
      </c>
      <c r="K14" s="48">
        <f>AVERAGE(K10:K11)</f>
        <v>1.1605764531870675</v>
      </c>
      <c r="L14" s="48">
        <f>AVERAGE(L10:L11)</f>
        <v>1.104189363921531</v>
      </c>
      <c r="M14" s="48">
        <f>AVERAGE(M10:M11)</f>
        <v>8.724336774193155</v>
      </c>
      <c r="AG14" s="48">
        <f>AVERAGE(AG10:AG11)</f>
        <v>9.9115952311725053</v>
      </c>
      <c r="AH14" s="48">
        <f>AVERAGE(AH10:AH11)</f>
        <v>1.1606535920472618</v>
      </c>
      <c r="AI14" s="48">
        <f>AVERAGE(AI10:AI11)</f>
        <v>1.104189363921531</v>
      </c>
      <c r="AJ14" s="48">
        <f>AVERAGE(AJ10:AJ11)</f>
        <v>8.7509416391252426</v>
      </c>
      <c r="BB14" s="71">
        <f t="shared" si="14"/>
        <v>1.0026992653530209</v>
      </c>
      <c r="BC14" s="71">
        <f t="shared" si="15"/>
        <v>1.0000664659876413</v>
      </c>
      <c r="BD14" s="71">
        <f t="shared" si="16"/>
        <v>1</v>
      </c>
      <c r="BE14" s="71">
        <f t="shared" si="17"/>
        <v>1.0030494999930293</v>
      </c>
      <c r="BG14" s="151">
        <f>AVERAGE(BG10:BG11)</f>
        <v>-3.0861398152433328E-4</v>
      </c>
    </row>
    <row r="15" spans="1:59" x14ac:dyDescent="0.25">
      <c r="B15" s="47" t="s">
        <v>19</v>
      </c>
      <c r="J15" s="48">
        <f>AVERAGE(J5:J11)</f>
        <v>10.6272434427636</v>
      </c>
      <c r="K15" s="48">
        <f>AVERAGE(K5:K11)</f>
        <v>1.3701485465089587</v>
      </c>
      <c r="L15" s="48">
        <f>AVERAGE(L5:L11)</f>
        <v>1.2668710378072792</v>
      </c>
      <c r="M15" s="48">
        <f>AVERAGE(M5:M11)</f>
        <v>9.2570948962546424</v>
      </c>
      <c r="AG15" s="48">
        <f>AVERAGE(AG5:AG11)</f>
        <v>10.68343726699033</v>
      </c>
      <c r="AH15" s="48">
        <f>AVERAGE(AH5:AH11)</f>
        <v>1.370299951176102</v>
      </c>
      <c r="AI15" s="48">
        <f>AVERAGE(AI5:AI11)</f>
        <v>1.2668710378072792</v>
      </c>
      <c r="AJ15" s="48">
        <f>AVERAGE(AJ5:AJ11)</f>
        <v>9.3131373158142274</v>
      </c>
      <c r="BB15" s="71">
        <f t="shared" si="14"/>
        <v>1.0052877140275727</v>
      </c>
      <c r="BC15" s="71">
        <f t="shared" si="15"/>
        <v>1.0001105023740158</v>
      </c>
      <c r="BD15" s="71">
        <f t="shared" si="16"/>
        <v>1</v>
      </c>
      <c r="BE15" s="71">
        <f t="shared" si="17"/>
        <v>1.0060539964413955</v>
      </c>
      <c r="BG15" s="151">
        <f>AVERAGE(BG5:BG11)</f>
        <v>-6.9834824646222303E-4</v>
      </c>
    </row>
    <row r="16" spans="1:59" hidden="1" outlineLevel="2" x14ac:dyDescent="0.25">
      <c r="A16" s="47" t="s">
        <v>239</v>
      </c>
      <c r="B16" s="47" t="s">
        <v>240</v>
      </c>
      <c r="Z16" s="49">
        <f>SUM(Z5:Z8,Z9:Z9,Z10:Z11)</f>
        <v>160980.49</v>
      </c>
      <c r="AA16" s="49">
        <f>SUM(AA5:AA8,AA9:AA9,AA10:AA11)</f>
        <v>592765.49999999988</v>
      </c>
      <c r="AB16" s="49">
        <f>SUM(AB5:AB8,AB9:AB9,AB10:AB11)</f>
        <v>283.32300000000004</v>
      </c>
      <c r="AC16" s="49">
        <f>SUM(AC5:AC8,AC9:AC9,AC10:AC11)</f>
        <v>1636.9960000000001</v>
      </c>
      <c r="AW16" s="49">
        <f>SUM(AW5:AW8,AW9:AW9,AW10:AW11)</f>
        <v>156457.19999999998</v>
      </c>
      <c r="AX16" s="49">
        <f>SUM(AX5:AX8,AX9:AX9,AX10:AX11)</f>
        <v>584011.9</v>
      </c>
      <c r="AY16" s="49">
        <f>SUM(AY5:AY8,AY9:AY9,AY10:AY11)</f>
        <v>330.58599999999996</v>
      </c>
      <c r="AZ16" s="49">
        <f>SUM(AZ5:AZ8,AZ9:AZ9,AZ10:AZ11)</f>
        <v>1623.0360000000001</v>
      </c>
    </row>
    <row r="17" spans="2:52" hidden="1" outlineLevel="2" x14ac:dyDescent="0.25">
      <c r="B17" s="47" t="s">
        <v>241</v>
      </c>
      <c r="AW17" s="151">
        <f>AW16/Z16</f>
        <v>0.9719016260914598</v>
      </c>
      <c r="AX17" s="151">
        <f>AX16/AA16</f>
        <v>0.9852326088478498</v>
      </c>
      <c r="AY17" s="151">
        <f>AY16/AB16</f>
        <v>1.1668166721374542</v>
      </c>
      <c r="AZ17" s="151">
        <f>AZ16/AC16</f>
        <v>0.99147218441584462</v>
      </c>
    </row>
    <row r="18" spans="2:52" hidden="1" outlineLevel="2" x14ac:dyDescent="0.25">
      <c r="B18" s="47" t="s">
        <v>242</v>
      </c>
      <c r="Z18" s="49">
        <f>GEOMEAN(Z5:Z8,Z9:Z9,Z10:Z11)</f>
        <v>17855.281210593275</v>
      </c>
      <c r="AA18" s="49">
        <f>GEOMEAN(AA5:AA8,AA9:AA9,AA10:AA11)</f>
        <v>83988.301304338966</v>
      </c>
      <c r="AB18" s="49">
        <f>GEOMEAN(AB5:AB8,AB9:AB9,AB10:AB11)</f>
        <v>39.966024086258528</v>
      </c>
      <c r="AC18" s="49">
        <f>GEOMEAN(AC5:AC8,AC9:AC9,AC10:AC11)</f>
        <v>232.41517322988901</v>
      </c>
      <c r="AW18" s="49">
        <f>GEOMEAN(AW5:AW8,AW9:AW9,AW10:AW11)</f>
        <v>17157.806057708298</v>
      </c>
      <c r="AX18" s="49">
        <f>GEOMEAN(AX5:AX8,AX9:AX9,AX10:AX11)</f>
        <v>82635.678014764577</v>
      </c>
      <c r="AY18" s="49">
        <f>GEOMEAN(AY5:AY8,AY9:AY9,AY10:AY11)</f>
        <v>46.769528649669574</v>
      </c>
      <c r="AZ18" s="49">
        <f>GEOMEAN(AZ5:AZ8,AZ9:AZ9,AZ10:AZ11)</f>
        <v>229.90164818501009</v>
      </c>
    </row>
    <row r="19" spans="2:52" outlineLevel="2" collapsed="1" x14ac:dyDescent="0.25">
      <c r="B19" s="47" t="s">
        <v>243</v>
      </c>
      <c r="AW19" s="151">
        <f>AW18/Z18</f>
        <v>0.96093731906775148</v>
      </c>
      <c r="AX19" s="151">
        <f>AX18/AA18</f>
        <v>0.98389509885819648</v>
      </c>
      <c r="AY19" s="151">
        <f>AY18/AB18</f>
        <v>1.1702322089564643</v>
      </c>
      <c r="AZ19" s="151">
        <f>AZ18/AC18</f>
        <v>0.98918519384966008</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89" priority="3" operator="greaterThanOrEqual">
      <formula>1.03</formula>
    </cfRule>
    <cfRule type="cellIs" dxfId="88" priority="4" operator="lessThanOrEqual">
      <formula>0.97</formula>
    </cfRule>
  </conditionalFormatting>
  <conditionalFormatting sqref="BC5 BC6 BC7 BC8 BC9 BC10 BC11 BC12 BC13 BC14 BC15">
    <cfRule type="cellIs" dxfId="87" priority="7" operator="greaterThanOrEqual">
      <formula>1.03</formula>
    </cfRule>
    <cfRule type="cellIs" dxfId="86" priority="8" operator="lessThanOrEqual">
      <formula>0.97</formula>
    </cfRule>
  </conditionalFormatting>
  <conditionalFormatting sqref="BD5 BD6 BD7 BD8 BD9 BD10 BD11 BD12 BD13 BD14 BD15">
    <cfRule type="cellIs" dxfId="85" priority="1" operator="greaterThanOrEqual">
      <formula>1.03</formula>
    </cfRule>
    <cfRule type="cellIs" dxfId="84" priority="2" operator="lessThanOrEqual">
      <formula>0.97</formula>
    </cfRule>
  </conditionalFormatting>
  <conditionalFormatting sqref="BE5 BE6 BE7 BE8 BE9 BE10 BE11 BE12 BE13 BE14 BE15">
    <cfRule type="cellIs" dxfId="83" priority="5" operator="greaterThanOrEqual">
      <formula>1.03</formula>
    </cfRule>
    <cfRule type="cellIs" dxfId="8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M51" sqref="M51"/>
    </sheetView>
  </sheetViews>
  <sheetFormatPr defaultRowHeight="15" outlineLevelRow="2" x14ac:dyDescent="0.25"/>
  <cols>
    <col min="2" max="2" width="24.7109375" style="76" customWidth="1"/>
    <col min="4" max="5" width="10.7109375" style="76" customWidth="1"/>
    <col min="8" max="8" width="1.7109375" style="76" customWidth="1"/>
    <col min="10" max="13" width="10.7109375" style="76" customWidth="1"/>
    <col min="14" max="14" width="24.7109375" style="76" hidden="1" customWidth="1"/>
    <col min="15" max="15" width="12.7109375" style="76" customWidth="1"/>
    <col min="16" max="16" width="10.7109375" style="76" customWidth="1"/>
    <col min="19" max="22" width="12.7109375" style="76" customWidth="1"/>
    <col min="23" max="27" width="11.7109375" style="76" customWidth="1"/>
    <col min="32" max="32" width="1.7109375" style="76" customWidth="1"/>
    <col min="34" max="37" width="10.7109375" style="76" customWidth="1"/>
    <col min="38" max="38" width="24.7109375" style="76" hidden="1" customWidth="1"/>
    <col min="39" max="39" width="12.7109375" style="76" customWidth="1"/>
    <col min="40" max="40" width="10.7109375" style="76" customWidth="1"/>
    <col min="43" max="46" width="12.7109375" style="76" customWidth="1"/>
    <col min="47" max="51" width="11.7109375" style="76" customWidth="1"/>
    <col min="56" max="56" width="1.7109375" style="76" customWidth="1"/>
    <col min="61" max="61" width="1.7109375" style="76" customWidth="1"/>
    <col min="64" max="66" width="11.7109375" style="76" customWidth="1"/>
    <col min="67" max="67" width="1.7109375" style="76" customWidth="1"/>
    <col min="70" max="72" width="11.7109375" style="76" customWidth="1"/>
    <col min="73" max="73" width="1.7109375" style="76" customWidth="1"/>
  </cols>
  <sheetData>
    <row r="1" spans="1:72" x14ac:dyDescent="0.25">
      <c r="A1" s="168" t="s">
        <v>575</v>
      </c>
      <c r="B1" s="156"/>
      <c r="C1" s="156"/>
      <c r="D1" s="156"/>
      <c r="E1" s="156"/>
      <c r="F1" s="156"/>
      <c r="G1" s="156"/>
      <c r="I1" s="164" t="str">
        <f>Summary!$C$1</f>
        <v>ALL_master+r7.0</v>
      </c>
      <c r="J1" s="156"/>
      <c r="K1" s="156"/>
      <c r="L1" s="156"/>
      <c r="M1" s="156"/>
      <c r="N1" s="156"/>
      <c r="O1" s="156"/>
      <c r="P1" s="156"/>
      <c r="Q1" s="156"/>
      <c r="R1" s="156"/>
      <c r="S1" s="156"/>
      <c r="T1" s="156"/>
      <c r="U1" s="156"/>
      <c r="V1" s="156"/>
      <c r="W1" s="156"/>
      <c r="X1" s="156"/>
      <c r="Y1" s="156"/>
      <c r="Z1" s="156"/>
      <c r="AA1" s="156"/>
      <c r="AB1" s="156"/>
      <c r="AC1" s="156"/>
      <c r="AD1" s="156"/>
      <c r="AE1" s="156"/>
      <c r="AG1" s="165" t="str">
        <f>Summary!$C$2</f>
        <v>mpeg128-integration+r7.1.09</v>
      </c>
      <c r="AH1" s="156"/>
      <c r="AI1" s="156"/>
      <c r="AJ1" s="156"/>
      <c r="AK1" s="156"/>
      <c r="AL1" s="156"/>
      <c r="AM1" s="156"/>
      <c r="AN1" s="156"/>
      <c r="AO1" s="156"/>
      <c r="AP1" s="156"/>
      <c r="AQ1" s="156"/>
      <c r="AR1" s="156"/>
      <c r="AS1" s="156"/>
      <c r="AT1" s="156"/>
      <c r="AU1" s="156"/>
      <c r="AV1" s="156"/>
      <c r="AW1" s="156"/>
      <c r="AX1" s="156"/>
      <c r="AY1" s="156"/>
      <c r="AZ1" s="156"/>
      <c r="BA1" s="156"/>
      <c r="BB1" s="156"/>
      <c r="BC1" s="156"/>
    </row>
    <row r="2" spans="1:72" ht="30" customHeight="1" x14ac:dyDescent="0.25">
      <c r="A2" s="170" t="s">
        <v>139</v>
      </c>
      <c r="B2" s="169" t="s">
        <v>140</v>
      </c>
      <c r="C2" s="170" t="s">
        <v>141</v>
      </c>
      <c r="D2" s="169" t="s">
        <v>142</v>
      </c>
      <c r="E2" s="170" t="s">
        <v>143</v>
      </c>
      <c r="F2" s="169" t="s">
        <v>144</v>
      </c>
      <c r="G2" s="170" t="s">
        <v>145</v>
      </c>
      <c r="I2" s="169" t="s">
        <v>146</v>
      </c>
      <c r="J2" s="167" t="s">
        <v>147</v>
      </c>
      <c r="K2" s="156"/>
      <c r="L2" s="156"/>
      <c r="M2" s="156"/>
      <c r="N2" s="170" t="s">
        <v>148</v>
      </c>
      <c r="O2" s="169" t="s">
        <v>149</v>
      </c>
      <c r="P2" s="170" t="s">
        <v>86</v>
      </c>
      <c r="Q2" s="169" t="s">
        <v>88</v>
      </c>
      <c r="R2" s="170" t="s">
        <v>84</v>
      </c>
      <c r="S2" s="166" t="s">
        <v>150</v>
      </c>
      <c r="T2" s="156"/>
      <c r="U2" s="156"/>
      <c r="V2" s="156"/>
      <c r="W2" s="167" t="s">
        <v>151</v>
      </c>
      <c r="X2" s="156"/>
      <c r="Y2" s="166" t="s">
        <v>152</v>
      </c>
      <c r="Z2" s="156"/>
      <c r="AA2" s="156"/>
      <c r="AB2" s="167" t="s">
        <v>153</v>
      </c>
      <c r="AC2" s="156"/>
      <c r="AD2" s="166" t="s">
        <v>154</v>
      </c>
      <c r="AE2" s="156"/>
      <c r="AG2" s="170" t="s">
        <v>146</v>
      </c>
      <c r="AH2" s="166" t="s">
        <v>147</v>
      </c>
      <c r="AI2" s="156"/>
      <c r="AJ2" s="156"/>
      <c r="AK2" s="156"/>
      <c r="AL2" s="169" t="s">
        <v>155</v>
      </c>
      <c r="AM2" s="170" t="s">
        <v>149</v>
      </c>
      <c r="AN2" s="169" t="s">
        <v>86</v>
      </c>
      <c r="AO2" s="170" t="s">
        <v>88</v>
      </c>
      <c r="AP2" s="169" t="s">
        <v>84</v>
      </c>
      <c r="AQ2" s="167" t="s">
        <v>150</v>
      </c>
      <c r="AR2" s="156"/>
      <c r="AS2" s="156"/>
      <c r="AT2" s="156"/>
      <c r="AU2" s="166" t="s">
        <v>151</v>
      </c>
      <c r="AV2" s="156"/>
      <c r="AW2" s="167" t="s">
        <v>152</v>
      </c>
      <c r="AX2" s="156"/>
      <c r="AY2" s="156"/>
      <c r="AZ2" s="166" t="s">
        <v>153</v>
      </c>
      <c r="BA2" s="156"/>
      <c r="BB2" s="167" t="s">
        <v>154</v>
      </c>
      <c r="BC2" s="156"/>
      <c r="BE2" s="169" t="s">
        <v>156</v>
      </c>
      <c r="BF2" s="170" t="s">
        <v>157</v>
      </c>
      <c r="BG2" s="169" t="s">
        <v>158</v>
      </c>
      <c r="BH2" s="170" t="s">
        <v>158</v>
      </c>
      <c r="BJ2" s="166" t="s">
        <v>7</v>
      </c>
      <c r="BK2" s="156"/>
      <c r="BL2" s="167" t="s">
        <v>8</v>
      </c>
      <c r="BM2" s="156"/>
      <c r="BN2" s="156"/>
      <c r="BP2" s="166" t="s">
        <v>9</v>
      </c>
      <c r="BQ2" s="156"/>
      <c r="BR2" s="167" t="s">
        <v>10</v>
      </c>
      <c r="BS2" s="156"/>
      <c r="BT2" s="156"/>
    </row>
    <row r="3" spans="1:72" x14ac:dyDescent="0.25">
      <c r="A3" s="158"/>
      <c r="B3" s="158"/>
      <c r="C3" s="158"/>
      <c r="D3" s="158"/>
      <c r="E3" s="158"/>
      <c r="F3" s="158"/>
      <c r="G3" s="158"/>
      <c r="I3" s="158"/>
      <c r="J3" s="152" t="s">
        <v>27</v>
      </c>
      <c r="K3" s="152" t="s">
        <v>25</v>
      </c>
      <c r="L3" s="152" t="s">
        <v>159</v>
      </c>
      <c r="M3" s="152" t="s">
        <v>160</v>
      </c>
      <c r="N3" s="158"/>
      <c r="O3" s="158"/>
      <c r="P3" s="158"/>
      <c r="Q3" s="158"/>
      <c r="R3" s="158"/>
      <c r="S3" s="153" t="s">
        <v>27</v>
      </c>
      <c r="T3" s="153" t="s">
        <v>159</v>
      </c>
      <c r="U3" s="153" t="s">
        <v>161</v>
      </c>
      <c r="V3" s="153" t="s">
        <v>26</v>
      </c>
      <c r="W3" s="152" t="s">
        <v>11</v>
      </c>
      <c r="X3" s="152" t="s">
        <v>12</v>
      </c>
      <c r="Y3" s="153" t="s">
        <v>13</v>
      </c>
      <c r="Z3" s="153" t="s">
        <v>14</v>
      </c>
      <c r="AA3" s="153" t="s">
        <v>15</v>
      </c>
      <c r="AB3" s="152" t="s">
        <v>162</v>
      </c>
      <c r="AC3" s="152" t="s">
        <v>163</v>
      </c>
      <c r="AD3" s="153" t="s">
        <v>162</v>
      </c>
      <c r="AE3" s="153" t="s">
        <v>163</v>
      </c>
      <c r="AG3" s="158"/>
      <c r="AH3" s="153" t="s">
        <v>27</v>
      </c>
      <c r="AI3" s="153" t="s">
        <v>25</v>
      </c>
      <c r="AJ3" s="153" t="s">
        <v>159</v>
      </c>
      <c r="AK3" s="153" t="s">
        <v>160</v>
      </c>
      <c r="AL3" s="158"/>
      <c r="AM3" s="158"/>
      <c r="AN3" s="158"/>
      <c r="AO3" s="158"/>
      <c r="AP3" s="158"/>
      <c r="AQ3" s="152" t="s">
        <v>27</v>
      </c>
      <c r="AR3" s="152" t="s">
        <v>159</v>
      </c>
      <c r="AS3" s="152" t="s">
        <v>161</v>
      </c>
      <c r="AT3" s="152" t="s">
        <v>26</v>
      </c>
      <c r="AU3" s="153" t="s">
        <v>11</v>
      </c>
      <c r="AV3" s="153" t="s">
        <v>12</v>
      </c>
      <c r="AW3" s="152" t="s">
        <v>13</v>
      </c>
      <c r="AX3" s="152" t="s">
        <v>14</v>
      </c>
      <c r="AY3" s="152" t="s">
        <v>15</v>
      </c>
      <c r="AZ3" s="153" t="s">
        <v>162</v>
      </c>
      <c r="BA3" s="153" t="s">
        <v>163</v>
      </c>
      <c r="BB3" s="152" t="s">
        <v>162</v>
      </c>
      <c r="BC3" s="152" t="s">
        <v>163</v>
      </c>
      <c r="BE3" s="158"/>
      <c r="BF3" s="158"/>
      <c r="BG3" s="158"/>
      <c r="BH3" s="158"/>
      <c r="BJ3" s="153" t="s">
        <v>11</v>
      </c>
      <c r="BK3" s="153" t="s">
        <v>12</v>
      </c>
      <c r="BL3" s="152" t="s">
        <v>13</v>
      </c>
      <c r="BM3" s="152" t="s">
        <v>14</v>
      </c>
      <c r="BN3" s="152" t="s">
        <v>15</v>
      </c>
      <c r="BP3" s="153" t="s">
        <v>11</v>
      </c>
      <c r="BQ3" s="153" t="s">
        <v>12</v>
      </c>
      <c r="BR3" s="152" t="s">
        <v>13</v>
      </c>
      <c r="BS3" s="152" t="s">
        <v>14</v>
      </c>
      <c r="BT3" s="152" t="s">
        <v>15</v>
      </c>
    </row>
    <row r="4" spans="1:72" ht="123" hidden="1" customHeight="1" x14ac:dyDescent="0.25">
      <c r="A4" s="8" t="s">
        <v>164</v>
      </c>
      <c r="B4" s="9" t="s">
        <v>165</v>
      </c>
      <c r="C4" s="8" t="s">
        <v>166</v>
      </c>
      <c r="D4" s="9" t="s">
        <v>167</v>
      </c>
      <c r="E4" s="8" t="s">
        <v>168</v>
      </c>
      <c r="F4" s="9" t="s">
        <v>169</v>
      </c>
      <c r="G4" s="8" t="s">
        <v>170</v>
      </c>
      <c r="I4" s="9" t="s">
        <v>171</v>
      </c>
      <c r="J4" s="8" t="s">
        <v>172</v>
      </c>
      <c r="K4" s="8" t="s">
        <v>173</v>
      </c>
      <c r="L4" s="8" t="s">
        <v>174</v>
      </c>
      <c r="M4" s="8" t="s">
        <v>175</v>
      </c>
      <c r="N4" s="8" t="s">
        <v>176</v>
      </c>
      <c r="O4" s="9" t="s">
        <v>177</v>
      </c>
      <c r="P4" s="8" t="s">
        <v>178</v>
      </c>
      <c r="Q4" s="9" t="s">
        <v>179</v>
      </c>
      <c r="R4" s="8" t="s">
        <v>180</v>
      </c>
      <c r="S4" s="9" t="s">
        <v>181</v>
      </c>
      <c r="T4" s="9" t="s">
        <v>182</v>
      </c>
      <c r="U4" s="9" t="s">
        <v>183</v>
      </c>
      <c r="V4" s="9" t="s">
        <v>184</v>
      </c>
      <c r="W4" s="8" t="s">
        <v>185</v>
      </c>
      <c r="X4" s="8" t="s">
        <v>186</v>
      </c>
      <c r="Y4" s="9" t="s">
        <v>187</v>
      </c>
      <c r="Z4" s="9" t="s">
        <v>188</v>
      </c>
      <c r="AA4" s="9" t="s">
        <v>189</v>
      </c>
      <c r="AB4" s="8" t="s">
        <v>190</v>
      </c>
      <c r="AC4" s="8" t="s">
        <v>191</v>
      </c>
      <c r="AD4" s="9" t="s">
        <v>192</v>
      </c>
      <c r="AE4" s="9" t="s">
        <v>193</v>
      </c>
      <c r="AG4" s="8" t="s">
        <v>194</v>
      </c>
      <c r="AH4" s="9" t="s">
        <v>195</v>
      </c>
      <c r="AI4" s="9" t="s">
        <v>196</v>
      </c>
      <c r="AJ4" s="9" t="s">
        <v>197</v>
      </c>
      <c r="AK4" s="9" t="s">
        <v>198</v>
      </c>
      <c r="AL4" s="9" t="s">
        <v>199</v>
      </c>
      <c r="AM4" s="8" t="s">
        <v>200</v>
      </c>
      <c r="AN4" s="9" t="s">
        <v>201</v>
      </c>
      <c r="AO4" s="8" t="s">
        <v>202</v>
      </c>
      <c r="AP4" s="9" t="s">
        <v>203</v>
      </c>
      <c r="AQ4" s="8" t="s">
        <v>204</v>
      </c>
      <c r="AR4" s="8" t="s">
        <v>205</v>
      </c>
      <c r="AS4" s="8" t="s">
        <v>206</v>
      </c>
      <c r="AT4" s="8" t="s">
        <v>207</v>
      </c>
      <c r="AU4" s="9" t="s">
        <v>208</v>
      </c>
      <c r="AV4" s="9" t="s">
        <v>209</v>
      </c>
      <c r="AW4" s="8" t="s">
        <v>210</v>
      </c>
      <c r="AX4" s="8" t="s">
        <v>211</v>
      </c>
      <c r="AY4" s="8" t="s">
        <v>212</v>
      </c>
      <c r="AZ4" s="9" t="s">
        <v>213</v>
      </c>
      <c r="BA4" s="9" t="s">
        <v>214</v>
      </c>
      <c r="BB4" s="8" t="s">
        <v>215</v>
      </c>
      <c r="BC4" s="8" t="s">
        <v>216</v>
      </c>
      <c r="BE4" s="9" t="s">
        <v>217</v>
      </c>
      <c r="BF4" s="8" t="s">
        <v>218</v>
      </c>
      <c r="BG4" s="9" t="s">
        <v>219</v>
      </c>
      <c r="BH4" s="8" t="s">
        <v>220</v>
      </c>
      <c r="BJ4" s="9" t="s">
        <v>221</v>
      </c>
      <c r="BK4" s="9" t="s">
        <v>222</v>
      </c>
      <c r="BL4" s="8" t="s">
        <v>223</v>
      </c>
      <c r="BM4" s="8" t="s">
        <v>224</v>
      </c>
      <c r="BN4" s="8" t="s">
        <v>225</v>
      </c>
      <c r="BP4" s="9" t="s">
        <v>226</v>
      </c>
      <c r="BQ4" s="9" t="s">
        <v>227</v>
      </c>
      <c r="BR4" s="8" t="s">
        <v>228</v>
      </c>
      <c r="BS4" s="8" t="s">
        <v>229</v>
      </c>
      <c r="BT4" s="8" t="s">
        <v>230</v>
      </c>
    </row>
    <row r="5" spans="1:72" x14ac:dyDescent="0.25">
      <c r="A5" s="129" t="s">
        <v>231</v>
      </c>
      <c r="B5" s="129" t="s">
        <v>51</v>
      </c>
      <c r="C5" s="10" t="s">
        <v>232</v>
      </c>
      <c r="D5" s="129">
        <v>238146391</v>
      </c>
      <c r="E5" s="10">
        <v>10</v>
      </c>
      <c r="F5" s="10">
        <v>300</v>
      </c>
      <c r="G5" s="10">
        <v>30</v>
      </c>
      <c r="I5" s="11">
        <f t="shared" ref="I5:I39" si="0">IF(OR(ISBLANK(S5),ISBLANK(G5)),"·",S5*G5/F5/1000000)</f>
        <v>1.2533608000000001</v>
      </c>
      <c r="J5" s="12">
        <f t="shared" ref="J5:J39" si="1">IF(ISBLANK(S5),"·",S5/D5)</f>
        <v>5.2629846487994854E-2</v>
      </c>
      <c r="K5" s="12">
        <f t="shared" ref="K5:K39" si="2">IF(N5="","·",N5/D5)</f>
        <v>4.467927460634917E-2</v>
      </c>
      <c r="L5" s="12">
        <f t="shared" ref="L5:L39" si="3">IF(T5="","·",T5/D5)</f>
        <v>2.7862156433015185E-2</v>
      </c>
      <c r="M5" s="12">
        <f t="shared" ref="M5:M39" si="4">IF(ISBLANK(V5),"·",V5/D5)</f>
        <v>7.9505718816456888E-3</v>
      </c>
      <c r="N5" s="129">
        <f t="shared" ref="N5:N39" si="5">IF(OR(ISBLANK(T5),ISBLANK(U5)),"",T5+U5)</f>
        <v>10640208</v>
      </c>
      <c r="O5" s="12">
        <v>16</v>
      </c>
      <c r="P5" s="13">
        <v>222175774</v>
      </c>
      <c r="Q5" s="13">
        <v>740585.91333333298</v>
      </c>
      <c r="R5" s="13">
        <v>16831.89</v>
      </c>
      <c r="S5" s="14">
        <v>12533608</v>
      </c>
      <c r="T5" s="14">
        <v>6635272</v>
      </c>
      <c r="U5" s="14">
        <v>4004936</v>
      </c>
      <c r="V5" s="14">
        <v>1893400</v>
      </c>
      <c r="W5" s="15">
        <v>66.605775333333298</v>
      </c>
      <c r="X5" s="15">
        <v>68.398893666666595</v>
      </c>
      <c r="Y5" s="15">
        <v>31.584993333333301</v>
      </c>
      <c r="Z5" s="15">
        <v>44.355870000000003</v>
      </c>
      <c r="AA5" s="15">
        <v>43.854431333333302</v>
      </c>
      <c r="AB5" s="16">
        <v>33779.1</v>
      </c>
      <c r="AC5" s="16">
        <v>47361</v>
      </c>
      <c r="AD5" s="16">
        <v>78.233000000000004</v>
      </c>
      <c r="AE5" s="16">
        <v>259.94299999999998</v>
      </c>
      <c r="AG5" s="11">
        <f t="shared" ref="AG5:AG39" si="6">IF(OR(ISBLANK(AQ5),ISBLANK(G5)),"·",AQ5*G5/F5/1000000)</f>
        <v>1.2521856</v>
      </c>
      <c r="AH5" s="12">
        <f t="shared" ref="AH5:AH39" si="7">IF(ISBLANK(AQ5),"·",AQ5/D5)</f>
        <v>5.2580498689984344E-2</v>
      </c>
      <c r="AI5" s="12">
        <f t="shared" ref="AI5:AI39" si="8">IF(AL5="","·",AL5/D5)</f>
        <v>4.467927460634917E-2</v>
      </c>
      <c r="AJ5" s="12">
        <f t="shared" ref="AJ5:AJ39" si="9">IF(AR5="","·",AR5/D5)</f>
        <v>2.7862156433015185E-2</v>
      </c>
      <c r="AK5" s="12">
        <f t="shared" ref="AK5:AK39" si="10">IF(ISBLANK(AT5),"·",AT5/D5)</f>
        <v>7.9012240836351787E-3</v>
      </c>
      <c r="AL5" s="129">
        <f t="shared" ref="AL5:AL39" si="11">IF(OR(ISBLANK(AR5),ISBLANK(AS5)),"",AR5+AS5)</f>
        <v>10640208</v>
      </c>
      <c r="AM5" s="12">
        <v>16</v>
      </c>
      <c r="AN5" s="13">
        <v>222175774</v>
      </c>
      <c r="AO5" s="13">
        <v>740585.91333333298</v>
      </c>
      <c r="AP5" s="13">
        <v>16831.89</v>
      </c>
      <c r="AQ5" s="14">
        <v>12521856</v>
      </c>
      <c r="AR5" s="14">
        <v>6635272</v>
      </c>
      <c r="AS5" s="14">
        <v>4004936</v>
      </c>
      <c r="AT5" s="14">
        <v>1881648</v>
      </c>
      <c r="AU5" s="15">
        <v>66.605775333333298</v>
      </c>
      <c r="AV5" s="15">
        <v>68.398893666666595</v>
      </c>
      <c r="AW5" s="15">
        <v>31.595100333333299</v>
      </c>
      <c r="AX5" s="15">
        <v>44.335028333333298</v>
      </c>
      <c r="AY5" s="15">
        <v>43.8360293333333</v>
      </c>
      <c r="AZ5" s="16">
        <v>33358.6</v>
      </c>
      <c r="BA5" s="16">
        <v>47440.3</v>
      </c>
      <c r="BB5" s="16">
        <v>499.76400000000001</v>
      </c>
      <c r="BC5" s="16">
        <v>249.881</v>
      </c>
      <c r="BE5" s="62">
        <f t="shared" ref="BE5:BE43" si="12">AI5/K5</f>
        <v>1</v>
      </c>
      <c r="BF5" s="17">
        <f t="shared" ref="BF5:BF39" si="13">(AP5/AO5) - (R5/Q5)</f>
        <v>0</v>
      </c>
      <c r="BG5" s="17">
        <f t="shared" ref="BG5:BG39" si="14">(AL5/AQ5) - (N5/S5)</f>
        <v>7.9674085597025712E-4</v>
      </c>
      <c r="BH5" s="17">
        <f t="array" ref="BH5">AVERAGE(AL5:AL9/AQ5:AQ9) - AVERAGE(N5:N9/S5:S9)</f>
        <v>1.7323333990276746E-3</v>
      </c>
      <c r="BJ5" s="62">
        <f>IF( OR(ISBLANK(N5:N9),ISBLANK(AL5:AL9), ISBLANK(W5:W9),ISBLANK(AU5:AU9)), "·", bdRateExtend( N5:N9,W5:W9, AL5:AL9,AU5:AU9))</f>
        <v>0</v>
      </c>
      <c r="BK5" s="62">
        <f>IF( OR(ISBLANK(N5:N9),ISBLANK(AL5:AL9), ISBLANK(X5:X9),ISBLANK(AV5:AV9)), "·", bdRateExtend( N5:N9,X5:X9, AL5:AL9,AV5:AV9))</f>
        <v>0</v>
      </c>
      <c r="BL5" s="62">
        <f>IF( OR(ISBLANK(V5:V9),ISBLANK(AT5:AT9), ISBLANK(Y5:Y9),ISBLANK(AW5:AW9)), "·", bdRateExtend( V5:V9,Y5:Y9, AT5:AT9,AW5:AW9))</f>
        <v>-5.8782139194200056E-3</v>
      </c>
      <c r="BM5" s="62">
        <f>IF( OR(ISBLANK(V5:V9),ISBLANK(AT5:AT9), ISBLANK(Z5:Z9),ISBLANK(AX5:AX9)), "·", bdRateExtend( V5:V9,Z5:Z9, AT5:AT9,AX5:AX9))</f>
        <v>-1.0194842225386136E-2</v>
      </c>
      <c r="BN5" s="62">
        <f>IF( OR(ISBLANK(V5:V9),ISBLANK(AT5:AT9), ISBLANK(AA5:AA9),ISBLANK(AY5:AY9)), "·", bdRateExtend( V5:V9,AA5:AA9, AT5:AT9,AY5:AY9))</f>
        <v>-6.3214809348383083E-3</v>
      </c>
      <c r="BP5" s="62">
        <f>IF( OR(ISBLANK(S5:S9),ISBLANK(AQ5:AQ9), ISBLANK(W5:W9),ISBLANK(AU5:AU9)), "·", bdRateExtend( S5:S9,W5:W9, AQ5:AQ9,AU5:AU9))</f>
        <v>-2.1694206280798989E-3</v>
      </c>
      <c r="BQ5" s="62">
        <f>IF( OR(ISBLANK(S5:S9),ISBLANK(AQ5:AQ9), ISBLANK(X5:X9),ISBLANK(AV5:AV9)), "·", bdRateExtend( S5:S9,X5:X9, AQ5:AQ9,AV5:AV9))</f>
        <v>-2.5094437632303679E-3</v>
      </c>
      <c r="BR5" s="62">
        <f>IF( OR(ISBLANK(S5:S9),ISBLANK(AQ5:AQ9), ISBLANK(Y5:Y9),ISBLANK(AW5:AW9)), "·", bdRateExtend( S5:S9,Y5:Y9, AQ5:AQ9,AW5:AW9))</f>
        <v>-1.6681417848671831E-3</v>
      </c>
      <c r="BS5" s="62">
        <f>IF( OR(ISBLANK(S5:S9),ISBLANK(AQ5:AQ9), ISBLANK(Z5:Z9),ISBLANK(AX5:AX9)), "·", bdRateExtend( S5:S9,Z5:Z9, AQ5:AQ9,AX5:AX9))</f>
        <v>-4.2107879483298527E-3</v>
      </c>
      <c r="BT5" s="62">
        <f>IF( OR(ISBLANK(S5:S9),ISBLANK(AQ5:AQ9), ISBLANK(AA5:AA9),ISBLANK(AY5:AY9)), "·", bdRateExtend( S5:S9,AA5:AA9, AQ5:AQ9,AY5:AY9))</f>
        <v>-3.8174385394172949E-3</v>
      </c>
    </row>
    <row r="6" spans="1:72" outlineLevel="1" x14ac:dyDescent="0.25">
      <c r="A6" s="18"/>
      <c r="B6" s="18" t="s">
        <v>51</v>
      </c>
      <c r="C6" s="19" t="s">
        <v>233</v>
      </c>
      <c r="D6" s="18">
        <v>238146391</v>
      </c>
      <c r="E6" s="19">
        <v>10</v>
      </c>
      <c r="F6" s="19">
        <v>300</v>
      </c>
      <c r="G6" s="19">
        <v>30</v>
      </c>
      <c r="I6" s="20">
        <f t="shared" si="0"/>
        <v>1.6558256</v>
      </c>
      <c r="J6" s="21">
        <f t="shared" si="1"/>
        <v>6.9529737278277715E-2</v>
      </c>
      <c r="K6" s="21">
        <f t="shared" si="2"/>
        <v>5.4818013177449325E-2</v>
      </c>
      <c r="L6" s="21">
        <f t="shared" si="3"/>
        <v>3.8000895004115347E-2</v>
      </c>
      <c r="M6" s="21">
        <f t="shared" si="4"/>
        <v>1.4711724100828385E-2</v>
      </c>
      <c r="N6" s="18">
        <f t="shared" si="5"/>
        <v>13054712</v>
      </c>
      <c r="O6" s="21">
        <v>16</v>
      </c>
      <c r="P6" s="22">
        <v>234540050</v>
      </c>
      <c r="Q6" s="22">
        <v>781800.16666666698</v>
      </c>
      <c r="R6" s="22">
        <v>20263.916666666701</v>
      </c>
      <c r="S6" s="23">
        <v>16558256</v>
      </c>
      <c r="T6" s="23">
        <v>9049776</v>
      </c>
      <c r="U6" s="23">
        <v>4004936</v>
      </c>
      <c r="V6" s="23">
        <v>3503544</v>
      </c>
      <c r="W6" s="24">
        <v>68.316568000000103</v>
      </c>
      <c r="X6" s="24">
        <v>70.389475333333294</v>
      </c>
      <c r="Y6" s="24">
        <v>33.642755999999999</v>
      </c>
      <c r="Z6" s="24">
        <v>45.377711333333401</v>
      </c>
      <c r="AA6" s="24">
        <v>45.0669233333333</v>
      </c>
      <c r="AB6" s="25">
        <v>33781.800000000003</v>
      </c>
      <c r="AC6" s="25">
        <v>50412.7</v>
      </c>
      <c r="AD6" s="25">
        <v>79.549000000000007</v>
      </c>
      <c r="AE6" s="25">
        <v>256.017</v>
      </c>
      <c r="AG6" s="20">
        <f t="shared" si="6"/>
        <v>1.6547336000000001</v>
      </c>
      <c r="AH6" s="21">
        <f t="shared" si="7"/>
        <v>6.9483883129683871E-2</v>
      </c>
      <c r="AI6" s="21">
        <f t="shared" si="8"/>
        <v>5.4818013177449325E-2</v>
      </c>
      <c r="AJ6" s="21">
        <f t="shared" si="9"/>
        <v>3.8000895004115347E-2</v>
      </c>
      <c r="AK6" s="21">
        <f t="shared" si="10"/>
        <v>1.4665869952234548E-2</v>
      </c>
      <c r="AL6" s="18">
        <f t="shared" si="11"/>
        <v>13054712</v>
      </c>
      <c r="AM6" s="21">
        <v>16</v>
      </c>
      <c r="AN6" s="22">
        <v>234540050</v>
      </c>
      <c r="AO6" s="22">
        <v>781800.16666666698</v>
      </c>
      <c r="AP6" s="22">
        <v>20263.916666666701</v>
      </c>
      <c r="AQ6" s="23">
        <v>16547336</v>
      </c>
      <c r="AR6" s="23">
        <v>9049776</v>
      </c>
      <c r="AS6" s="23">
        <v>4004936</v>
      </c>
      <c r="AT6" s="23">
        <v>3492624</v>
      </c>
      <c r="AU6" s="24">
        <v>68.316568000000103</v>
      </c>
      <c r="AV6" s="24">
        <v>70.389475333333294</v>
      </c>
      <c r="AW6" s="24">
        <v>33.6396813333333</v>
      </c>
      <c r="AX6" s="24">
        <v>45.389418333333303</v>
      </c>
      <c r="AY6" s="24">
        <v>44.987770333333302</v>
      </c>
      <c r="AZ6" s="25">
        <v>33268.800000000003</v>
      </c>
      <c r="BA6" s="25">
        <v>50569.1</v>
      </c>
      <c r="BB6" s="25">
        <v>528.39599999999996</v>
      </c>
      <c r="BC6" s="25">
        <v>263.50599999999997</v>
      </c>
      <c r="BE6" s="58">
        <f t="shared" si="12"/>
        <v>1</v>
      </c>
      <c r="BF6" s="26">
        <f t="shared" si="13"/>
        <v>0</v>
      </c>
      <c r="BG6" s="26">
        <f t="shared" si="14"/>
        <v>5.2029212838700101E-4</v>
      </c>
      <c r="BH6" s="26"/>
      <c r="BJ6" s="58"/>
      <c r="BK6" s="58"/>
      <c r="BL6" s="58"/>
      <c r="BM6" s="58"/>
      <c r="BN6" s="58"/>
      <c r="BP6" s="58"/>
      <c r="BQ6" s="58"/>
      <c r="BR6" s="58"/>
      <c r="BS6" s="58"/>
      <c r="BT6" s="58"/>
    </row>
    <row r="7" spans="1:72" outlineLevel="1" x14ac:dyDescent="0.25">
      <c r="A7" s="129"/>
      <c r="B7" s="129" t="s">
        <v>51</v>
      </c>
      <c r="C7" s="10" t="s">
        <v>234</v>
      </c>
      <c r="D7" s="129">
        <v>238146391</v>
      </c>
      <c r="E7" s="10">
        <v>10</v>
      </c>
      <c r="F7" s="10">
        <v>300</v>
      </c>
      <c r="G7" s="10">
        <v>30</v>
      </c>
      <c r="I7" s="11">
        <f t="shared" si="0"/>
        <v>2.3523007999999996</v>
      </c>
      <c r="J7" s="12">
        <f t="shared" si="1"/>
        <v>9.8775412473078375E-2</v>
      </c>
      <c r="K7" s="12">
        <f t="shared" si="2"/>
        <v>6.9102571451523695E-2</v>
      </c>
      <c r="L7" s="12">
        <f t="shared" si="3"/>
        <v>5.2285453278189717E-2</v>
      </c>
      <c r="M7" s="12">
        <f t="shared" si="4"/>
        <v>2.967284102155468E-2</v>
      </c>
      <c r="N7" s="129">
        <f t="shared" si="5"/>
        <v>16456528</v>
      </c>
      <c r="O7" s="12">
        <v>16</v>
      </c>
      <c r="P7" s="13">
        <v>237156270</v>
      </c>
      <c r="Q7" s="13">
        <v>790520.9</v>
      </c>
      <c r="R7" s="13">
        <v>21717.65</v>
      </c>
      <c r="S7" s="14">
        <v>23523008</v>
      </c>
      <c r="T7" s="14">
        <v>12451592</v>
      </c>
      <c r="U7" s="14">
        <v>4004936</v>
      </c>
      <c r="V7" s="14">
        <v>7066480</v>
      </c>
      <c r="W7" s="15">
        <v>69.641762666666693</v>
      </c>
      <c r="X7" s="15">
        <v>72.052495333333397</v>
      </c>
      <c r="Y7" s="15">
        <v>36.026087333333301</v>
      </c>
      <c r="Z7" s="15">
        <v>46.654397000000003</v>
      </c>
      <c r="AA7" s="15">
        <v>46.426361999999997</v>
      </c>
      <c r="AB7" s="16">
        <v>33762.9</v>
      </c>
      <c r="AC7" s="16">
        <v>53802</v>
      </c>
      <c r="AD7" s="16">
        <v>80.274000000000001</v>
      </c>
      <c r="AE7" s="16">
        <v>267.791</v>
      </c>
      <c r="AG7" s="11">
        <f t="shared" si="6"/>
        <v>2.3486296000000002</v>
      </c>
      <c r="AH7" s="12">
        <f t="shared" si="7"/>
        <v>9.8621255192567661E-2</v>
      </c>
      <c r="AI7" s="12">
        <f t="shared" si="8"/>
        <v>6.9102571451523695E-2</v>
      </c>
      <c r="AJ7" s="12">
        <f t="shared" si="9"/>
        <v>5.2285453278189717E-2</v>
      </c>
      <c r="AK7" s="12">
        <f t="shared" si="10"/>
        <v>2.951868374104397E-2</v>
      </c>
      <c r="AL7" s="129">
        <f t="shared" si="11"/>
        <v>16456528</v>
      </c>
      <c r="AM7" s="12">
        <v>16</v>
      </c>
      <c r="AN7" s="13">
        <v>237156270</v>
      </c>
      <c r="AO7" s="13">
        <v>790520.9</v>
      </c>
      <c r="AP7" s="13">
        <v>21717.65</v>
      </c>
      <c r="AQ7" s="14">
        <v>23486296</v>
      </c>
      <c r="AR7" s="14">
        <v>12451592</v>
      </c>
      <c r="AS7" s="14">
        <v>4004936</v>
      </c>
      <c r="AT7" s="14">
        <v>7029768</v>
      </c>
      <c r="AU7" s="15">
        <v>69.641762666666693</v>
      </c>
      <c r="AV7" s="15">
        <v>72.052495333333397</v>
      </c>
      <c r="AW7" s="15">
        <v>36.020566000000002</v>
      </c>
      <c r="AX7" s="15">
        <v>46.671894666666702</v>
      </c>
      <c r="AY7" s="15">
        <v>46.487680666666698</v>
      </c>
      <c r="AZ7" s="16">
        <v>33500.300000000003</v>
      </c>
      <c r="BA7" s="16">
        <v>53924.3</v>
      </c>
      <c r="BB7" s="16">
        <v>533.53099999999995</v>
      </c>
      <c r="BC7" s="16">
        <v>271.17399999999998</v>
      </c>
      <c r="BE7" s="62">
        <f t="shared" si="12"/>
        <v>1</v>
      </c>
      <c r="BF7" s="17">
        <f t="shared" si="13"/>
        <v>0</v>
      </c>
      <c r="BG7" s="17">
        <f t="shared" si="14"/>
        <v>1.0935505703275616E-3</v>
      </c>
      <c r="BH7" s="17"/>
      <c r="BJ7" s="62"/>
      <c r="BK7" s="62"/>
      <c r="BL7" s="62"/>
      <c r="BM7" s="62"/>
      <c r="BN7" s="62"/>
      <c r="BP7" s="62"/>
      <c r="BQ7" s="62"/>
      <c r="BR7" s="62"/>
      <c r="BS7" s="62"/>
      <c r="BT7" s="62"/>
    </row>
    <row r="8" spans="1:72" outlineLevel="1" x14ac:dyDescent="0.25">
      <c r="A8" s="18"/>
      <c r="B8" s="18" t="s">
        <v>51</v>
      </c>
      <c r="C8" s="19" t="s">
        <v>235</v>
      </c>
      <c r="D8" s="18">
        <v>238146391</v>
      </c>
      <c r="E8" s="19">
        <v>10</v>
      </c>
      <c r="F8" s="19">
        <v>300</v>
      </c>
      <c r="G8" s="19">
        <v>30</v>
      </c>
      <c r="I8" s="20">
        <f t="shared" si="0"/>
        <v>3.8917872</v>
      </c>
      <c r="J8" s="21">
        <f t="shared" si="1"/>
        <v>0.16341995289779554</v>
      </c>
      <c r="K8" s="21">
        <f t="shared" si="2"/>
        <v>9.9004179324304775E-2</v>
      </c>
      <c r="L8" s="21">
        <f t="shared" si="3"/>
        <v>8.2187061150970797E-2</v>
      </c>
      <c r="M8" s="21">
        <f t="shared" si="4"/>
        <v>6.4415773573490764E-2</v>
      </c>
      <c r="N8" s="18">
        <f t="shared" si="5"/>
        <v>23577488</v>
      </c>
      <c r="O8" s="21">
        <v>16</v>
      </c>
      <c r="P8" s="22">
        <v>246285905</v>
      </c>
      <c r="Q8" s="22">
        <v>820953.01666666695</v>
      </c>
      <c r="R8" s="22">
        <v>25005.6033333333</v>
      </c>
      <c r="S8" s="23">
        <v>38917872</v>
      </c>
      <c r="T8" s="23">
        <v>19572552</v>
      </c>
      <c r="U8" s="23">
        <v>4004936</v>
      </c>
      <c r="V8" s="23">
        <v>15340384</v>
      </c>
      <c r="W8" s="24">
        <v>70.708440999999993</v>
      </c>
      <c r="X8" s="24">
        <v>73.267006666666603</v>
      </c>
      <c r="Y8" s="24">
        <v>38.508783000000001</v>
      </c>
      <c r="Z8" s="24">
        <v>47.9325196666667</v>
      </c>
      <c r="AA8" s="24">
        <v>47.897598333333299</v>
      </c>
      <c r="AB8" s="25">
        <v>34048</v>
      </c>
      <c r="AC8" s="25">
        <v>58431.8</v>
      </c>
      <c r="AD8" s="25">
        <v>81.358000000000004</v>
      </c>
      <c r="AE8" s="25">
        <v>269.82600000000002</v>
      </c>
      <c r="AG8" s="20">
        <f t="shared" si="6"/>
        <v>3.8764240000000001</v>
      </c>
      <c r="AH8" s="21">
        <f t="shared" si="7"/>
        <v>0.16277483709589369</v>
      </c>
      <c r="AI8" s="21">
        <f t="shared" si="8"/>
        <v>9.9004179324304775E-2</v>
      </c>
      <c r="AJ8" s="21">
        <f t="shared" si="9"/>
        <v>8.2187061150970797E-2</v>
      </c>
      <c r="AK8" s="21">
        <f t="shared" si="10"/>
        <v>6.3770657771588898E-2</v>
      </c>
      <c r="AL8" s="18">
        <f t="shared" si="11"/>
        <v>23577488</v>
      </c>
      <c r="AM8" s="21">
        <v>16</v>
      </c>
      <c r="AN8" s="22">
        <v>246285905</v>
      </c>
      <c r="AO8" s="22">
        <v>820953.01666666695</v>
      </c>
      <c r="AP8" s="22">
        <v>25005.6033333333</v>
      </c>
      <c r="AQ8" s="23">
        <v>38764240</v>
      </c>
      <c r="AR8" s="23">
        <v>19572552</v>
      </c>
      <c r="AS8" s="23">
        <v>4004936</v>
      </c>
      <c r="AT8" s="23">
        <v>15186752</v>
      </c>
      <c r="AU8" s="24">
        <v>70.708440999999993</v>
      </c>
      <c r="AV8" s="24">
        <v>73.267006666666603</v>
      </c>
      <c r="AW8" s="24">
        <v>38.4981236666667</v>
      </c>
      <c r="AX8" s="24">
        <v>47.929636666666703</v>
      </c>
      <c r="AY8" s="24">
        <v>47.904751666666698</v>
      </c>
      <c r="AZ8" s="25">
        <v>33245.599999999999</v>
      </c>
      <c r="BA8" s="25">
        <v>58567.9</v>
      </c>
      <c r="BB8" s="25">
        <v>552.20100000000002</v>
      </c>
      <c r="BC8" s="25">
        <v>270.06900000000002</v>
      </c>
      <c r="BE8" s="58">
        <f t="shared" si="12"/>
        <v>1</v>
      </c>
      <c r="BF8" s="26">
        <f t="shared" si="13"/>
        <v>0</v>
      </c>
      <c r="BG8" s="26">
        <f t="shared" si="14"/>
        <v>2.4010370281634108E-3</v>
      </c>
      <c r="BH8" s="26"/>
      <c r="BJ8" s="58"/>
      <c r="BK8" s="58"/>
      <c r="BL8" s="58"/>
      <c r="BM8" s="58"/>
      <c r="BN8" s="58"/>
      <c r="BP8" s="58"/>
      <c r="BQ8" s="58"/>
      <c r="BR8" s="58"/>
      <c r="BS8" s="58"/>
      <c r="BT8" s="58"/>
    </row>
    <row r="9" spans="1:72" outlineLevel="1" x14ac:dyDescent="0.25">
      <c r="A9" s="129"/>
      <c r="B9" s="27" t="s">
        <v>51</v>
      </c>
      <c r="C9" s="28" t="s">
        <v>236</v>
      </c>
      <c r="D9" s="27">
        <v>238146391</v>
      </c>
      <c r="E9" s="28">
        <v>10</v>
      </c>
      <c r="F9" s="28">
        <v>300</v>
      </c>
      <c r="G9" s="28">
        <v>30</v>
      </c>
      <c r="I9" s="29">
        <f t="shared" si="0"/>
        <v>7.7645647999999996</v>
      </c>
      <c r="J9" s="30">
        <f t="shared" si="1"/>
        <v>0.32604167408944695</v>
      </c>
      <c r="K9" s="30">
        <f t="shared" si="2"/>
        <v>0.17066789813329566</v>
      </c>
      <c r="L9" s="30">
        <f t="shared" si="3"/>
        <v>0.13410702495172391</v>
      </c>
      <c r="M9" s="30">
        <f t="shared" si="4"/>
        <v>0.15537377595615126</v>
      </c>
      <c r="N9" s="27">
        <f t="shared" si="5"/>
        <v>40643944</v>
      </c>
      <c r="O9" s="30">
        <v>16</v>
      </c>
      <c r="P9" s="31">
        <v>236696159</v>
      </c>
      <c r="Q9" s="31">
        <v>788987.19666666701</v>
      </c>
      <c r="R9" s="31">
        <v>10947.596666666699</v>
      </c>
      <c r="S9" s="32">
        <v>77645648</v>
      </c>
      <c r="T9" s="32">
        <v>31937104</v>
      </c>
      <c r="U9" s="32">
        <v>8706840</v>
      </c>
      <c r="V9" s="32">
        <v>37001704</v>
      </c>
      <c r="W9" s="33">
        <v>71.773718333333306</v>
      </c>
      <c r="X9" s="33">
        <v>75.150895333333395</v>
      </c>
      <c r="Y9" s="33">
        <v>41.052292333333298</v>
      </c>
      <c r="Z9" s="33">
        <v>49.402996333333398</v>
      </c>
      <c r="AA9" s="33">
        <v>49.457055333333301</v>
      </c>
      <c r="AB9" s="34">
        <v>34037.4</v>
      </c>
      <c r="AC9" s="34">
        <v>64663.7</v>
      </c>
      <c r="AD9" s="34">
        <v>78.834999999999994</v>
      </c>
      <c r="AE9" s="34">
        <v>286.12400000000002</v>
      </c>
      <c r="AG9" s="29">
        <f t="shared" si="6"/>
        <v>7.7078727999999996</v>
      </c>
      <c r="AH9" s="30">
        <f t="shared" si="7"/>
        <v>0.32366112153259546</v>
      </c>
      <c r="AI9" s="30">
        <f t="shared" si="8"/>
        <v>0.17066789813329566</v>
      </c>
      <c r="AJ9" s="30">
        <f t="shared" si="9"/>
        <v>0.13410702495172391</v>
      </c>
      <c r="AK9" s="30">
        <f t="shared" si="10"/>
        <v>0.1529932233992998</v>
      </c>
      <c r="AL9" s="27">
        <f t="shared" si="11"/>
        <v>40643944</v>
      </c>
      <c r="AM9" s="30">
        <v>16</v>
      </c>
      <c r="AN9" s="31">
        <v>236696159</v>
      </c>
      <c r="AO9" s="31">
        <v>788987.19666666701</v>
      </c>
      <c r="AP9" s="31">
        <v>10947.596666666699</v>
      </c>
      <c r="AQ9" s="32">
        <v>77078728</v>
      </c>
      <c r="AR9" s="32">
        <v>31937104</v>
      </c>
      <c r="AS9" s="32">
        <v>8706840</v>
      </c>
      <c r="AT9" s="32">
        <v>36434784</v>
      </c>
      <c r="AU9" s="33">
        <v>71.773718333333306</v>
      </c>
      <c r="AV9" s="33">
        <v>75.150895333333395</v>
      </c>
      <c r="AW9" s="33">
        <v>41.054992666666699</v>
      </c>
      <c r="AX9" s="33">
        <v>49.406795666666703</v>
      </c>
      <c r="AY9" s="33">
        <v>49.484079000000001</v>
      </c>
      <c r="AZ9" s="34">
        <v>33254.800000000003</v>
      </c>
      <c r="BA9" s="34">
        <v>65171</v>
      </c>
      <c r="BB9" s="34">
        <v>528.66099999999994</v>
      </c>
      <c r="BC9" s="34">
        <v>287.47000000000003</v>
      </c>
      <c r="BE9" s="35">
        <f t="shared" si="12"/>
        <v>1</v>
      </c>
      <c r="BF9" s="36">
        <f t="shared" si="13"/>
        <v>0</v>
      </c>
      <c r="BG9" s="36">
        <f t="shared" si="14"/>
        <v>3.8500464122901423E-3</v>
      </c>
      <c r="BH9" s="36"/>
      <c r="BJ9" s="35"/>
      <c r="BK9" s="35"/>
      <c r="BL9" s="35"/>
      <c r="BM9" s="35"/>
      <c r="BN9" s="35"/>
      <c r="BP9" s="35"/>
      <c r="BQ9" s="35"/>
      <c r="BR9" s="35"/>
      <c r="BS9" s="35"/>
      <c r="BT9" s="35"/>
    </row>
    <row r="10" spans="1:72" x14ac:dyDescent="0.25">
      <c r="A10" s="18"/>
      <c r="B10" s="18" t="s">
        <v>59</v>
      </c>
      <c r="C10" s="19" t="s">
        <v>232</v>
      </c>
      <c r="D10" s="18">
        <v>218121242</v>
      </c>
      <c r="E10" s="19">
        <v>10</v>
      </c>
      <c r="F10" s="19">
        <v>300</v>
      </c>
      <c r="G10" s="19">
        <v>30</v>
      </c>
      <c r="I10" s="20">
        <f t="shared" si="0"/>
        <v>2.1451832000000004</v>
      </c>
      <c r="J10" s="21">
        <f t="shared" si="1"/>
        <v>9.8348202143466609E-2</v>
      </c>
      <c r="K10" s="21">
        <f t="shared" si="2"/>
        <v>7.3666626196819476E-2</v>
      </c>
      <c r="L10" s="21">
        <f t="shared" si="3"/>
        <v>4.1382966267907093E-2</v>
      </c>
      <c r="M10" s="21">
        <f t="shared" si="4"/>
        <v>2.468157594664714E-2</v>
      </c>
      <c r="N10" s="18">
        <f t="shared" si="5"/>
        <v>16068256</v>
      </c>
      <c r="O10" s="21">
        <v>16</v>
      </c>
      <c r="P10" s="22">
        <v>202429427</v>
      </c>
      <c r="Q10" s="22">
        <v>674764.75666666694</v>
      </c>
      <c r="R10" s="22">
        <v>20419.77</v>
      </c>
      <c r="S10" s="23">
        <v>21451832</v>
      </c>
      <c r="T10" s="23">
        <v>9026504</v>
      </c>
      <c r="U10" s="23">
        <v>7041752</v>
      </c>
      <c r="V10" s="23">
        <v>5383576</v>
      </c>
      <c r="W10" s="24">
        <v>65.897101000000006</v>
      </c>
      <c r="X10" s="24">
        <v>67.697368666666705</v>
      </c>
      <c r="Y10" s="24">
        <v>30.852983666666699</v>
      </c>
      <c r="Z10" s="24">
        <v>38.649319666666699</v>
      </c>
      <c r="AA10" s="24">
        <v>29.913253333333301</v>
      </c>
      <c r="AB10" s="25">
        <v>31354.2</v>
      </c>
      <c r="AC10" s="25">
        <v>58028.800000000003</v>
      </c>
      <c r="AD10" s="25">
        <v>73.867999999999995</v>
      </c>
      <c r="AE10" s="25">
        <v>283.02199999999999</v>
      </c>
      <c r="AG10" s="20">
        <f t="shared" si="6"/>
        <v>2.1448184000000001</v>
      </c>
      <c r="AH10" s="21">
        <f t="shared" si="7"/>
        <v>9.8331477500022677E-2</v>
      </c>
      <c r="AI10" s="21">
        <f t="shared" si="8"/>
        <v>7.3666626196819476E-2</v>
      </c>
      <c r="AJ10" s="21">
        <f t="shared" si="9"/>
        <v>4.1382966267907093E-2</v>
      </c>
      <c r="AK10" s="21">
        <f t="shared" si="10"/>
        <v>2.4664851303203197E-2</v>
      </c>
      <c r="AL10" s="18">
        <f t="shared" si="11"/>
        <v>16068256</v>
      </c>
      <c r="AM10" s="21">
        <v>16</v>
      </c>
      <c r="AN10" s="22">
        <v>202429427</v>
      </c>
      <c r="AO10" s="22">
        <v>674764.75666666694</v>
      </c>
      <c r="AP10" s="22">
        <v>20419.77</v>
      </c>
      <c r="AQ10" s="23">
        <v>21448184</v>
      </c>
      <c r="AR10" s="23">
        <v>9026504</v>
      </c>
      <c r="AS10" s="23">
        <v>7041752</v>
      </c>
      <c r="AT10" s="23">
        <v>5379928</v>
      </c>
      <c r="AU10" s="24">
        <v>65.897101000000006</v>
      </c>
      <c r="AV10" s="24">
        <v>67.697368666666705</v>
      </c>
      <c r="AW10" s="24">
        <v>30.8722626666666</v>
      </c>
      <c r="AX10" s="24">
        <v>38.654364000000001</v>
      </c>
      <c r="AY10" s="24">
        <v>29.907063999999998</v>
      </c>
      <c r="AZ10" s="25">
        <v>31032.9</v>
      </c>
      <c r="BA10" s="25">
        <v>58320.3</v>
      </c>
      <c r="BB10" s="25">
        <v>460.78399999999999</v>
      </c>
      <c r="BC10" s="25">
        <v>282.81200000000001</v>
      </c>
      <c r="BE10" s="58">
        <f t="shared" si="12"/>
        <v>1</v>
      </c>
      <c r="BF10" s="26">
        <f t="shared" si="13"/>
        <v>0</v>
      </c>
      <c r="BG10" s="26">
        <f t="shared" si="14"/>
        <v>1.2739977415521242E-4</v>
      </c>
      <c r="BH10" s="26">
        <f t="array" ref="BH10">AVERAGE(AL10:AL14/AQ10:AQ14) - AVERAGE(N10:N14/S10:S14)</f>
        <v>8.3324269863538358E-4</v>
      </c>
      <c r="BJ10" s="58">
        <f>IF( OR(ISBLANK(N10:N14),ISBLANK(AL10:AL14), ISBLANK(W10:W14),ISBLANK(AU10:AU14)), "·", bdRateExtend( N10:N14,W10:W14, AL10:AL14,AU10:AU14))</f>
        <v>0</v>
      </c>
      <c r="BK10" s="58">
        <f>IF( OR(ISBLANK(N10:N14),ISBLANK(AL10:AL14), ISBLANK(X10:X14),ISBLANK(AV10:AV14)), "·", bdRateExtend( N10:N14,X10:X14, AL10:AL14,AV10:AV14))</f>
        <v>0</v>
      </c>
      <c r="BL10" s="58">
        <f>IF( OR(ISBLANK(V10:V14),ISBLANK(AT10:AT14), ISBLANK(Y10:Y14),ISBLANK(AW10:AW14)), "·", bdRateExtend( V10:V14,Y10:Y14, AT10:AT14,AW10:AW14))</f>
        <v>-4.8432606250592425E-3</v>
      </c>
      <c r="BM10" s="58">
        <f>IF( OR(ISBLANK(V10:V14),ISBLANK(AT10:AT14), ISBLANK(Z10:Z14),ISBLANK(AX10:AX14)), "·", bdRateExtend( V10:V14,Z10:Z14, AT10:AT14,AX10:AX14))</f>
        <v>-3.5428997590044586E-3</v>
      </c>
      <c r="BN10" s="58">
        <f>IF( OR(ISBLANK(V10:V14),ISBLANK(AT10:AT14), ISBLANK(AA10:AA14),ISBLANK(AY10:AY14)), "·", bdRateExtend( V10:V14,AA10:AA14, AT10:AT14,AY10:AY14))</f>
        <v>-4.5764560166257073E-3</v>
      </c>
      <c r="BP10" s="58">
        <f>IF( OR(ISBLANK(S10:S14),ISBLANK(AQ10:AQ14), ISBLANK(W10:W14),ISBLANK(AU10:AU14)), "·", bdRateExtend( S10:S14,W10:W14, AQ10:AQ14,AU10:AU14))</f>
        <v>-1.4038713056740981E-3</v>
      </c>
      <c r="BQ10" s="58">
        <f>IF( OR(ISBLANK(S10:S14),ISBLANK(AQ10:AQ14), ISBLANK(X10:X14),ISBLANK(AV10:AV14)), "·", bdRateExtend( S10:S14,X10:X14, AQ10:AQ14,AV10:AV14))</f>
        <v>-1.6802229837568072E-3</v>
      </c>
      <c r="BR10" s="58">
        <f>IF( OR(ISBLANK(S10:S14),ISBLANK(AQ10:AQ14), ISBLANK(Y10:Y14),ISBLANK(AW10:AW14)), "·", bdRateExtend( S10:S14,Y10:Y14, AQ10:AQ14,AW10:AW14))</f>
        <v>-2.1896499961630012E-3</v>
      </c>
      <c r="BS10" s="58">
        <f>IF( OR(ISBLANK(S10:S14),ISBLANK(AQ10:AQ14), ISBLANK(Z10:Z14),ISBLANK(AX10:AX14)), "·", bdRateExtend( S10:S14,Z10:Z14, AQ10:AQ14,AX10:AX14))</f>
        <v>-1.685089229173875E-3</v>
      </c>
      <c r="BT10" s="58">
        <f>IF( OR(ISBLANK(S10:S14),ISBLANK(AQ10:AQ14), ISBLANK(AA10:AA14),ISBLANK(AY10:AY14)), "·", bdRateExtend( S10:S14,AA10:AA14, AQ10:AQ14,AY10:AY14))</f>
        <v>-2.4091663311193168E-3</v>
      </c>
    </row>
    <row r="11" spans="1:72" outlineLevel="1" x14ac:dyDescent="0.25">
      <c r="A11" s="129"/>
      <c r="B11" s="129" t="s">
        <v>59</v>
      </c>
      <c r="C11" s="10" t="s">
        <v>233</v>
      </c>
      <c r="D11" s="129">
        <v>218121242</v>
      </c>
      <c r="E11" s="10">
        <v>10</v>
      </c>
      <c r="F11" s="10">
        <v>300</v>
      </c>
      <c r="G11" s="10">
        <v>30</v>
      </c>
      <c r="I11" s="11">
        <f t="shared" si="0"/>
        <v>2.9212192000000003</v>
      </c>
      <c r="J11" s="12">
        <f t="shared" si="1"/>
        <v>0.1339263967697378</v>
      </c>
      <c r="K11" s="12">
        <f t="shared" si="2"/>
        <v>9.0412725597812243E-2</v>
      </c>
      <c r="L11" s="12">
        <f t="shared" si="3"/>
        <v>5.8129065668899867E-2</v>
      </c>
      <c r="M11" s="12">
        <f t="shared" si="4"/>
        <v>4.3513671171925568E-2</v>
      </c>
      <c r="N11" s="129">
        <f t="shared" si="5"/>
        <v>19720936</v>
      </c>
      <c r="O11" s="12">
        <v>16</v>
      </c>
      <c r="P11" s="13">
        <v>214431738</v>
      </c>
      <c r="Q11" s="13">
        <v>714772.46</v>
      </c>
      <c r="R11" s="13">
        <v>25010.959999999999</v>
      </c>
      <c r="S11" s="14">
        <v>29212192</v>
      </c>
      <c r="T11" s="14">
        <v>12679184</v>
      </c>
      <c r="U11" s="14">
        <v>7041752</v>
      </c>
      <c r="V11" s="14">
        <v>9491256</v>
      </c>
      <c r="W11" s="15">
        <v>67.574102999999994</v>
      </c>
      <c r="X11" s="15">
        <v>69.611167666666603</v>
      </c>
      <c r="Y11" s="15">
        <v>32.669739999999997</v>
      </c>
      <c r="Z11" s="15">
        <v>39.622696333333401</v>
      </c>
      <c r="AA11" s="15">
        <v>32.107823000000003</v>
      </c>
      <c r="AB11" s="16">
        <v>31206.2</v>
      </c>
      <c r="AC11" s="16">
        <v>62199.4</v>
      </c>
      <c r="AD11" s="16">
        <v>74.247</v>
      </c>
      <c r="AE11" s="16">
        <v>282.92</v>
      </c>
      <c r="AG11" s="11">
        <f t="shared" si="6"/>
        <v>2.9195280000000001</v>
      </c>
      <c r="AH11" s="12">
        <f t="shared" si="7"/>
        <v>0.1338488619095613</v>
      </c>
      <c r="AI11" s="12">
        <f t="shared" si="8"/>
        <v>9.0412725597812243E-2</v>
      </c>
      <c r="AJ11" s="12">
        <f t="shared" si="9"/>
        <v>5.8129065668899867E-2</v>
      </c>
      <c r="AK11" s="12">
        <f t="shared" si="10"/>
        <v>4.3436136311749043E-2</v>
      </c>
      <c r="AL11" s="129">
        <f t="shared" si="11"/>
        <v>19720936</v>
      </c>
      <c r="AM11" s="12">
        <v>16</v>
      </c>
      <c r="AN11" s="13">
        <v>214431738</v>
      </c>
      <c r="AO11" s="13">
        <v>714772.46</v>
      </c>
      <c r="AP11" s="13">
        <v>25010.959999999999</v>
      </c>
      <c r="AQ11" s="14">
        <v>29195280</v>
      </c>
      <c r="AR11" s="14">
        <v>12679184</v>
      </c>
      <c r="AS11" s="14">
        <v>7041752</v>
      </c>
      <c r="AT11" s="14">
        <v>9474344</v>
      </c>
      <c r="AU11" s="15">
        <v>67.574102999999994</v>
      </c>
      <c r="AV11" s="15">
        <v>69.611167666666603</v>
      </c>
      <c r="AW11" s="15">
        <v>32.679231999999999</v>
      </c>
      <c r="AX11" s="15">
        <v>39.611995333333297</v>
      </c>
      <c r="AY11" s="15">
        <v>32.107638333333298</v>
      </c>
      <c r="AZ11" s="16">
        <v>30950</v>
      </c>
      <c r="BA11" s="16">
        <v>62067.3</v>
      </c>
      <c r="BB11" s="16">
        <v>485.947</v>
      </c>
      <c r="BC11" s="16">
        <v>291.60199999999998</v>
      </c>
      <c r="BE11" s="62">
        <f t="shared" si="12"/>
        <v>1</v>
      </c>
      <c r="BF11" s="17">
        <f t="shared" si="13"/>
        <v>0</v>
      </c>
      <c r="BG11" s="17">
        <f t="shared" si="14"/>
        <v>3.91062076930071E-4</v>
      </c>
      <c r="BH11" s="17"/>
      <c r="BJ11" s="62"/>
      <c r="BK11" s="62"/>
      <c r="BL11" s="62"/>
      <c r="BM11" s="62"/>
      <c r="BN11" s="62"/>
      <c r="BP11" s="62"/>
      <c r="BQ11" s="62"/>
      <c r="BR11" s="62"/>
      <c r="BS11" s="62"/>
      <c r="BT11" s="62"/>
    </row>
    <row r="12" spans="1:72" outlineLevel="1" x14ac:dyDescent="0.25">
      <c r="A12" s="18"/>
      <c r="B12" s="18" t="s">
        <v>59</v>
      </c>
      <c r="C12" s="19" t="s">
        <v>234</v>
      </c>
      <c r="D12" s="18">
        <v>218121242</v>
      </c>
      <c r="E12" s="19">
        <v>10</v>
      </c>
      <c r="F12" s="19">
        <v>300</v>
      </c>
      <c r="G12" s="19">
        <v>30</v>
      </c>
      <c r="I12" s="20">
        <f t="shared" si="0"/>
        <v>4.1648335999999997</v>
      </c>
      <c r="J12" s="21">
        <f t="shared" si="1"/>
        <v>0.19094121974603465</v>
      </c>
      <c r="K12" s="21">
        <f t="shared" si="2"/>
        <v>0.11569165739483549</v>
      </c>
      <c r="L12" s="21">
        <f t="shared" si="3"/>
        <v>8.3407997465923103E-2</v>
      </c>
      <c r="M12" s="21">
        <f t="shared" si="4"/>
        <v>7.5249562351199159E-2</v>
      </c>
      <c r="N12" s="18">
        <f t="shared" si="5"/>
        <v>25234808</v>
      </c>
      <c r="O12" s="21">
        <v>16</v>
      </c>
      <c r="P12" s="22">
        <v>217408494</v>
      </c>
      <c r="Q12" s="22">
        <v>724694.98</v>
      </c>
      <c r="R12" s="22">
        <v>26563.503333333301</v>
      </c>
      <c r="S12" s="23">
        <v>41648336</v>
      </c>
      <c r="T12" s="23">
        <v>18193056</v>
      </c>
      <c r="U12" s="23">
        <v>7041752</v>
      </c>
      <c r="V12" s="23">
        <v>16413528</v>
      </c>
      <c r="W12" s="24">
        <v>68.898682333333298</v>
      </c>
      <c r="X12" s="24">
        <v>71.250570999999994</v>
      </c>
      <c r="Y12" s="24">
        <v>34.690624333333403</v>
      </c>
      <c r="Z12" s="24">
        <v>40.563835666666598</v>
      </c>
      <c r="AA12" s="24">
        <v>33.990293999999999</v>
      </c>
      <c r="AB12" s="25">
        <v>30924.799999999999</v>
      </c>
      <c r="AC12" s="25">
        <v>65616.399999999994</v>
      </c>
      <c r="AD12" s="25">
        <v>73.106999999999999</v>
      </c>
      <c r="AE12" s="25">
        <v>279.38099999999997</v>
      </c>
      <c r="AG12" s="20">
        <f t="shared" si="6"/>
        <v>4.1579784000000002</v>
      </c>
      <c r="AH12" s="21">
        <f t="shared" si="7"/>
        <v>0.19062693582131721</v>
      </c>
      <c r="AI12" s="21">
        <f t="shared" si="8"/>
        <v>0.11569165739483549</v>
      </c>
      <c r="AJ12" s="21">
        <f t="shared" si="9"/>
        <v>8.3407997465923103E-2</v>
      </c>
      <c r="AK12" s="21">
        <f t="shared" si="10"/>
        <v>7.4935278426481733E-2</v>
      </c>
      <c r="AL12" s="18">
        <f t="shared" si="11"/>
        <v>25234808</v>
      </c>
      <c r="AM12" s="21">
        <v>16</v>
      </c>
      <c r="AN12" s="22">
        <v>217408494</v>
      </c>
      <c r="AO12" s="22">
        <v>724694.98</v>
      </c>
      <c r="AP12" s="22">
        <v>26563.503333333301</v>
      </c>
      <c r="AQ12" s="23">
        <v>41579784</v>
      </c>
      <c r="AR12" s="23">
        <v>18193056</v>
      </c>
      <c r="AS12" s="23">
        <v>7041752</v>
      </c>
      <c r="AT12" s="23">
        <v>16344976</v>
      </c>
      <c r="AU12" s="24">
        <v>68.898682333333298</v>
      </c>
      <c r="AV12" s="24">
        <v>71.250570999999994</v>
      </c>
      <c r="AW12" s="24">
        <v>34.692301999999998</v>
      </c>
      <c r="AX12" s="24">
        <v>40.566290000000002</v>
      </c>
      <c r="AY12" s="24">
        <v>33.990343000000003</v>
      </c>
      <c r="AZ12" s="25">
        <v>30812.7</v>
      </c>
      <c r="BA12" s="25">
        <v>66134.5</v>
      </c>
      <c r="BB12" s="25">
        <v>491.01499999999999</v>
      </c>
      <c r="BC12" s="25">
        <v>297.80900000000003</v>
      </c>
      <c r="BE12" s="58">
        <f t="shared" si="12"/>
        <v>1</v>
      </c>
      <c r="BF12" s="26">
        <f t="shared" si="13"/>
        <v>0</v>
      </c>
      <c r="BG12" s="26">
        <f t="shared" si="14"/>
        <v>9.9894194933536351E-4</v>
      </c>
      <c r="BH12" s="26"/>
      <c r="BJ12" s="58"/>
      <c r="BK12" s="58"/>
      <c r="BL12" s="58"/>
      <c r="BM12" s="58"/>
      <c r="BN12" s="58"/>
      <c r="BP12" s="58"/>
      <c r="BQ12" s="58"/>
      <c r="BR12" s="58"/>
      <c r="BS12" s="58"/>
      <c r="BT12" s="58"/>
    </row>
    <row r="13" spans="1:72" outlineLevel="1" x14ac:dyDescent="0.25">
      <c r="A13" s="129"/>
      <c r="B13" s="129" t="s">
        <v>59</v>
      </c>
      <c r="C13" s="10" t="s">
        <v>235</v>
      </c>
      <c r="D13" s="129">
        <v>218121242</v>
      </c>
      <c r="E13" s="10">
        <v>10</v>
      </c>
      <c r="F13" s="10">
        <v>300</v>
      </c>
      <c r="G13" s="10">
        <v>30</v>
      </c>
      <c r="I13" s="11">
        <f t="shared" si="0"/>
        <v>6.7487455999999995</v>
      </c>
      <c r="J13" s="12">
        <f t="shared" si="1"/>
        <v>0.3094034096871684</v>
      </c>
      <c r="K13" s="12">
        <f t="shared" si="2"/>
        <v>0.16260028447848285</v>
      </c>
      <c r="L13" s="12">
        <f t="shared" si="3"/>
        <v>0.13031662454957046</v>
      </c>
      <c r="M13" s="12">
        <f t="shared" si="4"/>
        <v>0.14680312520868555</v>
      </c>
      <c r="N13" s="129">
        <f t="shared" si="5"/>
        <v>35466576</v>
      </c>
      <c r="O13" s="12">
        <v>16</v>
      </c>
      <c r="P13" s="13">
        <v>225163089</v>
      </c>
      <c r="Q13" s="13">
        <v>750543.63</v>
      </c>
      <c r="R13" s="13">
        <v>30141.4666666667</v>
      </c>
      <c r="S13" s="14">
        <v>67487456</v>
      </c>
      <c r="T13" s="14">
        <v>28424824</v>
      </c>
      <c r="U13" s="14">
        <v>7041752</v>
      </c>
      <c r="V13" s="14">
        <v>32020880</v>
      </c>
      <c r="W13" s="15">
        <v>69.946918666666704</v>
      </c>
      <c r="X13" s="15">
        <v>72.471755333333306</v>
      </c>
      <c r="Y13" s="15">
        <v>36.892521000000002</v>
      </c>
      <c r="Z13" s="15">
        <v>41.619339333333301</v>
      </c>
      <c r="AA13" s="15">
        <v>35.919769333333299</v>
      </c>
      <c r="AB13" s="16">
        <v>30983.1</v>
      </c>
      <c r="AC13" s="16">
        <v>69963.399999999994</v>
      </c>
      <c r="AD13" s="16">
        <v>70.150999999999996</v>
      </c>
      <c r="AE13" s="16">
        <v>275.52699999999999</v>
      </c>
      <c r="AG13" s="11">
        <f t="shared" si="6"/>
        <v>6.7277208000000002</v>
      </c>
      <c r="AH13" s="12">
        <f t="shared" si="7"/>
        <v>0.30843950540131254</v>
      </c>
      <c r="AI13" s="12">
        <f t="shared" si="8"/>
        <v>0.16260028447848285</v>
      </c>
      <c r="AJ13" s="12">
        <f t="shared" si="9"/>
        <v>0.13031662454957046</v>
      </c>
      <c r="AK13" s="12">
        <f t="shared" si="10"/>
        <v>0.14583922092282969</v>
      </c>
      <c r="AL13" s="129">
        <f t="shared" si="11"/>
        <v>35466576</v>
      </c>
      <c r="AM13" s="12">
        <v>16</v>
      </c>
      <c r="AN13" s="13">
        <v>225163089</v>
      </c>
      <c r="AO13" s="13">
        <v>750543.63</v>
      </c>
      <c r="AP13" s="13">
        <v>30141.4666666667</v>
      </c>
      <c r="AQ13" s="14">
        <v>67277208</v>
      </c>
      <c r="AR13" s="14">
        <v>28424824</v>
      </c>
      <c r="AS13" s="14">
        <v>7041752</v>
      </c>
      <c r="AT13" s="14">
        <v>31810632</v>
      </c>
      <c r="AU13" s="15">
        <v>69.946918666666704</v>
      </c>
      <c r="AV13" s="15">
        <v>72.471755333333306</v>
      </c>
      <c r="AW13" s="15">
        <v>36.882745333333297</v>
      </c>
      <c r="AX13" s="15">
        <v>41.618031333333299</v>
      </c>
      <c r="AY13" s="15">
        <v>35.9194666666667</v>
      </c>
      <c r="AZ13" s="16">
        <v>31009.3</v>
      </c>
      <c r="BA13" s="16">
        <v>71234.100000000006</v>
      </c>
      <c r="BB13" s="16">
        <v>510.12400000000002</v>
      </c>
      <c r="BC13" s="16">
        <v>302.38799999999998</v>
      </c>
      <c r="BE13" s="62">
        <f t="shared" si="12"/>
        <v>1</v>
      </c>
      <c r="BF13" s="17">
        <f t="shared" si="13"/>
        <v>0</v>
      </c>
      <c r="BG13" s="17">
        <f t="shared" si="14"/>
        <v>1.6423288384626034E-3</v>
      </c>
      <c r="BH13" s="17"/>
      <c r="BJ13" s="62"/>
      <c r="BK13" s="62"/>
      <c r="BL13" s="62"/>
      <c r="BM13" s="62"/>
      <c r="BN13" s="62"/>
      <c r="BP13" s="62"/>
      <c r="BQ13" s="62"/>
      <c r="BR13" s="62"/>
      <c r="BS13" s="62"/>
      <c r="BT13" s="62"/>
    </row>
    <row r="14" spans="1:72" outlineLevel="1" x14ac:dyDescent="0.25">
      <c r="A14" s="18"/>
      <c r="B14" s="37" t="s">
        <v>59</v>
      </c>
      <c r="C14" s="38" t="s">
        <v>236</v>
      </c>
      <c r="D14" s="37">
        <v>218121242</v>
      </c>
      <c r="E14" s="38">
        <v>10</v>
      </c>
      <c r="F14" s="38">
        <v>300</v>
      </c>
      <c r="G14" s="38">
        <v>30</v>
      </c>
      <c r="I14" s="39">
        <f t="shared" si="0"/>
        <v>13.2512928</v>
      </c>
      <c r="J14" s="40">
        <f t="shared" si="1"/>
        <v>0.6075195922458575</v>
      </c>
      <c r="K14" s="40">
        <f t="shared" si="2"/>
        <v>0.27360654768323756</v>
      </c>
      <c r="L14" s="40">
        <f t="shared" si="3"/>
        <v>0.21076901808582219</v>
      </c>
      <c r="M14" s="40">
        <f t="shared" si="4"/>
        <v>0.33391304456261989</v>
      </c>
      <c r="N14" s="37">
        <f t="shared" si="5"/>
        <v>59679400</v>
      </c>
      <c r="O14" s="40">
        <v>16</v>
      </c>
      <c r="P14" s="41">
        <v>212925678</v>
      </c>
      <c r="Q14" s="41">
        <v>709752.26</v>
      </c>
      <c r="R14" s="41">
        <v>14252.19</v>
      </c>
      <c r="S14" s="42">
        <v>132512928</v>
      </c>
      <c r="T14" s="42">
        <v>45973200</v>
      </c>
      <c r="U14" s="42">
        <v>13706200</v>
      </c>
      <c r="V14" s="42">
        <v>72833528</v>
      </c>
      <c r="W14" s="43">
        <v>70.806886666666699</v>
      </c>
      <c r="X14" s="43">
        <v>74.5742093333333</v>
      </c>
      <c r="Y14" s="43">
        <v>39.285404</v>
      </c>
      <c r="Z14" s="43">
        <v>42.9040483333333</v>
      </c>
      <c r="AA14" s="43">
        <v>38.014283666666699</v>
      </c>
      <c r="AB14" s="44">
        <v>30650.3</v>
      </c>
      <c r="AC14" s="44">
        <v>76910.3</v>
      </c>
      <c r="AD14" s="44">
        <v>64.278999999999996</v>
      </c>
      <c r="AE14" s="44">
        <v>273.339</v>
      </c>
      <c r="AG14" s="39">
        <f t="shared" si="6"/>
        <v>13.221744800000002</v>
      </c>
      <c r="AH14" s="40">
        <f t="shared" si="7"/>
        <v>0.60616493280374772</v>
      </c>
      <c r="AI14" s="40">
        <f t="shared" si="8"/>
        <v>0.27360654768323756</v>
      </c>
      <c r="AJ14" s="40">
        <f t="shared" si="9"/>
        <v>0.21076901808582219</v>
      </c>
      <c r="AK14" s="40">
        <f t="shared" si="10"/>
        <v>0.33255838512051017</v>
      </c>
      <c r="AL14" s="37">
        <f t="shared" si="11"/>
        <v>59679400</v>
      </c>
      <c r="AM14" s="40">
        <v>16</v>
      </c>
      <c r="AN14" s="41">
        <v>212925678</v>
      </c>
      <c r="AO14" s="41">
        <v>709752.26</v>
      </c>
      <c r="AP14" s="41">
        <v>14252.19</v>
      </c>
      <c r="AQ14" s="42">
        <v>132217448</v>
      </c>
      <c r="AR14" s="42">
        <v>45973200</v>
      </c>
      <c r="AS14" s="42">
        <v>13706200</v>
      </c>
      <c r="AT14" s="42">
        <v>72538048</v>
      </c>
      <c r="AU14" s="43">
        <v>70.806886666666699</v>
      </c>
      <c r="AV14" s="43">
        <v>74.5742093333333</v>
      </c>
      <c r="AW14" s="43">
        <v>39.298372333333297</v>
      </c>
      <c r="AX14" s="43">
        <v>42.915351999999999</v>
      </c>
      <c r="AY14" s="43">
        <v>38.038868333333397</v>
      </c>
      <c r="AZ14" s="44">
        <v>31005</v>
      </c>
      <c r="BA14" s="44">
        <v>79170.7</v>
      </c>
      <c r="BB14" s="44">
        <v>484.05700000000002</v>
      </c>
      <c r="BC14" s="44">
        <v>339.06900000000002</v>
      </c>
      <c r="BE14" s="45">
        <f t="shared" si="12"/>
        <v>1</v>
      </c>
      <c r="BF14" s="46">
        <f t="shared" si="13"/>
        <v>0</v>
      </c>
      <c r="BG14" s="46">
        <f t="shared" si="14"/>
        <v>1.0064808542936121E-3</v>
      </c>
      <c r="BH14" s="46"/>
      <c r="BJ14" s="45"/>
      <c r="BK14" s="45"/>
      <c r="BL14" s="45"/>
      <c r="BM14" s="45"/>
      <c r="BN14" s="45"/>
      <c r="BP14" s="45"/>
      <c r="BQ14" s="45"/>
      <c r="BR14" s="45"/>
      <c r="BS14" s="45"/>
      <c r="BT14" s="45"/>
    </row>
    <row r="15" spans="1:72" x14ac:dyDescent="0.25">
      <c r="A15" s="129"/>
      <c r="B15" s="129" t="s">
        <v>64</v>
      </c>
      <c r="C15" s="10" t="s">
        <v>232</v>
      </c>
      <c r="D15" s="129">
        <v>322589704</v>
      </c>
      <c r="E15" s="10">
        <v>10</v>
      </c>
      <c r="F15" s="10">
        <v>300</v>
      </c>
      <c r="G15" s="10">
        <v>30</v>
      </c>
      <c r="I15" s="11">
        <f t="shared" si="0"/>
        <v>1.887748</v>
      </c>
      <c r="J15" s="12">
        <f t="shared" si="1"/>
        <v>5.8518544658821475E-2</v>
      </c>
      <c r="K15" s="12">
        <f t="shared" si="2"/>
        <v>4.8601278359460598E-2</v>
      </c>
      <c r="L15" s="12">
        <f t="shared" si="3"/>
        <v>2.6890504850086597E-2</v>
      </c>
      <c r="M15" s="12">
        <f t="shared" si="4"/>
        <v>9.9172662993608756E-3</v>
      </c>
      <c r="N15" s="129">
        <f t="shared" si="5"/>
        <v>15678272</v>
      </c>
      <c r="O15" s="12">
        <v>16</v>
      </c>
      <c r="P15" s="13">
        <v>308654013</v>
      </c>
      <c r="Q15" s="13">
        <v>1028846.71</v>
      </c>
      <c r="R15" s="13">
        <v>31662.186666666701</v>
      </c>
      <c r="S15" s="14">
        <v>18877480</v>
      </c>
      <c r="T15" s="14">
        <v>8674600</v>
      </c>
      <c r="U15" s="14">
        <v>7003672</v>
      </c>
      <c r="V15" s="14">
        <v>3199208</v>
      </c>
      <c r="W15" s="15">
        <v>66.288795666666601</v>
      </c>
      <c r="X15" s="15">
        <v>67.884240666666699</v>
      </c>
      <c r="Y15" s="15">
        <v>29.014768333333301</v>
      </c>
      <c r="Z15" s="15">
        <v>43.360642666666699</v>
      </c>
      <c r="AA15" s="15">
        <v>43.5883513333333</v>
      </c>
      <c r="AB15" s="16">
        <v>43570.400000000001</v>
      </c>
      <c r="AC15" s="16">
        <v>49704.800000000003</v>
      </c>
      <c r="AD15" s="16">
        <v>95.912000000000006</v>
      </c>
      <c r="AE15" s="16">
        <v>257.82900000000001</v>
      </c>
      <c r="AG15" s="11">
        <f t="shared" si="6"/>
        <v>1.8866416000000001</v>
      </c>
      <c r="AH15" s="12">
        <f t="shared" si="7"/>
        <v>5.8484247221975816E-2</v>
      </c>
      <c r="AI15" s="12">
        <f t="shared" si="8"/>
        <v>4.8601278359460598E-2</v>
      </c>
      <c r="AJ15" s="12">
        <f t="shared" si="9"/>
        <v>2.6890504850086597E-2</v>
      </c>
      <c r="AK15" s="12">
        <f t="shared" si="10"/>
        <v>9.8829688625152162E-3</v>
      </c>
      <c r="AL15" s="129">
        <f t="shared" si="11"/>
        <v>15678272</v>
      </c>
      <c r="AM15" s="12">
        <v>16</v>
      </c>
      <c r="AN15" s="13">
        <v>308654013</v>
      </c>
      <c r="AO15" s="13">
        <v>1028846.71</v>
      </c>
      <c r="AP15" s="13">
        <v>31662.186666666701</v>
      </c>
      <c r="AQ15" s="14">
        <v>18866416</v>
      </c>
      <c r="AR15" s="14">
        <v>8674600</v>
      </c>
      <c r="AS15" s="14">
        <v>7003672</v>
      </c>
      <c r="AT15" s="14">
        <v>3188144</v>
      </c>
      <c r="AU15" s="15">
        <v>66.288795666666601</v>
      </c>
      <c r="AV15" s="15">
        <v>67.884240666666699</v>
      </c>
      <c r="AW15" s="15">
        <v>29.027851666666599</v>
      </c>
      <c r="AX15" s="15">
        <v>43.379063333333299</v>
      </c>
      <c r="AY15" s="15">
        <v>43.586013333333298</v>
      </c>
      <c r="AZ15" s="16">
        <v>43259.7</v>
      </c>
      <c r="BA15" s="16">
        <v>50456.9</v>
      </c>
      <c r="BB15" s="16">
        <v>696.01599999999996</v>
      </c>
      <c r="BC15" s="16">
        <v>274.12900000000002</v>
      </c>
      <c r="BE15" s="62">
        <f t="shared" si="12"/>
        <v>1</v>
      </c>
      <c r="BF15" s="17">
        <f t="shared" si="13"/>
        <v>0</v>
      </c>
      <c r="BG15" s="17">
        <f t="shared" si="14"/>
        <v>4.8705380067493032E-4</v>
      </c>
      <c r="BH15" s="17">
        <f t="array" ref="BH15">AVERAGE(AL15:AL19/AQ15:AQ19) - AVERAGE(N15:N19/S15:S19)</f>
        <v>3.5318088645619472E-3</v>
      </c>
      <c r="BJ15" s="62">
        <f>IF( OR(ISBLANK(N15:N19),ISBLANK(AL15:AL19), ISBLANK(W15:W19),ISBLANK(AU15:AU19)), "·", bdRateExtend( N15:N19,W15:W19, AL15:AL19,AU15:AU19))</f>
        <v>0</v>
      </c>
      <c r="BK15" s="62">
        <f>IF( OR(ISBLANK(N15:N19),ISBLANK(AL15:AL19), ISBLANK(X15:X19),ISBLANK(AV15:AV19)), "·", bdRateExtend( N15:N19,X15:X19, AL15:AL19,AV15:AV19))</f>
        <v>0</v>
      </c>
      <c r="BL15" s="62">
        <f>IF( OR(ISBLANK(V15:V19),ISBLANK(AT15:AT19), ISBLANK(Y15:Y19),ISBLANK(AW15:AW19)), "·", bdRateExtend( V15:V19,Y15:Y19, AT15:AT19,AW15:AW19))</f>
        <v>-1.5729884716034315E-2</v>
      </c>
      <c r="BM15" s="62">
        <f>IF( OR(ISBLANK(V15:V19),ISBLANK(AT15:AT19), ISBLANK(Z15:Z19),ISBLANK(AX15:AX19)), "·", bdRateExtend( V15:V19,Z15:Z19, AT15:AT19,AX15:AX19))</f>
        <v>-1.6543348762652066E-2</v>
      </c>
      <c r="BN15" s="62">
        <f>IF( OR(ISBLANK(V15:V19),ISBLANK(AT15:AT19), ISBLANK(AA15:AA19),ISBLANK(AY15:AY19)), "·", bdRateExtend( V15:V19,AA15:AA19, AT15:AT19,AY15:AY19))</f>
        <v>-6.8548565319803689E-3</v>
      </c>
      <c r="BP15" s="62">
        <f>IF( OR(ISBLANK(S15:S19),ISBLANK(AQ15:AQ19), ISBLANK(W15:W19),ISBLANK(AU15:AU19)), "·", bdRateExtend( S15:S19,W15:W19, AQ15:AQ19,AU15:AU19))</f>
        <v>-4.7027680582435449E-3</v>
      </c>
      <c r="BQ15" s="62">
        <f>IF( OR(ISBLANK(S15:S19),ISBLANK(AQ15:AQ19), ISBLANK(X15:X19),ISBLANK(AV15:AV19)), "·", bdRateExtend( S15:S19,X15:X19, AQ15:AQ19,AV15:AV19))</f>
        <v>-6.1157247281746763E-3</v>
      </c>
      <c r="BR15" s="62">
        <f>IF( OR(ISBLANK(S15:S19),ISBLANK(AQ15:AQ19), ISBLANK(Y15:Y19),ISBLANK(AW15:AW19)), "·", bdRateExtend( S15:S19,Y15:Y19, AQ15:AQ19,AW15:AW19))</f>
        <v>-6.4915693036199373E-3</v>
      </c>
      <c r="BS15" s="62">
        <f>IF( OR(ISBLANK(S15:S19),ISBLANK(AQ15:AQ19), ISBLANK(Z15:Z19),ISBLANK(AX15:AX19)), "·", bdRateExtend( S15:S19,Z15:Z19, AQ15:AQ19,AX15:AX19))</f>
        <v>-6.9936146188183113E-3</v>
      </c>
      <c r="BT15" s="62">
        <f>IF( OR(ISBLANK(S15:S19),ISBLANK(AQ15:AQ19), ISBLANK(AA15:AA19),ISBLANK(AY15:AY19)), "·", bdRateExtend( S15:S19,AA15:AA19, AQ15:AQ19,AY15:AY19))</f>
        <v>-2.1268839528054695E-3</v>
      </c>
    </row>
    <row r="16" spans="1:72" outlineLevel="1" x14ac:dyDescent="0.25">
      <c r="A16" s="18"/>
      <c r="B16" s="18" t="s">
        <v>64</v>
      </c>
      <c r="C16" s="19" t="s">
        <v>233</v>
      </c>
      <c r="D16" s="18">
        <v>322589704</v>
      </c>
      <c r="E16" s="19">
        <v>10</v>
      </c>
      <c r="F16" s="19">
        <v>300</v>
      </c>
      <c r="G16" s="19">
        <v>30</v>
      </c>
      <c r="I16" s="20">
        <f t="shared" si="0"/>
        <v>2.5150647999999998</v>
      </c>
      <c r="J16" s="21">
        <f t="shared" si="1"/>
        <v>7.796481936075679E-2</v>
      </c>
      <c r="K16" s="21">
        <f t="shared" si="2"/>
        <v>5.8895940460641609E-2</v>
      </c>
      <c r="L16" s="21">
        <f t="shared" si="3"/>
        <v>3.7185166951267605E-2</v>
      </c>
      <c r="M16" s="21">
        <f t="shared" si="4"/>
        <v>1.9068878900115174E-2</v>
      </c>
      <c r="N16" s="18">
        <f t="shared" si="5"/>
        <v>18999224</v>
      </c>
      <c r="O16" s="21">
        <v>16</v>
      </c>
      <c r="P16" s="22">
        <v>321094751</v>
      </c>
      <c r="Q16" s="22">
        <v>1070315.8366666699</v>
      </c>
      <c r="R16" s="22">
        <v>36528.910000000003</v>
      </c>
      <c r="S16" s="23">
        <v>25150648</v>
      </c>
      <c r="T16" s="23">
        <v>11995552</v>
      </c>
      <c r="U16" s="23">
        <v>7003672</v>
      </c>
      <c r="V16" s="23">
        <v>6151424</v>
      </c>
      <c r="W16" s="24">
        <v>68.000212666666698</v>
      </c>
      <c r="X16" s="24">
        <v>70.007170333333306</v>
      </c>
      <c r="Y16" s="24">
        <v>31.329467333333401</v>
      </c>
      <c r="Z16" s="24">
        <v>44.0489416666667</v>
      </c>
      <c r="AA16" s="24">
        <v>44.375662333333302</v>
      </c>
      <c r="AB16" s="25">
        <v>43490.3</v>
      </c>
      <c r="AC16" s="25">
        <v>52977.8</v>
      </c>
      <c r="AD16" s="25">
        <v>98.206000000000003</v>
      </c>
      <c r="AE16" s="25">
        <v>256.83100000000002</v>
      </c>
      <c r="AG16" s="20">
        <f t="shared" si="6"/>
        <v>2.5117087999999996</v>
      </c>
      <c r="AH16" s="21">
        <f t="shared" si="7"/>
        <v>7.7860786282255304E-2</v>
      </c>
      <c r="AI16" s="21">
        <f t="shared" si="8"/>
        <v>5.8895940460641609E-2</v>
      </c>
      <c r="AJ16" s="21">
        <f t="shared" si="9"/>
        <v>3.7185166951267605E-2</v>
      </c>
      <c r="AK16" s="21">
        <f t="shared" si="10"/>
        <v>1.8964845821613698E-2</v>
      </c>
      <c r="AL16" s="18">
        <f t="shared" si="11"/>
        <v>18999224</v>
      </c>
      <c r="AM16" s="21">
        <v>16</v>
      </c>
      <c r="AN16" s="22">
        <v>321094751</v>
      </c>
      <c r="AO16" s="22">
        <v>1070315.8366666699</v>
      </c>
      <c r="AP16" s="22">
        <v>36528.910000000003</v>
      </c>
      <c r="AQ16" s="23">
        <v>25117088</v>
      </c>
      <c r="AR16" s="23">
        <v>11995552</v>
      </c>
      <c r="AS16" s="23">
        <v>7003672</v>
      </c>
      <c r="AT16" s="23">
        <v>6117864</v>
      </c>
      <c r="AU16" s="24">
        <v>68.000212666666698</v>
      </c>
      <c r="AV16" s="24">
        <v>70.007170333333306</v>
      </c>
      <c r="AW16" s="24">
        <v>31.339413333333301</v>
      </c>
      <c r="AX16" s="24">
        <v>44.048478666666703</v>
      </c>
      <c r="AY16" s="24">
        <v>44.317250666666702</v>
      </c>
      <c r="AZ16" s="25">
        <v>43379.8</v>
      </c>
      <c r="BA16" s="25">
        <v>53924.9</v>
      </c>
      <c r="BB16" s="25">
        <v>724.12599999999998</v>
      </c>
      <c r="BC16" s="25">
        <v>288.02300000000002</v>
      </c>
      <c r="BE16" s="58">
        <f t="shared" si="12"/>
        <v>1</v>
      </c>
      <c r="BF16" s="26">
        <f t="shared" si="13"/>
        <v>0</v>
      </c>
      <c r="BG16" s="26">
        <f t="shared" si="14"/>
        <v>1.009344333091966E-3</v>
      </c>
      <c r="BH16" s="26"/>
      <c r="BJ16" s="58"/>
      <c r="BK16" s="58"/>
      <c r="BL16" s="58"/>
      <c r="BM16" s="58"/>
      <c r="BN16" s="58"/>
      <c r="BP16" s="58"/>
      <c r="BQ16" s="58"/>
      <c r="BR16" s="58"/>
      <c r="BS16" s="58"/>
      <c r="BT16" s="58"/>
    </row>
    <row r="17" spans="1:72" outlineLevel="1" x14ac:dyDescent="0.25">
      <c r="A17" s="129"/>
      <c r="B17" s="129" t="s">
        <v>64</v>
      </c>
      <c r="C17" s="10" t="s">
        <v>234</v>
      </c>
      <c r="D17" s="129">
        <v>322589704</v>
      </c>
      <c r="E17" s="10">
        <v>10</v>
      </c>
      <c r="F17" s="10">
        <v>300</v>
      </c>
      <c r="G17" s="10">
        <v>30</v>
      </c>
      <c r="I17" s="11">
        <f t="shared" si="0"/>
        <v>3.6213848</v>
      </c>
      <c r="J17" s="12">
        <f t="shared" si="1"/>
        <v>0.11225977627605871</v>
      </c>
      <c r="K17" s="12">
        <f t="shared" si="2"/>
        <v>7.2910522897531777E-2</v>
      </c>
      <c r="L17" s="12">
        <f t="shared" si="3"/>
        <v>5.1199749388157779E-2</v>
      </c>
      <c r="M17" s="12">
        <f t="shared" si="4"/>
        <v>3.9349253378526926E-2</v>
      </c>
      <c r="N17" s="129">
        <f t="shared" si="5"/>
        <v>23520184</v>
      </c>
      <c r="O17" s="12">
        <v>16</v>
      </c>
      <c r="P17" s="13">
        <v>321754793</v>
      </c>
      <c r="Q17" s="13">
        <v>1072515.9766666701</v>
      </c>
      <c r="R17" s="13">
        <v>37385.196666666699</v>
      </c>
      <c r="S17" s="14">
        <v>36213848</v>
      </c>
      <c r="T17" s="14">
        <v>16516512</v>
      </c>
      <c r="U17" s="14">
        <v>7003672</v>
      </c>
      <c r="V17" s="14">
        <v>12693664</v>
      </c>
      <c r="W17" s="15">
        <v>69.319582999999994</v>
      </c>
      <c r="X17" s="15">
        <v>71.776932000000002</v>
      </c>
      <c r="Y17" s="15">
        <v>33.735333333333301</v>
      </c>
      <c r="Z17" s="15">
        <v>45.176124666666702</v>
      </c>
      <c r="AA17" s="15">
        <v>45.586641333333297</v>
      </c>
      <c r="AB17" s="16">
        <v>43466.9</v>
      </c>
      <c r="AC17" s="16">
        <v>56400.5</v>
      </c>
      <c r="AD17" s="16">
        <v>97.942999999999998</v>
      </c>
      <c r="AE17" s="16">
        <v>263.517</v>
      </c>
      <c r="AG17" s="11">
        <f t="shared" si="6"/>
        <v>3.6046376000000002</v>
      </c>
      <c r="AH17" s="12">
        <f t="shared" si="7"/>
        <v>0.11174062765499794</v>
      </c>
      <c r="AI17" s="12">
        <f t="shared" si="8"/>
        <v>7.2910522897531777E-2</v>
      </c>
      <c r="AJ17" s="12">
        <f t="shared" si="9"/>
        <v>5.1199749388157779E-2</v>
      </c>
      <c r="AK17" s="12">
        <f t="shared" si="10"/>
        <v>3.8830104757466156E-2</v>
      </c>
      <c r="AL17" s="129">
        <f t="shared" si="11"/>
        <v>23520184</v>
      </c>
      <c r="AM17" s="12">
        <v>16</v>
      </c>
      <c r="AN17" s="13">
        <v>321754793</v>
      </c>
      <c r="AO17" s="13">
        <v>1072515.9766666701</v>
      </c>
      <c r="AP17" s="13">
        <v>37385.196666666699</v>
      </c>
      <c r="AQ17" s="14">
        <v>36046376</v>
      </c>
      <c r="AR17" s="14">
        <v>16516512</v>
      </c>
      <c r="AS17" s="14">
        <v>7003672</v>
      </c>
      <c r="AT17" s="14">
        <v>12526192</v>
      </c>
      <c r="AU17" s="15">
        <v>69.319582999999994</v>
      </c>
      <c r="AV17" s="15">
        <v>71.776932000000002</v>
      </c>
      <c r="AW17" s="15">
        <v>33.739956999999997</v>
      </c>
      <c r="AX17" s="15">
        <v>45.163038666666601</v>
      </c>
      <c r="AY17" s="15">
        <v>45.588048333333298</v>
      </c>
      <c r="AZ17" s="16">
        <v>43300.3</v>
      </c>
      <c r="BA17" s="16">
        <v>57167.3</v>
      </c>
      <c r="BB17" s="16">
        <v>721.221</v>
      </c>
      <c r="BC17" s="16">
        <v>290.42500000000001</v>
      </c>
      <c r="BE17" s="62">
        <f t="shared" si="12"/>
        <v>1</v>
      </c>
      <c r="BF17" s="17">
        <f t="shared" si="13"/>
        <v>0</v>
      </c>
      <c r="BG17" s="17">
        <f t="shared" si="14"/>
        <v>3.0174955537236592E-3</v>
      </c>
      <c r="BH17" s="17"/>
      <c r="BJ17" s="62"/>
      <c r="BK17" s="62"/>
      <c r="BL17" s="62"/>
      <c r="BM17" s="62"/>
      <c r="BN17" s="62"/>
      <c r="BP17" s="62"/>
      <c r="BQ17" s="62"/>
      <c r="BR17" s="62"/>
      <c r="BS17" s="62"/>
      <c r="BT17" s="62"/>
    </row>
    <row r="18" spans="1:72" outlineLevel="1" x14ac:dyDescent="0.25">
      <c r="A18" s="18"/>
      <c r="B18" s="18" t="s">
        <v>64</v>
      </c>
      <c r="C18" s="19" t="s">
        <v>235</v>
      </c>
      <c r="D18" s="18">
        <v>322589704</v>
      </c>
      <c r="E18" s="19">
        <v>10</v>
      </c>
      <c r="F18" s="19">
        <v>300</v>
      </c>
      <c r="G18" s="19">
        <v>30</v>
      </c>
      <c r="I18" s="20">
        <f t="shared" si="0"/>
        <v>6.3196712000000002</v>
      </c>
      <c r="J18" s="21">
        <f t="shared" si="1"/>
        <v>0.19590430573692458</v>
      </c>
      <c r="K18" s="21">
        <f t="shared" si="2"/>
        <v>0.10682751362703131</v>
      </c>
      <c r="L18" s="21">
        <f t="shared" si="3"/>
        <v>8.5116740117657325E-2</v>
      </c>
      <c r="M18" s="21">
        <f t="shared" si="4"/>
        <v>8.9076792109893249E-2</v>
      </c>
      <c r="N18" s="18">
        <f t="shared" si="5"/>
        <v>34461456</v>
      </c>
      <c r="O18" s="21">
        <v>16</v>
      </c>
      <c r="P18" s="22">
        <v>331702199</v>
      </c>
      <c r="Q18" s="22">
        <v>1105673.9966666701</v>
      </c>
      <c r="R18" s="22">
        <v>41739.050000000003</v>
      </c>
      <c r="S18" s="23">
        <v>63196712</v>
      </c>
      <c r="T18" s="23">
        <v>27457784</v>
      </c>
      <c r="U18" s="23">
        <v>7003672</v>
      </c>
      <c r="V18" s="23">
        <v>28735256</v>
      </c>
      <c r="W18" s="24">
        <v>70.481268666666594</v>
      </c>
      <c r="X18" s="24">
        <v>73.086710999999994</v>
      </c>
      <c r="Y18" s="24">
        <v>36.170915333333397</v>
      </c>
      <c r="Z18" s="24">
        <v>46.487573666666599</v>
      </c>
      <c r="AA18" s="24">
        <v>46.987980333333297</v>
      </c>
      <c r="AB18" s="25">
        <v>43355.7</v>
      </c>
      <c r="AC18" s="25">
        <v>61556.800000000003</v>
      </c>
      <c r="AD18" s="25">
        <v>96.266000000000005</v>
      </c>
      <c r="AE18" s="25">
        <v>267.82499999999999</v>
      </c>
      <c r="AG18" s="20">
        <f t="shared" si="6"/>
        <v>6.2474624000000007</v>
      </c>
      <c r="AH18" s="21">
        <f t="shared" si="7"/>
        <v>0.19366589579684787</v>
      </c>
      <c r="AI18" s="21">
        <f t="shared" si="8"/>
        <v>0.10682751362703131</v>
      </c>
      <c r="AJ18" s="21">
        <f t="shared" si="9"/>
        <v>8.5116740117657325E-2</v>
      </c>
      <c r="AK18" s="21">
        <f t="shared" si="10"/>
        <v>8.6838382169816555E-2</v>
      </c>
      <c r="AL18" s="18">
        <f t="shared" si="11"/>
        <v>34461456</v>
      </c>
      <c r="AM18" s="21">
        <v>16</v>
      </c>
      <c r="AN18" s="22">
        <v>331702199</v>
      </c>
      <c r="AO18" s="22">
        <v>1105673.9966666701</v>
      </c>
      <c r="AP18" s="22">
        <v>41739.050000000003</v>
      </c>
      <c r="AQ18" s="23">
        <v>62474624</v>
      </c>
      <c r="AR18" s="23">
        <v>27457784</v>
      </c>
      <c r="AS18" s="23">
        <v>7003672</v>
      </c>
      <c r="AT18" s="23">
        <v>28013168</v>
      </c>
      <c r="AU18" s="24">
        <v>70.481268666666594</v>
      </c>
      <c r="AV18" s="24">
        <v>73.086710999999994</v>
      </c>
      <c r="AW18" s="24">
        <v>36.160558333333299</v>
      </c>
      <c r="AX18" s="24">
        <v>46.482283666666603</v>
      </c>
      <c r="AY18" s="24">
        <v>46.975236333333399</v>
      </c>
      <c r="AZ18" s="25">
        <v>43222.3</v>
      </c>
      <c r="BA18" s="25">
        <v>62724.9</v>
      </c>
      <c r="BB18" s="25">
        <v>745.07</v>
      </c>
      <c r="BC18" s="25">
        <v>298.93400000000003</v>
      </c>
      <c r="BE18" s="58">
        <f t="shared" si="12"/>
        <v>1</v>
      </c>
      <c r="BF18" s="26">
        <f t="shared" si="13"/>
        <v>0</v>
      </c>
      <c r="BG18" s="26">
        <f t="shared" si="14"/>
        <v>6.3026851976315523E-3</v>
      </c>
      <c r="BH18" s="26"/>
      <c r="BJ18" s="58"/>
      <c r="BK18" s="58"/>
      <c r="BL18" s="58"/>
      <c r="BM18" s="58"/>
      <c r="BN18" s="58"/>
      <c r="BP18" s="58"/>
      <c r="BQ18" s="58"/>
      <c r="BR18" s="58"/>
      <c r="BS18" s="58"/>
      <c r="BT18" s="58"/>
    </row>
    <row r="19" spans="1:72" outlineLevel="1" x14ac:dyDescent="0.25">
      <c r="A19" s="129"/>
      <c r="B19" s="27" t="s">
        <v>64</v>
      </c>
      <c r="C19" s="28" t="s">
        <v>236</v>
      </c>
      <c r="D19" s="27">
        <v>322589704</v>
      </c>
      <c r="E19" s="28">
        <v>10</v>
      </c>
      <c r="F19" s="28">
        <v>300</v>
      </c>
      <c r="G19" s="28">
        <v>30</v>
      </c>
      <c r="I19" s="29">
        <f t="shared" si="0"/>
        <v>13.296434400000001</v>
      </c>
      <c r="J19" s="30">
        <f t="shared" si="1"/>
        <v>0.41217789145558098</v>
      </c>
      <c r="K19" s="30">
        <f t="shared" si="2"/>
        <v>0.18434706149208036</v>
      </c>
      <c r="L19" s="30">
        <f t="shared" si="3"/>
        <v>0.13881477134806511</v>
      </c>
      <c r="M19" s="30">
        <f t="shared" si="4"/>
        <v>0.22783082996350063</v>
      </c>
      <c r="N19" s="27">
        <f t="shared" si="5"/>
        <v>59468464</v>
      </c>
      <c r="O19" s="30">
        <v>16</v>
      </c>
      <c r="P19" s="31">
        <v>314143532</v>
      </c>
      <c r="Q19" s="31">
        <v>1047145.1066666699</v>
      </c>
      <c r="R19" s="31">
        <v>18178.98</v>
      </c>
      <c r="S19" s="32">
        <v>132964344</v>
      </c>
      <c r="T19" s="32">
        <v>44780216</v>
      </c>
      <c r="U19" s="32">
        <v>14688248</v>
      </c>
      <c r="V19" s="32">
        <v>73495880</v>
      </c>
      <c r="W19" s="33">
        <v>71.167008999999993</v>
      </c>
      <c r="X19" s="33">
        <v>75.031801333333306</v>
      </c>
      <c r="Y19" s="33">
        <v>38.670421333333302</v>
      </c>
      <c r="Z19" s="33">
        <v>48.273802000000003</v>
      </c>
      <c r="AA19" s="33">
        <v>48.812712666666698</v>
      </c>
      <c r="AB19" s="34">
        <v>42780.6</v>
      </c>
      <c r="AC19" s="34">
        <v>69233.8</v>
      </c>
      <c r="AD19" s="34">
        <v>88.664000000000001</v>
      </c>
      <c r="AE19" s="34">
        <v>278.88499999999999</v>
      </c>
      <c r="AG19" s="29">
        <f t="shared" si="6"/>
        <v>13.0960784</v>
      </c>
      <c r="AH19" s="30">
        <f t="shared" si="7"/>
        <v>0.40596702987148031</v>
      </c>
      <c r="AI19" s="30">
        <f t="shared" si="8"/>
        <v>0.18434706149208036</v>
      </c>
      <c r="AJ19" s="30">
        <f t="shared" si="9"/>
        <v>0.13881477134806511</v>
      </c>
      <c r="AK19" s="30">
        <f t="shared" si="10"/>
        <v>0.22161996837939998</v>
      </c>
      <c r="AL19" s="27">
        <f t="shared" si="11"/>
        <v>59468464</v>
      </c>
      <c r="AM19" s="30">
        <v>16</v>
      </c>
      <c r="AN19" s="31">
        <v>314143532</v>
      </c>
      <c r="AO19" s="31">
        <v>1047145.1066666699</v>
      </c>
      <c r="AP19" s="31">
        <v>18178.98</v>
      </c>
      <c r="AQ19" s="32">
        <v>130960784</v>
      </c>
      <c r="AR19" s="32">
        <v>44780216</v>
      </c>
      <c r="AS19" s="32">
        <v>14688248</v>
      </c>
      <c r="AT19" s="32">
        <v>71492320</v>
      </c>
      <c r="AU19" s="33">
        <v>71.167008999999993</v>
      </c>
      <c r="AV19" s="33">
        <v>75.031801333333306</v>
      </c>
      <c r="AW19" s="33">
        <v>38.676436000000002</v>
      </c>
      <c r="AX19" s="33">
        <v>48.284075666666702</v>
      </c>
      <c r="AY19" s="33">
        <v>48.816028000000003</v>
      </c>
      <c r="AZ19" s="34">
        <v>43151.3</v>
      </c>
      <c r="BA19" s="34">
        <v>71233.399999999994</v>
      </c>
      <c r="BB19" s="34">
        <v>699.59299999999996</v>
      </c>
      <c r="BC19" s="34">
        <v>327.32900000000001</v>
      </c>
      <c r="BE19" s="35">
        <f t="shared" si="12"/>
        <v>1</v>
      </c>
      <c r="BF19" s="36">
        <f t="shared" si="13"/>
        <v>0</v>
      </c>
      <c r="BG19" s="36">
        <f t="shared" si="14"/>
        <v>6.8424654376876837E-3</v>
      </c>
      <c r="BH19" s="36"/>
      <c r="BJ19" s="35"/>
      <c r="BK19" s="35"/>
      <c r="BL19" s="35"/>
      <c r="BM19" s="35"/>
      <c r="BN19" s="35"/>
      <c r="BP19" s="35"/>
      <c r="BQ19" s="35"/>
      <c r="BR19" s="35"/>
      <c r="BS19" s="35"/>
      <c r="BT19" s="35"/>
    </row>
    <row r="20" spans="1:72" x14ac:dyDescent="0.25">
      <c r="A20" s="18"/>
      <c r="B20" s="18" t="s">
        <v>70</v>
      </c>
      <c r="C20" s="19" t="s">
        <v>232</v>
      </c>
      <c r="D20" s="18">
        <v>250602891</v>
      </c>
      <c r="E20" s="19">
        <v>10</v>
      </c>
      <c r="F20" s="19">
        <v>250</v>
      </c>
      <c r="G20" s="19">
        <v>50</v>
      </c>
      <c r="I20" s="20">
        <f t="shared" si="0"/>
        <v>2.2325024</v>
      </c>
      <c r="J20" s="21">
        <f t="shared" si="1"/>
        <v>4.4542630595590375E-2</v>
      </c>
      <c r="K20" s="21">
        <f t="shared" si="2"/>
        <v>3.5371467442488522E-2</v>
      </c>
      <c r="L20" s="21">
        <f t="shared" si="3"/>
        <v>1.9913928287443421E-2</v>
      </c>
      <c r="M20" s="21">
        <f t="shared" si="4"/>
        <v>9.1711631531018536E-3</v>
      </c>
      <c r="N20" s="18">
        <f t="shared" si="5"/>
        <v>8864192</v>
      </c>
      <c r="O20" s="21">
        <v>16</v>
      </c>
      <c r="P20" s="22">
        <v>236077728</v>
      </c>
      <c r="Q20" s="22">
        <v>944310.91200000001</v>
      </c>
      <c r="R20" s="22">
        <v>29116.612000000001</v>
      </c>
      <c r="S20" s="23">
        <v>11162512</v>
      </c>
      <c r="T20" s="23">
        <v>4990488</v>
      </c>
      <c r="U20" s="23">
        <v>3873704</v>
      </c>
      <c r="V20" s="23">
        <v>2298320</v>
      </c>
      <c r="W20" s="24">
        <v>67.491250800000003</v>
      </c>
      <c r="X20" s="24">
        <v>69.268420800000001</v>
      </c>
      <c r="Y20" s="24">
        <v>30.287767599999999</v>
      </c>
      <c r="Z20" s="24">
        <v>40.1978972</v>
      </c>
      <c r="AA20" s="24">
        <v>38.774874799999999</v>
      </c>
      <c r="AB20" s="25">
        <v>33994.199999999997</v>
      </c>
      <c r="AC20" s="25">
        <v>40301.300000000003</v>
      </c>
      <c r="AD20" s="25">
        <v>74.043999999999997</v>
      </c>
      <c r="AE20" s="25">
        <v>231.977</v>
      </c>
      <c r="AG20" s="20">
        <f t="shared" si="6"/>
        <v>2.226648</v>
      </c>
      <c r="AH20" s="21">
        <f t="shared" si="7"/>
        <v>4.4425824281492429E-2</v>
      </c>
      <c r="AI20" s="21">
        <f t="shared" si="8"/>
        <v>3.5371467442488522E-2</v>
      </c>
      <c r="AJ20" s="21">
        <f t="shared" si="9"/>
        <v>1.9913928287443421E-2</v>
      </c>
      <c r="AK20" s="21">
        <f t="shared" si="10"/>
        <v>9.0543568390039041E-3</v>
      </c>
      <c r="AL20" s="18">
        <f t="shared" si="11"/>
        <v>8864192</v>
      </c>
      <c r="AM20" s="21">
        <v>16</v>
      </c>
      <c r="AN20" s="22">
        <v>236077728</v>
      </c>
      <c r="AO20" s="22">
        <v>944310.91200000001</v>
      </c>
      <c r="AP20" s="22">
        <v>29116.612000000001</v>
      </c>
      <c r="AQ20" s="23">
        <v>11133240</v>
      </c>
      <c r="AR20" s="23">
        <v>4990488</v>
      </c>
      <c r="AS20" s="23">
        <v>3873704</v>
      </c>
      <c r="AT20" s="23">
        <v>2269048</v>
      </c>
      <c r="AU20" s="24">
        <v>67.491250800000003</v>
      </c>
      <c r="AV20" s="24">
        <v>69.268420800000001</v>
      </c>
      <c r="AW20" s="24">
        <v>30.3007788</v>
      </c>
      <c r="AX20" s="24">
        <v>40.204972400000003</v>
      </c>
      <c r="AY20" s="24">
        <v>38.768202799999997</v>
      </c>
      <c r="AZ20" s="25">
        <v>34461.5</v>
      </c>
      <c r="BA20" s="25">
        <v>40545.599999999999</v>
      </c>
      <c r="BB20" s="25">
        <v>537.10599999999999</v>
      </c>
      <c r="BC20" s="25">
        <v>228.774</v>
      </c>
      <c r="BE20" s="58">
        <f t="shared" si="12"/>
        <v>1</v>
      </c>
      <c r="BF20" s="26">
        <f t="shared" si="13"/>
        <v>0</v>
      </c>
      <c r="BG20" s="26">
        <f t="shared" si="14"/>
        <v>2.0878920507700904E-3</v>
      </c>
      <c r="BH20" s="26">
        <f t="array" ref="BH20">AVERAGE(AL20:AL24/AQ20:AQ24) - AVERAGE(N20:N24/S20:S24)</f>
        <v>1.1470380451138129E-2</v>
      </c>
      <c r="BJ20" s="58">
        <f>IF( OR(ISBLANK(N20:N24),ISBLANK(AL20:AL24), ISBLANK(W20:W24),ISBLANK(AU20:AU24)), "·", bdRateExtend( N20:N24,W20:W24, AL20:AL24,AU20:AU24))</f>
        <v>0</v>
      </c>
      <c r="BK20" s="58">
        <f>IF( OR(ISBLANK(N20:N24),ISBLANK(AL20:AL24), ISBLANK(X20:X24),ISBLANK(AV20:AV24)), "·", bdRateExtend( N20:N24,X20:X24, AL20:AL24,AV20:AV24))</f>
        <v>0</v>
      </c>
      <c r="BL20" s="58">
        <f>IF( OR(ISBLANK(V20:V24),ISBLANK(AT20:AT24), ISBLANK(Y20:Y24),ISBLANK(AW20:AW24)), "·", bdRateExtend( V20:V24,Y20:Y24, AT20:AT24,AW20:AW24))</f>
        <v>-2.0953658444237022E-2</v>
      </c>
      <c r="BM20" s="58">
        <f>IF( OR(ISBLANK(V20:V24),ISBLANK(AT20:AT24), ISBLANK(Z20:Z24),ISBLANK(AX20:AX24)), "·", bdRateExtend( V20:V24,Z20:Z24, AT20:AT24,AX20:AX24))</f>
        <v>-7.5083233385949244E-2</v>
      </c>
      <c r="BN20" s="58">
        <f>IF( OR(ISBLANK(V20:V24),ISBLANK(AT20:AT24), ISBLANK(AA20:AA24),ISBLANK(AY20:AY24)), "·", bdRateExtend( V20:V24,AA20:AA24, AT20:AT24,AY20:AY24))</f>
        <v>-6.2054377273388361E-2</v>
      </c>
      <c r="BP20" s="58">
        <f>IF( OR(ISBLANK(S20:S24),ISBLANK(AQ20:AQ24), ISBLANK(W20:W24),ISBLANK(AU20:AU24)), "·", bdRateExtend( S20:S24,W20:W24, AQ20:AQ24,AU20:AU24))</f>
        <v>-1.9098175267855733E-2</v>
      </c>
      <c r="BQ20" s="58">
        <f>IF( OR(ISBLANK(S20:S24),ISBLANK(AQ20:AQ24), ISBLANK(X20:X24),ISBLANK(AV20:AV24)), "·", bdRateExtend( S20:S24,X20:X24, AQ20:AQ24,AV20:AV24))</f>
        <v>-2.3102992674719491E-2</v>
      </c>
      <c r="BR20" s="58">
        <f>IF( OR(ISBLANK(S20:S24),ISBLANK(AQ20:AQ24), ISBLANK(Y20:Y24),ISBLANK(AW20:AW24)), "·", bdRateExtend( S20:S24,Y20:Y24, AQ20:AQ24,AW20:AW24))</f>
        <v>5.6617091436628186E-4</v>
      </c>
      <c r="BS20" s="58">
        <f>IF( OR(ISBLANK(S20:S24),ISBLANK(AQ20:AQ24), ISBLANK(Z20:Z24),ISBLANK(AX20:AX24)), "·", bdRateExtend( S20:S24,Z20:Z24, AQ20:AQ24,AX20:AX24))</f>
        <v>-4.0772901368296033E-2</v>
      </c>
      <c r="BT20" s="58">
        <f>IF( OR(ISBLANK(S20:S24),ISBLANK(AQ20:AQ24), ISBLANK(AA20:AA24),ISBLANK(AY20:AY24)), "·", bdRateExtend( S20:S24,AA20:AA24, AQ20:AQ24,AY20:AY24))</f>
        <v>-3.2924339758281795E-2</v>
      </c>
    </row>
    <row r="21" spans="1:72" outlineLevel="1" x14ac:dyDescent="0.25">
      <c r="A21" s="129"/>
      <c r="B21" s="129" t="s">
        <v>70</v>
      </c>
      <c r="C21" s="10" t="s">
        <v>233</v>
      </c>
      <c r="D21" s="129">
        <v>250602891</v>
      </c>
      <c r="E21" s="10">
        <v>10</v>
      </c>
      <c r="F21" s="10">
        <v>250</v>
      </c>
      <c r="G21" s="10">
        <v>50</v>
      </c>
      <c r="I21" s="11">
        <f t="shared" si="0"/>
        <v>2.9820224</v>
      </c>
      <c r="J21" s="12">
        <f t="shared" si="1"/>
        <v>5.9496967255657077E-2</v>
      </c>
      <c r="K21" s="12">
        <f t="shared" si="2"/>
        <v>4.21432648197183E-2</v>
      </c>
      <c r="L21" s="12">
        <f t="shared" si="3"/>
        <v>2.6685725664673199E-2</v>
      </c>
      <c r="M21" s="12">
        <f t="shared" si="4"/>
        <v>1.7353702435938777E-2</v>
      </c>
      <c r="N21" s="129">
        <f t="shared" si="5"/>
        <v>10561224</v>
      </c>
      <c r="O21" s="12">
        <v>16</v>
      </c>
      <c r="P21" s="13">
        <v>245359978</v>
      </c>
      <c r="Q21" s="13">
        <v>981439.91200000001</v>
      </c>
      <c r="R21" s="13">
        <v>33615.811999999998</v>
      </c>
      <c r="S21" s="14">
        <v>14910112</v>
      </c>
      <c r="T21" s="14">
        <v>6687520</v>
      </c>
      <c r="U21" s="14">
        <v>3873704</v>
      </c>
      <c r="V21" s="14">
        <v>4348888</v>
      </c>
      <c r="W21" s="15">
        <v>69.054532399999999</v>
      </c>
      <c r="X21" s="15">
        <v>71.225704800000003</v>
      </c>
      <c r="Y21" s="15">
        <v>31.832028000000001</v>
      </c>
      <c r="Z21" s="15">
        <v>41.287252000000002</v>
      </c>
      <c r="AA21" s="15">
        <v>40.017842799999997</v>
      </c>
      <c r="AB21" s="16">
        <v>34131</v>
      </c>
      <c r="AC21" s="16">
        <v>42897.9</v>
      </c>
      <c r="AD21" s="16">
        <v>75.393000000000001</v>
      </c>
      <c r="AE21" s="16">
        <v>233.989</v>
      </c>
      <c r="AG21" s="11">
        <f t="shared" si="6"/>
        <v>2.9532224</v>
      </c>
      <c r="AH21" s="12">
        <f t="shared" si="7"/>
        <v>5.8922352974770748E-2</v>
      </c>
      <c r="AI21" s="12">
        <f t="shared" si="8"/>
        <v>4.21432648197183E-2</v>
      </c>
      <c r="AJ21" s="12">
        <f t="shared" si="9"/>
        <v>2.6685725664673199E-2</v>
      </c>
      <c r="AK21" s="12">
        <f t="shared" si="10"/>
        <v>1.6779088155052448E-2</v>
      </c>
      <c r="AL21" s="129">
        <f t="shared" si="11"/>
        <v>10561224</v>
      </c>
      <c r="AM21" s="12">
        <v>16</v>
      </c>
      <c r="AN21" s="13">
        <v>245359978</v>
      </c>
      <c r="AO21" s="13">
        <v>981439.91200000001</v>
      </c>
      <c r="AP21" s="13">
        <v>33615.811999999998</v>
      </c>
      <c r="AQ21" s="14">
        <v>14766112</v>
      </c>
      <c r="AR21" s="14">
        <v>6687520</v>
      </c>
      <c r="AS21" s="14">
        <v>3873704</v>
      </c>
      <c r="AT21" s="14">
        <v>4204888</v>
      </c>
      <c r="AU21" s="15">
        <v>69.054532399999999</v>
      </c>
      <c r="AV21" s="15">
        <v>71.225704800000003</v>
      </c>
      <c r="AW21" s="15">
        <v>31.8378984</v>
      </c>
      <c r="AX21" s="15">
        <v>41.358273199999999</v>
      </c>
      <c r="AY21" s="15">
        <v>40.047008400000003</v>
      </c>
      <c r="AZ21" s="16">
        <v>34338.1</v>
      </c>
      <c r="BA21" s="16">
        <v>43149.599999999999</v>
      </c>
      <c r="BB21" s="16">
        <v>556.71299999999997</v>
      </c>
      <c r="BC21" s="16">
        <v>232.48400000000001</v>
      </c>
      <c r="BE21" s="62">
        <f t="shared" si="12"/>
        <v>1</v>
      </c>
      <c r="BF21" s="17">
        <f t="shared" si="13"/>
        <v>0</v>
      </c>
      <c r="BG21" s="17">
        <f t="shared" si="14"/>
        <v>6.9076397838386816E-3</v>
      </c>
      <c r="BH21" s="17"/>
      <c r="BJ21" s="62"/>
      <c r="BK21" s="62"/>
      <c r="BL21" s="62"/>
      <c r="BM21" s="62"/>
      <c r="BN21" s="62"/>
      <c r="BP21" s="62"/>
      <c r="BQ21" s="62"/>
      <c r="BR21" s="62"/>
      <c r="BS21" s="62"/>
      <c r="BT21" s="62"/>
    </row>
    <row r="22" spans="1:72" outlineLevel="1" x14ac:dyDescent="0.25">
      <c r="A22" s="18"/>
      <c r="B22" s="18" t="s">
        <v>70</v>
      </c>
      <c r="C22" s="19" t="s">
        <v>234</v>
      </c>
      <c r="D22" s="18">
        <v>250602891</v>
      </c>
      <c r="E22" s="19">
        <v>10</v>
      </c>
      <c r="F22" s="19">
        <v>250</v>
      </c>
      <c r="G22" s="19">
        <v>50</v>
      </c>
      <c r="I22" s="20">
        <f t="shared" si="0"/>
        <v>4.4791664000000004</v>
      </c>
      <c r="J22" s="21">
        <f t="shared" si="1"/>
        <v>8.9367811802298802E-2</v>
      </c>
      <c r="K22" s="21">
        <f t="shared" si="2"/>
        <v>5.0117442579702721E-2</v>
      </c>
      <c r="L22" s="21">
        <f t="shared" si="3"/>
        <v>3.465990342465762E-2</v>
      </c>
      <c r="M22" s="21">
        <f t="shared" si="4"/>
        <v>3.9250369222596081E-2</v>
      </c>
      <c r="N22" s="18">
        <f t="shared" si="5"/>
        <v>12559576</v>
      </c>
      <c r="O22" s="21">
        <v>16</v>
      </c>
      <c r="P22" s="22">
        <v>252324755</v>
      </c>
      <c r="Q22" s="22">
        <v>1009299.02</v>
      </c>
      <c r="R22" s="22">
        <v>35506.167999999998</v>
      </c>
      <c r="S22" s="23">
        <v>22395832</v>
      </c>
      <c r="T22" s="23">
        <v>8685872</v>
      </c>
      <c r="U22" s="23">
        <v>3873704</v>
      </c>
      <c r="V22" s="23">
        <v>9836256</v>
      </c>
      <c r="W22" s="24">
        <v>70.261877600000005</v>
      </c>
      <c r="X22" s="24">
        <v>72.740842000000001</v>
      </c>
      <c r="Y22" s="24">
        <v>33.733865199999997</v>
      </c>
      <c r="Z22" s="24">
        <v>42.532604399999997</v>
      </c>
      <c r="AA22" s="24">
        <v>41.350980800000002</v>
      </c>
      <c r="AB22" s="25">
        <v>33497.699999999997</v>
      </c>
      <c r="AC22" s="25">
        <v>45252.2</v>
      </c>
      <c r="AD22" s="25">
        <v>75.495000000000005</v>
      </c>
      <c r="AE22" s="25">
        <v>232.08199999999999</v>
      </c>
      <c r="AG22" s="20">
        <f t="shared" si="6"/>
        <v>4.3742272</v>
      </c>
      <c r="AH22" s="21">
        <f t="shared" si="7"/>
        <v>8.7274076977827048E-2</v>
      </c>
      <c r="AI22" s="21">
        <f t="shared" si="8"/>
        <v>5.0117442579702721E-2</v>
      </c>
      <c r="AJ22" s="21">
        <f t="shared" si="9"/>
        <v>3.465990342465762E-2</v>
      </c>
      <c r="AK22" s="21">
        <f t="shared" si="10"/>
        <v>3.7156634398124319E-2</v>
      </c>
      <c r="AL22" s="18">
        <f t="shared" si="11"/>
        <v>12559576</v>
      </c>
      <c r="AM22" s="21">
        <v>16</v>
      </c>
      <c r="AN22" s="22">
        <v>252324755</v>
      </c>
      <c r="AO22" s="22">
        <v>1009299.02</v>
      </c>
      <c r="AP22" s="22">
        <v>35506.167999999998</v>
      </c>
      <c r="AQ22" s="23">
        <v>21871136</v>
      </c>
      <c r="AR22" s="23">
        <v>8685872</v>
      </c>
      <c r="AS22" s="23">
        <v>3873704</v>
      </c>
      <c r="AT22" s="23">
        <v>9311560</v>
      </c>
      <c r="AU22" s="24">
        <v>70.261877600000005</v>
      </c>
      <c r="AV22" s="24">
        <v>72.740842000000001</v>
      </c>
      <c r="AW22" s="24">
        <v>33.704040800000001</v>
      </c>
      <c r="AX22" s="24">
        <v>42.560581999999997</v>
      </c>
      <c r="AY22" s="24">
        <v>41.368309199999999</v>
      </c>
      <c r="AZ22" s="25">
        <v>33371.699999999997</v>
      </c>
      <c r="BA22" s="25">
        <v>45276.800000000003</v>
      </c>
      <c r="BB22" s="25">
        <v>572.20000000000005</v>
      </c>
      <c r="BC22" s="25">
        <v>239.691</v>
      </c>
      <c r="BE22" s="58">
        <f t="shared" si="12"/>
        <v>1</v>
      </c>
      <c r="BF22" s="26">
        <f t="shared" si="13"/>
        <v>0</v>
      </c>
      <c r="BG22" s="26">
        <f t="shared" si="14"/>
        <v>1.3453775904034737E-2</v>
      </c>
      <c r="BH22" s="26"/>
      <c r="BJ22" s="58"/>
      <c r="BK22" s="58"/>
      <c r="BL22" s="58"/>
      <c r="BM22" s="58"/>
      <c r="BN22" s="58"/>
      <c r="BP22" s="58"/>
      <c r="BQ22" s="58"/>
      <c r="BR22" s="58"/>
      <c r="BS22" s="58"/>
      <c r="BT22" s="58"/>
    </row>
    <row r="23" spans="1:72" outlineLevel="1" x14ac:dyDescent="0.25">
      <c r="A23" s="129"/>
      <c r="B23" s="129" t="s">
        <v>70</v>
      </c>
      <c r="C23" s="10" t="s">
        <v>235</v>
      </c>
      <c r="D23" s="129">
        <v>250602891</v>
      </c>
      <c r="E23" s="10">
        <v>10</v>
      </c>
      <c r="F23" s="10">
        <v>250</v>
      </c>
      <c r="G23" s="10">
        <v>50</v>
      </c>
      <c r="I23" s="11">
        <f t="shared" si="0"/>
        <v>8.2527887999999994</v>
      </c>
      <c r="J23" s="12">
        <f t="shared" si="1"/>
        <v>0.16465869102842873</v>
      </c>
      <c r="K23" s="12">
        <f t="shared" si="2"/>
        <v>7.2617518207321874E-2</v>
      </c>
      <c r="L23" s="12">
        <f t="shared" si="3"/>
        <v>5.7159979052276773E-2</v>
      </c>
      <c r="M23" s="12">
        <f t="shared" si="4"/>
        <v>9.204117282110684E-2</v>
      </c>
      <c r="N23" s="129">
        <f t="shared" si="5"/>
        <v>18198160</v>
      </c>
      <c r="O23" s="12">
        <v>16</v>
      </c>
      <c r="P23" s="13">
        <v>255090373</v>
      </c>
      <c r="Q23" s="13">
        <v>1020361.492</v>
      </c>
      <c r="R23" s="13">
        <v>37774.063999999998</v>
      </c>
      <c r="S23" s="14">
        <v>41263944</v>
      </c>
      <c r="T23" s="14">
        <v>14324456</v>
      </c>
      <c r="U23" s="14">
        <v>3873704</v>
      </c>
      <c r="V23" s="14">
        <v>23065784</v>
      </c>
      <c r="W23" s="15">
        <v>71.205645599999997</v>
      </c>
      <c r="X23" s="15">
        <v>73.977870800000005</v>
      </c>
      <c r="Y23" s="15">
        <v>35.656005999999998</v>
      </c>
      <c r="Z23" s="15">
        <v>43.717683200000003</v>
      </c>
      <c r="AA23" s="15">
        <v>42.4898332</v>
      </c>
      <c r="AB23" s="16">
        <v>33297.300000000003</v>
      </c>
      <c r="AC23" s="16">
        <v>48910.1</v>
      </c>
      <c r="AD23" s="16">
        <v>74.373999999999995</v>
      </c>
      <c r="AE23" s="16">
        <v>233.09100000000001</v>
      </c>
      <c r="AG23" s="11">
        <f t="shared" si="6"/>
        <v>7.9670639999999997</v>
      </c>
      <c r="AH23" s="12">
        <f t="shared" si="7"/>
        <v>0.15895794274775546</v>
      </c>
      <c r="AI23" s="12">
        <f t="shared" si="8"/>
        <v>7.2617518207321874E-2</v>
      </c>
      <c r="AJ23" s="12">
        <f t="shared" si="9"/>
        <v>5.7159979052276773E-2</v>
      </c>
      <c r="AK23" s="12">
        <f t="shared" si="10"/>
        <v>8.6340424540433572E-2</v>
      </c>
      <c r="AL23" s="129">
        <f t="shared" si="11"/>
        <v>18198160</v>
      </c>
      <c r="AM23" s="12">
        <v>16</v>
      </c>
      <c r="AN23" s="13">
        <v>255090373</v>
      </c>
      <c r="AO23" s="13">
        <v>1020361.492</v>
      </c>
      <c r="AP23" s="13">
        <v>37774.063999999998</v>
      </c>
      <c r="AQ23" s="14">
        <v>39835320</v>
      </c>
      <c r="AR23" s="14">
        <v>14324456</v>
      </c>
      <c r="AS23" s="14">
        <v>3873704</v>
      </c>
      <c r="AT23" s="14">
        <v>21637160</v>
      </c>
      <c r="AU23" s="15">
        <v>71.205645599999997</v>
      </c>
      <c r="AV23" s="15">
        <v>73.977870800000005</v>
      </c>
      <c r="AW23" s="15">
        <v>35.53304</v>
      </c>
      <c r="AX23" s="15">
        <v>43.722256000000002</v>
      </c>
      <c r="AY23" s="15">
        <v>42.493805999999999</v>
      </c>
      <c r="AZ23" s="16">
        <v>34069.699999999997</v>
      </c>
      <c r="BA23" s="16">
        <v>49181.5</v>
      </c>
      <c r="BB23" s="16">
        <v>579.51599999999996</v>
      </c>
      <c r="BC23" s="16">
        <v>242.63200000000001</v>
      </c>
      <c r="BE23" s="62">
        <f t="shared" si="12"/>
        <v>1</v>
      </c>
      <c r="BF23" s="17">
        <f t="shared" si="13"/>
        <v>0</v>
      </c>
      <c r="BG23" s="17">
        <f t="shared" si="14"/>
        <v>1.5816353942104455E-2</v>
      </c>
      <c r="BH23" s="17"/>
      <c r="BJ23" s="62"/>
      <c r="BK23" s="62"/>
      <c r="BL23" s="62"/>
      <c r="BM23" s="62"/>
      <c r="BN23" s="62"/>
      <c r="BP23" s="62"/>
      <c r="BQ23" s="62"/>
      <c r="BR23" s="62"/>
      <c r="BS23" s="62"/>
      <c r="BT23" s="62"/>
    </row>
    <row r="24" spans="1:72" outlineLevel="1" x14ac:dyDescent="0.25">
      <c r="A24" s="37"/>
      <c r="B24" s="37" t="s">
        <v>70</v>
      </c>
      <c r="C24" s="38" t="s">
        <v>236</v>
      </c>
      <c r="D24" s="37">
        <v>250602891</v>
      </c>
      <c r="E24" s="38">
        <v>10</v>
      </c>
      <c r="F24" s="38">
        <v>250</v>
      </c>
      <c r="G24" s="38">
        <v>50</v>
      </c>
      <c r="I24" s="39">
        <f t="shared" si="0"/>
        <v>16.7070176</v>
      </c>
      <c r="J24" s="40">
        <f t="shared" si="1"/>
        <v>0.33333648972150126</v>
      </c>
      <c r="K24" s="40">
        <f t="shared" si="2"/>
        <v>0.124995365675969</v>
      </c>
      <c r="L24" s="40">
        <f t="shared" si="3"/>
        <v>9.1759516054425727E-2</v>
      </c>
      <c r="M24" s="40">
        <f t="shared" si="4"/>
        <v>0.20834112404553226</v>
      </c>
      <c r="N24" s="37">
        <f t="shared" si="5"/>
        <v>31324200</v>
      </c>
      <c r="O24" s="40">
        <v>16</v>
      </c>
      <c r="P24" s="41">
        <v>243894865</v>
      </c>
      <c r="Q24" s="41">
        <v>975579.46</v>
      </c>
      <c r="R24" s="41">
        <v>18588.684000000001</v>
      </c>
      <c r="S24" s="42">
        <v>83535088</v>
      </c>
      <c r="T24" s="42">
        <v>22995200</v>
      </c>
      <c r="U24" s="42">
        <v>8329000</v>
      </c>
      <c r="V24" s="42">
        <v>52210888</v>
      </c>
      <c r="W24" s="43">
        <v>71.920644800000005</v>
      </c>
      <c r="X24" s="43">
        <v>75.958430800000002</v>
      </c>
      <c r="Y24" s="43">
        <v>37.235748800000003</v>
      </c>
      <c r="Z24" s="43">
        <v>44.644544000000003</v>
      </c>
      <c r="AA24" s="43">
        <v>43.2741744</v>
      </c>
      <c r="AB24" s="44">
        <v>33910.9</v>
      </c>
      <c r="AC24" s="44">
        <v>54014.2</v>
      </c>
      <c r="AD24" s="44">
        <v>71.727000000000004</v>
      </c>
      <c r="AE24" s="44">
        <v>250.41399999999999</v>
      </c>
      <c r="AG24" s="39">
        <f t="shared" si="6"/>
        <v>15.8978336</v>
      </c>
      <c r="AH24" s="40">
        <f t="shared" si="7"/>
        <v>0.31719174380953169</v>
      </c>
      <c r="AI24" s="40">
        <f t="shared" si="8"/>
        <v>0.124995365675969</v>
      </c>
      <c r="AJ24" s="40">
        <f t="shared" si="9"/>
        <v>9.1759516054425727E-2</v>
      </c>
      <c r="AK24" s="40">
        <f t="shared" si="10"/>
        <v>0.19219637813356272</v>
      </c>
      <c r="AL24" s="37">
        <f t="shared" si="11"/>
        <v>31324200</v>
      </c>
      <c r="AM24" s="40">
        <v>16</v>
      </c>
      <c r="AN24" s="41">
        <v>243894865</v>
      </c>
      <c r="AO24" s="41">
        <v>975579.46</v>
      </c>
      <c r="AP24" s="41">
        <v>18588.684000000001</v>
      </c>
      <c r="AQ24" s="42">
        <v>79489168</v>
      </c>
      <c r="AR24" s="42">
        <v>22995200</v>
      </c>
      <c r="AS24" s="42">
        <v>8329000</v>
      </c>
      <c r="AT24" s="42">
        <v>48164968</v>
      </c>
      <c r="AU24" s="43">
        <v>71.920644800000005</v>
      </c>
      <c r="AV24" s="43">
        <v>75.958430800000002</v>
      </c>
      <c r="AW24" s="43">
        <v>37.002616400000001</v>
      </c>
      <c r="AX24" s="43">
        <v>44.823437599999998</v>
      </c>
      <c r="AY24" s="43">
        <v>43.421534000000001</v>
      </c>
      <c r="AZ24" s="44">
        <v>34048.5</v>
      </c>
      <c r="BA24" s="44">
        <v>54438.2</v>
      </c>
      <c r="BB24" s="44">
        <v>553.18700000000001</v>
      </c>
      <c r="BC24" s="44">
        <v>259.34500000000003</v>
      </c>
      <c r="BE24" s="45">
        <f t="shared" si="12"/>
        <v>1</v>
      </c>
      <c r="BF24" s="46">
        <f t="shared" si="13"/>
        <v>0</v>
      </c>
      <c r="BG24" s="46">
        <f t="shared" si="14"/>
        <v>1.9086240574942959E-2</v>
      </c>
      <c r="BH24" s="46"/>
      <c r="BJ24" s="45"/>
      <c r="BK24" s="45"/>
      <c r="BL24" s="45"/>
      <c r="BM24" s="45"/>
      <c r="BN24" s="45"/>
      <c r="BP24" s="45"/>
      <c r="BQ24" s="45"/>
      <c r="BR24" s="45"/>
      <c r="BS24" s="45"/>
      <c r="BT24" s="45"/>
    </row>
    <row r="25" spans="1:72" x14ac:dyDescent="0.25">
      <c r="A25" s="129" t="s">
        <v>237</v>
      </c>
      <c r="B25" s="129" t="s">
        <v>73</v>
      </c>
      <c r="C25" s="10" t="s">
        <v>232</v>
      </c>
      <c r="D25" s="129">
        <v>250294582</v>
      </c>
      <c r="E25" s="10">
        <v>10</v>
      </c>
      <c r="F25" s="10">
        <v>300</v>
      </c>
      <c r="G25" s="10">
        <v>30</v>
      </c>
      <c r="I25" s="11">
        <f t="shared" si="0"/>
        <v>2.1911063999999998</v>
      </c>
      <c r="J25" s="12">
        <f t="shared" si="1"/>
        <v>8.7541103866163594E-2</v>
      </c>
      <c r="K25" s="12">
        <f t="shared" si="2"/>
        <v>5.6434461693621478E-2</v>
      </c>
      <c r="L25" s="12">
        <f t="shared" si="3"/>
        <v>3.4338194344134862E-2</v>
      </c>
      <c r="M25" s="12">
        <f t="shared" si="4"/>
        <v>3.1106642172542113E-2</v>
      </c>
      <c r="N25" s="129">
        <f t="shared" si="5"/>
        <v>14125240</v>
      </c>
      <c r="O25" s="12">
        <v>16</v>
      </c>
      <c r="P25" s="13">
        <v>232141403</v>
      </c>
      <c r="Q25" s="13">
        <v>773804.67666666699</v>
      </c>
      <c r="R25" s="13">
        <v>16163.3</v>
      </c>
      <c r="S25" s="14">
        <v>21911064</v>
      </c>
      <c r="T25" s="14">
        <v>8594664</v>
      </c>
      <c r="U25" s="14">
        <v>5530576</v>
      </c>
      <c r="V25" s="14">
        <v>7785824</v>
      </c>
      <c r="W25" s="15">
        <v>66.367152333333294</v>
      </c>
      <c r="X25" s="15">
        <v>68.130876333333305</v>
      </c>
      <c r="Y25" s="15">
        <v>25.8259646666667</v>
      </c>
      <c r="Z25" s="15">
        <v>32.375669333333299</v>
      </c>
      <c r="AA25" s="15">
        <v>31.541340000000002</v>
      </c>
      <c r="AB25" s="16">
        <v>14532.8</v>
      </c>
      <c r="AC25" s="16">
        <v>55841.7</v>
      </c>
      <c r="AD25" s="16">
        <v>78.552999999999997</v>
      </c>
      <c r="AE25" s="16">
        <v>267.91199999999998</v>
      </c>
      <c r="AG25" s="11">
        <f t="shared" si="6"/>
        <v>2.189568</v>
      </c>
      <c r="AH25" s="12">
        <f t="shared" si="7"/>
        <v>8.7479640290415869E-2</v>
      </c>
      <c r="AI25" s="12">
        <f t="shared" si="8"/>
        <v>5.6434461693621478E-2</v>
      </c>
      <c r="AJ25" s="12">
        <f t="shared" si="9"/>
        <v>3.4338194344134862E-2</v>
      </c>
      <c r="AK25" s="12">
        <f t="shared" si="10"/>
        <v>3.1045178596794395E-2</v>
      </c>
      <c r="AL25" s="129">
        <f t="shared" si="11"/>
        <v>14125240</v>
      </c>
      <c r="AM25" s="12">
        <v>16</v>
      </c>
      <c r="AN25" s="13">
        <v>232141403</v>
      </c>
      <c r="AO25" s="13">
        <v>773804.67666666699</v>
      </c>
      <c r="AP25" s="13">
        <v>16163.3</v>
      </c>
      <c r="AQ25" s="14">
        <v>21895680</v>
      </c>
      <c r="AR25" s="14">
        <v>8594664</v>
      </c>
      <c r="AS25" s="14">
        <v>5530576</v>
      </c>
      <c r="AT25" s="14">
        <v>7770440</v>
      </c>
      <c r="AU25" s="15">
        <v>66.367152333333294</v>
      </c>
      <c r="AV25" s="15">
        <v>68.130876333333305</v>
      </c>
      <c r="AW25" s="15">
        <v>25.833124000000002</v>
      </c>
      <c r="AX25" s="15">
        <v>32.381196000000003</v>
      </c>
      <c r="AY25" s="15">
        <v>31.539062000000001</v>
      </c>
      <c r="AZ25" s="16">
        <v>14727.9</v>
      </c>
      <c r="BA25" s="16">
        <v>56224.7</v>
      </c>
      <c r="BB25" s="16">
        <v>521.22799999999995</v>
      </c>
      <c r="BC25" s="16">
        <v>272.65899999999999</v>
      </c>
      <c r="BE25" s="62">
        <f t="shared" si="12"/>
        <v>1</v>
      </c>
      <c r="BF25" s="17">
        <f t="shared" si="13"/>
        <v>0</v>
      </c>
      <c r="BG25" s="17">
        <f t="shared" si="14"/>
        <v>4.5294263480899488E-4</v>
      </c>
      <c r="BH25" s="17">
        <f t="array" ref="BH25">AVERAGE(AL25:AL29/AQ25:AQ29) - AVERAGE(N25:N29/S25:S29)</f>
        <v>1.1221643931698111E-3</v>
      </c>
      <c r="BJ25" s="62">
        <f>IF( OR(ISBLANK(N25:N29),ISBLANK(AL25:AL29), ISBLANK(W25:W29),ISBLANK(AU25:AU29)), "·", bdRateExtend( N25:N29,W25:W29, AL25:AL29,AU25:AU29))</f>
        <v>0</v>
      </c>
      <c r="BK25" s="62">
        <f>IF( OR(ISBLANK(N25:N29),ISBLANK(AL25:AL29), ISBLANK(X25:X29),ISBLANK(AV25:AV29)), "·", bdRateExtend( N25:N29,X25:X29, AL25:AL29,AV25:AV29))</f>
        <v>0</v>
      </c>
      <c r="BL25" s="62">
        <f>IF( OR(ISBLANK(V25:V29),ISBLANK(AT25:AT29), ISBLANK(Y25:Y29),ISBLANK(AW25:AW29)), "·", bdRateExtend( V25:V29,Y25:Y29, AT25:AT29,AW25:AW29))</f>
        <v>-4.7530301661526941E-3</v>
      </c>
      <c r="BM25" s="62">
        <f>IF( OR(ISBLANK(V25:V29),ISBLANK(AT25:AT29), ISBLANK(Z25:Z29),ISBLANK(AX25:AX29)), "·", bdRateExtend( V25:V29,Z25:Z29, AT25:AT29,AX25:AX29))</f>
        <v>-8.3426677927715964E-3</v>
      </c>
      <c r="BN25" s="62">
        <f>IF( OR(ISBLANK(V25:V29),ISBLANK(AT25:AT29), ISBLANK(AA25:AA29),ISBLANK(AY25:AY29)), "·", bdRateExtend( V25:V29,AA25:AA29, AT25:AT29,AY25:AY29))</f>
        <v>-8.9525878222982413E-3</v>
      </c>
      <c r="BP25" s="62">
        <f>IF( OR(ISBLANK(S25:S29),ISBLANK(AQ25:AQ29), ISBLANK(W25:W29),ISBLANK(AU25:AU29)), "·", bdRateExtend( S25:S29,W25:W29, AQ25:AQ29,AU25:AU29))</f>
        <v>-3.1642420939872462E-3</v>
      </c>
      <c r="BQ25" s="62">
        <f>IF( OR(ISBLANK(S25:S29),ISBLANK(AQ25:AQ29), ISBLANK(X25:X29),ISBLANK(AV25:AV29)), "·", bdRateExtend( S25:S29,X25:X29, AQ25:AQ29,AV25:AV29))</f>
        <v>-3.6168564656122726E-3</v>
      </c>
      <c r="BR25" s="62">
        <f>IF( OR(ISBLANK(S25:S29),ISBLANK(AQ25:AQ29), ISBLANK(Y25:Y29),ISBLANK(AW25:AW29)), "·", bdRateExtend( S25:S29,Y25:Y29, AQ25:AQ29,AW25:AW29))</f>
        <v>-2.6607028943852473E-3</v>
      </c>
      <c r="BS25" s="62">
        <f>IF( OR(ISBLANK(S25:S29),ISBLANK(AQ25:AQ29), ISBLANK(Z25:Z29),ISBLANK(AX25:AX29)), "·", bdRateExtend( S25:S29,Z25:Z29, AQ25:AQ29,AX25:AX29))</f>
        <v>-5.6183131650451301E-3</v>
      </c>
      <c r="BT25" s="62">
        <f>IF( OR(ISBLANK(S25:S29),ISBLANK(AQ25:AQ29), ISBLANK(AA25:AA29),ISBLANK(AY25:AY29)), "·", bdRateExtend( S25:S29,AA25:AA29, AQ25:AQ29,AY25:AY29))</f>
        <v>-6.1882654452914965E-3</v>
      </c>
    </row>
    <row r="26" spans="1:72" outlineLevel="1" x14ac:dyDescent="0.25">
      <c r="A26" s="18"/>
      <c r="B26" s="18" t="s">
        <v>73</v>
      </c>
      <c r="C26" s="19" t="s">
        <v>233</v>
      </c>
      <c r="D26" s="18">
        <v>250294582</v>
      </c>
      <c r="E26" s="19">
        <v>10</v>
      </c>
      <c r="F26" s="19">
        <v>300</v>
      </c>
      <c r="G26" s="19">
        <v>30</v>
      </c>
      <c r="I26" s="20">
        <f t="shared" si="0"/>
        <v>3.3719367999999998</v>
      </c>
      <c r="J26" s="21">
        <f t="shared" si="1"/>
        <v>0.13471872914931893</v>
      </c>
      <c r="K26" s="21">
        <f t="shared" si="2"/>
        <v>7.0472192642188319E-2</v>
      </c>
      <c r="L26" s="21">
        <f t="shared" si="3"/>
        <v>4.8375925292701703E-2</v>
      </c>
      <c r="M26" s="21">
        <f t="shared" si="4"/>
        <v>6.4246536507130622E-2</v>
      </c>
      <c r="N26" s="18">
        <f t="shared" si="5"/>
        <v>17638808</v>
      </c>
      <c r="O26" s="21">
        <v>16</v>
      </c>
      <c r="P26" s="22">
        <v>244031498</v>
      </c>
      <c r="Q26" s="22">
        <v>813438.32666666701</v>
      </c>
      <c r="R26" s="22">
        <v>19473.3</v>
      </c>
      <c r="S26" s="23">
        <v>33719368</v>
      </c>
      <c r="T26" s="23">
        <v>12108232</v>
      </c>
      <c r="U26" s="23">
        <v>5530576</v>
      </c>
      <c r="V26" s="23">
        <v>16080560</v>
      </c>
      <c r="W26" s="24">
        <v>68.071844999999996</v>
      </c>
      <c r="X26" s="24">
        <v>70.1145286666667</v>
      </c>
      <c r="Y26" s="24">
        <v>27.860334333333299</v>
      </c>
      <c r="Z26" s="24">
        <v>33.574995000000001</v>
      </c>
      <c r="AA26" s="24">
        <v>32.9463236666667</v>
      </c>
      <c r="AB26" s="25">
        <v>14567.7</v>
      </c>
      <c r="AC26" s="25">
        <v>60262.8</v>
      </c>
      <c r="AD26" s="25">
        <v>80.894999999999996</v>
      </c>
      <c r="AE26" s="25">
        <v>274.553</v>
      </c>
      <c r="AG26" s="20">
        <f t="shared" si="6"/>
        <v>3.3657576000000002</v>
      </c>
      <c r="AH26" s="21">
        <f t="shared" si="7"/>
        <v>0.13447185205151585</v>
      </c>
      <c r="AI26" s="21">
        <f t="shared" si="8"/>
        <v>7.0472192642188319E-2</v>
      </c>
      <c r="AJ26" s="21">
        <f t="shared" si="9"/>
        <v>4.8375925292701703E-2</v>
      </c>
      <c r="AK26" s="21">
        <f t="shared" si="10"/>
        <v>6.3999659409327531E-2</v>
      </c>
      <c r="AL26" s="18">
        <f t="shared" si="11"/>
        <v>17638808</v>
      </c>
      <c r="AM26" s="21">
        <v>16</v>
      </c>
      <c r="AN26" s="22">
        <v>244031498</v>
      </c>
      <c r="AO26" s="22">
        <v>813438.32666666701</v>
      </c>
      <c r="AP26" s="22">
        <v>19473.3</v>
      </c>
      <c r="AQ26" s="23">
        <v>33657576</v>
      </c>
      <c r="AR26" s="23">
        <v>12108232</v>
      </c>
      <c r="AS26" s="23">
        <v>5530576</v>
      </c>
      <c r="AT26" s="23">
        <v>16018768</v>
      </c>
      <c r="AU26" s="24">
        <v>68.071844999999996</v>
      </c>
      <c r="AV26" s="24">
        <v>70.1145286666667</v>
      </c>
      <c r="AW26" s="24">
        <v>27.865641666666701</v>
      </c>
      <c r="AX26" s="24">
        <v>33.581391000000004</v>
      </c>
      <c r="AY26" s="24">
        <v>32.954001666666699</v>
      </c>
      <c r="AZ26" s="25">
        <v>14633.7</v>
      </c>
      <c r="BA26" s="25">
        <v>60269.4</v>
      </c>
      <c r="BB26" s="25">
        <v>546.88599999999997</v>
      </c>
      <c r="BC26" s="25">
        <v>283.47000000000003</v>
      </c>
      <c r="BE26" s="58">
        <f t="shared" si="12"/>
        <v>1</v>
      </c>
      <c r="BF26" s="26">
        <f t="shared" si="13"/>
        <v>0</v>
      </c>
      <c r="BG26" s="26">
        <f t="shared" si="14"/>
        <v>9.6037141238991541E-4</v>
      </c>
      <c r="BH26" s="26"/>
      <c r="BJ26" s="58"/>
      <c r="BK26" s="58"/>
      <c r="BL26" s="58"/>
      <c r="BM26" s="58"/>
      <c r="BN26" s="58"/>
      <c r="BP26" s="58"/>
      <c r="BQ26" s="58"/>
      <c r="BR26" s="58"/>
      <c r="BS26" s="58"/>
      <c r="BT26" s="58"/>
    </row>
    <row r="27" spans="1:72" outlineLevel="1" x14ac:dyDescent="0.25">
      <c r="A27" s="129"/>
      <c r="B27" s="129" t="s">
        <v>73</v>
      </c>
      <c r="C27" s="10" t="s">
        <v>234</v>
      </c>
      <c r="D27" s="129">
        <v>250294582</v>
      </c>
      <c r="E27" s="10">
        <v>10</v>
      </c>
      <c r="F27" s="10">
        <v>300</v>
      </c>
      <c r="G27" s="10">
        <v>30</v>
      </c>
      <c r="I27" s="11">
        <f t="shared" si="0"/>
        <v>5.6886424</v>
      </c>
      <c r="J27" s="12">
        <f t="shared" si="1"/>
        <v>0.22727788810067012</v>
      </c>
      <c r="K27" s="12">
        <f t="shared" si="2"/>
        <v>9.1217443931726816E-2</v>
      </c>
      <c r="L27" s="12">
        <f t="shared" si="3"/>
        <v>6.9121176582240207E-2</v>
      </c>
      <c r="M27" s="12">
        <f t="shared" si="4"/>
        <v>0.13606044416894331</v>
      </c>
      <c r="N27" s="129">
        <f t="shared" si="5"/>
        <v>22831232</v>
      </c>
      <c r="O27" s="12">
        <v>16</v>
      </c>
      <c r="P27" s="13">
        <v>246289141</v>
      </c>
      <c r="Q27" s="13">
        <v>820963.80333333299</v>
      </c>
      <c r="R27" s="13">
        <v>20401.856666666699</v>
      </c>
      <c r="S27" s="14">
        <v>56886424</v>
      </c>
      <c r="T27" s="14">
        <v>17300656</v>
      </c>
      <c r="U27" s="14">
        <v>5530576</v>
      </c>
      <c r="V27" s="14">
        <v>34055192</v>
      </c>
      <c r="W27" s="15">
        <v>69.362729999999999</v>
      </c>
      <c r="X27" s="15">
        <v>71.793965333333404</v>
      </c>
      <c r="Y27" s="15">
        <v>30.179990333333301</v>
      </c>
      <c r="Z27" s="15">
        <v>34.833454000000003</v>
      </c>
      <c r="AA27" s="15">
        <v>34.291808666666697</v>
      </c>
      <c r="AB27" s="16">
        <v>14562.9</v>
      </c>
      <c r="AC27" s="16">
        <v>64623.9</v>
      </c>
      <c r="AD27" s="16">
        <v>81.972999999999999</v>
      </c>
      <c r="AE27" s="16">
        <v>290.815</v>
      </c>
      <c r="AG27" s="11">
        <f t="shared" si="6"/>
        <v>5.6687472000000003</v>
      </c>
      <c r="AH27" s="12">
        <f t="shared" si="7"/>
        <v>0.2264830167198745</v>
      </c>
      <c r="AI27" s="12">
        <f t="shared" si="8"/>
        <v>9.1217443931726816E-2</v>
      </c>
      <c r="AJ27" s="12">
        <f t="shared" si="9"/>
        <v>6.9121176582240207E-2</v>
      </c>
      <c r="AK27" s="12">
        <f t="shared" si="10"/>
        <v>0.13526557278814769</v>
      </c>
      <c r="AL27" s="129">
        <f t="shared" si="11"/>
        <v>22831232</v>
      </c>
      <c r="AM27" s="12">
        <v>16</v>
      </c>
      <c r="AN27" s="13">
        <v>246289141</v>
      </c>
      <c r="AO27" s="13">
        <v>820963.80333333299</v>
      </c>
      <c r="AP27" s="13">
        <v>20401.856666666699</v>
      </c>
      <c r="AQ27" s="14">
        <v>56687472</v>
      </c>
      <c r="AR27" s="14">
        <v>17300656</v>
      </c>
      <c r="AS27" s="14">
        <v>5530576</v>
      </c>
      <c r="AT27" s="14">
        <v>33856240</v>
      </c>
      <c r="AU27" s="15">
        <v>69.362729999999999</v>
      </c>
      <c r="AV27" s="15">
        <v>71.793965333333404</v>
      </c>
      <c r="AW27" s="15">
        <v>30.176362999999998</v>
      </c>
      <c r="AX27" s="15">
        <v>34.8356553333333</v>
      </c>
      <c r="AY27" s="15">
        <v>34.295900666666697</v>
      </c>
      <c r="AZ27" s="16">
        <v>14767.7</v>
      </c>
      <c r="BA27" s="16">
        <v>65217.2</v>
      </c>
      <c r="BB27" s="16">
        <v>551.84100000000001</v>
      </c>
      <c r="BC27" s="16">
        <v>287.18400000000003</v>
      </c>
      <c r="BE27" s="62">
        <f t="shared" si="12"/>
        <v>1</v>
      </c>
      <c r="BF27" s="17">
        <f t="shared" si="13"/>
        <v>0</v>
      </c>
      <c r="BG27" s="17">
        <f t="shared" si="14"/>
        <v>1.4085813458359353E-3</v>
      </c>
      <c r="BH27" s="17"/>
      <c r="BJ27" s="62"/>
      <c r="BK27" s="62"/>
      <c r="BL27" s="62"/>
      <c r="BM27" s="62"/>
      <c r="BN27" s="62"/>
      <c r="BP27" s="62"/>
      <c r="BQ27" s="62"/>
      <c r="BR27" s="62"/>
      <c r="BS27" s="62"/>
      <c r="BT27" s="62"/>
    </row>
    <row r="28" spans="1:72" outlineLevel="1" x14ac:dyDescent="0.25">
      <c r="A28" s="18"/>
      <c r="B28" s="18" t="s">
        <v>73</v>
      </c>
      <c r="C28" s="19" t="s">
        <v>235</v>
      </c>
      <c r="D28" s="18">
        <v>250294582</v>
      </c>
      <c r="E28" s="19">
        <v>10</v>
      </c>
      <c r="F28" s="19">
        <v>300</v>
      </c>
      <c r="G28" s="19">
        <v>30</v>
      </c>
      <c r="I28" s="20">
        <f t="shared" si="0"/>
        <v>10.9980096</v>
      </c>
      <c r="J28" s="21">
        <f t="shared" si="1"/>
        <v>0.43940262358535592</v>
      </c>
      <c r="K28" s="21">
        <f t="shared" si="2"/>
        <v>0.12834607822234043</v>
      </c>
      <c r="L28" s="21">
        <f t="shared" si="3"/>
        <v>0.10624981087285382</v>
      </c>
      <c r="M28" s="21">
        <f t="shared" si="4"/>
        <v>0.31105654536301547</v>
      </c>
      <c r="N28" s="18">
        <f t="shared" si="5"/>
        <v>32124328</v>
      </c>
      <c r="O28" s="21">
        <v>16</v>
      </c>
      <c r="P28" s="22">
        <v>253120330</v>
      </c>
      <c r="Q28" s="22">
        <v>843734.433333333</v>
      </c>
      <c r="R28" s="22">
        <v>22945.56</v>
      </c>
      <c r="S28" s="23">
        <v>109980096</v>
      </c>
      <c r="T28" s="23">
        <v>26593752</v>
      </c>
      <c r="U28" s="23">
        <v>5530576</v>
      </c>
      <c r="V28" s="23">
        <v>77855768</v>
      </c>
      <c r="W28" s="24">
        <v>70.485357999999906</v>
      </c>
      <c r="X28" s="24">
        <v>73.041494666666694</v>
      </c>
      <c r="Y28" s="24">
        <v>32.706982666666697</v>
      </c>
      <c r="Z28" s="24">
        <v>36.390406333333402</v>
      </c>
      <c r="AA28" s="24">
        <v>35.838780999999997</v>
      </c>
      <c r="AB28" s="25">
        <v>14496.6</v>
      </c>
      <c r="AC28" s="25">
        <v>69756.100000000006</v>
      </c>
      <c r="AD28" s="25">
        <v>78.375</v>
      </c>
      <c r="AE28" s="25">
        <v>281.47800000000001</v>
      </c>
      <c r="AG28" s="20">
        <f t="shared" si="6"/>
        <v>10.9226984</v>
      </c>
      <c r="AH28" s="21">
        <f t="shared" si="7"/>
        <v>0.43639372105945146</v>
      </c>
      <c r="AI28" s="21">
        <f t="shared" si="8"/>
        <v>0.12834607822234043</v>
      </c>
      <c r="AJ28" s="21">
        <f t="shared" si="9"/>
        <v>0.10624981087285382</v>
      </c>
      <c r="AK28" s="21">
        <f t="shared" si="10"/>
        <v>0.30804764283711106</v>
      </c>
      <c r="AL28" s="18">
        <f t="shared" si="11"/>
        <v>32124328</v>
      </c>
      <c r="AM28" s="21">
        <v>16</v>
      </c>
      <c r="AN28" s="22">
        <v>253120330</v>
      </c>
      <c r="AO28" s="22">
        <v>843734.433333333</v>
      </c>
      <c r="AP28" s="22">
        <v>22945.56</v>
      </c>
      <c r="AQ28" s="23">
        <v>109226984</v>
      </c>
      <c r="AR28" s="23">
        <v>26593752</v>
      </c>
      <c r="AS28" s="23">
        <v>5530576</v>
      </c>
      <c r="AT28" s="23">
        <v>77102656</v>
      </c>
      <c r="AU28" s="24">
        <v>70.485357999999906</v>
      </c>
      <c r="AV28" s="24">
        <v>73.041494666666694</v>
      </c>
      <c r="AW28" s="24">
        <v>32.692002666666703</v>
      </c>
      <c r="AX28" s="24">
        <v>36.390619666666701</v>
      </c>
      <c r="AY28" s="24">
        <v>35.8425783333334</v>
      </c>
      <c r="AZ28" s="25">
        <v>14689.9</v>
      </c>
      <c r="BA28" s="25">
        <v>70459.100000000006</v>
      </c>
      <c r="BB28" s="25">
        <v>564.51700000000005</v>
      </c>
      <c r="BC28" s="25">
        <v>307.24200000000002</v>
      </c>
      <c r="BE28" s="58">
        <f t="shared" si="12"/>
        <v>1</v>
      </c>
      <c r="BF28" s="26">
        <f t="shared" si="13"/>
        <v>0</v>
      </c>
      <c r="BG28" s="26">
        <f t="shared" si="14"/>
        <v>2.0139541670254335E-3</v>
      </c>
      <c r="BH28" s="26"/>
      <c r="BJ28" s="58"/>
      <c r="BK28" s="58"/>
      <c r="BL28" s="58"/>
      <c r="BM28" s="58"/>
      <c r="BN28" s="58"/>
      <c r="BP28" s="58"/>
      <c r="BQ28" s="58"/>
      <c r="BR28" s="58"/>
      <c r="BS28" s="58"/>
      <c r="BT28" s="58"/>
    </row>
    <row r="29" spans="1:72" outlineLevel="1" x14ac:dyDescent="0.25">
      <c r="A29" s="27"/>
      <c r="B29" s="27" t="s">
        <v>73</v>
      </c>
      <c r="C29" s="28" t="s">
        <v>236</v>
      </c>
      <c r="D29" s="27">
        <v>250294582</v>
      </c>
      <c r="E29" s="28">
        <v>10</v>
      </c>
      <c r="F29" s="28">
        <v>300</v>
      </c>
      <c r="G29" s="28">
        <v>30</v>
      </c>
      <c r="I29" s="29">
        <f t="shared" si="0"/>
        <v>25.249316799999999</v>
      </c>
      <c r="J29" s="30">
        <f t="shared" si="1"/>
        <v>1.0087839935744194</v>
      </c>
      <c r="K29" s="30">
        <f t="shared" si="2"/>
        <v>0.21169835789733554</v>
      </c>
      <c r="L29" s="30">
        <f t="shared" si="3"/>
        <v>0.16742620501469743</v>
      </c>
      <c r="M29" s="30">
        <f t="shared" si="4"/>
        <v>0.7970856356770839</v>
      </c>
      <c r="N29" s="27">
        <f t="shared" si="5"/>
        <v>52986952</v>
      </c>
      <c r="O29" s="30">
        <v>16</v>
      </c>
      <c r="P29" s="31">
        <v>243643189</v>
      </c>
      <c r="Q29" s="31">
        <v>812143.96333333303</v>
      </c>
      <c r="R29" s="31">
        <v>10655.1133333333</v>
      </c>
      <c r="S29" s="32">
        <v>252493168</v>
      </c>
      <c r="T29" s="32">
        <v>41905872</v>
      </c>
      <c r="U29" s="32">
        <v>11081080</v>
      </c>
      <c r="V29" s="32">
        <v>199506216</v>
      </c>
      <c r="W29" s="33">
        <v>71.191933333333296</v>
      </c>
      <c r="X29" s="33">
        <v>74.925769000000003</v>
      </c>
      <c r="Y29" s="33">
        <v>35.726918333333302</v>
      </c>
      <c r="Z29" s="33">
        <v>38.3666883333334</v>
      </c>
      <c r="AA29" s="33">
        <v>37.755306666666698</v>
      </c>
      <c r="AB29" s="34">
        <v>14372.5</v>
      </c>
      <c r="AC29" s="34">
        <v>78726</v>
      </c>
      <c r="AD29" s="34">
        <v>77.429000000000002</v>
      </c>
      <c r="AE29" s="34">
        <v>308.21199999999999</v>
      </c>
      <c r="AG29" s="29">
        <f t="shared" si="6"/>
        <v>25.156416800000002</v>
      </c>
      <c r="AH29" s="30">
        <f t="shared" si="7"/>
        <v>1.0050723670878341</v>
      </c>
      <c r="AI29" s="30">
        <f t="shared" si="8"/>
        <v>0.21169835789733554</v>
      </c>
      <c r="AJ29" s="30">
        <f t="shared" si="9"/>
        <v>0.16742620501469743</v>
      </c>
      <c r="AK29" s="30">
        <f t="shared" si="10"/>
        <v>0.79337400919049861</v>
      </c>
      <c r="AL29" s="27">
        <f t="shared" si="11"/>
        <v>52986952</v>
      </c>
      <c r="AM29" s="30">
        <v>16</v>
      </c>
      <c r="AN29" s="31">
        <v>243643189</v>
      </c>
      <c r="AO29" s="31">
        <v>812143.96333333303</v>
      </c>
      <c r="AP29" s="31">
        <v>10655.1133333333</v>
      </c>
      <c r="AQ29" s="32">
        <v>251564168</v>
      </c>
      <c r="AR29" s="32">
        <v>41905872</v>
      </c>
      <c r="AS29" s="32">
        <v>11081080</v>
      </c>
      <c r="AT29" s="32">
        <v>198577216</v>
      </c>
      <c r="AU29" s="33">
        <v>71.191933333333296</v>
      </c>
      <c r="AV29" s="33">
        <v>74.925769000000003</v>
      </c>
      <c r="AW29" s="33">
        <v>35.720438666666702</v>
      </c>
      <c r="AX29" s="33">
        <v>38.376886333333303</v>
      </c>
      <c r="AY29" s="33">
        <v>37.768400999999997</v>
      </c>
      <c r="AZ29" s="34">
        <v>14607.4</v>
      </c>
      <c r="BA29" s="34">
        <v>79717.100000000006</v>
      </c>
      <c r="BB29" s="34">
        <v>544.01700000000005</v>
      </c>
      <c r="BC29" s="34">
        <v>329.952</v>
      </c>
      <c r="BE29" s="35">
        <f t="shared" si="12"/>
        <v>1</v>
      </c>
      <c r="BF29" s="36">
        <f t="shared" si="13"/>
        <v>0</v>
      </c>
      <c r="BG29" s="36">
        <f t="shared" si="14"/>
        <v>7.749724057889984E-4</v>
      </c>
      <c r="BH29" s="36"/>
      <c r="BJ29" s="35"/>
      <c r="BK29" s="35"/>
      <c r="BL29" s="35"/>
      <c r="BM29" s="35"/>
      <c r="BN29" s="35"/>
      <c r="BP29" s="35"/>
      <c r="BQ29" s="35"/>
      <c r="BR29" s="35"/>
      <c r="BS29" s="35"/>
      <c r="BT29" s="35"/>
    </row>
    <row r="30" spans="1:72" x14ac:dyDescent="0.25">
      <c r="A30" s="18" t="s">
        <v>238</v>
      </c>
      <c r="B30" s="18" t="s">
        <v>77</v>
      </c>
      <c r="C30" s="19" t="s">
        <v>232</v>
      </c>
      <c r="D30" s="18">
        <v>186907991</v>
      </c>
      <c r="E30" s="19">
        <v>11</v>
      </c>
      <c r="F30" s="19">
        <v>64</v>
      </c>
      <c r="G30" s="19">
        <v>30</v>
      </c>
      <c r="I30" s="20">
        <f t="shared" si="0"/>
        <v>4.0368712499999999</v>
      </c>
      <c r="J30" s="21">
        <f t="shared" si="1"/>
        <v>4.6076103830146029E-2</v>
      </c>
      <c r="K30" s="21">
        <f t="shared" si="2"/>
        <v>3.5983651442703699E-2</v>
      </c>
      <c r="L30" s="21">
        <f t="shared" si="3"/>
        <v>2.292768745237864E-2</v>
      </c>
      <c r="M30" s="21">
        <f t="shared" si="4"/>
        <v>1.0092452387442332E-2</v>
      </c>
      <c r="N30" s="18">
        <f t="shared" si="5"/>
        <v>6725632</v>
      </c>
      <c r="O30" s="21">
        <v>16</v>
      </c>
      <c r="P30" s="22">
        <v>172119781</v>
      </c>
      <c r="Q30" s="22">
        <v>2689371.578125</v>
      </c>
      <c r="R30" s="22">
        <v>33544.125</v>
      </c>
      <c r="S30" s="23">
        <v>8611992</v>
      </c>
      <c r="T30" s="23">
        <v>4285368</v>
      </c>
      <c r="U30" s="23">
        <v>2440264</v>
      </c>
      <c r="V30" s="23">
        <v>1886360</v>
      </c>
      <c r="W30" s="24">
        <v>73.538409375000001</v>
      </c>
      <c r="X30" s="24">
        <v>75.705965625000005</v>
      </c>
      <c r="Y30" s="24">
        <v>32.979881249999998</v>
      </c>
      <c r="Z30" s="24">
        <v>41.890848437499997</v>
      </c>
      <c r="AA30" s="24">
        <v>43.0265953125</v>
      </c>
      <c r="AB30" s="25">
        <v>6652.66</v>
      </c>
      <c r="AC30" s="25">
        <v>54332.3</v>
      </c>
      <c r="AD30" s="25">
        <v>63.567</v>
      </c>
      <c r="AE30" s="25">
        <v>269.55700000000002</v>
      </c>
      <c r="AG30" s="20">
        <f t="shared" si="6"/>
        <v>4.0361287499999996</v>
      </c>
      <c r="AH30" s="21">
        <f t="shared" si="7"/>
        <v>4.6067629072103183E-2</v>
      </c>
      <c r="AI30" s="21">
        <f t="shared" si="8"/>
        <v>3.5983651442703699E-2</v>
      </c>
      <c r="AJ30" s="21">
        <f t="shared" si="9"/>
        <v>2.292768745237864E-2</v>
      </c>
      <c r="AK30" s="21">
        <f t="shared" si="10"/>
        <v>1.0083977629399483E-2</v>
      </c>
      <c r="AL30" s="18">
        <f t="shared" si="11"/>
        <v>6725632</v>
      </c>
      <c r="AM30" s="21">
        <v>16</v>
      </c>
      <c r="AN30" s="22">
        <v>172119781</v>
      </c>
      <c r="AO30" s="22">
        <v>2689371.578125</v>
      </c>
      <c r="AP30" s="22">
        <v>33544.125</v>
      </c>
      <c r="AQ30" s="23">
        <v>8610408</v>
      </c>
      <c r="AR30" s="23">
        <v>4285368</v>
      </c>
      <c r="AS30" s="23">
        <v>2440264</v>
      </c>
      <c r="AT30" s="23">
        <v>1884776</v>
      </c>
      <c r="AU30" s="24">
        <v>73.538409375000001</v>
      </c>
      <c r="AV30" s="24">
        <v>75.705965625000005</v>
      </c>
      <c r="AW30" s="24">
        <v>32.984943749999999</v>
      </c>
      <c r="AX30" s="24">
        <v>41.898460937499998</v>
      </c>
      <c r="AY30" s="24">
        <v>43.1148375</v>
      </c>
      <c r="AZ30" s="25">
        <v>0</v>
      </c>
      <c r="BA30" s="25">
        <v>0</v>
      </c>
      <c r="BB30" s="25">
        <v>402.30399999999997</v>
      </c>
      <c r="BC30" s="25">
        <v>276.11200000000002</v>
      </c>
      <c r="BE30" s="58">
        <f t="shared" si="12"/>
        <v>1</v>
      </c>
      <c r="BF30" s="26">
        <f t="shared" si="13"/>
        <v>0</v>
      </c>
      <c r="BG30" s="26">
        <f t="shared" si="14"/>
        <v>1.4366829227341338E-4</v>
      </c>
      <c r="BH30" s="26">
        <f t="array" ref="BH30">AVERAGE(AL30:AL34/AQ30:AQ34) - AVERAGE(N30:N34/S30:S34)</f>
        <v>4.5161662371084876E-4</v>
      </c>
      <c r="BJ30" s="58">
        <f>IF( OR(ISBLANK(N30:N34),ISBLANK(AL30:AL34), ISBLANK(W30:W34),ISBLANK(AU30:AU34)), "·", bdRateExtend( N30:N34,W30:W34, AL30:AL34,AU30:AU34))</f>
        <v>0</v>
      </c>
      <c r="BK30" s="58">
        <f>IF( OR(ISBLANK(N30:N34),ISBLANK(AL30:AL34), ISBLANK(X30:X34),ISBLANK(AV30:AV34)), "·", bdRateExtend( N30:N34,X30:X34, AL30:AL34,AV30:AV34))</f>
        <v>0</v>
      </c>
      <c r="BL30" s="58">
        <f>IF( OR(ISBLANK(V30:V34),ISBLANK(AT30:AT34), ISBLANK(Y30:Y34),ISBLANK(AW30:AW34)), "·", bdRateExtend( V30:V34,Y30:Y34, AT30:AT34,AW30:AW34))</f>
        <v>-1.4919217870644763E-3</v>
      </c>
      <c r="BM30" s="58">
        <f>IF( OR(ISBLANK(V30:V34),ISBLANK(AT30:AT34), ISBLANK(Z30:Z34),ISBLANK(AX30:AX34)), "·", bdRateExtend( V30:V34,Z30:Z34, AT30:AT34,AX30:AX34))</f>
        <v>-1.8443090685362762E-3</v>
      </c>
      <c r="BN30" s="58">
        <f>IF( OR(ISBLANK(V30:V34),ISBLANK(AT30:AT34), ISBLANK(AA30:AA34),ISBLANK(AY30:AY34)), "·", bdRateExtend( V30:V34,AA30:AA34, AT30:AT34,AY30:AY34))</f>
        <v>1.7836424510753401E-2</v>
      </c>
      <c r="BP30" s="58">
        <f>IF( OR(ISBLANK(S30:S34),ISBLANK(AQ30:AQ34), ISBLANK(W30:W34),ISBLANK(AU30:AU34)), "·", bdRateExtend( S30:S34,W30:W34, AQ30:AQ34,AU30:AU34))</f>
        <v>-8.3258978617029022E-4</v>
      </c>
      <c r="BQ30" s="58">
        <f>IF( OR(ISBLANK(S30:S34),ISBLANK(AQ30:AQ34), ISBLANK(X30:X34),ISBLANK(AV30:AV34)), "·", bdRateExtend( S30:S34,X30:X34, AQ30:AQ34,AV30:AV34))</f>
        <v>-8.5859754020523038E-4</v>
      </c>
      <c r="BR30" s="58">
        <f>IF( OR(ISBLANK(S30:S34),ISBLANK(AQ30:AQ34), ISBLANK(Y30:Y34),ISBLANK(AW30:AW34)), "·", bdRateExtend( S30:S34,Y30:Y34, AQ30:AQ34,AW30:AW34))</f>
        <v>-2.4832778510419651E-4</v>
      </c>
      <c r="BS30" s="58">
        <f>IF( OR(ISBLANK(S30:S34),ISBLANK(AQ30:AQ34), ISBLANK(Z30:Z34),ISBLANK(AX30:AX34)), "·", bdRateExtend( S30:S34,Z30:Z34, AQ30:AQ34,AX30:AX34))</f>
        <v>4.1623333129581219E-4</v>
      </c>
      <c r="BT30" s="58">
        <f>IF( OR(ISBLANK(S30:S34),ISBLANK(AQ30:AQ34), ISBLANK(AA30:AA34),ISBLANK(AY30:AY34)), "·", bdRateExtend( S30:S34,AA30:AA34, AQ30:AQ34,AY30:AY34))</f>
        <v>1.3675193599677726E-2</v>
      </c>
    </row>
    <row r="31" spans="1:72" outlineLevel="1" x14ac:dyDescent="0.25">
      <c r="A31" s="129"/>
      <c r="B31" s="129" t="s">
        <v>77</v>
      </c>
      <c r="C31" s="10" t="s">
        <v>233</v>
      </c>
      <c r="D31" s="129">
        <v>186907991</v>
      </c>
      <c r="E31" s="10">
        <v>11</v>
      </c>
      <c r="F31" s="10">
        <v>64</v>
      </c>
      <c r="G31" s="10">
        <v>30</v>
      </c>
      <c r="I31" s="11">
        <f t="shared" si="0"/>
        <v>5.3958787499999996</v>
      </c>
      <c r="J31" s="12">
        <f t="shared" si="1"/>
        <v>6.1587564760674146E-2</v>
      </c>
      <c r="K31" s="12">
        <f t="shared" si="2"/>
        <v>4.4386160033147007E-2</v>
      </c>
      <c r="L31" s="12">
        <f t="shared" si="3"/>
        <v>3.1330196042821945E-2</v>
      </c>
      <c r="M31" s="12">
        <f t="shared" si="4"/>
        <v>1.7201404727527139E-2</v>
      </c>
      <c r="N31" s="129">
        <f t="shared" si="5"/>
        <v>8296128</v>
      </c>
      <c r="O31" s="12">
        <v>16</v>
      </c>
      <c r="P31" s="13">
        <v>181793517</v>
      </c>
      <c r="Q31" s="13">
        <v>2840523.703125</v>
      </c>
      <c r="R31" s="13">
        <v>41507.578125</v>
      </c>
      <c r="S31" s="14">
        <v>11511208</v>
      </c>
      <c r="T31" s="14">
        <v>5855864</v>
      </c>
      <c r="U31" s="14">
        <v>2440264</v>
      </c>
      <c r="V31" s="14">
        <v>3215080</v>
      </c>
      <c r="W31" s="15">
        <v>75.198571874999999</v>
      </c>
      <c r="X31" s="15">
        <v>77.573767187499996</v>
      </c>
      <c r="Y31" s="15">
        <v>35.007385937499997</v>
      </c>
      <c r="Z31" s="15">
        <v>42.599560937500002</v>
      </c>
      <c r="AA31" s="15">
        <v>44.470268750000002</v>
      </c>
      <c r="AB31" s="16">
        <v>6626.54</v>
      </c>
      <c r="AC31" s="16">
        <v>57358.6</v>
      </c>
      <c r="AD31" s="16">
        <v>66.069000000000003</v>
      </c>
      <c r="AE31" s="16">
        <v>283.88499999999999</v>
      </c>
      <c r="AG31" s="11">
        <f t="shared" si="6"/>
        <v>5.39298375</v>
      </c>
      <c r="AH31" s="12">
        <f t="shared" si="7"/>
        <v>6.155452176466869E-2</v>
      </c>
      <c r="AI31" s="12">
        <f t="shared" si="8"/>
        <v>4.4386160033147007E-2</v>
      </c>
      <c r="AJ31" s="12">
        <f t="shared" si="9"/>
        <v>3.1330196042821945E-2</v>
      </c>
      <c r="AK31" s="12">
        <f t="shared" si="10"/>
        <v>1.7168361731521687E-2</v>
      </c>
      <c r="AL31" s="129">
        <f t="shared" si="11"/>
        <v>8296128</v>
      </c>
      <c r="AM31" s="12">
        <v>16</v>
      </c>
      <c r="AN31" s="13">
        <v>181793517</v>
      </c>
      <c r="AO31" s="13">
        <v>2840523.703125</v>
      </c>
      <c r="AP31" s="13">
        <v>41507.578125</v>
      </c>
      <c r="AQ31" s="14">
        <v>11505032</v>
      </c>
      <c r="AR31" s="14">
        <v>5855864</v>
      </c>
      <c r="AS31" s="14">
        <v>2440264</v>
      </c>
      <c r="AT31" s="14">
        <v>3208904</v>
      </c>
      <c r="AU31" s="15">
        <v>75.198571874999999</v>
      </c>
      <c r="AV31" s="15">
        <v>77.573767187499996</v>
      </c>
      <c r="AW31" s="15">
        <v>35.008137499999997</v>
      </c>
      <c r="AX31" s="15">
        <v>42.637901562499998</v>
      </c>
      <c r="AY31" s="15">
        <v>44.5175640625</v>
      </c>
      <c r="AZ31" s="16">
        <v>0</v>
      </c>
      <c r="BA31" s="16">
        <v>0</v>
      </c>
      <c r="BB31" s="16">
        <v>425.245</v>
      </c>
      <c r="BC31" s="16">
        <v>285.89299999999997</v>
      </c>
      <c r="BE31" s="62">
        <f t="shared" si="12"/>
        <v>1</v>
      </c>
      <c r="BF31" s="17">
        <f t="shared" si="13"/>
        <v>0</v>
      </c>
      <c r="BG31" s="17">
        <f t="shared" si="14"/>
        <v>3.8687796884029346E-4</v>
      </c>
      <c r="BH31" s="17"/>
      <c r="BJ31" s="62"/>
      <c r="BK31" s="62"/>
      <c r="BL31" s="62"/>
      <c r="BM31" s="62"/>
      <c r="BN31" s="62"/>
      <c r="BP31" s="62"/>
      <c r="BQ31" s="62"/>
      <c r="BR31" s="62"/>
      <c r="BS31" s="62"/>
      <c r="BT31" s="62"/>
    </row>
    <row r="32" spans="1:72" outlineLevel="1" x14ac:dyDescent="0.25">
      <c r="A32" s="18"/>
      <c r="B32" s="18" t="s">
        <v>77</v>
      </c>
      <c r="C32" s="19" t="s">
        <v>234</v>
      </c>
      <c r="D32" s="18">
        <v>186907991</v>
      </c>
      <c r="E32" s="19">
        <v>11</v>
      </c>
      <c r="F32" s="19">
        <v>64</v>
      </c>
      <c r="G32" s="19">
        <v>30</v>
      </c>
      <c r="I32" s="20">
        <f t="shared" si="0"/>
        <v>7.7652900000000002</v>
      </c>
      <c r="J32" s="21">
        <f t="shared" si="1"/>
        <v>8.8631587720612762E-2</v>
      </c>
      <c r="K32" s="21">
        <f t="shared" si="2"/>
        <v>5.6776085084559065E-2</v>
      </c>
      <c r="L32" s="21">
        <f t="shared" si="3"/>
        <v>4.372012109423401E-2</v>
      </c>
      <c r="M32" s="21">
        <f t="shared" si="4"/>
        <v>3.1855502636053697E-2</v>
      </c>
      <c r="N32" s="18">
        <f t="shared" si="5"/>
        <v>10611904</v>
      </c>
      <c r="O32" s="21">
        <v>16</v>
      </c>
      <c r="P32" s="22">
        <v>184640807</v>
      </c>
      <c r="Q32" s="22">
        <v>2885012.609375</v>
      </c>
      <c r="R32" s="22">
        <v>44657.078125</v>
      </c>
      <c r="S32" s="23">
        <v>16565952</v>
      </c>
      <c r="T32" s="23">
        <v>8171640</v>
      </c>
      <c r="U32" s="23">
        <v>2440264</v>
      </c>
      <c r="V32" s="23">
        <v>5954048</v>
      </c>
      <c r="W32" s="24">
        <v>76.443582812499997</v>
      </c>
      <c r="X32" s="24">
        <v>79.119150000000005</v>
      </c>
      <c r="Y32" s="24">
        <v>36.887945312500001</v>
      </c>
      <c r="Z32" s="24">
        <v>43.1831265625</v>
      </c>
      <c r="AA32" s="24">
        <v>45.813326562500002</v>
      </c>
      <c r="AB32" s="25">
        <v>6652.6</v>
      </c>
      <c r="AC32" s="25">
        <v>60125.9</v>
      </c>
      <c r="AD32" s="25">
        <v>64.997</v>
      </c>
      <c r="AE32" s="25">
        <v>277.541</v>
      </c>
      <c r="AG32" s="20">
        <f t="shared" si="6"/>
        <v>7.7568037500000004</v>
      </c>
      <c r="AH32" s="21">
        <f t="shared" si="7"/>
        <v>8.8534727228436153E-2</v>
      </c>
      <c r="AI32" s="21">
        <f t="shared" si="8"/>
        <v>5.6776085084559065E-2</v>
      </c>
      <c r="AJ32" s="21">
        <f t="shared" si="9"/>
        <v>4.372012109423401E-2</v>
      </c>
      <c r="AK32" s="21">
        <f t="shared" si="10"/>
        <v>3.1758642143877087E-2</v>
      </c>
      <c r="AL32" s="18">
        <f t="shared" si="11"/>
        <v>10611904</v>
      </c>
      <c r="AM32" s="21">
        <v>16</v>
      </c>
      <c r="AN32" s="22">
        <v>184640807</v>
      </c>
      <c r="AO32" s="22">
        <v>2885012.609375</v>
      </c>
      <c r="AP32" s="22">
        <v>44657.078125</v>
      </c>
      <c r="AQ32" s="23">
        <v>16547848</v>
      </c>
      <c r="AR32" s="23">
        <v>8171640</v>
      </c>
      <c r="AS32" s="23">
        <v>2440264</v>
      </c>
      <c r="AT32" s="23">
        <v>5935944</v>
      </c>
      <c r="AU32" s="24">
        <v>76.443582812499997</v>
      </c>
      <c r="AV32" s="24">
        <v>79.119150000000005</v>
      </c>
      <c r="AW32" s="24">
        <v>36.883573437499997</v>
      </c>
      <c r="AX32" s="24">
        <v>43.144957812500003</v>
      </c>
      <c r="AY32" s="24">
        <v>45.674196875</v>
      </c>
      <c r="AZ32" s="25">
        <v>0</v>
      </c>
      <c r="BA32" s="25">
        <v>0</v>
      </c>
      <c r="BB32" s="25">
        <v>428.9</v>
      </c>
      <c r="BC32" s="25">
        <v>284.76100000000002</v>
      </c>
      <c r="BE32" s="58">
        <f t="shared" si="12"/>
        <v>1</v>
      </c>
      <c r="BF32" s="26">
        <f t="shared" si="13"/>
        <v>0</v>
      </c>
      <c r="BG32" s="26">
        <f t="shared" si="14"/>
        <v>7.0082555845651928E-4</v>
      </c>
      <c r="BH32" s="26"/>
      <c r="BJ32" s="58"/>
      <c r="BK32" s="58"/>
      <c r="BL32" s="58"/>
      <c r="BM32" s="58"/>
      <c r="BN32" s="58"/>
      <c r="BP32" s="58"/>
      <c r="BQ32" s="58"/>
      <c r="BR32" s="58"/>
      <c r="BS32" s="58"/>
      <c r="BT32" s="58"/>
    </row>
    <row r="33" spans="1:72" outlineLevel="1" x14ac:dyDescent="0.25">
      <c r="A33" s="129"/>
      <c r="B33" s="129" t="s">
        <v>77</v>
      </c>
      <c r="C33" s="10" t="s">
        <v>235</v>
      </c>
      <c r="D33" s="129">
        <v>186907991</v>
      </c>
      <c r="E33" s="10">
        <v>11</v>
      </c>
      <c r="F33" s="10">
        <v>64</v>
      </c>
      <c r="G33" s="10">
        <v>30</v>
      </c>
      <c r="I33" s="11">
        <f t="shared" si="0"/>
        <v>12.811882499999999</v>
      </c>
      <c r="J33" s="12">
        <f t="shared" si="1"/>
        <v>0.14623246365105919</v>
      </c>
      <c r="K33" s="12">
        <f t="shared" si="2"/>
        <v>7.880181003069045E-2</v>
      </c>
      <c r="L33" s="12">
        <f t="shared" si="3"/>
        <v>6.5745846040365388E-2</v>
      </c>
      <c r="M33" s="12">
        <f t="shared" si="4"/>
        <v>6.743065362036875E-2</v>
      </c>
      <c r="N33" s="129">
        <f t="shared" si="5"/>
        <v>14728688</v>
      </c>
      <c r="O33" s="12">
        <v>16</v>
      </c>
      <c r="P33" s="13">
        <v>189214522</v>
      </c>
      <c r="Q33" s="13">
        <v>2956476.90625</v>
      </c>
      <c r="R33" s="13">
        <v>49885.15625</v>
      </c>
      <c r="S33" s="14">
        <v>27332016</v>
      </c>
      <c r="T33" s="14">
        <v>12288424</v>
      </c>
      <c r="U33" s="14">
        <v>2440264</v>
      </c>
      <c r="V33" s="14">
        <v>12603328</v>
      </c>
      <c r="W33" s="15">
        <v>77.554853124999994</v>
      </c>
      <c r="X33" s="15">
        <v>80.274532812499999</v>
      </c>
      <c r="Y33" s="15">
        <v>38.707071874999997</v>
      </c>
      <c r="Z33" s="15">
        <v>43.754846874999998</v>
      </c>
      <c r="AA33" s="15">
        <v>47.274164062499999</v>
      </c>
      <c r="AB33" s="16">
        <v>6660.67</v>
      </c>
      <c r="AC33" s="16">
        <v>63282.9</v>
      </c>
      <c r="AD33" s="16">
        <v>66.040000000000006</v>
      </c>
      <c r="AE33" s="16">
        <v>288.17200000000003</v>
      </c>
      <c r="AG33" s="11">
        <f t="shared" si="6"/>
        <v>12.792026249999999</v>
      </c>
      <c r="AH33" s="12">
        <f t="shared" si="7"/>
        <v>0.14600582807612544</v>
      </c>
      <c r="AI33" s="12">
        <f t="shared" si="8"/>
        <v>7.880181003069045E-2</v>
      </c>
      <c r="AJ33" s="12">
        <f t="shared" si="9"/>
        <v>6.5745846040365388E-2</v>
      </c>
      <c r="AK33" s="12">
        <f t="shared" si="10"/>
        <v>6.7204018045434979E-2</v>
      </c>
      <c r="AL33" s="129">
        <f t="shared" si="11"/>
        <v>14728688</v>
      </c>
      <c r="AM33" s="12">
        <v>16</v>
      </c>
      <c r="AN33" s="13">
        <v>189214522</v>
      </c>
      <c r="AO33" s="13">
        <v>2956476.90625</v>
      </c>
      <c r="AP33" s="13">
        <v>49885.15625</v>
      </c>
      <c r="AQ33" s="14">
        <v>27289656</v>
      </c>
      <c r="AR33" s="14">
        <v>12288424</v>
      </c>
      <c r="AS33" s="14">
        <v>2440264</v>
      </c>
      <c r="AT33" s="14">
        <v>12560968</v>
      </c>
      <c r="AU33" s="15">
        <v>77.554853124999994</v>
      </c>
      <c r="AV33" s="15">
        <v>80.274532812499999</v>
      </c>
      <c r="AW33" s="15">
        <v>38.703032812499998</v>
      </c>
      <c r="AX33" s="15">
        <v>43.746154687500002</v>
      </c>
      <c r="AY33" s="15">
        <v>47.196599999999997</v>
      </c>
      <c r="AZ33" s="16">
        <v>0</v>
      </c>
      <c r="BA33" s="16">
        <v>0</v>
      </c>
      <c r="BB33" s="16">
        <v>439.44200000000001</v>
      </c>
      <c r="BC33" s="16">
        <v>292.61599999999999</v>
      </c>
      <c r="BE33" s="62">
        <f t="shared" si="12"/>
        <v>1</v>
      </c>
      <c r="BF33" s="17">
        <f t="shared" si="13"/>
        <v>0</v>
      </c>
      <c r="BG33" s="17">
        <f t="shared" si="14"/>
        <v>8.3646983992313739E-4</v>
      </c>
      <c r="BH33" s="17"/>
      <c r="BJ33" s="62"/>
      <c r="BK33" s="62"/>
      <c r="BL33" s="62"/>
      <c r="BM33" s="62"/>
      <c r="BN33" s="62"/>
      <c r="BP33" s="62"/>
      <c r="BQ33" s="62"/>
      <c r="BR33" s="62"/>
      <c r="BS33" s="62"/>
      <c r="BT33" s="62"/>
    </row>
    <row r="34" spans="1:72" outlineLevel="1" x14ac:dyDescent="0.25">
      <c r="A34" s="18"/>
      <c r="B34" s="37" t="s">
        <v>77</v>
      </c>
      <c r="C34" s="38" t="s">
        <v>236</v>
      </c>
      <c r="D34" s="37">
        <v>186907991</v>
      </c>
      <c r="E34" s="38">
        <v>11</v>
      </c>
      <c r="F34" s="38">
        <v>64</v>
      </c>
      <c r="G34" s="38">
        <v>30</v>
      </c>
      <c r="I34" s="39">
        <f t="shared" si="0"/>
        <v>25.79369625</v>
      </c>
      <c r="J34" s="40">
        <f t="shared" si="1"/>
        <v>0.29440449124510681</v>
      </c>
      <c r="K34" s="40">
        <f t="shared" si="2"/>
        <v>0.13040131601435917</v>
      </c>
      <c r="L34" s="40">
        <f t="shared" si="3"/>
        <v>0.10363785890780881</v>
      </c>
      <c r="M34" s="40">
        <f t="shared" si="4"/>
        <v>0.16400317523074762</v>
      </c>
      <c r="N34" s="37">
        <f t="shared" si="5"/>
        <v>24373048</v>
      </c>
      <c r="O34" s="40">
        <v>16</v>
      </c>
      <c r="P34" s="41">
        <v>185473998</v>
      </c>
      <c r="Q34" s="41">
        <v>2898031.21875</v>
      </c>
      <c r="R34" s="41">
        <v>21040.359375</v>
      </c>
      <c r="S34" s="42">
        <v>55026552</v>
      </c>
      <c r="T34" s="42">
        <v>19370744</v>
      </c>
      <c r="U34" s="42">
        <v>5002304</v>
      </c>
      <c r="V34" s="42">
        <v>30653504</v>
      </c>
      <c r="W34" s="43">
        <v>78.483640625000007</v>
      </c>
      <c r="X34" s="43">
        <v>81.908514062500004</v>
      </c>
      <c r="Y34" s="43">
        <v>40.536990625000001</v>
      </c>
      <c r="Z34" s="43">
        <v>44.458462500000003</v>
      </c>
      <c r="AA34" s="43">
        <v>48.761865624999999</v>
      </c>
      <c r="AB34" s="44">
        <v>6640.28</v>
      </c>
      <c r="AC34" s="44">
        <v>68330.3</v>
      </c>
      <c r="AD34" s="44">
        <v>63.579000000000001</v>
      </c>
      <c r="AE34" s="44">
        <v>292.15499999999997</v>
      </c>
      <c r="AG34" s="39">
        <f t="shared" si="6"/>
        <v>25.782622499999999</v>
      </c>
      <c r="AH34" s="40">
        <f t="shared" si="7"/>
        <v>0.29427809750520512</v>
      </c>
      <c r="AI34" s="40">
        <f t="shared" si="8"/>
        <v>0.13040131601435917</v>
      </c>
      <c r="AJ34" s="40">
        <f t="shared" si="9"/>
        <v>0.10363785890780881</v>
      </c>
      <c r="AK34" s="40">
        <f t="shared" si="10"/>
        <v>0.16387678149084595</v>
      </c>
      <c r="AL34" s="37">
        <f t="shared" si="11"/>
        <v>24373048</v>
      </c>
      <c r="AM34" s="40">
        <v>16</v>
      </c>
      <c r="AN34" s="41">
        <v>185473998</v>
      </c>
      <c r="AO34" s="41">
        <v>2898031.21875</v>
      </c>
      <c r="AP34" s="41">
        <v>21040.359375</v>
      </c>
      <c r="AQ34" s="42">
        <v>55002928</v>
      </c>
      <c r="AR34" s="42">
        <v>19370744</v>
      </c>
      <c r="AS34" s="42">
        <v>5002304</v>
      </c>
      <c r="AT34" s="42">
        <v>30629880</v>
      </c>
      <c r="AU34" s="43">
        <v>78.483640625000007</v>
      </c>
      <c r="AV34" s="43">
        <v>81.908514062500004</v>
      </c>
      <c r="AW34" s="43">
        <v>40.533028125000001</v>
      </c>
      <c r="AX34" s="43">
        <v>44.458529687499997</v>
      </c>
      <c r="AY34" s="43">
        <v>48.760359375</v>
      </c>
      <c r="AZ34" s="44">
        <v>0</v>
      </c>
      <c r="BA34" s="44">
        <v>0</v>
      </c>
      <c r="BB34" s="44">
        <v>431.19299999999998</v>
      </c>
      <c r="BC34" s="44">
        <v>309.62200000000001</v>
      </c>
      <c r="BE34" s="45">
        <f t="shared" si="12"/>
        <v>1</v>
      </c>
      <c r="BF34" s="46">
        <f t="shared" si="13"/>
        <v>0</v>
      </c>
      <c r="BG34" s="46">
        <f t="shared" si="14"/>
        <v>1.9024145906121337E-4</v>
      </c>
      <c r="BH34" s="46"/>
      <c r="BJ34" s="45"/>
      <c r="BK34" s="45"/>
      <c r="BL34" s="45"/>
      <c r="BM34" s="45"/>
      <c r="BN34" s="45"/>
      <c r="BP34" s="45"/>
      <c r="BQ34" s="45"/>
      <c r="BR34" s="45"/>
      <c r="BS34" s="45"/>
      <c r="BT34" s="45"/>
    </row>
    <row r="35" spans="1:72" x14ac:dyDescent="0.25">
      <c r="A35" s="129"/>
      <c r="B35" s="129" t="s">
        <v>82</v>
      </c>
      <c r="C35" s="10" t="s">
        <v>232</v>
      </c>
      <c r="D35" s="129">
        <v>166028718</v>
      </c>
      <c r="E35" s="10">
        <v>11</v>
      </c>
      <c r="F35" s="10">
        <v>64</v>
      </c>
      <c r="G35" s="10">
        <v>30</v>
      </c>
      <c r="I35" s="11">
        <f t="shared" si="0"/>
        <v>4.6048012500000004</v>
      </c>
      <c r="J35" s="12">
        <f t="shared" si="1"/>
        <v>5.9167932622355125E-2</v>
      </c>
      <c r="K35" s="12">
        <f t="shared" si="2"/>
        <v>4.4905966207605119E-2</v>
      </c>
      <c r="L35" s="12">
        <f t="shared" si="3"/>
        <v>2.8690217315296019E-2</v>
      </c>
      <c r="M35" s="12">
        <f t="shared" si="4"/>
        <v>1.4261966414750008E-2</v>
      </c>
      <c r="N35" s="129">
        <f t="shared" si="5"/>
        <v>7455680</v>
      </c>
      <c r="O35" s="12">
        <v>16</v>
      </c>
      <c r="P35" s="13">
        <v>149613278</v>
      </c>
      <c r="Q35" s="13">
        <v>2337707.46875</v>
      </c>
      <c r="R35" s="13">
        <v>31836.328125</v>
      </c>
      <c r="S35" s="14">
        <v>9823576</v>
      </c>
      <c r="T35" s="14">
        <v>4763400</v>
      </c>
      <c r="U35" s="14">
        <v>2692280</v>
      </c>
      <c r="V35" s="14">
        <v>2367896</v>
      </c>
      <c r="W35" s="15">
        <v>73.201135937499998</v>
      </c>
      <c r="X35" s="15">
        <v>75.428648437500001</v>
      </c>
      <c r="Y35" s="15">
        <v>31.857690625</v>
      </c>
      <c r="Z35" s="15">
        <v>42.104685937500001</v>
      </c>
      <c r="AA35" s="15">
        <v>43.359421875000002</v>
      </c>
      <c r="AB35" s="16">
        <v>5937.43</v>
      </c>
      <c r="AC35" s="16">
        <v>57217</v>
      </c>
      <c r="AD35" s="16">
        <v>58.192</v>
      </c>
      <c r="AE35" s="16">
        <v>269.07499999999999</v>
      </c>
      <c r="AG35" s="11">
        <f t="shared" si="6"/>
        <v>4.6040437499999998</v>
      </c>
      <c r="AH35" s="12">
        <f t="shared" si="7"/>
        <v>5.9158199366449365E-2</v>
      </c>
      <c r="AI35" s="12">
        <f t="shared" si="8"/>
        <v>4.4905966207605119E-2</v>
      </c>
      <c r="AJ35" s="12">
        <f t="shared" si="9"/>
        <v>2.8690217315296019E-2</v>
      </c>
      <c r="AK35" s="12">
        <f t="shared" si="10"/>
        <v>1.4252233158844243E-2</v>
      </c>
      <c r="AL35" s="129">
        <f t="shared" si="11"/>
        <v>7455680</v>
      </c>
      <c r="AM35" s="12">
        <v>16</v>
      </c>
      <c r="AN35" s="13">
        <v>149613278</v>
      </c>
      <c r="AO35" s="13">
        <v>2337707.46875</v>
      </c>
      <c r="AP35" s="13">
        <v>31836.328125</v>
      </c>
      <c r="AQ35" s="14">
        <v>9821960</v>
      </c>
      <c r="AR35" s="14">
        <v>4763400</v>
      </c>
      <c r="AS35" s="14">
        <v>2692280</v>
      </c>
      <c r="AT35" s="14">
        <v>2366280</v>
      </c>
      <c r="AU35" s="15">
        <v>73.201135937499998</v>
      </c>
      <c r="AV35" s="15">
        <v>75.428648437500001</v>
      </c>
      <c r="AW35" s="15">
        <v>31.861665625000001</v>
      </c>
      <c r="AX35" s="15">
        <v>42.110481249999999</v>
      </c>
      <c r="AY35" s="15">
        <v>43.259603124999998</v>
      </c>
      <c r="AZ35" s="16">
        <v>0</v>
      </c>
      <c r="BA35" s="16">
        <v>0</v>
      </c>
      <c r="BB35" s="16">
        <v>353.767</v>
      </c>
      <c r="BC35" s="16">
        <v>275.18200000000002</v>
      </c>
      <c r="BE35" s="62">
        <f t="shared" si="12"/>
        <v>1</v>
      </c>
      <c r="BF35" s="17">
        <f t="shared" si="13"/>
        <v>0</v>
      </c>
      <c r="BG35" s="17">
        <f t="shared" si="14"/>
        <v>1.248707860563858E-4</v>
      </c>
      <c r="BH35" s="17">
        <f t="array" ref="BH35">AVERAGE(AL35:AL39/AQ35:AQ39) - AVERAGE(N35:N39/S35:S39)</f>
        <v>3.492240667168911E-4</v>
      </c>
      <c r="BJ35" s="62">
        <f>IF( OR(ISBLANK(N35:N39),ISBLANK(AL35:AL39), ISBLANK(W35:W39),ISBLANK(AU35:AU39)), "·", bdRateExtend( N35:N39,W35:W39, AL35:AL39,AU35:AU39))</f>
        <v>0</v>
      </c>
      <c r="BK35" s="62">
        <f>IF( OR(ISBLANK(N35:N39),ISBLANK(AL35:AL39), ISBLANK(X35:X39),ISBLANK(AV35:AV39)), "·", bdRateExtend( N35:N39,X35:X39, AL35:AL39,AV35:AV39))</f>
        <v>0</v>
      </c>
      <c r="BL35" s="62">
        <f>IF( OR(ISBLANK(V35:V39),ISBLANK(AT35:AT39), ISBLANK(Y35:Y39),ISBLANK(AW35:AW39)), "·", bdRateExtend( V35:V39,Y35:Y39, AT35:AT39,AW35:AW39))</f>
        <v>-8.6606486466123123E-4</v>
      </c>
      <c r="BM35" s="62">
        <f>IF( OR(ISBLANK(V35:V39),ISBLANK(AT35:AT39), ISBLANK(Z35:Z39),ISBLANK(AX35:AX39)), "·", bdRateExtend( V35:V39,Z35:Z39, AT35:AT39,AX35:AX39))</f>
        <v>-2.9046112813699843E-3</v>
      </c>
      <c r="BN35" s="62">
        <f>IF( OR(ISBLANK(V35:V39),ISBLANK(AT35:AT39), ISBLANK(AA35:AA39),ISBLANK(AY35:AY39)), "·", bdRateExtend( V35:V39,AA35:AA39, AT35:AT39,AY35:AY39))</f>
        <v>1.2253461192621051E-2</v>
      </c>
      <c r="BP35" s="62">
        <f>IF( OR(ISBLANK(S35:S39),ISBLANK(AQ35:AQ39), ISBLANK(W35:W39),ISBLANK(AU35:AU39)), "·", bdRateExtend( S35:S39,W35:W39, AQ35:AQ39,AU35:AU39))</f>
        <v>-5.8813386626010988E-4</v>
      </c>
      <c r="BQ35" s="62">
        <f>IF( OR(ISBLANK(S35:S39),ISBLANK(AQ35:AQ39), ISBLANK(X35:X39),ISBLANK(AV35:AV39)), "·", bdRateExtend( S35:S39,X35:X39, AQ35:AQ39,AV35:AV39))</f>
        <v>-7.0599516645408755E-4</v>
      </c>
      <c r="BR35" s="62">
        <f>IF( OR(ISBLANK(S35:S39),ISBLANK(AQ35:AQ39), ISBLANK(Y35:Y39),ISBLANK(AW35:AW39)), "·", bdRateExtend( S35:S39,Y35:Y39, AQ35:AQ39,AW35:AW39))</f>
        <v>-1.7670833073524239E-4</v>
      </c>
      <c r="BS35" s="62">
        <f>IF( OR(ISBLANK(S35:S39),ISBLANK(AQ35:AQ39), ISBLANK(Z35:Z39),ISBLANK(AX35:AX39)), "·", bdRateExtend( S35:S39,Z35:Z39, AQ35:AQ39,AX35:AX39))</f>
        <v>-1.1799905117909626E-3</v>
      </c>
      <c r="BT35" s="62">
        <f>IF( OR(ISBLANK(S35:S39),ISBLANK(AQ35:AQ39), ISBLANK(AA35:AA39),ISBLANK(AY35:AY39)), "·", bdRateExtend( S35:S39,AA35:AA39, AQ35:AQ39,AY35:AY39))</f>
        <v>7.3355249617674811E-3</v>
      </c>
    </row>
    <row r="36" spans="1:72" outlineLevel="1" x14ac:dyDescent="0.25">
      <c r="A36" s="18"/>
      <c r="B36" s="18" t="s">
        <v>82</v>
      </c>
      <c r="C36" s="19" t="s">
        <v>233</v>
      </c>
      <c r="D36" s="18">
        <v>166028718</v>
      </c>
      <c r="E36" s="19">
        <v>11</v>
      </c>
      <c r="F36" s="19">
        <v>64</v>
      </c>
      <c r="G36" s="19">
        <v>30</v>
      </c>
      <c r="I36" s="20">
        <f t="shared" si="0"/>
        <v>6.1643662499999996</v>
      </c>
      <c r="J36" s="21">
        <f t="shared" si="1"/>
        <v>7.920706826152811E-2</v>
      </c>
      <c r="K36" s="21">
        <f t="shared" si="2"/>
        <v>5.5240997524295767E-2</v>
      </c>
      <c r="L36" s="21">
        <f t="shared" si="3"/>
        <v>3.9025248631986663E-2</v>
      </c>
      <c r="M36" s="21">
        <f t="shared" si="4"/>
        <v>2.3966070737232337E-2</v>
      </c>
      <c r="N36" s="18">
        <f t="shared" si="5"/>
        <v>9171592</v>
      </c>
      <c r="O36" s="21">
        <v>16</v>
      </c>
      <c r="P36" s="22">
        <v>159901191</v>
      </c>
      <c r="Q36" s="22">
        <v>2498456.109375</v>
      </c>
      <c r="R36" s="22">
        <v>40289.96875</v>
      </c>
      <c r="S36" s="23">
        <v>13150648</v>
      </c>
      <c r="T36" s="23">
        <v>6479312</v>
      </c>
      <c r="U36" s="23">
        <v>2692280</v>
      </c>
      <c r="V36" s="23">
        <v>3979056</v>
      </c>
      <c r="W36" s="24">
        <v>74.942665625000004</v>
      </c>
      <c r="X36" s="24">
        <v>77.380543750000001</v>
      </c>
      <c r="Y36" s="24">
        <v>34.085064062500003</v>
      </c>
      <c r="Z36" s="24">
        <v>42.90930625</v>
      </c>
      <c r="AA36" s="24">
        <v>44.879321875000002</v>
      </c>
      <c r="AB36" s="25">
        <v>5946.17</v>
      </c>
      <c r="AC36" s="25">
        <v>60909</v>
      </c>
      <c r="AD36" s="25">
        <v>60.423999999999999</v>
      </c>
      <c r="AE36" s="25">
        <v>277.39499999999998</v>
      </c>
      <c r="AG36" s="20">
        <f t="shared" si="6"/>
        <v>6.1635675000000001</v>
      </c>
      <c r="AH36" s="21">
        <f t="shared" si="7"/>
        <v>7.91968049768354E-2</v>
      </c>
      <c r="AI36" s="21">
        <f t="shared" si="8"/>
        <v>5.5240997524295767E-2</v>
      </c>
      <c r="AJ36" s="21">
        <f t="shared" si="9"/>
        <v>3.9025248631986663E-2</v>
      </c>
      <c r="AK36" s="21">
        <f t="shared" si="10"/>
        <v>2.3955807452539626E-2</v>
      </c>
      <c r="AL36" s="18">
        <f t="shared" si="11"/>
        <v>9171592</v>
      </c>
      <c r="AM36" s="21">
        <v>16</v>
      </c>
      <c r="AN36" s="22">
        <v>159901191</v>
      </c>
      <c r="AO36" s="22">
        <v>2498456.109375</v>
      </c>
      <c r="AP36" s="22">
        <v>40289.96875</v>
      </c>
      <c r="AQ36" s="23">
        <v>13148944</v>
      </c>
      <c r="AR36" s="23">
        <v>6479312</v>
      </c>
      <c r="AS36" s="23">
        <v>2692280</v>
      </c>
      <c r="AT36" s="23">
        <v>3977352</v>
      </c>
      <c r="AU36" s="24">
        <v>74.942665625000004</v>
      </c>
      <c r="AV36" s="24">
        <v>77.380543750000001</v>
      </c>
      <c r="AW36" s="24">
        <v>34.085734375000001</v>
      </c>
      <c r="AX36" s="24">
        <v>42.919023437500002</v>
      </c>
      <c r="AY36" s="24">
        <v>44.79616875</v>
      </c>
      <c r="AZ36" s="25">
        <v>6181.33</v>
      </c>
      <c r="BA36" s="25">
        <v>61126.7</v>
      </c>
      <c r="BB36" s="25">
        <v>375.78300000000002</v>
      </c>
      <c r="BC36" s="25">
        <v>277.15899999999999</v>
      </c>
      <c r="BE36" s="58">
        <f t="shared" si="12"/>
        <v>1</v>
      </c>
      <c r="BF36" s="26">
        <f t="shared" si="13"/>
        <v>0</v>
      </c>
      <c r="BG36" s="26">
        <f t="shared" si="14"/>
        <v>9.0380822281854734E-5</v>
      </c>
      <c r="BH36" s="26"/>
      <c r="BJ36" s="58"/>
      <c r="BK36" s="58"/>
      <c r="BL36" s="58"/>
      <c r="BM36" s="58"/>
      <c r="BN36" s="58"/>
      <c r="BP36" s="58"/>
      <c r="BQ36" s="58"/>
      <c r="BR36" s="58"/>
      <c r="BS36" s="58"/>
      <c r="BT36" s="58"/>
    </row>
    <row r="37" spans="1:72" outlineLevel="1" x14ac:dyDescent="0.25">
      <c r="A37" s="129"/>
      <c r="B37" s="129" t="s">
        <v>82</v>
      </c>
      <c r="C37" s="10" t="s">
        <v>234</v>
      </c>
      <c r="D37" s="129">
        <v>166028718</v>
      </c>
      <c r="E37" s="10">
        <v>11</v>
      </c>
      <c r="F37" s="10">
        <v>64</v>
      </c>
      <c r="G37" s="10">
        <v>30</v>
      </c>
      <c r="I37" s="11">
        <f t="shared" si="0"/>
        <v>8.8189349999999997</v>
      </c>
      <c r="J37" s="12">
        <f t="shared" si="1"/>
        <v>0.11331610715683536</v>
      </c>
      <c r="K37" s="12">
        <f t="shared" si="2"/>
        <v>7.0241197670393385E-2</v>
      </c>
      <c r="L37" s="12">
        <f t="shared" si="3"/>
        <v>5.4025448778084281E-2</v>
      </c>
      <c r="M37" s="12">
        <f t="shared" si="4"/>
        <v>4.3074909486441978E-2</v>
      </c>
      <c r="N37" s="129">
        <f t="shared" si="5"/>
        <v>11662056</v>
      </c>
      <c r="O37" s="12">
        <v>16</v>
      </c>
      <c r="P37" s="13">
        <v>163389765</v>
      </c>
      <c r="Q37" s="13">
        <v>2552965.078125</v>
      </c>
      <c r="R37" s="13">
        <v>43966.28125</v>
      </c>
      <c r="S37" s="14">
        <v>18813728</v>
      </c>
      <c r="T37" s="14">
        <v>8969776</v>
      </c>
      <c r="U37" s="14">
        <v>2692280</v>
      </c>
      <c r="V37" s="14">
        <v>7151672</v>
      </c>
      <c r="W37" s="15">
        <v>76.244087500000006</v>
      </c>
      <c r="X37" s="15">
        <v>78.967284375000006</v>
      </c>
      <c r="Y37" s="15">
        <v>36.180357812499999</v>
      </c>
      <c r="Z37" s="15">
        <v>43.476976562499999</v>
      </c>
      <c r="AA37" s="15">
        <v>46.033351562500002</v>
      </c>
      <c r="AB37" s="16">
        <v>5928.12</v>
      </c>
      <c r="AC37" s="16">
        <v>63732.6</v>
      </c>
      <c r="AD37" s="16">
        <v>60.671999999999997</v>
      </c>
      <c r="AE37" s="16">
        <v>274.55900000000003</v>
      </c>
      <c r="AG37" s="11">
        <f t="shared" si="6"/>
        <v>8.8160737499999993</v>
      </c>
      <c r="AH37" s="12">
        <f t="shared" si="7"/>
        <v>0.11327934243279528</v>
      </c>
      <c r="AI37" s="12">
        <f t="shared" si="8"/>
        <v>7.0241197670393385E-2</v>
      </c>
      <c r="AJ37" s="12">
        <f t="shared" si="9"/>
        <v>5.4025448778084281E-2</v>
      </c>
      <c r="AK37" s="12">
        <f t="shared" si="10"/>
        <v>4.3038144762401885E-2</v>
      </c>
      <c r="AL37" s="129">
        <f t="shared" si="11"/>
        <v>11662056</v>
      </c>
      <c r="AM37" s="12">
        <v>16</v>
      </c>
      <c r="AN37" s="13">
        <v>163389765</v>
      </c>
      <c r="AO37" s="13">
        <v>2552965.078125</v>
      </c>
      <c r="AP37" s="13">
        <v>43966.28125</v>
      </c>
      <c r="AQ37" s="14">
        <v>18807624</v>
      </c>
      <c r="AR37" s="14">
        <v>8969776</v>
      </c>
      <c r="AS37" s="14">
        <v>2692280</v>
      </c>
      <c r="AT37" s="14">
        <v>7145568</v>
      </c>
      <c r="AU37" s="15">
        <v>76.244087500000006</v>
      </c>
      <c r="AV37" s="15">
        <v>78.967284375000006</v>
      </c>
      <c r="AW37" s="15">
        <v>36.1798875</v>
      </c>
      <c r="AX37" s="15">
        <v>43.484889062500002</v>
      </c>
      <c r="AY37" s="15">
        <v>46.040328125000002</v>
      </c>
      <c r="AZ37" s="16">
        <v>6182.87</v>
      </c>
      <c r="BA37" s="16">
        <v>63969.3</v>
      </c>
      <c r="BB37" s="16">
        <v>383.02499999999998</v>
      </c>
      <c r="BC37" s="16">
        <v>281.11599999999999</v>
      </c>
      <c r="BE37" s="62">
        <f t="shared" si="12"/>
        <v>1</v>
      </c>
      <c r="BF37" s="17">
        <f t="shared" si="13"/>
        <v>0</v>
      </c>
      <c r="BG37" s="17">
        <f t="shared" si="14"/>
        <v>2.0117816973230784E-4</v>
      </c>
      <c r="BH37" s="17"/>
      <c r="BJ37" s="62"/>
      <c r="BK37" s="62"/>
      <c r="BL37" s="62"/>
      <c r="BM37" s="62"/>
      <c r="BN37" s="62"/>
      <c r="BP37" s="62"/>
      <c r="BQ37" s="62"/>
      <c r="BR37" s="62"/>
      <c r="BS37" s="62"/>
      <c r="BT37" s="62"/>
    </row>
    <row r="38" spans="1:72" outlineLevel="1" x14ac:dyDescent="0.25">
      <c r="A38" s="18"/>
      <c r="B38" s="18" t="s">
        <v>82</v>
      </c>
      <c r="C38" s="19" t="s">
        <v>235</v>
      </c>
      <c r="D38" s="18">
        <v>166028718</v>
      </c>
      <c r="E38" s="19">
        <v>11</v>
      </c>
      <c r="F38" s="19">
        <v>64</v>
      </c>
      <c r="G38" s="19">
        <v>30</v>
      </c>
      <c r="I38" s="20">
        <f t="shared" si="0"/>
        <v>14.30102625</v>
      </c>
      <c r="J38" s="21">
        <f t="shared" si="1"/>
        <v>0.18375649928225068</v>
      </c>
      <c r="K38" s="21">
        <f t="shared" si="2"/>
        <v>9.5540098069058152E-2</v>
      </c>
      <c r="L38" s="21">
        <f t="shared" si="3"/>
        <v>7.9324349176749048E-2</v>
      </c>
      <c r="M38" s="21">
        <f t="shared" si="4"/>
        <v>8.8216401213192533E-2</v>
      </c>
      <c r="N38" s="18">
        <f t="shared" si="5"/>
        <v>15862400</v>
      </c>
      <c r="O38" s="21">
        <v>16</v>
      </c>
      <c r="P38" s="22">
        <v>167533646</v>
      </c>
      <c r="Q38" s="22">
        <v>2617713.21875</v>
      </c>
      <c r="R38" s="22">
        <v>49170.921875</v>
      </c>
      <c r="S38" s="23">
        <v>30508856</v>
      </c>
      <c r="T38" s="23">
        <v>13170120</v>
      </c>
      <c r="U38" s="23">
        <v>2692280</v>
      </c>
      <c r="V38" s="23">
        <v>14646456</v>
      </c>
      <c r="W38" s="24">
        <v>77.413173437500006</v>
      </c>
      <c r="X38" s="24">
        <v>80.162648437499996</v>
      </c>
      <c r="Y38" s="24">
        <v>38.161237499999999</v>
      </c>
      <c r="Z38" s="24">
        <v>44.140392187499998</v>
      </c>
      <c r="AA38" s="24">
        <v>47.280490624999999</v>
      </c>
      <c r="AB38" s="25">
        <v>5957.38</v>
      </c>
      <c r="AC38" s="25">
        <v>66978.5</v>
      </c>
      <c r="AD38" s="25">
        <v>62.570999999999998</v>
      </c>
      <c r="AE38" s="25">
        <v>284.339</v>
      </c>
      <c r="AG38" s="20">
        <f t="shared" si="6"/>
        <v>14.27617875</v>
      </c>
      <c r="AH38" s="21">
        <f t="shared" si="7"/>
        <v>0.18343722921476754</v>
      </c>
      <c r="AI38" s="21">
        <f t="shared" si="8"/>
        <v>9.5540098069058152E-2</v>
      </c>
      <c r="AJ38" s="21">
        <f t="shared" si="9"/>
        <v>7.9324349176749048E-2</v>
      </c>
      <c r="AK38" s="21">
        <f t="shared" si="10"/>
        <v>8.7897131145709378E-2</v>
      </c>
      <c r="AL38" s="18">
        <f t="shared" si="11"/>
        <v>15862400</v>
      </c>
      <c r="AM38" s="21">
        <v>16</v>
      </c>
      <c r="AN38" s="22">
        <v>167533646</v>
      </c>
      <c r="AO38" s="22">
        <v>2617713.21875</v>
      </c>
      <c r="AP38" s="22">
        <v>49170.921875</v>
      </c>
      <c r="AQ38" s="23">
        <v>30455848</v>
      </c>
      <c r="AR38" s="23">
        <v>13170120</v>
      </c>
      <c r="AS38" s="23">
        <v>2692280</v>
      </c>
      <c r="AT38" s="23">
        <v>14593448</v>
      </c>
      <c r="AU38" s="24">
        <v>77.413173437500006</v>
      </c>
      <c r="AV38" s="24">
        <v>80.162648437499996</v>
      </c>
      <c r="AW38" s="24">
        <v>38.153678124999999</v>
      </c>
      <c r="AX38" s="24">
        <v>44.131234374999998</v>
      </c>
      <c r="AY38" s="24">
        <v>47.2756890625</v>
      </c>
      <c r="AZ38" s="25">
        <v>6207.68</v>
      </c>
      <c r="BA38" s="25">
        <v>67438.3</v>
      </c>
      <c r="BB38" s="25">
        <v>392.98599999999999</v>
      </c>
      <c r="BC38" s="25">
        <v>282.904</v>
      </c>
      <c r="BE38" s="58">
        <f t="shared" si="12"/>
        <v>1</v>
      </c>
      <c r="BF38" s="26">
        <f t="shared" si="13"/>
        <v>0</v>
      </c>
      <c r="BG38" s="26">
        <f t="shared" si="14"/>
        <v>9.0492731268554394E-4</v>
      </c>
      <c r="BH38" s="26"/>
      <c r="BJ38" s="58"/>
      <c r="BK38" s="58"/>
      <c r="BL38" s="58"/>
      <c r="BM38" s="58"/>
      <c r="BN38" s="58"/>
      <c r="BP38" s="58"/>
      <c r="BQ38" s="58"/>
      <c r="BR38" s="58"/>
      <c r="BS38" s="58"/>
      <c r="BT38" s="58"/>
    </row>
    <row r="39" spans="1:72" outlineLevel="1" x14ac:dyDescent="0.25">
      <c r="A39" s="27"/>
      <c r="B39" s="27" t="s">
        <v>82</v>
      </c>
      <c r="C39" s="28" t="s">
        <v>236</v>
      </c>
      <c r="D39" s="27">
        <v>166028718</v>
      </c>
      <c r="E39" s="28">
        <v>11</v>
      </c>
      <c r="F39" s="28">
        <v>64</v>
      </c>
      <c r="G39" s="28">
        <v>30</v>
      </c>
      <c r="I39" s="29">
        <f t="shared" si="0"/>
        <v>28.26135</v>
      </c>
      <c r="J39" s="30">
        <f t="shared" si="1"/>
        <v>0.36313524989092549</v>
      </c>
      <c r="K39" s="30">
        <f t="shared" si="2"/>
        <v>0.15490206941187126</v>
      </c>
      <c r="L39" s="30">
        <f t="shared" si="3"/>
        <v>0.12233228229829493</v>
      </c>
      <c r="M39" s="30">
        <f t="shared" si="4"/>
        <v>0.20823318047905423</v>
      </c>
      <c r="N39" s="27">
        <f t="shared" si="5"/>
        <v>25718192</v>
      </c>
      <c r="O39" s="30">
        <v>16</v>
      </c>
      <c r="P39" s="31">
        <v>163847524</v>
      </c>
      <c r="Q39" s="31">
        <v>2560117.5625</v>
      </c>
      <c r="R39" s="31">
        <v>19932.265625</v>
      </c>
      <c r="S39" s="32">
        <v>60290880</v>
      </c>
      <c r="T39" s="32">
        <v>20310672</v>
      </c>
      <c r="U39" s="32">
        <v>5407520</v>
      </c>
      <c r="V39" s="32">
        <v>34572688</v>
      </c>
      <c r="W39" s="33">
        <v>78.301231250000001</v>
      </c>
      <c r="X39" s="33">
        <v>81.886656250000001</v>
      </c>
      <c r="Y39" s="33">
        <v>40.245284374999997</v>
      </c>
      <c r="Z39" s="33">
        <v>45.050317187499999</v>
      </c>
      <c r="AA39" s="33">
        <v>48.674754687499998</v>
      </c>
      <c r="AB39" s="34">
        <v>5944.56</v>
      </c>
      <c r="AC39" s="34">
        <v>72156.5</v>
      </c>
      <c r="AD39" s="34">
        <v>58.847000000000001</v>
      </c>
      <c r="AE39" s="34">
        <v>298.18900000000002</v>
      </c>
      <c r="AG39" s="29">
        <f t="shared" si="6"/>
        <v>28.233236250000001</v>
      </c>
      <c r="AH39" s="30">
        <f t="shared" si="7"/>
        <v>0.36277401118040314</v>
      </c>
      <c r="AI39" s="30">
        <f t="shared" si="8"/>
        <v>0.15490206941187126</v>
      </c>
      <c r="AJ39" s="30">
        <f t="shared" si="9"/>
        <v>0.12233228229829493</v>
      </c>
      <c r="AK39" s="30">
        <f t="shared" si="10"/>
        <v>0.20787194176853188</v>
      </c>
      <c r="AL39" s="27">
        <f t="shared" si="11"/>
        <v>25718192</v>
      </c>
      <c r="AM39" s="30">
        <v>16</v>
      </c>
      <c r="AN39" s="31">
        <v>163847524</v>
      </c>
      <c r="AO39" s="31">
        <v>2560117.5625</v>
      </c>
      <c r="AP39" s="31">
        <v>19932.265625</v>
      </c>
      <c r="AQ39" s="32">
        <v>60230904</v>
      </c>
      <c r="AR39" s="32">
        <v>20310672</v>
      </c>
      <c r="AS39" s="32">
        <v>5407520</v>
      </c>
      <c r="AT39" s="32">
        <v>34512712</v>
      </c>
      <c r="AU39" s="33">
        <v>78.301231250000001</v>
      </c>
      <c r="AV39" s="33">
        <v>81.886656250000001</v>
      </c>
      <c r="AW39" s="33">
        <v>40.245785937500003</v>
      </c>
      <c r="AX39" s="33">
        <v>45.053335937500002</v>
      </c>
      <c r="AY39" s="33">
        <v>48.672321875000002</v>
      </c>
      <c r="AZ39" s="34">
        <v>6174.98</v>
      </c>
      <c r="BA39" s="34">
        <v>72851.399999999994</v>
      </c>
      <c r="BB39" s="34">
        <v>383.19900000000001</v>
      </c>
      <c r="BC39" s="34">
        <v>301.04399999999998</v>
      </c>
      <c r="BE39" s="35">
        <f t="shared" si="12"/>
        <v>1</v>
      </c>
      <c r="BF39" s="36">
        <f t="shared" si="13"/>
        <v>0</v>
      </c>
      <c r="BG39" s="36">
        <f t="shared" si="14"/>
        <v>4.2476324282891831E-4</v>
      </c>
      <c r="BH39" s="36"/>
      <c r="BJ39" s="35"/>
      <c r="BK39" s="35"/>
      <c r="BL39" s="35"/>
      <c r="BM39" s="35"/>
      <c r="BN39" s="35"/>
      <c r="BP39" s="35"/>
      <c r="BQ39" s="35"/>
      <c r="BR39" s="35"/>
      <c r="BS39" s="35"/>
      <c r="BT39" s="35"/>
    </row>
    <row r="40" spans="1:72" x14ac:dyDescent="0.25">
      <c r="B40" s="47" t="s">
        <v>16</v>
      </c>
      <c r="J40" s="48">
        <f>AVERAGE(J5:J24)</f>
        <v>0.17993816858552389</v>
      </c>
      <c r="K40" s="48">
        <f>AVERAGE(K5:K24)</f>
        <v>9.7553857680302794E-2</v>
      </c>
      <c r="L40" s="48">
        <f>AVERAGE(L5:L24)</f>
        <v>7.139171239974243E-2</v>
      </c>
      <c r="M40" s="48">
        <f>AVERAGE(M5:M24)</f>
        <v>8.2384310905221039E-2</v>
      </c>
      <c r="AH40" s="48">
        <f>AVERAGE(AH5:AH24)</f>
        <v>0.17795119183478103</v>
      </c>
      <c r="AI40" s="48">
        <f>AVERAGE(AI5:AI24)</f>
        <v>9.7553857680302794E-2</v>
      </c>
      <c r="AJ40" s="48">
        <f>AVERAGE(AJ5:AJ24)</f>
        <v>7.139171239974243E-2</v>
      </c>
      <c r="AK40" s="48">
        <f>AVERAGE(AK5:AK24)</f>
        <v>8.0397334154478223E-2</v>
      </c>
      <c r="BE40" s="71">
        <f t="shared" si="12"/>
        <v>1</v>
      </c>
      <c r="BH40" s="151">
        <f>AVERAGE(BH5:BH24)</f>
        <v>4.3919413533407836E-3</v>
      </c>
      <c r="BJ40" s="71">
        <f>AVERAGE(BJ5:BJ24)</f>
        <v>0</v>
      </c>
      <c r="BK40" s="71">
        <f>AVERAGE(BK5:BK24)</f>
        <v>0</v>
      </c>
      <c r="BL40" s="71">
        <f>AVERAGE(BL5:BL24)</f>
        <v>-1.1851254426187646E-2</v>
      </c>
      <c r="BM40" s="71">
        <f>AVERAGE(BM5:BM24)</f>
        <v>-2.6341081033247976E-2</v>
      </c>
      <c r="BN40" s="71">
        <f>AVERAGE(BN5:BN24)</f>
        <v>-1.9951792689208186E-2</v>
      </c>
      <c r="BP40" s="71">
        <f>AVERAGE(BP5:BP24)</f>
        <v>-6.8435588149633186E-3</v>
      </c>
      <c r="BQ40" s="71">
        <f>AVERAGE(BQ5:BQ24)</f>
        <v>-8.3520960374703357E-3</v>
      </c>
      <c r="BR40" s="71">
        <f>AVERAGE(BR5:BR24)</f>
        <v>-2.4457975425709599E-3</v>
      </c>
      <c r="BS40" s="71">
        <f>AVERAGE(BS5:BS24)</f>
        <v>-1.3415598291154518E-2</v>
      </c>
      <c r="BT40" s="71">
        <f>AVERAGE(BT5:BT24)</f>
        <v>-1.0319457145405969E-2</v>
      </c>
    </row>
    <row r="41" spans="1:72" x14ac:dyDescent="0.25">
      <c r="B41" s="47" t="s">
        <v>17</v>
      </c>
      <c r="J41" s="48">
        <f>AVERAGE(J25:J29)</f>
        <v>0.37954486765518558</v>
      </c>
      <c r="K41" s="48">
        <f>AVERAGE(K25:K29)</f>
        <v>0.11163370687744252</v>
      </c>
      <c r="L41" s="48">
        <f>AVERAGE(L25:L29)</f>
        <v>8.5102262421325597E-2</v>
      </c>
      <c r="M41" s="48">
        <f>AVERAGE(M25:M29)</f>
        <v>0.26791116077774307</v>
      </c>
      <c r="AH41" s="48">
        <f>AVERAGE(AH25:AH29)</f>
        <v>0.37798011944181836</v>
      </c>
      <c r="AI41" s="48">
        <f>AVERAGE(AI25:AI29)</f>
        <v>0.11163370687744252</v>
      </c>
      <c r="AJ41" s="48">
        <f>AVERAGE(AJ25:AJ29)</f>
        <v>8.5102262421325597E-2</v>
      </c>
      <c r="AK41" s="48">
        <f>AVERAGE(AK25:AK29)</f>
        <v>0.26634641256437586</v>
      </c>
      <c r="BE41" s="71">
        <f t="shared" si="12"/>
        <v>1</v>
      </c>
      <c r="BH41" s="151">
        <f>AVERAGE(BH25:BH29)</f>
        <v>1.1221643931698111E-3</v>
      </c>
      <c r="BJ41" s="71">
        <f>AVERAGE(BJ25:BJ29)</f>
        <v>0</v>
      </c>
      <c r="BK41" s="71">
        <f>AVERAGE(BK25:BK29)</f>
        <v>0</v>
      </c>
      <c r="BL41" s="71">
        <f>AVERAGE(BL25:BL29)</f>
        <v>-4.7530301661526941E-3</v>
      </c>
      <c r="BM41" s="71">
        <f>AVERAGE(BM25:BM29)</f>
        <v>-8.3426677927715964E-3</v>
      </c>
      <c r="BN41" s="71">
        <f>AVERAGE(BN25:BN29)</f>
        <v>-8.9525878222982413E-3</v>
      </c>
      <c r="BP41" s="71">
        <f>AVERAGE(BP25:BP29)</f>
        <v>-3.1642420939872462E-3</v>
      </c>
      <c r="BQ41" s="71">
        <f>AVERAGE(BQ25:BQ29)</f>
        <v>-3.6168564656122726E-3</v>
      </c>
      <c r="BR41" s="71">
        <f>AVERAGE(BR25:BR29)</f>
        <v>-2.6607028943852473E-3</v>
      </c>
      <c r="BS41" s="71">
        <f>AVERAGE(BS25:BS29)</f>
        <v>-5.6183131650451301E-3</v>
      </c>
      <c r="BT41" s="71">
        <f>AVERAGE(BT25:BT29)</f>
        <v>-6.1882654452914965E-3</v>
      </c>
    </row>
    <row r="42" spans="1:72" x14ac:dyDescent="0.25">
      <c r="B42" s="47" t="s">
        <v>18</v>
      </c>
      <c r="J42" s="48">
        <f>AVERAGE(J30:J39)</f>
        <v>0.14355150684214937</v>
      </c>
      <c r="K42" s="48">
        <f>AVERAGE(K30:K39)</f>
        <v>7.6717935148868308E-2</v>
      </c>
      <c r="L42" s="48">
        <f>AVERAGE(L30:L39)</f>
        <v>5.907592557380198E-2</v>
      </c>
      <c r="M42" s="48">
        <f>AVERAGE(M30:M39)</f>
        <v>6.6833571693281052E-2</v>
      </c>
      <c r="AH42" s="48">
        <f>AVERAGE(AH30:AH39)</f>
        <v>0.14342863908177894</v>
      </c>
      <c r="AI42" s="48">
        <f>AVERAGE(AI30:AI39)</f>
        <v>7.6717935148868308E-2</v>
      </c>
      <c r="AJ42" s="48">
        <f>AVERAGE(AJ30:AJ39)</f>
        <v>5.907592557380198E-2</v>
      </c>
      <c r="AK42" s="48">
        <f>AVERAGE(AK30:AK39)</f>
        <v>6.6710703932910606E-2</v>
      </c>
      <c r="BE42" s="71">
        <f t="shared" si="12"/>
        <v>1</v>
      </c>
      <c r="BH42" s="151">
        <f>AVERAGE(BH30:BH39)</f>
        <v>4.0042034521386993E-4</v>
      </c>
      <c r="BJ42" s="71">
        <f>AVERAGE(BJ30:BJ39)</f>
        <v>0</v>
      </c>
      <c r="BK42" s="71">
        <f>AVERAGE(BK30:BK39)</f>
        <v>0</v>
      </c>
      <c r="BL42" s="71">
        <f>AVERAGE(BL30:BL39)</f>
        <v>-1.1789933258628538E-3</v>
      </c>
      <c r="BM42" s="71">
        <f>AVERAGE(BM30:BM39)</f>
        <v>-2.3744601749531302E-3</v>
      </c>
      <c r="BN42" s="71">
        <f>AVERAGE(BN30:BN39)</f>
        <v>1.5044942851687226E-2</v>
      </c>
      <c r="BP42" s="71">
        <f>AVERAGE(BP30:BP39)</f>
        <v>-7.1036182621520005E-4</v>
      </c>
      <c r="BQ42" s="71">
        <f>AVERAGE(BQ30:BQ39)</f>
        <v>-7.8229635332965897E-4</v>
      </c>
      <c r="BR42" s="71">
        <f>AVERAGE(BR30:BR39)</f>
        <v>-2.1251805791971945E-4</v>
      </c>
      <c r="BS42" s="71">
        <f>AVERAGE(BS30:BS39)</f>
        <v>-3.818785902475752E-4</v>
      </c>
      <c r="BT42" s="71">
        <f>AVERAGE(BT30:BT39)</f>
        <v>1.0505359280722604E-2</v>
      </c>
    </row>
    <row r="43" spans="1:72" x14ac:dyDescent="0.25">
      <c r="B43" s="47" t="s">
        <v>19</v>
      </c>
      <c r="J43" s="48">
        <f>AVERAGE(J5:J39)</f>
        <v>0.19805722224022571</v>
      </c>
      <c r="K43" s="48">
        <f>AVERAGE(K5:K39)</f>
        <v>9.3612143985198598E-2</v>
      </c>
      <c r="L43" s="48">
        <f>AVERAGE(L5:L39)</f>
        <v>6.9831566166842746E-2</v>
      </c>
      <c r="M43" s="48">
        <f>AVERAGE(M5:M39)</f>
        <v>0.10444507825502705</v>
      </c>
      <c r="AH43" s="48">
        <f>AVERAGE(AH5:AH39)</f>
        <v>0.19666316642064291</v>
      </c>
      <c r="AI43" s="48">
        <f>AVERAGE(AI5:AI39)</f>
        <v>9.3612143985198598E-2</v>
      </c>
      <c r="AJ43" s="48">
        <f>AVERAGE(AJ5:AJ39)</f>
        <v>6.9831566166842746E-2</v>
      </c>
      <c r="AK43" s="48">
        <f>AVERAGE(AK5:AK39)</f>
        <v>0.10305102243544428</v>
      </c>
      <c r="BE43" s="71">
        <f t="shared" si="12"/>
        <v>1</v>
      </c>
      <c r="BH43" s="151">
        <f>AVERAGE(BH5:BH39)</f>
        <v>2.7843957852800977E-3</v>
      </c>
      <c r="BJ43" s="71">
        <f>AVERAGE(BJ5:BJ39)</f>
        <v>0</v>
      </c>
      <c r="BK43" s="71">
        <f>AVERAGE(BK5:BK39)</f>
        <v>0</v>
      </c>
      <c r="BL43" s="71">
        <f>AVERAGE(BL5:BL39)</f>
        <v>-7.7880049318041411E-3</v>
      </c>
      <c r="BM43" s="71">
        <f>AVERAGE(BM5:BM39)</f>
        <v>-1.6922273182238538E-2</v>
      </c>
      <c r="BN43" s="71">
        <f>AVERAGE(BN5:BN39)</f>
        <v>-8.3814104108223628E-3</v>
      </c>
      <c r="BP43" s="71">
        <f>AVERAGE(BP5:BP39)</f>
        <v>-4.5656001437529891E-3</v>
      </c>
      <c r="BQ43" s="71">
        <f>AVERAGE(BQ5:BQ39)</f>
        <v>-5.5128333317361333E-3</v>
      </c>
      <c r="BR43" s="71">
        <f>AVERAGE(BR5:BR39)</f>
        <v>-1.8384184543583609E-3</v>
      </c>
      <c r="BS43" s="71">
        <f>AVERAGE(BS5:BS39)</f>
        <v>-8.5777805014511932E-3</v>
      </c>
      <c r="BT43" s="71">
        <f>AVERAGE(BT5:BT39)</f>
        <v>-3.7793393522100238E-3</v>
      </c>
    </row>
    <row r="44" spans="1:72" hidden="1" outlineLevel="2" x14ac:dyDescent="0.25">
      <c r="A44" s="47" t="s">
        <v>239</v>
      </c>
      <c r="B44" s="47" t="s">
        <v>240</v>
      </c>
      <c r="AB44" s="49">
        <f>SUM(AB5:AB24,AB25:AB29,AB30:AB39)</f>
        <v>845501.71000000031</v>
      </c>
      <c r="AC44" s="49">
        <f>SUM(AC5:AC24,AC25:AC29,AC30:AC39)</f>
        <v>2082273.0000000005</v>
      </c>
      <c r="AD44" s="49">
        <f>SUM(AD5:AD24,AD25:AD29,AD30:AD39)</f>
        <v>2624.1080000000002</v>
      </c>
      <c r="AE44" s="49">
        <f>SUM(AE5:AE24,AE25:AE29,AE30:AE39)</f>
        <v>9478.1669999999995</v>
      </c>
      <c r="AZ44" s="49">
        <f>SUM(AZ5:AZ24,AZ25:AZ29,AZ30:AZ39)</f>
        <v>806214.35999999987</v>
      </c>
      <c r="BA44" s="49">
        <f>SUM(BA5:BA24,BA25:BA29,BA30:BA39)</f>
        <v>1737971.7999999998</v>
      </c>
      <c r="BB44" s="49">
        <f>SUM(BB5:BB24,BB25:BB29,BB30:BB39)</f>
        <v>18203.561000000002</v>
      </c>
      <c r="BC44" s="49">
        <f>SUM(BC5:BC24,BC25:BC29,BC30:BC39)</f>
        <v>9884.4620000000014</v>
      </c>
    </row>
    <row r="45" spans="1:72" hidden="1" outlineLevel="2" x14ac:dyDescent="0.25">
      <c r="B45" s="47" t="s">
        <v>241</v>
      </c>
      <c r="AZ45" s="151">
        <f>AZ44/AB44</f>
        <v>0.95353368356877666</v>
      </c>
      <c r="BA45" s="151">
        <f>BA44/AC44</f>
        <v>0.8346512681094167</v>
      </c>
      <c r="BB45" s="151">
        <f>BB44/AD44</f>
        <v>6.9370471794606017</v>
      </c>
      <c r="BC45" s="151">
        <f>BC44/AE44</f>
        <v>1.042866410773307</v>
      </c>
    </row>
    <row r="46" spans="1:72" hidden="1" outlineLevel="2" x14ac:dyDescent="0.25">
      <c r="B46" s="47" t="s">
        <v>242</v>
      </c>
      <c r="AB46" s="49">
        <f>GEOMEAN(AB5:AB24,AB25:AB29,AB30:AB39)</f>
        <v>18961.15410816214</v>
      </c>
      <c r="AC46" s="49">
        <f>GEOMEAN(AC5:AC24,AC25:AC29,AC30:AC39)</f>
        <v>58785.80258246931</v>
      </c>
      <c r="AD46" s="49">
        <f>GEOMEAN(AD5:AD24,AD25:AD29,AD30:AD39)</f>
        <v>74.205201225981128</v>
      </c>
      <c r="AE46" s="49">
        <f>GEOMEAN(AE5:AE24,AE25:AE29,AE30:AE39)</f>
        <v>270.17370433566225</v>
      </c>
      <c r="AZ46" s="49" t="e">
        <f>GEOMEAN(AZ5:AZ24,AZ25:AZ29,AZ30:AZ39)</f>
        <v>#NUM!</v>
      </c>
      <c r="BA46" s="49" t="e">
        <f>GEOMEAN(BA5:BA24,BA25:BA29,BA30:BA39)</f>
        <v>#NUM!</v>
      </c>
      <c r="BB46" s="49">
        <f>GEOMEAN(BB5:BB24,BB25:BB29,BB30:BB39)</f>
        <v>510.38634729002291</v>
      </c>
      <c r="BC46" s="49">
        <f>GEOMEAN(BC5:BC24,BC25:BC29,BC30:BC39)</f>
        <v>281.29726009337423</v>
      </c>
    </row>
    <row r="47" spans="1:72" outlineLevel="2" collapsed="1" x14ac:dyDescent="0.25">
      <c r="B47" s="47" t="s">
        <v>243</v>
      </c>
      <c r="AZ47" s="151" t="e">
        <f>AZ46/AB46</f>
        <v>#NUM!</v>
      </c>
      <c r="BA47" s="151" t="e">
        <f>BA46/AC46</f>
        <v>#NUM!</v>
      </c>
      <c r="BB47" s="151">
        <f>BB46/AD46</f>
        <v>6.8780400680501579</v>
      </c>
      <c r="BC47" s="151">
        <f>BC46/AE46</f>
        <v>1.0411718667627703</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81" priority="17" operator="greaterThanOrEqual">
      <formula>1.03</formula>
    </cfRule>
    <cfRule type="cellIs" dxfId="8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79" priority="1" operator="greaterThanOrEqual">
      <formula>0.03</formula>
    </cfRule>
    <cfRule type="cellIs" dxfId="7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77" priority="3" operator="greaterThanOrEqual">
      <formula>0.03</formula>
    </cfRule>
    <cfRule type="cellIs" dxfId="7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75" priority="19" operator="greaterThanOrEqual">
      <formula>0.03</formula>
    </cfRule>
    <cfRule type="cellIs" dxfId="7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73" priority="9" operator="greaterThanOrEqual">
      <formula>0.03</formula>
    </cfRule>
    <cfRule type="cellIs" dxfId="7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71" priority="7" operator="greaterThanOrEqual">
      <formula>0.03</formula>
    </cfRule>
    <cfRule type="cellIs" dxfId="7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69" priority="21" operator="greaterThanOrEqual">
      <formula>0.03</formula>
    </cfRule>
    <cfRule type="cellIs" dxfId="6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67" priority="11" operator="greaterThanOrEqual">
      <formula>0.03</formula>
    </cfRule>
    <cfRule type="cellIs" dxfId="6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65" priority="15" operator="greaterThanOrEqual">
      <formula>0.03</formula>
    </cfRule>
    <cfRule type="cellIs" dxfId="6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63" priority="13" operator="greaterThanOrEqual">
      <formula>0.03</formula>
    </cfRule>
    <cfRule type="cellIs" dxfId="6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61" priority="5" operator="greaterThanOrEqual">
      <formula>0.03</formula>
    </cfRule>
    <cfRule type="cellIs" dxfId="60" priority="6" operator="lessThanOrEqual">
      <formula>-0.03</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V74"/>
  <sheetViews>
    <sheetView workbookViewId="0"/>
  </sheetViews>
  <sheetFormatPr defaultRowHeight="15" x14ac:dyDescent="0.25"/>
  <cols>
    <col min="1" max="1" width="8.85546875" style="76" customWidth="1"/>
    <col min="2" max="2" width="3" style="76" customWidth="1"/>
    <col min="3" max="3" width="7.140625" style="76" customWidth="1"/>
    <col min="20" max="22" width="8.85546875" style="76" customWidth="1"/>
  </cols>
  <sheetData>
    <row r="1" spans="2:21" ht="15" customHeight="1" thickBot="1" x14ac:dyDescent="0.3"/>
    <row r="2" spans="2:21" ht="15" customHeight="1" thickBot="1" x14ac:dyDescent="0.3">
      <c r="B2" s="175" t="s">
        <v>139</v>
      </c>
      <c r="C2" s="177" t="s">
        <v>576</v>
      </c>
      <c r="D2" s="181" t="s">
        <v>577</v>
      </c>
      <c r="E2" s="172"/>
      <c r="F2" s="172"/>
      <c r="G2" s="173"/>
      <c r="H2" s="171" t="s">
        <v>578</v>
      </c>
      <c r="I2" s="172"/>
      <c r="J2" s="172"/>
      <c r="K2" s="173"/>
      <c r="L2" s="181" t="s">
        <v>579</v>
      </c>
      <c r="M2" s="172"/>
      <c r="N2" s="172"/>
      <c r="O2" s="172"/>
      <c r="P2" s="173"/>
      <c r="Q2" s="171" t="s">
        <v>580</v>
      </c>
      <c r="R2" s="172"/>
      <c r="S2" s="172"/>
      <c r="T2" s="172"/>
      <c r="U2" s="173"/>
    </row>
    <row r="3" spans="2:21" x14ac:dyDescent="0.25">
      <c r="B3" s="187"/>
      <c r="C3" s="188"/>
      <c r="D3" s="182" t="s">
        <v>24</v>
      </c>
      <c r="E3" s="183"/>
      <c r="F3" s="183"/>
      <c r="G3" s="180"/>
      <c r="H3" s="184" t="s">
        <v>24</v>
      </c>
      <c r="I3" s="183"/>
      <c r="J3" s="183"/>
      <c r="K3" s="180"/>
      <c r="L3" s="185" t="s">
        <v>9</v>
      </c>
      <c r="M3" s="161"/>
      <c r="N3" s="182" t="s">
        <v>10</v>
      </c>
      <c r="O3" s="183"/>
      <c r="P3" s="180"/>
      <c r="Q3" s="186" t="s">
        <v>9</v>
      </c>
      <c r="R3" s="183"/>
      <c r="S3" s="182" t="s">
        <v>10</v>
      </c>
      <c r="T3" s="183"/>
      <c r="U3" s="180"/>
    </row>
    <row r="4" spans="2:21" ht="15" customHeight="1" thickBot="1" x14ac:dyDescent="0.3">
      <c r="B4" s="176"/>
      <c r="C4" s="178"/>
      <c r="D4" s="152" t="s">
        <v>27</v>
      </c>
      <c r="E4" s="152" t="s">
        <v>581</v>
      </c>
      <c r="F4" s="152" t="s">
        <v>582</v>
      </c>
      <c r="G4" s="152" t="s">
        <v>26</v>
      </c>
      <c r="H4" s="77" t="s">
        <v>27</v>
      </c>
      <c r="I4" s="152" t="s">
        <v>581</v>
      </c>
      <c r="J4" s="152" t="s">
        <v>582</v>
      </c>
      <c r="K4" s="78" t="s">
        <v>26</v>
      </c>
      <c r="L4" s="79" t="s">
        <v>11</v>
      </c>
      <c r="M4" s="79" t="s">
        <v>12</v>
      </c>
      <c r="N4" s="79" t="s">
        <v>13</v>
      </c>
      <c r="O4" s="79" t="s">
        <v>583</v>
      </c>
      <c r="P4" s="51" t="s">
        <v>584</v>
      </c>
      <c r="Q4" s="50" t="s">
        <v>11</v>
      </c>
      <c r="R4" s="79" t="s">
        <v>12</v>
      </c>
      <c r="S4" s="79" t="s">
        <v>13</v>
      </c>
      <c r="T4" s="79" t="s">
        <v>585</v>
      </c>
      <c r="U4" s="51" t="s">
        <v>584</v>
      </c>
    </row>
    <row r="5" spans="2:21" x14ac:dyDescent="0.25">
      <c r="B5" s="52" t="s">
        <v>586</v>
      </c>
      <c r="C5" s="80" t="s">
        <v>587</v>
      </c>
      <c r="D5" s="62">
        <f>'CW losslG,losslA,intra'!BB5</f>
        <v>1.0040625315471097</v>
      </c>
      <c r="E5" s="62">
        <f>'CW losslG,losslA,intra'!BC5</f>
        <v>1.0001292298011504</v>
      </c>
      <c r="F5" s="62">
        <f>'CW losslG,losslA,intra'!BD5</f>
        <v>1</v>
      </c>
      <c r="G5" s="62">
        <f>'CW losslG,losslA,intra'!BE5</f>
        <v>1.0048010426156098</v>
      </c>
      <c r="H5" s="61">
        <f>'CW losslG,losslA,interLD'!BB5</f>
        <v>1.0041035160909704</v>
      </c>
      <c r="I5" s="62">
        <f>'CW losslG,losslA,interLD'!BC5</f>
        <v>1.0001311060102551</v>
      </c>
      <c r="J5" s="62">
        <f>'CW losslG,losslA,interLD'!BD5</f>
        <v>1</v>
      </c>
      <c r="K5" s="63">
        <f>'CW losslG,losslA,interLD'!BE5</f>
        <v>1.0048465796983186</v>
      </c>
      <c r="L5" s="54">
        <f>'C2 lossyG,lossyA,intra'!BP5</f>
        <v>-1.7337871357783197E-3</v>
      </c>
      <c r="M5" s="54">
        <f>'C2 lossyG,lossyA,intra'!BQ5</f>
        <v>-1.9872954520990804E-3</v>
      </c>
      <c r="N5" s="54">
        <f>'C2 lossyG,lossyA,intra'!BR5</f>
        <v>1.0487450614053984E-3</v>
      </c>
      <c r="O5" s="54">
        <f>'C2 lossyG,lossyA,intra'!BS5</f>
        <v>-2.3849469192767092E-3</v>
      </c>
      <c r="P5" s="55">
        <f>'C2 lossyG,lossyA,intra'!BT5</f>
        <v>-7.0369899678256465E-3</v>
      </c>
      <c r="Q5" s="53">
        <f>'C2 lossyG,lossyA,interRA'!BP5</f>
        <v>-2.1694206280798989E-3</v>
      </c>
      <c r="R5" s="54">
        <f>'C2 lossyG,lossyA,interRA'!BQ5</f>
        <v>-2.5094437632303679E-3</v>
      </c>
      <c r="S5" s="54">
        <f>'C2 lossyG,lossyA,interRA'!BR5</f>
        <v>-1.6681417848671831E-3</v>
      </c>
      <c r="T5" s="54">
        <f>'C2 lossyG,lossyA,interRA'!BS5</f>
        <v>-4.2107879483298527E-3</v>
      </c>
      <c r="U5" s="55">
        <f>'C2 lossyG,lossyA,interRA'!BT5</f>
        <v>-3.8174385394172949E-3</v>
      </c>
    </row>
    <row r="6" spans="2:21" x14ac:dyDescent="0.25">
      <c r="B6" s="56"/>
      <c r="C6" s="81" t="s">
        <v>588</v>
      </c>
      <c r="D6" s="58">
        <f>'CW losslG,losslA,intra'!BB6</f>
        <v>1.0056710732291694</v>
      </c>
      <c r="E6" s="58">
        <f>'CW losslG,losslA,intra'!BC6</f>
        <v>1.000115409111169</v>
      </c>
      <c r="F6" s="58">
        <f>'CW losslG,losslA,intra'!BD6</f>
        <v>1</v>
      </c>
      <c r="G6" s="58">
        <f>'CW losslG,losslA,intra'!BE6</f>
        <v>1.0065498219533493</v>
      </c>
      <c r="H6" s="57">
        <f>'CW losslG,losslA,interLD'!BB6</f>
        <v>1.0056994116082616</v>
      </c>
      <c r="I6" s="58">
        <f>'CW losslG,losslA,interLD'!BC6</f>
        <v>1.0001152949724283</v>
      </c>
      <c r="J6" s="58">
        <f>'CW losslG,losslA,interLD'!BD6</f>
        <v>1</v>
      </c>
      <c r="K6" s="59">
        <f>'CW losslG,losslA,interLD'!BE6</f>
        <v>1.00658870268082</v>
      </c>
      <c r="L6" s="58">
        <f>'C2 lossyG,lossyA,intra'!BP10</f>
        <v>-1.6634764586369588E-3</v>
      </c>
      <c r="M6" s="58">
        <f>'C2 lossyG,lossyA,intra'!BQ10</f>
        <v>-1.9727265254202431E-3</v>
      </c>
      <c r="N6" s="58">
        <f>'C2 lossyG,lossyA,intra'!BR10</f>
        <v>7.7114675882783423E-4</v>
      </c>
      <c r="O6" s="58">
        <f>'C2 lossyG,lossyA,intra'!BS10</f>
        <v>-3.4785402800229237E-3</v>
      </c>
      <c r="P6" s="59">
        <f>'C2 lossyG,lossyA,intra'!BT10</f>
        <v>-2.6510611897068159E-3</v>
      </c>
      <c r="Q6" s="57">
        <f>'C2 lossyG,lossyA,interRA'!BP10</f>
        <v>-1.4038713056740981E-3</v>
      </c>
      <c r="R6" s="58">
        <f>'C2 lossyG,lossyA,interRA'!BQ10</f>
        <v>-1.6802229837568072E-3</v>
      </c>
      <c r="S6" s="58">
        <f>'C2 lossyG,lossyA,interRA'!BR10</f>
        <v>-2.1896499961630012E-3</v>
      </c>
      <c r="T6" s="58">
        <f>'C2 lossyG,lossyA,interRA'!BS10</f>
        <v>-1.685089229173875E-3</v>
      </c>
      <c r="U6" s="59">
        <f>'C2 lossyG,lossyA,interRA'!BT10</f>
        <v>-2.4091663311193168E-3</v>
      </c>
    </row>
    <row r="7" spans="2:21" x14ac:dyDescent="0.25">
      <c r="B7" s="60"/>
      <c r="C7" s="82" t="s">
        <v>589</v>
      </c>
      <c r="D7" s="62">
        <f>'CW losslG,losslA,intra'!BB7</f>
        <v>1.0074051615141666</v>
      </c>
      <c r="E7" s="62">
        <f>'CW losslG,losslA,intra'!BC7</f>
        <v>1.0001406050979267</v>
      </c>
      <c r="F7" s="62">
        <f>'CW losslG,losslA,intra'!BD7</f>
        <v>1</v>
      </c>
      <c r="G7" s="62">
        <f>'CW losslG,losslA,intra'!BE7</f>
        <v>1.0088249856773177</v>
      </c>
      <c r="H7" s="61">
        <f>'CW losslG,losslA,interLD'!BB7</f>
        <v>1.0075774126299017</v>
      </c>
      <c r="I7" s="62">
        <f>'CW losslG,losslA,interLD'!BC7</f>
        <v>1.0001489815703997</v>
      </c>
      <c r="J7" s="62">
        <f>'CW losslG,losslA,interLD'!BD7</f>
        <v>1</v>
      </c>
      <c r="K7" s="63">
        <f>'CW losslG,losslA,interLD'!BE7</f>
        <v>1.0089679035519605</v>
      </c>
      <c r="L7" s="62">
        <f>'C2 lossyG,lossyA,intra'!BP15</f>
        <v>-2.7444623940834356E-3</v>
      </c>
      <c r="M7" s="62">
        <f>'C2 lossyG,lossyA,intra'!BQ15</f>
        <v>-3.341598885042818E-3</v>
      </c>
      <c r="N7" s="62">
        <f>'C2 lossyG,lossyA,intra'!BR15</f>
        <v>7.0434487963999537E-4</v>
      </c>
      <c r="O7" s="62">
        <f>'C2 lossyG,lossyA,intra'!BS15</f>
        <v>-4.3237519485957998E-3</v>
      </c>
      <c r="P7" s="63">
        <f>'C2 lossyG,lossyA,intra'!BT15</f>
        <v>-5.2821999364887073E-3</v>
      </c>
      <c r="Q7" s="61">
        <f>'C2 lossyG,lossyA,interRA'!BP15</f>
        <v>-4.7027680582435449E-3</v>
      </c>
      <c r="R7" s="62">
        <f>'C2 lossyG,lossyA,interRA'!BQ15</f>
        <v>-6.1157247281746763E-3</v>
      </c>
      <c r="S7" s="62">
        <f>'C2 lossyG,lossyA,interRA'!BR15</f>
        <v>-6.4915693036199373E-3</v>
      </c>
      <c r="T7" s="62">
        <f>'C2 lossyG,lossyA,interRA'!BS15</f>
        <v>-6.9936146188183113E-3</v>
      </c>
      <c r="U7" s="63">
        <f>'C2 lossyG,lossyA,interRA'!BT15</f>
        <v>-2.1268839528054695E-3</v>
      </c>
    </row>
    <row r="8" spans="2:21" ht="15" customHeight="1" thickBot="1" x14ac:dyDescent="0.3">
      <c r="B8" s="64"/>
      <c r="C8" s="83" t="s">
        <v>590</v>
      </c>
      <c r="D8" s="45">
        <f>'CW losslG,losslA,intra'!BB8</f>
        <v>1.0097290501743299</v>
      </c>
      <c r="E8" s="45">
        <f>'CW losslG,losslA,intra'!BC8</f>
        <v>1.0000999376368407</v>
      </c>
      <c r="F8" s="45">
        <f>'CW losslG,losslA,intra'!BD8</f>
        <v>1</v>
      </c>
      <c r="G8" s="45">
        <f>'CW losslG,losslA,intra'!BE8</f>
        <v>1.0113351886704154</v>
      </c>
      <c r="H8" s="65">
        <f>'CW losslG,losslA,interLD'!BB8</f>
        <v>1.0102031047802147</v>
      </c>
      <c r="I8" s="45">
        <f>'CW losslG,losslA,interLD'!BC8</f>
        <v>1.0001214479584779</v>
      </c>
      <c r="J8" s="45">
        <f>'CW losslG,losslA,interLD'!BD8</f>
        <v>1</v>
      </c>
      <c r="K8" s="66">
        <f>'CW losslG,losslA,interLD'!BE8</f>
        <v>1.0116264742278751</v>
      </c>
      <c r="L8" s="45">
        <f>'C2 lossyG,lossyA,intra'!BP20</f>
        <v>-1.6751094603986827E-2</v>
      </c>
      <c r="M8" s="45">
        <f>'C2 lossyG,lossyA,intra'!BQ20</f>
        <v>-1.7730023936028516E-2</v>
      </c>
      <c r="N8" s="45">
        <f>'C2 lossyG,lossyA,intra'!BR20</f>
        <v>2.511896677903791E-2</v>
      </c>
      <c r="O8" s="45">
        <f>'C2 lossyG,lossyA,intra'!BS20</f>
        <v>-3.1619387259916198E-2</v>
      </c>
      <c r="P8" s="66">
        <f>'C2 lossyG,lossyA,intra'!BT20</f>
        <v>-2.2335460496001658E-2</v>
      </c>
      <c r="Q8" s="65">
        <f>'C2 lossyG,lossyA,interRA'!BP20</f>
        <v>-1.9098175267855733E-2</v>
      </c>
      <c r="R8" s="45">
        <f>'C2 lossyG,lossyA,interRA'!BQ20</f>
        <v>-2.3102992674719491E-2</v>
      </c>
      <c r="S8" s="45">
        <f>'C2 lossyG,lossyA,interRA'!BR20</f>
        <v>5.6617091436628186E-4</v>
      </c>
      <c r="T8" s="45">
        <f>'C2 lossyG,lossyA,interRA'!BS20</f>
        <v>-4.0772901368296033E-2</v>
      </c>
      <c r="U8" s="66">
        <f>'C2 lossyG,lossyA,interRA'!BT20</f>
        <v>-3.2924339758281795E-2</v>
      </c>
    </row>
    <row r="9" spans="2:21" ht="15" customHeight="1" thickBot="1" x14ac:dyDescent="0.3">
      <c r="B9" s="67" t="s">
        <v>591</v>
      </c>
      <c r="C9" s="84" t="s">
        <v>592</v>
      </c>
      <c r="D9" s="35">
        <f>'CW losslG,losslA,intra'!BB9</f>
        <v>1.0048209549226848</v>
      </c>
      <c r="E9" s="35">
        <f>'CW losslG,losslA,intra'!BC9</f>
        <v>1.0001060274394813</v>
      </c>
      <c r="F9" s="35">
        <f>'CW losslG,losslA,intra'!BD9</f>
        <v>1</v>
      </c>
      <c r="G9" s="35">
        <f>'CW losslG,losslA,intra'!BE9</f>
        <v>1.0053609438104265</v>
      </c>
      <c r="H9" s="68">
        <f>'CW losslG,losslA,interLD'!BB9</f>
        <v>1.0048604127239451</v>
      </c>
      <c r="I9" s="35">
        <f>'CW losslG,losslA,interLD'!BC9</f>
        <v>1.0001062633371438</v>
      </c>
      <c r="J9" s="35">
        <f>'CW losslG,losslA,interLD'!BD9</f>
        <v>1</v>
      </c>
      <c r="K9" s="69">
        <f>'CW losslG,losslA,interLD'!BE9</f>
        <v>1.0054070580268217</v>
      </c>
      <c r="L9" s="85">
        <f>'C2 lossyG,lossyA,intra'!BP25</f>
        <v>-2.3971486954180721E-3</v>
      </c>
      <c r="M9" s="85">
        <f>'C2 lossyG,lossyA,intra'!BQ25</f>
        <v>-2.6920670826076076E-3</v>
      </c>
      <c r="N9" s="85">
        <f>'C2 lossyG,lossyA,intra'!BR25</f>
        <v>1.5322965403998801E-3</v>
      </c>
      <c r="O9" s="85">
        <f>'C2 lossyG,lossyA,intra'!BS25</f>
        <v>-3.5064394042273461E-3</v>
      </c>
      <c r="P9" s="86">
        <f>'C2 lossyG,lossyA,intra'!BT25</f>
        <v>-3.6093902230144304E-3</v>
      </c>
      <c r="Q9" s="68">
        <f>'C2 lossyG,lossyA,interRA'!BP25</f>
        <v>-3.1642420939872462E-3</v>
      </c>
      <c r="R9" s="35">
        <f>'C2 lossyG,lossyA,interRA'!BQ25</f>
        <v>-3.6168564656122726E-3</v>
      </c>
      <c r="S9" s="35">
        <f>'C2 lossyG,lossyA,interRA'!BR25</f>
        <v>-2.6607028943852473E-3</v>
      </c>
      <c r="T9" s="35">
        <f>'C2 lossyG,lossyA,interRA'!BS25</f>
        <v>-5.6183131650451301E-3</v>
      </c>
      <c r="U9" s="69">
        <f>'C2 lossyG,lossyA,interRA'!BT25</f>
        <v>-6.1882654452914965E-3</v>
      </c>
    </row>
    <row r="10" spans="2:21" x14ac:dyDescent="0.25">
      <c r="B10" s="52" t="s">
        <v>593</v>
      </c>
      <c r="C10" s="80" t="s">
        <v>594</v>
      </c>
      <c r="D10" s="58">
        <f>'CW losslG,losslA,intra'!BB10</f>
        <v>1.0024668888938304</v>
      </c>
      <c r="E10" s="58">
        <f>'CW losslG,losslA,intra'!BC10</f>
        <v>1.0000752960924859</v>
      </c>
      <c r="F10" s="58">
        <f>'CW losslG,losslA,intra'!BD10</f>
        <v>1</v>
      </c>
      <c r="G10" s="58">
        <f>'CW losslG,losslA,intra'!BE10</f>
        <v>1.0027772093651539</v>
      </c>
      <c r="H10" s="57">
        <f>'CW losslG,losslA,interLD'!BB10</f>
        <v>1.0024630704430975</v>
      </c>
      <c r="I10" s="58">
        <f>'CW losslG,losslA,interLD'!BC10</f>
        <v>1.0000752158266863</v>
      </c>
      <c r="J10" s="58">
        <f>'CW losslG,losslA,interLD'!BD10</f>
        <v>1</v>
      </c>
      <c r="K10" s="59">
        <f>'CW losslG,losslA,interLD'!BE10</f>
        <v>1.0027728375315381</v>
      </c>
      <c r="L10" s="54">
        <f>'C2 lossyG,lossyA,intra'!BP30</f>
        <v>-1.0286756024628918E-3</v>
      </c>
      <c r="M10" s="54">
        <f>'C2 lossyG,lossyA,intra'!BQ30</f>
        <v>-1.1001147054607863E-3</v>
      </c>
      <c r="N10" s="54">
        <f>'C2 lossyG,lossyA,intra'!BR30</f>
        <v>2.7152916198058819E-4</v>
      </c>
      <c r="O10" s="54">
        <f>'C2 lossyG,lossyA,intra'!BS30</f>
        <v>2.862027124118649E-3</v>
      </c>
      <c r="P10" s="55">
        <f>'C2 lossyG,lossyA,intra'!BT30</f>
        <v>-4.8339751855548396E-3</v>
      </c>
      <c r="Q10" s="53">
        <f>'C2 lossyG,lossyA,interRA'!BP30</f>
        <v>-8.3258978617029022E-4</v>
      </c>
      <c r="R10" s="54">
        <f>'C2 lossyG,lossyA,interRA'!BQ30</f>
        <v>-8.5859754020523038E-4</v>
      </c>
      <c r="S10" s="54">
        <f>'C2 lossyG,lossyA,interRA'!BR30</f>
        <v>-2.4832778510419651E-4</v>
      </c>
      <c r="T10" s="54">
        <f>'C2 lossyG,lossyA,interRA'!BS30</f>
        <v>4.1623333129581219E-4</v>
      </c>
      <c r="U10" s="55">
        <f>'C2 lossyG,lossyA,interRA'!BT30</f>
        <v>1.3675193599677726E-2</v>
      </c>
    </row>
    <row r="11" spans="2:21" ht="15" customHeight="1" thickBot="1" x14ac:dyDescent="0.3">
      <c r="B11" s="67"/>
      <c r="C11" s="84" t="s">
        <v>595</v>
      </c>
      <c r="D11" s="35">
        <f>'CW losslG,losslA,intra'!BB11</f>
        <v>1.0029279531827089</v>
      </c>
      <c r="E11" s="35">
        <f>'CW losslG,losslA,intra'!BC11</f>
        <v>1.0000583307467985</v>
      </c>
      <c r="F11" s="35">
        <f>'CW losslG,losslA,intra'!BD11</f>
        <v>1</v>
      </c>
      <c r="G11" s="35">
        <f>'CW losslG,losslA,intra'!BE11</f>
        <v>1.0033187495637144</v>
      </c>
      <c r="H11" s="68">
        <f>'CW losslG,losslA,interLD'!BB11</f>
        <v>1.0029320080409108</v>
      </c>
      <c r="I11" s="35">
        <f>'CW losslG,losslA,interLD'!BC11</f>
        <v>1.0000582121041723</v>
      </c>
      <c r="J11" s="35">
        <f>'CW losslG,losslA,interLD'!BD11</f>
        <v>1</v>
      </c>
      <c r="K11" s="69">
        <f>'CW losslG,losslA,interLD'!BE11</f>
        <v>1.0033237050125985</v>
      </c>
      <c r="L11" s="35">
        <f>'C2 lossyG,lossyA,intra'!BP35</f>
        <v>-1.0588165075504641E-3</v>
      </c>
      <c r="M11" s="35">
        <f>'C2 lossyG,lossyA,intra'!BQ35</f>
        <v>-1.1622945752822744E-3</v>
      </c>
      <c r="N11" s="35">
        <f>'C2 lossyG,lossyA,intra'!BR35</f>
        <v>4.6025312449748945E-4</v>
      </c>
      <c r="O11" s="35">
        <f>'C2 lossyG,lossyA,intra'!BS35</f>
        <v>2.1662094389234277E-3</v>
      </c>
      <c r="P11" s="69">
        <f>'C2 lossyG,lossyA,intra'!BT35</f>
        <v>3.6109320493906694E-3</v>
      </c>
      <c r="Q11" s="68">
        <f>'C2 lossyG,lossyA,interRA'!BP35</f>
        <v>-5.8813386626010988E-4</v>
      </c>
      <c r="R11" s="35">
        <f>'C2 lossyG,lossyA,interRA'!BQ35</f>
        <v>-7.0599516645408755E-4</v>
      </c>
      <c r="S11" s="35">
        <f>'C2 lossyG,lossyA,interRA'!BR35</f>
        <v>-1.7670833073524239E-4</v>
      </c>
      <c r="T11" s="35">
        <f>'C2 lossyG,lossyA,interRA'!BS35</f>
        <v>-1.1799905117909626E-3</v>
      </c>
      <c r="U11" s="69">
        <f>'C2 lossyG,lossyA,interRA'!BT35</f>
        <v>7.3355249617674811E-3</v>
      </c>
    </row>
    <row r="12" spans="2:21" x14ac:dyDescent="0.25">
      <c r="B12" s="189" t="s">
        <v>596</v>
      </c>
      <c r="C12" s="188"/>
      <c r="D12" s="87">
        <f>'CW losslG,losslA,intra'!BB12</f>
        <v>1.0066006618540813</v>
      </c>
      <c r="E12" s="88">
        <f>'CW losslG,losslA,intra'!BC12</f>
        <v>1.0001223709292388</v>
      </c>
      <c r="F12" s="88">
        <f>'CW losslG,losslA,intra'!BD12</f>
        <v>1</v>
      </c>
      <c r="G12" s="88">
        <f>'CW losslG,losslA,intra'!BE12</f>
        <v>1.0077384249303087</v>
      </c>
      <c r="H12" s="87">
        <f>'CW losslG,losslA,interLD'!BB12</f>
        <v>1.0067277479926031</v>
      </c>
      <c r="I12" s="88">
        <f>'CW losslG,losslA,interLD'!BC12</f>
        <v>1.0001293908592981</v>
      </c>
      <c r="J12" s="88">
        <f>'CW losslG,losslA,interLD'!BD12</f>
        <v>1</v>
      </c>
      <c r="K12" s="89">
        <f>'CW losslG,losslA,interLD'!BE12</f>
        <v>1.0078391200552259</v>
      </c>
      <c r="L12" s="71">
        <f>'C2 lossyG,lossyA,intra'!BP40</f>
        <v>-5.7232051481213853E-3</v>
      </c>
      <c r="M12" s="71">
        <f>'C2 lossyG,lossyA,intra'!BQ40</f>
        <v>-6.2579111996476644E-3</v>
      </c>
      <c r="N12" s="71">
        <f>'C2 lossyG,lossyA,intra'!BR40</f>
        <v>6.9108008697277845E-3</v>
      </c>
      <c r="O12" s="71">
        <f>'C2 lossyG,lossyA,intra'!BS40</f>
        <v>-1.0451656601952908E-2</v>
      </c>
      <c r="P12" s="72">
        <f>'C2 lossyG,lossyA,intra'!BT40</f>
        <v>-9.3264278975057069E-3</v>
      </c>
      <c r="Q12" s="70">
        <f>'C2 lossyG,lossyA,interRA'!BP40</f>
        <v>-6.8435588149633186E-3</v>
      </c>
      <c r="R12" s="71">
        <f>'C2 lossyG,lossyA,interRA'!BQ40</f>
        <v>-8.3520960374703357E-3</v>
      </c>
      <c r="S12" s="71">
        <f>'C2 lossyG,lossyA,interRA'!BR40</f>
        <v>-2.4457975425709599E-3</v>
      </c>
      <c r="T12" s="71">
        <f>'C2 lossyG,lossyA,interRA'!BS40</f>
        <v>-1.3415598291154518E-2</v>
      </c>
      <c r="U12" s="72">
        <f>'C2 lossyG,lossyA,interRA'!BT40</f>
        <v>-1.0319457145405969E-2</v>
      </c>
    </row>
    <row r="13" spans="2:21" x14ac:dyDescent="0.25">
      <c r="B13" s="189" t="s">
        <v>597</v>
      </c>
      <c r="C13" s="188"/>
      <c r="D13" s="70">
        <f>'CW losslG,losslA,intra'!BB13</f>
        <v>1.0048209549226848</v>
      </c>
      <c r="E13" s="71">
        <f>'CW losslG,losslA,intra'!BC13</f>
        <v>1.0001060274394813</v>
      </c>
      <c r="F13" s="71">
        <f>'CW losslG,losslA,intra'!BD13</f>
        <v>1</v>
      </c>
      <c r="G13" s="71">
        <f>'CW losslG,losslA,intra'!BE13</f>
        <v>1.0053609438104265</v>
      </c>
      <c r="H13" s="70">
        <f>'CW losslG,losslA,interLD'!BB13</f>
        <v>1.0048604127239451</v>
      </c>
      <c r="I13" s="71">
        <f>'CW losslG,losslA,interLD'!BC13</f>
        <v>1.0001062633371438</v>
      </c>
      <c r="J13" s="71">
        <f>'CW losslG,losslA,interLD'!BD13</f>
        <v>1</v>
      </c>
      <c r="K13" s="72">
        <f>'CW losslG,losslA,interLD'!BE13</f>
        <v>1.0054070580268217</v>
      </c>
      <c r="L13" s="71">
        <f>'C2 lossyG,lossyA,intra'!BP41</f>
        <v>-2.3971486954180721E-3</v>
      </c>
      <c r="M13" s="71">
        <f>'C2 lossyG,lossyA,intra'!BQ41</f>
        <v>-2.6920670826076076E-3</v>
      </c>
      <c r="N13" s="71">
        <f>'C2 lossyG,lossyA,intra'!BR41</f>
        <v>1.5322965403998801E-3</v>
      </c>
      <c r="O13" s="71">
        <f>'C2 lossyG,lossyA,intra'!BS41</f>
        <v>-3.5064394042273461E-3</v>
      </c>
      <c r="P13" s="72">
        <f>'C2 lossyG,lossyA,intra'!BT41</f>
        <v>-3.6093902230144304E-3</v>
      </c>
      <c r="Q13" s="70">
        <f>'C2 lossyG,lossyA,interRA'!BP41</f>
        <v>-3.1642420939872462E-3</v>
      </c>
      <c r="R13" s="71">
        <f>'C2 lossyG,lossyA,interRA'!BQ41</f>
        <v>-3.6168564656122726E-3</v>
      </c>
      <c r="S13" s="71">
        <f>'C2 lossyG,lossyA,interRA'!BR41</f>
        <v>-2.6607028943852473E-3</v>
      </c>
      <c r="T13" s="71">
        <f>'C2 lossyG,lossyA,interRA'!BS41</f>
        <v>-5.6183131650451301E-3</v>
      </c>
      <c r="U13" s="72">
        <f>'C2 lossyG,lossyA,interRA'!BT41</f>
        <v>-6.1882654452914965E-3</v>
      </c>
    </row>
    <row r="14" spans="2:21" ht="15" customHeight="1" thickBot="1" x14ac:dyDescent="0.3">
      <c r="B14" s="189" t="s">
        <v>598</v>
      </c>
      <c r="C14" s="188"/>
      <c r="D14" s="73">
        <f>'CW losslG,losslA,intra'!BB14</f>
        <v>1.0026991001429508</v>
      </c>
      <c r="E14" s="74">
        <f>'CW losslG,losslA,intra'!BC14</f>
        <v>1.0000665706564424</v>
      </c>
      <c r="F14" s="74">
        <f>'CW losslG,losslA,intra'!BD14</f>
        <v>1</v>
      </c>
      <c r="G14" s="74">
        <f>'CW losslG,losslA,intra'!BE14</f>
        <v>1.0030491834120243</v>
      </c>
      <c r="H14" s="73">
        <f>'CW losslG,losslA,interLD'!BB14</f>
        <v>1.0026992653530209</v>
      </c>
      <c r="I14" s="74">
        <f>'CW losslG,losslA,interLD'!BC14</f>
        <v>1.0000664659876413</v>
      </c>
      <c r="J14" s="74">
        <f>'CW losslG,losslA,interLD'!BD14</f>
        <v>1</v>
      </c>
      <c r="K14" s="75">
        <f>'CW losslG,losslA,interLD'!BE14</f>
        <v>1.0030494999930293</v>
      </c>
      <c r="L14" s="74">
        <f>'C2 lossyG,lossyA,intra'!BP42</f>
        <v>-1.0437460550066779E-3</v>
      </c>
      <c r="M14" s="74">
        <f>'C2 lossyG,lossyA,intra'!BQ42</f>
        <v>-1.1312046403715303E-3</v>
      </c>
      <c r="N14" s="74">
        <f>'C2 lossyG,lossyA,intra'!BR42</f>
        <v>3.6589114323903882E-4</v>
      </c>
      <c r="O14" s="74">
        <f>'C2 lossyG,lossyA,intra'!BS42</f>
        <v>2.5141182815210383E-3</v>
      </c>
      <c r="P14" s="75">
        <f>'C2 lossyG,lossyA,intra'!BT42</f>
        <v>-6.1152156808208513E-4</v>
      </c>
      <c r="Q14" s="73">
        <f>'C2 lossyG,lossyA,interRA'!BP42</f>
        <v>-7.1036182621520005E-4</v>
      </c>
      <c r="R14" s="74">
        <f>'C2 lossyG,lossyA,interRA'!BQ42</f>
        <v>-7.8229635332965897E-4</v>
      </c>
      <c r="S14" s="74">
        <f>'C2 lossyG,lossyA,interRA'!BR42</f>
        <v>-2.1251805791971945E-4</v>
      </c>
      <c r="T14" s="74">
        <f>'C2 lossyG,lossyA,interRA'!BS42</f>
        <v>-3.818785902475752E-4</v>
      </c>
      <c r="U14" s="75">
        <f>'C2 lossyG,lossyA,interRA'!BT42</f>
        <v>1.0505359280722604E-2</v>
      </c>
    </row>
    <row r="15" spans="2:21" ht="15" customHeight="1" thickBot="1" x14ac:dyDescent="0.3">
      <c r="B15" s="190" t="s">
        <v>19</v>
      </c>
      <c r="C15" s="173"/>
      <c r="D15" s="90">
        <f>'CW losslG,losslA,intra'!BB15</f>
        <v>1.005225852785768</v>
      </c>
      <c r="E15" s="91">
        <f>'CW losslG,losslA,intra'!BC15</f>
        <v>1.0001068141378466</v>
      </c>
      <c r="F15" s="91">
        <f>'CW losslG,losslA,intra'!BD15</f>
        <v>1</v>
      </c>
      <c r="G15" s="91">
        <f>'CW losslG,losslA,intra'!BE15</f>
        <v>1.0060030124509667</v>
      </c>
      <c r="H15" s="90">
        <f>'CW losslG,losslA,interLD'!BB15</f>
        <v>1.0052877140275727</v>
      </c>
      <c r="I15" s="91">
        <f>'CW losslG,losslA,interLD'!BC15</f>
        <v>1.0001105023740158</v>
      </c>
      <c r="J15" s="91">
        <f>'CW losslG,losslA,interLD'!BD15</f>
        <v>1</v>
      </c>
      <c r="K15" s="92">
        <f>'CW losslG,losslA,interLD'!BE15</f>
        <v>1.0060539964413955</v>
      </c>
      <c r="L15" s="91">
        <f>'C2 lossyG,lossyA,intra'!BP43</f>
        <v>-3.9110659139881387E-3</v>
      </c>
      <c r="M15" s="91">
        <f>'C2 lossyG,lossyA,intra'!BQ43</f>
        <v>-4.2837315945630462E-3</v>
      </c>
      <c r="N15" s="91">
        <f>'C2 lossyG,lossyA,intra'!BR43</f>
        <v>4.2724689008270134E-3</v>
      </c>
      <c r="O15" s="91">
        <f>'C2 lossyG,lossyA,intra'!BS43</f>
        <v>-5.7549756069995572E-3</v>
      </c>
      <c r="P15" s="91">
        <f>'C2 lossyG,lossyA,intra'!BT43</f>
        <v>-6.019734992743061E-3</v>
      </c>
      <c r="Q15" s="90">
        <f>'C2 lossyG,lossyA,interRA'!BP43</f>
        <v>-4.5656001437529891E-3</v>
      </c>
      <c r="R15" s="91">
        <f>'C2 lossyG,lossyA,interRA'!BQ43</f>
        <v>-5.5128333317361333E-3</v>
      </c>
      <c r="S15" s="91">
        <f>'C2 lossyG,lossyA,interRA'!BR43</f>
        <v>-1.8384184543583609E-3</v>
      </c>
      <c r="T15" s="91">
        <f>'C2 lossyG,lossyA,interRA'!BS43</f>
        <v>-8.5777805014511932E-3</v>
      </c>
      <c r="U15" s="92">
        <f>'C2 lossyG,lossyA,interRA'!BT43</f>
        <v>-3.7793393522100238E-3</v>
      </c>
    </row>
    <row r="16" spans="2:21" ht="15" customHeight="1" thickBot="1" x14ac:dyDescent="0.3"/>
    <row r="17" spans="3:7" x14ac:dyDescent="0.25">
      <c r="C17" s="104" t="s">
        <v>599</v>
      </c>
      <c r="D17" s="179" t="s">
        <v>600</v>
      </c>
      <c r="E17" s="180"/>
      <c r="F17" s="191" t="s">
        <v>601</v>
      </c>
      <c r="G17" s="192"/>
    </row>
    <row r="18" spans="3:7" ht="15" customHeight="1" thickBot="1" x14ac:dyDescent="0.3">
      <c r="C18" s="105"/>
      <c r="D18" s="108" t="s">
        <v>162</v>
      </c>
      <c r="E18" s="93" t="s">
        <v>163</v>
      </c>
      <c r="F18" s="149" t="s">
        <v>162</v>
      </c>
      <c r="G18" s="93" t="s">
        <v>163</v>
      </c>
    </row>
    <row r="19" spans="3:7" x14ac:dyDescent="0.25">
      <c r="C19" s="100" t="s">
        <v>577</v>
      </c>
      <c r="D19" s="109">
        <f>'CW losslG,losslA,intra'!AW19</f>
        <v>0.96821133363230405</v>
      </c>
      <c r="E19" s="101">
        <f>'CW losslG,losslA,intra'!AX19</f>
        <v>0.98445886476285072</v>
      </c>
      <c r="F19" s="106">
        <f>'CW losslG,losslA,intra'!AY19</f>
        <v>1.1485060244963265</v>
      </c>
      <c r="G19" s="101">
        <f>'CW losslG,losslA,intra'!AZ19</f>
        <v>0.97471145941183313</v>
      </c>
    </row>
    <row r="20" spans="3:7" x14ac:dyDescent="0.25">
      <c r="C20" s="94" t="s">
        <v>578</v>
      </c>
      <c r="D20" s="110">
        <f>'CW losslG,losslA,interLD'!AW19</f>
        <v>0.96093731906775148</v>
      </c>
      <c r="E20" s="95">
        <f>'CW losslG,losslA,interLD'!AX19</f>
        <v>0.98389509885819648</v>
      </c>
      <c r="F20" s="145">
        <f>'CW losslG,losslA,interLD'!AY19</f>
        <v>1.1702322089564643</v>
      </c>
      <c r="G20" s="95">
        <f>'CW losslG,losslA,interLD'!AZ19</f>
        <v>0.98918519384966008</v>
      </c>
    </row>
    <row r="21" spans="3:7" x14ac:dyDescent="0.25">
      <c r="C21" s="96" t="s">
        <v>579</v>
      </c>
      <c r="D21" s="111" t="e">
        <f>'C2 lossyG,lossyA,intra'!AZ47</f>
        <v>#NUM!</v>
      </c>
      <c r="E21" s="97" t="e">
        <f>'C2 lossyG,lossyA,intra'!BA47</f>
        <v>#NUM!</v>
      </c>
      <c r="F21" s="146">
        <f>'C2 lossyG,lossyA,intra'!BB47</f>
        <v>6.6877644411564603</v>
      </c>
      <c r="G21" s="97">
        <f>'C2 lossyG,lossyA,intra'!BC47</f>
        <v>0.99313662922836565</v>
      </c>
    </row>
    <row r="22" spans="3:7" ht="15" customHeight="1" thickBot="1" x14ac:dyDescent="0.3">
      <c r="C22" s="102" t="s">
        <v>580</v>
      </c>
      <c r="D22" s="112" t="e">
        <f>'C2 lossyG,lossyA,interRA'!AZ47</f>
        <v>#NUM!</v>
      </c>
      <c r="E22" s="103" t="e">
        <f>'C2 lossyG,lossyA,interRA'!BA47</f>
        <v>#NUM!</v>
      </c>
      <c r="F22" s="107">
        <f>'C2 lossyG,lossyA,interRA'!BB47</f>
        <v>6.8780400680501579</v>
      </c>
      <c r="G22" s="103">
        <f>'C2 lossyG,lossyA,interRA'!BC47</f>
        <v>1.0411718667627703</v>
      </c>
    </row>
    <row r="23" spans="3:7" ht="15" customHeight="1" thickBot="1" x14ac:dyDescent="0.3">
      <c r="C23" s="154" t="s">
        <v>602</v>
      </c>
      <c r="D23" s="113" t="e">
        <f>AVERAGE(D19:D22)</f>
        <v>#NUM!</v>
      </c>
      <c r="E23" s="99" t="e">
        <f>AVERAGE(E19:E22)</f>
        <v>#NUM!</v>
      </c>
      <c r="F23" s="98">
        <f>AVERAGE(F19:F22)</f>
        <v>3.9711356856648523</v>
      </c>
      <c r="G23" s="99">
        <f>AVERAGE(G19:G22)</f>
        <v>0.99955128731315734</v>
      </c>
    </row>
    <row r="24" spans="3:7" ht="15" customHeight="1" thickBot="1" x14ac:dyDescent="0.3"/>
    <row r="25" spans="3:7" x14ac:dyDescent="0.25">
      <c r="C25" s="104" t="s">
        <v>599</v>
      </c>
      <c r="D25" s="179" t="s">
        <v>603</v>
      </c>
      <c r="E25" s="180"/>
      <c r="F25" s="179" t="s">
        <v>604</v>
      </c>
      <c r="G25" s="180"/>
    </row>
    <row r="26" spans="3:7" ht="15" customHeight="1" thickBot="1" x14ac:dyDescent="0.3">
      <c r="C26" s="105"/>
      <c r="D26" s="108" t="s">
        <v>605</v>
      </c>
      <c r="E26" s="93" t="s">
        <v>606</v>
      </c>
      <c r="F26" s="108" t="s">
        <v>605</v>
      </c>
      <c r="G26" s="93" t="s">
        <v>606</v>
      </c>
    </row>
    <row r="27" spans="3:7" x14ac:dyDescent="0.25">
      <c r="C27" s="100" t="s">
        <v>577</v>
      </c>
      <c r="D27" s="114">
        <f>D46</f>
        <v>8.5374134608677448</v>
      </c>
      <c r="E27" s="115">
        <f>E46</f>
        <v>8.4898256574358264</v>
      </c>
      <c r="F27" s="116">
        <f>F46</f>
        <v>5.0844530378069193</v>
      </c>
      <c r="G27" s="115">
        <f>G46</f>
        <v>5.2827736990792413</v>
      </c>
    </row>
    <row r="28" spans="3:7" x14ac:dyDescent="0.25">
      <c r="C28" s="94" t="s">
        <v>578</v>
      </c>
      <c r="D28" s="117">
        <f>H46</f>
        <v>8.9734458923339844</v>
      </c>
      <c r="E28" s="118">
        <f>I46</f>
        <v>9.0680362156459271</v>
      </c>
      <c r="F28" s="144">
        <f>J46</f>
        <v>5.5401202610560825</v>
      </c>
      <c r="G28" s="118">
        <f>K46</f>
        <v>5.7223401750837075</v>
      </c>
    </row>
    <row r="29" spans="3:7" x14ac:dyDescent="0.25">
      <c r="C29" s="96" t="s">
        <v>579</v>
      </c>
      <c r="D29" s="119">
        <f>L46</f>
        <v>7.6205221993582581</v>
      </c>
      <c r="E29" s="120">
        <f>M46</f>
        <v>5.8803018842424661</v>
      </c>
      <c r="F29" s="143">
        <f>N46</f>
        <v>4.7762678963797436</v>
      </c>
      <c r="G29" s="120">
        <f>O46</f>
        <v>5.5203132629394531</v>
      </c>
    </row>
    <row r="30" spans="3:7" ht="15" customHeight="1" thickBot="1" x14ac:dyDescent="0.3">
      <c r="C30" s="102" t="s">
        <v>580</v>
      </c>
      <c r="D30" s="121">
        <f>P46</f>
        <v>8.0639554704938607</v>
      </c>
      <c r="E30" s="122">
        <f>Q46</f>
        <v>5.3571667262486056</v>
      </c>
      <c r="F30" s="123">
        <f>R46</f>
        <v>5.2788852146693639</v>
      </c>
      <c r="G30" s="122">
        <f>S46</f>
        <v>6.0720891680036262</v>
      </c>
    </row>
    <row r="31" spans="3:7" ht="15" customHeight="1" thickBot="1" x14ac:dyDescent="0.3">
      <c r="C31" s="154" t="s">
        <v>602</v>
      </c>
      <c r="D31" s="124">
        <f>AVERAGE(D27:D30)</f>
        <v>8.2988342557634631</v>
      </c>
      <c r="E31" s="125">
        <f>AVERAGE(E27:E30)</f>
        <v>7.1988326208932065</v>
      </c>
      <c r="F31" s="126">
        <f>AVERAGE(F27:F30)</f>
        <v>5.1699316024780266</v>
      </c>
      <c r="G31" s="125">
        <f>AVERAGE(G27:G30)</f>
        <v>5.6493790762765066</v>
      </c>
    </row>
    <row r="32" spans="3:7" ht="15" customHeight="1" thickBot="1" x14ac:dyDescent="0.3"/>
    <row r="33" spans="2:19" ht="15" customHeight="1" thickBot="1" x14ac:dyDescent="0.3">
      <c r="D33" s="171" t="s">
        <v>577</v>
      </c>
      <c r="E33" s="172"/>
      <c r="F33" s="172"/>
      <c r="G33" s="173"/>
      <c r="H33" s="171" t="s">
        <v>578</v>
      </c>
      <c r="I33" s="172"/>
      <c r="J33" s="172"/>
      <c r="K33" s="173"/>
      <c r="L33" s="171" t="s">
        <v>579</v>
      </c>
      <c r="M33" s="172"/>
      <c r="N33" s="172"/>
      <c r="O33" s="173"/>
      <c r="P33" s="174" t="s">
        <v>580</v>
      </c>
      <c r="Q33" s="172"/>
      <c r="R33" s="172"/>
      <c r="S33" s="172"/>
    </row>
    <row r="34" spans="2:19" ht="15" customHeight="1" thickBot="1" x14ac:dyDescent="0.3">
      <c r="B34" s="175" t="s">
        <v>139</v>
      </c>
      <c r="C34" s="177" t="s">
        <v>576</v>
      </c>
      <c r="D34" s="179" t="s">
        <v>607</v>
      </c>
      <c r="E34" s="180"/>
      <c r="F34" s="179" t="s">
        <v>608</v>
      </c>
      <c r="G34" s="180"/>
      <c r="H34" s="179" t="s">
        <v>607</v>
      </c>
      <c r="I34" s="180"/>
      <c r="J34" s="179" t="s">
        <v>608</v>
      </c>
      <c r="K34" s="180"/>
      <c r="L34" s="179" t="s">
        <v>607</v>
      </c>
      <c r="M34" s="180"/>
      <c r="N34" s="179" t="s">
        <v>608</v>
      </c>
      <c r="O34" s="180"/>
      <c r="P34" s="179" t="s">
        <v>607</v>
      </c>
      <c r="Q34" s="180"/>
      <c r="R34" s="179" t="s">
        <v>608</v>
      </c>
      <c r="S34" s="180"/>
    </row>
    <row r="35" spans="2:19" ht="15" customHeight="1" thickBot="1" x14ac:dyDescent="0.3">
      <c r="B35" s="176"/>
      <c r="C35" s="178"/>
      <c r="D35" s="108" t="s">
        <v>605</v>
      </c>
      <c r="E35" s="149" t="s">
        <v>606</v>
      </c>
      <c r="F35" s="108" t="s">
        <v>605</v>
      </c>
      <c r="G35" s="93" t="s">
        <v>606</v>
      </c>
      <c r="H35" s="127" t="s">
        <v>605</v>
      </c>
      <c r="I35" s="149" t="s">
        <v>606</v>
      </c>
      <c r="J35" s="108" t="s">
        <v>605</v>
      </c>
      <c r="K35" s="93" t="s">
        <v>606</v>
      </c>
      <c r="L35" s="127" t="s">
        <v>605</v>
      </c>
      <c r="M35" s="149" t="s">
        <v>606</v>
      </c>
      <c r="N35" s="108" t="s">
        <v>605</v>
      </c>
      <c r="O35" s="93" t="s">
        <v>606</v>
      </c>
      <c r="P35" s="127" t="s">
        <v>605</v>
      </c>
      <c r="Q35" s="149" t="s">
        <v>606</v>
      </c>
      <c r="R35" s="141" t="s">
        <v>605</v>
      </c>
      <c r="S35" s="142" t="s">
        <v>606</v>
      </c>
    </row>
    <row r="36" spans="2:19" x14ac:dyDescent="0.25">
      <c r="B36" s="52" t="s">
        <v>586</v>
      </c>
      <c r="C36" s="128" t="s">
        <v>587</v>
      </c>
      <c r="D36" s="114">
        <v>4.8828887939453116</v>
      </c>
      <c r="E36" s="116">
        <v>4.9158439636230469</v>
      </c>
      <c r="F36" s="114">
        <v>2.9424552917480469</v>
      </c>
      <c r="G36" s="115">
        <v>3.061431884765625</v>
      </c>
      <c r="H36" s="116">
        <v>4.8155174255371094</v>
      </c>
      <c r="I36" s="116">
        <v>4.8390655517578116</v>
      </c>
      <c r="J36" s="114">
        <v>2.8303451538085942</v>
      </c>
      <c r="K36" s="115">
        <v>2.9281578063964839</v>
      </c>
      <c r="L36" s="116">
        <v>4.0613685607910153</v>
      </c>
      <c r="M36" s="116">
        <v>3.3654586791992189</v>
      </c>
      <c r="N36" s="114">
        <v>2.5508644104003908</v>
      </c>
      <c r="O36" s="115">
        <v>3.0251480102539059</v>
      </c>
      <c r="P36" s="116">
        <v>3.8549774169921869</v>
      </c>
      <c r="Q36" s="116">
        <v>3.9789596557617188</v>
      </c>
      <c r="R36" s="114">
        <v>2.4380790710449221</v>
      </c>
      <c r="S36" s="115">
        <v>2.875386810302734</v>
      </c>
    </row>
    <row r="37" spans="2:19" x14ac:dyDescent="0.25">
      <c r="B37" s="56"/>
      <c r="C37" s="18" t="s">
        <v>588</v>
      </c>
      <c r="D37" s="117">
        <v>5.0425033569335938</v>
      </c>
      <c r="E37" s="144">
        <v>4.75927734375</v>
      </c>
      <c r="F37" s="117">
        <v>2.8220787048339839</v>
      </c>
      <c r="G37" s="118">
        <v>2.9386634826660161</v>
      </c>
      <c r="H37" s="144">
        <v>4.9081954956054688</v>
      </c>
      <c r="I37" s="144">
        <v>5.4408149719238281</v>
      </c>
      <c r="J37" s="117">
        <v>3.1852951049804692</v>
      </c>
      <c r="K37" s="118">
        <v>3.2620010375976558</v>
      </c>
      <c r="L37" s="144">
        <v>3.9426940917968749</v>
      </c>
      <c r="M37" s="144">
        <v>4.0652854919433592</v>
      </c>
      <c r="N37" s="117">
        <v>2.4960388183593749</v>
      </c>
      <c r="O37" s="118">
        <v>2.920632934570313</v>
      </c>
      <c r="P37" s="144">
        <v>4.0699928283691396</v>
      </c>
      <c r="Q37" s="144">
        <v>4.2073036193847653</v>
      </c>
      <c r="R37" s="117">
        <v>2.771417999267578</v>
      </c>
      <c r="S37" s="118">
        <v>3.1619873046875</v>
      </c>
    </row>
    <row r="38" spans="2:19" x14ac:dyDescent="0.25">
      <c r="B38" s="60"/>
      <c r="C38" s="129" t="s">
        <v>589</v>
      </c>
      <c r="D38" s="130">
        <v>6.6520233154296884</v>
      </c>
      <c r="E38" s="150">
        <v>6.7209129333496094</v>
      </c>
      <c r="F38" s="130">
        <v>4.1207656860351563</v>
      </c>
      <c r="G38" s="131">
        <v>4.2680091857910156</v>
      </c>
      <c r="H38" s="150">
        <v>6.9231681823730469</v>
      </c>
      <c r="I38" s="150">
        <v>6.9814987182617188</v>
      </c>
      <c r="J38" s="130">
        <v>4.4482841491699219</v>
      </c>
      <c r="K38" s="131">
        <v>4.5648422241210938</v>
      </c>
      <c r="L38" s="150">
        <v>5.4938102722167974</v>
      </c>
      <c r="M38" s="150">
        <v>5.6115882873535146</v>
      </c>
      <c r="N38" s="130">
        <v>3.3774749755859381</v>
      </c>
      <c r="O38" s="131">
        <v>3.9376464843750001</v>
      </c>
      <c r="P38" s="150">
        <v>5.7796051025390627</v>
      </c>
      <c r="Q38" s="150">
        <v>5.8993591308593754</v>
      </c>
      <c r="R38" s="130">
        <v>3.708907318115235</v>
      </c>
      <c r="S38" s="131">
        <v>4.2806404113769529</v>
      </c>
    </row>
    <row r="39" spans="2:19" ht="15" customHeight="1" thickBot="1" x14ac:dyDescent="0.3">
      <c r="B39" s="64"/>
      <c r="C39" s="37" t="s">
        <v>590</v>
      </c>
      <c r="D39" s="117">
        <v>5.1341705322265616</v>
      </c>
      <c r="E39" s="144">
        <v>5.1539192199707031</v>
      </c>
      <c r="F39" s="117">
        <v>2.9222679138183589</v>
      </c>
      <c r="G39" s="118">
        <v>3.0629463195800781</v>
      </c>
      <c r="H39" s="144">
        <v>5.2320175170898438</v>
      </c>
      <c r="I39" s="144">
        <v>5.2598114013671884</v>
      </c>
      <c r="J39" s="117">
        <v>2.9082756042480469</v>
      </c>
      <c r="K39" s="118">
        <v>3.0498733520507808</v>
      </c>
      <c r="L39" s="144">
        <v>5.1501190185546877</v>
      </c>
      <c r="M39" s="144">
        <v>5.28814697265625</v>
      </c>
      <c r="N39" s="117">
        <v>2.5510780334472658</v>
      </c>
      <c r="O39" s="118">
        <v>3.099401092529297</v>
      </c>
      <c r="P39" s="144">
        <v>4.6659591674804686</v>
      </c>
      <c r="Q39" s="144">
        <v>4.8087715148925776</v>
      </c>
      <c r="R39" s="117">
        <v>2.5458961486816412</v>
      </c>
      <c r="S39" s="118">
        <v>3.1004936218261721</v>
      </c>
    </row>
    <row r="40" spans="2:19" ht="15" customHeight="1" thickBot="1" x14ac:dyDescent="0.3">
      <c r="B40" s="60" t="s">
        <v>591</v>
      </c>
      <c r="C40" s="129" t="s">
        <v>592</v>
      </c>
      <c r="D40" s="132">
        <v>5.485565185546875</v>
      </c>
      <c r="E40" s="133">
        <v>5.2201423645019531</v>
      </c>
      <c r="F40" s="132">
        <v>3.0499801635742192</v>
      </c>
      <c r="G40" s="134">
        <v>3.1533966064453121</v>
      </c>
      <c r="H40" s="133">
        <v>5.4981422424316406</v>
      </c>
      <c r="I40" s="133">
        <v>5.4914360046386719</v>
      </c>
      <c r="J40" s="132">
        <v>3.2490997314453121</v>
      </c>
      <c r="K40" s="134">
        <v>3.3693656921386719</v>
      </c>
      <c r="L40" s="133">
        <v>4.0766952514648436</v>
      </c>
      <c r="M40" s="133">
        <v>4.2229934692382809</v>
      </c>
      <c r="N40" s="132">
        <v>2.4651901245117189</v>
      </c>
      <c r="O40" s="134">
        <v>2.9304801940917971</v>
      </c>
      <c r="P40" s="133">
        <v>4.2056434631347646</v>
      </c>
      <c r="Q40" s="133">
        <v>4.3468643188476559</v>
      </c>
      <c r="R40" s="132">
        <v>2.6865112304687502</v>
      </c>
      <c r="S40" s="134">
        <v>3.1540245056152338</v>
      </c>
    </row>
    <row r="41" spans="2:19" x14ac:dyDescent="0.25">
      <c r="B41" s="147" t="s">
        <v>593</v>
      </c>
      <c r="C41" s="148" t="s">
        <v>594</v>
      </c>
      <c r="D41" s="117">
        <v>15.375732421875</v>
      </c>
      <c r="E41" s="144">
        <v>15.46743011474609</v>
      </c>
      <c r="F41" s="117">
        <v>8.7224693298339844</v>
      </c>
      <c r="G41" s="118">
        <v>9.1574172973632813</v>
      </c>
      <c r="H41" s="144">
        <v>18.031379699707031</v>
      </c>
      <c r="I41" s="144">
        <v>18.055683135986332</v>
      </c>
      <c r="J41" s="117">
        <v>11.299797058105471</v>
      </c>
      <c r="K41" s="118">
        <v>11.66635131835938</v>
      </c>
      <c r="L41" s="144">
        <v>14.803901672363279</v>
      </c>
      <c r="M41" s="144">
        <v>15.3077392578125</v>
      </c>
      <c r="N41" s="117">
        <v>9.3244239807128899</v>
      </c>
      <c r="O41" s="118">
        <v>10.616753387451171</v>
      </c>
      <c r="P41" s="144">
        <v>16.77602386474609</v>
      </c>
      <c r="Q41" s="144">
        <v>0</v>
      </c>
      <c r="R41" s="117">
        <v>11.135380554199219</v>
      </c>
      <c r="S41" s="118">
        <v>12.787913513183589</v>
      </c>
    </row>
    <row r="42" spans="2:19" ht="15" customHeight="1" thickBot="1" x14ac:dyDescent="0.3">
      <c r="B42" s="67"/>
      <c r="C42" s="84" t="s">
        <v>595</v>
      </c>
      <c r="D42" s="130">
        <v>17.189010620117191</v>
      </c>
      <c r="E42" s="150">
        <v>17.191253662109379</v>
      </c>
      <c r="F42" s="130">
        <v>11.011154174804689</v>
      </c>
      <c r="G42" s="131">
        <v>11.337551116943359</v>
      </c>
      <c r="H42" s="150">
        <v>17.40570068359375</v>
      </c>
      <c r="I42" s="150">
        <v>17.407943725585941</v>
      </c>
      <c r="J42" s="130">
        <v>10.859745025634769</v>
      </c>
      <c r="K42" s="131">
        <v>11.21578979492188</v>
      </c>
      <c r="L42" s="150">
        <v>15.81506652832031</v>
      </c>
      <c r="M42" s="150">
        <v>3.3009010314941412</v>
      </c>
      <c r="N42" s="130">
        <v>10.668804931640629</v>
      </c>
      <c r="O42" s="131">
        <v>12.112130737304691</v>
      </c>
      <c r="P42" s="150">
        <v>17.09548645019531</v>
      </c>
      <c r="Q42" s="150">
        <v>14.25890884399414</v>
      </c>
      <c r="R42" s="130">
        <v>11.6660041809082</v>
      </c>
      <c r="S42" s="131">
        <v>13.144178009033199</v>
      </c>
    </row>
    <row r="43" spans="2:19" ht="14.45" customHeight="1" x14ac:dyDescent="0.25">
      <c r="B43" s="56" t="s">
        <v>596</v>
      </c>
      <c r="C43" s="81"/>
      <c r="D43" s="135">
        <f t="shared" ref="D43:S43" si="0">AVERAGE(D36:D39)</f>
        <v>5.4278964996337891</v>
      </c>
      <c r="E43" s="136">
        <f t="shared" si="0"/>
        <v>5.3874883651733398</v>
      </c>
      <c r="F43" s="137">
        <f t="shared" si="0"/>
        <v>3.2018918991088867</v>
      </c>
      <c r="G43" s="136">
        <f t="shared" si="0"/>
        <v>3.3327627182006836</v>
      </c>
      <c r="H43" s="137">
        <f t="shared" si="0"/>
        <v>5.4697246551513672</v>
      </c>
      <c r="I43" s="137">
        <f t="shared" si="0"/>
        <v>5.6302976608276367</v>
      </c>
      <c r="J43" s="135">
        <f t="shared" si="0"/>
        <v>3.3430500030517578</v>
      </c>
      <c r="K43" s="136">
        <f t="shared" si="0"/>
        <v>3.4512186050415039</v>
      </c>
      <c r="L43" s="137">
        <f t="shared" si="0"/>
        <v>4.6619979858398439</v>
      </c>
      <c r="M43" s="137">
        <f t="shared" si="0"/>
        <v>4.5826198577880852</v>
      </c>
      <c r="N43" s="135">
        <f t="shared" si="0"/>
        <v>2.7438640594482422</v>
      </c>
      <c r="O43" s="136">
        <f t="shared" si="0"/>
        <v>3.245707130432129</v>
      </c>
      <c r="P43" s="137">
        <f t="shared" si="0"/>
        <v>4.5926336288452143</v>
      </c>
      <c r="Q43" s="137">
        <f t="shared" si="0"/>
        <v>4.7235984802246094</v>
      </c>
      <c r="R43" s="135">
        <f t="shared" si="0"/>
        <v>2.8660751342773443</v>
      </c>
      <c r="S43" s="136">
        <f t="shared" si="0"/>
        <v>3.3546270370483393</v>
      </c>
    </row>
    <row r="44" spans="2:19" ht="14.45" customHeight="1" x14ac:dyDescent="0.25">
      <c r="B44" s="193" t="s">
        <v>597</v>
      </c>
      <c r="C44" s="188"/>
      <c r="D44" s="119">
        <f t="shared" ref="D44:S44" si="1">AVERAGE(D40)</f>
        <v>5.485565185546875</v>
      </c>
      <c r="E44" s="120">
        <f t="shared" si="1"/>
        <v>5.2201423645019531</v>
      </c>
      <c r="F44" s="143">
        <f t="shared" si="1"/>
        <v>3.0499801635742192</v>
      </c>
      <c r="G44" s="120">
        <f t="shared" si="1"/>
        <v>3.1533966064453121</v>
      </c>
      <c r="H44" s="143">
        <f t="shared" si="1"/>
        <v>5.4981422424316406</v>
      </c>
      <c r="I44" s="143">
        <f t="shared" si="1"/>
        <v>5.4914360046386719</v>
      </c>
      <c r="J44" s="119">
        <f t="shared" si="1"/>
        <v>3.2490997314453121</v>
      </c>
      <c r="K44" s="120">
        <f t="shared" si="1"/>
        <v>3.3693656921386719</v>
      </c>
      <c r="L44" s="143">
        <f t="shared" si="1"/>
        <v>4.0766952514648436</v>
      </c>
      <c r="M44" s="143">
        <f t="shared" si="1"/>
        <v>4.2229934692382809</v>
      </c>
      <c r="N44" s="119">
        <f t="shared" si="1"/>
        <v>2.4651901245117189</v>
      </c>
      <c r="O44" s="120">
        <f t="shared" si="1"/>
        <v>2.9304801940917971</v>
      </c>
      <c r="P44" s="143">
        <f t="shared" si="1"/>
        <v>4.2056434631347646</v>
      </c>
      <c r="Q44" s="143">
        <f t="shared" si="1"/>
        <v>4.3468643188476559</v>
      </c>
      <c r="R44" s="119">
        <f t="shared" si="1"/>
        <v>2.6865112304687502</v>
      </c>
      <c r="S44" s="120">
        <f t="shared" si="1"/>
        <v>3.1540245056152338</v>
      </c>
    </row>
    <row r="45" spans="2:19" ht="15" customHeight="1" thickBot="1" x14ac:dyDescent="0.3">
      <c r="B45" s="64" t="s">
        <v>598</v>
      </c>
      <c r="C45" s="83"/>
      <c r="D45" s="121">
        <f t="shared" ref="D45:S45" si="2">AVERAGE(D41:D42)</f>
        <v>16.282371520996094</v>
      </c>
      <c r="E45" s="122">
        <f t="shared" si="2"/>
        <v>16.329341888427734</v>
      </c>
      <c r="F45" s="123">
        <f t="shared" si="2"/>
        <v>9.8668117523193359</v>
      </c>
      <c r="G45" s="122">
        <f t="shared" si="2"/>
        <v>10.24748420715332</v>
      </c>
      <c r="H45" s="123">
        <f t="shared" si="2"/>
        <v>17.718540191650391</v>
      </c>
      <c r="I45" s="123">
        <f t="shared" si="2"/>
        <v>17.731813430786136</v>
      </c>
      <c r="J45" s="121">
        <f t="shared" si="2"/>
        <v>11.079771041870121</v>
      </c>
      <c r="K45" s="122">
        <f t="shared" si="2"/>
        <v>11.44107055664063</v>
      </c>
      <c r="L45" s="123">
        <f t="shared" si="2"/>
        <v>15.309484100341795</v>
      </c>
      <c r="M45" s="123">
        <f t="shared" si="2"/>
        <v>9.304320144653321</v>
      </c>
      <c r="N45" s="121">
        <f t="shared" si="2"/>
        <v>9.9966144561767596</v>
      </c>
      <c r="O45" s="122">
        <f t="shared" si="2"/>
        <v>11.364442062377931</v>
      </c>
      <c r="P45" s="123">
        <f t="shared" si="2"/>
        <v>16.935755157470702</v>
      </c>
      <c r="Q45" s="123">
        <f t="shared" si="2"/>
        <v>7.1294544219970701</v>
      </c>
      <c r="R45" s="121">
        <f t="shared" si="2"/>
        <v>11.40069236755371</v>
      </c>
      <c r="S45" s="122">
        <f t="shared" si="2"/>
        <v>12.966045761108393</v>
      </c>
    </row>
    <row r="46" spans="2:19" ht="15" customHeight="1" thickBot="1" x14ac:dyDescent="0.3">
      <c r="B46" s="194" t="s">
        <v>19</v>
      </c>
      <c r="C46" s="178"/>
      <c r="D46" s="138">
        <f t="shared" ref="D46:S46" si="3">AVERAGE(D36:D42)</f>
        <v>8.5374134608677448</v>
      </c>
      <c r="E46" s="139">
        <f t="shared" si="3"/>
        <v>8.4898256574358264</v>
      </c>
      <c r="F46" s="140">
        <f t="shared" si="3"/>
        <v>5.0844530378069193</v>
      </c>
      <c r="G46" s="139">
        <f t="shared" si="3"/>
        <v>5.2827736990792413</v>
      </c>
      <c r="H46" s="140">
        <f t="shared" si="3"/>
        <v>8.9734458923339844</v>
      </c>
      <c r="I46" s="140">
        <f t="shared" si="3"/>
        <v>9.0680362156459271</v>
      </c>
      <c r="J46" s="138">
        <f t="shared" si="3"/>
        <v>5.5401202610560825</v>
      </c>
      <c r="K46" s="139">
        <f t="shared" si="3"/>
        <v>5.7223401750837075</v>
      </c>
      <c r="L46" s="140">
        <f t="shared" si="3"/>
        <v>7.6205221993582581</v>
      </c>
      <c r="M46" s="140">
        <f t="shared" si="3"/>
        <v>5.8803018842424661</v>
      </c>
      <c r="N46" s="138">
        <f t="shared" si="3"/>
        <v>4.7762678963797436</v>
      </c>
      <c r="O46" s="139">
        <f t="shared" si="3"/>
        <v>5.5203132629394531</v>
      </c>
      <c r="P46" s="140">
        <f t="shared" si="3"/>
        <v>8.0639554704938607</v>
      </c>
      <c r="Q46" s="140">
        <f t="shared" si="3"/>
        <v>5.3571667262486056</v>
      </c>
      <c r="R46" s="138">
        <f t="shared" si="3"/>
        <v>5.2788852146693639</v>
      </c>
      <c r="S46" s="139">
        <f t="shared" si="3"/>
        <v>6.0720891680036262</v>
      </c>
    </row>
    <row r="47" spans="2:19" ht="15" customHeight="1" thickBot="1" x14ac:dyDescent="0.3"/>
    <row r="48" spans="2:19" ht="15" customHeight="1" thickBot="1" x14ac:dyDescent="0.3">
      <c r="B48" s="175" t="s">
        <v>139</v>
      </c>
      <c r="C48" s="177" t="s">
        <v>576</v>
      </c>
      <c r="D48" s="179" t="s">
        <v>607</v>
      </c>
      <c r="E48" s="180"/>
      <c r="F48" s="179" t="s">
        <v>608</v>
      </c>
      <c r="G48" s="180"/>
    </row>
    <row r="49" spans="2:7" ht="15" customHeight="1" thickBot="1" x14ac:dyDescent="0.3">
      <c r="B49" s="176"/>
      <c r="C49" s="178"/>
      <c r="D49" s="108" t="s">
        <v>605</v>
      </c>
      <c r="E49" s="149" t="s">
        <v>606</v>
      </c>
      <c r="F49" s="108" t="s">
        <v>605</v>
      </c>
      <c r="G49" s="93" t="s">
        <v>606</v>
      </c>
    </row>
    <row r="50" spans="2:7" x14ac:dyDescent="0.25">
      <c r="B50" s="52" t="s">
        <v>586</v>
      </c>
      <c r="C50" s="128" t="s">
        <v>587</v>
      </c>
      <c r="D50" s="114">
        <v>4.4036880493164059</v>
      </c>
      <c r="E50" s="116">
        <v>4.2748319625854494</v>
      </c>
      <c r="F50" s="114">
        <v>2.6904359817504879</v>
      </c>
      <c r="G50" s="115">
        <v>2.9725311279296869</v>
      </c>
    </row>
    <row r="51" spans="2:7" x14ac:dyDescent="0.25">
      <c r="B51" s="56"/>
      <c r="C51" s="18" t="s">
        <v>588</v>
      </c>
      <c r="D51" s="117">
        <v>4.4908464431762694</v>
      </c>
      <c r="E51" s="144">
        <v>4.6181703567504879</v>
      </c>
      <c r="F51" s="117">
        <v>2.8187076568603522</v>
      </c>
      <c r="G51" s="118">
        <v>3.070821189880371</v>
      </c>
    </row>
    <row r="52" spans="2:7" x14ac:dyDescent="0.25">
      <c r="B52" s="60"/>
      <c r="C52" s="129" t="s">
        <v>589</v>
      </c>
      <c r="D52" s="130">
        <v>6.2121517181396486</v>
      </c>
      <c r="E52" s="150">
        <v>6.3033397674560554</v>
      </c>
      <c r="F52" s="130">
        <v>3.9138580322265621</v>
      </c>
      <c r="G52" s="131">
        <v>4.2627845764160153</v>
      </c>
    </row>
    <row r="53" spans="2:7" ht="15" customHeight="1" thickBot="1" x14ac:dyDescent="0.3">
      <c r="B53" s="64"/>
      <c r="C53" s="37" t="s">
        <v>590</v>
      </c>
      <c r="D53" s="117">
        <v>5.0455665588378906</v>
      </c>
      <c r="E53" s="144">
        <v>5.1276622772216793</v>
      </c>
      <c r="F53" s="117">
        <v>2.7318794250488279</v>
      </c>
      <c r="G53" s="118">
        <v>3.0781785964965822</v>
      </c>
    </row>
    <row r="54" spans="2:7" ht="15" customHeight="1" thickBot="1" x14ac:dyDescent="0.3">
      <c r="B54" s="60" t="s">
        <v>591</v>
      </c>
      <c r="C54" s="129" t="s">
        <v>592</v>
      </c>
      <c r="D54" s="132">
        <v>4.8165115356445316</v>
      </c>
      <c r="E54" s="133">
        <v>4.8203590393066396</v>
      </c>
      <c r="F54" s="132">
        <v>2.8626953125000001</v>
      </c>
      <c r="G54" s="134">
        <v>3.1518167495727538</v>
      </c>
    </row>
    <row r="55" spans="2:7" x14ac:dyDescent="0.25">
      <c r="B55" s="147" t="s">
        <v>593</v>
      </c>
      <c r="C55" s="148" t="s">
        <v>594</v>
      </c>
      <c r="D55" s="117">
        <v>16.246759414672852</v>
      </c>
      <c r="E55" s="144">
        <v>12.20771312713623</v>
      </c>
      <c r="F55" s="117">
        <v>10.120517730712891</v>
      </c>
      <c r="G55" s="118">
        <v>11.057108879089361</v>
      </c>
    </row>
    <row r="56" spans="2:7" ht="15" customHeight="1" thickBot="1" x14ac:dyDescent="0.3">
      <c r="B56" s="67"/>
      <c r="C56" s="84" t="s">
        <v>595</v>
      </c>
      <c r="D56" s="130">
        <v>16.876316070556641</v>
      </c>
      <c r="E56" s="150">
        <v>13.039751815795899</v>
      </c>
      <c r="F56" s="130">
        <v>11.05142707824707</v>
      </c>
      <c r="G56" s="131">
        <v>11.95241241455078</v>
      </c>
    </row>
    <row r="57" spans="2:7" x14ac:dyDescent="0.25">
      <c r="B57" s="56" t="s">
        <v>596</v>
      </c>
      <c r="C57" s="81"/>
      <c r="D57" s="135">
        <f>AVERAGE(D50:D53)</f>
        <v>5.0380631923675532</v>
      </c>
      <c r="E57" s="136">
        <f>AVERAGE(E50:E53)</f>
        <v>5.0810010910034187</v>
      </c>
      <c r="F57" s="137">
        <f>AVERAGE(F50:F53)</f>
        <v>3.0387202739715575</v>
      </c>
      <c r="G57" s="136">
        <f>AVERAGE(G50:G53)</f>
        <v>3.3460788726806641</v>
      </c>
    </row>
    <row r="58" spans="2:7" x14ac:dyDescent="0.25">
      <c r="B58" s="193" t="s">
        <v>597</v>
      </c>
      <c r="C58" s="188"/>
      <c r="D58" s="119">
        <f>AVERAGE(D54)</f>
        <v>4.8165115356445316</v>
      </c>
      <c r="E58" s="120">
        <f>AVERAGE(E54)</f>
        <v>4.8203590393066396</v>
      </c>
      <c r="F58" s="143">
        <f>AVERAGE(F54)</f>
        <v>2.8626953125000001</v>
      </c>
      <c r="G58" s="120">
        <f>AVERAGE(G54)</f>
        <v>3.1518167495727538</v>
      </c>
    </row>
    <row r="59" spans="2:7" ht="15" customHeight="1" thickBot="1" x14ac:dyDescent="0.3">
      <c r="B59" s="64" t="s">
        <v>598</v>
      </c>
      <c r="C59" s="83"/>
      <c r="D59" s="121">
        <f>AVERAGE(D55:D56)</f>
        <v>16.561537742614746</v>
      </c>
      <c r="E59" s="122">
        <f>AVERAGE(E55:E56)</f>
        <v>12.623732471466065</v>
      </c>
      <c r="F59" s="123">
        <f>AVERAGE(F55:F56)</f>
        <v>10.58597240447998</v>
      </c>
      <c r="G59" s="122">
        <f>AVERAGE(G55:G56)</f>
        <v>11.50476064682007</v>
      </c>
    </row>
    <row r="60" spans="2:7" ht="15" customHeight="1" thickBot="1" x14ac:dyDescent="0.3">
      <c r="B60" s="194" t="s">
        <v>19</v>
      </c>
      <c r="C60" s="178"/>
      <c r="D60" s="138">
        <f>AVERAGE(D50:D56)</f>
        <v>8.2988342557634631</v>
      </c>
      <c r="E60" s="139">
        <f>AVERAGE(E50:E56)</f>
        <v>7.1988326208932056</v>
      </c>
      <c r="F60" s="140">
        <f>AVERAGE(F50:F56)</f>
        <v>5.1699316024780275</v>
      </c>
      <c r="G60" s="139">
        <f>AVERAGE(G50:G56)</f>
        <v>5.6493790762765075</v>
      </c>
    </row>
    <row r="62" spans="2:7" ht="15" customHeight="1" x14ac:dyDescent="0.25"/>
    <row r="74" ht="15" customHeight="1" x14ac:dyDescent="0.25"/>
  </sheetData>
  <mergeCells count="42">
    <mergeCell ref="D48:E48"/>
    <mergeCell ref="B60:C60"/>
    <mergeCell ref="B48:B49"/>
    <mergeCell ref="C48:C49"/>
    <mergeCell ref="B58:C58"/>
    <mergeCell ref="F48:G48"/>
    <mergeCell ref="B2:B4"/>
    <mergeCell ref="C2:C4"/>
    <mergeCell ref="D2:G2"/>
    <mergeCell ref="H2:K2"/>
    <mergeCell ref="B12:C12"/>
    <mergeCell ref="B13:C13"/>
    <mergeCell ref="B14:C14"/>
    <mergeCell ref="B15:C15"/>
    <mergeCell ref="D25:E25"/>
    <mergeCell ref="F25:G25"/>
    <mergeCell ref="D17:E17"/>
    <mergeCell ref="F17:G17"/>
    <mergeCell ref="H33:K33"/>
    <mergeCell ref="B44:C44"/>
    <mergeCell ref="B46:C46"/>
    <mergeCell ref="L2:P2"/>
    <mergeCell ref="Q2:U2"/>
    <mergeCell ref="D3:G3"/>
    <mergeCell ref="H3:K3"/>
    <mergeCell ref="L3:M3"/>
    <mergeCell ref="N3:P3"/>
    <mergeCell ref="Q3:R3"/>
    <mergeCell ref="S3:U3"/>
    <mergeCell ref="L33:O33"/>
    <mergeCell ref="P33:S33"/>
    <mergeCell ref="B34:B35"/>
    <mergeCell ref="C34:C35"/>
    <mergeCell ref="D34:E34"/>
    <mergeCell ref="F34:G34"/>
    <mergeCell ref="H34:I34"/>
    <mergeCell ref="J34:K34"/>
    <mergeCell ref="L34:M34"/>
    <mergeCell ref="N34:O34"/>
    <mergeCell ref="P34:Q34"/>
    <mergeCell ref="R34:S34"/>
    <mergeCell ref="D33:G33"/>
  </mergeCells>
  <conditionalFormatting sqref="E5:E15">
    <cfRule type="cellIs" dxfId="59" priority="15" operator="greaterThanOrEqual">
      <formula>1.03</formula>
    </cfRule>
    <cfRule type="cellIs" dxfId="58" priority="16" operator="lessThanOrEqual">
      <formula>0.97</formula>
    </cfRule>
  </conditionalFormatting>
  <conditionalFormatting sqref="G5:G15">
    <cfRule type="cellIs" dxfId="57" priority="13" operator="greaterThanOrEqual">
      <formula>1.03</formula>
    </cfRule>
    <cfRule type="cellIs" dxfId="56" priority="14" operator="lessThanOrEqual">
      <formula>0.97</formula>
    </cfRule>
  </conditionalFormatting>
  <conditionalFormatting sqref="D5:D15">
    <cfRule type="cellIs" dxfId="55" priority="11" operator="greaterThanOrEqual">
      <formula>1.03</formula>
    </cfRule>
    <cfRule type="cellIs" dxfId="54" priority="12" operator="lessThanOrEqual">
      <formula>0.97</formula>
    </cfRule>
  </conditionalFormatting>
  <conditionalFormatting sqref="F5:F15">
    <cfRule type="cellIs" dxfId="53" priority="9" operator="greaterThanOrEqual">
      <formula>1.03</formula>
    </cfRule>
    <cfRule type="cellIs" dxfId="52" priority="10" operator="lessThanOrEqual">
      <formula>0.97</formula>
    </cfRule>
  </conditionalFormatting>
  <conditionalFormatting sqref="I5:I15">
    <cfRule type="cellIs" dxfId="51" priority="7" operator="greaterThanOrEqual">
      <formula>1.03</formula>
    </cfRule>
    <cfRule type="cellIs" dxfId="50" priority="8" operator="lessThanOrEqual">
      <formula>0.97</formula>
    </cfRule>
  </conditionalFormatting>
  <conditionalFormatting sqref="K5:K15">
    <cfRule type="cellIs" dxfId="49" priority="5" operator="greaterThanOrEqual">
      <formula>1.03</formula>
    </cfRule>
    <cfRule type="cellIs" dxfId="48" priority="6" operator="lessThanOrEqual">
      <formula>0.97</formula>
    </cfRule>
  </conditionalFormatting>
  <conditionalFormatting sqref="Q5:U11 L6:P7 L9:P14">
    <cfRule type="cellIs" dxfId="47" priority="59" operator="greaterThanOrEqual">
      <formula>0.03</formula>
    </cfRule>
    <cfRule type="cellIs" dxfId="46" priority="60" operator="lessThanOrEqual">
      <formula>-0.03</formula>
    </cfRule>
  </conditionalFormatting>
  <conditionalFormatting sqref="Q12:U14">
    <cfRule type="cellIs" dxfId="45" priority="57" operator="greaterThanOrEqual">
      <formula>0.03</formula>
    </cfRule>
    <cfRule type="cellIs" dxfId="44" priority="58" operator="lessThanOrEqual">
      <formula>-0.03</formula>
    </cfRule>
  </conditionalFormatting>
  <conditionalFormatting sqref="N15">
    <cfRule type="cellIs" dxfId="43" priority="27" operator="greaterThanOrEqual">
      <formula>0.03</formula>
    </cfRule>
    <cfRule type="cellIs" dxfId="42" priority="28" operator="lessThanOrEqual">
      <formula>-0.03</formula>
    </cfRule>
  </conditionalFormatting>
  <conditionalFormatting sqref="S15">
    <cfRule type="cellIs" dxfId="41" priority="17" operator="greaterThanOrEqual">
      <formula>0.03</formula>
    </cfRule>
    <cfRule type="cellIs" dxfId="40" priority="18" operator="lessThanOrEqual">
      <formula>-0.03</formula>
    </cfRule>
  </conditionalFormatting>
  <conditionalFormatting sqref="L15">
    <cfRule type="cellIs" dxfId="39" priority="29" operator="greaterThanOrEqual">
      <formula>0.03</formula>
    </cfRule>
    <cfRule type="cellIs" dxfId="38" priority="30" operator="lessThanOrEqual">
      <formula>-0.03</formula>
    </cfRule>
  </conditionalFormatting>
  <conditionalFormatting sqref="M15">
    <cfRule type="cellIs" dxfId="37" priority="31" operator="greaterThanOrEqual">
      <formula>0.03</formula>
    </cfRule>
    <cfRule type="cellIs" dxfId="36" priority="32" operator="lessThanOrEqual">
      <formula>-0.03</formula>
    </cfRule>
  </conditionalFormatting>
  <conditionalFormatting sqref="O15">
    <cfRule type="cellIs" dxfId="35" priority="33" operator="greaterThanOrEqual">
      <formula>0.03</formula>
    </cfRule>
    <cfRule type="cellIs" dxfId="34" priority="34" operator="lessThanOrEqual">
      <formula>-0.03</formula>
    </cfRule>
  </conditionalFormatting>
  <conditionalFormatting sqref="P15">
    <cfRule type="cellIs" dxfId="33" priority="35" operator="greaterThanOrEqual">
      <formula>0.03</formula>
    </cfRule>
    <cfRule type="cellIs" dxfId="32" priority="36" operator="lessThanOrEqual">
      <formula>-0.03</formula>
    </cfRule>
  </conditionalFormatting>
  <conditionalFormatting sqref="Q15">
    <cfRule type="cellIs" dxfId="31" priority="19" operator="greaterThanOrEqual">
      <formula>0.03</formula>
    </cfRule>
    <cfRule type="cellIs" dxfId="30" priority="20" operator="lessThanOrEqual">
      <formula>-0.03</formula>
    </cfRule>
  </conditionalFormatting>
  <conditionalFormatting sqref="R15">
    <cfRule type="cellIs" dxfId="29" priority="21" operator="greaterThanOrEqual">
      <formula>0.03</formula>
    </cfRule>
    <cfRule type="cellIs" dxfId="28" priority="22" operator="lessThanOrEqual">
      <formula>-0.03</formula>
    </cfRule>
  </conditionalFormatting>
  <conditionalFormatting sqref="T15">
    <cfRule type="cellIs" dxfId="27" priority="23" operator="greaterThanOrEqual">
      <formula>0.03</formula>
    </cfRule>
    <cfRule type="cellIs" dxfId="26" priority="24" operator="lessThanOrEqual">
      <formula>-0.03</formula>
    </cfRule>
  </conditionalFormatting>
  <conditionalFormatting sqref="U15">
    <cfRule type="cellIs" dxfId="25" priority="25" operator="greaterThanOrEqual">
      <formula>0.03</formula>
    </cfRule>
    <cfRule type="cellIs" dxfId="24" priority="26" operator="lessThanOrEqual">
      <formula>-0.03</formula>
    </cfRule>
  </conditionalFormatting>
  <conditionalFormatting sqref="L5">
    <cfRule type="cellIs" dxfId="23" priority="49" operator="greaterThanOrEqual">
      <formula>0.03</formula>
    </cfRule>
    <cfRule type="cellIs" dxfId="22" priority="50" operator="lessThanOrEqual">
      <formula>-0.03</formula>
    </cfRule>
  </conditionalFormatting>
  <conditionalFormatting sqref="M5">
    <cfRule type="cellIs" dxfId="21" priority="51" operator="greaterThanOrEqual">
      <formula>0.03</formula>
    </cfRule>
    <cfRule type="cellIs" dxfId="20" priority="52" operator="lessThanOrEqual">
      <formula>-0.03</formula>
    </cfRule>
  </conditionalFormatting>
  <conditionalFormatting sqref="N5">
    <cfRule type="cellIs" dxfId="19" priority="47" operator="greaterThanOrEqual">
      <formula>0.03</formula>
    </cfRule>
    <cfRule type="cellIs" dxfId="18" priority="48" operator="lessThanOrEqual">
      <formula>-0.03</formula>
    </cfRule>
  </conditionalFormatting>
  <conditionalFormatting sqref="O5">
    <cfRule type="cellIs" dxfId="17" priority="53" operator="greaterThanOrEqual">
      <formula>0.03</formula>
    </cfRule>
    <cfRule type="cellIs" dxfId="16" priority="54" operator="lessThanOrEqual">
      <formula>-0.03</formula>
    </cfRule>
  </conditionalFormatting>
  <conditionalFormatting sqref="P5">
    <cfRule type="cellIs" dxfId="15" priority="55" operator="greaterThanOrEqual">
      <formula>0.03</formula>
    </cfRule>
    <cfRule type="cellIs" dxfId="14" priority="56" operator="lessThanOrEqual">
      <formula>-0.03</formula>
    </cfRule>
  </conditionalFormatting>
  <conditionalFormatting sqref="L8">
    <cfRule type="cellIs" dxfId="13" priority="39" operator="greaterThanOrEqual">
      <formula>0.03</formula>
    </cfRule>
    <cfRule type="cellIs" dxfId="12" priority="40" operator="lessThanOrEqual">
      <formula>-0.03</formula>
    </cfRule>
  </conditionalFormatting>
  <conditionalFormatting sqref="M8">
    <cfRule type="cellIs" dxfId="11" priority="41" operator="greaterThanOrEqual">
      <formula>0.03</formula>
    </cfRule>
    <cfRule type="cellIs" dxfId="10" priority="42" operator="lessThanOrEqual">
      <formula>-0.03</formula>
    </cfRule>
  </conditionalFormatting>
  <conditionalFormatting sqref="N8">
    <cfRule type="cellIs" dxfId="9" priority="37" operator="greaterThanOrEqual">
      <formula>0.03</formula>
    </cfRule>
    <cfRule type="cellIs" dxfId="8" priority="38" operator="lessThanOrEqual">
      <formula>-0.03</formula>
    </cfRule>
  </conditionalFormatting>
  <conditionalFormatting sqref="O8">
    <cfRule type="cellIs" dxfId="7" priority="43" operator="greaterThanOrEqual">
      <formula>0.03</formula>
    </cfRule>
    <cfRule type="cellIs" dxfId="6" priority="44" operator="lessThanOrEqual">
      <formula>-0.03</formula>
    </cfRule>
  </conditionalFormatting>
  <conditionalFormatting sqref="P8">
    <cfRule type="cellIs" dxfId="5" priority="45" operator="greaterThanOrEqual">
      <formula>0.03</formula>
    </cfRule>
    <cfRule type="cellIs" dxfId="4" priority="46" operator="lessThanOrEqual">
      <formula>-0.03</formula>
    </cfRule>
  </conditionalFormatting>
  <conditionalFormatting sqref="H5:H15">
    <cfRule type="cellIs" dxfId="3" priority="3" operator="greaterThanOrEqual">
      <formula>1.03</formula>
    </cfRule>
    <cfRule type="cellIs" dxfId="2" priority="4" operator="lessThanOrEqual">
      <formula>0.97</formula>
    </cfRule>
  </conditionalFormatting>
  <conditionalFormatting sqref="J5:J15">
    <cfRule type="cellIs" dxfId="1" priority="1" operator="greaterThanOrEqual">
      <formula>1.03</formula>
    </cfRule>
    <cfRule type="cellIs" dxfId="0" priority="2"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Summary</vt:lpstr>
      <vt:lpstr>Graphs</vt:lpstr>
      <vt:lpstr>C2 lossyG,lossyA,intra</vt:lpstr>
      <vt:lpstr>names</vt:lpstr>
      <vt:lpstr>CW losslG,losslA,intra</vt:lpstr>
      <vt:lpstr>CW losslG,losslA,interLD</vt:lpstr>
      <vt:lpstr>C2 lossyG,lossyA,interRA</vt:lpstr>
      <vt:lpstr>Results</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2021-07-09T15:46:13Z</dcterms:modified>
</cp:coreProperties>
</file>