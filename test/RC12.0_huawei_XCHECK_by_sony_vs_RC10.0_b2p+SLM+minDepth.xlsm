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1000314552\Documents\MPEG\SONY\125Meeting\new_anchor\"/>
    </mc:Choice>
  </mc:AlternateContent>
  <bookViews>
    <workbookView xWindow="0" yWindow="465" windowWidth="28800" windowHeight="16320" activeTab="6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8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52511"/>
</workbook>
</file>

<file path=xl/calcChain.xml><?xml version="1.0" encoding="utf-8"?>
<calcChain xmlns="http://schemas.openxmlformats.org/spreadsheetml/2006/main">
  <c r="BI5" i="6" l="1"/>
  <c r="BJ5" i="6"/>
  <c r="BK5" i="6"/>
  <c r="BL5" i="6"/>
  <c r="BI6" i="6"/>
  <c r="BJ6" i="6"/>
  <c r="BK6" i="6"/>
  <c r="BL6" i="6"/>
  <c r="BI7" i="6"/>
  <c r="BJ7" i="6"/>
  <c r="BK7" i="6"/>
  <c r="BL7" i="6"/>
  <c r="BI8" i="6"/>
  <c r="BJ8" i="6"/>
  <c r="BK8" i="6"/>
  <c r="BL8" i="6"/>
  <c r="BI9" i="6"/>
  <c r="BJ9" i="6"/>
  <c r="BK9" i="6"/>
  <c r="BL9" i="6"/>
  <c r="BH6" i="6"/>
  <c r="BH7" i="6"/>
  <c r="BH8" i="6"/>
  <c r="BH9" i="6"/>
  <c r="BH5" i="6"/>
  <c r="BI5" i="5"/>
  <c r="BJ5" i="5"/>
  <c r="BK5" i="5"/>
  <c r="BL5" i="5"/>
  <c r="BI6" i="5"/>
  <c r="BJ6" i="5"/>
  <c r="BK6" i="5"/>
  <c r="BL6" i="5"/>
  <c r="BI7" i="5"/>
  <c r="BJ7" i="5"/>
  <c r="BK7" i="5"/>
  <c r="BL7" i="5"/>
  <c r="BI8" i="5"/>
  <c r="BJ8" i="5"/>
  <c r="BK8" i="5"/>
  <c r="BL8" i="5"/>
  <c r="BI9" i="5"/>
  <c r="BJ9" i="5"/>
  <c r="BK9" i="5"/>
  <c r="BL9" i="5"/>
  <c r="BH6" i="5"/>
  <c r="BH7" i="5"/>
  <c r="BH8" i="5"/>
  <c r="BH9" i="5"/>
  <c r="BH5" i="5"/>
  <c r="BV5" i="7" l="1"/>
  <c r="BW5" i="7"/>
  <c r="BX5" i="7"/>
  <c r="BY5" i="7"/>
  <c r="BZ5" i="7"/>
  <c r="CA5" i="7"/>
  <c r="CB5" i="7"/>
  <c r="CC5" i="7"/>
  <c r="CD5" i="7"/>
  <c r="CE5" i="7"/>
  <c r="CF5" i="7"/>
  <c r="BV6" i="7"/>
  <c r="BW6" i="7"/>
  <c r="BX6" i="7"/>
  <c r="BY6" i="7"/>
  <c r="BZ6" i="7"/>
  <c r="CA6" i="7"/>
  <c r="CB6" i="7"/>
  <c r="CC6" i="7"/>
  <c r="CD6" i="7"/>
  <c r="CE6" i="7"/>
  <c r="CF6" i="7"/>
  <c r="BV7" i="7"/>
  <c r="BW7" i="7"/>
  <c r="BX7" i="7"/>
  <c r="BY7" i="7"/>
  <c r="BZ7" i="7"/>
  <c r="CA7" i="7"/>
  <c r="CB7" i="7"/>
  <c r="CC7" i="7"/>
  <c r="CD7" i="7"/>
  <c r="CE7" i="7"/>
  <c r="CF7" i="7"/>
  <c r="BV8" i="7"/>
  <c r="BW8" i="7"/>
  <c r="BX8" i="7"/>
  <c r="BY8" i="7"/>
  <c r="BZ8" i="7"/>
  <c r="CA8" i="7"/>
  <c r="CB8" i="7"/>
  <c r="CC8" i="7"/>
  <c r="CD8" i="7"/>
  <c r="CE8" i="7"/>
  <c r="CF8" i="7"/>
  <c r="BV9" i="7"/>
  <c r="BW9" i="7"/>
  <c r="BX9" i="7"/>
  <c r="BY9" i="7"/>
  <c r="BZ9" i="7"/>
  <c r="CA9" i="7"/>
  <c r="CB9" i="7"/>
  <c r="CC9" i="7"/>
  <c r="CD9" i="7"/>
  <c r="CE9" i="7"/>
  <c r="CF9" i="7"/>
  <c r="BV10" i="7"/>
  <c r="BW10" i="7"/>
  <c r="BX10" i="7"/>
  <c r="BY10" i="7"/>
  <c r="BZ10" i="7"/>
  <c r="CA10" i="7"/>
  <c r="CB10" i="7"/>
  <c r="CC10" i="7"/>
  <c r="CD10" i="7"/>
  <c r="CE10" i="7"/>
  <c r="CF10" i="7"/>
  <c r="BV11" i="7"/>
  <c r="BW11" i="7"/>
  <c r="BX11" i="7"/>
  <c r="BY11" i="7"/>
  <c r="BZ11" i="7"/>
  <c r="CA11" i="7"/>
  <c r="CB11" i="7"/>
  <c r="CC11" i="7"/>
  <c r="CD11" i="7"/>
  <c r="CE11" i="7"/>
  <c r="CF11" i="7"/>
  <c r="BV12" i="7"/>
  <c r="BW12" i="7"/>
  <c r="BX12" i="7"/>
  <c r="BY12" i="7"/>
  <c r="BZ12" i="7"/>
  <c r="CA12" i="7"/>
  <c r="CB12" i="7"/>
  <c r="CC12" i="7"/>
  <c r="CD12" i="7"/>
  <c r="CE12" i="7"/>
  <c r="CF12" i="7"/>
  <c r="BV13" i="7"/>
  <c r="BW13" i="7"/>
  <c r="BX13" i="7"/>
  <c r="BY13" i="7"/>
  <c r="BZ13" i="7"/>
  <c r="CA13" i="7"/>
  <c r="CB13" i="7"/>
  <c r="CC13" i="7"/>
  <c r="CD13" i="7"/>
  <c r="CE13" i="7"/>
  <c r="CF13" i="7"/>
  <c r="BV14" i="7"/>
  <c r="BW14" i="7"/>
  <c r="BX14" i="7"/>
  <c r="BY14" i="7"/>
  <c r="BZ14" i="7"/>
  <c r="CA14" i="7"/>
  <c r="CB14" i="7"/>
  <c r="CC14" i="7"/>
  <c r="CD14" i="7"/>
  <c r="CE14" i="7"/>
  <c r="CF14" i="7"/>
  <c r="BV15" i="7"/>
  <c r="BW15" i="7"/>
  <c r="BX15" i="7"/>
  <c r="BY15" i="7"/>
  <c r="BZ15" i="7"/>
  <c r="CA15" i="7"/>
  <c r="CB15" i="7"/>
  <c r="CC15" i="7"/>
  <c r="CD15" i="7"/>
  <c r="CE15" i="7"/>
  <c r="CF15" i="7"/>
  <c r="BV16" i="7"/>
  <c r="BW16" i="7"/>
  <c r="BX16" i="7"/>
  <c r="BY16" i="7"/>
  <c r="BZ16" i="7"/>
  <c r="CA16" i="7"/>
  <c r="CB16" i="7"/>
  <c r="CC16" i="7"/>
  <c r="CD16" i="7"/>
  <c r="CE16" i="7"/>
  <c r="CF16" i="7"/>
  <c r="BV17" i="7"/>
  <c r="BW17" i="7"/>
  <c r="BX17" i="7"/>
  <c r="BY17" i="7"/>
  <c r="BZ17" i="7"/>
  <c r="CA17" i="7"/>
  <c r="CB17" i="7"/>
  <c r="CC17" i="7"/>
  <c r="CD17" i="7"/>
  <c r="CE17" i="7"/>
  <c r="CF17" i="7"/>
  <c r="BV18" i="7"/>
  <c r="BW18" i="7"/>
  <c r="BX18" i="7"/>
  <c r="BY18" i="7"/>
  <c r="BZ18" i="7"/>
  <c r="CA18" i="7"/>
  <c r="CB18" i="7"/>
  <c r="CC18" i="7"/>
  <c r="CD18" i="7"/>
  <c r="CE18" i="7"/>
  <c r="CF18" i="7"/>
  <c r="BV19" i="7"/>
  <c r="BW19" i="7"/>
  <c r="BX19" i="7"/>
  <c r="BY19" i="7"/>
  <c r="BZ19" i="7"/>
  <c r="CA19" i="7"/>
  <c r="CB19" i="7"/>
  <c r="CC19" i="7"/>
  <c r="CD19" i="7"/>
  <c r="CE19" i="7"/>
  <c r="CF19" i="7"/>
  <c r="BV20" i="7"/>
  <c r="BW20" i="7"/>
  <c r="BX20" i="7"/>
  <c r="BY20" i="7"/>
  <c r="BZ20" i="7"/>
  <c r="CA20" i="7"/>
  <c r="CB20" i="7"/>
  <c r="CC20" i="7"/>
  <c r="CD20" i="7"/>
  <c r="CE20" i="7"/>
  <c r="CF20" i="7"/>
  <c r="BV21" i="7"/>
  <c r="BW21" i="7"/>
  <c r="BX21" i="7"/>
  <c r="BY21" i="7"/>
  <c r="BZ21" i="7"/>
  <c r="CA21" i="7"/>
  <c r="CB21" i="7"/>
  <c r="CC21" i="7"/>
  <c r="CD21" i="7"/>
  <c r="CE21" i="7"/>
  <c r="CF21" i="7"/>
  <c r="BV22" i="7"/>
  <c r="BW22" i="7"/>
  <c r="BX22" i="7"/>
  <c r="BY22" i="7"/>
  <c r="BZ22" i="7"/>
  <c r="CA22" i="7"/>
  <c r="CB22" i="7"/>
  <c r="CC22" i="7"/>
  <c r="CD22" i="7"/>
  <c r="CE22" i="7"/>
  <c r="CF22" i="7"/>
  <c r="BV23" i="7"/>
  <c r="BW23" i="7"/>
  <c r="BX23" i="7"/>
  <c r="BY23" i="7"/>
  <c r="BZ23" i="7"/>
  <c r="CA23" i="7"/>
  <c r="CB23" i="7"/>
  <c r="CC23" i="7"/>
  <c r="CD23" i="7"/>
  <c r="CE23" i="7"/>
  <c r="CF23" i="7"/>
  <c r="BV24" i="7"/>
  <c r="BW24" i="7"/>
  <c r="BX24" i="7"/>
  <c r="BY24" i="7"/>
  <c r="BZ24" i="7"/>
  <c r="CA24" i="7"/>
  <c r="CB24" i="7"/>
  <c r="CC24" i="7"/>
  <c r="CD24" i="7"/>
  <c r="CE24" i="7"/>
  <c r="CF24" i="7"/>
  <c r="BV25" i="7"/>
  <c r="BW25" i="7"/>
  <c r="BX25" i="7"/>
  <c r="BY25" i="7"/>
  <c r="BZ25" i="7"/>
  <c r="CA25" i="7"/>
  <c r="CB25" i="7"/>
  <c r="CC25" i="7"/>
  <c r="CD25" i="7"/>
  <c r="CE25" i="7"/>
  <c r="CF25" i="7"/>
  <c r="BV26" i="7"/>
  <c r="BW26" i="7"/>
  <c r="BX26" i="7"/>
  <c r="BY26" i="7"/>
  <c r="BZ26" i="7"/>
  <c r="CA26" i="7"/>
  <c r="CB26" i="7"/>
  <c r="CC26" i="7"/>
  <c r="CD26" i="7"/>
  <c r="CE26" i="7"/>
  <c r="CF26" i="7"/>
  <c r="BV27" i="7"/>
  <c r="BW27" i="7"/>
  <c r="BX27" i="7"/>
  <c r="BY27" i="7"/>
  <c r="BZ27" i="7"/>
  <c r="CA27" i="7"/>
  <c r="CB27" i="7"/>
  <c r="CC27" i="7"/>
  <c r="CD27" i="7"/>
  <c r="CE27" i="7"/>
  <c r="CF27" i="7"/>
  <c r="BV28" i="7"/>
  <c r="BW28" i="7"/>
  <c r="BX28" i="7"/>
  <c r="BY28" i="7"/>
  <c r="BZ28" i="7"/>
  <c r="CA28" i="7"/>
  <c r="CB28" i="7"/>
  <c r="CC28" i="7"/>
  <c r="CD28" i="7"/>
  <c r="CE28" i="7"/>
  <c r="CF28" i="7"/>
  <c r="BV29" i="7"/>
  <c r="BW29" i="7"/>
  <c r="BX29" i="7"/>
  <c r="BY29" i="7"/>
  <c r="BZ29" i="7"/>
  <c r="CA29" i="7"/>
  <c r="CB29" i="7"/>
  <c r="CC29" i="7"/>
  <c r="CD29" i="7"/>
  <c r="CE29" i="7"/>
  <c r="CF29" i="7"/>
  <c r="BU6" i="7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V5" i="3"/>
  <c r="BW5" i="3"/>
  <c r="BX5" i="3"/>
  <c r="BY5" i="3"/>
  <c r="BZ5" i="3"/>
  <c r="CA5" i="3"/>
  <c r="CB5" i="3"/>
  <c r="CC5" i="3"/>
  <c r="CD5" i="3"/>
  <c r="CE5" i="3"/>
  <c r="CF5" i="3"/>
  <c r="BV6" i="3"/>
  <c r="BW6" i="3"/>
  <c r="BX6" i="3"/>
  <c r="BY6" i="3"/>
  <c r="BZ6" i="3"/>
  <c r="CA6" i="3"/>
  <c r="CB6" i="3"/>
  <c r="CC6" i="3"/>
  <c r="CD6" i="3"/>
  <c r="CE6" i="3"/>
  <c r="CF6" i="3"/>
  <c r="BV7" i="3"/>
  <c r="BW7" i="3"/>
  <c r="BX7" i="3"/>
  <c r="BY7" i="3"/>
  <c r="BZ7" i="3"/>
  <c r="CA7" i="3"/>
  <c r="CB7" i="3"/>
  <c r="CC7" i="3"/>
  <c r="CD7" i="3"/>
  <c r="CE7" i="3"/>
  <c r="CF7" i="3"/>
  <c r="BV8" i="3"/>
  <c r="BW8" i="3"/>
  <c r="BX8" i="3"/>
  <c r="BY8" i="3"/>
  <c r="BZ8" i="3"/>
  <c r="CA8" i="3"/>
  <c r="CB8" i="3"/>
  <c r="CC8" i="3"/>
  <c r="CD8" i="3"/>
  <c r="CE8" i="3"/>
  <c r="CF8" i="3"/>
  <c r="BV9" i="3"/>
  <c r="BW9" i="3"/>
  <c r="BX9" i="3"/>
  <c r="BY9" i="3"/>
  <c r="BZ9" i="3"/>
  <c r="CA9" i="3"/>
  <c r="CB9" i="3"/>
  <c r="CC9" i="3"/>
  <c r="CD9" i="3"/>
  <c r="CE9" i="3"/>
  <c r="CF9" i="3"/>
  <c r="BV10" i="3"/>
  <c r="BW10" i="3"/>
  <c r="BX10" i="3"/>
  <c r="BY10" i="3"/>
  <c r="BZ10" i="3"/>
  <c r="CA10" i="3"/>
  <c r="CB10" i="3"/>
  <c r="CC10" i="3"/>
  <c r="CD10" i="3"/>
  <c r="CE10" i="3"/>
  <c r="CF10" i="3"/>
  <c r="BV11" i="3"/>
  <c r="BW11" i="3"/>
  <c r="BX11" i="3"/>
  <c r="BY11" i="3"/>
  <c r="BZ11" i="3"/>
  <c r="CA11" i="3"/>
  <c r="CB11" i="3"/>
  <c r="CC11" i="3"/>
  <c r="CD11" i="3"/>
  <c r="CE11" i="3"/>
  <c r="CF11" i="3"/>
  <c r="BV12" i="3"/>
  <c r="BW12" i="3"/>
  <c r="BX12" i="3"/>
  <c r="BY12" i="3"/>
  <c r="BZ12" i="3"/>
  <c r="CA12" i="3"/>
  <c r="CB12" i="3"/>
  <c r="CC12" i="3"/>
  <c r="CD12" i="3"/>
  <c r="CE12" i="3"/>
  <c r="CF12" i="3"/>
  <c r="BV13" i="3"/>
  <c r="BW13" i="3"/>
  <c r="BX13" i="3"/>
  <c r="BY13" i="3"/>
  <c r="BZ13" i="3"/>
  <c r="CA13" i="3"/>
  <c r="CB13" i="3"/>
  <c r="CC13" i="3"/>
  <c r="CD13" i="3"/>
  <c r="CE13" i="3"/>
  <c r="CF13" i="3"/>
  <c r="BV14" i="3"/>
  <c r="BW14" i="3"/>
  <c r="BX14" i="3"/>
  <c r="BY14" i="3"/>
  <c r="BZ14" i="3"/>
  <c r="CA14" i="3"/>
  <c r="CB14" i="3"/>
  <c r="CC14" i="3"/>
  <c r="CD14" i="3"/>
  <c r="CE14" i="3"/>
  <c r="CF14" i="3"/>
  <c r="BV15" i="3"/>
  <c r="BW15" i="3"/>
  <c r="BX15" i="3"/>
  <c r="BY15" i="3"/>
  <c r="BZ15" i="3"/>
  <c r="CA15" i="3"/>
  <c r="CB15" i="3"/>
  <c r="CC15" i="3"/>
  <c r="CD15" i="3"/>
  <c r="CE15" i="3"/>
  <c r="CF15" i="3"/>
  <c r="BV16" i="3"/>
  <c r="BW16" i="3"/>
  <c r="BX16" i="3"/>
  <c r="BY16" i="3"/>
  <c r="BZ16" i="3"/>
  <c r="CA16" i="3"/>
  <c r="CB16" i="3"/>
  <c r="CC16" i="3"/>
  <c r="CD16" i="3"/>
  <c r="CE16" i="3"/>
  <c r="CF16" i="3"/>
  <c r="BV17" i="3"/>
  <c r="BW17" i="3"/>
  <c r="BX17" i="3"/>
  <c r="BY17" i="3"/>
  <c r="BZ17" i="3"/>
  <c r="CA17" i="3"/>
  <c r="CB17" i="3"/>
  <c r="CC17" i="3"/>
  <c r="CD17" i="3"/>
  <c r="CE17" i="3"/>
  <c r="CF17" i="3"/>
  <c r="BV18" i="3"/>
  <c r="BW18" i="3"/>
  <c r="BX18" i="3"/>
  <c r="BY18" i="3"/>
  <c r="BZ18" i="3"/>
  <c r="CA18" i="3"/>
  <c r="CB18" i="3"/>
  <c r="CC18" i="3"/>
  <c r="CD18" i="3"/>
  <c r="CE18" i="3"/>
  <c r="CF18" i="3"/>
  <c r="BV19" i="3"/>
  <c r="BW19" i="3"/>
  <c r="BX19" i="3"/>
  <c r="BY19" i="3"/>
  <c r="BZ19" i="3"/>
  <c r="CA19" i="3"/>
  <c r="CB19" i="3"/>
  <c r="CC19" i="3"/>
  <c r="CD19" i="3"/>
  <c r="CE19" i="3"/>
  <c r="CF19" i="3"/>
  <c r="BV20" i="3"/>
  <c r="BW20" i="3"/>
  <c r="BX20" i="3"/>
  <c r="BY20" i="3"/>
  <c r="BZ20" i="3"/>
  <c r="CA20" i="3"/>
  <c r="CB20" i="3"/>
  <c r="CC20" i="3"/>
  <c r="CD20" i="3"/>
  <c r="CE20" i="3"/>
  <c r="CF20" i="3"/>
  <c r="BV21" i="3"/>
  <c r="BW21" i="3"/>
  <c r="BX21" i="3"/>
  <c r="BY21" i="3"/>
  <c r="BZ21" i="3"/>
  <c r="CA21" i="3"/>
  <c r="CB21" i="3"/>
  <c r="CC21" i="3"/>
  <c r="CD21" i="3"/>
  <c r="CE21" i="3"/>
  <c r="CF21" i="3"/>
  <c r="BV22" i="3"/>
  <c r="BW22" i="3"/>
  <c r="BX22" i="3"/>
  <c r="BY22" i="3"/>
  <c r="BZ22" i="3"/>
  <c r="CA22" i="3"/>
  <c r="CB22" i="3"/>
  <c r="CC22" i="3"/>
  <c r="CD22" i="3"/>
  <c r="CE22" i="3"/>
  <c r="CF22" i="3"/>
  <c r="BV23" i="3"/>
  <c r="BW23" i="3"/>
  <c r="BX23" i="3"/>
  <c r="BY23" i="3"/>
  <c r="BZ23" i="3"/>
  <c r="CA23" i="3"/>
  <c r="CB23" i="3"/>
  <c r="CC23" i="3"/>
  <c r="CD23" i="3"/>
  <c r="CE23" i="3"/>
  <c r="CF23" i="3"/>
  <c r="BV24" i="3"/>
  <c r="BW24" i="3"/>
  <c r="BX24" i="3"/>
  <c r="BY24" i="3"/>
  <c r="BZ24" i="3"/>
  <c r="CA24" i="3"/>
  <c r="CB24" i="3"/>
  <c r="CC24" i="3"/>
  <c r="CD24" i="3"/>
  <c r="CE24" i="3"/>
  <c r="CF24" i="3"/>
  <c r="BV25" i="3"/>
  <c r="BW25" i="3"/>
  <c r="BX25" i="3"/>
  <c r="BY25" i="3"/>
  <c r="BZ25" i="3"/>
  <c r="CA25" i="3"/>
  <c r="CB25" i="3"/>
  <c r="CC25" i="3"/>
  <c r="CD25" i="3"/>
  <c r="CE25" i="3"/>
  <c r="CF25" i="3"/>
  <c r="BV26" i="3"/>
  <c r="BW26" i="3"/>
  <c r="BX26" i="3"/>
  <c r="BY26" i="3"/>
  <c r="BZ26" i="3"/>
  <c r="CA26" i="3"/>
  <c r="CB26" i="3"/>
  <c r="CC26" i="3"/>
  <c r="CD26" i="3"/>
  <c r="CE26" i="3"/>
  <c r="CF26" i="3"/>
  <c r="BV27" i="3"/>
  <c r="BW27" i="3"/>
  <c r="BX27" i="3"/>
  <c r="BY27" i="3"/>
  <c r="BZ27" i="3"/>
  <c r="CA27" i="3"/>
  <c r="CB27" i="3"/>
  <c r="CC27" i="3"/>
  <c r="CD27" i="3"/>
  <c r="CE27" i="3"/>
  <c r="CF27" i="3"/>
  <c r="BV28" i="3"/>
  <c r="BW28" i="3"/>
  <c r="BX28" i="3"/>
  <c r="BY28" i="3"/>
  <c r="BZ28" i="3"/>
  <c r="CA28" i="3"/>
  <c r="CB28" i="3"/>
  <c r="CC28" i="3"/>
  <c r="CD28" i="3"/>
  <c r="CE28" i="3"/>
  <c r="CF28" i="3"/>
  <c r="BV29" i="3"/>
  <c r="BW29" i="3"/>
  <c r="BX29" i="3"/>
  <c r="BY29" i="3"/>
  <c r="BZ29" i="3"/>
  <c r="CA29" i="3"/>
  <c r="CB29" i="3"/>
  <c r="CC29" i="3"/>
  <c r="CD29" i="3"/>
  <c r="CE29" i="3"/>
  <c r="CF29" i="3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I23" i="7" s="1"/>
  <c r="AK23" i="7"/>
  <c r="AJ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J9" i="6"/>
  <c r="AJ11" i="6" s="1"/>
  <c r="AI9" i="6"/>
  <c r="AI11" i="6" s="1"/>
  <c r="AG9" i="6"/>
  <c r="AG11" i="6" s="1"/>
  <c r="AF9" i="6"/>
  <c r="AE9" i="6"/>
  <c r="O9" i="6"/>
  <c r="N9" i="6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M8" i="6"/>
  <c r="L8" i="6"/>
  <c r="J8" i="6"/>
  <c r="I8" i="6"/>
  <c r="H8" i="6"/>
  <c r="AL7" i="6"/>
  <c r="AK7" i="6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BC34" i="3" s="1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2" i="2" s="1"/>
  <c r="BR5" i="7"/>
  <c r="BS25" i="7"/>
  <c r="BR20" i="7"/>
  <c r="BK20" i="7"/>
  <c r="BL20" i="7"/>
  <c r="BP15" i="7"/>
  <c r="BK25" i="7"/>
  <c r="BO25" i="7"/>
  <c r="BM5" i="7"/>
  <c r="BL10" i="7"/>
  <c r="BL25" i="3"/>
  <c r="BL5" i="3"/>
  <c r="BM15" i="3"/>
  <c r="BR20" i="3"/>
  <c r="BR5" i="3"/>
  <c r="BS20" i="3"/>
  <c r="BR15" i="3"/>
  <c r="BR25" i="3"/>
  <c r="BK10" i="3"/>
  <c r="BK5" i="3"/>
  <c r="BS5" i="7"/>
  <c r="BQ10" i="7"/>
  <c r="BQ5" i="7"/>
  <c r="BP5" i="7"/>
  <c r="BK5" i="7"/>
  <c r="BP25" i="7"/>
  <c r="BJ25" i="7"/>
  <c r="BP10" i="7"/>
  <c r="BR15" i="7"/>
  <c r="BS15" i="7"/>
  <c r="BK10" i="7"/>
  <c r="BS5" i="3"/>
  <c r="BP15" i="3"/>
  <c r="BQ10" i="3"/>
  <c r="BQ25" i="3"/>
  <c r="BO20" i="3"/>
  <c r="BQ15" i="3"/>
  <c r="BS10" i="3"/>
  <c r="BR10" i="3"/>
  <c r="BM10" i="3"/>
  <c r="BM25" i="3"/>
  <c r="BM20" i="7"/>
  <c r="BL5" i="7"/>
  <c r="BO15" i="7"/>
  <c r="BS20" i="7"/>
  <c r="BM25" i="7"/>
  <c r="BR25" i="7"/>
  <c r="BL25" i="7"/>
  <c r="BP20" i="7"/>
  <c r="BQ25" i="7"/>
  <c r="BO5" i="7"/>
  <c r="BO10" i="3"/>
  <c r="BL10" i="3"/>
  <c r="BP25" i="3"/>
  <c r="BP5" i="3"/>
  <c r="BO5" i="3"/>
  <c r="BL20" i="3"/>
  <c r="BO25" i="3"/>
  <c r="BJ15" i="3"/>
  <c r="BK20" i="3"/>
  <c r="BQ20" i="3"/>
  <c r="BP20" i="3"/>
  <c r="BM10" i="7"/>
  <c r="BR10" i="7"/>
  <c r="BQ20" i="7"/>
  <c r="BL15" i="7"/>
  <c r="BO10" i="7"/>
  <c r="BK15" i="7"/>
  <c r="BO20" i="7"/>
  <c r="BS10" i="7"/>
  <c r="BQ15" i="7"/>
  <c r="BM15" i="7"/>
  <c r="BQ5" i="3"/>
  <c r="BL15" i="3"/>
  <c r="BO15" i="3"/>
  <c r="BS15" i="3"/>
  <c r="BS25" i="3"/>
  <c r="BK25" i="3"/>
  <c r="BM5" i="3"/>
  <c r="BK15" i="3"/>
  <c r="BM20" i="3"/>
  <c r="BP10" i="3"/>
  <c r="BE9" i="6" l="1"/>
  <c r="BF7" i="6" a="1"/>
  <c r="BF8" i="6" a="1"/>
  <c r="BG5" i="7" a="1"/>
  <c r="BG10" i="3" a="1"/>
  <c r="BG10" i="3" s="1"/>
  <c r="BF7" i="5" a="1"/>
  <c r="BF9" i="6" a="1"/>
  <c r="BG10" i="7" a="1"/>
  <c r="BE8" i="6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10" i="7"/>
  <c r="BI25" i="7"/>
  <c r="BJ20" i="3"/>
  <c r="BJ5" i="3"/>
  <c r="BI20" i="7"/>
  <c r="BJ20" i="7"/>
  <c r="BJ5" i="7"/>
  <c r="BI10" i="3"/>
  <c r="BI20" i="3"/>
  <c r="BJ10" i="7"/>
  <c r="BI15" i="7"/>
  <c r="BI15" i="3"/>
  <c r="BI25" i="3"/>
  <c r="BJ25" i="3"/>
  <c r="BI5" i="7"/>
  <c r="BJ15" i="7"/>
  <c r="BI5" i="3"/>
  <c r="BJ10" i="3"/>
  <c r="AH10" i="5" l="1"/>
  <c r="AH12" i="6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<sst xmlns="http://schemas.openxmlformats.org/spreadsheetml/2006/main" count="1448" uniqueCount="553">
  <si>
    <t>Reference:</t>
  </si>
  <si>
    <t>Tested: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</si>
  <si>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</si>
  <si>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</si>
  <si>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</si>
  <si>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</si>
  <si>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</si>
  <si>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</si>
  <si>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</si>
  <si>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</si>
  <si>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</si>
  <si>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</si>
  <si>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</si>
  <si>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</si>
  <si>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</si>
  <si>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</si>
  <si>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</si>
  <si>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</si>
  <si>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</si>
  <si>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</si>
  <si>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</si>
  <si>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</si>
  <si>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</si>
  <si>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</si>
  <si>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</si>
  <si>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</si>
  <si>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</si>
  <si>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</si>
  <si>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</si>
  <si>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</si>
  <si>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</si>
  <si>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</si>
  <si>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</si>
  <si>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</si>
  <si>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</si>
  <si>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</si>
  <si>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</si>
  <si>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</si>
  <si>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</si>
  <si>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</si>
  <si>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</si>
  <si>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</si>
  <si>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</si>
  <si>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</si>
  <si>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</si>
  <si>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</si>
  <si>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</si>
  <si>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</si>
  <si>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</si>
  <si>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</si>
  <si>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</si>
  <si>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</si>
  <si>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</si>
  <si>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</si>
  <si>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</si>
  <si>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</si>
  <si>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</si>
  <si>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</si>
  <si>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</si>
  <si>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</si>
  <si>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</si>
  <si>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</si>
  <si>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</si>
  <si>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</si>
  <si>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</si>
  <si>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</si>
  <si>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</si>
  <si>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</si>
  <si>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</si>
  <si>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</si>
  <si>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</si>
  <si>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</si>
  <si>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</si>
  <si>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</si>
  <si>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</si>
  <si>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</si>
  <si>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</si>
  <si>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</si>
  <si>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</si>
  <si>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</si>
  <si>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</si>
  <si>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</si>
  <si>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</si>
  <si>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</si>
  <si>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</si>
  <si>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</si>
  <si>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</si>
  <si>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</si>
  <si>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</si>
  <si>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</si>
  <si>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</si>
  <si>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</si>
  <si>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</si>
  <si>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</si>
  <si>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</si>
  <si>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</si>
  <si>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</si>
  <si>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</si>
  <si>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</si>
  <si>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</si>
  <si>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</si>
  <si>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</si>
  <si>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</si>
  <si>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</si>
  <si>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</si>
  <si>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</si>
  <si>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</si>
  <si>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</si>
  <si>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</si>
  <si>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</si>
  <si>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</si>
  <si>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</si>
  <si>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</si>
  <si>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</si>
  <si>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</si>
  <si>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</si>
  <si>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</si>
  <si>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</si>
  <si>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</si>
  <si>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</si>
  <si>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</si>
  <si>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</si>
  <si>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</si>
  <si>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</si>
  <si>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</si>
  <si>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</si>
  <si>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</si>
  <si>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</si>
  <si>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</si>
  <si>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</si>
  <si>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</si>
  <si>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</si>
  <si>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</si>
  <si>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</si>
  <si>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</si>
  <si>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</si>
  <si>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</si>
  <si>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</si>
  <si>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</si>
  <si>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</si>
  <si>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</si>
  <si>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</si>
  <si>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</si>
  <si>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</si>
  <si>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</si>
  <si>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</si>
  <si>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</si>
  <si>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</si>
  <si>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</si>
  <si>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</si>
  <si>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</si>
  <si>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</si>
  <si>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</si>
  <si>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</si>
  <si>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</si>
  <si>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</si>
  <si>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</si>
  <si>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</si>
  <si>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</si>
  <si>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</si>
  <si>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</si>
  <si>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</si>
  <si>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</si>
  <si>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</si>
  <si>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</si>
  <si>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</si>
  <si>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</si>
  <si>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</si>
  <si>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</si>
  <si>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</si>
  <si>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</si>
  <si>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</si>
  <si>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</si>
  <si>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</si>
  <si>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</si>
  <si>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</si>
  <si>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</si>
  <si>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</si>
  <si>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</si>
  <si>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</si>
  <si>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</si>
  <si>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</si>
  <si>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</si>
  <si>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</si>
  <si>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</si>
  <si>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</si>
  <si>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</si>
  <si>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</si>
  <si>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</si>
  <si>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</si>
  <si>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</si>
  <si>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</si>
  <si>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</si>
  <si>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</si>
  <si>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</si>
  <si>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</si>
  <si>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</si>
  <si>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</si>
  <si>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</si>
  <si>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</si>
  <si>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</si>
  <si>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</si>
  <si>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</si>
  <si>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</si>
  <si>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</si>
  <si>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</si>
  <si>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</si>
  <si>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</si>
  <si>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</si>
  <si>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</si>
  <si>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</si>
  <si>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</si>
  <si>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</si>
  <si>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</si>
  <si>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</si>
  <si>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</si>
  <si>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</si>
  <si>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</si>
  <si>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</si>
  <si>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</si>
  <si>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</si>
  <si>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</si>
  <si>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</si>
  <si>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</si>
  <si>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</si>
  <si>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</si>
  <si>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</si>
  <si>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</si>
  <si>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</si>
  <si>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</si>
  <si>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</si>
  <si>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</si>
  <si>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</si>
  <si>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</si>
  <si>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</si>
  <si>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</si>
  <si>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</si>
  <si>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</si>
  <si>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</si>
  <si>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</si>
  <si>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</si>
  <si>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</si>
  <si>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</si>
  <si>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</si>
  <si>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</si>
  <si>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</si>
  <si>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</si>
  <si>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</si>
  <si>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</si>
  <si>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</si>
  <si>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</si>
  <si>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</si>
  <si>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</si>
  <si>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</si>
  <si>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</si>
  <si>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</si>
  <si>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</si>
  <si>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</si>
  <si>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</si>
  <si>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</si>
  <si>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</si>
  <si>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</si>
  <si>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</si>
  <si>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</si>
  <si>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</si>
  <si>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</si>
  <si>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</si>
  <si>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</si>
  <si>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</si>
  <si>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</si>
  <si>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</si>
  <si>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</si>
  <si>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</si>
  <si>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</si>
  <si>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</si>
  <si>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</si>
  <si>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</si>
  <si>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</si>
  <si>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</si>
  <si>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</si>
  <si>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</si>
  <si>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</si>
  <si>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</si>
  <si>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</si>
  <si>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</si>
  <si>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</si>
  <si>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</si>
  <si>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</si>
  <si>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</si>
  <si>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</si>
  <si>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</si>
  <si>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</si>
  <si>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</si>
  <si>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</si>
  <si>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</si>
  <si>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</si>
  <si>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</si>
  <si>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</si>
  <si>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</si>
  <si>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</si>
  <si>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</si>
  <si>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</si>
  <si>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</si>
  <si>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</si>
  <si>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</si>
  <si>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</si>
  <si>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</si>
  <si>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</si>
  <si>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</si>
  <si>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</si>
  <si>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</si>
  <si>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</si>
  <si>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</si>
  <si>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</si>
  <si>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</si>
  <si>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</si>
  <si>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</si>
  <si>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</si>
  <si>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</si>
  <si>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</si>
  <si>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</si>
  <si>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</si>
  <si>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</si>
  <si>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</si>
  <si>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</si>
  <si>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</si>
  <si>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</si>
  <si>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</si>
  <si>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</si>
  <si>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</si>
  <si>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</si>
  <si>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</si>
  <si>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</si>
  <si>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</si>
  <si>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</si>
  <si>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</si>
  <si>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</si>
  <si>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</si>
  <si>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</si>
  <si>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</si>
  <si>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</si>
  <si>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</si>
  <si>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</si>
  <si>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</si>
  <si>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</si>
  <si>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</si>
  <si>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</si>
  <si>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</si>
  <si>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</si>
  <si>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</si>
  <si>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</si>
  <si>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</si>
  <si>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</si>
  <si>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</si>
  <si>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</si>
  <si>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</si>
  <si>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</si>
  <si>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</si>
  <si>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</si>
  <si>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</si>
  <si>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</si>
  <si>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</si>
  <si>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</si>
  <si>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</si>
  <si>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</si>
  <si>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</si>
  <si>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</si>
  <si>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</si>
  <si>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</si>
  <si>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</si>
  <si>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</si>
  <si>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</si>
  <si>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</si>
  <si>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</si>
  <si>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</si>
  <si>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</si>
  <si>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</si>
  <si>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</si>
  <si>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</si>
  <si>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</si>
  <si>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</si>
  <si>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</si>
  <si>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</si>
  <si>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</si>
  <si>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</si>
  <si>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</si>
  <si>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</si>
  <si>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</si>
  <si>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</si>
  <si>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</si>
  <si>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</si>
  <si>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</si>
  <si>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</si>
  <si>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</si>
  <si>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</si>
  <si>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</si>
  <si>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</si>
  <si>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</si>
  <si>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</si>
  <si>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</si>
  <si>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</si>
  <si>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</si>
  <si>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</si>
  <si>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</si>
  <si>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</si>
  <si>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</si>
  <si>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</si>
  <si>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</si>
  <si>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</si>
  <si>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</si>
  <si>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</si>
  <si>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</si>
  <si>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</si>
  <si>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</si>
  <si>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</si>
  <si>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</si>
  <si>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</si>
  <si>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</si>
  <si>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</si>
  <si>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</si>
  <si>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</si>
  <si>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</si>
  <si>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</si>
  <si>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</si>
  <si>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</si>
  <si>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</si>
  <si>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</si>
  <si>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</si>
  <si>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</si>
  <si>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</si>
  <si>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</si>
  <si>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</si>
  <si>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</si>
  <si>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</si>
  <si>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</si>
  <si>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</si>
  <si>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</si>
  <si>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</si>
  <si>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</si>
  <si>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</si>
  <si>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</si>
  <si>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</si>
  <si>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</si>
  <si>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</si>
  <si>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</si>
  <si>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</si>
  <si>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</si>
  <si>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</si>
  <si>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</si>
  <si>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</si>
  <si>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</si>
  <si>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</si>
  <si>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</si>
  <si>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</si>
  <si>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</si>
  <si>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</si>
  <si>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</si>
  <si>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</si>
  <si>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</si>
  <si>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</si>
  <si>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</si>
  <si>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</si>
  <si>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</si>
  <si>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</si>
  <si>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</si>
  <si>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</si>
  <si>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</si>
  <si>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</si>
  <si>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</si>
  <si>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</si>
  <si>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</si>
  <si>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</si>
  <si>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</si>
  <si>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</si>
  <si>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</si>
  <si>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</si>
  <si>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</si>
  <si>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</si>
  <si>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</si>
  <si>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</si>
  <si>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</si>
  <si>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</si>
  <si>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</si>
  <si>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</si>
  <si>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</si>
  <si>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</si>
  <si>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</si>
  <si>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</si>
  <si>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</si>
  <si>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</si>
  <si>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</si>
  <si>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</si>
  <si>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</si>
  <si>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</si>
  <si>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</si>
  <si>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</si>
  <si>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</si>
  <si>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</si>
  <si>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</si>
  <si>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</si>
  <si>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</si>
  <si>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</si>
  <si>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</si>
  <si>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</si>
  <si>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</si>
  <si>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</si>
  <si>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</si>
  <si>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</si>
  <si>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</si>
  <si>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</si>
  <si>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</si>
  <si>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</si>
  <si>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</si>
  <si>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</si>
  <si>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</si>
  <si>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</si>
  <si>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</si>
  <si>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</si>
  <si>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</si>
  <si>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</si>
  <si>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</si>
  <si>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</si>
  <si>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</si>
  <si>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</si>
  <si>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</si>
  <si>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</si>
  <si>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</si>
  <si>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</si>
  <si>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</si>
  <si>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</si>
  <si>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</si>
  <si>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</si>
  <si>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</si>
  <si>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</si>
  <si>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</si>
  <si>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</si>
  <si>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</si>
  <si>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</si>
  <si>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</si>
  <si>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</si>
  <si>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</si>
  <si>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</si>
  <si>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</si>
  <si>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</si>
  <si>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</si>
  <si>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</si>
  <si>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</si>
  <si>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</si>
  <si>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inf</t>
  </si>
  <si>
    <t>sony xcheck of TMCv5 RC10</t>
  </si>
  <si>
    <t>huawei RC12.0 (sony xcheck)</t>
  </si>
  <si>
    <t>apple RC10.0 (sony xcheck)</t>
  </si>
  <si>
    <t>apple RC10.0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</si>
</sst>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0"/>
    <numFmt numFmtId="166" formatCode="[&gt;1000]0;[&gt;100]0.0;0.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Menlo"/>
      <family val="2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Font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</cellXfs>
  <cellStyles count="1">
    <cellStyle name="Normal" xfId="0" builtinId="0"/>
  </cellStyles>
  <dxfs count="108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07"/>
      <tableStyleElement type="headerRow" dxfId="10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apple RC10.0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66.371644000000003</c:v>
                </c:pt>
                <c:pt idx="1">
                  <c:v>68.215000000000003</c:v>
                </c:pt>
                <c:pt idx="2">
                  <c:v>69.662350000000004</c:v>
                </c:pt>
                <c:pt idx="3">
                  <c:v>70.744480999999993</c:v>
                </c:pt>
                <c:pt idx="4">
                  <c:v>72.154668999999998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huawei RC12.0 (sony xcheck)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66.315199999999905</c:v>
                </c:pt>
                <c:pt idx="1">
                  <c:v>68.236996875000003</c:v>
                </c:pt>
                <c:pt idx="2">
                  <c:v>69.661175</c:v>
                </c:pt>
                <c:pt idx="3">
                  <c:v>70.739718749999994</c:v>
                </c:pt>
                <c:pt idx="4">
                  <c:v>72.1473625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150360"/>
        <c:axId val="318149968"/>
      </c:scatterChart>
      <c:valAx>
        <c:axId val="318150360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18149968"/>
        <c:crosses val="autoZero"/>
        <c:crossBetween val="midCat"/>
      </c:valAx>
      <c:valAx>
        <c:axId val="318149968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1815036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apple RC10.0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68.420603</c:v>
                </c:pt>
                <c:pt idx="1">
                  <c:v>70.375452999999993</c:v>
                </c:pt>
                <c:pt idx="2">
                  <c:v>72.048124999999999</c:v>
                </c:pt>
                <c:pt idx="3">
                  <c:v>73.282552999999993</c:v>
                </c:pt>
                <c:pt idx="4">
                  <c:v>75.331331000000006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huawei RC12.0 (sony xcheck)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68.412687500000004</c:v>
                </c:pt>
                <c:pt idx="1">
                  <c:v>70.346675000000005</c:v>
                </c:pt>
                <c:pt idx="2">
                  <c:v>72.030415624999904</c:v>
                </c:pt>
                <c:pt idx="3">
                  <c:v>73.278437499999995</c:v>
                </c:pt>
                <c:pt idx="4">
                  <c:v>75.316325000000006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151928"/>
        <c:axId val="318152320"/>
      </c:scatterChart>
      <c:valAx>
        <c:axId val="318151928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18152320"/>
        <c:crosses val="autoZero"/>
        <c:crossBetween val="midCat"/>
      </c:valAx>
      <c:valAx>
        <c:axId val="318152320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1815192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apple RC10.0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32.184649999999998</c:v>
                </c:pt>
                <c:pt idx="1">
                  <c:v>34.464137999999998</c:v>
                </c:pt>
                <c:pt idx="2">
                  <c:v>36.995455999999997</c:v>
                </c:pt>
                <c:pt idx="3">
                  <c:v>39.626049999999999</c:v>
                </c:pt>
                <c:pt idx="4">
                  <c:v>42.078766000000002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huawei RC12.0 (sony xcheck)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32.179003125000001</c:v>
                </c:pt>
                <c:pt idx="1">
                  <c:v>34.471631249999902</c:v>
                </c:pt>
                <c:pt idx="2">
                  <c:v>37.006359374999903</c:v>
                </c:pt>
                <c:pt idx="3">
                  <c:v>39.627543749999901</c:v>
                </c:pt>
                <c:pt idx="4">
                  <c:v>42.067243750000003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153104"/>
        <c:axId val="318153496"/>
      </c:scatterChart>
      <c:valAx>
        <c:axId val="318153104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18153496"/>
        <c:crosses val="autoZero"/>
        <c:crossBetween val="midCat"/>
      </c:valAx>
      <c:valAx>
        <c:axId val="318153496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1815310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apple RC10.0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44.177241000000002</c:v>
                </c:pt>
                <c:pt idx="1">
                  <c:v>45.467291000000003</c:v>
                </c:pt>
                <c:pt idx="2">
                  <c:v>46.536053000000003</c:v>
                </c:pt>
                <c:pt idx="3">
                  <c:v>47.861049999999999</c:v>
                </c:pt>
                <c:pt idx="4">
                  <c:v>49.430463000000003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huawei RC12.0 (sony xcheck)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44.135365624999999</c:v>
                </c:pt>
                <c:pt idx="1">
                  <c:v>45.462893749999999</c:v>
                </c:pt>
                <c:pt idx="2">
                  <c:v>46.569612499999899</c:v>
                </c:pt>
                <c:pt idx="3">
                  <c:v>47.914721874999998</c:v>
                </c:pt>
                <c:pt idx="4">
                  <c:v>49.445281250000001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659344"/>
        <c:axId val="383659736"/>
      </c:scatterChart>
      <c:valAx>
        <c:axId val="383659344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83659736"/>
        <c:crosses val="autoZero"/>
        <c:crossBetween val="midCat"/>
      </c:valAx>
      <c:valAx>
        <c:axId val="383659736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8365934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apple RC10.0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43.846359</c:v>
                </c:pt>
                <c:pt idx="1">
                  <c:v>45.275644</c:v>
                </c:pt>
                <c:pt idx="2">
                  <c:v>46.490108999999997</c:v>
                </c:pt>
                <c:pt idx="3">
                  <c:v>47.983438</c:v>
                </c:pt>
                <c:pt idx="4">
                  <c:v>49.625230999999999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huawei RC12.0 (sony xcheck)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43.688628125000001</c:v>
                </c:pt>
                <c:pt idx="1">
                  <c:v>45.183921875000003</c:v>
                </c:pt>
                <c:pt idx="2">
                  <c:v>46.45190625</c:v>
                </c:pt>
                <c:pt idx="3">
                  <c:v>47.9543156249999</c:v>
                </c:pt>
                <c:pt idx="4">
                  <c:v>49.630746875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660520"/>
        <c:axId val="383660912"/>
      </c:scatterChart>
      <c:valAx>
        <c:axId val="383660520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83660912"/>
        <c:crosses val="autoZero"/>
        <c:crossBetween val="midCat"/>
      </c:valAx>
      <c:valAx>
        <c:axId val="38366091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8366052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apple RC10.0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9.661044126900846E-2</c:v>
                </c:pt>
                <c:pt idx="1">
                  <c:v>0.14940350318079695</c:v>
                </c:pt>
                <c:pt idx="2">
                  <c:v>0.24418830042419304</c:v>
                </c:pt>
                <c:pt idx="3">
                  <c:v>0.42442426179004683</c:v>
                </c:pt>
                <c:pt idx="4">
                  <c:v>0.7690550293316375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huawei RC12.0 (sony xcheck)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9.6573588703983818E-2</c:v>
                </c:pt>
                <c:pt idx="1">
                  <c:v>0.1496569847367491</c:v>
                </c:pt>
                <c:pt idx="2">
                  <c:v>0.24443216826753009</c:v>
                </c:pt>
                <c:pt idx="3">
                  <c:v>0.42491776570428996</c:v>
                </c:pt>
                <c:pt idx="4">
                  <c:v>0.76938830470229513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662088"/>
        <c:axId val="383662480"/>
      </c:scatterChart>
      <c:valAx>
        <c:axId val="383662088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83662480"/>
        <c:crosses val="autoZero"/>
        <c:crossBetween val="midCat"/>
      </c:valAx>
      <c:valAx>
        <c:axId val="383662480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38366208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44"/>
  <sheetViews>
    <sheetView workbookViewId="0">
      <selection activeCell="H22" sqref="H22"/>
    </sheetView>
  </sheetViews>
  <sheetFormatPr defaultColWidth="8.85546875" defaultRowHeight="15"/>
  <cols>
    <col min="2" max="2" width="16.7109375" customWidth="1"/>
    <col min="3" max="12" width="24.7109375" customWidth="1"/>
  </cols>
  <sheetData>
    <row r="1" spans="2:12">
      <c r="B1" t="s">
        <v>0</v>
      </c>
      <c r="C1" s="62" t="s">
        <v>549</v>
      </c>
      <c r="D1" s="62"/>
      <c r="E1" s="62"/>
    </row>
    <row r="2" spans="2:12">
      <c r="B2" t="s">
        <v>1</v>
      </c>
      <c r="C2" s="63" t="s">
        <v>2</v>
      </c>
      <c r="D2" s="63"/>
      <c r="E2" s="63"/>
    </row>
    <row r="4" spans="2:12" s="1" customFormat="1">
      <c r="B4" s="1" t="s">
        <v>295</v>
      </c>
    </row>
    <row r="6" spans="2:12">
      <c r="B6" s="64" t="s">
        <v>296</v>
      </c>
      <c r="C6" s="65" t="s">
        <v>297</v>
      </c>
      <c r="D6" s="65"/>
      <c r="E6" s="65"/>
      <c r="F6" s="65"/>
      <c r="G6" s="65"/>
      <c r="H6" s="65"/>
      <c r="I6" s="65"/>
      <c r="J6" s="65"/>
      <c r="K6" s="65"/>
      <c r="L6" s="65"/>
    </row>
    <row r="7" spans="2:12">
      <c r="B7" s="64"/>
      <c r="C7" s="66" t="s">
        <v>236</v>
      </c>
      <c r="D7" s="66"/>
      <c r="E7" s="67" t="s">
        <v>241</v>
      </c>
      <c r="F7" s="67"/>
      <c r="G7" s="67"/>
      <c r="H7" s="66" t="s">
        <v>248</v>
      </c>
      <c r="I7" s="66"/>
      <c r="J7" s="67" t="s">
        <v>253</v>
      </c>
      <c r="K7" s="67"/>
      <c r="L7" s="67"/>
    </row>
    <row r="8" spans="2:12">
      <c r="B8" s="64"/>
      <c r="C8" s="2" t="s">
        <v>153</v>
      </c>
      <c r="D8" s="2" t="s">
        <v>156</v>
      </c>
      <c r="E8" s="3" t="s">
        <v>160</v>
      </c>
      <c r="F8" s="3" t="s">
        <v>163</v>
      </c>
      <c r="G8" s="3" t="s">
        <v>166</v>
      </c>
      <c r="H8" s="2" t="s">
        <v>153</v>
      </c>
      <c r="I8" s="2" t="s">
        <v>156</v>
      </c>
      <c r="J8" s="3" t="s">
        <v>160</v>
      </c>
      <c r="K8" s="3" t="s">
        <v>163</v>
      </c>
      <c r="L8" s="3" t="s">
        <v>166</v>
      </c>
    </row>
    <row r="9" spans="2:12">
      <c r="B9" s="4" t="s">
        <v>287</v>
      </c>
      <c r="C9" s="5">
        <f>'C2 lossyG,lossyA,intra'!$BI$30:$BI$30</f>
        <v>1.0810867869406882E-3</v>
      </c>
      <c r="D9" s="5">
        <f>'C2 lossyG,lossyA,intra'!$BJ$30:$BJ$30</f>
        <v>1.4873848859455752E-3</v>
      </c>
      <c r="E9" s="5">
        <f>'C2 lossyG,lossyA,intra'!$BK$30:$BK$30</f>
        <v>9.3222924583369338E-4</v>
      </c>
      <c r="F9" s="5">
        <f>'C2 lossyG,lossyA,intra'!$BL$30:$BL$30</f>
        <v>-3.631133574586165E-4</v>
      </c>
      <c r="G9" s="5">
        <f>'C2 lossyG,lossyA,intra'!$BM$30:$BM$30</f>
        <v>5.8700384272558637E-3</v>
      </c>
      <c r="H9" s="5">
        <f>'C2 lossyG,lossyA,intra'!$BO$30:$BO$30</f>
        <v>8.4089885456495317E-6</v>
      </c>
      <c r="I9" s="5">
        <f>'C2 lossyG,lossyA,intra'!$BP$30:$BP$30</f>
        <v>1.0719421180979405E-3</v>
      </c>
      <c r="J9" s="5">
        <f>'C2 lossyG,lossyA,intra'!$BQ$30:$BQ$30</f>
        <v>1.2066041315578202E-3</v>
      </c>
      <c r="K9" s="5">
        <f>'C2 lossyG,lossyA,intra'!$BR$30:$BR$30</f>
        <v>4.5148592898419659E-5</v>
      </c>
      <c r="L9" s="5">
        <f>'C2 lossyG,lossyA,intra'!$BS$30:$BS$30</f>
        <v>3.7543967945426471E-3</v>
      </c>
    </row>
    <row r="10" spans="2:12">
      <c r="B10" s="4" t="s">
        <v>288</v>
      </c>
      <c r="C10" s="5">
        <f>'C2 lossyG,lossyA,intra'!$BI$31:$BI$31</f>
        <v>2.5672484670797857E-3</v>
      </c>
      <c r="D10" s="5">
        <f>'C2 lossyG,lossyA,intra'!$BJ$31:$BJ$31</f>
        <v>2.7909797072682707E-3</v>
      </c>
      <c r="E10" s="5">
        <f>'C2 lossyG,lossyA,intra'!$BK$31:$BK$31</f>
        <v>5.7794080580175766E-4</v>
      </c>
      <c r="F10" s="5">
        <f>'C2 lossyG,lossyA,intra'!$BL$31:$BL$31</f>
        <v>1.15019867562971E-3</v>
      </c>
      <c r="G10" s="5">
        <f>'C2 lossyG,lossyA,intra'!$BM$31:$BM$31</f>
        <v>-1.247163428050313E-3</v>
      </c>
      <c r="H10" s="5">
        <f>'C2 lossyG,lossyA,intra'!$BO$31:$BO$31</f>
        <v>1.0021599397473935E-3</v>
      </c>
      <c r="I10" s="5">
        <f>'C2 lossyG,lossyA,intra'!$BP$31:$BP$31</f>
        <v>1.6968117439279951E-3</v>
      </c>
      <c r="J10" s="5">
        <f>'C2 lossyG,lossyA,intra'!$BQ$31:$BQ$31</f>
        <v>1.0383176178681008E-3</v>
      </c>
      <c r="K10" s="5">
        <f>'C2 lossyG,lossyA,intra'!$BR$31:$BR$31</f>
        <v>1.2964101379173698E-3</v>
      </c>
      <c r="L10" s="5">
        <f>'C2 lossyG,lossyA,intra'!$BS$31:$BS$31</f>
        <v>-7.2192856625385993E-4</v>
      </c>
    </row>
    <row r="11" spans="2:12">
      <c r="B11" s="6" t="s">
        <v>289</v>
      </c>
      <c r="C11" s="7">
        <f>'C2 lossyG,lossyA,intra'!$BI$32:$BI$32</f>
        <v>1.3783191229685076E-3</v>
      </c>
      <c r="D11" s="7">
        <f>'C2 lossyG,lossyA,intra'!$BJ$32:$BJ$32</f>
        <v>1.7481038502101143E-3</v>
      </c>
      <c r="E11" s="7">
        <f>'C2 lossyG,lossyA,intra'!$BK$32:$BK$32</f>
        <v>8.6137155782730626E-4</v>
      </c>
      <c r="F11" s="7">
        <f>'C2 lossyG,lossyA,intra'!$BL$32:$BL$32</f>
        <v>-6.0450950840951201E-5</v>
      </c>
      <c r="G11" s="7">
        <f>'C2 lossyG,lossyA,intra'!$BM$32:$BM$32</f>
        <v>4.4465980561946283E-3</v>
      </c>
      <c r="H11" s="7">
        <f>'C2 lossyG,lossyA,intra'!$BO$32:$BO$32</f>
        <v>2.0715917878599832E-4</v>
      </c>
      <c r="I11" s="7">
        <f>'C2 lossyG,lossyA,intra'!$BP$32:$BP$32</f>
        <v>1.1969160432639514E-3</v>
      </c>
      <c r="J11" s="7">
        <f>'C2 lossyG,lossyA,intra'!$BQ$32:$BQ$32</f>
        <v>1.1729468288198762E-3</v>
      </c>
      <c r="K11" s="7">
        <f>'C2 lossyG,lossyA,intra'!$BR$32:$BR$32</f>
        <v>2.9540090190220968E-4</v>
      </c>
      <c r="L11" s="7">
        <f>'C2 lossyG,lossyA,intra'!$BS$32:$BS$32</f>
        <v>2.8591317223833458E-3</v>
      </c>
    </row>
    <row r="12" spans="2:12">
      <c r="B12" t="s">
        <v>298</v>
      </c>
      <c r="C12" s="68">
        <f>'C2 lossyG,lossyA,intra'!AZ36</f>
        <v>1.6258629884644624</v>
      </c>
      <c r="D12" s="68"/>
      <c r="E12" s="68"/>
      <c r="F12" s="68"/>
      <c r="G12" s="68"/>
      <c r="H12" s="68"/>
      <c r="I12" s="68"/>
      <c r="J12" s="68"/>
      <c r="K12" s="68"/>
      <c r="L12" s="68"/>
    </row>
    <row r="13" spans="2:12">
      <c r="B13" s="9" t="s">
        <v>299</v>
      </c>
      <c r="C13" s="69">
        <f>'C2 lossyG,lossyA,intra'!BB36</f>
        <v>0.73659443735946017</v>
      </c>
      <c r="D13" s="69"/>
      <c r="E13" s="69"/>
      <c r="F13" s="69"/>
      <c r="G13" s="69"/>
      <c r="H13" s="69"/>
      <c r="I13" s="69"/>
      <c r="J13" s="69"/>
      <c r="K13" s="69"/>
      <c r="L13" s="69"/>
    </row>
    <row r="15" spans="2:12">
      <c r="B15" s="64" t="s">
        <v>380</v>
      </c>
      <c r="C15" s="65" t="s">
        <v>381</v>
      </c>
      <c r="D15" s="65"/>
      <c r="E15" s="65"/>
    </row>
    <row r="16" spans="2:12">
      <c r="B16" s="64"/>
      <c r="C16" s="66" t="s">
        <v>356</v>
      </c>
      <c r="D16" s="66"/>
      <c r="E16" s="66"/>
    </row>
    <row r="17" spans="2:5">
      <c r="B17" s="64"/>
      <c r="C17" s="2" t="s">
        <v>123</v>
      </c>
      <c r="D17" s="2" t="s">
        <v>117</v>
      </c>
      <c r="E17" s="2" t="s">
        <v>149</v>
      </c>
    </row>
    <row r="18" spans="2:5">
      <c r="B18" s="4" t="s">
        <v>287</v>
      </c>
      <c r="C18" s="5">
        <f>'CW losslG,losslA,intra'!BC10</f>
        <v>1.0031426671134558</v>
      </c>
      <c r="D18" s="5">
        <f>'CW losslG,losslA,intra'!BB10</f>
        <v>1.0039939194083611</v>
      </c>
      <c r="E18" s="5">
        <f>'CW losslG,losslA,intra'!BD10</f>
        <v>1.0041824020747463</v>
      </c>
    </row>
    <row r="19" spans="2:5">
      <c r="B19" s="4" t="s">
        <v>288</v>
      </c>
      <c r="C19" s="5">
        <f>'CW losslG,losslA,intra'!BC11</f>
        <v>0.99925424173728428</v>
      </c>
      <c r="D19" s="5">
        <f>'CW losslG,losslA,intra'!BB11</f>
        <v>0.9996400938014941</v>
      </c>
      <c r="E19" s="5">
        <f>'CW losslG,losslA,intra'!BD11</f>
        <v>0.99966981502830055</v>
      </c>
    </row>
    <row r="20" spans="2:5">
      <c r="B20" s="6" t="s">
        <v>289</v>
      </c>
      <c r="C20" s="7">
        <f>'CW losslG,losslA,intra'!BC12</f>
        <v>1.002294696153909</v>
      </c>
      <c r="D20" s="7">
        <f>'CW losslG,losslA,intra'!BB12</f>
        <v>1.0027920962293675</v>
      </c>
      <c r="E20" s="7">
        <f>'CW losslG,losslA,intra'!BD12</f>
        <v>1.0028953082587044</v>
      </c>
    </row>
    <row r="21" spans="2:5">
      <c r="B21" t="s">
        <v>298</v>
      </c>
      <c r="C21" s="68">
        <f>'CW losslG,losslA,intra'!AW16</f>
        <v>1.1188023086513714</v>
      </c>
      <c r="D21" s="68"/>
      <c r="E21" s="68"/>
    </row>
    <row r="22" spans="2:5">
      <c r="B22" s="9" t="s">
        <v>299</v>
      </c>
      <c r="C22" s="69">
        <f>'CW losslG,losslA,intra'!AY16</f>
        <v>0.91584087236675704</v>
      </c>
      <c r="D22" s="69"/>
      <c r="E22" s="69"/>
    </row>
    <row r="24" spans="2:5" s="1" customFormat="1">
      <c r="B24" s="1" t="s">
        <v>455</v>
      </c>
    </row>
    <row r="26" spans="2:5">
      <c r="B26" s="64" t="s">
        <v>456</v>
      </c>
      <c r="C26" s="65" t="s">
        <v>457</v>
      </c>
      <c r="D26" s="65"/>
      <c r="E26" s="65"/>
    </row>
    <row r="27" spans="2:5">
      <c r="B27" s="64"/>
      <c r="C27" s="66" t="s">
        <v>356</v>
      </c>
      <c r="D27" s="66"/>
      <c r="E27" s="66"/>
    </row>
    <row r="28" spans="2:5">
      <c r="B28" s="64"/>
      <c r="C28" s="2" t="s">
        <v>117</v>
      </c>
      <c r="D28" s="2" t="s">
        <v>123</v>
      </c>
      <c r="E28" s="2" t="s">
        <v>149</v>
      </c>
    </row>
    <row r="29" spans="2:5">
      <c r="B29" s="4" t="s">
        <v>287</v>
      </c>
      <c r="C29" s="5">
        <f>'CW losslG,losslA,interLD'!BB10</f>
        <v>0.9998830378728204</v>
      </c>
      <c r="D29" s="5">
        <f>'CW losslG,losslA,interLD'!BC10</f>
        <v>0.99911517597486987</v>
      </c>
      <c r="E29" s="5">
        <f>'CW losslG,losslA,interLD'!BD10</f>
        <v>1.0000079609480725</v>
      </c>
    </row>
    <row r="30" spans="2:5">
      <c r="B30" s="4" t="s">
        <v>288</v>
      </c>
      <c r="C30" s="5">
        <f>'CW losslG,losslA,interLD'!BB11</f>
        <v>0.99969927510508505</v>
      </c>
      <c r="D30" s="5">
        <f>'CW losslG,losslA,interLD'!BC11</f>
        <v>0.99850846803084259</v>
      </c>
      <c r="E30" s="5">
        <f>'CW losslG,losslA,interLD'!BD11</f>
        <v>0.99983780359108121</v>
      </c>
    </row>
    <row r="31" spans="2:5">
      <c r="B31" s="6" t="s">
        <v>289</v>
      </c>
      <c r="C31" s="7">
        <f>'CW losslG,losslA,interLD'!BB12</f>
        <v>0.99983159826097912</v>
      </c>
      <c r="D31" s="7">
        <f>'CW losslG,losslA,interLD'!BC12</f>
        <v>0.99898060846604231</v>
      </c>
      <c r="E31" s="7">
        <f>'CW losslG,losslA,interLD'!BD12</f>
        <v>0.99995879777772989</v>
      </c>
    </row>
    <row r="32" spans="2:5">
      <c r="B32" t="s">
        <v>298</v>
      </c>
      <c r="C32" s="68">
        <f>'CW losslG,losslA,interLD'!AW16</f>
        <v>0.96611096664154994</v>
      </c>
      <c r="D32" s="68"/>
      <c r="E32" s="68"/>
    </row>
    <row r="33" spans="2:12">
      <c r="B33" s="9" t="s">
        <v>299</v>
      </c>
      <c r="C33" s="69">
        <f>'CW losslG,losslA,interLD'!AY16</f>
        <v>1.0565458841237862</v>
      </c>
      <c r="D33" s="69"/>
      <c r="E33" s="69"/>
    </row>
    <row r="35" spans="2:12" s="1" customFormat="1">
      <c r="B35" s="1" t="s">
        <v>542</v>
      </c>
    </row>
    <row r="37" spans="2:12">
      <c r="B37" s="64" t="s">
        <v>543</v>
      </c>
      <c r="C37" s="65" t="s">
        <v>544</v>
      </c>
      <c r="D37" s="65"/>
      <c r="E37" s="65"/>
      <c r="F37" s="65"/>
      <c r="G37" s="65"/>
      <c r="H37" s="65"/>
      <c r="I37" s="65"/>
      <c r="J37" s="65"/>
      <c r="K37" s="65"/>
      <c r="L37" s="65"/>
    </row>
    <row r="38" spans="2:12">
      <c r="B38" s="64"/>
      <c r="C38" s="66" t="s">
        <v>236</v>
      </c>
      <c r="D38" s="66"/>
      <c r="E38" s="67" t="s">
        <v>241</v>
      </c>
      <c r="F38" s="67"/>
      <c r="G38" s="67"/>
      <c r="H38" s="66" t="s">
        <v>248</v>
      </c>
      <c r="I38" s="66"/>
      <c r="J38" s="67" t="s">
        <v>253</v>
      </c>
      <c r="K38" s="67"/>
      <c r="L38" s="67"/>
    </row>
    <row r="39" spans="2:12">
      <c r="B39" s="64"/>
      <c r="C39" s="2" t="s">
        <v>153</v>
      </c>
      <c r="D39" s="2" t="s">
        <v>156</v>
      </c>
      <c r="E39" s="3" t="s">
        <v>160</v>
      </c>
      <c r="F39" s="3" t="s">
        <v>163</v>
      </c>
      <c r="G39" s="3" t="s">
        <v>166</v>
      </c>
      <c r="H39" s="2" t="s">
        <v>153</v>
      </c>
      <c r="I39" s="2" t="s">
        <v>156</v>
      </c>
      <c r="J39" s="3" t="s">
        <v>160</v>
      </c>
      <c r="K39" s="3" t="s">
        <v>163</v>
      </c>
      <c r="L39" s="3" t="s">
        <v>166</v>
      </c>
    </row>
    <row r="40" spans="2:12">
      <c r="B40" s="4" t="s">
        <v>287</v>
      </c>
      <c r="C40" s="5">
        <f>'C2 lossyG,lossyA,interRA'!$BI$30:$BI$30</f>
        <v>-1.2122534612823144E-3</v>
      </c>
      <c r="D40" s="5">
        <f>'C2 lossyG,lossyA,interRA'!$BJ$30:$BJ$30</f>
        <v>-1.2209450749038619E-3</v>
      </c>
      <c r="E40" s="5">
        <f>'C2 lossyG,lossyA,interRA'!$BK$30:$BK$30</f>
        <v>3.0239070738525747E-2</v>
      </c>
      <c r="F40" s="5">
        <f>'C2 lossyG,lossyA,interRA'!$BL$30:$BL$30</f>
        <v>3.1330044174297744E-2</v>
      </c>
      <c r="G40" s="5">
        <f>'C2 lossyG,lossyA,interRA'!$BM$30:$BM$30</f>
        <v>3.6555560758462086E-2</v>
      </c>
      <c r="H40" s="5">
        <f>'C2 lossyG,lossyA,interRA'!$BO$30:$BO$30</f>
        <v>2.8830714646434497E-3</v>
      </c>
      <c r="I40" s="5">
        <f>'C2 lossyG,lossyA,interRA'!$BP$30:$BP$30</f>
        <v>2.9269116936187223E-3</v>
      </c>
      <c r="J40" s="5">
        <f>'C2 lossyG,lossyA,interRA'!$BQ$30:$BQ$30</f>
        <v>1.5982234447332627E-2</v>
      </c>
      <c r="K40" s="5">
        <f>'C2 lossyG,lossyA,interRA'!$BR$30:$BR$30</f>
        <v>1.7532298209339686E-2</v>
      </c>
      <c r="L40" s="5">
        <f>'C2 lossyG,lossyA,interRA'!$BS$30:$BS$30</f>
        <v>1.9728651473126718E-2</v>
      </c>
    </row>
    <row r="41" spans="2:12">
      <c r="B41" s="4" t="s">
        <v>288</v>
      </c>
      <c r="C41" s="5">
        <f>'C2 lossyG,lossyA,interRA'!$BI$31:$BI$31</f>
        <v>1.463030801413634E-3</v>
      </c>
      <c r="D41" s="5">
        <f>'C2 lossyG,lossyA,interRA'!$BJ$31:$BJ$31</f>
        <v>1.1263888051944448E-3</v>
      </c>
      <c r="E41" s="5">
        <f>'C2 lossyG,lossyA,interRA'!$BK$31:$BK$31</f>
        <v>-1.2628601482630453E-3</v>
      </c>
      <c r="F41" s="5">
        <f>'C2 lossyG,lossyA,interRA'!$BL$31:$BL$31</f>
        <v>-2.966193530847927E-3</v>
      </c>
      <c r="G41" s="5">
        <f>'C2 lossyG,lossyA,interRA'!$BM$31:$BM$31</f>
        <v>-2.5417371987708215E-3</v>
      </c>
      <c r="H41" s="5">
        <f>'C2 lossyG,lossyA,interRA'!$BO$31:$BO$31</f>
        <v>4.4422315514742738E-3</v>
      </c>
      <c r="I41" s="5">
        <f>'C2 lossyG,lossyA,interRA'!$BP$31:$BP$31</f>
        <v>3.2636030569859198E-3</v>
      </c>
      <c r="J41" s="5">
        <f>'C2 lossyG,lossyA,interRA'!$BQ$31:$BQ$31</f>
        <v>-1.0381746688915561E-3</v>
      </c>
      <c r="K41" s="5">
        <f>'C2 lossyG,lossyA,interRA'!$BR$31:$BR$31</f>
        <v>-2.3285986568271078E-3</v>
      </c>
      <c r="L41" s="5">
        <f>'C2 lossyG,lossyA,interRA'!$BS$31:$BS$31</f>
        <v>-1.9392831035117686E-3</v>
      </c>
    </row>
    <row r="42" spans="2:12">
      <c r="B42" s="6" t="s">
        <v>289</v>
      </c>
      <c r="C42" s="7">
        <f>'C2 lossyG,lossyA,interRA'!$BI$32:$BI$32</f>
        <v>-6.7719660874312473E-4</v>
      </c>
      <c r="D42" s="7">
        <f>'C2 lossyG,lossyA,interRA'!$BJ$32:$BJ$32</f>
        <v>-7.5147829888420057E-4</v>
      </c>
      <c r="E42" s="7">
        <f>'C2 lossyG,lossyA,interRA'!$BK$32:$BK$32</f>
        <v>2.3938684561167989E-2</v>
      </c>
      <c r="F42" s="7">
        <f>'C2 lossyG,lossyA,interRA'!$BL$32:$BL$32</f>
        <v>2.4470796633268611E-2</v>
      </c>
      <c r="G42" s="7">
        <f>'C2 lossyG,lossyA,interRA'!$BM$32:$BM$32</f>
        <v>2.8736101167015506E-2</v>
      </c>
      <c r="H42" s="7">
        <f>'C2 lossyG,lossyA,interRA'!$BO$32:$BO$32</f>
        <v>3.1949034820096143E-3</v>
      </c>
      <c r="I42" s="7">
        <f>'C2 lossyG,lossyA,interRA'!$BP$32:$BP$32</f>
        <v>2.9942499662921618E-3</v>
      </c>
      <c r="J42" s="7">
        <f>'C2 lossyG,lossyA,interRA'!$BQ$32:$BQ$32</f>
        <v>1.2578152624087791E-2</v>
      </c>
      <c r="K42" s="7">
        <f>'C2 lossyG,lossyA,interRA'!$BR$32:$BR$32</f>
        <v>1.3560118836106328E-2</v>
      </c>
      <c r="L42" s="7">
        <f>'C2 lossyG,lossyA,interRA'!$BS$32:$BS$32</f>
        <v>1.539506455779902E-2</v>
      </c>
    </row>
    <row r="43" spans="2:12">
      <c r="B43" t="s">
        <v>298</v>
      </c>
      <c r="C43" s="68">
        <f>'C2 lossyG,lossyA,interRA'!AZ36</f>
        <v>1.9562639684603198</v>
      </c>
      <c r="D43" s="68"/>
      <c r="E43" s="68"/>
      <c r="F43" s="68"/>
      <c r="G43" s="68"/>
      <c r="H43" s="68"/>
      <c r="I43" s="68"/>
      <c r="J43" s="68"/>
      <c r="K43" s="68"/>
      <c r="L43" s="68"/>
    </row>
    <row r="44" spans="2:12">
      <c r="B44" s="9" t="s">
        <v>299</v>
      </c>
      <c r="C44" s="69">
        <f>'C2 lossyG,lossyA,interRA'!BB36</f>
        <v>0.7874007486785094</v>
      </c>
      <c r="D44" s="69"/>
      <c r="E44" s="69"/>
      <c r="F44" s="69"/>
      <c r="G44" s="69"/>
      <c r="H44" s="69"/>
      <c r="I44" s="69"/>
      <c r="J44" s="69"/>
      <c r="K44" s="69"/>
      <c r="L44" s="69"/>
    </row>
  </sheetData>
  <mergeCells count="28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C12:L12"/>
    <mergeCell ref="C13:L13"/>
    <mergeCell ref="B15:B17"/>
    <mergeCell ref="C15:E15"/>
    <mergeCell ref="C16:E16"/>
    <mergeCell ref="C1:E1"/>
    <mergeCell ref="C2:E2"/>
    <mergeCell ref="B6:B8"/>
    <mergeCell ref="C6:L6"/>
    <mergeCell ref="C7:D7"/>
    <mergeCell ref="E7:G7"/>
    <mergeCell ref="H7:I7"/>
    <mergeCell ref="J7:L7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"/>
  <sheetViews>
    <sheetView workbookViewId="0"/>
  </sheetViews>
  <sheetFormatPr defaultColWidth="8.85546875" defaultRowHeight="15"/>
  <cols>
    <col min="1" max="1" width="12.7109375" customWidth="1"/>
    <col min="2" max="2" width="24.7109375" customWidth="1"/>
    <col min="4" max="4" width="24.7109375" customWidth="1"/>
    <col min="9" max="9" width="16.7109375" customWidth="1"/>
  </cols>
  <sheetData>
    <row r="1" spans="1:16">
      <c r="A1" t="s">
        <v>80</v>
      </c>
      <c r="B1" s="10" t="str">
        <f>M1</f>
        <v>C2 lossyG,lossyA,intra</v>
      </c>
      <c r="C1" t="s">
        <v>81</v>
      </c>
      <c r="I1" t="s">
        <v>3</v>
      </c>
      <c r="M1" t="s">
        <v>300</v>
      </c>
      <c r="N1" t="s">
        <v>382</v>
      </c>
      <c r="O1" t="s">
        <v>458</v>
      </c>
      <c r="P1" t="s">
        <v>545</v>
      </c>
    </row>
    <row r="2" spans="1:16">
      <c r="A2" t="s">
        <v>82</v>
      </c>
      <c r="B2" s="10" t="str">
        <f>HLOOKUP(B1,M1:ZZ3,3,0)</f>
        <v>8ivfbv2_loot_vox10</v>
      </c>
      <c r="C2" t="s">
        <v>83</v>
      </c>
      <c r="I2" t="s">
        <v>4</v>
      </c>
      <c r="J2" t="s">
        <v>5</v>
      </c>
      <c r="M2" t="s">
        <v>302</v>
      </c>
      <c r="N2" t="s">
        <v>384</v>
      </c>
      <c r="O2" t="s">
        <v>460</v>
      </c>
      <c r="P2" t="s">
        <v>547</v>
      </c>
    </row>
    <row r="3" spans="1:16">
      <c r="I3" t="s">
        <v>6</v>
      </c>
      <c r="J3" t="s">
        <v>7</v>
      </c>
      <c r="M3" t="s">
        <v>265</v>
      </c>
      <c r="N3" t="s">
        <v>265</v>
      </c>
      <c r="O3" t="s">
        <v>265</v>
      </c>
      <c r="P3" t="s">
        <v>265</v>
      </c>
    </row>
    <row r="4" spans="1:16">
      <c r="A4" t="s">
        <v>84</v>
      </c>
      <c r="B4" s="10" t="s">
        <v>68</v>
      </c>
      <c r="C4" t="s">
        <v>85</v>
      </c>
      <c r="D4" s="10" t="s">
        <v>14</v>
      </c>
      <c r="E4" t="s">
        <v>86</v>
      </c>
      <c r="I4" t="s">
        <v>8</v>
      </c>
      <c r="J4" t="s">
        <v>9</v>
      </c>
      <c r="M4" t="s">
        <v>274</v>
      </c>
      <c r="N4" t="s">
        <v>274</v>
      </c>
      <c r="O4" t="s">
        <v>274</v>
      </c>
      <c r="P4" t="s">
        <v>274</v>
      </c>
    </row>
    <row r="5" spans="1:16">
      <c r="A5" t="s">
        <v>84</v>
      </c>
      <c r="B5" s="10" t="s">
        <v>68</v>
      </c>
      <c r="C5" t="s">
        <v>85</v>
      </c>
      <c r="D5" s="10" t="s">
        <v>18</v>
      </c>
      <c r="E5" t="s">
        <v>87</v>
      </c>
      <c r="I5" t="s">
        <v>10</v>
      </c>
      <c r="J5" t="s">
        <v>11</v>
      </c>
      <c r="M5" t="s">
        <v>277</v>
      </c>
      <c r="N5" t="s">
        <v>277</v>
      </c>
      <c r="O5" t="s">
        <v>277</v>
      </c>
      <c r="P5" t="s">
        <v>277</v>
      </c>
    </row>
    <row r="6" spans="1:16">
      <c r="A6" t="s">
        <v>84</v>
      </c>
      <c r="B6" s="10" t="s">
        <v>68</v>
      </c>
      <c r="C6" t="s">
        <v>85</v>
      </c>
      <c r="D6" s="10" t="s">
        <v>44</v>
      </c>
      <c r="E6" t="s">
        <v>88</v>
      </c>
      <c r="I6" t="s">
        <v>12</v>
      </c>
      <c r="J6" t="s">
        <v>13</v>
      </c>
      <c r="M6" t="s">
        <v>280</v>
      </c>
      <c r="N6" t="s">
        <v>280</v>
      </c>
      <c r="O6" t="s">
        <v>280</v>
      </c>
      <c r="P6" t="s">
        <v>280</v>
      </c>
    </row>
    <row r="7" spans="1:16">
      <c r="A7" t="s">
        <v>84</v>
      </c>
      <c r="B7" s="10" t="s">
        <v>68</v>
      </c>
      <c r="C7" t="s">
        <v>85</v>
      </c>
      <c r="D7" s="10" t="s">
        <v>6</v>
      </c>
      <c r="E7" t="s">
        <v>89</v>
      </c>
      <c r="I7" t="s">
        <v>14</v>
      </c>
      <c r="J7" t="s">
        <v>15</v>
      </c>
      <c r="M7" t="s">
        <v>283</v>
      </c>
      <c r="N7" t="s">
        <v>283</v>
      </c>
      <c r="O7" t="s">
        <v>283</v>
      </c>
      <c r="P7" t="s">
        <v>283</v>
      </c>
    </row>
    <row r="8" spans="1:16">
      <c r="A8" t="s">
        <v>84</v>
      </c>
      <c r="B8" s="10" t="s">
        <v>68</v>
      </c>
      <c r="C8" t="s">
        <v>85</v>
      </c>
      <c r="D8" s="10" t="s">
        <v>10</v>
      </c>
      <c r="E8" t="s">
        <v>90</v>
      </c>
      <c r="I8" t="s">
        <v>16</v>
      </c>
      <c r="J8" t="s">
        <v>17</v>
      </c>
    </row>
    <row r="9" spans="1:16">
      <c r="A9" t="s">
        <v>84</v>
      </c>
      <c r="B9" s="10" t="s">
        <v>68</v>
      </c>
      <c r="C9" t="s">
        <v>85</v>
      </c>
      <c r="D9" s="10" t="s">
        <v>34</v>
      </c>
      <c r="E9" t="s">
        <v>91</v>
      </c>
      <c r="I9" t="s">
        <v>18</v>
      </c>
      <c r="J9" t="s">
        <v>19</v>
      </c>
    </row>
    <row r="10" spans="1:16">
      <c r="I10" t="s">
        <v>20</v>
      </c>
      <c r="J10" t="s">
        <v>21</v>
      </c>
    </row>
    <row r="11" spans="1:16">
      <c r="I11" t="s">
        <v>22</v>
      </c>
      <c r="J11" t="s">
        <v>23</v>
      </c>
    </row>
    <row r="12" spans="1:16">
      <c r="I12" t="s">
        <v>24</v>
      </c>
      <c r="J12" t="s">
        <v>25</v>
      </c>
    </row>
    <row r="13" spans="1:16">
      <c r="I13" t="s">
        <v>26</v>
      </c>
      <c r="J13" t="s">
        <v>27</v>
      </c>
    </row>
    <row r="14" spans="1:16">
      <c r="I14" t="s">
        <v>28</v>
      </c>
      <c r="J14" t="s">
        <v>29</v>
      </c>
    </row>
    <row r="15" spans="1:16">
      <c r="I15" t="s">
        <v>30</v>
      </c>
      <c r="J15" t="s">
        <v>31</v>
      </c>
    </row>
    <row r="16" spans="1:16">
      <c r="I16" t="s">
        <v>32</v>
      </c>
      <c r="J16" t="s">
        <v>33</v>
      </c>
    </row>
    <row r="17" spans="9:10">
      <c r="I17" t="s">
        <v>34</v>
      </c>
      <c r="J17" t="s">
        <v>35</v>
      </c>
    </row>
    <row r="18" spans="9:10">
      <c r="I18" t="s">
        <v>36</v>
      </c>
      <c r="J18" t="s">
        <v>37</v>
      </c>
    </row>
    <row r="19" spans="9:10">
      <c r="I19" t="s">
        <v>38</v>
      </c>
      <c r="J19" t="s">
        <v>39</v>
      </c>
    </row>
    <row r="20" spans="9:10">
      <c r="I20" t="s">
        <v>40</v>
      </c>
      <c r="J20" t="s">
        <v>41</v>
      </c>
    </row>
    <row r="21" spans="9:10">
      <c r="I21" t="s">
        <v>42</v>
      </c>
      <c r="J21" t="s">
        <v>43</v>
      </c>
    </row>
    <row r="22" spans="9:10">
      <c r="I22" t="s">
        <v>44</v>
      </c>
      <c r="J22" t="s">
        <v>45</v>
      </c>
    </row>
    <row r="23" spans="9:10">
      <c r="I23" t="s">
        <v>46</v>
      </c>
      <c r="J23" t="s">
        <v>47</v>
      </c>
    </row>
    <row r="24" spans="9:10">
      <c r="I24" t="s">
        <v>48</v>
      </c>
      <c r="J24" t="s">
        <v>49</v>
      </c>
    </row>
    <row r="25" spans="9:10">
      <c r="I25" t="s">
        <v>50</v>
      </c>
      <c r="J25" t="s">
        <v>51</v>
      </c>
    </row>
    <row r="26" spans="9:10">
      <c r="I26" t="s">
        <v>52</v>
      </c>
      <c r="J26" t="s">
        <v>53</v>
      </c>
    </row>
    <row r="27" spans="9:10">
      <c r="I27" t="s">
        <v>54</v>
      </c>
      <c r="J27" t="s">
        <v>55</v>
      </c>
    </row>
    <row r="28" spans="9:10">
      <c r="I28" t="s">
        <v>56</v>
      </c>
      <c r="J28" t="s">
        <v>57</v>
      </c>
    </row>
    <row r="29" spans="9:10">
      <c r="I29" t="s">
        <v>58</v>
      </c>
      <c r="J29" t="s">
        <v>59</v>
      </c>
    </row>
    <row r="30" spans="9:10">
      <c r="I30" t="s">
        <v>60</v>
      </c>
      <c r="J30" t="s">
        <v>61</v>
      </c>
    </row>
    <row r="31" spans="9:10">
      <c r="I31" t="s">
        <v>62</v>
      </c>
      <c r="J31" t="s">
        <v>63</v>
      </c>
    </row>
    <row r="32" spans="9:10">
      <c r="I32" t="s">
        <v>64</v>
      </c>
      <c r="J32" t="s">
        <v>65</v>
      </c>
    </row>
    <row r="33" spans="9:10">
      <c r="I33" t="s">
        <v>66</v>
      </c>
      <c r="J33" t="s">
        <v>67</v>
      </c>
    </row>
    <row r="34" spans="9:10">
      <c r="I34" t="s">
        <v>68</v>
      </c>
      <c r="J34" t="s">
        <v>69</v>
      </c>
    </row>
    <row r="35" spans="9:10">
      <c r="I35" t="s">
        <v>70</v>
      </c>
      <c r="J35" t="s">
        <v>71</v>
      </c>
    </row>
    <row r="36" spans="9:10">
      <c r="I36" t="s">
        <v>72</v>
      </c>
      <c r="J36" t="s">
        <v>73</v>
      </c>
    </row>
    <row r="37" spans="9:10">
      <c r="I37" t="s">
        <v>74</v>
      </c>
      <c r="J37" t="s">
        <v>75</v>
      </c>
    </row>
    <row r="38" spans="9:10">
      <c r="I38" t="s">
        <v>76</v>
      </c>
      <c r="J38" t="s">
        <v>77</v>
      </c>
    </row>
    <row r="39" spans="9:10">
      <c r="I39" t="s">
        <v>78</v>
      </c>
      <c r="J39" t="s">
        <v>79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9 D4: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F94"/>
  <sheetViews>
    <sheetView zoomScale="85" zoomScaleNormal="85" workbookViewId="0">
      <pane xSplit="2" topLeftCell="C1" activePane="topRight" state="frozen"/>
      <selection pane="topRight" activeCell="AG2" sqref="AG2:AG3"/>
    </sheetView>
  </sheetViews>
  <sheetFormatPr defaultColWidth="8.85546875" defaultRowHeight="15" outlineLevelRow="2"/>
  <cols>
    <col min="1" max="1" width="9.140625"/>
    <col min="2" max="2" width="24.7109375" customWidth="1"/>
    <col min="3" max="3" width="9.140625"/>
    <col min="4" max="5" width="10.7109375" customWidth="1"/>
    <col min="6" max="7" width="9.140625"/>
    <col min="8" max="8" width="1.7109375" customWidth="1"/>
    <col min="9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18" width="9.140625"/>
    <col min="19" max="22" width="12.7109375" customWidth="1"/>
    <col min="23" max="27" width="11.7109375" customWidth="1"/>
    <col min="28" max="31" width="9.140625"/>
    <col min="32" max="32" width="1.7109375" customWidth="1"/>
    <col min="33" max="33" width="9.140625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1" max="42" width="9.140625"/>
    <col min="43" max="46" width="12.7109375" customWidth="1"/>
    <col min="47" max="51" width="11.7109375" customWidth="1"/>
    <col min="52" max="55" width="9.140625"/>
    <col min="56" max="56" width="1.7109375" customWidth="1"/>
    <col min="57" max="59" width="9.140625"/>
    <col min="60" max="60" width="1.7109375" customWidth="1"/>
    <col min="61" max="62" width="9.140625"/>
    <col min="63" max="65" width="11.7109375" customWidth="1"/>
    <col min="66" max="66" width="1.7109375" customWidth="1"/>
    <col min="67" max="68" width="9.140625"/>
    <col min="69" max="71" width="11.7109375" customWidth="1"/>
    <col min="72" max="72" width="1.7109375" customWidth="1"/>
  </cols>
  <sheetData>
    <row r="1" spans="1:84">
      <c r="A1" s="74" t="s">
        <v>260</v>
      </c>
      <c r="B1" s="74"/>
      <c r="C1" s="74"/>
      <c r="D1" s="74"/>
      <c r="E1" s="74"/>
      <c r="F1" s="74"/>
      <c r="G1" s="74"/>
      <c r="I1" s="62" t="s">
        <v>552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G1" s="63" t="s">
        <v>550</v>
      </c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  <c r="BB1" s="63"/>
      <c r="BC1" s="63"/>
    </row>
    <row r="2" spans="1:84" ht="30" customHeight="1" thickBot="1">
      <c r="A2" s="71" t="s">
        <v>92</v>
      </c>
      <c r="B2" s="72" t="s">
        <v>95</v>
      </c>
      <c r="C2" s="71" t="s">
        <v>98</v>
      </c>
      <c r="D2" s="72" t="s">
        <v>101</v>
      </c>
      <c r="E2" s="71" t="s">
        <v>104</v>
      </c>
      <c r="F2" s="72" t="s">
        <v>107</v>
      </c>
      <c r="G2" s="71" t="s">
        <v>110</v>
      </c>
      <c r="I2" s="72" t="s">
        <v>113</v>
      </c>
      <c r="J2" s="73" t="s">
        <v>116</v>
      </c>
      <c r="K2" s="73"/>
      <c r="L2" s="73"/>
      <c r="M2" s="73"/>
      <c r="N2" s="71" t="s">
        <v>129</v>
      </c>
      <c r="O2" s="72" t="s">
        <v>132</v>
      </c>
      <c r="P2" s="71" t="s">
        <v>23</v>
      </c>
      <c r="Q2" s="72" t="s">
        <v>25</v>
      </c>
      <c r="R2" s="71" t="s">
        <v>21</v>
      </c>
      <c r="S2" s="70" t="s">
        <v>141</v>
      </c>
      <c r="T2" s="70"/>
      <c r="U2" s="70"/>
      <c r="V2" s="70"/>
      <c r="W2" s="73" t="s">
        <v>152</v>
      </c>
      <c r="X2" s="73"/>
      <c r="Y2" s="70" t="s">
        <v>159</v>
      </c>
      <c r="Z2" s="70"/>
      <c r="AA2" s="70"/>
      <c r="AB2" s="73" t="s">
        <v>169</v>
      </c>
      <c r="AC2" s="73"/>
      <c r="AD2" s="70" t="s">
        <v>176</v>
      </c>
      <c r="AE2" s="70"/>
      <c r="AG2" s="71" t="s">
        <v>113</v>
      </c>
      <c r="AH2" s="70" t="s">
        <v>116</v>
      </c>
      <c r="AI2" s="70"/>
      <c r="AJ2" s="70"/>
      <c r="AK2" s="70"/>
      <c r="AL2" s="72" t="s">
        <v>191</v>
      </c>
      <c r="AM2" s="71" t="s">
        <v>132</v>
      </c>
      <c r="AN2" s="72" t="s">
        <v>23</v>
      </c>
      <c r="AO2" s="71" t="s">
        <v>25</v>
      </c>
      <c r="AP2" s="72" t="s">
        <v>21</v>
      </c>
      <c r="AQ2" s="73" t="s">
        <v>141</v>
      </c>
      <c r="AR2" s="73"/>
      <c r="AS2" s="73"/>
      <c r="AT2" s="73"/>
      <c r="AU2" s="70" t="s">
        <v>152</v>
      </c>
      <c r="AV2" s="70"/>
      <c r="AW2" s="73" t="s">
        <v>159</v>
      </c>
      <c r="AX2" s="73"/>
      <c r="AY2" s="73"/>
      <c r="AZ2" s="70" t="s">
        <v>169</v>
      </c>
      <c r="BA2" s="70"/>
      <c r="BB2" s="73" t="s">
        <v>176</v>
      </c>
      <c r="BC2" s="73"/>
      <c r="BE2" s="72" t="s">
        <v>228</v>
      </c>
      <c r="BF2" s="71" t="s">
        <v>231</v>
      </c>
      <c r="BG2" s="72" t="s">
        <v>231</v>
      </c>
      <c r="BI2" s="73" t="s">
        <v>236</v>
      </c>
      <c r="BJ2" s="73"/>
      <c r="BK2" s="70" t="s">
        <v>241</v>
      </c>
      <c r="BL2" s="70"/>
      <c r="BM2" s="70"/>
      <c r="BO2" s="73" t="s">
        <v>248</v>
      </c>
      <c r="BP2" s="73"/>
      <c r="BQ2" s="70" t="s">
        <v>253</v>
      </c>
      <c r="BR2" s="70"/>
      <c r="BS2" s="70"/>
      <c r="BU2" s="71" t="s">
        <v>23</v>
      </c>
      <c r="BV2" s="72" t="s">
        <v>25</v>
      </c>
      <c r="BW2" s="71" t="s">
        <v>21</v>
      </c>
      <c r="BX2" s="70" t="s">
        <v>141</v>
      </c>
      <c r="BY2" s="70"/>
      <c r="BZ2" s="70"/>
      <c r="CA2" s="70"/>
      <c r="CB2" s="73" t="s">
        <v>152</v>
      </c>
      <c r="CC2" s="73"/>
      <c r="CD2" s="70" t="s">
        <v>159</v>
      </c>
      <c r="CE2" s="70"/>
      <c r="CF2" s="70"/>
    </row>
    <row r="3" spans="1:84" ht="30.75" thickBot="1">
      <c r="A3" s="71"/>
      <c r="B3" s="72"/>
      <c r="C3" s="71"/>
      <c r="D3" s="72"/>
      <c r="E3" s="71"/>
      <c r="F3" s="72"/>
      <c r="G3" s="71"/>
      <c r="I3" s="72"/>
      <c r="J3" s="11" t="s">
        <v>117</v>
      </c>
      <c r="K3" s="11" t="s">
        <v>120</v>
      </c>
      <c r="L3" s="11" t="s">
        <v>123</v>
      </c>
      <c r="M3" s="11" t="s">
        <v>126</v>
      </c>
      <c r="N3" s="71"/>
      <c r="O3" s="72"/>
      <c r="P3" s="71"/>
      <c r="Q3" s="72"/>
      <c r="R3" s="71"/>
      <c r="S3" s="12" t="s">
        <v>117</v>
      </c>
      <c r="T3" s="12" t="s">
        <v>123</v>
      </c>
      <c r="U3" s="12" t="s">
        <v>146</v>
      </c>
      <c r="V3" s="12" t="s">
        <v>149</v>
      </c>
      <c r="W3" s="11" t="s">
        <v>153</v>
      </c>
      <c r="X3" s="11" t="s">
        <v>156</v>
      </c>
      <c r="Y3" s="12" t="s">
        <v>160</v>
      </c>
      <c r="Z3" s="12" t="s">
        <v>163</v>
      </c>
      <c r="AA3" s="12" t="s">
        <v>166</v>
      </c>
      <c r="AB3" s="11" t="s">
        <v>170</v>
      </c>
      <c r="AC3" s="11" t="s">
        <v>173</v>
      </c>
      <c r="AD3" s="12" t="s">
        <v>170</v>
      </c>
      <c r="AE3" s="12" t="s">
        <v>173</v>
      </c>
      <c r="AG3" s="71"/>
      <c r="AH3" s="12" t="s">
        <v>117</v>
      </c>
      <c r="AI3" s="12" t="s">
        <v>120</v>
      </c>
      <c r="AJ3" s="12" t="s">
        <v>123</v>
      </c>
      <c r="AK3" s="12" t="s">
        <v>126</v>
      </c>
      <c r="AL3" s="72"/>
      <c r="AM3" s="71"/>
      <c r="AN3" s="72"/>
      <c r="AO3" s="71"/>
      <c r="AP3" s="72"/>
      <c r="AQ3" s="11" t="s">
        <v>117</v>
      </c>
      <c r="AR3" s="11" t="s">
        <v>123</v>
      </c>
      <c r="AS3" s="11" t="s">
        <v>146</v>
      </c>
      <c r="AT3" s="11" t="s">
        <v>149</v>
      </c>
      <c r="AU3" s="12" t="s">
        <v>153</v>
      </c>
      <c r="AV3" s="12" t="s">
        <v>156</v>
      </c>
      <c r="AW3" s="11" t="s">
        <v>160</v>
      </c>
      <c r="AX3" s="11" t="s">
        <v>163</v>
      </c>
      <c r="AY3" s="11" t="s">
        <v>166</v>
      </c>
      <c r="AZ3" s="12" t="s">
        <v>170</v>
      </c>
      <c r="BA3" s="12" t="s">
        <v>173</v>
      </c>
      <c r="BB3" s="11" t="s">
        <v>170</v>
      </c>
      <c r="BC3" s="11" t="s">
        <v>173</v>
      </c>
      <c r="BE3" s="72"/>
      <c r="BF3" s="71"/>
      <c r="BG3" s="72"/>
      <c r="BI3" s="11" t="s">
        <v>153</v>
      </c>
      <c r="BJ3" s="11" t="s">
        <v>156</v>
      </c>
      <c r="BK3" s="12" t="s">
        <v>160</v>
      </c>
      <c r="BL3" s="12" t="s">
        <v>163</v>
      </c>
      <c r="BM3" s="12" t="s">
        <v>166</v>
      </c>
      <c r="BO3" s="11" t="s">
        <v>153</v>
      </c>
      <c r="BP3" s="11" t="s">
        <v>156</v>
      </c>
      <c r="BQ3" s="12" t="s">
        <v>160</v>
      </c>
      <c r="BR3" s="12" t="s">
        <v>163</v>
      </c>
      <c r="BS3" s="12" t="s">
        <v>166</v>
      </c>
      <c r="BU3" s="71"/>
      <c r="BV3" s="72"/>
      <c r="BW3" s="71"/>
      <c r="BX3" s="60" t="s">
        <v>117</v>
      </c>
      <c r="BY3" s="60" t="s">
        <v>123</v>
      </c>
      <c r="BZ3" s="60" t="s">
        <v>146</v>
      </c>
      <c r="CA3" s="60" t="s">
        <v>149</v>
      </c>
      <c r="CB3" s="59" t="s">
        <v>153</v>
      </c>
      <c r="CC3" s="59" t="s">
        <v>156</v>
      </c>
      <c r="CD3" s="60" t="s">
        <v>160</v>
      </c>
      <c r="CE3" s="60" t="s">
        <v>163</v>
      </c>
      <c r="CF3" s="60" t="s">
        <v>166</v>
      </c>
    </row>
    <row r="4" spans="1:84" ht="123" hidden="1">
      <c r="A4" s="13" t="s">
        <v>93</v>
      </c>
      <c r="B4" s="14" t="s">
        <v>96</v>
      </c>
      <c r="C4" s="13" t="s">
        <v>99</v>
      </c>
      <c r="D4" s="14" t="s">
        <v>102</v>
      </c>
      <c r="E4" s="13" t="s">
        <v>105</v>
      </c>
      <c r="F4" s="14" t="s">
        <v>108</v>
      </c>
      <c r="G4" s="13" t="s">
        <v>111</v>
      </c>
      <c r="I4" s="14" t="s">
        <v>114</v>
      </c>
      <c r="J4" s="13" t="s">
        <v>118</v>
      </c>
      <c r="K4" s="13" t="s">
        <v>121</v>
      </c>
      <c r="L4" s="13" t="s">
        <v>124</v>
      </c>
      <c r="M4" s="13" t="s">
        <v>127</v>
      </c>
      <c r="N4" s="13" t="s">
        <v>130</v>
      </c>
      <c r="O4" s="14" t="s">
        <v>133</v>
      </c>
      <c r="P4" s="13" t="s">
        <v>135</v>
      </c>
      <c r="Q4" s="14" t="s">
        <v>137</v>
      </c>
      <c r="R4" s="13" t="s">
        <v>139</v>
      </c>
      <c r="S4" s="14" t="s">
        <v>142</v>
      </c>
      <c r="T4" s="14" t="s">
        <v>144</v>
      </c>
      <c r="U4" s="14" t="s">
        <v>147</v>
      </c>
      <c r="V4" s="14" t="s">
        <v>150</v>
      </c>
      <c r="W4" s="13" t="s">
        <v>154</v>
      </c>
      <c r="X4" s="13" t="s">
        <v>157</v>
      </c>
      <c r="Y4" s="14" t="s">
        <v>161</v>
      </c>
      <c r="Z4" s="14" t="s">
        <v>164</v>
      </c>
      <c r="AA4" s="14" t="s">
        <v>167</v>
      </c>
      <c r="AB4" s="13" t="s">
        <v>171</v>
      </c>
      <c r="AC4" s="13" t="s">
        <v>174</v>
      </c>
      <c r="AD4" s="14" t="s">
        <v>177</v>
      </c>
      <c r="AE4" s="14" t="s">
        <v>179</v>
      </c>
      <c r="AG4" s="13" t="s">
        <v>181</v>
      </c>
      <c r="AH4" s="14" t="s">
        <v>183</v>
      </c>
      <c r="AI4" s="14" t="s">
        <v>185</v>
      </c>
      <c r="AJ4" s="14" t="s">
        <v>187</v>
      </c>
      <c r="AK4" s="14" t="s">
        <v>189</v>
      </c>
      <c r="AL4" s="14" t="s">
        <v>192</v>
      </c>
      <c r="AM4" s="13" t="s">
        <v>194</v>
      </c>
      <c r="AN4" s="14" t="s">
        <v>196</v>
      </c>
      <c r="AO4" s="13" t="s">
        <v>198</v>
      </c>
      <c r="AP4" s="14" t="s">
        <v>200</v>
      </c>
      <c r="AQ4" s="13" t="s">
        <v>202</v>
      </c>
      <c r="AR4" s="13" t="s">
        <v>204</v>
      </c>
      <c r="AS4" s="13" t="s">
        <v>206</v>
      </c>
      <c r="AT4" s="13" t="s">
        <v>208</v>
      </c>
      <c r="AU4" s="14" t="s">
        <v>210</v>
      </c>
      <c r="AV4" s="14" t="s">
        <v>212</v>
      </c>
      <c r="AW4" s="13" t="s">
        <v>214</v>
      </c>
      <c r="AX4" s="13" t="s">
        <v>216</v>
      </c>
      <c r="AY4" s="13" t="s">
        <v>218</v>
      </c>
      <c r="AZ4" s="14" t="s">
        <v>220</v>
      </c>
      <c r="BA4" s="14" t="s">
        <v>222</v>
      </c>
      <c r="BB4" s="13" t="s">
        <v>224</v>
      </c>
      <c r="BC4" s="13" t="s">
        <v>226</v>
      </c>
      <c r="BE4" s="14" t="s">
        <v>229</v>
      </c>
      <c r="BF4" s="13" t="s">
        <v>232</v>
      </c>
      <c r="BG4" s="14" t="s">
        <v>234</v>
      </c>
      <c r="BI4" s="13" t="s">
        <v>237</v>
      </c>
      <c r="BJ4" s="13" t="s">
        <v>239</v>
      </c>
      <c r="BK4" s="14" t="s">
        <v>242</v>
      </c>
      <c r="BL4" s="14" t="s">
        <v>244</v>
      </c>
      <c r="BM4" s="14" t="s">
        <v>246</v>
      </c>
      <c r="BO4" s="13" t="s">
        <v>249</v>
      </c>
      <c r="BP4" s="13" t="s">
        <v>251</v>
      </c>
      <c r="BQ4" s="14" t="s">
        <v>254</v>
      </c>
      <c r="BR4" s="14" t="s">
        <v>256</v>
      </c>
      <c r="BS4" s="14" t="s">
        <v>258</v>
      </c>
    </row>
    <row r="5" spans="1:84">
      <c r="A5" s="15" t="s">
        <v>266</v>
      </c>
      <c r="B5" s="15" t="s">
        <v>265</v>
      </c>
      <c r="C5" s="16" t="s">
        <v>267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2.2610774999999999</v>
      </c>
      <c r="J5" s="18">
        <f t="shared" ref="J5:J29" si="1">IF(ISBLANK(S5),"·",S5/D5)</f>
        <v>9.661044126900846E-2</v>
      </c>
      <c r="K5" s="18">
        <f t="shared" ref="K5:K29" si="2">IF(N5="","·",N5/D5)</f>
        <v>6.1390925560582593E-2</v>
      </c>
      <c r="L5" s="18">
        <f t="shared" ref="L5:L29" si="3">IF(T5="","·",T5/D5)</f>
        <v>3.4048885968990729E-2</v>
      </c>
      <c r="M5" s="18">
        <f t="shared" ref="M5:M29" si="4">IF(ISBLANK(V5),"·",V5/D5)</f>
        <v>3.5199967826108451E-2</v>
      </c>
      <c r="N5" s="15">
        <f t="shared" ref="N5:N29" si="5">IF(OR(ISBLANK(T5),ISBLANK(U5)),"",T5+U5)</f>
        <v>1532584</v>
      </c>
      <c r="O5" s="18">
        <f t="shared" ref="O5:O29" si="6">IF(ISBLANK(S5),"·",S5/P5)</f>
        <v>0.11072324413372238</v>
      </c>
      <c r="P5" s="19">
        <v>21782382</v>
      </c>
      <c r="Q5" s="19">
        <v>680699.4375</v>
      </c>
      <c r="R5" s="19">
        <v>13867.90625</v>
      </c>
      <c r="S5" s="20">
        <v>2411816</v>
      </c>
      <c r="T5" s="20">
        <v>850008</v>
      </c>
      <c r="U5" s="20">
        <v>682576</v>
      </c>
      <c r="V5" s="20">
        <v>878744</v>
      </c>
      <c r="W5" s="21">
        <v>66.371644000000003</v>
      </c>
      <c r="X5" s="21">
        <v>68.420603</v>
      </c>
      <c r="Y5" s="21">
        <v>32.184649999999998</v>
      </c>
      <c r="Z5" s="21">
        <v>44.177241000000002</v>
      </c>
      <c r="AA5" s="21">
        <v>43.846359</v>
      </c>
      <c r="AB5" s="22">
        <v>6155.17</v>
      </c>
      <c r="AC5" s="22">
        <v>875.78399999999999</v>
      </c>
      <c r="AD5" s="22">
        <v>8.8940000000000001</v>
      </c>
      <c r="AE5" s="22">
        <v>13.125999999999999</v>
      </c>
      <c r="AG5" s="17">
        <f t="shared" ref="AG5:AG29" si="7">IF(OR(ISBLANK(AQ5),ISBLANK(G5)),"·",AQ5*G5/F5/1000000)</f>
        <v>2.2602150000000001</v>
      </c>
      <c r="AH5" s="18">
        <f t="shared" ref="AH5:AH29" si="8">IF(ISBLANK(AQ5),"·",AQ5/D5)</f>
        <v>9.6573588703983818E-2</v>
      </c>
      <c r="AI5" s="18">
        <f t="shared" ref="AI5:AI29" si="9">IF(AL5="","·",AL5/D5)</f>
        <v>6.1326193228974077E-2</v>
      </c>
      <c r="AJ5" s="18">
        <f t="shared" ref="AJ5:AJ29" si="10">IF(AR5="","·",AR5/D5)</f>
        <v>3.3651198723811698E-2</v>
      </c>
      <c r="AK5" s="18">
        <f t="shared" ref="AK5:AK29" si="11">IF(ISBLANK(AT5),"·",AT5/D5)</f>
        <v>3.522752713560514E-2</v>
      </c>
      <c r="AL5" s="15">
        <f t="shared" ref="AL5:AL29" si="12">IF(OR(ISBLANK(AR5),ISBLANK(AS5)),"",AR5+AS5)</f>
        <v>1530968</v>
      </c>
      <c r="AM5" s="18">
        <f t="shared" ref="AM5:AM29" si="13">IF(ISBLANK(AQ5),"·",AQ5/AN5)</f>
        <v>0.1118295642067616</v>
      </c>
      <c r="AN5" s="19">
        <v>21558664</v>
      </c>
      <c r="AO5" s="19">
        <v>673708.25</v>
      </c>
      <c r="AP5" s="19">
        <v>13654.3125</v>
      </c>
      <c r="AQ5" s="20">
        <v>2410896</v>
      </c>
      <c r="AR5" s="20">
        <v>840080</v>
      </c>
      <c r="AS5" s="20">
        <v>690888</v>
      </c>
      <c r="AT5" s="20">
        <v>879432</v>
      </c>
      <c r="AU5" s="21">
        <v>66.315199999999905</v>
      </c>
      <c r="AV5" s="21">
        <v>68.412687500000004</v>
      </c>
      <c r="AW5" s="21">
        <v>32.179003125000001</v>
      </c>
      <c r="AX5" s="21">
        <v>44.135365624999999</v>
      </c>
      <c r="AY5" s="21">
        <v>43.688628125000001</v>
      </c>
      <c r="AZ5" s="22">
        <v>10076.200000000001</v>
      </c>
      <c r="BA5" s="22">
        <v>1142.5</v>
      </c>
      <c r="BB5" s="22">
        <v>5.74</v>
      </c>
      <c r="BC5" s="22">
        <v>18.047999999999998</v>
      </c>
      <c r="BE5" s="23">
        <f t="shared" ref="BE5:BE29" si="14">(AP5/AO5) - (R5/Q5)</f>
        <v>-1.0562749746624231E-4</v>
      </c>
      <c r="BF5" s="23">
        <f t="shared" ref="BF5:BF29" si="15">(AL5/AQ5) - (N5/S5)</f>
        <v>-4.2780265422137642E-4</v>
      </c>
      <c r="BG5" s="23">
        <f t="array" ref="BG5">AVERAGE(AL5:AL9/AQ5:AQ9) - AVERAGE(N5:N9/S5:S9)</f>
        <v>-2.7297161892436694E-4</v>
      </c>
      <c r="BI5" s="24">
        <f>IF( OR(ISBLANK(N5:N9),ISBLANK(AL5:AL9), ISBLANK(W5:W9),ISBLANK(AU5:AU9)), "·", bdRateExtend( N5:N9,W5:W9, AL5:AL9,AU5:AU9))</f>
        <v>1.0360219845582108E-3</v>
      </c>
      <c r="BJ5" s="24">
        <f>IF( OR(ISBLANK(N5:N9),ISBLANK(AL5:AL9), ISBLANK(X5:X9),ISBLANK(AV5:AV9)), "·", bdRateExtend( N5:N9,X5:X9, AL5:AL9,AV5:AV9))</f>
        <v>3.0256906210519574E-3</v>
      </c>
      <c r="BK5" s="24">
        <f>IF( OR(ISBLANK(V5:V9),ISBLANK(AT5:AT9), ISBLANK(Y5:Y9),ISBLANK(AW5:AW9)), "·", bdRateExtend( V5:V9,Y5:Y9, AT5:AT9,AW5:AW9))</f>
        <v>2.8795832279016054E-4</v>
      </c>
      <c r="BL5" s="24">
        <f>IF( OR(ISBLANK(V5:V9),ISBLANK(AT5:AT9), ISBLANK(Z5:Z9),ISBLANK(AX5:AX9)), "·", bdRateExtend( V5:V9,Z5:Z9, AT5:AT9,AX5:AX9))</f>
        <v>-8.5155609065431515E-3</v>
      </c>
      <c r="BM5" s="24">
        <f>IF( OR(ISBLANK(V5:V9),ISBLANK(AT5:AT9), ISBLANK(AA5:AA9),ISBLANK(AY5:AY9)), "·", bdRateExtend( V5:V9,AA5:AA9, AT5:AT9,AY5:AY9))</f>
        <v>3.0171778191343535E-2</v>
      </c>
      <c r="BO5" s="24">
        <f>IF( OR(ISBLANK(S5:S9),ISBLANK(AQ5:AQ9), ISBLANK(W5:W9),ISBLANK(AU5:AU9)), "·", bdRateExtend( S5:S9,W5:W9, AQ5:AQ9,AU5:AU9))</f>
        <v>1.0299414015710884E-3</v>
      </c>
      <c r="BP5" s="24">
        <f>IF( OR(ISBLANK(S5:S9),ISBLANK(AQ5:AQ9), ISBLANK(X5:X9),ISBLANK(AV5:AV9)), "·", bdRateExtend( S5:S9,X5:X9, AQ5:AQ9,AV5:AV9))</f>
        <v>5.4450479187251322E-3</v>
      </c>
      <c r="BQ5" s="24">
        <f>IF( OR(ISBLANK(S5:S9),ISBLANK(AQ5:AQ9), ISBLANK(Y5:Y9),ISBLANK(AW5:AW9)), "·", bdRateExtend( S5:S9,Y5:Y9, AQ5:AQ9,AW5:AW9))</f>
        <v>3.9597314083561486E-4</v>
      </c>
      <c r="BR5" s="24">
        <f>IF( OR(ISBLANK(S5:S9),ISBLANK(AQ5:AQ9), ISBLANK(Z5:Z9),ISBLANK(AX5:AX9)), "·", bdRateExtend( S5:S9,Z5:Z9, AQ5:AQ9,AX5:AX9))</f>
        <v>-7.9774081366024152E-3</v>
      </c>
      <c r="BS5" s="24">
        <f>IF( OR(ISBLANK(S5:S9),ISBLANK(AQ5:AQ9), ISBLANK(AA5:AA9),ISBLANK(AY5:AY9)), "·", bdRateExtend( S5:S9,AA5:AA9, AQ5:AQ9,AY5:AY9))</f>
        <v>1.98472210832219E-2</v>
      </c>
      <c r="BU5">
        <f>AN5-P5</f>
        <v>-223718</v>
      </c>
      <c r="BV5" s="4">
        <f t="shared" ref="BV5:CF20" si="16">AO5-Q5</f>
        <v>-6991.1875</v>
      </c>
      <c r="BW5" s="4">
        <f t="shared" si="16"/>
        <v>-213.59375</v>
      </c>
      <c r="BX5" s="4">
        <f t="shared" si="16"/>
        <v>-920</v>
      </c>
      <c r="BY5" s="4">
        <f t="shared" si="16"/>
        <v>-9928</v>
      </c>
      <c r="BZ5" s="4">
        <f t="shared" si="16"/>
        <v>8312</v>
      </c>
      <c r="CA5" s="4">
        <f t="shared" si="16"/>
        <v>688</v>
      </c>
      <c r="CB5" s="4">
        <f t="shared" si="16"/>
        <v>-5.6444000000098526E-2</v>
      </c>
      <c r="CC5" s="4">
        <f t="shared" si="16"/>
        <v>-7.9154999999957454E-3</v>
      </c>
      <c r="CD5" s="4">
        <f t="shared" si="16"/>
        <v>-5.6468749999964984E-3</v>
      </c>
      <c r="CE5" s="4">
        <f t="shared" si="16"/>
        <v>-4.1875375000003601E-2</v>
      </c>
      <c r="CF5" s="4">
        <f t="shared" si="16"/>
        <v>-0.1577308749999986</v>
      </c>
    </row>
    <row r="6" spans="1:84" outlineLevel="1">
      <c r="A6" s="25"/>
      <c r="B6" s="25" t="s">
        <v>265</v>
      </c>
      <c r="C6" s="26" t="s">
        <v>268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3.4966499999999998</v>
      </c>
      <c r="J6" s="28">
        <f t="shared" si="1"/>
        <v>0.14940350318079695</v>
      </c>
      <c r="K6" s="28">
        <f t="shared" si="2"/>
        <v>7.4020139365986073E-2</v>
      </c>
      <c r="L6" s="28">
        <f t="shared" si="3"/>
        <v>4.6678099774394202E-2</v>
      </c>
      <c r="M6" s="28">
        <f t="shared" si="4"/>
        <v>7.5363815932493472E-2</v>
      </c>
      <c r="N6" s="25">
        <f t="shared" si="5"/>
        <v>1847864</v>
      </c>
      <c r="O6" s="28">
        <f t="shared" si="6"/>
        <v>0.155563189162162</v>
      </c>
      <c r="P6" s="29">
        <v>23975852</v>
      </c>
      <c r="Q6" s="29">
        <v>749245.375</v>
      </c>
      <c r="R6" s="29">
        <v>18950.78125</v>
      </c>
      <c r="S6" s="30">
        <v>3729760</v>
      </c>
      <c r="T6" s="30">
        <v>1165288</v>
      </c>
      <c r="U6" s="30">
        <v>682576</v>
      </c>
      <c r="V6" s="30">
        <v>1881408</v>
      </c>
      <c r="W6" s="31">
        <v>68.215000000000003</v>
      </c>
      <c r="X6" s="31">
        <v>70.375452999999993</v>
      </c>
      <c r="Y6" s="31">
        <v>34.464137999999998</v>
      </c>
      <c r="Z6" s="31">
        <v>45.467291000000003</v>
      </c>
      <c r="AA6" s="31">
        <v>45.275644</v>
      </c>
      <c r="AB6" s="32">
        <v>5983.52</v>
      </c>
      <c r="AC6" s="32">
        <v>924.25</v>
      </c>
      <c r="AD6" s="32">
        <v>8.9390000000000001</v>
      </c>
      <c r="AE6" s="32">
        <v>13.045999999999999</v>
      </c>
      <c r="AG6" s="27">
        <f t="shared" si="7"/>
        <v>3.5025824999999999</v>
      </c>
      <c r="AH6" s="28">
        <f t="shared" si="8"/>
        <v>0.1496569847367491</v>
      </c>
      <c r="AI6" s="28">
        <f t="shared" si="9"/>
        <v>7.417267693947939E-2</v>
      </c>
      <c r="AJ6" s="28">
        <f t="shared" si="10"/>
        <v>4.6497682434317011E-2</v>
      </c>
      <c r="AK6" s="28">
        <f t="shared" si="11"/>
        <v>7.5464439457865115E-2</v>
      </c>
      <c r="AL6" s="25">
        <f t="shared" si="12"/>
        <v>1851672</v>
      </c>
      <c r="AM6" s="28">
        <f t="shared" si="13"/>
        <v>0.15473447344883587</v>
      </c>
      <c r="AN6" s="29">
        <v>24145156</v>
      </c>
      <c r="AO6" s="29">
        <v>754536.125</v>
      </c>
      <c r="AP6" s="29">
        <v>19085.875</v>
      </c>
      <c r="AQ6" s="30">
        <v>3736088</v>
      </c>
      <c r="AR6" s="30">
        <v>1160784</v>
      </c>
      <c r="AS6" s="30">
        <v>690888</v>
      </c>
      <c r="AT6" s="30">
        <v>1883920</v>
      </c>
      <c r="AU6" s="31">
        <v>68.236996875000003</v>
      </c>
      <c r="AV6" s="31">
        <v>70.346675000000005</v>
      </c>
      <c r="AW6" s="31">
        <v>34.471631249999902</v>
      </c>
      <c r="AX6" s="31">
        <v>45.462893749999999</v>
      </c>
      <c r="AY6" s="31">
        <v>45.183921875000003</v>
      </c>
      <c r="AZ6" s="32">
        <v>10147.700000000001</v>
      </c>
      <c r="BA6" s="32">
        <v>1213.24</v>
      </c>
      <c r="BB6" s="32">
        <v>7.0720000000000001</v>
      </c>
      <c r="BC6" s="32">
        <v>20.852</v>
      </c>
      <c r="BE6" s="33">
        <f t="shared" si="14"/>
        <v>1.6884243158321599E-6</v>
      </c>
      <c r="BF6" s="33">
        <f t="shared" si="15"/>
        <v>1.8010008128221955E-4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7">AN6-P6</f>
        <v>169304</v>
      </c>
      <c r="BV6" s="4">
        <f t="shared" si="16"/>
        <v>5290.75</v>
      </c>
      <c r="BW6" s="4">
        <f t="shared" si="16"/>
        <v>135.09375</v>
      </c>
      <c r="BX6" s="4">
        <f t="shared" si="16"/>
        <v>6328</v>
      </c>
      <c r="BY6" s="4">
        <f t="shared" si="16"/>
        <v>-4504</v>
      </c>
      <c r="BZ6" s="4">
        <f t="shared" si="16"/>
        <v>8312</v>
      </c>
      <c r="CA6" s="4">
        <f t="shared" si="16"/>
        <v>2512</v>
      </c>
      <c r="CB6" s="4">
        <f t="shared" si="16"/>
        <v>2.199687499999925E-2</v>
      </c>
      <c r="CC6" s="4">
        <f t="shared" si="16"/>
        <v>-2.8777999999988424E-2</v>
      </c>
      <c r="CD6" s="4">
        <f t="shared" si="16"/>
        <v>7.4932499999036395E-3</v>
      </c>
      <c r="CE6" s="4">
        <f t="shared" si="16"/>
        <v>-4.397250000003794E-3</v>
      </c>
      <c r="CF6" s="4">
        <f t="shared" si="16"/>
        <v>-9.1722124999996879E-2</v>
      </c>
    </row>
    <row r="7" spans="1:84" outlineLevel="1">
      <c r="A7" s="15"/>
      <c r="B7" s="15" t="s">
        <v>265</v>
      </c>
      <c r="C7" s="16" t="s">
        <v>269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5.7149999999999999</v>
      </c>
      <c r="J7" s="18">
        <f t="shared" si="1"/>
        <v>0.24418830042419304</v>
      </c>
      <c r="K7" s="18">
        <f t="shared" si="2"/>
        <v>9.1995859213748116E-2</v>
      </c>
      <c r="L7" s="18">
        <f t="shared" si="3"/>
        <v>6.4653819622156258E-2</v>
      </c>
      <c r="M7" s="18">
        <f t="shared" si="4"/>
        <v>0.1521728933281275</v>
      </c>
      <c r="N7" s="15">
        <f t="shared" si="5"/>
        <v>2296616</v>
      </c>
      <c r="O7" s="18">
        <f t="shared" si="6"/>
        <v>0.24629728834200512</v>
      </c>
      <c r="P7" s="19">
        <v>24750577</v>
      </c>
      <c r="Q7" s="19">
        <v>773455.53125</v>
      </c>
      <c r="R7" s="19">
        <v>21109.375</v>
      </c>
      <c r="S7" s="20">
        <v>6096000</v>
      </c>
      <c r="T7" s="20">
        <v>1614040</v>
      </c>
      <c r="U7" s="20">
        <v>682576</v>
      </c>
      <c r="V7" s="20">
        <v>3798896</v>
      </c>
      <c r="W7" s="21">
        <v>69.662350000000004</v>
      </c>
      <c r="X7" s="21">
        <v>72.048124999999999</v>
      </c>
      <c r="Y7" s="21">
        <v>36.995455999999997</v>
      </c>
      <c r="Z7" s="21">
        <v>46.536053000000003</v>
      </c>
      <c r="AA7" s="21">
        <v>46.490108999999997</v>
      </c>
      <c r="AB7" s="22">
        <v>5938.24</v>
      </c>
      <c r="AC7" s="22">
        <v>977.19600000000003</v>
      </c>
      <c r="AD7" s="22">
        <v>9.17</v>
      </c>
      <c r="AE7" s="22">
        <v>13.85</v>
      </c>
      <c r="AG7" s="17">
        <f t="shared" si="7"/>
        <v>5.7207074999999996</v>
      </c>
      <c r="AH7" s="18">
        <f t="shared" si="8"/>
        <v>0.24443216826753009</v>
      </c>
      <c r="AI7" s="18">
        <f t="shared" si="9"/>
        <v>9.1931126882139613E-2</v>
      </c>
      <c r="AJ7" s="18">
        <f t="shared" si="10"/>
        <v>6.4256132376977221E-2</v>
      </c>
      <c r="AK7" s="18">
        <f t="shared" si="11"/>
        <v>0.15248117304598588</v>
      </c>
      <c r="AL7" s="15">
        <f t="shared" si="12"/>
        <v>2295000</v>
      </c>
      <c r="AM7" s="18">
        <f t="shared" si="13"/>
        <v>0.24609445623971724</v>
      </c>
      <c r="AN7" s="19">
        <v>24795715</v>
      </c>
      <c r="AO7" s="19">
        <v>774866.09375</v>
      </c>
      <c r="AP7" s="19">
        <v>21114.21875</v>
      </c>
      <c r="AQ7" s="20">
        <v>6102088</v>
      </c>
      <c r="AR7" s="20">
        <v>1604112</v>
      </c>
      <c r="AS7" s="20">
        <v>690888</v>
      </c>
      <c r="AT7" s="20">
        <v>3806592</v>
      </c>
      <c r="AU7" s="21">
        <v>69.661175</v>
      </c>
      <c r="AV7" s="21">
        <v>72.030415624999904</v>
      </c>
      <c r="AW7" s="21">
        <v>37.006359374999903</v>
      </c>
      <c r="AX7" s="21">
        <v>46.569612499999899</v>
      </c>
      <c r="AY7" s="21">
        <v>46.45190625</v>
      </c>
      <c r="AZ7" s="22">
        <v>11154</v>
      </c>
      <c r="BA7" s="22">
        <v>1295.6300000000001</v>
      </c>
      <c r="BB7" s="22">
        <v>7.66</v>
      </c>
      <c r="BC7" s="22">
        <v>21.8</v>
      </c>
      <c r="BE7" s="23">
        <f t="shared" si="14"/>
        <v>-4.3431678518755096E-5</v>
      </c>
      <c r="BF7" s="23">
        <f t="shared" si="15"/>
        <v>-6.4069906370434193E-4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7"/>
        <v>45138</v>
      </c>
      <c r="BV7" s="4">
        <f t="shared" si="16"/>
        <v>1410.5625</v>
      </c>
      <c r="BW7" s="4">
        <f t="shared" si="16"/>
        <v>4.84375</v>
      </c>
      <c r="BX7" s="4">
        <f t="shared" si="16"/>
        <v>6088</v>
      </c>
      <c r="BY7" s="4">
        <f t="shared" si="16"/>
        <v>-9928</v>
      </c>
      <c r="BZ7" s="4">
        <f t="shared" si="16"/>
        <v>8312</v>
      </c>
      <c r="CA7" s="4">
        <f t="shared" si="16"/>
        <v>7696</v>
      </c>
      <c r="CB7" s="4">
        <f t="shared" si="16"/>
        <v>-1.1750000000034788E-3</v>
      </c>
      <c r="CC7" s="4">
        <f t="shared" si="16"/>
        <v>-1.7709375000094951E-2</v>
      </c>
      <c r="CD7" s="4">
        <f t="shared" si="16"/>
        <v>1.0903374999905679E-2</v>
      </c>
      <c r="CE7" s="4">
        <f t="shared" si="16"/>
        <v>3.3559499999896047E-2</v>
      </c>
      <c r="CF7" s="4">
        <f t="shared" si="16"/>
        <v>-3.8202749999996399E-2</v>
      </c>
    </row>
    <row r="8" spans="1:84" outlineLevel="1">
      <c r="A8" s="25"/>
      <c r="B8" s="25" t="s">
        <v>265</v>
      </c>
      <c r="C8" s="26" t="s">
        <v>270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9.9332550000000008</v>
      </c>
      <c r="J8" s="28">
        <f t="shared" si="1"/>
        <v>0.42442426179004683</v>
      </c>
      <c r="K8" s="28">
        <f t="shared" si="2"/>
        <v>0.12158270070097184</v>
      </c>
      <c r="L8" s="28">
        <f t="shared" si="3"/>
        <v>9.4240661109379981E-2</v>
      </c>
      <c r="M8" s="28">
        <f t="shared" si="4"/>
        <v>0.30282201320675761</v>
      </c>
      <c r="N8" s="25">
        <f t="shared" si="5"/>
        <v>3035232</v>
      </c>
      <c r="O8" s="28">
        <f t="shared" si="6"/>
        <v>0.40787977063819159</v>
      </c>
      <c r="P8" s="29">
        <v>25976949</v>
      </c>
      <c r="Q8" s="29">
        <v>811779.65625</v>
      </c>
      <c r="R8" s="29">
        <v>24681.125</v>
      </c>
      <c r="S8" s="30">
        <v>10595472</v>
      </c>
      <c r="T8" s="30">
        <v>2352656</v>
      </c>
      <c r="U8" s="30">
        <v>682576</v>
      </c>
      <c r="V8" s="30">
        <v>7559752</v>
      </c>
      <c r="W8" s="31">
        <v>70.744480999999993</v>
      </c>
      <c r="X8" s="31">
        <v>73.282552999999993</v>
      </c>
      <c r="Y8" s="31">
        <v>39.626049999999999</v>
      </c>
      <c r="Z8" s="31">
        <v>47.861049999999999</v>
      </c>
      <c r="AA8" s="31">
        <v>47.983438</v>
      </c>
      <c r="AB8" s="32">
        <v>6063.47</v>
      </c>
      <c r="AC8" s="32">
        <v>1064.73</v>
      </c>
      <c r="AD8" s="32">
        <v>9.7370000000000001</v>
      </c>
      <c r="AE8" s="32">
        <v>14.425000000000001</v>
      </c>
      <c r="AG8" s="27">
        <f t="shared" si="7"/>
        <v>9.9448050000000006</v>
      </c>
      <c r="AH8" s="28">
        <f t="shared" si="8"/>
        <v>0.42491776570428996</v>
      </c>
      <c r="AI8" s="28">
        <f t="shared" si="9"/>
        <v>0.12183233677187794</v>
      </c>
      <c r="AJ8" s="28">
        <f t="shared" si="10"/>
        <v>9.4157342266715557E-2</v>
      </c>
      <c r="AK8" s="28">
        <f t="shared" si="11"/>
        <v>0.30306556059300743</v>
      </c>
      <c r="AL8" s="25">
        <f t="shared" si="12"/>
        <v>3041464</v>
      </c>
      <c r="AM8" s="28">
        <f t="shared" si="13"/>
        <v>0.40859148227978953</v>
      </c>
      <c r="AN8" s="29">
        <v>25961853</v>
      </c>
      <c r="AO8" s="29">
        <v>811307.90625</v>
      </c>
      <c r="AP8" s="29">
        <v>24718.375</v>
      </c>
      <c r="AQ8" s="30">
        <v>10607792</v>
      </c>
      <c r="AR8" s="30">
        <v>2350576</v>
      </c>
      <c r="AS8" s="30">
        <v>690888</v>
      </c>
      <c r="AT8" s="30">
        <v>7565832</v>
      </c>
      <c r="AU8" s="31">
        <v>70.739718749999994</v>
      </c>
      <c r="AV8" s="31">
        <v>73.278437499999995</v>
      </c>
      <c r="AW8" s="31">
        <v>39.627543749999901</v>
      </c>
      <c r="AX8" s="31">
        <v>47.914721874999998</v>
      </c>
      <c r="AY8" s="31">
        <v>47.9543156249999</v>
      </c>
      <c r="AZ8" s="32">
        <v>10989.4</v>
      </c>
      <c r="BA8" s="32">
        <v>1437.66</v>
      </c>
      <c r="BB8" s="32">
        <v>7.1639999999999997</v>
      </c>
      <c r="BC8" s="32">
        <v>23.224</v>
      </c>
      <c r="BE8" s="33">
        <f t="shared" si="14"/>
        <v>6.3592326195596044E-5</v>
      </c>
      <c r="BF8" s="33">
        <f t="shared" si="15"/>
        <v>2.5478922173471918E-4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7"/>
        <v>-15096</v>
      </c>
      <c r="BV8" s="4">
        <f t="shared" si="16"/>
        <v>-471.75</v>
      </c>
      <c r="BW8" s="4">
        <f t="shared" si="16"/>
        <v>37.25</v>
      </c>
      <c r="BX8" s="4">
        <f t="shared" si="16"/>
        <v>12320</v>
      </c>
      <c r="BY8" s="4">
        <f t="shared" si="16"/>
        <v>-2080</v>
      </c>
      <c r="BZ8" s="4">
        <f t="shared" si="16"/>
        <v>8312</v>
      </c>
      <c r="CA8" s="4">
        <f t="shared" si="16"/>
        <v>6080</v>
      </c>
      <c r="CB8" s="4">
        <f t="shared" si="16"/>
        <v>-4.7622499999988577E-3</v>
      </c>
      <c r="CC8" s="4">
        <f t="shared" si="16"/>
        <v>-4.1154999999974962E-3</v>
      </c>
      <c r="CD8" s="4">
        <f t="shared" si="16"/>
        <v>1.4937499999021497E-3</v>
      </c>
      <c r="CE8" s="4">
        <f t="shared" si="16"/>
        <v>5.3671874999999147E-2</v>
      </c>
      <c r="CF8" s="4">
        <f t="shared" si="16"/>
        <v>-2.912237500009951E-2</v>
      </c>
    </row>
    <row r="9" spans="1:84" ht="15.75" outlineLevel="1" thickBot="1">
      <c r="A9" s="15"/>
      <c r="B9" s="35" t="s">
        <v>265</v>
      </c>
      <c r="C9" s="36" t="s">
        <v>271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17.999017500000001</v>
      </c>
      <c r="J9" s="38">
        <f t="shared" si="1"/>
        <v>0.7690550293316375</v>
      </c>
      <c r="K9" s="38">
        <f t="shared" si="2"/>
        <v>0.19644500129204293</v>
      </c>
      <c r="L9" s="38">
        <f t="shared" si="3"/>
        <v>0.14439604073666515</v>
      </c>
      <c r="M9" s="38">
        <f t="shared" si="4"/>
        <v>0.57259048015727709</v>
      </c>
      <c r="N9" s="35">
        <f t="shared" si="5"/>
        <v>4904120</v>
      </c>
      <c r="O9" s="38">
        <f t="shared" si="6"/>
        <v>0.76765764950229076</v>
      </c>
      <c r="P9" s="39">
        <v>25009784</v>
      </c>
      <c r="Q9" s="39">
        <v>781555.75</v>
      </c>
      <c r="R9" s="39">
        <v>7640.3125</v>
      </c>
      <c r="S9" s="40">
        <v>19198952</v>
      </c>
      <c r="T9" s="40">
        <v>3604752</v>
      </c>
      <c r="U9" s="40">
        <v>1299368</v>
      </c>
      <c r="V9" s="40">
        <v>14294344</v>
      </c>
      <c r="W9" s="41">
        <v>72.154668999999998</v>
      </c>
      <c r="X9" s="41">
        <v>75.331331000000006</v>
      </c>
      <c r="Y9" s="41">
        <v>42.078766000000002</v>
      </c>
      <c r="Z9" s="41">
        <v>49.430463000000003</v>
      </c>
      <c r="AA9" s="41">
        <v>49.625230999999999</v>
      </c>
      <c r="AB9" s="42">
        <v>4801.12</v>
      </c>
      <c r="AC9" s="42">
        <v>1093.94</v>
      </c>
      <c r="AD9" s="42">
        <v>9.6419999999999995</v>
      </c>
      <c r="AE9" s="42">
        <v>14.428000000000001</v>
      </c>
      <c r="AG9" s="37">
        <f t="shared" si="7"/>
        <v>18.0068175</v>
      </c>
      <c r="AH9" s="38">
        <f t="shared" si="8"/>
        <v>0.76938830470229513</v>
      </c>
      <c r="AI9" s="38">
        <f t="shared" si="9"/>
        <v>0.19596752023215835</v>
      </c>
      <c r="AJ9" s="38">
        <f t="shared" si="10"/>
        <v>0.14397528058120981</v>
      </c>
      <c r="AK9" s="38">
        <f t="shared" si="11"/>
        <v>0.57340091613073219</v>
      </c>
      <c r="AL9" s="35">
        <f t="shared" si="12"/>
        <v>4892200</v>
      </c>
      <c r="AM9" s="38">
        <f t="shared" si="13"/>
        <v>0.76770601085269197</v>
      </c>
      <c r="AN9" s="39">
        <v>25019046</v>
      </c>
      <c r="AO9" s="39">
        <v>781845.1875</v>
      </c>
      <c r="AP9" s="39">
        <v>7631.8125</v>
      </c>
      <c r="AQ9" s="40">
        <v>19207272</v>
      </c>
      <c r="AR9" s="40">
        <v>3594248</v>
      </c>
      <c r="AS9" s="40">
        <v>1297952</v>
      </c>
      <c r="AT9" s="40">
        <v>14314576</v>
      </c>
      <c r="AU9" s="41">
        <v>72.1473625</v>
      </c>
      <c r="AV9" s="41">
        <v>75.316325000000006</v>
      </c>
      <c r="AW9" s="41">
        <v>42.067243750000003</v>
      </c>
      <c r="AX9" s="41">
        <v>49.445281250000001</v>
      </c>
      <c r="AY9" s="41">
        <v>49.630746875</v>
      </c>
      <c r="AZ9" s="42">
        <v>11040.6</v>
      </c>
      <c r="BA9" s="42">
        <v>1610.5</v>
      </c>
      <c r="BB9" s="42">
        <v>7.968</v>
      </c>
      <c r="BC9" s="42">
        <v>24.14</v>
      </c>
      <c r="BE9" s="43">
        <f t="shared" si="14"/>
        <v>-1.4490689221538164E-5</v>
      </c>
      <c r="BF9" s="43">
        <f t="shared" si="15"/>
        <v>-7.3124567971233345E-4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7"/>
        <v>9262</v>
      </c>
      <c r="BV9" s="4">
        <f t="shared" si="16"/>
        <v>289.4375</v>
      </c>
      <c r="BW9" s="4">
        <f t="shared" si="16"/>
        <v>-8.5</v>
      </c>
      <c r="BX9" s="4">
        <f t="shared" si="16"/>
        <v>8320</v>
      </c>
      <c r="BY9" s="4">
        <f t="shared" si="16"/>
        <v>-10504</v>
      </c>
      <c r="BZ9" s="4">
        <f t="shared" si="16"/>
        <v>-1416</v>
      </c>
      <c r="CA9" s="4">
        <f t="shared" si="16"/>
        <v>20232</v>
      </c>
      <c r="CB9" s="4">
        <f t="shared" si="16"/>
        <v>-7.3064999999985503E-3</v>
      </c>
      <c r="CC9" s="4">
        <f t="shared" si="16"/>
        <v>-1.5005999999999631E-2</v>
      </c>
      <c r="CD9" s="4">
        <f t="shared" si="16"/>
        <v>-1.1522249999998735E-2</v>
      </c>
      <c r="CE9" s="4">
        <f t="shared" si="16"/>
        <v>1.481824999999759E-2</v>
      </c>
      <c r="CF9" s="4">
        <f t="shared" si="16"/>
        <v>5.515875000000392E-3</v>
      </c>
    </row>
    <row r="10" spans="1:84">
      <c r="A10" s="25"/>
      <c r="B10" s="25" t="s">
        <v>274</v>
      </c>
      <c r="C10" s="26" t="s">
        <v>267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3.2820225000000001</v>
      </c>
      <c r="J10" s="28">
        <f t="shared" si="1"/>
        <v>0.15452909316436361</v>
      </c>
      <c r="K10" s="28">
        <f t="shared" si="2"/>
        <v>7.9207623606646696E-2</v>
      </c>
      <c r="L10" s="28">
        <f t="shared" si="3"/>
        <v>4.0280401640465507E-2</v>
      </c>
      <c r="M10" s="28">
        <f t="shared" si="4"/>
        <v>7.529992885830894E-2</v>
      </c>
      <c r="N10" s="25">
        <f t="shared" si="5"/>
        <v>1794432</v>
      </c>
      <c r="O10" s="28">
        <f t="shared" si="6"/>
        <v>0.17047903608712778</v>
      </c>
      <c r="P10" s="29">
        <v>20535217</v>
      </c>
      <c r="Q10" s="29">
        <v>641725.53125</v>
      </c>
      <c r="R10" s="29">
        <v>18862.125</v>
      </c>
      <c r="S10" s="30">
        <v>3500824</v>
      </c>
      <c r="T10" s="30">
        <v>912544</v>
      </c>
      <c r="U10" s="30">
        <v>881888</v>
      </c>
      <c r="V10" s="30">
        <v>1705904</v>
      </c>
      <c r="W10" s="31">
        <v>65.884490999999997</v>
      </c>
      <c r="X10" s="31">
        <v>67.865256000000002</v>
      </c>
      <c r="Y10" s="31">
        <v>32.549734000000001</v>
      </c>
      <c r="Z10" s="31">
        <v>39.246065999999999</v>
      </c>
      <c r="AA10" s="31">
        <v>32.247712</v>
      </c>
      <c r="AB10" s="32">
        <v>4519.8900000000003</v>
      </c>
      <c r="AC10" s="32">
        <v>641.43200000000002</v>
      </c>
      <c r="AD10" s="32">
        <v>7.1529999999999996</v>
      </c>
      <c r="AE10" s="32">
        <v>9.9049999999999994</v>
      </c>
      <c r="AG10" s="27">
        <f t="shared" si="7"/>
        <v>3.28416</v>
      </c>
      <c r="AH10" s="28">
        <f t="shared" si="8"/>
        <v>0.15462973413700742</v>
      </c>
      <c r="AI10" s="28">
        <f t="shared" si="9"/>
        <v>7.9413143066571934E-2</v>
      </c>
      <c r="AJ10" s="28">
        <f t="shared" si="10"/>
        <v>4.0193885716613822E-2</v>
      </c>
      <c r="AK10" s="28">
        <f t="shared" si="11"/>
        <v>7.5194697244807707E-2</v>
      </c>
      <c r="AL10" s="25">
        <f t="shared" si="12"/>
        <v>1799088</v>
      </c>
      <c r="AM10" s="28">
        <f t="shared" si="13"/>
        <v>0.16991675975109172</v>
      </c>
      <c r="AN10" s="29">
        <v>20616589</v>
      </c>
      <c r="AO10" s="29">
        <v>644268.40625</v>
      </c>
      <c r="AP10" s="29">
        <v>18739.96875</v>
      </c>
      <c r="AQ10" s="30">
        <v>3503104</v>
      </c>
      <c r="AR10" s="30">
        <v>910584</v>
      </c>
      <c r="AS10" s="30">
        <v>888504</v>
      </c>
      <c r="AT10" s="30">
        <v>1703520</v>
      </c>
      <c r="AU10" s="31">
        <v>65.911412499999997</v>
      </c>
      <c r="AV10" s="31">
        <v>67.863568749999999</v>
      </c>
      <c r="AW10" s="31">
        <v>32.553737499999997</v>
      </c>
      <c r="AX10" s="31">
        <v>39.252949999999998</v>
      </c>
      <c r="AY10" s="31">
        <v>32.229006249999998</v>
      </c>
      <c r="AZ10" s="32">
        <v>9805.7999999999993</v>
      </c>
      <c r="BA10" s="32">
        <v>1104.8399999999999</v>
      </c>
      <c r="BB10" s="32">
        <v>5.2240000000000002</v>
      </c>
      <c r="BC10" s="32">
        <v>17.088000000000001</v>
      </c>
      <c r="BE10" s="33">
        <f t="shared" si="14"/>
        <v>-3.0561567672088286E-4</v>
      </c>
      <c r="BF10" s="33">
        <f t="shared" si="15"/>
        <v>9.9549738284088196E-4</v>
      </c>
      <c r="BG10" s="33">
        <f t="array" ref="BG10">AVERAGE(AL10:AL14/AQ10:AQ14) - AVERAGE(N10:N14/S10:S14)</f>
        <v>5.1325100707277915E-4</v>
      </c>
      <c r="BI10" s="34">
        <f>IF( OR(ISBLANK(N10:N14),ISBLANK(AL10:AL14), ISBLANK(W10:W14),ISBLANK(AU10:AU14)), "·", bdRateExtend( N10:N14,W10:W14, AL10:AL14,AU10:AU14))</f>
        <v>7.7035902160171865E-4</v>
      </c>
      <c r="BJ10" s="34">
        <f>IF( OR(ISBLANK(N10:N14),ISBLANK(AL10:AL14), ISBLANK(X10:X14),ISBLANK(AV10:AV14)), "·", bdRateExtend( N10:N14,X10:X14, AL10:AL14,AV10:AV14))</f>
        <v>1.1420836156816883E-3</v>
      </c>
      <c r="BK10" s="34">
        <f>IF( OR(ISBLANK(V10:V14),ISBLANK(AT10:AT14), ISBLANK(Y10:Y14),ISBLANK(AW10:AW14)), "·", bdRateExtend( V10:V14,Y10:Y14, AT10:AT14,AW10:AW14))</f>
        <v>2.7490225885551389E-4</v>
      </c>
      <c r="BL10" s="34">
        <f>IF( OR(ISBLANK(V10:V14),ISBLANK(AT10:AT14), ISBLANK(Z10:Z14),ISBLANK(AX10:AX14)), "·", bdRateExtend( V10:V14,Z10:Z14, AT10:AT14,AX10:AX14))</f>
        <v>1.6883708895054639E-4</v>
      </c>
      <c r="BM10" s="34">
        <f>IF( OR(ISBLANK(V10:V14),ISBLANK(AT10:AT14), ISBLANK(AA10:AA14),ISBLANK(AY10:AY14)), "·", bdRateExtend( V10:V14,AA10:AA14, AT10:AT14,AY10:AY14))</f>
        <v>-1.0463651369991833E-3</v>
      </c>
      <c r="BO10" s="34">
        <f>IF( OR(ISBLANK(S10:S14),ISBLANK(AQ10:AQ14), ISBLANK(W10:W14),ISBLANK(AU10:AU14)), "·", bdRateExtend( S10:S14,W10:W14, AQ10:AQ14,AU10:AU14))</f>
        <v>-1.2660960247402597E-3</v>
      </c>
      <c r="BP10" s="34">
        <f>IF( OR(ISBLANK(S10:S14),ISBLANK(AQ10:AQ14), ISBLANK(X10:X14),ISBLANK(AV10:AV14)), "·", bdRateExtend( S10:S14,X10:X14, AQ10:AQ14,AV10:AV14))</f>
        <v>-2.6311628880704152E-4</v>
      </c>
      <c r="BQ10" s="34">
        <f>IF( OR(ISBLANK(S10:S14),ISBLANK(AQ10:AQ14), ISBLANK(Y10:Y14),ISBLANK(AW10:AW14)), "·", bdRateExtend( S10:S14,Y10:Y14, AQ10:AQ14,AW10:AW14))</f>
        <v>9.0611590881573001E-4</v>
      </c>
      <c r="BR10" s="34">
        <f>IF( OR(ISBLANK(S10:S14),ISBLANK(AQ10:AQ14), ISBLANK(Z10:Z14),ISBLANK(AX10:AX14)), "·", bdRateExtend( S10:S14,Z10:Z14, AQ10:AQ14,AX10:AX14))</f>
        <v>1.2941016843159847E-3</v>
      </c>
      <c r="BS10" s="34">
        <f>IF( OR(ISBLANK(S10:S14),ISBLANK(AQ10:AQ14), ISBLANK(AA10:AA14),ISBLANK(AY10:AY14)), "·", bdRateExtend( S10:S14,AA10:AA14, AQ10:AQ14,AY10:AY14))</f>
        <v>-2.572694072111581E-4</v>
      </c>
      <c r="BU10" s="4">
        <f t="shared" si="17"/>
        <v>81372</v>
      </c>
      <c r="BV10" s="4">
        <f t="shared" si="16"/>
        <v>2542.875</v>
      </c>
      <c r="BW10" s="4">
        <f t="shared" si="16"/>
        <v>-122.15625</v>
      </c>
      <c r="BX10" s="4">
        <f t="shared" si="16"/>
        <v>2280</v>
      </c>
      <c r="BY10" s="4">
        <f t="shared" si="16"/>
        <v>-1960</v>
      </c>
      <c r="BZ10" s="4">
        <f t="shared" si="16"/>
        <v>6616</v>
      </c>
      <c r="CA10" s="4">
        <f t="shared" si="16"/>
        <v>-2384</v>
      </c>
      <c r="CB10" s="4">
        <f t="shared" si="16"/>
        <v>2.6921500000000265E-2</v>
      </c>
      <c r="CC10" s="4">
        <f t="shared" si="16"/>
        <v>-1.6872500000033597E-3</v>
      </c>
      <c r="CD10" s="4">
        <f t="shared" si="16"/>
        <v>4.0034999999960519E-3</v>
      </c>
      <c r="CE10" s="4">
        <f t="shared" si="16"/>
        <v>6.8839999999994461E-3</v>
      </c>
      <c r="CF10" s="4">
        <f t="shared" si="16"/>
        <v>-1.8705750000002297E-2</v>
      </c>
    </row>
    <row r="11" spans="1:84" outlineLevel="1">
      <c r="A11" s="15"/>
      <c r="B11" s="15" t="s">
        <v>274</v>
      </c>
      <c r="C11" s="16" t="s">
        <v>268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4.7383875</v>
      </c>
      <c r="J11" s="18">
        <f t="shared" si="1"/>
        <v>0.22309984877811045</v>
      </c>
      <c r="K11" s="18">
        <f t="shared" si="2"/>
        <v>9.5326423035765204E-2</v>
      </c>
      <c r="L11" s="18">
        <f t="shared" si="3"/>
        <v>5.6399201069584008E-2</v>
      </c>
      <c r="M11" s="18">
        <f t="shared" si="4"/>
        <v>0.12775188504293727</v>
      </c>
      <c r="N11" s="15">
        <f t="shared" si="5"/>
        <v>2159600</v>
      </c>
      <c r="O11" s="18">
        <f t="shared" si="6"/>
        <v>0.22635365669659574</v>
      </c>
      <c r="P11" s="19">
        <v>22329129</v>
      </c>
      <c r="Q11" s="19">
        <v>697785.28125</v>
      </c>
      <c r="R11" s="19">
        <v>24746.75</v>
      </c>
      <c r="S11" s="20">
        <v>5054280</v>
      </c>
      <c r="T11" s="20">
        <v>1277712</v>
      </c>
      <c r="U11" s="20">
        <v>881888</v>
      </c>
      <c r="V11" s="20">
        <v>2894192</v>
      </c>
      <c r="W11" s="21">
        <v>67.652303000000003</v>
      </c>
      <c r="X11" s="21">
        <v>69.728712999999999</v>
      </c>
      <c r="Y11" s="21">
        <v>34.430374999999998</v>
      </c>
      <c r="Z11" s="21">
        <v>40.117533999999999</v>
      </c>
      <c r="AA11" s="21">
        <v>34.025219</v>
      </c>
      <c r="AB11" s="22">
        <v>4535.09</v>
      </c>
      <c r="AC11" s="22">
        <v>692.072</v>
      </c>
      <c r="AD11" s="22">
        <v>7.4359999999999999</v>
      </c>
      <c r="AE11" s="22">
        <v>10.407999999999999</v>
      </c>
      <c r="AG11" s="17">
        <f t="shared" si="7"/>
        <v>4.7411775</v>
      </c>
      <c r="AH11" s="18">
        <f t="shared" si="8"/>
        <v>0.2232312117318771</v>
      </c>
      <c r="AI11" s="18">
        <f t="shared" si="9"/>
        <v>9.547614855296159E-2</v>
      </c>
      <c r="AJ11" s="18">
        <f t="shared" si="10"/>
        <v>5.6256891203003478E-2</v>
      </c>
      <c r="AK11" s="18">
        <f t="shared" si="11"/>
        <v>0.12773316935328774</v>
      </c>
      <c r="AL11" s="15">
        <f t="shared" si="12"/>
        <v>2162992</v>
      </c>
      <c r="AM11" s="18">
        <f t="shared" si="13"/>
        <v>0.22622560587661161</v>
      </c>
      <c r="AN11" s="19">
        <v>22354923</v>
      </c>
      <c r="AO11" s="19">
        <v>698591.34375</v>
      </c>
      <c r="AP11" s="19">
        <v>24804.25</v>
      </c>
      <c r="AQ11" s="20">
        <v>5057256</v>
      </c>
      <c r="AR11" s="20">
        <v>1274488</v>
      </c>
      <c r="AS11" s="20">
        <v>888504</v>
      </c>
      <c r="AT11" s="20">
        <v>2893768</v>
      </c>
      <c r="AU11" s="21">
        <v>67.647353124999995</v>
      </c>
      <c r="AV11" s="21">
        <v>69.711856249999997</v>
      </c>
      <c r="AW11" s="21">
        <v>34.420765625000001</v>
      </c>
      <c r="AX11" s="21">
        <v>40.133781249999899</v>
      </c>
      <c r="AY11" s="21">
        <v>34.021765625</v>
      </c>
      <c r="AZ11" s="22">
        <v>4267.91</v>
      </c>
      <c r="BA11" s="22">
        <v>1268.56</v>
      </c>
      <c r="BB11" s="22">
        <v>6.5960000000000001</v>
      </c>
      <c r="BC11" s="22">
        <v>20.916</v>
      </c>
      <c r="BE11" s="23">
        <f t="shared" si="14"/>
        <v>4.1387902249341579E-5</v>
      </c>
      <c r="BF11" s="23">
        <f t="shared" si="15"/>
        <v>4.1928082266123878E-4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7"/>
        <v>25794</v>
      </c>
      <c r="BV11" s="4">
        <f t="shared" si="16"/>
        <v>806.0625</v>
      </c>
      <c r="BW11" s="4">
        <f t="shared" si="16"/>
        <v>57.5</v>
      </c>
      <c r="BX11" s="4">
        <f t="shared" si="16"/>
        <v>2976</v>
      </c>
      <c r="BY11" s="4">
        <f t="shared" si="16"/>
        <v>-3224</v>
      </c>
      <c r="BZ11" s="4">
        <f t="shared" si="16"/>
        <v>6616</v>
      </c>
      <c r="CA11" s="4">
        <f t="shared" si="16"/>
        <v>-424</v>
      </c>
      <c r="CB11" s="4">
        <f t="shared" si="16"/>
        <v>-4.9498750000083191E-3</v>
      </c>
      <c r="CC11" s="4">
        <f t="shared" si="16"/>
        <v>-1.6856750000002307E-2</v>
      </c>
      <c r="CD11" s="4">
        <f t="shared" si="16"/>
        <v>-9.6093749999965894E-3</v>
      </c>
      <c r="CE11" s="4">
        <f t="shared" si="16"/>
        <v>1.6247249999899793E-2</v>
      </c>
      <c r="CF11" s="4">
        <f t="shared" si="16"/>
        <v>-3.4533749999994257E-3</v>
      </c>
    </row>
    <row r="12" spans="1:84" outlineLevel="1">
      <c r="A12" s="25"/>
      <c r="B12" s="25" t="s">
        <v>274</v>
      </c>
      <c r="C12" s="26" t="s">
        <v>269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7.3394475000000003</v>
      </c>
      <c r="J12" s="28">
        <f t="shared" si="1"/>
        <v>0.34556684681547906</v>
      </c>
      <c r="K12" s="28">
        <f t="shared" si="2"/>
        <v>0.11888241378015041</v>
      </c>
      <c r="L12" s="28">
        <f t="shared" si="3"/>
        <v>7.995519181396922E-2</v>
      </c>
      <c r="M12" s="28">
        <f t="shared" si="4"/>
        <v>0.22666289233592068</v>
      </c>
      <c r="N12" s="25">
        <f t="shared" si="5"/>
        <v>2693256</v>
      </c>
      <c r="O12" s="28">
        <f t="shared" si="6"/>
        <v>0.34438755737084298</v>
      </c>
      <c r="P12" s="29">
        <v>22732366</v>
      </c>
      <c r="Q12" s="29">
        <v>710386.4375</v>
      </c>
      <c r="R12" s="29">
        <v>26400.3125</v>
      </c>
      <c r="S12" s="30">
        <v>7828744</v>
      </c>
      <c r="T12" s="30">
        <v>1811368</v>
      </c>
      <c r="U12" s="30">
        <v>881888</v>
      </c>
      <c r="V12" s="30">
        <v>5135000</v>
      </c>
      <c r="W12" s="31">
        <v>69.015468999999996</v>
      </c>
      <c r="X12" s="31">
        <v>71.358006000000003</v>
      </c>
      <c r="Y12" s="31">
        <v>36.535178000000002</v>
      </c>
      <c r="Z12" s="31">
        <v>41.058844000000001</v>
      </c>
      <c r="AA12" s="31">
        <v>35.815466000000001</v>
      </c>
      <c r="AB12" s="32">
        <v>6114.89</v>
      </c>
      <c r="AC12" s="32">
        <v>909.13099999999997</v>
      </c>
      <c r="AD12" s="32">
        <v>8.6630000000000003</v>
      </c>
      <c r="AE12" s="32">
        <v>13.17</v>
      </c>
      <c r="AG12" s="27">
        <f t="shared" si="7"/>
        <v>7.3449299999999997</v>
      </c>
      <c r="AH12" s="28">
        <f t="shared" si="8"/>
        <v>0.3458249820821549</v>
      </c>
      <c r="AI12" s="28">
        <f t="shared" si="9"/>
        <v>0.11914054904682626</v>
      </c>
      <c r="AJ12" s="28">
        <f t="shared" si="10"/>
        <v>7.9921291696868152E-2</v>
      </c>
      <c r="AK12" s="28">
        <f t="shared" si="11"/>
        <v>0.22666253920970086</v>
      </c>
      <c r="AL12" s="25">
        <f t="shared" si="12"/>
        <v>2699104</v>
      </c>
      <c r="AM12" s="28">
        <f t="shared" si="13"/>
        <v>0.34446573242636447</v>
      </c>
      <c r="AN12" s="29">
        <v>22744184</v>
      </c>
      <c r="AO12" s="29">
        <v>710755.75</v>
      </c>
      <c r="AP12" s="29">
        <v>26442.53125</v>
      </c>
      <c r="AQ12" s="30">
        <v>7834592</v>
      </c>
      <c r="AR12" s="30">
        <v>1810600</v>
      </c>
      <c r="AS12" s="30">
        <v>888504</v>
      </c>
      <c r="AT12" s="30">
        <v>5134992</v>
      </c>
      <c r="AU12" s="31">
        <v>69.019006249999904</v>
      </c>
      <c r="AV12" s="31">
        <v>71.354128125000003</v>
      </c>
      <c r="AW12" s="31">
        <v>36.533206249999999</v>
      </c>
      <c r="AX12" s="31">
        <v>41.055356249999903</v>
      </c>
      <c r="AY12" s="31">
        <v>35.828487500000001</v>
      </c>
      <c r="AZ12" s="32">
        <v>5778.1</v>
      </c>
      <c r="BA12" s="32">
        <v>1362.7</v>
      </c>
      <c r="BB12" s="32">
        <v>4.5199999999999996</v>
      </c>
      <c r="BC12" s="32">
        <v>14.584</v>
      </c>
      <c r="BE12" s="33">
        <f t="shared" si="14"/>
        <v>4.0089544828862678E-5</v>
      </c>
      <c r="BF12" s="33">
        <f t="shared" si="15"/>
        <v>4.8964419049934982E-4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7"/>
        <v>11818</v>
      </c>
      <c r="BV12" s="4">
        <f t="shared" si="16"/>
        <v>369.3125</v>
      </c>
      <c r="BW12" s="4">
        <f t="shared" si="16"/>
        <v>42.21875</v>
      </c>
      <c r="BX12" s="4">
        <f t="shared" si="16"/>
        <v>5848</v>
      </c>
      <c r="BY12" s="4">
        <f t="shared" si="16"/>
        <v>-768</v>
      </c>
      <c r="BZ12" s="4">
        <f t="shared" si="16"/>
        <v>6616</v>
      </c>
      <c r="CA12" s="4">
        <f t="shared" si="16"/>
        <v>-8</v>
      </c>
      <c r="CB12" s="4">
        <f t="shared" si="16"/>
        <v>3.5372499999084539E-3</v>
      </c>
      <c r="CC12" s="4">
        <f t="shared" si="16"/>
        <v>-3.8778750000005857E-3</v>
      </c>
      <c r="CD12" s="4">
        <f t="shared" si="16"/>
        <v>-1.9717500000027144E-3</v>
      </c>
      <c r="CE12" s="4">
        <f t="shared" si="16"/>
        <v>-3.4877500000973782E-3</v>
      </c>
      <c r="CF12" s="4">
        <f t="shared" si="16"/>
        <v>1.3021500000000685E-2</v>
      </c>
    </row>
    <row r="13" spans="1:84" outlineLevel="1">
      <c r="A13" s="15"/>
      <c r="B13" s="15" t="s">
        <v>274</v>
      </c>
      <c r="C13" s="16" t="s">
        <v>270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12.7256175</v>
      </c>
      <c r="J13" s="18">
        <f t="shared" si="1"/>
        <v>0.59916656032417692</v>
      </c>
      <c r="K13" s="18">
        <f t="shared" si="2"/>
        <v>0.1604979856576903</v>
      </c>
      <c r="L13" s="18">
        <f t="shared" si="3"/>
        <v>0.12157076369150911</v>
      </c>
      <c r="M13" s="18">
        <f t="shared" si="4"/>
        <v>0.43864703396707866</v>
      </c>
      <c r="N13" s="15">
        <f t="shared" si="5"/>
        <v>3636048</v>
      </c>
      <c r="O13" s="18">
        <f t="shared" si="6"/>
        <v>0.57209679880168962</v>
      </c>
      <c r="P13" s="19">
        <v>23726740</v>
      </c>
      <c r="Q13" s="19">
        <v>741460.625</v>
      </c>
      <c r="R13" s="19">
        <v>30316</v>
      </c>
      <c r="S13" s="20">
        <v>13573992</v>
      </c>
      <c r="T13" s="20">
        <v>2754160</v>
      </c>
      <c r="U13" s="20">
        <v>881888</v>
      </c>
      <c r="V13" s="20">
        <v>9937456</v>
      </c>
      <c r="W13" s="21">
        <v>70.039349999999999</v>
      </c>
      <c r="X13" s="21">
        <v>72.581112000000005</v>
      </c>
      <c r="Y13" s="21">
        <v>38.874422000000003</v>
      </c>
      <c r="Z13" s="21">
        <v>42.237437</v>
      </c>
      <c r="AA13" s="21">
        <v>37.915225</v>
      </c>
      <c r="AB13" s="22">
        <v>4558.83</v>
      </c>
      <c r="AC13" s="22">
        <v>799.09</v>
      </c>
      <c r="AD13" s="22">
        <v>7.44</v>
      </c>
      <c r="AE13" s="22">
        <v>11.182</v>
      </c>
      <c r="AG13" s="17">
        <f t="shared" si="7"/>
        <v>12.714952500000001</v>
      </c>
      <c r="AH13" s="18">
        <f t="shared" si="8"/>
        <v>0.59866441483961741</v>
      </c>
      <c r="AI13" s="18">
        <f t="shared" si="9"/>
        <v>0.16078613665304939</v>
      </c>
      <c r="AJ13" s="18">
        <f t="shared" si="10"/>
        <v>0.12156687930309128</v>
      </c>
      <c r="AK13" s="18">
        <f t="shared" si="11"/>
        <v>0.43785638436094021</v>
      </c>
      <c r="AL13" s="15">
        <f t="shared" si="12"/>
        <v>3642576</v>
      </c>
      <c r="AM13" s="18">
        <f t="shared" si="13"/>
        <v>0.57167731027630753</v>
      </c>
      <c r="AN13" s="19">
        <v>23724251</v>
      </c>
      <c r="AO13" s="19">
        <v>741382.84375</v>
      </c>
      <c r="AP13" s="19">
        <v>30299.78125</v>
      </c>
      <c r="AQ13" s="20">
        <v>13562616</v>
      </c>
      <c r="AR13" s="20">
        <v>2754072</v>
      </c>
      <c r="AS13" s="20">
        <v>888504</v>
      </c>
      <c r="AT13" s="20">
        <v>9919544</v>
      </c>
      <c r="AU13" s="21">
        <v>70.047775000000001</v>
      </c>
      <c r="AV13" s="21">
        <v>72.594934374999994</v>
      </c>
      <c r="AW13" s="21">
        <v>38.872250000000001</v>
      </c>
      <c r="AX13" s="21">
        <v>42.220149999999997</v>
      </c>
      <c r="AY13" s="21">
        <v>37.913215624999999</v>
      </c>
      <c r="AZ13" s="22">
        <v>5764.5</v>
      </c>
      <c r="BA13" s="22">
        <v>1507.58</v>
      </c>
      <c r="BB13" s="22">
        <v>4.78</v>
      </c>
      <c r="BC13" s="22">
        <v>15.071999999999999</v>
      </c>
      <c r="BE13" s="23">
        <f t="shared" si="14"/>
        <v>-1.7586755199014426E-5</v>
      </c>
      <c r="BF13" s="23">
        <f t="shared" si="15"/>
        <v>7.0600499742062839E-4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7"/>
        <v>-2489</v>
      </c>
      <c r="BV13" s="4">
        <f t="shared" si="16"/>
        <v>-77.78125</v>
      </c>
      <c r="BW13" s="4">
        <f t="shared" si="16"/>
        <v>-16.21875</v>
      </c>
      <c r="BX13" s="4">
        <f t="shared" si="16"/>
        <v>-11376</v>
      </c>
      <c r="BY13" s="4">
        <f t="shared" si="16"/>
        <v>-88</v>
      </c>
      <c r="BZ13" s="4">
        <f t="shared" si="16"/>
        <v>6616</v>
      </c>
      <c r="CA13" s="4">
        <f t="shared" si="16"/>
        <v>-17912</v>
      </c>
      <c r="CB13" s="4">
        <f t="shared" si="16"/>
        <v>8.4250000000025693E-3</v>
      </c>
      <c r="CC13" s="4">
        <f t="shared" si="16"/>
        <v>1.3822374999989506E-2</v>
      </c>
      <c r="CD13" s="4">
        <f t="shared" si="16"/>
        <v>-2.1720000000016171E-3</v>
      </c>
      <c r="CE13" s="4">
        <f t="shared" si="16"/>
        <v>-1.7287000000003161E-2</v>
      </c>
      <c r="CF13" s="4">
        <f t="shared" si="16"/>
        <v>-2.0093750000000909E-3</v>
      </c>
    </row>
    <row r="14" spans="1:84" ht="15.75" outlineLevel="1" thickBot="1">
      <c r="A14" s="25"/>
      <c r="B14" s="45" t="s">
        <v>274</v>
      </c>
      <c r="C14" s="46" t="s">
        <v>271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22.881345</v>
      </c>
      <c r="J14" s="48">
        <f t="shared" si="1"/>
        <v>1.0773337151804856</v>
      </c>
      <c r="K14" s="48">
        <f t="shared" si="2"/>
        <v>0.26440466958222386</v>
      </c>
      <c r="L14" s="48">
        <f t="shared" si="3"/>
        <v>0.19137569544346672</v>
      </c>
      <c r="M14" s="48">
        <f t="shared" si="4"/>
        <v>0.81290750489885388</v>
      </c>
      <c r="N14" s="45">
        <f t="shared" si="5"/>
        <v>5990032</v>
      </c>
      <c r="O14" s="48">
        <f t="shared" si="6"/>
        <v>1.0851919094343676</v>
      </c>
      <c r="P14" s="49">
        <v>22490739</v>
      </c>
      <c r="Q14" s="49">
        <v>702835.59375</v>
      </c>
      <c r="R14" s="49">
        <v>8248.25</v>
      </c>
      <c r="S14" s="50">
        <v>24406768</v>
      </c>
      <c r="T14" s="50">
        <v>4335576</v>
      </c>
      <c r="U14" s="50">
        <v>1654456</v>
      </c>
      <c r="V14" s="50">
        <v>18416248</v>
      </c>
      <c r="W14" s="51">
        <v>71.406227999999999</v>
      </c>
      <c r="X14" s="51">
        <v>74.817702999999995</v>
      </c>
      <c r="Y14" s="51">
        <v>41.207158999999997</v>
      </c>
      <c r="Z14" s="51">
        <v>43.571930999999999</v>
      </c>
      <c r="AA14" s="51">
        <v>39.821863</v>
      </c>
      <c r="AB14" s="52">
        <v>4437.8500000000004</v>
      </c>
      <c r="AC14" s="52">
        <v>953.16700000000003</v>
      </c>
      <c r="AD14" s="52">
        <v>7.9429999999999996</v>
      </c>
      <c r="AE14" s="52">
        <v>12.49</v>
      </c>
      <c r="AG14" s="47">
        <f t="shared" si="7"/>
        <v>22.8675225</v>
      </c>
      <c r="AH14" s="48">
        <f t="shared" si="8"/>
        <v>1.076682903557389</v>
      </c>
      <c r="AI14" s="48">
        <f t="shared" si="9"/>
        <v>0.26419738449119962</v>
      </c>
      <c r="AJ14" s="48">
        <f t="shared" si="10"/>
        <v>0.19096183151385784</v>
      </c>
      <c r="AK14" s="48">
        <f t="shared" si="11"/>
        <v>0.8124636252405617</v>
      </c>
      <c r="AL14" s="45">
        <f t="shared" si="12"/>
        <v>5985336</v>
      </c>
      <c r="AM14" s="48">
        <f t="shared" si="13"/>
        <v>1.0848596272991367</v>
      </c>
      <c r="AN14" s="49">
        <v>22484037</v>
      </c>
      <c r="AO14" s="49">
        <v>702626.15625</v>
      </c>
      <c r="AP14" s="49">
        <v>8241</v>
      </c>
      <c r="AQ14" s="50">
        <v>24392024</v>
      </c>
      <c r="AR14" s="50">
        <v>4326200</v>
      </c>
      <c r="AS14" s="50">
        <v>1659136</v>
      </c>
      <c r="AT14" s="50">
        <v>18406192</v>
      </c>
      <c r="AU14" s="51">
        <v>71.405093749999907</v>
      </c>
      <c r="AV14" s="51">
        <v>74.817315624999907</v>
      </c>
      <c r="AW14" s="51">
        <v>41.202268749999902</v>
      </c>
      <c r="AX14" s="51">
        <v>43.569840624999998</v>
      </c>
      <c r="AY14" s="51">
        <v>39.829659374999999</v>
      </c>
      <c r="AZ14" s="52">
        <v>8547.94</v>
      </c>
      <c r="BA14" s="52">
        <v>1879.46</v>
      </c>
      <c r="BB14" s="52">
        <v>7.5039999999999996</v>
      </c>
      <c r="BC14" s="52">
        <v>23.547999999999998</v>
      </c>
      <c r="BE14" s="53">
        <f t="shared" si="14"/>
        <v>-6.8202835268107997E-6</v>
      </c>
      <c r="BF14" s="53">
        <f t="shared" si="15"/>
        <v>-4.4172358058286454E-5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7"/>
        <v>-6702</v>
      </c>
      <c r="BV14" s="4">
        <f t="shared" si="16"/>
        <v>-209.4375</v>
      </c>
      <c r="BW14" s="4">
        <f t="shared" si="16"/>
        <v>-7.25</v>
      </c>
      <c r="BX14" s="4">
        <f t="shared" si="16"/>
        <v>-14744</v>
      </c>
      <c r="BY14" s="4">
        <f t="shared" si="16"/>
        <v>-9376</v>
      </c>
      <c r="BZ14" s="4">
        <f t="shared" si="16"/>
        <v>4680</v>
      </c>
      <c r="CA14" s="4">
        <f t="shared" si="16"/>
        <v>-10056</v>
      </c>
      <c r="CB14" s="4">
        <f t="shared" si="16"/>
        <v>-1.1342500000921518E-3</v>
      </c>
      <c r="CC14" s="4">
        <f t="shared" si="16"/>
        <v>-3.8737500008778625E-4</v>
      </c>
      <c r="CD14" s="4">
        <f t="shared" si="16"/>
        <v>-4.890250000094909E-3</v>
      </c>
      <c r="CE14" s="4">
        <f t="shared" si="16"/>
        <v>-2.090375000001643E-3</v>
      </c>
      <c r="CF14" s="4">
        <f t="shared" si="16"/>
        <v>7.7963749999980791E-3</v>
      </c>
    </row>
    <row r="15" spans="1:84">
      <c r="A15" s="15"/>
      <c r="B15" s="15" t="s">
        <v>277</v>
      </c>
      <c r="C15" s="16" t="s">
        <v>267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4.4962350000000004</v>
      </c>
      <c r="J15" s="18">
        <f t="shared" si="1"/>
        <v>0.14127559325195291</v>
      </c>
      <c r="K15" s="18">
        <f t="shared" si="2"/>
        <v>7.7989336426089087E-2</v>
      </c>
      <c r="L15" s="18">
        <f t="shared" si="3"/>
        <v>4.0845396441669513E-2</v>
      </c>
      <c r="M15" s="18">
        <f t="shared" si="4"/>
        <v>6.3271881780094907E-2</v>
      </c>
      <c r="N15" s="15">
        <f t="shared" si="5"/>
        <v>2647560</v>
      </c>
      <c r="O15" s="18">
        <f t="shared" si="6"/>
        <v>0.15577250460611999</v>
      </c>
      <c r="P15" s="19">
        <v>30788386</v>
      </c>
      <c r="Q15" s="19">
        <v>962137.0625</v>
      </c>
      <c r="R15" s="19">
        <v>30163.1875</v>
      </c>
      <c r="S15" s="20">
        <v>4795984</v>
      </c>
      <c r="T15" s="20">
        <v>1386608</v>
      </c>
      <c r="U15" s="20">
        <v>1260952</v>
      </c>
      <c r="V15" s="20">
        <v>2147936</v>
      </c>
      <c r="W15" s="21">
        <v>65.950609</v>
      </c>
      <c r="X15" s="21">
        <v>67.829724999999996</v>
      </c>
      <c r="Y15" s="21">
        <v>29.619458999999999</v>
      </c>
      <c r="Z15" s="21">
        <v>43.217388</v>
      </c>
      <c r="AA15" s="21">
        <v>43.49145</v>
      </c>
      <c r="AB15" s="22">
        <v>7707.66</v>
      </c>
      <c r="AC15" s="22">
        <v>965.52099999999996</v>
      </c>
      <c r="AD15" s="22">
        <v>12.042999999999999</v>
      </c>
      <c r="AE15" s="22">
        <v>14.326000000000001</v>
      </c>
      <c r="AG15" s="17">
        <f t="shared" si="7"/>
        <v>4.5230100000000002</v>
      </c>
      <c r="AH15" s="18">
        <f t="shared" si="8"/>
        <v>0.14211688691416607</v>
      </c>
      <c r="AI15" s="18">
        <f t="shared" si="9"/>
        <v>7.8552555432444673E-2</v>
      </c>
      <c r="AJ15" s="18">
        <f t="shared" si="10"/>
        <v>4.1034864258033488E-2</v>
      </c>
      <c r="AK15" s="18">
        <f t="shared" si="11"/>
        <v>6.3549720779464469E-2</v>
      </c>
      <c r="AL15" s="15">
        <f t="shared" si="12"/>
        <v>2666680</v>
      </c>
      <c r="AM15" s="18">
        <f t="shared" si="13"/>
        <v>0.15553484785400457</v>
      </c>
      <c r="AN15" s="19">
        <v>31019055</v>
      </c>
      <c r="AO15" s="19">
        <v>969345.46875</v>
      </c>
      <c r="AP15" s="19">
        <v>30632.5625</v>
      </c>
      <c r="AQ15" s="20">
        <v>4824544</v>
      </c>
      <c r="AR15" s="20">
        <v>1393040</v>
      </c>
      <c r="AS15" s="20">
        <v>1273640</v>
      </c>
      <c r="AT15" s="20">
        <v>2157368</v>
      </c>
      <c r="AU15" s="21">
        <v>65.993662499999999</v>
      </c>
      <c r="AV15" s="21">
        <v>67.834546875000001</v>
      </c>
      <c r="AW15" s="21">
        <v>29.619846875</v>
      </c>
      <c r="AX15" s="21">
        <v>43.190931249999998</v>
      </c>
      <c r="AY15" s="21">
        <v>43.488174999999998</v>
      </c>
      <c r="AZ15" s="22">
        <v>11537.7</v>
      </c>
      <c r="BA15" s="22">
        <v>1457.7</v>
      </c>
      <c r="BB15" s="22">
        <v>7.34</v>
      </c>
      <c r="BC15" s="22">
        <v>20.416</v>
      </c>
      <c r="BE15" s="23">
        <f t="shared" si="14"/>
        <v>2.5108699012794944E-4</v>
      </c>
      <c r="BF15" s="23">
        <f t="shared" si="15"/>
        <v>6.9515937020447893E-4</v>
      </c>
      <c r="BG15" s="23">
        <f t="array" ref="BG15">AVERAGE(AL15:AL19/AQ15:AQ19) - AVERAGE(N15:N19/S15:S19)</f>
        <v>1.0542609812924653E-7</v>
      </c>
      <c r="BI15" s="24">
        <f>IF( OR(ISBLANK(N15:N19),ISBLANK(AL15:AL19), ISBLANK(W15:W19),ISBLANK(AU15:AU19)), "·", bdRateExtend( N15:N19,W15:W19, AL15:AL19,AU15:AU19))</f>
        <v>6.3431446515616052E-4</v>
      </c>
      <c r="BJ15" s="24">
        <f>IF( OR(ISBLANK(N15:N19),ISBLANK(AL15:AL19), ISBLANK(X15:X19),ISBLANK(AV15:AV19)), "·", bdRateExtend( N15:N19,X15:X19, AL15:AL19,AV15:AV19))</f>
        <v>3.2031578730062904E-4</v>
      </c>
      <c r="BK15" s="24">
        <f>IF( OR(ISBLANK(V15:V19),ISBLANK(AT15:AT19), ISBLANK(Y15:Y19),ISBLANK(AW15:AW19)), "·", bdRateExtend( V15:V19,Y15:Y19, AT15:AT19,AW15:AW19))</f>
        <v>2.9094304933390269E-3</v>
      </c>
      <c r="BL15" s="24">
        <f>IF( OR(ISBLANK(V15:V19),ISBLANK(AT15:AT19), ISBLANK(Z15:Z19),ISBLANK(AX15:AX19)), "·", bdRateExtend( V15:V19,Z15:Z19, AT15:AT19,AX15:AX19))</f>
        <v>1.4197618932477951E-2</v>
      </c>
      <c r="BM15" s="24">
        <f>IF( OR(ISBLANK(V15:V19),ISBLANK(AT15:AT19), ISBLANK(AA15:AA19),ISBLANK(AY15:AY19)), "·", bdRateExtend( V15:V19,AA15:AA19, AT15:AT19,AY15:AY19))</f>
        <v>-1.3878460228741174E-2</v>
      </c>
      <c r="BO15" s="24">
        <f>IF( OR(ISBLANK(S15:S19),ISBLANK(AQ15:AQ19), ISBLANK(W15:W19),ISBLANK(AU15:AU19)), "·", bdRateExtend( S15:S19,W15:W19, AQ15:AQ19,AU15:AU19))</f>
        <v>-8.6836845205839897E-4</v>
      </c>
      <c r="BP15" s="24">
        <f>IF( OR(ISBLANK(S15:S19),ISBLANK(AQ15:AQ19), ISBLANK(X15:X19),ISBLANK(AV15:AV19)), "·", bdRateExtend( S15:S19,X15:X19, AQ15:AQ19,AV15:AV19))</f>
        <v>-9.823000551982819E-4</v>
      </c>
      <c r="BQ15" s="24">
        <f>IF( OR(ISBLANK(S15:S19),ISBLANK(AQ15:AQ19), ISBLANK(Y15:Y19),ISBLANK(AW15:AW19)), "·", bdRateExtend( S15:S19,Y15:Y19, AQ15:AQ19,AW15:AW19))</f>
        <v>2.762956641672254E-3</v>
      </c>
      <c r="BR15" s="24">
        <f>IF( OR(ISBLANK(S15:S19),ISBLANK(AQ15:AQ19), ISBLANK(Z15:Z19),ISBLANK(AX15:AX19)), "·", bdRateExtend( S15:S19,Z15:Z19, AQ15:AQ19,AX15:AX19))</f>
        <v>1.1352319495012031E-2</v>
      </c>
      <c r="BS15" s="24">
        <f>IF( OR(ISBLANK(S15:S19),ISBLANK(AQ15:AQ19), ISBLANK(AA15:AA19),ISBLANK(AY15:AY19)), "·", bdRateExtend( S15:S19,AA15:AA19, AQ15:AQ19,AY15:AY19))</f>
        <v>-1.1048556398003839E-2</v>
      </c>
      <c r="BU15" s="4">
        <f t="shared" si="17"/>
        <v>230669</v>
      </c>
      <c r="BV15" s="4">
        <f t="shared" si="16"/>
        <v>7208.40625</v>
      </c>
      <c r="BW15" s="4">
        <f t="shared" si="16"/>
        <v>469.375</v>
      </c>
      <c r="BX15" s="4">
        <f t="shared" si="16"/>
        <v>28560</v>
      </c>
      <c r="BY15" s="4">
        <f t="shared" si="16"/>
        <v>6432</v>
      </c>
      <c r="BZ15" s="4">
        <f t="shared" si="16"/>
        <v>12688</v>
      </c>
      <c r="CA15" s="4">
        <f t="shared" si="16"/>
        <v>9432</v>
      </c>
      <c r="CB15" s="4">
        <f t="shared" si="16"/>
        <v>4.305349999999919E-2</v>
      </c>
      <c r="CC15" s="4">
        <f t="shared" si="16"/>
        <v>4.8218750000046384E-3</v>
      </c>
      <c r="CD15" s="4">
        <f t="shared" si="16"/>
        <v>3.8787500000125874E-4</v>
      </c>
      <c r="CE15" s="4">
        <f t="shared" si="16"/>
        <v>-2.645675000000125E-2</v>
      </c>
      <c r="CF15" s="4">
        <f t="shared" si="16"/>
        <v>-3.2750000000021373E-3</v>
      </c>
    </row>
    <row r="16" spans="1:84" outlineLevel="1">
      <c r="A16" s="25"/>
      <c r="B16" s="25" t="s">
        <v>277</v>
      </c>
      <c r="C16" s="26" t="s">
        <v>268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7.2069225000000001</v>
      </c>
      <c r="J16" s="28">
        <f t="shared" si="1"/>
        <v>0.22644773943273594</v>
      </c>
      <c r="K16" s="28">
        <f t="shared" si="2"/>
        <v>9.4306191656240337E-2</v>
      </c>
      <c r="L16" s="28">
        <f t="shared" si="3"/>
        <v>5.716225167182077E-2</v>
      </c>
      <c r="M16" s="28">
        <f t="shared" si="4"/>
        <v>0.13212717273072669</v>
      </c>
      <c r="N16" s="25">
        <f t="shared" si="5"/>
        <v>3201480</v>
      </c>
      <c r="O16" s="28">
        <f t="shared" si="6"/>
        <v>0.22978352705086874</v>
      </c>
      <c r="P16" s="29">
        <v>33454896</v>
      </c>
      <c r="Q16" s="29">
        <v>1045465.5</v>
      </c>
      <c r="R16" s="29">
        <v>38721.4375</v>
      </c>
      <c r="S16" s="30">
        <v>7687384</v>
      </c>
      <c r="T16" s="30">
        <v>1940528</v>
      </c>
      <c r="U16" s="30">
        <v>1260952</v>
      </c>
      <c r="V16" s="30">
        <v>4485416</v>
      </c>
      <c r="W16" s="31">
        <v>67.814684</v>
      </c>
      <c r="X16" s="31">
        <v>69.863018999999994</v>
      </c>
      <c r="Y16" s="31">
        <v>32.071891000000001</v>
      </c>
      <c r="Z16" s="31">
        <v>44.049287999999997</v>
      </c>
      <c r="AA16" s="31">
        <v>44.426468999999997</v>
      </c>
      <c r="AB16" s="32">
        <v>5853.85</v>
      </c>
      <c r="AC16" s="32">
        <v>845.03499999999997</v>
      </c>
      <c r="AD16" s="32">
        <v>11.082000000000001</v>
      </c>
      <c r="AE16" s="32">
        <v>13.061999999999999</v>
      </c>
      <c r="AG16" s="27">
        <f t="shared" si="7"/>
        <v>7.223535</v>
      </c>
      <c r="AH16" s="28">
        <f t="shared" si="8"/>
        <v>0.22696971855368894</v>
      </c>
      <c r="AI16" s="28">
        <f t="shared" si="9"/>
        <v>9.4459839686426045E-2</v>
      </c>
      <c r="AJ16" s="28">
        <f t="shared" si="10"/>
        <v>5.6942148512014859E-2</v>
      </c>
      <c r="AK16" s="28">
        <f t="shared" si="11"/>
        <v>0.13249526816500595</v>
      </c>
      <c r="AL16" s="25">
        <f t="shared" si="12"/>
        <v>3206696</v>
      </c>
      <c r="AM16" s="28">
        <f t="shared" si="13"/>
        <v>0.22978563124064225</v>
      </c>
      <c r="AN16" s="29">
        <v>33531705</v>
      </c>
      <c r="AO16" s="29">
        <v>1047865.78125</v>
      </c>
      <c r="AP16" s="29">
        <v>38886.46875</v>
      </c>
      <c r="AQ16" s="30">
        <v>7705104</v>
      </c>
      <c r="AR16" s="30">
        <v>1933056</v>
      </c>
      <c r="AS16" s="30">
        <v>1273640</v>
      </c>
      <c r="AT16" s="30">
        <v>4497912</v>
      </c>
      <c r="AU16" s="31">
        <v>67.824271874999994</v>
      </c>
      <c r="AV16" s="31">
        <v>69.877096874999907</v>
      </c>
      <c r="AW16" s="31">
        <v>32.069268749999999</v>
      </c>
      <c r="AX16" s="31">
        <v>44.0404499999999</v>
      </c>
      <c r="AY16" s="31">
        <v>44.459962500000003</v>
      </c>
      <c r="AZ16" s="32">
        <v>12938.1</v>
      </c>
      <c r="BA16" s="32">
        <v>1472.22</v>
      </c>
      <c r="BB16" s="32">
        <v>6.8280000000000003</v>
      </c>
      <c r="BC16" s="32">
        <v>17.712</v>
      </c>
      <c r="BE16" s="33">
        <f t="shared" si="14"/>
        <v>7.2653209792564177E-5</v>
      </c>
      <c r="BF16" s="33">
        <f t="shared" si="15"/>
        <v>-2.8080774720573576E-4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7"/>
        <v>76809</v>
      </c>
      <c r="BV16" s="4">
        <f t="shared" si="16"/>
        <v>2400.28125</v>
      </c>
      <c r="BW16" s="4">
        <f t="shared" si="16"/>
        <v>165.03125</v>
      </c>
      <c r="BX16" s="4">
        <f t="shared" si="16"/>
        <v>17720</v>
      </c>
      <c r="BY16" s="4">
        <f t="shared" si="16"/>
        <v>-7472</v>
      </c>
      <c r="BZ16" s="4">
        <f t="shared" si="16"/>
        <v>12688</v>
      </c>
      <c r="CA16" s="4">
        <f t="shared" si="16"/>
        <v>12496</v>
      </c>
      <c r="CB16" s="4">
        <f t="shared" si="16"/>
        <v>9.5878749999940283E-3</v>
      </c>
      <c r="CC16" s="4">
        <f t="shared" si="16"/>
        <v>1.4077874999912865E-2</v>
      </c>
      <c r="CD16" s="4">
        <f t="shared" si="16"/>
        <v>-2.6222500000017135E-3</v>
      </c>
      <c r="CE16" s="4">
        <f t="shared" si="16"/>
        <v>-8.8380000000967129E-3</v>
      </c>
      <c r="CF16" s="4">
        <f t="shared" si="16"/>
        <v>3.3493500000005838E-2</v>
      </c>
    </row>
    <row r="17" spans="1:84" outlineLevel="1">
      <c r="A17" s="15"/>
      <c r="B17" s="15" t="s">
        <v>277</v>
      </c>
      <c r="C17" s="16" t="s">
        <v>269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12.1320075</v>
      </c>
      <c r="J17" s="18">
        <f t="shared" si="1"/>
        <v>0.3811981706693805</v>
      </c>
      <c r="K17" s="18">
        <f t="shared" si="2"/>
        <v>0.11777852048847584</v>
      </c>
      <c r="L17" s="18">
        <f t="shared" si="3"/>
        <v>8.0634580504056266E-2</v>
      </c>
      <c r="M17" s="18">
        <f t="shared" si="4"/>
        <v>0.26340527513513573</v>
      </c>
      <c r="N17" s="15">
        <f t="shared" si="5"/>
        <v>3998312</v>
      </c>
      <c r="O17" s="18">
        <f t="shared" si="6"/>
        <v>0.37983839208421599</v>
      </c>
      <c r="P17" s="19">
        <v>34069247</v>
      </c>
      <c r="Q17" s="19">
        <v>1064663.96875</v>
      </c>
      <c r="R17" s="19">
        <v>40680.875</v>
      </c>
      <c r="S17" s="20">
        <v>12940808</v>
      </c>
      <c r="T17" s="20">
        <v>2737360</v>
      </c>
      <c r="U17" s="20">
        <v>1260952</v>
      </c>
      <c r="V17" s="20">
        <v>8942008</v>
      </c>
      <c r="W17" s="21">
        <v>69.259833999999998</v>
      </c>
      <c r="X17" s="21">
        <v>71.661615999999995</v>
      </c>
      <c r="Y17" s="21">
        <v>34.619777999999997</v>
      </c>
      <c r="Z17" s="21">
        <v>44.919091000000002</v>
      </c>
      <c r="AA17" s="21">
        <v>45.353890999999997</v>
      </c>
      <c r="AB17" s="22">
        <v>5509.07</v>
      </c>
      <c r="AC17" s="22">
        <v>904.64300000000003</v>
      </c>
      <c r="AD17" s="22">
        <v>11.167999999999999</v>
      </c>
      <c r="AE17" s="22">
        <v>13.047000000000001</v>
      </c>
      <c r="AG17" s="17">
        <f t="shared" si="7"/>
        <v>12.1654125</v>
      </c>
      <c r="AH17" s="18">
        <f t="shared" si="8"/>
        <v>0.38224778466699882</v>
      </c>
      <c r="AI17" s="18">
        <f t="shared" si="9"/>
        <v>0.11806413615194988</v>
      </c>
      <c r="AJ17" s="18">
        <f t="shared" si="10"/>
        <v>8.0546444977538698E-2</v>
      </c>
      <c r="AK17" s="18">
        <f t="shared" si="11"/>
        <v>0.264169037812792</v>
      </c>
      <c r="AL17" s="15">
        <f t="shared" si="12"/>
        <v>4008008</v>
      </c>
      <c r="AM17" s="18">
        <f t="shared" si="13"/>
        <v>0.3812197024560075</v>
      </c>
      <c r="AN17" s="19">
        <v>34039269</v>
      </c>
      <c r="AO17" s="19">
        <v>1063727.15625</v>
      </c>
      <c r="AP17" s="19">
        <v>40807.28125</v>
      </c>
      <c r="AQ17" s="20">
        <v>12976440</v>
      </c>
      <c r="AR17" s="20">
        <v>2734368</v>
      </c>
      <c r="AS17" s="20">
        <v>1273640</v>
      </c>
      <c r="AT17" s="20">
        <v>8967936</v>
      </c>
      <c r="AU17" s="21">
        <v>69.261243749999906</v>
      </c>
      <c r="AV17" s="21">
        <v>71.672759374999998</v>
      </c>
      <c r="AW17" s="21">
        <v>34.620124999999902</v>
      </c>
      <c r="AX17" s="21">
        <v>44.856715625</v>
      </c>
      <c r="AY17" s="21">
        <v>45.372</v>
      </c>
      <c r="AZ17" s="22">
        <v>12932.7</v>
      </c>
      <c r="BA17" s="22">
        <v>1580.92</v>
      </c>
      <c r="BB17" s="22">
        <v>8.4480000000000004</v>
      </c>
      <c r="BC17" s="22">
        <v>23.984000000000002</v>
      </c>
      <c r="BE17" s="23">
        <f t="shared" si="14"/>
        <v>1.5248450850386536E-4</v>
      </c>
      <c r="BF17" s="23">
        <f t="shared" si="15"/>
        <v>-1.0119825051929654E-4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7"/>
        <v>-29978</v>
      </c>
      <c r="BV17" s="4">
        <f t="shared" si="16"/>
        <v>-936.8125</v>
      </c>
      <c r="BW17" s="4">
        <f t="shared" si="16"/>
        <v>126.40625</v>
      </c>
      <c r="BX17" s="4">
        <f t="shared" si="16"/>
        <v>35632</v>
      </c>
      <c r="BY17" s="4">
        <f t="shared" si="16"/>
        <v>-2992</v>
      </c>
      <c r="BZ17" s="4">
        <f t="shared" si="16"/>
        <v>12688</v>
      </c>
      <c r="CA17" s="4">
        <f t="shared" si="16"/>
        <v>25928</v>
      </c>
      <c r="CB17" s="4">
        <f t="shared" si="16"/>
        <v>1.409749999908172E-3</v>
      </c>
      <c r="CC17" s="4">
        <f t="shared" si="16"/>
        <v>1.1143375000003175E-2</v>
      </c>
      <c r="CD17" s="4">
        <f t="shared" si="16"/>
        <v>3.4699999990550623E-4</v>
      </c>
      <c r="CE17" s="4">
        <f t="shared" si="16"/>
        <v>-6.2375375000002009E-2</v>
      </c>
      <c r="CF17" s="4">
        <f t="shared" si="16"/>
        <v>1.8109000000002595E-2</v>
      </c>
    </row>
    <row r="18" spans="1:84" outlineLevel="1">
      <c r="A18" s="25"/>
      <c r="B18" s="25" t="s">
        <v>277</v>
      </c>
      <c r="C18" s="26" t="s">
        <v>270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21.938617499999999</v>
      </c>
      <c r="J18" s="28">
        <f t="shared" si="1"/>
        <v>0.68933034026027906</v>
      </c>
      <c r="K18" s="28">
        <f t="shared" si="2"/>
        <v>0.15679498692666174</v>
      </c>
      <c r="L18" s="28">
        <f t="shared" si="3"/>
        <v>0.11965104694224218</v>
      </c>
      <c r="M18" s="28">
        <f t="shared" si="4"/>
        <v>0.53252097828784839</v>
      </c>
      <c r="N18" s="25">
        <f t="shared" si="5"/>
        <v>5322832</v>
      </c>
      <c r="O18" s="28">
        <f t="shared" si="6"/>
        <v>0.65778231668182252</v>
      </c>
      <c r="P18" s="29">
        <v>35575891</v>
      </c>
      <c r="Q18" s="29">
        <v>1111746.59375</v>
      </c>
      <c r="R18" s="29">
        <v>46456.625</v>
      </c>
      <c r="S18" s="30">
        <v>23401192</v>
      </c>
      <c r="T18" s="30">
        <v>4061880</v>
      </c>
      <c r="U18" s="30">
        <v>1260952</v>
      </c>
      <c r="V18" s="30">
        <v>18077872</v>
      </c>
      <c r="W18" s="31">
        <v>70.371646999999996</v>
      </c>
      <c r="X18" s="31">
        <v>72.992165999999997</v>
      </c>
      <c r="Y18" s="31">
        <v>37.274403</v>
      </c>
      <c r="Z18" s="31">
        <v>46.214531000000001</v>
      </c>
      <c r="AA18" s="31">
        <v>46.727243999999999</v>
      </c>
      <c r="AB18" s="32">
        <v>5782.93</v>
      </c>
      <c r="AC18" s="32">
        <v>1059.54</v>
      </c>
      <c r="AD18" s="32">
        <v>11.178000000000001</v>
      </c>
      <c r="AE18" s="32">
        <v>14.151999999999999</v>
      </c>
      <c r="AG18" s="27">
        <f t="shared" si="7"/>
        <v>21.973485</v>
      </c>
      <c r="AH18" s="28">
        <f t="shared" si="8"/>
        <v>0.6904259072730603</v>
      </c>
      <c r="AI18" s="28">
        <f t="shared" si="9"/>
        <v>0.15696772313237667</v>
      </c>
      <c r="AJ18" s="28">
        <f t="shared" si="10"/>
        <v>0.11945003195796548</v>
      </c>
      <c r="AK18" s="28">
        <f t="shared" si="11"/>
        <v>0.53344357343842674</v>
      </c>
      <c r="AL18" s="25">
        <f t="shared" si="12"/>
        <v>5328696</v>
      </c>
      <c r="AM18" s="28">
        <f t="shared" si="13"/>
        <v>0.65917191275066989</v>
      </c>
      <c r="AN18" s="29">
        <v>35557316</v>
      </c>
      <c r="AO18" s="29">
        <v>1111166.125</v>
      </c>
      <c r="AP18" s="29">
        <v>46580.46875</v>
      </c>
      <c r="AQ18" s="30">
        <v>23438384</v>
      </c>
      <c r="AR18" s="30">
        <v>4055056</v>
      </c>
      <c r="AS18" s="30">
        <v>1273640</v>
      </c>
      <c r="AT18" s="30">
        <v>18109192</v>
      </c>
      <c r="AU18" s="31">
        <v>70.382015624999994</v>
      </c>
      <c r="AV18" s="31">
        <v>73.005503125000004</v>
      </c>
      <c r="AW18" s="31">
        <v>37.274690624999998</v>
      </c>
      <c r="AX18" s="31">
        <v>46.213653125</v>
      </c>
      <c r="AY18" s="31">
        <v>46.780184374999997</v>
      </c>
      <c r="AZ18" s="32">
        <v>14100.1</v>
      </c>
      <c r="BA18" s="32">
        <v>1818.56</v>
      </c>
      <c r="BB18" s="32">
        <v>8.5640000000000001</v>
      </c>
      <c r="BC18" s="32">
        <v>25.356000000000002</v>
      </c>
      <c r="BE18" s="33">
        <f t="shared" si="14"/>
        <v>1.3328325163826371E-4</v>
      </c>
      <c r="BF18" s="33">
        <f t="shared" si="15"/>
        <v>-1.1074514956913029E-4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7"/>
        <v>-18575</v>
      </c>
      <c r="BV18" s="4">
        <f t="shared" si="16"/>
        <v>-580.46875</v>
      </c>
      <c r="BW18" s="4">
        <f t="shared" si="16"/>
        <v>123.84375</v>
      </c>
      <c r="BX18" s="4">
        <f t="shared" si="16"/>
        <v>37192</v>
      </c>
      <c r="BY18" s="4">
        <f t="shared" si="16"/>
        <v>-6824</v>
      </c>
      <c r="BZ18" s="4">
        <f t="shared" si="16"/>
        <v>12688</v>
      </c>
      <c r="CA18" s="4">
        <f t="shared" si="16"/>
        <v>31320</v>
      </c>
      <c r="CB18" s="4">
        <f t="shared" si="16"/>
        <v>1.0368624999998133E-2</v>
      </c>
      <c r="CC18" s="4">
        <f t="shared" si="16"/>
        <v>1.3337125000006722E-2</v>
      </c>
      <c r="CD18" s="4">
        <f t="shared" si="16"/>
        <v>2.8762499999857027E-4</v>
      </c>
      <c r="CE18" s="4">
        <f t="shared" si="16"/>
        <v>-8.7787500000047203E-4</v>
      </c>
      <c r="CF18" s="4">
        <f t="shared" si="16"/>
        <v>5.2940374999998596E-2</v>
      </c>
    </row>
    <row r="19" spans="1:84" ht="15.75" outlineLevel="1" thickBot="1">
      <c r="A19" s="15"/>
      <c r="B19" s="35" t="s">
        <v>277</v>
      </c>
      <c r="C19" s="36" t="s">
        <v>271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39.364139999999999</v>
      </c>
      <c r="J19" s="38">
        <f t="shared" si="1"/>
        <v>1.2368553314835478</v>
      </c>
      <c r="K19" s="38">
        <f t="shared" si="2"/>
        <v>0.25348130911185252</v>
      </c>
      <c r="L19" s="38">
        <f t="shared" si="3"/>
        <v>0.1837317017892042</v>
      </c>
      <c r="M19" s="38">
        <f t="shared" si="4"/>
        <v>0.98335964732592629</v>
      </c>
      <c r="N19" s="35">
        <f t="shared" si="5"/>
        <v>8605112</v>
      </c>
      <c r="O19" s="38">
        <f t="shared" si="6"/>
        <v>1.2438786434628779</v>
      </c>
      <c r="P19" s="39">
        <v>33756039</v>
      </c>
      <c r="Q19" s="39">
        <v>1054876.21875</v>
      </c>
      <c r="R19" s="39">
        <v>12599.21875</v>
      </c>
      <c r="S19" s="40">
        <v>41988416</v>
      </c>
      <c r="T19" s="40">
        <v>6237272</v>
      </c>
      <c r="U19" s="40">
        <v>2367840</v>
      </c>
      <c r="V19" s="40">
        <v>33382816</v>
      </c>
      <c r="W19" s="41">
        <v>71.717622000000006</v>
      </c>
      <c r="X19" s="41">
        <v>75.180034000000006</v>
      </c>
      <c r="Y19" s="41">
        <v>39.396805999999998</v>
      </c>
      <c r="Z19" s="41">
        <v>47.995384000000001</v>
      </c>
      <c r="AA19" s="41">
        <v>48.573436999999998</v>
      </c>
      <c r="AB19" s="42">
        <v>7657.07</v>
      </c>
      <c r="AC19" s="42">
        <v>1674.98</v>
      </c>
      <c r="AD19" s="42">
        <v>13.842000000000001</v>
      </c>
      <c r="AE19" s="42">
        <v>20.253</v>
      </c>
      <c r="AG19" s="37">
        <f t="shared" si="7"/>
        <v>39.4071675</v>
      </c>
      <c r="AH19" s="38">
        <f t="shared" si="8"/>
        <v>1.2382072927552892</v>
      </c>
      <c r="AI19" s="38">
        <f t="shared" si="9"/>
        <v>0.25350840960797422</v>
      </c>
      <c r="AJ19" s="38">
        <f t="shared" si="10"/>
        <v>0.18329267375203245</v>
      </c>
      <c r="AK19" s="38">
        <f t="shared" si="11"/>
        <v>0.98468427244505796</v>
      </c>
      <c r="AL19" s="35">
        <f t="shared" si="12"/>
        <v>8606032</v>
      </c>
      <c r="AM19" s="38">
        <f t="shared" si="13"/>
        <v>1.245438659949474</v>
      </c>
      <c r="AN19" s="39">
        <v>33750608</v>
      </c>
      <c r="AO19" s="39">
        <v>1054706.5</v>
      </c>
      <c r="AP19" s="39">
        <v>12599.84375</v>
      </c>
      <c r="AQ19" s="40">
        <v>42034312</v>
      </c>
      <c r="AR19" s="40">
        <v>6222368</v>
      </c>
      <c r="AS19" s="40">
        <v>2383664</v>
      </c>
      <c r="AT19" s="40">
        <v>33427784</v>
      </c>
      <c r="AU19" s="41">
        <v>71.71376875</v>
      </c>
      <c r="AV19" s="41">
        <v>75.179740624999994</v>
      </c>
      <c r="AW19" s="41">
        <v>39.388859375000003</v>
      </c>
      <c r="AX19" s="41">
        <v>47.980259375000003</v>
      </c>
      <c r="AY19" s="41">
        <v>48.576546874999899</v>
      </c>
      <c r="AZ19" s="42">
        <v>14126.3</v>
      </c>
      <c r="BA19" s="42">
        <v>2187.0700000000002</v>
      </c>
      <c r="BB19" s="42">
        <v>9.8800000000000008</v>
      </c>
      <c r="BC19" s="42">
        <v>27.5</v>
      </c>
      <c r="BE19" s="43">
        <f t="shared" si="14"/>
        <v>2.5145240905230515E-6</v>
      </c>
      <c r="BF19" s="43">
        <f t="shared" si="15"/>
        <v>-2.0188109241953134E-4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7"/>
        <v>-5431</v>
      </c>
      <c r="BV19" s="4">
        <f t="shared" si="16"/>
        <v>-169.71875</v>
      </c>
      <c r="BW19" s="4">
        <f t="shared" si="16"/>
        <v>0.625</v>
      </c>
      <c r="BX19" s="4">
        <f t="shared" si="16"/>
        <v>45896</v>
      </c>
      <c r="BY19" s="4">
        <f t="shared" si="16"/>
        <v>-14904</v>
      </c>
      <c r="BZ19" s="4">
        <f t="shared" si="16"/>
        <v>15824</v>
      </c>
      <c r="CA19" s="4">
        <f t="shared" si="16"/>
        <v>44968</v>
      </c>
      <c r="CB19" s="4">
        <f t="shared" si="16"/>
        <v>-3.8532500000059144E-3</v>
      </c>
      <c r="CC19" s="4">
        <f t="shared" si="16"/>
        <v>-2.9337500001247463E-4</v>
      </c>
      <c r="CD19" s="4">
        <f t="shared" si="16"/>
        <v>-7.946624999995322E-3</v>
      </c>
      <c r="CE19" s="4">
        <f t="shared" si="16"/>
        <v>-1.5124624999998559E-2</v>
      </c>
      <c r="CF19" s="4">
        <f t="shared" si="16"/>
        <v>3.1098749999003417E-3</v>
      </c>
    </row>
    <row r="20" spans="1:84">
      <c r="A20" s="25"/>
      <c r="B20" s="25" t="s">
        <v>280</v>
      </c>
      <c r="C20" s="26" t="s">
        <v>267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5.3228249999999999</v>
      </c>
      <c r="J20" s="28">
        <f t="shared" si="1"/>
        <v>0.10576360625915661</v>
      </c>
      <c r="K20" s="28">
        <f t="shared" si="2"/>
        <v>5.9190472865532848E-2</v>
      </c>
      <c r="L20" s="28">
        <f t="shared" si="3"/>
        <v>2.9533267413116005E-2</v>
      </c>
      <c r="M20" s="28">
        <f t="shared" si="4"/>
        <v>4.6557982651344504E-2</v>
      </c>
      <c r="N20" s="25">
        <f t="shared" si="5"/>
        <v>1906504</v>
      </c>
      <c r="O20" s="28">
        <f t="shared" si="6"/>
        <v>0.11241760511133593</v>
      </c>
      <c r="P20" s="29">
        <v>30303154</v>
      </c>
      <c r="Q20" s="29">
        <v>946973.5625</v>
      </c>
      <c r="R20" s="29">
        <v>26807.09375</v>
      </c>
      <c r="S20" s="30">
        <v>3406608</v>
      </c>
      <c r="T20" s="30">
        <v>951256</v>
      </c>
      <c r="U20" s="30">
        <v>955248</v>
      </c>
      <c r="V20" s="30">
        <v>1499616</v>
      </c>
      <c r="W20" s="31">
        <v>67.103863000000004</v>
      </c>
      <c r="X20" s="31">
        <v>68.766583999999995</v>
      </c>
      <c r="Y20" s="31">
        <v>30.883769000000001</v>
      </c>
      <c r="Z20" s="31">
        <v>39.547105999999999</v>
      </c>
      <c r="AA20" s="31">
        <v>38.427787000000002</v>
      </c>
      <c r="AB20" s="32">
        <v>7946.95</v>
      </c>
      <c r="AC20" s="32">
        <v>856.08500000000004</v>
      </c>
      <c r="AD20" s="32">
        <v>10.106999999999999</v>
      </c>
      <c r="AE20" s="32">
        <v>12.172000000000001</v>
      </c>
      <c r="AG20" s="27">
        <f t="shared" si="7"/>
        <v>5.3381499999999997</v>
      </c>
      <c r="AH20" s="28">
        <f t="shared" si="8"/>
        <v>0.10606811134168734</v>
      </c>
      <c r="AI20" s="28">
        <f t="shared" si="9"/>
        <v>5.9300750399499925E-2</v>
      </c>
      <c r="AJ20" s="28">
        <f t="shared" si="10"/>
        <v>2.9250619139119301E-2</v>
      </c>
      <c r="AK20" s="28">
        <f t="shared" si="11"/>
        <v>4.6751961827083896E-2</v>
      </c>
      <c r="AL20" s="25">
        <f t="shared" si="12"/>
        <v>1910056</v>
      </c>
      <c r="AM20" s="28">
        <f t="shared" si="13"/>
        <v>0.11301245453340769</v>
      </c>
      <c r="AN20" s="29">
        <v>30230438</v>
      </c>
      <c r="AO20" s="29">
        <v>944701.1875</v>
      </c>
      <c r="AP20" s="29">
        <v>27161</v>
      </c>
      <c r="AQ20" s="30">
        <v>3416416</v>
      </c>
      <c r="AR20" s="30">
        <v>942152</v>
      </c>
      <c r="AS20" s="30">
        <v>967904</v>
      </c>
      <c r="AT20" s="30">
        <v>1505864</v>
      </c>
      <c r="AU20" s="31">
        <v>67.065771874999996</v>
      </c>
      <c r="AV20" s="31">
        <v>68.733975000000001</v>
      </c>
      <c r="AW20" s="31">
        <v>30.891359375</v>
      </c>
      <c r="AX20" s="31">
        <v>39.5859406249999</v>
      </c>
      <c r="AY20" s="31">
        <v>38.404590624999997</v>
      </c>
      <c r="AZ20" s="32">
        <v>11818.2</v>
      </c>
      <c r="BA20" s="32">
        <v>1259.1199999999999</v>
      </c>
      <c r="BB20" s="32">
        <v>7.2439999999999998</v>
      </c>
      <c r="BC20" s="32">
        <v>18.916</v>
      </c>
      <c r="BE20" s="33">
        <f t="shared" si="14"/>
        <v>4.4271463369910044E-4</v>
      </c>
      <c r="BF20" s="33">
        <f t="shared" si="15"/>
        <v>-5.6697872922140125E-4</v>
      </c>
      <c r="BG20" s="33">
        <f t="array" ref="BG20">AVERAGE(AL20:AL24/AQ20:AQ24) - AVERAGE(N20:N24/S20:S24)</f>
        <v>9.8738821329935611E-5</v>
      </c>
      <c r="BI20" s="34">
        <f>IF( OR(ISBLANK(N20:N24),ISBLANK(AL20:AL24), ISBLANK(W20:W24),ISBLANK(AU20:AU24)), "·", bdRateExtend( N20:N24,W20:W24, AL20:AL24,AU20:AU24))</f>
        <v>1.8836516764466626E-3</v>
      </c>
      <c r="BJ20" s="34">
        <f>IF( OR(ISBLANK(N20:N24),ISBLANK(AL20:AL24), ISBLANK(X20:X24),ISBLANK(AV20:AV24)), "·", bdRateExtend( N20:N24,X20:X24, AL20:AL24,AV20:AV24))</f>
        <v>1.4614495197480259E-3</v>
      </c>
      <c r="BK20" s="34">
        <f>IF( OR(ISBLANK(V20:V24),ISBLANK(AT20:AT24), ISBLANK(Y20:Y24),ISBLANK(AW20:AW24)), "·", bdRateExtend( V20:V24,Y20:Y24, AT20:AT24,AW20:AW24))</f>
        <v>2.5662590835007215E-4</v>
      </c>
      <c r="BL20" s="34">
        <f>IF( OR(ISBLANK(V20:V24),ISBLANK(AT20:AT24), ISBLANK(Z20:Z24),ISBLANK(AX20:AX24)), "·", bdRateExtend( V20:V24,Z20:Z24, AT20:AT24,AX20:AX24))</f>
        <v>-7.3033485447198121E-3</v>
      </c>
      <c r="BM20" s="34">
        <f>IF( OR(ISBLANK(V20:V24),ISBLANK(AT20:AT24), ISBLANK(AA20:AA24),ISBLANK(AY20:AY24)), "·", bdRateExtend( V20:V24,AA20:AA24, AT20:AT24,AY20:AY24))</f>
        <v>8.2332008834202774E-3</v>
      </c>
      <c r="BO20" s="34">
        <f>IF( OR(ISBLANK(S20:S24),ISBLANK(AQ20:AQ24), ISBLANK(W20:W24),ISBLANK(AU20:AU24)), "·", bdRateExtend( S20:S24,W20:W24, AQ20:AQ24,AU20:AU24))</f>
        <v>1.1381590294101684E-3</v>
      </c>
      <c r="BP20" s="34">
        <f>IF( OR(ISBLANK(S20:S24),ISBLANK(AQ20:AQ24), ISBLANK(X20:X24),ISBLANK(AV20:AV24)), "·", bdRateExtend( S20:S24,X20:X24, AQ20:AQ24,AV20:AV24))</f>
        <v>8.8136897671953207E-5</v>
      </c>
      <c r="BQ20" s="34">
        <f>IF( OR(ISBLANK(S20:S24),ISBLANK(AQ20:AQ24), ISBLANK(Y20:Y24),ISBLANK(AW20:AW24)), "·", bdRateExtend( S20:S24,Y20:Y24, AQ20:AQ24,AW20:AW24))</f>
        <v>7.6137083490768198E-4</v>
      </c>
      <c r="BR20" s="34">
        <f>IF( OR(ISBLANK(S20:S24),ISBLANK(AQ20:AQ24), ISBLANK(Z20:Z24),ISBLANK(AX20:AX24)), "·", bdRateExtend( S20:S24,Z20:Z24, AQ20:AQ24,AX20:AX24))</f>
        <v>-4.4884186711319218E-3</v>
      </c>
      <c r="BS20" s="34">
        <f>IF( OR(ISBLANK(S20:S24),ISBLANK(AQ20:AQ24), ISBLANK(AA20:AA24),ISBLANK(AY20:AY24)), "·", bdRateExtend( S20:S24,AA20:AA24, AQ20:AQ24,AY20:AY24))</f>
        <v>6.4761919001636858E-3</v>
      </c>
      <c r="BU20" s="4">
        <f t="shared" si="17"/>
        <v>-72716</v>
      </c>
      <c r="BV20" s="4">
        <f t="shared" si="16"/>
        <v>-2272.375</v>
      </c>
      <c r="BW20" s="4">
        <f t="shared" si="16"/>
        <v>353.90625</v>
      </c>
      <c r="BX20" s="4">
        <f t="shared" si="16"/>
        <v>9808</v>
      </c>
      <c r="BY20" s="4">
        <f t="shared" si="16"/>
        <v>-9104</v>
      </c>
      <c r="BZ20" s="4">
        <f t="shared" si="16"/>
        <v>12656</v>
      </c>
      <c r="CA20" s="4">
        <f t="shared" si="16"/>
        <v>6248</v>
      </c>
      <c r="CB20" s="4">
        <f t="shared" si="16"/>
        <v>-3.8091125000008219E-2</v>
      </c>
      <c r="CC20" s="4">
        <f t="shared" si="16"/>
        <v>-3.2608999999993671E-2</v>
      </c>
      <c r="CD20" s="4">
        <f t="shared" si="16"/>
        <v>7.590374999999483E-3</v>
      </c>
      <c r="CE20" s="4">
        <f t="shared" si="16"/>
        <v>3.8834624999900313E-2</v>
      </c>
      <c r="CF20" s="4">
        <f t="shared" si="16"/>
        <v>-2.3196375000004821E-2</v>
      </c>
    </row>
    <row r="21" spans="1:84" outlineLevel="1">
      <c r="A21" s="15"/>
      <c r="B21" s="15" t="s">
        <v>280</v>
      </c>
      <c r="C21" s="16" t="s">
        <v>268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8.3737124999999999</v>
      </c>
      <c r="J21" s="18">
        <f t="shared" si="1"/>
        <v>0.166384209846722</v>
      </c>
      <c r="K21" s="18">
        <f t="shared" si="2"/>
        <v>6.9988978145457861E-2</v>
      </c>
      <c r="L21" s="18">
        <f t="shared" si="3"/>
        <v>4.0331772693041022E-2</v>
      </c>
      <c r="M21" s="18">
        <f t="shared" si="4"/>
        <v>9.6380080958984857E-2</v>
      </c>
      <c r="N21" s="15">
        <f t="shared" si="5"/>
        <v>2254320</v>
      </c>
      <c r="O21" s="18">
        <f t="shared" si="6"/>
        <v>0.16968316422143917</v>
      </c>
      <c r="P21" s="19">
        <v>31583428</v>
      </c>
      <c r="Q21" s="19">
        <v>986982.125</v>
      </c>
      <c r="R21" s="19">
        <v>32403.6875</v>
      </c>
      <c r="S21" s="20">
        <v>5359176</v>
      </c>
      <c r="T21" s="20">
        <v>1299072</v>
      </c>
      <c r="U21" s="20">
        <v>955248</v>
      </c>
      <c r="V21" s="20">
        <v>3104368</v>
      </c>
      <c r="W21" s="21">
        <v>68.653569000000005</v>
      </c>
      <c r="X21" s="21">
        <v>70.726896999999994</v>
      </c>
      <c r="Y21" s="21">
        <v>32.778294000000002</v>
      </c>
      <c r="Z21" s="21">
        <v>40.710493999999997</v>
      </c>
      <c r="AA21" s="21">
        <v>39.725534000000003</v>
      </c>
      <c r="AB21" s="22">
        <v>7535.73</v>
      </c>
      <c r="AC21" s="22">
        <v>942.76800000000003</v>
      </c>
      <c r="AD21" s="22">
        <v>10.333</v>
      </c>
      <c r="AE21" s="22">
        <v>12.68</v>
      </c>
      <c r="AG21" s="17">
        <f t="shared" si="7"/>
        <v>8.3959875000000004</v>
      </c>
      <c r="AH21" s="18">
        <f t="shared" si="8"/>
        <v>0.1668268102195358</v>
      </c>
      <c r="AI21" s="18">
        <f t="shared" si="9"/>
        <v>7.0274855266169819E-2</v>
      </c>
      <c r="AJ21" s="18">
        <f t="shared" si="10"/>
        <v>4.0224724005789199E-2</v>
      </c>
      <c r="AK21" s="18">
        <f t="shared" si="11"/>
        <v>9.6536555838262469E-2</v>
      </c>
      <c r="AL21" s="15">
        <f t="shared" si="12"/>
        <v>2263528</v>
      </c>
      <c r="AM21" s="18">
        <f t="shared" si="13"/>
        <v>0.17013866658864918</v>
      </c>
      <c r="AN21" s="19">
        <v>31582662</v>
      </c>
      <c r="AO21" s="19">
        <v>986958.1875</v>
      </c>
      <c r="AP21" s="19">
        <v>32537.78125</v>
      </c>
      <c r="AQ21" s="20">
        <v>5373432</v>
      </c>
      <c r="AR21" s="20">
        <v>1295624</v>
      </c>
      <c r="AS21" s="20">
        <v>967904</v>
      </c>
      <c r="AT21" s="20">
        <v>3109408</v>
      </c>
      <c r="AU21" s="21">
        <v>68.659734374999999</v>
      </c>
      <c r="AV21" s="21">
        <v>70.740428124999994</v>
      </c>
      <c r="AW21" s="21">
        <v>32.783678124999902</v>
      </c>
      <c r="AX21" s="21">
        <v>40.733424999999997</v>
      </c>
      <c r="AY21" s="21">
        <v>39.702150000000003</v>
      </c>
      <c r="AZ21" s="22">
        <v>14354.5</v>
      </c>
      <c r="BA21" s="22">
        <v>1268</v>
      </c>
      <c r="BB21" s="22">
        <v>7.4560000000000004</v>
      </c>
      <c r="BC21" s="22">
        <v>19.64</v>
      </c>
      <c r="BE21" s="23">
        <f t="shared" si="14"/>
        <v>1.3666196364432032E-4</v>
      </c>
      <c r="BF21" s="23">
        <f t="shared" si="15"/>
        <v>5.9761802967334132E-4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7"/>
        <v>-766</v>
      </c>
      <c r="BV21" s="4">
        <f t="shared" ref="BV21:BV29" si="18">AO21-Q21</f>
        <v>-23.9375</v>
      </c>
      <c r="BW21" s="4">
        <f t="shared" ref="BW21:BW29" si="19">AP21-R21</f>
        <v>134.09375</v>
      </c>
      <c r="BX21" s="4">
        <f t="shared" ref="BX21:BX29" si="20">AQ21-S21</f>
        <v>14256</v>
      </c>
      <c r="BY21" s="4">
        <f t="shared" ref="BY21:BY29" si="21">AR21-T21</f>
        <v>-3448</v>
      </c>
      <c r="BZ21" s="4">
        <f t="shared" ref="BZ21:BZ29" si="22">AS21-U21</f>
        <v>12656</v>
      </c>
      <c r="CA21" s="4">
        <f t="shared" ref="CA21:CA29" si="23">AT21-V21</f>
        <v>5040</v>
      </c>
      <c r="CB21" s="4">
        <f t="shared" ref="CB21:CB29" si="24">AU21-W21</f>
        <v>6.1653749999948104E-3</v>
      </c>
      <c r="CC21" s="4">
        <f t="shared" ref="CC21:CC29" si="25">AV21-X21</f>
        <v>1.3531125000000088E-2</v>
      </c>
      <c r="CD21" s="4">
        <f t="shared" ref="CD21:CD29" si="26">AW21-Y21</f>
        <v>5.3841249998995977E-3</v>
      </c>
      <c r="CE21" s="4">
        <f t="shared" ref="CE21:CE29" si="27">AX21-Z21</f>
        <v>2.2930999999999813E-2</v>
      </c>
      <c r="CF21" s="4">
        <f t="shared" ref="CF21:CF29" si="28">AY21-AA21</f>
        <v>-2.3384000000000071E-2</v>
      </c>
    </row>
    <row r="22" spans="1:84" outlineLevel="1">
      <c r="A22" s="25"/>
      <c r="B22" s="25" t="s">
        <v>280</v>
      </c>
      <c r="C22" s="26" t="s">
        <v>269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13.88165</v>
      </c>
      <c r="J22" s="28">
        <f t="shared" si="1"/>
        <v>0.27582596926019948</v>
      </c>
      <c r="K22" s="28">
        <f t="shared" si="2"/>
        <v>8.6562896707672296E-2</v>
      </c>
      <c r="L22" s="28">
        <f t="shared" si="3"/>
        <v>5.690569125525545E-2</v>
      </c>
      <c r="M22" s="28">
        <f t="shared" si="4"/>
        <v>0.18924792181024794</v>
      </c>
      <c r="N22" s="25">
        <f t="shared" si="5"/>
        <v>2788160</v>
      </c>
      <c r="O22" s="28">
        <f t="shared" si="6"/>
        <v>0.26942795064612779</v>
      </c>
      <c r="P22" s="29">
        <v>32974515</v>
      </c>
      <c r="Q22" s="29">
        <v>1030453.59375</v>
      </c>
      <c r="R22" s="29">
        <v>34861.53125</v>
      </c>
      <c r="S22" s="30">
        <v>8884256</v>
      </c>
      <c r="T22" s="30">
        <v>1832912</v>
      </c>
      <c r="U22" s="30">
        <v>955248</v>
      </c>
      <c r="V22" s="30">
        <v>6095608</v>
      </c>
      <c r="W22" s="31">
        <v>69.827759</v>
      </c>
      <c r="X22" s="31">
        <v>72.231250000000003</v>
      </c>
      <c r="Y22" s="31">
        <v>34.634734000000002</v>
      </c>
      <c r="Z22" s="31">
        <v>41.767144000000002</v>
      </c>
      <c r="AA22" s="31">
        <v>40.768300000000004</v>
      </c>
      <c r="AB22" s="32">
        <v>7675.31</v>
      </c>
      <c r="AC22" s="32">
        <v>1012.46</v>
      </c>
      <c r="AD22" s="32">
        <v>10.584</v>
      </c>
      <c r="AE22" s="32">
        <v>13.436999999999999</v>
      </c>
      <c r="AG22" s="27">
        <f t="shared" si="7"/>
        <v>13.905637499999999</v>
      </c>
      <c r="AH22" s="28">
        <f t="shared" si="8"/>
        <v>0.27630259670993557</v>
      </c>
      <c r="AI22" s="28">
        <f t="shared" si="9"/>
        <v>8.6776497336527453E-2</v>
      </c>
      <c r="AJ22" s="28">
        <f t="shared" si="10"/>
        <v>5.6726366076146825E-2</v>
      </c>
      <c r="AK22" s="28">
        <f t="shared" si="11"/>
        <v>0.18951070025830463</v>
      </c>
      <c r="AL22" s="25">
        <f t="shared" si="12"/>
        <v>2795040</v>
      </c>
      <c r="AM22" s="28">
        <f t="shared" si="13"/>
        <v>0.27041804673303138</v>
      </c>
      <c r="AN22" s="29">
        <v>32910555</v>
      </c>
      <c r="AO22" s="29">
        <v>1028454.84375</v>
      </c>
      <c r="AP22" s="29">
        <v>34769.59375</v>
      </c>
      <c r="AQ22" s="30">
        <v>8899608</v>
      </c>
      <c r="AR22" s="30">
        <v>1827136</v>
      </c>
      <c r="AS22" s="30">
        <v>967904</v>
      </c>
      <c r="AT22" s="30">
        <v>6104072</v>
      </c>
      <c r="AU22" s="31">
        <v>69.831643749999998</v>
      </c>
      <c r="AV22" s="31">
        <v>72.240359374999898</v>
      </c>
      <c r="AW22" s="31">
        <v>34.627749999999999</v>
      </c>
      <c r="AX22" s="31">
        <v>41.769931249999999</v>
      </c>
      <c r="AY22" s="31">
        <v>40.774081249999902</v>
      </c>
      <c r="AZ22" s="32">
        <v>13465.1</v>
      </c>
      <c r="BA22" s="32">
        <v>1396.44</v>
      </c>
      <c r="BB22" s="32">
        <v>7.548</v>
      </c>
      <c r="BC22" s="32">
        <v>20.196000000000002</v>
      </c>
      <c r="BE22" s="33">
        <f t="shared" si="14"/>
        <v>-2.3644492398632033E-5</v>
      </c>
      <c r="BF22" s="33">
        <f t="shared" si="15"/>
        <v>2.317020876088649E-4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7"/>
        <v>-63960</v>
      </c>
      <c r="BV22" s="4">
        <f t="shared" si="18"/>
        <v>-1998.75</v>
      </c>
      <c r="BW22" s="4">
        <f t="shared" si="19"/>
        <v>-91.9375</v>
      </c>
      <c r="BX22" s="4">
        <f t="shared" si="20"/>
        <v>15352</v>
      </c>
      <c r="BY22" s="4">
        <f t="shared" si="21"/>
        <v>-5776</v>
      </c>
      <c r="BZ22" s="4">
        <f t="shared" si="22"/>
        <v>12656</v>
      </c>
      <c r="CA22" s="4">
        <f t="shared" si="23"/>
        <v>8464</v>
      </c>
      <c r="CB22" s="4">
        <f t="shared" si="24"/>
        <v>3.8847499999974389E-3</v>
      </c>
      <c r="CC22" s="4">
        <f t="shared" si="25"/>
        <v>9.109374999894726E-3</v>
      </c>
      <c r="CD22" s="4">
        <f t="shared" si="26"/>
        <v>-6.9840000000027658E-3</v>
      </c>
      <c r="CE22" s="4">
        <f t="shared" si="27"/>
        <v>2.7872499999972433E-3</v>
      </c>
      <c r="CF22" s="4">
        <f t="shared" si="28"/>
        <v>5.7812499998988187E-3</v>
      </c>
    </row>
    <row r="23" spans="1:84" outlineLevel="1">
      <c r="A23" s="15"/>
      <c r="B23" s="15" t="s">
        <v>280</v>
      </c>
      <c r="C23" s="16" t="s">
        <v>270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24.2313875</v>
      </c>
      <c r="J23" s="18">
        <f t="shared" si="1"/>
        <v>0.48147345191003826</v>
      </c>
      <c r="K23" s="18">
        <f t="shared" si="2"/>
        <v>0.11507088110228356</v>
      </c>
      <c r="L23" s="18">
        <f t="shared" si="3"/>
        <v>8.5413675649866724E-2</v>
      </c>
      <c r="M23" s="18">
        <f t="shared" si="4"/>
        <v>0.36638742006547542</v>
      </c>
      <c r="N23" s="15">
        <f t="shared" si="5"/>
        <v>3706392</v>
      </c>
      <c r="O23" s="18">
        <f t="shared" si="6"/>
        <v>0.47082482862489416</v>
      </c>
      <c r="P23" s="19">
        <v>32938127</v>
      </c>
      <c r="Q23" s="19">
        <v>1029316.46875</v>
      </c>
      <c r="R23" s="19">
        <v>36440.34375</v>
      </c>
      <c r="S23" s="20">
        <v>15508088</v>
      </c>
      <c r="T23" s="20">
        <v>2751144</v>
      </c>
      <c r="U23" s="20">
        <v>955248</v>
      </c>
      <c r="V23" s="20">
        <v>11801208</v>
      </c>
      <c r="W23" s="21">
        <v>70.835047000000003</v>
      </c>
      <c r="X23" s="21">
        <v>73.564886999999999</v>
      </c>
      <c r="Y23" s="21">
        <v>36.275627999999998</v>
      </c>
      <c r="Z23" s="21">
        <v>42.950709000000003</v>
      </c>
      <c r="AA23" s="21">
        <v>41.865108999999997</v>
      </c>
      <c r="AB23" s="22">
        <v>7750.45</v>
      </c>
      <c r="AC23" s="22">
        <v>1143.6199999999999</v>
      </c>
      <c r="AD23" s="22">
        <v>10.44</v>
      </c>
      <c r="AE23" s="22">
        <v>14.069000000000001</v>
      </c>
      <c r="AG23" s="17">
        <f t="shared" si="7"/>
        <v>24.242312500000001</v>
      </c>
      <c r="AH23" s="18">
        <f t="shared" si="8"/>
        <v>0.48169052975843291</v>
      </c>
      <c r="AI23" s="18">
        <f t="shared" si="9"/>
        <v>0.11521593083164566</v>
      </c>
      <c r="AJ23" s="18">
        <f t="shared" si="10"/>
        <v>8.5165799571265036E-2</v>
      </c>
      <c r="AK23" s="18">
        <f t="shared" si="11"/>
        <v>0.36645919981168373</v>
      </c>
      <c r="AL23" s="15">
        <f t="shared" si="12"/>
        <v>3711064</v>
      </c>
      <c r="AM23" s="18">
        <f t="shared" si="13"/>
        <v>0.47079999111508047</v>
      </c>
      <c r="AN23" s="19">
        <v>32954716</v>
      </c>
      <c r="AO23" s="19">
        <v>1029834.875</v>
      </c>
      <c r="AP23" s="19">
        <v>36665.46875</v>
      </c>
      <c r="AQ23" s="20">
        <v>15515080</v>
      </c>
      <c r="AR23" s="20">
        <v>2743160</v>
      </c>
      <c r="AS23" s="20">
        <v>967904</v>
      </c>
      <c r="AT23" s="20">
        <v>11803520</v>
      </c>
      <c r="AU23" s="21">
        <v>70.837203125000002</v>
      </c>
      <c r="AV23" s="21">
        <v>73.567968750000006</v>
      </c>
      <c r="AW23" s="21">
        <v>36.275915624999897</v>
      </c>
      <c r="AX23" s="21">
        <v>42.959853125000002</v>
      </c>
      <c r="AY23" s="21">
        <v>41.852284374999897</v>
      </c>
      <c r="AZ23" s="22">
        <v>13538.8</v>
      </c>
      <c r="BA23" s="22">
        <v>1555.51</v>
      </c>
      <c r="BB23" s="22">
        <v>8.8879999999999999</v>
      </c>
      <c r="BC23" s="22">
        <v>22.103999999999999</v>
      </c>
      <c r="BE23" s="23">
        <f t="shared" si="14"/>
        <v>2.0078183807895056E-4</v>
      </c>
      <c r="BF23" s="23">
        <f t="shared" si="15"/>
        <v>1.9342024016308357E-4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7"/>
        <v>16589</v>
      </c>
      <c r="BV23" s="4">
        <f t="shared" si="18"/>
        <v>518.40625</v>
      </c>
      <c r="BW23" s="4">
        <f t="shared" si="19"/>
        <v>225.125</v>
      </c>
      <c r="BX23" s="4">
        <f t="shared" si="20"/>
        <v>6992</v>
      </c>
      <c r="BY23" s="4">
        <f t="shared" si="21"/>
        <v>-7984</v>
      </c>
      <c r="BZ23" s="4">
        <f t="shared" si="22"/>
        <v>12656</v>
      </c>
      <c r="CA23" s="4">
        <f t="shared" si="23"/>
        <v>2312</v>
      </c>
      <c r="CB23" s="4">
        <f t="shared" si="24"/>
        <v>2.156124999999065E-3</v>
      </c>
      <c r="CC23" s="4">
        <f t="shared" si="25"/>
        <v>3.0817500000068776E-3</v>
      </c>
      <c r="CD23" s="4">
        <f t="shared" si="26"/>
        <v>2.8762499989909429E-4</v>
      </c>
      <c r="CE23" s="4">
        <f t="shared" si="27"/>
        <v>9.1441249999988372E-3</v>
      </c>
      <c r="CF23" s="4">
        <f t="shared" si="28"/>
        <v>-1.2824625000099843E-2</v>
      </c>
    </row>
    <row r="24" spans="1:84" ht="15.75" outlineLevel="1" thickBot="1">
      <c r="A24" s="45"/>
      <c r="B24" s="45" t="s">
        <v>280</v>
      </c>
      <c r="C24" s="46" t="s">
        <v>271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40.199125000000002</v>
      </c>
      <c r="J24" s="48">
        <f t="shared" si="1"/>
        <v>0.7987496166908773</v>
      </c>
      <c r="K24" s="48">
        <f t="shared" si="2"/>
        <v>0.19033827850870622</v>
      </c>
      <c r="L24" s="48">
        <f t="shared" si="3"/>
        <v>0.13225728704909892</v>
      </c>
      <c r="M24" s="48">
        <f t="shared" si="4"/>
        <v>0.60839618743989188</v>
      </c>
      <c r="N24" s="45">
        <f t="shared" si="5"/>
        <v>6130728</v>
      </c>
      <c r="O24" s="48">
        <f t="shared" si="6"/>
        <v>0.8146984837500405</v>
      </c>
      <c r="P24" s="49">
        <v>31579094</v>
      </c>
      <c r="Q24" s="49">
        <v>986846.6875</v>
      </c>
      <c r="R24" s="49">
        <v>10430.03125</v>
      </c>
      <c r="S24" s="50">
        <v>25727440</v>
      </c>
      <c r="T24" s="50">
        <v>4259960</v>
      </c>
      <c r="U24" s="50">
        <v>1870768</v>
      </c>
      <c r="V24" s="50">
        <v>19596224</v>
      </c>
      <c r="W24" s="51">
        <v>72.172228000000004</v>
      </c>
      <c r="X24" s="51">
        <v>75.996465999999998</v>
      </c>
      <c r="Y24" s="51">
        <v>37.513769000000003</v>
      </c>
      <c r="Z24" s="51">
        <v>44.073138</v>
      </c>
      <c r="AA24" s="51">
        <v>42.776294</v>
      </c>
      <c r="AB24" s="52">
        <v>7814.02</v>
      </c>
      <c r="AC24" s="52">
        <v>1309.0999999999999</v>
      </c>
      <c r="AD24" s="52">
        <v>10.885999999999999</v>
      </c>
      <c r="AE24" s="52">
        <v>15.138999999999999</v>
      </c>
      <c r="AG24" s="47">
        <f t="shared" si="7"/>
        <v>40.182237499999999</v>
      </c>
      <c r="AH24" s="48">
        <f t="shared" si="8"/>
        <v>0.79841406500531531</v>
      </c>
      <c r="AI24" s="48">
        <f t="shared" si="9"/>
        <v>0.19028860394385619</v>
      </c>
      <c r="AJ24" s="48">
        <f t="shared" si="10"/>
        <v>0.13218525893006638</v>
      </c>
      <c r="AK24" s="48">
        <f t="shared" si="11"/>
        <v>0.60811006194635564</v>
      </c>
      <c r="AL24" s="45">
        <f t="shared" si="12"/>
        <v>6129128</v>
      </c>
      <c r="AM24" s="48">
        <f t="shared" si="13"/>
        <v>0.81420614872637775</v>
      </c>
      <c r="AN24" s="49">
        <v>31584915</v>
      </c>
      <c r="AO24" s="49">
        <v>987028.59375</v>
      </c>
      <c r="AP24" s="49">
        <v>10420.40625</v>
      </c>
      <c r="AQ24" s="50">
        <v>25716632</v>
      </c>
      <c r="AR24" s="50">
        <v>4257640</v>
      </c>
      <c r="AS24" s="50">
        <v>1871488</v>
      </c>
      <c r="AT24" s="50">
        <v>19587008</v>
      </c>
      <c r="AU24" s="51">
        <v>72.175037500000002</v>
      </c>
      <c r="AV24" s="51">
        <v>75.995553125000001</v>
      </c>
      <c r="AW24" s="51">
        <v>37.542568750000001</v>
      </c>
      <c r="AX24" s="51">
        <v>44.079475000000002</v>
      </c>
      <c r="AY24" s="51">
        <v>42.783065624999999</v>
      </c>
      <c r="AZ24" s="52">
        <v>13530.1</v>
      </c>
      <c r="BA24" s="52">
        <v>1746.1</v>
      </c>
      <c r="BB24" s="52">
        <v>8.7720000000000002</v>
      </c>
      <c r="BC24" s="52">
        <v>23.832000000000001</v>
      </c>
      <c r="BE24" s="53">
        <f t="shared" si="14"/>
        <v>-1.169933291665301E-5</v>
      </c>
      <c r="BF24" s="53">
        <f t="shared" si="15"/>
        <v>3.7932478425761751E-5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7"/>
        <v>5821</v>
      </c>
      <c r="BV24" s="4">
        <f t="shared" si="18"/>
        <v>181.90625</v>
      </c>
      <c r="BW24" s="4">
        <f t="shared" si="19"/>
        <v>-9.625</v>
      </c>
      <c r="BX24" s="4">
        <f t="shared" si="20"/>
        <v>-10808</v>
      </c>
      <c r="BY24" s="4">
        <f t="shared" si="21"/>
        <v>-2320</v>
      </c>
      <c r="BZ24" s="4">
        <f t="shared" si="22"/>
        <v>720</v>
      </c>
      <c r="CA24" s="4">
        <f t="shared" si="23"/>
        <v>-9216</v>
      </c>
      <c r="CB24" s="4">
        <f t="shared" si="24"/>
        <v>2.8094999999979109E-3</v>
      </c>
      <c r="CC24" s="4">
        <f t="shared" si="25"/>
        <v>-9.1287499999737065E-4</v>
      </c>
      <c r="CD24" s="4">
        <f t="shared" si="26"/>
        <v>2.8799749999997459E-2</v>
      </c>
      <c r="CE24" s="4">
        <f t="shared" si="27"/>
        <v>6.3370000000020354E-3</v>
      </c>
      <c r="CF24" s="4">
        <f t="shared" si="28"/>
        <v>6.7716249999989486E-3</v>
      </c>
    </row>
    <row r="25" spans="1:84">
      <c r="A25" s="15" t="s">
        <v>284</v>
      </c>
      <c r="B25" s="15" t="s">
        <v>283</v>
      </c>
      <c r="C25" s="16" t="s">
        <v>267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4.7289525000000001</v>
      </c>
      <c r="J25" s="18">
        <f t="shared" si="1"/>
        <v>0.19927839342665463</v>
      </c>
      <c r="K25" s="18">
        <f t="shared" si="2"/>
        <v>6.9528904559376575E-2</v>
      </c>
      <c r="L25" s="18">
        <f t="shared" si="3"/>
        <v>3.8049007427503542E-2</v>
      </c>
      <c r="M25" s="18">
        <f t="shared" si="4"/>
        <v>0.12973020978486124</v>
      </c>
      <c r="N25" s="15">
        <f t="shared" si="5"/>
        <v>1759944</v>
      </c>
      <c r="O25" s="18">
        <f t="shared" si="6"/>
        <v>0.21758178809718123</v>
      </c>
      <c r="P25" s="19">
        <v>23183080</v>
      </c>
      <c r="Q25" s="19">
        <v>724471.25</v>
      </c>
      <c r="R25" s="19">
        <v>18224.9375</v>
      </c>
      <c r="S25" s="20">
        <v>5044216</v>
      </c>
      <c r="T25" s="20">
        <v>963112</v>
      </c>
      <c r="U25" s="20">
        <v>796832</v>
      </c>
      <c r="V25" s="20">
        <v>3283784</v>
      </c>
      <c r="W25" s="21">
        <v>66.230093999999994</v>
      </c>
      <c r="X25" s="21">
        <v>68.019478000000007</v>
      </c>
      <c r="Y25" s="21">
        <v>27.515487</v>
      </c>
      <c r="Z25" s="21">
        <v>33.300831000000002</v>
      </c>
      <c r="AA25" s="21">
        <v>32.748193999999998</v>
      </c>
      <c r="AB25" s="22">
        <v>5955.86</v>
      </c>
      <c r="AC25" s="22">
        <v>1260.95</v>
      </c>
      <c r="AD25" s="22">
        <v>10.404999999999999</v>
      </c>
      <c r="AE25" s="22">
        <v>18.593</v>
      </c>
      <c r="AG25" s="17">
        <f t="shared" si="7"/>
        <v>4.7430374999999998</v>
      </c>
      <c r="AH25" s="18">
        <f t="shared" si="8"/>
        <v>0.19987193632466732</v>
      </c>
      <c r="AI25" s="18">
        <f t="shared" si="9"/>
        <v>6.9763098003161134E-2</v>
      </c>
      <c r="AJ25" s="18">
        <f t="shared" si="10"/>
        <v>3.7842626430484215E-2</v>
      </c>
      <c r="AK25" s="18">
        <f t="shared" si="11"/>
        <v>0.13008924318855797</v>
      </c>
      <c r="AL25" s="15">
        <f t="shared" si="12"/>
        <v>1765872</v>
      </c>
      <c r="AM25" s="18">
        <f t="shared" si="13"/>
        <v>0.21950595583952728</v>
      </c>
      <c r="AN25" s="19">
        <v>23048304</v>
      </c>
      <c r="AO25" s="19">
        <v>720259.5</v>
      </c>
      <c r="AP25" s="19">
        <v>17695.40625</v>
      </c>
      <c r="AQ25" s="20">
        <v>5059240</v>
      </c>
      <c r="AR25" s="20">
        <v>957888</v>
      </c>
      <c r="AS25" s="20">
        <v>807984</v>
      </c>
      <c r="AT25" s="20">
        <v>3292872</v>
      </c>
      <c r="AU25" s="21">
        <v>66.198771875000006</v>
      </c>
      <c r="AV25" s="21">
        <v>68.019856250000004</v>
      </c>
      <c r="AW25" s="21">
        <v>27.514909374999899</v>
      </c>
      <c r="AX25" s="21">
        <v>33.295200000000001</v>
      </c>
      <c r="AY25" s="21">
        <v>32.739334374999999</v>
      </c>
      <c r="AZ25" s="22">
        <v>8029.22</v>
      </c>
      <c r="BA25" s="22">
        <v>1846.25</v>
      </c>
      <c r="BB25" s="22">
        <v>7.1639999999999997</v>
      </c>
      <c r="BC25" s="22">
        <v>29.596</v>
      </c>
      <c r="BE25" s="23">
        <f t="shared" si="14"/>
        <v>-5.8809312540426123E-4</v>
      </c>
      <c r="BF25" s="23">
        <f t="shared" si="15"/>
        <v>1.3560844201404576E-4</v>
      </c>
      <c r="BG25" s="23">
        <f t="array" ref="BG25">AVERAGE(AL25:AL29/AQ25:AQ29) - AVERAGE(N25:N29/S25:S29)</f>
        <v>2.479927965212958E-4</v>
      </c>
      <c r="BI25" s="24">
        <f>IF( OR(ISBLANK(N25:N29),ISBLANK(AL25:AL29), ISBLANK(W25:W29),ISBLANK(AU25:AU29)), "·", bdRateExtend( N25:N29,W25:W29, AL25:AL29,AU25:AU29))</f>
        <v>2.5672484670797857E-3</v>
      </c>
      <c r="BJ25" s="24">
        <f>IF( OR(ISBLANK(N25:N29),ISBLANK(AL25:AL29), ISBLANK(X25:X29),ISBLANK(AV25:AV29)), "·", bdRateExtend( N25:N29,X25:X29, AL25:AL29,AV25:AV29))</f>
        <v>2.7909797072682707E-3</v>
      </c>
      <c r="BK25" s="24">
        <f>IF( OR(ISBLANK(V25:V29),ISBLANK(AT25:AT29), ISBLANK(Y25:Y29),ISBLANK(AW25:AW29)), "·", bdRateExtend( V25:V29,Y25:Y29, AT25:AT29,AW25:AW29))</f>
        <v>5.7794080580175766E-4</v>
      </c>
      <c r="BL25" s="24">
        <f>IF( OR(ISBLANK(V25:V29),ISBLANK(AT25:AT29), ISBLANK(Z25:Z29),ISBLANK(AX25:AX29)), "·", bdRateExtend( V25:V29,Z25:Z29, AT25:AT29,AX25:AX29))</f>
        <v>1.15019867562971E-3</v>
      </c>
      <c r="BM25" s="24">
        <f>IF( OR(ISBLANK(V25:V29),ISBLANK(AT25:AT29), ISBLANK(AA25:AA29),ISBLANK(AY25:AY29)), "·", bdRateExtend( V25:V29,AA25:AA29, AT25:AT29,AY25:AY29))</f>
        <v>-1.247163428050313E-3</v>
      </c>
      <c r="BO25" s="24">
        <f>IF( OR(ISBLANK(S25:S29),ISBLANK(AQ25:AQ29), ISBLANK(W25:W29),ISBLANK(AU25:AU29)), "·", bdRateExtend( S25:S29,W25:W29, AQ25:AQ29,AU25:AU29))</f>
        <v>1.0021599397473935E-3</v>
      </c>
      <c r="BP25" s="24">
        <f>IF( OR(ISBLANK(S25:S29),ISBLANK(AQ25:AQ29), ISBLANK(X25:X29),ISBLANK(AV25:AV29)), "·", bdRateExtend( S25:S29,X25:X29, AQ25:AQ29,AV25:AV29))</f>
        <v>1.6968117439279951E-3</v>
      </c>
      <c r="BQ25" s="24">
        <f>IF( OR(ISBLANK(S25:S29),ISBLANK(AQ25:AQ29), ISBLANK(Y25:Y29),ISBLANK(AW25:AW29)), "·", bdRateExtend( S25:S29,Y25:Y29, AQ25:AQ29,AW25:AW29))</f>
        <v>1.0383176178681008E-3</v>
      </c>
      <c r="BR25" s="24">
        <f>IF( OR(ISBLANK(S25:S29),ISBLANK(AQ25:AQ29), ISBLANK(Z25:Z29),ISBLANK(AX25:AX29)), "·", bdRateExtend( S25:S29,Z25:Z29, AQ25:AQ29,AX25:AX29))</f>
        <v>1.2964101379173698E-3</v>
      </c>
      <c r="BS25" s="24">
        <f>IF( OR(ISBLANK(S25:S29),ISBLANK(AQ25:AQ29), ISBLANK(AA25:AA29),ISBLANK(AY25:AY29)), "·", bdRateExtend( S25:S29,AA25:AA29, AQ25:AQ29,AY25:AY29))</f>
        <v>-7.2192856625385993E-4</v>
      </c>
      <c r="BU25" s="4">
        <f t="shared" si="17"/>
        <v>-134776</v>
      </c>
      <c r="BV25" s="4">
        <f t="shared" si="18"/>
        <v>-4211.75</v>
      </c>
      <c r="BW25" s="4">
        <f t="shared" si="19"/>
        <v>-529.53125</v>
      </c>
      <c r="BX25" s="4">
        <f t="shared" si="20"/>
        <v>15024</v>
      </c>
      <c r="BY25" s="4">
        <f t="shared" si="21"/>
        <v>-5224</v>
      </c>
      <c r="BZ25" s="4">
        <f t="shared" si="22"/>
        <v>11152</v>
      </c>
      <c r="CA25" s="4">
        <f t="shared" si="23"/>
        <v>9088</v>
      </c>
      <c r="CB25" s="4">
        <f t="shared" si="24"/>
        <v>-3.1322124999988432E-2</v>
      </c>
      <c r="CC25" s="4">
        <f t="shared" si="25"/>
        <v>3.7824999999713782E-4</v>
      </c>
      <c r="CD25" s="4">
        <f t="shared" si="26"/>
        <v>-5.7762500010127837E-4</v>
      </c>
      <c r="CE25" s="4">
        <f t="shared" si="27"/>
        <v>-5.6310000000010518E-3</v>
      </c>
      <c r="CF25" s="4">
        <f t="shared" si="28"/>
        <v>-8.8596249999994825E-3</v>
      </c>
    </row>
    <row r="26" spans="1:84" outlineLevel="1">
      <c r="A26" s="25"/>
      <c r="B26" s="25" t="s">
        <v>283</v>
      </c>
      <c r="C26" s="26" t="s">
        <v>268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8.1418424999999992</v>
      </c>
      <c r="J26" s="28">
        <f t="shared" si="1"/>
        <v>0.34309781985182919</v>
      </c>
      <c r="K26" s="28">
        <f t="shared" si="2"/>
        <v>8.411937734252703E-2</v>
      </c>
      <c r="L26" s="28">
        <f t="shared" si="3"/>
        <v>5.2639480210654004E-2</v>
      </c>
      <c r="M26" s="28">
        <f t="shared" si="4"/>
        <v>0.25895916342688535</v>
      </c>
      <c r="N26" s="25">
        <f t="shared" si="5"/>
        <v>2129264</v>
      </c>
      <c r="O26" s="28">
        <f t="shared" si="6"/>
        <v>0.34784411421417766</v>
      </c>
      <c r="P26" s="29">
        <v>24967023</v>
      </c>
      <c r="Q26" s="29">
        <v>780219.46875</v>
      </c>
      <c r="R26" s="29">
        <v>23123.8125</v>
      </c>
      <c r="S26" s="30">
        <v>8684632</v>
      </c>
      <c r="T26" s="30">
        <v>1332432</v>
      </c>
      <c r="U26" s="30">
        <v>796832</v>
      </c>
      <c r="V26" s="30">
        <v>6554880</v>
      </c>
      <c r="W26" s="31">
        <v>68.016097000000002</v>
      </c>
      <c r="X26" s="31">
        <v>69.984802999999999</v>
      </c>
      <c r="Y26" s="31">
        <v>29.931574999999999</v>
      </c>
      <c r="Z26" s="31">
        <v>34.483519000000001</v>
      </c>
      <c r="AA26" s="31">
        <v>34.063899999999997</v>
      </c>
      <c r="AB26" s="32">
        <v>6134.73</v>
      </c>
      <c r="AC26" s="32">
        <v>1268.73</v>
      </c>
      <c r="AD26" s="32">
        <v>9.2539999999999996</v>
      </c>
      <c r="AE26" s="32">
        <v>18.529</v>
      </c>
      <c r="AG26" s="27">
        <f t="shared" si="7"/>
        <v>8.1527250000000002</v>
      </c>
      <c r="AH26" s="28">
        <f t="shared" si="8"/>
        <v>0.34355640917292418</v>
      </c>
      <c r="AI26" s="28">
        <f t="shared" si="9"/>
        <v>8.4498637980234825E-2</v>
      </c>
      <c r="AJ26" s="28">
        <f t="shared" si="10"/>
        <v>5.2578166407557907E-2</v>
      </c>
      <c r="AK26" s="28">
        <f t="shared" si="11"/>
        <v>0.25903817605974111</v>
      </c>
      <c r="AL26" s="25">
        <f t="shared" si="12"/>
        <v>2138864</v>
      </c>
      <c r="AM26" s="28">
        <f t="shared" si="13"/>
        <v>0.34839383297436594</v>
      </c>
      <c r="AN26" s="29">
        <v>24960947</v>
      </c>
      <c r="AO26" s="29">
        <v>780029.59375</v>
      </c>
      <c r="AP26" s="29">
        <v>23056.625</v>
      </c>
      <c r="AQ26" s="30">
        <v>8696240</v>
      </c>
      <c r="AR26" s="30">
        <v>1330880</v>
      </c>
      <c r="AS26" s="30">
        <v>807984</v>
      </c>
      <c r="AT26" s="30">
        <v>6556880</v>
      </c>
      <c r="AU26" s="31">
        <v>68.025268749999995</v>
      </c>
      <c r="AV26" s="31">
        <v>69.988003125000006</v>
      </c>
      <c r="AW26" s="31">
        <v>29.930174999999998</v>
      </c>
      <c r="AX26" s="31">
        <v>34.4803</v>
      </c>
      <c r="AY26" s="31">
        <v>34.073531249999903</v>
      </c>
      <c r="AZ26" s="32">
        <v>7298.4</v>
      </c>
      <c r="BA26" s="32">
        <v>1872.89</v>
      </c>
      <c r="BB26" s="32">
        <v>7.4640000000000004</v>
      </c>
      <c r="BC26" s="32">
        <v>30.007999999999999</v>
      </c>
      <c r="BE26" s="33">
        <f t="shared" si="14"/>
        <v>-7.8920166705274269E-5</v>
      </c>
      <c r="BF26" s="33">
        <f t="shared" si="15"/>
        <v>7.7665704988155726E-4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7"/>
        <v>-6076</v>
      </c>
      <c r="BV26" s="4">
        <f t="shared" si="18"/>
        <v>-189.875</v>
      </c>
      <c r="BW26" s="4">
        <f t="shared" si="19"/>
        <v>-67.1875</v>
      </c>
      <c r="BX26" s="4">
        <f t="shared" si="20"/>
        <v>11608</v>
      </c>
      <c r="BY26" s="4">
        <f t="shared" si="21"/>
        <v>-1552</v>
      </c>
      <c r="BZ26" s="4">
        <f t="shared" si="22"/>
        <v>11152</v>
      </c>
      <c r="CA26" s="4">
        <f t="shared" si="23"/>
        <v>2000</v>
      </c>
      <c r="CB26" s="4">
        <f t="shared" si="24"/>
        <v>9.1717499999930396E-3</v>
      </c>
      <c r="CC26" s="4">
        <f t="shared" si="25"/>
        <v>3.2001250000064374E-3</v>
      </c>
      <c r="CD26" s="4">
        <f t="shared" si="26"/>
        <v>-1.4000000000002899E-3</v>
      </c>
      <c r="CE26" s="4">
        <f t="shared" si="27"/>
        <v>-3.2190000000014152E-3</v>
      </c>
      <c r="CF26" s="4">
        <f t="shared" si="28"/>
        <v>9.6312499999058332E-3</v>
      </c>
    </row>
    <row r="27" spans="1:84" outlineLevel="1">
      <c r="A27" s="15"/>
      <c r="B27" s="15" t="s">
        <v>283</v>
      </c>
      <c r="C27" s="16" t="s">
        <v>269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14.7221625</v>
      </c>
      <c r="J27" s="18">
        <f t="shared" si="1"/>
        <v>0.62039297090976098</v>
      </c>
      <c r="K27" s="18">
        <f t="shared" si="2"/>
        <v>0.1054180226551342</v>
      </c>
      <c r="L27" s="18">
        <f t="shared" si="3"/>
        <v>7.3938125523261164E-2</v>
      </c>
      <c r="M27" s="18">
        <f t="shared" si="4"/>
        <v>0.51495566917220992</v>
      </c>
      <c r="N27" s="15">
        <f t="shared" si="5"/>
        <v>2668384</v>
      </c>
      <c r="O27" s="18">
        <f t="shared" si="6"/>
        <v>0.62105508858028946</v>
      </c>
      <c r="P27" s="19">
        <v>25285422</v>
      </c>
      <c r="Q27" s="19">
        <v>790169.4375</v>
      </c>
      <c r="R27" s="19">
        <v>24445.3125</v>
      </c>
      <c r="S27" s="20">
        <v>15703640</v>
      </c>
      <c r="T27" s="20">
        <v>1871552</v>
      </c>
      <c r="U27" s="20">
        <v>796832</v>
      </c>
      <c r="V27" s="20">
        <v>13034768</v>
      </c>
      <c r="W27" s="21">
        <v>69.396956000000003</v>
      </c>
      <c r="X27" s="21">
        <v>71.734378000000007</v>
      </c>
      <c r="Y27" s="21">
        <v>32.426349999999999</v>
      </c>
      <c r="Z27" s="21">
        <v>35.749250000000004</v>
      </c>
      <c r="AA27" s="21">
        <v>35.410027999999997</v>
      </c>
      <c r="AB27" s="22">
        <v>4902.4799999999996</v>
      </c>
      <c r="AC27" s="22">
        <v>1075.27</v>
      </c>
      <c r="AD27" s="22">
        <v>8.4770000000000003</v>
      </c>
      <c r="AE27" s="22">
        <v>16.064</v>
      </c>
      <c r="AG27" s="17">
        <f t="shared" si="7"/>
        <v>14.7292275</v>
      </c>
      <c r="AH27" s="18">
        <f t="shared" si="8"/>
        <v>0.62069069051036152</v>
      </c>
      <c r="AI27" s="18">
        <f t="shared" si="9"/>
        <v>0.10577895236201945</v>
      </c>
      <c r="AJ27" s="18">
        <f t="shared" si="10"/>
        <v>7.3858480789342526E-2</v>
      </c>
      <c r="AK27" s="18">
        <f t="shared" si="11"/>
        <v>0.51489214301539388</v>
      </c>
      <c r="AL27" s="15">
        <f t="shared" si="12"/>
        <v>2677520</v>
      </c>
      <c r="AM27" s="18">
        <f t="shared" si="13"/>
        <v>0.62017078643453671</v>
      </c>
      <c r="AN27" s="19">
        <v>25333628</v>
      </c>
      <c r="AO27" s="19">
        <v>791675.875</v>
      </c>
      <c r="AP27" s="19">
        <v>24569.1875</v>
      </c>
      <c r="AQ27" s="20">
        <v>15711176</v>
      </c>
      <c r="AR27" s="20">
        <v>1869536</v>
      </c>
      <c r="AS27" s="20">
        <v>807984</v>
      </c>
      <c r="AT27" s="20">
        <v>13033160</v>
      </c>
      <c r="AU27" s="21">
        <v>69.401209374999993</v>
      </c>
      <c r="AV27" s="21">
        <v>71.729034374999998</v>
      </c>
      <c r="AW27" s="21">
        <v>32.428381250000001</v>
      </c>
      <c r="AX27" s="21">
        <v>35.743596874999902</v>
      </c>
      <c r="AY27" s="21">
        <v>35.411506250000002</v>
      </c>
      <c r="AZ27" s="22">
        <v>7259.76</v>
      </c>
      <c r="BA27" s="22">
        <v>2004.11</v>
      </c>
      <c r="BB27" s="22">
        <v>6.0720000000000001</v>
      </c>
      <c r="BC27" s="22">
        <v>25.744</v>
      </c>
      <c r="BE27" s="23">
        <f t="shared" si="14"/>
        <v>9.7603892415518145E-5</v>
      </c>
      <c r="BF27" s="23">
        <f t="shared" si="15"/>
        <v>4.9999265278521943E-4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7"/>
        <v>48206</v>
      </c>
      <c r="BV27" s="4">
        <f t="shared" si="18"/>
        <v>1506.4375</v>
      </c>
      <c r="BW27" s="4">
        <f t="shared" si="19"/>
        <v>123.875</v>
      </c>
      <c r="BX27" s="4">
        <f t="shared" si="20"/>
        <v>7536</v>
      </c>
      <c r="BY27" s="4">
        <f t="shared" si="21"/>
        <v>-2016</v>
      </c>
      <c r="BZ27" s="4">
        <f t="shared" si="22"/>
        <v>11152</v>
      </c>
      <c r="CA27" s="4">
        <f t="shared" si="23"/>
        <v>-1608</v>
      </c>
      <c r="CB27" s="4">
        <f t="shared" si="24"/>
        <v>4.2533749999904558E-3</v>
      </c>
      <c r="CC27" s="4">
        <f t="shared" si="25"/>
        <v>-5.3436250000089558E-3</v>
      </c>
      <c r="CD27" s="4">
        <f t="shared" si="26"/>
        <v>2.0312500000017053E-3</v>
      </c>
      <c r="CE27" s="4">
        <f t="shared" si="27"/>
        <v>-5.653125000101511E-3</v>
      </c>
      <c r="CF27" s="4">
        <f t="shared" si="28"/>
        <v>1.4782500000052323E-3</v>
      </c>
    </row>
    <row r="28" spans="1:84" outlineLevel="1">
      <c r="A28" s="25"/>
      <c r="B28" s="25" t="s">
        <v>283</v>
      </c>
      <c r="C28" s="26" t="s">
        <v>270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27.92154</v>
      </c>
      <c r="J28" s="28">
        <f t="shared" si="1"/>
        <v>1.176615674020425</v>
      </c>
      <c r="K28" s="28">
        <f t="shared" si="2"/>
        <v>0.14086846261327646</v>
      </c>
      <c r="L28" s="28">
        <f t="shared" si="3"/>
        <v>0.10938856548140342</v>
      </c>
      <c r="M28" s="28">
        <f t="shared" si="4"/>
        <v>1.0357279323247317</v>
      </c>
      <c r="N28" s="25">
        <f t="shared" si="5"/>
        <v>3565720</v>
      </c>
      <c r="O28" s="28">
        <f t="shared" si="6"/>
        <v>1.1334645174094817</v>
      </c>
      <c r="P28" s="29">
        <v>26276055</v>
      </c>
      <c r="Q28" s="29">
        <v>821126.71875</v>
      </c>
      <c r="R28" s="29">
        <v>27947.875</v>
      </c>
      <c r="S28" s="30">
        <v>29782976</v>
      </c>
      <c r="T28" s="30">
        <v>2768888</v>
      </c>
      <c r="U28" s="30">
        <v>796832</v>
      </c>
      <c r="V28" s="30">
        <v>26216768</v>
      </c>
      <c r="W28" s="31">
        <v>70.447755999999998</v>
      </c>
      <c r="X28" s="31">
        <v>73.009518999999997</v>
      </c>
      <c r="Y28" s="31">
        <v>34.890149999999998</v>
      </c>
      <c r="Z28" s="31">
        <v>37.567658999999999</v>
      </c>
      <c r="AA28" s="31">
        <v>37.174719000000003</v>
      </c>
      <c r="AB28" s="32">
        <v>6194.61</v>
      </c>
      <c r="AC28" s="32">
        <v>1520.23</v>
      </c>
      <c r="AD28" s="32">
        <v>9.9410000000000007</v>
      </c>
      <c r="AE28" s="32">
        <v>20.872</v>
      </c>
      <c r="AG28" s="27">
        <f t="shared" si="7"/>
        <v>27.910852500000001</v>
      </c>
      <c r="AH28" s="28">
        <f t="shared" si="8"/>
        <v>1.1761653020131471</v>
      </c>
      <c r="AI28" s="28">
        <f t="shared" si="9"/>
        <v>0.14075468442196412</v>
      </c>
      <c r="AJ28" s="28">
        <f t="shared" si="10"/>
        <v>0.1088342128492872</v>
      </c>
      <c r="AK28" s="28">
        <f t="shared" si="11"/>
        <v>1.0353910224582348</v>
      </c>
      <c r="AL28" s="25">
        <f t="shared" si="12"/>
        <v>3562840</v>
      </c>
      <c r="AM28" s="28">
        <f t="shared" si="13"/>
        <v>1.1321628421084176</v>
      </c>
      <c r="AN28" s="29">
        <v>26296196</v>
      </c>
      <c r="AO28" s="29">
        <v>821756.125</v>
      </c>
      <c r="AP28" s="29">
        <v>28036.40625</v>
      </c>
      <c r="AQ28" s="30">
        <v>29771576</v>
      </c>
      <c r="AR28" s="30">
        <v>2754856</v>
      </c>
      <c r="AS28" s="30">
        <v>807984</v>
      </c>
      <c r="AT28" s="30">
        <v>26208240</v>
      </c>
      <c r="AU28" s="31">
        <v>70.442159374999903</v>
      </c>
      <c r="AV28" s="31">
        <v>73.004240624999994</v>
      </c>
      <c r="AW28" s="31">
        <v>34.886721874999999</v>
      </c>
      <c r="AX28" s="31">
        <v>37.569025000000003</v>
      </c>
      <c r="AY28" s="31">
        <v>37.178337499999998</v>
      </c>
      <c r="AZ28" s="32">
        <v>7492.01</v>
      </c>
      <c r="BA28" s="32">
        <v>2266.7600000000002</v>
      </c>
      <c r="BB28" s="32">
        <v>7.52</v>
      </c>
      <c r="BC28" s="32">
        <v>32.628</v>
      </c>
      <c r="BE28" s="33">
        <f t="shared" si="14"/>
        <v>8.1665073412659495E-5</v>
      </c>
      <c r="BF28" s="33">
        <f t="shared" si="15"/>
        <v>-5.0892600183538583E-5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7"/>
        <v>20141</v>
      </c>
      <c r="BV28" s="4">
        <f t="shared" si="18"/>
        <v>629.40625</v>
      </c>
      <c r="BW28" s="4">
        <f t="shared" si="19"/>
        <v>88.53125</v>
      </c>
      <c r="BX28" s="4">
        <f t="shared" si="20"/>
        <v>-11400</v>
      </c>
      <c r="BY28" s="4">
        <f t="shared" si="21"/>
        <v>-14032</v>
      </c>
      <c r="BZ28" s="4">
        <f t="shared" si="22"/>
        <v>11152</v>
      </c>
      <c r="CA28" s="4">
        <f t="shared" si="23"/>
        <v>-8528</v>
      </c>
      <c r="CB28" s="4">
        <f t="shared" si="24"/>
        <v>-5.5966250000949458E-3</v>
      </c>
      <c r="CC28" s="4">
        <f t="shared" si="25"/>
        <v>-5.278375000003166E-3</v>
      </c>
      <c r="CD28" s="4">
        <f t="shared" si="26"/>
        <v>-3.4281249999992269E-3</v>
      </c>
      <c r="CE28" s="4">
        <f t="shared" si="27"/>
        <v>1.3660000000044192E-3</v>
      </c>
      <c r="CF28" s="4">
        <f t="shared" si="28"/>
        <v>3.6184999999946399E-3</v>
      </c>
    </row>
    <row r="29" spans="1:84" ht="15.75" outlineLevel="1" thickBot="1">
      <c r="A29" s="35"/>
      <c r="B29" s="35" t="s">
        <v>283</v>
      </c>
      <c r="C29" s="36" t="s">
        <v>271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48.573112500000001</v>
      </c>
      <c r="J29" s="38">
        <f t="shared" si="1"/>
        <v>2.0468744024669641</v>
      </c>
      <c r="K29" s="38">
        <f t="shared" si="2"/>
        <v>0.22654154436827978</v>
      </c>
      <c r="L29" s="38">
        <f t="shared" si="3"/>
        <v>0.16700836996622367</v>
      </c>
      <c r="M29" s="38">
        <f t="shared" si="4"/>
        <v>1.8203135790162674</v>
      </c>
      <c r="N29" s="35">
        <f t="shared" si="5"/>
        <v>5734312</v>
      </c>
      <c r="O29" s="38">
        <f t="shared" si="6"/>
        <v>2.0617760986507472</v>
      </c>
      <c r="P29" s="39">
        <v>25129460</v>
      </c>
      <c r="Q29" s="39">
        <v>785295.625</v>
      </c>
      <c r="R29" s="39">
        <v>7346</v>
      </c>
      <c r="S29" s="40">
        <v>51811320</v>
      </c>
      <c r="T29" s="40">
        <v>4227384</v>
      </c>
      <c r="U29" s="40">
        <v>1506928</v>
      </c>
      <c r="V29" s="40">
        <v>46076520</v>
      </c>
      <c r="W29" s="41">
        <v>71.737684000000002</v>
      </c>
      <c r="X29" s="41">
        <v>75.125600000000006</v>
      </c>
      <c r="Y29" s="41">
        <v>36.588078000000003</v>
      </c>
      <c r="Z29" s="41">
        <v>39.676077999999997</v>
      </c>
      <c r="AA29" s="41">
        <v>39.085306000000003</v>
      </c>
      <c r="AB29" s="42">
        <v>6059.16</v>
      </c>
      <c r="AC29" s="42">
        <v>1812.72</v>
      </c>
      <c r="AD29" s="42">
        <v>10.757</v>
      </c>
      <c r="AE29" s="42">
        <v>22.715</v>
      </c>
      <c r="AG29" s="37">
        <f t="shared" si="7"/>
        <v>48.560782500000002</v>
      </c>
      <c r="AH29" s="38">
        <f t="shared" si="8"/>
        <v>2.0463548153933044</v>
      </c>
      <c r="AI29" s="38">
        <f t="shared" si="9"/>
        <v>0.22623560745386215</v>
      </c>
      <c r="AJ29" s="38">
        <f t="shared" si="10"/>
        <v>0.16645212103091891</v>
      </c>
      <c r="AK29" s="38">
        <f t="shared" si="11"/>
        <v>1.8200996128064939</v>
      </c>
      <c r="AL29" s="35">
        <f t="shared" si="12"/>
        <v>5726568</v>
      </c>
      <c r="AM29" s="38">
        <f t="shared" si="13"/>
        <v>2.0600598687297742</v>
      </c>
      <c r="AN29" s="39">
        <v>25144011</v>
      </c>
      <c r="AO29" s="39">
        <v>785750.34375</v>
      </c>
      <c r="AP29" s="39">
        <v>7357.28125</v>
      </c>
      <c r="AQ29" s="40">
        <v>51798168</v>
      </c>
      <c r="AR29" s="40">
        <v>4213304</v>
      </c>
      <c r="AS29" s="40">
        <v>1513264</v>
      </c>
      <c r="AT29" s="40">
        <v>46071104</v>
      </c>
      <c r="AU29" s="41">
        <v>71.735059375000006</v>
      </c>
      <c r="AV29" s="41">
        <v>75.106865624999998</v>
      </c>
      <c r="AW29" s="41">
        <v>36.584949999999999</v>
      </c>
      <c r="AX29" s="41">
        <v>39.675212500000001</v>
      </c>
      <c r="AY29" s="41">
        <v>39.083446875</v>
      </c>
      <c r="AZ29" s="42">
        <v>7444.82</v>
      </c>
      <c r="BA29" s="42">
        <v>2603.38</v>
      </c>
      <c r="BB29" s="42">
        <v>8.1959999999999997</v>
      </c>
      <c r="BC29" s="42">
        <v>34.82</v>
      </c>
      <c r="BE29" s="43">
        <f t="shared" si="14"/>
        <v>8.9438219900810079E-6</v>
      </c>
      <c r="BF29" s="43">
        <f t="shared" si="15"/>
        <v>-1.2140156189094364E-4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7"/>
        <v>14551</v>
      </c>
      <c r="BV29" s="4">
        <f t="shared" si="18"/>
        <v>454.71875</v>
      </c>
      <c r="BW29" s="4">
        <f t="shared" si="19"/>
        <v>11.28125</v>
      </c>
      <c r="BX29" s="4">
        <f t="shared" si="20"/>
        <v>-13152</v>
      </c>
      <c r="BY29" s="4">
        <f t="shared" si="21"/>
        <v>-14080</v>
      </c>
      <c r="BZ29" s="4">
        <f t="shared" si="22"/>
        <v>6336</v>
      </c>
      <c r="CA29" s="4">
        <f t="shared" si="23"/>
        <v>-5416</v>
      </c>
      <c r="CB29" s="4">
        <f t="shared" si="24"/>
        <v>-2.6246249999957172E-3</v>
      </c>
      <c r="CC29" s="4">
        <f t="shared" si="25"/>
        <v>-1.8734375000008185E-2</v>
      </c>
      <c r="CD29" s="4">
        <f t="shared" si="26"/>
        <v>-3.1280000000037944E-3</v>
      </c>
      <c r="CE29" s="4">
        <f t="shared" si="27"/>
        <v>-8.6549999999618876E-4</v>
      </c>
      <c r="CF29" s="4">
        <f t="shared" si="28"/>
        <v>-1.8591250000028481E-3</v>
      </c>
    </row>
    <row r="30" spans="1:84">
      <c r="B30" s="55" t="s">
        <v>287</v>
      </c>
      <c r="J30" s="56">
        <f>AVERAGE(J5:J24)</f>
        <v>0.42933408146615937</v>
      </c>
      <c r="K30" s="56">
        <f>AVERAGE(K5:K24)</f>
        <v>0.12426277968673904</v>
      </c>
      <c r="L30" s="56">
        <f>AVERAGE(L5:L24)</f>
        <v>8.5003271613997594E-2</v>
      </c>
      <c r="M30" s="56">
        <f>AVERAGE(M5:M24)</f>
        <v>0.305053648186977</v>
      </c>
      <c r="AH30" s="56">
        <f>AVERAGE(AH5:AH24)</f>
        <v>0.42966358808305022</v>
      </c>
      <c r="AI30" s="56">
        <f>AVERAGE(AI5:AI24)</f>
        <v>0.12438262588270543</v>
      </c>
      <c r="AJ30" s="56">
        <f>AVERAGE(AJ5:AJ24)</f>
        <v>8.481286734982188E-2</v>
      </c>
      <c r="AK30" s="56">
        <f>AVERAGE(AK5:AK24)</f>
        <v>0.30526301920474658</v>
      </c>
      <c r="BG30" s="8">
        <f>AVERAGE(BG5:BG24)</f>
        <v>8.4780908894119267E-5</v>
      </c>
      <c r="BI30" s="5">
        <f>AVERAGE(BI5:BI24)</f>
        <v>1.0810867869406882E-3</v>
      </c>
      <c r="BJ30" s="5">
        <f>AVERAGE(BJ5:BJ24)</f>
        <v>1.4873848859455752E-3</v>
      </c>
      <c r="BK30" s="5">
        <f>AVERAGE(BK5:BK24)</f>
        <v>9.3222924583369338E-4</v>
      </c>
      <c r="BL30" s="5">
        <f>AVERAGE(BL5:BL24)</f>
        <v>-3.631133574586165E-4</v>
      </c>
      <c r="BM30" s="5">
        <f>AVERAGE(BM5:BM24)</f>
        <v>5.8700384272558637E-3</v>
      </c>
      <c r="BO30" s="5">
        <f>AVERAGE(BO5:BO24)</f>
        <v>8.4089885456495317E-6</v>
      </c>
      <c r="BP30" s="5">
        <f>AVERAGE(BP5:BP24)</f>
        <v>1.0719421180979405E-3</v>
      </c>
      <c r="BQ30" s="5">
        <f>AVERAGE(BQ5:BQ24)</f>
        <v>1.2066041315578202E-3</v>
      </c>
      <c r="BR30" s="5">
        <f>AVERAGE(BR5:BR24)</f>
        <v>4.5148592898419659E-5</v>
      </c>
      <c r="BS30" s="5">
        <f>AVERAGE(BS5:BS24)</f>
        <v>3.7543967945426471E-3</v>
      </c>
    </row>
    <row r="31" spans="1:84">
      <c r="B31" s="55" t="s">
        <v>288</v>
      </c>
      <c r="J31" s="56">
        <f>AVERAGE(J25:J29)</f>
        <v>0.8772518521351268</v>
      </c>
      <c r="K31" s="56">
        <f>AVERAGE(K25:K29)</f>
        <v>0.12529526230771881</v>
      </c>
      <c r="L31" s="56">
        <f>AVERAGE(L25:L29)</f>
        <v>8.820470972180916E-2</v>
      </c>
      <c r="M31" s="56">
        <f>AVERAGE(M25:M29)</f>
        <v>0.75193731074499115</v>
      </c>
      <c r="AH31" s="56">
        <f>AVERAGE(AH25:AH29)</f>
        <v>0.87732783068288089</v>
      </c>
      <c r="AI31" s="56">
        <f>AVERAGE(AI25:AI29)</f>
        <v>0.12540619604424835</v>
      </c>
      <c r="AJ31" s="56">
        <f>AVERAGE(AJ25:AJ29)</f>
        <v>8.7913121501518157E-2</v>
      </c>
      <c r="AK31" s="56">
        <f>AVERAGE(AK25:AK29)</f>
        <v>0.75190203950568435</v>
      </c>
      <c r="BG31" s="8">
        <f>AVERAGE(BG25:BG29)</f>
        <v>2.479927965212958E-4</v>
      </c>
      <c r="BI31" s="5">
        <f>AVERAGE(BI25:BI29)</f>
        <v>2.5672484670797857E-3</v>
      </c>
      <c r="BJ31" s="5">
        <f>AVERAGE(BJ25:BJ29)</f>
        <v>2.7909797072682707E-3</v>
      </c>
      <c r="BK31" s="5">
        <f>AVERAGE(BK25:BK29)</f>
        <v>5.7794080580175766E-4</v>
      </c>
      <c r="BL31" s="5">
        <f>AVERAGE(BL25:BL29)</f>
        <v>1.15019867562971E-3</v>
      </c>
      <c r="BM31" s="5">
        <f>AVERAGE(BM25:BM29)</f>
        <v>-1.247163428050313E-3</v>
      </c>
      <c r="BO31" s="5">
        <f>AVERAGE(BO25:BO29)</f>
        <v>1.0021599397473935E-3</v>
      </c>
      <c r="BP31" s="5">
        <f>AVERAGE(BP25:BP29)</f>
        <v>1.6968117439279951E-3</v>
      </c>
      <c r="BQ31" s="5">
        <f>AVERAGE(BQ25:BQ29)</f>
        <v>1.0383176178681008E-3</v>
      </c>
      <c r="BR31" s="5">
        <f>AVERAGE(BR25:BR29)</f>
        <v>1.2964101379173698E-3</v>
      </c>
      <c r="BS31" s="5">
        <f>AVERAGE(BS25:BS29)</f>
        <v>-7.2192856625385993E-4</v>
      </c>
    </row>
    <row r="32" spans="1:84" collapsed="1">
      <c r="B32" s="55" t="s">
        <v>289</v>
      </c>
      <c r="J32" s="56">
        <f>AVERAGE(J5:J29)</f>
        <v>0.51891763559995285</v>
      </c>
      <c r="K32" s="56">
        <f>AVERAGE(K5:K29)</f>
        <v>0.124469276210935</v>
      </c>
      <c r="L32" s="56">
        <f>AVERAGE(L5:L29)</f>
        <v>8.5643559235559913E-2</v>
      </c>
      <c r="M32" s="56">
        <f>AVERAGE(M5:M29)</f>
        <v>0.39443038069857977</v>
      </c>
      <c r="AH32" s="56">
        <f>AVERAGE(AH5:AH29)</f>
        <v>0.51919643660301629</v>
      </c>
      <c r="AI32" s="56">
        <f>AVERAGE(AI5:AI29)</f>
        <v>0.12458733991501403</v>
      </c>
      <c r="AJ32" s="56">
        <f>AVERAGE(AJ5:AJ29)</f>
        <v>8.5432918180161133E-2</v>
      </c>
      <c r="AK32" s="56">
        <f>AVERAGE(AK5:AK29)</f>
        <v>0.39459082326493417</v>
      </c>
      <c r="BG32" s="8">
        <f>AVERAGE(BG5:BG29)</f>
        <v>1.1742328641955457E-4</v>
      </c>
      <c r="BI32" s="5">
        <f>AVERAGE(BI5:BI29)</f>
        <v>1.3783191229685076E-3</v>
      </c>
      <c r="BJ32" s="5">
        <f>AVERAGE(BJ5:BJ29)</f>
        <v>1.7481038502101143E-3</v>
      </c>
      <c r="BK32" s="5">
        <f>AVERAGE(BK5:BK29)</f>
        <v>8.6137155782730626E-4</v>
      </c>
      <c r="BL32" s="5">
        <f>AVERAGE(BL5:BL29)</f>
        <v>-6.0450950840951201E-5</v>
      </c>
      <c r="BM32" s="5">
        <f>AVERAGE(BM5:BM29)</f>
        <v>4.4465980561946283E-3</v>
      </c>
      <c r="BO32" s="5">
        <f>AVERAGE(BO5:BO29)</f>
        <v>2.0715917878599832E-4</v>
      </c>
      <c r="BP32" s="5">
        <f>AVERAGE(BP5:BP29)</f>
        <v>1.1969160432639514E-3</v>
      </c>
      <c r="BQ32" s="5">
        <f>AVERAGE(BQ5:BQ29)</f>
        <v>1.1729468288198762E-3</v>
      </c>
      <c r="BR32" s="5">
        <f>AVERAGE(BR5:BR29)</f>
        <v>2.9540090190220968E-4</v>
      </c>
      <c r="BS32" s="5">
        <f>AVERAGE(BS5:BS29)</f>
        <v>2.8591317223833458E-3</v>
      </c>
    </row>
    <row r="33" spans="1:55" hidden="1" outlineLevel="2">
      <c r="A33" s="55" t="s">
        <v>290</v>
      </c>
      <c r="B33" s="55" t="s">
        <v>291</v>
      </c>
      <c r="AB33" s="57">
        <f>SUM(AB5:AB24,AB25:AB29)</f>
        <v>153587.94999999998</v>
      </c>
      <c r="AC33" s="57">
        <f>SUM(AC5:AC24,AC25:AC29)</f>
        <v>26582.443999999996</v>
      </c>
      <c r="AD33" s="57">
        <f>SUM(AD5:AD24,AD25:AD29)</f>
        <v>245.51400000000001</v>
      </c>
      <c r="AE33" s="57">
        <f>SUM(AE5:AE24,AE25:AE29)</f>
        <v>365.14000000000004</v>
      </c>
      <c r="AZ33" s="57">
        <f>SUM(AZ5:AZ24,AZ25:AZ29)</f>
        <v>257437.96000000002</v>
      </c>
      <c r="BA33" s="57">
        <f>SUM(BA5:BA24,BA25:BA29)</f>
        <v>40157.699999999997</v>
      </c>
      <c r="BB33" s="57">
        <f>SUM(BB5:BB24,BB25:BB29)</f>
        <v>181.61199999999999</v>
      </c>
      <c r="BC33" s="57">
        <f>SUM(BC5:BC24,BC25:BC29)</f>
        <v>571.72400000000005</v>
      </c>
    </row>
    <row r="34" spans="1:55" hidden="1" outlineLevel="2">
      <c r="B34" s="55" t="s">
        <v>292</v>
      </c>
      <c r="AZ34" s="8">
        <f>AZ33/AB33</f>
        <v>1.6761598810323339</v>
      </c>
      <c r="BA34" s="8">
        <f>BA33/AC33</f>
        <v>1.5106850220393582</v>
      </c>
      <c r="BB34" s="8">
        <f>BB33/AD33</f>
        <v>0.73972156373974596</v>
      </c>
      <c r="BC34" s="8">
        <f>BC33/AE33</f>
        <v>1.5657665552938598</v>
      </c>
    </row>
    <row r="35" spans="1:55" hidden="1" outlineLevel="2">
      <c r="B35" s="55" t="s">
        <v>293</v>
      </c>
      <c r="AB35" s="57">
        <f>GEOMEAN(AB5:AB24,AB25:AB29)</f>
        <v>6037.7649730817702</v>
      </c>
      <c r="AC35" s="57">
        <f>GEOMEAN(AC5:AC24,AC25:AC29)</f>
        <v>1031.1184192039227</v>
      </c>
      <c r="AD35" s="57">
        <f>GEOMEAN(AD5:AD24,AD25:AD29)</f>
        <v>9.7035754367899347</v>
      </c>
      <c r="AE35" s="57">
        <f>GEOMEAN(AE5:AE24,AE25:AE29)</f>
        <v>14.295915517226065</v>
      </c>
      <c r="AZ35" s="57">
        <f>GEOMEAN(AZ5:AZ24,AZ25:AZ29)</f>
        <v>9816.5786027807808</v>
      </c>
      <c r="BA35" s="57">
        <f>GEOMEAN(BA5:BA24,BA25:BA29)</f>
        <v>1566.9219414212751</v>
      </c>
      <c r="BB35" s="57">
        <f>GEOMEAN(BB5:BB24,BB25:BB29)</f>
        <v>7.1475996892373601</v>
      </c>
      <c r="BC35" s="57">
        <f>GEOMEAN(BC5:BC24,BC25:BC29)</f>
        <v>22.33137201233437</v>
      </c>
    </row>
    <row r="36" spans="1:55" outlineLevel="2" collapsed="1">
      <c r="B36" s="55" t="s">
        <v>294</v>
      </c>
      <c r="AZ36" s="8">
        <f>AZ35/AB35</f>
        <v>1.6258629884644624</v>
      </c>
      <c r="BA36" s="8">
        <f>BA35/AC35</f>
        <v>1.519633353685041</v>
      </c>
      <c r="BB36" s="8">
        <f>BB35/AD35</f>
        <v>0.73659443735946017</v>
      </c>
      <c r="BC36" s="8">
        <f>BC35/AE35</f>
        <v>1.5620805806683642</v>
      </c>
    </row>
    <row r="40" spans="1:55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40:51"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40:51"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40:51"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40:51"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40:51"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40:51"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40:51"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40:51"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40:51"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40:51"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40:51"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40:51"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40:51"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40:51"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40:51"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40:51"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40:51">
      <c r="AQ65" s="4"/>
      <c r="AR65" s="4"/>
      <c r="AS65" s="4"/>
      <c r="AT65" s="4"/>
      <c r="AU65" s="4"/>
      <c r="AV65" s="4"/>
      <c r="AW65" s="4"/>
      <c r="AX65" s="4"/>
      <c r="AY65" s="4"/>
    </row>
    <row r="66" spans="40:51">
      <c r="AQ66" s="4"/>
      <c r="AR66" s="4"/>
      <c r="AS66" s="4"/>
      <c r="AT66" s="4"/>
      <c r="AU66" s="4"/>
      <c r="AV66" s="4"/>
      <c r="AW66" s="4"/>
      <c r="AX66" s="4"/>
      <c r="AY66" s="4"/>
    </row>
    <row r="67" spans="40:51">
      <c r="AQ67" s="4"/>
      <c r="AR67" s="4"/>
      <c r="AS67" s="4"/>
      <c r="AT67" s="4"/>
      <c r="AU67" s="4"/>
      <c r="AV67" s="4"/>
      <c r="AW67" s="4"/>
      <c r="AX67" s="4"/>
      <c r="AY67" s="4"/>
    </row>
    <row r="68" spans="40:51">
      <c r="AQ68" s="4"/>
      <c r="AR68" s="4"/>
      <c r="AS68" s="4"/>
      <c r="AT68" s="4"/>
      <c r="AU68" s="4"/>
      <c r="AV68" s="4"/>
      <c r="AW68" s="4"/>
      <c r="AX68" s="4"/>
      <c r="AY68" s="4"/>
    </row>
    <row r="69" spans="40:51">
      <c r="AQ69" s="4"/>
      <c r="AR69" s="4"/>
      <c r="AS69" s="4"/>
      <c r="AT69" s="4"/>
      <c r="AU69" s="4"/>
      <c r="AV69" s="4"/>
      <c r="AW69" s="4"/>
      <c r="AX69" s="4"/>
      <c r="AY69" s="4"/>
    </row>
    <row r="70" spans="40:51"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</row>
    <row r="71" spans="40:51"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</row>
    <row r="72" spans="40:51"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</row>
    <row r="73" spans="40:51"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</row>
    <row r="74" spans="40:51"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</row>
    <row r="75" spans="40:51"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</row>
    <row r="76" spans="40:51"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</row>
    <row r="77" spans="40:51"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</row>
    <row r="78" spans="40:51"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</row>
    <row r="79" spans="40:51"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</row>
    <row r="80" spans="40:51"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</row>
    <row r="81" spans="40:51"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</row>
    <row r="82" spans="40:51"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</row>
    <row r="83" spans="40:51"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</row>
    <row r="84" spans="40:51"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</row>
    <row r="85" spans="40:51"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</row>
    <row r="86" spans="40:51"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</row>
    <row r="87" spans="40:51"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</row>
    <row r="88" spans="40:51"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</row>
    <row r="89" spans="40:51"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</row>
    <row r="90" spans="40:51"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</row>
    <row r="91" spans="40:51"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</row>
    <row r="92" spans="40:51"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</row>
    <row r="93" spans="40:51"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</row>
    <row r="94" spans="40:51"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</row>
  </sheetData>
  <mergeCells count="47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  <mergeCell ref="CD2:CF2"/>
    <mergeCell ref="BU2:BU3"/>
    <mergeCell ref="BV2:BV3"/>
    <mergeCell ref="BW2:BW3"/>
    <mergeCell ref="BX2:CA2"/>
    <mergeCell ref="CB2:CC2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74"/>
  <sheetViews>
    <sheetView workbookViewId="0"/>
  </sheetViews>
  <sheetFormatPr defaultColWidth="8.85546875" defaultRowHeight="15"/>
  <sheetData>
    <row r="1" spans="1:2">
      <c r="A1" t="s">
        <v>94</v>
      </c>
      <c r="B1">
        <v>1</v>
      </c>
    </row>
    <row r="2" spans="1:2">
      <c r="A2" t="s">
        <v>97</v>
      </c>
      <c r="B2">
        <v>2</v>
      </c>
    </row>
    <row r="3" spans="1:2">
      <c r="A3" t="s">
        <v>100</v>
      </c>
      <c r="B3">
        <v>3</v>
      </c>
    </row>
    <row r="4" spans="1:2">
      <c r="A4" t="s">
        <v>103</v>
      </c>
      <c r="B4">
        <v>4</v>
      </c>
    </row>
    <row r="5" spans="1:2">
      <c r="A5" t="s">
        <v>106</v>
      </c>
      <c r="B5">
        <v>5</v>
      </c>
    </row>
    <row r="6" spans="1:2">
      <c r="A6" t="s">
        <v>109</v>
      </c>
      <c r="B6">
        <v>6</v>
      </c>
    </row>
    <row r="7" spans="1:2">
      <c r="A7" t="s">
        <v>112</v>
      </c>
      <c r="B7">
        <v>7</v>
      </c>
    </row>
    <row r="8" spans="1:2">
      <c r="A8" t="s">
        <v>115</v>
      </c>
      <c r="B8">
        <v>9</v>
      </c>
    </row>
    <row r="9" spans="1:2">
      <c r="A9" t="s">
        <v>119</v>
      </c>
      <c r="B9">
        <v>10</v>
      </c>
    </row>
    <row r="10" spans="1:2">
      <c r="A10" t="s">
        <v>122</v>
      </c>
      <c r="B10">
        <v>11</v>
      </c>
    </row>
    <row r="11" spans="1:2">
      <c r="A11" t="s">
        <v>125</v>
      </c>
      <c r="B11">
        <v>12</v>
      </c>
    </row>
    <row r="12" spans="1:2">
      <c r="A12" t="s">
        <v>128</v>
      </c>
      <c r="B12">
        <v>13</v>
      </c>
    </row>
    <row r="13" spans="1:2">
      <c r="A13" t="s">
        <v>131</v>
      </c>
      <c r="B13">
        <v>14</v>
      </c>
    </row>
    <row r="14" spans="1:2">
      <c r="A14" t="s">
        <v>134</v>
      </c>
      <c r="B14">
        <v>15</v>
      </c>
    </row>
    <row r="15" spans="1:2">
      <c r="A15" t="s">
        <v>136</v>
      </c>
      <c r="B15">
        <v>16</v>
      </c>
    </row>
    <row r="16" spans="1:2">
      <c r="A16" t="s">
        <v>138</v>
      </c>
      <c r="B16">
        <v>17</v>
      </c>
    </row>
    <row r="17" spans="1:2">
      <c r="A17" t="s">
        <v>140</v>
      </c>
      <c r="B17">
        <v>18</v>
      </c>
    </row>
    <row r="18" spans="1:2">
      <c r="A18" t="s">
        <v>143</v>
      </c>
      <c r="B18">
        <v>19</v>
      </c>
    </row>
    <row r="19" spans="1:2">
      <c r="A19" t="s">
        <v>145</v>
      </c>
      <c r="B19">
        <v>20</v>
      </c>
    </row>
    <row r="20" spans="1:2">
      <c r="A20" t="s">
        <v>148</v>
      </c>
      <c r="B20">
        <v>21</v>
      </c>
    </row>
    <row r="21" spans="1:2">
      <c r="A21" t="s">
        <v>151</v>
      </c>
      <c r="B21">
        <v>22</v>
      </c>
    </row>
    <row r="22" spans="1:2">
      <c r="A22" t="s">
        <v>155</v>
      </c>
      <c r="B22">
        <v>23</v>
      </c>
    </row>
    <row r="23" spans="1:2">
      <c r="A23" t="s">
        <v>158</v>
      </c>
      <c r="B23">
        <v>24</v>
      </c>
    </row>
    <row r="24" spans="1:2">
      <c r="A24" t="s">
        <v>162</v>
      </c>
      <c r="B24">
        <v>25</v>
      </c>
    </row>
    <row r="25" spans="1:2">
      <c r="A25" t="s">
        <v>165</v>
      </c>
      <c r="B25">
        <v>26</v>
      </c>
    </row>
    <row r="26" spans="1:2">
      <c r="A26" t="s">
        <v>168</v>
      </c>
      <c r="B26">
        <v>27</v>
      </c>
    </row>
    <row r="27" spans="1:2">
      <c r="A27" t="s">
        <v>172</v>
      </c>
      <c r="B27">
        <v>28</v>
      </c>
    </row>
    <row r="28" spans="1:2">
      <c r="A28" t="s">
        <v>175</v>
      </c>
      <c r="B28">
        <v>29</v>
      </c>
    </row>
    <row r="29" spans="1:2">
      <c r="A29" t="s">
        <v>178</v>
      </c>
      <c r="B29">
        <v>30</v>
      </c>
    </row>
    <row r="30" spans="1:2">
      <c r="A30" t="s">
        <v>180</v>
      </c>
      <c r="B30">
        <v>31</v>
      </c>
    </row>
    <row r="31" spans="1:2">
      <c r="A31" t="s">
        <v>182</v>
      </c>
      <c r="B31">
        <v>33</v>
      </c>
    </row>
    <row r="32" spans="1:2">
      <c r="A32" t="s">
        <v>184</v>
      </c>
      <c r="B32">
        <v>34</v>
      </c>
    </row>
    <row r="33" spans="1:2">
      <c r="A33" t="s">
        <v>186</v>
      </c>
      <c r="B33">
        <v>35</v>
      </c>
    </row>
    <row r="34" spans="1:2">
      <c r="A34" t="s">
        <v>188</v>
      </c>
      <c r="B34">
        <v>36</v>
      </c>
    </row>
    <row r="35" spans="1:2">
      <c r="A35" t="s">
        <v>190</v>
      </c>
      <c r="B35">
        <v>37</v>
      </c>
    </row>
    <row r="36" spans="1:2">
      <c r="A36" t="s">
        <v>193</v>
      </c>
      <c r="B36">
        <v>38</v>
      </c>
    </row>
    <row r="37" spans="1:2">
      <c r="A37" t="s">
        <v>195</v>
      </c>
      <c r="B37">
        <v>39</v>
      </c>
    </row>
    <row r="38" spans="1:2">
      <c r="A38" t="s">
        <v>197</v>
      </c>
      <c r="B38">
        <v>40</v>
      </c>
    </row>
    <row r="39" spans="1:2">
      <c r="A39" t="s">
        <v>199</v>
      </c>
      <c r="B39">
        <v>41</v>
      </c>
    </row>
    <row r="40" spans="1:2">
      <c r="A40" t="s">
        <v>201</v>
      </c>
      <c r="B40">
        <v>42</v>
      </c>
    </row>
    <row r="41" spans="1:2">
      <c r="A41" t="s">
        <v>203</v>
      </c>
      <c r="B41">
        <v>43</v>
      </c>
    </row>
    <row r="42" spans="1:2">
      <c r="A42" t="s">
        <v>205</v>
      </c>
      <c r="B42">
        <v>44</v>
      </c>
    </row>
    <row r="43" spans="1:2">
      <c r="A43" t="s">
        <v>207</v>
      </c>
      <c r="B43">
        <v>45</v>
      </c>
    </row>
    <row r="44" spans="1:2">
      <c r="A44" t="s">
        <v>209</v>
      </c>
      <c r="B44">
        <v>46</v>
      </c>
    </row>
    <row r="45" spans="1:2">
      <c r="A45" t="s">
        <v>211</v>
      </c>
      <c r="B45">
        <v>47</v>
      </c>
    </row>
    <row r="46" spans="1:2">
      <c r="A46" t="s">
        <v>213</v>
      </c>
      <c r="B46">
        <v>48</v>
      </c>
    </row>
    <row r="47" spans="1:2">
      <c r="A47" t="s">
        <v>215</v>
      </c>
      <c r="B47">
        <v>49</v>
      </c>
    </row>
    <row r="48" spans="1:2">
      <c r="A48" t="s">
        <v>217</v>
      </c>
      <c r="B48">
        <v>50</v>
      </c>
    </row>
    <row r="49" spans="1:2">
      <c r="A49" t="s">
        <v>219</v>
      </c>
      <c r="B49">
        <v>51</v>
      </c>
    </row>
    <row r="50" spans="1:2">
      <c r="A50" t="s">
        <v>221</v>
      </c>
      <c r="B50">
        <v>52</v>
      </c>
    </row>
    <row r="51" spans="1:2">
      <c r="A51" t="s">
        <v>223</v>
      </c>
      <c r="B51">
        <v>53</v>
      </c>
    </row>
    <row r="52" spans="1:2">
      <c r="A52" t="s">
        <v>225</v>
      </c>
      <c r="B52">
        <v>54</v>
      </c>
    </row>
    <row r="53" spans="1:2">
      <c r="A53" t="s">
        <v>227</v>
      </c>
      <c r="B53">
        <v>55</v>
      </c>
    </row>
    <row r="54" spans="1:2">
      <c r="A54" t="s">
        <v>230</v>
      </c>
      <c r="B54">
        <v>57</v>
      </c>
    </row>
    <row r="55" spans="1:2">
      <c r="A55" t="s">
        <v>233</v>
      </c>
      <c r="B55">
        <v>58</v>
      </c>
    </row>
    <row r="56" spans="1:2">
      <c r="A56" t="s">
        <v>235</v>
      </c>
      <c r="B56">
        <v>59</v>
      </c>
    </row>
    <row r="57" spans="1:2">
      <c r="A57" t="s">
        <v>238</v>
      </c>
      <c r="B57">
        <v>61</v>
      </c>
    </row>
    <row r="58" spans="1:2">
      <c r="A58" t="s">
        <v>240</v>
      </c>
      <c r="B58">
        <v>62</v>
      </c>
    </row>
    <row r="59" spans="1:2">
      <c r="A59" t="s">
        <v>243</v>
      </c>
      <c r="B59">
        <v>63</v>
      </c>
    </row>
    <row r="60" spans="1:2">
      <c r="A60" t="s">
        <v>245</v>
      </c>
      <c r="B60">
        <v>64</v>
      </c>
    </row>
    <row r="61" spans="1:2">
      <c r="A61" t="s">
        <v>247</v>
      </c>
      <c r="B61">
        <v>65</v>
      </c>
    </row>
    <row r="62" spans="1:2">
      <c r="A62" t="s">
        <v>250</v>
      </c>
      <c r="B62">
        <v>67</v>
      </c>
    </row>
    <row r="63" spans="1:2">
      <c r="A63" t="s">
        <v>252</v>
      </c>
      <c r="B63">
        <v>68</v>
      </c>
    </row>
    <row r="64" spans="1:2">
      <c r="A64" t="s">
        <v>255</v>
      </c>
      <c r="B64">
        <v>69</v>
      </c>
    </row>
    <row r="65" spans="1:24">
      <c r="A65" t="s">
        <v>257</v>
      </c>
      <c r="B65">
        <v>70</v>
      </c>
    </row>
    <row r="66" spans="1:24">
      <c r="A66" t="s">
        <v>259</v>
      </c>
      <c r="B66">
        <v>71</v>
      </c>
    </row>
    <row r="67" spans="1:24">
      <c r="A67" t="s">
        <v>261</v>
      </c>
      <c r="B67" t="s">
        <v>262</v>
      </c>
    </row>
    <row r="68" spans="1:24">
      <c r="A68" t="s">
        <v>263</v>
      </c>
      <c r="B68" t="s">
        <v>264</v>
      </c>
    </row>
    <row r="69" spans="1:24">
      <c r="A69" t="s">
        <v>272</v>
      </c>
      <c r="B69" t="s">
        <v>273</v>
      </c>
    </row>
    <row r="70" spans="1:24">
      <c r="A70" t="s">
        <v>275</v>
      </c>
      <c r="B70" t="s">
        <v>276</v>
      </c>
    </row>
    <row r="71" spans="1:24">
      <c r="A71" t="s">
        <v>278</v>
      </c>
      <c r="B71" t="s">
        <v>279</v>
      </c>
    </row>
    <row r="72" spans="1:24">
      <c r="A72" t="s">
        <v>281</v>
      </c>
      <c r="B72" t="s">
        <v>282</v>
      </c>
    </row>
    <row r="73" spans="1:24">
      <c r="A73" t="s">
        <v>285</v>
      </c>
      <c r="B73" t="s">
        <v>286</v>
      </c>
    </row>
    <row r="74" spans="1:24">
      <c r="A74" t="s">
        <v>301</v>
      </c>
      <c r="B74" t="s">
        <v>60</v>
      </c>
      <c r="C74" t="s">
        <v>44</v>
      </c>
      <c r="D74" t="s">
        <v>64</v>
      </c>
      <c r="E74" t="s">
        <v>46</v>
      </c>
      <c r="F74" t="s">
        <v>66</v>
      </c>
      <c r="G74" t="s">
        <v>70</v>
      </c>
      <c r="H74" t="s">
        <v>20</v>
      </c>
      <c r="I74" t="s">
        <v>38</v>
      </c>
      <c r="J74" t="s">
        <v>50</v>
      </c>
      <c r="K74" t="s">
        <v>48</v>
      </c>
      <c r="L74" t="s">
        <v>24</v>
      </c>
      <c r="M74" t="s">
        <v>40</v>
      </c>
      <c r="N74" t="s">
        <v>68</v>
      </c>
      <c r="O74" t="s">
        <v>62</v>
      </c>
      <c r="P74" t="s">
        <v>6</v>
      </c>
      <c r="Q74" t="s">
        <v>18</v>
      </c>
      <c r="R74" t="s">
        <v>10</v>
      </c>
      <c r="S74" t="s">
        <v>72</v>
      </c>
      <c r="T74" t="s">
        <v>58</v>
      </c>
      <c r="U74" t="s">
        <v>74</v>
      </c>
      <c r="V74" t="s">
        <v>22</v>
      </c>
      <c r="W74" t="s">
        <v>14</v>
      </c>
      <c r="X74" t="s">
        <v>54</v>
      </c>
    </row>
    <row r="75" spans="1:24">
      <c r="A75" t="s">
        <v>303</v>
      </c>
      <c r="B75">
        <v>1</v>
      </c>
    </row>
    <row r="76" spans="1:24">
      <c r="A76" t="s">
        <v>304</v>
      </c>
      <c r="B76">
        <v>2</v>
      </c>
    </row>
    <row r="77" spans="1:24">
      <c r="A77" t="s">
        <v>305</v>
      </c>
      <c r="B77">
        <v>3</v>
      </c>
    </row>
    <row r="78" spans="1:24">
      <c r="A78" t="s">
        <v>306</v>
      </c>
      <c r="B78">
        <v>4</v>
      </c>
    </row>
    <row r="79" spans="1:24">
      <c r="A79" t="s">
        <v>307</v>
      </c>
      <c r="B79">
        <v>5</v>
      </c>
    </row>
    <row r="80" spans="1:24">
      <c r="A80" t="s">
        <v>308</v>
      </c>
      <c r="B80">
        <v>6</v>
      </c>
    </row>
    <row r="81" spans="1:2">
      <c r="A81" t="s">
        <v>311</v>
      </c>
      <c r="B81">
        <v>8</v>
      </c>
    </row>
    <row r="82" spans="1:2">
      <c r="A82" t="s">
        <v>312</v>
      </c>
      <c r="B82">
        <v>9</v>
      </c>
    </row>
    <row r="83" spans="1:2">
      <c r="A83" t="s">
        <v>313</v>
      </c>
      <c r="B83">
        <v>10</v>
      </c>
    </row>
    <row r="84" spans="1:2">
      <c r="A84" t="s">
        <v>314</v>
      </c>
      <c r="B84">
        <v>11</v>
      </c>
    </row>
    <row r="85" spans="1:2">
      <c r="A85" t="s">
        <v>315</v>
      </c>
      <c r="B85">
        <v>12</v>
      </c>
    </row>
    <row r="86" spans="1:2">
      <c r="A86" t="s">
        <v>316</v>
      </c>
      <c r="B86">
        <v>13</v>
      </c>
    </row>
    <row r="87" spans="1:2">
      <c r="A87" t="s">
        <v>317</v>
      </c>
      <c r="B87">
        <v>14</v>
      </c>
    </row>
    <row r="88" spans="1:2">
      <c r="A88" t="s">
        <v>318</v>
      </c>
      <c r="B88">
        <v>15</v>
      </c>
    </row>
    <row r="89" spans="1:2">
      <c r="A89" t="s">
        <v>319</v>
      </c>
      <c r="B89">
        <v>16</v>
      </c>
    </row>
    <row r="90" spans="1:2">
      <c r="A90" t="s">
        <v>320</v>
      </c>
      <c r="B90">
        <v>17</v>
      </c>
    </row>
    <row r="91" spans="1:2">
      <c r="A91" t="s">
        <v>321</v>
      </c>
      <c r="B91">
        <v>18</v>
      </c>
    </row>
    <row r="92" spans="1:2">
      <c r="A92" t="s">
        <v>322</v>
      </c>
      <c r="B92">
        <v>19</v>
      </c>
    </row>
    <row r="93" spans="1:2">
      <c r="A93" t="s">
        <v>323</v>
      </c>
      <c r="B93">
        <v>20</v>
      </c>
    </row>
    <row r="94" spans="1:2">
      <c r="A94" t="s">
        <v>324</v>
      </c>
      <c r="B94">
        <v>21</v>
      </c>
    </row>
    <row r="95" spans="1:2">
      <c r="A95" t="s">
        <v>325</v>
      </c>
      <c r="B95">
        <v>22</v>
      </c>
    </row>
    <row r="96" spans="1:2">
      <c r="A96" t="s">
        <v>326</v>
      </c>
      <c r="B96">
        <v>23</v>
      </c>
    </row>
    <row r="97" spans="1:2">
      <c r="A97" t="s">
        <v>327</v>
      </c>
      <c r="B97">
        <v>24</v>
      </c>
    </row>
    <row r="98" spans="1:2">
      <c r="A98" t="s">
        <v>328</v>
      </c>
      <c r="B98">
        <v>25</v>
      </c>
    </row>
    <row r="99" spans="1:2">
      <c r="A99" t="s">
        <v>329</v>
      </c>
      <c r="B99">
        <v>26</v>
      </c>
    </row>
    <row r="100" spans="1:2">
      <c r="A100" t="s">
        <v>330</v>
      </c>
      <c r="B100">
        <v>27</v>
      </c>
    </row>
    <row r="101" spans="1:2">
      <c r="A101" t="s">
        <v>331</v>
      </c>
      <c r="B101">
        <v>28</v>
      </c>
    </row>
    <row r="102" spans="1:2">
      <c r="A102" t="s">
        <v>332</v>
      </c>
      <c r="B102">
        <v>29</v>
      </c>
    </row>
    <row r="103" spans="1:2">
      <c r="A103" t="s">
        <v>334</v>
      </c>
      <c r="B103">
        <v>31</v>
      </c>
    </row>
    <row r="104" spans="1:2">
      <c r="A104" t="s">
        <v>335</v>
      </c>
      <c r="B104">
        <v>32</v>
      </c>
    </row>
    <row r="105" spans="1:2">
      <c r="A105" t="s">
        <v>336</v>
      </c>
      <c r="B105">
        <v>33</v>
      </c>
    </row>
    <row r="106" spans="1:2">
      <c r="A106" t="s">
        <v>337</v>
      </c>
      <c r="B106">
        <v>34</v>
      </c>
    </row>
    <row r="107" spans="1:2">
      <c r="A107" t="s">
        <v>338</v>
      </c>
      <c r="B107">
        <v>35</v>
      </c>
    </row>
    <row r="108" spans="1:2">
      <c r="A108" t="s">
        <v>339</v>
      </c>
      <c r="B108">
        <v>36</v>
      </c>
    </row>
    <row r="109" spans="1:2">
      <c r="A109" t="s">
        <v>340</v>
      </c>
      <c r="B109">
        <v>37</v>
      </c>
    </row>
    <row r="110" spans="1:2">
      <c r="A110" t="s">
        <v>341</v>
      </c>
      <c r="B110">
        <v>38</v>
      </c>
    </row>
    <row r="111" spans="1:2">
      <c r="A111" t="s">
        <v>342</v>
      </c>
      <c r="B111">
        <v>39</v>
      </c>
    </row>
    <row r="112" spans="1:2">
      <c r="A112" t="s">
        <v>343</v>
      </c>
      <c r="B112">
        <v>40</v>
      </c>
    </row>
    <row r="113" spans="1:2">
      <c r="A113" t="s">
        <v>344</v>
      </c>
      <c r="B113">
        <v>41</v>
      </c>
    </row>
    <row r="114" spans="1:2">
      <c r="A114" t="s">
        <v>345</v>
      </c>
      <c r="B114">
        <v>42</v>
      </c>
    </row>
    <row r="115" spans="1:2">
      <c r="A115" t="s">
        <v>346</v>
      </c>
      <c r="B115">
        <v>43</v>
      </c>
    </row>
    <row r="116" spans="1:2">
      <c r="A116" t="s">
        <v>347</v>
      </c>
      <c r="B116">
        <v>44</v>
      </c>
    </row>
    <row r="117" spans="1:2">
      <c r="A117" t="s">
        <v>348</v>
      </c>
      <c r="B117">
        <v>45</v>
      </c>
    </row>
    <row r="118" spans="1:2">
      <c r="A118" t="s">
        <v>349</v>
      </c>
      <c r="B118">
        <v>46</v>
      </c>
    </row>
    <row r="119" spans="1:2">
      <c r="A119" t="s">
        <v>350</v>
      </c>
      <c r="B119">
        <v>47</v>
      </c>
    </row>
    <row r="120" spans="1:2">
      <c r="A120" t="s">
        <v>351</v>
      </c>
      <c r="B120">
        <v>48</v>
      </c>
    </row>
    <row r="121" spans="1:2">
      <c r="A121" t="s">
        <v>352</v>
      </c>
      <c r="B121">
        <v>49</v>
      </c>
    </row>
    <row r="122" spans="1:2">
      <c r="A122" t="s">
        <v>353</v>
      </c>
      <c r="B122">
        <v>50</v>
      </c>
    </row>
    <row r="123" spans="1:2">
      <c r="A123" t="s">
        <v>354</v>
      </c>
      <c r="B123">
        <v>51</v>
      </c>
    </row>
    <row r="124" spans="1:2">
      <c r="A124" t="s">
        <v>355</v>
      </c>
      <c r="B124">
        <v>52</v>
      </c>
    </row>
    <row r="125" spans="1:2">
      <c r="A125" t="s">
        <v>358</v>
      </c>
      <c r="B125">
        <v>54</v>
      </c>
    </row>
    <row r="126" spans="1:2">
      <c r="A126" t="s">
        <v>360</v>
      </c>
      <c r="B126">
        <v>55</v>
      </c>
    </row>
    <row r="127" spans="1:2">
      <c r="A127" t="s">
        <v>362</v>
      </c>
      <c r="B127">
        <v>56</v>
      </c>
    </row>
    <row r="128" spans="1:2">
      <c r="A128" t="s">
        <v>363</v>
      </c>
      <c r="B128">
        <v>57</v>
      </c>
    </row>
    <row r="129" spans="1:23">
      <c r="A129" t="s">
        <v>364</v>
      </c>
      <c r="B129">
        <v>58</v>
      </c>
    </row>
    <row r="130" spans="1:23">
      <c r="A130" t="s">
        <v>366</v>
      </c>
      <c r="B130" t="s">
        <v>367</v>
      </c>
    </row>
    <row r="131" spans="1:23">
      <c r="A131" t="s">
        <v>368</v>
      </c>
      <c r="B131" t="s">
        <v>369</v>
      </c>
    </row>
    <row r="132" spans="1:23">
      <c r="A132" t="s">
        <v>370</v>
      </c>
      <c r="B132" t="s">
        <v>371</v>
      </c>
    </row>
    <row r="133" spans="1:23">
      <c r="A133" t="s">
        <v>372</v>
      </c>
      <c r="B133" t="s">
        <v>373</v>
      </c>
    </row>
    <row r="134" spans="1:23">
      <c r="A134" t="s">
        <v>374</v>
      </c>
      <c r="B134" t="s">
        <v>375</v>
      </c>
    </row>
    <row r="135" spans="1:23">
      <c r="A135" t="s">
        <v>376</v>
      </c>
      <c r="B135" t="s">
        <v>377</v>
      </c>
    </row>
    <row r="136" spans="1:23">
      <c r="A136" t="s">
        <v>378</v>
      </c>
      <c r="B136" t="s">
        <v>379</v>
      </c>
    </row>
    <row r="137" spans="1:23">
      <c r="A137" t="s">
        <v>383</v>
      </c>
      <c r="B137" t="s">
        <v>72</v>
      </c>
      <c r="C137" t="s">
        <v>10</v>
      </c>
      <c r="D137" t="s">
        <v>44</v>
      </c>
      <c r="E137" t="s">
        <v>60</v>
      </c>
      <c r="F137" t="s">
        <v>68</v>
      </c>
      <c r="G137" t="s">
        <v>70</v>
      </c>
      <c r="H137" t="s">
        <v>48</v>
      </c>
      <c r="I137" t="s">
        <v>66</v>
      </c>
      <c r="J137" t="s">
        <v>46</v>
      </c>
      <c r="K137" t="s">
        <v>58</v>
      </c>
      <c r="L137" t="s">
        <v>64</v>
      </c>
      <c r="M137" t="s">
        <v>18</v>
      </c>
      <c r="N137" t="s">
        <v>78</v>
      </c>
      <c r="O137" t="s">
        <v>40</v>
      </c>
      <c r="P137" t="s">
        <v>50</v>
      </c>
      <c r="Q137" t="s">
        <v>74</v>
      </c>
      <c r="R137" t="s">
        <v>38</v>
      </c>
      <c r="S137" t="s">
        <v>14</v>
      </c>
      <c r="T137" t="s">
        <v>22</v>
      </c>
      <c r="U137" t="s">
        <v>62</v>
      </c>
      <c r="V137" t="s">
        <v>6</v>
      </c>
      <c r="W137" t="s">
        <v>54</v>
      </c>
    </row>
    <row r="138" spans="1:23">
      <c r="A138" t="s">
        <v>385</v>
      </c>
      <c r="B138">
        <v>1</v>
      </c>
    </row>
    <row r="139" spans="1:23">
      <c r="A139" t="s">
        <v>386</v>
      </c>
      <c r="B139">
        <v>2</v>
      </c>
    </row>
    <row r="140" spans="1:23">
      <c r="A140" t="s">
        <v>387</v>
      </c>
      <c r="B140">
        <v>3</v>
      </c>
    </row>
    <row r="141" spans="1:23">
      <c r="A141" t="s">
        <v>388</v>
      </c>
      <c r="B141">
        <v>4</v>
      </c>
    </row>
    <row r="142" spans="1:23">
      <c r="A142" t="s">
        <v>389</v>
      </c>
      <c r="B142">
        <v>5</v>
      </c>
    </row>
    <row r="143" spans="1:23">
      <c r="A143" t="s">
        <v>390</v>
      </c>
      <c r="B143">
        <v>6</v>
      </c>
    </row>
    <row r="144" spans="1:23">
      <c r="A144" t="s">
        <v>391</v>
      </c>
      <c r="B144">
        <v>8</v>
      </c>
    </row>
    <row r="145" spans="1:2">
      <c r="A145" t="s">
        <v>392</v>
      </c>
      <c r="B145">
        <v>9</v>
      </c>
    </row>
    <row r="146" spans="1:2">
      <c r="A146" t="s">
        <v>393</v>
      </c>
      <c r="B146">
        <v>10</v>
      </c>
    </row>
    <row r="147" spans="1:2">
      <c r="A147" t="s">
        <v>394</v>
      </c>
      <c r="B147">
        <v>11</v>
      </c>
    </row>
    <row r="148" spans="1:2">
      <c r="A148" t="s">
        <v>395</v>
      </c>
      <c r="B148">
        <v>12</v>
      </c>
    </row>
    <row r="149" spans="1:2">
      <c r="A149" t="s">
        <v>396</v>
      </c>
      <c r="B149">
        <v>13</v>
      </c>
    </row>
    <row r="150" spans="1:2">
      <c r="A150" t="s">
        <v>397</v>
      </c>
      <c r="B150">
        <v>14</v>
      </c>
    </row>
    <row r="151" spans="1:2">
      <c r="A151" t="s">
        <v>398</v>
      </c>
      <c r="B151">
        <v>15</v>
      </c>
    </row>
    <row r="152" spans="1:2">
      <c r="A152" t="s">
        <v>399</v>
      </c>
      <c r="B152">
        <v>16</v>
      </c>
    </row>
    <row r="153" spans="1:2">
      <c r="A153" t="s">
        <v>400</v>
      </c>
      <c r="B153">
        <v>17</v>
      </c>
    </row>
    <row r="154" spans="1:2">
      <c r="A154" t="s">
        <v>401</v>
      </c>
      <c r="B154">
        <v>18</v>
      </c>
    </row>
    <row r="155" spans="1:2">
      <c r="A155" t="s">
        <v>402</v>
      </c>
      <c r="B155">
        <v>19</v>
      </c>
    </row>
    <row r="156" spans="1:2">
      <c r="A156" t="s">
        <v>403</v>
      </c>
      <c r="B156">
        <v>20</v>
      </c>
    </row>
    <row r="157" spans="1:2">
      <c r="A157" t="s">
        <v>404</v>
      </c>
      <c r="B157">
        <v>21</v>
      </c>
    </row>
    <row r="158" spans="1:2">
      <c r="A158" t="s">
        <v>405</v>
      </c>
      <c r="B158">
        <v>22</v>
      </c>
    </row>
    <row r="159" spans="1:2">
      <c r="A159" t="s">
        <v>406</v>
      </c>
      <c r="B159">
        <v>23</v>
      </c>
    </row>
    <row r="160" spans="1:2">
      <c r="A160" t="s">
        <v>407</v>
      </c>
      <c r="B160">
        <v>24</v>
      </c>
    </row>
    <row r="161" spans="1:2">
      <c r="A161" t="s">
        <v>408</v>
      </c>
      <c r="B161">
        <v>25</v>
      </c>
    </row>
    <row r="162" spans="1:2">
      <c r="A162" t="s">
        <v>409</v>
      </c>
      <c r="B162">
        <v>26</v>
      </c>
    </row>
    <row r="163" spans="1:2">
      <c r="A163" t="s">
        <v>410</v>
      </c>
      <c r="B163">
        <v>27</v>
      </c>
    </row>
    <row r="164" spans="1:2">
      <c r="A164" t="s">
        <v>411</v>
      </c>
      <c r="B164">
        <v>28</v>
      </c>
    </row>
    <row r="165" spans="1:2">
      <c r="A165" t="s">
        <v>412</v>
      </c>
      <c r="B165">
        <v>29</v>
      </c>
    </row>
    <row r="166" spans="1:2">
      <c r="A166" t="s">
        <v>413</v>
      </c>
      <c r="B166">
        <v>31</v>
      </c>
    </row>
    <row r="167" spans="1:2">
      <c r="A167" t="s">
        <v>414</v>
      </c>
      <c r="B167">
        <v>32</v>
      </c>
    </row>
    <row r="168" spans="1:2">
      <c r="A168" t="s">
        <v>415</v>
      </c>
      <c r="B168">
        <v>33</v>
      </c>
    </row>
    <row r="169" spans="1:2">
      <c r="A169" t="s">
        <v>416</v>
      </c>
      <c r="B169">
        <v>34</v>
      </c>
    </row>
    <row r="170" spans="1:2">
      <c r="A170" t="s">
        <v>417</v>
      </c>
      <c r="B170">
        <v>35</v>
      </c>
    </row>
    <row r="171" spans="1:2">
      <c r="A171" t="s">
        <v>418</v>
      </c>
      <c r="B171">
        <v>36</v>
      </c>
    </row>
    <row r="172" spans="1:2">
      <c r="A172" t="s">
        <v>419</v>
      </c>
      <c r="B172">
        <v>37</v>
      </c>
    </row>
    <row r="173" spans="1:2">
      <c r="A173" t="s">
        <v>420</v>
      </c>
      <c r="B173">
        <v>38</v>
      </c>
    </row>
    <row r="174" spans="1:2">
      <c r="A174" t="s">
        <v>421</v>
      </c>
      <c r="B174">
        <v>39</v>
      </c>
    </row>
    <row r="175" spans="1:2">
      <c r="A175" t="s">
        <v>422</v>
      </c>
      <c r="B175">
        <v>40</v>
      </c>
    </row>
    <row r="176" spans="1:2">
      <c r="A176" t="s">
        <v>423</v>
      </c>
      <c r="B176">
        <v>41</v>
      </c>
    </row>
    <row r="177" spans="1:2">
      <c r="A177" t="s">
        <v>424</v>
      </c>
      <c r="B177">
        <v>42</v>
      </c>
    </row>
    <row r="178" spans="1:2">
      <c r="A178" t="s">
        <v>425</v>
      </c>
      <c r="B178">
        <v>43</v>
      </c>
    </row>
    <row r="179" spans="1:2">
      <c r="A179" t="s">
        <v>426</v>
      </c>
      <c r="B179">
        <v>44</v>
      </c>
    </row>
    <row r="180" spans="1:2">
      <c r="A180" t="s">
        <v>427</v>
      </c>
      <c r="B180">
        <v>45</v>
      </c>
    </row>
    <row r="181" spans="1:2">
      <c r="A181" t="s">
        <v>428</v>
      </c>
      <c r="B181">
        <v>46</v>
      </c>
    </row>
    <row r="182" spans="1:2">
      <c r="A182" t="s">
        <v>429</v>
      </c>
      <c r="B182">
        <v>47</v>
      </c>
    </row>
    <row r="183" spans="1:2">
      <c r="A183" t="s">
        <v>430</v>
      </c>
      <c r="B183">
        <v>48</v>
      </c>
    </row>
    <row r="184" spans="1:2">
      <c r="A184" t="s">
        <v>431</v>
      </c>
      <c r="B184">
        <v>49</v>
      </c>
    </row>
    <row r="185" spans="1:2">
      <c r="A185" t="s">
        <v>432</v>
      </c>
      <c r="B185">
        <v>50</v>
      </c>
    </row>
    <row r="186" spans="1:2">
      <c r="A186" t="s">
        <v>433</v>
      </c>
      <c r="B186">
        <v>51</v>
      </c>
    </row>
    <row r="187" spans="1:2">
      <c r="A187" t="s">
        <v>434</v>
      </c>
      <c r="B187">
        <v>52</v>
      </c>
    </row>
    <row r="188" spans="1:2">
      <c r="A188" t="s">
        <v>435</v>
      </c>
      <c r="B188">
        <v>54</v>
      </c>
    </row>
    <row r="189" spans="1:2">
      <c r="A189" t="s">
        <v>436</v>
      </c>
      <c r="B189">
        <v>55</v>
      </c>
    </row>
    <row r="190" spans="1:2">
      <c r="A190" t="s">
        <v>437</v>
      </c>
      <c r="B190">
        <v>56</v>
      </c>
    </row>
    <row r="191" spans="1:2">
      <c r="A191" t="s">
        <v>438</v>
      </c>
      <c r="B191">
        <v>57</v>
      </c>
    </row>
    <row r="192" spans="1:2">
      <c r="A192" t="s">
        <v>439</v>
      </c>
      <c r="B192">
        <v>58</v>
      </c>
    </row>
    <row r="193" spans="1:23">
      <c r="A193" t="s">
        <v>441</v>
      </c>
      <c r="B193" t="s">
        <v>442</v>
      </c>
    </row>
    <row r="194" spans="1:23">
      <c r="A194" t="s">
        <v>443</v>
      </c>
      <c r="B194" t="s">
        <v>444</v>
      </c>
    </row>
    <row r="195" spans="1:23">
      <c r="A195" t="s">
        <v>445</v>
      </c>
      <c r="B195" t="s">
        <v>446</v>
      </c>
    </row>
    <row r="196" spans="1:23">
      <c r="A196" t="s">
        <v>447</v>
      </c>
      <c r="B196" t="s">
        <v>448</v>
      </c>
    </row>
    <row r="197" spans="1:23">
      <c r="A197" t="s">
        <v>449</v>
      </c>
      <c r="B197" t="s">
        <v>450</v>
      </c>
    </row>
    <row r="198" spans="1:23">
      <c r="A198" t="s">
        <v>451</v>
      </c>
      <c r="B198" t="s">
        <v>452</v>
      </c>
    </row>
    <row r="199" spans="1:23">
      <c r="A199" t="s">
        <v>453</v>
      </c>
      <c r="B199" t="s">
        <v>454</v>
      </c>
    </row>
    <row r="200" spans="1:23">
      <c r="A200" t="s">
        <v>459</v>
      </c>
      <c r="B200" t="s">
        <v>18</v>
      </c>
      <c r="C200" t="s">
        <v>44</v>
      </c>
      <c r="D200" t="s">
        <v>60</v>
      </c>
      <c r="E200" t="s">
        <v>66</v>
      </c>
      <c r="F200" t="s">
        <v>78</v>
      </c>
      <c r="G200" t="s">
        <v>40</v>
      </c>
      <c r="H200" t="s">
        <v>64</v>
      </c>
      <c r="I200" t="s">
        <v>10</v>
      </c>
      <c r="J200" t="s">
        <v>72</v>
      </c>
      <c r="K200" t="s">
        <v>68</v>
      </c>
      <c r="L200" t="s">
        <v>48</v>
      </c>
      <c r="M200" t="s">
        <v>70</v>
      </c>
      <c r="N200" t="s">
        <v>58</v>
      </c>
      <c r="O200" t="s">
        <v>46</v>
      </c>
      <c r="P200" t="s">
        <v>22</v>
      </c>
      <c r="Q200" t="s">
        <v>38</v>
      </c>
      <c r="R200" t="s">
        <v>54</v>
      </c>
      <c r="S200" t="s">
        <v>74</v>
      </c>
      <c r="T200" t="s">
        <v>62</v>
      </c>
      <c r="U200" t="s">
        <v>6</v>
      </c>
      <c r="V200" t="s">
        <v>14</v>
      </c>
      <c r="W200" t="s">
        <v>50</v>
      </c>
    </row>
    <row r="201" spans="1:23">
      <c r="A201" t="s">
        <v>461</v>
      </c>
      <c r="B201">
        <v>1</v>
      </c>
    </row>
    <row r="202" spans="1:23">
      <c r="A202" t="s">
        <v>462</v>
      </c>
      <c r="B202">
        <v>2</v>
      </c>
    </row>
    <row r="203" spans="1:23">
      <c r="A203" t="s">
        <v>463</v>
      </c>
      <c r="B203">
        <v>3</v>
      </c>
    </row>
    <row r="204" spans="1:23">
      <c r="A204" t="s">
        <v>464</v>
      </c>
      <c r="B204">
        <v>4</v>
      </c>
    </row>
    <row r="205" spans="1:23">
      <c r="A205" t="s">
        <v>465</v>
      </c>
      <c r="B205">
        <v>5</v>
      </c>
    </row>
    <row r="206" spans="1:23">
      <c r="A206" t="s">
        <v>466</v>
      </c>
      <c r="B206">
        <v>6</v>
      </c>
    </row>
    <row r="207" spans="1:23">
      <c r="A207" t="s">
        <v>467</v>
      </c>
      <c r="B207">
        <v>7</v>
      </c>
    </row>
    <row r="208" spans="1:23">
      <c r="A208" t="s">
        <v>468</v>
      </c>
      <c r="B208">
        <v>9</v>
      </c>
    </row>
    <row r="209" spans="1:2">
      <c r="A209" t="s">
        <v>469</v>
      </c>
      <c r="B209">
        <v>10</v>
      </c>
    </row>
    <row r="210" spans="1:2">
      <c r="A210" t="s">
        <v>470</v>
      </c>
      <c r="B210">
        <v>11</v>
      </c>
    </row>
    <row r="211" spans="1:2">
      <c r="A211" t="s">
        <v>471</v>
      </c>
      <c r="B211">
        <v>12</v>
      </c>
    </row>
    <row r="212" spans="1:2">
      <c r="A212" t="s">
        <v>472</v>
      </c>
      <c r="B212">
        <v>13</v>
      </c>
    </row>
    <row r="213" spans="1:2">
      <c r="A213" t="s">
        <v>473</v>
      </c>
      <c r="B213">
        <v>14</v>
      </c>
    </row>
    <row r="214" spans="1:2">
      <c r="A214" t="s">
        <v>474</v>
      </c>
      <c r="B214">
        <v>15</v>
      </c>
    </row>
    <row r="215" spans="1:2">
      <c r="A215" t="s">
        <v>475</v>
      </c>
      <c r="B215">
        <v>16</v>
      </c>
    </row>
    <row r="216" spans="1:2">
      <c r="A216" t="s">
        <v>476</v>
      </c>
      <c r="B216">
        <v>17</v>
      </c>
    </row>
    <row r="217" spans="1:2">
      <c r="A217" t="s">
        <v>477</v>
      </c>
      <c r="B217">
        <v>18</v>
      </c>
    </row>
    <row r="218" spans="1:2">
      <c r="A218" t="s">
        <v>478</v>
      </c>
      <c r="B218">
        <v>19</v>
      </c>
    </row>
    <row r="219" spans="1:2">
      <c r="A219" t="s">
        <v>479</v>
      </c>
      <c r="B219">
        <v>20</v>
      </c>
    </row>
    <row r="220" spans="1:2">
      <c r="A220" t="s">
        <v>480</v>
      </c>
      <c r="B220">
        <v>21</v>
      </c>
    </row>
    <row r="221" spans="1:2">
      <c r="A221" t="s">
        <v>481</v>
      </c>
      <c r="B221">
        <v>22</v>
      </c>
    </row>
    <row r="222" spans="1:2">
      <c r="A222" t="s">
        <v>482</v>
      </c>
      <c r="B222">
        <v>23</v>
      </c>
    </row>
    <row r="223" spans="1:2">
      <c r="A223" t="s">
        <v>483</v>
      </c>
      <c r="B223">
        <v>24</v>
      </c>
    </row>
    <row r="224" spans="1:2">
      <c r="A224" t="s">
        <v>484</v>
      </c>
      <c r="B224">
        <v>25</v>
      </c>
    </row>
    <row r="225" spans="1:2">
      <c r="A225" t="s">
        <v>485</v>
      </c>
      <c r="B225">
        <v>26</v>
      </c>
    </row>
    <row r="226" spans="1:2">
      <c r="A226" t="s">
        <v>486</v>
      </c>
      <c r="B226">
        <v>27</v>
      </c>
    </row>
    <row r="227" spans="1:2">
      <c r="A227" t="s">
        <v>487</v>
      </c>
      <c r="B227">
        <v>28</v>
      </c>
    </row>
    <row r="228" spans="1:2">
      <c r="A228" t="s">
        <v>488</v>
      </c>
      <c r="B228">
        <v>29</v>
      </c>
    </row>
    <row r="229" spans="1:2">
      <c r="A229" t="s">
        <v>489</v>
      </c>
      <c r="B229">
        <v>30</v>
      </c>
    </row>
    <row r="230" spans="1:2">
      <c r="A230" t="s">
        <v>490</v>
      </c>
      <c r="B230">
        <v>31</v>
      </c>
    </row>
    <row r="231" spans="1:2">
      <c r="A231" t="s">
        <v>491</v>
      </c>
      <c r="B231">
        <v>33</v>
      </c>
    </row>
    <row r="232" spans="1:2">
      <c r="A232" t="s">
        <v>492</v>
      </c>
      <c r="B232">
        <v>34</v>
      </c>
    </row>
    <row r="233" spans="1:2">
      <c r="A233" t="s">
        <v>493</v>
      </c>
      <c r="B233">
        <v>35</v>
      </c>
    </row>
    <row r="234" spans="1:2">
      <c r="A234" t="s">
        <v>494</v>
      </c>
      <c r="B234">
        <v>36</v>
      </c>
    </row>
    <row r="235" spans="1:2">
      <c r="A235" t="s">
        <v>495</v>
      </c>
      <c r="B235">
        <v>37</v>
      </c>
    </row>
    <row r="236" spans="1:2">
      <c r="A236" t="s">
        <v>496</v>
      </c>
      <c r="B236">
        <v>38</v>
      </c>
    </row>
    <row r="237" spans="1:2">
      <c r="A237" t="s">
        <v>497</v>
      </c>
      <c r="B237">
        <v>39</v>
      </c>
    </row>
    <row r="238" spans="1:2">
      <c r="A238" t="s">
        <v>498</v>
      </c>
      <c r="B238">
        <v>40</v>
      </c>
    </row>
    <row r="239" spans="1:2">
      <c r="A239" t="s">
        <v>499</v>
      </c>
      <c r="B239">
        <v>41</v>
      </c>
    </row>
    <row r="240" spans="1:2">
      <c r="A240" t="s">
        <v>500</v>
      </c>
      <c r="B240">
        <v>42</v>
      </c>
    </row>
    <row r="241" spans="1:2">
      <c r="A241" t="s">
        <v>501</v>
      </c>
      <c r="B241">
        <v>43</v>
      </c>
    </row>
    <row r="242" spans="1:2">
      <c r="A242" t="s">
        <v>502</v>
      </c>
      <c r="B242">
        <v>44</v>
      </c>
    </row>
    <row r="243" spans="1:2">
      <c r="A243" t="s">
        <v>503</v>
      </c>
      <c r="B243">
        <v>45</v>
      </c>
    </row>
    <row r="244" spans="1:2">
      <c r="A244" t="s">
        <v>504</v>
      </c>
      <c r="B244">
        <v>46</v>
      </c>
    </row>
    <row r="245" spans="1:2">
      <c r="A245" t="s">
        <v>505</v>
      </c>
      <c r="B245">
        <v>47</v>
      </c>
    </row>
    <row r="246" spans="1:2">
      <c r="A246" t="s">
        <v>506</v>
      </c>
      <c r="B246">
        <v>48</v>
      </c>
    </row>
    <row r="247" spans="1:2">
      <c r="A247" t="s">
        <v>507</v>
      </c>
      <c r="B247">
        <v>49</v>
      </c>
    </row>
    <row r="248" spans="1:2">
      <c r="A248" t="s">
        <v>508</v>
      </c>
      <c r="B248">
        <v>50</v>
      </c>
    </row>
    <row r="249" spans="1:2">
      <c r="A249" t="s">
        <v>509</v>
      </c>
      <c r="B249">
        <v>51</v>
      </c>
    </row>
    <row r="250" spans="1:2">
      <c r="A250" t="s">
        <v>510</v>
      </c>
      <c r="B250">
        <v>52</v>
      </c>
    </row>
    <row r="251" spans="1:2">
      <c r="A251" t="s">
        <v>511</v>
      </c>
      <c r="B251">
        <v>53</v>
      </c>
    </row>
    <row r="252" spans="1:2">
      <c r="A252" t="s">
        <v>512</v>
      </c>
      <c r="B252">
        <v>54</v>
      </c>
    </row>
    <row r="253" spans="1:2">
      <c r="A253" t="s">
        <v>513</v>
      </c>
      <c r="B253">
        <v>55</v>
      </c>
    </row>
    <row r="254" spans="1:2">
      <c r="A254" t="s">
        <v>514</v>
      </c>
      <c r="B254">
        <v>57</v>
      </c>
    </row>
    <row r="255" spans="1:2">
      <c r="A255" t="s">
        <v>515</v>
      </c>
      <c r="B255">
        <v>58</v>
      </c>
    </row>
    <row r="256" spans="1:2">
      <c r="A256" t="s">
        <v>516</v>
      </c>
      <c r="B256">
        <v>59</v>
      </c>
    </row>
    <row r="257" spans="1:2">
      <c r="A257" t="s">
        <v>517</v>
      </c>
      <c r="B257">
        <v>61</v>
      </c>
    </row>
    <row r="258" spans="1:2">
      <c r="A258" t="s">
        <v>518</v>
      </c>
      <c r="B258">
        <v>62</v>
      </c>
    </row>
    <row r="259" spans="1:2">
      <c r="A259" t="s">
        <v>519</v>
      </c>
      <c r="B259">
        <v>63</v>
      </c>
    </row>
    <row r="260" spans="1:2">
      <c r="A260" t="s">
        <v>520</v>
      </c>
      <c r="B260">
        <v>64</v>
      </c>
    </row>
    <row r="261" spans="1:2">
      <c r="A261" t="s">
        <v>521</v>
      </c>
      <c r="B261">
        <v>65</v>
      </c>
    </row>
    <row r="262" spans="1:2">
      <c r="A262" t="s">
        <v>522</v>
      </c>
      <c r="B262">
        <v>67</v>
      </c>
    </row>
    <row r="263" spans="1:2">
      <c r="A263" t="s">
        <v>523</v>
      </c>
      <c r="B263">
        <v>68</v>
      </c>
    </row>
    <row r="264" spans="1:2">
      <c r="A264" t="s">
        <v>524</v>
      </c>
      <c r="B264">
        <v>69</v>
      </c>
    </row>
    <row r="265" spans="1:2">
      <c r="A265" t="s">
        <v>525</v>
      </c>
      <c r="B265">
        <v>70</v>
      </c>
    </row>
    <row r="266" spans="1:2">
      <c r="A266" t="s">
        <v>526</v>
      </c>
      <c r="B266">
        <v>71</v>
      </c>
    </row>
    <row r="267" spans="1:2">
      <c r="A267" t="s">
        <v>528</v>
      </c>
      <c r="B267" t="s">
        <v>529</v>
      </c>
    </row>
    <row r="268" spans="1:2">
      <c r="A268" t="s">
        <v>530</v>
      </c>
      <c r="B268" t="s">
        <v>531</v>
      </c>
    </row>
    <row r="269" spans="1:2">
      <c r="A269" t="s">
        <v>532</v>
      </c>
      <c r="B269" t="s">
        <v>533</v>
      </c>
    </row>
    <row r="270" spans="1:2">
      <c r="A270" t="s">
        <v>534</v>
      </c>
      <c r="B270" t="s">
        <v>535</v>
      </c>
    </row>
    <row r="271" spans="1:2">
      <c r="A271" t="s">
        <v>536</v>
      </c>
      <c r="B271" t="s">
        <v>537</v>
      </c>
    </row>
    <row r="272" spans="1:2">
      <c r="A272" t="s">
        <v>538</v>
      </c>
      <c r="B272" t="s">
        <v>539</v>
      </c>
    </row>
    <row r="273" spans="1:24">
      <c r="A273" t="s">
        <v>540</v>
      </c>
      <c r="B273" t="s">
        <v>541</v>
      </c>
    </row>
    <row r="274" spans="1:24">
      <c r="A274" t="s">
        <v>546</v>
      </c>
      <c r="B274" t="s">
        <v>64</v>
      </c>
      <c r="C274" t="s">
        <v>44</v>
      </c>
      <c r="D274" t="s">
        <v>20</v>
      </c>
      <c r="E274" t="s">
        <v>66</v>
      </c>
      <c r="F274" t="s">
        <v>70</v>
      </c>
      <c r="G274" t="s">
        <v>46</v>
      </c>
      <c r="H274" t="s">
        <v>60</v>
      </c>
      <c r="I274" t="s">
        <v>18</v>
      </c>
      <c r="J274" t="s">
        <v>38</v>
      </c>
      <c r="K274" t="s">
        <v>62</v>
      </c>
      <c r="L274" t="s">
        <v>6</v>
      </c>
      <c r="M274" t="s">
        <v>24</v>
      </c>
      <c r="N274" t="s">
        <v>40</v>
      </c>
      <c r="O274" t="s">
        <v>68</v>
      </c>
      <c r="P274" t="s">
        <v>50</v>
      </c>
      <c r="Q274" t="s">
        <v>48</v>
      </c>
      <c r="R274" t="s">
        <v>58</v>
      </c>
      <c r="S274" t="s">
        <v>10</v>
      </c>
      <c r="T274" t="s">
        <v>72</v>
      </c>
      <c r="U274" t="s">
        <v>14</v>
      </c>
      <c r="V274" t="s">
        <v>22</v>
      </c>
      <c r="W274" t="s">
        <v>54</v>
      </c>
      <c r="X274" t="s">
        <v>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L38"/>
  <sheetViews>
    <sheetView zoomScale="85" zoomScaleNormal="85" workbookViewId="0">
      <pane xSplit="2" topLeftCell="AQ1" activePane="topRight" state="frozen"/>
      <selection pane="topRight" activeCell="BH5" sqref="BH5:BL9"/>
    </sheetView>
  </sheetViews>
  <sheetFormatPr defaultColWidth="8.85546875" defaultRowHeight="15" outlineLevelRow="2"/>
  <cols>
    <col min="1" max="1" width="9.140625"/>
    <col min="2" max="2" width="24.7109375" customWidth="1"/>
    <col min="3" max="4" width="10.7109375" customWidth="1"/>
    <col min="5" max="6" width="9.140625"/>
    <col min="7" max="7" width="1.7109375" customWidth="1"/>
    <col min="8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26" max="29" width="9.140625"/>
    <col min="30" max="30" width="1.7109375" customWidth="1"/>
    <col min="31" max="32" width="9.140625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49" max="52" width="9.140625"/>
    <col min="53" max="53" width="1.7109375" customWidth="1"/>
    <col min="54" max="58" width="9.140625"/>
    <col min="59" max="59" width="1.7109375" customWidth="1"/>
  </cols>
  <sheetData>
    <row r="1" spans="1:64">
      <c r="A1" s="74" t="s">
        <v>365</v>
      </c>
      <c r="B1" s="74"/>
      <c r="C1" s="74"/>
      <c r="D1" s="74"/>
      <c r="E1" s="74"/>
      <c r="F1" s="74"/>
      <c r="H1" s="62" t="s">
        <v>551</v>
      </c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E1" s="63" t="s">
        <v>550</v>
      </c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</row>
    <row r="2" spans="1:64" ht="30" customHeight="1" thickBot="1">
      <c r="A2" s="71" t="s">
        <v>92</v>
      </c>
      <c r="B2" s="72" t="s">
        <v>95</v>
      </c>
      <c r="C2" s="71" t="s">
        <v>101</v>
      </c>
      <c r="D2" s="72" t="s">
        <v>104</v>
      </c>
      <c r="E2" s="71" t="s">
        <v>107</v>
      </c>
      <c r="F2" s="72" t="s">
        <v>110</v>
      </c>
      <c r="H2" s="71" t="s">
        <v>309</v>
      </c>
      <c r="I2" s="72" t="s">
        <v>113</v>
      </c>
      <c r="J2" s="73" t="s">
        <v>116</v>
      </c>
      <c r="K2" s="73"/>
      <c r="L2" s="73"/>
      <c r="M2" s="73"/>
      <c r="N2" s="71" t="s">
        <v>129</v>
      </c>
      <c r="O2" s="72" t="s">
        <v>132</v>
      </c>
      <c r="P2" s="71" t="s">
        <v>23</v>
      </c>
      <c r="Q2" s="70" t="s">
        <v>141</v>
      </c>
      <c r="R2" s="70"/>
      <c r="S2" s="70"/>
      <c r="T2" s="70"/>
      <c r="U2" s="73" t="s">
        <v>152</v>
      </c>
      <c r="V2" s="73"/>
      <c r="W2" s="70" t="s">
        <v>159</v>
      </c>
      <c r="X2" s="70"/>
      <c r="Y2" s="70"/>
      <c r="Z2" s="73" t="s">
        <v>169</v>
      </c>
      <c r="AA2" s="73"/>
      <c r="AB2" s="70" t="s">
        <v>176</v>
      </c>
      <c r="AC2" s="70"/>
      <c r="AE2" s="71" t="s">
        <v>309</v>
      </c>
      <c r="AF2" s="72" t="s">
        <v>113</v>
      </c>
      <c r="AG2" s="73" t="s">
        <v>116</v>
      </c>
      <c r="AH2" s="73"/>
      <c r="AI2" s="73"/>
      <c r="AJ2" s="73"/>
      <c r="AK2" s="71" t="s">
        <v>191</v>
      </c>
      <c r="AL2" s="72" t="s">
        <v>132</v>
      </c>
      <c r="AM2" s="71" t="s">
        <v>23</v>
      </c>
      <c r="AN2" s="70" t="s">
        <v>141</v>
      </c>
      <c r="AO2" s="70"/>
      <c r="AP2" s="70"/>
      <c r="AQ2" s="70"/>
      <c r="AR2" s="73" t="s">
        <v>152</v>
      </c>
      <c r="AS2" s="73"/>
      <c r="AT2" s="70" t="s">
        <v>159</v>
      </c>
      <c r="AU2" s="70"/>
      <c r="AV2" s="70"/>
      <c r="AW2" s="73" t="s">
        <v>169</v>
      </c>
      <c r="AX2" s="73"/>
      <c r="AY2" s="70" t="s">
        <v>176</v>
      </c>
      <c r="AZ2" s="70"/>
      <c r="BB2" s="73" t="s">
        <v>356</v>
      </c>
      <c r="BC2" s="73"/>
      <c r="BD2" s="73"/>
      <c r="BE2" s="72" t="s">
        <v>231</v>
      </c>
      <c r="BF2" s="71" t="s">
        <v>231</v>
      </c>
      <c r="BH2" s="71" t="s">
        <v>23</v>
      </c>
      <c r="BI2" s="70" t="s">
        <v>141</v>
      </c>
      <c r="BJ2" s="70"/>
      <c r="BK2" s="70"/>
      <c r="BL2" s="70"/>
    </row>
    <row r="3" spans="1:64" ht="30.75" thickBot="1">
      <c r="A3" s="71"/>
      <c r="B3" s="72"/>
      <c r="C3" s="71"/>
      <c r="D3" s="72"/>
      <c r="E3" s="71"/>
      <c r="F3" s="72"/>
      <c r="H3" s="71"/>
      <c r="I3" s="72"/>
      <c r="J3" s="11" t="s">
        <v>117</v>
      </c>
      <c r="K3" s="11" t="s">
        <v>120</v>
      </c>
      <c r="L3" s="11" t="s">
        <v>123</v>
      </c>
      <c r="M3" s="11" t="s">
        <v>126</v>
      </c>
      <c r="N3" s="71"/>
      <c r="O3" s="72"/>
      <c r="P3" s="71"/>
      <c r="Q3" s="12" t="s">
        <v>117</v>
      </c>
      <c r="R3" s="12" t="s">
        <v>123</v>
      </c>
      <c r="S3" s="12" t="s">
        <v>146</v>
      </c>
      <c r="T3" s="12" t="s">
        <v>149</v>
      </c>
      <c r="U3" s="11" t="s">
        <v>153</v>
      </c>
      <c r="V3" s="11" t="s">
        <v>156</v>
      </c>
      <c r="W3" s="12" t="s">
        <v>160</v>
      </c>
      <c r="X3" s="12" t="s">
        <v>163</v>
      </c>
      <c r="Y3" s="12" t="s">
        <v>166</v>
      </c>
      <c r="Z3" s="11" t="s">
        <v>170</v>
      </c>
      <c r="AA3" s="11" t="s">
        <v>173</v>
      </c>
      <c r="AB3" s="12" t="s">
        <v>170</v>
      </c>
      <c r="AC3" s="12" t="s">
        <v>173</v>
      </c>
      <c r="AE3" s="71"/>
      <c r="AF3" s="72"/>
      <c r="AG3" s="11" t="s">
        <v>117</v>
      </c>
      <c r="AH3" s="11" t="s">
        <v>120</v>
      </c>
      <c r="AI3" s="11" t="s">
        <v>123</v>
      </c>
      <c r="AJ3" s="11" t="s">
        <v>126</v>
      </c>
      <c r="AK3" s="71"/>
      <c r="AL3" s="72"/>
      <c r="AM3" s="71"/>
      <c r="AN3" s="12" t="s">
        <v>117</v>
      </c>
      <c r="AO3" s="12" t="s">
        <v>123</v>
      </c>
      <c r="AP3" s="12" t="s">
        <v>146</v>
      </c>
      <c r="AQ3" s="12" t="s">
        <v>149</v>
      </c>
      <c r="AR3" s="11" t="s">
        <v>153</v>
      </c>
      <c r="AS3" s="11" t="s">
        <v>156</v>
      </c>
      <c r="AT3" s="12" t="s">
        <v>160</v>
      </c>
      <c r="AU3" s="12" t="s">
        <v>163</v>
      </c>
      <c r="AV3" s="12" t="s">
        <v>166</v>
      </c>
      <c r="AW3" s="11" t="s">
        <v>170</v>
      </c>
      <c r="AX3" s="11" t="s">
        <v>173</v>
      </c>
      <c r="AY3" s="12" t="s">
        <v>170</v>
      </c>
      <c r="AZ3" s="12" t="s">
        <v>173</v>
      </c>
      <c r="BB3" s="11" t="s">
        <v>117</v>
      </c>
      <c r="BC3" s="11" t="s">
        <v>123</v>
      </c>
      <c r="BD3" s="11" t="s">
        <v>149</v>
      </c>
      <c r="BE3" s="72"/>
      <c r="BF3" s="71"/>
      <c r="BH3" s="71"/>
      <c r="BI3" s="61" t="s">
        <v>117</v>
      </c>
      <c r="BJ3" s="61" t="s">
        <v>123</v>
      </c>
      <c r="BK3" s="61" t="s">
        <v>146</v>
      </c>
      <c r="BL3" s="61" t="s">
        <v>149</v>
      </c>
    </row>
    <row r="4" spans="1:64" ht="123" hidden="1">
      <c r="A4" s="13" t="s">
        <v>93</v>
      </c>
      <c r="B4" s="14" t="s">
        <v>96</v>
      </c>
      <c r="C4" s="13" t="s">
        <v>102</v>
      </c>
      <c r="D4" s="14" t="s">
        <v>105</v>
      </c>
      <c r="E4" s="13" t="s">
        <v>108</v>
      </c>
      <c r="F4" s="14" t="s">
        <v>111</v>
      </c>
      <c r="H4" s="13" t="s">
        <v>310</v>
      </c>
      <c r="I4" s="14" t="s">
        <v>114</v>
      </c>
      <c r="J4" s="13" t="s">
        <v>118</v>
      </c>
      <c r="K4" s="13" t="s">
        <v>121</v>
      </c>
      <c r="L4" s="13" t="s">
        <v>124</v>
      </c>
      <c r="M4" s="13" t="s">
        <v>127</v>
      </c>
      <c r="N4" s="13" t="s">
        <v>130</v>
      </c>
      <c r="O4" s="14" t="s">
        <v>133</v>
      </c>
      <c r="P4" s="13" t="s">
        <v>135</v>
      </c>
      <c r="Q4" s="14" t="s">
        <v>142</v>
      </c>
      <c r="R4" s="14" t="s">
        <v>144</v>
      </c>
      <c r="S4" s="14" t="s">
        <v>147</v>
      </c>
      <c r="T4" s="14" t="s">
        <v>150</v>
      </c>
      <c r="U4" s="13" t="s">
        <v>154</v>
      </c>
      <c r="V4" s="13" t="s">
        <v>157</v>
      </c>
      <c r="W4" s="14" t="s">
        <v>161</v>
      </c>
      <c r="X4" s="14" t="s">
        <v>164</v>
      </c>
      <c r="Y4" s="14" t="s">
        <v>167</v>
      </c>
      <c r="Z4" s="13" t="s">
        <v>171</v>
      </c>
      <c r="AA4" s="13" t="s">
        <v>174</v>
      </c>
      <c r="AB4" s="14" t="s">
        <v>177</v>
      </c>
      <c r="AC4" s="14" t="s">
        <v>179</v>
      </c>
      <c r="AE4" s="13" t="s">
        <v>333</v>
      </c>
      <c r="AF4" s="14" t="s">
        <v>181</v>
      </c>
      <c r="AG4" s="13" t="s">
        <v>183</v>
      </c>
      <c r="AH4" s="13" t="s">
        <v>185</v>
      </c>
      <c r="AI4" s="13" t="s">
        <v>187</v>
      </c>
      <c r="AJ4" s="13" t="s">
        <v>189</v>
      </c>
      <c r="AK4" s="13" t="s">
        <v>192</v>
      </c>
      <c r="AL4" s="14" t="s">
        <v>194</v>
      </c>
      <c r="AM4" s="13" t="s">
        <v>196</v>
      </c>
      <c r="AN4" s="14" t="s">
        <v>202</v>
      </c>
      <c r="AO4" s="14" t="s">
        <v>204</v>
      </c>
      <c r="AP4" s="14" t="s">
        <v>206</v>
      </c>
      <c r="AQ4" s="14" t="s">
        <v>208</v>
      </c>
      <c r="AR4" s="13" t="s">
        <v>210</v>
      </c>
      <c r="AS4" s="13" t="s">
        <v>212</v>
      </c>
      <c r="AT4" s="14" t="s">
        <v>214</v>
      </c>
      <c r="AU4" s="14" t="s">
        <v>216</v>
      </c>
      <c r="AV4" s="14" t="s">
        <v>218</v>
      </c>
      <c r="AW4" s="13" t="s">
        <v>220</v>
      </c>
      <c r="AX4" s="13" t="s">
        <v>222</v>
      </c>
      <c r="AY4" s="14" t="s">
        <v>224</v>
      </c>
      <c r="AZ4" s="14" t="s">
        <v>226</v>
      </c>
      <c r="BB4" s="13" t="s">
        <v>357</v>
      </c>
      <c r="BC4" s="13" t="s">
        <v>359</v>
      </c>
      <c r="BD4" s="13" t="s">
        <v>361</v>
      </c>
      <c r="BE4" s="14" t="s">
        <v>232</v>
      </c>
      <c r="BF4" s="13" t="s">
        <v>234</v>
      </c>
    </row>
    <row r="5" spans="1:64" collapsed="1">
      <c r="A5" s="15" t="s">
        <v>266</v>
      </c>
      <c r="B5" s="15" t="s">
        <v>265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0.29835416845171281</v>
      </c>
      <c r="I5" s="17">
        <f>IF(OR(ISBLANK(Q5),ISBLANK(F5)),"·",Q5*F5/E5/1000000)</f>
        <v>209.4810525</v>
      </c>
      <c r="J5" s="18">
        <f>IF(ISBLANK(Q5),"·",Q5/C5)</f>
        <v>8.9506250535513843</v>
      </c>
      <c r="K5" s="18">
        <f>IF(N5="","·",N5/C5)</f>
        <v>1.360901134942837</v>
      </c>
      <c r="L5" s="18">
        <f>IF(R5="","·",R5/C5)</f>
        <v>1.2802145267924356</v>
      </c>
      <c r="M5" s="18">
        <f>IF(ISBLANK(T5),"·",T5/C5)</f>
        <v>7.5896216927977393</v>
      </c>
      <c r="N5" s="15">
        <f>IF(OR(ISBLANK(R5),ISBLANK(S5)),"",R5+S5)</f>
        <v>33974000</v>
      </c>
      <c r="O5" s="18">
        <f>IF(ISBLANK(Q5),"·",Q5/P5)</f>
        <v>8.9506250535513843</v>
      </c>
      <c r="P5" s="19">
        <v>24964341</v>
      </c>
      <c r="Q5" s="20">
        <v>223446456</v>
      </c>
      <c r="R5" s="20">
        <v>31959712</v>
      </c>
      <c r="S5" s="20">
        <v>2014288</v>
      </c>
      <c r="T5" s="20">
        <v>189469904</v>
      </c>
      <c r="U5" s="21" t="s">
        <v>548</v>
      </c>
      <c r="V5" s="21" t="s">
        <v>548</v>
      </c>
      <c r="W5" s="21" t="s">
        <v>548</v>
      </c>
      <c r="X5" s="21" t="s">
        <v>548</v>
      </c>
      <c r="Y5" s="21" t="s">
        <v>548</v>
      </c>
      <c r="Z5" s="22">
        <v>3961.03</v>
      </c>
      <c r="AA5" s="22">
        <v>5759.08</v>
      </c>
      <c r="AB5" s="22">
        <v>3.1160000000000001</v>
      </c>
      <c r="AC5" s="22">
        <v>22.931999999999999</v>
      </c>
      <c r="AE5" s="23">
        <f>IF(ISBLANK(AN5),"·",AN5/(C5*D5*3))</f>
        <v>0.29726831029373724</v>
      </c>
      <c r="AF5" s="17">
        <f>IF(OR(ISBLANK(AN5),ISBLANK(F5)),"·",AN5*F5/E5/1000000)</f>
        <v>208.7186475</v>
      </c>
      <c r="AG5" s="18">
        <f>IF(ISBLANK(AN5),"·",AN5/C5)</f>
        <v>8.9180493088121171</v>
      </c>
      <c r="AH5" s="18">
        <f>IF(AK5="","·",AK5/C5)</f>
        <v>1.358389712750679</v>
      </c>
      <c r="AI5" s="18">
        <f>IF(AO5="","·",AO5/C5)</f>
        <v>1.2777498913350045</v>
      </c>
      <c r="AJ5" s="18">
        <f>IF(ISBLANK(AQ5),"·",AQ5/C5)</f>
        <v>7.5595570497935434</v>
      </c>
      <c r="AK5" s="15">
        <f>IF(OR(ISBLANK(AO5),ISBLANK(AP5)),"",AO5+AP5)</f>
        <v>33911304</v>
      </c>
      <c r="AL5" s="18">
        <f>IF(ISBLANK(AN5),"·",AN5/AM5)</f>
        <v>8.9180493088121171</v>
      </c>
      <c r="AM5" s="19">
        <v>24964341</v>
      </c>
      <c r="AN5" s="20">
        <v>222633224</v>
      </c>
      <c r="AO5" s="20">
        <v>31898184</v>
      </c>
      <c r="AP5" s="20">
        <v>2013120</v>
      </c>
      <c r="AQ5" s="20">
        <v>188719360</v>
      </c>
      <c r="AR5" s="21" t="s">
        <v>548</v>
      </c>
      <c r="AS5" s="21" t="s">
        <v>548</v>
      </c>
      <c r="AT5" s="21" t="s">
        <v>548</v>
      </c>
      <c r="AU5" s="21" t="s">
        <v>548</v>
      </c>
      <c r="AV5" s="21" t="s">
        <v>548</v>
      </c>
      <c r="AW5" s="22">
        <v>3873.22</v>
      </c>
      <c r="AX5" s="22">
        <v>5550.5</v>
      </c>
      <c r="AY5" s="22">
        <v>2.6160000000000001</v>
      </c>
      <c r="AZ5" s="22">
        <v>15.628</v>
      </c>
      <c r="BB5" s="24">
        <f t="shared" ref="BB5:BB12" si="0">AG5/J5</f>
        <v>0.99636050616081362</v>
      </c>
      <c r="BC5" s="24">
        <f t="shared" ref="BC5:BD12" si="1">AI5/L5</f>
        <v>0.99807482620619359</v>
      </c>
      <c r="BD5" s="24">
        <f t="shared" si="1"/>
        <v>0.9960387165235487</v>
      </c>
      <c r="BE5" s="23">
        <f>(AK5/AN5) - (N5/Q5)</f>
        <v>2.7377838130987486E-4</v>
      </c>
      <c r="BF5" s="23">
        <f t="array" ref="BF5">AVERAGE(AK5:AK5/AN5:AN5) - AVERAGE(N5:N5/Q5:Q5)</f>
        <v>2.7377838130987486E-4</v>
      </c>
      <c r="BH5">
        <f>AM5-P5</f>
        <v>0</v>
      </c>
      <c r="BI5" s="4">
        <f t="shared" ref="BI5:BL9" si="2">AN5-Q5</f>
        <v>-813232</v>
      </c>
      <c r="BJ5" s="4">
        <f t="shared" si="2"/>
        <v>-61528</v>
      </c>
      <c r="BK5" s="4">
        <f t="shared" si="2"/>
        <v>-1168</v>
      </c>
      <c r="BL5" s="4">
        <f t="shared" si="2"/>
        <v>-750544</v>
      </c>
    </row>
    <row r="6" spans="1:64" collapsed="1">
      <c r="A6" s="25"/>
      <c r="B6" s="25" t="s">
        <v>274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0.42807554140833831</v>
      </c>
      <c r="I6" s="27">
        <f>IF(OR(ISBLANK(Q6),ISBLANK(F6)),"·",Q6*F6/E6/1000000)</f>
        <v>272.755155</v>
      </c>
      <c r="J6" s="28">
        <f>IF(ISBLANK(Q6),"·",Q6/C6)</f>
        <v>12.842266242250149</v>
      </c>
      <c r="K6" s="28">
        <f>IF(N6="","·",N6/C6)</f>
        <v>1.6696803488216112</v>
      </c>
      <c r="L6" s="28">
        <f>IF(R6="","·",R6/C6)</f>
        <v>1.52920356044808</v>
      </c>
      <c r="M6" s="28">
        <f>IF(ISBLANK(T6),"·",T6/C6)</f>
        <v>11.172473246164421</v>
      </c>
      <c r="N6" s="25">
        <f>IF(OR(ISBLANK(R6),ISBLANK(S6)),"",R6+S6)</f>
        <v>37826256</v>
      </c>
      <c r="O6" s="28">
        <f>IF(ISBLANK(Q6),"·",Q6/P6)</f>
        <v>12.842266242250149</v>
      </c>
      <c r="P6" s="29">
        <v>22654789</v>
      </c>
      <c r="Q6" s="30">
        <v>290938832</v>
      </c>
      <c r="R6" s="30">
        <v>34643784</v>
      </c>
      <c r="S6" s="30">
        <v>3182472</v>
      </c>
      <c r="T6" s="30">
        <v>253110024</v>
      </c>
      <c r="U6" s="31" t="s">
        <v>548</v>
      </c>
      <c r="V6" s="31" t="s">
        <v>548</v>
      </c>
      <c r="W6" s="31" t="s">
        <v>548</v>
      </c>
      <c r="X6" s="31" t="s">
        <v>548</v>
      </c>
      <c r="Y6" s="31" t="s">
        <v>548</v>
      </c>
      <c r="Z6" s="32">
        <v>3649.69</v>
      </c>
      <c r="AA6" s="32">
        <v>5773.16</v>
      </c>
      <c r="AB6" s="32">
        <v>3.08</v>
      </c>
      <c r="AC6" s="32">
        <v>24.911999999999999</v>
      </c>
      <c r="AE6" s="33">
        <f>IF(ISBLANK(AN6),"·",AN6/(C6*D6*3))</f>
        <v>0.42787445956790859</v>
      </c>
      <c r="AF6" s="27">
        <f>IF(OR(ISBLANK(AN6),ISBLANK(F6)),"·",AN6*F6/E6/1000000)</f>
        <v>272.62703249999998</v>
      </c>
      <c r="AG6" s="28">
        <f>IF(ISBLANK(AN6),"·",AN6/C6)</f>
        <v>12.836233787037257</v>
      </c>
      <c r="AH6" s="28">
        <f>IF(AK6="","·",AK6/C6)</f>
        <v>1.6703943700380524</v>
      </c>
      <c r="AI6" s="28">
        <f>IF(AO6="","·",AO6/C6)</f>
        <v>1.5295941180471819</v>
      </c>
      <c r="AJ6" s="28">
        <f>IF(ISBLANK(AQ6),"·",AQ6/C6)</f>
        <v>11.165726416608868</v>
      </c>
      <c r="AK6" s="25">
        <f>IF(OR(ISBLANK(AO6),ISBLANK(AP6)),"",AO6+AP6)</f>
        <v>37842432</v>
      </c>
      <c r="AL6" s="28">
        <f>IF(ISBLANK(AN6),"·",AN6/AM6)</f>
        <v>12.836233787037257</v>
      </c>
      <c r="AM6" s="29">
        <v>22654789</v>
      </c>
      <c r="AN6" s="30">
        <v>290802168</v>
      </c>
      <c r="AO6" s="30">
        <v>34652632</v>
      </c>
      <c r="AP6" s="30">
        <v>3189800</v>
      </c>
      <c r="AQ6" s="30">
        <v>252957176</v>
      </c>
      <c r="AR6" s="31" t="s">
        <v>548</v>
      </c>
      <c r="AS6" s="31" t="s">
        <v>548</v>
      </c>
      <c r="AT6" s="31" t="s">
        <v>548</v>
      </c>
      <c r="AU6" s="31" t="s">
        <v>548</v>
      </c>
      <c r="AV6" s="31" t="s">
        <v>548</v>
      </c>
      <c r="AW6" s="32">
        <v>3091.24</v>
      </c>
      <c r="AX6" s="32">
        <v>4550.4799999999996</v>
      </c>
      <c r="AY6" s="32">
        <v>2.3039999999999998</v>
      </c>
      <c r="AZ6" s="32">
        <v>16.728000000000002</v>
      </c>
      <c r="BB6" s="34">
        <f t="shared" si="0"/>
        <v>0.99953026552330415</v>
      </c>
      <c r="BC6" s="34">
        <f t="shared" si="1"/>
        <v>1.0002553993524494</v>
      </c>
      <c r="BD6" s="34">
        <f t="shared" si="1"/>
        <v>0.99939612032117697</v>
      </c>
      <c r="BE6" s="33">
        <f>(AK6/AN6) - (N6/Q6)</f>
        <v>1.1672642195542648E-4</v>
      </c>
      <c r="BF6" s="33">
        <f t="array" ref="BF6">AVERAGE(AK6:AK6/AN6:AN6) - AVERAGE(N6:N6/Q6:Q6)</f>
        <v>1.1672642195542648E-4</v>
      </c>
      <c r="BH6" s="4">
        <f t="shared" ref="BH6:BH9" si="3">AM6-P6</f>
        <v>0</v>
      </c>
      <c r="BI6" s="4">
        <f t="shared" si="2"/>
        <v>-136664</v>
      </c>
      <c r="BJ6" s="4">
        <f t="shared" si="2"/>
        <v>8848</v>
      </c>
      <c r="BK6" s="4">
        <f t="shared" si="2"/>
        <v>7328</v>
      </c>
      <c r="BL6" s="4">
        <f t="shared" si="2"/>
        <v>-152848</v>
      </c>
    </row>
    <row r="7" spans="1:64" collapsed="1">
      <c r="A7" s="15"/>
      <c r="B7" s="15" t="s">
        <v>277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0.33510313319636587</v>
      </c>
      <c r="I7" s="17">
        <f>IF(OR(ISBLANK(Q7),ISBLANK(F7)),"·",Q7*F7/E7/1000000)</f>
        <v>319.94962500000003</v>
      </c>
      <c r="J7" s="18">
        <f>IF(ISBLANK(Q7),"·",Q7/C7)</f>
        <v>10.053093995890976</v>
      </c>
      <c r="K7" s="18">
        <f>IF(N7="","·",N7/C7)</f>
        <v>1.5206295751602508</v>
      </c>
      <c r="L7" s="18">
        <f>IF(R7="","·",R7/C7)</f>
        <v>1.4073836715622534</v>
      </c>
      <c r="M7" s="18">
        <f>IF(ISBLANK(T7),"·",T7/C7)</f>
        <v>8.5323892463110482</v>
      </c>
      <c r="N7" s="15">
        <f>IF(OR(ISBLANK(R7),ISBLANK(S7)),"",R7+S7)</f>
        <v>51621904</v>
      </c>
      <c r="O7" s="18">
        <f>IF(ISBLANK(Q7),"·",Q7/P7)</f>
        <v>10.053093995890976</v>
      </c>
      <c r="P7" s="19">
        <v>33947718</v>
      </c>
      <c r="Q7" s="20">
        <v>341279600</v>
      </c>
      <c r="R7" s="20">
        <v>47777464</v>
      </c>
      <c r="S7" s="20">
        <v>3844440</v>
      </c>
      <c r="T7" s="20">
        <v>289655144</v>
      </c>
      <c r="U7" s="21" t="s">
        <v>548</v>
      </c>
      <c r="V7" s="21" t="s">
        <v>548</v>
      </c>
      <c r="W7" s="21" t="s">
        <v>548</v>
      </c>
      <c r="X7" s="21" t="s">
        <v>548</v>
      </c>
      <c r="Y7" s="21" t="s">
        <v>548</v>
      </c>
      <c r="Z7" s="22">
        <v>4604.05</v>
      </c>
      <c r="AA7" s="22">
        <v>6171.08</v>
      </c>
      <c r="AB7" s="22">
        <v>4.7960000000000003</v>
      </c>
      <c r="AC7" s="22">
        <v>29.384</v>
      </c>
      <c r="AE7" s="23">
        <f>IF(ISBLANK(AN7),"·",AN7/(C7*D7*3))</f>
        <v>0.33567587272483723</v>
      </c>
      <c r="AF7" s="17">
        <f>IF(OR(ISBLANK(AN7),ISBLANK(F7)),"·",AN7*F7/E7/1000000)</f>
        <v>320.496465</v>
      </c>
      <c r="AG7" s="18">
        <f>IF(ISBLANK(AN7),"·",AN7/C7)</f>
        <v>10.070276181745118</v>
      </c>
      <c r="AH7" s="18">
        <f>IF(AK7="","·",AK7/C7)</f>
        <v>1.5241012665416862</v>
      </c>
      <c r="AI7" s="18">
        <f>IF(AO7="","·",AO7/C7)</f>
        <v>1.4108961315161155</v>
      </c>
      <c r="AJ7" s="18">
        <f>IF(ISBLANK(AQ7),"·",AQ7/C7)</f>
        <v>8.5460995051272661</v>
      </c>
      <c r="AK7" s="15">
        <f>IF(OR(ISBLANK(AO7),ISBLANK(AP7)),"",AO7+AP7)</f>
        <v>51739760</v>
      </c>
      <c r="AL7" s="18">
        <f>IF(ISBLANK(AN7),"·",AN7/AM7)</f>
        <v>10.070276181745118</v>
      </c>
      <c r="AM7" s="19">
        <v>33947718</v>
      </c>
      <c r="AN7" s="20">
        <v>341862896</v>
      </c>
      <c r="AO7" s="20">
        <v>47896704</v>
      </c>
      <c r="AP7" s="20">
        <v>3843056</v>
      </c>
      <c r="AQ7" s="20">
        <v>290120576</v>
      </c>
      <c r="AR7" s="21" t="s">
        <v>548</v>
      </c>
      <c r="AS7" s="21" t="s">
        <v>548</v>
      </c>
      <c r="AT7" s="21" t="s">
        <v>548</v>
      </c>
      <c r="AU7" s="21" t="s">
        <v>548</v>
      </c>
      <c r="AV7" s="21" t="s">
        <v>548</v>
      </c>
      <c r="AW7" s="22">
        <v>4565.09</v>
      </c>
      <c r="AX7" s="22">
        <v>6185.87</v>
      </c>
      <c r="AY7" s="22">
        <v>3.34</v>
      </c>
      <c r="AZ7" s="22">
        <v>20.420000000000002</v>
      </c>
      <c r="BB7" s="24">
        <f t="shared" si="0"/>
        <v>1.0017091440566621</v>
      </c>
      <c r="BC7" s="24">
        <f t="shared" si="1"/>
        <v>1.0024957373208423</v>
      </c>
      <c r="BD7" s="24">
        <f t="shared" si="1"/>
        <v>1.0016068487290528</v>
      </c>
      <c r="BE7" s="23">
        <f>(AK7/AN7) - (N7/Q7)</f>
        <v>8.6662606359089178E-5</v>
      </c>
      <c r="BF7" s="23">
        <f t="array" ref="BF7">AVERAGE(AK7:AK7/AN7:AN7) - AVERAGE(N7:N7/Q7:Q7)</f>
        <v>8.6662606359089178E-5</v>
      </c>
      <c r="BH7" s="4">
        <f t="shared" si="3"/>
        <v>0</v>
      </c>
      <c r="BI7" s="4">
        <f t="shared" si="2"/>
        <v>583296</v>
      </c>
      <c r="BJ7" s="4">
        <f t="shared" si="2"/>
        <v>119240</v>
      </c>
      <c r="BK7" s="4">
        <f t="shared" si="2"/>
        <v>-1384</v>
      </c>
      <c r="BL7" s="4">
        <f t="shared" si="2"/>
        <v>465432</v>
      </c>
    </row>
    <row r="8" spans="1:64" ht="15.75" collapsed="1" thickBot="1">
      <c r="A8" s="45"/>
      <c r="B8" s="45" t="s">
        <v>280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0.25952644471512254</v>
      </c>
      <c r="I8" s="47">
        <f>IF(OR(ISBLANK(Q8),ISBLANK(F8)),"·",Q8*F8/E8/1000000)</f>
        <v>391.84003749999999</v>
      </c>
      <c r="J8" s="48">
        <f>IF(ISBLANK(Q8),"·",Q8/C8)</f>
        <v>7.785793341453676</v>
      </c>
      <c r="K8" s="48">
        <f>IF(N8="","·",N8/C8)</f>
        <v>1.0107390510351202</v>
      </c>
      <c r="L8" s="48">
        <f>IF(R8="","·",R8/C8)</f>
        <v>0.86002617290728745</v>
      </c>
      <c r="M8" s="48">
        <f>IF(ISBLANK(T8),"·",T8/C8)</f>
        <v>6.7749750594876197</v>
      </c>
      <c r="N8" s="45">
        <f>IF(OR(ISBLANK(R8),ISBLANK(S8)),"",R8+S8)</f>
        <v>32555544</v>
      </c>
      <c r="O8" s="48">
        <f>IF(ISBLANK(Q8),"·",Q8/P8)</f>
        <v>7.785793341453676</v>
      </c>
      <c r="P8" s="49">
        <v>32209643</v>
      </c>
      <c r="Q8" s="50">
        <v>250777624</v>
      </c>
      <c r="R8" s="50">
        <v>27701136</v>
      </c>
      <c r="S8" s="50">
        <v>4854408</v>
      </c>
      <c r="T8" s="50">
        <v>218219528</v>
      </c>
      <c r="U8" s="51" t="s">
        <v>548</v>
      </c>
      <c r="V8" s="51" t="s">
        <v>548</v>
      </c>
      <c r="W8" s="51" t="s">
        <v>548</v>
      </c>
      <c r="X8" s="51" t="s">
        <v>548</v>
      </c>
      <c r="Y8" s="51" t="s">
        <v>548</v>
      </c>
      <c r="Z8" s="52">
        <v>4521.1000000000004</v>
      </c>
      <c r="AA8" s="52">
        <v>4444.8</v>
      </c>
      <c r="AB8" s="52">
        <v>2.8439999999999999</v>
      </c>
      <c r="AC8" s="52">
        <v>15.428000000000001</v>
      </c>
      <c r="AE8" s="53">
        <f>IF(ISBLANK(AN8),"·",AN8/(C8*D8*3))</f>
        <v>0.26551684951408289</v>
      </c>
      <c r="AF8" s="47">
        <f>IF(OR(ISBLANK(AN8),ISBLANK(F8)),"·",AN8*F8/E8/1000000)</f>
        <v>400.88451250000003</v>
      </c>
      <c r="AG8" s="48">
        <f>IF(ISBLANK(AN8),"·",AN8/C8)</f>
        <v>7.9655054854224865</v>
      </c>
      <c r="AH8" s="48">
        <f>IF(AK8="","·",AK8/C8)</f>
        <v>1.0248575558567974</v>
      </c>
      <c r="AI8" s="48">
        <f>IF(AO8="","·",AO8/C8)</f>
        <v>0.87454257099341337</v>
      </c>
      <c r="AJ8" s="48">
        <f>IF(ISBLANK(AQ8),"·",AQ8/C8)</f>
        <v>6.9405684502619289</v>
      </c>
      <c r="AK8" s="45">
        <f>IF(OR(ISBLANK(AO8),ISBLANK(AP8)),"",AO8+AP8)</f>
        <v>33010296</v>
      </c>
      <c r="AL8" s="48">
        <f>IF(ISBLANK(AN8),"·",AN8/AM8)</f>
        <v>7.9655054854224865</v>
      </c>
      <c r="AM8" s="49">
        <v>32209643</v>
      </c>
      <c r="AN8" s="50">
        <v>256566088</v>
      </c>
      <c r="AO8" s="50">
        <v>28168704</v>
      </c>
      <c r="AP8" s="50">
        <v>4841592</v>
      </c>
      <c r="AQ8" s="50">
        <v>223553232</v>
      </c>
      <c r="AR8" s="51" t="s">
        <v>548</v>
      </c>
      <c r="AS8" s="51" t="s">
        <v>548</v>
      </c>
      <c r="AT8" s="51" t="s">
        <v>548</v>
      </c>
      <c r="AU8" s="51" t="s">
        <v>548</v>
      </c>
      <c r="AV8" s="51" t="s">
        <v>548</v>
      </c>
      <c r="AW8" s="52">
        <v>4507.92</v>
      </c>
      <c r="AX8" s="52">
        <v>4534.9399999999996</v>
      </c>
      <c r="AY8" s="52">
        <v>3.48</v>
      </c>
      <c r="AZ8" s="52">
        <v>19.207999999999998</v>
      </c>
      <c r="BB8" s="54">
        <f t="shared" si="0"/>
        <v>1.0230820593467302</v>
      </c>
      <c r="BC8" s="54">
        <f t="shared" si="1"/>
        <v>1.0168790189687527</v>
      </c>
      <c r="BD8" s="54">
        <f t="shared" si="1"/>
        <v>1.0244419188735483</v>
      </c>
      <c r="BE8" s="53">
        <f>(AK8/AN8) - (N8/Q8)</f>
        <v>-1.1564154911739011E-3</v>
      </c>
      <c r="BF8" s="53">
        <f t="array" ref="BF8">AVERAGE(AK8:AK8/AN8:AN8) - AVERAGE(N8:N8/Q8:Q8)</f>
        <v>-1.1564154911739011E-3</v>
      </c>
      <c r="BH8" s="4">
        <f t="shared" si="3"/>
        <v>0</v>
      </c>
      <c r="BI8" s="4">
        <f t="shared" si="2"/>
        <v>5788464</v>
      </c>
      <c r="BJ8" s="4">
        <f t="shared" si="2"/>
        <v>467568</v>
      </c>
      <c r="BK8" s="4">
        <f t="shared" si="2"/>
        <v>-12816</v>
      </c>
      <c r="BL8" s="4">
        <f t="shared" si="2"/>
        <v>5333704</v>
      </c>
    </row>
    <row r="9" spans="1:64" ht="15.75" collapsed="1" thickBot="1">
      <c r="A9" s="35" t="s">
        <v>284</v>
      </c>
      <c r="B9" s="35" t="s">
        <v>283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0.50370509198492697</v>
      </c>
      <c r="I9" s="37">
        <f>IF(OR(ISBLANK(Q9),ISBLANK(F9)),"·",Q9*F9/E9/1000000)</f>
        <v>358.593435</v>
      </c>
      <c r="J9" s="38">
        <f>IF(ISBLANK(Q9),"·",Q9/C9)</f>
        <v>15.111152759547808</v>
      </c>
      <c r="K9" s="38">
        <f>IF(N9="","·",N9/C9)</f>
        <v>1.5160488879604026</v>
      </c>
      <c r="L9" s="38">
        <f>IF(R9="","·",R9/C9)</f>
        <v>1.4159076449779096</v>
      </c>
      <c r="M9" s="38">
        <f>IF(ISBLANK(T9),"·",T9/C9)</f>
        <v>13.595003051467881</v>
      </c>
      <c r="N9" s="35">
        <f>IF(OR(ISBLANK(R9),ISBLANK(S9)),"",R9+S9)</f>
        <v>38374848</v>
      </c>
      <c r="O9" s="38">
        <f>IF(ISBLANK(Q9),"·",Q9/P9)</f>
        <v>15.111152759547808</v>
      </c>
      <c r="P9" s="39">
        <v>25312408</v>
      </c>
      <c r="Q9" s="40">
        <v>382499664</v>
      </c>
      <c r="R9" s="40">
        <v>35840032</v>
      </c>
      <c r="S9" s="40">
        <v>2534816</v>
      </c>
      <c r="T9" s="40">
        <v>344122264</v>
      </c>
      <c r="U9" s="41" t="s">
        <v>548</v>
      </c>
      <c r="V9" s="41" t="s">
        <v>548</v>
      </c>
      <c r="W9" s="41" t="s">
        <v>548</v>
      </c>
      <c r="X9" s="41" t="s">
        <v>548</v>
      </c>
      <c r="Y9" s="41" t="s">
        <v>548</v>
      </c>
      <c r="Z9" s="42">
        <v>3469.92</v>
      </c>
      <c r="AA9" s="42">
        <v>5526.86</v>
      </c>
      <c r="AB9" s="42">
        <v>2.6280000000000001</v>
      </c>
      <c r="AC9" s="42">
        <v>21.004000000000001</v>
      </c>
      <c r="AE9" s="43">
        <f>IF(ISBLANK(AN9),"·",AN9/(C9*D9*3))</f>
        <v>0.50352380540010255</v>
      </c>
      <c r="AF9" s="37">
        <f>IF(OR(ISBLANK(AN9),ISBLANK(F9)),"·",AN9*F9/E9/1000000)</f>
        <v>358.46437500000002</v>
      </c>
      <c r="AG9" s="38">
        <f>IF(ISBLANK(AN9),"·",AN9/C9)</f>
        <v>15.105714162003078</v>
      </c>
      <c r="AH9" s="38">
        <f>IF(AK9="","·",AK9/C9)</f>
        <v>1.5150988400629446</v>
      </c>
      <c r="AI9" s="38">
        <f>IF(AO9="","·",AO9/C9)</f>
        <v>1.4148517201524249</v>
      </c>
      <c r="AJ9" s="38">
        <f>IF(ISBLANK(AQ9),"·",AQ9/C9)</f>
        <v>13.590514185770077</v>
      </c>
      <c r="AK9" s="35">
        <f>IF(OR(ISBLANK(AO9),ISBLANK(AP9)),"",AO9+AP9)</f>
        <v>38350800</v>
      </c>
      <c r="AL9" s="38">
        <f>IF(ISBLANK(AN9),"·",AN9/AM9)</f>
        <v>15.105714162003078</v>
      </c>
      <c r="AM9" s="39">
        <v>25312408</v>
      </c>
      <c r="AN9" s="40">
        <v>382362000</v>
      </c>
      <c r="AO9" s="40">
        <v>35813304</v>
      </c>
      <c r="AP9" s="40">
        <v>2537496</v>
      </c>
      <c r="AQ9" s="40">
        <v>344008640</v>
      </c>
      <c r="AR9" s="41" t="s">
        <v>548</v>
      </c>
      <c r="AS9" s="41" t="s">
        <v>548</v>
      </c>
      <c r="AT9" s="41" t="s">
        <v>548</v>
      </c>
      <c r="AU9" s="41" t="s">
        <v>548</v>
      </c>
      <c r="AV9" s="41" t="s">
        <v>548</v>
      </c>
      <c r="AW9" s="42">
        <v>7428.55</v>
      </c>
      <c r="AX9" s="42">
        <v>6873.31</v>
      </c>
      <c r="AY9" s="42">
        <v>3.1640000000000001</v>
      </c>
      <c r="AZ9" s="42">
        <v>25.98</v>
      </c>
      <c r="BB9" s="44">
        <f t="shared" si="0"/>
        <v>0.9996400938014941</v>
      </c>
      <c r="BC9" s="44">
        <f t="shared" si="1"/>
        <v>0.99925424173728428</v>
      </c>
      <c r="BD9" s="44">
        <f t="shared" si="1"/>
        <v>0.99966981502830055</v>
      </c>
      <c r="BE9" s="43">
        <f>(AK9/AN9) - (N9/Q9)</f>
        <v>-2.6772153974716217E-5</v>
      </c>
      <c r="BF9" s="43">
        <f t="array" ref="BF9">AVERAGE(AK9:AK9/AN9:AN9) - AVERAGE(N9:N9/Q9:Q9)</f>
        <v>-2.6772153974716217E-5</v>
      </c>
      <c r="BH9" s="4">
        <f t="shared" si="3"/>
        <v>0</v>
      </c>
      <c r="BI9" s="4">
        <f t="shared" si="2"/>
        <v>-137664</v>
      </c>
      <c r="BJ9" s="4">
        <f t="shared" si="2"/>
        <v>-26728</v>
      </c>
      <c r="BK9" s="4">
        <f t="shared" si="2"/>
        <v>2680</v>
      </c>
      <c r="BL9" s="4">
        <f t="shared" si="2"/>
        <v>-113624</v>
      </c>
    </row>
    <row r="10" spans="1:64">
      <c r="B10" s="55" t="s">
        <v>287</v>
      </c>
      <c r="J10" s="56">
        <f>AVERAGE(J5:J8)</f>
        <v>9.9079446582865458</v>
      </c>
      <c r="K10" s="56">
        <f>AVERAGE(K5:K8)</f>
        <v>1.3904875274899549</v>
      </c>
      <c r="L10" s="56">
        <f>AVERAGE(L5:L8)</f>
        <v>1.2692069829275141</v>
      </c>
      <c r="M10" s="56">
        <f>AVERAGE(M5:M8)</f>
        <v>8.5173648111902072</v>
      </c>
      <c r="AG10" s="56">
        <f>AVERAGE(AG5:AG8)</f>
        <v>9.9475161907542446</v>
      </c>
      <c r="AH10" s="56">
        <f>AVERAGE(AH5:AH8)</f>
        <v>1.3944357262968037</v>
      </c>
      <c r="AI10" s="56">
        <f>AVERAGE(AI5:AI8)</f>
        <v>1.2731956779729288</v>
      </c>
      <c r="AJ10" s="56">
        <f>AVERAGE(AJ5:AJ8)</f>
        <v>8.5529878554479009</v>
      </c>
      <c r="BB10" s="5">
        <f t="shared" si="0"/>
        <v>1.0039939194083611</v>
      </c>
      <c r="BC10" s="5">
        <f t="shared" si="1"/>
        <v>1.0031426671134558</v>
      </c>
      <c r="BD10" s="5">
        <f t="shared" si="1"/>
        <v>1.0041824020747463</v>
      </c>
      <c r="BF10" s="8">
        <f>AVERAGE(BF5:BF8)</f>
        <v>-1.6981202038737764E-4</v>
      </c>
    </row>
    <row r="11" spans="1:64">
      <c r="B11" s="55" t="s">
        <v>288</v>
      </c>
      <c r="J11" s="56">
        <f>AVERAGE(J9:J9)</f>
        <v>15.111152759547808</v>
      </c>
      <c r="K11" s="56">
        <f>AVERAGE(K9:K9)</f>
        <v>1.5160488879604026</v>
      </c>
      <c r="L11" s="56">
        <f>AVERAGE(L9:L9)</f>
        <v>1.4159076449779096</v>
      </c>
      <c r="M11" s="56">
        <f>AVERAGE(M9:M9)</f>
        <v>13.595003051467881</v>
      </c>
      <c r="AG11" s="56">
        <f>AVERAGE(AG9:AG9)</f>
        <v>15.105714162003078</v>
      </c>
      <c r="AH11" s="56">
        <f>AVERAGE(AH9:AH9)</f>
        <v>1.5150988400629446</v>
      </c>
      <c r="AI11" s="56">
        <f>AVERAGE(AI9:AI9)</f>
        <v>1.4148517201524249</v>
      </c>
      <c r="AJ11" s="56">
        <f>AVERAGE(AJ9:AJ9)</f>
        <v>13.590514185770077</v>
      </c>
      <c r="BB11" s="5">
        <f t="shared" si="0"/>
        <v>0.9996400938014941</v>
      </c>
      <c r="BC11" s="5">
        <f t="shared" si="1"/>
        <v>0.99925424173728428</v>
      </c>
      <c r="BD11" s="5">
        <f t="shared" si="1"/>
        <v>0.99966981502830055</v>
      </c>
      <c r="BF11" s="8">
        <f>AVERAGE(BF9:BF9)</f>
        <v>-2.6772153974716217E-5</v>
      </c>
    </row>
    <row r="12" spans="1:64" collapsed="1">
      <c r="B12" s="55" t="s">
        <v>289</v>
      </c>
      <c r="J12" s="56">
        <f>AVERAGE(J5:J9)</f>
        <v>10.948586278538798</v>
      </c>
      <c r="K12" s="56">
        <f>AVERAGE(K5:K9)</f>
        <v>1.4155997995840444</v>
      </c>
      <c r="L12" s="56">
        <f>AVERAGE(L5:L9)</f>
        <v>1.2985471153375934</v>
      </c>
      <c r="M12" s="56">
        <f>AVERAGE(M5:M9)</f>
        <v>9.5328924592457405</v>
      </c>
      <c r="AG12" s="56">
        <f>AVERAGE(AG5:AG9)</f>
        <v>10.979155785004011</v>
      </c>
      <c r="AH12" s="56">
        <f>AVERAGE(AH5:AH9)</f>
        <v>1.4185683490500318</v>
      </c>
      <c r="AI12" s="56">
        <f>AVERAGE(AI5:AI9)</f>
        <v>1.3015268864088281</v>
      </c>
      <c r="AJ12" s="56">
        <f>AVERAGE(AJ5:AJ9)</f>
        <v>9.5604931215123354</v>
      </c>
      <c r="BB12" s="5">
        <f t="shared" si="0"/>
        <v>1.0027920962293675</v>
      </c>
      <c r="BC12" s="5">
        <f t="shared" si="1"/>
        <v>1.002294696153909</v>
      </c>
      <c r="BD12" s="5">
        <f t="shared" si="1"/>
        <v>1.0028953082587044</v>
      </c>
      <c r="BF12" s="8">
        <f>AVERAGE(BF5:BF9)</f>
        <v>-1.4120404710484536E-4</v>
      </c>
    </row>
    <row r="13" spans="1:64" hidden="1" outlineLevel="2">
      <c r="A13" s="55" t="s">
        <v>290</v>
      </c>
      <c r="B13" s="55" t="s">
        <v>291</v>
      </c>
      <c r="Z13" s="57">
        <f>SUM(Z5:Z8,Z9:Z9)</f>
        <v>20205.79</v>
      </c>
      <c r="AA13" s="57">
        <f>SUM(AA5:AA8,AA9:AA9)</f>
        <v>27674.98</v>
      </c>
      <c r="AB13" s="57">
        <f>SUM(AB5:AB8,AB9:AB9)</f>
        <v>16.463999999999999</v>
      </c>
      <c r="AC13" s="57">
        <f>SUM(AC5:AC8,AC9:AC9)</f>
        <v>113.66</v>
      </c>
      <c r="AW13" s="57">
        <f>SUM(AW5:AW8,AW9:AW9)</f>
        <v>23466.02</v>
      </c>
      <c r="AX13" s="57">
        <f>SUM(AX5:AX8,AX9:AX9)</f>
        <v>27695.1</v>
      </c>
      <c r="AY13" s="57">
        <f>SUM(AY5:AY8,AY9:AY9)</f>
        <v>14.904</v>
      </c>
      <c r="AZ13" s="57">
        <f>SUM(AZ5:AZ8,AZ9:AZ9)</f>
        <v>97.964000000000013</v>
      </c>
    </row>
    <row r="14" spans="1:64" hidden="1" outlineLevel="2">
      <c r="B14" s="55" t="s">
        <v>292</v>
      </c>
      <c r="AW14" s="8">
        <f>AW13/Z13</f>
        <v>1.1613512760451337</v>
      </c>
      <c r="AX14" s="8">
        <f>AX13/AA13</f>
        <v>1.0007270104621575</v>
      </c>
      <c r="AY14" s="8">
        <f>AY13/AB13</f>
        <v>0.90524781341107874</v>
      </c>
      <c r="AZ14" s="8">
        <f>AZ13/AC13</f>
        <v>0.86190392398381155</v>
      </c>
    </row>
    <row r="15" spans="1:64" hidden="1" outlineLevel="2">
      <c r="B15" s="55" t="s">
        <v>293</v>
      </c>
      <c r="Z15" s="57">
        <f>GEOMEAN(Z5:Z8,Z9:Z9)</f>
        <v>4015.6286415208592</v>
      </c>
      <c r="AA15" s="57">
        <f>GEOMEAN(AA5:AA8,AA9:AA9)</f>
        <v>5501.6342360803746</v>
      </c>
      <c r="AB15" s="57">
        <f>GEOMEAN(AB5:AB8,AB9:AB9)</f>
        <v>3.2160030990285056</v>
      </c>
      <c r="AC15" s="57">
        <f>GEOMEAN(AC5:AC8,AC9:AC9)</f>
        <v>22.238967322318853</v>
      </c>
      <c r="AW15" s="57">
        <f>GEOMEAN(AW5:AW8,AW9:AW9)</f>
        <v>4492.6945948201073</v>
      </c>
      <c r="AX15" s="57">
        <f>GEOMEAN(AX5:AX8,AX9:AX9)</f>
        <v>5463.9349038227119</v>
      </c>
      <c r="AY15" s="57">
        <f>GEOMEAN(AY5:AY8,AY9:AY9)</f>
        <v>2.9453470837484605</v>
      </c>
      <c r="AZ15" s="57">
        <f>GEOMEAN(AZ5:AZ8,AZ9:AZ9)</f>
        <v>19.279905051266201</v>
      </c>
    </row>
    <row r="16" spans="1:64" outlineLevel="2" collapsed="1">
      <c r="B16" s="55" t="s">
        <v>294</v>
      </c>
      <c r="AW16" s="8">
        <f>AW15/Z15</f>
        <v>1.1188023086513714</v>
      </c>
      <c r="AX16" s="8">
        <f>AX15/AA15</f>
        <v>0.99314761202945367</v>
      </c>
      <c r="AY16" s="8">
        <f>AY15/AB15</f>
        <v>0.91584087236675704</v>
      </c>
      <c r="AZ16" s="8">
        <f>AZ15/AC15</f>
        <v>0.86694246058435631</v>
      </c>
    </row>
    <row r="23" spans="41:41">
      <c r="AO23" s="4"/>
    </row>
    <row r="24" spans="41:41">
      <c r="AO24" s="4"/>
    </row>
    <row r="25" spans="41:41">
      <c r="AO25" s="4"/>
    </row>
    <row r="26" spans="41:41">
      <c r="AO26" s="4"/>
    </row>
    <row r="34" spans="3:3">
      <c r="C34" s="4"/>
    </row>
    <row r="35" spans="3:3">
      <c r="C35" s="4"/>
    </row>
    <row r="36" spans="3:3">
      <c r="C36" s="4"/>
    </row>
    <row r="37" spans="3:3">
      <c r="C37" s="4"/>
    </row>
    <row r="38" spans="3:3">
      <c r="C38" s="4"/>
    </row>
  </sheetData>
  <mergeCells count="36">
    <mergeCell ref="BH2:BH3"/>
    <mergeCell ref="BI2:BL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L16"/>
  <sheetViews>
    <sheetView zoomScale="85" zoomScaleNormal="85" workbookViewId="0">
      <pane xSplit="2" topLeftCell="AS1" activePane="topRight" state="frozen"/>
      <selection pane="topRight" activeCell="AM5" sqref="AM5:AZ9"/>
    </sheetView>
  </sheetViews>
  <sheetFormatPr defaultColWidth="8.85546875" defaultRowHeight="15" outlineLevelRow="2"/>
  <cols>
    <col min="1" max="1" width="9.140625"/>
    <col min="2" max="2" width="24.7109375" customWidth="1"/>
    <col min="3" max="4" width="10.7109375" customWidth="1"/>
    <col min="5" max="6" width="9.140625"/>
    <col min="7" max="7" width="1.7109375" customWidth="1"/>
    <col min="8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26" max="29" width="9.140625"/>
    <col min="30" max="30" width="1.7109375" customWidth="1"/>
    <col min="31" max="32" width="9.140625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49" max="52" width="9.140625"/>
    <col min="53" max="53" width="1.7109375" customWidth="1"/>
    <col min="54" max="58" width="9.140625"/>
    <col min="59" max="59" width="1.7109375" customWidth="1"/>
  </cols>
  <sheetData>
    <row r="1" spans="1:64">
      <c r="A1" s="74" t="s">
        <v>440</v>
      </c>
      <c r="B1" s="74"/>
      <c r="C1" s="74"/>
      <c r="D1" s="74"/>
      <c r="E1" s="74"/>
      <c r="F1" s="74"/>
      <c r="H1" s="62" t="s">
        <v>551</v>
      </c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E1" s="63" t="s">
        <v>550</v>
      </c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</row>
    <row r="2" spans="1:64" ht="30" customHeight="1" thickBot="1">
      <c r="A2" s="71" t="s">
        <v>92</v>
      </c>
      <c r="B2" s="72" t="s">
        <v>95</v>
      </c>
      <c r="C2" s="71" t="s">
        <v>101</v>
      </c>
      <c r="D2" s="72" t="s">
        <v>104</v>
      </c>
      <c r="E2" s="71" t="s">
        <v>107</v>
      </c>
      <c r="F2" s="72" t="s">
        <v>110</v>
      </c>
      <c r="H2" s="71" t="s">
        <v>309</v>
      </c>
      <c r="I2" s="72" t="s">
        <v>113</v>
      </c>
      <c r="J2" s="73" t="s">
        <v>116</v>
      </c>
      <c r="K2" s="73"/>
      <c r="L2" s="73"/>
      <c r="M2" s="73"/>
      <c r="N2" s="71" t="s">
        <v>129</v>
      </c>
      <c r="O2" s="72" t="s">
        <v>132</v>
      </c>
      <c r="P2" s="71" t="s">
        <v>23</v>
      </c>
      <c r="Q2" s="70" t="s">
        <v>141</v>
      </c>
      <c r="R2" s="70"/>
      <c r="S2" s="70"/>
      <c r="T2" s="70"/>
      <c r="U2" s="73" t="s">
        <v>152</v>
      </c>
      <c r="V2" s="73"/>
      <c r="W2" s="70" t="s">
        <v>159</v>
      </c>
      <c r="X2" s="70"/>
      <c r="Y2" s="70"/>
      <c r="Z2" s="73" t="s">
        <v>169</v>
      </c>
      <c r="AA2" s="73"/>
      <c r="AB2" s="70" t="s">
        <v>176</v>
      </c>
      <c r="AC2" s="70"/>
      <c r="AE2" s="71" t="s">
        <v>309</v>
      </c>
      <c r="AF2" s="72" t="s">
        <v>113</v>
      </c>
      <c r="AG2" s="73" t="s">
        <v>116</v>
      </c>
      <c r="AH2" s="73"/>
      <c r="AI2" s="73"/>
      <c r="AJ2" s="73"/>
      <c r="AK2" s="71" t="s">
        <v>191</v>
      </c>
      <c r="AL2" s="72" t="s">
        <v>132</v>
      </c>
      <c r="AM2" s="71" t="s">
        <v>23</v>
      </c>
      <c r="AN2" s="70" t="s">
        <v>141</v>
      </c>
      <c r="AO2" s="70"/>
      <c r="AP2" s="70"/>
      <c r="AQ2" s="70"/>
      <c r="AR2" s="73" t="s">
        <v>152</v>
      </c>
      <c r="AS2" s="73"/>
      <c r="AT2" s="70" t="s">
        <v>159</v>
      </c>
      <c r="AU2" s="70"/>
      <c r="AV2" s="70"/>
      <c r="AW2" s="73" t="s">
        <v>169</v>
      </c>
      <c r="AX2" s="73"/>
      <c r="AY2" s="70" t="s">
        <v>176</v>
      </c>
      <c r="AZ2" s="70"/>
      <c r="BB2" s="73" t="s">
        <v>356</v>
      </c>
      <c r="BC2" s="73"/>
      <c r="BD2" s="73"/>
      <c r="BE2" s="72" t="s">
        <v>231</v>
      </c>
      <c r="BF2" s="71" t="s">
        <v>231</v>
      </c>
      <c r="BH2" s="71" t="s">
        <v>23</v>
      </c>
      <c r="BI2" s="70" t="s">
        <v>141</v>
      </c>
      <c r="BJ2" s="70"/>
      <c r="BK2" s="70"/>
      <c r="BL2" s="70"/>
    </row>
    <row r="3" spans="1:64" ht="30.75" thickBot="1">
      <c r="A3" s="71"/>
      <c r="B3" s="72"/>
      <c r="C3" s="71"/>
      <c r="D3" s="72"/>
      <c r="E3" s="71"/>
      <c r="F3" s="72"/>
      <c r="H3" s="71"/>
      <c r="I3" s="72"/>
      <c r="J3" s="11" t="s">
        <v>117</v>
      </c>
      <c r="K3" s="11" t="s">
        <v>120</v>
      </c>
      <c r="L3" s="11" t="s">
        <v>123</v>
      </c>
      <c r="M3" s="11" t="s">
        <v>126</v>
      </c>
      <c r="N3" s="71"/>
      <c r="O3" s="72"/>
      <c r="P3" s="71"/>
      <c r="Q3" s="12" t="s">
        <v>117</v>
      </c>
      <c r="R3" s="12" t="s">
        <v>123</v>
      </c>
      <c r="S3" s="12" t="s">
        <v>146</v>
      </c>
      <c r="T3" s="12" t="s">
        <v>149</v>
      </c>
      <c r="U3" s="11" t="s">
        <v>153</v>
      </c>
      <c r="V3" s="11" t="s">
        <v>156</v>
      </c>
      <c r="W3" s="12" t="s">
        <v>160</v>
      </c>
      <c r="X3" s="12" t="s">
        <v>163</v>
      </c>
      <c r="Y3" s="12" t="s">
        <v>166</v>
      </c>
      <c r="Z3" s="11" t="s">
        <v>170</v>
      </c>
      <c r="AA3" s="11" t="s">
        <v>173</v>
      </c>
      <c r="AB3" s="12" t="s">
        <v>170</v>
      </c>
      <c r="AC3" s="12" t="s">
        <v>173</v>
      </c>
      <c r="AE3" s="71"/>
      <c r="AF3" s="72"/>
      <c r="AG3" s="11" t="s">
        <v>117</v>
      </c>
      <c r="AH3" s="11" t="s">
        <v>120</v>
      </c>
      <c r="AI3" s="11" t="s">
        <v>123</v>
      </c>
      <c r="AJ3" s="11" t="s">
        <v>126</v>
      </c>
      <c r="AK3" s="71"/>
      <c r="AL3" s="72"/>
      <c r="AM3" s="71"/>
      <c r="AN3" s="12" t="s">
        <v>117</v>
      </c>
      <c r="AO3" s="12" t="s">
        <v>123</v>
      </c>
      <c r="AP3" s="12" t="s">
        <v>146</v>
      </c>
      <c r="AQ3" s="12" t="s">
        <v>149</v>
      </c>
      <c r="AR3" s="11" t="s">
        <v>153</v>
      </c>
      <c r="AS3" s="11" t="s">
        <v>156</v>
      </c>
      <c r="AT3" s="12" t="s">
        <v>160</v>
      </c>
      <c r="AU3" s="12" t="s">
        <v>163</v>
      </c>
      <c r="AV3" s="12" t="s">
        <v>166</v>
      </c>
      <c r="AW3" s="11" t="s">
        <v>170</v>
      </c>
      <c r="AX3" s="11" t="s">
        <v>173</v>
      </c>
      <c r="AY3" s="12" t="s">
        <v>170</v>
      </c>
      <c r="AZ3" s="12" t="s">
        <v>173</v>
      </c>
      <c r="BB3" s="11" t="s">
        <v>117</v>
      </c>
      <c r="BC3" s="11" t="s">
        <v>123</v>
      </c>
      <c r="BD3" s="11" t="s">
        <v>149</v>
      </c>
      <c r="BE3" s="72"/>
      <c r="BF3" s="71"/>
      <c r="BH3" s="71"/>
      <c r="BI3" s="61" t="s">
        <v>117</v>
      </c>
      <c r="BJ3" s="61" t="s">
        <v>123</v>
      </c>
      <c r="BK3" s="61" t="s">
        <v>146</v>
      </c>
      <c r="BL3" s="61" t="s">
        <v>149</v>
      </c>
    </row>
    <row r="4" spans="1:64" ht="123" hidden="1">
      <c r="A4" s="13" t="s">
        <v>93</v>
      </c>
      <c r="B4" s="14" t="s">
        <v>96</v>
      </c>
      <c r="C4" s="13" t="s">
        <v>102</v>
      </c>
      <c r="D4" s="14" t="s">
        <v>105</v>
      </c>
      <c r="E4" s="13" t="s">
        <v>108</v>
      </c>
      <c r="F4" s="14" t="s">
        <v>111</v>
      </c>
      <c r="H4" s="13" t="s">
        <v>310</v>
      </c>
      <c r="I4" s="14" t="s">
        <v>114</v>
      </c>
      <c r="J4" s="13" t="s">
        <v>118</v>
      </c>
      <c r="K4" s="13" t="s">
        <v>121</v>
      </c>
      <c r="L4" s="13" t="s">
        <v>124</v>
      </c>
      <c r="M4" s="13" t="s">
        <v>127</v>
      </c>
      <c r="N4" s="13" t="s">
        <v>130</v>
      </c>
      <c r="O4" s="14" t="s">
        <v>133</v>
      </c>
      <c r="P4" s="13" t="s">
        <v>135</v>
      </c>
      <c r="Q4" s="14" t="s">
        <v>142</v>
      </c>
      <c r="R4" s="14" t="s">
        <v>144</v>
      </c>
      <c r="S4" s="14" t="s">
        <v>147</v>
      </c>
      <c r="T4" s="14" t="s">
        <v>150</v>
      </c>
      <c r="U4" s="13" t="s">
        <v>154</v>
      </c>
      <c r="V4" s="13" t="s">
        <v>157</v>
      </c>
      <c r="W4" s="14" t="s">
        <v>161</v>
      </c>
      <c r="X4" s="14" t="s">
        <v>164</v>
      </c>
      <c r="Y4" s="14" t="s">
        <v>167</v>
      </c>
      <c r="Z4" s="13" t="s">
        <v>171</v>
      </c>
      <c r="AA4" s="13" t="s">
        <v>174</v>
      </c>
      <c r="AB4" s="14" t="s">
        <v>177</v>
      </c>
      <c r="AC4" s="14" t="s">
        <v>179</v>
      </c>
      <c r="AE4" s="13" t="s">
        <v>333</v>
      </c>
      <c r="AF4" s="14" t="s">
        <v>181</v>
      </c>
      <c r="AG4" s="13" t="s">
        <v>183</v>
      </c>
      <c r="AH4" s="13" t="s">
        <v>185</v>
      </c>
      <c r="AI4" s="13" t="s">
        <v>187</v>
      </c>
      <c r="AJ4" s="13" t="s">
        <v>189</v>
      </c>
      <c r="AK4" s="13" t="s">
        <v>192</v>
      </c>
      <c r="AL4" s="14" t="s">
        <v>194</v>
      </c>
      <c r="AM4" s="13" t="s">
        <v>196</v>
      </c>
      <c r="AN4" s="14" t="s">
        <v>202</v>
      </c>
      <c r="AO4" s="14" t="s">
        <v>204</v>
      </c>
      <c r="AP4" s="14" t="s">
        <v>206</v>
      </c>
      <c r="AQ4" s="14" t="s">
        <v>208</v>
      </c>
      <c r="AR4" s="13" t="s">
        <v>210</v>
      </c>
      <c r="AS4" s="13" t="s">
        <v>212</v>
      </c>
      <c r="AT4" s="14" t="s">
        <v>214</v>
      </c>
      <c r="AU4" s="14" t="s">
        <v>216</v>
      </c>
      <c r="AV4" s="14" t="s">
        <v>218</v>
      </c>
      <c r="AW4" s="13" t="s">
        <v>220</v>
      </c>
      <c r="AX4" s="13" t="s">
        <v>222</v>
      </c>
      <c r="AY4" s="14" t="s">
        <v>224</v>
      </c>
      <c r="AZ4" s="14" t="s">
        <v>226</v>
      </c>
      <c r="BB4" s="13" t="s">
        <v>357</v>
      </c>
      <c r="BC4" s="13" t="s">
        <v>359</v>
      </c>
      <c r="BD4" s="13" t="s">
        <v>361</v>
      </c>
      <c r="BE4" s="14" t="s">
        <v>232</v>
      </c>
      <c r="BF4" s="13" t="s">
        <v>234</v>
      </c>
    </row>
    <row r="5" spans="1:64" collapsed="1">
      <c r="A5" s="15" t="s">
        <v>266</v>
      </c>
      <c r="B5" s="15" t="s">
        <v>265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0.2935697868678635</v>
      </c>
      <c r="I5" s="17">
        <f>IF(OR(ISBLANK(Q5),ISBLANK(F5)),"·",Q5*F5/E5/1000000)</f>
        <v>206.12183250000001</v>
      </c>
      <c r="J5" s="18">
        <f>IF(ISBLANK(Q5),"·",Q5/C5)</f>
        <v>8.807093606035906</v>
      </c>
      <c r="K5" s="18">
        <f>IF(N5="","·",N5/C5)</f>
        <v>1.3562686072906951</v>
      </c>
      <c r="L5" s="18">
        <f>IF(R5="","·",R5/C5)</f>
        <v>1.2740543802057502</v>
      </c>
      <c r="M5" s="18">
        <f>IF(ISBLANK(T5),"·",T5/C5)</f>
        <v>7.4507227729344025</v>
      </c>
      <c r="N5" s="15">
        <f>IF(OR(ISBLANK(R5),ISBLANK(S5)),"",R5+S5)</f>
        <v>33858352</v>
      </c>
      <c r="O5" s="18">
        <f>IF(ISBLANK(Q5),"·",Q5/P5)</f>
        <v>8.807093606035906</v>
      </c>
      <c r="P5" s="19">
        <v>24964341</v>
      </c>
      <c r="Q5" s="20">
        <v>219863288</v>
      </c>
      <c r="R5" s="20">
        <v>31805928</v>
      </c>
      <c r="S5" s="20">
        <v>2052424</v>
      </c>
      <c r="T5" s="20">
        <v>186002384</v>
      </c>
      <c r="U5" s="21" t="s">
        <v>548</v>
      </c>
      <c r="V5" s="21" t="s">
        <v>548</v>
      </c>
      <c r="W5" s="21" t="s">
        <v>548</v>
      </c>
      <c r="X5" s="21" t="s">
        <v>548</v>
      </c>
      <c r="Y5" s="21" t="s">
        <v>548</v>
      </c>
      <c r="Z5" s="22">
        <v>7233.63</v>
      </c>
      <c r="AA5" s="22">
        <v>7301.92</v>
      </c>
      <c r="AB5" s="22">
        <v>2.6240000000000001</v>
      </c>
      <c r="AC5" s="22">
        <v>16.155999999999999</v>
      </c>
      <c r="AE5" s="23">
        <f>IF(ISBLANK(AN5),"·",AN5/(C5*D5*3))</f>
        <v>0.29322694051220233</v>
      </c>
      <c r="AF5" s="17">
        <f>IF(OR(ISBLANK(AN5),ISBLANK(F5)),"·",AN5*F5/E5/1000000)</f>
        <v>205.8811125</v>
      </c>
      <c r="AG5" s="18">
        <f>IF(ISBLANK(AN5),"·",AN5/C5)</f>
        <v>8.7968082153660703</v>
      </c>
      <c r="AH5" s="18">
        <f>IF(AK5="","·",AK5/C5)</f>
        <v>1.3517331781359661</v>
      </c>
      <c r="AI5" s="18">
        <f>IF(AO5="","·",AO5/C5)</f>
        <v>1.2705078816220303</v>
      </c>
      <c r="AJ5" s="18">
        <f>IF(ISBLANK(AQ5),"·",AQ5/C5)</f>
        <v>7.4449724909622086</v>
      </c>
      <c r="AK5" s="15">
        <f>IF(OR(ISBLANK(AO5),ISBLANK(AP5)),"",AO5+AP5)</f>
        <v>33745128</v>
      </c>
      <c r="AL5" s="18">
        <f>IF(ISBLANK(AN5),"·",AN5/AM5)</f>
        <v>8.7968082153660703</v>
      </c>
      <c r="AM5" s="19">
        <v>24964341</v>
      </c>
      <c r="AN5" s="20">
        <v>219606520</v>
      </c>
      <c r="AO5" s="20">
        <v>31717392</v>
      </c>
      <c r="AP5" s="20">
        <v>2027736</v>
      </c>
      <c r="AQ5" s="20">
        <v>185858832</v>
      </c>
      <c r="AR5" s="21" t="s">
        <v>548</v>
      </c>
      <c r="AS5" s="21" t="s">
        <v>548</v>
      </c>
      <c r="AT5" s="21" t="s">
        <v>548</v>
      </c>
      <c r="AU5" s="21" t="s">
        <v>548</v>
      </c>
      <c r="AV5" s="21" t="s">
        <v>548</v>
      </c>
      <c r="AW5" s="22">
        <v>7398.24</v>
      </c>
      <c r="AX5" s="22">
        <v>7077.72</v>
      </c>
      <c r="AY5" s="22">
        <v>3.1080000000000001</v>
      </c>
      <c r="AZ5" s="22">
        <v>19.712</v>
      </c>
      <c r="BB5" s="24">
        <f t="shared" ref="BB5:BB12" si="0">AG5/J5</f>
        <v>0.99883214700218625</v>
      </c>
      <c r="BC5" s="24">
        <f t="shared" ref="BC5:BD12" si="1">AI5/L5</f>
        <v>0.99721636796763169</v>
      </c>
      <c r="BD5" s="24">
        <f t="shared" si="1"/>
        <v>0.99922822494576202</v>
      </c>
      <c r="BE5" s="23">
        <f>(AK5/AN5) - (N5/Q5)</f>
        <v>-3.3552019364344043E-4</v>
      </c>
      <c r="BF5" s="23">
        <f t="array" ref="BF5">AVERAGE(AK5:AK5/AN5:AN5) - AVERAGE(N5:N5/Q5:Q5)</f>
        <v>-3.3552019364344043E-4</v>
      </c>
      <c r="BH5">
        <f>AM5-P5</f>
        <v>0</v>
      </c>
      <c r="BI5" s="4">
        <f t="shared" ref="BI5:BL9" si="2">AN5-Q5</f>
        <v>-256768</v>
      </c>
      <c r="BJ5" s="4">
        <f t="shared" si="2"/>
        <v>-88536</v>
      </c>
      <c r="BK5" s="4">
        <f t="shared" si="2"/>
        <v>-24688</v>
      </c>
      <c r="BL5" s="4">
        <f t="shared" si="2"/>
        <v>-143552</v>
      </c>
    </row>
    <row r="6" spans="1:64" collapsed="1">
      <c r="A6" s="25"/>
      <c r="B6" s="25" t="s">
        <v>274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0.42320601323337564</v>
      </c>
      <c r="I6" s="27">
        <f>IF(OR(ISBLANK(Q6),ISBLANK(F6)),"·",Q6*F6/E6/1000000)</f>
        <v>269.65245750000003</v>
      </c>
      <c r="J6" s="28">
        <f>IF(ISBLANK(Q6),"·",Q6/C6)</f>
        <v>12.696180397001269</v>
      </c>
      <c r="K6" s="28">
        <f>IF(N6="","·",N6/C6)</f>
        <v>1.6738839633421436</v>
      </c>
      <c r="L6" s="28">
        <f>IF(R6="","·",R6/C6)</f>
        <v>1.5262828534840911</v>
      </c>
      <c r="M6" s="28">
        <f>IF(ISBLANK(T6),"·",T6/C6)</f>
        <v>11.02218378639501</v>
      </c>
      <c r="N6" s="25">
        <f>IF(OR(ISBLANK(R6),ISBLANK(S6)),"",R6+S6)</f>
        <v>37921488</v>
      </c>
      <c r="O6" s="28">
        <f>IF(ISBLANK(Q6),"·",Q6/P6)</f>
        <v>12.696180397001269</v>
      </c>
      <c r="P6" s="29">
        <v>22654789</v>
      </c>
      <c r="Q6" s="30">
        <v>287629288</v>
      </c>
      <c r="R6" s="30">
        <v>34577616</v>
      </c>
      <c r="S6" s="30">
        <v>3343872</v>
      </c>
      <c r="T6" s="30">
        <v>249705248</v>
      </c>
      <c r="U6" s="31" t="s">
        <v>548</v>
      </c>
      <c r="V6" s="31" t="s">
        <v>548</v>
      </c>
      <c r="W6" s="31" t="s">
        <v>548</v>
      </c>
      <c r="X6" s="31" t="s">
        <v>548</v>
      </c>
      <c r="Y6" s="31" t="s">
        <v>548</v>
      </c>
      <c r="Z6" s="32">
        <v>6306.24</v>
      </c>
      <c r="AA6" s="32">
        <v>9372.9599999999991</v>
      </c>
      <c r="AB6" s="32">
        <v>3.468</v>
      </c>
      <c r="AC6" s="32">
        <v>31.603999999999999</v>
      </c>
      <c r="AE6" s="33">
        <f>IF(ISBLANK(AN6),"·",AN6/(C6*D6*3))</f>
        <v>0.42326984668304202</v>
      </c>
      <c r="AF6" s="27">
        <f>IF(OR(ISBLANK(AN6),ISBLANK(F6)),"·",AN6*F6/E6/1000000)</f>
        <v>269.69313</v>
      </c>
      <c r="AG6" s="28">
        <f>IF(ISBLANK(AN6),"·",AN6/C6)</f>
        <v>12.69809540049126</v>
      </c>
      <c r="AH6" s="28">
        <f>IF(AK6="","·",AK6/C6)</f>
        <v>1.6758519357651047</v>
      </c>
      <c r="AI6" s="28">
        <f>IF(AO6="","·",AO6/C6)</f>
        <v>1.5274273355624721</v>
      </c>
      <c r="AJ6" s="28">
        <f>IF(ISBLANK(AQ6),"·",AQ6/C6)</f>
        <v>11.022130464335818</v>
      </c>
      <c r="AK6" s="25">
        <f>IF(OR(ISBLANK(AO6),ISBLANK(AP6)),"",AO6+AP6)</f>
        <v>37966072</v>
      </c>
      <c r="AL6" s="28">
        <f>IF(ISBLANK(AN6),"·",AN6/AM6)</f>
        <v>12.69809540049126</v>
      </c>
      <c r="AM6" s="29">
        <v>22654789</v>
      </c>
      <c r="AN6" s="30">
        <v>287672672</v>
      </c>
      <c r="AO6" s="30">
        <v>34603544</v>
      </c>
      <c r="AP6" s="30">
        <v>3362528</v>
      </c>
      <c r="AQ6" s="30">
        <v>249704040</v>
      </c>
      <c r="AR6" s="31" t="s">
        <v>548</v>
      </c>
      <c r="AS6" s="31" t="s">
        <v>548</v>
      </c>
      <c r="AT6" s="31" t="s">
        <v>548</v>
      </c>
      <c r="AU6" s="31" t="s">
        <v>548</v>
      </c>
      <c r="AV6" s="31" t="s">
        <v>548</v>
      </c>
      <c r="AW6" s="32">
        <v>6162.59</v>
      </c>
      <c r="AX6" s="32">
        <v>9282.1299999999992</v>
      </c>
      <c r="AY6" s="32">
        <v>3.524</v>
      </c>
      <c r="AZ6" s="32">
        <v>32.856000000000002</v>
      </c>
      <c r="BB6" s="34">
        <f t="shared" si="0"/>
        <v>1.0001508330403406</v>
      </c>
      <c r="BC6" s="34">
        <f t="shared" si="1"/>
        <v>1.0007498492666471</v>
      </c>
      <c r="BD6" s="34">
        <f t="shared" si="1"/>
        <v>0.99999516229630858</v>
      </c>
      <c r="BE6" s="33">
        <f>(AK6/AN6) - (N6/Q6)</f>
        <v>1.3509863971619684E-4</v>
      </c>
      <c r="BF6" s="33">
        <f t="array" ref="BF6">AVERAGE(AK6:AK6/AN6:AN6) - AVERAGE(N6:N6/Q6:Q6)</f>
        <v>1.3509863971619684E-4</v>
      </c>
      <c r="BH6" s="4">
        <f t="shared" ref="BH6:BH9" si="3">AM6-P6</f>
        <v>0</v>
      </c>
      <c r="BI6" s="4">
        <f t="shared" si="2"/>
        <v>43384</v>
      </c>
      <c r="BJ6" s="4">
        <f t="shared" si="2"/>
        <v>25928</v>
      </c>
      <c r="BK6" s="4">
        <f t="shared" si="2"/>
        <v>18656</v>
      </c>
      <c r="BL6" s="4">
        <f t="shared" si="2"/>
        <v>-1208</v>
      </c>
    </row>
    <row r="7" spans="1:64" collapsed="1">
      <c r="A7" s="15"/>
      <c r="B7" s="15" t="s">
        <v>277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0.32210475335435901</v>
      </c>
      <c r="I7" s="17">
        <f>IF(OR(ISBLANK(Q7),ISBLANK(F7)),"·",Q7*F7/E7/1000000)</f>
        <v>307.53903750000001</v>
      </c>
      <c r="J7" s="18">
        <f>IF(ISBLANK(Q7),"·",Q7/C7)</f>
        <v>9.6631426006307706</v>
      </c>
      <c r="K7" s="18">
        <f>IF(N7="","·",N7/C7)</f>
        <v>1.4801381347635796</v>
      </c>
      <c r="L7" s="18">
        <f>IF(R7="","·",R7/C7)</f>
        <v>1.3663763791133177</v>
      </c>
      <c r="M7" s="18">
        <f>IF(ISBLANK(T7),"·",T7/C7)</f>
        <v>8.1829292914475129</v>
      </c>
      <c r="N7" s="15">
        <f>IF(OR(ISBLANK(R7),ISBLANK(S7)),"",R7+S7)</f>
        <v>50247312</v>
      </c>
      <c r="O7" s="18">
        <f>IF(ISBLANK(Q7),"·",Q7/P7)</f>
        <v>9.6631426006307706</v>
      </c>
      <c r="P7" s="19">
        <v>33947718</v>
      </c>
      <c r="Q7" s="20">
        <v>328041640</v>
      </c>
      <c r="R7" s="20">
        <v>46385360</v>
      </c>
      <c r="S7" s="20">
        <v>3861952</v>
      </c>
      <c r="T7" s="20">
        <v>277791776</v>
      </c>
      <c r="U7" s="21" t="s">
        <v>548</v>
      </c>
      <c r="V7" s="21" t="s">
        <v>548</v>
      </c>
      <c r="W7" s="21" t="s">
        <v>548</v>
      </c>
      <c r="X7" s="21" t="s">
        <v>548</v>
      </c>
      <c r="Y7" s="21" t="s">
        <v>548</v>
      </c>
      <c r="Z7" s="22">
        <v>9883.58</v>
      </c>
      <c r="AA7" s="22">
        <v>9713.65</v>
      </c>
      <c r="AB7" s="22">
        <v>5.032</v>
      </c>
      <c r="AC7" s="22">
        <v>33.380000000000003</v>
      </c>
      <c r="AE7" s="23">
        <f>IF(ISBLANK(AN7),"·",AN7/(C7*D7*3))</f>
        <v>0.32223413662149542</v>
      </c>
      <c r="AF7" s="17">
        <f>IF(OR(ISBLANK(AN7),ISBLANK(F7)),"·",AN7*F7/E7/1000000)</f>
        <v>307.66257000000002</v>
      </c>
      <c r="AG7" s="18">
        <f>IF(ISBLANK(AN7),"·",AN7/C7)</f>
        <v>9.6670240986448626</v>
      </c>
      <c r="AH7" s="18">
        <f>IF(AK7="","·",AK7/C7)</f>
        <v>1.4820017062708015</v>
      </c>
      <c r="AI7" s="18">
        <f>IF(AO7="","·",AO7/C7)</f>
        <v>1.3680858312773778</v>
      </c>
      <c r="AJ7" s="18">
        <f>IF(ISBLANK(AQ7),"·",AQ7/C7)</f>
        <v>8.1849469822978964</v>
      </c>
      <c r="AK7" s="15">
        <f>IF(OR(ISBLANK(AO7),ISBLANK(AP7)),"",AO7+AP7)</f>
        <v>50310576</v>
      </c>
      <c r="AL7" s="18">
        <f>IF(ISBLANK(AN7),"·",AN7/AM7)</f>
        <v>9.6670240986448626</v>
      </c>
      <c r="AM7" s="19">
        <v>33947718</v>
      </c>
      <c r="AN7" s="20">
        <v>328173408</v>
      </c>
      <c r="AO7" s="20">
        <v>46443392</v>
      </c>
      <c r="AP7" s="20">
        <v>3867184</v>
      </c>
      <c r="AQ7" s="20">
        <v>277860272</v>
      </c>
      <c r="AR7" s="21" t="s">
        <v>548</v>
      </c>
      <c r="AS7" s="21" t="s">
        <v>548</v>
      </c>
      <c r="AT7" s="21" t="s">
        <v>548</v>
      </c>
      <c r="AU7" s="21" t="s">
        <v>548</v>
      </c>
      <c r="AV7" s="21" t="s">
        <v>548</v>
      </c>
      <c r="AW7" s="22">
        <v>8189</v>
      </c>
      <c r="AX7" s="22">
        <v>9829.2099999999991</v>
      </c>
      <c r="AY7" s="22">
        <v>5.1440000000000001</v>
      </c>
      <c r="AZ7" s="22">
        <v>34.671999999999997</v>
      </c>
      <c r="BB7" s="24">
        <f t="shared" si="0"/>
        <v>1.0004016807134606</v>
      </c>
      <c r="BC7" s="24">
        <f t="shared" si="1"/>
        <v>1.0012510843938691</v>
      </c>
      <c r="BD7" s="24">
        <f t="shared" si="1"/>
        <v>1.00024657317429</v>
      </c>
      <c r="BE7" s="23">
        <f>(AK7/AN7) - (N7/Q7)</f>
        <v>1.3127396314316364E-4</v>
      </c>
      <c r="BF7" s="23">
        <f t="array" ref="BF7">AVERAGE(AK7:AK7/AN7:AN7) - AVERAGE(N7:N7/Q7:Q7)</f>
        <v>1.3127396314316364E-4</v>
      </c>
      <c r="BH7" s="4">
        <f t="shared" si="3"/>
        <v>0</v>
      </c>
      <c r="BI7" s="4">
        <f t="shared" si="2"/>
        <v>131768</v>
      </c>
      <c r="BJ7" s="4">
        <f t="shared" si="2"/>
        <v>58032</v>
      </c>
      <c r="BK7" s="4">
        <f t="shared" si="2"/>
        <v>5232</v>
      </c>
      <c r="BL7" s="4">
        <f t="shared" si="2"/>
        <v>68496</v>
      </c>
    </row>
    <row r="8" spans="1:64" ht="15.75" collapsed="1" thickBot="1">
      <c r="A8" s="45"/>
      <c r="B8" s="45" t="s">
        <v>280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0.24176426088713041</v>
      </c>
      <c r="I8" s="47">
        <f>IF(OR(ISBLANK(Q8),ISBLANK(F8)),"·",Q8*F8/E8/1000000)</f>
        <v>365.02221250000002</v>
      </c>
      <c r="J8" s="48">
        <f>IF(ISBLANK(Q8),"·",Q8/C8)</f>
        <v>7.2529278266139121</v>
      </c>
      <c r="K8" s="48">
        <f>IF(N8="","·",N8/C8)</f>
        <v>0.89600496348251979</v>
      </c>
      <c r="L8" s="48">
        <f>IF(R8="","·",R8/C8)</f>
        <v>0.7951079743417212</v>
      </c>
      <c r="M8" s="48">
        <f>IF(ISBLANK(T8),"·",T8/C8)</f>
        <v>6.356843632200456</v>
      </c>
      <c r="N8" s="45">
        <f>IF(OR(ISBLANK(R8),ISBLANK(S8)),"",R8+S8)</f>
        <v>28860000</v>
      </c>
      <c r="O8" s="48">
        <f>IF(ISBLANK(Q8),"·",Q8/P8)</f>
        <v>7.2529278266139121</v>
      </c>
      <c r="P8" s="49">
        <v>32209643</v>
      </c>
      <c r="Q8" s="50">
        <v>233614216</v>
      </c>
      <c r="R8" s="50">
        <v>25610144</v>
      </c>
      <c r="S8" s="50">
        <v>3249856</v>
      </c>
      <c r="T8" s="50">
        <v>204751664</v>
      </c>
      <c r="U8" s="51" t="s">
        <v>548</v>
      </c>
      <c r="V8" s="51" t="s">
        <v>548</v>
      </c>
      <c r="W8" s="51" t="s">
        <v>548</v>
      </c>
      <c r="X8" s="51" t="s">
        <v>548</v>
      </c>
      <c r="Y8" s="51" t="s">
        <v>548</v>
      </c>
      <c r="Z8" s="52">
        <v>9678.2199999999993</v>
      </c>
      <c r="AA8" s="52">
        <v>6614.92</v>
      </c>
      <c r="AB8" s="52">
        <v>4.16</v>
      </c>
      <c r="AC8" s="52">
        <v>26.172000000000001</v>
      </c>
      <c r="AE8" s="53">
        <f>IF(ISBLANK(AN8),"·",AN8/(C8*D8*3))</f>
        <v>0.24176410358434169</v>
      </c>
      <c r="AF8" s="47">
        <f>IF(OR(ISBLANK(AN8),ISBLANK(F8)),"·",AN8*F8/E8/1000000)</f>
        <v>365.021975</v>
      </c>
      <c r="AG8" s="48">
        <f>IF(ISBLANK(AN8),"·",AN8/C8)</f>
        <v>7.2529231075302514</v>
      </c>
      <c r="AH8" s="48">
        <f>IF(AK8="","·",AK8/C8)</f>
        <v>0.89195127061793267</v>
      </c>
      <c r="AI8" s="48">
        <f>IF(AO8="","·",AO8/C8)</f>
        <v>0.7914101997342845</v>
      </c>
      <c r="AJ8" s="48">
        <f>IF(ISBLANK(AQ8),"·",AQ8/C8)</f>
        <v>6.3608923576085585</v>
      </c>
      <c r="AK8" s="45">
        <f>IF(OR(ISBLANK(AO8),ISBLANK(AP8)),"",AO8+AP8)</f>
        <v>28729432</v>
      </c>
      <c r="AL8" s="48">
        <f>IF(ISBLANK(AN8),"·",AN8/AM8)</f>
        <v>7.2529231075302514</v>
      </c>
      <c r="AM8" s="49">
        <v>32209643</v>
      </c>
      <c r="AN8" s="50">
        <v>233614064</v>
      </c>
      <c r="AO8" s="50">
        <v>25491040</v>
      </c>
      <c r="AP8" s="50">
        <v>3238392</v>
      </c>
      <c r="AQ8" s="50">
        <v>204882072</v>
      </c>
      <c r="AR8" s="51" t="s">
        <v>548</v>
      </c>
      <c r="AS8" s="51" t="s">
        <v>548</v>
      </c>
      <c r="AT8" s="51" t="s">
        <v>548</v>
      </c>
      <c r="AU8" s="51" t="s">
        <v>548</v>
      </c>
      <c r="AV8" s="51" t="s">
        <v>548</v>
      </c>
      <c r="AW8" s="52">
        <v>8957.57</v>
      </c>
      <c r="AX8" s="52">
        <v>6462.4</v>
      </c>
      <c r="AY8" s="52">
        <v>4.42</v>
      </c>
      <c r="AZ8" s="52">
        <v>26.904</v>
      </c>
      <c r="BB8" s="54">
        <f t="shared" si="0"/>
        <v>0.99999934935466428</v>
      </c>
      <c r="BC8" s="54">
        <f t="shared" si="1"/>
        <v>0.99534934282290632</v>
      </c>
      <c r="BD8" s="54">
        <f t="shared" si="1"/>
        <v>1.0006369081327711</v>
      </c>
      <c r="BE8" s="53">
        <f>(AK8/AN8) - (N8/Q8)</f>
        <v>-5.5882432821172112E-4</v>
      </c>
      <c r="BF8" s="53">
        <f t="array" ref="BF8">AVERAGE(AK8:AK8/AN8:AN8) - AVERAGE(N8:N8/Q8:Q8)</f>
        <v>-5.5882432821172112E-4</v>
      </c>
      <c r="BH8" s="4">
        <f t="shared" si="3"/>
        <v>0</v>
      </c>
      <c r="BI8" s="4">
        <f t="shared" si="2"/>
        <v>-152</v>
      </c>
      <c r="BJ8" s="4">
        <f t="shared" si="2"/>
        <v>-119104</v>
      </c>
      <c r="BK8" s="4">
        <f t="shared" si="2"/>
        <v>-11464</v>
      </c>
      <c r="BL8" s="4">
        <f t="shared" si="2"/>
        <v>130408</v>
      </c>
    </row>
    <row r="9" spans="1:64" ht="15.75" collapsed="1" thickBot="1">
      <c r="A9" s="35" t="s">
        <v>284</v>
      </c>
      <c r="B9" s="35" t="s">
        <v>283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0.49784084811949408</v>
      </c>
      <c r="I9" s="37">
        <f>IF(OR(ISBLANK(Q9),ISBLANK(F9)),"·",Q9*F9/E9/1000000)</f>
        <v>354.41861249999999</v>
      </c>
      <c r="J9" s="38">
        <f>IF(ISBLANK(Q9),"·",Q9/C9)</f>
        <v>14.935225443584821</v>
      </c>
      <c r="K9" s="38">
        <f>IF(N9="","·",N9/C9)</f>
        <v>1.5211910301066576</v>
      </c>
      <c r="L9" s="38">
        <f>IF(R9="","·",R9/C9)</f>
        <v>1.4141978116029104</v>
      </c>
      <c r="M9" s="38">
        <f>IF(ISBLANK(T9),"·",T9/C9)</f>
        <v>13.413933593358641</v>
      </c>
      <c r="N9" s="35">
        <f>IF(OR(ISBLANK(R9),ISBLANK(S9)),"",R9+S9)</f>
        <v>38505008</v>
      </c>
      <c r="O9" s="38">
        <f>IF(ISBLANK(Q9),"·",Q9/P9)</f>
        <v>14.935225443584821</v>
      </c>
      <c r="P9" s="39">
        <v>25312408</v>
      </c>
      <c r="Q9" s="40">
        <v>378046520</v>
      </c>
      <c r="R9" s="40">
        <v>35796752</v>
      </c>
      <c r="S9" s="40">
        <v>2708256</v>
      </c>
      <c r="T9" s="40">
        <v>339538960</v>
      </c>
      <c r="U9" s="41" t="s">
        <v>548</v>
      </c>
      <c r="V9" s="41" t="s">
        <v>548</v>
      </c>
      <c r="W9" s="41" t="s">
        <v>548</v>
      </c>
      <c r="X9" s="41" t="s">
        <v>548</v>
      </c>
      <c r="Y9" s="41" t="s">
        <v>548</v>
      </c>
      <c r="Z9" s="42">
        <v>8051.12</v>
      </c>
      <c r="AA9" s="42">
        <v>9885.0300000000007</v>
      </c>
      <c r="AB9" s="42">
        <v>3.9359999999999999</v>
      </c>
      <c r="AC9" s="42">
        <v>34.944000000000003</v>
      </c>
      <c r="AE9" s="43">
        <f>IF(ISBLANK(AN9),"·",AN9/(C9*D9*3))</f>
        <v>0.49769113498275891</v>
      </c>
      <c r="AF9" s="37">
        <f>IF(OR(ISBLANK(AN9),ISBLANK(F9)),"·",AN9*F9/E9/1000000)</f>
        <v>354.31202999999999</v>
      </c>
      <c r="AG9" s="38">
        <f>IF(ISBLANK(AN9),"·",AN9/C9)</f>
        <v>14.930734049482767</v>
      </c>
      <c r="AH9" s="38">
        <f>IF(AK9="","·",AK9/C9)</f>
        <v>1.5188750118123886</v>
      </c>
      <c r="AI9" s="38">
        <f>IF(AO9="","·",AO9/C9)</f>
        <v>1.4120884903561921</v>
      </c>
      <c r="AJ9" s="38">
        <f>IF(ISBLANK(AQ9),"·",AQ9/C9)</f>
        <v>13.411757901500323</v>
      </c>
      <c r="AK9" s="35">
        <f>IF(OR(ISBLANK(AO9),ISBLANK(AP9)),"",AO9+AP9)</f>
        <v>38446384</v>
      </c>
      <c r="AL9" s="38">
        <f>IF(ISBLANK(AN9),"·",AN9/AM9)</f>
        <v>14.930734049482767</v>
      </c>
      <c r="AM9" s="39">
        <v>25312408</v>
      </c>
      <c r="AN9" s="40">
        <v>377932832</v>
      </c>
      <c r="AO9" s="40">
        <v>35743360</v>
      </c>
      <c r="AP9" s="40">
        <v>2703024</v>
      </c>
      <c r="AQ9" s="40">
        <v>339483888</v>
      </c>
      <c r="AR9" s="41" t="s">
        <v>548</v>
      </c>
      <c r="AS9" s="41" t="s">
        <v>548</v>
      </c>
      <c r="AT9" s="41" t="s">
        <v>548</v>
      </c>
      <c r="AU9" s="41" t="s">
        <v>548</v>
      </c>
      <c r="AV9" s="41" t="s">
        <v>548</v>
      </c>
      <c r="AW9" s="42">
        <v>8841.2800000000007</v>
      </c>
      <c r="AX9" s="42">
        <v>9495.2000000000007</v>
      </c>
      <c r="AY9" s="42">
        <v>3.964</v>
      </c>
      <c r="AZ9" s="42">
        <v>34.74</v>
      </c>
      <c r="BB9" s="44">
        <f t="shared" si="0"/>
        <v>0.99969927510508505</v>
      </c>
      <c r="BC9" s="44">
        <f t="shared" si="1"/>
        <v>0.99850846803084259</v>
      </c>
      <c r="BD9" s="44">
        <f t="shared" si="1"/>
        <v>0.99983780359108121</v>
      </c>
      <c r="BE9" s="43">
        <f>(AK9/AN9) - (N9/Q9)</f>
        <v>-1.2447869444562332E-4</v>
      </c>
      <c r="BF9" s="43">
        <f t="array" ref="BF9">AVERAGE(AK9:AK9/AN9:AN9) - AVERAGE(N9:N9/Q9:Q9)</f>
        <v>-1.2447869444562332E-4</v>
      </c>
      <c r="BH9" s="4">
        <f t="shared" si="3"/>
        <v>0</v>
      </c>
      <c r="BI9" s="4">
        <f t="shared" si="2"/>
        <v>-113688</v>
      </c>
      <c r="BJ9" s="4">
        <f t="shared" si="2"/>
        <v>-53392</v>
      </c>
      <c r="BK9" s="4">
        <f t="shared" si="2"/>
        <v>-5232</v>
      </c>
      <c r="BL9" s="4">
        <f t="shared" si="2"/>
        <v>-55072</v>
      </c>
    </row>
    <row r="10" spans="1:64">
      <c r="B10" s="55" t="s">
        <v>287</v>
      </c>
      <c r="J10" s="56">
        <f>AVERAGE(J5:J8)</f>
        <v>9.6048361075704651</v>
      </c>
      <c r="K10" s="56">
        <f>AVERAGE(K5:K8)</f>
        <v>1.3515739172197345</v>
      </c>
      <c r="L10" s="56">
        <f>AVERAGE(L5:L8)</f>
        <v>1.24045539678622</v>
      </c>
      <c r="M10" s="56">
        <f>AVERAGE(M5:M8)</f>
        <v>8.2531698707443457</v>
      </c>
      <c r="AG10" s="56">
        <f>AVERAGE(AG5:AG8)</f>
        <v>9.6037127055081122</v>
      </c>
      <c r="AH10" s="56">
        <f>AVERAGE(AH5:AH8)</f>
        <v>1.3503845226974511</v>
      </c>
      <c r="AI10" s="56">
        <f>AVERAGE(AI5:AI8)</f>
        <v>1.2393578120490412</v>
      </c>
      <c r="AJ10" s="56">
        <f>AVERAGE(AJ5:AJ8)</f>
        <v>8.2532355738011205</v>
      </c>
      <c r="BB10" s="5">
        <f t="shared" si="0"/>
        <v>0.9998830378728204</v>
      </c>
      <c r="BC10" s="5">
        <f t="shared" si="1"/>
        <v>0.99911517597486987</v>
      </c>
      <c r="BD10" s="5">
        <f t="shared" si="1"/>
        <v>1.0000079609480725</v>
      </c>
      <c r="BF10" s="8">
        <f>AVERAGE(BF5:BF8)</f>
        <v>-1.5699297974895027E-4</v>
      </c>
    </row>
    <row r="11" spans="1:64">
      <c r="B11" s="55" t="s">
        <v>288</v>
      </c>
      <c r="J11" s="56">
        <f>AVERAGE(J9:J9)</f>
        <v>14.935225443584821</v>
      </c>
      <c r="K11" s="56">
        <f>AVERAGE(K9:K9)</f>
        <v>1.5211910301066576</v>
      </c>
      <c r="L11" s="56">
        <f>AVERAGE(L9:L9)</f>
        <v>1.4141978116029104</v>
      </c>
      <c r="M11" s="56">
        <f>AVERAGE(M9:M9)</f>
        <v>13.413933593358641</v>
      </c>
      <c r="AG11" s="56">
        <f>AVERAGE(AG9:AG9)</f>
        <v>14.930734049482767</v>
      </c>
      <c r="AH11" s="56">
        <f>AVERAGE(AH9:AH9)</f>
        <v>1.5188750118123886</v>
      </c>
      <c r="AI11" s="56">
        <f>AVERAGE(AI9:AI9)</f>
        <v>1.4120884903561921</v>
      </c>
      <c r="AJ11" s="56">
        <f>AVERAGE(AJ9:AJ9)</f>
        <v>13.411757901500323</v>
      </c>
      <c r="BB11" s="5">
        <f t="shared" si="0"/>
        <v>0.99969927510508505</v>
      </c>
      <c r="BC11" s="5">
        <f t="shared" si="1"/>
        <v>0.99850846803084259</v>
      </c>
      <c r="BD11" s="5">
        <f t="shared" si="1"/>
        <v>0.99983780359108121</v>
      </c>
      <c r="BF11" s="8">
        <f>AVERAGE(BF9:BF9)</f>
        <v>-1.2447869444562332E-4</v>
      </c>
    </row>
    <row r="12" spans="1:64" collapsed="1">
      <c r="B12" s="55" t="s">
        <v>289</v>
      </c>
      <c r="J12" s="56">
        <f>AVERAGE(J5:J9)</f>
        <v>10.670913974773336</v>
      </c>
      <c r="K12" s="56">
        <f>AVERAGE(K5:K9)</f>
        <v>1.3854973397971191</v>
      </c>
      <c r="L12" s="56">
        <f>AVERAGE(L5:L9)</f>
        <v>1.275203879749558</v>
      </c>
      <c r="M12" s="56">
        <f>AVERAGE(M5:M9)</f>
        <v>9.285322615267205</v>
      </c>
      <c r="AG12" s="56">
        <f>AVERAGE(AG5:AG9)</f>
        <v>10.669116974303043</v>
      </c>
      <c r="AH12" s="56">
        <f>AVERAGE(AH5:AH9)</f>
        <v>1.3840826205204386</v>
      </c>
      <c r="AI12" s="56">
        <f>AVERAGE(AI5:AI9)</f>
        <v>1.2739039477104712</v>
      </c>
      <c r="AJ12" s="56">
        <f>AVERAGE(AJ5:AJ9)</f>
        <v>9.2849400393409613</v>
      </c>
      <c r="BB12" s="5">
        <f t="shared" si="0"/>
        <v>0.99983159826097912</v>
      </c>
      <c r="BC12" s="5">
        <f t="shared" si="1"/>
        <v>0.99898060846604231</v>
      </c>
      <c r="BD12" s="5">
        <f t="shared" si="1"/>
        <v>0.99995879777772989</v>
      </c>
      <c r="BF12" s="8">
        <f>AVERAGE(BF5:BF9)</f>
        <v>-1.5049012268828488E-4</v>
      </c>
    </row>
    <row r="13" spans="1:64" hidden="1" outlineLevel="2">
      <c r="A13" s="55" t="s">
        <v>290</v>
      </c>
      <c r="B13" s="55" t="s">
        <v>291</v>
      </c>
      <c r="Z13" s="57">
        <f>SUM(Z5:Z8,Z9:Z9)</f>
        <v>41152.79</v>
      </c>
      <c r="AA13" s="57">
        <f>SUM(AA5:AA8,AA9:AA9)</f>
        <v>42888.479999999996</v>
      </c>
      <c r="AB13" s="57">
        <f>SUM(AB5:AB8,AB9:AB9)</f>
        <v>19.22</v>
      </c>
      <c r="AC13" s="57">
        <f>SUM(AC5:AC8,AC9:AC9)</f>
        <v>142.256</v>
      </c>
      <c r="AW13" s="57">
        <f>SUM(AW5:AW8,AW9:AW9)</f>
        <v>39548.68</v>
      </c>
      <c r="AX13" s="57">
        <f>SUM(AX5:AX8,AX9:AX9)</f>
        <v>42146.66</v>
      </c>
      <c r="AY13" s="57">
        <f>SUM(AY5:AY8,AY9:AY9)</f>
        <v>20.159999999999997</v>
      </c>
      <c r="AZ13" s="57">
        <f>SUM(AZ5:AZ8,AZ9:AZ9)</f>
        <v>148.88399999999999</v>
      </c>
    </row>
    <row r="14" spans="1:64" hidden="1" outlineLevel="2">
      <c r="B14" s="55" t="s">
        <v>292</v>
      </c>
      <c r="AW14" s="8">
        <f>AW13/Z13</f>
        <v>0.96102062581905134</v>
      </c>
      <c r="AX14" s="8">
        <f>AX13/AA13</f>
        <v>0.98270351385733434</v>
      </c>
      <c r="AY14" s="8">
        <f>AY13/AB13</f>
        <v>1.0489073881373567</v>
      </c>
      <c r="AZ14" s="8">
        <f>AZ13/AC13</f>
        <v>1.0465920593858957</v>
      </c>
    </row>
    <row r="15" spans="1:64" hidden="1" outlineLevel="2">
      <c r="B15" s="55" t="s">
        <v>293</v>
      </c>
      <c r="Z15" s="57">
        <f>GEOMEAN(Z5:Z8,Z9:Z9)</f>
        <v>8112.1985461987106</v>
      </c>
      <c r="AA15" s="57">
        <f>GEOMEAN(AA5:AA8,AA9:AA9)</f>
        <v>8465.2497306869809</v>
      </c>
      <c r="AB15" s="57">
        <f>GEOMEAN(AB5:AB8,AB9:AB9)</f>
        <v>3.7582563027652358</v>
      </c>
      <c r="AC15" s="57">
        <f>GEOMEAN(AC5:AC8,AC9:AC9)</f>
        <v>27.450758663413975</v>
      </c>
      <c r="AW15" s="57">
        <f>GEOMEAN(AW5:AW8,AW9:AW9)</f>
        <v>7837.283979056212</v>
      </c>
      <c r="AX15" s="57">
        <f>GEOMEAN(AX5:AX8,AX9:AX9)</f>
        <v>8309.8181164009766</v>
      </c>
      <c r="AY15" s="57">
        <f>GEOMEAN(AY5:AY8,AY9:AY9)</f>
        <v>3.9707702281688881</v>
      </c>
      <c r="AZ15" s="57">
        <f>GEOMEAN(AZ5:AZ8,AZ9:AZ9)</f>
        <v>29.133602375568206</v>
      </c>
    </row>
    <row r="16" spans="1:64" outlineLevel="2" collapsed="1">
      <c r="B16" s="55" t="s">
        <v>294</v>
      </c>
      <c r="AW16" s="8">
        <f>AW15/Z15</f>
        <v>0.96611096664154994</v>
      </c>
      <c r="AX16" s="8">
        <f>AX15/AA15</f>
        <v>0.98163886249893417</v>
      </c>
      <c r="AY16" s="8">
        <f>AY15/AB15</f>
        <v>1.0565458841237862</v>
      </c>
      <c r="AZ16" s="8">
        <f>AZ15/AC15</f>
        <v>1.0613040875404696</v>
      </c>
    </row>
  </sheetData>
  <mergeCells count="36">
    <mergeCell ref="BH2:BH3"/>
    <mergeCell ref="BI2:BL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F94"/>
  <sheetViews>
    <sheetView tabSelected="1" zoomScale="85" zoomScaleNormal="85" workbookViewId="0">
      <pane xSplit="2" topLeftCell="Z1" activePane="topRight" state="frozen"/>
      <selection pane="topRight" activeCell="AN5" sqref="AN5:BC29"/>
    </sheetView>
  </sheetViews>
  <sheetFormatPr defaultColWidth="8.85546875" defaultRowHeight="15" outlineLevelRow="2"/>
  <cols>
    <col min="1" max="1" width="9.140625"/>
    <col min="2" max="2" width="24.7109375" customWidth="1"/>
    <col min="3" max="3" width="9.140625"/>
    <col min="4" max="5" width="10.7109375" customWidth="1"/>
    <col min="6" max="7" width="9.140625"/>
    <col min="8" max="8" width="1.7109375" customWidth="1"/>
    <col min="9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18" width="9.140625"/>
    <col min="19" max="22" width="12.7109375" customWidth="1"/>
    <col min="23" max="27" width="11.7109375" customWidth="1"/>
    <col min="28" max="31" width="9.140625"/>
    <col min="32" max="32" width="1.7109375" customWidth="1"/>
    <col min="33" max="33" width="9.140625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1" max="42" width="9.140625"/>
    <col min="43" max="46" width="12.7109375" customWidth="1"/>
    <col min="47" max="51" width="11.7109375" customWidth="1"/>
    <col min="52" max="55" width="9.140625"/>
    <col min="56" max="56" width="1.7109375" customWidth="1"/>
    <col min="57" max="59" width="9.140625"/>
    <col min="60" max="60" width="1.7109375" customWidth="1"/>
    <col min="61" max="62" width="9.140625"/>
    <col min="63" max="65" width="11.7109375" customWidth="1"/>
    <col min="66" max="66" width="1.7109375" customWidth="1"/>
    <col min="67" max="68" width="9.140625"/>
    <col min="69" max="71" width="11.7109375" customWidth="1"/>
    <col min="72" max="72" width="1.7109375" customWidth="1"/>
  </cols>
  <sheetData>
    <row r="1" spans="1:84">
      <c r="A1" s="74" t="s">
        <v>527</v>
      </c>
      <c r="B1" s="74"/>
      <c r="C1" s="74"/>
      <c r="D1" s="74"/>
      <c r="E1" s="74"/>
      <c r="F1" s="74"/>
      <c r="G1" s="74"/>
      <c r="I1" s="62" t="s">
        <v>552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G1" s="63" t="s">
        <v>550</v>
      </c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  <c r="BB1" s="63"/>
      <c r="BC1" s="63"/>
    </row>
    <row r="2" spans="1:84" ht="30" customHeight="1" thickBot="1">
      <c r="A2" s="71" t="s">
        <v>92</v>
      </c>
      <c r="B2" s="72" t="s">
        <v>95</v>
      </c>
      <c r="C2" s="71" t="s">
        <v>98</v>
      </c>
      <c r="D2" s="72" t="s">
        <v>101</v>
      </c>
      <c r="E2" s="71" t="s">
        <v>104</v>
      </c>
      <c r="F2" s="72" t="s">
        <v>107</v>
      </c>
      <c r="G2" s="71" t="s">
        <v>110</v>
      </c>
      <c r="I2" s="72" t="s">
        <v>113</v>
      </c>
      <c r="J2" s="73" t="s">
        <v>116</v>
      </c>
      <c r="K2" s="73"/>
      <c r="L2" s="73"/>
      <c r="M2" s="73"/>
      <c r="N2" s="71" t="s">
        <v>129</v>
      </c>
      <c r="O2" s="72" t="s">
        <v>132</v>
      </c>
      <c r="P2" s="71" t="s">
        <v>23</v>
      </c>
      <c r="Q2" s="72" t="s">
        <v>25</v>
      </c>
      <c r="R2" s="71" t="s">
        <v>21</v>
      </c>
      <c r="S2" s="70" t="s">
        <v>141</v>
      </c>
      <c r="T2" s="70"/>
      <c r="U2" s="70"/>
      <c r="V2" s="70"/>
      <c r="W2" s="73" t="s">
        <v>152</v>
      </c>
      <c r="X2" s="73"/>
      <c r="Y2" s="70" t="s">
        <v>159</v>
      </c>
      <c r="Z2" s="70"/>
      <c r="AA2" s="70"/>
      <c r="AB2" s="73" t="s">
        <v>169</v>
      </c>
      <c r="AC2" s="73"/>
      <c r="AD2" s="70" t="s">
        <v>176</v>
      </c>
      <c r="AE2" s="70"/>
      <c r="AG2" s="71" t="s">
        <v>113</v>
      </c>
      <c r="AH2" s="70" t="s">
        <v>116</v>
      </c>
      <c r="AI2" s="70"/>
      <c r="AJ2" s="70"/>
      <c r="AK2" s="70"/>
      <c r="AL2" s="72" t="s">
        <v>191</v>
      </c>
      <c r="AM2" s="71" t="s">
        <v>132</v>
      </c>
      <c r="AN2" s="72" t="s">
        <v>23</v>
      </c>
      <c r="AO2" s="71" t="s">
        <v>25</v>
      </c>
      <c r="AP2" s="72" t="s">
        <v>21</v>
      </c>
      <c r="AQ2" s="73" t="s">
        <v>141</v>
      </c>
      <c r="AR2" s="73"/>
      <c r="AS2" s="73"/>
      <c r="AT2" s="73"/>
      <c r="AU2" s="70" t="s">
        <v>152</v>
      </c>
      <c r="AV2" s="70"/>
      <c r="AW2" s="73" t="s">
        <v>159</v>
      </c>
      <c r="AX2" s="73"/>
      <c r="AY2" s="73"/>
      <c r="AZ2" s="70" t="s">
        <v>169</v>
      </c>
      <c r="BA2" s="70"/>
      <c r="BB2" s="73" t="s">
        <v>176</v>
      </c>
      <c r="BC2" s="73"/>
      <c r="BE2" s="72" t="s">
        <v>228</v>
      </c>
      <c r="BF2" s="71" t="s">
        <v>231</v>
      </c>
      <c r="BG2" s="72" t="s">
        <v>231</v>
      </c>
      <c r="BI2" s="73" t="s">
        <v>236</v>
      </c>
      <c r="BJ2" s="73"/>
      <c r="BK2" s="70" t="s">
        <v>241</v>
      </c>
      <c r="BL2" s="70"/>
      <c r="BM2" s="70"/>
      <c r="BO2" s="73" t="s">
        <v>248</v>
      </c>
      <c r="BP2" s="73"/>
      <c r="BQ2" s="70" t="s">
        <v>253</v>
      </c>
      <c r="BR2" s="70"/>
      <c r="BS2" s="70"/>
      <c r="BU2" s="72" t="s">
        <v>23</v>
      </c>
      <c r="BV2" s="71" t="s">
        <v>25</v>
      </c>
      <c r="BW2" s="72" t="s">
        <v>21</v>
      </c>
      <c r="BX2" s="73" t="s">
        <v>141</v>
      </c>
      <c r="BY2" s="73"/>
      <c r="BZ2" s="73"/>
      <c r="CA2" s="73"/>
      <c r="CB2" s="70" t="s">
        <v>152</v>
      </c>
      <c r="CC2" s="70"/>
      <c r="CD2" s="73" t="s">
        <v>159</v>
      </c>
      <c r="CE2" s="73"/>
      <c r="CF2" s="73"/>
    </row>
    <row r="3" spans="1:84" ht="30.75" thickBot="1">
      <c r="A3" s="71"/>
      <c r="B3" s="72"/>
      <c r="C3" s="71"/>
      <c r="D3" s="72"/>
      <c r="E3" s="71"/>
      <c r="F3" s="72"/>
      <c r="G3" s="71"/>
      <c r="I3" s="72"/>
      <c r="J3" s="11" t="s">
        <v>117</v>
      </c>
      <c r="K3" s="11" t="s">
        <v>120</v>
      </c>
      <c r="L3" s="11" t="s">
        <v>123</v>
      </c>
      <c r="M3" s="11" t="s">
        <v>126</v>
      </c>
      <c r="N3" s="71"/>
      <c r="O3" s="72"/>
      <c r="P3" s="71"/>
      <c r="Q3" s="72"/>
      <c r="R3" s="71"/>
      <c r="S3" s="12" t="s">
        <v>117</v>
      </c>
      <c r="T3" s="12" t="s">
        <v>123</v>
      </c>
      <c r="U3" s="12" t="s">
        <v>146</v>
      </c>
      <c r="V3" s="12" t="s">
        <v>149</v>
      </c>
      <c r="W3" s="11" t="s">
        <v>153</v>
      </c>
      <c r="X3" s="11" t="s">
        <v>156</v>
      </c>
      <c r="Y3" s="12" t="s">
        <v>160</v>
      </c>
      <c r="Z3" s="12" t="s">
        <v>163</v>
      </c>
      <c r="AA3" s="12" t="s">
        <v>166</v>
      </c>
      <c r="AB3" s="11" t="s">
        <v>170</v>
      </c>
      <c r="AC3" s="11" t="s">
        <v>173</v>
      </c>
      <c r="AD3" s="12" t="s">
        <v>170</v>
      </c>
      <c r="AE3" s="12" t="s">
        <v>173</v>
      </c>
      <c r="AG3" s="71"/>
      <c r="AH3" s="12" t="s">
        <v>117</v>
      </c>
      <c r="AI3" s="12" t="s">
        <v>120</v>
      </c>
      <c r="AJ3" s="12" t="s">
        <v>123</v>
      </c>
      <c r="AK3" s="12" t="s">
        <v>126</v>
      </c>
      <c r="AL3" s="72"/>
      <c r="AM3" s="71"/>
      <c r="AN3" s="72"/>
      <c r="AO3" s="71"/>
      <c r="AP3" s="72"/>
      <c r="AQ3" s="11" t="s">
        <v>117</v>
      </c>
      <c r="AR3" s="11" t="s">
        <v>123</v>
      </c>
      <c r="AS3" s="11" t="s">
        <v>146</v>
      </c>
      <c r="AT3" s="11" t="s">
        <v>149</v>
      </c>
      <c r="AU3" s="12" t="s">
        <v>153</v>
      </c>
      <c r="AV3" s="12" t="s">
        <v>156</v>
      </c>
      <c r="AW3" s="11" t="s">
        <v>160</v>
      </c>
      <c r="AX3" s="11" t="s">
        <v>163</v>
      </c>
      <c r="AY3" s="11" t="s">
        <v>166</v>
      </c>
      <c r="AZ3" s="12" t="s">
        <v>170</v>
      </c>
      <c r="BA3" s="12" t="s">
        <v>173</v>
      </c>
      <c r="BB3" s="11" t="s">
        <v>170</v>
      </c>
      <c r="BC3" s="11" t="s">
        <v>173</v>
      </c>
      <c r="BE3" s="72"/>
      <c r="BF3" s="71"/>
      <c r="BG3" s="72"/>
      <c r="BI3" s="11" t="s">
        <v>153</v>
      </c>
      <c r="BJ3" s="11" t="s">
        <v>156</v>
      </c>
      <c r="BK3" s="12" t="s">
        <v>160</v>
      </c>
      <c r="BL3" s="12" t="s">
        <v>163</v>
      </c>
      <c r="BM3" s="12" t="s">
        <v>166</v>
      </c>
      <c r="BO3" s="11" t="s">
        <v>153</v>
      </c>
      <c r="BP3" s="11" t="s">
        <v>156</v>
      </c>
      <c r="BQ3" s="12" t="s">
        <v>160</v>
      </c>
      <c r="BR3" s="12" t="s">
        <v>163</v>
      </c>
      <c r="BS3" s="12" t="s">
        <v>166</v>
      </c>
      <c r="BU3" s="72"/>
      <c r="BV3" s="71"/>
      <c r="BW3" s="72"/>
      <c r="BX3" s="59" t="s">
        <v>117</v>
      </c>
      <c r="BY3" s="59" t="s">
        <v>123</v>
      </c>
      <c r="BZ3" s="59" t="s">
        <v>146</v>
      </c>
      <c r="CA3" s="59" t="s">
        <v>149</v>
      </c>
      <c r="CB3" s="60" t="s">
        <v>153</v>
      </c>
      <c r="CC3" s="60" t="s">
        <v>156</v>
      </c>
      <c r="CD3" s="59" t="s">
        <v>160</v>
      </c>
      <c r="CE3" s="59" t="s">
        <v>163</v>
      </c>
      <c r="CF3" s="59" t="s">
        <v>166</v>
      </c>
    </row>
    <row r="4" spans="1:84" ht="123" hidden="1">
      <c r="A4" s="13" t="s">
        <v>93</v>
      </c>
      <c r="B4" s="14" t="s">
        <v>96</v>
      </c>
      <c r="C4" s="13" t="s">
        <v>99</v>
      </c>
      <c r="D4" s="14" t="s">
        <v>102</v>
      </c>
      <c r="E4" s="13" t="s">
        <v>105</v>
      </c>
      <c r="F4" s="14" t="s">
        <v>108</v>
      </c>
      <c r="G4" s="13" t="s">
        <v>111</v>
      </c>
      <c r="I4" s="14" t="s">
        <v>114</v>
      </c>
      <c r="J4" s="13" t="s">
        <v>118</v>
      </c>
      <c r="K4" s="13" t="s">
        <v>121</v>
      </c>
      <c r="L4" s="13" t="s">
        <v>124</v>
      </c>
      <c r="M4" s="13" t="s">
        <v>127</v>
      </c>
      <c r="N4" s="13" t="s">
        <v>130</v>
      </c>
      <c r="O4" s="14" t="s">
        <v>133</v>
      </c>
      <c r="P4" s="13" t="s">
        <v>135</v>
      </c>
      <c r="Q4" s="14" t="s">
        <v>137</v>
      </c>
      <c r="R4" s="13" t="s">
        <v>139</v>
      </c>
      <c r="S4" s="14" t="s">
        <v>142</v>
      </c>
      <c r="T4" s="14" t="s">
        <v>144</v>
      </c>
      <c r="U4" s="14" t="s">
        <v>147</v>
      </c>
      <c r="V4" s="14" t="s">
        <v>150</v>
      </c>
      <c r="W4" s="13" t="s">
        <v>154</v>
      </c>
      <c r="X4" s="13" t="s">
        <v>157</v>
      </c>
      <c r="Y4" s="14" t="s">
        <v>161</v>
      </c>
      <c r="Z4" s="14" t="s">
        <v>164</v>
      </c>
      <c r="AA4" s="14" t="s">
        <v>167</v>
      </c>
      <c r="AB4" s="13" t="s">
        <v>171</v>
      </c>
      <c r="AC4" s="13" t="s">
        <v>174</v>
      </c>
      <c r="AD4" s="14" t="s">
        <v>177</v>
      </c>
      <c r="AE4" s="14" t="s">
        <v>179</v>
      </c>
      <c r="AG4" s="13" t="s">
        <v>181</v>
      </c>
      <c r="AH4" s="14" t="s">
        <v>183</v>
      </c>
      <c r="AI4" s="14" t="s">
        <v>185</v>
      </c>
      <c r="AJ4" s="14" t="s">
        <v>187</v>
      </c>
      <c r="AK4" s="14" t="s">
        <v>189</v>
      </c>
      <c r="AL4" s="14" t="s">
        <v>192</v>
      </c>
      <c r="AM4" s="13" t="s">
        <v>194</v>
      </c>
      <c r="AN4" s="14" t="s">
        <v>196</v>
      </c>
      <c r="AO4" s="13" t="s">
        <v>198</v>
      </c>
      <c r="AP4" s="14" t="s">
        <v>200</v>
      </c>
      <c r="AQ4" s="13" t="s">
        <v>202</v>
      </c>
      <c r="AR4" s="13" t="s">
        <v>204</v>
      </c>
      <c r="AS4" s="13" t="s">
        <v>206</v>
      </c>
      <c r="AT4" s="13" t="s">
        <v>208</v>
      </c>
      <c r="AU4" s="14" t="s">
        <v>210</v>
      </c>
      <c r="AV4" s="14" t="s">
        <v>212</v>
      </c>
      <c r="AW4" s="13" t="s">
        <v>214</v>
      </c>
      <c r="AX4" s="13" t="s">
        <v>216</v>
      </c>
      <c r="AY4" s="13" t="s">
        <v>218</v>
      </c>
      <c r="AZ4" s="14" t="s">
        <v>220</v>
      </c>
      <c r="BA4" s="14" t="s">
        <v>222</v>
      </c>
      <c r="BB4" s="13" t="s">
        <v>224</v>
      </c>
      <c r="BC4" s="13" t="s">
        <v>226</v>
      </c>
      <c r="BE4" s="14" t="s">
        <v>229</v>
      </c>
      <c r="BF4" s="13" t="s">
        <v>232</v>
      </c>
      <c r="BG4" s="14" t="s">
        <v>234</v>
      </c>
      <c r="BI4" s="13" t="s">
        <v>237</v>
      </c>
      <c r="BJ4" s="13" t="s">
        <v>239</v>
      </c>
      <c r="BK4" s="14" t="s">
        <v>242</v>
      </c>
      <c r="BL4" s="14" t="s">
        <v>244</v>
      </c>
      <c r="BM4" s="14" t="s">
        <v>246</v>
      </c>
      <c r="BO4" s="13" t="s">
        <v>249</v>
      </c>
      <c r="BP4" s="13" t="s">
        <v>251</v>
      </c>
      <c r="BQ4" s="14" t="s">
        <v>254</v>
      </c>
      <c r="BR4" s="14" t="s">
        <v>256</v>
      </c>
      <c r="BS4" s="14" t="s">
        <v>258</v>
      </c>
    </row>
    <row r="5" spans="1:84">
      <c r="A5" s="15" t="s">
        <v>266</v>
      </c>
      <c r="B5" s="15" t="s">
        <v>265</v>
      </c>
      <c r="C5" s="16" t="s">
        <v>267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1.27773</v>
      </c>
      <c r="J5" s="18">
        <f t="shared" ref="J5:J29" si="1">IF(ISBLANK(S5),"·",S5/D5)</f>
        <v>5.4594351198775884E-2</v>
      </c>
      <c r="K5" s="18">
        <f t="shared" ref="K5:K29" si="2">IF(N5="","·",N5/D5)</f>
        <v>4.5170349179255324E-2</v>
      </c>
      <c r="L5" s="18">
        <f t="shared" ref="L5:L29" si="3">IF(T5="","·",T5/D5)</f>
        <v>2.7171235964129795E-2</v>
      </c>
      <c r="M5" s="18">
        <f t="shared" ref="M5:M29" si="4">IF(ISBLANK(V5),"·",V5/D5)</f>
        <v>9.4044541372031408E-3</v>
      </c>
      <c r="N5" s="15">
        <f t="shared" ref="N5:N29" si="5">IF(OR(ISBLANK(T5),ISBLANK(U5)),"",T5+U5)</f>
        <v>1127648</v>
      </c>
      <c r="O5" s="18">
        <f t="shared" ref="O5:O29" si="6">IF(ISBLANK(S5),"·",S5/P5)</f>
        <v>5.8874688215070727E-2</v>
      </c>
      <c r="P5" s="19">
        <v>23149371</v>
      </c>
      <c r="Q5" s="19">
        <v>723417.84375</v>
      </c>
      <c r="R5" s="19">
        <v>16196.65625</v>
      </c>
      <c r="S5" s="20">
        <v>1362912</v>
      </c>
      <c r="T5" s="20">
        <v>678312</v>
      </c>
      <c r="U5" s="20">
        <v>449336</v>
      </c>
      <c r="V5" s="20">
        <v>234776</v>
      </c>
      <c r="W5" s="21">
        <v>66.711594000000005</v>
      </c>
      <c r="X5" s="21">
        <v>68.487756000000005</v>
      </c>
      <c r="Y5" s="21">
        <v>31.515053000000002</v>
      </c>
      <c r="Z5" s="21">
        <v>43.823515999999998</v>
      </c>
      <c r="AA5" s="21">
        <v>43.391697000000001</v>
      </c>
      <c r="AB5" s="22">
        <v>4421.47</v>
      </c>
      <c r="AC5" s="22">
        <v>2051.11</v>
      </c>
      <c r="AD5" s="22">
        <v>8.0510000000000002</v>
      </c>
      <c r="AE5" s="22">
        <v>10.957000000000001</v>
      </c>
      <c r="AG5" s="17">
        <f t="shared" ref="AG5:AG29" si="7">IF(OR(ISBLANK(AQ5),ISBLANK(G5)),"·",AQ5*G5/F5/1000000)</f>
        <v>1.2466200000000001</v>
      </c>
      <c r="AH5" s="18">
        <f t="shared" ref="AH5:AH29" si="8">IF(ISBLANK(AQ5),"·",AQ5/D5)</f>
        <v>5.3265095201191173E-2</v>
      </c>
      <c r="AI5" s="18">
        <f t="shared" ref="AI5:AI29" si="9">IF(AL5="","·",AL5/D5)</f>
        <v>4.4112840791591494E-2</v>
      </c>
      <c r="AJ5" s="18">
        <f t="shared" ref="AJ5:AJ29" si="10">IF(AR5="","·",AR5/D5)</f>
        <v>2.6532244532311108E-2</v>
      </c>
      <c r="AK5" s="18">
        <f t="shared" ref="AK5:AK29" si="11">IF(ISBLANK(AT5),"·",AT5/D5)</f>
        <v>9.1323860701950834E-3</v>
      </c>
      <c r="AL5" s="15">
        <f t="shared" ref="AL5:AL29" si="12">IF(OR(ISBLANK(AR5),ISBLANK(AS5)),"",AR5+AS5)</f>
        <v>1101248</v>
      </c>
      <c r="AM5" s="18">
        <f t="shared" ref="AM5:AM29" si="13">IF(ISBLANK(AQ5),"·",AQ5/AN5)</f>
        <v>5.7014048862802272E-2</v>
      </c>
      <c r="AN5" s="19">
        <v>23322813</v>
      </c>
      <c r="AO5" s="19">
        <v>728837.90625</v>
      </c>
      <c r="AP5" s="19">
        <v>16204.40625</v>
      </c>
      <c r="AQ5" s="20">
        <v>1329728</v>
      </c>
      <c r="AR5" s="20">
        <v>662360</v>
      </c>
      <c r="AS5" s="20">
        <v>438888</v>
      </c>
      <c r="AT5" s="20">
        <v>227984</v>
      </c>
      <c r="AU5" s="21">
        <v>66.737062499999993</v>
      </c>
      <c r="AV5" s="21">
        <v>68.435959374999996</v>
      </c>
      <c r="AW5" s="21">
        <v>31.567196874999901</v>
      </c>
      <c r="AX5" s="21">
        <v>43.853934375000001</v>
      </c>
      <c r="AY5" s="21">
        <v>43.337284375000003</v>
      </c>
      <c r="AZ5" s="22">
        <v>7633.08</v>
      </c>
      <c r="BA5" s="22">
        <v>4225.99</v>
      </c>
      <c r="BB5" s="22">
        <v>7.12</v>
      </c>
      <c r="BC5" s="22">
        <v>22.148</v>
      </c>
      <c r="BE5" s="23">
        <f t="shared" ref="BE5:BE29" si="14">(AP5/AO5) - (R5/Q5)</f>
        <v>-1.5586481440996863E-4</v>
      </c>
      <c r="BF5" s="23">
        <f t="shared" ref="BF5:BF29" si="15">(AL5/AQ5) - (N5/S5)</f>
        <v>7.9401459311712053E-4</v>
      </c>
      <c r="BG5" s="23">
        <f t="array" ref="BG5">AVERAGE(AL5:AL9/AQ5:AQ9) - AVERAGE(N5:N9/S5:S9)</f>
        <v>1.3262309233467162E-3</v>
      </c>
      <c r="BI5" s="24">
        <f>IF( OR(ISBLANK(N5:N9),ISBLANK(AL5:AL9), ISBLANK(W5:W9),ISBLANK(AU5:AU9)), "·", bdRateExtend( N5:N9,W5:W9, AL5:AL9,AU5:AU9))</f>
        <v>-2.0931231239151638E-2</v>
      </c>
      <c r="BJ5" s="24">
        <f>IF( OR(ISBLANK(N5:N9),ISBLANK(AL5:AL9), ISBLANK(X5:X9),ISBLANK(AV5:AV9)), "·", bdRateExtend( N5:N9,X5:X9, AL5:AL9,AV5:AV9))</f>
        <v>-1.9609408745092982E-2</v>
      </c>
      <c r="BK5" s="24">
        <f>IF( OR(ISBLANK(V5:V9),ISBLANK(AT5:AT9), ISBLANK(Y5:Y9),ISBLANK(AW5:AW9)), "·", bdRateExtend( V5:V9,Y5:Y9, AT5:AT9,AW5:AW9))</f>
        <v>-3.9460474468197226E-2</v>
      </c>
      <c r="BL5" s="24">
        <f>IF( OR(ISBLANK(V5:V9),ISBLANK(AT5:AT9), ISBLANK(Z5:Z9),ISBLANK(AX5:AX9)), "·", bdRateExtend( V5:V9,Z5:Z9, AT5:AT9,AX5:AX9))</f>
        <v>-5.6727425268824905E-2</v>
      </c>
      <c r="BM5" s="24">
        <f>IF( OR(ISBLANK(V5:V9),ISBLANK(AT5:AT9), ISBLANK(AA5:AA9),ISBLANK(AY5:AY9)), "·", bdRateExtend( V5:V9,AA5:AA9, AT5:AT9,AY5:AY9))</f>
        <v>-2.4034162823669658E-2</v>
      </c>
      <c r="BO5" s="24">
        <f>IF( OR(ISBLANK(S5:S9),ISBLANK(AQ5:AQ9), ISBLANK(W5:W9),ISBLANK(AU5:AU9)), "·", bdRateExtend( S5:S9,W5:W9, AQ5:AQ9,AU5:AU9))</f>
        <v>-2.4347109019071556E-2</v>
      </c>
      <c r="BP5" s="24">
        <f>IF( OR(ISBLANK(S5:S9),ISBLANK(AQ5:AQ9), ISBLANK(X5:X9),ISBLANK(AV5:AV9)), "·", bdRateExtend( S5:S9,X5:X9, AQ5:AQ9,AV5:AV9))</f>
        <v>-2.2722380513490292E-2</v>
      </c>
      <c r="BQ5" s="24">
        <f>IF( OR(ISBLANK(S5:S9),ISBLANK(AQ5:AQ9), ISBLANK(Y5:Y9),ISBLANK(AW5:AW9)), "·", bdRateExtend( S5:S9,Y5:Y9, AQ5:AQ9,AW5:AW9))</f>
        <v>-2.9255769238781038E-2</v>
      </c>
      <c r="BR5" s="24">
        <f>IF( OR(ISBLANK(S5:S9),ISBLANK(AQ5:AQ9), ISBLANK(Z5:Z9),ISBLANK(AX5:AX9)), "·", bdRateExtend( S5:S9,Z5:Z9, AQ5:AQ9,AX5:AX9))</f>
        <v>-3.8932818442532491E-2</v>
      </c>
      <c r="BS5" s="24">
        <f>IF( OR(ISBLANK(S5:S9),ISBLANK(AQ5:AQ9), ISBLANK(AA5:AA9),ISBLANK(AY5:AY9)), "·", bdRateExtend( S5:S9,AA5:AA9, AQ5:AQ9,AY5:AY9))</f>
        <v>-2.1502557435008285E-2</v>
      </c>
      <c r="BU5">
        <f>AN5-P5</f>
        <v>173442</v>
      </c>
      <c r="BV5" s="4">
        <f t="shared" ref="BV5:CF20" si="16">AO5-Q5</f>
        <v>5420.0625</v>
      </c>
      <c r="BW5" s="4">
        <f t="shared" si="16"/>
        <v>7.75</v>
      </c>
      <c r="BX5" s="4">
        <f t="shared" si="16"/>
        <v>-33184</v>
      </c>
      <c r="BY5" s="4">
        <f t="shared" si="16"/>
        <v>-15952</v>
      </c>
      <c r="BZ5" s="4">
        <f t="shared" si="16"/>
        <v>-10448</v>
      </c>
      <c r="CA5" s="4">
        <f t="shared" si="16"/>
        <v>-6792</v>
      </c>
      <c r="CB5" s="4">
        <f t="shared" si="16"/>
        <v>2.5468499999988126E-2</v>
      </c>
      <c r="CC5" s="4">
        <f t="shared" si="16"/>
        <v>-5.1796625000008589E-2</v>
      </c>
      <c r="CD5" s="4">
        <f t="shared" si="16"/>
        <v>5.2143874999899253E-2</v>
      </c>
      <c r="CE5" s="4">
        <f t="shared" si="16"/>
        <v>3.041837500000355E-2</v>
      </c>
      <c r="CF5" s="4">
        <f t="shared" si="16"/>
        <v>-5.4412624999997661E-2</v>
      </c>
    </row>
    <row r="6" spans="1:84" outlineLevel="1">
      <c r="A6" s="25"/>
      <c r="B6" s="25" t="s">
        <v>265</v>
      </c>
      <c r="C6" s="26" t="s">
        <v>268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1.658925</v>
      </c>
      <c r="J6" s="28">
        <f t="shared" si="1"/>
        <v>7.0881903111321864E-2</v>
      </c>
      <c r="K6" s="28">
        <f t="shared" si="2"/>
        <v>5.4366826666884575E-2</v>
      </c>
      <c r="L6" s="28">
        <f t="shared" si="3"/>
        <v>3.636771345175905E-2</v>
      </c>
      <c r="M6" s="28">
        <f t="shared" si="4"/>
        <v>1.6495528562119867E-2</v>
      </c>
      <c r="N6" s="25">
        <f t="shared" si="5"/>
        <v>1357232</v>
      </c>
      <c r="O6" s="28">
        <f t="shared" si="6"/>
        <v>7.162060893626486E-2</v>
      </c>
      <c r="P6" s="29">
        <v>24706855</v>
      </c>
      <c r="Q6" s="29">
        <v>772089.21875</v>
      </c>
      <c r="R6" s="29">
        <v>19854.03125</v>
      </c>
      <c r="S6" s="30">
        <v>1769520</v>
      </c>
      <c r="T6" s="30">
        <v>907896</v>
      </c>
      <c r="U6" s="30">
        <v>449336</v>
      </c>
      <c r="V6" s="30">
        <v>411800</v>
      </c>
      <c r="W6" s="31">
        <v>68.448059000000001</v>
      </c>
      <c r="X6" s="31">
        <v>70.453165999999996</v>
      </c>
      <c r="Y6" s="31">
        <v>33.619093999999997</v>
      </c>
      <c r="Z6" s="31">
        <v>45.078906000000003</v>
      </c>
      <c r="AA6" s="31">
        <v>44.797125000000001</v>
      </c>
      <c r="AB6" s="32">
        <v>5999.95</v>
      </c>
      <c r="AC6" s="32">
        <v>2838.69</v>
      </c>
      <c r="AD6" s="32">
        <v>9.0760000000000005</v>
      </c>
      <c r="AE6" s="32">
        <v>13.345000000000001</v>
      </c>
      <c r="AG6" s="27">
        <f t="shared" si="7"/>
        <v>1.6217474999999999</v>
      </c>
      <c r="AH6" s="28">
        <f t="shared" si="8"/>
        <v>6.9293397330215931E-2</v>
      </c>
      <c r="AI6" s="28">
        <f t="shared" si="9"/>
        <v>5.3252917831878681E-2</v>
      </c>
      <c r="AJ6" s="28">
        <f t="shared" si="10"/>
        <v>3.5672321572598288E-2</v>
      </c>
      <c r="AK6" s="28">
        <f t="shared" si="11"/>
        <v>1.6020611158932656E-2</v>
      </c>
      <c r="AL6" s="25">
        <f t="shared" si="12"/>
        <v>1329424</v>
      </c>
      <c r="AM6" s="28">
        <f t="shared" si="13"/>
        <v>6.99140397903594E-2</v>
      </c>
      <c r="AN6" s="29">
        <v>24742727</v>
      </c>
      <c r="AO6" s="29">
        <v>773210.21875</v>
      </c>
      <c r="AP6" s="29">
        <v>20017.28125</v>
      </c>
      <c r="AQ6" s="30">
        <v>1729864</v>
      </c>
      <c r="AR6" s="30">
        <v>890536</v>
      </c>
      <c r="AS6" s="30">
        <v>438888</v>
      </c>
      <c r="AT6" s="30">
        <v>399944</v>
      </c>
      <c r="AU6" s="31">
        <v>68.482034374999998</v>
      </c>
      <c r="AV6" s="31">
        <v>70.480387500000006</v>
      </c>
      <c r="AW6" s="31">
        <v>33.683271874999903</v>
      </c>
      <c r="AX6" s="31">
        <v>45.220128124999903</v>
      </c>
      <c r="AY6" s="31">
        <v>44.664556249999997</v>
      </c>
      <c r="AZ6" s="32">
        <v>7762.52</v>
      </c>
      <c r="BA6" s="32">
        <v>4506.6400000000003</v>
      </c>
      <c r="BB6" s="32">
        <v>7.0839999999999996</v>
      </c>
      <c r="BC6" s="32">
        <v>23.164000000000001</v>
      </c>
      <c r="BE6" s="33">
        <f t="shared" si="14"/>
        <v>1.7385160538218453E-4</v>
      </c>
      <c r="BF6" s="33">
        <f t="shared" si="15"/>
        <v>1.5078524621980893E-3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7">AN6-P6</f>
        <v>35872</v>
      </c>
      <c r="BV6" s="4">
        <f t="shared" si="16"/>
        <v>1121</v>
      </c>
      <c r="BW6" s="4">
        <f t="shared" si="16"/>
        <v>163.25</v>
      </c>
      <c r="BX6" s="4">
        <f t="shared" si="16"/>
        <v>-39656</v>
      </c>
      <c r="BY6" s="4">
        <f t="shared" si="16"/>
        <v>-17360</v>
      </c>
      <c r="BZ6" s="4">
        <f t="shared" si="16"/>
        <v>-10448</v>
      </c>
      <c r="CA6" s="4">
        <f t="shared" si="16"/>
        <v>-11856</v>
      </c>
      <c r="CB6" s="4">
        <f t="shared" si="16"/>
        <v>3.3975374999997143E-2</v>
      </c>
      <c r="CC6" s="4">
        <f t="shared" si="16"/>
        <v>2.7221500000010224E-2</v>
      </c>
      <c r="CD6" s="4">
        <f t="shared" si="16"/>
        <v>6.4177874999906237E-2</v>
      </c>
      <c r="CE6" s="4">
        <f t="shared" si="16"/>
        <v>0.14122212499989928</v>
      </c>
      <c r="CF6" s="4">
        <f t="shared" si="16"/>
        <v>-0.13256875000000434</v>
      </c>
    </row>
    <row r="7" spans="1:84" outlineLevel="1">
      <c r="A7" s="15"/>
      <c r="B7" s="15" t="s">
        <v>265</v>
      </c>
      <c r="C7" s="16" t="s">
        <v>269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2.3008350000000002</v>
      </c>
      <c r="J7" s="18">
        <f t="shared" si="1"/>
        <v>9.8309184288101176E-2</v>
      </c>
      <c r="K7" s="18">
        <f t="shared" si="2"/>
        <v>6.6586816771970869E-2</v>
      </c>
      <c r="L7" s="18">
        <f t="shared" si="3"/>
        <v>4.8587703556845344E-2</v>
      </c>
      <c r="M7" s="18">
        <f t="shared" si="4"/>
        <v>3.1702819633812884E-2</v>
      </c>
      <c r="N7" s="15">
        <f t="shared" si="5"/>
        <v>1662296</v>
      </c>
      <c r="O7" s="18">
        <f t="shared" si="6"/>
        <v>9.852540521097225E-2</v>
      </c>
      <c r="P7" s="19">
        <v>24909555</v>
      </c>
      <c r="Q7" s="19">
        <v>778423.59375</v>
      </c>
      <c r="R7" s="19">
        <v>21225.1875</v>
      </c>
      <c r="S7" s="20">
        <v>2454224</v>
      </c>
      <c r="T7" s="20">
        <v>1212960</v>
      </c>
      <c r="U7" s="20">
        <v>449336</v>
      </c>
      <c r="V7" s="20">
        <v>791440</v>
      </c>
      <c r="W7" s="21">
        <v>69.775828000000004</v>
      </c>
      <c r="X7" s="21">
        <v>72.120508999999998</v>
      </c>
      <c r="Y7" s="21">
        <v>36.071587000000001</v>
      </c>
      <c r="Z7" s="21">
        <v>46.496994000000001</v>
      </c>
      <c r="AA7" s="21">
        <v>46.188419000000003</v>
      </c>
      <c r="AB7" s="22">
        <v>5780.96</v>
      </c>
      <c r="AC7" s="22">
        <v>2986.65</v>
      </c>
      <c r="AD7" s="22">
        <v>9.3780000000000001</v>
      </c>
      <c r="AE7" s="22">
        <v>14.063000000000001</v>
      </c>
      <c r="AG7" s="17">
        <f t="shared" si="7"/>
        <v>2.2552949999999998</v>
      </c>
      <c r="AH7" s="18">
        <f t="shared" si="8"/>
        <v>9.6363368854799736E-2</v>
      </c>
      <c r="AI7" s="18">
        <f t="shared" si="9"/>
        <v>6.5342161445399255E-2</v>
      </c>
      <c r="AJ7" s="18">
        <f t="shared" si="10"/>
        <v>4.7761565186118869E-2</v>
      </c>
      <c r="AK7" s="18">
        <f t="shared" si="11"/>
        <v>3.100133906999588E-2</v>
      </c>
      <c r="AL7" s="15">
        <f t="shared" si="12"/>
        <v>1631224</v>
      </c>
      <c r="AM7" s="18">
        <f t="shared" si="13"/>
        <v>9.6588932115347748E-2</v>
      </c>
      <c r="AN7" s="19">
        <v>24906042</v>
      </c>
      <c r="AO7" s="19">
        <v>778313.8125</v>
      </c>
      <c r="AP7" s="19">
        <v>21275.78125</v>
      </c>
      <c r="AQ7" s="20">
        <v>2405648</v>
      </c>
      <c r="AR7" s="20">
        <v>1192336</v>
      </c>
      <c r="AS7" s="20">
        <v>438888</v>
      </c>
      <c r="AT7" s="20">
        <v>773928</v>
      </c>
      <c r="AU7" s="21">
        <v>69.791846875000005</v>
      </c>
      <c r="AV7" s="21">
        <v>72.144974999999903</v>
      </c>
      <c r="AW7" s="21">
        <v>36.115043749999998</v>
      </c>
      <c r="AX7" s="21">
        <v>46.495306249999999</v>
      </c>
      <c r="AY7" s="21">
        <v>46.303209374999902</v>
      </c>
      <c r="AZ7" s="22">
        <v>7310.97</v>
      </c>
      <c r="BA7" s="22">
        <v>4768.32</v>
      </c>
      <c r="BB7" s="22">
        <v>5.9320000000000004</v>
      </c>
      <c r="BC7" s="22">
        <v>19.404</v>
      </c>
      <c r="BE7" s="23">
        <f t="shared" si="14"/>
        <v>6.8850304316206423E-5</v>
      </c>
      <c r="BF7" s="23">
        <f t="shared" si="15"/>
        <v>7.6050865261589884E-4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7"/>
        <v>-3513</v>
      </c>
      <c r="BV7" s="4">
        <f t="shared" si="16"/>
        <v>-109.78125</v>
      </c>
      <c r="BW7" s="4">
        <f t="shared" si="16"/>
        <v>50.59375</v>
      </c>
      <c r="BX7" s="4">
        <f t="shared" si="16"/>
        <v>-48576</v>
      </c>
      <c r="BY7" s="4">
        <f t="shared" si="16"/>
        <v>-20624</v>
      </c>
      <c r="BZ7" s="4">
        <f t="shared" si="16"/>
        <v>-10448</v>
      </c>
      <c r="CA7" s="4">
        <f t="shared" si="16"/>
        <v>-17512</v>
      </c>
      <c r="CB7" s="4">
        <f t="shared" si="16"/>
        <v>1.6018875000000321E-2</v>
      </c>
      <c r="CC7" s="4">
        <f t="shared" si="16"/>
        <v>2.4465999999904398E-2</v>
      </c>
      <c r="CD7" s="4">
        <f t="shared" si="16"/>
        <v>4.3456749999997157E-2</v>
      </c>
      <c r="CE7" s="4">
        <f t="shared" si="16"/>
        <v>-1.6877500000020973E-3</v>
      </c>
      <c r="CF7" s="4">
        <f t="shared" si="16"/>
        <v>0.11479037499989886</v>
      </c>
    </row>
    <row r="8" spans="1:84" outlineLevel="1">
      <c r="A8" s="25"/>
      <c r="B8" s="25" t="s">
        <v>265</v>
      </c>
      <c r="C8" s="26" t="s">
        <v>270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3.7803450000000001</v>
      </c>
      <c r="J8" s="28">
        <f t="shared" si="1"/>
        <v>0.16152511296012179</v>
      </c>
      <c r="K8" s="28">
        <f t="shared" si="2"/>
        <v>9.2422067139685357E-2</v>
      </c>
      <c r="L8" s="28">
        <f t="shared" si="3"/>
        <v>7.4422953924559831E-2</v>
      </c>
      <c r="M8" s="28">
        <f t="shared" si="4"/>
        <v>6.9083497938119021E-2</v>
      </c>
      <c r="N8" s="25">
        <f t="shared" si="5"/>
        <v>2307256</v>
      </c>
      <c r="O8" s="28">
        <f t="shared" si="6"/>
        <v>0.15487011301106698</v>
      </c>
      <c r="P8" s="29">
        <v>26037096</v>
      </c>
      <c r="Q8" s="29">
        <v>813659.25</v>
      </c>
      <c r="R8" s="29">
        <v>24861.75</v>
      </c>
      <c r="S8" s="30">
        <v>4032368</v>
      </c>
      <c r="T8" s="30">
        <v>1857920</v>
      </c>
      <c r="U8" s="30">
        <v>449336</v>
      </c>
      <c r="V8" s="30">
        <v>1724624</v>
      </c>
      <c r="W8" s="31">
        <v>70.784678</v>
      </c>
      <c r="X8" s="31">
        <v>73.318777999999995</v>
      </c>
      <c r="Y8" s="31">
        <v>38.565663000000001</v>
      </c>
      <c r="Z8" s="31">
        <v>47.762841000000002</v>
      </c>
      <c r="AA8" s="31">
        <v>47.704047000000003</v>
      </c>
      <c r="AB8" s="32">
        <v>4634.2700000000004</v>
      </c>
      <c r="AC8" s="32">
        <v>2776.8</v>
      </c>
      <c r="AD8" s="32">
        <v>8.9640000000000004</v>
      </c>
      <c r="AE8" s="32">
        <v>12.467000000000001</v>
      </c>
      <c r="AG8" s="27">
        <f t="shared" si="7"/>
        <v>3.7146975000000002</v>
      </c>
      <c r="AH8" s="28">
        <f t="shared" si="8"/>
        <v>0.15872015207611528</v>
      </c>
      <c r="AI8" s="28">
        <f t="shared" si="9"/>
        <v>9.1047626692809552E-2</v>
      </c>
      <c r="AJ8" s="28">
        <f t="shared" si="10"/>
        <v>7.3467030433529174E-2</v>
      </c>
      <c r="AK8" s="28">
        <f t="shared" si="11"/>
        <v>6.7652657043901138E-2</v>
      </c>
      <c r="AL8" s="25">
        <f t="shared" si="12"/>
        <v>2272944</v>
      </c>
      <c r="AM8" s="28">
        <f t="shared" si="13"/>
        <v>0.15210267336587122</v>
      </c>
      <c r="AN8" s="29">
        <v>26050456</v>
      </c>
      <c r="AO8" s="29">
        <v>814076.75</v>
      </c>
      <c r="AP8" s="29">
        <v>24885.09375</v>
      </c>
      <c r="AQ8" s="30">
        <v>3962344</v>
      </c>
      <c r="AR8" s="30">
        <v>1834056</v>
      </c>
      <c r="AS8" s="30">
        <v>438888</v>
      </c>
      <c r="AT8" s="30">
        <v>1688904</v>
      </c>
      <c r="AU8" s="31">
        <v>70.790090625000005</v>
      </c>
      <c r="AV8" s="31">
        <v>73.324099999999902</v>
      </c>
      <c r="AW8" s="31">
        <v>38.626349999999903</v>
      </c>
      <c r="AX8" s="31">
        <v>47.843656250000002</v>
      </c>
      <c r="AY8" s="31">
        <v>47.752756249999997</v>
      </c>
      <c r="AZ8" s="32">
        <v>7658.11</v>
      </c>
      <c r="BA8" s="32">
        <v>5161.6499999999996</v>
      </c>
      <c r="BB8" s="32">
        <v>7.4480000000000004</v>
      </c>
      <c r="BC8" s="32">
        <v>23.484000000000002</v>
      </c>
      <c r="BE8" s="33">
        <f t="shared" si="14"/>
        <v>1.3004715533514871E-5</v>
      </c>
      <c r="BF8" s="33">
        <f t="shared" si="15"/>
        <v>1.4523233146351844E-3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7"/>
        <v>13360</v>
      </c>
      <c r="BV8" s="4">
        <f t="shared" si="16"/>
        <v>417.5</v>
      </c>
      <c r="BW8" s="4">
        <f t="shared" si="16"/>
        <v>23.34375</v>
      </c>
      <c r="BX8" s="4">
        <f t="shared" si="16"/>
        <v>-70024</v>
      </c>
      <c r="BY8" s="4">
        <f t="shared" si="16"/>
        <v>-23864</v>
      </c>
      <c r="BZ8" s="4">
        <f t="shared" si="16"/>
        <v>-10448</v>
      </c>
      <c r="CA8" s="4">
        <f t="shared" si="16"/>
        <v>-35720</v>
      </c>
      <c r="CB8" s="4">
        <f t="shared" si="16"/>
        <v>5.4126250000052778E-3</v>
      </c>
      <c r="CC8" s="4">
        <f t="shared" si="16"/>
        <v>5.3219999999072343E-3</v>
      </c>
      <c r="CD8" s="4">
        <f t="shared" si="16"/>
        <v>6.0686999999902014E-2</v>
      </c>
      <c r="CE8" s="4">
        <f t="shared" si="16"/>
        <v>8.081525000000056E-2</v>
      </c>
      <c r="CF8" s="4">
        <f t="shared" si="16"/>
        <v>4.8709249999994597E-2</v>
      </c>
    </row>
    <row r="9" spans="1:84" ht="15.75" outlineLevel="1" thickBot="1">
      <c r="A9" s="15"/>
      <c r="B9" s="35" t="s">
        <v>265</v>
      </c>
      <c r="C9" s="36" t="s">
        <v>271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7.8755474999999997</v>
      </c>
      <c r="J9" s="38">
        <f t="shared" si="1"/>
        <v>0.33650333489676337</v>
      </c>
      <c r="K9" s="38">
        <f t="shared" si="2"/>
        <v>0.15767001420145638</v>
      </c>
      <c r="L9" s="38">
        <f t="shared" si="3"/>
        <v>0.12032298389130319</v>
      </c>
      <c r="M9" s="38">
        <f t="shared" si="4"/>
        <v>0.17881377281298955</v>
      </c>
      <c r="N9" s="35">
        <f t="shared" si="5"/>
        <v>3936128</v>
      </c>
      <c r="O9" s="38">
        <f t="shared" si="6"/>
        <v>0.33528115481321308</v>
      </c>
      <c r="P9" s="39">
        <v>25055342</v>
      </c>
      <c r="Q9" s="39">
        <v>782979.4375</v>
      </c>
      <c r="R9" s="39">
        <v>7605.5</v>
      </c>
      <c r="S9" s="40">
        <v>8400584</v>
      </c>
      <c r="T9" s="40">
        <v>3003784</v>
      </c>
      <c r="U9" s="40">
        <v>932344</v>
      </c>
      <c r="V9" s="40">
        <v>4463968</v>
      </c>
      <c r="W9" s="41">
        <v>72.134146999999999</v>
      </c>
      <c r="X9" s="41">
        <v>75.252987000000005</v>
      </c>
      <c r="Y9" s="41">
        <v>41.113503000000001</v>
      </c>
      <c r="Z9" s="41">
        <v>49.389791000000002</v>
      </c>
      <c r="AA9" s="41">
        <v>49.465527999999999</v>
      </c>
      <c r="AB9" s="42">
        <v>4434.8599999999997</v>
      </c>
      <c r="AC9" s="42">
        <v>2986.85</v>
      </c>
      <c r="AD9" s="42">
        <v>9.1920000000000002</v>
      </c>
      <c r="AE9" s="42">
        <v>13.385</v>
      </c>
      <c r="AG9" s="37">
        <f t="shared" si="7"/>
        <v>7.7449874999999997</v>
      </c>
      <c r="AH9" s="38">
        <f t="shared" si="8"/>
        <v>0.33092481792329309</v>
      </c>
      <c r="AI9" s="38">
        <f t="shared" si="9"/>
        <v>0.1557565649339592</v>
      </c>
      <c r="AJ9" s="38">
        <f t="shared" si="10"/>
        <v>0.11891874093532051</v>
      </c>
      <c r="AK9" s="38">
        <f t="shared" si="11"/>
        <v>0.17514838464992927</v>
      </c>
      <c r="AL9" s="35">
        <f t="shared" si="12"/>
        <v>3888360</v>
      </c>
      <c r="AM9" s="38">
        <f t="shared" si="13"/>
        <v>0.32989307701409171</v>
      </c>
      <c r="AN9" s="39">
        <v>25042417</v>
      </c>
      <c r="AO9" s="39">
        <v>782575.53125</v>
      </c>
      <c r="AP9" s="39">
        <v>7571.21875</v>
      </c>
      <c r="AQ9" s="40">
        <v>8261320</v>
      </c>
      <c r="AR9" s="40">
        <v>2968728</v>
      </c>
      <c r="AS9" s="40">
        <v>919632</v>
      </c>
      <c r="AT9" s="40">
        <v>4372464</v>
      </c>
      <c r="AU9" s="41">
        <v>72.129331250000007</v>
      </c>
      <c r="AV9" s="41">
        <v>75.256271874999996</v>
      </c>
      <c r="AW9" s="41">
        <v>41.137709375</v>
      </c>
      <c r="AX9" s="41">
        <v>49.388500000000001</v>
      </c>
      <c r="AY9" s="41">
        <v>49.406606250000003</v>
      </c>
      <c r="AZ9" s="42">
        <v>10525.3</v>
      </c>
      <c r="BA9" s="42">
        <v>5642.42</v>
      </c>
      <c r="BB9" s="42">
        <v>8.16</v>
      </c>
      <c r="BC9" s="42">
        <v>26.123999999999999</v>
      </c>
      <c r="BE9" s="43">
        <f t="shared" si="14"/>
        <v>-3.8792283106043116E-5</v>
      </c>
      <c r="BF9" s="43">
        <f t="shared" si="15"/>
        <v>2.1164555941670105E-3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7"/>
        <v>-12925</v>
      </c>
      <c r="BV9" s="4">
        <f t="shared" si="16"/>
        <v>-403.90625</v>
      </c>
      <c r="BW9" s="4">
        <f t="shared" si="16"/>
        <v>-34.28125</v>
      </c>
      <c r="BX9" s="4">
        <f t="shared" si="16"/>
        <v>-139264</v>
      </c>
      <c r="BY9" s="4">
        <f t="shared" si="16"/>
        <v>-35056</v>
      </c>
      <c r="BZ9" s="4">
        <f t="shared" si="16"/>
        <v>-12712</v>
      </c>
      <c r="CA9" s="4">
        <f t="shared" si="16"/>
        <v>-91504</v>
      </c>
      <c r="CB9" s="4">
        <f t="shared" si="16"/>
        <v>-4.8157499999916809E-3</v>
      </c>
      <c r="CC9" s="4">
        <f t="shared" si="16"/>
        <v>3.2848749999914162E-3</v>
      </c>
      <c r="CD9" s="4">
        <f t="shared" si="16"/>
        <v>2.4206374999998559E-2</v>
      </c>
      <c r="CE9" s="4">
        <f t="shared" si="16"/>
        <v>-1.2910000000019295E-3</v>
      </c>
      <c r="CF9" s="4">
        <f t="shared" si="16"/>
        <v>-5.8921749999996109E-2</v>
      </c>
    </row>
    <row r="10" spans="1:84">
      <c r="A10" s="25"/>
      <c r="B10" s="25" t="s">
        <v>274</v>
      </c>
      <c r="C10" s="26" t="s">
        <v>267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2.1213375000000001</v>
      </c>
      <c r="J10" s="28">
        <f t="shared" si="1"/>
        <v>9.9879985640122265E-2</v>
      </c>
      <c r="K10" s="28">
        <f t="shared" si="2"/>
        <v>7.1566325336333961E-2</v>
      </c>
      <c r="L10" s="28">
        <f t="shared" si="3"/>
        <v>3.9549430365473717E-2</v>
      </c>
      <c r="M10" s="28">
        <f t="shared" si="4"/>
        <v>2.8292119604380335E-2</v>
      </c>
      <c r="N10" s="25">
        <f t="shared" si="5"/>
        <v>1621320</v>
      </c>
      <c r="O10" s="28">
        <f t="shared" si="6"/>
        <v>0.1070881715455243</v>
      </c>
      <c r="P10" s="29">
        <v>21129878</v>
      </c>
      <c r="Q10" s="29">
        <v>660308.6875</v>
      </c>
      <c r="R10" s="29">
        <v>19743.5625</v>
      </c>
      <c r="S10" s="30">
        <v>2262760</v>
      </c>
      <c r="T10" s="30">
        <v>895984</v>
      </c>
      <c r="U10" s="30">
        <v>725336</v>
      </c>
      <c r="V10" s="30">
        <v>640952</v>
      </c>
      <c r="W10" s="31">
        <v>65.982078000000001</v>
      </c>
      <c r="X10" s="31">
        <v>67.811513000000005</v>
      </c>
      <c r="Y10" s="31">
        <v>30.894309</v>
      </c>
      <c r="Z10" s="31">
        <v>38.404890999999999</v>
      </c>
      <c r="AA10" s="31">
        <v>29.973603000000001</v>
      </c>
      <c r="AB10" s="32">
        <v>6242.3</v>
      </c>
      <c r="AC10" s="32">
        <v>3497.76</v>
      </c>
      <c r="AD10" s="32">
        <v>8.7620000000000005</v>
      </c>
      <c r="AE10" s="32">
        <v>16.588000000000001</v>
      </c>
      <c r="AG10" s="27">
        <f t="shared" si="7"/>
        <v>2.1295799999999998</v>
      </c>
      <c r="AH10" s="28">
        <f t="shared" si="8"/>
        <v>0.10026807135568555</v>
      </c>
      <c r="AI10" s="28">
        <f t="shared" si="9"/>
        <v>7.1873545147562404E-2</v>
      </c>
      <c r="AJ10" s="28">
        <f t="shared" si="10"/>
        <v>3.9628530638709546E-2</v>
      </c>
      <c r="AK10" s="28">
        <f t="shared" si="11"/>
        <v>2.8372632382495374E-2</v>
      </c>
      <c r="AL10" s="25">
        <f t="shared" si="12"/>
        <v>1628280</v>
      </c>
      <c r="AM10" s="28">
        <f t="shared" si="13"/>
        <v>0.108300692097811</v>
      </c>
      <c r="AN10" s="29">
        <v>20974492</v>
      </c>
      <c r="AO10" s="29">
        <v>655452.875</v>
      </c>
      <c r="AP10" s="29">
        <v>19571.28125</v>
      </c>
      <c r="AQ10" s="30">
        <v>2271552</v>
      </c>
      <c r="AR10" s="30">
        <v>897776</v>
      </c>
      <c r="AS10" s="30">
        <v>730504</v>
      </c>
      <c r="AT10" s="30">
        <v>642776</v>
      </c>
      <c r="AU10" s="31">
        <v>65.963406249999906</v>
      </c>
      <c r="AV10" s="31">
        <v>67.853249999999903</v>
      </c>
      <c r="AW10" s="31">
        <v>30.887656249999999</v>
      </c>
      <c r="AX10" s="31">
        <v>38.357993749999999</v>
      </c>
      <c r="AY10" s="31">
        <v>29.954803124999899</v>
      </c>
      <c r="AZ10" s="32">
        <v>12390.4</v>
      </c>
      <c r="BA10" s="32">
        <v>5501.63</v>
      </c>
      <c r="BB10" s="32">
        <v>6.968</v>
      </c>
      <c r="BC10" s="32">
        <v>29.283999999999999</v>
      </c>
      <c r="BE10" s="33">
        <f t="shared" si="14"/>
        <v>-4.1330216610367676E-5</v>
      </c>
      <c r="BF10" s="33">
        <f t="shared" si="15"/>
        <v>2.9069471691733906E-4</v>
      </c>
      <c r="BG10" s="33">
        <f t="array" ref="BG10">AVERAGE(AL10:AL14/AQ10:AQ14) - AVERAGE(N10:N14/S10:S14)</f>
        <v>-1.1826900275688779E-3</v>
      </c>
      <c r="BI10" s="34">
        <f>IF( OR(ISBLANK(N10:N14),ISBLANK(AL10:AL14), ISBLANK(W10:W14),ISBLANK(AU10:AU14)), "·", bdRateExtend( N10:N14,W10:W14, AL10:AL14,AU10:AU14))</f>
        <v>4.3016644632434264E-3</v>
      </c>
      <c r="BJ10" s="34">
        <f>IF( OR(ISBLANK(N10:N14),ISBLANK(AL10:AL14), ISBLANK(X10:X14),ISBLANK(AV10:AV14)), "·", bdRateExtend( N10:N14,X10:X14, AL10:AL14,AV10:AV14))</f>
        <v>2.1855983425604908E-3</v>
      </c>
      <c r="BK10" s="34">
        <f>IF( OR(ISBLANK(V10:V14),ISBLANK(AT10:AT14), ISBLANK(Y10:Y14),ISBLANK(AW10:AW14)), "·", bdRateExtend( V10:V14,Y10:Y14, AT10:AT14,AW10:AW14))</f>
        <v>1.6120987335754844E-2</v>
      </c>
      <c r="BL10" s="34">
        <f>IF( OR(ISBLANK(V10:V14),ISBLANK(AT10:AT14), ISBLANK(Z10:Z14),ISBLANK(AX10:AX14)), "·", bdRateExtend( V10:V14,Z10:Z14, AT10:AT14,AX10:AX14))</f>
        <v>1.949802164611536E-2</v>
      </c>
      <c r="BM10" s="34">
        <f>IF( OR(ISBLANK(V10:V14),ISBLANK(AT10:AT14), ISBLANK(AA10:AA14),ISBLANK(AY10:AY14)), "·", bdRateExtend( V10:V14,AA10:AA14, AT10:AT14,AY10:AY14))</f>
        <v>1.4847856947801219E-2</v>
      </c>
      <c r="BO10" s="34">
        <f>IF( OR(ISBLANK(S10:S14),ISBLANK(AQ10:AQ14), ISBLANK(W10:W14),ISBLANK(AU10:AU14)), "·", bdRateExtend( S10:S14,W10:W14, AQ10:AQ14,AU10:AU14))</f>
        <v>6.8916361785262836E-3</v>
      </c>
      <c r="BP10" s="34">
        <f>IF( OR(ISBLANK(S10:S14),ISBLANK(AQ10:AQ14), ISBLANK(X10:X14),ISBLANK(AV10:AV14)), "·", bdRateExtend( S10:S14,X10:X14, AQ10:AQ14,AV10:AV14))</f>
        <v>3.5712547163053721E-3</v>
      </c>
      <c r="BQ10" s="34">
        <f>IF( OR(ISBLANK(S10:S14),ISBLANK(AQ10:AQ14), ISBLANK(Y10:Y14),ISBLANK(AW10:AW14)), "·", bdRateExtend( S10:S14,Y10:Y14, AQ10:AQ14,AW10:AW14))</f>
        <v>1.1287157514622947E-2</v>
      </c>
      <c r="BR10" s="34">
        <f>IF( OR(ISBLANK(S10:S14),ISBLANK(AQ10:AQ14), ISBLANK(Z10:Z14),ISBLANK(AX10:AX14)), "·", bdRateExtend( S10:S14,Z10:Z14, AQ10:AQ14,AX10:AX14))</f>
        <v>1.3981341149190474E-2</v>
      </c>
      <c r="BS10" s="34">
        <f>IF( OR(ISBLANK(S10:S14),ISBLANK(AQ10:AQ14), ISBLANK(AA10:AA14),ISBLANK(AY10:AY14)), "·", bdRateExtend( S10:S14,AA10:AA14, AQ10:AQ14,AY10:AY14))</f>
        <v>1.0701263724085974E-2</v>
      </c>
      <c r="BU10" s="4">
        <f t="shared" si="17"/>
        <v>-155386</v>
      </c>
      <c r="BV10" s="4">
        <f t="shared" si="16"/>
        <v>-4855.8125</v>
      </c>
      <c r="BW10" s="4">
        <f t="shared" si="16"/>
        <v>-172.28125</v>
      </c>
      <c r="BX10" s="4">
        <f t="shared" si="16"/>
        <v>8792</v>
      </c>
      <c r="BY10" s="4">
        <f t="shared" si="16"/>
        <v>1792</v>
      </c>
      <c r="BZ10" s="4">
        <f t="shared" si="16"/>
        <v>5168</v>
      </c>
      <c r="CA10" s="4">
        <f t="shared" si="16"/>
        <v>1824</v>
      </c>
      <c r="CB10" s="4">
        <f t="shared" si="16"/>
        <v>-1.8671750000095244E-2</v>
      </c>
      <c r="CC10" s="4">
        <f t="shared" si="16"/>
        <v>4.1736999999898217E-2</v>
      </c>
      <c r="CD10" s="4">
        <f t="shared" si="16"/>
        <v>-6.6527500000006512E-3</v>
      </c>
      <c r="CE10" s="4">
        <f t="shared" si="16"/>
        <v>-4.6897250000000668E-2</v>
      </c>
      <c r="CF10" s="4">
        <f t="shared" si="16"/>
        <v>-1.8799875000102162E-2</v>
      </c>
    </row>
    <row r="11" spans="1:84" outlineLevel="1">
      <c r="A11" s="15"/>
      <c r="B11" s="15" t="s">
        <v>274</v>
      </c>
      <c r="C11" s="16" t="s">
        <v>268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2.9061525000000001</v>
      </c>
      <c r="J11" s="18">
        <f t="shared" si="1"/>
        <v>0.13683181953272661</v>
      </c>
      <c r="K11" s="18">
        <f t="shared" si="2"/>
        <v>8.6627511737143087E-2</v>
      </c>
      <c r="L11" s="18">
        <f t="shared" si="3"/>
        <v>5.4610616766282837E-2</v>
      </c>
      <c r="M11" s="18">
        <f t="shared" si="4"/>
        <v>5.0182767096175557E-2</v>
      </c>
      <c r="N11" s="15">
        <f t="shared" si="5"/>
        <v>1962528</v>
      </c>
      <c r="O11" s="18">
        <f t="shared" si="6"/>
        <v>0.13786970111158731</v>
      </c>
      <c r="P11" s="19">
        <v>22484244</v>
      </c>
      <c r="Q11" s="19">
        <v>702632.625</v>
      </c>
      <c r="R11" s="19">
        <v>24989.5</v>
      </c>
      <c r="S11" s="20">
        <v>3099896</v>
      </c>
      <c r="T11" s="20">
        <v>1237192</v>
      </c>
      <c r="U11" s="20">
        <v>725336</v>
      </c>
      <c r="V11" s="20">
        <v>1136880</v>
      </c>
      <c r="W11" s="21">
        <v>67.688494000000006</v>
      </c>
      <c r="X11" s="21">
        <v>69.722633999999999</v>
      </c>
      <c r="Y11" s="21">
        <v>32.773665999999999</v>
      </c>
      <c r="Z11" s="21">
        <v>39.535618999999997</v>
      </c>
      <c r="AA11" s="21">
        <v>32.218108999999998</v>
      </c>
      <c r="AB11" s="22">
        <v>4927.1499999999996</v>
      </c>
      <c r="AC11" s="22">
        <v>3191.88</v>
      </c>
      <c r="AD11" s="22">
        <v>8.27</v>
      </c>
      <c r="AE11" s="22">
        <v>14.542</v>
      </c>
      <c r="AG11" s="17">
        <f t="shared" si="7"/>
        <v>2.928525</v>
      </c>
      <c r="AH11" s="18">
        <f t="shared" si="8"/>
        <v>0.13788519504639835</v>
      </c>
      <c r="AI11" s="18">
        <f t="shared" si="9"/>
        <v>8.7163910465023531E-2</v>
      </c>
      <c r="AJ11" s="18">
        <f t="shared" si="10"/>
        <v>5.491889595617068E-2</v>
      </c>
      <c r="AK11" s="18">
        <f t="shared" si="11"/>
        <v>5.0699390755747052E-2</v>
      </c>
      <c r="AL11" s="15">
        <f t="shared" si="12"/>
        <v>1974680</v>
      </c>
      <c r="AM11" s="18">
        <f t="shared" si="13"/>
        <v>0.13939539874163229</v>
      </c>
      <c r="AN11" s="19">
        <v>22409348</v>
      </c>
      <c r="AO11" s="19">
        <v>700292.125</v>
      </c>
      <c r="AP11" s="19">
        <v>24865.15625</v>
      </c>
      <c r="AQ11" s="20">
        <v>3123760</v>
      </c>
      <c r="AR11" s="20">
        <v>1244176</v>
      </c>
      <c r="AS11" s="20">
        <v>730504</v>
      </c>
      <c r="AT11" s="20">
        <v>1148584</v>
      </c>
      <c r="AU11" s="21">
        <v>67.682953124999997</v>
      </c>
      <c r="AV11" s="21">
        <v>69.742359374999893</v>
      </c>
      <c r="AW11" s="21">
        <v>32.756565625</v>
      </c>
      <c r="AX11" s="21">
        <v>39.546765624999999</v>
      </c>
      <c r="AY11" s="21">
        <v>32.228653125000001</v>
      </c>
      <c r="AZ11" s="22">
        <v>13599.3</v>
      </c>
      <c r="BA11" s="22">
        <v>5684.7</v>
      </c>
      <c r="BB11" s="22">
        <v>7.08</v>
      </c>
      <c r="BC11" s="22">
        <v>29.568000000000001</v>
      </c>
      <c r="BE11" s="23">
        <f t="shared" si="14"/>
        <v>-5.8693552650125602E-5</v>
      </c>
      <c r="BF11" s="23">
        <f t="shared" si="15"/>
        <v>-9.4635119650032795E-4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7"/>
        <v>-74896</v>
      </c>
      <c r="BV11" s="4">
        <f t="shared" si="16"/>
        <v>-2340.5</v>
      </c>
      <c r="BW11" s="4">
        <f t="shared" si="16"/>
        <v>-124.34375</v>
      </c>
      <c r="BX11" s="4">
        <f t="shared" si="16"/>
        <v>23864</v>
      </c>
      <c r="BY11" s="4">
        <f t="shared" si="16"/>
        <v>6984</v>
      </c>
      <c r="BZ11" s="4">
        <f t="shared" si="16"/>
        <v>5168</v>
      </c>
      <c r="CA11" s="4">
        <f t="shared" si="16"/>
        <v>11704</v>
      </c>
      <c r="CB11" s="4">
        <f t="shared" si="16"/>
        <v>-5.5408750000083273E-3</v>
      </c>
      <c r="CC11" s="4">
        <f t="shared" si="16"/>
        <v>1.9725374999893575E-2</v>
      </c>
      <c r="CD11" s="4">
        <f t="shared" si="16"/>
        <v>-1.710037499999828E-2</v>
      </c>
      <c r="CE11" s="4">
        <f t="shared" si="16"/>
        <v>1.1146625000002075E-2</v>
      </c>
      <c r="CF11" s="4">
        <f t="shared" si="16"/>
        <v>1.054412500000268E-2</v>
      </c>
    </row>
    <row r="12" spans="1:84" outlineLevel="1">
      <c r="A12" s="25"/>
      <c r="B12" s="25" t="s">
        <v>274</v>
      </c>
      <c r="C12" s="26" t="s">
        <v>269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4.1543625000000004</v>
      </c>
      <c r="J12" s="28">
        <f t="shared" si="1"/>
        <v>0.19560191004206659</v>
      </c>
      <c r="K12" s="28">
        <f t="shared" si="2"/>
        <v>0.10887163857496091</v>
      </c>
      <c r="L12" s="28">
        <f t="shared" si="3"/>
        <v>7.6854743604100662E-2</v>
      </c>
      <c r="M12" s="28">
        <f t="shared" si="4"/>
        <v>8.6708730767697723E-2</v>
      </c>
      <c r="N12" s="25">
        <f t="shared" si="5"/>
        <v>2466464</v>
      </c>
      <c r="O12" s="28">
        <f t="shared" si="6"/>
        <v>0.19433652770393656</v>
      </c>
      <c r="P12" s="29">
        <v>22802301</v>
      </c>
      <c r="Q12" s="29">
        <v>712571.90625</v>
      </c>
      <c r="R12" s="29">
        <v>26548.75</v>
      </c>
      <c r="S12" s="30">
        <v>4431320</v>
      </c>
      <c r="T12" s="30">
        <v>1741128</v>
      </c>
      <c r="U12" s="30">
        <v>725336</v>
      </c>
      <c r="V12" s="30">
        <v>1964368</v>
      </c>
      <c r="W12" s="31">
        <v>69.053853000000004</v>
      </c>
      <c r="X12" s="31">
        <v>71.385394000000005</v>
      </c>
      <c r="Y12" s="31">
        <v>34.849631000000002</v>
      </c>
      <c r="Z12" s="31">
        <v>40.495874999999998</v>
      </c>
      <c r="AA12" s="31">
        <v>34.163775000000001</v>
      </c>
      <c r="AB12" s="32">
        <v>6368.59</v>
      </c>
      <c r="AC12" s="32">
        <v>3991.56</v>
      </c>
      <c r="AD12" s="32">
        <v>9.032</v>
      </c>
      <c r="AE12" s="32">
        <v>17.114999999999998</v>
      </c>
      <c r="AG12" s="27">
        <f t="shared" si="7"/>
        <v>4.1799375000000003</v>
      </c>
      <c r="AH12" s="28">
        <f t="shared" si="8"/>
        <v>0.19680607045159415</v>
      </c>
      <c r="AI12" s="28">
        <f t="shared" si="9"/>
        <v>0.10911317690930603</v>
      </c>
      <c r="AJ12" s="28">
        <f t="shared" si="10"/>
        <v>7.6868162400453161E-2</v>
      </c>
      <c r="AK12" s="28">
        <f t="shared" si="11"/>
        <v>8.7670999716660356E-2</v>
      </c>
      <c r="AL12" s="25">
        <f t="shared" si="12"/>
        <v>2471936</v>
      </c>
      <c r="AM12" s="28">
        <f t="shared" si="13"/>
        <v>0.1959148420322889</v>
      </c>
      <c r="AN12" s="29">
        <v>22757847</v>
      </c>
      <c r="AO12" s="29">
        <v>711182.71875</v>
      </c>
      <c r="AP12" s="29">
        <v>26479.125</v>
      </c>
      <c r="AQ12" s="30">
        <v>4458600</v>
      </c>
      <c r="AR12" s="30">
        <v>1741432</v>
      </c>
      <c r="AS12" s="30">
        <v>730504</v>
      </c>
      <c r="AT12" s="30">
        <v>1986168</v>
      </c>
      <c r="AU12" s="31">
        <v>69.041843749999899</v>
      </c>
      <c r="AV12" s="31">
        <v>71.3875406249999</v>
      </c>
      <c r="AW12" s="31">
        <v>34.813046874999998</v>
      </c>
      <c r="AX12" s="31">
        <v>40.46164375</v>
      </c>
      <c r="AY12" s="31">
        <v>34.127759374999997</v>
      </c>
      <c r="AZ12" s="32">
        <v>13525.4</v>
      </c>
      <c r="BA12" s="32">
        <v>5988.13</v>
      </c>
      <c r="BB12" s="32">
        <v>5.6920000000000002</v>
      </c>
      <c r="BC12" s="32">
        <v>25.408000000000001</v>
      </c>
      <c r="BE12" s="33">
        <f t="shared" si="14"/>
        <v>-2.5123146273182961E-5</v>
      </c>
      <c r="BF12" s="33">
        <f t="shared" si="15"/>
        <v>-2.1782609714634527E-3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7"/>
        <v>-44454</v>
      </c>
      <c r="BV12" s="4">
        <f t="shared" si="16"/>
        <v>-1389.1875</v>
      </c>
      <c r="BW12" s="4">
        <f t="shared" si="16"/>
        <v>-69.625</v>
      </c>
      <c r="BX12" s="4">
        <f t="shared" si="16"/>
        <v>27280</v>
      </c>
      <c r="BY12" s="4">
        <f t="shared" si="16"/>
        <v>304</v>
      </c>
      <c r="BZ12" s="4">
        <f t="shared" si="16"/>
        <v>5168</v>
      </c>
      <c r="CA12" s="4">
        <f t="shared" si="16"/>
        <v>21800</v>
      </c>
      <c r="CB12" s="4">
        <f t="shared" si="16"/>
        <v>-1.2009250000104998E-2</v>
      </c>
      <c r="CC12" s="4">
        <f t="shared" si="16"/>
        <v>2.1466249998951525E-3</v>
      </c>
      <c r="CD12" s="4">
        <f t="shared" si="16"/>
        <v>-3.6584125000004519E-2</v>
      </c>
      <c r="CE12" s="4">
        <f t="shared" si="16"/>
        <v>-3.4231249999997715E-2</v>
      </c>
      <c r="CF12" s="4">
        <f t="shared" si="16"/>
        <v>-3.6015625000004547E-2</v>
      </c>
    </row>
    <row r="13" spans="1:84" outlineLevel="1">
      <c r="A13" s="15"/>
      <c r="B13" s="15" t="s">
        <v>274</v>
      </c>
      <c r="C13" s="16" t="s">
        <v>270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6.791175</v>
      </c>
      <c r="J13" s="18">
        <f t="shared" si="1"/>
        <v>0.31975226076923513</v>
      </c>
      <c r="K13" s="18">
        <f t="shared" si="2"/>
        <v>0.14895711454209526</v>
      </c>
      <c r="L13" s="18">
        <f t="shared" si="3"/>
        <v>0.11694021957123503</v>
      </c>
      <c r="M13" s="18">
        <f t="shared" si="4"/>
        <v>0.17077360552773191</v>
      </c>
      <c r="N13" s="15">
        <f t="shared" si="5"/>
        <v>3374592</v>
      </c>
      <c r="O13" s="18">
        <f t="shared" si="6"/>
        <v>0.30482462249342729</v>
      </c>
      <c r="P13" s="19">
        <v>23764222</v>
      </c>
      <c r="Q13" s="19">
        <v>742631.9375</v>
      </c>
      <c r="R13" s="19">
        <v>30343.0625</v>
      </c>
      <c r="S13" s="20">
        <v>7243920</v>
      </c>
      <c r="T13" s="20">
        <v>2649256</v>
      </c>
      <c r="U13" s="20">
        <v>725336</v>
      </c>
      <c r="V13" s="20">
        <v>3868840</v>
      </c>
      <c r="W13" s="21">
        <v>70.025913000000003</v>
      </c>
      <c r="X13" s="21">
        <v>72.557416000000003</v>
      </c>
      <c r="Y13" s="21">
        <v>37.088272000000003</v>
      </c>
      <c r="Z13" s="21">
        <v>41.603496999999997</v>
      </c>
      <c r="AA13" s="21">
        <v>36.188844000000003</v>
      </c>
      <c r="AB13" s="22">
        <v>4998.1099999999997</v>
      </c>
      <c r="AC13" s="22">
        <v>3629.17</v>
      </c>
      <c r="AD13" s="22">
        <v>8.4459999999999997</v>
      </c>
      <c r="AE13" s="22">
        <v>15.083</v>
      </c>
      <c r="AG13" s="17">
        <f t="shared" si="7"/>
        <v>6.8346825000000004</v>
      </c>
      <c r="AH13" s="18">
        <f t="shared" si="8"/>
        <v>0.32180074597031116</v>
      </c>
      <c r="AI13" s="18">
        <f t="shared" si="9"/>
        <v>0.14945502251201723</v>
      </c>
      <c r="AJ13" s="18">
        <f t="shared" si="10"/>
        <v>0.11721000800316436</v>
      </c>
      <c r="AK13" s="18">
        <f t="shared" si="11"/>
        <v>0.17232382963266618</v>
      </c>
      <c r="AL13" s="15">
        <f t="shared" si="12"/>
        <v>3385872</v>
      </c>
      <c r="AM13" s="18">
        <f t="shared" si="13"/>
        <v>0.30702775549224359</v>
      </c>
      <c r="AN13" s="19">
        <v>23744850</v>
      </c>
      <c r="AO13" s="19">
        <v>742026.5625</v>
      </c>
      <c r="AP13" s="19">
        <v>30400.71875</v>
      </c>
      <c r="AQ13" s="20">
        <v>7290328</v>
      </c>
      <c r="AR13" s="20">
        <v>2655368</v>
      </c>
      <c r="AS13" s="20">
        <v>730504</v>
      </c>
      <c r="AT13" s="20">
        <v>3903960</v>
      </c>
      <c r="AU13" s="21">
        <v>70.032281249999997</v>
      </c>
      <c r="AV13" s="21">
        <v>72.567271875000003</v>
      </c>
      <c r="AW13" s="21">
        <v>37.060740624999902</v>
      </c>
      <c r="AX13" s="21">
        <v>41.579381249999997</v>
      </c>
      <c r="AY13" s="21">
        <v>36.154334374999998</v>
      </c>
      <c r="AZ13" s="22">
        <v>11071.1</v>
      </c>
      <c r="BA13" s="22">
        <v>6425</v>
      </c>
      <c r="BB13" s="22">
        <v>6.6680000000000001</v>
      </c>
      <c r="BC13" s="22">
        <v>28.26</v>
      </c>
      <c r="BE13" s="23">
        <f t="shared" si="14"/>
        <v>1.1103531943475881E-4</v>
      </c>
      <c r="BF13" s="23">
        <f t="shared" si="15"/>
        <v>-1.4182136705039872E-3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7"/>
        <v>-19372</v>
      </c>
      <c r="BV13" s="4">
        <f t="shared" si="16"/>
        <v>-605.375</v>
      </c>
      <c r="BW13" s="4">
        <f t="shared" si="16"/>
        <v>57.65625</v>
      </c>
      <c r="BX13" s="4">
        <f t="shared" si="16"/>
        <v>46408</v>
      </c>
      <c r="BY13" s="4">
        <f t="shared" si="16"/>
        <v>6112</v>
      </c>
      <c r="BZ13" s="4">
        <f t="shared" si="16"/>
        <v>5168</v>
      </c>
      <c r="CA13" s="4">
        <f t="shared" si="16"/>
        <v>35120</v>
      </c>
      <c r="CB13" s="4">
        <f t="shared" si="16"/>
        <v>6.3682499999941911E-3</v>
      </c>
      <c r="CC13" s="4">
        <f t="shared" si="16"/>
        <v>9.8558749999995143E-3</v>
      </c>
      <c r="CD13" s="4">
        <f t="shared" si="16"/>
        <v>-2.7531375000101832E-2</v>
      </c>
      <c r="CE13" s="4">
        <f t="shared" si="16"/>
        <v>-2.4115749999999991E-2</v>
      </c>
      <c r="CF13" s="4">
        <f t="shared" si="16"/>
        <v>-3.4509625000005428E-2</v>
      </c>
    </row>
    <row r="14" spans="1:84" ht="15.75" outlineLevel="1" thickBot="1">
      <c r="A14" s="25"/>
      <c r="B14" s="45" t="s">
        <v>274</v>
      </c>
      <c r="C14" s="46" t="s">
        <v>271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13.5877575</v>
      </c>
      <c r="J14" s="48">
        <f t="shared" si="1"/>
        <v>0.63975912554294811</v>
      </c>
      <c r="K14" s="48">
        <f t="shared" si="2"/>
        <v>0.25010694206862838</v>
      </c>
      <c r="L14" s="48">
        <f t="shared" si="3"/>
        <v>0.18730944702243751</v>
      </c>
      <c r="M14" s="48">
        <f t="shared" si="4"/>
        <v>0.38963064277491172</v>
      </c>
      <c r="N14" s="45">
        <f t="shared" si="5"/>
        <v>5666120</v>
      </c>
      <c r="O14" s="48">
        <f t="shared" si="6"/>
        <v>0.6442754088263406</v>
      </c>
      <c r="P14" s="49">
        <v>22495982</v>
      </c>
      <c r="Q14" s="49">
        <v>702999.4375</v>
      </c>
      <c r="R14" s="49">
        <v>8246.78125</v>
      </c>
      <c r="S14" s="50">
        <v>14493608</v>
      </c>
      <c r="T14" s="50">
        <v>4243456</v>
      </c>
      <c r="U14" s="50">
        <v>1422664</v>
      </c>
      <c r="V14" s="50">
        <v>8827000</v>
      </c>
      <c r="W14" s="51">
        <v>71.393872000000002</v>
      </c>
      <c r="X14" s="51">
        <v>74.798930999999996</v>
      </c>
      <c r="Y14" s="51">
        <v>39.652940999999998</v>
      </c>
      <c r="Z14" s="51">
        <v>42.971468999999999</v>
      </c>
      <c r="AA14" s="51">
        <v>38.538587999999997</v>
      </c>
      <c r="AB14" s="52">
        <v>6266.88</v>
      </c>
      <c r="AC14" s="52">
        <v>4725.58</v>
      </c>
      <c r="AD14" s="52">
        <v>9.4269999999999996</v>
      </c>
      <c r="AE14" s="52">
        <v>19.030999999999999</v>
      </c>
      <c r="AG14" s="47">
        <f t="shared" si="7"/>
        <v>13.6848375</v>
      </c>
      <c r="AH14" s="48">
        <f t="shared" si="8"/>
        <v>0.64432999133207558</v>
      </c>
      <c r="AI14" s="48">
        <f t="shared" si="9"/>
        <v>0.25082343516860828</v>
      </c>
      <c r="AJ14" s="48">
        <f t="shared" si="10"/>
        <v>0.18802523386997777</v>
      </c>
      <c r="AK14" s="48">
        <f t="shared" si="11"/>
        <v>0.39348466233783946</v>
      </c>
      <c r="AL14" s="45">
        <f t="shared" si="12"/>
        <v>5682352</v>
      </c>
      <c r="AM14" s="48">
        <f t="shared" si="13"/>
        <v>0.64865914066781605</v>
      </c>
      <c r="AN14" s="49">
        <v>22503591</v>
      </c>
      <c r="AO14" s="49">
        <v>703237.21875</v>
      </c>
      <c r="AP14" s="49">
        <v>8278.5625</v>
      </c>
      <c r="AQ14" s="50">
        <v>14597160</v>
      </c>
      <c r="AR14" s="50">
        <v>4259672</v>
      </c>
      <c r="AS14" s="50">
        <v>1422680</v>
      </c>
      <c r="AT14" s="50">
        <v>8914312</v>
      </c>
      <c r="AU14" s="51">
        <v>71.399759375000002</v>
      </c>
      <c r="AV14" s="51">
        <v>74.797790624999905</v>
      </c>
      <c r="AW14" s="51">
        <v>39.650299999999902</v>
      </c>
      <c r="AX14" s="51">
        <v>42.956159374999899</v>
      </c>
      <c r="AY14" s="51">
        <v>38.537581249999903</v>
      </c>
      <c r="AZ14" s="52">
        <v>11006.3</v>
      </c>
      <c r="BA14" s="52">
        <v>7029.53</v>
      </c>
      <c r="BB14" s="52">
        <v>7.1239999999999997</v>
      </c>
      <c r="BC14" s="52">
        <v>30.192</v>
      </c>
      <c r="BE14" s="53">
        <f t="shared" si="14"/>
        <v>4.1226307353259273E-5</v>
      </c>
      <c r="BF14" s="53">
        <f t="shared" si="15"/>
        <v>-1.6613190162944047E-3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7"/>
        <v>7609</v>
      </c>
      <c r="BV14" s="4">
        <f t="shared" si="16"/>
        <v>237.78125</v>
      </c>
      <c r="BW14" s="4">
        <f t="shared" si="16"/>
        <v>31.78125</v>
      </c>
      <c r="BX14" s="4">
        <f t="shared" si="16"/>
        <v>103552</v>
      </c>
      <c r="BY14" s="4">
        <f t="shared" si="16"/>
        <v>16216</v>
      </c>
      <c r="BZ14" s="4">
        <f t="shared" si="16"/>
        <v>16</v>
      </c>
      <c r="CA14" s="4">
        <f t="shared" si="16"/>
        <v>87312</v>
      </c>
      <c r="CB14" s="4">
        <f t="shared" si="16"/>
        <v>5.8873750000003611E-3</v>
      </c>
      <c r="CC14" s="4">
        <f t="shared" si="16"/>
        <v>-1.1403750000908985E-3</v>
      </c>
      <c r="CD14" s="4">
        <f t="shared" si="16"/>
        <v>-2.6410000000964828E-3</v>
      </c>
      <c r="CE14" s="4">
        <f t="shared" si="16"/>
        <v>-1.5309625000099913E-2</v>
      </c>
      <c r="CF14" s="4">
        <f t="shared" si="16"/>
        <v>-1.0067500000943141E-3</v>
      </c>
    </row>
    <row r="15" spans="1:84">
      <c r="A15" s="15"/>
      <c r="B15" s="15" t="s">
        <v>277</v>
      </c>
      <c r="C15" s="16" t="s">
        <v>267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2.0129250000000001</v>
      </c>
      <c r="J15" s="18">
        <f t="shared" si="1"/>
        <v>6.3247844818317384E-2</v>
      </c>
      <c r="K15" s="18">
        <f t="shared" si="2"/>
        <v>5.026010879435254E-2</v>
      </c>
      <c r="L15" s="18">
        <f t="shared" si="3"/>
        <v>2.6626355267826838E-2</v>
      </c>
      <c r="M15" s="18">
        <f t="shared" si="4"/>
        <v>1.2973360978195942E-2</v>
      </c>
      <c r="N15" s="15">
        <f t="shared" si="5"/>
        <v>1706216</v>
      </c>
      <c r="O15" s="18">
        <f t="shared" si="6"/>
        <v>6.6425344019657093E-2</v>
      </c>
      <c r="P15" s="19">
        <v>32323807</v>
      </c>
      <c r="Q15" s="19">
        <v>1010118.96875</v>
      </c>
      <c r="R15" s="19">
        <v>34003.84375</v>
      </c>
      <c r="S15" s="20">
        <v>2147120</v>
      </c>
      <c r="T15" s="20">
        <v>903904</v>
      </c>
      <c r="U15" s="20">
        <v>802312</v>
      </c>
      <c r="V15" s="20">
        <v>440416</v>
      </c>
      <c r="W15" s="21">
        <v>66.333524999999995</v>
      </c>
      <c r="X15" s="21">
        <v>67.928118999999995</v>
      </c>
      <c r="Y15" s="21">
        <v>28.899272</v>
      </c>
      <c r="Z15" s="21">
        <v>43.030391000000002</v>
      </c>
      <c r="AA15" s="21">
        <v>43.274675000000002</v>
      </c>
      <c r="AB15" s="22">
        <v>5768.42</v>
      </c>
      <c r="AC15" s="22">
        <v>2393.0700000000002</v>
      </c>
      <c r="AD15" s="22">
        <v>10.565</v>
      </c>
      <c r="AE15" s="22">
        <v>12.968999999999999</v>
      </c>
      <c r="AG15" s="17">
        <f t="shared" si="7"/>
        <v>2.0987399999999998</v>
      </c>
      <c r="AH15" s="18">
        <f t="shared" si="8"/>
        <v>6.5944226354183802E-2</v>
      </c>
      <c r="AI15" s="18">
        <f t="shared" si="9"/>
        <v>5.2037430026960867E-2</v>
      </c>
      <c r="AJ15" s="18">
        <f t="shared" si="10"/>
        <v>2.7670077853244806E-2</v>
      </c>
      <c r="AK15" s="18">
        <f t="shared" si="11"/>
        <v>1.3892185624966014E-2</v>
      </c>
      <c r="AL15" s="15">
        <f t="shared" si="12"/>
        <v>1766552</v>
      </c>
      <c r="AM15" s="18">
        <f t="shared" si="13"/>
        <v>6.9144213659603326E-2</v>
      </c>
      <c r="AN15" s="19">
        <v>32376621</v>
      </c>
      <c r="AO15" s="19">
        <v>1011769.40625</v>
      </c>
      <c r="AP15" s="19">
        <v>34198.9375</v>
      </c>
      <c r="AQ15" s="20">
        <v>2238656</v>
      </c>
      <c r="AR15" s="20">
        <v>939336</v>
      </c>
      <c r="AS15" s="20">
        <v>827216</v>
      </c>
      <c r="AT15" s="20">
        <v>471608</v>
      </c>
      <c r="AU15" s="21">
        <v>66.341999999999999</v>
      </c>
      <c r="AV15" s="21">
        <v>67.941275000000005</v>
      </c>
      <c r="AW15" s="21">
        <v>28.668840625000001</v>
      </c>
      <c r="AX15" s="21">
        <v>42.775828124999997</v>
      </c>
      <c r="AY15" s="21">
        <v>42.852931249999898</v>
      </c>
      <c r="AZ15" s="22">
        <v>11418.6</v>
      </c>
      <c r="BA15" s="22">
        <v>4959.3500000000004</v>
      </c>
      <c r="BB15" s="22">
        <v>8.7560000000000002</v>
      </c>
      <c r="BC15" s="22">
        <v>25.3</v>
      </c>
      <c r="BE15" s="23">
        <f t="shared" si="14"/>
        <v>1.3791159353591237E-4</v>
      </c>
      <c r="BF15" s="23">
        <f t="shared" si="15"/>
        <v>-5.5405496628684325E-3</v>
      </c>
      <c r="BG15" s="23">
        <f t="array" ref="BG15">AVERAGE(AL15:AL19/AQ15:AQ19) - AVERAGE(N15:N19/S15:S19)</f>
        <v>-9.001159388769997E-3</v>
      </c>
      <c r="BI15" s="24">
        <f>IF( OR(ISBLANK(N15:N19),ISBLANK(AL15:AL19), ISBLANK(W15:W19),ISBLANK(AU15:AU19)), "·", bdRateExtend( N15:N19,W15:W19, AL15:AL19,AU15:AU19))</f>
        <v>3.3115892372262534E-2</v>
      </c>
      <c r="BJ15" s="24">
        <f>IF( OR(ISBLANK(N15:N19),ISBLANK(AL15:AL19), ISBLANK(X15:X19),ISBLANK(AV15:AV19)), "·", bdRateExtend( N15:N19,X15:X19, AL15:AL19,AV15:AV19))</f>
        <v>3.2719522506720278E-2</v>
      </c>
      <c r="BK15" s="24">
        <f>IF( OR(ISBLANK(V15:V19),ISBLANK(AT15:AT19), ISBLANK(Y15:Y19),ISBLANK(AW15:AW19)), "·", bdRateExtend( V15:V19,Y15:Y19, AT15:AT19,AW15:AW19))</f>
        <v>0.14600199024165628</v>
      </c>
      <c r="BL15" s="24">
        <f>IF( OR(ISBLANK(V15:V19),ISBLANK(AT15:AT19), ISBLANK(Z15:Z19),ISBLANK(AX15:AX19)), "·", bdRateExtend( V15:V19,Z15:Z19, AT15:AT19,AX15:AX19))</f>
        <v>0.17650483943072803</v>
      </c>
      <c r="BM15" s="24">
        <f>IF( OR(ISBLANK(V15:V19),ISBLANK(AT15:AT19), ISBLANK(AA15:AA19),ISBLANK(AY15:AY19)), "·", bdRateExtend( V15:V19,AA15:AA19, AT15:AT19,AY15:AY19))</f>
        <v>0.16456945698749736</v>
      </c>
      <c r="BO15" s="24">
        <f>IF( OR(ISBLANK(S15:S19),ISBLANK(AQ15:AQ19), ISBLANK(W15:W19),ISBLANK(AU15:AU19)), "·", bdRateExtend( S15:S19,W15:W19, AQ15:AQ19,AU15:AU19))</f>
        <v>5.2792858225094275E-2</v>
      </c>
      <c r="BP15" s="24">
        <f>IF( OR(ISBLANK(S15:S19),ISBLANK(AQ15:AQ19), ISBLANK(X15:X19),ISBLANK(AV15:AV19)), "·", bdRateExtend( S15:S19,X15:X19, AQ15:AQ19,AV15:AV19))</f>
        <v>5.3046013917964485E-2</v>
      </c>
      <c r="BQ15" s="24">
        <f>IF( OR(ISBLANK(S15:S19),ISBLANK(AQ15:AQ19), ISBLANK(Y15:Y19),ISBLANK(AW15:AW19)), "·", bdRateExtend( S15:S19,Y15:Y19, AQ15:AQ19,AW15:AW19))</f>
        <v>8.9636099867165253E-2</v>
      </c>
      <c r="BR15" s="24">
        <f>IF( OR(ISBLANK(S15:S19),ISBLANK(AQ15:AQ19), ISBLANK(Z15:Z19),ISBLANK(AX15:AX19)), "·", bdRateExtend( S15:S19,Z15:Z19, AQ15:AQ19,AX15:AX19))</f>
        <v>0.11192752882736734</v>
      </c>
      <c r="BS15" s="24">
        <f>IF( OR(ISBLANK(S15:S19),ISBLANK(AQ15:AQ19), ISBLANK(AA15:AA19),ISBLANK(AY15:AY19)), "·", bdRateExtend( S15:S19,AA15:AA19, AQ15:AQ19,AY15:AY19))</f>
        <v>0.10402107416965789</v>
      </c>
      <c r="BU15" s="4">
        <f t="shared" si="17"/>
        <v>52814</v>
      </c>
      <c r="BV15" s="4">
        <f t="shared" si="16"/>
        <v>1650.4375</v>
      </c>
      <c r="BW15" s="4">
        <f t="shared" si="16"/>
        <v>195.09375</v>
      </c>
      <c r="BX15" s="4">
        <f t="shared" si="16"/>
        <v>91536</v>
      </c>
      <c r="BY15" s="4">
        <f t="shared" si="16"/>
        <v>35432</v>
      </c>
      <c r="BZ15" s="4">
        <f t="shared" si="16"/>
        <v>24904</v>
      </c>
      <c r="CA15" s="4">
        <f t="shared" si="16"/>
        <v>31192</v>
      </c>
      <c r="CB15" s="4">
        <f t="shared" si="16"/>
        <v>8.4750000000042292E-3</v>
      </c>
      <c r="CC15" s="4">
        <f t="shared" si="16"/>
        <v>1.3156000000009271E-2</v>
      </c>
      <c r="CD15" s="4">
        <f t="shared" si="16"/>
        <v>-0.23043137499999844</v>
      </c>
      <c r="CE15" s="4">
        <f t="shared" si="16"/>
        <v>-0.25456287500000485</v>
      </c>
      <c r="CF15" s="4">
        <f t="shared" si="16"/>
        <v>-0.421743750000104</v>
      </c>
    </row>
    <row r="16" spans="1:84" outlineLevel="1">
      <c r="A16" s="25"/>
      <c r="B16" s="25" t="s">
        <v>277</v>
      </c>
      <c r="C16" s="26" t="s">
        <v>268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2.6818050000000002</v>
      </c>
      <c r="J16" s="28">
        <f t="shared" si="1"/>
        <v>8.4264633045437687E-2</v>
      </c>
      <c r="K16" s="28">
        <f t="shared" si="2"/>
        <v>5.9402166590402337E-2</v>
      </c>
      <c r="L16" s="28">
        <f t="shared" si="3"/>
        <v>3.5768413063876632E-2</v>
      </c>
      <c r="M16" s="28">
        <f t="shared" si="4"/>
        <v>2.484809140926645E-2</v>
      </c>
      <c r="N16" s="25">
        <f t="shared" si="5"/>
        <v>2016568</v>
      </c>
      <c r="O16" s="28">
        <f t="shared" si="6"/>
        <v>8.4101977063492733E-2</v>
      </c>
      <c r="P16" s="29">
        <v>34013374</v>
      </c>
      <c r="Q16" s="29">
        <v>1062917.9375</v>
      </c>
      <c r="R16" s="29">
        <v>40000.3125</v>
      </c>
      <c r="S16" s="30">
        <v>2860592</v>
      </c>
      <c r="T16" s="30">
        <v>1214256</v>
      </c>
      <c r="U16" s="30">
        <v>802312</v>
      </c>
      <c r="V16" s="30">
        <v>843536</v>
      </c>
      <c r="W16" s="31">
        <v>68.051368999999994</v>
      </c>
      <c r="X16" s="31">
        <v>70.062349999999995</v>
      </c>
      <c r="Y16" s="31">
        <v>31.302444000000001</v>
      </c>
      <c r="Z16" s="31">
        <v>43.868552999999999</v>
      </c>
      <c r="AA16" s="31">
        <v>44.220883999999998</v>
      </c>
      <c r="AB16" s="32">
        <v>5956.35</v>
      </c>
      <c r="AC16" s="32">
        <v>2544.7600000000002</v>
      </c>
      <c r="AD16" s="32">
        <v>11.347</v>
      </c>
      <c r="AE16" s="32">
        <v>13.15</v>
      </c>
      <c r="AG16" s="27">
        <f t="shared" si="7"/>
        <v>2.8095300000000001</v>
      </c>
      <c r="AH16" s="28">
        <f t="shared" si="8"/>
        <v>8.8277863036331339E-2</v>
      </c>
      <c r="AI16" s="28">
        <f t="shared" si="9"/>
        <v>6.1352224028725581E-2</v>
      </c>
      <c r="AJ16" s="28">
        <f t="shared" si="10"/>
        <v>3.6984871855009517E-2</v>
      </c>
      <c r="AK16" s="28">
        <f t="shared" si="11"/>
        <v>2.691102830534883E-2</v>
      </c>
      <c r="AL16" s="25">
        <f t="shared" si="12"/>
        <v>2082768</v>
      </c>
      <c r="AM16" s="28">
        <f t="shared" si="13"/>
        <v>8.8104256138634068E-2</v>
      </c>
      <c r="AN16" s="29">
        <v>34014611</v>
      </c>
      <c r="AO16" s="29">
        <v>1062956.59375</v>
      </c>
      <c r="AP16" s="29">
        <v>40308.34375</v>
      </c>
      <c r="AQ16" s="30">
        <v>2996832</v>
      </c>
      <c r="AR16" s="30">
        <v>1255552</v>
      </c>
      <c r="AS16" s="30">
        <v>827216</v>
      </c>
      <c r="AT16" s="30">
        <v>913568</v>
      </c>
      <c r="AU16" s="31">
        <v>68.050912499999995</v>
      </c>
      <c r="AV16" s="31">
        <v>70.062746875000002</v>
      </c>
      <c r="AW16" s="31">
        <v>31.029528124999999</v>
      </c>
      <c r="AX16" s="31">
        <v>43.752203125000001</v>
      </c>
      <c r="AY16" s="31">
        <v>44.094584374999997</v>
      </c>
      <c r="AZ16" s="32">
        <v>12055.3</v>
      </c>
      <c r="BA16" s="32">
        <v>5309.78</v>
      </c>
      <c r="BB16" s="32">
        <v>9.3680000000000003</v>
      </c>
      <c r="BC16" s="32">
        <v>26.975999999999999</v>
      </c>
      <c r="BE16" s="33">
        <f t="shared" si="14"/>
        <v>2.8841866030945157E-4</v>
      </c>
      <c r="BF16" s="33">
        <f t="shared" si="15"/>
        <v>-9.9578776872281116E-3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7"/>
        <v>1237</v>
      </c>
      <c r="BV16" s="4">
        <f t="shared" si="16"/>
        <v>38.65625</v>
      </c>
      <c r="BW16" s="4">
        <f t="shared" si="16"/>
        <v>308.03125</v>
      </c>
      <c r="BX16" s="4">
        <f t="shared" si="16"/>
        <v>136240</v>
      </c>
      <c r="BY16" s="4">
        <f t="shared" si="16"/>
        <v>41296</v>
      </c>
      <c r="BZ16" s="4">
        <f t="shared" si="16"/>
        <v>24904</v>
      </c>
      <c r="CA16" s="4">
        <f t="shared" si="16"/>
        <v>70032</v>
      </c>
      <c r="CB16" s="4">
        <f t="shared" si="16"/>
        <v>-4.5649999999852753E-4</v>
      </c>
      <c r="CC16" s="4">
        <f t="shared" si="16"/>
        <v>3.9687500000695763E-4</v>
      </c>
      <c r="CD16" s="4">
        <f t="shared" si="16"/>
        <v>-0.27291587500000247</v>
      </c>
      <c r="CE16" s="4">
        <f t="shared" si="16"/>
        <v>-0.11634987499999738</v>
      </c>
      <c r="CF16" s="4">
        <f t="shared" si="16"/>
        <v>-0.12629962500000147</v>
      </c>
    </row>
    <row r="17" spans="1:84" outlineLevel="1">
      <c r="A17" s="15"/>
      <c r="B17" s="15" t="s">
        <v>277</v>
      </c>
      <c r="C17" s="16" t="s">
        <v>269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3.8652449999999998</v>
      </c>
      <c r="J17" s="18">
        <f t="shared" si="1"/>
        <v>0.12144934160228384</v>
      </c>
      <c r="K17" s="18">
        <f t="shared" si="2"/>
        <v>7.0660655305313888E-2</v>
      </c>
      <c r="L17" s="18">
        <f t="shared" si="3"/>
        <v>4.7026901778788197E-2</v>
      </c>
      <c r="M17" s="18">
        <f t="shared" si="4"/>
        <v>5.0774311251201035E-2</v>
      </c>
      <c r="N17" s="15">
        <f t="shared" si="5"/>
        <v>2398768</v>
      </c>
      <c r="O17" s="18">
        <f t="shared" si="6"/>
        <v>0.12047499359481451</v>
      </c>
      <c r="P17" s="19">
        <v>34222272</v>
      </c>
      <c r="Q17" s="19">
        <v>1069446</v>
      </c>
      <c r="R17" s="19">
        <v>41384.1875</v>
      </c>
      <c r="S17" s="20">
        <v>4122928</v>
      </c>
      <c r="T17" s="20">
        <v>1596456</v>
      </c>
      <c r="U17" s="20">
        <v>802312</v>
      </c>
      <c r="V17" s="20">
        <v>1723672</v>
      </c>
      <c r="W17" s="21">
        <v>69.429022000000003</v>
      </c>
      <c r="X17" s="21">
        <v>71.841999999999999</v>
      </c>
      <c r="Y17" s="21">
        <v>33.803230999999997</v>
      </c>
      <c r="Z17" s="21">
        <v>44.949658999999997</v>
      </c>
      <c r="AA17" s="21">
        <v>45.351916000000003</v>
      </c>
      <c r="AB17" s="22">
        <v>7954.07</v>
      </c>
      <c r="AC17" s="22">
        <v>3464.53</v>
      </c>
      <c r="AD17" s="22">
        <v>13.084</v>
      </c>
      <c r="AE17" s="22">
        <v>16.478999999999999</v>
      </c>
      <c r="AG17" s="17">
        <f t="shared" si="7"/>
        <v>4.0782449999999999</v>
      </c>
      <c r="AH17" s="18">
        <f t="shared" si="8"/>
        <v>0.12814198586190684</v>
      </c>
      <c r="AI17" s="18">
        <f t="shared" si="9"/>
        <v>7.317275346755267E-2</v>
      </c>
      <c r="AJ17" s="18">
        <f t="shared" si="10"/>
        <v>4.8805401293836599E-2</v>
      </c>
      <c r="AK17" s="18">
        <f t="shared" si="11"/>
        <v>5.4954621692097243E-2</v>
      </c>
      <c r="AL17" s="15">
        <f t="shared" si="12"/>
        <v>2484048</v>
      </c>
      <c r="AM17" s="18">
        <f t="shared" si="13"/>
        <v>0.12712869270953303</v>
      </c>
      <c r="AN17" s="19">
        <v>34218302</v>
      </c>
      <c r="AO17" s="19">
        <v>1069321.9375</v>
      </c>
      <c r="AP17" s="19">
        <v>41366.40625</v>
      </c>
      <c r="AQ17" s="20">
        <v>4350128</v>
      </c>
      <c r="AR17" s="20">
        <v>1656832</v>
      </c>
      <c r="AS17" s="20">
        <v>827216</v>
      </c>
      <c r="AT17" s="20">
        <v>1865584</v>
      </c>
      <c r="AU17" s="21">
        <v>69.424793749999907</v>
      </c>
      <c r="AV17" s="21">
        <v>71.838974999999905</v>
      </c>
      <c r="AW17" s="21">
        <v>33.574053124999899</v>
      </c>
      <c r="AX17" s="21">
        <v>44.772218749999901</v>
      </c>
      <c r="AY17" s="21">
        <v>45.257765624999898</v>
      </c>
      <c r="AZ17" s="22">
        <v>14171.8</v>
      </c>
      <c r="BA17" s="22">
        <v>5447.56</v>
      </c>
      <c r="BB17" s="22">
        <v>10.228</v>
      </c>
      <c r="BC17" s="22">
        <v>28.096</v>
      </c>
      <c r="BE17" s="23">
        <f t="shared" si="14"/>
        <v>-1.2138928464217047E-5</v>
      </c>
      <c r="BF17" s="23">
        <f t="shared" si="15"/>
        <v>-1.0783046404747698E-2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7"/>
        <v>-3970</v>
      </c>
      <c r="BV17" s="4">
        <f t="shared" si="16"/>
        <v>-124.0625</v>
      </c>
      <c r="BW17" s="4">
        <f t="shared" si="16"/>
        <v>-17.78125</v>
      </c>
      <c r="BX17" s="4">
        <f t="shared" si="16"/>
        <v>227200</v>
      </c>
      <c r="BY17" s="4">
        <f t="shared" si="16"/>
        <v>60376</v>
      </c>
      <c r="BZ17" s="4">
        <f t="shared" si="16"/>
        <v>24904</v>
      </c>
      <c r="CA17" s="4">
        <f t="shared" si="16"/>
        <v>141912</v>
      </c>
      <c r="CB17" s="4">
        <f t="shared" si="16"/>
        <v>-4.2282500000965229E-3</v>
      </c>
      <c r="CC17" s="4">
        <f t="shared" si="16"/>
        <v>-3.0250000000933142E-3</v>
      </c>
      <c r="CD17" s="4">
        <f t="shared" si="16"/>
        <v>-0.22917787500009723</v>
      </c>
      <c r="CE17" s="4">
        <f t="shared" si="16"/>
        <v>-0.177440250000096</v>
      </c>
      <c r="CF17" s="4">
        <f t="shared" si="16"/>
        <v>-9.4150375000104702E-2</v>
      </c>
    </row>
    <row r="18" spans="1:84" outlineLevel="1">
      <c r="A18" s="25"/>
      <c r="B18" s="25" t="s">
        <v>277</v>
      </c>
      <c r="C18" s="26" t="s">
        <v>270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6.9445874999999999</v>
      </c>
      <c r="J18" s="28">
        <f t="shared" si="1"/>
        <v>0.21820494679495098</v>
      </c>
      <c r="K18" s="28">
        <f t="shared" si="2"/>
        <v>9.9585603957238006E-2</v>
      </c>
      <c r="L18" s="28">
        <f t="shared" si="3"/>
        <v>7.5951850430712314E-2</v>
      </c>
      <c r="M18" s="28">
        <f t="shared" si="4"/>
        <v>0.11860496779194407</v>
      </c>
      <c r="N18" s="25">
        <f t="shared" si="5"/>
        <v>3380704</v>
      </c>
      <c r="O18" s="28">
        <f t="shared" si="6"/>
        <v>0.20797378655894064</v>
      </c>
      <c r="P18" s="29">
        <v>35617758</v>
      </c>
      <c r="Q18" s="29">
        <v>1113054.9375</v>
      </c>
      <c r="R18" s="29">
        <v>46717.21875</v>
      </c>
      <c r="S18" s="30">
        <v>7407560</v>
      </c>
      <c r="T18" s="30">
        <v>2578392</v>
      </c>
      <c r="U18" s="30">
        <v>802312</v>
      </c>
      <c r="V18" s="30">
        <v>4026368</v>
      </c>
      <c r="W18" s="31">
        <v>70.480380999999994</v>
      </c>
      <c r="X18" s="31">
        <v>73.115453000000002</v>
      </c>
      <c r="Y18" s="31">
        <v>36.281162999999999</v>
      </c>
      <c r="Z18" s="31">
        <v>46.151246999999998</v>
      </c>
      <c r="AA18" s="31">
        <v>46.618597000000001</v>
      </c>
      <c r="AB18" s="32">
        <v>7994.14</v>
      </c>
      <c r="AC18" s="32">
        <v>3813.13</v>
      </c>
      <c r="AD18" s="32">
        <v>12.715999999999999</v>
      </c>
      <c r="AE18" s="32">
        <v>17.584</v>
      </c>
      <c r="AG18" s="27">
        <f t="shared" si="7"/>
        <v>7.3143900000000004</v>
      </c>
      <c r="AH18" s="28">
        <f t="shared" si="8"/>
        <v>0.22982446124950137</v>
      </c>
      <c r="AI18" s="28">
        <f t="shared" si="9"/>
        <v>0.10217664704296177</v>
      </c>
      <c r="AJ18" s="28">
        <f t="shared" si="10"/>
        <v>7.7809294869245704E-2</v>
      </c>
      <c r="AK18" s="28">
        <f t="shared" si="11"/>
        <v>0.12763320350428267</v>
      </c>
      <c r="AL18" s="25">
        <f t="shared" si="12"/>
        <v>3468664</v>
      </c>
      <c r="AM18" s="28">
        <f t="shared" si="13"/>
        <v>0.21892140378558722</v>
      </c>
      <c r="AN18" s="29">
        <v>35638434</v>
      </c>
      <c r="AO18" s="29">
        <v>1113701.0625</v>
      </c>
      <c r="AP18" s="29">
        <v>46715.96875</v>
      </c>
      <c r="AQ18" s="30">
        <v>7802016</v>
      </c>
      <c r="AR18" s="30">
        <v>2641448</v>
      </c>
      <c r="AS18" s="30">
        <v>827216</v>
      </c>
      <c r="AT18" s="30">
        <v>4332856</v>
      </c>
      <c r="AU18" s="31">
        <v>70.464965625000005</v>
      </c>
      <c r="AV18" s="31">
        <v>73.095168749999999</v>
      </c>
      <c r="AW18" s="31">
        <v>36.129159374999901</v>
      </c>
      <c r="AX18" s="31">
        <v>46.0242</v>
      </c>
      <c r="AY18" s="31">
        <v>46.498350000000002</v>
      </c>
      <c r="AZ18" s="32">
        <v>14305.6</v>
      </c>
      <c r="BA18" s="32">
        <v>5892.82</v>
      </c>
      <c r="BB18" s="32">
        <v>10.324</v>
      </c>
      <c r="BC18" s="32">
        <v>29.78</v>
      </c>
      <c r="BE18" s="33">
        <f t="shared" si="14"/>
        <v>-2.5472906602264089E-5</v>
      </c>
      <c r="BF18" s="33">
        <f t="shared" si="15"/>
        <v>-1.1800033914662555E-2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7"/>
        <v>20676</v>
      </c>
      <c r="BV18" s="4">
        <f t="shared" si="16"/>
        <v>646.125</v>
      </c>
      <c r="BW18" s="4">
        <f t="shared" si="16"/>
        <v>-1.25</v>
      </c>
      <c r="BX18" s="4">
        <f t="shared" si="16"/>
        <v>394456</v>
      </c>
      <c r="BY18" s="4">
        <f t="shared" si="16"/>
        <v>63056</v>
      </c>
      <c r="BZ18" s="4">
        <f t="shared" si="16"/>
        <v>24904</v>
      </c>
      <c r="CA18" s="4">
        <f t="shared" si="16"/>
        <v>306488</v>
      </c>
      <c r="CB18" s="4">
        <f t="shared" si="16"/>
        <v>-1.541537499998924E-2</v>
      </c>
      <c r="CC18" s="4">
        <f t="shared" si="16"/>
        <v>-2.0284250000003112E-2</v>
      </c>
      <c r="CD18" s="4">
        <f t="shared" si="16"/>
        <v>-0.15200362500009845</v>
      </c>
      <c r="CE18" s="4">
        <f t="shared" si="16"/>
        <v>-0.12704699999999747</v>
      </c>
      <c r="CF18" s="4">
        <f t="shared" si="16"/>
        <v>-0.1202469999999991</v>
      </c>
    </row>
    <row r="19" spans="1:84" ht="15.75" outlineLevel="1" thickBot="1">
      <c r="A19" s="15"/>
      <c r="B19" s="35" t="s">
        <v>277</v>
      </c>
      <c r="C19" s="36" t="s">
        <v>271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15.423697499999999</v>
      </c>
      <c r="J19" s="38">
        <f t="shared" si="1"/>
        <v>0.48462591800721333</v>
      </c>
      <c r="K19" s="38">
        <f t="shared" si="2"/>
        <v>0.17260777292894916</v>
      </c>
      <c r="L19" s="38">
        <f t="shared" si="3"/>
        <v>0.12336028006359662</v>
      </c>
      <c r="M19" s="38">
        <f t="shared" si="4"/>
        <v>0.31200377003249524</v>
      </c>
      <c r="N19" s="35">
        <f t="shared" si="5"/>
        <v>5859640</v>
      </c>
      <c r="O19" s="38">
        <f t="shared" si="6"/>
        <v>0.48839581023127987</v>
      </c>
      <c r="P19" s="39">
        <v>33685678</v>
      </c>
      <c r="Q19" s="39">
        <v>1052677.4375</v>
      </c>
      <c r="R19" s="39">
        <v>12625.5625</v>
      </c>
      <c r="S19" s="40">
        <v>16451944</v>
      </c>
      <c r="T19" s="40">
        <v>4187800</v>
      </c>
      <c r="U19" s="40">
        <v>1671840</v>
      </c>
      <c r="V19" s="40">
        <v>10591816</v>
      </c>
      <c r="W19" s="41">
        <v>71.745272</v>
      </c>
      <c r="X19" s="41">
        <v>75.257766000000004</v>
      </c>
      <c r="Y19" s="41">
        <v>38.793334000000002</v>
      </c>
      <c r="Z19" s="41">
        <v>48.008890999999998</v>
      </c>
      <c r="AA19" s="41">
        <v>48.491866000000002</v>
      </c>
      <c r="AB19" s="42">
        <v>5908.56</v>
      </c>
      <c r="AC19" s="42">
        <v>3808.11</v>
      </c>
      <c r="AD19" s="42">
        <v>12.71</v>
      </c>
      <c r="AE19" s="42">
        <v>17.312000000000001</v>
      </c>
      <c r="AG19" s="37">
        <f t="shared" si="7"/>
        <v>16.095667500000001</v>
      </c>
      <c r="AH19" s="38">
        <f t="shared" si="8"/>
        <v>0.50573979670739577</v>
      </c>
      <c r="AI19" s="38">
        <f t="shared" si="9"/>
        <v>0.17662595170609111</v>
      </c>
      <c r="AJ19" s="38">
        <f t="shared" si="10"/>
        <v>0.12636136543846629</v>
      </c>
      <c r="AK19" s="38">
        <f t="shared" si="11"/>
        <v>0.32909923429904775</v>
      </c>
      <c r="AL19" s="35">
        <f t="shared" si="12"/>
        <v>5996048</v>
      </c>
      <c r="AM19" s="38">
        <f t="shared" si="13"/>
        <v>0.50935424937742568</v>
      </c>
      <c r="AN19" s="39">
        <v>33706820</v>
      </c>
      <c r="AO19" s="39">
        <v>1053338.125</v>
      </c>
      <c r="AP19" s="39">
        <v>12616.40625</v>
      </c>
      <c r="AQ19" s="40">
        <v>17168712</v>
      </c>
      <c r="AR19" s="40">
        <v>4289680</v>
      </c>
      <c r="AS19" s="40">
        <v>1706368</v>
      </c>
      <c r="AT19" s="40">
        <v>11172168</v>
      </c>
      <c r="AU19" s="41">
        <v>71.735403125000005</v>
      </c>
      <c r="AV19" s="41">
        <v>75.234187499999905</v>
      </c>
      <c r="AW19" s="41">
        <v>38.729384374999903</v>
      </c>
      <c r="AX19" s="41">
        <v>47.878165625000001</v>
      </c>
      <c r="AY19" s="41">
        <v>48.345103124999902</v>
      </c>
      <c r="AZ19" s="42">
        <v>14094.4</v>
      </c>
      <c r="BA19" s="42">
        <v>6729.75</v>
      </c>
      <c r="BB19" s="42">
        <v>10.964</v>
      </c>
      <c r="BC19" s="42">
        <v>32.723999999999997</v>
      </c>
      <c r="BE19" s="43">
        <f t="shared" si="14"/>
        <v>-1.6215475480294006E-5</v>
      </c>
      <c r="BF19" s="43">
        <f t="shared" si="15"/>
        <v>-6.9242892743436868E-3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7"/>
        <v>21142</v>
      </c>
      <c r="BV19" s="4">
        <f t="shared" si="16"/>
        <v>660.6875</v>
      </c>
      <c r="BW19" s="4">
        <f t="shared" si="16"/>
        <v>-9.15625</v>
      </c>
      <c r="BX19" s="4">
        <f t="shared" si="16"/>
        <v>716768</v>
      </c>
      <c r="BY19" s="4">
        <f t="shared" si="16"/>
        <v>101880</v>
      </c>
      <c r="BZ19" s="4">
        <f t="shared" si="16"/>
        <v>34528</v>
      </c>
      <c r="CA19" s="4">
        <f t="shared" si="16"/>
        <v>580352</v>
      </c>
      <c r="CB19" s="4">
        <f t="shared" si="16"/>
        <v>-9.8688749999951142E-3</v>
      </c>
      <c r="CC19" s="4">
        <f t="shared" si="16"/>
        <v>-2.3578500000098757E-2</v>
      </c>
      <c r="CD19" s="4">
        <f t="shared" si="16"/>
        <v>-6.394962500009882E-2</v>
      </c>
      <c r="CE19" s="4">
        <f t="shared" si="16"/>
        <v>-0.13072537499999726</v>
      </c>
      <c r="CF19" s="4">
        <f t="shared" si="16"/>
        <v>-0.14676287500009977</v>
      </c>
    </row>
    <row r="20" spans="1:84">
      <c r="A20" s="25"/>
      <c r="B20" s="25" t="s">
        <v>280</v>
      </c>
      <c r="C20" s="26" t="s">
        <v>267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2.3232124999999999</v>
      </c>
      <c r="J20" s="28">
        <f t="shared" si="1"/>
        <v>4.6161827996665468E-2</v>
      </c>
      <c r="K20" s="28">
        <f t="shared" si="2"/>
        <v>3.4107301344507297E-2</v>
      </c>
      <c r="L20" s="28">
        <f t="shared" si="3"/>
        <v>1.95921451225026E-2</v>
      </c>
      <c r="M20" s="28">
        <f t="shared" si="4"/>
        <v>1.2039375909878915E-2</v>
      </c>
      <c r="N20" s="25">
        <f t="shared" si="5"/>
        <v>1098584</v>
      </c>
      <c r="O20" s="28">
        <f t="shared" si="6"/>
        <v>4.8358530719698943E-2</v>
      </c>
      <c r="P20" s="29">
        <v>30746509</v>
      </c>
      <c r="Q20" s="29">
        <v>960828.40625</v>
      </c>
      <c r="R20" s="29">
        <v>27897.34375</v>
      </c>
      <c r="S20" s="30">
        <v>1486856</v>
      </c>
      <c r="T20" s="30">
        <v>631056</v>
      </c>
      <c r="U20" s="30">
        <v>467528</v>
      </c>
      <c r="V20" s="30">
        <v>387784</v>
      </c>
      <c r="W20" s="31">
        <v>67.104578000000004</v>
      </c>
      <c r="X20" s="31">
        <v>68.763822000000005</v>
      </c>
      <c r="Y20" s="31">
        <v>29.990528000000001</v>
      </c>
      <c r="Z20" s="31">
        <v>39.266781000000002</v>
      </c>
      <c r="AA20" s="31">
        <v>37.903238000000002</v>
      </c>
      <c r="AB20" s="32">
        <v>6228.15</v>
      </c>
      <c r="AC20" s="32">
        <v>2032.27</v>
      </c>
      <c r="AD20" s="32">
        <v>9.7050000000000001</v>
      </c>
      <c r="AE20" s="32">
        <v>11.066000000000001</v>
      </c>
      <c r="AG20" s="27">
        <f t="shared" si="7"/>
        <v>2.2814000000000001</v>
      </c>
      <c r="AH20" s="28">
        <f t="shared" si="8"/>
        <v>4.5331020899548623E-2</v>
      </c>
      <c r="AI20" s="28">
        <f t="shared" si="9"/>
        <v>3.3407138352946043E-2</v>
      </c>
      <c r="AJ20" s="28">
        <f t="shared" si="10"/>
        <v>1.8911851956881359E-2</v>
      </c>
      <c r="AK20" s="28">
        <f t="shared" si="11"/>
        <v>1.190848343149907E-2</v>
      </c>
      <c r="AL20" s="25">
        <f t="shared" si="12"/>
        <v>1076032</v>
      </c>
      <c r="AM20" s="28">
        <f t="shared" si="13"/>
        <v>4.7371007332744457E-2</v>
      </c>
      <c r="AN20" s="29">
        <v>30822566</v>
      </c>
      <c r="AO20" s="29">
        <v>963205.1875</v>
      </c>
      <c r="AP20" s="29">
        <v>28309.5625</v>
      </c>
      <c r="AQ20" s="30">
        <v>1460096</v>
      </c>
      <c r="AR20" s="30">
        <v>609144</v>
      </c>
      <c r="AS20" s="30">
        <v>466888</v>
      </c>
      <c r="AT20" s="30">
        <v>383568</v>
      </c>
      <c r="AU20" s="31">
        <v>67.113971874999905</v>
      </c>
      <c r="AV20" s="31">
        <v>68.775153125000003</v>
      </c>
      <c r="AW20" s="31">
        <v>29.988003124999999</v>
      </c>
      <c r="AX20" s="31">
        <v>39.239681249999997</v>
      </c>
      <c r="AY20" s="31">
        <v>37.848484374999998</v>
      </c>
      <c r="AZ20" s="32">
        <v>11769.9</v>
      </c>
      <c r="BA20" s="32">
        <v>3782.82</v>
      </c>
      <c r="BB20" s="32">
        <v>8.1240000000000006</v>
      </c>
      <c r="BC20" s="32">
        <v>22.344000000000001</v>
      </c>
      <c r="BE20" s="33">
        <f t="shared" si="14"/>
        <v>3.5632041364615924E-4</v>
      </c>
      <c r="BF20" s="33">
        <f t="shared" si="15"/>
        <v>-1.903988537507284E-3</v>
      </c>
      <c r="BG20" s="33">
        <f t="array" ref="BG20">AVERAGE(AL20:AL24/AQ20:AQ24) - AVERAGE(N20:N24/S20:S24)</f>
        <v>-9.9968127544974861E-4</v>
      </c>
      <c r="BI20" s="34">
        <f>IF( OR(ISBLANK(N20:N24),ISBLANK(AL20:AL24), ISBLANK(W20:W24),ISBLANK(AU20:AU24)), "·", bdRateExtend( N20:N24,W20:W24, AL20:AL24,AU20:AU24))</f>
        <v>-2.1335339441483581E-2</v>
      </c>
      <c r="BJ20" s="34">
        <f>IF( OR(ISBLANK(N20:N24),ISBLANK(AL20:AL24), ISBLANK(X20:X24),ISBLANK(AV20:AV24)), "·", bdRateExtend( N20:N24,X20:X24, AL20:AL24,AV20:AV24))</f>
        <v>-2.0179492403803234E-2</v>
      </c>
      <c r="BK20" s="34">
        <f>IF( OR(ISBLANK(V20:V24),ISBLANK(AT20:AT24), ISBLANK(Y20:Y24),ISBLANK(AW20:AW24)), "·", bdRateExtend( V20:V24,Y20:Y24, AT20:AT24,AW20:AW24))</f>
        <v>-1.7062201551109046E-3</v>
      </c>
      <c r="BL20" s="34">
        <f>IF( OR(ISBLANK(V20:V24),ISBLANK(AT20:AT24), ISBLANK(Z20:Z24),ISBLANK(AX20:AX24)), "·", bdRateExtend( V20:V24,Z20:Z24, AT20:AT24,AX20:AX24))</f>
        <v>-1.3955259110827511E-2</v>
      </c>
      <c r="BM20" s="34">
        <f>IF( OR(ISBLANK(V20:V24),ISBLANK(AT20:AT24), ISBLANK(AA20:AA24),ISBLANK(AY20:AY24)), "·", bdRateExtend( V20:V24,AA20:AA24, AT20:AT24,AY20:AY24))</f>
        <v>-9.1609080777805829E-3</v>
      </c>
      <c r="BO20" s="34">
        <f>IF( OR(ISBLANK(S20:S24),ISBLANK(AQ20:AQ24), ISBLANK(W20:W24),ISBLANK(AU20:AU24)), "·", bdRateExtend( S20:S24,W20:W24, AQ20:AQ24,AU20:AU24))</f>
        <v>-2.3805099525975204E-2</v>
      </c>
      <c r="BP20" s="34">
        <f>IF( OR(ISBLANK(S20:S24),ISBLANK(AQ20:AQ24), ISBLANK(X20:X24),ISBLANK(AV20:AV24)), "·", bdRateExtend( S20:S24,X20:X24, AQ20:AQ24,AV20:AV24))</f>
        <v>-2.2187241346304676E-2</v>
      </c>
      <c r="BQ20" s="34">
        <f>IF( OR(ISBLANK(S20:S24),ISBLANK(AQ20:AQ24), ISBLANK(Y20:Y24),ISBLANK(AW20:AW24)), "·", bdRateExtend( S20:S24,Y20:Y24, AQ20:AQ24,AW20:AW24))</f>
        <v>-7.7385503536766542E-3</v>
      </c>
      <c r="BR20" s="34">
        <f>IF( OR(ISBLANK(S20:S24),ISBLANK(AQ20:AQ24), ISBLANK(Z20:Z24),ISBLANK(AX20:AX24)), "·", bdRateExtend( S20:S24,Z20:Z24, AQ20:AQ24,AX20:AX24))</f>
        <v>-1.6846858696666578E-2</v>
      </c>
      <c r="BS20" s="34">
        <f>IF( OR(ISBLANK(S20:S24),ISBLANK(AQ20:AQ24), ISBLANK(AA20:AA24),ISBLANK(AY20:AY24)), "·", bdRateExtend( S20:S24,AA20:AA24, AQ20:AQ24,AY20:AY24))</f>
        <v>-1.4305174566228707E-2</v>
      </c>
      <c r="BU20" s="4">
        <f t="shared" si="17"/>
        <v>76057</v>
      </c>
      <c r="BV20" s="4">
        <f t="shared" si="16"/>
        <v>2376.78125</v>
      </c>
      <c r="BW20" s="4">
        <f t="shared" si="16"/>
        <v>412.21875</v>
      </c>
      <c r="BX20" s="4">
        <f t="shared" si="16"/>
        <v>-26760</v>
      </c>
      <c r="BY20" s="4">
        <f t="shared" si="16"/>
        <v>-21912</v>
      </c>
      <c r="BZ20" s="4">
        <f t="shared" si="16"/>
        <v>-640</v>
      </c>
      <c r="CA20" s="4">
        <f t="shared" si="16"/>
        <v>-4216</v>
      </c>
      <c r="CB20" s="4">
        <f t="shared" si="16"/>
        <v>9.3938749999011861E-3</v>
      </c>
      <c r="CC20" s="4">
        <f t="shared" si="16"/>
        <v>1.133112499999811E-2</v>
      </c>
      <c r="CD20" s="4">
        <f t="shared" si="16"/>
        <v>-2.5248750000024245E-3</v>
      </c>
      <c r="CE20" s="4">
        <f t="shared" si="16"/>
        <v>-2.7099750000004974E-2</v>
      </c>
      <c r="CF20" s="4">
        <f t="shared" si="16"/>
        <v>-5.4753625000003581E-2</v>
      </c>
    </row>
    <row r="21" spans="1:84" outlineLevel="1">
      <c r="A21" s="15"/>
      <c r="B21" s="15" t="s">
        <v>280</v>
      </c>
      <c r="C21" s="16" t="s">
        <v>268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3.2121</v>
      </c>
      <c r="J21" s="18">
        <f t="shared" si="1"/>
        <v>6.3823867901919934E-2</v>
      </c>
      <c r="K21" s="18">
        <f t="shared" si="2"/>
        <v>4.0102276203433859E-2</v>
      </c>
      <c r="L21" s="18">
        <f t="shared" si="3"/>
        <v>2.5587119981429166E-2</v>
      </c>
      <c r="M21" s="18">
        <f t="shared" si="4"/>
        <v>2.370644095620681E-2</v>
      </c>
      <c r="N21" s="15">
        <f t="shared" si="5"/>
        <v>1291680</v>
      </c>
      <c r="O21" s="18">
        <f t="shared" si="6"/>
        <v>6.4950375177778769E-2</v>
      </c>
      <c r="P21" s="19">
        <v>31650995</v>
      </c>
      <c r="Q21" s="19">
        <v>989093.59375</v>
      </c>
      <c r="R21" s="19">
        <v>32759.5625</v>
      </c>
      <c r="S21" s="20">
        <v>2055744</v>
      </c>
      <c r="T21" s="20">
        <v>824152</v>
      </c>
      <c r="U21" s="20">
        <v>467528</v>
      </c>
      <c r="V21" s="20">
        <v>763576</v>
      </c>
      <c r="W21" s="21">
        <v>68.748880999999997</v>
      </c>
      <c r="X21" s="21">
        <v>70.841509000000002</v>
      </c>
      <c r="Y21" s="21">
        <v>31.526053000000001</v>
      </c>
      <c r="Z21" s="21">
        <v>40.445506000000002</v>
      </c>
      <c r="AA21" s="21">
        <v>39.265072000000004</v>
      </c>
      <c r="AB21" s="22">
        <v>5743.22</v>
      </c>
      <c r="AC21" s="22">
        <v>2140.63</v>
      </c>
      <c r="AD21" s="22">
        <v>9.3460000000000001</v>
      </c>
      <c r="AE21" s="22">
        <v>11.182</v>
      </c>
      <c r="AG21" s="17">
        <f t="shared" si="7"/>
        <v>3.1499874999999999</v>
      </c>
      <c r="AH21" s="18">
        <f t="shared" si="8"/>
        <v>6.2589703338220795E-2</v>
      </c>
      <c r="AI21" s="18">
        <f t="shared" si="9"/>
        <v>3.9233964809855235E-2</v>
      </c>
      <c r="AJ21" s="18">
        <f t="shared" si="10"/>
        <v>2.4738678413790554E-2</v>
      </c>
      <c r="AK21" s="18">
        <f t="shared" si="11"/>
        <v>2.3340339413262048E-2</v>
      </c>
      <c r="AL21" s="15">
        <f t="shared" si="12"/>
        <v>1263712</v>
      </c>
      <c r="AM21" s="18">
        <f t="shared" si="13"/>
        <v>6.3722538827283168E-2</v>
      </c>
      <c r="AN21" s="19">
        <v>31637032</v>
      </c>
      <c r="AO21" s="19">
        <v>988657.25</v>
      </c>
      <c r="AP21" s="19">
        <v>32478.53125</v>
      </c>
      <c r="AQ21" s="20">
        <v>2015992</v>
      </c>
      <c r="AR21" s="20">
        <v>796824</v>
      </c>
      <c r="AS21" s="20">
        <v>466888</v>
      </c>
      <c r="AT21" s="20">
        <v>751784</v>
      </c>
      <c r="AU21" s="21">
        <v>68.783915624999906</v>
      </c>
      <c r="AV21" s="21">
        <v>70.893403124999907</v>
      </c>
      <c r="AW21" s="21">
        <v>31.480371874999999</v>
      </c>
      <c r="AX21" s="21">
        <v>40.419753125</v>
      </c>
      <c r="AY21" s="21">
        <v>39.229621874999999</v>
      </c>
      <c r="AZ21" s="22">
        <v>15879.1</v>
      </c>
      <c r="BA21" s="22">
        <v>3966.2</v>
      </c>
      <c r="BB21" s="22">
        <v>6.7480000000000002</v>
      </c>
      <c r="BC21" s="22">
        <v>18.596</v>
      </c>
      <c r="BE21" s="23">
        <f t="shared" si="14"/>
        <v>-2.6963763196889007E-4</v>
      </c>
      <c r="BF21" s="23">
        <f t="shared" si="15"/>
        <v>-1.4835052220288913E-3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7"/>
        <v>-13963</v>
      </c>
      <c r="BV21" s="4">
        <f t="shared" ref="BV21:BV29" si="18">AO21-Q21</f>
        <v>-436.34375</v>
      </c>
      <c r="BW21" s="4">
        <f t="shared" ref="BW21:BW29" si="19">AP21-R21</f>
        <v>-281.03125</v>
      </c>
      <c r="BX21" s="4">
        <f t="shared" ref="BX21:BX29" si="20">AQ21-S21</f>
        <v>-39752</v>
      </c>
      <c r="BY21" s="4">
        <f t="shared" ref="BY21:BY29" si="21">AR21-T21</f>
        <v>-27328</v>
      </c>
      <c r="BZ21" s="4">
        <f t="shared" ref="BZ21:BZ29" si="22">AS21-U21</f>
        <v>-640</v>
      </c>
      <c r="CA21" s="4">
        <f t="shared" ref="CA21:CA29" si="23">AT21-V21</f>
        <v>-11792</v>
      </c>
      <c r="CB21" s="4">
        <f t="shared" ref="CB21:CB29" si="24">AU21-W21</f>
        <v>3.503462499990917E-2</v>
      </c>
      <c r="CC21" s="4">
        <f t="shared" ref="CC21:CC29" si="25">AV21-X21</f>
        <v>5.1894124999904534E-2</v>
      </c>
      <c r="CD21" s="4">
        <f t="shared" ref="CD21:CD29" si="26">AW21-Y21</f>
        <v>-4.5681125000001543E-2</v>
      </c>
      <c r="CE21" s="4">
        <f t="shared" ref="CE21:CE29" si="27">AX21-Z21</f>
        <v>-2.5752875000002007E-2</v>
      </c>
      <c r="CF21" s="4">
        <f t="shared" ref="CF21:CF29" si="28">AY21-AA21</f>
        <v>-3.5450125000004107E-2</v>
      </c>
    </row>
    <row r="22" spans="1:84" outlineLevel="1">
      <c r="A22" s="25"/>
      <c r="B22" s="25" t="s">
        <v>280</v>
      </c>
      <c r="C22" s="26" t="s">
        <v>269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5.2567374999999998</v>
      </c>
      <c r="J22" s="28">
        <f t="shared" si="1"/>
        <v>0.10445045913734592</v>
      </c>
      <c r="K22" s="28">
        <f t="shared" si="2"/>
        <v>4.7126011300404662E-2</v>
      </c>
      <c r="L22" s="28">
        <f t="shared" si="3"/>
        <v>3.2610855078399968E-2</v>
      </c>
      <c r="M22" s="28">
        <f t="shared" si="4"/>
        <v>5.7309297094661996E-2</v>
      </c>
      <c r="N22" s="25">
        <f t="shared" si="5"/>
        <v>1517912</v>
      </c>
      <c r="O22" s="28">
        <f t="shared" si="6"/>
        <v>0.10307731077117749</v>
      </c>
      <c r="P22" s="29">
        <v>32638725</v>
      </c>
      <c r="Q22" s="29">
        <v>1019960.15625</v>
      </c>
      <c r="R22" s="29">
        <v>34460.15625</v>
      </c>
      <c r="S22" s="30">
        <v>3364312</v>
      </c>
      <c r="T22" s="30">
        <v>1050384</v>
      </c>
      <c r="U22" s="30">
        <v>467528</v>
      </c>
      <c r="V22" s="30">
        <v>1845912</v>
      </c>
      <c r="W22" s="31">
        <v>69.974113000000003</v>
      </c>
      <c r="X22" s="31">
        <v>72.414703000000003</v>
      </c>
      <c r="Y22" s="31">
        <v>33.529249999999998</v>
      </c>
      <c r="Z22" s="31">
        <v>41.575628000000002</v>
      </c>
      <c r="AA22" s="31">
        <v>40.509050000000002</v>
      </c>
      <c r="AB22" s="32">
        <v>5757.84</v>
      </c>
      <c r="AC22" s="32">
        <v>2184.14</v>
      </c>
      <c r="AD22" s="32">
        <v>9.41</v>
      </c>
      <c r="AE22" s="32">
        <v>12.339</v>
      </c>
      <c r="AG22" s="27">
        <f t="shared" si="7"/>
        <v>5.1909875000000003</v>
      </c>
      <c r="AH22" s="28">
        <f t="shared" si="8"/>
        <v>0.10314401808178998</v>
      </c>
      <c r="AI22" s="28">
        <f t="shared" si="9"/>
        <v>4.6466581452020442E-2</v>
      </c>
      <c r="AJ22" s="28">
        <f t="shared" si="10"/>
        <v>3.1971295055955758E-2</v>
      </c>
      <c r="AK22" s="28">
        <f t="shared" si="11"/>
        <v>5.666203751466603E-2</v>
      </c>
      <c r="AL22" s="25">
        <f t="shared" si="12"/>
        <v>1496672</v>
      </c>
      <c r="AM22" s="28">
        <f t="shared" si="13"/>
        <v>0.10143867367295756</v>
      </c>
      <c r="AN22" s="29">
        <v>32751138</v>
      </c>
      <c r="AO22" s="29">
        <v>1023473.0625</v>
      </c>
      <c r="AP22" s="29">
        <v>34672.15625</v>
      </c>
      <c r="AQ22" s="30">
        <v>3322232</v>
      </c>
      <c r="AR22" s="30">
        <v>1029784</v>
      </c>
      <c r="AS22" s="30">
        <v>466888</v>
      </c>
      <c r="AT22" s="30">
        <v>1825064</v>
      </c>
      <c r="AU22" s="31">
        <v>69.989340624999997</v>
      </c>
      <c r="AV22" s="31">
        <v>72.432006250000001</v>
      </c>
      <c r="AW22" s="31">
        <v>33.50636875</v>
      </c>
      <c r="AX22" s="31">
        <v>41.618684375000001</v>
      </c>
      <c r="AY22" s="31">
        <v>40.550174999999903</v>
      </c>
      <c r="AZ22" s="32">
        <v>17443</v>
      </c>
      <c r="BA22" s="32">
        <v>4109.84</v>
      </c>
      <c r="BB22" s="32">
        <v>8.5760000000000005</v>
      </c>
      <c r="BC22" s="32">
        <v>22.015999999999998</v>
      </c>
      <c r="BE22" s="33">
        <f t="shared" si="14"/>
        <v>9.1173575805861273E-5</v>
      </c>
      <c r="BF22" s="33">
        <f t="shared" si="15"/>
        <v>-6.785571232592047E-4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7"/>
        <v>112413</v>
      </c>
      <c r="BV22" s="4">
        <f t="shared" si="18"/>
        <v>3512.90625</v>
      </c>
      <c r="BW22" s="4">
        <f t="shared" si="19"/>
        <v>212</v>
      </c>
      <c r="BX22" s="4">
        <f t="shared" si="20"/>
        <v>-42080</v>
      </c>
      <c r="BY22" s="4">
        <f t="shared" si="21"/>
        <v>-20600</v>
      </c>
      <c r="BZ22" s="4">
        <f t="shared" si="22"/>
        <v>-640</v>
      </c>
      <c r="CA22" s="4">
        <f t="shared" si="23"/>
        <v>-20848</v>
      </c>
      <c r="CB22" s="4">
        <f t="shared" si="24"/>
        <v>1.5227624999994305E-2</v>
      </c>
      <c r="CC22" s="4">
        <f t="shared" si="25"/>
        <v>1.7303249999997661E-2</v>
      </c>
      <c r="CD22" s="4">
        <f t="shared" si="26"/>
        <v>-2.2881249999997522E-2</v>
      </c>
      <c r="CE22" s="4">
        <f t="shared" si="27"/>
        <v>4.3056374999999036E-2</v>
      </c>
      <c r="CF22" s="4">
        <f t="shared" si="28"/>
        <v>4.112499999990149E-2</v>
      </c>
    </row>
    <row r="23" spans="1:84" outlineLevel="1">
      <c r="A23" s="15"/>
      <c r="B23" s="15" t="s">
        <v>280</v>
      </c>
      <c r="C23" s="16" t="s">
        <v>270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9.8003625000000003</v>
      </c>
      <c r="J23" s="18">
        <f t="shared" si="1"/>
        <v>0.19473149702404338</v>
      </c>
      <c r="K23" s="18">
        <f t="shared" si="2"/>
        <v>6.7322944249956454E-2</v>
      </c>
      <c r="L23" s="18">
        <f t="shared" si="3"/>
        <v>5.2807788027951753E-2</v>
      </c>
      <c r="M23" s="18">
        <f t="shared" si="4"/>
        <v>0.12739340203180768</v>
      </c>
      <c r="N23" s="15">
        <f t="shared" si="5"/>
        <v>2168448</v>
      </c>
      <c r="O23" s="18">
        <f t="shared" si="6"/>
        <v>0.19008780295145858</v>
      </c>
      <c r="P23" s="19">
        <v>32996499</v>
      </c>
      <c r="Q23" s="19">
        <v>1031140.59375</v>
      </c>
      <c r="R23" s="19">
        <v>36623.59375</v>
      </c>
      <c r="S23" s="20">
        <v>6272232</v>
      </c>
      <c r="T23" s="20">
        <v>1700920</v>
      </c>
      <c r="U23" s="20">
        <v>467528</v>
      </c>
      <c r="V23" s="20">
        <v>4103296</v>
      </c>
      <c r="W23" s="21">
        <v>70.902777999999998</v>
      </c>
      <c r="X23" s="21">
        <v>73.636581000000007</v>
      </c>
      <c r="Y23" s="21">
        <v>35.444974999999999</v>
      </c>
      <c r="Z23" s="21">
        <v>42.725518999999998</v>
      </c>
      <c r="AA23" s="21">
        <v>41.560178000000001</v>
      </c>
      <c r="AB23" s="22">
        <v>8155.94</v>
      </c>
      <c r="AC23" s="22">
        <v>3017.73</v>
      </c>
      <c r="AD23" s="22">
        <v>10.548999999999999</v>
      </c>
      <c r="AE23" s="22">
        <v>14.542</v>
      </c>
      <c r="AG23" s="17">
        <f t="shared" si="7"/>
        <v>9.6934000000000005</v>
      </c>
      <c r="AH23" s="18">
        <f t="shared" si="8"/>
        <v>0.19260617076693462</v>
      </c>
      <c r="AI23" s="18">
        <f t="shared" si="9"/>
        <v>6.651001999618561E-2</v>
      </c>
      <c r="AJ23" s="18">
        <f t="shared" si="10"/>
        <v>5.2014733600120933E-2</v>
      </c>
      <c r="AK23" s="18">
        <f t="shared" si="11"/>
        <v>0.12608075165564547</v>
      </c>
      <c r="AL23" s="15">
        <f t="shared" si="12"/>
        <v>2142264</v>
      </c>
      <c r="AM23" s="18">
        <f t="shared" si="13"/>
        <v>0.18781160399141314</v>
      </c>
      <c r="AN23" s="19">
        <v>33031910</v>
      </c>
      <c r="AO23" s="19">
        <v>1032247.1875</v>
      </c>
      <c r="AP23" s="19">
        <v>36730.3125</v>
      </c>
      <c r="AQ23" s="20">
        <v>6203776</v>
      </c>
      <c r="AR23" s="20">
        <v>1675376</v>
      </c>
      <c r="AS23" s="20">
        <v>466888</v>
      </c>
      <c r="AT23" s="20">
        <v>4061016</v>
      </c>
      <c r="AU23" s="21">
        <v>70.930153124999904</v>
      </c>
      <c r="AV23" s="21">
        <v>73.661109374999995</v>
      </c>
      <c r="AW23" s="21">
        <v>35.436653124999999</v>
      </c>
      <c r="AX23" s="21">
        <v>42.731731249999903</v>
      </c>
      <c r="AY23" s="21">
        <v>41.553796874999897</v>
      </c>
      <c r="AZ23" s="22">
        <v>17551</v>
      </c>
      <c r="BA23" s="22">
        <v>4406.8999999999996</v>
      </c>
      <c r="BB23" s="22">
        <v>8.3680000000000003</v>
      </c>
      <c r="BC23" s="22">
        <v>23.655999999999999</v>
      </c>
      <c r="BE23" s="23">
        <f t="shared" si="14"/>
        <v>6.5309206327954228E-5</v>
      </c>
      <c r="BF23" s="23">
        <f t="shared" si="15"/>
        <v>-4.057627521941165E-4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7"/>
        <v>35411</v>
      </c>
      <c r="BV23" s="4">
        <f t="shared" si="18"/>
        <v>1106.59375</v>
      </c>
      <c r="BW23" s="4">
        <f t="shared" si="19"/>
        <v>106.71875</v>
      </c>
      <c r="BX23" s="4">
        <f t="shared" si="20"/>
        <v>-68456</v>
      </c>
      <c r="BY23" s="4">
        <f t="shared" si="21"/>
        <v>-25544</v>
      </c>
      <c r="BZ23" s="4">
        <f t="shared" si="22"/>
        <v>-640</v>
      </c>
      <c r="CA23" s="4">
        <f t="shared" si="23"/>
        <v>-42280</v>
      </c>
      <c r="CB23" s="4">
        <f t="shared" si="24"/>
        <v>2.7375124999906575E-2</v>
      </c>
      <c r="CC23" s="4">
        <f t="shared" si="25"/>
        <v>2.45283749999885E-2</v>
      </c>
      <c r="CD23" s="4">
        <f t="shared" si="26"/>
        <v>-8.3218750000000341E-3</v>
      </c>
      <c r="CE23" s="4">
        <f t="shared" si="27"/>
        <v>6.2122499999048841E-3</v>
      </c>
      <c r="CF23" s="4">
        <f t="shared" si="28"/>
        <v>-6.3811250001037934E-3</v>
      </c>
    </row>
    <row r="24" spans="1:84" ht="15.75" outlineLevel="1" thickBot="1">
      <c r="A24" s="45"/>
      <c r="B24" s="45" t="s">
        <v>280</v>
      </c>
      <c r="C24" s="46" t="s">
        <v>271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18.168624999999999</v>
      </c>
      <c r="J24" s="48">
        <f t="shared" si="1"/>
        <v>0.36100741631939232</v>
      </c>
      <c r="K24" s="48">
        <f t="shared" si="2"/>
        <v>0.11549386002198161</v>
      </c>
      <c r="L24" s="48">
        <f t="shared" si="3"/>
        <v>8.4312638919965682E-2</v>
      </c>
      <c r="M24" s="48">
        <f t="shared" si="4"/>
        <v>0.24549840555513142</v>
      </c>
      <c r="N24" s="45">
        <f t="shared" si="5"/>
        <v>3720016</v>
      </c>
      <c r="O24" s="48">
        <f t="shared" si="6"/>
        <v>0.36875530180567978</v>
      </c>
      <c r="P24" s="49">
        <v>31532889</v>
      </c>
      <c r="Q24" s="49">
        <v>985402.78125</v>
      </c>
      <c r="R24" s="49">
        <v>10339.09375</v>
      </c>
      <c r="S24" s="50">
        <v>11627920</v>
      </c>
      <c r="T24" s="50">
        <v>2715680</v>
      </c>
      <c r="U24" s="50">
        <v>1004336</v>
      </c>
      <c r="V24" s="50">
        <v>7907416</v>
      </c>
      <c r="W24" s="51">
        <v>72.234330999999997</v>
      </c>
      <c r="X24" s="51">
        <v>76.134383999999997</v>
      </c>
      <c r="Y24" s="51">
        <v>37.166030999999997</v>
      </c>
      <c r="Z24" s="51">
        <v>43.855933999999998</v>
      </c>
      <c r="AA24" s="51">
        <v>42.536441000000003</v>
      </c>
      <c r="AB24" s="52">
        <v>5841.01</v>
      </c>
      <c r="AC24" s="52">
        <v>2660.02</v>
      </c>
      <c r="AD24" s="52">
        <v>9.6379999999999999</v>
      </c>
      <c r="AE24" s="52">
        <v>12.448</v>
      </c>
      <c r="AG24" s="47">
        <f t="shared" si="7"/>
        <v>17.9895125</v>
      </c>
      <c r="AH24" s="48">
        <f t="shared" si="8"/>
        <v>0.35744848212071151</v>
      </c>
      <c r="AI24" s="48">
        <f t="shared" si="9"/>
        <v>0.11416705239483717</v>
      </c>
      <c r="AJ24" s="48">
        <f t="shared" si="10"/>
        <v>8.3316167149073958E-2</v>
      </c>
      <c r="AK24" s="48">
        <f t="shared" si="11"/>
        <v>0.24326603061077082</v>
      </c>
      <c r="AL24" s="45">
        <f t="shared" si="12"/>
        <v>3677280</v>
      </c>
      <c r="AM24" s="48">
        <f t="shared" si="13"/>
        <v>0.36543012728920948</v>
      </c>
      <c r="AN24" s="49">
        <v>31506127</v>
      </c>
      <c r="AO24" s="49">
        <v>984566.46875</v>
      </c>
      <c r="AP24" s="49">
        <v>10261.90625</v>
      </c>
      <c r="AQ24" s="50">
        <v>11513288</v>
      </c>
      <c r="AR24" s="50">
        <v>2683584</v>
      </c>
      <c r="AS24" s="50">
        <v>993696</v>
      </c>
      <c r="AT24" s="50">
        <v>7835512</v>
      </c>
      <c r="AU24" s="51">
        <v>72.224087499999996</v>
      </c>
      <c r="AV24" s="51">
        <v>76.138696874999994</v>
      </c>
      <c r="AW24" s="51">
        <v>37.136643749999998</v>
      </c>
      <c r="AX24" s="51">
        <v>43.851946874999904</v>
      </c>
      <c r="AY24" s="51">
        <v>42.547012500000001</v>
      </c>
      <c r="AZ24" s="52">
        <v>17489.099999999999</v>
      </c>
      <c r="BA24" s="52">
        <v>4855.0200000000004</v>
      </c>
      <c r="BB24" s="52">
        <v>8.8759999999999994</v>
      </c>
      <c r="BC24" s="52">
        <v>25.315999999999999</v>
      </c>
      <c r="BE24" s="53">
        <f t="shared" si="14"/>
        <v>-6.9485099421381924E-5</v>
      </c>
      <c r="BF24" s="53">
        <f t="shared" si="15"/>
        <v>-5.2659274225891339E-4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7"/>
        <v>-26762</v>
      </c>
      <c r="BV24" s="4">
        <f t="shared" si="18"/>
        <v>-836.3125</v>
      </c>
      <c r="BW24" s="4">
        <f t="shared" si="19"/>
        <v>-77.1875</v>
      </c>
      <c r="BX24" s="4">
        <f t="shared" si="20"/>
        <v>-114632</v>
      </c>
      <c r="BY24" s="4">
        <f t="shared" si="21"/>
        <v>-32096</v>
      </c>
      <c r="BZ24" s="4">
        <f t="shared" si="22"/>
        <v>-10640</v>
      </c>
      <c r="CA24" s="4">
        <f t="shared" si="23"/>
        <v>-71904</v>
      </c>
      <c r="CB24" s="4">
        <f t="shared" si="24"/>
        <v>-1.0243500000001404E-2</v>
      </c>
      <c r="CC24" s="4">
        <f t="shared" si="25"/>
        <v>4.3128749999965521E-3</v>
      </c>
      <c r="CD24" s="4">
        <f t="shared" si="26"/>
        <v>-2.9387249999999199E-2</v>
      </c>
      <c r="CE24" s="4">
        <f t="shared" si="27"/>
        <v>-3.9871250000942382E-3</v>
      </c>
      <c r="CF24" s="4">
        <f t="shared" si="28"/>
        <v>1.0571499999997513E-2</v>
      </c>
    </row>
    <row r="25" spans="1:84">
      <c r="A25" s="15" t="s">
        <v>284</v>
      </c>
      <c r="B25" s="15" t="s">
        <v>283</v>
      </c>
      <c r="C25" s="16" t="s">
        <v>267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2.3196150000000002</v>
      </c>
      <c r="J25" s="18">
        <f t="shared" si="1"/>
        <v>9.7748740459619649E-2</v>
      </c>
      <c r="K25" s="18">
        <f t="shared" si="2"/>
        <v>6.1883642204250182E-2</v>
      </c>
      <c r="L25" s="18">
        <f t="shared" si="3"/>
        <v>3.6478868387393247E-2</v>
      </c>
      <c r="M25" s="18">
        <f t="shared" si="4"/>
        <v>3.5845819172952646E-2</v>
      </c>
      <c r="N25" s="15">
        <f t="shared" si="5"/>
        <v>1566424</v>
      </c>
      <c r="O25" s="18">
        <f t="shared" si="6"/>
        <v>0.10581142249978383</v>
      </c>
      <c r="P25" s="19">
        <v>23383638</v>
      </c>
      <c r="Q25" s="19">
        <v>730738.6875</v>
      </c>
      <c r="R25" s="19">
        <v>18884.53125</v>
      </c>
      <c r="S25" s="20">
        <v>2474256</v>
      </c>
      <c r="T25" s="20">
        <v>923368</v>
      </c>
      <c r="U25" s="20">
        <v>643056</v>
      </c>
      <c r="V25" s="20">
        <v>907344</v>
      </c>
      <c r="W25" s="21">
        <v>66.264322000000007</v>
      </c>
      <c r="X25" s="21">
        <v>68.003972000000005</v>
      </c>
      <c r="Y25" s="21">
        <v>25.874806</v>
      </c>
      <c r="Z25" s="21">
        <v>32.388821999999998</v>
      </c>
      <c r="AA25" s="21">
        <v>31.586831</v>
      </c>
      <c r="AB25" s="22">
        <v>6374.37</v>
      </c>
      <c r="AC25" s="22">
        <v>3624.97</v>
      </c>
      <c r="AD25" s="22">
        <v>9.5169999999999995</v>
      </c>
      <c r="AE25" s="22">
        <v>17.707999999999998</v>
      </c>
      <c r="AG25" s="17">
        <f t="shared" si="7"/>
        <v>2.3260424999999998</v>
      </c>
      <c r="AH25" s="18">
        <f t="shared" si="8"/>
        <v>9.8019595765049303E-2</v>
      </c>
      <c r="AI25" s="18">
        <f t="shared" si="9"/>
        <v>6.1916827510049614E-2</v>
      </c>
      <c r="AJ25" s="18">
        <f t="shared" si="10"/>
        <v>3.651205369319268E-2</v>
      </c>
      <c r="AK25" s="18">
        <f t="shared" si="11"/>
        <v>3.6083173122051448E-2</v>
      </c>
      <c r="AL25" s="15">
        <f t="shared" si="12"/>
        <v>1567264</v>
      </c>
      <c r="AM25" s="18">
        <f t="shared" si="13"/>
        <v>0.10627759087587457</v>
      </c>
      <c r="AN25" s="19">
        <v>23345580</v>
      </c>
      <c r="AO25" s="19">
        <v>729549.375</v>
      </c>
      <c r="AP25" s="19">
        <v>18466.5625</v>
      </c>
      <c r="AQ25" s="20">
        <v>2481112</v>
      </c>
      <c r="AR25" s="20">
        <v>924208</v>
      </c>
      <c r="AS25" s="20">
        <v>643056</v>
      </c>
      <c r="AT25" s="20">
        <v>913352</v>
      </c>
      <c r="AU25" s="21">
        <v>66.242271875</v>
      </c>
      <c r="AV25" s="21">
        <v>67.991325000000003</v>
      </c>
      <c r="AW25" s="21">
        <v>25.910715624999899</v>
      </c>
      <c r="AX25" s="21">
        <v>32.410446874999998</v>
      </c>
      <c r="AY25" s="21">
        <v>31.607221875</v>
      </c>
      <c r="AZ25" s="22">
        <v>11559</v>
      </c>
      <c r="BA25" s="22">
        <v>5533.95</v>
      </c>
      <c r="BB25" s="22">
        <v>7.1479999999999997</v>
      </c>
      <c r="BC25" s="22">
        <v>28.428000000000001</v>
      </c>
      <c r="BE25" s="23">
        <f t="shared" si="14"/>
        <v>-5.307841754913778E-4</v>
      </c>
      <c r="BF25" s="23">
        <f t="shared" si="15"/>
        <v>-1.410842183854788E-3</v>
      </c>
      <c r="BG25" s="23">
        <f t="array" ref="BG25">AVERAGE(AL25:AL29/AQ25:AQ29) - AVERAGE(N25:N29/S25:S29)</f>
        <v>-4.9437108315880662E-4</v>
      </c>
      <c r="BI25" s="24">
        <f>IF( OR(ISBLANK(N25:N29),ISBLANK(AL25:AL29), ISBLANK(W25:W29),ISBLANK(AU25:AU29)), "·", bdRateExtend( N25:N29,W25:W29, AL25:AL29,AU25:AU29))</f>
        <v>1.463030801413634E-3</v>
      </c>
      <c r="BJ25" s="24">
        <f>IF( OR(ISBLANK(N25:N29),ISBLANK(AL25:AL29), ISBLANK(X25:X29),ISBLANK(AV25:AV29)), "·", bdRateExtend( N25:N29,X25:X29, AL25:AL29,AV25:AV29))</f>
        <v>1.1263888051944448E-3</v>
      </c>
      <c r="BK25" s="24">
        <f>IF( OR(ISBLANK(V25:V29),ISBLANK(AT25:AT29), ISBLANK(Y25:Y29),ISBLANK(AW25:AW29)), "·", bdRateExtend( V25:V29,Y25:Y29, AT25:AT29,AW25:AW29))</f>
        <v>-1.2628601482630453E-3</v>
      </c>
      <c r="BL25" s="24">
        <f>IF( OR(ISBLANK(V25:V29),ISBLANK(AT25:AT29), ISBLANK(Z25:Z29),ISBLANK(AX25:AX29)), "·", bdRateExtend( V25:V29,Z25:Z29, AT25:AT29,AX25:AX29))</f>
        <v>-2.966193530847927E-3</v>
      </c>
      <c r="BM25" s="24">
        <f>IF( OR(ISBLANK(V25:V29),ISBLANK(AT25:AT29), ISBLANK(AA25:AA29),ISBLANK(AY25:AY29)), "·", bdRateExtend( V25:V29,AA25:AA29, AT25:AT29,AY25:AY29))</f>
        <v>-2.5417371987708215E-3</v>
      </c>
      <c r="BO25" s="24">
        <f>IF( OR(ISBLANK(S25:S29),ISBLANK(AQ25:AQ29), ISBLANK(W25:W29),ISBLANK(AU25:AU29)), "·", bdRateExtend( S25:S29,W25:W29, AQ25:AQ29,AU25:AU29))</f>
        <v>4.4422315514742738E-3</v>
      </c>
      <c r="BP25" s="24">
        <f>IF( OR(ISBLANK(S25:S29),ISBLANK(AQ25:AQ29), ISBLANK(X25:X29),ISBLANK(AV25:AV29)), "·", bdRateExtend( S25:S29,X25:X29, AQ25:AQ29,AV25:AV29))</f>
        <v>3.2636030569859198E-3</v>
      </c>
      <c r="BQ25" s="24">
        <f>IF( OR(ISBLANK(S25:S29),ISBLANK(AQ25:AQ29), ISBLANK(Y25:Y29),ISBLANK(AW25:AW29)), "·", bdRateExtend( S25:S29,Y25:Y29, AQ25:AQ29,AW25:AW29))</f>
        <v>-1.0381746688915561E-3</v>
      </c>
      <c r="BR25" s="24">
        <f>IF( OR(ISBLANK(S25:S29),ISBLANK(AQ25:AQ29), ISBLANK(Z25:Z29),ISBLANK(AX25:AX29)), "·", bdRateExtend( S25:S29,Z25:Z29, AQ25:AQ29,AX25:AX29))</f>
        <v>-2.3285986568271078E-3</v>
      </c>
      <c r="BS25" s="24">
        <f>IF( OR(ISBLANK(S25:S29),ISBLANK(AQ25:AQ29), ISBLANK(AA25:AA29),ISBLANK(AY25:AY29)), "·", bdRateExtend( S25:S29,AA25:AA29, AQ25:AQ29,AY25:AY29))</f>
        <v>-1.9392831035117686E-3</v>
      </c>
      <c r="BU25" s="4">
        <f t="shared" si="17"/>
        <v>-38058</v>
      </c>
      <c r="BV25" s="4">
        <f t="shared" si="18"/>
        <v>-1189.3125</v>
      </c>
      <c r="BW25" s="4">
        <f t="shared" si="19"/>
        <v>-417.96875</v>
      </c>
      <c r="BX25" s="4">
        <f t="shared" si="20"/>
        <v>6856</v>
      </c>
      <c r="BY25" s="4">
        <f t="shared" si="21"/>
        <v>840</v>
      </c>
      <c r="BZ25" s="4">
        <f t="shared" si="22"/>
        <v>0</v>
      </c>
      <c r="CA25" s="4">
        <f t="shared" si="23"/>
        <v>6008</v>
      </c>
      <c r="CB25" s="4">
        <f t="shared" si="24"/>
        <v>-2.2050125000006915E-2</v>
      </c>
      <c r="CC25" s="4">
        <f t="shared" si="25"/>
        <v>-1.2647000000001185E-2</v>
      </c>
      <c r="CD25" s="4">
        <f t="shared" si="26"/>
        <v>3.5909624999899137E-2</v>
      </c>
      <c r="CE25" s="4">
        <f t="shared" si="27"/>
        <v>2.1624875000000543E-2</v>
      </c>
      <c r="CF25" s="4">
        <f t="shared" si="28"/>
        <v>2.0390875000000364E-2</v>
      </c>
    </row>
    <row r="26" spans="1:84" outlineLevel="1">
      <c r="A26" s="25"/>
      <c r="B26" s="25" t="s">
        <v>283</v>
      </c>
      <c r="C26" s="26" t="s">
        <v>268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3.5648624999999998</v>
      </c>
      <c r="J26" s="28">
        <f t="shared" si="1"/>
        <v>0.15022355834340217</v>
      </c>
      <c r="K26" s="28">
        <f t="shared" si="2"/>
        <v>7.5592650055261432E-2</v>
      </c>
      <c r="L26" s="28">
        <f t="shared" si="3"/>
        <v>5.0187876238404504E-2</v>
      </c>
      <c r="M26" s="28">
        <f t="shared" si="4"/>
        <v>7.4611629205723923E-2</v>
      </c>
      <c r="N26" s="25">
        <f t="shared" si="5"/>
        <v>1913432</v>
      </c>
      <c r="O26" s="28">
        <f t="shared" si="6"/>
        <v>0.15177358222766046</v>
      </c>
      <c r="P26" s="29">
        <v>25053899</v>
      </c>
      <c r="Q26" s="29">
        <v>782934.34375</v>
      </c>
      <c r="R26" s="29">
        <v>23525.6875</v>
      </c>
      <c r="S26" s="30">
        <v>3802520</v>
      </c>
      <c r="T26" s="30">
        <v>1270376</v>
      </c>
      <c r="U26" s="30">
        <v>643056</v>
      </c>
      <c r="V26" s="30">
        <v>1888600</v>
      </c>
      <c r="W26" s="31">
        <v>68.051480999999995</v>
      </c>
      <c r="X26" s="31">
        <v>70.021966000000006</v>
      </c>
      <c r="Y26" s="31">
        <v>27.944265999999999</v>
      </c>
      <c r="Z26" s="31">
        <v>33.678434000000003</v>
      </c>
      <c r="AA26" s="31">
        <v>33.061833999999998</v>
      </c>
      <c r="AB26" s="32">
        <v>4879.13</v>
      </c>
      <c r="AC26" s="32">
        <v>3093.42</v>
      </c>
      <c r="AD26" s="32">
        <v>8.4540000000000006</v>
      </c>
      <c r="AE26" s="32">
        <v>14.637</v>
      </c>
      <c r="AG26" s="27">
        <f t="shared" si="7"/>
        <v>3.5660625000000001</v>
      </c>
      <c r="AH26" s="28">
        <f t="shared" si="8"/>
        <v>0.15027412642842988</v>
      </c>
      <c r="AI26" s="28">
        <f t="shared" si="9"/>
        <v>7.5565469709559047E-2</v>
      </c>
      <c r="AJ26" s="28">
        <f t="shared" si="10"/>
        <v>5.0160695892702112E-2</v>
      </c>
      <c r="AK26" s="28">
        <f t="shared" si="11"/>
        <v>7.4689061585922603E-2</v>
      </c>
      <c r="AL26" s="25">
        <f t="shared" si="12"/>
        <v>1912744</v>
      </c>
      <c r="AM26" s="28">
        <f t="shared" si="13"/>
        <v>0.15189577612899458</v>
      </c>
      <c r="AN26" s="29">
        <v>25042171</v>
      </c>
      <c r="AO26" s="29">
        <v>782567.84375</v>
      </c>
      <c r="AP26" s="29">
        <v>23292.15625</v>
      </c>
      <c r="AQ26" s="30">
        <v>3803800</v>
      </c>
      <c r="AR26" s="30">
        <v>1269688</v>
      </c>
      <c r="AS26" s="30">
        <v>643056</v>
      </c>
      <c r="AT26" s="30">
        <v>1890560</v>
      </c>
      <c r="AU26" s="31">
        <v>68.031534375000007</v>
      </c>
      <c r="AV26" s="31">
        <v>70.012346875000006</v>
      </c>
      <c r="AW26" s="31">
        <v>27.954499999999999</v>
      </c>
      <c r="AX26" s="31">
        <v>33.692762500000001</v>
      </c>
      <c r="AY26" s="31">
        <v>33.074171874999998</v>
      </c>
      <c r="AZ26" s="32">
        <v>10792</v>
      </c>
      <c r="BA26" s="32">
        <v>5879.12</v>
      </c>
      <c r="BB26" s="32">
        <v>6.1639999999999997</v>
      </c>
      <c r="BC26" s="32">
        <v>24.675999999999998</v>
      </c>
      <c r="BE26" s="33">
        <f t="shared" si="14"/>
        <v>-2.8434419333996791E-4</v>
      </c>
      <c r="BF26" s="33">
        <f t="shared" si="15"/>
        <v>-3.5020172588773324E-4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7"/>
        <v>-11728</v>
      </c>
      <c r="BV26" s="4">
        <f t="shared" si="18"/>
        <v>-366.5</v>
      </c>
      <c r="BW26" s="4">
        <f t="shared" si="19"/>
        <v>-233.53125</v>
      </c>
      <c r="BX26" s="4">
        <f t="shared" si="20"/>
        <v>1280</v>
      </c>
      <c r="BY26" s="4">
        <f t="shared" si="21"/>
        <v>-688</v>
      </c>
      <c r="BZ26" s="4">
        <f t="shared" si="22"/>
        <v>0</v>
      </c>
      <c r="CA26" s="4">
        <f t="shared" si="23"/>
        <v>1960</v>
      </c>
      <c r="CB26" s="4">
        <f t="shared" si="24"/>
        <v>-1.9946624999988671E-2</v>
      </c>
      <c r="CC26" s="4">
        <f t="shared" si="25"/>
        <v>-9.6191250000003947E-3</v>
      </c>
      <c r="CD26" s="4">
        <f t="shared" si="26"/>
        <v>1.023400000000052E-2</v>
      </c>
      <c r="CE26" s="4">
        <f t="shared" si="27"/>
        <v>1.4328499999997746E-2</v>
      </c>
      <c r="CF26" s="4">
        <f t="shared" si="28"/>
        <v>1.2337875000000054E-2</v>
      </c>
    </row>
    <row r="27" spans="1:84" outlineLevel="1">
      <c r="A27" s="15"/>
      <c r="B27" s="15" t="s">
        <v>283</v>
      </c>
      <c r="C27" s="16" t="s">
        <v>269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6.0547649999999997</v>
      </c>
      <c r="J27" s="18">
        <f t="shared" si="1"/>
        <v>0.2551482261189848</v>
      </c>
      <c r="K27" s="18">
        <f t="shared" si="2"/>
        <v>9.5560406580045651E-2</v>
      </c>
      <c r="L27" s="18">
        <f t="shared" si="3"/>
        <v>7.0155632763188716E-2</v>
      </c>
      <c r="M27" s="18">
        <f t="shared" si="4"/>
        <v>0.15956854045652236</v>
      </c>
      <c r="N27" s="15">
        <f t="shared" si="5"/>
        <v>2418864</v>
      </c>
      <c r="O27" s="18">
        <f t="shared" si="6"/>
        <v>0.25556475401023454</v>
      </c>
      <c r="P27" s="19">
        <v>25271153</v>
      </c>
      <c r="Q27" s="19">
        <v>789723.53125</v>
      </c>
      <c r="R27" s="19">
        <v>24522.03125</v>
      </c>
      <c r="S27" s="20">
        <v>6458416</v>
      </c>
      <c r="T27" s="20">
        <v>1775808</v>
      </c>
      <c r="U27" s="20">
        <v>643056</v>
      </c>
      <c r="V27" s="20">
        <v>4039064</v>
      </c>
      <c r="W27" s="21">
        <v>69.408649999999994</v>
      </c>
      <c r="X27" s="21">
        <v>71.749909000000002</v>
      </c>
      <c r="Y27" s="21">
        <v>30.282250000000001</v>
      </c>
      <c r="Z27" s="21">
        <v>34.965425000000003</v>
      </c>
      <c r="AA27" s="21">
        <v>34.444766000000001</v>
      </c>
      <c r="AB27" s="22">
        <v>6104.8</v>
      </c>
      <c r="AC27" s="22">
        <v>4155.34</v>
      </c>
      <c r="AD27" s="22">
        <v>9.8109999999999999</v>
      </c>
      <c r="AE27" s="22">
        <v>18.428000000000001</v>
      </c>
      <c r="AG27" s="17">
        <f t="shared" si="7"/>
        <v>6.0581250000000004</v>
      </c>
      <c r="AH27" s="18">
        <f t="shared" si="8"/>
        <v>0.25528981675706236</v>
      </c>
      <c r="AI27" s="18">
        <f t="shared" si="9"/>
        <v>9.5460534612115927E-2</v>
      </c>
      <c r="AJ27" s="18">
        <f t="shared" si="10"/>
        <v>7.0055760795258992E-2</v>
      </c>
      <c r="AK27" s="18">
        <f t="shared" si="11"/>
        <v>0.15980968701199821</v>
      </c>
      <c r="AL27" s="15">
        <f t="shared" si="12"/>
        <v>2416336</v>
      </c>
      <c r="AM27" s="18">
        <f t="shared" si="13"/>
        <v>0.255399695781099</v>
      </c>
      <c r="AN27" s="19">
        <v>25301518</v>
      </c>
      <c r="AO27" s="19">
        <v>790672.4375</v>
      </c>
      <c r="AP27" s="19">
        <v>24581.4375</v>
      </c>
      <c r="AQ27" s="20">
        <v>6462000</v>
      </c>
      <c r="AR27" s="20">
        <v>1773280</v>
      </c>
      <c r="AS27" s="20">
        <v>643056</v>
      </c>
      <c r="AT27" s="20">
        <v>4045168</v>
      </c>
      <c r="AU27" s="21">
        <v>69.410965625000003</v>
      </c>
      <c r="AV27" s="21">
        <v>71.750821875</v>
      </c>
      <c r="AW27" s="21">
        <v>30.292199999999902</v>
      </c>
      <c r="AX27" s="21">
        <v>34.971162499999998</v>
      </c>
      <c r="AY27" s="21">
        <v>34.459468749999999</v>
      </c>
      <c r="AZ27" s="22">
        <v>12108.4</v>
      </c>
      <c r="BA27" s="22">
        <v>6150.22</v>
      </c>
      <c r="BB27" s="22">
        <v>7.0039999999999996</v>
      </c>
      <c r="BC27" s="22">
        <v>27.768000000000001</v>
      </c>
      <c r="BE27" s="23">
        <f t="shared" si="14"/>
        <v>3.786823600132605E-5</v>
      </c>
      <c r="BF27" s="23">
        <f t="shared" si="15"/>
        <v>-5.9893405884248185E-4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7"/>
        <v>30365</v>
      </c>
      <c r="BV27" s="4">
        <f t="shared" si="18"/>
        <v>948.90625</v>
      </c>
      <c r="BW27" s="4">
        <f t="shared" si="19"/>
        <v>59.40625</v>
      </c>
      <c r="BX27" s="4">
        <f t="shared" si="20"/>
        <v>3584</v>
      </c>
      <c r="BY27" s="4">
        <f t="shared" si="21"/>
        <v>-2528</v>
      </c>
      <c r="BZ27" s="4">
        <f t="shared" si="22"/>
        <v>0</v>
      </c>
      <c r="CA27" s="4">
        <f t="shared" si="23"/>
        <v>6104</v>
      </c>
      <c r="CB27" s="4">
        <f t="shared" si="24"/>
        <v>2.315625000008481E-3</v>
      </c>
      <c r="CC27" s="4">
        <f t="shared" si="25"/>
        <v>9.1287499999737065E-4</v>
      </c>
      <c r="CD27" s="4">
        <f t="shared" si="26"/>
        <v>9.9499999999004274E-3</v>
      </c>
      <c r="CE27" s="4">
        <f t="shared" si="27"/>
        <v>5.737499999995066E-3</v>
      </c>
      <c r="CF27" s="4">
        <f t="shared" si="28"/>
        <v>1.4702749999997877E-2</v>
      </c>
    </row>
    <row r="28" spans="1:84" outlineLevel="1">
      <c r="A28" s="25"/>
      <c r="B28" s="25" t="s">
        <v>283</v>
      </c>
      <c r="C28" s="26" t="s">
        <v>270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12.166252500000001</v>
      </c>
      <c r="J28" s="28">
        <f t="shared" si="1"/>
        <v>0.51268674240712298</v>
      </c>
      <c r="K28" s="28">
        <f t="shared" si="2"/>
        <v>0.13003646274981029</v>
      </c>
      <c r="L28" s="28">
        <f t="shared" si="3"/>
        <v>0.10463168893295335</v>
      </c>
      <c r="M28" s="28">
        <f t="shared" si="4"/>
        <v>0.38263100057489591</v>
      </c>
      <c r="N28" s="25">
        <f t="shared" si="5"/>
        <v>3291536</v>
      </c>
      <c r="O28" s="28">
        <f t="shared" si="6"/>
        <v>0.49302855836817661</v>
      </c>
      <c r="P28" s="29">
        <v>26321672</v>
      </c>
      <c r="Q28" s="29">
        <v>822552.25</v>
      </c>
      <c r="R28" s="29">
        <v>28175.15625</v>
      </c>
      <c r="S28" s="30">
        <v>12977336</v>
      </c>
      <c r="T28" s="30">
        <v>2648480</v>
      </c>
      <c r="U28" s="30">
        <v>643056</v>
      </c>
      <c r="V28" s="30">
        <v>9685312</v>
      </c>
      <c r="W28" s="31">
        <v>70.435834</v>
      </c>
      <c r="X28" s="31">
        <v>72.986834000000002</v>
      </c>
      <c r="Y28" s="31">
        <v>32.817137000000002</v>
      </c>
      <c r="Z28" s="31">
        <v>36.503044000000003</v>
      </c>
      <c r="AA28" s="31">
        <v>36.003416000000001</v>
      </c>
      <c r="AB28" s="32">
        <v>6032.07</v>
      </c>
      <c r="AC28" s="32">
        <v>4508.26</v>
      </c>
      <c r="AD28" s="32">
        <v>10.038</v>
      </c>
      <c r="AE28" s="32">
        <v>20.061</v>
      </c>
      <c r="AG28" s="27">
        <f t="shared" si="7"/>
        <v>12.18228</v>
      </c>
      <c r="AH28" s="28">
        <f t="shared" si="8"/>
        <v>0.51336214239277433</v>
      </c>
      <c r="AI28" s="28">
        <f t="shared" si="9"/>
        <v>0.12999379592806817</v>
      </c>
      <c r="AJ28" s="28">
        <f t="shared" si="10"/>
        <v>0.10458902211121122</v>
      </c>
      <c r="AK28" s="28">
        <f t="shared" si="11"/>
        <v>0.38334875133175794</v>
      </c>
      <c r="AL28" s="25">
        <f t="shared" si="12"/>
        <v>3290456</v>
      </c>
      <c r="AM28" s="28">
        <f t="shared" si="13"/>
        <v>0.49342189925270369</v>
      </c>
      <c r="AN28" s="29">
        <v>26335337</v>
      </c>
      <c r="AO28" s="29">
        <v>822979.28125</v>
      </c>
      <c r="AP28" s="29">
        <v>28158.15625</v>
      </c>
      <c r="AQ28" s="30">
        <v>12994432</v>
      </c>
      <c r="AR28" s="30">
        <v>2647400</v>
      </c>
      <c r="AS28" s="30">
        <v>643056</v>
      </c>
      <c r="AT28" s="30">
        <v>9703480</v>
      </c>
      <c r="AU28" s="31">
        <v>70.427853124999999</v>
      </c>
      <c r="AV28" s="31">
        <v>72.979609374999995</v>
      </c>
      <c r="AW28" s="31">
        <v>32.822231249999902</v>
      </c>
      <c r="AX28" s="31">
        <v>36.506518749999898</v>
      </c>
      <c r="AY28" s="31">
        <v>36.004962499999998</v>
      </c>
      <c r="AZ28" s="32">
        <v>12238.8</v>
      </c>
      <c r="BA28" s="32">
        <v>6638.66</v>
      </c>
      <c r="BB28" s="32">
        <v>7.14</v>
      </c>
      <c r="BC28" s="32">
        <v>29.18</v>
      </c>
      <c r="BE28" s="33">
        <f t="shared" si="14"/>
        <v>-3.8430182133335211E-5</v>
      </c>
      <c r="BF28" s="33">
        <f t="shared" si="15"/>
        <v>-4.1680795814941218E-4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7"/>
        <v>13665</v>
      </c>
      <c r="BV28" s="4">
        <f t="shared" si="18"/>
        <v>427.03125</v>
      </c>
      <c r="BW28" s="4">
        <f t="shared" si="19"/>
        <v>-17</v>
      </c>
      <c r="BX28" s="4">
        <f t="shared" si="20"/>
        <v>17096</v>
      </c>
      <c r="BY28" s="4">
        <f t="shared" si="21"/>
        <v>-1080</v>
      </c>
      <c r="BZ28" s="4">
        <f t="shared" si="22"/>
        <v>0</v>
      </c>
      <c r="CA28" s="4">
        <f t="shared" si="23"/>
        <v>18168</v>
      </c>
      <c r="CB28" s="4">
        <f t="shared" si="24"/>
        <v>-7.9808750000012196E-3</v>
      </c>
      <c r="CC28" s="4">
        <f t="shared" si="25"/>
        <v>-7.2246250000063128E-3</v>
      </c>
      <c r="CD28" s="4">
        <f t="shared" si="26"/>
        <v>5.0942499998996027E-3</v>
      </c>
      <c r="CE28" s="4">
        <f t="shared" si="27"/>
        <v>3.474749999895721E-3</v>
      </c>
      <c r="CF28" s="4">
        <f t="shared" si="28"/>
        <v>1.5464999999963425E-3</v>
      </c>
    </row>
    <row r="29" spans="1:84" ht="15.75" outlineLevel="1" thickBot="1">
      <c r="A29" s="35"/>
      <c r="B29" s="35" t="s">
        <v>283</v>
      </c>
      <c r="C29" s="36" t="s">
        <v>271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27.781132499999998</v>
      </c>
      <c r="J29" s="38">
        <f t="shared" si="1"/>
        <v>1.1706988920216519</v>
      </c>
      <c r="K29" s="38">
        <f t="shared" si="2"/>
        <v>0.21307305097168155</v>
      </c>
      <c r="L29" s="38">
        <f t="shared" si="3"/>
        <v>0.16274073964041666</v>
      </c>
      <c r="M29" s="38">
        <f t="shared" si="4"/>
        <v>0.95760656196755367</v>
      </c>
      <c r="N29" s="35">
        <f t="shared" si="5"/>
        <v>5393392</v>
      </c>
      <c r="O29" s="38">
        <f t="shared" si="6"/>
        <v>1.1790254386490524</v>
      </c>
      <c r="P29" s="39">
        <v>25133646</v>
      </c>
      <c r="Q29" s="39">
        <v>785426.4375</v>
      </c>
      <c r="R29" s="39">
        <v>7352.15625</v>
      </c>
      <c r="S29" s="40">
        <v>29633208</v>
      </c>
      <c r="T29" s="40">
        <v>4119360</v>
      </c>
      <c r="U29" s="40">
        <v>1274032</v>
      </c>
      <c r="V29" s="40">
        <v>24239328</v>
      </c>
      <c r="W29" s="41">
        <v>71.719977999999998</v>
      </c>
      <c r="X29" s="41">
        <v>75.093906000000004</v>
      </c>
      <c r="Y29" s="41">
        <v>35.554506000000003</v>
      </c>
      <c r="Z29" s="41">
        <v>38.555461999999999</v>
      </c>
      <c r="AA29" s="41">
        <v>38.019063000000003</v>
      </c>
      <c r="AB29" s="42">
        <v>6238.2</v>
      </c>
      <c r="AC29" s="42">
        <v>5150.37</v>
      </c>
      <c r="AD29" s="42">
        <v>10.741</v>
      </c>
      <c r="AE29" s="42">
        <v>22.291</v>
      </c>
      <c r="AG29" s="37">
        <f t="shared" si="7"/>
        <v>27.801105</v>
      </c>
      <c r="AH29" s="38">
        <f t="shared" si="8"/>
        <v>1.1715405345868319</v>
      </c>
      <c r="AI29" s="38">
        <f t="shared" si="9"/>
        <v>0.21358347257992996</v>
      </c>
      <c r="AJ29" s="38">
        <f t="shared" si="10"/>
        <v>0.16324578838963089</v>
      </c>
      <c r="AK29" s="38">
        <f t="shared" si="11"/>
        <v>0.95793746687395365</v>
      </c>
      <c r="AL29" s="35">
        <f t="shared" si="12"/>
        <v>5406312</v>
      </c>
      <c r="AM29" s="38">
        <f t="shared" si="13"/>
        <v>1.1790006021331296</v>
      </c>
      <c r="AN29" s="39">
        <v>25152245</v>
      </c>
      <c r="AO29" s="39">
        <v>786007.65625</v>
      </c>
      <c r="AP29" s="39">
        <v>7340.1875</v>
      </c>
      <c r="AQ29" s="40">
        <v>29654512</v>
      </c>
      <c r="AR29" s="40">
        <v>4132144</v>
      </c>
      <c r="AS29" s="40">
        <v>1274168</v>
      </c>
      <c r="AT29" s="40">
        <v>24247704</v>
      </c>
      <c r="AU29" s="41">
        <v>71.726993749999906</v>
      </c>
      <c r="AV29" s="41">
        <v>75.087687499999902</v>
      </c>
      <c r="AW29" s="41">
        <v>35.548456249999902</v>
      </c>
      <c r="AX29" s="41">
        <v>38.565593749999998</v>
      </c>
      <c r="AY29" s="41">
        <v>38.0184</v>
      </c>
      <c r="AZ29" s="42">
        <v>4788.2</v>
      </c>
      <c r="BA29" s="42">
        <v>6787.56</v>
      </c>
      <c r="BB29" s="42">
        <v>7.8959999999999999</v>
      </c>
      <c r="BC29" s="42">
        <v>32.124000000000002</v>
      </c>
      <c r="BE29" s="43">
        <f t="shared" si="14"/>
        <v>-2.2149116884752698E-5</v>
      </c>
      <c r="BF29" s="43">
        <f t="shared" si="15"/>
        <v>3.0493051094027113E-4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7"/>
        <v>18599</v>
      </c>
      <c r="BV29" s="4">
        <f t="shared" si="18"/>
        <v>581.21875</v>
      </c>
      <c r="BW29" s="4">
        <f t="shared" si="19"/>
        <v>-11.96875</v>
      </c>
      <c r="BX29" s="4">
        <f t="shared" si="20"/>
        <v>21304</v>
      </c>
      <c r="BY29" s="4">
        <f t="shared" si="21"/>
        <v>12784</v>
      </c>
      <c r="BZ29" s="4">
        <f t="shared" si="22"/>
        <v>136</v>
      </c>
      <c r="CA29" s="4">
        <f t="shared" si="23"/>
        <v>8376</v>
      </c>
      <c r="CB29" s="4">
        <f t="shared" si="24"/>
        <v>7.0157499999083939E-3</v>
      </c>
      <c r="CC29" s="4">
        <f t="shared" si="25"/>
        <v>-6.2185000001022672E-3</v>
      </c>
      <c r="CD29" s="4">
        <f t="shared" si="26"/>
        <v>-6.0497500001019944E-3</v>
      </c>
      <c r="CE29" s="4">
        <f t="shared" si="27"/>
        <v>1.0131749999999329E-2</v>
      </c>
      <c r="CF29" s="4">
        <f t="shared" si="28"/>
        <v>-6.6300000000296677E-4</v>
      </c>
    </row>
    <row r="30" spans="1:84">
      <c r="B30" s="55" t="s">
        <v>287</v>
      </c>
      <c r="J30" s="56">
        <f>AVERAGE(J5:J24)</f>
        <v>0.19278033703148761</v>
      </c>
      <c r="K30" s="56">
        <f>AVERAGE(K5:K24)</f>
        <v>9.1950715345747711E-2</v>
      </c>
      <c r="L30" s="56">
        <f>AVERAGE(L5:L24)</f>
        <v>6.5289069792658833E-2</v>
      </c>
      <c r="M30" s="56">
        <f>AVERAGE(M5:M24)</f>
        <v>0.10081196809329655</v>
      </c>
      <c r="AH30" s="56">
        <f>AVERAGE(AH5:AH24)</f>
        <v>0.19443523169791027</v>
      </c>
      <c r="AI30" s="56">
        <f>AVERAGE(AI5:AI24)</f>
        <v>9.2154548258814598E-2</v>
      </c>
      <c r="AJ30" s="56">
        <f>AVERAGE(AJ5:AJ24)</f>
        <v>6.5379323550698948E-2</v>
      </c>
      <c r="AK30" s="56">
        <f>AVERAGE(AK5:AK24)</f>
        <v>0.10226274044349744</v>
      </c>
      <c r="BG30" s="8">
        <f>AVERAGE(BG5:BG24)</f>
        <v>-2.4643249421104768E-3</v>
      </c>
      <c r="BI30" s="5">
        <f>AVERAGE(BI5:BI24)</f>
        <v>-1.2122534612823144E-3</v>
      </c>
      <c r="BJ30" s="5">
        <f>AVERAGE(BJ5:BJ24)</f>
        <v>-1.2209450749038619E-3</v>
      </c>
      <c r="BK30" s="5">
        <f>AVERAGE(BK5:BK24)</f>
        <v>3.0239070738525747E-2</v>
      </c>
      <c r="BL30" s="5">
        <f>AVERAGE(BL5:BL24)</f>
        <v>3.1330044174297744E-2</v>
      </c>
      <c r="BM30" s="5">
        <f>AVERAGE(BM5:BM24)</f>
        <v>3.6555560758462086E-2</v>
      </c>
      <c r="BO30" s="5">
        <f>AVERAGE(BO5:BO24)</f>
        <v>2.8830714646434497E-3</v>
      </c>
      <c r="BP30" s="5">
        <f>AVERAGE(BP5:BP24)</f>
        <v>2.9269116936187223E-3</v>
      </c>
      <c r="BQ30" s="5">
        <f>AVERAGE(BQ5:BQ24)</f>
        <v>1.5982234447332627E-2</v>
      </c>
      <c r="BR30" s="5">
        <f>AVERAGE(BR5:BR24)</f>
        <v>1.7532298209339686E-2</v>
      </c>
      <c r="BS30" s="5">
        <f>AVERAGE(BS5:BS24)</f>
        <v>1.9728651473126718E-2</v>
      </c>
    </row>
    <row r="31" spans="1:84">
      <c r="B31" s="55" t="s">
        <v>288</v>
      </c>
      <c r="J31" s="56">
        <f>AVERAGE(J25:J29)</f>
        <v>0.43730123187015629</v>
      </c>
      <c r="K31" s="56">
        <f>AVERAGE(K25:K29)</f>
        <v>0.11522924251220981</v>
      </c>
      <c r="L31" s="56">
        <f>AVERAGE(L25:L29)</f>
        <v>8.4838961192471293E-2</v>
      </c>
      <c r="M31" s="56">
        <f>AVERAGE(M25:M29)</f>
        <v>0.32205271027552973</v>
      </c>
      <c r="AH31" s="56">
        <f>AVERAGE(AH25:AH29)</f>
        <v>0.43769724318602954</v>
      </c>
      <c r="AI31" s="56">
        <f>AVERAGE(AI25:AI29)</f>
        <v>0.11530402006794453</v>
      </c>
      <c r="AJ31" s="56">
        <f>AVERAGE(AJ25:AJ29)</f>
        <v>8.4912664176399172E-2</v>
      </c>
      <c r="AK31" s="56">
        <f>AVERAGE(AK25:AK29)</f>
        <v>0.32237362798513675</v>
      </c>
      <c r="BG31" s="8">
        <f>AVERAGE(BG25:BG29)</f>
        <v>-4.9437108315880662E-4</v>
      </c>
      <c r="BI31" s="5">
        <f>AVERAGE(BI25:BI29)</f>
        <v>1.463030801413634E-3</v>
      </c>
      <c r="BJ31" s="5">
        <f>AVERAGE(BJ25:BJ29)</f>
        <v>1.1263888051944448E-3</v>
      </c>
      <c r="BK31" s="5">
        <f>AVERAGE(BK25:BK29)</f>
        <v>-1.2628601482630453E-3</v>
      </c>
      <c r="BL31" s="5">
        <f>AVERAGE(BL25:BL29)</f>
        <v>-2.966193530847927E-3</v>
      </c>
      <c r="BM31" s="5">
        <f>AVERAGE(BM25:BM29)</f>
        <v>-2.5417371987708215E-3</v>
      </c>
      <c r="BO31" s="5">
        <f>AVERAGE(BO25:BO29)</f>
        <v>4.4422315514742738E-3</v>
      </c>
      <c r="BP31" s="5">
        <f>AVERAGE(BP25:BP29)</f>
        <v>3.2636030569859198E-3</v>
      </c>
      <c r="BQ31" s="5">
        <f>AVERAGE(BQ25:BQ29)</f>
        <v>-1.0381746688915561E-3</v>
      </c>
      <c r="BR31" s="5">
        <f>AVERAGE(BR25:BR29)</f>
        <v>-2.3285986568271078E-3</v>
      </c>
      <c r="BS31" s="5">
        <f>AVERAGE(BS25:BS29)</f>
        <v>-1.9392831035117686E-3</v>
      </c>
    </row>
    <row r="32" spans="1:84" collapsed="1">
      <c r="B32" s="55" t="s">
        <v>289</v>
      </c>
      <c r="J32" s="56">
        <f>AVERAGE(J5:J29)</f>
        <v>0.24168451599922136</v>
      </c>
      <c r="K32" s="56">
        <f>AVERAGE(K5:K29)</f>
        <v>9.660642077904015E-2</v>
      </c>
      <c r="L32" s="56">
        <f>AVERAGE(L5:L29)</f>
        <v>6.9199048072621325E-2</v>
      </c>
      <c r="M32" s="56">
        <f>AVERAGE(M5:M29)</f>
        <v>0.14506011652974318</v>
      </c>
      <c r="AH32" s="56">
        <f>AVERAGE(AH5:AH29)</f>
        <v>0.24308763399553412</v>
      </c>
      <c r="AI32" s="56">
        <f>AVERAGE(AI5:AI29)</f>
        <v>9.6784442620640607E-2</v>
      </c>
      <c r="AJ32" s="56">
        <f>AVERAGE(AJ5:AJ29)</f>
        <v>6.9285991675838987E-2</v>
      </c>
      <c r="AK32" s="56">
        <f>AVERAGE(AK5:AK29)</f>
        <v>0.1462849179518253</v>
      </c>
      <c r="BG32" s="8">
        <f>AVERAGE(BG5:BG29)</f>
        <v>-2.0703341703201426E-3</v>
      </c>
      <c r="BI32" s="5">
        <f>AVERAGE(BI5:BI29)</f>
        <v>-6.7719660874312473E-4</v>
      </c>
      <c r="BJ32" s="5">
        <f>AVERAGE(BJ5:BJ29)</f>
        <v>-7.5147829888420057E-4</v>
      </c>
      <c r="BK32" s="5">
        <f>AVERAGE(BK5:BK29)</f>
        <v>2.3938684561167989E-2</v>
      </c>
      <c r="BL32" s="5">
        <f>AVERAGE(BL5:BL29)</f>
        <v>2.4470796633268611E-2</v>
      </c>
      <c r="BM32" s="5">
        <f>AVERAGE(BM5:BM29)</f>
        <v>2.8736101167015506E-2</v>
      </c>
      <c r="BO32" s="5">
        <f>AVERAGE(BO5:BO29)</f>
        <v>3.1949034820096143E-3</v>
      </c>
      <c r="BP32" s="5">
        <f>AVERAGE(BP5:BP29)</f>
        <v>2.9942499662921618E-3</v>
      </c>
      <c r="BQ32" s="5">
        <f>AVERAGE(BQ5:BQ29)</f>
        <v>1.2578152624087791E-2</v>
      </c>
      <c r="BR32" s="5">
        <f>AVERAGE(BR5:BR29)</f>
        <v>1.3560118836106328E-2</v>
      </c>
      <c r="BS32" s="5">
        <f>AVERAGE(BS5:BS29)</f>
        <v>1.539506455779902E-2</v>
      </c>
    </row>
    <row r="33" spans="1:55" hidden="1" outlineLevel="2">
      <c r="A33" s="55" t="s">
        <v>290</v>
      </c>
      <c r="B33" s="55" t="s">
        <v>291</v>
      </c>
      <c r="AB33" s="57">
        <f>SUM(AB5:AB24,AB25:AB29)</f>
        <v>149010.81</v>
      </c>
      <c r="AC33" s="57">
        <f>SUM(AC5:AC24,AC25:AC29)</f>
        <v>81266.799999999988</v>
      </c>
      <c r="AD33" s="57">
        <f>SUM(AD5:AD24,AD25:AD29)</f>
        <v>246.22900000000004</v>
      </c>
      <c r="AE33" s="57">
        <f>SUM(AE5:AE24,AE25:AE29)</f>
        <v>378.77199999999988</v>
      </c>
      <c r="AZ33" s="57">
        <f>SUM(AZ5:AZ24,AZ25:AZ29)</f>
        <v>300146.68000000005</v>
      </c>
      <c r="BA33" s="57">
        <f>SUM(BA5:BA24,BA25:BA29)</f>
        <v>135383.56</v>
      </c>
      <c r="BB33" s="57">
        <f>SUM(BB5:BB24,BB25:BB29)</f>
        <v>194.95999999999992</v>
      </c>
      <c r="BC33" s="57">
        <f>SUM(BC5:BC24,BC25:BC29)</f>
        <v>654.01600000000008</v>
      </c>
    </row>
    <row r="34" spans="1:55" hidden="1" outlineLevel="2">
      <c r="B34" s="55" t="s">
        <v>292</v>
      </c>
      <c r="AZ34" s="8">
        <f>AZ33/AB33</f>
        <v>2.014261113002473</v>
      </c>
      <c r="BA34" s="8">
        <f>BA33/AC33</f>
        <v>1.6659147400906646</v>
      </c>
      <c r="BB34" s="8">
        <f>BB33/AD33</f>
        <v>0.7917832586738357</v>
      </c>
      <c r="BC34" s="8">
        <f>BC33/AE33</f>
        <v>1.7266746222001634</v>
      </c>
    </row>
    <row r="35" spans="1:55" hidden="1" outlineLevel="2">
      <c r="B35" s="55" t="s">
        <v>293</v>
      </c>
      <c r="AB35" s="57">
        <f>GEOMEAN(AB5:AB24,AB25:AB29)</f>
        <v>5884.6463285638638</v>
      </c>
      <c r="AC35" s="57">
        <f>GEOMEAN(AC5:AC24,AC25:AC29)</f>
        <v>3146.326469752049</v>
      </c>
      <c r="AD35" s="57">
        <f>GEOMEAN(AD5:AD24,AD25:AD29)</f>
        <v>9.7643176557397204</v>
      </c>
      <c r="AE35" s="57">
        <f>GEOMEAN(AE5:AE24,AE25:AE29)</f>
        <v>14.876524074397416</v>
      </c>
      <c r="AZ35" s="57">
        <f>GEOMEAN(AZ5:AZ24,AZ25:AZ29)</f>
        <v>11511.921579701795</v>
      </c>
      <c r="BA35" s="57">
        <f>GEOMEAN(BA5:BA24,BA25:BA29)</f>
        <v>5335.8485759980231</v>
      </c>
      <c r="BB35" s="57">
        <f>GEOMEAN(BB5:BB24,BB25:BB29)</f>
        <v>7.6884310324642433</v>
      </c>
      <c r="BC35" s="57">
        <f>GEOMEAN(BC5:BC24,BC25:BC29)</f>
        <v>25.896453860828906</v>
      </c>
    </row>
    <row r="36" spans="1:55" outlineLevel="2" collapsed="1">
      <c r="B36" s="55" t="s">
        <v>294</v>
      </c>
      <c r="AZ36" s="8">
        <f>AZ35/AB35</f>
        <v>1.9562639684603198</v>
      </c>
      <c r="BA36" s="8">
        <f>BA35/AC35</f>
        <v>1.6958979391666633</v>
      </c>
      <c r="BB36" s="8">
        <f>BB35/AD35</f>
        <v>0.7874007486785094</v>
      </c>
      <c r="BC36" s="8">
        <f>BC35/AE35</f>
        <v>1.7407597185552808</v>
      </c>
    </row>
    <row r="40" spans="1:55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>
      <c r="P44" s="4"/>
      <c r="Q44" s="4"/>
      <c r="R44" s="4"/>
      <c r="S44" s="4"/>
      <c r="T44" s="4"/>
      <c r="U44" s="58"/>
      <c r="V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>
      <c r="P45" s="4"/>
      <c r="Q45" s="4"/>
      <c r="R45" s="4"/>
      <c r="S45" s="4"/>
      <c r="T45" s="4"/>
      <c r="U45" s="58"/>
      <c r="V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>
      <c r="P46" s="4"/>
      <c r="Q46" s="4"/>
      <c r="R46" s="4"/>
      <c r="S46" s="4"/>
      <c r="T46" s="4"/>
      <c r="U46" s="58"/>
      <c r="V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>
      <c r="P47" s="4"/>
      <c r="Q47" s="4"/>
      <c r="R47" s="4"/>
      <c r="S47" s="4"/>
      <c r="T47" s="4"/>
      <c r="U47" s="58"/>
      <c r="V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>
      <c r="P48" s="4"/>
      <c r="Q48" s="4"/>
      <c r="R48" s="4"/>
      <c r="S48" s="4"/>
      <c r="T48" s="4"/>
      <c r="U48" s="58"/>
      <c r="V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16:51">
      <c r="P49" s="4"/>
      <c r="Q49" s="4"/>
      <c r="R49" s="4"/>
      <c r="S49" s="4"/>
      <c r="T49" s="4"/>
      <c r="U49" s="58"/>
      <c r="V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16:51">
      <c r="P50" s="4"/>
      <c r="Q50" s="4"/>
      <c r="R50" s="4"/>
      <c r="S50" s="4"/>
      <c r="T50" s="4"/>
      <c r="U50" s="58"/>
      <c r="V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16:51">
      <c r="P51" s="4"/>
      <c r="Q51" s="4"/>
      <c r="R51" s="4"/>
      <c r="S51" s="4"/>
      <c r="T51" s="4"/>
      <c r="U51" s="58"/>
      <c r="V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16:51">
      <c r="P52" s="4"/>
      <c r="Q52" s="4"/>
      <c r="R52" s="4"/>
      <c r="S52" s="4"/>
      <c r="T52" s="4"/>
      <c r="U52" s="58"/>
      <c r="V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16:51">
      <c r="P53" s="4"/>
      <c r="Q53" s="4"/>
      <c r="R53" s="4"/>
      <c r="S53" s="4"/>
      <c r="T53" s="4"/>
      <c r="U53" s="58"/>
      <c r="V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16:51">
      <c r="P54" s="4"/>
      <c r="Q54" s="4"/>
      <c r="R54" s="4"/>
      <c r="S54" s="4"/>
      <c r="T54" s="4"/>
      <c r="U54" s="58"/>
      <c r="V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16:51">
      <c r="P55" s="4"/>
      <c r="Q55" s="4"/>
      <c r="R55" s="4"/>
      <c r="S55" s="4"/>
      <c r="T55" s="4"/>
      <c r="U55" s="58"/>
      <c r="V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16:51">
      <c r="P56" s="4"/>
      <c r="Q56" s="4"/>
      <c r="R56" s="4"/>
      <c r="S56" s="4"/>
      <c r="T56" s="4"/>
      <c r="U56" s="58"/>
      <c r="V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16:51">
      <c r="P57" s="4"/>
      <c r="Q57" s="4"/>
      <c r="R57" s="4"/>
      <c r="S57" s="4"/>
      <c r="T57" s="4"/>
      <c r="U57" s="58"/>
      <c r="V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16:51">
      <c r="P58" s="4"/>
      <c r="Q58" s="4"/>
      <c r="R58" s="4"/>
      <c r="S58" s="4"/>
      <c r="T58" s="4"/>
      <c r="U58" s="58"/>
      <c r="V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16:51">
      <c r="P59" s="4"/>
      <c r="Q59" s="4"/>
      <c r="R59" s="4"/>
      <c r="S59" s="4"/>
      <c r="T59" s="4"/>
      <c r="U59" s="58"/>
      <c r="V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16:51">
      <c r="P60" s="4"/>
      <c r="Q60" s="4"/>
      <c r="R60" s="4"/>
      <c r="S60" s="4"/>
      <c r="T60" s="4"/>
      <c r="U60" s="58"/>
      <c r="V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16:51">
      <c r="P61" s="4"/>
      <c r="Q61" s="4"/>
      <c r="R61" s="4"/>
      <c r="S61" s="4"/>
      <c r="T61" s="4"/>
      <c r="U61" s="58"/>
      <c r="V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16:51">
      <c r="P62" s="4"/>
      <c r="Q62" s="4"/>
      <c r="R62" s="4"/>
      <c r="S62" s="4"/>
      <c r="T62" s="4"/>
      <c r="U62" s="58"/>
      <c r="V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16:51">
      <c r="P63" s="4"/>
      <c r="Q63" s="4"/>
      <c r="R63" s="4"/>
      <c r="S63" s="4"/>
      <c r="T63" s="4"/>
      <c r="U63" s="58"/>
      <c r="V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16:51">
      <c r="P64" s="4"/>
      <c r="Q64" s="4"/>
      <c r="R64" s="4"/>
      <c r="S64" s="4"/>
      <c r="T64" s="4"/>
      <c r="U64" s="58"/>
      <c r="V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16:51">
      <c r="P65" s="4"/>
      <c r="Q65" s="4"/>
      <c r="R65" s="4"/>
      <c r="S65" s="4"/>
      <c r="T65" s="4"/>
      <c r="U65" s="58"/>
      <c r="V65" s="4"/>
    </row>
    <row r="66" spans="16:51">
      <c r="P66" s="4"/>
      <c r="Q66" s="4"/>
      <c r="R66" s="4"/>
      <c r="S66" s="4"/>
      <c r="T66" s="4"/>
      <c r="U66" s="58"/>
      <c r="V66" s="4"/>
    </row>
    <row r="67" spans="16:51">
      <c r="P67" s="4"/>
      <c r="Q67" s="4"/>
      <c r="R67" s="4"/>
      <c r="S67" s="4"/>
      <c r="T67" s="4"/>
      <c r="U67" s="58"/>
      <c r="V67" s="4"/>
    </row>
    <row r="68" spans="16:51">
      <c r="P68" s="4"/>
      <c r="Q68" s="4"/>
      <c r="R68" s="4"/>
      <c r="S68" s="4"/>
      <c r="T68" s="4"/>
      <c r="U68" s="58"/>
      <c r="V68" s="4"/>
    </row>
    <row r="69" spans="16:51">
      <c r="P69" s="4"/>
      <c r="Q69" s="4"/>
      <c r="R69" s="4"/>
      <c r="S69" s="4"/>
      <c r="U69" s="58"/>
    </row>
    <row r="70" spans="16:51">
      <c r="P70" s="4"/>
      <c r="Q70" s="4"/>
      <c r="R70" s="4"/>
      <c r="S70" s="4"/>
      <c r="U70" s="58"/>
      <c r="AN70" s="4"/>
      <c r="AO70" s="4"/>
      <c r="AP70" s="4"/>
      <c r="AR70" s="4"/>
      <c r="AS70" s="4"/>
      <c r="AT70" s="4"/>
      <c r="AU70" s="4"/>
      <c r="AV70" s="4"/>
      <c r="AW70" s="4"/>
      <c r="AX70" s="4"/>
      <c r="AY70" s="4"/>
    </row>
    <row r="71" spans="16:51">
      <c r="P71" s="4"/>
      <c r="Q71" s="4"/>
      <c r="R71" s="4"/>
      <c r="S71" s="4"/>
      <c r="U71" s="58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</row>
    <row r="72" spans="16:51">
      <c r="P72" s="4"/>
      <c r="Q72" s="4"/>
      <c r="R72" s="4"/>
      <c r="S72" s="4"/>
      <c r="U72" s="58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</row>
    <row r="73" spans="16:51">
      <c r="P73" s="4"/>
      <c r="Q73" s="4"/>
      <c r="R73" s="4"/>
      <c r="S73" s="4"/>
      <c r="U73" s="58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</row>
    <row r="74" spans="16:51">
      <c r="P74" s="4"/>
      <c r="Q74" s="4"/>
      <c r="R74" s="4"/>
      <c r="S74" s="4"/>
      <c r="U74" s="58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</row>
    <row r="75" spans="16:51">
      <c r="P75" s="4"/>
      <c r="Q75" s="4"/>
      <c r="R75" s="4"/>
      <c r="S75" s="4"/>
      <c r="U75" s="58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</row>
    <row r="76" spans="16:51"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</row>
    <row r="77" spans="16:51"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</row>
    <row r="78" spans="16:51"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</row>
    <row r="79" spans="16:51"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</row>
    <row r="80" spans="16:51"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</row>
    <row r="81" spans="40:51"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</row>
    <row r="82" spans="40:51"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</row>
    <row r="83" spans="40:51"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</row>
    <row r="84" spans="40:51"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</row>
    <row r="85" spans="40:51"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</row>
    <row r="86" spans="40:51"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</row>
    <row r="87" spans="40:51"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</row>
    <row r="88" spans="40:51"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</row>
    <row r="89" spans="40:51"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</row>
    <row r="90" spans="40:51"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</row>
    <row r="91" spans="40:51"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</row>
    <row r="92" spans="40:51"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</row>
    <row r="93" spans="40:51"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</row>
    <row r="94" spans="40:51"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</row>
  </sheetData>
  <mergeCells count="47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  <mergeCell ref="CD2:CF2"/>
    <mergeCell ref="BU2:BU3"/>
    <mergeCell ref="BV2:BV3"/>
    <mergeCell ref="BW2:BW3"/>
    <mergeCell ref="BX2:CA2"/>
    <mergeCell ref="CB2:CC2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Graziosi, Danillo</cp:lastModifiedBy>
  <dcterms:created xsi:type="dcterms:W3CDTF">2018-08-31T19:13:00Z</dcterms:created>
  <dcterms:modified xsi:type="dcterms:W3CDTF">2019-02-04T00:13:25Z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  <property fmtid="{D5CDD505-2E9C-101B-9397-08002B2CF9AE}" pid="4" name="WorkbookGuid">
    <vt:lpwstr>54943bd3-034f-4482-9724-bfec53f6805a</vt:lpwstr>
  </property>
</Properties>
</file>