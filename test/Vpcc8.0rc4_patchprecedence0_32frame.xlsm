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4B529B9B-656D-0243-9732-6889E797BE2C}" xr6:coauthVersionLast="36" xr6:coauthVersionMax="36" xr10:uidLastSave="{00000000-0000-0000-0000-000000000000}"/>
  <bookViews>
    <workbookView xWindow="4040" yWindow="460" windowWidth="43940" windowHeight="2554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I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K16" i="3" s="1"/>
  <c r="M16" i="3"/>
  <c r="L16" i="3"/>
  <c r="J16" i="3"/>
  <c r="I16" i="3"/>
  <c r="BF15" i="3"/>
  <c r="AL15" i="3"/>
  <c r="AK15" i="3"/>
  <c r="AJ15" i="3"/>
  <c r="AH15" i="3"/>
  <c r="AG15" i="3"/>
  <c r="N15" i="3"/>
  <c r="M15" i="3"/>
  <c r="L15" i="3"/>
  <c r="J15" i="3"/>
  <c r="I15" i="3"/>
  <c r="BF14" i="3"/>
  <c r="AL14" i="3"/>
  <c r="AK14" i="3"/>
  <c r="AJ14" i="3"/>
  <c r="AI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5" i="7"/>
  <c r="BQ5" i="7"/>
  <c r="BL15" i="7"/>
  <c r="BR15" i="7"/>
  <c r="BT30" i="7"/>
  <c r="BT10" i="7"/>
  <c r="BN10" i="7"/>
  <c r="BN35" i="7"/>
  <c r="BN25" i="7"/>
  <c r="BQ30" i="7"/>
  <c r="BR5" i="7"/>
  <c r="BJ5" i="7"/>
  <c r="BN20" i="7"/>
  <c r="BM20" i="7"/>
  <c r="BL30" i="7"/>
  <c r="BK35" i="7"/>
  <c r="BP35" i="7"/>
  <c r="BS30" i="7"/>
  <c r="BS35" i="7"/>
  <c r="BL25" i="7"/>
  <c r="BS5" i="7"/>
  <c r="BK25" i="7"/>
  <c r="BT25" i="7"/>
  <c r="BP5" i="7"/>
  <c r="BP30" i="7"/>
  <c r="BJ15" i="7"/>
  <c r="BR20" i="7"/>
  <c r="BQ15" i="7"/>
  <c r="BL20" i="7"/>
  <c r="BJ25" i="7"/>
  <c r="BM25" i="7"/>
  <c r="BT35" i="7"/>
  <c r="BR10" i="7"/>
  <c r="BN30" i="7"/>
  <c r="BS15" i="7"/>
  <c r="BS20" i="7"/>
  <c r="BS25" i="7"/>
  <c r="BM5" i="7"/>
  <c r="BN5" i="7"/>
  <c r="BK5" i="7"/>
  <c r="BN15" i="7"/>
  <c r="BP15" i="7"/>
  <c r="BK15" i="7"/>
  <c r="BT5" i="7"/>
  <c r="BT15" i="7"/>
  <c r="BM30" i="7"/>
  <c r="BR35" i="7"/>
  <c r="BR25" i="7"/>
  <c r="BL5" i="7"/>
  <c r="BP25" i="7"/>
  <c r="BM35" i="7"/>
  <c r="BP20" i="7"/>
  <c r="BQ35" i="7"/>
  <c r="BM10" i="7"/>
  <c r="BL10" i="7"/>
  <c r="BJ35" i="7"/>
  <c r="BS10" i="7"/>
  <c r="BT20" i="7"/>
  <c r="BQ20" i="7"/>
  <c r="BP10" i="7"/>
  <c r="BR30" i="7"/>
  <c r="BQ10" i="7"/>
  <c r="BQ25" i="7"/>
  <c r="BM15" i="7"/>
  <c r="BS35" i="3"/>
  <c r="BM35" i="3"/>
  <c r="BK25" i="3"/>
  <c r="BM15" i="3"/>
  <c r="BL5" i="3"/>
  <c r="BP30" i="3"/>
  <c r="BN30" i="3"/>
  <c r="BR10" i="3"/>
  <c r="BR20" i="3"/>
  <c r="BL20" i="3"/>
  <c r="BP10" i="3"/>
  <c r="BS10" i="3"/>
  <c r="BJ30" i="3"/>
  <c r="BK30" i="3"/>
  <c r="BS20" i="3"/>
  <c r="BK20" i="3"/>
  <c r="BQ20" i="3"/>
  <c r="BK15" i="3"/>
  <c r="BJ20" i="3"/>
  <c r="BL30" i="3"/>
  <c r="BN10" i="3"/>
  <c r="BP20" i="3"/>
  <c r="BK35" i="3"/>
  <c r="BK10" i="3"/>
  <c r="BP5" i="3"/>
  <c r="BT30" i="3"/>
  <c r="BM20" i="3"/>
  <c r="BR25" i="3"/>
  <c r="BR35" i="3"/>
  <c r="BT25" i="3"/>
  <c r="BS15" i="3"/>
  <c r="BT5" i="3"/>
  <c r="BL35" i="3"/>
  <c r="BT10" i="3"/>
  <c r="BN35" i="3"/>
  <c r="BQ10" i="3"/>
  <c r="BS5" i="3"/>
  <c r="BT20" i="3"/>
  <c r="BR30" i="3"/>
  <c r="BQ30" i="3"/>
  <c r="BP25" i="3"/>
  <c r="BS30" i="3"/>
  <c r="BQ35" i="3"/>
  <c r="BT35" i="3"/>
  <c r="BM10" i="3"/>
  <c r="BR15" i="3"/>
  <c r="BN15" i="3"/>
  <c r="BN20" i="3"/>
  <c r="BS25" i="3"/>
  <c r="BN25" i="3"/>
  <c r="BL25" i="3"/>
  <c r="BM5" i="3"/>
  <c r="BM25" i="3"/>
  <c r="BR5" i="3"/>
  <c r="BJ10" i="3"/>
  <c r="BQ5" i="3"/>
  <c r="BM30" i="3"/>
  <c r="BQ15" i="3"/>
  <c r="BP15" i="3"/>
  <c r="BN5" i="3"/>
  <c r="BT15" i="3"/>
  <c r="BL15" i="3"/>
  <c r="BQ25" i="3"/>
  <c r="BL10" i="3"/>
  <c r="BP35" i="3"/>
  <c r="BG20" i="3" l="1"/>
  <c r="AJ41" i="3"/>
  <c r="AK42" i="3"/>
  <c r="L43" i="7"/>
  <c r="BG19" i="3"/>
  <c r="K20" i="3"/>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K40" i="7" s="1"/>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10" i="7"/>
  <c r="BK20" i="7"/>
  <c r="BK30" i="7"/>
  <c r="BK10" i="7"/>
  <c r="BJ30" i="7"/>
  <c r="BJ20" i="7"/>
  <c r="BJ25" i="3"/>
  <c r="BJ5" i="3"/>
  <c r="BJ15" i="3"/>
  <c r="BK5"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<sst xmlns="http://schemas.openxmlformats.org/spreadsheetml/2006/main" count="1512" uniqueCount="594">
  <si>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</si>
  <si>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</si>
  <si>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</si>
  <si>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</si>
  <si>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</si>
  <si>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</si>
  <si>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</si>
  <si>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</si>
  <si>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</si>
  <si>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</si>
  <si>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</si>
  <si>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</si>
  <si>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</si>
  <si>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</si>
  <si>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</si>
  <si>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</si>
  <si>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</si>
  <si>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</si>
  <si>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</si>
  <si>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</si>
  <si>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</si>
  <si>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</si>
  <si>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</si>
  <si>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</si>
  <si>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</si>
  <si>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</si>
  <si>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</si>
  <si>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</si>
  <si>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</si>
  <si>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</si>
  <si>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</si>
  <si>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</si>
  <si>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</si>
  <si>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</si>
  <si>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</si>
  <si>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</si>
  <si>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</si>
  <si>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</si>
  <si>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</si>
  <si>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</si>
  <si>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</si>
  <si>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</si>
  <si>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</si>
  <si>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</si>
  <si>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</si>
  <si>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</si>
  <si>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</si>
  <si>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</si>
  <si>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</si>
  <si>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</si>
  <si>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</si>
  <si>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</si>
  <si>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</si>
  <si>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</si>
  <si>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</si>
  <si>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</si>
  <si>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</si>
  <si>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</si>
  <si>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</si>
  <si>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</si>
  <si>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</si>
  <si>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</si>
  <si>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</si>
  <si>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</si>
  <si>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</si>
  <si>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</si>
  <si>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</si>
  <si>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</si>
  <si>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</si>
  <si>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</si>
  <si>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</si>
  <si>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</si>
  <si>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</si>
  <si>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</si>
  <si>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</si>
  <si>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</si>
  <si>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</si>
  <si>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</si>
  <si>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</si>
  <si>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</si>
  <si>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</si>
  <si>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</si>
  <si>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</si>
  <si>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</si>
  <si>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</si>
  <si>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</si>
  <si>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</si>
  <si>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</si>
  <si>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</si>
  <si>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</si>
  <si>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</si>
  <si>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</si>
  <si>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</si>
  <si>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</si>
  <si>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</si>
  <si>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</si>
  <si>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</si>
  <si>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</si>
  <si>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</si>
  <si>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</si>
  <si>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</si>
  <si>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</si>
  <si>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</si>
  <si>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</si>
  <si>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</si>
  <si>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</si>
  <si>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</si>
  <si>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</si>
  <si>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</si>
  <si>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</si>
  <si>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</si>
  <si>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</si>
  <si>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</si>
  <si>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</si>
  <si>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</si>
  <si>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</si>
  <si>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</si>
  <si>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</si>
  <si>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</si>
  <si>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</si>
  <si>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</si>
  <si>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</si>
  <si>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</si>
  <si>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</si>
  <si>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</si>
  <si>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</si>
  <si>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</si>
  <si>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</si>
  <si>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</si>
  <si>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</si>
  <si>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</si>
  <si>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</si>
  <si>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</si>
  <si>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</si>
  <si>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</si>
  <si>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</si>
  <si>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</si>
  <si>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</si>
  <si>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</si>
  <si>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</si>
  <si>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</si>
  <si>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</si>
  <si>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</si>
  <si>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</si>
  <si>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</si>
  <si>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</si>
  <si>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</si>
  <si>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</si>
  <si>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</si>
  <si>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</si>
  <si>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</si>
  <si>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</si>
  <si>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</si>
  <si>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</si>
  <si>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</si>
  <si>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</si>
  <si>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</si>
  <si>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</si>
  <si>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</si>
  <si>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</si>
  <si>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</si>
  <si>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</si>
  <si>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</si>
  <si>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</si>
  <si>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</si>
  <si>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</si>
  <si>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</si>
  <si>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</si>
  <si>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</si>
  <si>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</si>
  <si>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</si>
  <si>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</si>
  <si>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</si>
  <si>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</si>
  <si>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</si>
  <si>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</si>
  <si>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</si>
  <si>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</si>
  <si>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</si>
  <si>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</si>
  <si>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</si>
  <si>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</si>
  <si>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</si>
  <si>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</si>
  <si>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</si>
  <si>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</si>
  <si>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</si>
  <si>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</si>
  <si>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</si>
  <si>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</si>
  <si>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</si>
  <si>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</si>
  <si>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</si>
  <si>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</si>
  <si>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</si>
  <si>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</si>
  <si>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</si>
  <si>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</si>
  <si>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</si>
  <si>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</si>
  <si>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</si>
  <si>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</si>
  <si>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</si>
  <si>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</si>
  <si>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</si>
  <si>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</si>
  <si>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</si>
  <si>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</si>
  <si>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</si>
  <si>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</si>
  <si>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</si>
  <si>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</si>
  <si>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</si>
  <si>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</si>
  <si>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</si>
  <si>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</si>
  <si>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</si>
  <si>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</si>
  <si>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</si>
  <si>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</si>
  <si>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</si>
  <si>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</si>
  <si>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</si>
  <si>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</si>
  <si>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</si>
  <si>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</si>
  <si>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</si>
  <si>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</si>
  <si>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</si>
  <si>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</si>
  <si>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</si>
  <si>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</si>
  <si>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</si>
  <si>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</si>
  <si>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</si>
  <si>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</si>
  <si>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</si>
  <si>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</si>
  <si>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</si>
  <si>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</si>
  <si>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</si>
  <si>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</si>
  <si>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</si>
  <si>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</si>
  <si>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</si>
  <si>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</si>
  <si>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</si>
  <si>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</si>
  <si>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</si>
  <si>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</si>
  <si>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</si>
  <si>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</si>
  <si>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</si>
  <si>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</si>
  <si>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</si>
  <si>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</si>
  <si>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</si>
  <si>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</si>
  <si>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</si>
  <si>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</si>
  <si>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</si>
  <si>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</si>
  <si>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</si>
  <si>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</si>
  <si>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</si>
  <si>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</si>
  <si>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</si>
  <si>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</si>
  <si>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</si>
  <si>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</si>
  <si>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</si>
  <si>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</si>
  <si>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</si>
  <si>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</si>
  <si>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</si>
  <si>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</si>
  <si>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</si>
  <si>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</si>
  <si>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</si>
  <si>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</si>
  <si>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</si>
  <si>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</si>
  <si>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</si>
  <si>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</si>
  <si>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</si>
  <si>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</si>
  <si>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</si>
  <si>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</si>
  <si>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</si>
  <si>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</si>
  <si>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</si>
  <si>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</si>
  <si>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</si>
  <si>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</si>
  <si>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</si>
  <si>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</si>
  <si>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</si>
  <si>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</si>
  <si>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</si>
  <si>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</si>
  <si>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</si>
  <si>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</si>
  <si>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</si>
  <si>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</si>
  <si>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</si>
  <si>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</si>
  <si>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</si>
  <si>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</si>
  <si>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</si>
  <si>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</si>
  <si>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</si>
  <si>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</si>
  <si>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</si>
  <si>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</si>
  <si>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</si>
  <si>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</si>
  <si>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</si>
  <si>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</si>
  <si>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</si>
  <si>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</si>
  <si>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</si>
  <si>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</si>
  <si>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</si>
  <si>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</si>
  <si>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</si>
  <si>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</si>
  <si>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</si>
  <si>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</si>
  <si>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</si>
  <si>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</si>
  <si>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</si>
  <si>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</si>
  <si>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</si>
  <si>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</si>
  <si>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</si>
  <si>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</si>
  <si>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</si>
  <si>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</si>
  <si>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</si>
  <si>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</si>
  <si>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</si>
  <si>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</si>
  <si>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</si>
  <si>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</si>
  <si>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</si>
  <si>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</si>
  <si>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</si>
  <si>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</si>
  <si>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</si>
  <si>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</si>
  <si>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</si>
  <si>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</si>
  <si>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</si>
  <si>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</si>
  <si>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</si>
  <si>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</si>
  <si>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</si>
  <si>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</si>
  <si>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</si>
  <si>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</si>
  <si>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</si>
  <si>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</si>
  <si>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</si>
  <si>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</si>
  <si>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</si>
  <si>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</si>
  <si>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</si>
  <si>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</si>
  <si>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</si>
  <si>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</si>
  <si>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</si>
  <si>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</si>
  <si>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</si>
  <si>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</si>
  <si>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</si>
  <si>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</si>
  <si>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</si>
  <si>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</si>
  <si>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</si>
  <si>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</si>
  <si>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</si>
  <si>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</si>
  <si>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</si>
  <si>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</si>
  <si>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</si>
  <si>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</si>
  <si>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</si>
  <si>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</si>
  <si>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</si>
  <si>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</si>
  <si>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</si>
  <si>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</si>
  <si>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</si>
  <si>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</si>
  <si>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</si>
  <si>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</si>
  <si>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</si>
  <si>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</si>
  <si>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</si>
  <si>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</si>
  <si>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</si>
  <si>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</si>
  <si>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</si>
  <si>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</si>
  <si>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</si>
  <si>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</si>
  <si>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</si>
  <si>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</si>
  <si>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</si>
  <si>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</si>
  <si>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</si>
  <si>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</si>
  <si>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</si>
  <si>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</si>
  <si>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</si>
  <si>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</si>
  <si>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</si>
  <si>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</si>
  <si>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</si>
  <si>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</si>
  <si>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</si>
  <si>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</si>
  <si>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</si>
  <si>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</si>
  <si>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</si>
  <si>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</si>
  <si>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</si>
  <si>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</si>
  <si>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</si>
  <si>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</si>
  <si>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</si>
  <si>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</si>
  <si>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</si>
  <si>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</si>
  <si>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</si>
  <si>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</si>
  <si>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</si>
  <si>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</si>
  <si>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</si>
  <si>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</si>
  <si>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</si>
  <si>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</si>
  <si>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</si>
  <si>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</si>
  <si>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</si>
  <si>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</si>
  <si>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</si>
  <si>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</si>
  <si>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</si>
  <si>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</si>
  <si>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</si>
  <si>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</si>
  <si>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</si>
  <si>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</si>
  <si>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</si>
  <si>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</si>
  <si>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</si>
  <si>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</si>
  <si>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</si>
  <si>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</si>
  <si>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</si>
  <si>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</si>
  <si>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</si>
  <si>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</si>
  <si>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</si>
  <si>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</si>
  <si>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</si>
  <si>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</si>
  <si>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</si>
  <si>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</si>
  <si>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</si>
  <si>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</si>
  <si>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</si>
  <si>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</si>
  <si>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</si>
  <si>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</si>
  <si>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</si>
  <si>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</si>
  <si>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</si>
  <si>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</si>
  <si>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</si>
  <si>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</si>
  <si>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</si>
  <si>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</si>
  <si>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</si>
  <si>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</si>
  <si>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</si>
  <si>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</si>
  <si>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</si>
  <si>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</si>
  <si>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</si>
  <si>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</si>
  <si>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</si>
  <si>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</si>
  <si>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</si>
  <si>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</si>
  <si>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</si>
  <si>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</si>
  <si>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</si>
  <si>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</si>
  <si>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</si>
  <si>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</si>
  <si>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</si>
  <si>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</si>
  <si>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</si>
  <si>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</si>
  <si>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</si>
  <si>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</si>
  <si>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</si>
  <si>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</si>
  <si>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</si>
  <si>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</si>
  <si>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</si>
  <si>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</si>
  <si>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</si>
  <si>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</si>
  <si>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</si>
  <si>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</si>
  <si>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</si>
  <si>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</si>
  <si>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</si>
  <si>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</si>
  <si>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</si>
  <si>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</si>
  <si>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</si>
  <si>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</si>
  <si>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</si>
  <si>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</si>
  <si>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</si>
  <si>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</si>
  <si>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</si>
  <si>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</si>
  <si>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</si>
  <si>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</si>
  <si>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</si>
  <si>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</si>
  <si>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</si>
  <si>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</si>
  <si>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</si>
  <si>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</si>
  <si>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</si>
  <si>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</si>
  <si>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</si>
  <si>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</si>
  <si>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</si>
  <si>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</si>
  <si>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</si>
  <si>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</si>
  <si>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</si>
  <si>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</si>
  <si>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</si>
  <si>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</si>
  <si>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</si>
  <si>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</si>
  <si>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</si>
  <si>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</si>
  <si>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</si>
  <si>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</si>
  <si>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</si>
  <si>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</si>
  <si>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</si>
  <si>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</si>
  <si>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</si>
  <si>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</si>
  <si>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</si>
  <si>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</si>
  <si>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</si>
  <si>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</si>
  <si>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</si>
  <si>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</si>
  <si>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</si>
  <si>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</si>
  <si>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</si>
  <si>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</si>
  <si>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</si>
  <si>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</si>
  <si>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</si>
  <si>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</si>
  <si>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</si>
  <si>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</si>
  <si>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</si>
  <si>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</si>
  <si>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</si>
  <si>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</si>
  <si>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</si>
  <si>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</si>
  <si>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</si>
  <si>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</si>
  <si>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</si>
  <si>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</si>
  <si>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</si>
  <si>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</si>
  <si>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multistream=0 absoluteD1=1 absoluteT1=1</t>
  </si>
  <si>
    <t>TMC2v8.0 rc4 - patch precedence=0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</si>
</sst>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rc3 multistream=0 absoluteD1=1 absoluteT1=1</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rc4 - patch precedence=0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rc3 multistream=0 absoluteD1=1 absoluteT1=1</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rc4 - patch precedence=0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rc3 multistream=0 absoluteD1=1 absoluteT1=1</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rc4 - patch precedence=0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rc3 multistream=0 absoluteD1=1 absoluteT1=1</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rc4 - patch precedence=0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rc3 multistream=0 absoluteD1=1 absoluteT1=1</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rc4 - patch precedence=0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rc3 multistream=0 absoluteD1=1 absoluteT1=1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rc4 - patch precedence=0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-6.288326624051821E-3</v>
      </c>
      <c r="D9" s="51">
        <f>'C2 lossyG,lossyA,intra'!$BK$40:$BK$40</f>
        <v>-1.3695446101602532E-2</v>
      </c>
      <c r="E9" s="51">
        <f>'C2 lossyG,lossyA,intra'!$BL$40:$BL$40</f>
        <v>8.4114927418132701E-3</v>
      </c>
      <c r="F9" s="51">
        <f>'C2 lossyG,lossyA,intra'!$BM$40:$BM$40</f>
        <v>9.6004323545454961E-3</v>
      </c>
      <c r="G9" s="51">
        <f>'C2 lossyG,lossyA,intra'!$BN$40:$BN$40</f>
        <v>2.0522428536738052E-2</v>
      </c>
      <c r="H9" s="51">
        <f>'C2 lossyG,lossyA,intra'!$BP$40:$BP$40</f>
        <v>-2.87715918594178E-3</v>
      </c>
      <c r="I9" s="51">
        <f>'C2 lossyG,lossyA,intra'!$BQ$40:$BQ$40</f>
        <v>-1.7655967667256717E-2</v>
      </c>
      <c r="J9" s="51">
        <f>'C2 lossyG,lossyA,intra'!$BR$40:$BR$40</f>
        <v>5.5326107891151E-3</v>
      </c>
      <c r="K9" s="51">
        <f>'C2 lossyG,lossyA,intra'!$BS$40:$BS$40</f>
        <v>6.3075243765849942E-3</v>
      </c>
      <c r="L9" s="51">
        <f>'C2 lossyG,lossyA,intra'!$BT$40:$BT$40</f>
        <v>1.4509887358206769E-2</v>
      </c>
    </row>
    <row r="10" spans="2:12" x14ac:dyDescent="0.2">
      <c r="B10" t="s">
        <v>17</v>
      </c>
      <c r="C10" s="51">
        <f>'C2 lossyG,lossyA,intra'!$BJ$41:$BJ$41</f>
        <v>6.0107494612493539E-5</v>
      </c>
      <c r="D10" s="51">
        <f>'C2 lossyG,lossyA,intra'!$BK$41:$BK$41</f>
        <v>9.2456163778731337E-5</v>
      </c>
      <c r="E10" s="51">
        <f>'C2 lossyG,lossyA,intra'!$BL$41:$BL$41</f>
        <v>-4.1512352588424228E-5</v>
      </c>
      <c r="F10" s="51">
        <f>'C2 lossyG,lossyA,intra'!$BM$41:$BM$41</f>
        <v>-9.1884594017743737E-4</v>
      </c>
      <c r="G10" s="51">
        <f>'C2 lossyG,lossyA,intra'!$BN$41:$BN$41</f>
        <v>-7.7516076731498629E-4</v>
      </c>
      <c r="H10" s="51">
        <f>'C2 lossyG,lossyA,intra'!$BP$41:$BP$41</f>
        <v>2.0508234497684796E-4</v>
      </c>
      <c r="I10" s="51">
        <f>'C2 lossyG,lossyA,intra'!$BQ$41:$BQ$41</f>
        <v>1.8268341871685578E-4</v>
      </c>
      <c r="J10" s="51">
        <f>'C2 lossyG,lossyA,intra'!$BR$41:$BR$41</f>
        <v>-3.5961967799646999E-5</v>
      </c>
      <c r="K10" s="51">
        <f>'C2 lossyG,lossyA,intra'!$BS$41:$BS$41</f>
        <v>-8.1528125450525124E-4</v>
      </c>
      <c r="L10" s="51">
        <f>'C2 lossyG,lossyA,intra'!$BT$41:$BT$41</f>
        <v>-6.9051715734946839E-4</v>
      </c>
    </row>
    <row r="11" spans="2:12" x14ac:dyDescent="0.2">
      <c r="B11" t="s">
        <v>18</v>
      </c>
      <c r="C11" s="51">
        <f>'C2 lossyG,lossyA,intra'!$BJ$42:$BJ$42</f>
        <v>3.1773684277758285E-5</v>
      </c>
      <c r="D11" s="51">
        <f>'C2 lossyG,lossyA,intra'!$BK$42:$BK$42</f>
        <v>-2.0351202305313176E-4</v>
      </c>
      <c r="E11" s="51">
        <f>'C2 lossyG,lossyA,intra'!$BL$42:$BL$42</f>
        <v>-5.3769875294706893E-5</v>
      </c>
      <c r="F11" s="51">
        <f>'C2 lossyG,lossyA,intra'!$BM$42:$BM$42</f>
        <v>2.4323200069398254E-4</v>
      </c>
      <c r="G11" s="51">
        <f>'C2 lossyG,lossyA,intra'!$BN$42:$BN$42</f>
        <v>-2.2379922642677408E-3</v>
      </c>
      <c r="H11" s="51">
        <f>'C2 lossyG,lossyA,intra'!$BP$42:$BP$42</f>
        <v>-1.8723041405266372E-5</v>
      </c>
      <c r="I11" s="51">
        <f>'C2 lossyG,lossyA,intra'!$BQ$42:$BQ$42</f>
        <v>-3.7835522211343564E-4</v>
      </c>
      <c r="J11" s="51">
        <f>'C2 lossyG,lossyA,intra'!$BR$42:$BR$42</f>
        <v>2.5356251664609974E-5</v>
      </c>
      <c r="K11" s="51">
        <f>'C2 lossyG,lossyA,intra'!$BS$42:$BS$42</f>
        <v>1.9285776958871681E-4</v>
      </c>
      <c r="L11" s="51">
        <f>'C2 lossyG,lossyA,intra'!$BT$42:$BT$42</f>
        <v>-1.3164538994871466E-3</v>
      </c>
    </row>
    <row r="12" spans="2:12" x14ac:dyDescent="0.2">
      <c r="B12" s="4" t="s">
        <v>19</v>
      </c>
      <c r="C12" s="5">
        <f>'C2 lossyG,lossyA,intra'!$BJ$43:$BJ$43</f>
        <v>-3.5756645190056107E-3</v>
      </c>
      <c r="D12" s="5">
        <f>'C2 lossyG,lossyA,intra'!$BK$43:$BK$43</f>
        <v>-7.8709074698196657E-3</v>
      </c>
      <c r="E12" s="5">
        <f>'C2 lossyG,lossyA,intra'!$BL$43:$BL$43</f>
        <v>4.7852741234393203E-3</v>
      </c>
      <c r="F12" s="5">
        <f>'C2 lossyG,lossyA,intra'!$BM$43:$BM$43</f>
        <v>5.4241924970560729E-3</v>
      </c>
      <c r="G12" s="5">
        <f>'C2 lossyG,lossyA,intra'!$BN$43:$BN$43</f>
        <v>1.0976938407300249E-2</v>
      </c>
      <c r="H12" s="5">
        <f>'C2 lossyG,lossyA,intra'!$BP$43:$BP$43</f>
        <v>-1.620142925942972E-3</v>
      </c>
      <c r="I12" s="5">
        <f>'C2 lossyG,lossyA,intra'!$BQ$43:$BQ$43</f>
        <v>-1.0171128242076697E-2</v>
      </c>
      <c r="J12" s="5">
        <f>'C2 lossyG,lossyA,intra'!$BR$43:$BR$43</f>
        <v>3.1635990988557105E-3</v>
      </c>
      <c r="K12" s="5">
        <f>'C2 lossyG,lossyA,intra'!$BS$43:$BS$43</f>
        <v>3.5429331130017372E-3</v>
      </c>
      <c r="L12" s="5">
        <f>'C2 lossyG,lossyA,intra'!$BT$43:$BT$43</f>
        <v>7.8165892109290456E-3</v>
      </c>
    </row>
    <row r="13" spans="2:12" x14ac:dyDescent="0.2">
      <c r="B13" t="s">
        <v>20</v>
      </c>
      <c r="C13" s="61">
        <f>'C2 lossyG,lossyA,intra'!AZ47</f>
        <v>1.0310980200522919</v>
      </c>
      <c r="D13" s="62"/>
      <c r="E13" s="62"/>
      <c r="F13" s="62"/>
      <c r="G13" s="62"/>
      <c r="H13" s="62"/>
      <c r="I13" s="62"/>
      <c r="J13" s="62"/>
      <c r="K13" s="62"/>
      <c r="L13" s="62"/>
    </row>
    <row r="14" spans="2:12" x14ac:dyDescent="0.2">
      <c r="B14" s="54" t="s">
        <v>21</v>
      </c>
      <c r="C14" s="63">
        <f>'C2 lossyG,lossyA,intra'!BB47</f>
        <v>1.0142704586309881</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-2.9464216388949971E-3</v>
      </c>
      <c r="D43" s="51">
        <f>'C2 lossyG,lossyA,interRA'!$BK$40:$BK$40</f>
        <v>-1.3091906702722644E-2</v>
      </c>
      <c r="E43" s="51">
        <f>'C2 lossyG,lossyA,interRA'!$BL$40:$BL$40</f>
        <v>2.0631709629564815E-2</v>
      </c>
      <c r="F43" s="51">
        <f>'C2 lossyG,lossyA,interRA'!$BM$40:$BM$40</f>
        <v>1.645098892945282E-2</v>
      </c>
      <c r="G43" s="51">
        <f>'C2 lossyG,lossyA,interRA'!$BN$40:$BN$40</f>
        <v>3.5511749313561519E-2</v>
      </c>
      <c r="H43" s="51">
        <f>'C2 lossyG,lossyA,interRA'!$BP$40:$BP$40</f>
        <v>2.9481235645756332E-4</v>
      </c>
      <c r="I43" s="51">
        <f>'C2 lossyG,lossyA,interRA'!$BQ$40:$BQ$40</f>
        <v>-1.7573003075371268E-2</v>
      </c>
      <c r="J43" s="51">
        <f>'C2 lossyG,lossyA,interRA'!$BR$40:$BR$40</f>
        <v>1.1136712113510666E-2</v>
      </c>
      <c r="K43" s="51">
        <f>'C2 lossyG,lossyA,interRA'!$BS$40:$BS$40</f>
        <v>1.0099113156355838E-2</v>
      </c>
      <c r="L43" s="51">
        <f>'C2 lossyG,lossyA,interRA'!$BT$40:$BT$40</f>
        <v>2.109501142351311E-2</v>
      </c>
    </row>
    <row r="44" spans="2:12" x14ac:dyDescent="0.2">
      <c r="B44" t="s">
        <v>17</v>
      </c>
      <c r="C44" s="51">
        <f>'C2 lossyG,lossyA,interRA'!$BJ$41:$BJ$41</f>
        <v>-1.8128632546222656E-3</v>
      </c>
      <c r="D44" s="51">
        <f>'C2 lossyG,lossyA,interRA'!$BK$41:$BK$41</f>
        <v>-1.6154842037781059E-3</v>
      </c>
      <c r="E44" s="51">
        <f>'C2 lossyG,lossyA,interRA'!$BL$41:$BL$41</f>
        <v>2.6966339409750795E-4</v>
      </c>
      <c r="F44" s="51">
        <f>'C2 lossyG,lossyA,interRA'!$BM$41:$BM$41</f>
        <v>7.9839409394688587E-3</v>
      </c>
      <c r="G44" s="51">
        <f>'C2 lossyG,lossyA,interRA'!$BN$41:$BN$41</f>
        <v>3.7190675025200459E-3</v>
      </c>
      <c r="H44" s="51">
        <f>'C2 lossyG,lossyA,interRA'!$BP$41:$BP$41</f>
        <v>-5.1438928889937507E-3</v>
      </c>
      <c r="I44" s="51">
        <f>'C2 lossyG,lossyA,interRA'!$BQ$41:$BQ$41</f>
        <v>-5.3753252691203235E-3</v>
      </c>
      <c r="J44" s="51">
        <f>'C2 lossyG,lossyA,interRA'!$BR$41:$BR$41</f>
        <v>7.7199300665542481E-4</v>
      </c>
      <c r="K44" s="51">
        <f>'C2 lossyG,lossyA,interRA'!$BS$41:$BS$41</f>
        <v>6.8302150537626893E-3</v>
      </c>
      <c r="L44" s="51">
        <f>'C2 lossyG,lossyA,interRA'!$BT$41:$BT$41</f>
        <v>3.2921797630047767E-3</v>
      </c>
    </row>
    <row r="45" spans="2:12" x14ac:dyDescent="0.2">
      <c r="B45" t="s">
        <v>18</v>
      </c>
      <c r="C45" s="51">
        <f>'C2 lossyG,lossyA,interRA'!$BJ$42:$BJ$42</f>
        <v>-1.156732415746875E-4</v>
      </c>
      <c r="D45" s="51">
        <f>'C2 lossyG,lossyA,interRA'!$BK$42:$BK$42</f>
        <v>1.6003397919461815E-4</v>
      </c>
      <c r="E45" s="51">
        <f>'C2 lossyG,lossyA,interRA'!$BL$42:$BL$42</f>
        <v>3.0267185691795762E-4</v>
      </c>
      <c r="F45" s="51">
        <f>'C2 lossyG,lossyA,interRA'!$BM$42:$BM$42</f>
        <v>7.002237994902516E-3</v>
      </c>
      <c r="G45" s="51">
        <f>'C2 lossyG,lossyA,interRA'!$BN$42:$BN$42</f>
        <v>-5.4863077177325081E-3</v>
      </c>
      <c r="H45" s="51">
        <f>'C2 lossyG,lossyA,interRA'!$BP$42:$BP$42</f>
        <v>5.7235604328131906E-5</v>
      </c>
      <c r="I45" s="51">
        <f>'C2 lossyG,lossyA,interRA'!$BQ$42:$BQ$42</f>
        <v>4.3029058531118825E-4</v>
      </c>
      <c r="J45" s="51">
        <f>'C2 lossyG,lossyA,interRA'!$BR$42:$BR$42</f>
        <v>-1.1303022863451417E-5</v>
      </c>
      <c r="K45" s="51">
        <f>'C2 lossyG,lossyA,interRA'!$BS$42:$BS$42</f>
        <v>4.5175093787015452E-3</v>
      </c>
      <c r="L45" s="51">
        <f>'C2 lossyG,lossyA,interRA'!$BT$42:$BT$42</f>
        <v>-1.4528999340658877E-3</v>
      </c>
    </row>
    <row r="46" spans="2:12" x14ac:dyDescent="0.2">
      <c r="B46" s="4" t="s">
        <v>19</v>
      </c>
      <c r="C46" s="5">
        <f>'C2 lossyG,lossyA,interRA'!$BJ$43:$BJ$43</f>
        <v>-1.975699470478804E-3</v>
      </c>
      <c r="D46" s="5">
        <f>'C2 lossyG,lossyA,interRA'!$BK$43:$BK$43</f>
        <v>-7.6661490080399209E-3</v>
      </c>
      <c r="E46" s="5">
        <f>'C2 lossyG,lossyA,interRA'!$BL$43:$BL$43</f>
        <v>1.1914549375170383E-2</v>
      </c>
      <c r="F46" s="5">
        <f>'C2 lossyG,lossyA,interRA'!$BM$43:$BM$43</f>
        <v>1.2541767521012168E-2</v>
      </c>
      <c r="G46" s="5">
        <f>'C2 lossyG,lossyA,interRA'!$BN$43:$BN$43</f>
        <v>1.925620704590016E-2</v>
      </c>
      <c r="H46" s="5">
        <f>'C2 lossyG,lossyA,interRA'!$BP$43:$BP$43</f>
        <v>-5.5002460778674767E-4</v>
      </c>
      <c r="I46" s="5">
        <f>'C2 lossyG,lossyA,interRA'!$BQ$43:$BQ$43</f>
        <v>-1.0686679485711861E-2</v>
      </c>
      <c r="J46" s="5">
        <f>'C2 lossyG,lossyA,interRA'!$BR$43:$BR$43</f>
        <v>6.4708907735673126E-3</v>
      </c>
      <c r="K46" s="5">
        <f>'C2 lossyG,lossyA,interRA'!$BS$43:$BS$43</f>
        <v>8.0373837766555909E-3</v>
      </c>
      <c r="L46" s="5">
        <f>'C2 lossyG,lossyA,interRA'!$BT$43:$BT$43</f>
        <v>1.2109489369846491E-2</v>
      </c>
    </row>
    <row r="47" spans="2:12" x14ac:dyDescent="0.2">
      <c r="B47" t="s">
        <v>20</v>
      </c>
      <c r="C47" s="61">
        <f>'C2 lossyG,lossyA,interRA'!AZ47</f>
        <v>1.0460291828892163</v>
      </c>
      <c r="D47" s="62"/>
      <c r="E47" s="62"/>
      <c r="F47" s="62"/>
      <c r="G47" s="62"/>
      <c r="H47" s="62"/>
      <c r="I47" s="62"/>
      <c r="J47" s="62"/>
      <c r="K47" s="62"/>
      <c r="L47" s="62"/>
    </row>
    <row r="48" spans="2:12" x14ac:dyDescent="0.2">
      <c r="B48" s="54" t="s">
        <v>21</v>
      </c>
      <c r="C48" s="63">
        <f>'C2 lossyG,lossyA,interRA'!BB47</f>
        <v>1.0067046245077194</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E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2.1746249999999998</v>
      </c>
      <c r="J5" s="11">
        <f t="shared" ref="J5:J39" si="1">IF(ISBLANK(S5),"·",S5/D5)</f>
        <v>9.7402273881194365E-3</v>
      </c>
      <c r="K5" s="11">
        <f t="shared" ref="K5:K39" si="2">IF(N5="","·",N5/D5)</f>
        <v>6.1611515246519106E-3</v>
      </c>
      <c r="L5" s="11">
        <f t="shared" ref="L5:L39" si="3">IF(T5="","·",T5/D5)</f>
        <v>3.5272086067430685E-3</v>
      </c>
      <c r="M5" s="11">
        <f t="shared" ref="M5:M39" si="4">IF(ISBLANK(V5),"·",V5/D5)</f>
        <v>3.5785383789418835E-3</v>
      </c>
      <c r="N5" s="52">
        <f t="shared" ref="N5:N39" si="5">IF(OR(ISBLANK(T5),ISBLANK(U5)),"",T5+U5)</f>
        <v>1467256</v>
      </c>
      <c r="O5" s="11">
        <v>16</v>
      </c>
      <c r="P5" s="12">
        <v>21785839</v>
      </c>
      <c r="Q5" s="12">
        <v>680807.46875</v>
      </c>
      <c r="R5" s="12">
        <v>13493.8125</v>
      </c>
      <c r="S5" s="13">
        <v>2319600</v>
      </c>
      <c r="T5" s="13">
        <v>839992</v>
      </c>
      <c r="U5" s="13">
        <v>627264</v>
      </c>
      <c r="V5" s="13">
        <v>852216</v>
      </c>
      <c r="W5" s="14">
        <v>66.354628000000005</v>
      </c>
      <c r="X5" s="14">
        <v>68.478525000000005</v>
      </c>
      <c r="Y5" s="14">
        <v>32.104728000000001</v>
      </c>
      <c r="Z5" s="14">
        <v>44.160262000000003</v>
      </c>
      <c r="AA5" s="14">
        <v>43.841844000000002</v>
      </c>
      <c r="AB5" s="15">
        <v>3941.18</v>
      </c>
      <c r="AC5" s="15">
        <v>1263.74</v>
      </c>
      <c r="AD5" s="15">
        <v>62.37</v>
      </c>
      <c r="AE5" s="15">
        <v>19.858000000000001</v>
      </c>
      <c r="AG5" s="10">
        <f t="shared" ref="AG5:AG39" si="6">IF(OR(ISBLANK(AQ5),ISBLANK(G5)),"·",AQ5*G5/F5/1000000)</f>
        <v>2.1746325</v>
      </c>
      <c r="AH5" s="11">
        <f t="shared" ref="AH5:AH39" si="7">IF(ISBLANK(AQ5),"·",AQ5/D5)</f>
        <v>9.7402609809022888E-3</v>
      </c>
      <c r="AI5" s="11">
        <f t="shared" ref="AI5:AI39" si="8">IF(AL5="","·",AL5/D5)</f>
        <v>6.1611851174347629E-3</v>
      </c>
      <c r="AJ5" s="11">
        <f t="shared" ref="AJ5:AJ39" si="9">IF(AR5="","·",AR5/D5)</f>
        <v>3.5272086067430685E-3</v>
      </c>
      <c r="AK5" s="11">
        <f t="shared" ref="AK5:AK39" si="10">IF(ISBLANK(AT5),"·",AT5/D5)</f>
        <v>3.5785383789418835E-3</v>
      </c>
      <c r="AL5" s="52">
        <f t="shared" ref="AL5:AL39" si="11">IF(OR(ISBLANK(AR5),ISBLANK(AS5)),"",AR5+AS5)</f>
        <v>1467264</v>
      </c>
      <c r="AM5" s="11">
        <v>16</v>
      </c>
      <c r="AN5" s="12">
        <v>21785839</v>
      </c>
      <c r="AO5" s="12">
        <v>680807.46875</v>
      </c>
      <c r="AP5" s="12">
        <v>13493.8125</v>
      </c>
      <c r="AQ5" s="13">
        <v>2319608</v>
      </c>
      <c r="AR5" s="13">
        <v>839992</v>
      </c>
      <c r="AS5" s="13">
        <v>627272</v>
      </c>
      <c r="AT5" s="13">
        <v>852216</v>
      </c>
      <c r="AU5" s="14">
        <v>66.354628000000005</v>
      </c>
      <c r="AV5" s="14">
        <v>68.478525000000005</v>
      </c>
      <c r="AW5" s="14">
        <v>32.104728000000001</v>
      </c>
      <c r="AX5" s="14">
        <v>44.160262000000003</v>
      </c>
      <c r="AY5" s="14">
        <v>43.841844000000002</v>
      </c>
      <c r="AZ5" s="15">
        <v>3713.79</v>
      </c>
      <c r="BA5" s="15">
        <v>1181.2</v>
      </c>
      <c r="BB5" s="15">
        <v>61.44</v>
      </c>
      <c r="BC5" s="15">
        <v>17.957000000000001</v>
      </c>
      <c r="BE5" s="50">
        <f t="shared" ref="BE5:BE43" si="12">AI5/K5</f>
        <v>1.0000054523545994</v>
      </c>
      <c r="BF5" s="16">
        <f t="shared" ref="BF5:BF39" si="13">(AP5/AO5) - (R5/Q5)</f>
        <v>0</v>
      </c>
      <c r="BG5" s="16">
        <f t="shared" ref="BG5:BG39" si="14">(AL5/AQ5) - (N5/S5)</f>
        <v>1.2672934708302108E-6</v>
      </c>
      <c r="BH5" s="16">
        <f t="array" ref="BH5">AVERAGE(AL5:AL9/AQ5:AQ9) - AVERAGE(N5:N9/S5:S9)</f>
        <v>2.5345869419934886E-7</v>
      </c>
      <c r="BJ5" s="50">
        <f>IF( OR(ISBLANK(N5:N9),ISBLANK(AL5:AL9), ISBLANK(W5:W9),ISBLANK(AU5:AU9)), "·", bdRateExtend( N5:N9,W5:W9, AL5:AL9,AU5:AU9))</f>
        <v>7.3234107911268609E-7</v>
      </c>
      <c r="BK5" s="50">
        <f>IF( OR(ISBLANK(N5:N9),ISBLANK(AL5:AL9), ISBLANK(X5:X9),ISBLANK(AV5:AV9)), "·", bdRateExtend( N5:N9,X5:X9, AL5:AL9,AV5:AV9))</f>
        <v>6.0236455845519288E-7</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4.6247623464168441E-7</v>
      </c>
      <c r="BQ5" s="50">
        <f>IF( OR(ISBLANK(S5:S9),ISBLANK(AQ5:AQ9), ISBLANK(X5:X9),ISBLANK(AV5:AV9)), "·", bdRateExtend( S5:S9,X5:X9, AQ5:AQ9,AV5:AV9))</f>
        <v>3.8066574425954514E-7</v>
      </c>
      <c r="BR5" s="50">
        <f>IF( OR(ISBLANK(S5:S9),ISBLANK(AQ5:AQ9), ISBLANK(Y5:Y9),ISBLANK(AW5:AW9)), "·", bdRateExtend( S5:S9,Y5:Y9, AQ5:AQ9,AW5:AW9))</f>
        <v>2.8345134883700496E-7</v>
      </c>
      <c r="BS5" s="50">
        <f>IF( OR(ISBLANK(S5:S9),ISBLANK(AQ5:AQ9), ISBLANK(Z5:Z9),ISBLANK(AX5:AX9)), "·", bdRateExtend( S5:S9,Z5:Z9, AQ5:AQ9,AX5:AX9))</f>
        <v>3.274195412572567E-7</v>
      </c>
      <c r="BT5" s="50">
        <f>IF( OR(ISBLANK(S5:S9),ISBLANK(AQ5:AQ9), ISBLANK(AA5:AA9),ISBLANK(AY5:AY9)), "·", bdRateExtend( S5:S9,AA5:AA9, AQ5:AQ9,AY5:AY9))</f>
        <v>3.2825579654449655E-7</v>
      </c>
      <c r="BV5" s="58">
        <f>AN5-P5</f>
        <v>0</v>
      </c>
      <c r="BW5" s="58">
        <f t="shared" ref="BW5:CG20" si="15">AO5-Q5</f>
        <v>0</v>
      </c>
      <c r="BX5" s="58">
        <f t="shared" si="15"/>
        <v>0</v>
      </c>
      <c r="BY5" s="58">
        <f t="shared" si="15"/>
        <v>8</v>
      </c>
      <c r="BZ5" s="58">
        <f t="shared" si="15"/>
        <v>0</v>
      </c>
      <c r="CA5" s="58">
        <f t="shared" si="15"/>
        <v>8</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3287.99</v>
      </c>
      <c r="AC6" s="24">
        <v>1016.48</v>
      </c>
      <c r="AD6" s="24">
        <v>62.6</v>
      </c>
      <c r="AE6" s="24">
        <v>15.756</v>
      </c>
      <c r="AG6" s="19">
        <f t="shared" si="6"/>
        <v>3.3904424999999998</v>
      </c>
      <c r="AH6" s="20">
        <f t="shared" si="7"/>
        <v>1.518591982357608E-2</v>
      </c>
      <c r="AI6" s="20">
        <f t="shared" si="8"/>
        <v>7.5253880290799789E-3</v>
      </c>
      <c r="AJ6" s="20">
        <f t="shared" si="9"/>
        <v>4.8914115183882837E-3</v>
      </c>
      <c r="AK6" s="20">
        <f t="shared" si="10"/>
        <v>7.6599943099704589E-3</v>
      </c>
      <c r="AL6" s="17">
        <f t="shared" si="11"/>
        <v>1792144</v>
      </c>
      <c r="AM6" s="20">
        <v>16</v>
      </c>
      <c r="AN6" s="21">
        <v>24191962</v>
      </c>
      <c r="AO6" s="21">
        <v>755998.8125</v>
      </c>
      <c r="AP6" s="21">
        <v>19085.96875</v>
      </c>
      <c r="AQ6" s="22">
        <v>3616472</v>
      </c>
      <c r="AR6" s="22">
        <v>1164872</v>
      </c>
      <c r="AS6" s="22">
        <v>627272</v>
      </c>
      <c r="AT6" s="22">
        <v>1824200</v>
      </c>
      <c r="AU6" s="23">
        <v>68.255977999999999</v>
      </c>
      <c r="AV6" s="23">
        <v>70.438458999999995</v>
      </c>
      <c r="AW6" s="23">
        <v>34.355628000000003</v>
      </c>
      <c r="AX6" s="23">
        <v>45.457172</v>
      </c>
      <c r="AY6" s="23">
        <v>45.255406000000001</v>
      </c>
      <c r="AZ6" s="24">
        <v>4148.05</v>
      </c>
      <c r="BA6" s="24">
        <v>1406.47</v>
      </c>
      <c r="BB6" s="24">
        <v>72.043999999999997</v>
      </c>
      <c r="BC6" s="24">
        <v>21.864000000000001</v>
      </c>
      <c r="BE6" s="49">
        <f t="shared" si="12"/>
        <v>1</v>
      </c>
      <c r="BF6" s="25">
        <f t="shared" si="13"/>
        <v>0</v>
      </c>
      <c r="BG6" s="25">
        <f t="shared" si="14"/>
        <v>0</v>
      </c>
      <c r="BH6" s="25"/>
      <c r="BJ6" s="49"/>
      <c r="BK6" s="49"/>
      <c r="BL6" s="49"/>
      <c r="BM6" s="49"/>
      <c r="BN6" s="49"/>
      <c r="BP6" s="49"/>
      <c r="BQ6" s="49"/>
      <c r="BR6" s="49"/>
      <c r="BS6" s="49"/>
      <c r="BT6" s="49"/>
      <c r="BV6" s="58">
        <f t="shared" ref="BV6:CG39" si="16">AN6-P6</f>
        <v>0</v>
      </c>
      <c r="BW6" s="58">
        <f t="shared" si="15"/>
        <v>0</v>
      </c>
      <c r="BX6" s="58">
        <f t="shared" si="15"/>
        <v>0</v>
      </c>
      <c r="BY6" s="58">
        <f t="shared" si="15"/>
        <v>0</v>
      </c>
      <c r="BZ6" s="58">
        <f t="shared" si="15"/>
        <v>0</v>
      </c>
      <c r="CA6" s="58">
        <f t="shared" si="15"/>
        <v>0</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3285.32</v>
      </c>
      <c r="AC7" s="15">
        <v>1047.23</v>
      </c>
      <c r="AD7" s="15">
        <v>62</v>
      </c>
      <c r="AE7" s="15">
        <v>14.791</v>
      </c>
      <c r="AG7" s="10">
        <f t="shared" si="6"/>
        <v>5.5660949999999998</v>
      </c>
      <c r="AH7" s="11">
        <f t="shared" si="7"/>
        <v>2.4930749422946326E-2</v>
      </c>
      <c r="AI7" s="11">
        <f t="shared" si="8"/>
        <v>9.4726944654811088E-3</v>
      </c>
      <c r="AJ7" s="11">
        <f t="shared" si="9"/>
        <v>6.8387179547894136E-3</v>
      </c>
      <c r="AK7" s="11">
        <f t="shared" si="10"/>
        <v>1.5457517472939575E-2</v>
      </c>
      <c r="AL7" s="52">
        <f t="shared" si="11"/>
        <v>2255888</v>
      </c>
      <c r="AM7" s="11">
        <v>16</v>
      </c>
      <c r="AN7" s="12">
        <v>24808216</v>
      </c>
      <c r="AO7" s="12">
        <v>775256.75</v>
      </c>
      <c r="AP7" s="12">
        <v>20954.78125</v>
      </c>
      <c r="AQ7" s="13">
        <v>5937168</v>
      </c>
      <c r="AR7" s="13">
        <v>1628616</v>
      </c>
      <c r="AS7" s="13">
        <v>627272</v>
      </c>
      <c r="AT7" s="13">
        <v>3681152</v>
      </c>
      <c r="AU7" s="14">
        <v>69.683724999999995</v>
      </c>
      <c r="AV7" s="14">
        <v>72.129402999999996</v>
      </c>
      <c r="AW7" s="14">
        <v>36.897066000000002</v>
      </c>
      <c r="AX7" s="14">
        <v>46.589962999999997</v>
      </c>
      <c r="AY7" s="14">
        <v>46.485678</v>
      </c>
      <c r="AZ7" s="15">
        <v>3182.35</v>
      </c>
      <c r="BA7" s="15">
        <v>1014.56</v>
      </c>
      <c r="BB7" s="15">
        <v>60.921999999999997</v>
      </c>
      <c r="BC7" s="15">
        <v>14.987</v>
      </c>
      <c r="BE7" s="50">
        <f t="shared" si="12"/>
        <v>1</v>
      </c>
      <c r="BF7" s="16">
        <f t="shared" si="13"/>
        <v>0</v>
      </c>
      <c r="BG7" s="16">
        <f t="shared" si="14"/>
        <v>0</v>
      </c>
      <c r="BH7" s="16"/>
      <c r="BJ7" s="50"/>
      <c r="BK7" s="50"/>
      <c r="BL7" s="50"/>
      <c r="BM7" s="50"/>
      <c r="BN7" s="50"/>
      <c r="BP7" s="50"/>
      <c r="BQ7" s="50"/>
      <c r="BR7" s="50"/>
      <c r="BS7" s="50"/>
      <c r="BT7" s="50"/>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3398.99</v>
      </c>
      <c r="AC8" s="24">
        <v>1147.48</v>
      </c>
      <c r="AD8" s="24">
        <v>65.349000000000004</v>
      </c>
      <c r="AE8" s="24">
        <v>15.537000000000001</v>
      </c>
      <c r="AG8" s="19">
        <f t="shared" si="6"/>
        <v>9.4302674999999994</v>
      </c>
      <c r="AH8" s="20">
        <f t="shared" si="7"/>
        <v>4.2238523782625791E-2</v>
      </c>
      <c r="AI8" s="20">
        <f t="shared" si="8"/>
        <v>1.2734721644385532E-2</v>
      </c>
      <c r="AJ8" s="20">
        <f t="shared" si="9"/>
        <v>1.0100745133693839E-2</v>
      </c>
      <c r="AK8" s="20">
        <f t="shared" si="10"/>
        <v>2.9503264653714615E-2</v>
      </c>
      <c r="AL8" s="17">
        <f t="shared" si="11"/>
        <v>3032728</v>
      </c>
      <c r="AM8" s="20">
        <v>16</v>
      </c>
      <c r="AN8" s="21">
        <v>25797809</v>
      </c>
      <c r="AO8" s="21">
        <v>806181.53125</v>
      </c>
      <c r="AP8" s="21">
        <v>24199.8125</v>
      </c>
      <c r="AQ8" s="22">
        <v>10058952</v>
      </c>
      <c r="AR8" s="22">
        <v>2405456</v>
      </c>
      <c r="AS8" s="22">
        <v>627272</v>
      </c>
      <c r="AT8" s="22">
        <v>7026096</v>
      </c>
      <c r="AU8" s="23">
        <v>70.836841000000007</v>
      </c>
      <c r="AV8" s="23">
        <v>73.406981000000002</v>
      </c>
      <c r="AW8" s="23">
        <v>39.525216</v>
      </c>
      <c r="AX8" s="23">
        <v>47.905425000000001</v>
      </c>
      <c r="AY8" s="23">
        <v>47.942124999999997</v>
      </c>
      <c r="AZ8" s="24">
        <v>4041.04</v>
      </c>
      <c r="BA8" s="24">
        <v>1565.65</v>
      </c>
      <c r="BB8" s="24">
        <v>75.100999999999999</v>
      </c>
      <c r="BC8" s="24">
        <v>22.297999999999998</v>
      </c>
      <c r="BE8" s="49">
        <f t="shared" si="12"/>
        <v>1</v>
      </c>
      <c r="BF8" s="25">
        <f t="shared" si="13"/>
        <v>0</v>
      </c>
      <c r="BG8" s="25">
        <f t="shared" si="14"/>
        <v>0</v>
      </c>
      <c r="BH8" s="25"/>
      <c r="BJ8" s="49"/>
      <c r="BK8" s="49"/>
      <c r="BL8" s="49"/>
      <c r="BM8" s="49"/>
      <c r="BN8" s="49"/>
      <c r="BP8" s="49"/>
      <c r="BQ8" s="49"/>
      <c r="BR8" s="49"/>
      <c r="BS8" s="49"/>
      <c r="BT8" s="49"/>
      <c r="BV8" s="58">
        <f t="shared" si="16"/>
        <v>0</v>
      </c>
      <c r="BW8" s="58">
        <f t="shared" si="15"/>
        <v>0</v>
      </c>
      <c r="BX8" s="58">
        <f t="shared" si="15"/>
        <v>0</v>
      </c>
      <c r="BY8" s="58">
        <f t="shared" si="15"/>
        <v>0</v>
      </c>
      <c r="BZ8" s="58">
        <f t="shared" si="15"/>
        <v>0</v>
      </c>
      <c r="CA8" s="58">
        <f t="shared" si="15"/>
        <v>0</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3331.47</v>
      </c>
      <c r="AC9" s="33">
        <v>1287.06</v>
      </c>
      <c r="AD9" s="33">
        <v>64.281999999999996</v>
      </c>
      <c r="AE9" s="33">
        <v>17.472000000000001</v>
      </c>
      <c r="AG9" s="28">
        <f t="shared" si="6"/>
        <v>16.807807499999999</v>
      </c>
      <c r="AH9" s="29">
        <f t="shared" si="7"/>
        <v>7.5282803676835902E-2</v>
      </c>
      <c r="AI9" s="29">
        <f t="shared" si="8"/>
        <v>2.0639943269180176E-2</v>
      </c>
      <c r="AJ9" s="29">
        <f t="shared" si="9"/>
        <v>1.5547781280464586E-2</v>
      </c>
      <c r="AK9" s="29">
        <f t="shared" si="10"/>
        <v>5.4642322923130086E-2</v>
      </c>
      <c r="AL9" s="26">
        <f t="shared" si="11"/>
        <v>4915328</v>
      </c>
      <c r="AM9" s="29">
        <v>16</v>
      </c>
      <c r="AN9" s="30">
        <v>24868389</v>
      </c>
      <c r="AO9" s="30">
        <v>777137.15625</v>
      </c>
      <c r="AP9" s="30">
        <v>10635.96875</v>
      </c>
      <c r="AQ9" s="31">
        <v>17928328</v>
      </c>
      <c r="AR9" s="31">
        <v>3702648</v>
      </c>
      <c r="AS9" s="31">
        <v>1212680</v>
      </c>
      <c r="AT9" s="31">
        <v>13012872</v>
      </c>
      <c r="AU9" s="32">
        <v>71.945244000000002</v>
      </c>
      <c r="AV9" s="32">
        <v>75.319241000000005</v>
      </c>
      <c r="AW9" s="32">
        <v>42.127887000000001</v>
      </c>
      <c r="AX9" s="32">
        <v>49.411659</v>
      </c>
      <c r="AY9" s="32">
        <v>49.554577999999999</v>
      </c>
      <c r="AZ9" s="33">
        <v>3352.02</v>
      </c>
      <c r="BA9" s="33">
        <v>1267.51</v>
      </c>
      <c r="BB9" s="33">
        <v>60.844999999999999</v>
      </c>
      <c r="BC9" s="33">
        <v>16.356999999999999</v>
      </c>
      <c r="BE9" s="34">
        <f t="shared" si="12"/>
        <v>1</v>
      </c>
      <c r="BF9" s="35">
        <f t="shared" si="13"/>
        <v>0</v>
      </c>
      <c r="BG9" s="35">
        <f t="shared" si="14"/>
        <v>0</v>
      </c>
      <c r="BH9" s="35"/>
      <c r="BJ9" s="34"/>
      <c r="BK9" s="34"/>
      <c r="BL9" s="34"/>
      <c r="BM9" s="34"/>
      <c r="BN9" s="34"/>
      <c r="BP9" s="34"/>
      <c r="BQ9" s="34"/>
      <c r="BR9" s="34"/>
      <c r="BS9" s="34"/>
      <c r="BT9" s="34"/>
      <c r="BV9" s="58">
        <f t="shared" si="16"/>
        <v>0</v>
      </c>
      <c r="BW9" s="58">
        <f t="shared" si="15"/>
        <v>0</v>
      </c>
      <c r="BX9" s="58">
        <f t="shared" si="15"/>
        <v>0</v>
      </c>
      <c r="BY9" s="58">
        <f t="shared" si="15"/>
        <v>0</v>
      </c>
      <c r="BZ9" s="58">
        <f t="shared" si="15"/>
        <v>0</v>
      </c>
      <c r="CA9" s="58">
        <f t="shared" si="15"/>
        <v>0</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3.1811250000000002</v>
      </c>
      <c r="J10" s="20">
        <f t="shared" si="1"/>
        <v>1.5556485782343015E-2</v>
      </c>
      <c r="K10" s="20">
        <f t="shared" si="2"/>
        <v>8.0348708082269224E-3</v>
      </c>
      <c r="L10" s="20">
        <f t="shared" si="3"/>
        <v>4.2808118615059046E-3</v>
      </c>
      <c r="M10" s="20">
        <f t="shared" si="4"/>
        <v>7.5210281445215682E-3</v>
      </c>
      <c r="N10" s="17">
        <f t="shared" si="5"/>
        <v>1752576</v>
      </c>
      <c r="O10" s="20">
        <v>16</v>
      </c>
      <c r="P10" s="21">
        <v>20669095</v>
      </c>
      <c r="Q10" s="21">
        <v>645909.21875</v>
      </c>
      <c r="R10" s="21">
        <v>18184.75</v>
      </c>
      <c r="S10" s="22">
        <v>3393200</v>
      </c>
      <c r="T10" s="22">
        <v>933736</v>
      </c>
      <c r="U10" s="22">
        <v>818840</v>
      </c>
      <c r="V10" s="22">
        <v>1640496</v>
      </c>
      <c r="W10" s="23">
        <v>65.902412999999996</v>
      </c>
      <c r="X10" s="23">
        <v>67.818877999999998</v>
      </c>
      <c r="Y10" s="23">
        <v>32.385178000000003</v>
      </c>
      <c r="Z10" s="23">
        <v>39.173521999999998</v>
      </c>
      <c r="AA10" s="23">
        <v>32.087003000000003</v>
      </c>
      <c r="AB10" s="24">
        <v>3318.66</v>
      </c>
      <c r="AC10" s="24">
        <v>999.55799999999999</v>
      </c>
      <c r="AD10" s="24">
        <v>51.564999999999998</v>
      </c>
      <c r="AE10" s="24">
        <v>15.037000000000001</v>
      </c>
      <c r="AG10" s="19">
        <f t="shared" si="6"/>
        <v>3.1810649999999998</v>
      </c>
      <c r="AH10" s="20">
        <f t="shared" si="7"/>
        <v>1.5556192367545752E-2</v>
      </c>
      <c r="AI10" s="20">
        <f t="shared" si="8"/>
        <v>8.0346507471289758E-3</v>
      </c>
      <c r="AJ10" s="20">
        <f t="shared" si="9"/>
        <v>4.2806284772576161E-3</v>
      </c>
      <c r="AK10" s="20">
        <f t="shared" si="10"/>
        <v>7.520954790822253E-3</v>
      </c>
      <c r="AL10" s="17">
        <f t="shared" si="11"/>
        <v>1752528</v>
      </c>
      <c r="AM10" s="20">
        <v>16</v>
      </c>
      <c r="AN10" s="21">
        <v>20666971</v>
      </c>
      <c r="AO10" s="21">
        <v>645842.84375</v>
      </c>
      <c r="AP10" s="21">
        <v>18163.46875</v>
      </c>
      <c r="AQ10" s="22">
        <v>3393136</v>
      </c>
      <c r="AR10" s="22">
        <v>933696</v>
      </c>
      <c r="AS10" s="22">
        <v>818832</v>
      </c>
      <c r="AT10" s="22">
        <v>1640480</v>
      </c>
      <c r="AU10" s="23">
        <v>65.904411999999994</v>
      </c>
      <c r="AV10" s="23">
        <v>67.822759000000005</v>
      </c>
      <c r="AW10" s="23">
        <v>32.386865999999998</v>
      </c>
      <c r="AX10" s="23">
        <v>39.175778000000001</v>
      </c>
      <c r="AY10" s="23">
        <v>32.086630999999997</v>
      </c>
      <c r="AZ10" s="24">
        <v>3846.18</v>
      </c>
      <c r="BA10" s="24">
        <v>1110.96</v>
      </c>
      <c r="BB10" s="24">
        <v>54.091999999999999</v>
      </c>
      <c r="BC10" s="24">
        <v>15.420999999999999</v>
      </c>
      <c r="BE10" s="49">
        <f t="shared" si="12"/>
        <v>0.99997261174408414</v>
      </c>
      <c r="BF10" s="25">
        <f t="shared" si="13"/>
        <v>-3.0057693979866629E-5</v>
      </c>
      <c r="BG10" s="25">
        <f t="shared" si="14"/>
        <v>-4.4042509828035037E-6</v>
      </c>
      <c r="BH10" s="25">
        <f t="array" ref="BH10">AVERAGE(AL10:AL14/AQ10:AQ14) - AVERAGE(N10:N14/S10:S14)</f>
        <v>-6.2219671276675381E-5</v>
      </c>
      <c r="BJ10" s="49">
        <f>IF( OR(ISBLANK(N10:N14),ISBLANK(AL10:AL14), ISBLANK(W10:W14),ISBLANK(AU10:AU14)), "·", bdRateExtend( N10:N14,W10:W14, AL10:AL14,AU10:AU14))</f>
        <v>-6.2182813469702225E-4</v>
      </c>
      <c r="BK10" s="49">
        <f>IF( OR(ISBLANK(N10:N14),ISBLANK(AL10:AL14), ISBLANK(X10:X14),ISBLANK(AV10:AV14)), "·", bdRateExtend( N10:N14,X10:X14, AL10:AL14,AV10:AV14))</f>
        <v>-4.300625365148969E-4</v>
      </c>
      <c r="BL10" s="49">
        <f>IF( OR(ISBLANK(V10:V14),ISBLANK(AT10:AT14), ISBLANK(Y10:Y14),ISBLANK(AW10:AW14)), "·", bdRateExtend( V10:V14,Y10:Y14, AT10:AT14,AW10:AW14))</f>
        <v>-1.0034748268833438E-3</v>
      </c>
      <c r="BM10" s="49">
        <f>IF( OR(ISBLANK(V10:V14),ISBLANK(AT10:AT14), ISBLANK(Z10:Z14),ISBLANK(AX10:AX14)), "·", bdRateExtend( V10:V14,Z10:Z14, AT10:AT14,AX10:AX14))</f>
        <v>-1.3418256186648048E-3</v>
      </c>
      <c r="BN10" s="49">
        <f>IF( OR(ISBLANK(V10:V14),ISBLANK(AT10:AT14), ISBLANK(AA10:AA14),ISBLANK(AY10:AY14)), "·", bdRateExtend( V10:V14,AA10:AA14, AT10:AT14,AY10:AY14))</f>
        <v>-1.2705276068225579E-5</v>
      </c>
      <c r="BP10" s="49">
        <f>IF( OR(ISBLANK(S10:S14),ISBLANK(AQ10:AQ14), ISBLANK(W10:W14),ISBLANK(AU10:AU14)), "·", bdRateExtend( S10:S14,W10:W14, AQ10:AQ14,AU10:AU14))</f>
        <v>-5.4993313743978423E-4</v>
      </c>
      <c r="BQ10" s="49">
        <f>IF( OR(ISBLANK(S10:S14),ISBLANK(AQ10:AQ14), ISBLANK(X10:X14),ISBLANK(AV10:AV14)), "·", bdRateExtend( S10:S14,X10:X14, AQ10:AQ14,AV10:AV14))</f>
        <v>-4.2193346849828117E-4</v>
      </c>
      <c r="BR10" s="49">
        <f>IF( OR(ISBLANK(S10:S14),ISBLANK(AQ10:AQ14), ISBLANK(Y10:Y14),ISBLANK(AW10:AW14)), "·", bdRateExtend( S10:S14,Y10:Y14, AQ10:AQ14,AW10:AW14))</f>
        <v>-9.2412729117952175E-4</v>
      </c>
      <c r="BS10" s="49">
        <f>IF( OR(ISBLANK(S10:S14),ISBLANK(AQ10:AQ14), ISBLANK(Z10:Z14),ISBLANK(AX10:AX14)), "·", bdRateExtend( S10:S14,Z10:Z14, AQ10:AQ14,AX10:AX14))</f>
        <v>-1.0874750445479808E-3</v>
      </c>
      <c r="BT10" s="49">
        <f>IF( OR(ISBLANK(S10:S14),ISBLANK(AQ10:AQ14), ISBLANK(AA10:AA14),ISBLANK(AY10:AY14)), "·", bdRateExtend( S10:S14,AA10:AA14, AQ10:AQ14,AY10:AY14))</f>
        <v>-1.0431883580708234E-4</v>
      </c>
      <c r="BV10" s="58">
        <f t="shared" si="16"/>
        <v>-2124</v>
      </c>
      <c r="BW10" s="58">
        <f t="shared" si="15"/>
        <v>-66.375</v>
      </c>
      <c r="BX10" s="58">
        <f t="shared" si="15"/>
        <v>-21.28125</v>
      </c>
      <c r="BY10" s="58">
        <f t="shared" si="15"/>
        <v>-64</v>
      </c>
      <c r="BZ10" s="58">
        <f t="shared" si="15"/>
        <v>-40</v>
      </c>
      <c r="CA10" s="58">
        <f t="shared" si="15"/>
        <v>-8</v>
      </c>
      <c r="CB10" s="58">
        <f t="shared" si="15"/>
        <v>-16</v>
      </c>
      <c r="CC10" s="58">
        <f t="shared" si="15"/>
        <v>1.9989999999978636E-3</v>
      </c>
      <c r="CD10" s="58">
        <f t="shared" si="15"/>
        <v>3.8810000000069067E-3</v>
      </c>
      <c r="CE10" s="58">
        <f t="shared" si="15"/>
        <v>1.6879999999943607E-3</v>
      </c>
      <c r="CF10" s="58">
        <f t="shared" si="15"/>
        <v>2.2560000000027003E-3</v>
      </c>
      <c r="CG10" s="58">
        <f t="shared" si="15"/>
        <v>-3.7200000000581213E-4</v>
      </c>
      <c r="CJ10" t="s">
        <v>238</v>
      </c>
    </row>
    <row r="11" spans="1:88" outlineLevel="1" x14ac:dyDescent="0.2">
      <c r="A11" s="52"/>
      <c r="B11" s="52" t="s">
        <v>59</v>
      </c>
      <c r="C11" s="9" t="s">
        <v>234</v>
      </c>
      <c r="D11" s="52">
        <v>218121242</v>
      </c>
      <c r="E11" s="9">
        <v>10</v>
      </c>
      <c r="F11" s="9">
        <v>32</v>
      </c>
      <c r="G11" s="9">
        <v>30</v>
      </c>
      <c r="I11" s="10">
        <f t="shared" si="0"/>
        <v>4.5958800000000002</v>
      </c>
      <c r="J11" s="11">
        <f t="shared" si="1"/>
        <v>2.2474986640686742E-2</v>
      </c>
      <c r="K11" s="11">
        <f t="shared" si="2"/>
        <v>9.7893445884559924E-3</v>
      </c>
      <c r="L11" s="11">
        <f t="shared" si="3"/>
        <v>6.0352856417349764E-3</v>
      </c>
      <c r="M11" s="11">
        <f t="shared" si="4"/>
        <v>1.2685055222636226E-2</v>
      </c>
      <c r="N11" s="52">
        <f t="shared" si="5"/>
        <v>2135264</v>
      </c>
      <c r="O11" s="11">
        <v>16</v>
      </c>
      <c r="P11" s="12">
        <v>22097416</v>
      </c>
      <c r="Q11" s="12">
        <v>690544.25</v>
      </c>
      <c r="R11" s="12">
        <v>22962.6875</v>
      </c>
      <c r="S11" s="13">
        <v>4902272</v>
      </c>
      <c r="T11" s="13">
        <v>1316424</v>
      </c>
      <c r="U11" s="13">
        <v>818840</v>
      </c>
      <c r="V11" s="13">
        <v>2766880</v>
      </c>
      <c r="W11" s="14">
        <v>67.609741</v>
      </c>
      <c r="X11" s="14">
        <v>69.703922000000006</v>
      </c>
      <c r="Y11" s="14">
        <v>34.243222000000003</v>
      </c>
      <c r="Z11" s="14">
        <v>40.022387000000002</v>
      </c>
      <c r="AA11" s="14">
        <v>33.859659000000001</v>
      </c>
      <c r="AB11" s="15">
        <v>4206.7299999999996</v>
      </c>
      <c r="AC11" s="15">
        <v>1476.39</v>
      </c>
      <c r="AD11" s="15">
        <v>65.072000000000003</v>
      </c>
      <c r="AE11" s="15">
        <v>22.742000000000001</v>
      </c>
      <c r="AG11" s="10">
        <f t="shared" si="6"/>
        <v>4.5967574999999998</v>
      </c>
      <c r="AH11" s="11">
        <f t="shared" si="7"/>
        <v>2.2479277832096703E-2</v>
      </c>
      <c r="AI11" s="11">
        <f t="shared" si="8"/>
        <v>9.7845765980004822E-3</v>
      </c>
      <c r="AJ11" s="11">
        <f t="shared" si="9"/>
        <v>6.0305543281291233E-3</v>
      </c>
      <c r="AK11" s="11">
        <f t="shared" si="10"/>
        <v>1.2694114404501694E-2</v>
      </c>
      <c r="AL11" s="52">
        <f t="shared" si="11"/>
        <v>2134224</v>
      </c>
      <c r="AM11" s="11">
        <v>16</v>
      </c>
      <c r="AN11" s="12">
        <v>22097663</v>
      </c>
      <c r="AO11" s="12">
        <v>690551.96875</v>
      </c>
      <c r="AP11" s="12">
        <v>22957.28125</v>
      </c>
      <c r="AQ11" s="13">
        <v>4903208</v>
      </c>
      <c r="AR11" s="13">
        <v>1315392</v>
      </c>
      <c r="AS11" s="13">
        <v>818832</v>
      </c>
      <c r="AT11" s="13">
        <v>2768856</v>
      </c>
      <c r="AU11" s="14">
        <v>67.607918999999995</v>
      </c>
      <c r="AV11" s="14">
        <v>69.699944000000002</v>
      </c>
      <c r="AW11" s="14">
        <v>34.247959000000002</v>
      </c>
      <c r="AX11" s="14">
        <v>40.027191000000002</v>
      </c>
      <c r="AY11" s="14">
        <v>33.861477999999998</v>
      </c>
      <c r="AZ11" s="15">
        <v>3451.51</v>
      </c>
      <c r="BA11" s="15">
        <v>1139.6600000000001</v>
      </c>
      <c r="BB11" s="15">
        <v>59.606000000000002</v>
      </c>
      <c r="BC11" s="15">
        <v>16.934999999999999</v>
      </c>
      <c r="BE11" s="50">
        <f t="shared" si="12"/>
        <v>0.99951294078858632</v>
      </c>
      <c r="BF11" s="16">
        <f t="shared" si="13"/>
        <v>-8.2005729743692135E-6</v>
      </c>
      <c r="BG11" s="16">
        <f t="shared" si="14"/>
        <v>-2.9525363105042945E-4</v>
      </c>
      <c r="BH11" s="16"/>
      <c r="BJ11" s="50"/>
      <c r="BK11" s="50"/>
      <c r="BL11" s="50"/>
      <c r="BM11" s="50"/>
      <c r="BN11" s="50"/>
      <c r="BP11" s="50"/>
      <c r="BQ11" s="50"/>
      <c r="BR11" s="50"/>
      <c r="BS11" s="50"/>
      <c r="BT11" s="50"/>
      <c r="BV11" s="58">
        <f t="shared" si="16"/>
        <v>247</v>
      </c>
      <c r="BW11" s="58">
        <f t="shared" si="15"/>
        <v>7.71875</v>
      </c>
      <c r="BX11" s="58">
        <f t="shared" si="15"/>
        <v>-5.40625</v>
      </c>
      <c r="BY11" s="58">
        <f t="shared" si="15"/>
        <v>936</v>
      </c>
      <c r="BZ11" s="58">
        <f t="shared" si="15"/>
        <v>-1032</v>
      </c>
      <c r="CA11" s="58">
        <f t="shared" si="15"/>
        <v>-8</v>
      </c>
      <c r="CB11" s="58">
        <f t="shared" si="15"/>
        <v>1976</v>
      </c>
      <c r="CC11" s="58">
        <f t="shared" si="15"/>
        <v>-1.8220000000042091E-3</v>
      </c>
      <c r="CD11" s="58">
        <f t="shared" si="15"/>
        <v>-3.9780000000035898E-3</v>
      </c>
      <c r="CE11" s="58">
        <f t="shared" si="15"/>
        <v>4.736999999998659E-3</v>
      </c>
      <c r="CF11" s="58">
        <f t="shared" si="15"/>
        <v>4.8040000000000305E-3</v>
      </c>
      <c r="CG11" s="58">
        <f t="shared" si="15"/>
        <v>1.8189999999975726E-3</v>
      </c>
      <c r="CJ11" t="s">
        <v>238</v>
      </c>
    </row>
    <row r="12" spans="1:88" outlineLevel="1" x14ac:dyDescent="0.2">
      <c r="A12" s="17"/>
      <c r="B12" s="17" t="s">
        <v>59</v>
      </c>
      <c r="C12" s="18" t="s">
        <v>235</v>
      </c>
      <c r="D12" s="17">
        <v>218121242</v>
      </c>
      <c r="E12" s="18">
        <v>10</v>
      </c>
      <c r="F12" s="18">
        <v>32</v>
      </c>
      <c r="G12" s="18">
        <v>30</v>
      </c>
      <c r="I12" s="19">
        <f t="shared" si="0"/>
        <v>7.11456</v>
      </c>
      <c r="J12" s="20">
        <f t="shared" si="1"/>
        <v>3.479195300015759E-2</v>
      </c>
      <c r="K12" s="20">
        <f t="shared" si="2"/>
        <v>1.2464700709892345E-2</v>
      </c>
      <c r="L12" s="20">
        <f t="shared" si="3"/>
        <v>8.7106417631713281E-3</v>
      </c>
      <c r="M12" s="20">
        <f t="shared" si="4"/>
        <v>2.2326665460670723E-2</v>
      </c>
      <c r="N12" s="17">
        <f t="shared" si="5"/>
        <v>2718816</v>
      </c>
      <c r="O12" s="20">
        <v>16</v>
      </c>
      <c r="P12" s="21">
        <v>22514733</v>
      </c>
      <c r="Q12" s="21">
        <v>703585.40625</v>
      </c>
      <c r="R12" s="21">
        <v>24682.875</v>
      </c>
      <c r="S12" s="22">
        <v>7588864</v>
      </c>
      <c r="T12" s="22">
        <v>1899976</v>
      </c>
      <c r="U12" s="22">
        <v>818840</v>
      </c>
      <c r="V12" s="22">
        <v>4869920</v>
      </c>
      <c r="W12" s="23">
        <v>68.954471999999996</v>
      </c>
      <c r="X12" s="23">
        <v>71.328394000000003</v>
      </c>
      <c r="Y12" s="23">
        <v>36.344828</v>
      </c>
      <c r="Z12" s="23">
        <v>40.922593999999997</v>
      </c>
      <c r="AA12" s="23">
        <v>35.64</v>
      </c>
      <c r="AB12" s="24">
        <v>3299.04</v>
      </c>
      <c r="AC12" s="24">
        <v>1129.54</v>
      </c>
      <c r="AD12" s="24">
        <v>57.314</v>
      </c>
      <c r="AE12" s="24">
        <v>16.506</v>
      </c>
      <c r="AG12" s="19">
        <f t="shared" si="6"/>
        <v>7.1164725000000004</v>
      </c>
      <c r="AH12" s="20">
        <f t="shared" si="7"/>
        <v>3.480130559682032E-2</v>
      </c>
      <c r="AI12" s="20">
        <f t="shared" si="8"/>
        <v>1.2468148333760176E-2</v>
      </c>
      <c r="AJ12" s="20">
        <f t="shared" si="9"/>
        <v>8.714126063888817E-3</v>
      </c>
      <c r="AK12" s="20">
        <f t="shared" si="10"/>
        <v>2.2332570433465624E-2</v>
      </c>
      <c r="AL12" s="17">
        <f t="shared" si="11"/>
        <v>2719568</v>
      </c>
      <c r="AM12" s="20">
        <v>16</v>
      </c>
      <c r="AN12" s="21">
        <v>22510846</v>
      </c>
      <c r="AO12" s="21">
        <v>703463.9375</v>
      </c>
      <c r="AP12" s="21">
        <v>24709.6875</v>
      </c>
      <c r="AQ12" s="22">
        <v>7590904</v>
      </c>
      <c r="AR12" s="22">
        <v>1900736</v>
      </c>
      <c r="AS12" s="22">
        <v>818832</v>
      </c>
      <c r="AT12" s="22">
        <v>4871208</v>
      </c>
      <c r="AU12" s="23">
        <v>68.956063</v>
      </c>
      <c r="AV12" s="23">
        <v>71.331965999999994</v>
      </c>
      <c r="AW12" s="23">
        <v>36.351883999999998</v>
      </c>
      <c r="AX12" s="23">
        <v>40.928597000000003</v>
      </c>
      <c r="AY12" s="23">
        <v>35.641469000000001</v>
      </c>
      <c r="AZ12" s="24">
        <v>3656.75</v>
      </c>
      <c r="BA12" s="24">
        <v>1213.04</v>
      </c>
      <c r="BB12" s="24">
        <v>59.798999999999999</v>
      </c>
      <c r="BC12" s="24">
        <v>16.132999999999999</v>
      </c>
      <c r="BE12" s="49">
        <f t="shared" si="12"/>
        <v>1.0002765909866649</v>
      </c>
      <c r="BF12" s="25">
        <f t="shared" si="13"/>
        <v>4.4172574909386031E-5</v>
      </c>
      <c r="BG12" s="25">
        <f t="shared" si="14"/>
        <v>2.7851290901326209E-6</v>
      </c>
      <c r="BH12" s="25"/>
      <c r="BJ12" s="49"/>
      <c r="BK12" s="49"/>
      <c r="BL12" s="49"/>
      <c r="BM12" s="49"/>
      <c r="BN12" s="49"/>
      <c r="BP12" s="49"/>
      <c r="BQ12" s="49"/>
      <c r="BR12" s="49"/>
      <c r="BS12" s="49"/>
      <c r="BT12" s="49"/>
      <c r="BV12" s="58">
        <f t="shared" si="16"/>
        <v>-3887</v>
      </c>
      <c r="BW12" s="58">
        <f t="shared" si="15"/>
        <v>-121.46875</v>
      </c>
      <c r="BX12" s="58">
        <f t="shared" si="15"/>
        <v>26.8125</v>
      </c>
      <c r="BY12" s="58">
        <f t="shared" si="15"/>
        <v>2040</v>
      </c>
      <c r="BZ12" s="58">
        <f t="shared" si="15"/>
        <v>760</v>
      </c>
      <c r="CA12" s="58">
        <f t="shared" si="15"/>
        <v>-8</v>
      </c>
      <c r="CB12" s="58">
        <f t="shared" si="15"/>
        <v>1288</v>
      </c>
      <c r="CC12" s="58">
        <f t="shared" si="15"/>
        <v>1.591000000004783E-3</v>
      </c>
      <c r="CD12" s="58">
        <f t="shared" si="15"/>
        <v>3.5719999999912488E-3</v>
      </c>
      <c r="CE12" s="58">
        <f t="shared" si="15"/>
        <v>7.0559999999986189E-3</v>
      </c>
      <c r="CF12" s="58">
        <f t="shared" si="15"/>
        <v>6.003000000006864E-3</v>
      </c>
      <c r="CG12" s="58">
        <f t="shared" si="15"/>
        <v>1.4690000000001646E-3</v>
      </c>
      <c r="CJ12" t="s">
        <v>238</v>
      </c>
    </row>
    <row r="13" spans="1:88" outlineLevel="1" x14ac:dyDescent="0.2">
      <c r="A13" s="52"/>
      <c r="B13" s="52" t="s">
        <v>59</v>
      </c>
      <c r="C13" s="9" t="s">
        <v>236</v>
      </c>
      <c r="D13" s="52">
        <v>218121242</v>
      </c>
      <c r="E13" s="9">
        <v>10</v>
      </c>
      <c r="F13" s="9">
        <v>32</v>
      </c>
      <c r="G13" s="9">
        <v>30</v>
      </c>
      <c r="I13" s="10">
        <f t="shared" si="0"/>
        <v>11.998844999999999</v>
      </c>
      <c r="J13" s="11">
        <f t="shared" si="1"/>
        <v>5.867731121758421E-2</v>
      </c>
      <c r="K13" s="11">
        <f t="shared" si="2"/>
        <v>1.7148884563934402E-2</v>
      </c>
      <c r="L13" s="11">
        <f t="shared" si="3"/>
        <v>1.3394825617213384E-2</v>
      </c>
      <c r="M13" s="11">
        <f t="shared" si="4"/>
        <v>4.1527839824055286E-2</v>
      </c>
      <c r="N13" s="52">
        <f t="shared" si="5"/>
        <v>3740536</v>
      </c>
      <c r="O13" s="11">
        <v>16</v>
      </c>
      <c r="P13" s="12">
        <v>23299291</v>
      </c>
      <c r="Q13" s="12">
        <v>728102.84375</v>
      </c>
      <c r="R13" s="12">
        <v>28059.0625</v>
      </c>
      <c r="S13" s="13">
        <v>12798768</v>
      </c>
      <c r="T13" s="13">
        <v>2921696</v>
      </c>
      <c r="U13" s="13">
        <v>818840</v>
      </c>
      <c r="V13" s="13">
        <v>9058104</v>
      </c>
      <c r="W13" s="14">
        <v>70.067155999999997</v>
      </c>
      <c r="X13" s="14">
        <v>72.583793999999997</v>
      </c>
      <c r="Y13" s="14">
        <v>38.663108999999999</v>
      </c>
      <c r="Z13" s="14">
        <v>42.107013000000002</v>
      </c>
      <c r="AA13" s="14">
        <v>37.689791</v>
      </c>
      <c r="AB13" s="15">
        <v>3206.63</v>
      </c>
      <c r="AC13" s="15">
        <v>1169.1400000000001</v>
      </c>
      <c r="AD13" s="15">
        <v>57.683999999999997</v>
      </c>
      <c r="AE13" s="15">
        <v>16.859000000000002</v>
      </c>
      <c r="AG13" s="10">
        <f t="shared" si="6"/>
        <v>11.999280000000001</v>
      </c>
      <c r="AH13" s="11">
        <f t="shared" si="7"/>
        <v>5.8679438474864357E-2</v>
      </c>
      <c r="AI13" s="11">
        <f t="shared" si="8"/>
        <v>1.7149581424077898E-2</v>
      </c>
      <c r="AJ13" s="11">
        <f t="shared" si="9"/>
        <v>1.3395559154206539E-2</v>
      </c>
      <c r="AK13" s="11">
        <f t="shared" si="10"/>
        <v>4.152927022119194E-2</v>
      </c>
      <c r="AL13" s="52">
        <f t="shared" si="11"/>
        <v>3740688</v>
      </c>
      <c r="AM13" s="11">
        <v>16</v>
      </c>
      <c r="AN13" s="12">
        <v>23291739</v>
      </c>
      <c r="AO13" s="12">
        <v>727866.84375</v>
      </c>
      <c r="AP13" s="12">
        <v>28062.03125</v>
      </c>
      <c r="AQ13" s="13">
        <v>12799232</v>
      </c>
      <c r="AR13" s="13">
        <v>2921856</v>
      </c>
      <c r="AS13" s="13">
        <v>818832</v>
      </c>
      <c r="AT13" s="13">
        <v>9058416</v>
      </c>
      <c r="AU13" s="14">
        <v>70.072275000000005</v>
      </c>
      <c r="AV13" s="14">
        <v>72.590205999999995</v>
      </c>
      <c r="AW13" s="14">
        <v>38.665965999999997</v>
      </c>
      <c r="AX13" s="14">
        <v>42.107503000000001</v>
      </c>
      <c r="AY13" s="14">
        <v>37.689275000000002</v>
      </c>
      <c r="AZ13" s="15">
        <v>3562.06</v>
      </c>
      <c r="BA13" s="15">
        <v>1287.29</v>
      </c>
      <c r="BB13" s="15">
        <v>65.070999999999998</v>
      </c>
      <c r="BC13" s="15">
        <v>19.66</v>
      </c>
      <c r="BE13" s="50">
        <f t="shared" si="12"/>
        <v>1.0000406358874769</v>
      </c>
      <c r="BF13" s="16">
        <f t="shared" si="13"/>
        <v>1.6573821166578073E-5</v>
      </c>
      <c r="BG13" s="16">
        <f t="shared" si="14"/>
        <v>1.2807422961058634E-6</v>
      </c>
      <c r="BH13" s="16"/>
      <c r="BJ13" s="50"/>
      <c r="BK13" s="50"/>
      <c r="BL13" s="50"/>
      <c r="BM13" s="50"/>
      <c r="BN13" s="50"/>
      <c r="BP13" s="50"/>
      <c r="BQ13" s="50"/>
      <c r="BR13" s="50"/>
      <c r="BS13" s="50"/>
      <c r="BT13" s="50"/>
      <c r="BV13" s="58">
        <f t="shared" si="16"/>
        <v>-7552</v>
      </c>
      <c r="BW13" s="58">
        <f t="shared" si="15"/>
        <v>-236</v>
      </c>
      <c r="BX13" s="58">
        <f t="shared" si="15"/>
        <v>2.96875</v>
      </c>
      <c r="BY13" s="58">
        <f t="shared" si="15"/>
        <v>464</v>
      </c>
      <c r="BZ13" s="58">
        <f t="shared" si="15"/>
        <v>160</v>
      </c>
      <c r="CA13" s="58">
        <f t="shared" si="15"/>
        <v>-8</v>
      </c>
      <c r="CB13" s="58">
        <f t="shared" si="15"/>
        <v>312</v>
      </c>
      <c r="CC13" s="58">
        <f t="shared" si="15"/>
        <v>5.1190000000076452E-3</v>
      </c>
      <c r="CD13" s="58">
        <f t="shared" si="15"/>
        <v>6.4119999999974198E-3</v>
      </c>
      <c r="CE13" s="58">
        <f t="shared" si="15"/>
        <v>2.8569999999987772E-3</v>
      </c>
      <c r="CF13" s="58">
        <f t="shared" si="15"/>
        <v>4.8999999999921329E-4</v>
      </c>
      <c r="CG13" s="58">
        <f t="shared" si="15"/>
        <v>-5.1599999999751844E-4</v>
      </c>
      <c r="CJ13" t="s">
        <v>238</v>
      </c>
    </row>
    <row r="14" spans="1:88" ht="16" outlineLevel="1" thickBot="1" x14ac:dyDescent="0.25">
      <c r="A14" s="17"/>
      <c r="B14" s="36" t="s">
        <v>59</v>
      </c>
      <c r="C14" s="37" t="s">
        <v>237</v>
      </c>
      <c r="D14" s="36">
        <v>218121242</v>
      </c>
      <c r="E14" s="37">
        <v>10</v>
      </c>
      <c r="F14" s="37">
        <v>32</v>
      </c>
      <c r="G14" s="37">
        <v>30</v>
      </c>
      <c r="I14" s="38">
        <f t="shared" si="0"/>
        <v>21.553740000000001</v>
      </c>
      <c r="J14" s="39">
        <f t="shared" si="1"/>
        <v>0.10540310420568759</v>
      </c>
      <c r="K14" s="39">
        <f t="shared" si="2"/>
        <v>2.8227273710462367E-2</v>
      </c>
      <c r="L14" s="39">
        <f t="shared" si="3"/>
        <v>2.115271285682483E-2</v>
      </c>
      <c r="M14" s="39">
        <f t="shared" si="4"/>
        <v>7.7175243665630694E-2</v>
      </c>
      <c r="N14" s="36">
        <f t="shared" si="5"/>
        <v>6156968</v>
      </c>
      <c r="O14" s="39">
        <v>16</v>
      </c>
      <c r="P14" s="40">
        <v>22125335</v>
      </c>
      <c r="Q14" s="40">
        <v>691416.71875</v>
      </c>
      <c r="R14" s="40">
        <v>13294.125</v>
      </c>
      <c r="S14" s="41">
        <v>22990656</v>
      </c>
      <c r="T14" s="41">
        <v>4613856</v>
      </c>
      <c r="U14" s="41">
        <v>1543112</v>
      </c>
      <c r="V14" s="41">
        <v>16833560</v>
      </c>
      <c r="W14" s="42">
        <v>70.921858999999998</v>
      </c>
      <c r="X14" s="42">
        <v>74.681321999999994</v>
      </c>
      <c r="Y14" s="42">
        <v>40.955446999999999</v>
      </c>
      <c r="Z14" s="42">
        <v>43.424396999999999</v>
      </c>
      <c r="AA14" s="42">
        <v>39.501562</v>
      </c>
      <c r="AB14" s="43">
        <v>3223.3</v>
      </c>
      <c r="AC14" s="43">
        <v>1315.98</v>
      </c>
      <c r="AD14" s="43">
        <v>55.780999999999999</v>
      </c>
      <c r="AE14" s="43">
        <v>18.439</v>
      </c>
      <c r="AG14" s="38">
        <f t="shared" si="6"/>
        <v>21.5566125</v>
      </c>
      <c r="AH14" s="39">
        <f t="shared" si="7"/>
        <v>0.10541715143910652</v>
      </c>
      <c r="AI14" s="39">
        <f t="shared" si="8"/>
        <v>2.822940096774252E-2</v>
      </c>
      <c r="AJ14" s="39">
        <f t="shared" si="9"/>
        <v>2.1154363315059429E-2</v>
      </c>
      <c r="AK14" s="39">
        <f t="shared" si="10"/>
        <v>7.7187163641769474E-2</v>
      </c>
      <c r="AL14" s="36">
        <f t="shared" si="11"/>
        <v>6157432</v>
      </c>
      <c r="AM14" s="39">
        <v>16</v>
      </c>
      <c r="AN14" s="40">
        <v>22124056</v>
      </c>
      <c r="AO14" s="40">
        <v>691376.75</v>
      </c>
      <c r="AP14" s="40">
        <v>13278.71875</v>
      </c>
      <c r="AQ14" s="41">
        <v>22993720</v>
      </c>
      <c r="AR14" s="41">
        <v>4614216</v>
      </c>
      <c r="AS14" s="41">
        <v>1543216</v>
      </c>
      <c r="AT14" s="41">
        <v>16836160</v>
      </c>
      <c r="AU14" s="42">
        <v>70.923046999999997</v>
      </c>
      <c r="AV14" s="42">
        <v>74.675602999999995</v>
      </c>
      <c r="AW14" s="42">
        <v>40.962909000000003</v>
      </c>
      <c r="AX14" s="42">
        <v>43.423147</v>
      </c>
      <c r="AY14" s="42">
        <v>39.504384000000002</v>
      </c>
      <c r="AZ14" s="43">
        <v>3812.21</v>
      </c>
      <c r="BA14" s="43">
        <v>1497.36</v>
      </c>
      <c r="BB14" s="43">
        <v>60.753999999999998</v>
      </c>
      <c r="BC14" s="43">
        <v>20.332000000000001</v>
      </c>
      <c r="BE14" s="44">
        <f t="shared" si="12"/>
        <v>1.0000753617689746</v>
      </c>
      <c r="BF14" s="45">
        <f t="shared" si="13"/>
        <v>-2.1171895149326575E-5</v>
      </c>
      <c r="BG14" s="45">
        <f t="shared" si="14"/>
        <v>-1.5506345736215899E-5</v>
      </c>
      <c r="BH14" s="45"/>
      <c r="BJ14" s="44"/>
      <c r="BK14" s="44"/>
      <c r="BL14" s="44"/>
      <c r="BM14" s="44"/>
      <c r="BN14" s="44"/>
      <c r="BP14" s="44"/>
      <c r="BQ14" s="44"/>
      <c r="BR14" s="44"/>
      <c r="BS14" s="44"/>
      <c r="BT14" s="44"/>
      <c r="BV14" s="58">
        <f t="shared" si="16"/>
        <v>-1279</v>
      </c>
      <c r="BW14" s="58">
        <f t="shared" si="15"/>
        <v>-39.96875</v>
      </c>
      <c r="BX14" s="58">
        <f t="shared" si="15"/>
        <v>-15.40625</v>
      </c>
      <c r="BY14" s="58">
        <f t="shared" si="15"/>
        <v>3064</v>
      </c>
      <c r="BZ14" s="58">
        <f t="shared" si="15"/>
        <v>360</v>
      </c>
      <c r="CA14" s="58">
        <f t="shared" si="15"/>
        <v>104</v>
      </c>
      <c r="CB14" s="58">
        <f t="shared" si="15"/>
        <v>2600</v>
      </c>
      <c r="CC14" s="58">
        <f t="shared" si="15"/>
        <v>1.1879999999990787E-3</v>
      </c>
      <c r="CD14" s="58">
        <f t="shared" si="15"/>
        <v>-5.7189999999991414E-3</v>
      </c>
      <c r="CE14" s="58">
        <f t="shared" si="15"/>
        <v>7.4620000000038544E-3</v>
      </c>
      <c r="CF14" s="58">
        <f t="shared" si="15"/>
        <v>-1.2499999999988631E-3</v>
      </c>
      <c r="CG14" s="58">
        <f t="shared" si="15"/>
        <v>2.8220000000018786E-3</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5691.66</v>
      </c>
      <c r="AC15" s="15">
        <v>1397.54</v>
      </c>
      <c r="AD15" s="15">
        <v>87.917000000000002</v>
      </c>
      <c r="AE15" s="15">
        <v>20.812999999999999</v>
      </c>
      <c r="AG15" s="10">
        <f t="shared" si="6"/>
        <v>4.3822049999999999</v>
      </c>
      <c r="AH15" s="11">
        <f t="shared" si="7"/>
        <v>1.4490084283657112E-2</v>
      </c>
      <c r="AI15" s="11">
        <f t="shared" si="8"/>
        <v>8.1685930063037596E-3</v>
      </c>
      <c r="AJ15" s="11">
        <f t="shared" si="9"/>
        <v>4.3923534521734149E-3</v>
      </c>
      <c r="AK15" s="11">
        <f t="shared" si="10"/>
        <v>6.3210944884961361E-3</v>
      </c>
      <c r="AL15" s="52">
        <f t="shared" si="11"/>
        <v>2635104</v>
      </c>
      <c r="AM15" s="11">
        <v>16</v>
      </c>
      <c r="AN15" s="12">
        <v>31086837</v>
      </c>
      <c r="AO15" s="12">
        <v>971463.65625</v>
      </c>
      <c r="AP15" s="12">
        <v>27944.21875</v>
      </c>
      <c r="AQ15" s="13">
        <v>4674352</v>
      </c>
      <c r="AR15" s="13">
        <v>1416928</v>
      </c>
      <c r="AS15" s="13">
        <v>1218176</v>
      </c>
      <c r="AT15" s="13">
        <v>2039120</v>
      </c>
      <c r="AU15" s="14">
        <v>65.923106000000004</v>
      </c>
      <c r="AV15" s="14">
        <v>67.661794</v>
      </c>
      <c r="AW15" s="14">
        <v>29.414641</v>
      </c>
      <c r="AX15" s="14">
        <v>43.125697000000002</v>
      </c>
      <c r="AY15" s="14">
        <v>43.263359000000001</v>
      </c>
      <c r="AZ15" s="15">
        <v>5890.86</v>
      </c>
      <c r="BA15" s="15">
        <v>1337.5</v>
      </c>
      <c r="BB15" s="15">
        <v>92.608999999999995</v>
      </c>
      <c r="BC15" s="15">
        <v>19.042000000000002</v>
      </c>
      <c r="BE15" s="50">
        <f t="shared" si="12"/>
        <v>1</v>
      </c>
      <c r="BF15" s="16">
        <f t="shared" si="13"/>
        <v>0</v>
      </c>
      <c r="BG15" s="16">
        <f t="shared" si="14"/>
        <v>0</v>
      </c>
      <c r="BH15" s="16">
        <f t="array" ref="BH15">AVERAGE(AL15:AL19/AQ15:AQ19) - AVERAGE(N15:N19/S15:S19)</f>
        <v>-2.4615718950959931E-6</v>
      </c>
      <c r="BJ15" s="50">
        <f>IF( OR(ISBLANK(N15:N19),ISBLANK(AL15:AL19), ISBLANK(W15:W19),ISBLANK(AU15:AU19)), "·", bdRateExtend( N15:N19,W15:W19, AL15:AL19,AU15:AU19))</f>
        <v>-1.881236185186097E-5</v>
      </c>
      <c r="BK15" s="50">
        <f>IF( OR(ISBLANK(N15:N19),ISBLANK(AL15:AL19), ISBLANK(X15:X19),ISBLANK(AV15:AV19)), "·", bdRateExtend( N15:N19,X15:X19, AL15:AL19,AV15:AV19))</f>
        <v>-6.7658377664869818E-5</v>
      </c>
      <c r="BL15" s="50">
        <f>IF( OR(ISBLANK(V15:V19),ISBLANK(AT15:AT19), ISBLANK(Y15:Y19),ISBLANK(AW15:AW19)), "·", bdRateExtend( V15:V19,Y15:Y19, AT15:AT19,AW15:AW19))</f>
        <v>5.8296852428085799E-5</v>
      </c>
      <c r="BM15" s="50">
        <f>IF( OR(ISBLANK(V15:V19),ISBLANK(AT15:AT19), ISBLANK(Z15:Z19),ISBLANK(AX15:AX19)), "·", bdRateExtend( V15:V19,Z15:Z19, AT15:AT19,AX15:AX19))</f>
        <v>5.4493335034533352E-4</v>
      </c>
      <c r="BN15" s="50">
        <f>IF( OR(ISBLANK(V15:V19),ISBLANK(AT15:AT19), ISBLANK(AA15:AA19),ISBLANK(AY15:AY19)), "·", bdRateExtend( V15:V19,AA15:AA19, AT15:AT19,AY15:AY19))</f>
        <v>9.0294401768131749E-4</v>
      </c>
      <c r="BP15" s="50">
        <f>IF( OR(ISBLANK(S15:S19),ISBLANK(AQ15:AQ19), ISBLANK(W15:W19),ISBLANK(AU15:AU19)), "·", bdRateExtend( S15:S19,W15:W19, AQ15:AQ19,AU15:AU19))</f>
        <v>-4.1057366815033802E-5</v>
      </c>
      <c r="BQ15" s="50">
        <f>IF( OR(ISBLANK(S15:S19),ISBLANK(AQ15:AQ19), ISBLANK(X15:X19),ISBLANK(AV15:AV19)), "·", bdRateExtend( S15:S19,X15:X19, AQ15:AQ19,AV15:AV19))</f>
        <v>-6.7464173174269781E-5</v>
      </c>
      <c r="BR15" s="50">
        <f>IF( OR(ISBLANK(S15:S19),ISBLANK(AQ15:AQ19), ISBLANK(Y15:Y19),ISBLANK(AW15:AW19)), "·", bdRateExtend( S15:S19,Y15:Y19, AQ15:AQ19,AW15:AW19))</f>
        <v>5.467126746316886E-5</v>
      </c>
      <c r="BS15" s="50">
        <f>IF( OR(ISBLANK(S15:S19),ISBLANK(AQ15:AQ19), ISBLANK(Z15:Z19),ISBLANK(AX15:AX19)), "·", bdRateExtend( S15:S19,Z15:Z19, AQ15:AQ19,AX15:AX19))</f>
        <v>4.5222166268743536E-4</v>
      </c>
      <c r="BT15" s="50">
        <f>IF( OR(ISBLANK(S15:S19),ISBLANK(AQ15:AQ19), ISBLANK(AA15:AA19),ISBLANK(AY15:AY19)), "·", bdRateExtend( S15:S19,AA15:AA19, AQ15:AQ19,AY15:AY19))</f>
        <v>7.7132055477657779E-4</v>
      </c>
      <c r="BV15" s="58">
        <f t="shared" si="16"/>
        <v>0</v>
      </c>
      <c r="BW15" s="58">
        <f t="shared" si="15"/>
        <v>0</v>
      </c>
      <c r="BX15" s="58">
        <f t="shared" si="15"/>
        <v>0</v>
      </c>
      <c r="BY15" s="58">
        <f t="shared" si="15"/>
        <v>0</v>
      </c>
      <c r="BZ15" s="58">
        <f t="shared" si="15"/>
        <v>0</v>
      </c>
      <c r="CA15" s="58">
        <f t="shared" si="15"/>
        <v>0</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6.9782549999999999</v>
      </c>
      <c r="J16" s="20">
        <f t="shared" si="1"/>
        <v>2.3074115223466647E-2</v>
      </c>
      <c r="K16" s="20">
        <f t="shared" si="2"/>
        <v>9.9740071059428483E-3</v>
      </c>
      <c r="L16" s="20">
        <f t="shared" si="3"/>
        <v>6.1977427525089267E-3</v>
      </c>
      <c r="M16" s="20">
        <f t="shared" si="4"/>
        <v>1.3099711328666584E-2</v>
      </c>
      <c r="N16" s="17">
        <f t="shared" si="5"/>
        <v>3217512</v>
      </c>
      <c r="O16" s="20">
        <v>16</v>
      </c>
      <c r="P16" s="21">
        <v>33185472</v>
      </c>
      <c r="Q16" s="21">
        <v>1037046</v>
      </c>
      <c r="R16" s="21">
        <v>34748.59375</v>
      </c>
      <c r="S16" s="22">
        <v>7443472</v>
      </c>
      <c r="T16" s="22">
        <v>1999328</v>
      </c>
      <c r="U16" s="22">
        <v>1218184</v>
      </c>
      <c r="V16" s="22">
        <v>4225832</v>
      </c>
      <c r="W16" s="23">
        <v>67.712850000000003</v>
      </c>
      <c r="X16" s="23">
        <v>69.741403000000005</v>
      </c>
      <c r="Y16" s="23">
        <v>31.808309000000001</v>
      </c>
      <c r="Z16" s="23">
        <v>43.976703000000001</v>
      </c>
      <c r="AA16" s="23">
        <v>44.262891000000003</v>
      </c>
      <c r="AB16" s="24">
        <v>4844.92</v>
      </c>
      <c r="AC16" s="24">
        <v>1079.98</v>
      </c>
      <c r="AD16" s="24">
        <v>84.777000000000001</v>
      </c>
      <c r="AE16" s="24">
        <v>15.006</v>
      </c>
      <c r="AG16" s="19">
        <f t="shared" si="6"/>
        <v>6.9782475000000002</v>
      </c>
      <c r="AH16" s="20">
        <f t="shared" si="7"/>
        <v>2.3074090424163071E-2</v>
      </c>
      <c r="AI16" s="20">
        <f t="shared" si="8"/>
        <v>9.9739823066392723E-3</v>
      </c>
      <c r="AJ16" s="20">
        <f t="shared" si="9"/>
        <v>6.1977427525089267E-3</v>
      </c>
      <c r="AK16" s="20">
        <f t="shared" si="10"/>
        <v>1.3099711328666584E-2</v>
      </c>
      <c r="AL16" s="17">
        <f t="shared" si="11"/>
        <v>3217504</v>
      </c>
      <c r="AM16" s="20">
        <v>16</v>
      </c>
      <c r="AN16" s="21">
        <v>33185472</v>
      </c>
      <c r="AO16" s="21">
        <v>1037046</v>
      </c>
      <c r="AP16" s="21">
        <v>34748.59375</v>
      </c>
      <c r="AQ16" s="22">
        <v>7443464</v>
      </c>
      <c r="AR16" s="22">
        <v>1999328</v>
      </c>
      <c r="AS16" s="22">
        <v>1218176</v>
      </c>
      <c r="AT16" s="22">
        <v>4225832</v>
      </c>
      <c r="AU16" s="23">
        <v>67.712850000000003</v>
      </c>
      <c r="AV16" s="23">
        <v>69.741403000000005</v>
      </c>
      <c r="AW16" s="23">
        <v>31.808309000000001</v>
      </c>
      <c r="AX16" s="23">
        <v>43.976703000000001</v>
      </c>
      <c r="AY16" s="23">
        <v>44.262891000000003</v>
      </c>
      <c r="AZ16" s="24">
        <v>5120.62</v>
      </c>
      <c r="BA16" s="24">
        <v>1112.58</v>
      </c>
      <c r="BB16" s="24">
        <v>86.433999999999997</v>
      </c>
      <c r="BC16" s="24">
        <v>17.344999999999999</v>
      </c>
      <c r="BE16" s="49">
        <f t="shared" si="12"/>
        <v>0.9999975136067869</v>
      </c>
      <c r="BF16" s="25">
        <f t="shared" si="13"/>
        <v>0</v>
      </c>
      <c r="BG16" s="25">
        <f t="shared" si="14"/>
        <v>-6.1018948255275873E-7</v>
      </c>
      <c r="BH16" s="25"/>
      <c r="BJ16" s="49"/>
      <c r="BK16" s="49"/>
      <c r="BL16" s="49"/>
      <c r="BM16" s="49"/>
      <c r="BN16" s="49"/>
      <c r="BP16" s="49"/>
      <c r="BQ16" s="49"/>
      <c r="BR16" s="49"/>
      <c r="BS16" s="49"/>
      <c r="BT16" s="49"/>
      <c r="BV16" s="58">
        <f t="shared" si="16"/>
        <v>0</v>
      </c>
      <c r="BW16" s="58">
        <f t="shared" si="15"/>
        <v>0</v>
      </c>
      <c r="BX16" s="58">
        <f t="shared" si="15"/>
        <v>0</v>
      </c>
      <c r="BY16" s="58">
        <f t="shared" si="15"/>
        <v>-8</v>
      </c>
      <c r="BZ16" s="58">
        <f t="shared" si="15"/>
        <v>0</v>
      </c>
      <c r="CA16" s="58">
        <f t="shared" si="15"/>
        <v>-8</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11.6636925</v>
      </c>
      <c r="J17" s="11">
        <f t="shared" si="1"/>
        <v>3.8566860150006523E-2</v>
      </c>
      <c r="K17" s="11">
        <f t="shared" si="2"/>
        <v>1.2732359244794744E-2</v>
      </c>
      <c r="L17" s="11">
        <f t="shared" si="3"/>
        <v>8.9561196906643992E-3</v>
      </c>
      <c r="M17" s="11">
        <f t="shared" si="4"/>
        <v>2.5834104116354561E-2</v>
      </c>
      <c r="N17" s="52">
        <f t="shared" si="5"/>
        <v>4107328</v>
      </c>
      <c r="O17" s="11">
        <v>16</v>
      </c>
      <c r="P17" s="12">
        <v>33602137</v>
      </c>
      <c r="Q17" s="12">
        <v>1050066.78125</v>
      </c>
      <c r="R17" s="12">
        <v>36579.4375</v>
      </c>
      <c r="S17" s="13">
        <v>12441272</v>
      </c>
      <c r="T17" s="13">
        <v>2889152</v>
      </c>
      <c r="U17" s="13">
        <v>1218176</v>
      </c>
      <c r="V17" s="13">
        <v>8333816</v>
      </c>
      <c r="W17" s="14">
        <v>69.134241000000003</v>
      </c>
      <c r="X17" s="14">
        <v>71.597503000000003</v>
      </c>
      <c r="Y17" s="14">
        <v>34.352083999999998</v>
      </c>
      <c r="Z17" s="14">
        <v>44.799196999999999</v>
      </c>
      <c r="AA17" s="14">
        <v>45.208044000000001</v>
      </c>
      <c r="AB17" s="15">
        <v>4744.25</v>
      </c>
      <c r="AC17" s="15">
        <v>1161.0899999999999</v>
      </c>
      <c r="AD17" s="15">
        <v>83.042000000000002</v>
      </c>
      <c r="AE17" s="15">
        <v>16.259</v>
      </c>
      <c r="AG17" s="10">
        <f t="shared" si="6"/>
        <v>11.6648475</v>
      </c>
      <c r="AH17" s="11">
        <f t="shared" si="7"/>
        <v>3.8570679242757235E-2</v>
      </c>
      <c r="AI17" s="11">
        <f t="shared" si="8"/>
        <v>1.2733351216937786E-2</v>
      </c>
      <c r="AJ17" s="11">
        <f t="shared" si="9"/>
        <v>8.9570868635038652E-3</v>
      </c>
      <c r="AK17" s="11">
        <f t="shared" si="10"/>
        <v>2.5836931236962232E-2</v>
      </c>
      <c r="AL17" s="52">
        <f t="shared" si="11"/>
        <v>4107648</v>
      </c>
      <c r="AM17" s="11">
        <v>16</v>
      </c>
      <c r="AN17" s="12">
        <v>33604345</v>
      </c>
      <c r="AO17" s="12">
        <v>1050135.78125</v>
      </c>
      <c r="AP17" s="12">
        <v>36572.96875</v>
      </c>
      <c r="AQ17" s="13">
        <v>12442504</v>
      </c>
      <c r="AR17" s="13">
        <v>2889464</v>
      </c>
      <c r="AS17" s="13">
        <v>1218184</v>
      </c>
      <c r="AT17" s="13">
        <v>8334728</v>
      </c>
      <c r="AU17" s="14">
        <v>69.134438000000003</v>
      </c>
      <c r="AV17" s="14">
        <v>71.597097000000005</v>
      </c>
      <c r="AW17" s="14">
        <v>34.352063000000001</v>
      </c>
      <c r="AX17" s="14">
        <v>44.796078000000001</v>
      </c>
      <c r="AY17" s="14">
        <v>45.206769000000001</v>
      </c>
      <c r="AZ17" s="15">
        <v>4771.3100000000004</v>
      </c>
      <c r="BA17" s="15">
        <v>1306.21</v>
      </c>
      <c r="BB17" s="15">
        <v>83.471000000000004</v>
      </c>
      <c r="BC17" s="15">
        <v>16.199000000000002</v>
      </c>
      <c r="BE17" s="50">
        <f t="shared" si="12"/>
        <v>1.000077909531452</v>
      </c>
      <c r="BF17" s="16">
        <f t="shared" si="13"/>
        <v>-8.4488014705091929E-6</v>
      </c>
      <c r="BG17" s="16">
        <f t="shared" si="14"/>
        <v>-6.9703942939258745E-6</v>
      </c>
      <c r="BH17" s="16"/>
      <c r="BJ17" s="50"/>
      <c r="BK17" s="50"/>
      <c r="BL17" s="50"/>
      <c r="BM17" s="50"/>
      <c r="BN17" s="50"/>
      <c r="BP17" s="50"/>
      <c r="BQ17" s="50"/>
      <c r="BR17" s="50"/>
      <c r="BS17" s="50"/>
      <c r="BT17" s="50"/>
      <c r="BV17" s="58">
        <f t="shared" si="16"/>
        <v>2208</v>
      </c>
      <c r="BW17" s="58">
        <f t="shared" si="15"/>
        <v>69</v>
      </c>
      <c r="BX17" s="58">
        <f t="shared" si="15"/>
        <v>-6.46875</v>
      </c>
      <c r="BY17" s="58">
        <f t="shared" si="15"/>
        <v>1232</v>
      </c>
      <c r="BZ17" s="58">
        <f t="shared" si="15"/>
        <v>312</v>
      </c>
      <c r="CA17" s="58">
        <f t="shared" si="15"/>
        <v>8</v>
      </c>
      <c r="CB17" s="58">
        <f t="shared" si="15"/>
        <v>912</v>
      </c>
      <c r="CC17" s="58">
        <f t="shared" si="15"/>
        <v>1.9700000000000273E-4</v>
      </c>
      <c r="CD17" s="58">
        <f t="shared" si="15"/>
        <v>-4.0599999999813008E-4</v>
      </c>
      <c r="CE17" s="58">
        <f t="shared" si="15"/>
        <v>-2.0999999996718088E-5</v>
      </c>
      <c r="CF17" s="58">
        <f t="shared" si="15"/>
        <v>-3.1189999999980955E-3</v>
      </c>
      <c r="CG17" s="58">
        <f t="shared" si="15"/>
        <v>-1.274999999999693E-3</v>
      </c>
      <c r="CJ17" t="s">
        <v>233</v>
      </c>
    </row>
    <row r="18" spans="1:88" outlineLevel="1" x14ac:dyDescent="0.2">
      <c r="A18" s="17"/>
      <c r="B18" s="17" t="s">
        <v>64</v>
      </c>
      <c r="C18" s="18" t="s">
        <v>236</v>
      </c>
      <c r="D18" s="17">
        <v>322589704</v>
      </c>
      <c r="E18" s="18">
        <v>10</v>
      </c>
      <c r="F18" s="18">
        <v>32</v>
      </c>
      <c r="G18" s="18">
        <v>30</v>
      </c>
      <c r="I18" s="19">
        <f t="shared" si="0"/>
        <v>20.152184999999999</v>
      </c>
      <c r="J18" s="20">
        <f t="shared" si="1"/>
        <v>6.6634687138061921E-2</v>
      </c>
      <c r="K18" s="20">
        <f t="shared" si="2"/>
        <v>1.7236334362363902E-2</v>
      </c>
      <c r="L18" s="20">
        <f t="shared" si="3"/>
        <v>1.3460070008929981E-2</v>
      </c>
      <c r="M18" s="20">
        <f t="shared" si="4"/>
        <v>4.9397955986840797E-2</v>
      </c>
      <c r="N18" s="17">
        <f t="shared" si="5"/>
        <v>5560264</v>
      </c>
      <c r="O18" s="20">
        <v>16</v>
      </c>
      <c r="P18" s="21">
        <v>34802570</v>
      </c>
      <c r="Q18" s="21">
        <v>1087580.3125</v>
      </c>
      <c r="R18" s="21">
        <v>40873.40625</v>
      </c>
      <c r="S18" s="22">
        <v>21495664</v>
      </c>
      <c r="T18" s="22">
        <v>4342080</v>
      </c>
      <c r="U18" s="22">
        <v>1218184</v>
      </c>
      <c r="V18" s="22">
        <v>15935272</v>
      </c>
      <c r="W18" s="23">
        <v>70.372422</v>
      </c>
      <c r="X18" s="23">
        <v>72.950709000000003</v>
      </c>
      <c r="Y18" s="23">
        <v>37.033337000000003</v>
      </c>
      <c r="Z18" s="23">
        <v>46.1389</v>
      </c>
      <c r="AA18" s="23">
        <v>46.644790999999998</v>
      </c>
      <c r="AB18" s="24">
        <v>5057.74</v>
      </c>
      <c r="AC18" s="24">
        <v>1374.54</v>
      </c>
      <c r="AD18" s="24">
        <v>91.906999999999996</v>
      </c>
      <c r="AE18" s="24">
        <v>18.707999999999998</v>
      </c>
      <c r="AG18" s="19">
        <f t="shared" si="6"/>
        <v>20.151847499999999</v>
      </c>
      <c r="AH18" s="20">
        <f t="shared" si="7"/>
        <v>6.6633571169400996E-2</v>
      </c>
      <c r="AI18" s="20">
        <f t="shared" si="8"/>
        <v>1.7236309563060326E-2</v>
      </c>
      <c r="AJ18" s="20">
        <f t="shared" si="9"/>
        <v>1.3460070008929981E-2</v>
      </c>
      <c r="AK18" s="20">
        <f t="shared" si="10"/>
        <v>4.9396864817483448E-2</v>
      </c>
      <c r="AL18" s="17">
        <f t="shared" si="11"/>
        <v>5560256</v>
      </c>
      <c r="AM18" s="20">
        <v>16</v>
      </c>
      <c r="AN18" s="21">
        <v>34799418</v>
      </c>
      <c r="AO18" s="21">
        <v>1087481.8125</v>
      </c>
      <c r="AP18" s="21">
        <v>40860.15625</v>
      </c>
      <c r="AQ18" s="22">
        <v>21495304</v>
      </c>
      <c r="AR18" s="22">
        <v>4342080</v>
      </c>
      <c r="AS18" s="22">
        <v>1218176</v>
      </c>
      <c r="AT18" s="22">
        <v>15934920</v>
      </c>
      <c r="AU18" s="23">
        <v>70.372874999999993</v>
      </c>
      <c r="AV18" s="23">
        <v>72.951280999999994</v>
      </c>
      <c r="AW18" s="23">
        <v>37.033180999999999</v>
      </c>
      <c r="AX18" s="23">
        <v>46.138033999999998</v>
      </c>
      <c r="AY18" s="23">
        <v>46.638800000000003</v>
      </c>
      <c r="AZ18" s="24">
        <v>6120.76</v>
      </c>
      <c r="BA18" s="24">
        <v>1708.34</v>
      </c>
      <c r="BB18" s="24">
        <v>96.295000000000002</v>
      </c>
      <c r="BC18" s="24">
        <v>19.998999999999999</v>
      </c>
      <c r="BE18" s="49">
        <f t="shared" si="12"/>
        <v>0.99999856121939534</v>
      </c>
      <c r="BF18" s="25">
        <f t="shared" si="13"/>
        <v>-8.7800791205780437E-6</v>
      </c>
      <c r="BG18" s="25">
        <f t="shared" si="14"/>
        <v>3.9599753965391393E-6</v>
      </c>
      <c r="BH18" s="25"/>
      <c r="BJ18" s="49"/>
      <c r="BK18" s="49"/>
      <c r="BL18" s="49"/>
      <c r="BM18" s="49"/>
      <c r="BN18" s="49"/>
      <c r="BP18" s="49"/>
      <c r="BQ18" s="49"/>
      <c r="BR18" s="49"/>
      <c r="BS18" s="49"/>
      <c r="BT18" s="49"/>
      <c r="BV18" s="58">
        <f t="shared" si="16"/>
        <v>-3152</v>
      </c>
      <c r="BW18" s="58">
        <f t="shared" si="15"/>
        <v>-98.5</v>
      </c>
      <c r="BX18" s="58">
        <f t="shared" si="15"/>
        <v>-13.25</v>
      </c>
      <c r="BY18" s="58">
        <f t="shared" si="15"/>
        <v>-360</v>
      </c>
      <c r="BZ18" s="58">
        <f t="shared" si="15"/>
        <v>0</v>
      </c>
      <c r="CA18" s="58">
        <f t="shared" si="15"/>
        <v>-8</v>
      </c>
      <c r="CB18" s="58">
        <f t="shared" si="15"/>
        <v>-352</v>
      </c>
      <c r="CC18" s="58">
        <f t="shared" si="15"/>
        <v>4.5299999999315332E-4</v>
      </c>
      <c r="CD18" s="58">
        <f t="shared" si="15"/>
        <v>5.7199999999113516E-4</v>
      </c>
      <c r="CE18" s="58">
        <f t="shared" si="15"/>
        <v>-1.5600000000404179E-4</v>
      </c>
      <c r="CF18" s="58">
        <f t="shared" si="15"/>
        <v>-8.6600000000203181E-4</v>
      </c>
      <c r="CG18" s="58">
        <f t="shared" si="15"/>
        <v>-5.9909999999945285E-3</v>
      </c>
      <c r="CJ18" t="s">
        <v>233</v>
      </c>
    </row>
    <row r="19" spans="1:88" ht="16" outlineLevel="1" thickBot="1" x14ac:dyDescent="0.25">
      <c r="A19" s="52"/>
      <c r="B19" s="26" t="s">
        <v>64</v>
      </c>
      <c r="C19" s="27" t="s">
        <v>237</v>
      </c>
      <c r="D19" s="26">
        <v>322589704</v>
      </c>
      <c r="E19" s="27">
        <v>10</v>
      </c>
      <c r="F19" s="27">
        <v>32</v>
      </c>
      <c r="G19" s="27">
        <v>30</v>
      </c>
      <c r="I19" s="28">
        <f t="shared" si="0"/>
        <v>35.666692500000003</v>
      </c>
      <c r="J19" s="29">
        <f t="shared" si="1"/>
        <v>0.11793455131475616</v>
      </c>
      <c r="K19" s="29">
        <f t="shared" si="2"/>
        <v>2.7705583560720216E-2</v>
      </c>
      <c r="L19" s="29">
        <f t="shared" si="3"/>
        <v>2.0647478569247826E-2</v>
      </c>
      <c r="M19" s="29">
        <f t="shared" si="4"/>
        <v>9.0228570965178723E-2</v>
      </c>
      <c r="N19" s="26">
        <f t="shared" si="5"/>
        <v>8937536</v>
      </c>
      <c r="O19" s="29">
        <v>16</v>
      </c>
      <c r="P19" s="30">
        <v>33042374</v>
      </c>
      <c r="Q19" s="30">
        <v>1032574.1875</v>
      </c>
      <c r="R19" s="30">
        <v>17761.0625</v>
      </c>
      <c r="S19" s="31">
        <v>38044472</v>
      </c>
      <c r="T19" s="31">
        <v>6660664</v>
      </c>
      <c r="U19" s="31">
        <v>2276872</v>
      </c>
      <c r="V19" s="31">
        <v>29106808</v>
      </c>
      <c r="W19" s="32">
        <v>71.149422000000001</v>
      </c>
      <c r="X19" s="32">
        <v>75.002240999999998</v>
      </c>
      <c r="Y19" s="32">
        <v>39.54045</v>
      </c>
      <c r="Z19" s="32">
        <v>47.871453000000002</v>
      </c>
      <c r="AA19" s="32">
        <v>48.470669000000001</v>
      </c>
      <c r="AB19" s="33">
        <v>5909.46</v>
      </c>
      <c r="AC19" s="33">
        <v>2132.77</v>
      </c>
      <c r="AD19" s="33">
        <v>91.897999999999996</v>
      </c>
      <c r="AE19" s="33">
        <v>27.677</v>
      </c>
      <c r="AG19" s="28">
        <f t="shared" si="6"/>
        <v>35.66865</v>
      </c>
      <c r="AH19" s="29">
        <f t="shared" si="7"/>
        <v>0.11794102393298951</v>
      </c>
      <c r="AI19" s="29">
        <f t="shared" si="8"/>
        <v>2.7706079546791735E-2</v>
      </c>
      <c r="AJ19" s="29">
        <f t="shared" si="9"/>
        <v>2.0647974555319349E-2</v>
      </c>
      <c r="AK19" s="29">
        <f t="shared" si="10"/>
        <v>9.023454759734055E-2</v>
      </c>
      <c r="AL19" s="26">
        <f t="shared" si="11"/>
        <v>8937696</v>
      </c>
      <c r="AM19" s="29">
        <v>16</v>
      </c>
      <c r="AN19" s="30">
        <v>33039030</v>
      </c>
      <c r="AO19" s="30">
        <v>1032469.6875</v>
      </c>
      <c r="AP19" s="30">
        <v>17754.53125</v>
      </c>
      <c r="AQ19" s="31">
        <v>38046560</v>
      </c>
      <c r="AR19" s="31">
        <v>6660824</v>
      </c>
      <c r="AS19" s="31">
        <v>2276872</v>
      </c>
      <c r="AT19" s="31">
        <v>29108736</v>
      </c>
      <c r="AU19" s="32">
        <v>71.149227999999994</v>
      </c>
      <c r="AV19" s="32">
        <v>75.004366000000005</v>
      </c>
      <c r="AW19" s="32">
        <v>39.539543999999999</v>
      </c>
      <c r="AX19" s="32">
        <v>47.871558999999998</v>
      </c>
      <c r="AY19" s="32">
        <v>48.474975000000001</v>
      </c>
      <c r="AZ19" s="33">
        <v>5043.8900000000003</v>
      </c>
      <c r="BA19" s="33">
        <v>1636.88</v>
      </c>
      <c r="BB19" s="33">
        <v>84.945999999999998</v>
      </c>
      <c r="BC19" s="33">
        <v>19.928999999999998</v>
      </c>
      <c r="BE19" s="34">
        <f t="shared" si="12"/>
        <v>1.0000179020257931</v>
      </c>
      <c r="BF19" s="35">
        <f t="shared" si="13"/>
        <v>-4.584900131578834E-6</v>
      </c>
      <c r="BG19" s="35">
        <f t="shared" si="14"/>
        <v>-8.6872510955959825E-6</v>
      </c>
      <c r="BH19" s="35"/>
      <c r="BJ19" s="34"/>
      <c r="BK19" s="34"/>
      <c r="BL19" s="34"/>
      <c r="BM19" s="34"/>
      <c r="BN19" s="34"/>
      <c r="BP19" s="34"/>
      <c r="BQ19" s="34"/>
      <c r="BR19" s="34"/>
      <c r="BS19" s="34"/>
      <c r="BT19" s="34"/>
      <c r="BV19" s="58">
        <f t="shared" si="16"/>
        <v>-3344</v>
      </c>
      <c r="BW19" s="58">
        <f t="shared" si="15"/>
        <v>-104.5</v>
      </c>
      <c r="BX19" s="58">
        <f t="shared" si="15"/>
        <v>-6.53125</v>
      </c>
      <c r="BY19" s="58">
        <f t="shared" si="15"/>
        <v>2088</v>
      </c>
      <c r="BZ19" s="58">
        <f t="shared" si="15"/>
        <v>160</v>
      </c>
      <c r="CA19" s="58">
        <f t="shared" si="15"/>
        <v>0</v>
      </c>
      <c r="CB19" s="58">
        <f t="shared" si="15"/>
        <v>1928</v>
      </c>
      <c r="CC19" s="58">
        <f t="shared" si="15"/>
        <v>-1.94000000007577E-4</v>
      </c>
      <c r="CD19" s="58">
        <f t="shared" si="15"/>
        <v>2.1250000000065938E-3</v>
      </c>
      <c r="CE19" s="58">
        <f t="shared" si="15"/>
        <v>-9.060000000005175E-4</v>
      </c>
      <c r="CF19" s="58">
        <f t="shared" si="15"/>
        <v>1.0599999999527654E-4</v>
      </c>
      <c r="CG19" s="58">
        <f t="shared" si="15"/>
        <v>4.305999999999699E-3</v>
      </c>
      <c r="CJ19" t="s">
        <v>233</v>
      </c>
    </row>
    <row r="20" spans="1:88" x14ac:dyDescent="0.2">
      <c r="A20" s="17"/>
      <c r="B20" s="17" t="s">
        <v>70</v>
      </c>
      <c r="C20" s="18" t="s">
        <v>232</v>
      </c>
      <c r="D20" s="17">
        <v>250602891</v>
      </c>
      <c r="E20" s="18">
        <v>10</v>
      </c>
      <c r="F20" s="18">
        <v>32</v>
      </c>
      <c r="G20" s="18">
        <v>50</v>
      </c>
      <c r="I20" s="19">
        <f t="shared" si="0"/>
        <v>5.1277999999999997</v>
      </c>
      <c r="J20" s="20">
        <f t="shared" si="1"/>
        <v>1.309558715346185E-2</v>
      </c>
      <c r="K20" s="20">
        <f t="shared" si="2"/>
        <v>7.6116919177919616E-3</v>
      </c>
      <c r="L20" s="20">
        <f t="shared" si="3"/>
        <v>3.7722469849719329E-3</v>
      </c>
      <c r="M20" s="20">
        <f t="shared" si="4"/>
        <v>5.4833844674202102E-3</v>
      </c>
      <c r="N20" s="17">
        <f t="shared" si="5"/>
        <v>1907512</v>
      </c>
      <c r="O20" s="20">
        <v>16</v>
      </c>
      <c r="P20" s="21">
        <v>27895059</v>
      </c>
      <c r="Q20" s="21">
        <v>871720.59375</v>
      </c>
      <c r="R20" s="21">
        <v>24142.21875</v>
      </c>
      <c r="S20" s="22">
        <v>3281792</v>
      </c>
      <c r="T20" s="22">
        <v>945336</v>
      </c>
      <c r="U20" s="22">
        <v>962176</v>
      </c>
      <c r="V20" s="22">
        <v>1374152</v>
      </c>
      <c r="W20" s="23">
        <v>66.740497000000005</v>
      </c>
      <c r="X20" s="23">
        <v>68.830252999999999</v>
      </c>
      <c r="Y20" s="23">
        <v>30.765675000000002</v>
      </c>
      <c r="Z20" s="23">
        <v>39.548425000000002</v>
      </c>
      <c r="AA20" s="23">
        <v>38.311391</v>
      </c>
      <c r="AB20" s="24">
        <v>4230.26</v>
      </c>
      <c r="AC20" s="24">
        <v>1087.0899999999999</v>
      </c>
      <c r="AD20" s="24">
        <v>69.400999999999996</v>
      </c>
      <c r="AE20" s="24">
        <v>15.781000000000001</v>
      </c>
      <c r="AG20" s="19">
        <f t="shared" si="6"/>
        <v>5.0904999999999996</v>
      </c>
      <c r="AH20" s="20">
        <f t="shared" si="7"/>
        <v>1.3000328874897138E-2</v>
      </c>
      <c r="AI20" s="20">
        <f t="shared" si="8"/>
        <v>7.5511658802052684E-3</v>
      </c>
      <c r="AJ20" s="20">
        <f t="shared" si="9"/>
        <v>3.7271078409067517E-3</v>
      </c>
      <c r="AK20" s="20">
        <f t="shared" si="10"/>
        <v>5.4486522264421923E-3</v>
      </c>
      <c r="AL20" s="17">
        <f t="shared" si="11"/>
        <v>1892344</v>
      </c>
      <c r="AM20" s="20">
        <v>16</v>
      </c>
      <c r="AN20" s="21">
        <v>26662905</v>
      </c>
      <c r="AO20" s="21">
        <v>833215.78125</v>
      </c>
      <c r="AP20" s="21">
        <v>22206.53125</v>
      </c>
      <c r="AQ20" s="22">
        <v>3257920</v>
      </c>
      <c r="AR20" s="22">
        <v>934024</v>
      </c>
      <c r="AS20" s="22">
        <v>958320</v>
      </c>
      <c r="AT20" s="22">
        <v>1365448</v>
      </c>
      <c r="AU20" s="23">
        <v>66.549000000000007</v>
      </c>
      <c r="AV20" s="23">
        <v>68.833022</v>
      </c>
      <c r="AW20" s="23">
        <v>30.748241</v>
      </c>
      <c r="AX20" s="23">
        <v>39.473565999999998</v>
      </c>
      <c r="AY20" s="23">
        <v>38.191471999999997</v>
      </c>
      <c r="AZ20" s="24">
        <v>4641.6099999999997</v>
      </c>
      <c r="BA20" s="24">
        <v>1146.6600000000001</v>
      </c>
      <c r="BB20" s="24">
        <v>73.054000000000002</v>
      </c>
      <c r="BC20" s="24">
        <v>16.321999999999999</v>
      </c>
      <c r="BE20" s="49">
        <f t="shared" si="12"/>
        <v>0.99204828069233641</v>
      </c>
      <c r="BF20" s="25">
        <f t="shared" si="13"/>
        <v>-1.0433076373725404E-3</v>
      </c>
      <c r="BG20" s="25">
        <f t="shared" si="14"/>
        <v>-3.9676091267115687E-4</v>
      </c>
      <c r="BH20" s="25">
        <f t="array" ref="BH20">AVERAGE(AL20:AL24/AQ20:AQ24) - AVERAGE(N20:N24/S20:S24)</f>
        <v>-1.6429734683963138E-3</v>
      </c>
      <c r="BJ20" s="49">
        <f>IF( OR(ISBLANK(N20:N24),ISBLANK(AL20:AL24), ISBLANK(W20:W24),ISBLANK(AU20:AU24)), "·", bdRateExtend( N20:N24,W20:W24, AL20:AL24,AU20:AU24))</f>
        <v>-2.4513398340737513E-2</v>
      </c>
      <c r="BK20" s="49">
        <f>IF( OR(ISBLANK(N20:N24),ISBLANK(AL20:AL24), ISBLANK(X20:X24),ISBLANK(AV20:AV24)), "·", bdRateExtend( N20:N24,X20:X24, AL20:AL24,AV20:AV24))</f>
        <v>-5.4284665856788816E-2</v>
      </c>
      <c r="BL20" s="49">
        <f>IF( OR(ISBLANK(V20:V24),ISBLANK(AT20:AT24), ISBLANK(Y20:Y24),ISBLANK(AW20:AW24)), "·", bdRateExtend( V20:V24,Y20:Y24, AT20:AT24,AW20:AW24))</f>
        <v>3.4591148941708338E-2</v>
      </c>
      <c r="BM20" s="49">
        <f>IF( OR(ISBLANK(V20:V24),ISBLANK(AT20:AT24), ISBLANK(Z20:Z24),ISBLANK(AX20:AX24)), "·", bdRateExtend( V20:V24,Z20:Z24, AT20:AT24,AX20:AX24))</f>
        <v>3.9198621686501456E-2</v>
      </c>
      <c r="BN20" s="49">
        <f>IF( OR(ISBLANK(V20:V24),ISBLANK(AT20:AT24), ISBLANK(AA20:AA24),ISBLANK(AY20:AY24)), "·", bdRateExtend( V20:V24,AA20:AA24, AT20:AT24,AY20:AY24))</f>
        <v>8.1199475405339117E-2</v>
      </c>
      <c r="BP20" s="49">
        <f>IF( OR(ISBLANK(S20:S24),ISBLANK(AQ20:AQ24), ISBLANK(W20:W24),ISBLANK(AU20:AU24)), "·", bdRateExtend( S20:S24,W20:W24, AQ20:AQ24,AU20:AU24))</f>
        <v>-1.0918108715746944E-2</v>
      </c>
      <c r="BQ20" s="49">
        <f>IF( OR(ISBLANK(S20:S24),ISBLANK(AQ20:AQ24), ISBLANK(X20:X24),ISBLANK(AV20:AV24)), "·", bdRateExtend( S20:S24,X20:X24, AQ20:AQ24,AV20:AV24))</f>
        <v>-7.0134853693098576E-2</v>
      </c>
      <c r="BR20" s="49">
        <f>IF( OR(ISBLANK(S20:S24),ISBLANK(AQ20:AQ24), ISBLANK(Y20:Y24),ISBLANK(AW20:AW24)), "·", bdRateExtend( S20:S24,Y20:Y24, AQ20:AQ24,AW20:AW24))</f>
        <v>2.2999615728827916E-2</v>
      </c>
      <c r="BS20" s="49">
        <f>IF( OR(ISBLANK(S20:S24),ISBLANK(AQ20:AQ24), ISBLANK(Z20:Z24),ISBLANK(AX20:AX24)), "·", bdRateExtend( S20:S24,Z20:Z24, AQ20:AQ24,AX20:AX24))</f>
        <v>2.5865023468659265E-2</v>
      </c>
      <c r="BT20" s="49">
        <f>IF( OR(ISBLANK(S20:S24),ISBLANK(AQ20:AQ24), ISBLANK(AA20:AA24),ISBLANK(AY20:AY24)), "·", bdRateExtend( S20:S24,AA20:AA24, AQ20:AQ24,AY20:AY24))</f>
        <v>5.7372219458061036E-2</v>
      </c>
      <c r="BV20" s="58">
        <f t="shared" si="16"/>
        <v>-1232154</v>
      </c>
      <c r="BW20" s="58">
        <f t="shared" si="15"/>
        <v>-38504.8125</v>
      </c>
      <c r="BX20" s="58">
        <f t="shared" si="15"/>
        <v>-1935.6875</v>
      </c>
      <c r="BY20" s="58">
        <f t="shared" si="15"/>
        <v>-23872</v>
      </c>
      <c r="BZ20" s="58">
        <f t="shared" si="15"/>
        <v>-11312</v>
      </c>
      <c r="CA20" s="58">
        <f t="shared" si="15"/>
        <v>-3856</v>
      </c>
      <c r="CB20" s="58">
        <f t="shared" si="15"/>
        <v>-8704</v>
      </c>
      <c r="CC20" s="58">
        <f t="shared" si="15"/>
        <v>-0.19149699999999825</v>
      </c>
      <c r="CD20" s="58">
        <f t="shared" si="15"/>
        <v>2.7690000000006876E-3</v>
      </c>
      <c r="CE20" s="58">
        <f t="shared" si="15"/>
        <v>-1.7434000000001504E-2</v>
      </c>
      <c r="CF20" s="58">
        <f t="shared" si="15"/>
        <v>-7.4859000000003562E-2</v>
      </c>
      <c r="CG20" s="58">
        <f t="shared" si="15"/>
        <v>-0.119919000000003</v>
      </c>
      <c r="CJ20" t="s">
        <v>239</v>
      </c>
    </row>
    <row r="21" spans="1:88" outlineLevel="1" x14ac:dyDescent="0.2">
      <c r="A21" s="52"/>
      <c r="B21" s="52" t="s">
        <v>70</v>
      </c>
      <c r="C21" s="9" t="s">
        <v>234</v>
      </c>
      <c r="D21" s="52">
        <v>250602891</v>
      </c>
      <c r="E21" s="9">
        <v>10</v>
      </c>
      <c r="F21" s="9">
        <v>32</v>
      </c>
      <c r="G21" s="9">
        <v>50</v>
      </c>
      <c r="I21" s="10">
        <f t="shared" si="0"/>
        <v>7.5742624999999997</v>
      </c>
      <c r="J21" s="11">
        <f t="shared" si="1"/>
        <v>1.9343463998585716E-2</v>
      </c>
      <c r="K21" s="11">
        <f t="shared" si="2"/>
        <v>9.0579002937360362E-3</v>
      </c>
      <c r="L21" s="11">
        <f t="shared" si="3"/>
        <v>5.2184553609160083E-3</v>
      </c>
      <c r="M21" s="11">
        <f t="shared" si="4"/>
        <v>1.0285052936600002E-2</v>
      </c>
      <c r="N21" s="52">
        <f t="shared" si="5"/>
        <v>2269936</v>
      </c>
      <c r="O21" s="11">
        <v>16</v>
      </c>
      <c r="P21" s="12">
        <v>29065751</v>
      </c>
      <c r="Q21" s="12">
        <v>908304.71875</v>
      </c>
      <c r="R21" s="12">
        <v>28746.4375</v>
      </c>
      <c r="S21" s="13">
        <v>4847528</v>
      </c>
      <c r="T21" s="13">
        <v>1307760</v>
      </c>
      <c r="U21" s="13">
        <v>962176</v>
      </c>
      <c r="V21" s="13">
        <v>2577464</v>
      </c>
      <c r="W21" s="14">
        <v>68.182775000000007</v>
      </c>
      <c r="X21" s="14">
        <v>70.749455999999995</v>
      </c>
      <c r="Y21" s="14">
        <v>32.513381000000003</v>
      </c>
      <c r="Z21" s="14">
        <v>40.698084000000001</v>
      </c>
      <c r="AA21" s="14">
        <v>39.622293999999997</v>
      </c>
      <c r="AB21" s="15">
        <v>4110.43</v>
      </c>
      <c r="AC21" s="15">
        <v>1073.03</v>
      </c>
      <c r="AD21" s="15">
        <v>70.611000000000004</v>
      </c>
      <c r="AE21" s="15">
        <v>15.949</v>
      </c>
      <c r="AG21" s="10">
        <f t="shared" si="6"/>
        <v>7.5502874999999996</v>
      </c>
      <c r="AH21" s="11">
        <f t="shared" si="7"/>
        <v>1.9282235654655717E-2</v>
      </c>
      <c r="AI21" s="11">
        <f t="shared" si="8"/>
        <v>8.9611097104222957E-3</v>
      </c>
      <c r="AJ21" s="11">
        <f t="shared" si="9"/>
        <v>5.1370516711237782E-3</v>
      </c>
      <c r="AK21" s="11">
        <f t="shared" si="10"/>
        <v>1.0320615175983743E-2</v>
      </c>
      <c r="AL21" s="52">
        <f t="shared" si="11"/>
        <v>2245680</v>
      </c>
      <c r="AM21" s="11">
        <v>16</v>
      </c>
      <c r="AN21" s="12">
        <v>28265235</v>
      </c>
      <c r="AO21" s="12">
        <v>883288.59375</v>
      </c>
      <c r="AP21" s="12">
        <v>27380.9375</v>
      </c>
      <c r="AQ21" s="13">
        <v>4832184</v>
      </c>
      <c r="AR21" s="13">
        <v>1287360</v>
      </c>
      <c r="AS21" s="13">
        <v>958320</v>
      </c>
      <c r="AT21" s="13">
        <v>2586376</v>
      </c>
      <c r="AU21" s="14">
        <v>68.094027999999994</v>
      </c>
      <c r="AV21" s="14">
        <v>70.846790999999996</v>
      </c>
      <c r="AW21" s="14">
        <v>32.447225000000003</v>
      </c>
      <c r="AX21" s="14">
        <v>40.624049999999997</v>
      </c>
      <c r="AY21" s="14">
        <v>39.486747000000001</v>
      </c>
      <c r="AZ21" s="15">
        <v>4989.59</v>
      </c>
      <c r="BA21" s="15">
        <v>1539.59</v>
      </c>
      <c r="BB21" s="15">
        <v>86.722999999999999</v>
      </c>
      <c r="BC21" s="15">
        <v>22.835000000000001</v>
      </c>
      <c r="BE21" s="50">
        <f t="shared" si="12"/>
        <v>0.98931423617229752</v>
      </c>
      <c r="BF21" s="16">
        <f t="shared" si="13"/>
        <v>-6.4959334310955158E-4</v>
      </c>
      <c r="BG21" s="16">
        <f t="shared" si="14"/>
        <v>-3.5327536294947892E-3</v>
      </c>
      <c r="BH21" s="16"/>
      <c r="BJ21" s="50"/>
      <c r="BK21" s="50"/>
      <c r="BL21" s="50"/>
      <c r="BM21" s="50"/>
      <c r="BN21" s="50"/>
      <c r="BP21" s="50"/>
      <c r="BQ21" s="50"/>
      <c r="BR21" s="50"/>
      <c r="BS21" s="50"/>
      <c r="BT21" s="50"/>
      <c r="BV21" s="58">
        <f t="shared" si="16"/>
        <v>-800516</v>
      </c>
      <c r="BW21" s="58">
        <f t="shared" si="16"/>
        <v>-25016.125</v>
      </c>
      <c r="BX21" s="58">
        <f t="shared" si="16"/>
        <v>-1365.5</v>
      </c>
      <c r="BY21" s="58">
        <f t="shared" si="16"/>
        <v>-15344</v>
      </c>
      <c r="BZ21" s="58">
        <f t="shared" si="16"/>
        <v>-20400</v>
      </c>
      <c r="CA21" s="58">
        <f t="shared" si="16"/>
        <v>-3856</v>
      </c>
      <c r="CB21" s="58">
        <f t="shared" si="16"/>
        <v>8912</v>
      </c>
      <c r="CC21" s="58">
        <f t="shared" si="16"/>
        <v>-8.8747000000012122E-2</v>
      </c>
      <c r="CD21" s="58">
        <f t="shared" si="16"/>
        <v>9.733500000000106E-2</v>
      </c>
      <c r="CE21" s="58">
        <f t="shared" si="16"/>
        <v>-6.6155999999999437E-2</v>
      </c>
      <c r="CF21" s="58">
        <f t="shared" si="16"/>
        <v>-7.4034000000004596E-2</v>
      </c>
      <c r="CG21" s="58">
        <f t="shared" si="16"/>
        <v>-0.13554699999999542</v>
      </c>
      <c r="CJ21" t="s">
        <v>239</v>
      </c>
    </row>
    <row r="22" spans="1:88" outlineLevel="1" x14ac:dyDescent="0.2">
      <c r="A22" s="17"/>
      <c r="B22" s="17" t="s">
        <v>70</v>
      </c>
      <c r="C22" s="18" t="s">
        <v>235</v>
      </c>
      <c r="D22" s="17">
        <v>250602891</v>
      </c>
      <c r="E22" s="18">
        <v>10</v>
      </c>
      <c r="F22" s="18">
        <v>32</v>
      </c>
      <c r="G22" s="18">
        <v>50</v>
      </c>
      <c r="I22" s="19">
        <f t="shared" si="0"/>
        <v>12.2589375</v>
      </c>
      <c r="J22" s="20">
        <f t="shared" si="1"/>
        <v>3.1307380248857541E-2</v>
      </c>
      <c r="K22" s="20">
        <f t="shared" si="2"/>
        <v>1.1263940287105466E-2</v>
      </c>
      <c r="L22" s="20">
        <f t="shared" si="3"/>
        <v>7.4244953542854384E-3</v>
      </c>
      <c r="M22" s="20">
        <f t="shared" si="4"/>
        <v>2.0042929193502399E-2</v>
      </c>
      <c r="N22" s="17">
        <f t="shared" si="5"/>
        <v>2822776</v>
      </c>
      <c r="O22" s="20">
        <v>16</v>
      </c>
      <c r="P22" s="21">
        <v>29877010</v>
      </c>
      <c r="Q22" s="21">
        <v>933656.5625</v>
      </c>
      <c r="R22" s="21">
        <v>30288.28125</v>
      </c>
      <c r="S22" s="22">
        <v>7845720</v>
      </c>
      <c r="T22" s="22">
        <v>1860600</v>
      </c>
      <c r="U22" s="22">
        <v>962176</v>
      </c>
      <c r="V22" s="22">
        <v>5022816</v>
      </c>
      <c r="W22" s="23">
        <v>69.306630999999996</v>
      </c>
      <c r="X22" s="23">
        <v>72.299394000000007</v>
      </c>
      <c r="Y22" s="23">
        <v>34.154190999999997</v>
      </c>
      <c r="Z22" s="23">
        <v>41.761800000000001</v>
      </c>
      <c r="AA22" s="23">
        <v>40.688025000000003</v>
      </c>
      <c r="AB22" s="24">
        <v>5547.99</v>
      </c>
      <c r="AC22" s="24">
        <v>1703.73</v>
      </c>
      <c r="AD22" s="24">
        <v>92.177999999999997</v>
      </c>
      <c r="AE22" s="24">
        <v>24.631</v>
      </c>
      <c r="AG22" s="19">
        <f t="shared" si="6"/>
        <v>12.238737499999999</v>
      </c>
      <c r="AH22" s="20">
        <f t="shared" si="7"/>
        <v>3.1255792655640192E-2</v>
      </c>
      <c r="AI22" s="20">
        <f t="shared" si="8"/>
        <v>1.1102377905129595E-2</v>
      </c>
      <c r="AJ22" s="20">
        <f t="shared" si="9"/>
        <v>7.2783198658310771E-3</v>
      </c>
      <c r="AK22" s="20">
        <f t="shared" si="10"/>
        <v>2.0152903982260922E-2</v>
      </c>
      <c r="AL22" s="17">
        <f t="shared" si="11"/>
        <v>2782288</v>
      </c>
      <c r="AM22" s="20">
        <v>16</v>
      </c>
      <c r="AN22" s="21">
        <v>29000988</v>
      </c>
      <c r="AO22" s="21">
        <v>906280.875</v>
      </c>
      <c r="AP22" s="21">
        <v>29050.28125</v>
      </c>
      <c r="AQ22" s="22">
        <v>7832792</v>
      </c>
      <c r="AR22" s="22">
        <v>1823968</v>
      </c>
      <c r="AS22" s="22">
        <v>958320</v>
      </c>
      <c r="AT22" s="22">
        <v>5050376</v>
      </c>
      <c r="AU22" s="23">
        <v>69.230388000000005</v>
      </c>
      <c r="AV22" s="23">
        <v>72.519583999999995</v>
      </c>
      <c r="AW22" s="23">
        <v>34.082684</v>
      </c>
      <c r="AX22" s="23">
        <v>41.716434</v>
      </c>
      <c r="AY22" s="23">
        <v>40.569434000000001</v>
      </c>
      <c r="AZ22" s="24">
        <v>4462.84</v>
      </c>
      <c r="BA22" s="24">
        <v>1295.8699999999999</v>
      </c>
      <c r="BB22" s="24">
        <v>76.051000000000002</v>
      </c>
      <c r="BC22" s="24">
        <v>17.992999999999999</v>
      </c>
      <c r="BE22" s="49">
        <f t="shared" si="12"/>
        <v>0.9856566727221715</v>
      </c>
      <c r="BF22" s="25">
        <f t="shared" si="13"/>
        <v>-3.861045182015424E-4</v>
      </c>
      <c r="BG22" s="25">
        <f t="shared" si="14"/>
        <v>-4.5752132239560983E-3</v>
      </c>
      <c r="BH22" s="25"/>
      <c r="BJ22" s="49"/>
      <c r="BK22" s="49"/>
      <c r="BL22" s="49"/>
      <c r="BM22" s="49"/>
      <c r="BN22" s="49"/>
      <c r="BP22" s="49"/>
      <c r="BQ22" s="49"/>
      <c r="BR22" s="49"/>
      <c r="BS22" s="49"/>
      <c r="BT22" s="49"/>
      <c r="BV22" s="58">
        <f t="shared" si="16"/>
        <v>-876022</v>
      </c>
      <c r="BW22" s="58">
        <f t="shared" si="16"/>
        <v>-27375.6875</v>
      </c>
      <c r="BX22" s="58">
        <f t="shared" si="16"/>
        <v>-1238</v>
      </c>
      <c r="BY22" s="58">
        <f t="shared" si="16"/>
        <v>-12928</v>
      </c>
      <c r="BZ22" s="58">
        <f t="shared" si="16"/>
        <v>-36632</v>
      </c>
      <c r="CA22" s="58">
        <f t="shared" si="16"/>
        <v>-3856</v>
      </c>
      <c r="CB22" s="58">
        <f t="shared" si="16"/>
        <v>27560</v>
      </c>
      <c r="CC22" s="58">
        <f t="shared" si="16"/>
        <v>-7.6242999999990957E-2</v>
      </c>
      <c r="CD22" s="58">
        <f t="shared" si="16"/>
        <v>0.22018999999998812</v>
      </c>
      <c r="CE22" s="58">
        <f t="shared" si="16"/>
        <v>-7.1506999999996879E-2</v>
      </c>
      <c r="CF22" s="58">
        <f t="shared" si="16"/>
        <v>-4.536600000000135E-2</v>
      </c>
      <c r="CG22" s="58">
        <f t="shared" si="16"/>
        <v>-0.11859100000000211</v>
      </c>
      <c r="CJ22" t="s">
        <v>239</v>
      </c>
    </row>
    <row r="23" spans="1:88" outlineLevel="1" x14ac:dyDescent="0.2">
      <c r="A23" s="52"/>
      <c r="B23" s="52" t="s">
        <v>70</v>
      </c>
      <c r="C23" s="9" t="s">
        <v>236</v>
      </c>
      <c r="D23" s="52">
        <v>250602891</v>
      </c>
      <c r="E23" s="9">
        <v>10</v>
      </c>
      <c r="F23" s="9">
        <v>32</v>
      </c>
      <c r="G23" s="9">
        <v>50</v>
      </c>
      <c r="I23" s="10">
        <f t="shared" si="0"/>
        <v>21.770312499999999</v>
      </c>
      <c r="J23" s="11">
        <f t="shared" si="1"/>
        <v>5.5597922052702899E-2</v>
      </c>
      <c r="K23" s="11">
        <f t="shared" si="2"/>
        <v>1.5074718351912389E-2</v>
      </c>
      <c r="L23" s="11">
        <f t="shared" si="3"/>
        <v>1.123527341909236E-2</v>
      </c>
      <c r="M23" s="11">
        <f t="shared" si="4"/>
        <v>4.0522692932540828E-2</v>
      </c>
      <c r="N23" s="52">
        <f t="shared" si="5"/>
        <v>3777768</v>
      </c>
      <c r="O23" s="11">
        <v>16</v>
      </c>
      <c r="P23" s="12">
        <v>30030556</v>
      </c>
      <c r="Q23" s="12">
        <v>938454.875</v>
      </c>
      <c r="R23" s="12">
        <v>32114.59375</v>
      </c>
      <c r="S23" s="13">
        <v>13933000</v>
      </c>
      <c r="T23" s="13">
        <v>2815592</v>
      </c>
      <c r="U23" s="13">
        <v>962176</v>
      </c>
      <c r="V23" s="13">
        <v>10155104</v>
      </c>
      <c r="W23" s="14">
        <v>70.161094000000006</v>
      </c>
      <c r="X23" s="14">
        <v>73.609433999999993</v>
      </c>
      <c r="Y23" s="14">
        <v>35.602487000000004</v>
      </c>
      <c r="Z23" s="14">
        <v>42.935794000000001</v>
      </c>
      <c r="AA23" s="14">
        <v>41.775606000000003</v>
      </c>
      <c r="AB23" s="15">
        <v>4410.09</v>
      </c>
      <c r="AC23" s="15">
        <v>1271.03</v>
      </c>
      <c r="AD23" s="15">
        <v>74.278000000000006</v>
      </c>
      <c r="AE23" s="15">
        <v>17.422000000000001</v>
      </c>
      <c r="AG23" s="10">
        <f t="shared" si="6"/>
        <v>21.73115</v>
      </c>
      <c r="AH23" s="11">
        <f t="shared" si="7"/>
        <v>5.5497907244813072E-2</v>
      </c>
      <c r="AI23" s="11">
        <f t="shared" si="8"/>
        <v>1.4949388592647959E-2</v>
      </c>
      <c r="AJ23" s="11">
        <f t="shared" si="9"/>
        <v>1.1125330553349442E-2</v>
      </c>
      <c r="AK23" s="11">
        <f t="shared" si="10"/>
        <v>4.0548007883915431E-2</v>
      </c>
      <c r="AL23" s="52">
        <f t="shared" si="11"/>
        <v>3746360</v>
      </c>
      <c r="AM23" s="11">
        <v>16</v>
      </c>
      <c r="AN23" s="12">
        <v>29906880</v>
      </c>
      <c r="AO23" s="12">
        <v>934590</v>
      </c>
      <c r="AP23" s="12">
        <v>32224.78125</v>
      </c>
      <c r="AQ23" s="13">
        <v>13907936</v>
      </c>
      <c r="AR23" s="13">
        <v>2788040</v>
      </c>
      <c r="AS23" s="13">
        <v>958320</v>
      </c>
      <c r="AT23" s="13">
        <v>10161448</v>
      </c>
      <c r="AU23" s="14">
        <v>70.349253000000004</v>
      </c>
      <c r="AV23" s="14">
        <v>73.906571999999997</v>
      </c>
      <c r="AW23" s="14">
        <v>35.466647000000002</v>
      </c>
      <c r="AX23" s="14">
        <v>42.876449999999998</v>
      </c>
      <c r="AY23" s="14">
        <v>41.655515999999999</v>
      </c>
      <c r="AZ23" s="15">
        <v>4798.7299999999996</v>
      </c>
      <c r="BA23" s="15">
        <v>1393.93</v>
      </c>
      <c r="BB23" s="15">
        <v>81.632999999999996</v>
      </c>
      <c r="BC23" s="15">
        <v>19.440000000000001</v>
      </c>
      <c r="BE23" s="50">
        <f t="shared" si="12"/>
        <v>0.99168609612871939</v>
      </c>
      <c r="BF23" s="16">
        <f t="shared" si="13"/>
        <v>2.5941458099450199E-4</v>
      </c>
      <c r="BG23" s="16">
        <f t="shared" si="14"/>
        <v>-1.7696510199415871E-3</v>
      </c>
      <c r="BH23" s="16"/>
      <c r="BJ23" s="50"/>
      <c r="BK23" s="50"/>
      <c r="BL23" s="50"/>
      <c r="BM23" s="50"/>
      <c r="BN23" s="50"/>
      <c r="BP23" s="50"/>
      <c r="BQ23" s="50"/>
      <c r="BR23" s="50"/>
      <c r="BS23" s="50"/>
      <c r="BT23" s="50"/>
      <c r="BV23" s="58">
        <f t="shared" si="16"/>
        <v>-123676</v>
      </c>
      <c r="BW23" s="58">
        <f t="shared" si="16"/>
        <v>-3864.875</v>
      </c>
      <c r="BX23" s="58">
        <f t="shared" si="16"/>
        <v>110.1875</v>
      </c>
      <c r="BY23" s="58">
        <f t="shared" si="16"/>
        <v>-25064</v>
      </c>
      <c r="BZ23" s="58">
        <f t="shared" si="16"/>
        <v>-27552</v>
      </c>
      <c r="CA23" s="58">
        <f t="shared" si="16"/>
        <v>-3856</v>
      </c>
      <c r="CB23" s="58">
        <f t="shared" si="16"/>
        <v>6344</v>
      </c>
      <c r="CC23" s="58">
        <f t="shared" si="16"/>
        <v>0.18815899999999885</v>
      </c>
      <c r="CD23" s="58">
        <f t="shared" si="16"/>
        <v>0.2971380000000039</v>
      </c>
      <c r="CE23" s="58">
        <f t="shared" si="16"/>
        <v>-0.13584000000000174</v>
      </c>
      <c r="CF23" s="58">
        <f t="shared" si="16"/>
        <v>-5.934400000000295E-2</v>
      </c>
      <c r="CG23" s="58">
        <f t="shared" si="16"/>
        <v>-0.12009000000000469</v>
      </c>
      <c r="CJ23" t="s">
        <v>239</v>
      </c>
    </row>
    <row r="24" spans="1:88" ht="16" outlineLevel="1" thickBot="1" x14ac:dyDescent="0.25">
      <c r="A24" s="36"/>
      <c r="B24" s="36" t="s">
        <v>70</v>
      </c>
      <c r="C24" s="37" t="s">
        <v>237</v>
      </c>
      <c r="D24" s="36">
        <v>250602891</v>
      </c>
      <c r="E24" s="37">
        <v>10</v>
      </c>
      <c r="F24" s="37">
        <v>32</v>
      </c>
      <c r="G24" s="37">
        <v>50</v>
      </c>
      <c r="I24" s="38">
        <f t="shared" si="0"/>
        <v>38.156737499999998</v>
      </c>
      <c r="J24" s="39">
        <f t="shared" si="1"/>
        <v>9.7446250131248482E-2</v>
      </c>
      <c r="K24" s="39">
        <f t="shared" si="2"/>
        <v>2.5158528598139756E-2</v>
      </c>
      <c r="L24" s="39">
        <f t="shared" si="3"/>
        <v>1.7685733721244261E-2</v>
      </c>
      <c r="M24" s="39">
        <f t="shared" si="4"/>
        <v>7.2287210764859056E-2</v>
      </c>
      <c r="N24" s="36">
        <f t="shared" si="5"/>
        <v>6304800</v>
      </c>
      <c r="O24" s="39">
        <v>16</v>
      </c>
      <c r="P24" s="40">
        <v>28730816</v>
      </c>
      <c r="Q24" s="40">
        <v>897838</v>
      </c>
      <c r="R24" s="40">
        <v>15599.6875</v>
      </c>
      <c r="S24" s="41">
        <v>24420312</v>
      </c>
      <c r="T24" s="41">
        <v>4432096</v>
      </c>
      <c r="U24" s="41">
        <v>1872704</v>
      </c>
      <c r="V24" s="41">
        <v>18115384</v>
      </c>
      <c r="W24" s="42">
        <v>70.549722000000003</v>
      </c>
      <c r="X24" s="42">
        <v>74.543272000000002</v>
      </c>
      <c r="Y24" s="42">
        <v>36.722059000000002</v>
      </c>
      <c r="Z24" s="42">
        <v>43.865344</v>
      </c>
      <c r="AA24" s="42">
        <v>42.448068999999997</v>
      </c>
      <c r="AB24" s="43">
        <v>4765.1400000000003</v>
      </c>
      <c r="AC24" s="43">
        <v>1644.27</v>
      </c>
      <c r="AD24" s="43">
        <v>80.561000000000007</v>
      </c>
      <c r="AE24" s="43">
        <v>23.353000000000002</v>
      </c>
      <c r="AG24" s="38">
        <f t="shared" si="6"/>
        <v>38.194600000000001</v>
      </c>
      <c r="AH24" s="39">
        <f t="shared" si="7"/>
        <v>9.7542944945515409E-2</v>
      </c>
      <c r="AI24" s="39">
        <f t="shared" si="8"/>
        <v>2.5384383933543687E-2</v>
      </c>
      <c r="AJ24" s="39">
        <f t="shared" si="9"/>
        <v>1.7993918513892961E-2</v>
      </c>
      <c r="AK24" s="39">
        <f t="shared" si="10"/>
        <v>7.2158050243722044E-2</v>
      </c>
      <c r="AL24" s="36">
        <f t="shared" si="11"/>
        <v>6361400</v>
      </c>
      <c r="AM24" s="39">
        <v>16</v>
      </c>
      <c r="AN24" s="40">
        <v>28451194</v>
      </c>
      <c r="AO24" s="40">
        <v>889099.8125</v>
      </c>
      <c r="AP24" s="40">
        <v>15570.875</v>
      </c>
      <c r="AQ24" s="41">
        <v>24444544</v>
      </c>
      <c r="AR24" s="41">
        <v>4509328</v>
      </c>
      <c r="AS24" s="41">
        <v>1852072</v>
      </c>
      <c r="AT24" s="41">
        <v>18083016</v>
      </c>
      <c r="AU24" s="42">
        <v>70.750319000000005</v>
      </c>
      <c r="AV24" s="42">
        <v>75.060381000000007</v>
      </c>
      <c r="AW24" s="42">
        <v>36.768334000000003</v>
      </c>
      <c r="AX24" s="42">
        <v>43.808950000000003</v>
      </c>
      <c r="AY24" s="42">
        <v>42.358119000000002</v>
      </c>
      <c r="AZ24" s="43">
        <v>5062.96</v>
      </c>
      <c r="BA24" s="43">
        <v>1716.15</v>
      </c>
      <c r="BB24" s="43">
        <v>80.563000000000002</v>
      </c>
      <c r="BC24" s="43">
        <v>22.466000000000001</v>
      </c>
      <c r="BE24" s="44">
        <f t="shared" si="12"/>
        <v>1.0089772871463012</v>
      </c>
      <c r="BF24" s="45">
        <f t="shared" si="13"/>
        <v>1.3835465361924579E-4</v>
      </c>
      <c r="BG24" s="45">
        <f t="shared" si="14"/>
        <v>2.0595114440825624E-3</v>
      </c>
      <c r="BH24" s="45"/>
      <c r="BJ24" s="44"/>
      <c r="BK24" s="44"/>
      <c r="BL24" s="44"/>
      <c r="BM24" s="44"/>
      <c r="BN24" s="44"/>
      <c r="BP24" s="44"/>
      <c r="BQ24" s="44"/>
      <c r="BR24" s="44"/>
      <c r="BS24" s="44"/>
      <c r="BT24" s="44"/>
      <c r="BV24" s="58">
        <f t="shared" si="16"/>
        <v>-279622</v>
      </c>
      <c r="BW24" s="58">
        <f t="shared" si="16"/>
        <v>-8738.1875</v>
      </c>
      <c r="BX24" s="58">
        <f t="shared" si="16"/>
        <v>-28.8125</v>
      </c>
      <c r="BY24" s="58">
        <f t="shared" si="16"/>
        <v>24232</v>
      </c>
      <c r="BZ24" s="58">
        <f t="shared" si="16"/>
        <v>77232</v>
      </c>
      <c r="CA24" s="58">
        <f t="shared" si="16"/>
        <v>-20632</v>
      </c>
      <c r="CB24" s="58">
        <f t="shared" si="16"/>
        <v>-32368</v>
      </c>
      <c r="CC24" s="58">
        <f t="shared" si="16"/>
        <v>0.20059700000000191</v>
      </c>
      <c r="CD24" s="58">
        <f t="shared" si="16"/>
        <v>0.51710900000000493</v>
      </c>
      <c r="CE24" s="58">
        <f t="shared" si="16"/>
        <v>4.6275000000001398E-2</v>
      </c>
      <c r="CF24" s="58">
        <f t="shared" si="16"/>
        <v>-5.6393999999997391E-2</v>
      </c>
      <c r="CG24" s="58">
        <f t="shared" si="16"/>
        <v>-8.9949999999994645E-2</v>
      </c>
      <c r="CJ24" t="s">
        <v>239</v>
      </c>
    </row>
    <row r="25" spans="1:88" x14ac:dyDescent="0.2">
      <c r="A25" s="52" t="s">
        <v>240</v>
      </c>
      <c r="B25" s="52" t="s">
        <v>73</v>
      </c>
      <c r="C25" s="9" t="s">
        <v>232</v>
      </c>
      <c r="D25" s="52">
        <v>250294582</v>
      </c>
      <c r="E25" s="9">
        <v>10</v>
      </c>
      <c r="F25" s="9">
        <v>32</v>
      </c>
      <c r="G25" s="9">
        <v>30</v>
      </c>
      <c r="I25" s="10">
        <f t="shared" si="0"/>
        <v>4.3684124999999998</v>
      </c>
      <c r="J25" s="11">
        <f t="shared" si="1"/>
        <v>1.8616623511251235E-2</v>
      </c>
      <c r="K25" s="11">
        <f t="shared" si="2"/>
        <v>6.4788617757614905E-3</v>
      </c>
      <c r="L25" s="11">
        <f t="shared" si="3"/>
        <v>3.7288222243660072E-3</v>
      </c>
      <c r="M25" s="11">
        <f t="shared" si="4"/>
        <v>1.2137250338083626E-2</v>
      </c>
      <c r="N25" s="52">
        <f t="shared" si="5"/>
        <v>1621624</v>
      </c>
      <c r="O25" s="11">
        <v>16</v>
      </c>
      <c r="P25" s="12">
        <v>23138864</v>
      </c>
      <c r="Q25" s="12">
        <v>723089.5</v>
      </c>
      <c r="R25" s="12">
        <v>14043.03125</v>
      </c>
      <c r="S25" s="13">
        <v>4659640</v>
      </c>
      <c r="T25" s="13">
        <v>933304</v>
      </c>
      <c r="U25" s="13">
        <v>688320</v>
      </c>
      <c r="V25" s="13">
        <v>3037888</v>
      </c>
      <c r="W25" s="14">
        <v>66.207505999999995</v>
      </c>
      <c r="X25" s="14">
        <v>67.988172000000006</v>
      </c>
      <c r="Y25" s="14">
        <v>27.335087999999999</v>
      </c>
      <c r="Z25" s="14">
        <v>33.162205999999998</v>
      </c>
      <c r="AA25" s="14">
        <v>32.595793999999998</v>
      </c>
      <c r="AB25" s="15">
        <v>1881.87</v>
      </c>
      <c r="AC25" s="15">
        <v>1370.09</v>
      </c>
      <c r="AD25" s="15">
        <v>68.628</v>
      </c>
      <c r="AE25" s="15">
        <v>20.745000000000001</v>
      </c>
      <c r="AG25" s="10">
        <f t="shared" si="6"/>
        <v>4.3662824999999996</v>
      </c>
      <c r="AH25" s="11">
        <f t="shared" si="7"/>
        <v>1.8607546207292654E-2</v>
      </c>
      <c r="AI25" s="11">
        <f t="shared" si="8"/>
        <v>6.4761769393793748E-3</v>
      </c>
      <c r="AJ25" s="11">
        <f t="shared" si="9"/>
        <v>3.7261054256460093E-3</v>
      </c>
      <c r="AK25" s="11">
        <f t="shared" si="10"/>
        <v>1.2130857870507161E-2</v>
      </c>
      <c r="AL25" s="52">
        <f t="shared" si="11"/>
        <v>1620952</v>
      </c>
      <c r="AM25" s="11">
        <v>16</v>
      </c>
      <c r="AN25" s="12">
        <v>23156910</v>
      </c>
      <c r="AO25" s="12">
        <v>723653.4375</v>
      </c>
      <c r="AP25" s="12">
        <v>14060.625</v>
      </c>
      <c r="AQ25" s="13">
        <v>4657368</v>
      </c>
      <c r="AR25" s="13">
        <v>932624</v>
      </c>
      <c r="AS25" s="13">
        <v>688328</v>
      </c>
      <c r="AT25" s="13">
        <v>3036288</v>
      </c>
      <c r="AU25" s="14">
        <v>66.208680999999999</v>
      </c>
      <c r="AV25" s="14">
        <v>67.982928000000001</v>
      </c>
      <c r="AW25" s="14">
        <v>27.335812000000001</v>
      </c>
      <c r="AX25" s="14">
        <v>33.167050000000003</v>
      </c>
      <c r="AY25" s="14">
        <v>32.594690999999997</v>
      </c>
      <c r="AZ25" s="15">
        <v>1654.9</v>
      </c>
      <c r="BA25" s="15">
        <v>1118.6600000000001</v>
      </c>
      <c r="BB25" s="15">
        <v>63.179000000000002</v>
      </c>
      <c r="BC25" s="15">
        <v>16.872</v>
      </c>
      <c r="BE25" s="50">
        <f t="shared" si="12"/>
        <v>0.99958560060778578</v>
      </c>
      <c r="BF25" s="16">
        <f t="shared" si="13"/>
        <v>9.1778600146801004E-6</v>
      </c>
      <c r="BG25" s="16">
        <f t="shared" si="14"/>
        <v>2.5484303651013285E-5</v>
      </c>
      <c r="BH25" s="16">
        <f t="array" ref="BH25">AVERAGE(AL25:AL29/AQ25:AQ29) - AVERAGE(N25:N29/S25:S29)</f>
        <v>1.3763823072887593E-5</v>
      </c>
      <c r="BJ25" s="50">
        <f>IF( OR(ISBLANK(N25:N29),ISBLANK(AL25:AL29), ISBLANK(W25:W29),ISBLANK(AU25:AU29)), "·", bdRateExtend( N25:N29,W25:W29, AL25:AL29,AU25:AU29))</f>
        <v>6.0107494612493539E-5</v>
      </c>
      <c r="BK25" s="50">
        <f>IF( OR(ISBLANK(N25:N29),ISBLANK(AL25:AL29), ISBLANK(X25:X29),ISBLANK(AV25:AV29)), "·", bdRateExtend( N25:N29,X25:X29, AL25:AL29,AV25:AV29))</f>
        <v>9.2456163778731337E-5</v>
      </c>
      <c r="BL25" s="50">
        <f>IF( OR(ISBLANK(V25:V29),ISBLANK(AT25:AT29), ISBLANK(Y25:Y29),ISBLANK(AW25:AW29)), "·", bdRateExtend( V25:V29,Y25:Y29, AT25:AT29,AW25:AW29))</f>
        <v>-4.1512352588424228E-5</v>
      </c>
      <c r="BM25" s="50">
        <f>IF( OR(ISBLANK(V25:V29),ISBLANK(AT25:AT29), ISBLANK(Z25:Z29),ISBLANK(AX25:AX29)), "·", bdRateExtend( V25:V29,Z25:Z29, AT25:AT29,AX25:AX29))</f>
        <v>-9.1884594017743737E-4</v>
      </c>
      <c r="BN25" s="50">
        <f>IF( OR(ISBLANK(V25:V29),ISBLANK(AT25:AT29), ISBLANK(AA25:AA29),ISBLANK(AY25:AY29)), "·", bdRateExtend( V25:V29,AA25:AA29, AT25:AT29,AY25:AY29))</f>
        <v>-7.7516076731498629E-4</v>
      </c>
      <c r="BP25" s="50">
        <f>IF( OR(ISBLANK(S25:S29),ISBLANK(AQ25:AQ29), ISBLANK(W25:W29),ISBLANK(AU25:AU29)), "·", bdRateExtend( S25:S29,W25:W29, AQ25:AQ29,AU25:AU29))</f>
        <v>2.0508234497684796E-4</v>
      </c>
      <c r="BQ25" s="50">
        <f>IF( OR(ISBLANK(S25:S29),ISBLANK(AQ25:AQ29), ISBLANK(X25:X29),ISBLANK(AV25:AV29)), "·", bdRateExtend( S25:S29,X25:X29, AQ25:AQ29,AV25:AV29))</f>
        <v>1.8268341871685578E-4</v>
      </c>
      <c r="BR25" s="50">
        <f>IF( OR(ISBLANK(S25:S29),ISBLANK(AQ25:AQ29), ISBLANK(Y25:Y29),ISBLANK(AW25:AW29)), "·", bdRateExtend( S25:S29,Y25:Y29, AQ25:AQ29,AW25:AW29))</f>
        <v>-3.5961967799646999E-5</v>
      </c>
      <c r="BS25" s="50">
        <f>IF( OR(ISBLANK(S25:S29),ISBLANK(AQ25:AQ29), ISBLANK(Z25:Z29),ISBLANK(AX25:AX29)), "·", bdRateExtend( S25:S29,Z25:Z29, AQ25:AQ29,AX25:AX29))</f>
        <v>-8.1528125450525124E-4</v>
      </c>
      <c r="BT25" s="50">
        <f>IF( OR(ISBLANK(S25:S29),ISBLANK(AQ25:AQ29), ISBLANK(AA25:AA29),ISBLANK(AY25:AY29)), "·", bdRateExtend( S25:S29,AA25:AA29, AQ25:AQ29,AY25:AY29))</f>
        <v>-6.9051715734946839E-4</v>
      </c>
      <c r="BV25" s="58">
        <f t="shared" si="16"/>
        <v>18046</v>
      </c>
      <c r="BW25" s="58">
        <f t="shared" si="16"/>
        <v>563.9375</v>
      </c>
      <c r="BX25" s="58">
        <f t="shared" si="16"/>
        <v>17.59375</v>
      </c>
      <c r="BY25" s="58">
        <f t="shared" si="16"/>
        <v>-2272</v>
      </c>
      <c r="BZ25" s="58">
        <f t="shared" si="16"/>
        <v>-680</v>
      </c>
      <c r="CA25" s="58">
        <f t="shared" si="16"/>
        <v>8</v>
      </c>
      <c r="CB25" s="58">
        <f t="shared" si="16"/>
        <v>-1600</v>
      </c>
      <c r="CC25" s="58">
        <f t="shared" si="16"/>
        <v>1.1750000000034788E-3</v>
      </c>
      <c r="CD25" s="58">
        <f t="shared" si="16"/>
        <v>-5.2440000000046894E-3</v>
      </c>
      <c r="CE25" s="58">
        <f t="shared" si="16"/>
        <v>7.2400000000172327E-4</v>
      </c>
      <c r="CF25" s="58">
        <f t="shared" si="16"/>
        <v>4.8440000000056216E-3</v>
      </c>
      <c r="CG25" s="58">
        <f t="shared" si="16"/>
        <v>-1.1030000000005202E-3</v>
      </c>
      <c r="CJ25" t="s">
        <v>241</v>
      </c>
    </row>
    <row r="26" spans="1:88" outlineLevel="1" x14ac:dyDescent="0.2">
      <c r="A26" s="17"/>
      <c r="B26" s="17" t="s">
        <v>73</v>
      </c>
      <c r="C26" s="18" t="s">
        <v>234</v>
      </c>
      <c r="D26" s="17">
        <v>250294582</v>
      </c>
      <c r="E26" s="18">
        <v>10</v>
      </c>
      <c r="F26" s="18">
        <v>32</v>
      </c>
      <c r="G26" s="18">
        <v>30</v>
      </c>
      <c r="I26" s="19">
        <f t="shared" si="0"/>
        <v>7.4950875000000003</v>
      </c>
      <c r="J26" s="20">
        <f t="shared" si="1"/>
        <v>3.1941402551014866E-2</v>
      </c>
      <c r="K26" s="20">
        <f t="shared" si="2"/>
        <v>8.0012918537725273E-3</v>
      </c>
      <c r="L26" s="20">
        <f t="shared" si="3"/>
        <v>5.2512523023770449E-3</v>
      </c>
      <c r="M26" s="20">
        <f t="shared" si="4"/>
        <v>2.3939599299836224E-2</v>
      </c>
      <c r="N26" s="17">
        <f t="shared" si="5"/>
        <v>2002680</v>
      </c>
      <c r="O26" s="20">
        <v>16</v>
      </c>
      <c r="P26" s="21">
        <v>24580782</v>
      </c>
      <c r="Q26" s="21">
        <v>768149.4375</v>
      </c>
      <c r="R26" s="21">
        <v>17704.4375</v>
      </c>
      <c r="S26" s="22">
        <v>7994760</v>
      </c>
      <c r="T26" s="22">
        <v>1314360</v>
      </c>
      <c r="U26" s="22">
        <v>688320</v>
      </c>
      <c r="V26" s="22">
        <v>5991952</v>
      </c>
      <c r="W26" s="23">
        <v>67.944759000000005</v>
      </c>
      <c r="X26" s="23">
        <v>69.940769000000003</v>
      </c>
      <c r="Y26" s="23">
        <v>29.715299999999999</v>
      </c>
      <c r="Z26" s="23">
        <v>34.340240999999999</v>
      </c>
      <c r="AA26" s="23">
        <v>33.890512000000001</v>
      </c>
      <c r="AB26" s="24">
        <v>1392.61</v>
      </c>
      <c r="AC26" s="24">
        <v>1020.7</v>
      </c>
      <c r="AD26" s="24">
        <v>59.671999999999997</v>
      </c>
      <c r="AE26" s="24">
        <v>15.121</v>
      </c>
      <c r="AG26" s="19">
        <f t="shared" si="6"/>
        <v>7.4939099999999996</v>
      </c>
      <c r="AH26" s="20">
        <f t="shared" si="7"/>
        <v>3.1936384463967342E-2</v>
      </c>
      <c r="AI26" s="20">
        <f t="shared" si="8"/>
        <v>8.0026662343014674E-3</v>
      </c>
      <c r="AJ26" s="20">
        <f t="shared" si="9"/>
        <v>5.2525947205681028E-3</v>
      </c>
      <c r="AK26" s="20">
        <f t="shared" si="10"/>
        <v>2.3933206832259756E-2</v>
      </c>
      <c r="AL26" s="17">
        <f t="shared" si="11"/>
        <v>2003024</v>
      </c>
      <c r="AM26" s="20">
        <v>16</v>
      </c>
      <c r="AN26" s="21">
        <v>24564301</v>
      </c>
      <c r="AO26" s="21">
        <v>767634.40625</v>
      </c>
      <c r="AP26" s="21">
        <v>17714.59375</v>
      </c>
      <c r="AQ26" s="22">
        <v>7993504</v>
      </c>
      <c r="AR26" s="22">
        <v>1314696</v>
      </c>
      <c r="AS26" s="22">
        <v>688328</v>
      </c>
      <c r="AT26" s="22">
        <v>5990352</v>
      </c>
      <c r="AU26" s="23">
        <v>67.941556000000006</v>
      </c>
      <c r="AV26" s="23">
        <v>69.941896999999997</v>
      </c>
      <c r="AW26" s="23">
        <v>29.713653000000001</v>
      </c>
      <c r="AX26" s="23">
        <v>34.339922000000001</v>
      </c>
      <c r="AY26" s="23">
        <v>33.891993999999997</v>
      </c>
      <c r="AZ26" s="24">
        <v>1669.21</v>
      </c>
      <c r="BA26" s="24">
        <v>1151.08</v>
      </c>
      <c r="BB26" s="24">
        <v>66.293000000000006</v>
      </c>
      <c r="BC26" s="24">
        <v>18.295000000000002</v>
      </c>
      <c r="BE26" s="49">
        <f t="shared" si="12"/>
        <v>1.0001717698284298</v>
      </c>
      <c r="BF26" s="25">
        <f t="shared" si="13"/>
        <v>2.8694358590923563E-5</v>
      </c>
      <c r="BG26" s="25">
        <f t="shared" si="14"/>
        <v>8.2395260023682138E-5</v>
      </c>
      <c r="BH26" s="25"/>
      <c r="BJ26" s="49"/>
      <c r="BK26" s="49"/>
      <c r="BL26" s="49"/>
      <c r="BM26" s="49"/>
      <c r="BN26" s="49"/>
      <c r="BP26" s="49"/>
      <c r="BQ26" s="49"/>
      <c r="BR26" s="49"/>
      <c r="BS26" s="49"/>
      <c r="BT26" s="49"/>
      <c r="BV26" s="58">
        <f t="shared" si="16"/>
        <v>-16481</v>
      </c>
      <c r="BW26" s="58">
        <f t="shared" si="16"/>
        <v>-515.03125</v>
      </c>
      <c r="BX26" s="58">
        <f t="shared" si="16"/>
        <v>10.15625</v>
      </c>
      <c r="BY26" s="58">
        <f t="shared" si="16"/>
        <v>-1256</v>
      </c>
      <c r="BZ26" s="58">
        <f t="shared" si="16"/>
        <v>336</v>
      </c>
      <c r="CA26" s="58">
        <f t="shared" si="16"/>
        <v>8</v>
      </c>
      <c r="CB26" s="58">
        <f t="shared" si="16"/>
        <v>-1600</v>
      </c>
      <c r="CC26" s="58">
        <f t="shared" si="16"/>
        <v>-3.2029999999991787E-3</v>
      </c>
      <c r="CD26" s="58">
        <f t="shared" si="16"/>
        <v>1.1279999999942447E-3</v>
      </c>
      <c r="CE26" s="58">
        <f t="shared" si="16"/>
        <v>-1.6469999999983997E-3</v>
      </c>
      <c r="CF26" s="58">
        <f t="shared" si="16"/>
        <v>-3.1899999999751572E-4</v>
      </c>
      <c r="CG26" s="58">
        <f t="shared" si="16"/>
        <v>1.4819999999957645E-3</v>
      </c>
      <c r="CJ26" t="s">
        <v>241</v>
      </c>
    </row>
    <row r="27" spans="1:88" outlineLevel="1" x14ac:dyDescent="0.2">
      <c r="A27" s="52"/>
      <c r="B27" s="52" t="s">
        <v>73</v>
      </c>
      <c r="C27" s="9" t="s">
        <v>235</v>
      </c>
      <c r="D27" s="52">
        <v>250294582</v>
      </c>
      <c r="E27" s="9">
        <v>10</v>
      </c>
      <c r="F27" s="9">
        <v>32</v>
      </c>
      <c r="G27" s="9">
        <v>30</v>
      </c>
      <c r="I27" s="10">
        <f t="shared" si="0"/>
        <v>13.192845</v>
      </c>
      <c r="J27" s="11">
        <f t="shared" si="1"/>
        <v>5.6223222602557174E-2</v>
      </c>
      <c r="K27" s="11">
        <f t="shared" si="2"/>
        <v>1.030095010206813E-2</v>
      </c>
      <c r="L27" s="11">
        <f t="shared" si="3"/>
        <v>7.5509105506726473E-3</v>
      </c>
      <c r="M27" s="11">
        <f t="shared" si="4"/>
        <v>4.592176110308293E-2</v>
      </c>
      <c r="N27" s="52">
        <f t="shared" si="5"/>
        <v>2578272</v>
      </c>
      <c r="O27" s="11">
        <v>16</v>
      </c>
      <c r="P27" s="12">
        <v>24854017</v>
      </c>
      <c r="Q27" s="12">
        <v>776688.03125</v>
      </c>
      <c r="R27" s="12">
        <v>18708.90625</v>
      </c>
      <c r="S27" s="13">
        <v>14072368</v>
      </c>
      <c r="T27" s="13">
        <v>1889952</v>
      </c>
      <c r="U27" s="13">
        <v>688320</v>
      </c>
      <c r="V27" s="13">
        <v>11493968</v>
      </c>
      <c r="W27" s="14">
        <v>69.264527999999999</v>
      </c>
      <c r="X27" s="14">
        <v>71.652253000000002</v>
      </c>
      <c r="Y27" s="14">
        <v>32.214131000000002</v>
      </c>
      <c r="Z27" s="14">
        <v>35.578884000000002</v>
      </c>
      <c r="AA27" s="14">
        <v>35.201734000000002</v>
      </c>
      <c r="AB27" s="15">
        <v>1436.2</v>
      </c>
      <c r="AC27" s="15">
        <v>1133.83</v>
      </c>
      <c r="AD27" s="15">
        <v>61.189</v>
      </c>
      <c r="AE27" s="15">
        <v>15.859</v>
      </c>
      <c r="AG27" s="10">
        <f t="shared" si="6"/>
        <v>13.19337</v>
      </c>
      <c r="AH27" s="11">
        <f t="shared" si="7"/>
        <v>5.6225459966208938E-2</v>
      </c>
      <c r="AI27" s="11">
        <f t="shared" si="8"/>
        <v>1.0299128248808838E-2</v>
      </c>
      <c r="AJ27" s="11">
        <f t="shared" si="9"/>
        <v>7.5490247727375897E-3</v>
      </c>
      <c r="AK27" s="11">
        <f t="shared" si="10"/>
        <v>4.5925820319993982E-2</v>
      </c>
      <c r="AL27" s="52">
        <f t="shared" si="11"/>
        <v>2577816</v>
      </c>
      <c r="AM27" s="11">
        <v>16</v>
      </c>
      <c r="AN27" s="12">
        <v>24852477</v>
      </c>
      <c r="AO27" s="12">
        <v>776639.90625</v>
      </c>
      <c r="AP27" s="12">
        <v>18688.75</v>
      </c>
      <c r="AQ27" s="13">
        <v>14072928</v>
      </c>
      <c r="AR27" s="13">
        <v>1889480</v>
      </c>
      <c r="AS27" s="13">
        <v>688336</v>
      </c>
      <c r="AT27" s="13">
        <v>11494984</v>
      </c>
      <c r="AU27" s="14">
        <v>69.263744000000003</v>
      </c>
      <c r="AV27" s="14">
        <v>71.649234000000007</v>
      </c>
      <c r="AW27" s="14">
        <v>32.212888</v>
      </c>
      <c r="AX27" s="14">
        <v>35.580181000000003</v>
      </c>
      <c r="AY27" s="14">
        <v>35.204984000000003</v>
      </c>
      <c r="AZ27" s="15">
        <v>1869.02</v>
      </c>
      <c r="BA27" s="15">
        <v>1603.42</v>
      </c>
      <c r="BB27" s="15">
        <v>71.16</v>
      </c>
      <c r="BC27" s="15">
        <v>22.917000000000002</v>
      </c>
      <c r="BE27" s="50">
        <f t="shared" si="12"/>
        <v>0.9998231373571137</v>
      </c>
      <c r="BF27" s="16">
        <f t="shared" si="13"/>
        <v>-2.4460515177932018E-5</v>
      </c>
      <c r="BG27" s="16">
        <f t="shared" si="14"/>
        <v>-3.969326946307028E-5</v>
      </c>
      <c r="BH27" s="16"/>
      <c r="BJ27" s="50"/>
      <c r="BK27" s="50"/>
      <c r="BL27" s="50"/>
      <c r="BM27" s="50"/>
      <c r="BN27" s="50"/>
      <c r="BP27" s="50"/>
      <c r="BQ27" s="50"/>
      <c r="BR27" s="50"/>
      <c r="BS27" s="50"/>
      <c r="BT27" s="50"/>
      <c r="BV27" s="58">
        <f t="shared" si="16"/>
        <v>-1540</v>
      </c>
      <c r="BW27" s="58">
        <f t="shared" si="16"/>
        <v>-48.125</v>
      </c>
      <c r="BX27" s="58">
        <f t="shared" si="16"/>
        <v>-20.15625</v>
      </c>
      <c r="BY27" s="58">
        <f t="shared" si="16"/>
        <v>560</v>
      </c>
      <c r="BZ27" s="58">
        <f t="shared" si="16"/>
        <v>-472</v>
      </c>
      <c r="CA27" s="58">
        <f t="shared" si="16"/>
        <v>16</v>
      </c>
      <c r="CB27" s="58">
        <f t="shared" si="16"/>
        <v>1016</v>
      </c>
      <c r="CC27" s="58">
        <f t="shared" si="16"/>
        <v>-7.8399999999589909E-4</v>
      </c>
      <c r="CD27" s="58">
        <f t="shared" si="16"/>
        <v>-3.0189999999947759E-3</v>
      </c>
      <c r="CE27" s="58">
        <f t="shared" si="16"/>
        <v>-1.2430000000023256E-3</v>
      </c>
      <c r="CF27" s="58">
        <f t="shared" si="16"/>
        <v>1.2970000000009918E-3</v>
      </c>
      <c r="CG27" s="58">
        <f t="shared" si="16"/>
        <v>3.2500000000013074E-3</v>
      </c>
      <c r="CJ27" t="s">
        <v>241</v>
      </c>
    </row>
    <row r="28" spans="1:88" outlineLevel="1" x14ac:dyDescent="0.2">
      <c r="A28" s="17"/>
      <c r="B28" s="17" t="s">
        <v>73</v>
      </c>
      <c r="C28" s="18" t="s">
        <v>236</v>
      </c>
      <c r="D28" s="17">
        <v>250294582</v>
      </c>
      <c r="E28" s="18">
        <v>10</v>
      </c>
      <c r="F28" s="18">
        <v>32</v>
      </c>
      <c r="G28" s="18">
        <v>30</v>
      </c>
      <c r="I28" s="19">
        <f t="shared" si="0"/>
        <v>24.45627</v>
      </c>
      <c r="J28" s="20">
        <f t="shared" si="1"/>
        <v>0.10422394201085823</v>
      </c>
      <c r="K28" s="20">
        <f t="shared" si="2"/>
        <v>1.415378619741757E-2</v>
      </c>
      <c r="L28" s="20">
        <f t="shared" si="3"/>
        <v>1.1403746646022086E-2</v>
      </c>
      <c r="M28" s="20">
        <f t="shared" si="4"/>
        <v>9.0069644416034544E-2</v>
      </c>
      <c r="N28" s="17">
        <f t="shared" si="5"/>
        <v>3542616</v>
      </c>
      <c r="O28" s="20">
        <v>16</v>
      </c>
      <c r="P28" s="21">
        <v>25513364</v>
      </c>
      <c r="Q28" s="21">
        <v>797292.625</v>
      </c>
      <c r="R28" s="21">
        <v>20939.03125</v>
      </c>
      <c r="S28" s="22">
        <v>26086688</v>
      </c>
      <c r="T28" s="22">
        <v>2854296</v>
      </c>
      <c r="U28" s="22">
        <v>688320</v>
      </c>
      <c r="V28" s="22">
        <v>22543944</v>
      </c>
      <c r="W28" s="23">
        <v>70.431269</v>
      </c>
      <c r="X28" s="23">
        <v>72.970453000000006</v>
      </c>
      <c r="Y28" s="23">
        <v>34.908566</v>
      </c>
      <c r="Z28" s="23">
        <v>37.368206000000001</v>
      </c>
      <c r="AA28" s="23">
        <v>36.934516000000002</v>
      </c>
      <c r="AB28" s="24">
        <v>1798.93</v>
      </c>
      <c r="AC28" s="24">
        <v>1756.63</v>
      </c>
      <c r="AD28" s="24">
        <v>74.182000000000002</v>
      </c>
      <c r="AE28" s="24">
        <v>25.161999999999999</v>
      </c>
      <c r="AG28" s="19">
        <f t="shared" si="6"/>
        <v>24.462119999999999</v>
      </c>
      <c r="AH28" s="20">
        <f t="shared" si="7"/>
        <v>0.10424887263440645</v>
      </c>
      <c r="AI28" s="20">
        <f t="shared" si="8"/>
        <v>1.4156247297434508E-2</v>
      </c>
      <c r="AJ28" s="20">
        <f t="shared" si="9"/>
        <v>1.1406143821363261E-2</v>
      </c>
      <c r="AK28" s="20">
        <f t="shared" si="10"/>
        <v>9.0092113939565815E-2</v>
      </c>
      <c r="AL28" s="17">
        <f t="shared" si="11"/>
        <v>3543232</v>
      </c>
      <c r="AM28" s="20">
        <v>16</v>
      </c>
      <c r="AN28" s="21">
        <v>25521142</v>
      </c>
      <c r="AO28" s="21">
        <v>797535.6875</v>
      </c>
      <c r="AP28" s="21">
        <v>20922.53125</v>
      </c>
      <c r="AQ28" s="22">
        <v>26092928</v>
      </c>
      <c r="AR28" s="22">
        <v>2854896</v>
      </c>
      <c r="AS28" s="22">
        <v>688336</v>
      </c>
      <c r="AT28" s="22">
        <v>22549568</v>
      </c>
      <c r="AU28" s="23">
        <v>70.432472000000004</v>
      </c>
      <c r="AV28" s="23">
        <v>72.970200000000006</v>
      </c>
      <c r="AW28" s="23">
        <v>34.910972000000001</v>
      </c>
      <c r="AX28" s="23">
        <v>37.373078</v>
      </c>
      <c r="AY28" s="23">
        <v>36.936613000000001</v>
      </c>
      <c r="AZ28" s="24">
        <v>1768.75</v>
      </c>
      <c r="BA28" s="24">
        <v>1416.99</v>
      </c>
      <c r="BB28" s="24">
        <v>72.89</v>
      </c>
      <c r="BC28" s="24">
        <v>21.074000000000002</v>
      </c>
      <c r="BE28" s="49">
        <f t="shared" si="12"/>
        <v>1.0001738828029907</v>
      </c>
      <c r="BF28" s="25">
        <f t="shared" si="13"/>
        <v>-2.8692721868603388E-5</v>
      </c>
      <c r="BG28" s="25">
        <f t="shared" si="14"/>
        <v>-8.8683979734272E-6</v>
      </c>
      <c r="BH28" s="25"/>
      <c r="BJ28" s="49"/>
      <c r="BK28" s="49"/>
      <c r="BL28" s="49"/>
      <c r="BM28" s="49"/>
      <c r="BN28" s="49"/>
      <c r="BP28" s="49"/>
      <c r="BQ28" s="49"/>
      <c r="BR28" s="49"/>
      <c r="BS28" s="49"/>
      <c r="BT28" s="49"/>
      <c r="BV28" s="58">
        <f t="shared" si="16"/>
        <v>7778</v>
      </c>
      <c r="BW28" s="58">
        <f t="shared" si="16"/>
        <v>243.0625</v>
      </c>
      <c r="BX28" s="58">
        <f t="shared" si="16"/>
        <v>-16.5</v>
      </c>
      <c r="BY28" s="58">
        <f t="shared" si="16"/>
        <v>6240</v>
      </c>
      <c r="BZ28" s="58">
        <f t="shared" si="16"/>
        <v>600</v>
      </c>
      <c r="CA28" s="58">
        <f t="shared" si="16"/>
        <v>16</v>
      </c>
      <c r="CB28" s="58">
        <f t="shared" si="16"/>
        <v>5624</v>
      </c>
      <c r="CC28" s="58">
        <f t="shared" si="16"/>
        <v>1.2030000000038399E-3</v>
      </c>
      <c r="CD28" s="58">
        <f t="shared" si="16"/>
        <v>-2.5300000000072487E-4</v>
      </c>
      <c r="CE28" s="58">
        <f t="shared" si="16"/>
        <v>2.4060000000005743E-3</v>
      </c>
      <c r="CF28" s="58">
        <f t="shared" si="16"/>
        <v>4.8719999999988772E-3</v>
      </c>
      <c r="CG28" s="58">
        <f t="shared" si="16"/>
        <v>2.0969999999991273E-3</v>
      </c>
      <c r="CJ28" t="s">
        <v>241</v>
      </c>
    </row>
    <row r="29" spans="1:88" ht="16" outlineLevel="1" thickBot="1" x14ac:dyDescent="0.25">
      <c r="A29" s="26"/>
      <c r="B29" s="26" t="s">
        <v>73</v>
      </c>
      <c r="C29" s="27" t="s">
        <v>237</v>
      </c>
      <c r="D29" s="26">
        <v>250294582</v>
      </c>
      <c r="E29" s="27">
        <v>10</v>
      </c>
      <c r="F29" s="27">
        <v>32</v>
      </c>
      <c r="G29" s="27">
        <v>30</v>
      </c>
      <c r="I29" s="28">
        <f t="shared" si="0"/>
        <v>44.179304999999999</v>
      </c>
      <c r="J29" s="29">
        <f t="shared" si="1"/>
        <v>0.18827651650885516</v>
      </c>
      <c r="K29" s="29">
        <f t="shared" si="2"/>
        <v>2.2894047303029515E-2</v>
      </c>
      <c r="L29" s="29">
        <f t="shared" si="3"/>
        <v>1.7641484544799295E-2</v>
      </c>
      <c r="M29" s="29">
        <f t="shared" si="4"/>
        <v>0.16538195780841952</v>
      </c>
      <c r="N29" s="26">
        <f t="shared" si="5"/>
        <v>5730256</v>
      </c>
      <c r="O29" s="29">
        <v>16</v>
      </c>
      <c r="P29" s="30">
        <v>24573689</v>
      </c>
      <c r="Q29" s="30">
        <v>767927.78125</v>
      </c>
      <c r="R29" s="30">
        <v>9762.53125</v>
      </c>
      <c r="S29" s="31">
        <v>47124592</v>
      </c>
      <c r="T29" s="31">
        <v>4415568</v>
      </c>
      <c r="U29" s="31">
        <v>1314688</v>
      </c>
      <c r="V29" s="31">
        <v>41394208</v>
      </c>
      <c r="W29" s="32">
        <v>71.151606000000001</v>
      </c>
      <c r="X29" s="32">
        <v>74.903306000000001</v>
      </c>
      <c r="Y29" s="32">
        <v>37.368586999999998</v>
      </c>
      <c r="Z29" s="32">
        <v>39.408009</v>
      </c>
      <c r="AA29" s="32">
        <v>38.764674999999997</v>
      </c>
      <c r="AB29" s="33">
        <v>1654.53</v>
      </c>
      <c r="AC29" s="33">
        <v>1637.28</v>
      </c>
      <c r="AD29" s="33">
        <v>65.308000000000007</v>
      </c>
      <c r="AE29" s="33">
        <v>20.838999999999999</v>
      </c>
      <c r="AG29" s="28">
        <f t="shared" si="6"/>
        <v>44.176470000000002</v>
      </c>
      <c r="AH29" s="29">
        <f t="shared" si="7"/>
        <v>0.18826443474513563</v>
      </c>
      <c r="AI29" s="29">
        <f t="shared" si="8"/>
        <v>2.2894366926408338E-2</v>
      </c>
      <c r="AJ29" s="29">
        <f t="shared" si="9"/>
        <v>1.7641772205840237E-2</v>
      </c>
      <c r="AK29" s="29">
        <f t="shared" si="10"/>
        <v>0.16536955642132117</v>
      </c>
      <c r="AL29" s="26">
        <f t="shared" si="11"/>
        <v>5730336</v>
      </c>
      <c r="AM29" s="29">
        <v>16</v>
      </c>
      <c r="AN29" s="30">
        <v>24571358</v>
      </c>
      <c r="AO29" s="30">
        <v>767854.9375</v>
      </c>
      <c r="AP29" s="30">
        <v>9744.125</v>
      </c>
      <c r="AQ29" s="31">
        <v>47121568</v>
      </c>
      <c r="AR29" s="31">
        <v>4415640</v>
      </c>
      <c r="AS29" s="31">
        <v>1314696</v>
      </c>
      <c r="AT29" s="31">
        <v>41391104</v>
      </c>
      <c r="AU29" s="32">
        <v>71.152737999999999</v>
      </c>
      <c r="AV29" s="32">
        <v>74.905512999999999</v>
      </c>
      <c r="AW29" s="32">
        <v>37.369269000000003</v>
      </c>
      <c r="AX29" s="32">
        <v>39.408925000000004</v>
      </c>
      <c r="AY29" s="32">
        <v>38.766097000000002</v>
      </c>
      <c r="AZ29" s="33">
        <v>1494.34</v>
      </c>
      <c r="BA29" s="33">
        <v>1570.28</v>
      </c>
      <c r="BB29" s="33">
        <v>65.195999999999998</v>
      </c>
      <c r="BC29" s="33">
        <v>20.050999999999998</v>
      </c>
      <c r="BE29" s="34">
        <f t="shared" si="12"/>
        <v>1.0000139609818479</v>
      </c>
      <c r="BF29" s="35">
        <f t="shared" si="13"/>
        <v>-2.2764977241823692E-5</v>
      </c>
      <c r="BG29" s="35">
        <f t="shared" si="14"/>
        <v>9.5012191263094126E-6</v>
      </c>
      <c r="BH29" s="35"/>
      <c r="BJ29" s="34"/>
      <c r="BK29" s="34"/>
      <c r="BL29" s="34"/>
      <c r="BM29" s="34"/>
      <c r="BN29" s="34"/>
      <c r="BP29" s="34"/>
      <c r="BQ29" s="34"/>
      <c r="BR29" s="34"/>
      <c r="BS29" s="34"/>
      <c r="BT29" s="34"/>
      <c r="BV29" s="58">
        <f t="shared" si="16"/>
        <v>-2331</v>
      </c>
      <c r="BW29" s="58">
        <f t="shared" si="16"/>
        <v>-72.84375</v>
      </c>
      <c r="BX29" s="58">
        <f t="shared" si="16"/>
        <v>-18.40625</v>
      </c>
      <c r="BY29" s="58">
        <f t="shared" si="16"/>
        <v>-3024</v>
      </c>
      <c r="BZ29" s="58">
        <f t="shared" si="16"/>
        <v>72</v>
      </c>
      <c r="CA29" s="58">
        <f t="shared" si="16"/>
        <v>8</v>
      </c>
      <c r="CB29" s="58">
        <f t="shared" si="16"/>
        <v>-3104</v>
      </c>
      <c r="CC29" s="58">
        <f t="shared" si="16"/>
        <v>1.1319999999983565E-3</v>
      </c>
      <c r="CD29" s="58">
        <f t="shared" si="16"/>
        <v>2.2069999999985157E-3</v>
      </c>
      <c r="CE29" s="58">
        <f t="shared" si="16"/>
        <v>6.8200000000473437E-4</v>
      </c>
      <c r="CF29" s="58">
        <f t="shared" si="16"/>
        <v>9.1600000000369164E-4</v>
      </c>
      <c r="CG29" s="58">
        <f t="shared" si="16"/>
        <v>1.4220000000051414E-3</v>
      </c>
      <c r="CJ29" t="s">
        <v>241</v>
      </c>
    </row>
    <row r="30" spans="1:88" x14ac:dyDescent="0.2">
      <c r="A30" s="17" t="s">
        <v>242</v>
      </c>
      <c r="B30" s="17" t="s">
        <v>77</v>
      </c>
      <c r="C30" s="18" t="s">
        <v>232</v>
      </c>
      <c r="D30" s="17">
        <v>375422539</v>
      </c>
      <c r="E30" s="18">
        <v>11</v>
      </c>
      <c r="F30" s="18">
        <v>32</v>
      </c>
      <c r="G30" s="18">
        <v>30</v>
      </c>
      <c r="I30" s="19">
        <f t="shared" si="0"/>
        <v>5.7085425000000001</v>
      </c>
      <c r="J30" s="20">
        <f t="shared" si="1"/>
        <v>1.6219356504858118E-2</v>
      </c>
      <c r="K30" s="20">
        <f t="shared" si="2"/>
        <v>9.9058304008753182E-3</v>
      </c>
      <c r="L30" s="20">
        <f t="shared" si="3"/>
        <v>6.1737156383144063E-3</v>
      </c>
      <c r="M30" s="20">
        <f t="shared" si="4"/>
        <v>6.3131851548209788E-3</v>
      </c>
      <c r="N30" s="17">
        <f t="shared" si="5"/>
        <v>3718872</v>
      </c>
      <c r="O30" s="20">
        <v>16</v>
      </c>
      <c r="P30" s="21">
        <v>84222724</v>
      </c>
      <c r="Q30" s="21">
        <v>2631960.125</v>
      </c>
      <c r="R30" s="21">
        <v>32403.9375</v>
      </c>
      <c r="S30" s="22">
        <v>6089112</v>
      </c>
      <c r="T30" s="22">
        <v>2317752</v>
      </c>
      <c r="U30" s="22">
        <v>1401120</v>
      </c>
      <c r="V30" s="22">
        <v>2370112</v>
      </c>
      <c r="W30" s="23">
        <v>73.460352999999998</v>
      </c>
      <c r="X30" s="23">
        <v>75.716099999999997</v>
      </c>
      <c r="Y30" s="23">
        <v>34.745255999999998</v>
      </c>
      <c r="Z30" s="23">
        <v>42.164247000000003</v>
      </c>
      <c r="AA30" s="23">
        <v>43.813215999999997</v>
      </c>
      <c r="AB30" s="24">
        <v>3628.42</v>
      </c>
      <c r="AC30" s="24">
        <v>3063.22</v>
      </c>
      <c r="AD30" s="24">
        <v>224.49799999999999</v>
      </c>
      <c r="AE30" s="24">
        <v>45.436999999999998</v>
      </c>
      <c r="AG30" s="19">
        <f t="shared" si="6"/>
        <v>5.7084900000000003</v>
      </c>
      <c r="AH30" s="20">
        <f t="shared" si="7"/>
        <v>1.621920733959982E-2</v>
      </c>
      <c r="AI30" s="20">
        <f t="shared" si="8"/>
        <v>9.9075777653296407E-3</v>
      </c>
      <c r="AJ30" s="20">
        <f t="shared" si="9"/>
        <v>6.1752286002199775E-3</v>
      </c>
      <c r="AK30" s="20">
        <f t="shared" si="10"/>
        <v>6.3112886251083609E-3</v>
      </c>
      <c r="AL30" s="17">
        <f t="shared" si="11"/>
        <v>3719528</v>
      </c>
      <c r="AM30" s="20">
        <v>16</v>
      </c>
      <c r="AN30" s="21">
        <v>84258322</v>
      </c>
      <c r="AO30" s="21">
        <v>2633072.5625</v>
      </c>
      <c r="AP30" s="21">
        <v>32425.28125</v>
      </c>
      <c r="AQ30" s="22">
        <v>6089056</v>
      </c>
      <c r="AR30" s="22">
        <v>2318320</v>
      </c>
      <c r="AS30" s="22">
        <v>1401208</v>
      </c>
      <c r="AT30" s="22">
        <v>2369400</v>
      </c>
      <c r="AU30" s="23">
        <v>73.460730999999996</v>
      </c>
      <c r="AV30" s="23">
        <v>75.713605999999999</v>
      </c>
      <c r="AW30" s="23">
        <v>34.745108999999999</v>
      </c>
      <c r="AX30" s="23">
        <v>42.167358999999998</v>
      </c>
      <c r="AY30" s="23">
        <v>43.793906</v>
      </c>
      <c r="AZ30" s="24">
        <v>3949.42</v>
      </c>
      <c r="BA30" s="24">
        <v>3209.4</v>
      </c>
      <c r="BB30" s="24">
        <v>223.846</v>
      </c>
      <c r="BC30" s="24">
        <v>47.152000000000001</v>
      </c>
      <c r="BE30" s="49">
        <f t="shared" si="12"/>
        <v>1.0001763975743183</v>
      </c>
      <c r="BF30" s="25">
        <f t="shared" si="13"/>
        <v>2.9044922488213193E-6</v>
      </c>
      <c r="BG30" s="25">
        <f t="shared" si="14"/>
        <v>1.1335115182986577E-4</v>
      </c>
      <c r="BH30" s="25">
        <f t="array" ref="BH30">AVERAGE(AL30:AL34/AQ30:AQ34) - AVERAGE(N30:N34/S30:S34)</f>
        <v>7.5685021061200342E-5</v>
      </c>
      <c r="BJ30" s="49">
        <f>IF( OR(ISBLANK(N30:N34),ISBLANK(AL30:AL34), ISBLANK(W30:W34),ISBLANK(AU30:AU34)), "·", bdRateExtend( N30:N34,W30:W34, AL30:AL34,AU30:AU34))</f>
        <v>9.0718514776044756E-5</v>
      </c>
      <c r="BK30" s="49">
        <f>IF( OR(ISBLANK(N30:N34),ISBLANK(AL30:AL34), ISBLANK(X30:X34),ISBLANK(AV30:AV34)), "·", bdRateExtend( N30:N34,X30:X34, AL30:AL34,AV30:AV34))</f>
        <v>-1.7472924158945524E-4</v>
      </c>
      <c r="BL30" s="49">
        <f>IF( OR(ISBLANK(V30:V34),ISBLANK(AT30:AT34), ISBLANK(Y30:Y34),ISBLANK(AW30:AW34)), "·", bdRateExtend( V30:V34,Y30:Y34, AT30:AT34,AW30:AW34))</f>
        <v>-2.9882577940010258E-4</v>
      </c>
      <c r="BM30" s="49">
        <f>IF( OR(ISBLANK(V30:V34),ISBLANK(AT30:AT34), ISBLANK(Z30:Z34),ISBLANK(AX30:AX34)), "·", bdRateExtend( V30:V34,Z30:Z34, AT30:AT34,AX30:AX34))</f>
        <v>-3.9108556406786121E-4</v>
      </c>
      <c r="BN30" s="49">
        <f>IF( OR(ISBLANK(V30:V34),ISBLANK(AT30:AT34), ISBLANK(AA30:AA34),ISBLANK(AY30:AY34)), "·", bdRateExtend( V30:V34,AA30:AA34, AT30:AT34,AY30:AY34))</f>
        <v>-3.0375017327168852E-3</v>
      </c>
      <c r="BP30" s="49">
        <f>IF( OR(ISBLANK(S30:S34),ISBLANK(AQ30:AQ34), ISBLANK(W30:W34),ISBLANK(AU30:AU34)), "·", bdRateExtend( S30:S34,W30:W34, AQ30:AQ34,AU30:AU34))</f>
        <v>-8.3225764774486066E-5</v>
      </c>
      <c r="BQ30" s="49">
        <f>IF( OR(ISBLANK(S30:S34),ISBLANK(AQ30:AQ34), ISBLANK(X30:X34),ISBLANK(AV30:AV34)), "·", bdRateExtend( S30:S34,X30:X34, AQ30:AQ34,AV30:AV34))</f>
        <v>-5.1498794493132216E-4</v>
      </c>
      <c r="BR30" s="49">
        <f>IF( OR(ISBLANK(S30:S34),ISBLANK(AQ30:AQ34), ISBLANK(Y30:Y34),ISBLANK(AW30:AW34)), "·", bdRateExtend( S30:S34,Y30:Y34, AQ30:AQ34,AW30:AW34))</f>
        <v>-7.2510634546385511E-5</v>
      </c>
      <c r="BS30" s="49">
        <f>IF( OR(ISBLANK(S30:S34),ISBLANK(AQ30:AQ34), ISBLANK(Z30:Z34),ISBLANK(AX30:AX34)), "·", bdRateExtend( S30:S34,Z30:Z34, AQ30:AQ34,AX30:AX34))</f>
        <v>-3.8663803788285822E-4</v>
      </c>
      <c r="BT30" s="49">
        <f>IF( OR(ISBLANK(S30:S34),ISBLANK(AQ30:AQ34), ISBLANK(AA30:AA34),ISBLANK(AY30:AY34)), "·", bdRateExtend( S30:S34,AA30:AA34, AQ30:AQ34,AY30:AY34))</f>
        <v>-1.6828674216015083E-3</v>
      </c>
      <c r="BV30" s="58">
        <f t="shared" si="16"/>
        <v>35598</v>
      </c>
      <c r="BW30" s="58">
        <f t="shared" si="16"/>
        <v>1112.4375</v>
      </c>
      <c r="BX30" s="58">
        <f t="shared" si="16"/>
        <v>21.34375</v>
      </c>
      <c r="BY30" s="58">
        <f t="shared" si="16"/>
        <v>-56</v>
      </c>
      <c r="BZ30" s="58">
        <f t="shared" si="16"/>
        <v>568</v>
      </c>
      <c r="CA30" s="58">
        <f t="shared" si="16"/>
        <v>88</v>
      </c>
      <c r="CB30" s="58">
        <f t="shared" si="16"/>
        <v>-712</v>
      </c>
      <c r="CC30" s="58">
        <f t="shared" si="16"/>
        <v>3.7799999999776901E-4</v>
      </c>
      <c r="CD30" s="58">
        <f t="shared" si="16"/>
        <v>-2.493999999998664E-3</v>
      </c>
      <c r="CE30" s="58">
        <f t="shared" si="16"/>
        <v>-1.469999999983429E-4</v>
      </c>
      <c r="CF30" s="58">
        <f t="shared" si="16"/>
        <v>3.1119999999944525E-3</v>
      </c>
      <c r="CG30" s="58">
        <f t="shared" si="16"/>
        <v>-1.9309999999997274E-2</v>
      </c>
      <c r="CJ30" t="s">
        <v>243</v>
      </c>
    </row>
    <row r="31" spans="1:88" outlineLevel="1" x14ac:dyDescent="0.2">
      <c r="A31" s="52"/>
      <c r="B31" s="52" t="s">
        <v>77</v>
      </c>
      <c r="C31" s="9" t="s">
        <v>234</v>
      </c>
      <c r="D31" s="52">
        <v>375422539</v>
      </c>
      <c r="E31" s="9">
        <v>11</v>
      </c>
      <c r="F31" s="9">
        <v>32</v>
      </c>
      <c r="G31" s="9">
        <v>30</v>
      </c>
      <c r="I31" s="10">
        <f t="shared" si="0"/>
        <v>8.1520650000000003</v>
      </c>
      <c r="J31" s="11">
        <f t="shared" si="1"/>
        <v>2.3161997740364756E-2</v>
      </c>
      <c r="K31" s="11">
        <f t="shared" si="2"/>
        <v>1.2198990535301877E-2</v>
      </c>
      <c r="L31" s="11">
        <f t="shared" si="3"/>
        <v>8.4668544634183517E-3</v>
      </c>
      <c r="M31" s="11">
        <f t="shared" si="4"/>
        <v>1.096266625590106E-2</v>
      </c>
      <c r="N31" s="52">
        <f t="shared" si="5"/>
        <v>4579776</v>
      </c>
      <c r="O31" s="11">
        <v>16</v>
      </c>
      <c r="P31" s="12">
        <v>89921469</v>
      </c>
      <c r="Q31" s="12">
        <v>2810045.90625</v>
      </c>
      <c r="R31" s="12">
        <v>41144.15625</v>
      </c>
      <c r="S31" s="13">
        <v>8695536</v>
      </c>
      <c r="T31" s="13">
        <v>3178648</v>
      </c>
      <c r="U31" s="13">
        <v>1401128</v>
      </c>
      <c r="V31" s="13">
        <v>4115632</v>
      </c>
      <c r="W31" s="14">
        <v>75.176094000000006</v>
      </c>
      <c r="X31" s="14">
        <v>77.575508999999997</v>
      </c>
      <c r="Y31" s="14">
        <v>36.650331000000001</v>
      </c>
      <c r="Z31" s="14">
        <v>42.686883999999999</v>
      </c>
      <c r="AA31" s="14">
        <v>45.020806</v>
      </c>
      <c r="AB31" s="15">
        <v>4259.92</v>
      </c>
      <c r="AC31" s="15">
        <v>4395.33</v>
      </c>
      <c r="AD31" s="15">
        <v>278.48200000000003</v>
      </c>
      <c r="AE31" s="15">
        <v>62.22</v>
      </c>
      <c r="AG31" s="10">
        <f t="shared" si="6"/>
        <v>8.1507825</v>
      </c>
      <c r="AH31" s="11">
        <f t="shared" si="7"/>
        <v>2.3158353846197816E-2</v>
      </c>
      <c r="AI31" s="11">
        <f t="shared" si="8"/>
        <v>1.2203337637115069E-2</v>
      </c>
      <c r="AJ31" s="11">
        <f t="shared" si="9"/>
        <v>8.4710097813280195E-3</v>
      </c>
      <c r="AK31" s="11">
        <f t="shared" si="10"/>
        <v>1.0954675259920929E-2</v>
      </c>
      <c r="AL31" s="52">
        <f t="shared" si="11"/>
        <v>4581408</v>
      </c>
      <c r="AM31" s="11">
        <v>16</v>
      </c>
      <c r="AN31" s="12">
        <v>89857639</v>
      </c>
      <c r="AO31" s="12">
        <v>2808051.21875</v>
      </c>
      <c r="AP31" s="12">
        <v>41097.03125</v>
      </c>
      <c r="AQ31" s="13">
        <v>8694168</v>
      </c>
      <c r="AR31" s="13">
        <v>3180208</v>
      </c>
      <c r="AS31" s="13">
        <v>1401200</v>
      </c>
      <c r="AT31" s="13">
        <v>4112632</v>
      </c>
      <c r="AU31" s="14">
        <v>75.170683999999994</v>
      </c>
      <c r="AV31" s="14">
        <v>77.575241000000005</v>
      </c>
      <c r="AW31" s="14">
        <v>36.650725000000001</v>
      </c>
      <c r="AX31" s="14">
        <v>42.678502999999999</v>
      </c>
      <c r="AY31" s="14">
        <v>45.052522000000003</v>
      </c>
      <c r="AZ31" s="15">
        <v>4264.6000000000004</v>
      </c>
      <c r="BA31" s="15">
        <v>4377.58</v>
      </c>
      <c r="BB31" s="15">
        <v>273.39299999999997</v>
      </c>
      <c r="BC31" s="15">
        <v>65.209999999999994</v>
      </c>
      <c r="BE31" s="50">
        <f t="shared" si="12"/>
        <v>1.0003563493061669</v>
      </c>
      <c r="BF31" s="16">
        <f t="shared" si="13"/>
        <v>-6.3813529881783654E-6</v>
      </c>
      <c r="BG31" s="16">
        <f t="shared" si="14"/>
        <v>2.7058368163579427E-4</v>
      </c>
      <c r="BH31" s="16"/>
      <c r="BJ31" s="50"/>
      <c r="BK31" s="50"/>
      <c r="BL31" s="50"/>
      <c r="BM31" s="50"/>
      <c r="BN31" s="50"/>
      <c r="BP31" s="50"/>
      <c r="BQ31" s="50"/>
      <c r="BR31" s="50"/>
      <c r="BS31" s="50"/>
      <c r="BT31" s="50"/>
      <c r="BV31" s="58">
        <f t="shared" si="16"/>
        <v>-63830</v>
      </c>
      <c r="BW31" s="58">
        <f t="shared" si="16"/>
        <v>-1994.6875</v>
      </c>
      <c r="BX31" s="58">
        <f t="shared" si="16"/>
        <v>-47.125</v>
      </c>
      <c r="BY31" s="58">
        <f t="shared" si="16"/>
        <v>-1368</v>
      </c>
      <c r="BZ31" s="58">
        <f t="shared" si="16"/>
        <v>1560</v>
      </c>
      <c r="CA31" s="58">
        <f t="shared" si="16"/>
        <v>72</v>
      </c>
      <c r="CB31" s="58">
        <f t="shared" si="16"/>
        <v>-3000</v>
      </c>
      <c r="CC31" s="58">
        <f t="shared" si="16"/>
        <v>-5.4100000000119053E-3</v>
      </c>
      <c r="CD31" s="58">
        <f t="shared" si="16"/>
        <v>-2.6799999999127522E-4</v>
      </c>
      <c r="CE31" s="58">
        <f t="shared" si="16"/>
        <v>3.9400000000000546E-4</v>
      </c>
      <c r="CF31" s="58">
        <f t="shared" si="16"/>
        <v>-8.3809999999999718E-3</v>
      </c>
      <c r="CG31" s="58">
        <f t="shared" si="16"/>
        <v>3.1716000000002964E-2</v>
      </c>
      <c r="CJ31" t="s">
        <v>243</v>
      </c>
    </row>
    <row r="32" spans="1:88" outlineLevel="1" x14ac:dyDescent="0.2">
      <c r="A32" s="17"/>
      <c r="B32" s="17" t="s">
        <v>77</v>
      </c>
      <c r="C32" s="18" t="s">
        <v>235</v>
      </c>
      <c r="D32" s="17">
        <v>375422539</v>
      </c>
      <c r="E32" s="18">
        <v>11</v>
      </c>
      <c r="F32" s="18">
        <v>32</v>
      </c>
      <c r="G32" s="18">
        <v>30</v>
      </c>
      <c r="I32" s="19">
        <f t="shared" si="0"/>
        <v>12.636060000000001</v>
      </c>
      <c r="J32" s="20">
        <f t="shared" si="1"/>
        <v>3.5902117214118567E-2</v>
      </c>
      <c r="K32" s="20">
        <f t="shared" si="2"/>
        <v>1.5507625129561015E-2</v>
      </c>
      <c r="L32" s="20">
        <f t="shared" si="3"/>
        <v>1.1775489057677488E-2</v>
      </c>
      <c r="M32" s="20">
        <f t="shared" si="4"/>
        <v>2.0394151135395736E-2</v>
      </c>
      <c r="N32" s="17">
        <f t="shared" si="5"/>
        <v>5821912</v>
      </c>
      <c r="O32" s="20">
        <v>16</v>
      </c>
      <c r="P32" s="21">
        <v>91807302</v>
      </c>
      <c r="Q32" s="21">
        <v>2868978.1875</v>
      </c>
      <c r="R32" s="21">
        <v>44674.96875</v>
      </c>
      <c r="S32" s="22">
        <v>13478464</v>
      </c>
      <c r="T32" s="22">
        <v>4420784</v>
      </c>
      <c r="U32" s="22">
        <v>1401128</v>
      </c>
      <c r="V32" s="22">
        <v>7656424</v>
      </c>
      <c r="W32" s="23">
        <v>76.463543999999999</v>
      </c>
      <c r="X32" s="23">
        <v>79.122819000000007</v>
      </c>
      <c r="Y32" s="23">
        <v>38.406191</v>
      </c>
      <c r="Z32" s="23">
        <v>43.197693999999998</v>
      </c>
      <c r="AA32" s="23">
        <v>46.202911999999998</v>
      </c>
      <c r="AB32" s="24">
        <v>4550.1400000000003</v>
      </c>
      <c r="AC32" s="24">
        <v>3892.13</v>
      </c>
      <c r="AD32" s="24">
        <v>287.91800000000001</v>
      </c>
      <c r="AE32" s="24">
        <v>65.013000000000005</v>
      </c>
      <c r="AG32" s="19">
        <f t="shared" si="6"/>
        <v>12.639405</v>
      </c>
      <c r="AH32" s="20">
        <f t="shared" si="7"/>
        <v>3.5911621172004277E-2</v>
      </c>
      <c r="AI32" s="20">
        <f t="shared" si="8"/>
        <v>1.5509798680467611E-2</v>
      </c>
      <c r="AJ32" s="20">
        <f t="shared" si="9"/>
        <v>1.1777470824680562E-2</v>
      </c>
      <c r="AK32" s="20">
        <f t="shared" si="10"/>
        <v>2.0401481542374846E-2</v>
      </c>
      <c r="AL32" s="17">
        <f t="shared" si="11"/>
        <v>5822728</v>
      </c>
      <c r="AM32" s="20">
        <v>16</v>
      </c>
      <c r="AN32" s="21">
        <v>91814344</v>
      </c>
      <c r="AO32" s="21">
        <v>2869198.25</v>
      </c>
      <c r="AP32" s="21">
        <v>44687.40625</v>
      </c>
      <c r="AQ32" s="22">
        <v>13482032</v>
      </c>
      <c r="AR32" s="22">
        <v>4421528</v>
      </c>
      <c r="AS32" s="22">
        <v>1401200</v>
      </c>
      <c r="AT32" s="22">
        <v>7659176</v>
      </c>
      <c r="AU32" s="23">
        <v>76.466316000000006</v>
      </c>
      <c r="AV32" s="23">
        <v>79.123750000000001</v>
      </c>
      <c r="AW32" s="23">
        <v>38.406483999999999</v>
      </c>
      <c r="AX32" s="23">
        <v>43.205109</v>
      </c>
      <c r="AY32" s="23">
        <v>46.226287999999997</v>
      </c>
      <c r="AZ32" s="24">
        <v>4466.13</v>
      </c>
      <c r="BA32" s="24">
        <v>4109.46</v>
      </c>
      <c r="BB32" s="24">
        <v>281.53899999999999</v>
      </c>
      <c r="BC32" s="24">
        <v>58.667000000000002</v>
      </c>
      <c r="BE32" s="49">
        <f t="shared" si="12"/>
        <v>1.0001401601398303</v>
      </c>
      <c r="BF32" s="25">
        <f t="shared" si="13"/>
        <v>3.1405097271931803E-6</v>
      </c>
      <c r="BG32" s="25">
        <f t="shared" si="14"/>
        <v>-5.3787763004187195E-5</v>
      </c>
      <c r="BH32" s="25"/>
      <c r="BJ32" s="49"/>
      <c r="BK32" s="49"/>
      <c r="BL32" s="49"/>
      <c r="BM32" s="49"/>
      <c r="BN32" s="49"/>
      <c r="BP32" s="49"/>
      <c r="BQ32" s="49"/>
      <c r="BR32" s="49"/>
      <c r="BS32" s="49"/>
      <c r="BT32" s="49"/>
      <c r="BV32" s="58">
        <f t="shared" si="16"/>
        <v>7042</v>
      </c>
      <c r="BW32" s="58">
        <f t="shared" si="16"/>
        <v>220.0625</v>
      </c>
      <c r="BX32" s="58">
        <f t="shared" si="16"/>
        <v>12.4375</v>
      </c>
      <c r="BY32" s="58">
        <f t="shared" si="16"/>
        <v>3568</v>
      </c>
      <c r="BZ32" s="58">
        <f t="shared" si="16"/>
        <v>744</v>
      </c>
      <c r="CA32" s="58">
        <f t="shared" si="16"/>
        <v>72</v>
      </c>
      <c r="CB32" s="58">
        <f t="shared" si="16"/>
        <v>2752</v>
      </c>
      <c r="CC32" s="58">
        <f t="shared" si="16"/>
        <v>2.7720000000073242E-3</v>
      </c>
      <c r="CD32" s="58">
        <f t="shared" si="16"/>
        <v>9.3099999999424199E-4</v>
      </c>
      <c r="CE32" s="58">
        <f t="shared" si="16"/>
        <v>2.9299999999921056E-4</v>
      </c>
      <c r="CF32" s="58">
        <f t="shared" si="16"/>
        <v>7.4150000000017258E-3</v>
      </c>
      <c r="CG32" s="58">
        <f t="shared" si="16"/>
        <v>2.3375999999998953E-2</v>
      </c>
      <c r="CJ32" t="s">
        <v>243</v>
      </c>
    </row>
    <row r="33" spans="1:88" outlineLevel="1" x14ac:dyDescent="0.2">
      <c r="A33" s="52"/>
      <c r="B33" s="52" t="s">
        <v>77</v>
      </c>
      <c r="C33" s="9" t="s">
        <v>236</v>
      </c>
      <c r="D33" s="52">
        <v>375422539</v>
      </c>
      <c r="E33" s="9">
        <v>11</v>
      </c>
      <c r="F33" s="9">
        <v>32</v>
      </c>
      <c r="G33" s="9">
        <v>30</v>
      </c>
      <c r="I33" s="10">
        <f t="shared" si="0"/>
        <v>21.143902499999999</v>
      </c>
      <c r="J33" s="11">
        <f t="shared" si="1"/>
        <v>6.0074965291308735E-2</v>
      </c>
      <c r="K33" s="11">
        <f t="shared" si="2"/>
        <v>2.0983801401439035E-2</v>
      </c>
      <c r="L33" s="11">
        <f t="shared" si="3"/>
        <v>1.7251686638878119E-2</v>
      </c>
      <c r="M33" s="11">
        <f t="shared" si="4"/>
        <v>3.9090822940707884E-2</v>
      </c>
      <c r="N33" s="52">
        <f t="shared" si="5"/>
        <v>7877792</v>
      </c>
      <c r="O33" s="11">
        <v>16</v>
      </c>
      <c r="P33" s="12">
        <v>93903453</v>
      </c>
      <c r="Q33" s="12">
        <v>2934482.90625</v>
      </c>
      <c r="R33" s="12">
        <v>49438.65625</v>
      </c>
      <c r="S33" s="13">
        <v>22553496</v>
      </c>
      <c r="T33" s="13">
        <v>6476672</v>
      </c>
      <c r="U33" s="13">
        <v>1401120</v>
      </c>
      <c r="V33" s="13">
        <v>14675576</v>
      </c>
      <c r="W33" s="14">
        <v>77.596374999999995</v>
      </c>
      <c r="X33" s="14">
        <v>80.325100000000006</v>
      </c>
      <c r="Y33" s="14">
        <v>40.0002</v>
      </c>
      <c r="Z33" s="14">
        <v>43.906830999999997</v>
      </c>
      <c r="AA33" s="14">
        <v>47.839362000000001</v>
      </c>
      <c r="AB33" s="15">
        <v>3669.18</v>
      </c>
      <c r="AC33" s="15">
        <v>3548.41</v>
      </c>
      <c r="AD33" s="15">
        <v>245.012</v>
      </c>
      <c r="AE33" s="15">
        <v>49.493000000000002</v>
      </c>
      <c r="AG33" s="10">
        <f t="shared" si="6"/>
        <v>21.138809999999999</v>
      </c>
      <c r="AH33" s="11">
        <f t="shared" si="7"/>
        <v>6.0060496261254044E-2</v>
      </c>
      <c r="AI33" s="11">
        <f t="shared" si="8"/>
        <v>2.0979432990303228E-2</v>
      </c>
      <c r="AJ33" s="11">
        <f t="shared" si="9"/>
        <v>1.7247105134516178E-2</v>
      </c>
      <c r="AK33" s="11">
        <f t="shared" si="10"/>
        <v>3.9080722321788997E-2</v>
      </c>
      <c r="AL33" s="52">
        <f t="shared" si="11"/>
        <v>7876152</v>
      </c>
      <c r="AM33" s="11">
        <v>16</v>
      </c>
      <c r="AN33" s="12">
        <v>93918250</v>
      </c>
      <c r="AO33" s="12">
        <v>2934945.3125</v>
      </c>
      <c r="AP33" s="12">
        <v>49412.375</v>
      </c>
      <c r="AQ33" s="13">
        <v>22548064</v>
      </c>
      <c r="AR33" s="13">
        <v>6474952</v>
      </c>
      <c r="AS33" s="13">
        <v>1401200</v>
      </c>
      <c r="AT33" s="13">
        <v>14671784</v>
      </c>
      <c r="AU33" s="14">
        <v>77.598421999999999</v>
      </c>
      <c r="AV33" s="14">
        <v>80.328506000000004</v>
      </c>
      <c r="AW33" s="14">
        <v>40.000678000000001</v>
      </c>
      <c r="AX33" s="14">
        <v>43.908222000000002</v>
      </c>
      <c r="AY33" s="14">
        <v>47.816415999999997</v>
      </c>
      <c r="AZ33" s="15">
        <v>3813.75</v>
      </c>
      <c r="BA33" s="15">
        <v>3764.43</v>
      </c>
      <c r="BB33" s="15">
        <v>262.459</v>
      </c>
      <c r="BC33" s="15">
        <v>50.801000000000002</v>
      </c>
      <c r="BE33" s="50">
        <f t="shared" si="12"/>
        <v>0.99979181983987386</v>
      </c>
      <c r="BF33" s="16">
        <f t="shared" si="13"/>
        <v>-1.1608949624222764E-5</v>
      </c>
      <c r="BG33" s="16">
        <f t="shared" si="14"/>
        <v>1.1413967995643759E-5</v>
      </c>
      <c r="BH33" s="16"/>
      <c r="BJ33" s="50"/>
      <c r="BK33" s="50"/>
      <c r="BL33" s="50"/>
      <c r="BM33" s="50"/>
      <c r="BN33" s="50"/>
      <c r="BP33" s="50"/>
      <c r="BQ33" s="50"/>
      <c r="BR33" s="50"/>
      <c r="BS33" s="50"/>
      <c r="BT33" s="50"/>
      <c r="BV33" s="58">
        <f t="shared" si="16"/>
        <v>14797</v>
      </c>
      <c r="BW33" s="58">
        <f t="shared" si="16"/>
        <v>462.40625</v>
      </c>
      <c r="BX33" s="58">
        <f t="shared" si="16"/>
        <v>-26.28125</v>
      </c>
      <c r="BY33" s="58">
        <f t="shared" si="16"/>
        <v>-5432</v>
      </c>
      <c r="BZ33" s="58">
        <f t="shared" si="16"/>
        <v>-1720</v>
      </c>
      <c r="CA33" s="58">
        <f t="shared" si="16"/>
        <v>80</v>
      </c>
      <c r="CB33" s="58">
        <f t="shared" si="16"/>
        <v>-3792</v>
      </c>
      <c r="CC33" s="58">
        <f t="shared" si="16"/>
        <v>2.0470000000045729E-3</v>
      </c>
      <c r="CD33" s="58">
        <f t="shared" si="16"/>
        <v>3.4059999999982438E-3</v>
      </c>
      <c r="CE33" s="58">
        <f t="shared" si="16"/>
        <v>4.7800000000108867E-4</v>
      </c>
      <c r="CF33" s="58">
        <f t="shared" si="16"/>
        <v>1.3910000000052491E-3</v>
      </c>
      <c r="CG33" s="58">
        <f t="shared" si="16"/>
        <v>-2.2946000000004574E-2</v>
      </c>
      <c r="CJ33" t="s">
        <v>243</v>
      </c>
    </row>
    <row r="34" spans="1:88" ht="16" outlineLevel="1" thickBot="1" x14ac:dyDescent="0.25">
      <c r="A34" s="17"/>
      <c r="B34" s="36" t="s">
        <v>77</v>
      </c>
      <c r="C34" s="37" t="s">
        <v>237</v>
      </c>
      <c r="D34" s="36">
        <v>375422539</v>
      </c>
      <c r="E34" s="37">
        <v>11</v>
      </c>
      <c r="F34" s="37">
        <v>32</v>
      </c>
      <c r="G34" s="37">
        <v>30</v>
      </c>
      <c r="I34" s="38">
        <f t="shared" si="0"/>
        <v>39.792007499999997</v>
      </c>
      <c r="J34" s="39">
        <f t="shared" si="1"/>
        <v>0.11305876336849344</v>
      </c>
      <c r="K34" s="39">
        <f t="shared" si="2"/>
        <v>3.36312040125007E-2</v>
      </c>
      <c r="L34" s="39">
        <f t="shared" si="3"/>
        <v>2.6165184504279324E-2</v>
      </c>
      <c r="M34" s="39">
        <f t="shared" si="4"/>
        <v>7.9427218406830924E-2</v>
      </c>
      <c r="N34" s="36">
        <f t="shared" si="5"/>
        <v>12625912</v>
      </c>
      <c r="O34" s="39">
        <v>16</v>
      </c>
      <c r="P34" s="40">
        <v>92080504</v>
      </c>
      <c r="Q34" s="40">
        <v>2877515.75</v>
      </c>
      <c r="R34" s="40">
        <v>21316.59375</v>
      </c>
      <c r="S34" s="41">
        <v>42444808</v>
      </c>
      <c r="T34" s="41">
        <v>9823000</v>
      </c>
      <c r="U34" s="41">
        <v>2802912</v>
      </c>
      <c r="V34" s="41">
        <v>29818768</v>
      </c>
      <c r="W34" s="42">
        <v>78.534274999999994</v>
      </c>
      <c r="X34" s="42">
        <v>81.996005999999994</v>
      </c>
      <c r="Y34" s="42">
        <v>41.517031000000003</v>
      </c>
      <c r="Z34" s="42">
        <v>44.699230999999997</v>
      </c>
      <c r="AA34" s="42">
        <v>49.227505999999998</v>
      </c>
      <c r="AB34" s="43">
        <v>4404.8599999999997</v>
      </c>
      <c r="AC34" s="43">
        <v>5409.69</v>
      </c>
      <c r="AD34" s="43">
        <v>275.45100000000002</v>
      </c>
      <c r="AE34" s="43">
        <v>76.882999999999996</v>
      </c>
      <c r="AG34" s="38">
        <f t="shared" si="6"/>
        <v>39.806085000000003</v>
      </c>
      <c r="AH34" s="39">
        <f t="shared" si="7"/>
        <v>0.11309876096703933</v>
      </c>
      <c r="AI34" s="39">
        <f t="shared" si="8"/>
        <v>3.3647271241751417E-2</v>
      </c>
      <c r="AJ34" s="39">
        <f t="shared" si="9"/>
        <v>2.6181230424207429E-2</v>
      </c>
      <c r="AK34" s="39">
        <f t="shared" si="10"/>
        <v>7.9451148776126093E-2</v>
      </c>
      <c r="AL34" s="36">
        <f t="shared" si="11"/>
        <v>12631944</v>
      </c>
      <c r="AM34" s="39">
        <v>16</v>
      </c>
      <c r="AN34" s="40">
        <v>92079625</v>
      </c>
      <c r="AO34" s="40">
        <v>2877488.28125</v>
      </c>
      <c r="AP34" s="40">
        <v>21318.28125</v>
      </c>
      <c r="AQ34" s="41">
        <v>42459824</v>
      </c>
      <c r="AR34" s="41">
        <v>9829024</v>
      </c>
      <c r="AS34" s="41">
        <v>2802920</v>
      </c>
      <c r="AT34" s="41">
        <v>29827752</v>
      </c>
      <c r="AU34" s="42">
        <v>78.535988000000003</v>
      </c>
      <c r="AV34" s="42">
        <v>81.998384000000001</v>
      </c>
      <c r="AW34" s="42">
        <v>41.515903000000002</v>
      </c>
      <c r="AX34" s="42">
        <v>44.700215999999998</v>
      </c>
      <c r="AY34" s="42">
        <v>49.230597000000003</v>
      </c>
      <c r="AZ34" s="43">
        <v>3810.73</v>
      </c>
      <c r="BA34" s="43">
        <v>3996.6</v>
      </c>
      <c r="BB34" s="43">
        <v>241.74600000000001</v>
      </c>
      <c r="BC34" s="43">
        <v>54.509</v>
      </c>
      <c r="BE34" s="44">
        <f t="shared" si="12"/>
        <v>1.0004777476668616</v>
      </c>
      <c r="BF34" s="45">
        <f t="shared" si="13"/>
        <v>6.5716621768744515E-7</v>
      </c>
      <c r="BG34" s="45">
        <f t="shared" si="14"/>
        <v>3.6864066848885102E-5</v>
      </c>
      <c r="BH34" s="45"/>
      <c r="BJ34" s="44"/>
      <c r="BK34" s="44"/>
      <c r="BL34" s="44"/>
      <c r="BM34" s="44"/>
      <c r="BN34" s="44"/>
      <c r="BP34" s="44"/>
      <c r="BQ34" s="44"/>
      <c r="BR34" s="44"/>
      <c r="BS34" s="44"/>
      <c r="BT34" s="44"/>
      <c r="BV34" s="58">
        <f t="shared" si="16"/>
        <v>-879</v>
      </c>
      <c r="BW34" s="58">
        <f t="shared" si="16"/>
        <v>-27.46875</v>
      </c>
      <c r="BX34" s="58">
        <f t="shared" si="16"/>
        <v>1.6875</v>
      </c>
      <c r="BY34" s="58">
        <f t="shared" si="16"/>
        <v>15016</v>
      </c>
      <c r="BZ34" s="58">
        <f t="shared" si="16"/>
        <v>6024</v>
      </c>
      <c r="CA34" s="58">
        <f t="shared" si="16"/>
        <v>8</v>
      </c>
      <c r="CB34" s="58">
        <f t="shared" si="16"/>
        <v>8984</v>
      </c>
      <c r="CC34" s="58">
        <f t="shared" si="16"/>
        <v>1.7130000000094014E-3</v>
      </c>
      <c r="CD34" s="58">
        <f t="shared" si="16"/>
        <v>2.3780000000073187E-3</v>
      </c>
      <c r="CE34" s="58">
        <f t="shared" si="16"/>
        <v>-1.1280000000013501E-3</v>
      </c>
      <c r="CF34" s="58">
        <f t="shared" si="16"/>
        <v>9.8500000000001364E-4</v>
      </c>
      <c r="CG34" s="58">
        <f t="shared" si="16"/>
        <v>3.0910000000048399E-3</v>
      </c>
      <c r="CJ34" t="s">
        <v>243</v>
      </c>
    </row>
    <row r="35" spans="1:88" x14ac:dyDescent="0.2">
      <c r="A35" s="52"/>
      <c r="B35" s="52" t="s">
        <v>82</v>
      </c>
      <c r="C35" s="9" t="s">
        <v>232</v>
      </c>
      <c r="D35" s="52">
        <v>333190689</v>
      </c>
      <c r="E35" s="9">
        <v>11</v>
      </c>
      <c r="F35" s="9">
        <v>32</v>
      </c>
      <c r="G35" s="9">
        <v>30</v>
      </c>
      <c r="I35" s="10">
        <f t="shared" si="0"/>
        <v>6.3493124999999999</v>
      </c>
      <c r="J35" s="11">
        <f t="shared" si="1"/>
        <v>2.0326498379431006E-2</v>
      </c>
      <c r="K35" s="11">
        <f t="shared" si="2"/>
        <v>1.1743449409536172E-2</v>
      </c>
      <c r="L35" s="11">
        <f t="shared" si="3"/>
        <v>7.215327676818724E-3</v>
      </c>
      <c r="M35" s="11">
        <f t="shared" si="4"/>
        <v>8.5826648054982118E-3</v>
      </c>
      <c r="N35" s="52">
        <f t="shared" si="5"/>
        <v>3912808</v>
      </c>
      <c r="O35" s="11">
        <v>16</v>
      </c>
      <c r="P35" s="12">
        <v>74687269</v>
      </c>
      <c r="Q35" s="12">
        <v>2333977.15625</v>
      </c>
      <c r="R35" s="12">
        <v>31010.34375</v>
      </c>
      <c r="S35" s="13">
        <v>6772600</v>
      </c>
      <c r="T35" s="13">
        <v>2404080</v>
      </c>
      <c r="U35" s="13">
        <v>1508728</v>
      </c>
      <c r="V35" s="13">
        <v>2859664</v>
      </c>
      <c r="W35" s="14">
        <v>73.190693999999993</v>
      </c>
      <c r="X35" s="14">
        <v>75.430509000000001</v>
      </c>
      <c r="Y35" s="14">
        <v>33.996333999999997</v>
      </c>
      <c r="Z35" s="14">
        <v>42.564525000000003</v>
      </c>
      <c r="AA35" s="14">
        <v>44.035347000000002</v>
      </c>
      <c r="AB35" s="15">
        <v>3850.64</v>
      </c>
      <c r="AC35" s="15">
        <v>6239.54</v>
      </c>
      <c r="AD35" s="15">
        <v>222.44200000000001</v>
      </c>
      <c r="AE35" s="15">
        <v>88.79</v>
      </c>
      <c r="AG35" s="10">
        <f t="shared" si="6"/>
        <v>6.3476999999999997</v>
      </c>
      <c r="AH35" s="11">
        <f t="shared" si="7"/>
        <v>2.0321336170351388E-2</v>
      </c>
      <c r="AI35" s="11">
        <f t="shared" si="8"/>
        <v>1.1738311210731342E-2</v>
      </c>
      <c r="AJ35" s="11">
        <f t="shared" si="9"/>
        <v>7.2102134882886838E-3</v>
      </c>
      <c r="AK35" s="11">
        <f t="shared" si="10"/>
        <v>8.5826407952234226E-3</v>
      </c>
      <c r="AL35" s="52">
        <f t="shared" si="11"/>
        <v>3911096</v>
      </c>
      <c r="AM35" s="11">
        <v>16</v>
      </c>
      <c r="AN35" s="12">
        <v>74688855</v>
      </c>
      <c r="AO35" s="12">
        <v>2334026.71875</v>
      </c>
      <c r="AP35" s="12">
        <v>31011.90625</v>
      </c>
      <c r="AQ35" s="13">
        <v>6770880</v>
      </c>
      <c r="AR35" s="13">
        <v>2402376</v>
      </c>
      <c r="AS35" s="13">
        <v>1508720</v>
      </c>
      <c r="AT35" s="13">
        <v>2859656</v>
      </c>
      <c r="AU35" s="14">
        <v>73.191281000000004</v>
      </c>
      <c r="AV35" s="14">
        <v>75.430569000000006</v>
      </c>
      <c r="AW35" s="14">
        <v>33.996271999999998</v>
      </c>
      <c r="AX35" s="14">
        <v>42.563065999999999</v>
      </c>
      <c r="AY35" s="14">
        <v>44.049106000000002</v>
      </c>
      <c r="AZ35" s="15">
        <v>3413.82</v>
      </c>
      <c r="BA35" s="15">
        <v>4721.8900000000003</v>
      </c>
      <c r="BB35" s="15">
        <v>206.51900000000001</v>
      </c>
      <c r="BC35" s="15">
        <v>68.411000000000001</v>
      </c>
      <c r="BE35" s="50">
        <f t="shared" si="12"/>
        <v>0.99956246255885794</v>
      </c>
      <c r="BF35" s="16">
        <f t="shared" si="13"/>
        <v>3.8730866499560312E-7</v>
      </c>
      <c r="BG35" s="16">
        <f t="shared" si="14"/>
        <v>-1.0608453508431648E-4</v>
      </c>
      <c r="BH35" s="16">
        <f t="array" ref="BH35">AVERAGE(AL35:AL39/AQ35:AQ39) - AVERAGE(N35:N39/S35:S39)</f>
        <v>-4.7113129002518406E-5</v>
      </c>
      <c r="BJ35" s="50">
        <f>IF( OR(ISBLANK(N35:N39),ISBLANK(AL35:AL39), ISBLANK(W35:W39),ISBLANK(AU35:AU39)), "·", bdRateExtend( N35:N39,W35:W39, AL35:AL39,AU35:AU39))</f>
        <v>-2.7171146220528186E-5</v>
      </c>
      <c r="BK35" s="50">
        <f>IF( OR(ISBLANK(N35:N39),ISBLANK(AL35:AL39), ISBLANK(X35:X39),ISBLANK(AV35:AV39)), "·", bdRateExtend( N35:N39,X35:X39, AL35:AL39,AV35:AV39))</f>
        <v>-2.3229480451680828E-4</v>
      </c>
      <c r="BL35" s="50">
        <f>IF( OR(ISBLANK(V35:V39),ISBLANK(AT35:AT39), ISBLANK(Y35:Y39),ISBLANK(AW35:AW39)), "·", bdRateExtend( V35:V39,Y35:Y39, AT35:AT39,AW35:AW39))</f>
        <v>1.9128602881068879E-4</v>
      </c>
      <c r="BM35" s="50">
        <f>IF( OR(ISBLANK(V35:V39),ISBLANK(AT35:AT39), ISBLANK(Z35:Z39),ISBLANK(AX35:AX39)), "·", bdRateExtend( V35:V39,Z35:Z39, AT35:AT39,AX35:AX39))</f>
        <v>8.775495654558263E-4</v>
      </c>
      <c r="BN35" s="50">
        <f>IF( OR(ISBLANK(V35:V39),ISBLANK(AT35:AT39), ISBLANK(AA35:AA39),ISBLANK(AY35:AY39)), "·", bdRateExtend( V35:V39,AA35:AA39, AT35:AT39,AY35:AY39))</f>
        <v>-1.4384827958185964E-3</v>
      </c>
      <c r="BP35" s="50">
        <f>IF( OR(ISBLANK(S35:S39),ISBLANK(AQ35:AQ39), ISBLANK(W35:W39),ISBLANK(AU35:AU39)), "·", bdRateExtend( S35:S39,W35:W39, AQ35:AQ39,AU35:AU39))</f>
        <v>4.5779681963953323E-5</v>
      </c>
      <c r="BQ35" s="50">
        <f>IF( OR(ISBLANK(S35:S39),ISBLANK(AQ35:AQ39), ISBLANK(X35:X39),ISBLANK(AV35:AV39)), "·", bdRateExtend( S35:S39,X35:X39, AQ35:AQ39,AV35:AV39))</f>
        <v>-2.4172249929554912E-4</v>
      </c>
      <c r="BR35" s="50">
        <f>IF( OR(ISBLANK(S35:S39),ISBLANK(AQ35:AQ39), ISBLANK(Y35:Y39),ISBLANK(AW35:AW39)), "·", bdRateExtend( S35:S39,Y35:Y39, AQ35:AQ39,AW35:AW39))</f>
        <v>1.2322313787560546E-4</v>
      </c>
      <c r="BS35" s="50">
        <f>IF( OR(ISBLANK(S35:S39),ISBLANK(AQ35:AQ39), ISBLANK(Z35:Z39),ISBLANK(AX35:AX39)), "·", bdRateExtend( S35:S39,Z35:Z39, AQ35:AQ39,AX35:AX39))</f>
        <v>7.7235357706029184E-4</v>
      </c>
      <c r="BT35" s="50">
        <f>IF( OR(ISBLANK(S35:S39),ISBLANK(AQ35:AQ39), ISBLANK(AA35:AA39),ISBLANK(AY35:AY39)), "·", bdRateExtend( S35:S39,AA35:AA39, AQ35:AQ39,AY35:AY39))</f>
        <v>-9.5004037737278502E-4</v>
      </c>
      <c r="BV35" s="58">
        <f t="shared" si="16"/>
        <v>1586</v>
      </c>
      <c r="BW35" s="58">
        <f t="shared" si="16"/>
        <v>49.5625</v>
      </c>
      <c r="BX35" s="58">
        <f t="shared" si="16"/>
        <v>1.5625</v>
      </c>
      <c r="BY35" s="58">
        <f t="shared" si="16"/>
        <v>-1720</v>
      </c>
      <c r="BZ35" s="58">
        <f t="shared" si="16"/>
        <v>-1704</v>
      </c>
      <c r="CA35" s="58">
        <f t="shared" si="16"/>
        <v>-8</v>
      </c>
      <c r="CB35" s="58">
        <f t="shared" si="16"/>
        <v>-8</v>
      </c>
      <c r="CC35" s="58">
        <f t="shared" si="16"/>
        <v>5.8700000001010721E-4</v>
      </c>
      <c r="CD35" s="58">
        <f t="shared" si="16"/>
        <v>6.0000000004833964E-5</v>
      </c>
      <c r="CE35" s="58">
        <f t="shared" si="16"/>
        <v>-6.199999999978445E-5</v>
      </c>
      <c r="CF35" s="58">
        <f t="shared" si="16"/>
        <v>-1.4590000000040959E-3</v>
      </c>
      <c r="CG35" s="58">
        <f t="shared" si="16"/>
        <v>1.3759000000000299E-2</v>
      </c>
      <c r="CJ35" t="s">
        <v>244</v>
      </c>
    </row>
    <row r="36" spans="1:88" outlineLevel="1" x14ac:dyDescent="0.2">
      <c r="A36" s="17"/>
      <c r="B36" s="17" t="s">
        <v>82</v>
      </c>
      <c r="C36" s="18" t="s">
        <v>234</v>
      </c>
      <c r="D36" s="17">
        <v>333190689</v>
      </c>
      <c r="E36" s="18">
        <v>11</v>
      </c>
      <c r="F36" s="18">
        <v>32</v>
      </c>
      <c r="G36" s="18">
        <v>30</v>
      </c>
      <c r="I36" s="19">
        <f t="shared" si="0"/>
        <v>9.0427424999999992</v>
      </c>
      <c r="J36" s="20">
        <f t="shared" si="1"/>
        <v>2.8949164302727558E-2</v>
      </c>
      <c r="K36" s="20">
        <f t="shared" si="2"/>
        <v>1.4332765463323016E-2</v>
      </c>
      <c r="L36" s="20">
        <f t="shared" si="3"/>
        <v>9.8046677408803583E-3</v>
      </c>
      <c r="M36" s="20">
        <f t="shared" si="4"/>
        <v>1.4616014675007919E-2</v>
      </c>
      <c r="N36" s="17">
        <f t="shared" si="5"/>
        <v>4775544</v>
      </c>
      <c r="O36" s="20">
        <v>16</v>
      </c>
      <c r="P36" s="21">
        <v>79946286</v>
      </c>
      <c r="Q36" s="21">
        <v>2498321.4375</v>
      </c>
      <c r="R36" s="21">
        <v>39522.3125</v>
      </c>
      <c r="S36" s="22">
        <v>9645592</v>
      </c>
      <c r="T36" s="22">
        <v>3266824</v>
      </c>
      <c r="U36" s="22">
        <v>1508720</v>
      </c>
      <c r="V36" s="22">
        <v>4869920</v>
      </c>
      <c r="W36" s="23">
        <v>74.930287000000007</v>
      </c>
      <c r="X36" s="23">
        <v>77.358466000000007</v>
      </c>
      <c r="Y36" s="23">
        <v>36.098784000000002</v>
      </c>
      <c r="Z36" s="23">
        <v>43.166291000000001</v>
      </c>
      <c r="AA36" s="23">
        <v>45.328228000000003</v>
      </c>
      <c r="AB36" s="24">
        <v>3878.56</v>
      </c>
      <c r="AC36" s="24">
        <v>6356.98</v>
      </c>
      <c r="AD36" s="24">
        <v>245.828</v>
      </c>
      <c r="AE36" s="24">
        <v>94.734999999999999</v>
      </c>
      <c r="AG36" s="19">
        <f t="shared" si="6"/>
        <v>9.0438449999999992</v>
      </c>
      <c r="AH36" s="20">
        <f t="shared" si="7"/>
        <v>2.895269381312153E-2</v>
      </c>
      <c r="AI36" s="20">
        <f t="shared" si="8"/>
        <v>1.4333917956512884E-2</v>
      </c>
      <c r="AJ36" s="20">
        <f t="shared" si="9"/>
        <v>9.8057962237954373E-3</v>
      </c>
      <c r="AK36" s="20">
        <f t="shared" si="10"/>
        <v>1.4618391692212023E-2</v>
      </c>
      <c r="AL36" s="17">
        <f t="shared" si="11"/>
        <v>4775928</v>
      </c>
      <c r="AM36" s="20">
        <v>16</v>
      </c>
      <c r="AN36" s="21">
        <v>79945808</v>
      </c>
      <c r="AO36" s="21">
        <v>2498306.5</v>
      </c>
      <c r="AP36" s="21">
        <v>39523.15625</v>
      </c>
      <c r="AQ36" s="22">
        <v>9646768</v>
      </c>
      <c r="AR36" s="22">
        <v>3267200</v>
      </c>
      <c r="AS36" s="22">
        <v>1508728</v>
      </c>
      <c r="AT36" s="22">
        <v>4870712</v>
      </c>
      <c r="AU36" s="23">
        <v>74.930581000000004</v>
      </c>
      <c r="AV36" s="23">
        <v>77.358816000000004</v>
      </c>
      <c r="AW36" s="23">
        <v>36.098925000000001</v>
      </c>
      <c r="AX36" s="23">
        <v>43.168593999999999</v>
      </c>
      <c r="AY36" s="23">
        <v>45.335743999999998</v>
      </c>
      <c r="AZ36" s="24">
        <v>3906.28</v>
      </c>
      <c r="BA36" s="24">
        <v>6202.19</v>
      </c>
      <c r="BB36" s="24">
        <v>239.32900000000001</v>
      </c>
      <c r="BC36" s="24">
        <v>82.489000000000004</v>
      </c>
      <c r="BE36" s="49">
        <f t="shared" si="12"/>
        <v>1.000080409687357</v>
      </c>
      <c r="BF36" s="25">
        <f t="shared" si="13"/>
        <v>4.3231464110643492E-7</v>
      </c>
      <c r="BG36" s="25">
        <f t="shared" si="14"/>
        <v>-2.0549783098011698E-5</v>
      </c>
      <c r="BH36" s="25"/>
      <c r="BJ36" s="49"/>
      <c r="BK36" s="49"/>
      <c r="BL36" s="49"/>
      <c r="BM36" s="49"/>
      <c r="BN36" s="49"/>
      <c r="BP36" s="49"/>
      <c r="BQ36" s="49"/>
      <c r="BR36" s="49"/>
      <c r="BS36" s="49"/>
      <c r="BT36" s="49"/>
      <c r="BV36" s="58">
        <f t="shared" si="16"/>
        <v>-478</v>
      </c>
      <c r="BW36" s="58">
        <f t="shared" si="16"/>
        <v>-14.9375</v>
      </c>
      <c r="BX36" s="58">
        <f t="shared" si="16"/>
        <v>0.84375</v>
      </c>
      <c r="BY36" s="58">
        <f t="shared" si="16"/>
        <v>1176</v>
      </c>
      <c r="BZ36" s="58">
        <f t="shared" si="16"/>
        <v>376</v>
      </c>
      <c r="CA36" s="58">
        <f t="shared" si="16"/>
        <v>8</v>
      </c>
      <c r="CB36" s="58">
        <f t="shared" si="16"/>
        <v>792</v>
      </c>
      <c r="CC36" s="58">
        <f t="shared" si="16"/>
        <v>2.939999999966858E-4</v>
      </c>
      <c r="CD36" s="58">
        <f t="shared" si="16"/>
        <v>3.4999999999740794E-4</v>
      </c>
      <c r="CE36" s="58">
        <f t="shared" si="16"/>
        <v>1.4099999999928059E-4</v>
      </c>
      <c r="CF36" s="58">
        <f t="shared" si="16"/>
        <v>2.3029999999977235E-3</v>
      </c>
      <c r="CG36" s="58">
        <f t="shared" si="16"/>
        <v>7.5159999999954152E-3</v>
      </c>
      <c r="CJ36" t="s">
        <v>244</v>
      </c>
    </row>
    <row r="37" spans="1:88" outlineLevel="1" x14ac:dyDescent="0.2">
      <c r="A37" s="52"/>
      <c r="B37" s="52" t="s">
        <v>82</v>
      </c>
      <c r="C37" s="9" t="s">
        <v>235</v>
      </c>
      <c r="D37" s="52">
        <v>333190689</v>
      </c>
      <c r="E37" s="9">
        <v>11</v>
      </c>
      <c r="F37" s="9">
        <v>32</v>
      </c>
      <c r="G37" s="9">
        <v>30</v>
      </c>
      <c r="I37" s="10">
        <f t="shared" si="0"/>
        <v>13.749105</v>
      </c>
      <c r="J37" s="11">
        <f t="shared" si="1"/>
        <v>4.4015971886897473E-2</v>
      </c>
      <c r="K37" s="11">
        <f t="shared" si="2"/>
        <v>1.812890995882541E-2</v>
      </c>
      <c r="L37" s="11">
        <f t="shared" si="3"/>
        <v>1.3600788226107963E-2</v>
      </c>
      <c r="M37" s="11">
        <f t="shared" si="4"/>
        <v>2.5886677763675443E-2</v>
      </c>
      <c r="N37" s="52">
        <f t="shared" si="5"/>
        <v>6040384</v>
      </c>
      <c r="O37" s="11">
        <v>16</v>
      </c>
      <c r="P37" s="12">
        <v>81792322</v>
      </c>
      <c r="Q37" s="12">
        <v>2556010.0625</v>
      </c>
      <c r="R37" s="12">
        <v>43038.75</v>
      </c>
      <c r="S37" s="13">
        <v>14665712</v>
      </c>
      <c r="T37" s="13">
        <v>4531656</v>
      </c>
      <c r="U37" s="13">
        <v>1508728</v>
      </c>
      <c r="V37" s="13">
        <v>8625200</v>
      </c>
      <c r="W37" s="14">
        <v>76.239324999999994</v>
      </c>
      <c r="X37" s="14">
        <v>78.939712</v>
      </c>
      <c r="Y37" s="14">
        <v>37.928443999999999</v>
      </c>
      <c r="Z37" s="14">
        <v>43.743958999999997</v>
      </c>
      <c r="AA37" s="14">
        <v>46.485805999999997</v>
      </c>
      <c r="AB37" s="15">
        <v>3921.99</v>
      </c>
      <c r="AC37" s="15">
        <v>6680.51</v>
      </c>
      <c r="AD37" s="15">
        <v>256.21800000000002</v>
      </c>
      <c r="AE37" s="15">
        <v>94.234999999999999</v>
      </c>
      <c r="AG37" s="10">
        <f t="shared" si="6"/>
        <v>13.7522325</v>
      </c>
      <c r="AH37" s="11">
        <f t="shared" si="7"/>
        <v>4.4025984171484456E-2</v>
      </c>
      <c r="AI37" s="11">
        <f t="shared" si="8"/>
        <v>1.8133015715814316E-2</v>
      </c>
      <c r="AJ37" s="11">
        <f t="shared" si="9"/>
        <v>1.3604893983096869E-2</v>
      </c>
      <c r="AK37" s="11">
        <f t="shared" si="10"/>
        <v>2.5892584291273519E-2</v>
      </c>
      <c r="AL37" s="52">
        <f t="shared" si="11"/>
        <v>6041752</v>
      </c>
      <c r="AM37" s="11">
        <v>16</v>
      </c>
      <c r="AN37" s="12">
        <v>81780101</v>
      </c>
      <c r="AO37" s="12">
        <v>2555628.15625</v>
      </c>
      <c r="AP37" s="12">
        <v>43014.71875</v>
      </c>
      <c r="AQ37" s="13">
        <v>14669048</v>
      </c>
      <c r="AR37" s="13">
        <v>4533024</v>
      </c>
      <c r="AS37" s="13">
        <v>1508728</v>
      </c>
      <c r="AT37" s="13">
        <v>8627168</v>
      </c>
      <c r="AU37" s="14">
        <v>76.238812999999993</v>
      </c>
      <c r="AV37" s="14">
        <v>78.941209000000001</v>
      </c>
      <c r="AW37" s="14">
        <v>37.928058999999998</v>
      </c>
      <c r="AX37" s="14">
        <v>43.745263000000001</v>
      </c>
      <c r="AY37" s="14">
        <v>46.492668999999999</v>
      </c>
      <c r="AZ37" s="15">
        <v>3927.89</v>
      </c>
      <c r="BA37" s="15">
        <v>6672.71</v>
      </c>
      <c r="BB37" s="15">
        <v>251.65199999999999</v>
      </c>
      <c r="BC37" s="15">
        <v>96.292000000000002</v>
      </c>
      <c r="BE37" s="50">
        <f t="shared" si="12"/>
        <v>1.0002264756677721</v>
      </c>
      <c r="BF37" s="16">
        <f t="shared" si="13"/>
        <v>-6.8870015444387478E-6</v>
      </c>
      <c r="BG37" s="16">
        <f t="shared" si="14"/>
        <v>-4.0917666543904829E-7</v>
      </c>
      <c r="BH37" s="16"/>
      <c r="BJ37" s="50"/>
      <c r="BK37" s="50"/>
      <c r="BL37" s="50"/>
      <c r="BM37" s="50"/>
      <c r="BN37" s="50"/>
      <c r="BP37" s="50"/>
      <c r="BQ37" s="50"/>
      <c r="BR37" s="50"/>
      <c r="BS37" s="50"/>
      <c r="BT37" s="50"/>
      <c r="BV37" s="58">
        <f t="shared" si="16"/>
        <v>-12221</v>
      </c>
      <c r="BW37" s="58">
        <f t="shared" si="16"/>
        <v>-381.90625</v>
      </c>
      <c r="BX37" s="58">
        <f t="shared" si="16"/>
        <v>-24.03125</v>
      </c>
      <c r="BY37" s="58">
        <f t="shared" si="16"/>
        <v>3336</v>
      </c>
      <c r="BZ37" s="58">
        <f t="shared" si="16"/>
        <v>1368</v>
      </c>
      <c r="CA37" s="58">
        <f t="shared" si="16"/>
        <v>0</v>
      </c>
      <c r="CB37" s="58">
        <f t="shared" si="16"/>
        <v>1968</v>
      </c>
      <c r="CC37" s="58">
        <f t="shared" si="16"/>
        <v>-5.1200000000051205E-4</v>
      </c>
      <c r="CD37" s="58">
        <f t="shared" si="16"/>
        <v>1.4970000000005257E-3</v>
      </c>
      <c r="CE37" s="58">
        <f t="shared" si="16"/>
        <v>-3.8500000000141199E-4</v>
      </c>
      <c r="CF37" s="58">
        <f t="shared" si="16"/>
        <v>1.3040000000046348E-3</v>
      </c>
      <c r="CG37" s="58">
        <f t="shared" si="16"/>
        <v>6.863000000002728E-3</v>
      </c>
      <c r="CJ37" t="s">
        <v>244</v>
      </c>
    </row>
    <row r="38" spans="1:88" outlineLevel="1" x14ac:dyDescent="0.2">
      <c r="A38" s="17"/>
      <c r="B38" s="17" t="s">
        <v>82</v>
      </c>
      <c r="C38" s="18" t="s">
        <v>236</v>
      </c>
      <c r="D38" s="17">
        <v>333190689</v>
      </c>
      <c r="E38" s="18">
        <v>11</v>
      </c>
      <c r="F38" s="18">
        <v>32</v>
      </c>
      <c r="G38" s="18">
        <v>30</v>
      </c>
      <c r="I38" s="19">
        <f t="shared" si="0"/>
        <v>22.982745000000001</v>
      </c>
      <c r="J38" s="20">
        <f t="shared" si="1"/>
        <v>7.3576269713827441E-2</v>
      </c>
      <c r="K38" s="20">
        <f t="shared" si="2"/>
        <v>2.4324641316732593E-2</v>
      </c>
      <c r="L38" s="20">
        <f t="shared" si="3"/>
        <v>1.9796543594289936E-2</v>
      </c>
      <c r="M38" s="20">
        <f t="shared" si="4"/>
        <v>4.9251244232698228E-2</v>
      </c>
      <c r="N38" s="17">
        <f t="shared" si="5"/>
        <v>8104744</v>
      </c>
      <c r="O38" s="20">
        <v>16</v>
      </c>
      <c r="P38" s="21">
        <v>83959925</v>
      </c>
      <c r="Q38" s="21">
        <v>2623747.65625</v>
      </c>
      <c r="R38" s="21">
        <v>48264.4375</v>
      </c>
      <c r="S38" s="22">
        <v>24514928</v>
      </c>
      <c r="T38" s="22">
        <v>6596024</v>
      </c>
      <c r="U38" s="22">
        <v>1508720</v>
      </c>
      <c r="V38" s="22">
        <v>16410056</v>
      </c>
      <c r="W38" s="23">
        <v>77.417544000000007</v>
      </c>
      <c r="X38" s="23">
        <v>80.138569000000004</v>
      </c>
      <c r="Y38" s="23">
        <v>39.695534000000002</v>
      </c>
      <c r="Z38" s="23">
        <v>44.535812999999997</v>
      </c>
      <c r="AA38" s="23">
        <v>47.808450000000001</v>
      </c>
      <c r="AB38" s="24">
        <v>4159.88</v>
      </c>
      <c r="AC38" s="24">
        <v>7349.02</v>
      </c>
      <c r="AD38" s="24">
        <v>265.33199999999999</v>
      </c>
      <c r="AE38" s="24">
        <v>97.64</v>
      </c>
      <c r="AG38" s="19">
        <f t="shared" si="6"/>
        <v>22.992352499999999</v>
      </c>
      <c r="AH38" s="20">
        <f t="shared" si="7"/>
        <v>7.3607026875832052E-2</v>
      </c>
      <c r="AI38" s="20">
        <f t="shared" si="8"/>
        <v>2.4327546559982052E-2</v>
      </c>
      <c r="AJ38" s="20">
        <f t="shared" si="9"/>
        <v>1.9799424827264607E-2</v>
      </c>
      <c r="AK38" s="20">
        <f t="shared" si="10"/>
        <v>4.9279096151453379E-2</v>
      </c>
      <c r="AL38" s="17">
        <f t="shared" si="11"/>
        <v>8105712</v>
      </c>
      <c r="AM38" s="20">
        <v>16</v>
      </c>
      <c r="AN38" s="21">
        <v>83963908</v>
      </c>
      <c r="AO38" s="21">
        <v>2623872.125</v>
      </c>
      <c r="AP38" s="21">
        <v>48278.125</v>
      </c>
      <c r="AQ38" s="22">
        <v>24525176</v>
      </c>
      <c r="AR38" s="22">
        <v>6596984</v>
      </c>
      <c r="AS38" s="22">
        <v>1508728</v>
      </c>
      <c r="AT38" s="22">
        <v>16419336</v>
      </c>
      <c r="AU38" s="23">
        <v>77.418415999999993</v>
      </c>
      <c r="AV38" s="23">
        <v>80.140518999999998</v>
      </c>
      <c r="AW38" s="23">
        <v>39.696711999999998</v>
      </c>
      <c r="AX38" s="23">
        <v>44.531153000000003</v>
      </c>
      <c r="AY38" s="23">
        <v>47.804797000000001</v>
      </c>
      <c r="AZ38" s="24">
        <v>3842.99</v>
      </c>
      <c r="BA38" s="24">
        <v>5551.57</v>
      </c>
      <c r="BB38" s="24">
        <v>246.04499999999999</v>
      </c>
      <c r="BC38" s="24">
        <v>79.739000000000004</v>
      </c>
      <c r="BE38" s="49">
        <f t="shared" si="12"/>
        <v>1.0001194362215513</v>
      </c>
      <c r="BF38" s="25">
        <f t="shared" si="13"/>
        <v>4.3439117332656763E-6</v>
      </c>
      <c r="BG38" s="25">
        <f t="shared" si="14"/>
        <v>-9.8675511364776369E-5</v>
      </c>
      <c r="BH38" s="25"/>
      <c r="BJ38" s="49"/>
      <c r="BK38" s="49"/>
      <c r="BL38" s="49"/>
      <c r="BM38" s="49"/>
      <c r="BN38" s="49"/>
      <c r="BP38" s="49"/>
      <c r="BQ38" s="49"/>
      <c r="BR38" s="49"/>
      <c r="BS38" s="49"/>
      <c r="BT38" s="49"/>
      <c r="BV38" s="58">
        <f t="shared" si="16"/>
        <v>3983</v>
      </c>
      <c r="BW38" s="58">
        <f t="shared" si="16"/>
        <v>124.46875</v>
      </c>
      <c r="BX38" s="58">
        <f t="shared" si="16"/>
        <v>13.6875</v>
      </c>
      <c r="BY38" s="58">
        <f t="shared" si="16"/>
        <v>10248</v>
      </c>
      <c r="BZ38" s="58">
        <f t="shared" si="16"/>
        <v>960</v>
      </c>
      <c r="CA38" s="58">
        <f t="shared" si="16"/>
        <v>8</v>
      </c>
      <c r="CB38" s="58">
        <f t="shared" si="16"/>
        <v>9280</v>
      </c>
      <c r="CC38" s="58">
        <f t="shared" si="16"/>
        <v>8.7199999998688327E-4</v>
      </c>
      <c r="CD38" s="58">
        <f t="shared" si="16"/>
        <v>1.949999999993679E-3</v>
      </c>
      <c r="CE38" s="58">
        <f t="shared" si="16"/>
        <v>1.1779999999959045E-3</v>
      </c>
      <c r="CF38" s="58">
        <f t="shared" si="16"/>
        <v>-4.6599999999941133E-3</v>
      </c>
      <c r="CG38" s="58">
        <f t="shared" si="16"/>
        <v>-3.6529999999999063E-3</v>
      </c>
      <c r="CJ38" t="s">
        <v>244</v>
      </c>
    </row>
    <row r="39" spans="1:88" ht="16" outlineLevel="1" thickBot="1" x14ac:dyDescent="0.25">
      <c r="A39" s="26"/>
      <c r="B39" s="26" t="s">
        <v>82</v>
      </c>
      <c r="C39" s="27" t="s">
        <v>237</v>
      </c>
      <c r="D39" s="26">
        <v>333190689</v>
      </c>
      <c r="E39" s="27">
        <v>11</v>
      </c>
      <c r="F39" s="27">
        <v>32</v>
      </c>
      <c r="G39" s="27">
        <v>30</v>
      </c>
      <c r="I39" s="28">
        <f t="shared" si="0"/>
        <v>42.359400000000001</v>
      </c>
      <c r="J39" s="29">
        <f t="shared" si="1"/>
        <v>0.13560811118584409</v>
      </c>
      <c r="K39" s="29">
        <f t="shared" si="2"/>
        <v>3.9396947253829175E-2</v>
      </c>
      <c r="L39" s="29">
        <f t="shared" si="3"/>
        <v>3.0114935174554054E-2</v>
      </c>
      <c r="M39" s="29">
        <f t="shared" si="4"/>
        <v>9.6210779767618299E-2</v>
      </c>
      <c r="N39" s="26">
        <f t="shared" si="5"/>
        <v>13126696</v>
      </c>
      <c r="O39" s="29">
        <v>16</v>
      </c>
      <c r="P39" s="30">
        <v>82033242</v>
      </c>
      <c r="Q39" s="30">
        <v>2563538.8125</v>
      </c>
      <c r="R39" s="30">
        <v>19387.28125</v>
      </c>
      <c r="S39" s="31">
        <v>45183360</v>
      </c>
      <c r="T39" s="31">
        <v>10034016</v>
      </c>
      <c r="U39" s="31">
        <v>3092680</v>
      </c>
      <c r="V39" s="31">
        <v>32056536</v>
      </c>
      <c r="W39" s="32">
        <v>78.318087000000006</v>
      </c>
      <c r="X39" s="32">
        <v>81.875005999999999</v>
      </c>
      <c r="Y39" s="32">
        <v>41.298865999999997</v>
      </c>
      <c r="Z39" s="32">
        <v>45.536081000000003</v>
      </c>
      <c r="AA39" s="32">
        <v>49.135843999999999</v>
      </c>
      <c r="AB39" s="33">
        <v>3244.99</v>
      </c>
      <c r="AC39" s="33">
        <v>5567.44</v>
      </c>
      <c r="AD39" s="33">
        <v>225.27</v>
      </c>
      <c r="AE39" s="33">
        <v>79.828999999999994</v>
      </c>
      <c r="AG39" s="28">
        <f t="shared" si="6"/>
        <v>42.363262499999998</v>
      </c>
      <c r="AH39" s="29">
        <f t="shared" si="7"/>
        <v>0.13562047647736039</v>
      </c>
      <c r="AI39" s="29">
        <f t="shared" si="8"/>
        <v>3.9399204219659333E-2</v>
      </c>
      <c r="AJ39" s="29">
        <f t="shared" si="9"/>
        <v>3.0117168130109423E-2</v>
      </c>
      <c r="AK39" s="29">
        <f t="shared" si="10"/>
        <v>9.6220888093304438E-2</v>
      </c>
      <c r="AL39" s="26">
        <f t="shared" si="11"/>
        <v>13127448</v>
      </c>
      <c r="AM39" s="29">
        <v>16</v>
      </c>
      <c r="AN39" s="30">
        <v>82025858</v>
      </c>
      <c r="AO39" s="30">
        <v>2563308.0625</v>
      </c>
      <c r="AP39" s="30">
        <v>19366.5625</v>
      </c>
      <c r="AQ39" s="31">
        <v>45187480</v>
      </c>
      <c r="AR39" s="31">
        <v>10034760</v>
      </c>
      <c r="AS39" s="31">
        <v>3092688</v>
      </c>
      <c r="AT39" s="31">
        <v>32059904</v>
      </c>
      <c r="AU39" s="32">
        <v>78.318230999999997</v>
      </c>
      <c r="AV39" s="32">
        <v>81.877509000000003</v>
      </c>
      <c r="AW39" s="32">
        <v>41.297905999999998</v>
      </c>
      <c r="AX39" s="32">
        <v>45.537005999999998</v>
      </c>
      <c r="AY39" s="32">
        <v>49.137197</v>
      </c>
      <c r="AZ39" s="33">
        <v>3647.46</v>
      </c>
      <c r="BA39" s="33">
        <v>6189.85</v>
      </c>
      <c r="BB39" s="33">
        <v>233.94800000000001</v>
      </c>
      <c r="BC39" s="33">
        <v>82.087000000000003</v>
      </c>
      <c r="BE39" s="34">
        <f t="shared" si="12"/>
        <v>1.0000572878354157</v>
      </c>
      <c r="BF39" s="35">
        <f t="shared" si="13"/>
        <v>-7.4020195574443087E-6</v>
      </c>
      <c r="BG39" s="35">
        <f t="shared" si="14"/>
        <v>-9.8466387998263905E-6</v>
      </c>
      <c r="BH39" s="35"/>
      <c r="BJ39" s="34"/>
      <c r="BK39" s="34"/>
      <c r="BL39" s="34"/>
      <c r="BM39" s="34"/>
      <c r="BN39" s="34"/>
      <c r="BP39" s="34"/>
      <c r="BQ39" s="34"/>
      <c r="BR39" s="34"/>
      <c r="BS39" s="34"/>
      <c r="BT39" s="34"/>
      <c r="BV39" s="58">
        <f t="shared" si="16"/>
        <v>-7384</v>
      </c>
      <c r="BW39" s="58">
        <f t="shared" si="16"/>
        <v>-230.75</v>
      </c>
      <c r="BX39" s="58">
        <f t="shared" si="16"/>
        <v>-20.71875</v>
      </c>
      <c r="BY39" s="58">
        <f t="shared" si="16"/>
        <v>4120</v>
      </c>
      <c r="BZ39" s="58">
        <f t="shared" si="16"/>
        <v>744</v>
      </c>
      <c r="CA39" s="58">
        <f t="shared" si="16"/>
        <v>8</v>
      </c>
      <c r="CB39" s="58">
        <f t="shared" si="16"/>
        <v>3368</v>
      </c>
      <c r="CC39" s="58">
        <f t="shared" si="16"/>
        <v>1.4399999999170632E-4</v>
      </c>
      <c r="CD39" s="58">
        <f t="shared" si="16"/>
        <v>2.5030000000043628E-3</v>
      </c>
      <c r="CE39" s="58">
        <f t="shared" si="16"/>
        <v>-9.5999999999918373E-4</v>
      </c>
      <c r="CF39" s="58">
        <f t="shared" si="16"/>
        <v>9.2499999999517968E-4</v>
      </c>
      <c r="CG39" s="58">
        <f t="shared" si="16"/>
        <v>1.3530000000017139E-3</v>
      </c>
      <c r="CJ39" t="s">
        <v>244</v>
      </c>
    </row>
    <row r="40" spans="1:88" ht="16" x14ac:dyDescent="0.2">
      <c r="B40" s="46" t="s">
        <v>16</v>
      </c>
      <c r="J40" s="47">
        <f>AVERAGE(J5:J24)</f>
        <v>4.4088648331768371E-2</v>
      </c>
      <c r="K40" s="47">
        <f>AVERAGE(K5:K24)</f>
        <v>1.3809131502128095E-2</v>
      </c>
      <c r="L40" s="47">
        <f>AVERAGE(L5:L24)</f>
        <v>9.6735055774282083E-3</v>
      </c>
      <c r="M40" s="47">
        <f>AVERAGE(M5:M24)</f>
        <v>3.0279008861833524E-2</v>
      </c>
      <c r="AH40" s="47">
        <f>AVERAGE(AH5:AH24)</f>
        <v>4.4080014091290469E-2</v>
      </c>
      <c r="AI40" s="47">
        <f>AVERAGE(AI5:AI24)</f>
        <v>1.3798351612897667E-2</v>
      </c>
      <c r="AJ40" s="47">
        <f>AVERAGE(AJ5:AJ24)</f>
        <v>9.669902595508012E-3</v>
      </c>
      <c r="AK40" s="47">
        <f>AVERAGE(AK5:AK24)</f>
        <v>3.0281154510586043E-2</v>
      </c>
      <c r="BE40" s="51">
        <f t="shared" si="12"/>
        <v>0.9992193651549508</v>
      </c>
      <c r="BH40" s="55">
        <f>AVERAGE(BH5:BH24)</f>
        <v>-4.2685031321847144E-4</v>
      </c>
      <c r="BJ40" s="51">
        <f>AVERAGE(BJ5:BJ24)</f>
        <v>-6.288326624051821E-3</v>
      </c>
      <c r="BK40" s="51">
        <f>AVERAGE(BK5:BK24)</f>
        <v>-1.3695446101602532E-2</v>
      </c>
      <c r="BL40" s="51">
        <f>AVERAGE(BL5:BL24)</f>
        <v>8.4114927418132701E-3</v>
      </c>
      <c r="BM40" s="51">
        <f>AVERAGE(BM5:BM24)</f>
        <v>9.6004323545454961E-3</v>
      </c>
      <c r="BN40" s="51">
        <f>AVERAGE(BN5:BN24)</f>
        <v>2.0522428536738052E-2</v>
      </c>
      <c r="BP40" s="51">
        <f>AVERAGE(BP5:BP24)</f>
        <v>-2.87715918594178E-3</v>
      </c>
      <c r="BQ40" s="51">
        <f>AVERAGE(BQ5:BQ24)</f>
        <v>-1.7655967667256717E-2</v>
      </c>
      <c r="BR40" s="51">
        <f>AVERAGE(BR5:BR24)</f>
        <v>5.5326107891151E-3</v>
      </c>
      <c r="BS40" s="51">
        <f>AVERAGE(BS5:BS24)</f>
        <v>6.3075243765849942E-3</v>
      </c>
      <c r="BT40" s="51">
        <f>AVERAGE(BT5:BT24)</f>
        <v>1.4509887358206769E-2</v>
      </c>
    </row>
    <row r="41" spans="1:88" ht="16" x14ac:dyDescent="0.2">
      <c r="B41" s="46" t="s">
        <v>17</v>
      </c>
      <c r="J41" s="47">
        <f>AVERAGE(J25:J29)</f>
        <v>7.9856341436907341E-2</v>
      </c>
      <c r="K41" s="47">
        <f>AVERAGE(K25:K29)</f>
        <v>1.2365787446409846E-2</v>
      </c>
      <c r="L41" s="47">
        <f>AVERAGE(L25:L29)</f>
        <v>9.1152432536474159E-3</v>
      </c>
      <c r="M41" s="47">
        <f>AVERAGE(M25:M29)</f>
        <v>6.7490042593091368E-2</v>
      </c>
      <c r="AH41" s="47">
        <f>AVERAGE(AH25:AH29)</f>
        <v>7.9856539603402193E-2</v>
      </c>
      <c r="AI41" s="47">
        <f>AVERAGE(AI25:AI29)</f>
        <v>1.2365717129266504E-2</v>
      </c>
      <c r="AJ41" s="47">
        <f>AVERAGE(AJ25:AJ29)</f>
        <v>9.1151281892310389E-3</v>
      </c>
      <c r="AK41" s="47">
        <f>AVERAGE(AK25:AK29)</f>
        <v>6.7490311076729578E-2</v>
      </c>
      <c r="BE41" s="51">
        <f t="shared" si="12"/>
        <v>0.99999431357334523</v>
      </c>
      <c r="BH41" s="55">
        <f>AVERAGE(BH25:BH29)</f>
        <v>1.3763823072887593E-5</v>
      </c>
      <c r="BJ41" s="51">
        <f>AVERAGE(BJ25:BJ29)</f>
        <v>6.0107494612493539E-5</v>
      </c>
      <c r="BK41" s="51">
        <f>AVERAGE(BK25:BK29)</f>
        <v>9.2456163778731337E-5</v>
      </c>
      <c r="BL41" s="51">
        <f>AVERAGE(BL25:BL29)</f>
        <v>-4.1512352588424228E-5</v>
      </c>
      <c r="BM41" s="51">
        <f>AVERAGE(BM25:BM29)</f>
        <v>-9.1884594017743737E-4</v>
      </c>
      <c r="BN41" s="51">
        <f>AVERAGE(BN25:BN29)</f>
        <v>-7.7516076731498629E-4</v>
      </c>
      <c r="BP41" s="51">
        <f>AVERAGE(BP25:BP29)</f>
        <v>2.0508234497684796E-4</v>
      </c>
      <c r="BQ41" s="51">
        <f>AVERAGE(BQ25:BQ29)</f>
        <v>1.8268341871685578E-4</v>
      </c>
      <c r="BR41" s="51">
        <f>AVERAGE(BR25:BR29)</f>
        <v>-3.5961967799646999E-5</v>
      </c>
      <c r="BS41" s="51">
        <f>AVERAGE(BS25:BS29)</f>
        <v>-8.1528125450525124E-4</v>
      </c>
      <c r="BT41" s="51">
        <f>AVERAGE(BT25:BT29)</f>
        <v>-6.9051715734946839E-4</v>
      </c>
    </row>
    <row r="42" spans="1:88" ht="16" x14ac:dyDescent="0.2">
      <c r="B42" s="46" t="s">
        <v>18</v>
      </c>
      <c r="J42" s="47">
        <f>AVERAGE(J30:J39)</f>
        <v>5.5089321558787117E-2</v>
      </c>
      <c r="K42" s="47">
        <f>AVERAGE(K30:K39)</f>
        <v>2.0015416488192432E-2</v>
      </c>
      <c r="L42" s="47">
        <f>AVERAGE(L30:L39)</f>
        <v>1.5036519271521873E-2</v>
      </c>
      <c r="M42" s="47">
        <f>AVERAGE(M30:M39)</f>
        <v>3.5073542513815469E-2</v>
      </c>
      <c r="AH42" s="47">
        <f>AVERAGE(AH30:AH39)</f>
        <v>5.5097595709424504E-2</v>
      </c>
      <c r="AI42" s="47">
        <f>AVERAGE(AI30:AI39)</f>
        <v>2.0017941397766689E-2</v>
      </c>
      <c r="AJ42" s="47">
        <f>AVERAGE(AJ30:AJ39)</f>
        <v>1.5038954141750719E-2</v>
      </c>
      <c r="AK42" s="47">
        <f>AVERAGE(AK30:AK39)</f>
        <v>3.5079291754878603E-2</v>
      </c>
      <c r="BE42" s="51">
        <f t="shared" si="12"/>
        <v>1.0001261482405697</v>
      </c>
      <c r="BH42" s="55">
        <f>AVERAGE(BH30:BH39)</f>
        <v>1.4285946029340968E-5</v>
      </c>
      <c r="BJ42" s="51">
        <f>AVERAGE(BJ30:BJ39)</f>
        <v>3.1773684277758285E-5</v>
      </c>
      <c r="BK42" s="51">
        <f>AVERAGE(BK30:BK39)</f>
        <v>-2.0351202305313176E-4</v>
      </c>
      <c r="BL42" s="51">
        <f>AVERAGE(BL30:BL39)</f>
        <v>-5.3769875294706893E-5</v>
      </c>
      <c r="BM42" s="51">
        <f>AVERAGE(BM30:BM39)</f>
        <v>2.4323200069398254E-4</v>
      </c>
      <c r="BN42" s="51">
        <f>AVERAGE(BN30:BN39)</f>
        <v>-2.2379922642677408E-3</v>
      </c>
      <c r="BP42" s="51">
        <f>AVERAGE(BP30:BP39)</f>
        <v>-1.8723041405266372E-5</v>
      </c>
      <c r="BQ42" s="51">
        <f>AVERAGE(BQ30:BQ39)</f>
        <v>-3.7835522211343564E-4</v>
      </c>
      <c r="BR42" s="51">
        <f>AVERAGE(BR30:BR39)</f>
        <v>2.5356251664609974E-5</v>
      </c>
      <c r="BS42" s="51">
        <f>AVERAGE(BS30:BS39)</f>
        <v>1.9285776958871681E-4</v>
      </c>
      <c r="BT42" s="51">
        <f>AVERAGE(BT30:BT39)</f>
        <v>-1.3164538994871466E-3</v>
      </c>
    </row>
    <row r="43" spans="1:88" ht="16" x14ac:dyDescent="0.2">
      <c r="B43" s="46" t="s">
        <v>19</v>
      </c>
      <c r="J43" s="47">
        <f>AVERAGE(J5:J39)</f>
        <v>5.2341368268793563E-2</v>
      </c>
      <c r="K43" s="47">
        <f>AVERAGE(K5:K39)</f>
        <v>1.5376163775901012E-2</v>
      </c>
      <c r="L43" s="47">
        <f>AVERAGE(L5:L39)</f>
        <v>1.1126043443771999E-2</v>
      </c>
      <c r="M43" s="47">
        <f>AVERAGE(M5:M39)</f>
        <v>3.6964737581150924E-2</v>
      </c>
      <c r="AH43" s="47">
        <f>AVERAGE(AH5:AH39)</f>
        <v>5.2338826769630448E-2</v>
      </c>
      <c r="AI43" s="47">
        <f>AVERAGE(AI5:AI39)</f>
        <v>1.5370715196627222E-2</v>
      </c>
      <c r="AJ43" s="47">
        <f>AVERAGE(AJ5:AJ39)</f>
        <v>1.1124663836394934E-2</v>
      </c>
      <c r="AK43" s="47">
        <f>AVERAGE(AK5:AK39)</f>
        <v>3.696764466126156E-2</v>
      </c>
      <c r="BE43" s="51">
        <f t="shared" si="12"/>
        <v>0.9996456476821397</v>
      </c>
      <c r="BH43" s="55">
        <f>AVERAGE(BH5:BH39)</f>
        <v>-2.3786650539175946E-4</v>
      </c>
      <c r="BJ43" s="51">
        <f>AVERAGE(BJ5:BJ39)</f>
        <v>-3.5756645190056107E-3</v>
      </c>
      <c r="BK43" s="51">
        <f>AVERAGE(BK5:BK39)</f>
        <v>-7.8709074698196657E-3</v>
      </c>
      <c r="BL43" s="51">
        <f>AVERAGE(BL5:BL39)</f>
        <v>4.7852741234393203E-3</v>
      </c>
      <c r="BM43" s="51">
        <f>AVERAGE(BM5:BM39)</f>
        <v>5.4241924970560729E-3</v>
      </c>
      <c r="BN43" s="51">
        <f>AVERAGE(BN5:BN39)</f>
        <v>1.0976938407300249E-2</v>
      </c>
      <c r="BP43" s="51">
        <f>AVERAGE(BP5:BP39)</f>
        <v>-1.620142925942972E-3</v>
      </c>
      <c r="BQ43" s="51">
        <f>AVERAGE(BQ5:BQ39)</f>
        <v>-1.0171128242076697E-2</v>
      </c>
      <c r="BR43" s="51">
        <f>AVERAGE(BR5:BR39)</f>
        <v>3.1635990988557105E-3</v>
      </c>
      <c r="BS43" s="51">
        <f>AVERAGE(BS5:BS39)</f>
        <v>3.5429331130017372E-3</v>
      </c>
      <c r="BT43" s="51">
        <f>AVERAGE(BT5:BT39)</f>
        <v>7.8165892109290456E-3</v>
      </c>
    </row>
    <row r="44" spans="1:88" ht="16" hidden="1" outlineLevel="2" x14ac:dyDescent="0.2">
      <c r="A44" s="46" t="s">
        <v>245</v>
      </c>
      <c r="B44" s="46" t="s">
        <v>246</v>
      </c>
      <c r="AB44" s="48">
        <f>SUM(AB5:AB24,AB25:AB29,AB30:AB39)</f>
        <v>131543.96999999997</v>
      </c>
      <c r="AC44" s="48">
        <f>SUM(AC5:AC24,AC25:AC29,AC30:AC39)</f>
        <v>85198.468000000008</v>
      </c>
      <c r="AD44" s="48">
        <f>SUM(AD5:AD24,AD25:AD29,AD30:AD39)</f>
        <v>4286.0170000000007</v>
      </c>
      <c r="AE44" s="48">
        <f>SUM(AE5:AE24,AE25:AE29,AE30:AE39)</f>
        <v>1220.5970000000002</v>
      </c>
      <c r="AZ44" s="48">
        <f>SUM(AZ5:AZ24,AZ25:AZ29,AZ30:AZ39)</f>
        <v>135168.41999999998</v>
      </c>
      <c r="BA44" s="48">
        <f>SUM(BA5:BA24,BA25:BA29,BA30:BA39)</f>
        <v>82533.520000000019</v>
      </c>
      <c r="BB44" s="48">
        <f>SUM(BB5:BB24,BB25:BB29,BB30:BB39)</f>
        <v>4270.6470000000008</v>
      </c>
      <c r="BC44" s="48">
        <f>SUM(BC5:BC24,BC25:BC29,BC30:BC39)</f>
        <v>1158.0800000000002</v>
      </c>
    </row>
    <row r="45" spans="1:88" ht="16" hidden="1" outlineLevel="2" x14ac:dyDescent="0.2">
      <c r="B45" s="46" t="s">
        <v>247</v>
      </c>
      <c r="AZ45" s="55">
        <f>AZ44/AB44</f>
        <v>1.027553144397269</v>
      </c>
      <c r="BA45" s="55">
        <f>BA44/AC44</f>
        <v>0.9687207051657315</v>
      </c>
      <c r="BB45" s="55">
        <f>BB44/AD44</f>
        <v>0.9964139199634533</v>
      </c>
      <c r="BC45" s="55">
        <f>BC44/AE44</f>
        <v>0.94878162079703621</v>
      </c>
    </row>
    <row r="46" spans="1:88" ht="16" hidden="1" outlineLevel="2" x14ac:dyDescent="0.2">
      <c r="B46" s="46" t="s">
        <v>248</v>
      </c>
      <c r="AB46" s="48">
        <f>GEOMEAN(AB5:AB24,AB25:AB29,AB30:AB39)</f>
        <v>3551.1340289327422</v>
      </c>
      <c r="AC46" s="48">
        <f>GEOMEAN(AC5:AC24,AC25:AC29,AC30:AC39)</f>
        <v>1897.0781796259114</v>
      </c>
      <c r="AD46" s="48">
        <f>GEOMEAN(AD5:AD24,AD25:AD29,AD30:AD39)</f>
        <v>100.26776390431611</v>
      </c>
      <c r="AE46" s="48">
        <f>GEOMEAN(AE5:AE24,AE25:AE29,AE30:AE39)</f>
        <v>27.212510208417225</v>
      </c>
      <c r="AZ46" s="48">
        <f>GEOMEAN(AZ5:AZ24,AZ25:AZ29,AZ30:AZ39)</f>
        <v>3661.567266172869</v>
      </c>
      <c r="BA46" s="48">
        <f>GEOMEAN(BA5:BA24,BA25:BA29,BA30:BA39)</f>
        <v>1917.689771738917</v>
      </c>
      <c r="BB46" s="48">
        <f>GEOMEAN(BB5:BB24,BB25:BB29,BB30:BB39)</f>
        <v>101.69863088113433</v>
      </c>
      <c r="BC46" s="48">
        <f>GEOMEAN(BC5:BC24,BC25:BC29,BC30:BC39)</f>
        <v>26.966284261743187</v>
      </c>
    </row>
    <row r="47" spans="1:88" ht="16" outlineLevel="2" collapsed="1" x14ac:dyDescent="0.2">
      <c r="B47" s="46" t="s">
        <v>249</v>
      </c>
      <c r="AZ47" s="55">
        <f>AZ46/AB46</f>
        <v>1.0310980200522919</v>
      </c>
      <c r="BA47" s="55">
        <f>BA46/AC46</f>
        <v>1.0108649144428354</v>
      </c>
      <c r="BB47" s="55">
        <f>BB46/AD46</f>
        <v>1.0142704586309881</v>
      </c>
      <c r="BC47" s="55">
        <f>BC46/AE46</f>
        <v>0.99095173709487938</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Z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1.0420275000000001</v>
      </c>
      <c r="J5" s="11">
        <f t="shared" ref="J5:J39" si="1">IF(ISBLANK(S5),"·",S5/D5)</f>
        <v>4.6672804711955515E-3</v>
      </c>
      <c r="K5" s="11">
        <f t="shared" ref="K5:K39" si="2">IF(N5="","·",N5/D5)</f>
        <v>4.0543465552665041E-3</v>
      </c>
      <c r="L5" s="11">
        <f t="shared" ref="L5:L39" si="3">IF(T5="","·",T5/D5)</f>
        <v>2.5510359298285567E-3</v>
      </c>
      <c r="M5" s="11">
        <f t="shared" ref="M5:M39" si="4">IF(ISBLANK(V5),"·",V5/D5)</f>
        <v>6.1239643140340516E-4</v>
      </c>
      <c r="N5" s="52">
        <f t="shared" ref="N5:N39" si="5">IF(OR(ISBLANK(T5),ISBLANK(U5)),"",T5+U5)</f>
        <v>965528</v>
      </c>
      <c r="O5" s="11">
        <v>16</v>
      </c>
      <c r="P5" s="12">
        <v>23582209</v>
      </c>
      <c r="Q5" s="12">
        <v>736944.03125</v>
      </c>
      <c r="R5" s="12">
        <v>16984.9375</v>
      </c>
      <c r="S5" s="13">
        <v>1111496</v>
      </c>
      <c r="T5" s="13">
        <v>607520</v>
      </c>
      <c r="U5" s="13">
        <v>358008</v>
      </c>
      <c r="V5" s="13">
        <v>145840</v>
      </c>
      <c r="W5" s="14">
        <v>66.845706000000007</v>
      </c>
      <c r="X5" s="14">
        <v>68.619974999999997</v>
      </c>
      <c r="Y5" s="14">
        <v>31.719308999999999</v>
      </c>
      <c r="Z5" s="14">
        <v>44.569031000000003</v>
      </c>
      <c r="AA5" s="14">
        <v>44.236403000000003</v>
      </c>
      <c r="AB5" s="15">
        <v>3954.42</v>
      </c>
      <c r="AC5" s="15">
        <v>3650.81</v>
      </c>
      <c r="AD5" s="15">
        <v>68.84</v>
      </c>
      <c r="AE5" s="15">
        <v>18.983000000000001</v>
      </c>
      <c r="AG5" s="10">
        <f t="shared" ref="AG5:AG39" si="6">IF(OR(ISBLANK(AQ5),ISBLANK(G5)),"·",AQ5*G5/F5/1000000)</f>
        <v>1.0420199999999999</v>
      </c>
      <c r="AH5" s="11">
        <f t="shared" ref="AH5:AH39" si="7">IF(ISBLANK(AQ5),"·",AQ5/D5)</f>
        <v>4.6672468784126984E-3</v>
      </c>
      <c r="AI5" s="11">
        <f t="shared" ref="AI5:AI39" si="8">IF(AL5="","·",AL5/D5)</f>
        <v>4.0543129624836518E-3</v>
      </c>
      <c r="AJ5" s="11">
        <f t="shared" ref="AJ5:AJ39" si="9">IF(AR5="","·",AR5/D5)</f>
        <v>2.5510359298285567E-3</v>
      </c>
      <c r="AK5" s="11">
        <f t="shared" ref="AK5:AK39" si="10">IF(ISBLANK(AT5),"·",AT5/D5)</f>
        <v>6.1239643140340516E-4</v>
      </c>
      <c r="AL5" s="52">
        <f t="shared" ref="AL5:AL39" si="11">IF(OR(ISBLANK(AR5),ISBLANK(AS5)),"",AR5+AS5)</f>
        <v>965520</v>
      </c>
      <c r="AM5" s="11">
        <v>16</v>
      </c>
      <c r="AN5" s="12">
        <v>23582209</v>
      </c>
      <c r="AO5" s="12">
        <v>736944.03125</v>
      </c>
      <c r="AP5" s="12">
        <v>16984.9375</v>
      </c>
      <c r="AQ5" s="13">
        <v>1111488</v>
      </c>
      <c r="AR5" s="13">
        <v>607520</v>
      </c>
      <c r="AS5" s="13">
        <v>358000</v>
      </c>
      <c r="AT5" s="13">
        <v>145840</v>
      </c>
      <c r="AU5" s="14">
        <v>66.845706000000007</v>
      </c>
      <c r="AV5" s="14">
        <v>68.619974999999997</v>
      </c>
      <c r="AW5" s="14">
        <v>31.719308999999999</v>
      </c>
      <c r="AX5" s="14">
        <v>44.569031000000003</v>
      </c>
      <c r="AY5" s="14">
        <v>44.236403000000003</v>
      </c>
      <c r="AZ5" s="15">
        <v>3641</v>
      </c>
      <c r="BA5" s="15">
        <v>2952.7</v>
      </c>
      <c r="BB5" s="15">
        <v>64.093999999999994</v>
      </c>
      <c r="BC5" s="15">
        <v>14.217000000000001</v>
      </c>
      <c r="BE5" s="50">
        <f t="shared" ref="BE5:BE43" si="12">AI5/K5</f>
        <v>0.99999171437803991</v>
      </c>
      <c r="BF5" s="16">
        <f t="shared" ref="BF5:BF39" si="13">(AP5/AO5) - (R5/Q5)</f>
        <v>0</v>
      </c>
      <c r="BG5" s="16">
        <f t="shared" ref="BG5:BG39" si="14">(AL5/AQ5) - (N5/S5)</f>
        <v>-9.4522448312872598E-7</v>
      </c>
      <c r="BH5" s="16">
        <f t="array" ref="BH5">AVERAGE(AL5:AL9/AQ5:AQ9) - AVERAGE(N5:N9/S5:S9)</f>
        <v>1.5883873771826984E-8</v>
      </c>
      <c r="BJ5" s="50">
        <f>IF( OR(ISBLANK(N5:N9),ISBLANK(AL5:AL9), ISBLANK(W5:W9),ISBLANK(AU5:AU9)), "·", bdRateExtend( N5:N9,W5:W9, AL5:AL9,AU5:AU9))</f>
        <v>1.3686996462869416E-6</v>
      </c>
      <c r="BK5" s="50">
        <f>IF( OR(ISBLANK(N5:N9),ISBLANK(AL5:AL9), ISBLANK(X5:X9),ISBLANK(AV5:AV9)), "·", bdRateExtend( N5:N9,X5:X9, AL5:AL9,AV5:AV9))</f>
        <v>1.3379981114169937E-6</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1.0387328521765937E-6</v>
      </c>
      <c r="BQ5" s="50">
        <f>IF( OR(ISBLANK(S5:S9),ISBLANK(AQ5:AQ9), ISBLANK(X5:X9),ISBLANK(AV5:AV9)), "·", bdRateExtend( S5:S9,X5:X9, AQ5:AQ9,AV5:AV9))</f>
        <v>1.0249076181079175E-6</v>
      </c>
      <c r="BR5" s="50">
        <f>IF( OR(ISBLANK(S5:S9),ISBLANK(AQ5:AQ9), ISBLANK(Y5:Y9),ISBLANK(AW5:AW9)), "·", bdRateExtend( S5:S9,Y5:Y9, AQ5:AQ9,AW5:AW9))</f>
        <v>9.2656237993260504E-7</v>
      </c>
      <c r="BS5" s="50">
        <f>IF( OR(ISBLANK(S5:S9),ISBLANK(AQ5:AQ9), ISBLANK(Z5:Z9),ISBLANK(AX5:AX9)), "·", bdRateExtend( S5:S9,Z5:Z9, AQ5:AQ9,AX5:AX9))</f>
        <v>1.0081768062608631E-6</v>
      </c>
      <c r="BT5" s="50">
        <f>IF( OR(ISBLANK(S5:S9),ISBLANK(AQ5:AQ9), ISBLANK(AA5:AA9),ISBLANK(AY5:AY9)), "·", bdRateExtend( S5:S9,AA5:AA9, AQ5:AQ9,AY5:AY9))</f>
        <v>9.7094150319776418E-7</v>
      </c>
      <c r="BV5" s="58">
        <f>AN5-P5</f>
        <v>0</v>
      </c>
      <c r="BW5" s="58">
        <f t="shared" ref="BW5:CG20" si="15">AO5-Q5</f>
        <v>0</v>
      </c>
      <c r="BX5" s="58">
        <f t="shared" si="15"/>
        <v>0</v>
      </c>
      <c r="BY5" s="58">
        <f t="shared" si="15"/>
        <v>-8</v>
      </c>
      <c r="BZ5" s="58">
        <f t="shared" si="15"/>
        <v>0</v>
      </c>
      <c r="CA5" s="58">
        <f t="shared" si="15"/>
        <v>-8</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1.354635</v>
      </c>
      <c r="J6" s="20">
        <f t="shared" si="1"/>
        <v>6.0674612532759312E-3</v>
      </c>
      <c r="K6" s="20">
        <f t="shared" si="2"/>
        <v>4.9445553008611413E-3</v>
      </c>
      <c r="L6" s="20">
        <f t="shared" si="3"/>
        <v>3.4412782682060462E-3</v>
      </c>
      <c r="M6" s="20">
        <f t="shared" si="4"/>
        <v>1.1223684678891481E-3</v>
      </c>
      <c r="N6" s="17">
        <f t="shared" si="5"/>
        <v>1177528</v>
      </c>
      <c r="O6" s="20">
        <v>16</v>
      </c>
      <c r="P6" s="21">
        <v>24777501</v>
      </c>
      <c r="Q6" s="21">
        <v>774296.90625</v>
      </c>
      <c r="R6" s="21">
        <v>19924.3125</v>
      </c>
      <c r="S6" s="22">
        <v>1444944</v>
      </c>
      <c r="T6" s="22">
        <v>819528</v>
      </c>
      <c r="U6" s="22">
        <v>358000</v>
      </c>
      <c r="V6" s="22">
        <v>267288</v>
      </c>
      <c r="W6" s="23">
        <v>68.552897000000002</v>
      </c>
      <c r="X6" s="23">
        <v>70.622062</v>
      </c>
      <c r="Y6" s="23">
        <v>33.797455999999997</v>
      </c>
      <c r="Z6" s="23">
        <v>45.493313000000001</v>
      </c>
      <c r="AA6" s="23">
        <v>45.153953000000001</v>
      </c>
      <c r="AB6" s="24">
        <v>3317.14</v>
      </c>
      <c r="AC6" s="24">
        <v>2949.31</v>
      </c>
      <c r="AD6" s="24">
        <v>63.725999999999999</v>
      </c>
      <c r="AE6" s="24">
        <v>14.313000000000001</v>
      </c>
      <c r="AG6" s="19">
        <f t="shared" si="6"/>
        <v>1.3546425</v>
      </c>
      <c r="AH6" s="20">
        <f t="shared" si="7"/>
        <v>6.0674948460587843E-3</v>
      </c>
      <c r="AI6" s="20">
        <f t="shared" si="8"/>
        <v>4.9445888936439936E-3</v>
      </c>
      <c r="AJ6" s="20">
        <f t="shared" si="9"/>
        <v>3.4412782682060462E-3</v>
      </c>
      <c r="AK6" s="20">
        <f t="shared" si="10"/>
        <v>1.1223684678891481E-3</v>
      </c>
      <c r="AL6" s="17">
        <f t="shared" si="11"/>
        <v>1177536</v>
      </c>
      <c r="AM6" s="20">
        <v>16</v>
      </c>
      <c r="AN6" s="21">
        <v>24777501</v>
      </c>
      <c r="AO6" s="21">
        <v>774296.90625</v>
      </c>
      <c r="AP6" s="21">
        <v>19924.3125</v>
      </c>
      <c r="AQ6" s="22">
        <v>1444952</v>
      </c>
      <c r="AR6" s="22">
        <v>819528</v>
      </c>
      <c r="AS6" s="22">
        <v>358008</v>
      </c>
      <c r="AT6" s="22">
        <v>267288</v>
      </c>
      <c r="AU6" s="23">
        <v>68.552897000000002</v>
      </c>
      <c r="AV6" s="23">
        <v>70.622062</v>
      </c>
      <c r="AW6" s="23">
        <v>33.797455999999997</v>
      </c>
      <c r="AX6" s="23">
        <v>45.493313000000001</v>
      </c>
      <c r="AY6" s="23">
        <v>45.153953000000001</v>
      </c>
      <c r="AZ6" s="24">
        <v>3717.33</v>
      </c>
      <c r="BA6" s="24">
        <v>3154.29</v>
      </c>
      <c r="BB6" s="24">
        <v>65.477000000000004</v>
      </c>
      <c r="BC6" s="24">
        <v>15.199</v>
      </c>
      <c r="BE6" s="49">
        <f t="shared" si="12"/>
        <v>1.0000067938936483</v>
      </c>
      <c r="BF6" s="25">
        <f t="shared" si="13"/>
        <v>0</v>
      </c>
      <c r="BG6" s="25">
        <f t="shared" si="14"/>
        <v>1.024643852765017E-6</v>
      </c>
      <c r="BH6" s="25"/>
      <c r="BJ6" s="49"/>
      <c r="BK6" s="49"/>
      <c r="BL6" s="49"/>
      <c r="BM6" s="49"/>
      <c r="BN6" s="49"/>
      <c r="BP6" s="49"/>
      <c r="BQ6" s="49"/>
      <c r="BR6" s="49"/>
      <c r="BS6" s="49"/>
      <c r="BT6" s="49"/>
      <c r="BV6" s="58">
        <f t="shared" ref="BV6:CG39" si="16">AN6-P6</f>
        <v>0</v>
      </c>
      <c r="BW6" s="58">
        <f t="shared" si="15"/>
        <v>0</v>
      </c>
      <c r="BX6" s="58">
        <f t="shared" si="15"/>
        <v>0</v>
      </c>
      <c r="BY6" s="58">
        <f t="shared" si="15"/>
        <v>8</v>
      </c>
      <c r="BZ6" s="58">
        <f t="shared" si="15"/>
        <v>0</v>
      </c>
      <c r="CA6" s="58">
        <f t="shared" si="15"/>
        <v>8</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3287.71</v>
      </c>
      <c r="AC7" s="15">
        <v>3104.25</v>
      </c>
      <c r="AD7" s="15">
        <v>62.405999999999999</v>
      </c>
      <c r="AE7" s="15">
        <v>13.986000000000001</v>
      </c>
      <c r="AG7" s="10">
        <f t="shared" si="6"/>
        <v>1.8748724999999999</v>
      </c>
      <c r="AH7" s="11">
        <f t="shared" si="7"/>
        <v>8.3976246358484601E-3</v>
      </c>
      <c r="AI7" s="11">
        <f t="shared" si="8"/>
        <v>6.1432129786086068E-3</v>
      </c>
      <c r="AJ7" s="11">
        <f t="shared" si="9"/>
        <v>4.6399023531706598E-3</v>
      </c>
      <c r="AK7" s="11">
        <f t="shared" si="10"/>
        <v>2.2538741727142109E-3</v>
      </c>
      <c r="AL7" s="52">
        <f t="shared" si="11"/>
        <v>1462984</v>
      </c>
      <c r="AM7" s="11">
        <v>16</v>
      </c>
      <c r="AN7" s="12">
        <v>24923704</v>
      </c>
      <c r="AO7" s="12">
        <v>778865.75</v>
      </c>
      <c r="AP7" s="12">
        <v>21104.875</v>
      </c>
      <c r="AQ7" s="13">
        <v>1999864</v>
      </c>
      <c r="AR7" s="13">
        <v>1104976</v>
      </c>
      <c r="AS7" s="13">
        <v>358008</v>
      </c>
      <c r="AT7" s="13">
        <v>536752</v>
      </c>
      <c r="AU7" s="14">
        <v>69.837434000000002</v>
      </c>
      <c r="AV7" s="14">
        <v>72.274171999999993</v>
      </c>
      <c r="AW7" s="14">
        <v>36.189746999999997</v>
      </c>
      <c r="AX7" s="14">
        <v>46.884202999999999</v>
      </c>
      <c r="AY7" s="14">
        <v>46.664577999999999</v>
      </c>
      <c r="AZ7" s="15">
        <v>3382.07</v>
      </c>
      <c r="BA7" s="15">
        <v>3213.01</v>
      </c>
      <c r="BB7" s="15">
        <v>64.808999999999997</v>
      </c>
      <c r="BC7" s="15">
        <v>14.382999999999999</v>
      </c>
      <c r="BE7" s="50">
        <f t="shared" si="12"/>
        <v>1</v>
      </c>
      <c r="BF7" s="16">
        <f t="shared" si="13"/>
        <v>0</v>
      </c>
      <c r="BG7" s="16">
        <f t="shared" si="14"/>
        <v>0</v>
      </c>
      <c r="BH7" s="16"/>
      <c r="BJ7" s="50"/>
      <c r="BK7" s="50"/>
      <c r="BL7" s="50"/>
      <c r="BM7" s="50"/>
      <c r="BN7" s="50"/>
      <c r="BP7" s="50"/>
      <c r="BQ7" s="50"/>
      <c r="BR7" s="50"/>
      <c r="BS7" s="50"/>
      <c r="BT7" s="50"/>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3329.32</v>
      </c>
      <c r="AC8" s="24">
        <v>3204.36</v>
      </c>
      <c r="AD8" s="24">
        <v>61.555999999999997</v>
      </c>
      <c r="AE8" s="24">
        <v>13.86</v>
      </c>
      <c r="AG8" s="19">
        <f t="shared" si="6"/>
        <v>3.0923474999999998</v>
      </c>
      <c r="AH8" s="20">
        <f t="shared" si="7"/>
        <v>1.3850741076315534E-2</v>
      </c>
      <c r="AI8" s="20">
        <f t="shared" si="8"/>
        <v>8.8576777970151982E-3</v>
      </c>
      <c r="AJ8" s="20">
        <f t="shared" si="9"/>
        <v>7.3544007643601035E-3</v>
      </c>
      <c r="AK8" s="20">
        <f t="shared" si="10"/>
        <v>4.9925257947746942E-3</v>
      </c>
      <c r="AL8" s="17">
        <f t="shared" si="11"/>
        <v>2109424</v>
      </c>
      <c r="AM8" s="20">
        <v>16</v>
      </c>
      <c r="AN8" s="21">
        <v>25894561</v>
      </c>
      <c r="AO8" s="21">
        <v>809205.03125</v>
      </c>
      <c r="AP8" s="21">
        <v>24362.65625</v>
      </c>
      <c r="AQ8" s="22">
        <v>3298504</v>
      </c>
      <c r="AR8" s="22">
        <v>1751424</v>
      </c>
      <c r="AS8" s="22">
        <v>358000</v>
      </c>
      <c r="AT8" s="22">
        <v>1188952</v>
      </c>
      <c r="AU8" s="23">
        <v>70.899381000000005</v>
      </c>
      <c r="AV8" s="23">
        <v>73.460274999999996</v>
      </c>
      <c r="AW8" s="23">
        <v>38.671903</v>
      </c>
      <c r="AX8" s="23">
        <v>48.122497000000003</v>
      </c>
      <c r="AY8" s="23">
        <v>48.141522000000002</v>
      </c>
      <c r="AZ8" s="24">
        <v>4273.3500000000004</v>
      </c>
      <c r="BA8" s="24">
        <v>4478.22</v>
      </c>
      <c r="BB8" s="24">
        <v>81.366</v>
      </c>
      <c r="BC8" s="24">
        <v>18.864000000000001</v>
      </c>
      <c r="BE8" s="49">
        <f t="shared" si="12"/>
        <v>1</v>
      </c>
      <c r="BF8" s="25">
        <f t="shared" si="13"/>
        <v>0</v>
      </c>
      <c r="BG8" s="25">
        <f t="shared" si="14"/>
        <v>0</v>
      </c>
      <c r="BH8" s="25"/>
      <c r="BJ8" s="49"/>
      <c r="BK8" s="49"/>
      <c r="BL8" s="49"/>
      <c r="BM8" s="49"/>
      <c r="BN8" s="49"/>
      <c r="BP8" s="49"/>
      <c r="BQ8" s="49"/>
      <c r="BR8" s="49"/>
      <c r="BS8" s="49"/>
      <c r="BT8" s="49"/>
      <c r="BV8" s="58">
        <f t="shared" si="16"/>
        <v>0</v>
      </c>
      <c r="BW8" s="58">
        <f t="shared" si="15"/>
        <v>0</v>
      </c>
      <c r="BX8" s="58">
        <f t="shared" si="15"/>
        <v>0</v>
      </c>
      <c r="BY8" s="58">
        <f t="shared" si="15"/>
        <v>0</v>
      </c>
      <c r="BZ8" s="58">
        <f t="shared" si="15"/>
        <v>0</v>
      </c>
      <c r="CA8" s="58">
        <f t="shared" si="15"/>
        <v>0</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4018.41</v>
      </c>
      <c r="AC9" s="33">
        <v>4940.09</v>
      </c>
      <c r="AD9" s="33">
        <v>70.522000000000006</v>
      </c>
      <c r="AE9" s="33">
        <v>23.152000000000001</v>
      </c>
      <c r="AG9" s="28">
        <f t="shared" si="6"/>
        <v>6.3077399999999999</v>
      </c>
      <c r="AH9" s="29">
        <f t="shared" si="7"/>
        <v>2.8252605348111279E-2</v>
      </c>
      <c r="AI9" s="29">
        <f t="shared" si="8"/>
        <v>1.556676120277632E-2</v>
      </c>
      <c r="AJ9" s="29">
        <f t="shared" si="9"/>
        <v>1.2147654171253009E-2</v>
      </c>
      <c r="AK9" s="29">
        <f t="shared" si="10"/>
        <v>1.2685306660809317E-2</v>
      </c>
      <c r="AL9" s="26">
        <f t="shared" si="11"/>
        <v>3707168</v>
      </c>
      <c r="AM9" s="29">
        <v>16</v>
      </c>
      <c r="AN9" s="30">
        <v>24903158</v>
      </c>
      <c r="AO9" s="30">
        <v>778223.6875</v>
      </c>
      <c r="AP9" s="30">
        <v>10582.96875</v>
      </c>
      <c r="AQ9" s="31">
        <v>6728256</v>
      </c>
      <c r="AR9" s="31">
        <v>2892920</v>
      </c>
      <c r="AS9" s="31">
        <v>814248</v>
      </c>
      <c r="AT9" s="31">
        <v>3020960</v>
      </c>
      <c r="AU9" s="32">
        <v>71.932044000000005</v>
      </c>
      <c r="AV9" s="32">
        <v>75.246166000000002</v>
      </c>
      <c r="AW9" s="32">
        <v>41.135641</v>
      </c>
      <c r="AX9" s="32">
        <v>49.545462000000001</v>
      </c>
      <c r="AY9" s="32">
        <v>49.686588</v>
      </c>
      <c r="AZ9" s="33">
        <v>3431.39</v>
      </c>
      <c r="BA9" s="33">
        <v>3972.82</v>
      </c>
      <c r="BB9" s="33">
        <v>64.415999999999997</v>
      </c>
      <c r="BC9" s="33">
        <v>16.875</v>
      </c>
      <c r="BE9" s="34">
        <f t="shared" si="12"/>
        <v>1</v>
      </c>
      <c r="BF9" s="35">
        <f t="shared" si="13"/>
        <v>0</v>
      </c>
      <c r="BG9" s="35">
        <f t="shared" si="14"/>
        <v>0</v>
      </c>
      <c r="BH9" s="35"/>
      <c r="BJ9" s="34"/>
      <c r="BK9" s="34"/>
      <c r="BL9" s="34"/>
      <c r="BM9" s="34"/>
      <c r="BN9" s="34"/>
      <c r="BP9" s="34"/>
      <c r="BQ9" s="34"/>
      <c r="BR9" s="34"/>
      <c r="BS9" s="34"/>
      <c r="BT9" s="34"/>
      <c r="BV9" s="58">
        <f t="shared" si="16"/>
        <v>0</v>
      </c>
      <c r="BW9" s="58">
        <f t="shared" si="15"/>
        <v>0</v>
      </c>
      <c r="BX9" s="58">
        <f t="shared" si="15"/>
        <v>0</v>
      </c>
      <c r="BY9" s="58">
        <f t="shared" si="15"/>
        <v>0</v>
      </c>
      <c r="BZ9" s="58">
        <f t="shared" si="15"/>
        <v>0</v>
      </c>
      <c r="CA9" s="58">
        <f t="shared" si="15"/>
        <v>0</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1.9574625000000001</v>
      </c>
      <c r="J10" s="20">
        <f t="shared" si="1"/>
        <v>9.5724743764296003E-3</v>
      </c>
      <c r="K10" s="20">
        <f t="shared" si="2"/>
        <v>7.1575972412627285E-3</v>
      </c>
      <c r="L10" s="20">
        <f t="shared" si="3"/>
        <v>4.1200939063055584E-3</v>
      </c>
      <c r="M10" s="20">
        <f t="shared" si="4"/>
        <v>2.4142903055723477E-3</v>
      </c>
      <c r="N10" s="17">
        <f t="shared" si="5"/>
        <v>1561224</v>
      </c>
      <c r="O10" s="20">
        <v>16</v>
      </c>
      <c r="P10" s="21">
        <v>21022693</v>
      </c>
      <c r="Q10" s="21">
        <v>656959.15625</v>
      </c>
      <c r="R10" s="21">
        <v>19029.4375</v>
      </c>
      <c r="S10" s="22">
        <v>2087960</v>
      </c>
      <c r="T10" s="22">
        <v>898680</v>
      </c>
      <c r="U10" s="22">
        <v>662544</v>
      </c>
      <c r="V10" s="22">
        <v>526608</v>
      </c>
      <c r="W10" s="23">
        <v>65.986408999999995</v>
      </c>
      <c r="X10" s="23">
        <v>67.859933999999996</v>
      </c>
      <c r="Y10" s="23">
        <v>31.008527999999998</v>
      </c>
      <c r="Z10" s="23">
        <v>38.737394000000002</v>
      </c>
      <c r="AA10" s="23">
        <v>30.10745</v>
      </c>
      <c r="AB10" s="24">
        <v>4024.27</v>
      </c>
      <c r="AC10" s="24">
        <v>4544.75</v>
      </c>
      <c r="AD10" s="24">
        <v>61.308999999999997</v>
      </c>
      <c r="AE10" s="24">
        <v>21.928999999999998</v>
      </c>
      <c r="AG10" s="19">
        <f t="shared" si="6"/>
        <v>1.9556549999999999</v>
      </c>
      <c r="AH10" s="20">
        <f t="shared" si="7"/>
        <v>9.5636352556620775E-3</v>
      </c>
      <c r="AI10" s="20">
        <f t="shared" si="8"/>
        <v>7.148097937201366E-3</v>
      </c>
      <c r="AJ10" s="20">
        <f t="shared" si="9"/>
        <v>4.1104845716952226E-3</v>
      </c>
      <c r="AK10" s="20">
        <f t="shared" si="10"/>
        <v>2.4149504888661875E-3</v>
      </c>
      <c r="AL10" s="17">
        <f t="shared" si="11"/>
        <v>1559152</v>
      </c>
      <c r="AM10" s="20">
        <v>16</v>
      </c>
      <c r="AN10" s="21">
        <v>20942558</v>
      </c>
      <c r="AO10" s="21">
        <v>654454.9375</v>
      </c>
      <c r="AP10" s="21">
        <v>18943.59375</v>
      </c>
      <c r="AQ10" s="22">
        <v>2086032</v>
      </c>
      <c r="AR10" s="22">
        <v>896584</v>
      </c>
      <c r="AS10" s="22">
        <v>662568</v>
      </c>
      <c r="AT10" s="22">
        <v>526752</v>
      </c>
      <c r="AU10" s="23">
        <v>65.984049999999996</v>
      </c>
      <c r="AV10" s="23">
        <v>67.859694000000005</v>
      </c>
      <c r="AW10" s="23">
        <v>31.012543999999998</v>
      </c>
      <c r="AX10" s="23">
        <v>38.769036999999997</v>
      </c>
      <c r="AY10" s="23">
        <v>30.066780999999999</v>
      </c>
      <c r="AZ10" s="24">
        <v>4440.3500000000004</v>
      </c>
      <c r="BA10" s="24">
        <v>4882.41</v>
      </c>
      <c r="BB10" s="24">
        <v>62.63</v>
      </c>
      <c r="BC10" s="24">
        <v>22.657</v>
      </c>
      <c r="BE10" s="49">
        <f t="shared" si="12"/>
        <v>0.99867283618494207</v>
      </c>
      <c r="BF10" s="25">
        <f t="shared" si="13"/>
        <v>-2.0332503906574095E-5</v>
      </c>
      <c r="BG10" s="25">
        <f t="shared" si="14"/>
        <v>-3.0219210721271761E-4</v>
      </c>
      <c r="BH10" s="25">
        <f t="array" ref="BH10">AVERAGE(AL10:AL14/AQ10:AQ14) - AVERAGE(N10:N14/S10:S14)</f>
        <v>-2.4239487249388958E-4</v>
      </c>
      <c r="BJ10" s="49">
        <f>IF( OR(ISBLANK(N10:N14),ISBLANK(AL10:AL14), ISBLANK(W10:W14),ISBLANK(AU10:AU14)), "·", bdRateExtend( N10:N14,W10:W14, AL10:AL14,AU10:AU14))</f>
        <v>-5.7143254680946942E-4</v>
      </c>
      <c r="BK10" s="49">
        <f>IF( OR(ISBLANK(N10:N14),ISBLANK(AL10:AL14), ISBLANK(X10:X14),ISBLANK(AV10:AV14)), "·", bdRateExtend( N10:N14,X10:X14, AL10:AL14,AV10:AV14))</f>
        <v>2.1577856942345264E-5</v>
      </c>
      <c r="BL10" s="49">
        <f>IF( OR(ISBLANK(V10:V14),ISBLANK(AT10:AT14), ISBLANK(Y10:Y14),ISBLANK(AW10:AW14)), "·", bdRateExtend( V10:V14,Y10:Y14, AT10:AT14,AW10:AW14))</f>
        <v>-9.0236756103490023E-4</v>
      </c>
      <c r="BM10" s="49">
        <f>IF( OR(ISBLANK(V10:V14),ISBLANK(AT10:AT14), ISBLANK(Z10:Z14),ISBLANK(AX10:AX14)), "·", bdRateExtend( V10:V14,Z10:Z14, AT10:AT14,AX10:AX14))</f>
        <v>-3.6837332384821453E-3</v>
      </c>
      <c r="BN10" s="49">
        <f>IF( OR(ISBLANK(V10:V14),ISBLANK(AT10:AT14), ISBLANK(AA10:AA14),ISBLANK(AY10:AY14)), "·", bdRateExtend( V10:V14,AA10:AA14, AT10:AT14,AY10:AY14))</f>
        <v>1.471638714557244E-3</v>
      </c>
      <c r="BP10" s="49">
        <f>IF( OR(ISBLANK(S10:S14),ISBLANK(AQ10:AQ14), ISBLANK(W10:W14),ISBLANK(AU10:AU14)), "·", bdRateExtend( S10:S14,W10:W14, AQ10:AQ14,AU10:AU14))</f>
        <v>-2.2752134927117584E-4</v>
      </c>
      <c r="BQ10" s="49">
        <f>IF( OR(ISBLANK(S10:S14),ISBLANK(AQ10:AQ14), ISBLANK(X10:X14),ISBLANK(AV10:AV14)), "·", bdRateExtend( S10:S14,X10:X14, AQ10:AQ14,AV10:AV14))</f>
        <v>5.4320801486062997E-4</v>
      </c>
      <c r="BR10" s="49">
        <f>IF( OR(ISBLANK(S10:S14),ISBLANK(AQ10:AQ14), ISBLANK(Y10:Y14),ISBLANK(AW10:AW14)), "·", bdRateExtend( S10:S14,Y10:Y14, AQ10:AQ14,AW10:AW14))</f>
        <v>-9.9516269604571495E-4</v>
      </c>
      <c r="BS10" s="49">
        <f>IF( OR(ISBLANK(S10:S14),ISBLANK(AQ10:AQ14), ISBLANK(Z10:Z14),ISBLANK(AX10:AX14)), "·", bdRateExtend( S10:S14,Z10:Z14, AQ10:AQ14,AX10:AX14))</f>
        <v>-2.2517610429551027E-3</v>
      </c>
      <c r="BT10" s="49">
        <f>IF( OR(ISBLANK(S10:S14),ISBLANK(AQ10:AQ14), ISBLANK(AA10:AA14),ISBLANK(AY10:AY14)), "·", bdRateExtend( S10:S14,AA10:AA14, AQ10:AQ14,AY10:AY14))</f>
        <v>4.7873480123628021E-4</v>
      </c>
      <c r="BV10" s="58">
        <f t="shared" si="16"/>
        <v>-80135</v>
      </c>
      <c r="BW10" s="58">
        <f t="shared" si="15"/>
        <v>-2504.21875</v>
      </c>
      <c r="BX10" s="58">
        <f t="shared" si="15"/>
        <v>-85.84375</v>
      </c>
      <c r="BY10" s="58">
        <f t="shared" si="15"/>
        <v>-1928</v>
      </c>
      <c r="BZ10" s="58">
        <f t="shared" si="15"/>
        <v>-2096</v>
      </c>
      <c r="CA10" s="58">
        <f t="shared" si="15"/>
        <v>24</v>
      </c>
      <c r="CB10" s="58">
        <f t="shared" si="15"/>
        <v>144</v>
      </c>
      <c r="CC10" s="58">
        <f t="shared" si="15"/>
        <v>-2.3589999999984457E-3</v>
      </c>
      <c r="CD10" s="58">
        <f t="shared" si="15"/>
        <v>-2.3999999999091415E-4</v>
      </c>
      <c r="CE10" s="58">
        <f t="shared" si="15"/>
        <v>4.0160000000000196E-3</v>
      </c>
      <c r="CF10" s="58">
        <f t="shared" si="15"/>
        <v>3.1642999999995425E-2</v>
      </c>
      <c r="CG10" s="58">
        <f t="shared" si="15"/>
        <v>-4.0669000000001176E-2</v>
      </c>
      <c r="CJ10" t="s">
        <v>587</v>
      </c>
    </row>
    <row r="11" spans="1:88" outlineLevel="1" x14ac:dyDescent="0.2">
      <c r="A11" s="52"/>
      <c r="B11" s="52" t="s">
        <v>59</v>
      </c>
      <c r="C11" s="9" t="s">
        <v>234</v>
      </c>
      <c r="D11" s="52">
        <v>218121242</v>
      </c>
      <c r="E11" s="9">
        <v>10</v>
      </c>
      <c r="F11" s="9">
        <v>32</v>
      </c>
      <c r="G11" s="9">
        <v>30</v>
      </c>
      <c r="I11" s="10">
        <f t="shared" si="0"/>
        <v>2.6793149999999999</v>
      </c>
      <c r="J11" s="11">
        <f t="shared" si="1"/>
        <v>1.310251112544096E-2</v>
      </c>
      <c r="K11" s="11">
        <f t="shared" si="2"/>
        <v>8.8005367216825222E-3</v>
      </c>
      <c r="L11" s="11">
        <f t="shared" si="3"/>
        <v>5.7630333867253513E-3</v>
      </c>
      <c r="M11" s="11">
        <f t="shared" si="4"/>
        <v>4.3013875741639137E-3</v>
      </c>
      <c r="N11" s="52">
        <f t="shared" si="5"/>
        <v>1919584</v>
      </c>
      <c r="O11" s="11">
        <v>16</v>
      </c>
      <c r="P11" s="12">
        <v>22225091</v>
      </c>
      <c r="Q11" s="12">
        <v>694534.09375</v>
      </c>
      <c r="R11" s="12">
        <v>23225.90625</v>
      </c>
      <c r="S11" s="13">
        <v>2857936</v>
      </c>
      <c r="T11" s="13">
        <v>1257040</v>
      </c>
      <c r="U11" s="13">
        <v>662544</v>
      </c>
      <c r="V11" s="13">
        <v>938224</v>
      </c>
      <c r="W11" s="14">
        <v>67.670468999999997</v>
      </c>
      <c r="X11" s="14">
        <v>69.746769</v>
      </c>
      <c r="Y11" s="14">
        <v>32.849178000000002</v>
      </c>
      <c r="Z11" s="14">
        <v>39.670591000000002</v>
      </c>
      <c r="AA11" s="14">
        <v>32.234347</v>
      </c>
      <c r="AB11" s="15">
        <v>3221.18</v>
      </c>
      <c r="AC11" s="15">
        <v>3572.95</v>
      </c>
      <c r="AD11" s="15">
        <v>55.249000000000002</v>
      </c>
      <c r="AE11" s="15">
        <v>15.071999999999999</v>
      </c>
      <c r="AG11" s="10">
        <f t="shared" si="6"/>
        <v>2.6788500000000002</v>
      </c>
      <c r="AH11" s="11">
        <f t="shared" si="7"/>
        <v>1.3100237160762179E-2</v>
      </c>
      <c r="AI11" s="11">
        <f t="shared" si="8"/>
        <v>8.7969790672657189E-3</v>
      </c>
      <c r="AJ11" s="11">
        <f t="shared" si="9"/>
        <v>5.7593657017595747E-3</v>
      </c>
      <c r="AK11" s="11">
        <f t="shared" si="10"/>
        <v>4.302671263901936E-3</v>
      </c>
      <c r="AL11" s="52">
        <f t="shared" si="11"/>
        <v>1918808</v>
      </c>
      <c r="AM11" s="11">
        <v>16</v>
      </c>
      <c r="AN11" s="12">
        <v>22233167</v>
      </c>
      <c r="AO11" s="12">
        <v>694786.46875</v>
      </c>
      <c r="AP11" s="12">
        <v>23204.09375</v>
      </c>
      <c r="AQ11" s="13">
        <v>2857440</v>
      </c>
      <c r="AR11" s="13">
        <v>1256240</v>
      </c>
      <c r="AS11" s="13">
        <v>662568</v>
      </c>
      <c r="AT11" s="13">
        <v>938504</v>
      </c>
      <c r="AU11" s="14">
        <v>67.674730999999994</v>
      </c>
      <c r="AV11" s="14">
        <v>69.753456</v>
      </c>
      <c r="AW11" s="14">
        <v>32.861966000000002</v>
      </c>
      <c r="AX11" s="14">
        <v>39.685718999999999</v>
      </c>
      <c r="AY11" s="14">
        <v>32.241593999999999</v>
      </c>
      <c r="AZ11" s="15">
        <v>3640</v>
      </c>
      <c r="BA11" s="15">
        <v>4038.79</v>
      </c>
      <c r="BB11" s="15">
        <v>60.865000000000002</v>
      </c>
      <c r="BC11" s="15">
        <v>16.553999999999998</v>
      </c>
      <c r="BE11" s="50">
        <f t="shared" si="12"/>
        <v>0.99959574574491139</v>
      </c>
      <c r="BF11" s="16">
        <f t="shared" si="13"/>
        <v>-4.3541678905592573E-5</v>
      </c>
      <c r="BG11" s="16">
        <f t="shared" si="14"/>
        <v>-1.5498232658972544E-4</v>
      </c>
      <c r="BH11" s="16"/>
      <c r="BJ11" s="50"/>
      <c r="BK11" s="50"/>
      <c r="BL11" s="50"/>
      <c r="BM11" s="50"/>
      <c r="BN11" s="50"/>
      <c r="BP11" s="50"/>
      <c r="BQ11" s="50"/>
      <c r="BR11" s="50"/>
      <c r="BS11" s="50"/>
      <c r="BT11" s="50"/>
      <c r="BV11" s="58">
        <f t="shared" si="16"/>
        <v>8076</v>
      </c>
      <c r="BW11" s="58">
        <f t="shared" si="15"/>
        <v>252.375</v>
      </c>
      <c r="BX11" s="58">
        <f t="shared" si="15"/>
        <v>-21.8125</v>
      </c>
      <c r="BY11" s="58">
        <f t="shared" si="15"/>
        <v>-496</v>
      </c>
      <c r="BZ11" s="58">
        <f t="shared" si="15"/>
        <v>-800</v>
      </c>
      <c r="CA11" s="58">
        <f t="shared" si="15"/>
        <v>24</v>
      </c>
      <c r="CB11" s="58">
        <f t="shared" si="15"/>
        <v>280</v>
      </c>
      <c r="CC11" s="58">
        <f t="shared" si="15"/>
        <v>4.2619999999971014E-3</v>
      </c>
      <c r="CD11" s="58">
        <f t="shared" si="15"/>
        <v>6.6869999999994434E-3</v>
      </c>
      <c r="CE11" s="58">
        <f t="shared" si="15"/>
        <v>1.2788000000000466E-2</v>
      </c>
      <c r="CF11" s="58">
        <f t="shared" si="15"/>
        <v>1.5127999999997144E-2</v>
      </c>
      <c r="CG11" s="58">
        <f t="shared" si="15"/>
        <v>7.2469999999995593E-3</v>
      </c>
      <c r="CJ11" t="s">
        <v>587</v>
      </c>
    </row>
    <row r="12" spans="1:88" outlineLevel="1" x14ac:dyDescent="0.2">
      <c r="A12" s="17"/>
      <c r="B12" s="17" t="s">
        <v>59</v>
      </c>
      <c r="C12" s="18" t="s">
        <v>235</v>
      </c>
      <c r="D12" s="17">
        <v>218121242</v>
      </c>
      <c r="E12" s="18">
        <v>10</v>
      </c>
      <c r="F12" s="18">
        <v>32</v>
      </c>
      <c r="G12" s="18">
        <v>30</v>
      </c>
      <c r="I12" s="19">
        <f t="shared" si="0"/>
        <v>3.8224125</v>
      </c>
      <c r="J12" s="20">
        <f t="shared" si="1"/>
        <v>1.8692539812330614E-2</v>
      </c>
      <c r="K12" s="20">
        <f t="shared" si="2"/>
        <v>1.1306995950444845E-2</v>
      </c>
      <c r="L12" s="20">
        <f t="shared" si="3"/>
        <v>8.2695292923373326E-3</v>
      </c>
      <c r="M12" s="20">
        <f t="shared" si="4"/>
        <v>7.3849570322912427E-3</v>
      </c>
      <c r="N12" s="17">
        <f t="shared" si="5"/>
        <v>2466296</v>
      </c>
      <c r="O12" s="20">
        <v>16</v>
      </c>
      <c r="P12" s="21">
        <v>22547007</v>
      </c>
      <c r="Q12" s="21">
        <v>704593.96875</v>
      </c>
      <c r="R12" s="21">
        <v>24701.25</v>
      </c>
      <c r="S12" s="22">
        <v>4077240</v>
      </c>
      <c r="T12" s="22">
        <v>1803760</v>
      </c>
      <c r="U12" s="22">
        <v>662536</v>
      </c>
      <c r="V12" s="22">
        <v>1610816</v>
      </c>
      <c r="W12" s="23">
        <v>69.008019000000004</v>
      </c>
      <c r="X12" s="23">
        <v>71.384225000000001</v>
      </c>
      <c r="Y12" s="23">
        <v>34.861871999999998</v>
      </c>
      <c r="Z12" s="23">
        <v>40.632283999999999</v>
      </c>
      <c r="AA12" s="23">
        <v>34.134050000000002</v>
      </c>
      <c r="AB12" s="24">
        <v>4153.8100000000004</v>
      </c>
      <c r="AC12" s="24">
        <v>5170.5600000000004</v>
      </c>
      <c r="AD12" s="24">
        <v>65.701999999999998</v>
      </c>
      <c r="AE12" s="24">
        <v>19.291</v>
      </c>
      <c r="AG12" s="19">
        <f t="shared" si="6"/>
        <v>3.8283900000000002</v>
      </c>
      <c r="AH12" s="20">
        <f t="shared" si="7"/>
        <v>1.8721771261507855E-2</v>
      </c>
      <c r="AI12" s="20">
        <f t="shared" si="8"/>
        <v>1.1314698088872976E-2</v>
      </c>
      <c r="AJ12" s="20">
        <f t="shared" si="9"/>
        <v>8.2770847233668322E-3</v>
      </c>
      <c r="AK12" s="20">
        <f t="shared" si="10"/>
        <v>7.4064863430403534E-3</v>
      </c>
      <c r="AL12" s="17">
        <f t="shared" si="11"/>
        <v>2467976</v>
      </c>
      <c r="AM12" s="20">
        <v>16</v>
      </c>
      <c r="AN12" s="21">
        <v>22569901</v>
      </c>
      <c r="AO12" s="21">
        <v>705309.40625</v>
      </c>
      <c r="AP12" s="21">
        <v>24721.9375</v>
      </c>
      <c r="AQ12" s="22">
        <v>4083616</v>
      </c>
      <c r="AR12" s="22">
        <v>1805408</v>
      </c>
      <c r="AS12" s="22">
        <v>662568</v>
      </c>
      <c r="AT12" s="22">
        <v>1615512</v>
      </c>
      <c r="AU12" s="23">
        <v>69.009450000000001</v>
      </c>
      <c r="AV12" s="23">
        <v>71.379971999999995</v>
      </c>
      <c r="AW12" s="23">
        <v>34.860587000000002</v>
      </c>
      <c r="AX12" s="23">
        <v>40.655971999999998</v>
      </c>
      <c r="AY12" s="23">
        <v>34.140081000000002</v>
      </c>
      <c r="AZ12" s="24">
        <v>3566.5</v>
      </c>
      <c r="BA12" s="24">
        <v>4229.46</v>
      </c>
      <c r="BB12" s="24">
        <v>61.155999999999999</v>
      </c>
      <c r="BC12" s="24">
        <v>16.934000000000001</v>
      </c>
      <c r="BE12" s="49">
        <f t="shared" si="12"/>
        <v>1.0006811834427012</v>
      </c>
      <c r="BF12" s="25">
        <f t="shared" si="13"/>
        <v>-6.2297429203259092E-6</v>
      </c>
      <c r="BG12" s="25">
        <f t="shared" si="14"/>
        <v>-5.3305722103946795E-4</v>
      </c>
      <c r="BH12" s="25"/>
      <c r="BJ12" s="49"/>
      <c r="BK12" s="49"/>
      <c r="BL12" s="49"/>
      <c r="BM12" s="49"/>
      <c r="BN12" s="49"/>
      <c r="BP12" s="49"/>
      <c r="BQ12" s="49"/>
      <c r="BR12" s="49"/>
      <c r="BS12" s="49"/>
      <c r="BT12" s="49"/>
      <c r="BV12" s="58">
        <f t="shared" si="16"/>
        <v>22894</v>
      </c>
      <c r="BW12" s="58">
        <f t="shared" si="15"/>
        <v>715.4375</v>
      </c>
      <c r="BX12" s="58">
        <f t="shared" si="15"/>
        <v>20.6875</v>
      </c>
      <c r="BY12" s="58">
        <f t="shared" si="15"/>
        <v>6376</v>
      </c>
      <c r="BZ12" s="58">
        <f t="shared" si="15"/>
        <v>1648</v>
      </c>
      <c r="CA12" s="58">
        <f t="shared" si="15"/>
        <v>32</v>
      </c>
      <c r="CB12" s="58">
        <f t="shared" si="15"/>
        <v>4696</v>
      </c>
      <c r="CC12" s="58">
        <f t="shared" si="15"/>
        <v>1.4309999999966294E-3</v>
      </c>
      <c r="CD12" s="58">
        <f t="shared" si="15"/>
        <v>-4.2530000000056134E-3</v>
      </c>
      <c r="CE12" s="58">
        <f t="shared" si="15"/>
        <v>-1.2849999999957618E-3</v>
      </c>
      <c r="CF12" s="58">
        <f t="shared" si="15"/>
        <v>2.3687999999999931E-2</v>
      </c>
      <c r="CG12" s="58">
        <f t="shared" si="15"/>
        <v>6.0310000000001196E-3</v>
      </c>
      <c r="CJ12" t="s">
        <v>587</v>
      </c>
    </row>
    <row r="13" spans="1:88" outlineLevel="1" x14ac:dyDescent="0.2">
      <c r="A13" s="52"/>
      <c r="B13" s="52" t="s">
        <v>59</v>
      </c>
      <c r="C13" s="9" t="s">
        <v>236</v>
      </c>
      <c r="D13" s="52">
        <v>218121242</v>
      </c>
      <c r="E13" s="9">
        <v>10</v>
      </c>
      <c r="F13" s="9">
        <v>32</v>
      </c>
      <c r="G13" s="9">
        <v>30</v>
      </c>
      <c r="I13" s="10">
        <f t="shared" si="0"/>
        <v>6.1936349999999996</v>
      </c>
      <c r="J13" s="11">
        <f t="shared" si="1"/>
        <v>3.0288402630680052E-2</v>
      </c>
      <c r="K13" s="11">
        <f t="shared" si="2"/>
        <v>1.5841244843085939E-2</v>
      </c>
      <c r="L13" s="11">
        <f t="shared" si="3"/>
        <v>1.2803741508128769E-2</v>
      </c>
      <c r="M13" s="11">
        <f t="shared" si="4"/>
        <v>1.4446570957999588E-2</v>
      </c>
      <c r="N13" s="52">
        <f t="shared" si="5"/>
        <v>3455312</v>
      </c>
      <c r="O13" s="11">
        <v>16</v>
      </c>
      <c r="P13" s="12">
        <v>23302548</v>
      </c>
      <c r="Q13" s="12">
        <v>728204.625</v>
      </c>
      <c r="R13" s="12">
        <v>28113.9375</v>
      </c>
      <c r="S13" s="13">
        <v>6606544</v>
      </c>
      <c r="T13" s="13">
        <v>2792768</v>
      </c>
      <c r="U13" s="13">
        <v>662544</v>
      </c>
      <c r="V13" s="13">
        <v>3151104</v>
      </c>
      <c r="W13" s="14">
        <v>70.065494000000001</v>
      </c>
      <c r="X13" s="14">
        <v>72.574928</v>
      </c>
      <c r="Y13" s="14">
        <v>37.048228000000002</v>
      </c>
      <c r="Z13" s="14">
        <v>41.693058999999998</v>
      </c>
      <c r="AA13" s="14">
        <v>36.085819000000001</v>
      </c>
      <c r="AB13" s="15">
        <v>3326.68</v>
      </c>
      <c r="AC13" s="15">
        <v>4386.7</v>
      </c>
      <c r="AD13" s="15">
        <v>63.277000000000001</v>
      </c>
      <c r="AE13" s="15">
        <v>17.280999999999999</v>
      </c>
      <c r="AG13" s="10">
        <f t="shared" si="6"/>
        <v>6.1840650000000004</v>
      </c>
      <c r="AH13" s="11">
        <f t="shared" si="7"/>
        <v>3.0241602970516736E-2</v>
      </c>
      <c r="AI13" s="11">
        <f t="shared" si="8"/>
        <v>1.5817111476011125E-2</v>
      </c>
      <c r="AJ13" s="11">
        <f t="shared" si="9"/>
        <v>1.2779498110504982E-2</v>
      </c>
      <c r="AK13" s="11">
        <f t="shared" si="10"/>
        <v>1.4423904664911086E-2</v>
      </c>
      <c r="AL13" s="52">
        <f t="shared" si="11"/>
        <v>3450048</v>
      </c>
      <c r="AM13" s="11">
        <v>16</v>
      </c>
      <c r="AN13" s="12">
        <v>23308443</v>
      </c>
      <c r="AO13" s="12">
        <v>728388.84375</v>
      </c>
      <c r="AP13" s="12">
        <v>27991.21875</v>
      </c>
      <c r="AQ13" s="13">
        <v>6596336</v>
      </c>
      <c r="AR13" s="13">
        <v>2787480</v>
      </c>
      <c r="AS13" s="13">
        <v>662568</v>
      </c>
      <c r="AT13" s="13">
        <v>3146160</v>
      </c>
      <c r="AU13" s="14">
        <v>70.060288</v>
      </c>
      <c r="AV13" s="14">
        <v>72.567171999999999</v>
      </c>
      <c r="AW13" s="14">
        <v>37.050668999999999</v>
      </c>
      <c r="AX13" s="14">
        <v>41.679997</v>
      </c>
      <c r="AY13" s="14">
        <v>36.076627999999999</v>
      </c>
      <c r="AZ13" s="15">
        <v>3231.71</v>
      </c>
      <c r="BA13" s="15">
        <v>4182.5200000000004</v>
      </c>
      <c r="BB13" s="15">
        <v>58.354999999999997</v>
      </c>
      <c r="BC13" s="15">
        <v>16.434999999999999</v>
      </c>
      <c r="BE13" s="50">
        <f t="shared" si="12"/>
        <v>0.99847654857216939</v>
      </c>
      <c r="BF13" s="16">
        <f t="shared" si="13"/>
        <v>-1.7824396982772661E-4</v>
      </c>
      <c r="BG13" s="16">
        <f t="shared" si="14"/>
        <v>1.1358164746178012E-5</v>
      </c>
      <c r="BH13" s="16"/>
      <c r="BJ13" s="50"/>
      <c r="BK13" s="50"/>
      <c r="BL13" s="50"/>
      <c r="BM13" s="50"/>
      <c r="BN13" s="50"/>
      <c r="BP13" s="50"/>
      <c r="BQ13" s="50"/>
      <c r="BR13" s="50"/>
      <c r="BS13" s="50"/>
      <c r="BT13" s="50"/>
      <c r="BV13" s="58">
        <f t="shared" si="16"/>
        <v>5895</v>
      </c>
      <c r="BW13" s="58">
        <f t="shared" si="15"/>
        <v>184.21875</v>
      </c>
      <c r="BX13" s="58">
        <f t="shared" si="15"/>
        <v>-122.71875</v>
      </c>
      <c r="BY13" s="58">
        <f t="shared" si="15"/>
        <v>-10208</v>
      </c>
      <c r="BZ13" s="58">
        <f t="shared" si="15"/>
        <v>-5288</v>
      </c>
      <c r="CA13" s="58">
        <f t="shared" si="15"/>
        <v>24</v>
      </c>
      <c r="CB13" s="58">
        <f t="shared" si="15"/>
        <v>-4944</v>
      </c>
      <c r="CC13" s="58">
        <f t="shared" si="15"/>
        <v>-5.2060000000011541E-3</v>
      </c>
      <c r="CD13" s="58">
        <f t="shared" si="15"/>
        <v>-7.7560000000005402E-3</v>
      </c>
      <c r="CE13" s="58">
        <f t="shared" si="15"/>
        <v>2.440999999997473E-3</v>
      </c>
      <c r="CF13" s="58">
        <f t="shared" si="15"/>
        <v>-1.3061999999997909E-2</v>
      </c>
      <c r="CG13" s="58">
        <f t="shared" si="15"/>
        <v>-9.1910000000012815E-3</v>
      </c>
      <c r="CJ13" t="s">
        <v>587</v>
      </c>
    </row>
    <row r="14" spans="1:88" ht="16" outlineLevel="1" thickBot="1" x14ac:dyDescent="0.25">
      <c r="A14" s="17"/>
      <c r="B14" s="36" t="s">
        <v>59</v>
      </c>
      <c r="C14" s="37" t="s">
        <v>237</v>
      </c>
      <c r="D14" s="36">
        <v>218121242</v>
      </c>
      <c r="E14" s="37">
        <v>10</v>
      </c>
      <c r="F14" s="37">
        <v>32</v>
      </c>
      <c r="G14" s="37">
        <v>30</v>
      </c>
      <c r="I14" s="38">
        <f t="shared" si="0"/>
        <v>12.213967500000001</v>
      </c>
      <c r="J14" s="39">
        <f t="shared" si="1"/>
        <v>5.9729313296318018E-2</v>
      </c>
      <c r="K14" s="39">
        <f t="shared" si="2"/>
        <v>2.6722936044899285E-2</v>
      </c>
      <c r="L14" s="39">
        <f t="shared" si="3"/>
        <v>2.0743655952591724E-2</v>
      </c>
      <c r="M14" s="39">
        <f t="shared" si="4"/>
        <v>3.3005790421824208E-2</v>
      </c>
      <c r="N14" s="36">
        <f t="shared" si="5"/>
        <v>5828840</v>
      </c>
      <c r="O14" s="39">
        <v>16</v>
      </c>
      <c r="P14" s="40">
        <v>22137685</v>
      </c>
      <c r="Q14" s="40">
        <v>691802.65625</v>
      </c>
      <c r="R14" s="40">
        <v>13319.65625</v>
      </c>
      <c r="S14" s="41">
        <v>13028232</v>
      </c>
      <c r="T14" s="41">
        <v>4524632</v>
      </c>
      <c r="U14" s="41">
        <v>1304208</v>
      </c>
      <c r="V14" s="41">
        <v>7199264</v>
      </c>
      <c r="W14" s="42">
        <v>70.915212999999994</v>
      </c>
      <c r="X14" s="42">
        <v>74.637894000000003</v>
      </c>
      <c r="Y14" s="42">
        <v>39.477536999999998</v>
      </c>
      <c r="Z14" s="42">
        <v>42.980590999999997</v>
      </c>
      <c r="AA14" s="42">
        <v>38.262093999999998</v>
      </c>
      <c r="AB14" s="43">
        <v>3270.53</v>
      </c>
      <c r="AC14" s="43">
        <v>4580.72</v>
      </c>
      <c r="AD14" s="43">
        <v>56.195</v>
      </c>
      <c r="AE14" s="43">
        <v>18.61</v>
      </c>
      <c r="AG14" s="38">
        <f t="shared" si="6"/>
        <v>12.21963</v>
      </c>
      <c r="AH14" s="39">
        <f t="shared" si="7"/>
        <v>5.9757004317809635E-2</v>
      </c>
      <c r="AI14" s="39">
        <f t="shared" si="8"/>
        <v>2.6721395617213661E-2</v>
      </c>
      <c r="AJ14" s="39">
        <f t="shared" si="9"/>
        <v>2.0741492018461916E-2</v>
      </c>
      <c r="AK14" s="39">
        <f t="shared" si="10"/>
        <v>3.3035021871001449E-2</v>
      </c>
      <c r="AL14" s="36">
        <f t="shared" si="11"/>
        <v>5828504</v>
      </c>
      <c r="AM14" s="39">
        <v>16</v>
      </c>
      <c r="AN14" s="40">
        <v>22150010</v>
      </c>
      <c r="AO14" s="40">
        <v>692187.8125</v>
      </c>
      <c r="AP14" s="40">
        <v>13331.5625</v>
      </c>
      <c r="AQ14" s="41">
        <v>13034272</v>
      </c>
      <c r="AR14" s="41">
        <v>4524160</v>
      </c>
      <c r="AS14" s="41">
        <v>1304344</v>
      </c>
      <c r="AT14" s="41">
        <v>7205640</v>
      </c>
      <c r="AU14" s="42">
        <v>70.920671999999996</v>
      </c>
      <c r="AV14" s="42">
        <v>74.632659000000004</v>
      </c>
      <c r="AW14" s="42">
        <v>39.477800000000002</v>
      </c>
      <c r="AX14" s="42">
        <v>42.980525</v>
      </c>
      <c r="AY14" s="42">
        <v>38.260322000000002</v>
      </c>
      <c r="AZ14" s="43">
        <v>3643.91</v>
      </c>
      <c r="BA14" s="43">
        <v>4969.07</v>
      </c>
      <c r="BB14" s="43">
        <v>58.442</v>
      </c>
      <c r="BC14" s="43">
        <v>19.763999999999999</v>
      </c>
      <c r="BE14" s="44">
        <f t="shared" si="12"/>
        <v>0.99994235559734024</v>
      </c>
      <c r="BF14" s="45">
        <f t="shared" si="13"/>
        <v>6.4875821810563006E-6</v>
      </c>
      <c r="BG14" s="45">
        <f t="shared" si="14"/>
        <v>-2.3310087237404797E-4</v>
      </c>
      <c r="BH14" s="45"/>
      <c r="BJ14" s="44"/>
      <c r="BK14" s="44"/>
      <c r="BL14" s="44"/>
      <c r="BM14" s="44"/>
      <c r="BN14" s="44"/>
      <c r="BP14" s="44"/>
      <c r="BQ14" s="44"/>
      <c r="BR14" s="44"/>
      <c r="BS14" s="44"/>
      <c r="BT14" s="44"/>
      <c r="BV14" s="58">
        <f t="shared" si="16"/>
        <v>12325</v>
      </c>
      <c r="BW14" s="58">
        <f t="shared" si="15"/>
        <v>385.15625</v>
      </c>
      <c r="BX14" s="58">
        <f t="shared" si="15"/>
        <v>11.90625</v>
      </c>
      <c r="BY14" s="58">
        <f t="shared" si="15"/>
        <v>6040</v>
      </c>
      <c r="BZ14" s="58">
        <f t="shared" si="15"/>
        <v>-472</v>
      </c>
      <c r="CA14" s="58">
        <f t="shared" si="15"/>
        <v>136</v>
      </c>
      <c r="CB14" s="58">
        <f t="shared" si="15"/>
        <v>6376</v>
      </c>
      <c r="CC14" s="58">
        <f t="shared" si="15"/>
        <v>5.459000000001879E-3</v>
      </c>
      <c r="CD14" s="58">
        <f t="shared" si="15"/>
        <v>-5.2349999999989905E-3</v>
      </c>
      <c r="CE14" s="58">
        <f t="shared" si="15"/>
        <v>2.63000000003899E-4</v>
      </c>
      <c r="CF14" s="58">
        <f t="shared" si="15"/>
        <v>-6.5999999996790848E-5</v>
      </c>
      <c r="CG14" s="58">
        <f t="shared" si="15"/>
        <v>-1.7719999999954439E-3</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4681.62</v>
      </c>
      <c r="AC15" s="15">
        <v>2671.17</v>
      </c>
      <c r="AD15" s="15">
        <v>79.896000000000001</v>
      </c>
      <c r="AE15" s="15">
        <v>13.194000000000001</v>
      </c>
      <c r="AG15" s="10">
        <f t="shared" si="6"/>
        <v>1.6117950000000001</v>
      </c>
      <c r="AH15" s="11">
        <f t="shared" si="7"/>
        <v>5.3295191343118624E-3</v>
      </c>
      <c r="AI15" s="11">
        <f t="shared" si="8"/>
        <v>4.4768694787605499E-3</v>
      </c>
      <c r="AJ15" s="11">
        <f t="shared" si="9"/>
        <v>2.3656551667253461E-3</v>
      </c>
      <c r="AK15" s="11">
        <f t="shared" si="10"/>
        <v>8.5225286669409633E-4</v>
      </c>
      <c r="AL15" s="52">
        <f t="shared" si="11"/>
        <v>1444192</v>
      </c>
      <c r="AM15" s="11">
        <v>16</v>
      </c>
      <c r="AN15" s="12">
        <v>32415907</v>
      </c>
      <c r="AO15" s="12">
        <v>1012997.09375</v>
      </c>
      <c r="AP15" s="12">
        <v>32038.09375</v>
      </c>
      <c r="AQ15" s="13">
        <v>1719248</v>
      </c>
      <c r="AR15" s="13">
        <v>763136</v>
      </c>
      <c r="AS15" s="13">
        <v>681056</v>
      </c>
      <c r="AT15" s="13">
        <v>274928</v>
      </c>
      <c r="AU15" s="14">
        <v>66.298768999999993</v>
      </c>
      <c r="AV15" s="14">
        <v>67.850190999999995</v>
      </c>
      <c r="AW15" s="14">
        <v>29.251728</v>
      </c>
      <c r="AX15" s="14">
        <v>43.488112000000001</v>
      </c>
      <c r="AY15" s="14">
        <v>43.716256000000001</v>
      </c>
      <c r="AZ15" s="15">
        <v>4523.7299999999996</v>
      </c>
      <c r="BA15" s="15">
        <v>2572.21</v>
      </c>
      <c r="BB15" s="15">
        <v>78.869</v>
      </c>
      <c r="BC15" s="15">
        <v>12.744</v>
      </c>
      <c r="BE15" s="50">
        <f t="shared" si="12"/>
        <v>1</v>
      </c>
      <c r="BF15" s="16">
        <f t="shared" si="13"/>
        <v>0</v>
      </c>
      <c r="BG15" s="16">
        <f t="shared" si="14"/>
        <v>0</v>
      </c>
      <c r="BH15" s="16">
        <f t="array" ref="BH15">AVERAGE(AL15:AL19/AQ15:AQ19) - AVERAGE(N15:N19/S15:S19)</f>
        <v>2.5472765261325137E-5</v>
      </c>
      <c r="BJ15" s="50">
        <f>IF( OR(ISBLANK(N15:N19),ISBLANK(AL15:AL19), ISBLANK(W15:W19),ISBLANK(AU15:AU19)), "·", bdRateExtend( N15:N19,W15:W19, AL15:AL19,AU15:AU19))</f>
        <v>6.0680818994018892E-6</v>
      </c>
      <c r="BK15" s="50">
        <f>IF( OR(ISBLANK(N15:N19),ISBLANK(AL15:AL19), ISBLANK(X15:X19),ISBLANK(AV15:AV19)), "·", bdRateExtend( N15:N19,X15:X19, AL15:AL19,AV15:AV19))</f>
        <v>2.2023773629920029E-5</v>
      </c>
      <c r="BL15" s="50">
        <f>IF( OR(ISBLANK(V15:V19),ISBLANK(AT15:AT19), ISBLANK(Y15:Y19),ISBLANK(AW15:AW19)), "·", bdRateExtend( V15:V19,Y15:Y19, AT15:AT19,AW15:AW19))</f>
        <v>-1.2512406041531587E-4</v>
      </c>
      <c r="BM15" s="50">
        <f>IF( OR(ISBLANK(V15:V19),ISBLANK(AT15:AT19), ISBLANK(Z15:Z19),ISBLANK(AX15:AX19)), "·", bdRateExtend( V15:V19,Z15:Z19, AT15:AT19,AX15:AX19))</f>
        <v>-1.4801263648123175E-4</v>
      </c>
      <c r="BN15" s="50">
        <f>IF( OR(ISBLANK(V15:V19),ISBLANK(AT15:AT19), ISBLANK(AA15:AA19),ISBLANK(AY15:AY19)), "·", bdRateExtend( V15:V19,AA15:AA19, AT15:AT19,AY15:AY19))</f>
        <v>-3.9684349271484898E-5</v>
      </c>
      <c r="BP15" s="50">
        <f>IF( OR(ISBLANK(S15:S19),ISBLANK(AQ15:AQ19), ISBLANK(W15:W19),ISBLANK(AU15:AU19)), "·", bdRateExtend( S15:S19,W15:W19, AQ15:AQ19,AU15:AU19))</f>
        <v>-6.217466595515031E-5</v>
      </c>
      <c r="BQ15" s="50">
        <f>IF( OR(ISBLANK(S15:S19),ISBLANK(AQ15:AQ19), ISBLANK(X15:X19),ISBLANK(AV15:AV19)), "·", bdRateExtend( S15:S19,X15:X19, AQ15:AQ19,AV15:AV19))</f>
        <v>-4.284978337210088E-5</v>
      </c>
      <c r="BR15" s="50">
        <f>IF( OR(ISBLANK(S15:S19),ISBLANK(AQ15:AQ19), ISBLANK(Y15:Y19),ISBLANK(AW15:AW19)), "·", bdRateExtend( S15:S19,Y15:Y19, AQ15:AQ19,AW15:AW19))</f>
        <v>1.4613317066647369E-5</v>
      </c>
      <c r="BS15" s="50">
        <f>IF( OR(ISBLANK(S15:S19),ISBLANK(AQ15:AQ19), ISBLANK(Z15:Z19),ISBLANK(AX15:AX19)), "·", bdRateExtend( S15:S19,Z15:Z19, AQ15:AQ19,AX15:AX19))</f>
        <v>-1.035987203479305E-5</v>
      </c>
      <c r="BT15" s="50">
        <f>IF( OR(ISBLANK(S15:S19),ISBLANK(AQ15:AQ19), ISBLANK(AA15:AA19),ISBLANK(AY15:AY19)), "·", bdRateExtend( S15:S19,AA15:AA19, AQ15:AQ19,AY15:AY19))</f>
        <v>3.3005828927290537E-5</v>
      </c>
      <c r="BV15" s="58">
        <f t="shared" si="16"/>
        <v>0</v>
      </c>
      <c r="BW15" s="58">
        <f t="shared" si="15"/>
        <v>0</v>
      </c>
      <c r="BX15" s="58">
        <f t="shared" si="15"/>
        <v>0</v>
      </c>
      <c r="BY15" s="58">
        <f t="shared" si="15"/>
        <v>0</v>
      </c>
      <c r="BZ15" s="58">
        <f t="shared" si="15"/>
        <v>0</v>
      </c>
      <c r="CA15" s="58">
        <f t="shared" si="15"/>
        <v>0</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2.1148574999999998</v>
      </c>
      <c r="J16" s="20">
        <f t="shared" si="1"/>
        <v>6.9929324216745619E-3</v>
      </c>
      <c r="K16" s="20">
        <f t="shared" si="2"/>
        <v>5.4073889475406197E-3</v>
      </c>
      <c r="L16" s="20">
        <f t="shared" si="3"/>
        <v>3.2961994348089919E-3</v>
      </c>
      <c r="M16" s="20">
        <f t="shared" si="4"/>
        <v>1.5851466852767253E-3</v>
      </c>
      <c r="N16" s="17">
        <f t="shared" si="5"/>
        <v>1744368</v>
      </c>
      <c r="O16" s="20">
        <v>16</v>
      </c>
      <c r="P16" s="21">
        <v>33875717</v>
      </c>
      <c r="Q16" s="21">
        <v>1058616.15625</v>
      </c>
      <c r="R16" s="21">
        <v>36874.3125</v>
      </c>
      <c r="S16" s="22">
        <v>2255848</v>
      </c>
      <c r="T16" s="22">
        <v>1063320</v>
      </c>
      <c r="U16" s="22">
        <v>681048</v>
      </c>
      <c r="V16" s="22">
        <v>511352</v>
      </c>
      <c r="W16" s="23">
        <v>68.029883999999996</v>
      </c>
      <c r="X16" s="23">
        <v>70.006805999999997</v>
      </c>
      <c r="Y16" s="23">
        <v>31.569400000000002</v>
      </c>
      <c r="Z16" s="23">
        <v>44.070152999999998</v>
      </c>
      <c r="AA16" s="23">
        <v>44.423887000000001</v>
      </c>
      <c r="AB16" s="24">
        <v>5619.57</v>
      </c>
      <c r="AC16" s="24">
        <v>3512.47</v>
      </c>
      <c r="AD16" s="24">
        <v>95.643000000000001</v>
      </c>
      <c r="AE16" s="24">
        <v>15.948</v>
      </c>
      <c r="AG16" s="19">
        <f t="shared" si="6"/>
        <v>2.1144375000000002</v>
      </c>
      <c r="AH16" s="20">
        <f t="shared" si="7"/>
        <v>6.9915436606743037E-3</v>
      </c>
      <c r="AI16" s="20">
        <f t="shared" si="8"/>
        <v>5.4071657538084352E-3</v>
      </c>
      <c r="AJ16" s="20">
        <f t="shared" si="9"/>
        <v>3.2959762410768078E-3</v>
      </c>
      <c r="AK16" s="20">
        <f t="shared" si="10"/>
        <v>1.5839811180086516E-3</v>
      </c>
      <c r="AL16" s="17">
        <f t="shared" si="11"/>
        <v>1744296</v>
      </c>
      <c r="AM16" s="20">
        <v>16</v>
      </c>
      <c r="AN16" s="21">
        <v>33874164</v>
      </c>
      <c r="AO16" s="21">
        <v>1058567.625</v>
      </c>
      <c r="AP16" s="21">
        <v>36864.21875</v>
      </c>
      <c r="AQ16" s="22">
        <v>2255400</v>
      </c>
      <c r="AR16" s="22">
        <v>1063248</v>
      </c>
      <c r="AS16" s="22">
        <v>681048</v>
      </c>
      <c r="AT16" s="22">
        <v>510976</v>
      </c>
      <c r="AU16" s="23">
        <v>68.029634000000001</v>
      </c>
      <c r="AV16" s="23">
        <v>70.006816000000001</v>
      </c>
      <c r="AW16" s="23">
        <v>31.568781000000001</v>
      </c>
      <c r="AX16" s="23">
        <v>44.070134000000003</v>
      </c>
      <c r="AY16" s="23">
        <v>44.423062999999999</v>
      </c>
      <c r="AZ16" s="24">
        <v>5764.64</v>
      </c>
      <c r="BA16" s="24">
        <v>3445.88</v>
      </c>
      <c r="BB16" s="24">
        <v>106.476</v>
      </c>
      <c r="BC16" s="24">
        <v>18.404</v>
      </c>
      <c r="BE16" s="49">
        <f t="shared" si="12"/>
        <v>0.9999587243058804</v>
      </c>
      <c r="BF16" s="25">
        <f t="shared" si="13"/>
        <v>-7.9383518305012335E-6</v>
      </c>
      <c r="BG16" s="25">
        <f t="shared" si="14"/>
        <v>1.2167360986203857E-4</v>
      </c>
      <c r="BH16" s="25"/>
      <c r="BJ16" s="49"/>
      <c r="BK16" s="49"/>
      <c r="BL16" s="49"/>
      <c r="BM16" s="49"/>
      <c r="BN16" s="49"/>
      <c r="BP16" s="49"/>
      <c r="BQ16" s="49"/>
      <c r="BR16" s="49"/>
      <c r="BS16" s="49"/>
      <c r="BT16" s="49"/>
      <c r="BV16" s="58">
        <f t="shared" si="16"/>
        <v>-1553</v>
      </c>
      <c r="BW16" s="58">
        <f t="shared" si="15"/>
        <v>-48.53125</v>
      </c>
      <c r="BX16" s="58">
        <f t="shared" si="15"/>
        <v>-10.09375</v>
      </c>
      <c r="BY16" s="58">
        <f t="shared" si="15"/>
        <v>-448</v>
      </c>
      <c r="BZ16" s="58">
        <f t="shared" si="15"/>
        <v>-72</v>
      </c>
      <c r="CA16" s="58">
        <f t="shared" si="15"/>
        <v>0</v>
      </c>
      <c r="CB16" s="58">
        <f t="shared" si="15"/>
        <v>-376</v>
      </c>
      <c r="CC16" s="58">
        <f t="shared" si="15"/>
        <v>-2.4999999999408828E-4</v>
      </c>
      <c r="CD16" s="58">
        <f t="shared" si="15"/>
        <v>1.0000000003174137E-5</v>
      </c>
      <c r="CE16" s="58">
        <f t="shared" si="15"/>
        <v>-6.1900000000036925E-4</v>
      </c>
      <c r="CF16" s="58">
        <f t="shared" si="15"/>
        <v>-1.8999999994662176E-5</v>
      </c>
      <c r="CG16" s="58">
        <f t="shared" si="15"/>
        <v>-8.2400000000149021E-4</v>
      </c>
      <c r="CJ16" t="s">
        <v>233</v>
      </c>
    </row>
    <row r="17" spans="1:88" outlineLevel="1" x14ac:dyDescent="0.2">
      <c r="A17" s="52"/>
      <c r="B17" s="52" t="s">
        <v>64</v>
      </c>
      <c r="C17" s="9" t="s">
        <v>235</v>
      </c>
      <c r="D17" s="52">
        <v>322589704</v>
      </c>
      <c r="E17" s="9">
        <v>10</v>
      </c>
      <c r="F17" s="9">
        <v>32</v>
      </c>
      <c r="G17" s="9">
        <v>30</v>
      </c>
      <c r="I17" s="10">
        <f t="shared" si="0"/>
        <v>2.9847000000000001</v>
      </c>
      <c r="J17" s="11">
        <f t="shared" si="1"/>
        <v>9.869130851119786E-3</v>
      </c>
      <c r="K17" s="11">
        <f t="shared" si="2"/>
        <v>6.6119407208359016E-3</v>
      </c>
      <c r="L17" s="11">
        <f t="shared" si="3"/>
        <v>4.5007264088006973E-3</v>
      </c>
      <c r="M17" s="11">
        <f t="shared" si="4"/>
        <v>3.2567933414266686E-3</v>
      </c>
      <c r="N17" s="52">
        <f t="shared" si="5"/>
        <v>2132944</v>
      </c>
      <c r="O17" s="11">
        <v>16</v>
      </c>
      <c r="P17" s="12">
        <v>33778649</v>
      </c>
      <c r="Q17" s="12">
        <v>1055582.78125</v>
      </c>
      <c r="R17" s="12">
        <v>37421.1875</v>
      </c>
      <c r="S17" s="13">
        <v>3183680</v>
      </c>
      <c r="T17" s="13">
        <v>1451888</v>
      </c>
      <c r="U17" s="13">
        <v>681056</v>
      </c>
      <c r="V17" s="13">
        <v>1050608</v>
      </c>
      <c r="W17" s="14">
        <v>69.351502999999994</v>
      </c>
      <c r="X17" s="14">
        <v>71.840316000000001</v>
      </c>
      <c r="Y17" s="14">
        <v>33.951681000000001</v>
      </c>
      <c r="Z17" s="14">
        <v>45.159981000000002</v>
      </c>
      <c r="AA17" s="14">
        <v>45.538837999999998</v>
      </c>
      <c r="AB17" s="15">
        <v>4789.58</v>
      </c>
      <c r="AC17" s="15">
        <v>3309.14</v>
      </c>
      <c r="AD17" s="15">
        <v>92.602999999999994</v>
      </c>
      <c r="AE17" s="15">
        <v>15.218999999999999</v>
      </c>
      <c r="AG17" s="10">
        <f t="shared" si="6"/>
        <v>2.9846925</v>
      </c>
      <c r="AH17" s="11">
        <f t="shared" si="7"/>
        <v>9.8691060518162101E-3</v>
      </c>
      <c r="AI17" s="11">
        <f t="shared" si="8"/>
        <v>6.6119159215323247E-3</v>
      </c>
      <c r="AJ17" s="11">
        <f t="shared" si="9"/>
        <v>4.5007264088006973E-3</v>
      </c>
      <c r="AK17" s="11">
        <f t="shared" si="10"/>
        <v>3.2567933414266686E-3</v>
      </c>
      <c r="AL17" s="52">
        <f t="shared" si="11"/>
        <v>2132936</v>
      </c>
      <c r="AM17" s="11">
        <v>16</v>
      </c>
      <c r="AN17" s="12">
        <v>33778649</v>
      </c>
      <c r="AO17" s="12">
        <v>1055582.78125</v>
      </c>
      <c r="AP17" s="12">
        <v>37421.1875</v>
      </c>
      <c r="AQ17" s="13">
        <v>3183672</v>
      </c>
      <c r="AR17" s="13">
        <v>1451888</v>
      </c>
      <c r="AS17" s="13">
        <v>681048</v>
      </c>
      <c r="AT17" s="13">
        <v>1050608</v>
      </c>
      <c r="AU17" s="14">
        <v>69.351502999999994</v>
      </c>
      <c r="AV17" s="14">
        <v>71.840316000000001</v>
      </c>
      <c r="AW17" s="14">
        <v>33.951681000000001</v>
      </c>
      <c r="AX17" s="14">
        <v>45.159981000000002</v>
      </c>
      <c r="AY17" s="14">
        <v>45.538837999999998</v>
      </c>
      <c r="AZ17" s="15">
        <v>5169.71</v>
      </c>
      <c r="BA17" s="15">
        <v>3339.64</v>
      </c>
      <c r="BB17" s="15">
        <v>89.619</v>
      </c>
      <c r="BC17" s="15">
        <v>14.848000000000001</v>
      </c>
      <c r="BE17" s="50">
        <f t="shared" si="12"/>
        <v>0.99999624931549991</v>
      </c>
      <c r="BF17" s="16">
        <f t="shared" si="13"/>
        <v>0</v>
      </c>
      <c r="BG17" s="16">
        <f t="shared" si="14"/>
        <v>-8.2932712874850267E-7</v>
      </c>
      <c r="BH17" s="16"/>
      <c r="BJ17" s="50"/>
      <c r="BK17" s="50"/>
      <c r="BL17" s="50"/>
      <c r="BM17" s="50"/>
      <c r="BN17" s="50"/>
      <c r="BP17" s="50"/>
      <c r="BQ17" s="50"/>
      <c r="BR17" s="50"/>
      <c r="BS17" s="50"/>
      <c r="BT17" s="50"/>
      <c r="BV17" s="58">
        <f t="shared" si="16"/>
        <v>0</v>
      </c>
      <c r="BW17" s="58">
        <f t="shared" si="15"/>
        <v>0</v>
      </c>
      <c r="BX17" s="58">
        <f t="shared" si="15"/>
        <v>0</v>
      </c>
      <c r="BY17" s="58">
        <f t="shared" si="15"/>
        <v>-8</v>
      </c>
      <c r="BZ17" s="58">
        <f t="shared" si="15"/>
        <v>0</v>
      </c>
      <c r="CA17" s="58">
        <f t="shared" si="15"/>
        <v>-8</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5.2615049999999997</v>
      </c>
      <c r="J18" s="20">
        <f t="shared" si="1"/>
        <v>1.739755463491172E-2</v>
      </c>
      <c r="K18" s="20">
        <f t="shared" si="2"/>
        <v>9.8728755459597684E-3</v>
      </c>
      <c r="L18" s="20">
        <f t="shared" si="3"/>
        <v>7.7616860332281401E-3</v>
      </c>
      <c r="M18" s="20">
        <f t="shared" si="4"/>
        <v>7.5242823000947357E-3</v>
      </c>
      <c r="N18" s="17">
        <f t="shared" si="5"/>
        <v>3184888</v>
      </c>
      <c r="O18" s="20">
        <v>16</v>
      </c>
      <c r="P18" s="21">
        <v>34914211</v>
      </c>
      <c r="Q18" s="21">
        <v>1091069.09375</v>
      </c>
      <c r="R18" s="21">
        <v>41605</v>
      </c>
      <c r="S18" s="22">
        <v>5612272</v>
      </c>
      <c r="T18" s="22">
        <v>2503840</v>
      </c>
      <c r="U18" s="22">
        <v>681048</v>
      </c>
      <c r="V18" s="22">
        <v>2427256</v>
      </c>
      <c r="W18" s="23">
        <v>70.529827999999995</v>
      </c>
      <c r="X18" s="23">
        <v>73.133287999999993</v>
      </c>
      <c r="Y18" s="23">
        <v>36.284593999999998</v>
      </c>
      <c r="Z18" s="23">
        <v>46.412540999999997</v>
      </c>
      <c r="AA18" s="23">
        <v>47.006552999999997</v>
      </c>
      <c r="AB18" s="24">
        <v>4683.03</v>
      </c>
      <c r="AC18" s="24">
        <v>3360.78</v>
      </c>
      <c r="AD18" s="24">
        <v>85.718999999999994</v>
      </c>
      <c r="AE18" s="24">
        <v>15.154</v>
      </c>
      <c r="AG18" s="19">
        <f t="shared" si="6"/>
        <v>5.2616250000000004</v>
      </c>
      <c r="AH18" s="20">
        <f t="shared" si="7"/>
        <v>1.7397951423768938E-2</v>
      </c>
      <c r="AI18" s="20">
        <f t="shared" si="8"/>
        <v>9.8740163139242661E-3</v>
      </c>
      <c r="AJ18" s="20">
        <f t="shared" si="9"/>
        <v>7.7628268011926379E-3</v>
      </c>
      <c r="AK18" s="20">
        <f t="shared" si="10"/>
        <v>7.5235383209874551E-3</v>
      </c>
      <c r="AL18" s="17">
        <f t="shared" si="11"/>
        <v>3185256</v>
      </c>
      <c r="AM18" s="20">
        <v>16</v>
      </c>
      <c r="AN18" s="21">
        <v>34914325</v>
      </c>
      <c r="AO18" s="21">
        <v>1091072.65625</v>
      </c>
      <c r="AP18" s="21">
        <v>41603.21875</v>
      </c>
      <c r="AQ18" s="22">
        <v>5612400</v>
      </c>
      <c r="AR18" s="22">
        <v>2504208</v>
      </c>
      <c r="AS18" s="22">
        <v>681048</v>
      </c>
      <c r="AT18" s="22">
        <v>2427016</v>
      </c>
      <c r="AU18" s="23">
        <v>70.529849999999996</v>
      </c>
      <c r="AV18" s="23">
        <v>73.133384000000007</v>
      </c>
      <c r="AW18" s="23">
        <v>36.284100000000002</v>
      </c>
      <c r="AX18" s="23">
        <v>46.412683999999999</v>
      </c>
      <c r="AY18" s="23">
        <v>47.006613000000002</v>
      </c>
      <c r="AZ18" s="24">
        <v>5928.06</v>
      </c>
      <c r="BA18" s="24">
        <v>4673.46</v>
      </c>
      <c r="BB18" s="24">
        <v>103.901</v>
      </c>
      <c r="BC18" s="24">
        <v>22.189</v>
      </c>
      <c r="BE18" s="49">
        <f t="shared" si="12"/>
        <v>1.0001155456644002</v>
      </c>
      <c r="BF18" s="25">
        <f t="shared" si="13"/>
        <v>-1.7570749231490823E-6</v>
      </c>
      <c r="BG18" s="25">
        <f t="shared" si="14"/>
        <v>5.2626637722652525E-5</v>
      </c>
      <c r="BH18" s="25"/>
      <c r="BJ18" s="49"/>
      <c r="BK18" s="49"/>
      <c r="BL18" s="49"/>
      <c r="BM18" s="49"/>
      <c r="BN18" s="49"/>
      <c r="BP18" s="49"/>
      <c r="BQ18" s="49"/>
      <c r="BR18" s="49"/>
      <c r="BS18" s="49"/>
      <c r="BT18" s="49"/>
      <c r="BV18" s="58">
        <f t="shared" si="16"/>
        <v>114</v>
      </c>
      <c r="BW18" s="58">
        <f t="shared" si="15"/>
        <v>3.5625</v>
      </c>
      <c r="BX18" s="58">
        <f t="shared" si="15"/>
        <v>-1.78125</v>
      </c>
      <c r="BY18" s="58">
        <f t="shared" si="15"/>
        <v>128</v>
      </c>
      <c r="BZ18" s="58">
        <f t="shared" si="15"/>
        <v>368</v>
      </c>
      <c r="CA18" s="58">
        <f t="shared" si="15"/>
        <v>0</v>
      </c>
      <c r="CB18" s="58">
        <f t="shared" si="15"/>
        <v>-240</v>
      </c>
      <c r="CC18" s="58">
        <f t="shared" si="15"/>
        <v>2.2000000001298758E-5</v>
      </c>
      <c r="CD18" s="58">
        <f t="shared" si="15"/>
        <v>9.6000000013418685E-5</v>
      </c>
      <c r="CE18" s="58">
        <f t="shared" si="15"/>
        <v>-4.9399999999621969E-4</v>
      </c>
      <c r="CF18" s="58">
        <f t="shared" si="15"/>
        <v>1.430000000013365E-4</v>
      </c>
      <c r="CG18" s="58">
        <f t="shared" si="15"/>
        <v>6.0000000004833964E-5</v>
      </c>
      <c r="CJ18" t="s">
        <v>233</v>
      </c>
    </row>
    <row r="19" spans="1:88" ht="16" outlineLevel="1" thickBot="1" x14ac:dyDescent="0.25">
      <c r="A19" s="52"/>
      <c r="B19" s="26" t="s">
        <v>64</v>
      </c>
      <c r="C19" s="27" t="s">
        <v>237</v>
      </c>
      <c r="D19" s="26">
        <v>322589704</v>
      </c>
      <c r="E19" s="27">
        <v>10</v>
      </c>
      <c r="F19" s="27">
        <v>32</v>
      </c>
      <c r="G19" s="27">
        <v>30</v>
      </c>
      <c r="I19" s="28">
        <f t="shared" si="0"/>
        <v>11.3995725</v>
      </c>
      <c r="J19" s="29">
        <f t="shared" si="1"/>
        <v>3.7693527875272796E-2</v>
      </c>
      <c r="K19" s="29">
        <f t="shared" si="2"/>
        <v>1.7402043308858983E-2</v>
      </c>
      <c r="L19" s="29">
        <f t="shared" si="3"/>
        <v>1.2813155375845474E-2</v>
      </c>
      <c r="M19" s="29">
        <f t="shared" si="4"/>
        <v>2.0291087777556595E-2</v>
      </c>
      <c r="N19" s="26">
        <f t="shared" si="5"/>
        <v>5613720</v>
      </c>
      <c r="O19" s="29">
        <v>16</v>
      </c>
      <c r="P19" s="30">
        <v>33017129</v>
      </c>
      <c r="Q19" s="30">
        <v>1031785.28125</v>
      </c>
      <c r="R19" s="30">
        <v>17789.96875</v>
      </c>
      <c r="S19" s="31">
        <v>12159544</v>
      </c>
      <c r="T19" s="31">
        <v>4133392</v>
      </c>
      <c r="U19" s="31">
        <v>1480328</v>
      </c>
      <c r="V19" s="31">
        <v>6545696</v>
      </c>
      <c r="W19" s="32">
        <v>71.185458999999994</v>
      </c>
      <c r="X19" s="32">
        <v>75.071731</v>
      </c>
      <c r="Y19" s="32">
        <v>38.708156000000002</v>
      </c>
      <c r="Z19" s="32">
        <v>48.192112999999999</v>
      </c>
      <c r="AA19" s="32">
        <v>48.813997000000001</v>
      </c>
      <c r="AB19" s="33">
        <v>6022.73</v>
      </c>
      <c r="AC19" s="33">
        <v>5377.7</v>
      </c>
      <c r="AD19" s="33">
        <v>96.304000000000002</v>
      </c>
      <c r="AE19" s="33">
        <v>24.56</v>
      </c>
      <c r="AG19" s="28">
        <f t="shared" si="6"/>
        <v>11.399850000000001</v>
      </c>
      <c r="AH19" s="29">
        <f t="shared" si="7"/>
        <v>3.7694445449505107E-2</v>
      </c>
      <c r="AI19" s="29">
        <f t="shared" si="8"/>
        <v>1.7400728945769453E-2</v>
      </c>
      <c r="AJ19" s="29">
        <f t="shared" si="9"/>
        <v>1.2811841012755943E-2</v>
      </c>
      <c r="AK19" s="29">
        <f t="shared" si="10"/>
        <v>2.0293319714878438E-2</v>
      </c>
      <c r="AL19" s="26">
        <f t="shared" si="11"/>
        <v>5613296</v>
      </c>
      <c r="AM19" s="29">
        <v>16</v>
      </c>
      <c r="AN19" s="30">
        <v>33019287</v>
      </c>
      <c r="AO19" s="30">
        <v>1031852.71875</v>
      </c>
      <c r="AP19" s="30">
        <v>17790.15625</v>
      </c>
      <c r="AQ19" s="31">
        <v>12159840</v>
      </c>
      <c r="AR19" s="31">
        <v>4132968</v>
      </c>
      <c r="AS19" s="31">
        <v>1480328</v>
      </c>
      <c r="AT19" s="31">
        <v>6546416</v>
      </c>
      <c r="AU19" s="32">
        <v>71.185569000000001</v>
      </c>
      <c r="AV19" s="32">
        <v>75.071019000000007</v>
      </c>
      <c r="AW19" s="32">
        <v>38.708165999999999</v>
      </c>
      <c r="AX19" s="32">
        <v>48.191471999999997</v>
      </c>
      <c r="AY19" s="32">
        <v>48.813738000000001</v>
      </c>
      <c r="AZ19" s="33">
        <v>5007.57</v>
      </c>
      <c r="BA19" s="33">
        <v>4063.01</v>
      </c>
      <c r="BB19" s="33">
        <v>80.525999999999996</v>
      </c>
      <c r="BC19" s="33">
        <v>16.516999999999999</v>
      </c>
      <c r="BE19" s="34">
        <f t="shared" si="12"/>
        <v>0.9999244707609215</v>
      </c>
      <c r="BF19" s="35">
        <f t="shared" si="13"/>
        <v>-9.4514709460605251E-7</v>
      </c>
      <c r="BG19" s="35">
        <f t="shared" si="14"/>
        <v>-4.6107094148928329E-5</v>
      </c>
      <c r="BH19" s="35"/>
      <c r="BJ19" s="34"/>
      <c r="BK19" s="34"/>
      <c r="BL19" s="34"/>
      <c r="BM19" s="34"/>
      <c r="BN19" s="34"/>
      <c r="BP19" s="34"/>
      <c r="BQ19" s="34"/>
      <c r="BR19" s="34"/>
      <c r="BS19" s="34"/>
      <c r="BT19" s="34"/>
      <c r="BV19" s="58">
        <f t="shared" si="16"/>
        <v>2158</v>
      </c>
      <c r="BW19" s="58">
        <f t="shared" si="15"/>
        <v>67.4375</v>
      </c>
      <c r="BX19" s="58">
        <f t="shared" si="15"/>
        <v>0.1875</v>
      </c>
      <c r="BY19" s="58">
        <f t="shared" si="15"/>
        <v>296</v>
      </c>
      <c r="BZ19" s="58">
        <f t="shared" si="15"/>
        <v>-424</v>
      </c>
      <c r="CA19" s="58">
        <f t="shared" si="15"/>
        <v>0</v>
      </c>
      <c r="CB19" s="58">
        <f t="shared" si="15"/>
        <v>720</v>
      </c>
      <c r="CC19" s="58">
        <f t="shared" si="15"/>
        <v>1.1000000000649379E-4</v>
      </c>
      <c r="CD19" s="58">
        <f t="shared" si="15"/>
        <v>-7.119999999929405E-4</v>
      </c>
      <c r="CE19" s="58">
        <f t="shared" si="15"/>
        <v>9.9999999960687092E-6</v>
      </c>
      <c r="CF19" s="58">
        <f t="shared" si="15"/>
        <v>-6.4100000000166801E-4</v>
      </c>
      <c r="CG19" s="58">
        <f t="shared" si="15"/>
        <v>-2.5899999999978718E-4</v>
      </c>
      <c r="CJ19" t="s">
        <v>233</v>
      </c>
    </row>
    <row r="20" spans="1:88" x14ac:dyDescent="0.2">
      <c r="A20" s="17"/>
      <c r="B20" s="17" t="s">
        <v>70</v>
      </c>
      <c r="C20" s="18" t="s">
        <v>232</v>
      </c>
      <c r="D20" s="17">
        <v>250602891</v>
      </c>
      <c r="E20" s="18">
        <v>10</v>
      </c>
      <c r="F20" s="18">
        <v>32</v>
      </c>
      <c r="G20" s="18">
        <v>50</v>
      </c>
      <c r="I20" s="19">
        <f t="shared" si="0"/>
        <v>2.0110999999999999</v>
      </c>
      <c r="J20" s="20">
        <f t="shared" si="1"/>
        <v>5.1360301346244242E-3</v>
      </c>
      <c r="K20" s="20">
        <f t="shared" si="2"/>
        <v>3.9899619513966422E-3</v>
      </c>
      <c r="L20" s="20">
        <f t="shared" si="3"/>
        <v>2.2850494569913002E-3</v>
      </c>
      <c r="M20" s="20">
        <f t="shared" si="4"/>
        <v>1.1455574149781057E-3</v>
      </c>
      <c r="N20" s="17">
        <f t="shared" si="5"/>
        <v>999896</v>
      </c>
      <c r="O20" s="20">
        <v>16</v>
      </c>
      <c r="P20" s="21">
        <v>28404785</v>
      </c>
      <c r="Q20" s="21">
        <v>887649.53125</v>
      </c>
      <c r="R20" s="21">
        <v>25900.1875</v>
      </c>
      <c r="S20" s="22">
        <v>1287104</v>
      </c>
      <c r="T20" s="22">
        <v>572640</v>
      </c>
      <c r="U20" s="22">
        <v>427256</v>
      </c>
      <c r="V20" s="22">
        <v>287080</v>
      </c>
      <c r="W20" s="23">
        <v>67.044955999999999</v>
      </c>
      <c r="X20" s="23">
        <v>68.912408999999997</v>
      </c>
      <c r="Y20" s="23">
        <v>30.223659000000001</v>
      </c>
      <c r="Z20" s="23">
        <v>39.606777999999998</v>
      </c>
      <c r="AA20" s="23">
        <v>38.150602999999997</v>
      </c>
      <c r="AB20" s="24">
        <v>5703.37</v>
      </c>
      <c r="AC20" s="24">
        <v>3935.16</v>
      </c>
      <c r="AD20" s="24">
        <v>82.793999999999997</v>
      </c>
      <c r="AE20" s="24">
        <v>21.97</v>
      </c>
      <c r="AG20" s="19">
        <f t="shared" si="6"/>
        <v>2.0159500000000001</v>
      </c>
      <c r="AH20" s="20">
        <f t="shared" si="7"/>
        <v>5.1484162646790853E-3</v>
      </c>
      <c r="AI20" s="20">
        <f t="shared" si="8"/>
        <v>3.9993153949688474E-3</v>
      </c>
      <c r="AJ20" s="20">
        <f t="shared" si="9"/>
        <v>2.2733975562955495E-3</v>
      </c>
      <c r="AK20" s="20">
        <f t="shared" si="10"/>
        <v>1.1485901014605614E-3</v>
      </c>
      <c r="AL20" s="17">
        <f t="shared" si="11"/>
        <v>1002240</v>
      </c>
      <c r="AM20" s="20">
        <v>16</v>
      </c>
      <c r="AN20" s="21">
        <v>27244216</v>
      </c>
      <c r="AO20" s="21">
        <v>851381.75</v>
      </c>
      <c r="AP20" s="21">
        <v>24377.1875</v>
      </c>
      <c r="AQ20" s="22">
        <v>1290208</v>
      </c>
      <c r="AR20" s="22">
        <v>569720</v>
      </c>
      <c r="AS20" s="22">
        <v>432520</v>
      </c>
      <c r="AT20" s="22">
        <v>287840</v>
      </c>
      <c r="AU20" s="23">
        <v>66.828840999999997</v>
      </c>
      <c r="AV20" s="23">
        <v>68.925630999999996</v>
      </c>
      <c r="AW20" s="23">
        <v>30.076011999999999</v>
      </c>
      <c r="AX20" s="23">
        <v>39.463031000000001</v>
      </c>
      <c r="AY20" s="23">
        <v>37.891691000000002</v>
      </c>
      <c r="AZ20" s="24">
        <v>5276.13</v>
      </c>
      <c r="BA20" s="24">
        <v>3342.19</v>
      </c>
      <c r="BB20" s="24">
        <v>75.501999999999995</v>
      </c>
      <c r="BC20" s="24">
        <v>15.932</v>
      </c>
      <c r="BE20" s="49">
        <f t="shared" si="12"/>
        <v>1.0023442438013552</v>
      </c>
      <c r="BF20" s="25">
        <f t="shared" si="13"/>
        <v>-5.4589424740561845E-4</v>
      </c>
      <c r="BG20" s="25">
        <f t="shared" si="14"/>
        <v>-5.2212298925380374E-5</v>
      </c>
      <c r="BH20" s="25">
        <f t="array" ref="BH20">AVERAGE(AL20:AL24/AQ20:AQ24) - AVERAGE(N20:N24/S20:S24)</f>
        <v>-3.5732368642725776E-3</v>
      </c>
      <c r="BJ20" s="49">
        <f>IF( OR(ISBLANK(N20:N24),ISBLANK(AL20:AL24), ISBLANK(W20:W24),ISBLANK(AU20:AU24)), "·", bdRateExtend( N20:N24,W20:W24, AL20:AL24,AU20:AU24))</f>
        <v>-1.1221690790316208E-2</v>
      </c>
      <c r="BK20" s="49">
        <f>IF( OR(ISBLANK(N20:N24),ISBLANK(AL20:AL24), ISBLANK(X20:X24),ISBLANK(AV20:AV24)), "·", bdRateExtend( N20:N24,X20:X24, AL20:AL24,AV20:AV24))</f>
        <v>-5.241256643957426E-2</v>
      </c>
      <c r="BL20" s="49">
        <f>IF( OR(ISBLANK(V20:V24),ISBLANK(AT20:AT24), ISBLANK(Y20:Y24),ISBLANK(AW20:AW24)), "·", bdRateExtend( V20:V24,Y20:Y24, AT20:AT24,AW20:AW24))</f>
        <v>8.3554330139709476E-2</v>
      </c>
      <c r="BM20" s="49">
        <f>IF( OR(ISBLANK(V20:V24),ISBLANK(AT20:AT24), ISBLANK(Z20:Z24),ISBLANK(AX20:AX24)), "·", bdRateExtend( V20:V24,Z20:Z24, AT20:AT24,AX20:AX24))</f>
        <v>6.9635701592774657E-2</v>
      </c>
      <c r="BN20" s="49">
        <f>IF( OR(ISBLANK(V20:V24),ISBLANK(AT20:AT24), ISBLANK(AA20:AA24),ISBLANK(AY20:AY24)), "·", bdRateExtend( V20:V24,AA20:AA24, AT20:AT24,AY20:AY24))</f>
        <v>0.14061504288896032</v>
      </c>
      <c r="BP20" s="49">
        <f>IF( OR(ISBLANK(S20:S24),ISBLANK(AQ20:AQ24), ISBLANK(W20:W24),ISBLANK(AU20:AU24)), "·", bdRateExtend( S20:S24,W20:W24, AQ20:AQ24,AU20:AU24))</f>
        <v>1.4679067082044028E-3</v>
      </c>
      <c r="BQ20" s="49">
        <f>IF( OR(ISBLANK(S20:S24),ISBLANK(AQ20:AQ24), ISBLANK(X20:X24),ISBLANK(AV20:AV24)), "·", bdRateExtend( S20:S24,X20:X24, AQ20:AQ24,AV20:AV24))</f>
        <v>-7.0793395440591711E-2</v>
      </c>
      <c r="BR20" s="49">
        <f>IF( OR(ISBLANK(S20:S24),ISBLANK(AQ20:AQ24), ISBLANK(Y20:Y24),ISBLANK(AW20:AW24)), "·", bdRateExtend( S20:S24,Y20:Y24, AQ20:AQ24,AW20:AW24))</f>
        <v>4.55264712706418E-2</v>
      </c>
      <c r="BS20" s="49">
        <f>IF( OR(ISBLANK(S20:S24),ISBLANK(AQ20:AQ24), ISBLANK(Z20:Z24),ISBLANK(AX20:AX24)), "·", bdRateExtend( S20:S24,Z20:Z24, AQ20:AQ24,AX20:AX24))</f>
        <v>4.2657565363606986E-2</v>
      </c>
      <c r="BT20" s="49">
        <f>IF( OR(ISBLANK(S20:S24),ISBLANK(AQ20:AQ24), ISBLANK(AA20:AA24),ISBLANK(AY20:AY24)), "·", bdRateExtend( S20:S24,AA20:AA24, AQ20:AQ24,AY20:AY24))</f>
        <v>8.3867334122385673E-2</v>
      </c>
      <c r="BV20" s="58">
        <f t="shared" si="16"/>
        <v>-1160569</v>
      </c>
      <c r="BW20" s="58">
        <f t="shared" si="15"/>
        <v>-36267.78125</v>
      </c>
      <c r="BX20" s="58">
        <f t="shared" si="15"/>
        <v>-1523</v>
      </c>
      <c r="BY20" s="58">
        <f t="shared" si="15"/>
        <v>3104</v>
      </c>
      <c r="BZ20" s="58">
        <f t="shared" si="15"/>
        <v>-2920</v>
      </c>
      <c r="CA20" s="58">
        <f t="shared" si="15"/>
        <v>5264</v>
      </c>
      <c r="CB20" s="58">
        <f t="shared" si="15"/>
        <v>760</v>
      </c>
      <c r="CC20" s="58">
        <f t="shared" si="15"/>
        <v>-0.21611500000000206</v>
      </c>
      <c r="CD20" s="58">
        <f t="shared" si="15"/>
        <v>1.3221999999998957E-2</v>
      </c>
      <c r="CE20" s="58">
        <f t="shared" si="15"/>
        <v>-0.14764700000000275</v>
      </c>
      <c r="CF20" s="58">
        <f t="shared" si="15"/>
        <v>-0.14374699999999763</v>
      </c>
      <c r="CG20" s="58">
        <f t="shared" si="15"/>
        <v>-0.25891199999999515</v>
      </c>
      <c r="CJ20" t="s">
        <v>239</v>
      </c>
    </row>
    <row r="21" spans="1:88" outlineLevel="1" x14ac:dyDescent="0.2">
      <c r="A21" s="52"/>
      <c r="B21" s="52" t="s">
        <v>70</v>
      </c>
      <c r="C21" s="9" t="s">
        <v>234</v>
      </c>
      <c r="D21" s="52">
        <v>250602891</v>
      </c>
      <c r="E21" s="9">
        <v>10</v>
      </c>
      <c r="F21" s="9">
        <v>32</v>
      </c>
      <c r="G21" s="9">
        <v>50</v>
      </c>
      <c r="I21" s="10">
        <f t="shared" si="0"/>
        <v>2.6805249999999998</v>
      </c>
      <c r="J21" s="11">
        <f t="shared" si="1"/>
        <v>6.8456353123236714E-3</v>
      </c>
      <c r="K21" s="11">
        <f t="shared" si="2"/>
        <v>4.7103367215344692E-3</v>
      </c>
      <c r="L21" s="11">
        <f t="shared" si="3"/>
        <v>3.005392304113523E-3</v>
      </c>
      <c r="M21" s="11">
        <f t="shared" si="4"/>
        <v>2.1347878225395252E-3</v>
      </c>
      <c r="N21" s="52">
        <f t="shared" si="5"/>
        <v>1180424</v>
      </c>
      <c r="O21" s="11">
        <v>16</v>
      </c>
      <c r="P21" s="12">
        <v>29174690</v>
      </c>
      <c r="Q21" s="12">
        <v>911709.0625</v>
      </c>
      <c r="R21" s="12">
        <v>29645.09375</v>
      </c>
      <c r="S21" s="13">
        <v>1715536</v>
      </c>
      <c r="T21" s="13">
        <v>753160</v>
      </c>
      <c r="U21" s="13">
        <v>427264</v>
      </c>
      <c r="V21" s="13">
        <v>534984</v>
      </c>
      <c r="W21" s="14">
        <v>68.414612000000005</v>
      </c>
      <c r="X21" s="14">
        <v>70.962753000000006</v>
      </c>
      <c r="Y21" s="14">
        <v>31.677731000000001</v>
      </c>
      <c r="Z21" s="14">
        <v>40.5548</v>
      </c>
      <c r="AA21" s="14">
        <v>39.355424999999997</v>
      </c>
      <c r="AB21" s="15">
        <v>4115.07</v>
      </c>
      <c r="AC21" s="15">
        <v>3030.85</v>
      </c>
      <c r="AD21" s="15">
        <v>74.971999999999994</v>
      </c>
      <c r="AE21" s="15">
        <v>14.826000000000001</v>
      </c>
      <c r="AG21" s="10">
        <f t="shared" si="6"/>
        <v>2.6897625000000001</v>
      </c>
      <c r="AH21" s="11">
        <f t="shared" si="7"/>
        <v>6.869226420855616E-3</v>
      </c>
      <c r="AI21" s="11">
        <f t="shared" si="8"/>
        <v>4.7132417159545057E-3</v>
      </c>
      <c r="AJ21" s="11">
        <f t="shared" si="9"/>
        <v>2.9873238772812082E-3</v>
      </c>
      <c r="AK21" s="11">
        <f t="shared" si="10"/>
        <v>2.1554739366514333E-3</v>
      </c>
      <c r="AL21" s="52">
        <f t="shared" si="11"/>
        <v>1181152</v>
      </c>
      <c r="AM21" s="11">
        <v>16</v>
      </c>
      <c r="AN21" s="12">
        <v>28403751</v>
      </c>
      <c r="AO21" s="12">
        <v>887617.21875</v>
      </c>
      <c r="AP21" s="12">
        <v>27895.75</v>
      </c>
      <c r="AQ21" s="13">
        <v>1721448</v>
      </c>
      <c r="AR21" s="13">
        <v>748632</v>
      </c>
      <c r="AS21" s="13">
        <v>432520</v>
      </c>
      <c r="AT21" s="13">
        <v>540168</v>
      </c>
      <c r="AU21" s="14">
        <v>68.330271999999994</v>
      </c>
      <c r="AV21" s="14">
        <v>71.104647</v>
      </c>
      <c r="AW21" s="14">
        <v>31.514361999999998</v>
      </c>
      <c r="AX21" s="14">
        <v>40.519581000000002</v>
      </c>
      <c r="AY21" s="14">
        <v>39.209949999999999</v>
      </c>
      <c r="AZ21" s="15">
        <v>5888.19</v>
      </c>
      <c r="BA21" s="15">
        <v>4215.5600000000004</v>
      </c>
      <c r="BB21" s="15">
        <v>82.331000000000003</v>
      </c>
      <c r="BC21" s="15">
        <v>22.831</v>
      </c>
      <c r="BE21" s="50">
        <f t="shared" si="12"/>
        <v>1.0006167275487452</v>
      </c>
      <c r="BF21" s="16">
        <f t="shared" si="13"/>
        <v>-1.088278083956791E-3</v>
      </c>
      <c r="BG21" s="16">
        <f t="shared" si="14"/>
        <v>-1.9401817715082315E-3</v>
      </c>
      <c r="BH21" s="16"/>
      <c r="BJ21" s="50"/>
      <c r="BK21" s="50"/>
      <c r="BL21" s="50"/>
      <c r="BM21" s="50"/>
      <c r="BN21" s="50"/>
      <c r="BP21" s="50"/>
      <c r="BQ21" s="50"/>
      <c r="BR21" s="50"/>
      <c r="BS21" s="50"/>
      <c r="BT21" s="50"/>
      <c r="BV21" s="58">
        <f t="shared" si="16"/>
        <v>-770939</v>
      </c>
      <c r="BW21" s="58">
        <f t="shared" si="16"/>
        <v>-24091.84375</v>
      </c>
      <c r="BX21" s="58">
        <f t="shared" si="16"/>
        <v>-1749.34375</v>
      </c>
      <c r="BY21" s="58">
        <f t="shared" si="16"/>
        <v>5912</v>
      </c>
      <c r="BZ21" s="58">
        <f t="shared" si="16"/>
        <v>-4528</v>
      </c>
      <c r="CA21" s="58">
        <f t="shared" si="16"/>
        <v>5256</v>
      </c>
      <c r="CB21" s="58">
        <f t="shared" si="16"/>
        <v>5184</v>
      </c>
      <c r="CC21" s="58">
        <f t="shared" si="16"/>
        <v>-8.4340000000011628E-2</v>
      </c>
      <c r="CD21" s="58">
        <f t="shared" si="16"/>
        <v>0.14189399999999353</v>
      </c>
      <c r="CE21" s="58">
        <f t="shared" si="16"/>
        <v>-0.16336900000000298</v>
      </c>
      <c r="CF21" s="58">
        <f t="shared" si="16"/>
        <v>-3.5218999999997891E-2</v>
      </c>
      <c r="CG21" s="58">
        <f t="shared" si="16"/>
        <v>-0.14547499999999758</v>
      </c>
      <c r="CJ21" t="s">
        <v>239</v>
      </c>
    </row>
    <row r="22" spans="1:88" outlineLevel="1" x14ac:dyDescent="0.2">
      <c r="A22" s="17"/>
      <c r="B22" s="17" t="s">
        <v>70</v>
      </c>
      <c r="C22" s="18" t="s">
        <v>235</v>
      </c>
      <c r="D22" s="17">
        <v>250602891</v>
      </c>
      <c r="E22" s="18">
        <v>10</v>
      </c>
      <c r="F22" s="18">
        <v>32</v>
      </c>
      <c r="G22" s="18">
        <v>50</v>
      </c>
      <c r="I22" s="19">
        <f t="shared" si="0"/>
        <v>4.0313125000000003</v>
      </c>
      <c r="J22" s="20">
        <f t="shared" si="1"/>
        <v>1.0295332147624745E-2</v>
      </c>
      <c r="K22" s="20">
        <f t="shared" si="2"/>
        <v>5.5531681795322942E-3</v>
      </c>
      <c r="L22" s="20">
        <f t="shared" si="3"/>
        <v>3.8482556851269526E-3</v>
      </c>
      <c r="M22" s="20">
        <f t="shared" si="4"/>
        <v>4.7416531998427745E-3</v>
      </c>
      <c r="N22" s="17">
        <f t="shared" si="5"/>
        <v>1391640</v>
      </c>
      <c r="O22" s="20">
        <v>16</v>
      </c>
      <c r="P22" s="21">
        <v>29726758</v>
      </c>
      <c r="Q22" s="21">
        <v>928961.1875</v>
      </c>
      <c r="R22" s="21">
        <v>30512.71875</v>
      </c>
      <c r="S22" s="22">
        <v>2580040</v>
      </c>
      <c r="T22" s="22">
        <v>964384</v>
      </c>
      <c r="U22" s="22">
        <v>427256</v>
      </c>
      <c r="V22" s="22">
        <v>1188272</v>
      </c>
      <c r="W22" s="23">
        <v>69.459615999999997</v>
      </c>
      <c r="X22" s="23">
        <v>72.586883999999998</v>
      </c>
      <c r="Y22" s="23">
        <v>33.436737000000001</v>
      </c>
      <c r="Z22" s="23">
        <v>41.792188000000003</v>
      </c>
      <c r="AA22" s="23">
        <v>40.580106000000001</v>
      </c>
      <c r="AB22" s="24">
        <v>5470.54</v>
      </c>
      <c r="AC22" s="24">
        <v>4520.3599999999997</v>
      </c>
      <c r="AD22" s="24">
        <v>87.293999999999997</v>
      </c>
      <c r="AE22" s="24">
        <v>21.832999999999998</v>
      </c>
      <c r="AG22" s="19">
        <f t="shared" si="6"/>
        <v>4.0568999999999997</v>
      </c>
      <c r="AH22" s="20">
        <f t="shared" si="7"/>
        <v>1.0360678560567762E-2</v>
      </c>
      <c r="AI22" s="20">
        <f t="shared" si="8"/>
        <v>5.4899606086347983E-3</v>
      </c>
      <c r="AJ22" s="20">
        <f t="shared" si="9"/>
        <v>3.7640427699615004E-3</v>
      </c>
      <c r="AK22" s="20">
        <f t="shared" si="10"/>
        <v>4.8702071836832879E-3</v>
      </c>
      <c r="AL22" s="17">
        <f t="shared" si="11"/>
        <v>1375800</v>
      </c>
      <c r="AM22" s="20">
        <v>16</v>
      </c>
      <c r="AN22" s="21">
        <v>29027099</v>
      </c>
      <c r="AO22" s="21">
        <v>907096.84375</v>
      </c>
      <c r="AP22" s="21">
        <v>29371.4375</v>
      </c>
      <c r="AQ22" s="22">
        <v>2596416</v>
      </c>
      <c r="AR22" s="22">
        <v>943280</v>
      </c>
      <c r="AS22" s="22">
        <v>432520</v>
      </c>
      <c r="AT22" s="22">
        <v>1220488</v>
      </c>
      <c r="AU22" s="23">
        <v>69.412541000000004</v>
      </c>
      <c r="AV22" s="23">
        <v>72.801675000000003</v>
      </c>
      <c r="AW22" s="23">
        <v>33.267837999999998</v>
      </c>
      <c r="AX22" s="23">
        <v>41.746715999999999</v>
      </c>
      <c r="AY22" s="23">
        <v>40.411003000000001</v>
      </c>
      <c r="AZ22" s="24">
        <v>5600.42</v>
      </c>
      <c r="BA22" s="24">
        <v>4299.3900000000003</v>
      </c>
      <c r="BB22" s="24">
        <v>84.415999999999997</v>
      </c>
      <c r="BC22" s="24">
        <v>19.725999999999999</v>
      </c>
      <c r="BE22" s="49">
        <f t="shared" si="12"/>
        <v>0.98861774596878504</v>
      </c>
      <c r="BF22" s="25">
        <f t="shared" si="13"/>
        <v>-4.664591390449585E-4</v>
      </c>
      <c r="BG22" s="25">
        <f t="shared" si="14"/>
        <v>-9.5027150066867572E-3</v>
      </c>
      <c r="BH22" s="25"/>
      <c r="BJ22" s="49"/>
      <c r="BK22" s="49"/>
      <c r="BL22" s="49"/>
      <c r="BM22" s="49"/>
      <c r="BN22" s="49"/>
      <c r="BP22" s="49"/>
      <c r="BQ22" s="49"/>
      <c r="BR22" s="49"/>
      <c r="BS22" s="49"/>
      <c r="BT22" s="49"/>
      <c r="BV22" s="58">
        <f t="shared" si="16"/>
        <v>-699659</v>
      </c>
      <c r="BW22" s="58">
        <f t="shared" si="16"/>
        <v>-21864.34375</v>
      </c>
      <c r="BX22" s="58">
        <f t="shared" si="16"/>
        <v>-1141.28125</v>
      </c>
      <c r="BY22" s="58">
        <f t="shared" si="16"/>
        <v>16376</v>
      </c>
      <c r="BZ22" s="58">
        <f t="shared" si="16"/>
        <v>-21104</v>
      </c>
      <c r="CA22" s="58">
        <f t="shared" si="16"/>
        <v>5264</v>
      </c>
      <c r="CB22" s="58">
        <f t="shared" si="16"/>
        <v>32216</v>
      </c>
      <c r="CC22" s="58">
        <f t="shared" si="16"/>
        <v>-4.7074999999992428E-2</v>
      </c>
      <c r="CD22" s="58">
        <f t="shared" si="16"/>
        <v>0.21479100000000528</v>
      </c>
      <c r="CE22" s="58">
        <f t="shared" si="16"/>
        <v>-0.16889900000000324</v>
      </c>
      <c r="CF22" s="58">
        <f t="shared" si="16"/>
        <v>-4.5472000000003732E-2</v>
      </c>
      <c r="CG22" s="58">
        <f t="shared" si="16"/>
        <v>-0.16910299999999978</v>
      </c>
      <c r="CJ22" t="s">
        <v>239</v>
      </c>
    </row>
    <row r="23" spans="1:88" outlineLevel="1" x14ac:dyDescent="0.2">
      <c r="A23" s="52"/>
      <c r="B23" s="52" t="s">
        <v>70</v>
      </c>
      <c r="C23" s="9" t="s">
        <v>236</v>
      </c>
      <c r="D23" s="52">
        <v>250602891</v>
      </c>
      <c r="E23" s="9">
        <v>10</v>
      </c>
      <c r="F23" s="9">
        <v>32</v>
      </c>
      <c r="G23" s="9">
        <v>50</v>
      </c>
      <c r="I23" s="10">
        <f t="shared" si="0"/>
        <v>7.5328499999999998</v>
      </c>
      <c r="J23" s="11">
        <f t="shared" si="1"/>
        <v>1.9237703047887026E-2</v>
      </c>
      <c r="K23" s="11">
        <f t="shared" si="2"/>
        <v>8.1675993115338796E-3</v>
      </c>
      <c r="L23" s="11">
        <f t="shared" si="3"/>
        <v>6.4626548941129338E-3</v>
      </c>
      <c r="M23" s="11">
        <f t="shared" si="4"/>
        <v>1.1069592968103469E-2</v>
      </c>
      <c r="N23" s="52">
        <f t="shared" si="5"/>
        <v>2046824</v>
      </c>
      <c r="O23" s="11">
        <v>16</v>
      </c>
      <c r="P23" s="12">
        <v>30149366</v>
      </c>
      <c r="Q23" s="12">
        <v>942167.6875</v>
      </c>
      <c r="R23" s="12">
        <v>32415.8125</v>
      </c>
      <c r="S23" s="13">
        <v>4821024</v>
      </c>
      <c r="T23" s="13">
        <v>1619560</v>
      </c>
      <c r="U23" s="13">
        <v>427264</v>
      </c>
      <c r="V23" s="13">
        <v>2774072</v>
      </c>
      <c r="W23" s="14">
        <v>70.333761999999993</v>
      </c>
      <c r="X23" s="14">
        <v>73.811041000000003</v>
      </c>
      <c r="Y23" s="14">
        <v>35.099437999999999</v>
      </c>
      <c r="Z23" s="14">
        <v>42.832586999999997</v>
      </c>
      <c r="AA23" s="14">
        <v>41.578859000000001</v>
      </c>
      <c r="AB23" s="15">
        <v>4256.68</v>
      </c>
      <c r="AC23" s="15">
        <v>3417.89</v>
      </c>
      <c r="AD23" s="15">
        <v>78.597999999999999</v>
      </c>
      <c r="AE23" s="15">
        <v>16.071999999999999</v>
      </c>
      <c r="AG23" s="10">
        <f t="shared" si="6"/>
        <v>7.6926249999999996</v>
      </c>
      <c r="AH23" s="11">
        <f t="shared" si="7"/>
        <v>1.964574303334753E-2</v>
      </c>
      <c r="AI23" s="11">
        <f t="shared" si="8"/>
        <v>8.1739519916392347E-3</v>
      </c>
      <c r="AJ23" s="11">
        <f t="shared" si="9"/>
        <v>6.4480341529659368E-3</v>
      </c>
      <c r="AK23" s="11">
        <f t="shared" si="10"/>
        <v>1.1471280273458617E-2</v>
      </c>
      <c r="AL23" s="52">
        <f t="shared" si="11"/>
        <v>2048416</v>
      </c>
      <c r="AM23" s="11">
        <v>16</v>
      </c>
      <c r="AN23" s="12">
        <v>29767659</v>
      </c>
      <c r="AO23" s="12">
        <v>930239.34375</v>
      </c>
      <c r="AP23" s="12">
        <v>32238.5</v>
      </c>
      <c r="AQ23" s="13">
        <v>4923280</v>
      </c>
      <c r="AR23" s="13">
        <v>1615896</v>
      </c>
      <c r="AS23" s="13">
        <v>432520</v>
      </c>
      <c r="AT23" s="13">
        <v>2874736</v>
      </c>
      <c r="AU23" s="14">
        <v>70.437100000000001</v>
      </c>
      <c r="AV23" s="14">
        <v>74.136771999999993</v>
      </c>
      <c r="AW23" s="14">
        <v>35.015436999999999</v>
      </c>
      <c r="AX23" s="14">
        <v>42.751627999999997</v>
      </c>
      <c r="AY23" s="14">
        <v>41.446899999999999</v>
      </c>
      <c r="AZ23" s="15">
        <v>4901.2299999999996</v>
      </c>
      <c r="BA23" s="15">
        <v>3695.58</v>
      </c>
      <c r="BB23" s="15">
        <v>79.361999999999995</v>
      </c>
      <c r="BC23" s="15">
        <v>16.359000000000002</v>
      </c>
      <c r="BE23" s="50">
        <f t="shared" si="12"/>
        <v>1.0007777903718151</v>
      </c>
      <c r="BF23" s="16">
        <f t="shared" si="13"/>
        <v>2.5056875848847304E-4</v>
      </c>
      <c r="BG23" s="16">
        <f t="shared" si="14"/>
        <v>-8.4947475131855188E-3</v>
      </c>
      <c r="BH23" s="16"/>
      <c r="BJ23" s="50"/>
      <c r="BK23" s="50"/>
      <c r="BL23" s="50"/>
      <c r="BM23" s="50"/>
      <c r="BN23" s="50"/>
      <c r="BP23" s="50"/>
      <c r="BQ23" s="50"/>
      <c r="BR23" s="50"/>
      <c r="BS23" s="50"/>
      <c r="BT23" s="50"/>
      <c r="BV23" s="58">
        <f t="shared" si="16"/>
        <v>-381707</v>
      </c>
      <c r="BW23" s="58">
        <f t="shared" si="16"/>
        <v>-11928.34375</v>
      </c>
      <c r="BX23" s="58">
        <f t="shared" si="16"/>
        <v>-177.3125</v>
      </c>
      <c r="BY23" s="58">
        <f t="shared" si="16"/>
        <v>102256</v>
      </c>
      <c r="BZ23" s="58">
        <f t="shared" si="16"/>
        <v>-3664</v>
      </c>
      <c r="CA23" s="58">
        <f t="shared" si="16"/>
        <v>5256</v>
      </c>
      <c r="CB23" s="58">
        <f t="shared" si="16"/>
        <v>100664</v>
      </c>
      <c r="CC23" s="58">
        <f t="shared" si="16"/>
        <v>0.10333800000000792</v>
      </c>
      <c r="CD23" s="58">
        <f t="shared" si="16"/>
        <v>0.32573099999999044</v>
      </c>
      <c r="CE23" s="58">
        <f t="shared" si="16"/>
        <v>-8.4001000000000658E-2</v>
      </c>
      <c r="CF23" s="58">
        <f t="shared" si="16"/>
        <v>-8.0959000000000003E-2</v>
      </c>
      <c r="CG23" s="58">
        <f t="shared" si="16"/>
        <v>-0.13195900000000194</v>
      </c>
      <c r="CJ23" t="s">
        <v>239</v>
      </c>
    </row>
    <row r="24" spans="1:88" ht="16" outlineLevel="1" thickBot="1" x14ac:dyDescent="0.25">
      <c r="A24" s="36"/>
      <c r="B24" s="36" t="s">
        <v>70</v>
      </c>
      <c r="C24" s="37" t="s">
        <v>237</v>
      </c>
      <c r="D24" s="36">
        <v>250602891</v>
      </c>
      <c r="E24" s="37">
        <v>10</v>
      </c>
      <c r="F24" s="37">
        <v>32</v>
      </c>
      <c r="G24" s="37">
        <v>50</v>
      </c>
      <c r="I24" s="38">
        <f t="shared" si="0"/>
        <v>15.300812499999999</v>
      </c>
      <c r="J24" s="39">
        <f t="shared" si="1"/>
        <v>3.9075846096284658E-2</v>
      </c>
      <c r="K24" s="39">
        <f t="shared" si="2"/>
        <v>1.4145375521625567E-2</v>
      </c>
      <c r="L24" s="39">
        <f t="shared" si="3"/>
        <v>1.0393048498391027E-2</v>
      </c>
      <c r="M24" s="39">
        <f t="shared" si="4"/>
        <v>2.4929959806409416E-2</v>
      </c>
      <c r="N24" s="36">
        <f t="shared" si="5"/>
        <v>3544872</v>
      </c>
      <c r="O24" s="39">
        <v>16</v>
      </c>
      <c r="P24" s="40">
        <v>28617807</v>
      </c>
      <c r="Q24" s="40">
        <v>894306.46875</v>
      </c>
      <c r="R24" s="40">
        <v>15280.96875</v>
      </c>
      <c r="S24" s="41">
        <v>9792520</v>
      </c>
      <c r="T24" s="41">
        <v>2604528</v>
      </c>
      <c r="U24" s="41">
        <v>940344</v>
      </c>
      <c r="V24" s="41">
        <v>6247520</v>
      </c>
      <c r="W24" s="42">
        <v>70.593384</v>
      </c>
      <c r="X24" s="42">
        <v>74.602806000000001</v>
      </c>
      <c r="Y24" s="42">
        <v>36.449609000000002</v>
      </c>
      <c r="Z24" s="42">
        <v>43.725102999999997</v>
      </c>
      <c r="AA24" s="42">
        <v>42.322508999999997</v>
      </c>
      <c r="AB24" s="43">
        <v>5061.46</v>
      </c>
      <c r="AC24" s="43">
        <v>4940.1400000000003</v>
      </c>
      <c r="AD24" s="43">
        <v>83.221000000000004</v>
      </c>
      <c r="AE24" s="43">
        <v>24.904</v>
      </c>
      <c r="AG24" s="38">
        <f t="shared" si="6"/>
        <v>15.657612500000001</v>
      </c>
      <c r="AH24" s="39">
        <f t="shared" si="7"/>
        <v>3.9987056653707956E-2</v>
      </c>
      <c r="AI24" s="39">
        <f t="shared" si="8"/>
        <v>1.4560151263378682E-2</v>
      </c>
      <c r="AJ24" s="39">
        <f t="shared" si="9"/>
        <v>1.0772996230119309E-2</v>
      </c>
      <c r="AK24" s="39">
        <f t="shared" si="10"/>
        <v>2.5426394622079598E-2</v>
      </c>
      <c r="AL24" s="36">
        <f t="shared" si="11"/>
        <v>3648816</v>
      </c>
      <c r="AM24" s="39">
        <v>16</v>
      </c>
      <c r="AN24" s="40">
        <v>28369875</v>
      </c>
      <c r="AO24" s="40">
        <v>886558.59375</v>
      </c>
      <c r="AP24" s="40">
        <v>15235.15625</v>
      </c>
      <c r="AQ24" s="41">
        <v>10020872</v>
      </c>
      <c r="AR24" s="41">
        <v>2699744</v>
      </c>
      <c r="AS24" s="41">
        <v>949072</v>
      </c>
      <c r="AT24" s="41">
        <v>6371928</v>
      </c>
      <c r="AU24" s="42">
        <v>70.790784000000002</v>
      </c>
      <c r="AV24" s="42">
        <v>75.132078000000007</v>
      </c>
      <c r="AW24" s="42">
        <v>36.493172000000001</v>
      </c>
      <c r="AX24" s="42">
        <v>43.658065999999998</v>
      </c>
      <c r="AY24" s="42">
        <v>42.193319000000002</v>
      </c>
      <c r="AZ24" s="43">
        <v>5241.1400000000003</v>
      </c>
      <c r="BA24" s="43">
        <v>4269.3599999999997</v>
      </c>
      <c r="BB24" s="43">
        <v>82.44</v>
      </c>
      <c r="BC24" s="43">
        <v>20.440999999999999</v>
      </c>
      <c r="BE24" s="44">
        <f t="shared" si="12"/>
        <v>1.0293223563502434</v>
      </c>
      <c r="BF24" s="45">
        <f t="shared" si="13"/>
        <v>9.7652928117863969E-5</v>
      </c>
      <c r="BG24" s="45">
        <f t="shared" si="14"/>
        <v>2.1236722689429999E-3</v>
      </c>
      <c r="BH24" s="45"/>
      <c r="BJ24" s="44"/>
      <c r="BK24" s="44"/>
      <c r="BL24" s="44"/>
      <c r="BM24" s="44"/>
      <c r="BN24" s="44"/>
      <c r="BP24" s="44"/>
      <c r="BQ24" s="44"/>
      <c r="BR24" s="44"/>
      <c r="BS24" s="44"/>
      <c r="BT24" s="44"/>
      <c r="BV24" s="58">
        <f t="shared" si="16"/>
        <v>-247932</v>
      </c>
      <c r="BW24" s="58">
        <f t="shared" si="16"/>
        <v>-7747.875</v>
      </c>
      <c r="BX24" s="58">
        <f t="shared" si="16"/>
        <v>-45.8125</v>
      </c>
      <c r="BY24" s="58">
        <f t="shared" si="16"/>
        <v>228352</v>
      </c>
      <c r="BZ24" s="58">
        <f t="shared" si="16"/>
        <v>95216</v>
      </c>
      <c r="CA24" s="58">
        <f t="shared" si="16"/>
        <v>8728</v>
      </c>
      <c r="CB24" s="58">
        <f t="shared" si="16"/>
        <v>124408</v>
      </c>
      <c r="CC24" s="58">
        <f t="shared" si="16"/>
        <v>0.1974000000000018</v>
      </c>
      <c r="CD24" s="58">
        <f t="shared" si="16"/>
        <v>0.52927200000000596</v>
      </c>
      <c r="CE24" s="58">
        <f t="shared" si="16"/>
        <v>4.3562999999998908E-2</v>
      </c>
      <c r="CF24" s="58">
        <f t="shared" si="16"/>
        <v>-6.7036999999999125E-2</v>
      </c>
      <c r="CG24" s="58">
        <f t="shared" si="16"/>
        <v>-0.12918999999999414</v>
      </c>
      <c r="CJ24" t="s">
        <v>239</v>
      </c>
    </row>
    <row r="25" spans="1:88" x14ac:dyDescent="0.2">
      <c r="A25" s="52" t="s">
        <v>240</v>
      </c>
      <c r="B25" s="52" t="s">
        <v>73</v>
      </c>
      <c r="C25" s="9" t="s">
        <v>232</v>
      </c>
      <c r="D25" s="52">
        <v>250294582</v>
      </c>
      <c r="E25" s="9">
        <v>10</v>
      </c>
      <c r="F25" s="9">
        <v>32</v>
      </c>
      <c r="G25" s="9">
        <v>30</v>
      </c>
      <c r="I25" s="10">
        <f t="shared" si="0"/>
        <v>2.0448974999999998</v>
      </c>
      <c r="J25" s="11">
        <f t="shared" si="1"/>
        <v>8.7146273106303192E-3</v>
      </c>
      <c r="K25" s="11">
        <f t="shared" si="2"/>
        <v>5.6551923285339031E-3</v>
      </c>
      <c r="L25" s="11">
        <f t="shared" si="3"/>
        <v>3.5053415578927714E-3</v>
      </c>
      <c r="M25" s="11">
        <f t="shared" si="4"/>
        <v>3.0589235846902991E-3</v>
      </c>
      <c r="N25" s="52">
        <f t="shared" si="5"/>
        <v>1415464</v>
      </c>
      <c r="O25" s="11">
        <v>16</v>
      </c>
      <c r="P25" s="12">
        <v>23412684</v>
      </c>
      <c r="Q25" s="12">
        <v>731646.375</v>
      </c>
      <c r="R25" s="12">
        <v>14608.875</v>
      </c>
      <c r="S25" s="13">
        <v>2181224</v>
      </c>
      <c r="T25" s="13">
        <v>877368</v>
      </c>
      <c r="U25" s="13">
        <v>538096</v>
      </c>
      <c r="V25" s="13">
        <v>765632</v>
      </c>
      <c r="W25" s="14">
        <v>66.251324999999994</v>
      </c>
      <c r="X25" s="14">
        <v>68.010493999999994</v>
      </c>
      <c r="Y25" s="14">
        <v>25.909769000000001</v>
      </c>
      <c r="Z25" s="14">
        <v>32.463175</v>
      </c>
      <c r="AA25" s="14">
        <v>31.666146999999999</v>
      </c>
      <c r="AB25" s="15">
        <v>1491.57</v>
      </c>
      <c r="AC25" s="15">
        <v>3654.56</v>
      </c>
      <c r="AD25" s="15">
        <v>57.975000000000001</v>
      </c>
      <c r="AE25" s="15">
        <v>15.289</v>
      </c>
      <c r="AG25" s="10">
        <f t="shared" si="6"/>
        <v>2.0470799999999998</v>
      </c>
      <c r="AH25" s="11">
        <f t="shared" si="7"/>
        <v>8.7239283509540771E-3</v>
      </c>
      <c r="AI25" s="11">
        <f t="shared" si="8"/>
        <v>5.656215123346138E-3</v>
      </c>
      <c r="AJ25" s="11">
        <f t="shared" si="9"/>
        <v>3.5055013695821828E-3</v>
      </c>
      <c r="AK25" s="11">
        <f t="shared" si="10"/>
        <v>3.0672018302018221E-3</v>
      </c>
      <c r="AL25" s="52">
        <f t="shared" si="11"/>
        <v>1415720</v>
      </c>
      <c r="AM25" s="11">
        <v>16</v>
      </c>
      <c r="AN25" s="12">
        <v>23423729</v>
      </c>
      <c r="AO25" s="12">
        <v>731991.53125</v>
      </c>
      <c r="AP25" s="12">
        <v>14601.28125</v>
      </c>
      <c r="AQ25" s="13">
        <v>2183552</v>
      </c>
      <c r="AR25" s="13">
        <v>877408</v>
      </c>
      <c r="AS25" s="13">
        <v>538312</v>
      </c>
      <c r="AT25" s="13">
        <v>767704</v>
      </c>
      <c r="AU25" s="14">
        <v>66.249555999999998</v>
      </c>
      <c r="AV25" s="14">
        <v>68.002122</v>
      </c>
      <c r="AW25" s="14">
        <v>25.914252999999999</v>
      </c>
      <c r="AX25" s="14">
        <v>32.457703000000002</v>
      </c>
      <c r="AY25" s="14">
        <v>31.662741</v>
      </c>
      <c r="AZ25" s="15">
        <v>1736.09</v>
      </c>
      <c r="BA25" s="15">
        <v>4831.38</v>
      </c>
      <c r="BB25" s="15">
        <v>75.263999999999996</v>
      </c>
      <c r="BC25" s="15">
        <v>23.792999999999999</v>
      </c>
      <c r="BE25" s="50">
        <f t="shared" si="12"/>
        <v>1.000180859421363</v>
      </c>
      <c r="BF25" s="16">
        <f t="shared" si="13"/>
        <v>-1.9789201850809596E-5</v>
      </c>
      <c r="BG25" s="16">
        <f t="shared" si="14"/>
        <v>-5.7461947556092241E-4</v>
      </c>
      <c r="BH25" s="16">
        <f t="array" ref="BH25">AVERAGE(AL25:AL29/AQ25:AQ29) - AVERAGE(N25:N29/S25:S29)</f>
        <v>7.6294184888248129E-5</v>
      </c>
      <c r="BJ25" s="50">
        <f>IF( OR(ISBLANK(N25:N29),ISBLANK(AL25:AL29), ISBLANK(W25:W29),ISBLANK(AU25:AU29)), "·", bdRateExtend( N25:N29,W25:W29, AL25:AL29,AU25:AU29))</f>
        <v>-1.8128632546222656E-3</v>
      </c>
      <c r="BK25" s="50">
        <f>IF( OR(ISBLANK(N25:N29),ISBLANK(AL25:AL29), ISBLANK(X25:X29),ISBLANK(AV25:AV29)), "·", bdRateExtend( N25:N29,X25:X29, AL25:AL29,AV25:AV29))</f>
        <v>-1.6154842037781059E-3</v>
      </c>
      <c r="BL25" s="50">
        <f>IF( OR(ISBLANK(V25:V29),ISBLANK(AT25:AT29), ISBLANK(Y25:Y29),ISBLANK(AW25:AW29)), "·", bdRateExtend( V25:V29,Y25:Y29, AT25:AT29,AW25:AW29))</f>
        <v>2.6966339409750795E-4</v>
      </c>
      <c r="BM25" s="50">
        <f>IF( OR(ISBLANK(V25:V29),ISBLANK(AT25:AT29), ISBLANK(Z25:Z29),ISBLANK(AX25:AX29)), "·", bdRateExtend( V25:V29,Z25:Z29, AT25:AT29,AX25:AX29))</f>
        <v>7.9839409394688587E-3</v>
      </c>
      <c r="BN25" s="50">
        <f>IF( OR(ISBLANK(V25:V29),ISBLANK(AT25:AT29), ISBLANK(AA25:AA29),ISBLANK(AY25:AY29)), "·", bdRateExtend( V25:V29,AA25:AA29, AT25:AT29,AY25:AY29))</f>
        <v>3.7190675025200459E-3</v>
      </c>
      <c r="BP25" s="50">
        <f>IF( OR(ISBLANK(S25:S29),ISBLANK(AQ25:AQ29), ISBLANK(W25:W29),ISBLANK(AU25:AU29)), "·", bdRateExtend( S25:S29,W25:W29, AQ25:AQ29,AU25:AU29))</f>
        <v>-5.1438928889937507E-3</v>
      </c>
      <c r="BQ25" s="50">
        <f>IF( OR(ISBLANK(S25:S29),ISBLANK(AQ25:AQ29), ISBLANK(X25:X29),ISBLANK(AV25:AV29)), "·", bdRateExtend( S25:S29,X25:X29, AQ25:AQ29,AV25:AV29))</f>
        <v>-5.3753252691203235E-3</v>
      </c>
      <c r="BR25" s="50">
        <f>IF( OR(ISBLANK(S25:S29),ISBLANK(AQ25:AQ29), ISBLANK(Y25:Y29),ISBLANK(AW25:AW29)), "·", bdRateExtend( S25:S29,Y25:Y29, AQ25:AQ29,AW25:AW29))</f>
        <v>7.7199300665542481E-4</v>
      </c>
      <c r="BS25" s="50">
        <f>IF( OR(ISBLANK(S25:S29),ISBLANK(AQ25:AQ29), ISBLANK(Z25:Z29),ISBLANK(AX25:AX29)), "·", bdRateExtend( S25:S29,Z25:Z29, AQ25:AQ29,AX25:AX29))</f>
        <v>6.8302150537626893E-3</v>
      </c>
      <c r="BT25" s="50">
        <f>IF( OR(ISBLANK(S25:S29),ISBLANK(AQ25:AQ29), ISBLANK(AA25:AA29),ISBLANK(AY25:AY29)), "·", bdRateExtend( S25:S29,AA25:AA29, AQ25:AQ29,AY25:AY29))</f>
        <v>3.2921797630047767E-3</v>
      </c>
      <c r="BV25" s="58">
        <f t="shared" si="16"/>
        <v>11045</v>
      </c>
      <c r="BW25" s="58">
        <f t="shared" si="16"/>
        <v>345.15625</v>
      </c>
      <c r="BX25" s="58">
        <f t="shared" si="16"/>
        <v>-7.59375</v>
      </c>
      <c r="BY25" s="58">
        <f t="shared" si="16"/>
        <v>2328</v>
      </c>
      <c r="BZ25" s="58">
        <f t="shared" si="16"/>
        <v>40</v>
      </c>
      <c r="CA25" s="58">
        <f t="shared" si="16"/>
        <v>216</v>
      </c>
      <c r="CB25" s="58">
        <f t="shared" si="16"/>
        <v>2072</v>
      </c>
      <c r="CC25" s="58">
        <f t="shared" si="16"/>
        <v>-1.7689999999959127E-3</v>
      </c>
      <c r="CD25" s="58">
        <f t="shared" si="16"/>
        <v>-8.3719999999942729E-3</v>
      </c>
      <c r="CE25" s="58">
        <f t="shared" si="16"/>
        <v>4.4839999999979341E-3</v>
      </c>
      <c r="CF25" s="58">
        <f t="shared" si="16"/>
        <v>-5.4719999999974789E-3</v>
      </c>
      <c r="CG25" s="58">
        <f t="shared" si="16"/>
        <v>-3.4059999999982438E-3</v>
      </c>
      <c r="CJ25" t="s">
        <v>579</v>
      </c>
    </row>
    <row r="26" spans="1:88" outlineLevel="1" x14ac:dyDescent="0.2">
      <c r="A26" s="17"/>
      <c r="B26" s="17" t="s">
        <v>73</v>
      </c>
      <c r="C26" s="18" t="s">
        <v>234</v>
      </c>
      <c r="D26" s="17">
        <v>250294582</v>
      </c>
      <c r="E26" s="18">
        <v>10</v>
      </c>
      <c r="F26" s="18">
        <v>32</v>
      </c>
      <c r="G26" s="18">
        <v>30</v>
      </c>
      <c r="I26" s="19">
        <f t="shared" si="0"/>
        <v>3.15978</v>
      </c>
      <c r="J26" s="20">
        <f t="shared" si="1"/>
        <v>1.3465860799176228E-2</v>
      </c>
      <c r="K26" s="20">
        <f t="shared" si="2"/>
        <v>7.1270899503529809E-3</v>
      </c>
      <c r="L26" s="20">
        <f t="shared" si="3"/>
        <v>4.9772391797118483E-3</v>
      </c>
      <c r="M26" s="20">
        <f t="shared" si="4"/>
        <v>6.3382594514171308E-3</v>
      </c>
      <c r="N26" s="17">
        <f t="shared" si="5"/>
        <v>1783872</v>
      </c>
      <c r="O26" s="20">
        <v>16</v>
      </c>
      <c r="P26" s="21">
        <v>24648707</v>
      </c>
      <c r="Q26" s="21">
        <v>770272.09375</v>
      </c>
      <c r="R26" s="21">
        <v>17797.65625</v>
      </c>
      <c r="S26" s="22">
        <v>3370432</v>
      </c>
      <c r="T26" s="22">
        <v>1245776</v>
      </c>
      <c r="U26" s="22">
        <v>538096</v>
      </c>
      <c r="V26" s="22">
        <v>1586432</v>
      </c>
      <c r="W26" s="23">
        <v>68.002730999999997</v>
      </c>
      <c r="X26" s="23">
        <v>70.010191000000006</v>
      </c>
      <c r="Y26" s="23">
        <v>27.925791</v>
      </c>
      <c r="Z26" s="23">
        <v>33.677399999999999</v>
      </c>
      <c r="AA26" s="23">
        <v>33.051555999999998</v>
      </c>
      <c r="AB26" s="24">
        <v>1516.05</v>
      </c>
      <c r="AC26" s="24">
        <v>3896.82</v>
      </c>
      <c r="AD26" s="24">
        <v>61.15</v>
      </c>
      <c r="AE26" s="24">
        <v>15.919</v>
      </c>
      <c r="AG26" s="19">
        <f t="shared" si="6"/>
        <v>3.1578525000000002</v>
      </c>
      <c r="AH26" s="20">
        <f t="shared" si="7"/>
        <v>1.345764647834047E-2</v>
      </c>
      <c r="AI26" s="20">
        <f t="shared" si="8"/>
        <v>7.1305418828442723E-3</v>
      </c>
      <c r="AJ26" s="20">
        <f t="shared" si="9"/>
        <v>4.9798281290803171E-3</v>
      </c>
      <c r="AK26" s="20">
        <f t="shared" si="10"/>
        <v>6.3265931980900809E-3</v>
      </c>
      <c r="AL26" s="17">
        <f t="shared" si="11"/>
        <v>1784736</v>
      </c>
      <c r="AM26" s="20">
        <v>16</v>
      </c>
      <c r="AN26" s="21">
        <v>24642332</v>
      </c>
      <c r="AO26" s="21">
        <v>770072.875</v>
      </c>
      <c r="AP26" s="21">
        <v>17838.375</v>
      </c>
      <c r="AQ26" s="22">
        <v>3368376</v>
      </c>
      <c r="AR26" s="22">
        <v>1246424</v>
      </c>
      <c r="AS26" s="22">
        <v>538312</v>
      </c>
      <c r="AT26" s="22">
        <v>1583512</v>
      </c>
      <c r="AU26" s="23">
        <v>68.005358999999999</v>
      </c>
      <c r="AV26" s="23">
        <v>70.016609000000003</v>
      </c>
      <c r="AW26" s="23">
        <v>27.918291</v>
      </c>
      <c r="AX26" s="23">
        <v>33.668056</v>
      </c>
      <c r="AY26" s="23">
        <v>33.040233999999998</v>
      </c>
      <c r="AZ26" s="24">
        <v>1822.65</v>
      </c>
      <c r="BA26" s="24">
        <v>5278.29</v>
      </c>
      <c r="BB26" s="24">
        <v>74.233000000000004</v>
      </c>
      <c r="BC26" s="24">
        <v>24.611000000000001</v>
      </c>
      <c r="BE26" s="49">
        <f t="shared" si="12"/>
        <v>1.0004843396835648</v>
      </c>
      <c r="BF26" s="25">
        <f t="shared" si="13"/>
        <v>5.8853954030557015E-5</v>
      </c>
      <c r="BG26" s="25">
        <f t="shared" si="14"/>
        <v>5.7956155364102813E-4</v>
      </c>
      <c r="BH26" s="25"/>
      <c r="BJ26" s="49"/>
      <c r="BK26" s="49"/>
      <c r="BL26" s="49"/>
      <c r="BM26" s="49"/>
      <c r="BN26" s="49"/>
      <c r="BP26" s="49"/>
      <c r="BQ26" s="49"/>
      <c r="BR26" s="49"/>
      <c r="BS26" s="49"/>
      <c r="BT26" s="49"/>
      <c r="BV26" s="58">
        <f t="shared" si="16"/>
        <v>-6375</v>
      </c>
      <c r="BW26" s="58">
        <f t="shared" si="16"/>
        <v>-199.21875</v>
      </c>
      <c r="BX26" s="58">
        <f t="shared" si="16"/>
        <v>40.71875</v>
      </c>
      <c r="BY26" s="58">
        <f t="shared" si="16"/>
        <v>-2056</v>
      </c>
      <c r="BZ26" s="58">
        <f t="shared" si="16"/>
        <v>648</v>
      </c>
      <c r="CA26" s="58">
        <f t="shared" si="16"/>
        <v>216</v>
      </c>
      <c r="CB26" s="58">
        <f t="shared" si="16"/>
        <v>-2920</v>
      </c>
      <c r="CC26" s="58">
        <f t="shared" si="16"/>
        <v>2.628000000001407E-3</v>
      </c>
      <c r="CD26" s="58">
        <f t="shared" si="16"/>
        <v>6.4179999999964821E-3</v>
      </c>
      <c r="CE26" s="58">
        <f t="shared" si="16"/>
        <v>-7.5000000000002842E-3</v>
      </c>
      <c r="CF26" s="58">
        <f t="shared" si="16"/>
        <v>-9.3439999999986867E-3</v>
      </c>
      <c r="CG26" s="58">
        <f t="shared" si="16"/>
        <v>-1.1321999999999832E-2</v>
      </c>
      <c r="CJ26" t="s">
        <v>579</v>
      </c>
    </row>
    <row r="27" spans="1:88" outlineLevel="1" x14ac:dyDescent="0.2">
      <c r="A27" s="52"/>
      <c r="B27" s="52" t="s">
        <v>73</v>
      </c>
      <c r="C27" s="9" t="s">
        <v>235</v>
      </c>
      <c r="D27" s="52">
        <v>250294582</v>
      </c>
      <c r="E27" s="9">
        <v>10</v>
      </c>
      <c r="F27" s="9">
        <v>32</v>
      </c>
      <c r="G27" s="9">
        <v>30</v>
      </c>
      <c r="I27" s="10">
        <f t="shared" si="0"/>
        <v>5.3363399999999999</v>
      </c>
      <c r="J27" s="11">
        <f t="shared" si="1"/>
        <v>2.2741586951330814E-2</v>
      </c>
      <c r="K27" s="11">
        <f t="shared" si="2"/>
        <v>9.2896617314712788E-3</v>
      </c>
      <c r="L27" s="11">
        <f t="shared" si="3"/>
        <v>7.1398109608301471E-3</v>
      </c>
      <c r="M27" s="11">
        <f t="shared" si="4"/>
        <v>1.3451413822453417E-2</v>
      </c>
      <c r="N27" s="52">
        <f t="shared" si="5"/>
        <v>2325152</v>
      </c>
      <c r="O27" s="11">
        <v>16</v>
      </c>
      <c r="P27" s="12">
        <v>24857847</v>
      </c>
      <c r="Q27" s="12">
        <v>776807.71875</v>
      </c>
      <c r="R27" s="12">
        <v>18658.46875</v>
      </c>
      <c r="S27" s="13">
        <v>5692096</v>
      </c>
      <c r="T27" s="13">
        <v>1787056</v>
      </c>
      <c r="U27" s="13">
        <v>538096</v>
      </c>
      <c r="V27" s="13">
        <v>3366816</v>
      </c>
      <c r="W27" s="14">
        <v>69.296149999999997</v>
      </c>
      <c r="X27" s="14">
        <v>71.689296999999996</v>
      </c>
      <c r="Y27" s="14">
        <v>30.202109</v>
      </c>
      <c r="Z27" s="14">
        <v>34.929958999999997</v>
      </c>
      <c r="AA27" s="14">
        <v>34.360869000000001</v>
      </c>
      <c r="AB27" s="15">
        <v>1894.11</v>
      </c>
      <c r="AC27" s="15">
        <v>5745.82</v>
      </c>
      <c r="AD27" s="15">
        <v>75.283000000000001</v>
      </c>
      <c r="AE27" s="15">
        <v>25.97</v>
      </c>
      <c r="AG27" s="10">
        <f t="shared" si="6"/>
        <v>5.3414400000000004</v>
      </c>
      <c r="AH27" s="11">
        <f t="shared" si="7"/>
        <v>2.2763321341090794E-2</v>
      </c>
      <c r="AI27" s="11">
        <f t="shared" si="8"/>
        <v>9.2935291743550408E-3</v>
      </c>
      <c r="AJ27" s="11">
        <f t="shared" si="9"/>
        <v>7.1428154205910857E-3</v>
      </c>
      <c r="AK27" s="11">
        <f t="shared" si="10"/>
        <v>1.3469280769329637E-2</v>
      </c>
      <c r="AL27" s="52">
        <f t="shared" si="11"/>
        <v>2326120</v>
      </c>
      <c r="AM27" s="11">
        <v>16</v>
      </c>
      <c r="AN27" s="12">
        <v>24875407</v>
      </c>
      <c r="AO27" s="12">
        <v>777356.46875</v>
      </c>
      <c r="AP27" s="12">
        <v>18687.4375</v>
      </c>
      <c r="AQ27" s="13">
        <v>5697536</v>
      </c>
      <c r="AR27" s="13">
        <v>1787808</v>
      </c>
      <c r="AS27" s="13">
        <v>538312</v>
      </c>
      <c r="AT27" s="13">
        <v>3371288</v>
      </c>
      <c r="AU27" s="14">
        <v>69.301755999999997</v>
      </c>
      <c r="AV27" s="14">
        <v>71.690518999999995</v>
      </c>
      <c r="AW27" s="14">
        <v>30.205874999999999</v>
      </c>
      <c r="AX27" s="14">
        <v>34.909818999999999</v>
      </c>
      <c r="AY27" s="14">
        <v>34.350633999999999</v>
      </c>
      <c r="AZ27" s="15">
        <v>1829.3</v>
      </c>
      <c r="BA27" s="15">
        <v>5716.76</v>
      </c>
      <c r="BB27" s="15">
        <v>74.947999999999993</v>
      </c>
      <c r="BC27" s="15">
        <v>25.100999999999999</v>
      </c>
      <c r="BE27" s="50">
        <f t="shared" si="12"/>
        <v>1.0004163168687468</v>
      </c>
      <c r="BF27" s="16">
        <f t="shared" si="13"/>
        <v>2.0309980552461748E-5</v>
      </c>
      <c r="BG27" s="16">
        <f t="shared" si="14"/>
        <v>-2.201256559840048E-4</v>
      </c>
      <c r="BH27" s="16"/>
      <c r="BJ27" s="50"/>
      <c r="BK27" s="50"/>
      <c r="BL27" s="50"/>
      <c r="BM27" s="50"/>
      <c r="BN27" s="50"/>
      <c r="BP27" s="50"/>
      <c r="BQ27" s="50"/>
      <c r="BR27" s="50"/>
      <c r="BS27" s="50"/>
      <c r="BT27" s="50"/>
      <c r="BV27" s="58">
        <f t="shared" si="16"/>
        <v>17560</v>
      </c>
      <c r="BW27" s="58">
        <f t="shared" si="16"/>
        <v>548.75</v>
      </c>
      <c r="BX27" s="58">
        <f t="shared" si="16"/>
        <v>28.96875</v>
      </c>
      <c r="BY27" s="58">
        <f t="shared" si="16"/>
        <v>5440</v>
      </c>
      <c r="BZ27" s="58">
        <f t="shared" si="16"/>
        <v>752</v>
      </c>
      <c r="CA27" s="58">
        <f t="shared" si="16"/>
        <v>216</v>
      </c>
      <c r="CB27" s="58">
        <f t="shared" si="16"/>
        <v>4472</v>
      </c>
      <c r="CC27" s="58">
        <f t="shared" si="16"/>
        <v>5.6060000000002219E-3</v>
      </c>
      <c r="CD27" s="58">
        <f t="shared" si="16"/>
        <v>1.2219999999985021E-3</v>
      </c>
      <c r="CE27" s="58">
        <f t="shared" si="16"/>
        <v>3.7659999999988258E-3</v>
      </c>
      <c r="CF27" s="58">
        <f t="shared" si="16"/>
        <v>-2.0139999999997826E-2</v>
      </c>
      <c r="CG27" s="58">
        <f t="shared" si="16"/>
        <v>-1.0235000000001548E-2</v>
      </c>
      <c r="CJ27" t="s">
        <v>579</v>
      </c>
    </row>
    <row r="28" spans="1:88" outlineLevel="1" x14ac:dyDescent="0.2">
      <c r="A28" s="17"/>
      <c r="B28" s="17" t="s">
        <v>73</v>
      </c>
      <c r="C28" s="18" t="s">
        <v>236</v>
      </c>
      <c r="D28" s="17">
        <v>250294582</v>
      </c>
      <c r="E28" s="18">
        <v>10</v>
      </c>
      <c r="F28" s="18">
        <v>32</v>
      </c>
      <c r="G28" s="18">
        <v>30</v>
      </c>
      <c r="I28" s="19">
        <f t="shared" si="0"/>
        <v>10.290495</v>
      </c>
      <c r="J28" s="20">
        <f t="shared" si="1"/>
        <v>4.3854437088853962E-2</v>
      </c>
      <c r="K28" s="20">
        <f t="shared" si="2"/>
        <v>1.3047569683310204E-2</v>
      </c>
      <c r="L28" s="20">
        <f t="shared" si="3"/>
        <v>1.0897718912669073E-2</v>
      </c>
      <c r="M28" s="20">
        <f t="shared" si="4"/>
        <v>3.0806356008137643E-2</v>
      </c>
      <c r="N28" s="17">
        <f t="shared" si="5"/>
        <v>3265736</v>
      </c>
      <c r="O28" s="20">
        <v>16</v>
      </c>
      <c r="P28" s="21">
        <v>25537404</v>
      </c>
      <c r="Q28" s="21">
        <v>798043.875</v>
      </c>
      <c r="R28" s="21">
        <v>21046.3125</v>
      </c>
      <c r="S28" s="22">
        <v>10976528</v>
      </c>
      <c r="T28" s="22">
        <v>2727640</v>
      </c>
      <c r="U28" s="22">
        <v>538096</v>
      </c>
      <c r="V28" s="22">
        <v>7710664</v>
      </c>
      <c r="W28" s="23">
        <v>70.432888000000005</v>
      </c>
      <c r="X28" s="23">
        <v>72.951318999999998</v>
      </c>
      <c r="Y28" s="23">
        <v>32.697330999999998</v>
      </c>
      <c r="Z28" s="23">
        <v>36.426065999999999</v>
      </c>
      <c r="AA28" s="23">
        <v>35.863</v>
      </c>
      <c r="AB28" s="24">
        <v>2078.8200000000002</v>
      </c>
      <c r="AC28" s="24">
        <v>6285.18</v>
      </c>
      <c r="AD28" s="24">
        <v>101.026</v>
      </c>
      <c r="AE28" s="24">
        <v>28.05</v>
      </c>
      <c r="AG28" s="19">
        <f t="shared" si="6"/>
        <v>10.325295000000001</v>
      </c>
      <c r="AH28" s="20">
        <f t="shared" si="7"/>
        <v>4.4002742336627966E-2</v>
      </c>
      <c r="AI28" s="20">
        <f t="shared" si="8"/>
        <v>1.3127699264381201E-2</v>
      </c>
      <c r="AJ28" s="20">
        <f t="shared" si="9"/>
        <v>1.0976985510617245E-2</v>
      </c>
      <c r="AK28" s="20">
        <f t="shared" si="10"/>
        <v>3.0874531674840649E-2</v>
      </c>
      <c r="AL28" s="17">
        <f t="shared" si="11"/>
        <v>3285792</v>
      </c>
      <c r="AM28" s="20">
        <v>16</v>
      </c>
      <c r="AN28" s="21">
        <v>25558634</v>
      </c>
      <c r="AO28" s="21">
        <v>798707.3125</v>
      </c>
      <c r="AP28" s="21">
        <v>21108.9375</v>
      </c>
      <c r="AQ28" s="22">
        <v>11013648</v>
      </c>
      <c r="AR28" s="22">
        <v>2747480</v>
      </c>
      <c r="AS28" s="22">
        <v>538312</v>
      </c>
      <c r="AT28" s="22">
        <v>7727728</v>
      </c>
      <c r="AU28" s="23">
        <v>70.462115999999995</v>
      </c>
      <c r="AV28" s="23">
        <v>72.993594000000002</v>
      </c>
      <c r="AW28" s="23">
        <v>32.704628</v>
      </c>
      <c r="AX28" s="23">
        <v>36.413840999999998</v>
      </c>
      <c r="AY28" s="23">
        <v>35.864955999999999</v>
      </c>
      <c r="AZ28" s="24">
        <v>1596.33</v>
      </c>
      <c r="BA28" s="24">
        <v>4810.66</v>
      </c>
      <c r="BB28" s="24">
        <v>67.233000000000004</v>
      </c>
      <c r="BC28" s="24">
        <v>18.516999999999999</v>
      </c>
      <c r="BE28" s="49">
        <f t="shared" si="12"/>
        <v>1.0061413414923925</v>
      </c>
      <c r="BF28" s="25">
        <f t="shared" si="13"/>
        <v>5.6502020978083795E-5</v>
      </c>
      <c r="BG28" s="25">
        <f t="shared" si="14"/>
        <v>8.1826291023356923E-4</v>
      </c>
      <c r="BH28" s="25"/>
      <c r="BJ28" s="49"/>
      <c r="BK28" s="49"/>
      <c r="BL28" s="49"/>
      <c r="BM28" s="49"/>
      <c r="BN28" s="49"/>
      <c r="BP28" s="49"/>
      <c r="BQ28" s="49"/>
      <c r="BR28" s="49"/>
      <c r="BS28" s="49"/>
      <c r="BT28" s="49"/>
      <c r="BV28" s="58">
        <f t="shared" si="16"/>
        <v>21230</v>
      </c>
      <c r="BW28" s="58">
        <f t="shared" si="16"/>
        <v>663.4375</v>
      </c>
      <c r="BX28" s="58">
        <f t="shared" si="16"/>
        <v>62.625</v>
      </c>
      <c r="BY28" s="58">
        <f t="shared" si="16"/>
        <v>37120</v>
      </c>
      <c r="BZ28" s="58">
        <f t="shared" si="16"/>
        <v>19840</v>
      </c>
      <c r="CA28" s="58">
        <f t="shared" si="16"/>
        <v>216</v>
      </c>
      <c r="CB28" s="58">
        <f t="shared" si="16"/>
        <v>17064</v>
      </c>
      <c r="CC28" s="58">
        <f t="shared" si="16"/>
        <v>2.9227999999989152E-2</v>
      </c>
      <c r="CD28" s="58">
        <f t="shared" si="16"/>
        <v>4.2275000000003615E-2</v>
      </c>
      <c r="CE28" s="58">
        <f t="shared" si="16"/>
        <v>7.2970000000012192E-3</v>
      </c>
      <c r="CF28" s="58">
        <f t="shared" si="16"/>
        <v>-1.2225000000000819E-2</v>
      </c>
      <c r="CG28" s="58">
        <f t="shared" si="16"/>
        <v>1.9559999999998468E-3</v>
      </c>
      <c r="CJ28" t="s">
        <v>579</v>
      </c>
    </row>
    <row r="29" spans="1:88" ht="16" outlineLevel="1" thickBot="1" x14ac:dyDescent="0.25">
      <c r="A29" s="26"/>
      <c r="B29" s="26" t="s">
        <v>73</v>
      </c>
      <c r="C29" s="27" t="s">
        <v>237</v>
      </c>
      <c r="D29" s="26">
        <v>250294582</v>
      </c>
      <c r="E29" s="27">
        <v>10</v>
      </c>
      <c r="F29" s="27">
        <v>32</v>
      </c>
      <c r="G29" s="27">
        <v>30</v>
      </c>
      <c r="I29" s="28">
        <f t="shared" si="0"/>
        <v>23.846152499999999</v>
      </c>
      <c r="J29" s="29">
        <f t="shared" si="1"/>
        <v>0.10162383778646875</v>
      </c>
      <c r="K29" s="29">
        <f t="shared" si="2"/>
        <v>2.1600819149972653E-2</v>
      </c>
      <c r="L29" s="29">
        <f t="shared" si="3"/>
        <v>1.7254836143436775E-2</v>
      </c>
      <c r="M29" s="29">
        <f t="shared" si="4"/>
        <v>8.0022507239089977E-2</v>
      </c>
      <c r="N29" s="26">
        <f t="shared" si="5"/>
        <v>5406568</v>
      </c>
      <c r="O29" s="29">
        <v>16</v>
      </c>
      <c r="P29" s="30">
        <v>24583774</v>
      </c>
      <c r="Q29" s="30">
        <v>768242.9375</v>
      </c>
      <c r="R29" s="30">
        <v>9806.65625</v>
      </c>
      <c r="S29" s="31">
        <v>25435896</v>
      </c>
      <c r="T29" s="31">
        <v>4318792</v>
      </c>
      <c r="U29" s="31">
        <v>1087776</v>
      </c>
      <c r="V29" s="31">
        <v>20029200</v>
      </c>
      <c r="W29" s="32">
        <v>71.135999999999996</v>
      </c>
      <c r="X29" s="32">
        <v>74.866600000000005</v>
      </c>
      <c r="Y29" s="32">
        <v>35.75535</v>
      </c>
      <c r="Z29" s="32">
        <v>38.381422000000001</v>
      </c>
      <c r="AA29" s="32">
        <v>37.767671999999997</v>
      </c>
      <c r="AB29" s="33">
        <v>1822.33</v>
      </c>
      <c r="AC29" s="33">
        <v>6929.7</v>
      </c>
      <c r="AD29" s="33">
        <v>71.174000000000007</v>
      </c>
      <c r="AE29" s="33">
        <v>28.797999999999998</v>
      </c>
      <c r="AG29" s="28">
        <f t="shared" si="6"/>
        <v>23.852354999999999</v>
      </c>
      <c r="AH29" s="29">
        <f t="shared" si="7"/>
        <v>0.10165027063989743</v>
      </c>
      <c r="AI29" s="29">
        <f t="shared" si="8"/>
        <v>2.15839110732329E-2</v>
      </c>
      <c r="AJ29" s="29">
        <f t="shared" si="9"/>
        <v>1.7231247938079619E-2</v>
      </c>
      <c r="AK29" s="29">
        <f t="shared" si="10"/>
        <v>8.0065848169258408E-2</v>
      </c>
      <c r="AL29" s="26">
        <f t="shared" si="11"/>
        <v>5402336</v>
      </c>
      <c r="AM29" s="29">
        <v>16</v>
      </c>
      <c r="AN29" s="30">
        <v>24591050</v>
      </c>
      <c r="AO29" s="30">
        <v>768470.3125</v>
      </c>
      <c r="AP29" s="30">
        <v>9839.84375</v>
      </c>
      <c r="AQ29" s="31">
        <v>25442512</v>
      </c>
      <c r="AR29" s="31">
        <v>4312888</v>
      </c>
      <c r="AS29" s="31">
        <v>1089448</v>
      </c>
      <c r="AT29" s="31">
        <v>20040048</v>
      </c>
      <c r="AU29" s="32">
        <v>71.138030999999998</v>
      </c>
      <c r="AV29" s="32">
        <v>74.865933999999996</v>
      </c>
      <c r="AW29" s="32">
        <v>35.755878000000003</v>
      </c>
      <c r="AX29" s="32">
        <v>38.367171999999997</v>
      </c>
      <c r="AY29" s="32">
        <v>37.762050000000002</v>
      </c>
      <c r="AZ29" s="33">
        <v>1788.24</v>
      </c>
      <c r="BA29" s="33">
        <v>5722.98</v>
      </c>
      <c r="BB29" s="33">
        <v>64.489999999999995</v>
      </c>
      <c r="BC29" s="33">
        <v>21.28</v>
      </c>
      <c r="BE29" s="34">
        <f t="shared" si="12"/>
        <v>0.99921724835422387</v>
      </c>
      <c r="BF29" s="35">
        <f t="shared" si="13"/>
        <v>3.9409522044363265E-5</v>
      </c>
      <c r="BG29" s="35">
        <f t="shared" si="14"/>
        <v>-2.2160840788831848E-4</v>
      </c>
      <c r="BH29" s="35"/>
      <c r="BJ29" s="34"/>
      <c r="BK29" s="34"/>
      <c r="BL29" s="34"/>
      <c r="BM29" s="34"/>
      <c r="BN29" s="34"/>
      <c r="BP29" s="34"/>
      <c r="BQ29" s="34"/>
      <c r="BR29" s="34"/>
      <c r="BS29" s="34"/>
      <c r="BT29" s="34"/>
      <c r="BV29" s="58">
        <f t="shared" si="16"/>
        <v>7276</v>
      </c>
      <c r="BW29" s="58">
        <f t="shared" si="16"/>
        <v>227.375</v>
      </c>
      <c r="BX29" s="58">
        <f t="shared" si="16"/>
        <v>33.1875</v>
      </c>
      <c r="BY29" s="58">
        <f t="shared" si="16"/>
        <v>6616</v>
      </c>
      <c r="BZ29" s="58">
        <f t="shared" si="16"/>
        <v>-5904</v>
      </c>
      <c r="CA29" s="58">
        <f t="shared" si="16"/>
        <v>1672</v>
      </c>
      <c r="CB29" s="58">
        <f t="shared" si="16"/>
        <v>10848</v>
      </c>
      <c r="CC29" s="58">
        <f t="shared" si="16"/>
        <v>2.0310000000023365E-3</v>
      </c>
      <c r="CD29" s="58">
        <f t="shared" si="16"/>
        <v>-6.6600000000960335E-4</v>
      </c>
      <c r="CE29" s="58">
        <f t="shared" si="16"/>
        <v>5.2800000000274849E-4</v>
      </c>
      <c r="CF29" s="58">
        <f t="shared" si="16"/>
        <v>-1.4250000000004093E-2</v>
      </c>
      <c r="CG29" s="58">
        <f t="shared" si="16"/>
        <v>-5.6219999999953529E-3</v>
      </c>
      <c r="CJ29" t="s">
        <v>579</v>
      </c>
    </row>
    <row r="30" spans="1:88" x14ac:dyDescent="0.2">
      <c r="A30" s="17" t="s">
        <v>242</v>
      </c>
      <c r="B30" s="17" t="s">
        <v>77</v>
      </c>
      <c r="C30" s="18" t="s">
        <v>232</v>
      </c>
      <c r="D30" s="17">
        <v>375422539</v>
      </c>
      <c r="E30" s="18">
        <v>11</v>
      </c>
      <c r="F30" s="18">
        <v>32</v>
      </c>
      <c r="G30" s="18">
        <v>30</v>
      </c>
      <c r="I30" s="19">
        <f t="shared" si="0"/>
        <v>3.6894149999999999</v>
      </c>
      <c r="J30" s="20">
        <f t="shared" si="1"/>
        <v>1.0482524598769494E-2</v>
      </c>
      <c r="K30" s="20">
        <f t="shared" si="2"/>
        <v>8.297360111349095E-3</v>
      </c>
      <c r="L30" s="20">
        <f t="shared" si="3"/>
        <v>5.2618684143521813E-3</v>
      </c>
      <c r="M30" s="20">
        <f t="shared" si="4"/>
        <v>2.1848235382585807E-3</v>
      </c>
      <c r="N30" s="17">
        <f t="shared" si="5"/>
        <v>3115016</v>
      </c>
      <c r="O30" s="20">
        <v>16</v>
      </c>
      <c r="P30" s="21">
        <v>86208632</v>
      </c>
      <c r="Q30" s="21">
        <v>2694019.75</v>
      </c>
      <c r="R30" s="21">
        <v>33860.09375</v>
      </c>
      <c r="S30" s="22">
        <v>3935376</v>
      </c>
      <c r="T30" s="22">
        <v>1975424</v>
      </c>
      <c r="U30" s="22">
        <v>1139592</v>
      </c>
      <c r="V30" s="22">
        <v>820232</v>
      </c>
      <c r="W30" s="23">
        <v>73.637628000000007</v>
      </c>
      <c r="X30" s="23">
        <v>75.747080999999994</v>
      </c>
      <c r="Y30" s="23">
        <v>33.240774999999999</v>
      </c>
      <c r="Z30" s="23">
        <v>41.9146</v>
      </c>
      <c r="AA30" s="23">
        <v>43.267381</v>
      </c>
      <c r="AB30" s="24">
        <v>3686.14</v>
      </c>
      <c r="AC30" s="24">
        <v>16577.400000000001</v>
      </c>
      <c r="AD30" s="24">
        <v>230.77500000000001</v>
      </c>
      <c r="AE30" s="24">
        <v>74.962999999999994</v>
      </c>
      <c r="AG30" s="19">
        <f t="shared" si="6"/>
        <v>3.6931050000000001</v>
      </c>
      <c r="AH30" s="20">
        <f t="shared" si="7"/>
        <v>1.0493008785495429E-2</v>
      </c>
      <c r="AI30" s="20">
        <f t="shared" si="8"/>
        <v>8.3077803701071869E-3</v>
      </c>
      <c r="AJ30" s="20">
        <f t="shared" si="9"/>
        <v>5.2756768554058494E-3</v>
      </c>
      <c r="AK30" s="20">
        <f t="shared" si="10"/>
        <v>2.1848874662264216E-3</v>
      </c>
      <c r="AL30" s="17">
        <f t="shared" si="11"/>
        <v>3118928</v>
      </c>
      <c r="AM30" s="20">
        <v>16</v>
      </c>
      <c r="AN30" s="21">
        <v>86243398</v>
      </c>
      <c r="AO30" s="21">
        <v>2695106.1875</v>
      </c>
      <c r="AP30" s="21">
        <v>33846.0625</v>
      </c>
      <c r="AQ30" s="22">
        <v>3939312</v>
      </c>
      <c r="AR30" s="22">
        <v>1980608</v>
      </c>
      <c r="AS30" s="22">
        <v>1138320</v>
      </c>
      <c r="AT30" s="22">
        <v>820256</v>
      </c>
      <c r="AU30" s="23">
        <v>73.637074999999996</v>
      </c>
      <c r="AV30" s="23">
        <v>75.742599999999996</v>
      </c>
      <c r="AW30" s="23">
        <v>33.230944000000001</v>
      </c>
      <c r="AX30" s="23">
        <v>41.929219000000003</v>
      </c>
      <c r="AY30" s="23">
        <v>43.316119</v>
      </c>
      <c r="AZ30" s="24">
        <v>3999.39</v>
      </c>
      <c r="BA30" s="24">
        <v>17267</v>
      </c>
      <c r="BB30" s="24">
        <v>236.59899999999999</v>
      </c>
      <c r="BC30" s="24">
        <v>76.406000000000006</v>
      </c>
      <c r="BE30" s="49">
        <f t="shared" si="12"/>
        <v>1.0012558522973878</v>
      </c>
      <c r="BF30" s="25">
        <f t="shared" si="13"/>
        <v>-1.0272791276511734E-5</v>
      </c>
      <c r="BG30" s="25">
        <f t="shared" si="14"/>
        <v>2.0219014835465288E-4</v>
      </c>
      <c r="BH30" s="25">
        <f t="array" ref="BH30">AVERAGE(AL30:AL34/AQ30:AQ34) - AVERAGE(N30:N34/S30:S34)</f>
        <v>1.5150127575136452E-5</v>
      </c>
      <c r="BJ30" s="49">
        <f>IF( OR(ISBLANK(N30:N34),ISBLANK(AL30:AL34), ISBLANK(W30:W34),ISBLANK(AU30:AU34)), "·", bdRateExtend( N30:N34,W30:W34, AL30:AL34,AU30:AU34))</f>
        <v>1.3053461575407432E-4</v>
      </c>
      <c r="BK30" s="49">
        <f>IF( OR(ISBLANK(N30:N34),ISBLANK(AL30:AL34), ISBLANK(X30:X34),ISBLANK(AV30:AV34)), "·", bdRateExtend( N30:N34,X30:X34, AL30:AL34,AV30:AV34))</f>
        <v>2.6740726364549161E-4</v>
      </c>
      <c r="BL30" s="49">
        <f>IF( OR(ISBLANK(V30:V34),ISBLANK(AT30:AT34), ISBLANK(Y30:Y34),ISBLANK(AW30:AW34)), "·", bdRateExtend( V30:V34,Y30:Y34, AT30:AT34,AW30:AW34))</f>
        <v>-2.1971967578615637E-4</v>
      </c>
      <c r="BM30" s="49">
        <f>IF( OR(ISBLANK(V30:V34),ISBLANK(AT30:AT34), ISBLANK(Z30:Z34),ISBLANK(AX30:AX34)), "·", bdRateExtend( V30:V34,Z30:Z34, AT30:AT34,AX30:AX34))</f>
        <v>8.4507674309521885E-3</v>
      </c>
      <c r="BN30" s="49">
        <f>IF( OR(ISBLANK(V30:V34),ISBLANK(AT30:AT34), ISBLANK(AA30:AA34),ISBLANK(AY30:AY34)), "·", bdRateExtend( V30:V34,AA30:AA34, AT30:AT34,AY30:AY34))</f>
        <v>-2.5826149859749625E-2</v>
      </c>
      <c r="BP30" s="49">
        <f>IF( OR(ISBLANK(S30:S34),ISBLANK(AQ30:AQ34), ISBLANK(W30:W34),ISBLANK(AU30:AU34)), "·", bdRateExtend( S30:S34,W30:W34, AQ30:AQ34,AU30:AU34))</f>
        <v>2.5687188945133776E-4</v>
      </c>
      <c r="BQ30" s="49">
        <f>IF( OR(ISBLANK(S30:S34),ISBLANK(AQ30:AQ34), ISBLANK(X30:X34),ISBLANK(AV30:AV34)), "·", bdRateExtend( S30:S34,X30:X34, AQ30:AQ34,AV30:AV34))</f>
        <v>4.1065205060553112E-4</v>
      </c>
      <c r="BR30" s="49">
        <f>IF( OR(ISBLANK(S30:S34),ISBLANK(AQ30:AQ34), ISBLANK(Y30:Y34),ISBLANK(AW30:AW34)), "·", bdRateExtend( S30:S34,Y30:Y34, AQ30:AQ34,AW30:AW34))</f>
        <v>-1.8168884893587922E-4</v>
      </c>
      <c r="BS30" s="49">
        <f>IF( OR(ISBLANK(S30:S34),ISBLANK(AQ30:AQ34), ISBLANK(Z30:Z34),ISBLANK(AX30:AX34)), "·", bdRateExtend( S30:S34,Z30:Z34, AQ30:AQ34,AX30:AX34))</f>
        <v>5.7693607029016825E-3</v>
      </c>
      <c r="BT30" s="49">
        <f>IF( OR(ISBLANK(S30:S34),ISBLANK(AQ30:AQ34), ISBLANK(AA30:AA34),ISBLANK(AY30:AY34)), "·", bdRateExtend( S30:S34,AA30:AA34, AQ30:AQ34,AY30:AY34))</f>
        <v>-1.2215564012766911E-2</v>
      </c>
      <c r="BV30" s="58">
        <f t="shared" si="16"/>
        <v>34766</v>
      </c>
      <c r="BW30" s="58">
        <f t="shared" si="16"/>
        <v>1086.4375</v>
      </c>
      <c r="BX30" s="58">
        <f t="shared" si="16"/>
        <v>-14.03125</v>
      </c>
      <c r="BY30" s="58">
        <f t="shared" si="16"/>
        <v>3936</v>
      </c>
      <c r="BZ30" s="58">
        <f t="shared" si="16"/>
        <v>5184</v>
      </c>
      <c r="CA30" s="58">
        <f t="shared" si="16"/>
        <v>-1272</v>
      </c>
      <c r="CB30" s="58">
        <f t="shared" si="16"/>
        <v>24</v>
      </c>
      <c r="CC30" s="58">
        <f t="shared" si="16"/>
        <v>-5.5300000001068383E-4</v>
      </c>
      <c r="CD30" s="58">
        <f t="shared" si="16"/>
        <v>-4.4809999999984029E-3</v>
      </c>
      <c r="CE30" s="58">
        <f t="shared" si="16"/>
        <v>-9.8309999999983688E-3</v>
      </c>
      <c r="CF30" s="58">
        <f t="shared" si="16"/>
        <v>1.4619000000003268E-2</v>
      </c>
      <c r="CG30" s="58">
        <f t="shared" si="16"/>
        <v>4.873800000000017E-2</v>
      </c>
      <c r="CJ30" t="s">
        <v>588</v>
      </c>
    </row>
    <row r="31" spans="1:88" outlineLevel="1" x14ac:dyDescent="0.2">
      <c r="A31" s="52"/>
      <c r="B31" s="52" t="s">
        <v>77</v>
      </c>
      <c r="C31" s="9" t="s">
        <v>234</v>
      </c>
      <c r="D31" s="52">
        <v>375422539</v>
      </c>
      <c r="E31" s="9">
        <v>11</v>
      </c>
      <c r="F31" s="9">
        <v>32</v>
      </c>
      <c r="G31" s="9">
        <v>30</v>
      </c>
      <c r="I31" s="10">
        <f t="shared" si="0"/>
        <v>4.9329599999999996</v>
      </c>
      <c r="J31" s="11">
        <f t="shared" si="1"/>
        <v>1.4015738144054265E-2</v>
      </c>
      <c r="K31" s="11">
        <f t="shared" si="2"/>
        <v>1.0248058122051111E-2</v>
      </c>
      <c r="L31" s="11">
        <f t="shared" si="3"/>
        <v>7.2125664250541977E-3</v>
      </c>
      <c r="M31" s="11">
        <f t="shared" si="4"/>
        <v>3.7673390728413352E-3</v>
      </c>
      <c r="N31" s="52">
        <f t="shared" si="5"/>
        <v>3847352</v>
      </c>
      <c r="O31" s="11">
        <v>16</v>
      </c>
      <c r="P31" s="12">
        <v>90551726</v>
      </c>
      <c r="Q31" s="12">
        <v>2829741.4375</v>
      </c>
      <c r="R31" s="12">
        <v>41417.5</v>
      </c>
      <c r="S31" s="13">
        <v>5261824</v>
      </c>
      <c r="T31" s="13">
        <v>2707760</v>
      </c>
      <c r="U31" s="13">
        <v>1139592</v>
      </c>
      <c r="V31" s="13">
        <v>1414344</v>
      </c>
      <c r="W31" s="14">
        <v>75.248311999999999</v>
      </c>
      <c r="X31" s="14">
        <v>77.578466000000006</v>
      </c>
      <c r="Y31" s="14">
        <v>35.169468999999999</v>
      </c>
      <c r="Z31" s="14">
        <v>42.574233999999997</v>
      </c>
      <c r="AA31" s="14">
        <v>44.326247000000002</v>
      </c>
      <c r="AB31" s="15">
        <v>4459.49</v>
      </c>
      <c r="AC31" s="15">
        <v>22616.6</v>
      </c>
      <c r="AD31" s="15">
        <v>281.82400000000001</v>
      </c>
      <c r="AE31" s="15">
        <v>102.86</v>
      </c>
      <c r="AG31" s="10">
        <f t="shared" si="6"/>
        <v>4.9305450000000004</v>
      </c>
      <c r="AH31" s="11">
        <f t="shared" si="7"/>
        <v>1.4008876542172659E-2</v>
      </c>
      <c r="AI31" s="11">
        <f t="shared" si="8"/>
        <v>1.0247631935598838E-2</v>
      </c>
      <c r="AJ31" s="11">
        <f t="shared" si="9"/>
        <v>7.2155284208974997E-3</v>
      </c>
      <c r="AK31" s="11">
        <f t="shared" si="10"/>
        <v>3.7609036574120019E-3</v>
      </c>
      <c r="AL31" s="52">
        <f t="shared" si="11"/>
        <v>3847192</v>
      </c>
      <c r="AM31" s="11">
        <v>16</v>
      </c>
      <c r="AN31" s="12">
        <v>90541792</v>
      </c>
      <c r="AO31" s="12">
        <v>2829431</v>
      </c>
      <c r="AP31" s="12">
        <v>41460.6875</v>
      </c>
      <c r="AQ31" s="13">
        <v>5259248</v>
      </c>
      <c r="AR31" s="13">
        <v>2708872</v>
      </c>
      <c r="AS31" s="13">
        <v>1138320</v>
      </c>
      <c r="AT31" s="13">
        <v>1411928</v>
      </c>
      <c r="AU31" s="14">
        <v>75.252650000000003</v>
      </c>
      <c r="AV31" s="14">
        <v>77.584663000000006</v>
      </c>
      <c r="AW31" s="14">
        <v>35.168300000000002</v>
      </c>
      <c r="AX31" s="14">
        <v>42.577666000000001</v>
      </c>
      <c r="AY31" s="14">
        <v>44.702897</v>
      </c>
      <c r="AZ31" s="15">
        <v>3791.35</v>
      </c>
      <c r="BA31" s="15">
        <v>16903.099999999999</v>
      </c>
      <c r="BB31" s="15">
        <v>247.92500000000001</v>
      </c>
      <c r="BC31" s="15">
        <v>83.5</v>
      </c>
      <c r="BE31" s="50">
        <f t="shared" si="12"/>
        <v>0.99995841295519627</v>
      </c>
      <c r="BF31" s="16">
        <f t="shared" si="13"/>
        <v>1.6869546319157533E-5</v>
      </c>
      <c r="BG31" s="16">
        <f t="shared" si="14"/>
        <v>3.2771326310110371E-4</v>
      </c>
      <c r="BH31" s="16"/>
      <c r="BJ31" s="50"/>
      <c r="BK31" s="50"/>
      <c r="BL31" s="50"/>
      <c r="BM31" s="50"/>
      <c r="BN31" s="50"/>
      <c r="BP31" s="50"/>
      <c r="BQ31" s="50"/>
      <c r="BR31" s="50"/>
      <c r="BS31" s="50"/>
      <c r="BT31" s="50"/>
      <c r="BV31" s="58">
        <f t="shared" si="16"/>
        <v>-9934</v>
      </c>
      <c r="BW31" s="58">
        <f t="shared" si="16"/>
        <v>-310.4375</v>
      </c>
      <c r="BX31" s="58">
        <f t="shared" si="16"/>
        <v>43.1875</v>
      </c>
      <c r="BY31" s="58">
        <f t="shared" si="16"/>
        <v>-2576</v>
      </c>
      <c r="BZ31" s="58">
        <f t="shared" si="16"/>
        <v>1112</v>
      </c>
      <c r="CA31" s="58">
        <f t="shared" si="16"/>
        <v>-1272</v>
      </c>
      <c r="CB31" s="58">
        <f t="shared" si="16"/>
        <v>-2416</v>
      </c>
      <c r="CC31" s="58">
        <f t="shared" si="16"/>
        <v>4.3380000000041719E-3</v>
      </c>
      <c r="CD31" s="58">
        <f t="shared" si="16"/>
        <v>6.1970000000002301E-3</v>
      </c>
      <c r="CE31" s="58">
        <f t="shared" si="16"/>
        <v>-1.1689999999973111E-3</v>
      </c>
      <c r="CF31" s="58">
        <f t="shared" si="16"/>
        <v>3.4320000000036543E-3</v>
      </c>
      <c r="CG31" s="58">
        <f t="shared" si="16"/>
        <v>0.37664999999999793</v>
      </c>
      <c r="CJ31" t="s">
        <v>588</v>
      </c>
    </row>
    <row r="32" spans="1:88" outlineLevel="1" x14ac:dyDescent="0.2">
      <c r="A32" s="17"/>
      <c r="B32" s="17" t="s">
        <v>77</v>
      </c>
      <c r="C32" s="18" t="s">
        <v>235</v>
      </c>
      <c r="D32" s="17">
        <v>375422539</v>
      </c>
      <c r="E32" s="18">
        <v>11</v>
      </c>
      <c r="F32" s="18">
        <v>32</v>
      </c>
      <c r="G32" s="18">
        <v>30</v>
      </c>
      <c r="I32" s="19">
        <f t="shared" si="0"/>
        <v>7.1341950000000001</v>
      </c>
      <c r="J32" s="20">
        <f t="shared" si="1"/>
        <v>2.0269981712525788E-2</v>
      </c>
      <c r="K32" s="20">
        <f t="shared" si="2"/>
        <v>1.3144613035606795E-2</v>
      </c>
      <c r="L32" s="20">
        <f t="shared" si="3"/>
        <v>1.010912133860988E-2</v>
      </c>
      <c r="M32" s="20">
        <f t="shared" si="4"/>
        <v>7.1250277277571765E-3</v>
      </c>
      <c r="N32" s="17">
        <f t="shared" si="5"/>
        <v>4934784</v>
      </c>
      <c r="O32" s="20">
        <v>16</v>
      </c>
      <c r="P32" s="21">
        <v>91903209</v>
      </c>
      <c r="Q32" s="21">
        <v>2871975.28125</v>
      </c>
      <c r="R32" s="21">
        <v>44404.375</v>
      </c>
      <c r="S32" s="22">
        <v>7609808</v>
      </c>
      <c r="T32" s="22">
        <v>3795192</v>
      </c>
      <c r="U32" s="22">
        <v>1139592</v>
      </c>
      <c r="V32" s="22">
        <v>2674896</v>
      </c>
      <c r="W32" s="23">
        <v>76.478624999999994</v>
      </c>
      <c r="X32" s="23">
        <v>79.111328</v>
      </c>
      <c r="Y32" s="23">
        <v>36.956128</v>
      </c>
      <c r="Z32" s="23">
        <v>43.136812999999997</v>
      </c>
      <c r="AA32" s="23">
        <v>45.869697000000002</v>
      </c>
      <c r="AB32" s="24">
        <v>3884.53</v>
      </c>
      <c r="AC32" s="24">
        <v>17653.5</v>
      </c>
      <c r="AD32" s="24">
        <v>248</v>
      </c>
      <c r="AE32" s="24">
        <v>77.138999999999996</v>
      </c>
      <c r="AG32" s="19">
        <f t="shared" si="6"/>
        <v>7.1345625000000004</v>
      </c>
      <c r="AH32" s="20">
        <f t="shared" si="7"/>
        <v>2.027102586933386E-2</v>
      </c>
      <c r="AI32" s="20">
        <f t="shared" si="8"/>
        <v>1.3138966065114168E-2</v>
      </c>
      <c r="AJ32" s="20">
        <f t="shared" si="9"/>
        <v>1.0106862550412829E-2</v>
      </c>
      <c r="AK32" s="20">
        <f t="shared" si="10"/>
        <v>7.1317188550578739E-3</v>
      </c>
      <c r="AL32" s="17">
        <f t="shared" si="11"/>
        <v>4932664</v>
      </c>
      <c r="AM32" s="20">
        <v>16</v>
      </c>
      <c r="AN32" s="21">
        <v>91787366</v>
      </c>
      <c r="AO32" s="21">
        <v>2868355.1875</v>
      </c>
      <c r="AP32" s="21">
        <v>44534.90625</v>
      </c>
      <c r="AQ32" s="22">
        <v>7610200</v>
      </c>
      <c r="AR32" s="22">
        <v>3794344</v>
      </c>
      <c r="AS32" s="22">
        <v>1138320</v>
      </c>
      <c r="AT32" s="22">
        <v>2677408</v>
      </c>
      <c r="AU32" s="23">
        <v>76.469399999999993</v>
      </c>
      <c r="AV32" s="23">
        <v>79.114191000000005</v>
      </c>
      <c r="AW32" s="23">
        <v>36.951524999999997</v>
      </c>
      <c r="AX32" s="23">
        <v>43.104759000000001</v>
      </c>
      <c r="AY32" s="23">
        <v>45.735422</v>
      </c>
      <c r="AZ32" s="24">
        <v>4792.01</v>
      </c>
      <c r="BA32" s="24">
        <v>24307.4</v>
      </c>
      <c r="BB32" s="24">
        <v>282.77199999999999</v>
      </c>
      <c r="BC32" s="24">
        <v>108.22</v>
      </c>
      <c r="BE32" s="49">
        <f t="shared" si="12"/>
        <v>0.99957039659689262</v>
      </c>
      <c r="BF32" s="25">
        <f t="shared" si="13"/>
        <v>6.5020707609128245E-5</v>
      </c>
      <c r="BG32" s="25">
        <f t="shared" si="14"/>
        <v>-3.1197641437374912E-4</v>
      </c>
      <c r="BH32" s="25"/>
      <c r="BJ32" s="49"/>
      <c r="BK32" s="49"/>
      <c r="BL32" s="49"/>
      <c r="BM32" s="49"/>
      <c r="BN32" s="49"/>
      <c r="BP32" s="49"/>
      <c r="BQ32" s="49"/>
      <c r="BR32" s="49"/>
      <c r="BS32" s="49"/>
      <c r="BT32" s="49"/>
      <c r="BV32" s="58">
        <f t="shared" si="16"/>
        <v>-115843</v>
      </c>
      <c r="BW32" s="58">
        <f t="shared" si="16"/>
        <v>-3620.09375</v>
      </c>
      <c r="BX32" s="58">
        <f t="shared" si="16"/>
        <v>130.53125</v>
      </c>
      <c r="BY32" s="58">
        <f t="shared" si="16"/>
        <v>392</v>
      </c>
      <c r="BZ32" s="58">
        <f t="shared" si="16"/>
        <v>-848</v>
      </c>
      <c r="CA32" s="58">
        <f t="shared" si="16"/>
        <v>-1272</v>
      </c>
      <c r="CB32" s="58">
        <f t="shared" si="16"/>
        <v>2512</v>
      </c>
      <c r="CC32" s="58">
        <f t="shared" si="16"/>
        <v>-9.2250000000007049E-3</v>
      </c>
      <c r="CD32" s="58">
        <f t="shared" si="16"/>
        <v>2.8630000000049449E-3</v>
      </c>
      <c r="CE32" s="58">
        <f t="shared" si="16"/>
        <v>-4.6030000000030213E-3</v>
      </c>
      <c r="CF32" s="58">
        <f t="shared" si="16"/>
        <v>-3.2053999999995142E-2</v>
      </c>
      <c r="CG32" s="58">
        <f t="shared" si="16"/>
        <v>-0.13427500000000236</v>
      </c>
      <c r="CJ32" t="s">
        <v>588</v>
      </c>
    </row>
    <row r="33" spans="1:88" outlineLevel="1" x14ac:dyDescent="0.2">
      <c r="A33" s="52"/>
      <c r="B33" s="52" t="s">
        <v>77</v>
      </c>
      <c r="C33" s="9" t="s">
        <v>236</v>
      </c>
      <c r="D33" s="52">
        <v>375422539</v>
      </c>
      <c r="E33" s="9">
        <v>11</v>
      </c>
      <c r="F33" s="9">
        <v>32</v>
      </c>
      <c r="G33" s="9">
        <v>30</v>
      </c>
      <c r="I33" s="10">
        <f t="shared" si="0"/>
        <v>11.978384999999999</v>
      </c>
      <c r="J33" s="11">
        <f t="shared" si="1"/>
        <v>3.4033502714124468E-2</v>
      </c>
      <c r="K33" s="11">
        <f t="shared" si="2"/>
        <v>1.8487115926729161E-2</v>
      </c>
      <c r="L33" s="11">
        <f t="shared" si="3"/>
        <v>1.5451624229732248E-2</v>
      </c>
      <c r="M33" s="11">
        <f t="shared" si="4"/>
        <v>1.5546045838233489E-2</v>
      </c>
      <c r="N33" s="52">
        <f t="shared" si="5"/>
        <v>6940480</v>
      </c>
      <c r="O33" s="11">
        <v>16</v>
      </c>
      <c r="P33" s="12">
        <v>94103501</v>
      </c>
      <c r="Q33" s="12">
        <v>2940734.40625</v>
      </c>
      <c r="R33" s="12">
        <v>49779.25</v>
      </c>
      <c r="S33" s="13">
        <v>12776944</v>
      </c>
      <c r="T33" s="13">
        <v>5800888</v>
      </c>
      <c r="U33" s="13">
        <v>1139592</v>
      </c>
      <c r="V33" s="13">
        <v>5836336</v>
      </c>
      <c r="W33" s="14">
        <v>77.568094000000002</v>
      </c>
      <c r="X33" s="14">
        <v>80.274565999999993</v>
      </c>
      <c r="Y33" s="14">
        <v>38.711587000000002</v>
      </c>
      <c r="Z33" s="14">
        <v>43.699750000000002</v>
      </c>
      <c r="AA33" s="14">
        <v>47.387563</v>
      </c>
      <c r="AB33" s="15">
        <v>3675.7</v>
      </c>
      <c r="AC33" s="15">
        <v>18122.7</v>
      </c>
      <c r="AD33" s="15">
        <v>243.887</v>
      </c>
      <c r="AE33" s="15">
        <v>76.456999999999994</v>
      </c>
      <c r="AG33" s="10">
        <f t="shared" si="6"/>
        <v>11.971125000000001</v>
      </c>
      <c r="AH33" s="11">
        <f t="shared" si="7"/>
        <v>3.4012875289834425E-2</v>
      </c>
      <c r="AI33" s="11">
        <f t="shared" si="8"/>
        <v>1.846900300250753E-2</v>
      </c>
      <c r="AJ33" s="11">
        <f t="shared" si="9"/>
        <v>1.5436899487806192E-2</v>
      </c>
      <c r="AK33" s="11">
        <f t="shared" si="10"/>
        <v>1.5543531338165075E-2</v>
      </c>
      <c r="AL33" s="52">
        <f t="shared" si="11"/>
        <v>6933680</v>
      </c>
      <c r="AM33" s="11">
        <v>16</v>
      </c>
      <c r="AN33" s="12">
        <v>94114766</v>
      </c>
      <c r="AO33" s="12">
        <v>2941086.4375</v>
      </c>
      <c r="AP33" s="12">
        <v>49715.25</v>
      </c>
      <c r="AQ33" s="13">
        <v>12769200</v>
      </c>
      <c r="AR33" s="13">
        <v>5795360</v>
      </c>
      <c r="AS33" s="13">
        <v>1138320</v>
      </c>
      <c r="AT33" s="13">
        <v>5835392</v>
      </c>
      <c r="AU33" s="14">
        <v>77.566353000000007</v>
      </c>
      <c r="AV33" s="14">
        <v>80.266603000000003</v>
      </c>
      <c r="AW33" s="14">
        <v>38.717027999999999</v>
      </c>
      <c r="AX33" s="14">
        <v>43.694291</v>
      </c>
      <c r="AY33" s="14">
        <v>47.348472000000001</v>
      </c>
      <c r="AZ33" s="15">
        <v>4017.48</v>
      </c>
      <c r="BA33" s="15">
        <v>19097.599999999999</v>
      </c>
      <c r="BB33" s="15">
        <v>253.649</v>
      </c>
      <c r="BC33" s="15">
        <v>78.625</v>
      </c>
      <c r="BE33" s="50">
        <f t="shared" si="12"/>
        <v>0.99902024067499662</v>
      </c>
      <c r="BF33" s="16">
        <f t="shared" si="13"/>
        <v>-2.3786789909396172E-5</v>
      </c>
      <c r="BG33" s="16">
        <f t="shared" si="14"/>
        <v>-2.0310062653317029E-4</v>
      </c>
      <c r="BH33" s="16"/>
      <c r="BJ33" s="50"/>
      <c r="BK33" s="50"/>
      <c r="BL33" s="50"/>
      <c r="BM33" s="50"/>
      <c r="BN33" s="50"/>
      <c r="BP33" s="50"/>
      <c r="BQ33" s="50"/>
      <c r="BR33" s="50"/>
      <c r="BS33" s="50"/>
      <c r="BT33" s="50"/>
      <c r="BV33" s="58">
        <f t="shared" si="16"/>
        <v>11265</v>
      </c>
      <c r="BW33" s="58">
        <f t="shared" si="16"/>
        <v>352.03125</v>
      </c>
      <c r="BX33" s="58">
        <f t="shared" si="16"/>
        <v>-64</v>
      </c>
      <c r="BY33" s="58">
        <f t="shared" si="16"/>
        <v>-7744</v>
      </c>
      <c r="BZ33" s="58">
        <f t="shared" si="16"/>
        <v>-5528</v>
      </c>
      <c r="CA33" s="58">
        <f t="shared" si="16"/>
        <v>-1272</v>
      </c>
      <c r="CB33" s="58">
        <f t="shared" si="16"/>
        <v>-944</v>
      </c>
      <c r="CC33" s="58">
        <f t="shared" si="16"/>
        <v>-1.7409999999955517E-3</v>
      </c>
      <c r="CD33" s="58">
        <f t="shared" si="16"/>
        <v>-7.9629999999895063E-3</v>
      </c>
      <c r="CE33" s="58">
        <f t="shared" si="16"/>
        <v>5.4409999999975867E-3</v>
      </c>
      <c r="CF33" s="58">
        <f t="shared" si="16"/>
        <v>-5.459000000001879E-3</v>
      </c>
      <c r="CG33" s="58">
        <f t="shared" si="16"/>
        <v>-3.9090999999999099E-2</v>
      </c>
      <c r="CJ33" t="s">
        <v>588</v>
      </c>
    </row>
    <row r="34" spans="1:88" ht="16" outlineLevel="1" thickBot="1" x14ac:dyDescent="0.25">
      <c r="A34" s="17"/>
      <c r="B34" s="36" t="s">
        <v>77</v>
      </c>
      <c r="C34" s="37" t="s">
        <v>237</v>
      </c>
      <c r="D34" s="36">
        <v>375422539</v>
      </c>
      <c r="E34" s="37">
        <v>11</v>
      </c>
      <c r="F34" s="37">
        <v>32</v>
      </c>
      <c r="G34" s="37">
        <v>30</v>
      </c>
      <c r="I34" s="38">
        <f t="shared" si="0"/>
        <v>24.568672500000002</v>
      </c>
      <c r="J34" s="39">
        <f t="shared" si="1"/>
        <v>6.9805569132331713E-2</v>
      </c>
      <c r="K34" s="39">
        <f t="shared" si="2"/>
        <v>3.0853661665742452E-2</v>
      </c>
      <c r="L34" s="39">
        <f t="shared" si="3"/>
        <v>2.4558653363110944E-2</v>
      </c>
      <c r="M34" s="39">
        <f t="shared" si="4"/>
        <v>3.8951566517427448E-2</v>
      </c>
      <c r="N34" s="36">
        <f t="shared" si="5"/>
        <v>11583160</v>
      </c>
      <c r="O34" s="39">
        <v>16</v>
      </c>
      <c r="P34" s="40">
        <v>92183912</v>
      </c>
      <c r="Q34" s="40">
        <v>2880747.25</v>
      </c>
      <c r="R34" s="40">
        <v>21195.28125</v>
      </c>
      <c r="S34" s="41">
        <v>26206584</v>
      </c>
      <c r="T34" s="41">
        <v>9219872</v>
      </c>
      <c r="U34" s="41">
        <v>2363288</v>
      </c>
      <c r="V34" s="41">
        <v>14623296</v>
      </c>
      <c r="W34" s="42">
        <v>78.495762999999997</v>
      </c>
      <c r="X34" s="42">
        <v>81.894593999999998</v>
      </c>
      <c r="Y34" s="42">
        <v>40.507658999999997</v>
      </c>
      <c r="Z34" s="42">
        <v>44.379049999999999</v>
      </c>
      <c r="AA34" s="42">
        <v>48.801881000000002</v>
      </c>
      <c r="AB34" s="43">
        <v>3578.56</v>
      </c>
      <c r="AC34" s="43">
        <v>20041.099999999999</v>
      </c>
      <c r="AD34" s="43">
        <v>241.16800000000001</v>
      </c>
      <c r="AE34" s="43">
        <v>84.233000000000004</v>
      </c>
      <c r="AG34" s="38">
        <f t="shared" si="6"/>
        <v>24.604665000000001</v>
      </c>
      <c r="AH34" s="39">
        <f t="shared" si="7"/>
        <v>6.9907832571554793E-2</v>
      </c>
      <c r="AI34" s="39">
        <f t="shared" si="8"/>
        <v>3.0903120603528816E-2</v>
      </c>
      <c r="AJ34" s="39">
        <f t="shared" si="9"/>
        <v>2.459758549552615E-2</v>
      </c>
      <c r="AK34" s="39">
        <f t="shared" si="10"/>
        <v>3.9004371018864163E-2</v>
      </c>
      <c r="AL34" s="36">
        <f t="shared" si="11"/>
        <v>11601728</v>
      </c>
      <c r="AM34" s="39">
        <v>16</v>
      </c>
      <c r="AN34" s="40">
        <v>92205535</v>
      </c>
      <c r="AO34" s="40">
        <v>2881422.96875</v>
      </c>
      <c r="AP34" s="40">
        <v>21180.46875</v>
      </c>
      <c r="AQ34" s="41">
        <v>26244976</v>
      </c>
      <c r="AR34" s="41">
        <v>9234488</v>
      </c>
      <c r="AS34" s="41">
        <v>2367240</v>
      </c>
      <c r="AT34" s="41">
        <v>14643120</v>
      </c>
      <c r="AU34" s="42">
        <v>78.500297000000003</v>
      </c>
      <c r="AV34" s="42">
        <v>81.895680999999996</v>
      </c>
      <c r="AW34" s="42">
        <v>40.507772000000003</v>
      </c>
      <c r="AX34" s="42">
        <v>44.376384000000002</v>
      </c>
      <c r="AY34" s="42">
        <v>48.811852999999999</v>
      </c>
      <c r="AZ34" s="43">
        <v>4182.87</v>
      </c>
      <c r="BA34" s="43">
        <v>22998.400000000001</v>
      </c>
      <c r="BB34" s="43">
        <v>259.47800000000001</v>
      </c>
      <c r="BC34" s="43">
        <v>94.07</v>
      </c>
      <c r="BE34" s="44">
        <f t="shared" si="12"/>
        <v>1.0016030167933447</v>
      </c>
      <c r="BF34" s="45">
        <f t="shared" si="13"/>
        <v>-6.8661018971707261E-6</v>
      </c>
      <c r="BG34" s="45">
        <f t="shared" si="14"/>
        <v>6.0924267327289172E-5</v>
      </c>
      <c r="BH34" s="45"/>
      <c r="BJ34" s="44"/>
      <c r="BK34" s="44"/>
      <c r="BL34" s="44"/>
      <c r="BM34" s="44"/>
      <c r="BN34" s="44"/>
      <c r="BP34" s="44"/>
      <c r="BQ34" s="44"/>
      <c r="BR34" s="44"/>
      <c r="BS34" s="44"/>
      <c r="BT34" s="44"/>
      <c r="BV34" s="58">
        <f t="shared" si="16"/>
        <v>21623</v>
      </c>
      <c r="BW34" s="58">
        <f t="shared" si="16"/>
        <v>675.71875</v>
      </c>
      <c r="BX34" s="58">
        <f t="shared" si="16"/>
        <v>-14.8125</v>
      </c>
      <c r="BY34" s="58">
        <f t="shared" si="16"/>
        <v>38392</v>
      </c>
      <c r="BZ34" s="58">
        <f t="shared" si="16"/>
        <v>14616</v>
      </c>
      <c r="CA34" s="58">
        <f t="shared" si="16"/>
        <v>3952</v>
      </c>
      <c r="CB34" s="58">
        <f t="shared" si="16"/>
        <v>19824</v>
      </c>
      <c r="CC34" s="58">
        <f t="shared" si="16"/>
        <v>4.5340000000066993E-3</v>
      </c>
      <c r="CD34" s="58">
        <f t="shared" si="16"/>
        <v>1.0869999999982838E-3</v>
      </c>
      <c r="CE34" s="58">
        <f t="shared" si="16"/>
        <v>1.1300000000602495E-4</v>
      </c>
      <c r="CF34" s="58">
        <f t="shared" si="16"/>
        <v>-2.6659999999978368E-3</v>
      </c>
      <c r="CG34" s="58">
        <f t="shared" si="16"/>
        <v>9.9719999999976494E-3</v>
      </c>
      <c r="CJ34" t="s">
        <v>588</v>
      </c>
    </row>
    <row r="35" spans="1:88" x14ac:dyDescent="0.2">
      <c r="A35" s="52"/>
      <c r="B35" s="52" t="s">
        <v>82</v>
      </c>
      <c r="C35" s="9" t="s">
        <v>232</v>
      </c>
      <c r="D35" s="52">
        <v>333190689</v>
      </c>
      <c r="E35" s="9">
        <v>11</v>
      </c>
      <c r="F35" s="9">
        <v>32</v>
      </c>
      <c r="G35" s="9">
        <v>30</v>
      </c>
      <c r="I35" s="10">
        <f t="shared" si="0"/>
        <v>4.6299975</v>
      </c>
      <c r="J35" s="11">
        <f t="shared" si="1"/>
        <v>1.482233496626912E-2</v>
      </c>
      <c r="K35" s="11">
        <f t="shared" si="2"/>
        <v>1.1091810551764848E-2</v>
      </c>
      <c r="L35" s="11">
        <f t="shared" si="3"/>
        <v>7.1632013702519759E-3</v>
      </c>
      <c r="M35" s="11">
        <f t="shared" si="4"/>
        <v>3.7301402501076493E-3</v>
      </c>
      <c r="N35" s="52">
        <f t="shared" si="5"/>
        <v>3695688</v>
      </c>
      <c r="O35" s="11">
        <v>16</v>
      </c>
      <c r="P35" s="12">
        <v>74822030</v>
      </c>
      <c r="Q35" s="12">
        <v>2338188.4375</v>
      </c>
      <c r="R35" s="12">
        <v>30865.1875</v>
      </c>
      <c r="S35" s="13">
        <v>4938664</v>
      </c>
      <c r="T35" s="13">
        <v>2386712</v>
      </c>
      <c r="U35" s="13">
        <v>1308976</v>
      </c>
      <c r="V35" s="13">
        <v>1242848</v>
      </c>
      <c r="W35" s="14">
        <v>73.189402999999999</v>
      </c>
      <c r="X35" s="14">
        <v>75.400436999999997</v>
      </c>
      <c r="Y35" s="14">
        <v>31.794559</v>
      </c>
      <c r="Z35" s="14">
        <v>42.186303000000002</v>
      </c>
      <c r="AA35" s="14">
        <v>43.261147000000001</v>
      </c>
      <c r="AB35" s="15">
        <v>3366.91</v>
      </c>
      <c r="AC35" s="15">
        <v>18743.8</v>
      </c>
      <c r="AD35" s="15">
        <v>211.99700000000001</v>
      </c>
      <c r="AE35" s="15">
        <v>80.89</v>
      </c>
      <c r="AG35" s="10">
        <f t="shared" si="6"/>
        <v>4.6254825000000004</v>
      </c>
      <c r="AH35" s="11">
        <f t="shared" si="7"/>
        <v>1.480788078084619E-2</v>
      </c>
      <c r="AI35" s="11">
        <f t="shared" si="8"/>
        <v>1.1084295335755915E-2</v>
      </c>
      <c r="AJ35" s="11">
        <f t="shared" si="9"/>
        <v>7.155662143968255E-3</v>
      </c>
      <c r="AK35" s="11">
        <f t="shared" si="10"/>
        <v>3.7232012806936512E-3</v>
      </c>
      <c r="AL35" s="52">
        <f t="shared" si="11"/>
        <v>3693184</v>
      </c>
      <c r="AM35" s="11">
        <v>16</v>
      </c>
      <c r="AN35" s="12">
        <v>74793925</v>
      </c>
      <c r="AO35" s="12">
        <v>2337310.15625</v>
      </c>
      <c r="AP35" s="12">
        <v>30824.78125</v>
      </c>
      <c r="AQ35" s="13">
        <v>4933848</v>
      </c>
      <c r="AR35" s="13">
        <v>2384200</v>
      </c>
      <c r="AS35" s="13">
        <v>1308984</v>
      </c>
      <c r="AT35" s="13">
        <v>1240536</v>
      </c>
      <c r="AU35" s="14">
        <v>73.186065999999997</v>
      </c>
      <c r="AV35" s="14">
        <v>75.395090999999994</v>
      </c>
      <c r="AW35" s="14">
        <v>31.779947</v>
      </c>
      <c r="AX35" s="14">
        <v>42.169849999999997</v>
      </c>
      <c r="AY35" s="14">
        <v>43.305712</v>
      </c>
      <c r="AZ35" s="15">
        <v>3696.09</v>
      </c>
      <c r="BA35" s="15">
        <v>19023</v>
      </c>
      <c r="BB35" s="15">
        <v>208.268</v>
      </c>
      <c r="BC35" s="15">
        <v>78.953000000000003</v>
      </c>
      <c r="BE35" s="50">
        <f t="shared" si="12"/>
        <v>0.99932245362703775</v>
      </c>
      <c r="BF35" s="16">
        <f t="shared" si="13"/>
        <v>-1.2327214763890176E-5</v>
      </c>
      <c r="BG35" s="16">
        <f t="shared" si="14"/>
        <v>2.2292871598639241E-4</v>
      </c>
      <c r="BH35" s="16">
        <f t="array" ref="BH35">AVERAGE(AL35:AL39/AQ35:AQ39) - AVERAGE(N35:N39/S35:S39)</f>
        <v>-4.3184777874571978E-5</v>
      </c>
      <c r="BJ35" s="50">
        <f>IF( OR(ISBLANK(N35:N39),ISBLANK(AL35:AL39), ISBLANK(W35:W39),ISBLANK(AU35:AU39)), "·", bdRateExtend( N35:N39,W35:W39, AL35:AL39,AU35:AU39))</f>
        <v>-3.6188109890344933E-4</v>
      </c>
      <c r="BK35" s="50">
        <f>IF( OR(ISBLANK(N35:N39),ISBLANK(AL35:AL39), ISBLANK(X35:X39),ISBLANK(AV35:AV39)), "·", bdRateExtend( N35:N39,X35:X39, AL35:AL39,AV35:AV39))</f>
        <v>5.2660694743744685E-5</v>
      </c>
      <c r="BL35" s="50">
        <f>IF( OR(ISBLANK(V35:V39),ISBLANK(AT35:AT39), ISBLANK(Y35:Y39),ISBLANK(AW35:AW39)), "·", bdRateExtend( V35:V39,Y35:Y39, AT35:AT39,AW35:AW39))</f>
        <v>8.250633896220716E-4</v>
      </c>
      <c r="BM35" s="50">
        <f>IF( OR(ISBLANK(V35:V39),ISBLANK(AT35:AT39), ISBLANK(Z35:Z39),ISBLANK(AX35:AX39)), "·", bdRateExtend( V35:V39,Z35:Z39, AT35:AT39,AX35:AX39))</f>
        <v>5.5537085588528434E-3</v>
      </c>
      <c r="BN35" s="50">
        <f>IF( OR(ISBLANK(V35:V39),ISBLANK(AT35:AT39), ISBLANK(AA35:AA39),ISBLANK(AY35:AY39)), "·", bdRateExtend( V35:V39,AA35:AA39, AT35:AT39,AY35:AY39))</f>
        <v>1.4853534424284609E-2</v>
      </c>
      <c r="BP35" s="50">
        <f>IF( OR(ISBLANK(S35:S39),ISBLANK(AQ35:AQ39), ISBLANK(W35:W39),ISBLANK(AU35:AU39)), "·", bdRateExtend( S35:S39,W35:W39, AQ35:AQ39,AU35:AU39))</f>
        <v>-1.4240068079507395E-4</v>
      </c>
      <c r="BQ35" s="50">
        <f>IF( OR(ISBLANK(S35:S39),ISBLANK(AQ35:AQ39), ISBLANK(X35:X39),ISBLANK(AV35:AV39)), "·", bdRateExtend( S35:S39,X35:X39, AQ35:AQ39,AV35:AV39))</f>
        <v>4.4992912001684537E-4</v>
      </c>
      <c r="BR35" s="50">
        <f>IF( OR(ISBLANK(S35:S39),ISBLANK(AQ35:AQ39), ISBLANK(Y35:Y39),ISBLANK(AW35:AW39)), "·", bdRateExtend( S35:S39,Y35:Y39, AQ35:AQ39,AW35:AW39))</f>
        <v>1.5908280320897639E-4</v>
      </c>
      <c r="BS35" s="50">
        <f>IF( OR(ISBLANK(S35:S39),ISBLANK(AQ35:AQ39), ISBLANK(Z35:Z39),ISBLANK(AX35:AX39)), "·", bdRateExtend( S35:S39,Z35:Z39, AQ35:AQ39,AX35:AX39))</f>
        <v>3.265658054501408E-3</v>
      </c>
      <c r="BT35" s="50">
        <f>IF( OR(ISBLANK(S35:S39),ISBLANK(AQ35:AQ39), ISBLANK(AA35:AA39),ISBLANK(AY35:AY39)), "·", bdRateExtend( S35:S39,AA35:AA39, AQ35:AQ39,AY35:AY39))</f>
        <v>9.3097641446351354E-3</v>
      </c>
      <c r="BV35" s="58">
        <f t="shared" si="16"/>
        <v>-28105</v>
      </c>
      <c r="BW35" s="58">
        <f t="shared" si="16"/>
        <v>-878.28125</v>
      </c>
      <c r="BX35" s="58">
        <f t="shared" si="16"/>
        <v>-40.40625</v>
      </c>
      <c r="BY35" s="58">
        <f t="shared" si="16"/>
        <v>-4816</v>
      </c>
      <c r="BZ35" s="58">
        <f t="shared" si="16"/>
        <v>-2512</v>
      </c>
      <c r="CA35" s="58">
        <f t="shared" si="16"/>
        <v>8</v>
      </c>
      <c r="CB35" s="58">
        <f t="shared" si="16"/>
        <v>-2312</v>
      </c>
      <c r="CC35" s="58">
        <f t="shared" si="16"/>
        <v>-3.3370000000019218E-3</v>
      </c>
      <c r="CD35" s="58">
        <f t="shared" si="16"/>
        <v>-5.3460000000029595E-3</v>
      </c>
      <c r="CE35" s="58">
        <f t="shared" si="16"/>
        <v>-1.4611999999999625E-2</v>
      </c>
      <c r="CF35" s="58">
        <f t="shared" si="16"/>
        <v>-1.6453000000005602E-2</v>
      </c>
      <c r="CG35" s="58">
        <f t="shared" si="16"/>
        <v>4.4564999999998633E-2</v>
      </c>
      <c r="CJ35" t="s">
        <v>589</v>
      </c>
    </row>
    <row r="36" spans="1:88" outlineLevel="1" x14ac:dyDescent="0.2">
      <c r="A36" s="17"/>
      <c r="B36" s="17" t="s">
        <v>82</v>
      </c>
      <c r="C36" s="18" t="s">
        <v>234</v>
      </c>
      <c r="D36" s="17">
        <v>333190689</v>
      </c>
      <c r="E36" s="18">
        <v>11</v>
      </c>
      <c r="F36" s="18">
        <v>32</v>
      </c>
      <c r="G36" s="18">
        <v>30</v>
      </c>
      <c r="I36" s="19">
        <f t="shared" si="0"/>
        <v>6.2093699999999998</v>
      </c>
      <c r="J36" s="20">
        <f t="shared" si="1"/>
        <v>1.9878490662144522E-2</v>
      </c>
      <c r="K36" s="20">
        <f t="shared" si="2"/>
        <v>1.3670706146293302E-2</v>
      </c>
      <c r="L36" s="20">
        <f t="shared" si="3"/>
        <v>9.7420969647804296E-3</v>
      </c>
      <c r="M36" s="20">
        <f t="shared" si="4"/>
        <v>6.207400351454599E-3</v>
      </c>
      <c r="N36" s="17">
        <f t="shared" si="5"/>
        <v>4554952</v>
      </c>
      <c r="O36" s="20">
        <v>16</v>
      </c>
      <c r="P36" s="21">
        <v>79982341</v>
      </c>
      <c r="Q36" s="21">
        <v>2499448.15625</v>
      </c>
      <c r="R36" s="21">
        <v>39131.96875</v>
      </c>
      <c r="S36" s="22">
        <v>6623328</v>
      </c>
      <c r="T36" s="22">
        <v>3245976</v>
      </c>
      <c r="U36" s="22">
        <v>1308976</v>
      </c>
      <c r="V36" s="22">
        <v>2068248</v>
      </c>
      <c r="W36" s="23">
        <v>74.940140999999997</v>
      </c>
      <c r="X36" s="23">
        <v>77.357630999999998</v>
      </c>
      <c r="Y36" s="23">
        <v>34.036034000000001</v>
      </c>
      <c r="Z36" s="23">
        <v>42.972608999999999</v>
      </c>
      <c r="AA36" s="23">
        <v>44.867455999999997</v>
      </c>
      <c r="AB36" s="24">
        <v>3452.77</v>
      </c>
      <c r="AC36" s="24">
        <v>20085.3</v>
      </c>
      <c r="AD36" s="24">
        <v>218.13900000000001</v>
      </c>
      <c r="AE36" s="24">
        <v>81.38</v>
      </c>
      <c r="AG36" s="19">
        <f t="shared" si="6"/>
        <v>6.2107425000000003</v>
      </c>
      <c r="AH36" s="20">
        <f t="shared" si="7"/>
        <v>1.9882884542430895E-2</v>
      </c>
      <c r="AI36" s="20">
        <f t="shared" si="8"/>
        <v>1.3664367433749026E-2</v>
      </c>
      <c r="AJ36" s="20">
        <f t="shared" si="9"/>
        <v>9.7357342419613652E-3</v>
      </c>
      <c r="AK36" s="20">
        <f t="shared" si="10"/>
        <v>6.2181329442852467E-3</v>
      </c>
      <c r="AL36" s="17">
        <f t="shared" si="11"/>
        <v>4552840</v>
      </c>
      <c r="AM36" s="20">
        <v>16</v>
      </c>
      <c r="AN36" s="21">
        <v>79976742</v>
      </c>
      <c r="AO36" s="21">
        <v>2499273.1875</v>
      </c>
      <c r="AP36" s="21">
        <v>39105.5</v>
      </c>
      <c r="AQ36" s="22">
        <v>6624792</v>
      </c>
      <c r="AR36" s="22">
        <v>3243856</v>
      </c>
      <c r="AS36" s="22">
        <v>1308984</v>
      </c>
      <c r="AT36" s="22">
        <v>2071824</v>
      </c>
      <c r="AU36" s="23">
        <v>74.938500000000005</v>
      </c>
      <c r="AV36" s="23">
        <v>77.355886999999996</v>
      </c>
      <c r="AW36" s="23">
        <v>34.034599999999998</v>
      </c>
      <c r="AX36" s="23">
        <v>42.972333999999996</v>
      </c>
      <c r="AY36" s="23">
        <v>44.820352999999997</v>
      </c>
      <c r="AZ36" s="24">
        <v>3481.51</v>
      </c>
      <c r="BA36" s="24">
        <v>20194.400000000001</v>
      </c>
      <c r="BB36" s="24">
        <v>220.416</v>
      </c>
      <c r="BC36" s="24">
        <v>79.016000000000005</v>
      </c>
      <c r="BE36" s="49">
        <f t="shared" si="12"/>
        <v>0.99953632881312471</v>
      </c>
      <c r="BF36" s="25">
        <f t="shared" si="13"/>
        <v>-9.4945189576638167E-6</v>
      </c>
      <c r="BG36" s="25">
        <f t="shared" si="14"/>
        <v>-4.7077893859914788E-4</v>
      </c>
      <c r="BH36" s="25"/>
      <c r="BJ36" s="49"/>
      <c r="BK36" s="49"/>
      <c r="BL36" s="49"/>
      <c r="BM36" s="49"/>
      <c r="BN36" s="49"/>
      <c r="BP36" s="49"/>
      <c r="BQ36" s="49"/>
      <c r="BR36" s="49"/>
      <c r="BS36" s="49"/>
      <c r="BT36" s="49"/>
      <c r="BV36" s="58">
        <f t="shared" si="16"/>
        <v>-5599</v>
      </c>
      <c r="BW36" s="58">
        <f t="shared" si="16"/>
        <v>-174.96875</v>
      </c>
      <c r="BX36" s="58">
        <f t="shared" si="16"/>
        <v>-26.46875</v>
      </c>
      <c r="BY36" s="58">
        <f t="shared" si="16"/>
        <v>1464</v>
      </c>
      <c r="BZ36" s="58">
        <f t="shared" si="16"/>
        <v>-2120</v>
      </c>
      <c r="CA36" s="58">
        <f t="shared" si="16"/>
        <v>8</v>
      </c>
      <c r="CB36" s="58">
        <f t="shared" si="16"/>
        <v>3576</v>
      </c>
      <c r="CC36" s="58">
        <f t="shared" si="16"/>
        <v>-1.640999999992232E-3</v>
      </c>
      <c r="CD36" s="58">
        <f t="shared" si="16"/>
        <v>-1.7440000000021882E-3</v>
      </c>
      <c r="CE36" s="58">
        <f t="shared" si="16"/>
        <v>-1.434000000003266E-3</v>
      </c>
      <c r="CF36" s="58">
        <f t="shared" si="16"/>
        <v>-2.7500000000202363E-4</v>
      </c>
      <c r="CG36" s="58">
        <f t="shared" si="16"/>
        <v>-4.7102999999999895E-2</v>
      </c>
      <c r="CJ36" t="s">
        <v>589</v>
      </c>
    </row>
    <row r="37" spans="1:88" outlineLevel="1" x14ac:dyDescent="0.2">
      <c r="A37" s="52"/>
      <c r="B37" s="52" t="s">
        <v>82</v>
      </c>
      <c r="C37" s="9" t="s">
        <v>235</v>
      </c>
      <c r="D37" s="52">
        <v>333190689</v>
      </c>
      <c r="E37" s="9">
        <v>11</v>
      </c>
      <c r="F37" s="9">
        <v>32</v>
      </c>
      <c r="G37" s="9">
        <v>30</v>
      </c>
      <c r="I37" s="10">
        <f t="shared" si="0"/>
        <v>8.8770524999999996</v>
      </c>
      <c r="J37" s="11">
        <f t="shared" si="1"/>
        <v>2.8418729312090711E-2</v>
      </c>
      <c r="K37" s="11">
        <f t="shared" si="2"/>
        <v>1.7359092528543018E-2</v>
      </c>
      <c r="L37" s="11">
        <f t="shared" si="3"/>
        <v>1.3430483347030144E-2</v>
      </c>
      <c r="M37" s="11">
        <f t="shared" si="4"/>
        <v>1.1059252619151071E-2</v>
      </c>
      <c r="N37" s="52">
        <f t="shared" si="5"/>
        <v>5783888</v>
      </c>
      <c r="O37" s="11">
        <v>16</v>
      </c>
      <c r="P37" s="12">
        <v>81772890</v>
      </c>
      <c r="Q37" s="12">
        <v>2555402.8125</v>
      </c>
      <c r="R37" s="12">
        <v>42956.3125</v>
      </c>
      <c r="S37" s="13">
        <v>9468856</v>
      </c>
      <c r="T37" s="13">
        <v>4474912</v>
      </c>
      <c r="U37" s="13">
        <v>1308976</v>
      </c>
      <c r="V37" s="13">
        <v>3684840</v>
      </c>
      <c r="W37" s="14">
        <v>76.245766000000003</v>
      </c>
      <c r="X37" s="14">
        <v>78.941312999999994</v>
      </c>
      <c r="Y37" s="14">
        <v>36.135458999999997</v>
      </c>
      <c r="Z37" s="14">
        <v>43.557594000000002</v>
      </c>
      <c r="AA37" s="14">
        <v>46.185415999999996</v>
      </c>
      <c r="AB37" s="15">
        <v>3560.34</v>
      </c>
      <c r="AC37" s="15">
        <v>21852.799999999999</v>
      </c>
      <c r="AD37" s="15">
        <v>242.596</v>
      </c>
      <c r="AE37" s="15">
        <v>86.617000000000004</v>
      </c>
      <c r="AG37" s="10">
        <f t="shared" si="6"/>
        <v>8.872935</v>
      </c>
      <c r="AH37" s="11">
        <f t="shared" si="7"/>
        <v>2.8405547671231594E-2</v>
      </c>
      <c r="AI37" s="11">
        <f t="shared" si="8"/>
        <v>1.7355250884576789E-2</v>
      </c>
      <c r="AJ37" s="11">
        <f t="shared" si="9"/>
        <v>1.3426617692789128E-2</v>
      </c>
      <c r="AK37" s="11">
        <f t="shared" si="10"/>
        <v>1.1049912622258181E-2</v>
      </c>
      <c r="AL37" s="52">
        <f t="shared" si="11"/>
        <v>5782608</v>
      </c>
      <c r="AM37" s="11">
        <v>16</v>
      </c>
      <c r="AN37" s="12">
        <v>81787481</v>
      </c>
      <c r="AO37" s="12">
        <v>2555858.78125</v>
      </c>
      <c r="AP37" s="12">
        <v>42911.78125</v>
      </c>
      <c r="AQ37" s="13">
        <v>9464464</v>
      </c>
      <c r="AR37" s="13">
        <v>4473624</v>
      </c>
      <c r="AS37" s="13">
        <v>1308984</v>
      </c>
      <c r="AT37" s="13">
        <v>3681728</v>
      </c>
      <c r="AU37" s="14">
        <v>76.246069000000006</v>
      </c>
      <c r="AV37" s="14">
        <v>78.937634000000003</v>
      </c>
      <c r="AW37" s="14">
        <v>36.127488</v>
      </c>
      <c r="AX37" s="14">
        <v>43.536346999999999</v>
      </c>
      <c r="AY37" s="14">
        <v>46.109228000000002</v>
      </c>
      <c r="AZ37" s="15">
        <v>3566.44</v>
      </c>
      <c r="BA37" s="15">
        <v>21005.7</v>
      </c>
      <c r="BB37" s="15">
        <v>229.464</v>
      </c>
      <c r="BC37" s="15">
        <v>82.992999999999995</v>
      </c>
      <c r="BE37" s="50">
        <f t="shared" si="12"/>
        <v>0.99977869557640109</v>
      </c>
      <c r="BF37" s="16">
        <f t="shared" si="13"/>
        <v>-2.0422131106815483E-5</v>
      </c>
      <c r="BG37" s="16">
        <f t="shared" si="14"/>
        <v>1.4821523327368524E-4</v>
      </c>
      <c r="BH37" s="16"/>
      <c r="BJ37" s="50"/>
      <c r="BK37" s="50"/>
      <c r="BL37" s="50"/>
      <c r="BM37" s="50"/>
      <c r="BN37" s="50"/>
      <c r="BP37" s="50"/>
      <c r="BQ37" s="50"/>
      <c r="BR37" s="50"/>
      <c r="BS37" s="50"/>
      <c r="BT37" s="50"/>
      <c r="BV37" s="58">
        <f t="shared" si="16"/>
        <v>14591</v>
      </c>
      <c r="BW37" s="58">
        <f t="shared" si="16"/>
        <v>455.96875</v>
      </c>
      <c r="BX37" s="58">
        <f t="shared" si="16"/>
        <v>-44.53125</v>
      </c>
      <c r="BY37" s="58">
        <f t="shared" si="16"/>
        <v>-4392</v>
      </c>
      <c r="BZ37" s="58">
        <f t="shared" si="16"/>
        <v>-1288</v>
      </c>
      <c r="CA37" s="58">
        <f t="shared" si="16"/>
        <v>8</v>
      </c>
      <c r="CB37" s="58">
        <f t="shared" si="16"/>
        <v>-3112</v>
      </c>
      <c r="CC37" s="58">
        <f t="shared" si="16"/>
        <v>3.030000000023847E-4</v>
      </c>
      <c r="CD37" s="58">
        <f t="shared" si="16"/>
        <v>-3.6789999999911061E-3</v>
      </c>
      <c r="CE37" s="58">
        <f t="shared" si="16"/>
        <v>-7.9709999999977299E-3</v>
      </c>
      <c r="CF37" s="58">
        <f t="shared" si="16"/>
        <v>-2.1247000000002458E-2</v>
      </c>
      <c r="CG37" s="58">
        <f t="shared" si="16"/>
        <v>-7.6187999999994815E-2</v>
      </c>
      <c r="CJ37" t="s">
        <v>589</v>
      </c>
    </row>
    <row r="38" spans="1:88" outlineLevel="1" x14ac:dyDescent="0.2">
      <c r="A38" s="17"/>
      <c r="B38" s="17" t="s">
        <v>82</v>
      </c>
      <c r="C38" s="18" t="s">
        <v>236</v>
      </c>
      <c r="D38" s="17">
        <v>333190689</v>
      </c>
      <c r="E38" s="18">
        <v>11</v>
      </c>
      <c r="F38" s="18">
        <v>32</v>
      </c>
      <c r="G38" s="18">
        <v>30</v>
      </c>
      <c r="I38" s="19">
        <f t="shared" si="0"/>
        <v>14.373945000000001</v>
      </c>
      <c r="J38" s="20">
        <f t="shared" si="1"/>
        <v>4.6016315900112084E-2</v>
      </c>
      <c r="K38" s="20">
        <f t="shared" si="2"/>
        <v>2.3628463399227823E-2</v>
      </c>
      <c r="L38" s="20">
        <f t="shared" si="3"/>
        <v>1.969983020744016E-2</v>
      </c>
      <c r="M38" s="20">
        <f t="shared" si="4"/>
        <v>2.2387468336487637E-2</v>
      </c>
      <c r="N38" s="17">
        <f t="shared" si="5"/>
        <v>7872784</v>
      </c>
      <c r="O38" s="20">
        <v>16</v>
      </c>
      <c r="P38" s="21">
        <v>83874304</v>
      </c>
      <c r="Q38" s="21">
        <v>2621072</v>
      </c>
      <c r="R38" s="21">
        <v>48113.28125</v>
      </c>
      <c r="S38" s="22">
        <v>15332208</v>
      </c>
      <c r="T38" s="22">
        <v>6563800</v>
      </c>
      <c r="U38" s="22">
        <v>1308984</v>
      </c>
      <c r="V38" s="22">
        <v>7459296</v>
      </c>
      <c r="W38" s="23">
        <v>77.415141000000006</v>
      </c>
      <c r="X38" s="23">
        <v>80.131313000000006</v>
      </c>
      <c r="Y38" s="23">
        <v>38.080516000000003</v>
      </c>
      <c r="Z38" s="23">
        <v>44.200116000000001</v>
      </c>
      <c r="AA38" s="23">
        <v>47.251834000000002</v>
      </c>
      <c r="AB38" s="24">
        <v>3310.48</v>
      </c>
      <c r="AC38" s="24">
        <v>21802.7</v>
      </c>
      <c r="AD38" s="24">
        <v>233.21</v>
      </c>
      <c r="AE38" s="24">
        <v>85.352999999999994</v>
      </c>
      <c r="AG38" s="19">
        <f t="shared" si="6"/>
        <v>14.378159999999999</v>
      </c>
      <c r="AH38" s="20">
        <f t="shared" si="7"/>
        <v>4.6029809674543454E-2</v>
      </c>
      <c r="AI38" s="20">
        <f t="shared" si="8"/>
        <v>2.3624501703887649E-2</v>
      </c>
      <c r="AJ38" s="20">
        <f t="shared" si="9"/>
        <v>1.9695868512099989E-2</v>
      </c>
      <c r="AK38" s="20">
        <f t="shared" si="10"/>
        <v>2.2404923806259185E-2</v>
      </c>
      <c r="AL38" s="17">
        <f t="shared" si="11"/>
        <v>7871464</v>
      </c>
      <c r="AM38" s="20">
        <v>16</v>
      </c>
      <c r="AN38" s="21">
        <v>83859347</v>
      </c>
      <c r="AO38" s="21">
        <v>2620604.59375</v>
      </c>
      <c r="AP38" s="21">
        <v>48103.65625</v>
      </c>
      <c r="AQ38" s="22">
        <v>15336704</v>
      </c>
      <c r="AR38" s="22">
        <v>6562480</v>
      </c>
      <c r="AS38" s="22">
        <v>1308984</v>
      </c>
      <c r="AT38" s="22">
        <v>7465112</v>
      </c>
      <c r="AU38" s="23">
        <v>77.415709000000007</v>
      </c>
      <c r="AV38" s="23">
        <v>80.131399999999999</v>
      </c>
      <c r="AW38" s="23">
        <v>38.083593999999998</v>
      </c>
      <c r="AX38" s="23">
        <v>44.197806</v>
      </c>
      <c r="AY38" s="23">
        <v>47.240555999999998</v>
      </c>
      <c r="AZ38" s="24">
        <v>3781.95</v>
      </c>
      <c r="BA38" s="24">
        <v>21599.1</v>
      </c>
      <c r="BB38" s="24">
        <v>221.11</v>
      </c>
      <c r="BC38" s="24">
        <v>78.132000000000005</v>
      </c>
      <c r="BE38" s="49">
        <f t="shared" si="12"/>
        <v>0.99983233377163649</v>
      </c>
      <c r="BF38" s="25">
        <f t="shared" si="13"/>
        <v>-3.9881381002845884E-7</v>
      </c>
      <c r="BG38" s="25">
        <f t="shared" si="14"/>
        <v>-2.3659624769656329E-4</v>
      </c>
      <c r="BH38" s="25"/>
      <c r="BJ38" s="49"/>
      <c r="BK38" s="49"/>
      <c r="BL38" s="49"/>
      <c r="BM38" s="49"/>
      <c r="BN38" s="49"/>
      <c r="BP38" s="49"/>
      <c r="BQ38" s="49"/>
      <c r="BR38" s="49"/>
      <c r="BS38" s="49"/>
      <c r="BT38" s="49"/>
      <c r="BV38" s="58">
        <f t="shared" si="16"/>
        <v>-14957</v>
      </c>
      <c r="BW38" s="58">
        <f t="shared" si="16"/>
        <v>-467.40625</v>
      </c>
      <c r="BX38" s="58">
        <f t="shared" si="16"/>
        <v>-9.625</v>
      </c>
      <c r="BY38" s="58">
        <f t="shared" si="16"/>
        <v>4496</v>
      </c>
      <c r="BZ38" s="58">
        <f t="shared" si="16"/>
        <v>-1320</v>
      </c>
      <c r="CA38" s="58">
        <f t="shared" si="16"/>
        <v>0</v>
      </c>
      <c r="CB38" s="58">
        <f t="shared" si="16"/>
        <v>5816</v>
      </c>
      <c r="CC38" s="58">
        <f t="shared" si="16"/>
        <v>5.6800000000123418E-4</v>
      </c>
      <c r="CD38" s="58">
        <f t="shared" si="16"/>
        <v>8.6999999993508936E-5</v>
      </c>
      <c r="CE38" s="58">
        <f t="shared" si="16"/>
        <v>3.0779999999950292E-3</v>
      </c>
      <c r="CF38" s="58">
        <f t="shared" si="16"/>
        <v>-2.3100000000013665E-3</v>
      </c>
      <c r="CG38" s="58">
        <f t="shared" si="16"/>
        <v>-1.127800000000434E-2</v>
      </c>
      <c r="CJ38" t="s">
        <v>589</v>
      </c>
    </row>
    <row r="39" spans="1:88" ht="16" outlineLevel="1" thickBot="1" x14ac:dyDescent="0.25">
      <c r="A39" s="26"/>
      <c r="B39" s="26" t="s">
        <v>82</v>
      </c>
      <c r="C39" s="27" t="s">
        <v>237</v>
      </c>
      <c r="D39" s="26">
        <v>333190689</v>
      </c>
      <c r="E39" s="27">
        <v>11</v>
      </c>
      <c r="F39" s="27">
        <v>32</v>
      </c>
      <c r="G39" s="27">
        <v>30</v>
      </c>
      <c r="I39" s="28">
        <f t="shared" si="0"/>
        <v>28.606012499999999</v>
      </c>
      <c r="J39" s="29">
        <f t="shared" si="1"/>
        <v>9.1578429432042141E-2</v>
      </c>
      <c r="K39" s="29">
        <f t="shared" si="2"/>
        <v>3.8363400965265269E-2</v>
      </c>
      <c r="L39" s="29">
        <f t="shared" si="3"/>
        <v>3.0349035353746036E-2</v>
      </c>
      <c r="M39" s="29">
        <f t="shared" si="4"/>
        <v>5.3214644302380251E-2</v>
      </c>
      <c r="N39" s="26">
        <f t="shared" si="5"/>
        <v>12782328</v>
      </c>
      <c r="O39" s="29">
        <v>16</v>
      </c>
      <c r="P39" s="30">
        <v>82045034</v>
      </c>
      <c r="Q39" s="30">
        <v>2563907.3125</v>
      </c>
      <c r="R39" s="30">
        <v>19233.5</v>
      </c>
      <c r="S39" s="31">
        <v>30513080</v>
      </c>
      <c r="T39" s="31">
        <v>10112016</v>
      </c>
      <c r="U39" s="31">
        <v>2670312</v>
      </c>
      <c r="V39" s="31">
        <v>17730624</v>
      </c>
      <c r="W39" s="32">
        <v>78.308863000000002</v>
      </c>
      <c r="X39" s="32">
        <v>81.850862000000006</v>
      </c>
      <c r="Y39" s="32">
        <v>40.155527999999997</v>
      </c>
      <c r="Z39" s="32">
        <v>45.116328000000003</v>
      </c>
      <c r="AA39" s="32">
        <v>48.626159000000001</v>
      </c>
      <c r="AB39" s="33">
        <v>3850.09</v>
      </c>
      <c r="AC39" s="33">
        <v>29970.5</v>
      </c>
      <c r="AD39" s="33">
        <v>248.172</v>
      </c>
      <c r="AE39" s="33">
        <v>118.102</v>
      </c>
      <c r="AG39" s="28">
        <f t="shared" si="6"/>
        <v>28.611975000000001</v>
      </c>
      <c r="AH39" s="29">
        <f t="shared" si="7"/>
        <v>9.1597517600499334E-2</v>
      </c>
      <c r="AI39" s="29">
        <f t="shared" si="8"/>
        <v>3.8382417102898095E-2</v>
      </c>
      <c r="AJ39" s="29">
        <f t="shared" si="9"/>
        <v>3.036807550165365E-2</v>
      </c>
      <c r="AK39" s="29">
        <f t="shared" si="10"/>
        <v>5.3214716333204619E-2</v>
      </c>
      <c r="AL39" s="26">
        <f t="shared" si="11"/>
        <v>12788664</v>
      </c>
      <c r="AM39" s="29">
        <v>16</v>
      </c>
      <c r="AN39" s="30">
        <v>82067544</v>
      </c>
      <c r="AO39" s="30">
        <v>2564610.75</v>
      </c>
      <c r="AP39" s="30">
        <v>19264.46875</v>
      </c>
      <c r="AQ39" s="31">
        <v>30519440</v>
      </c>
      <c r="AR39" s="31">
        <v>10118360</v>
      </c>
      <c r="AS39" s="31">
        <v>2670304</v>
      </c>
      <c r="AT39" s="31">
        <v>17730648</v>
      </c>
      <c r="AU39" s="32">
        <v>78.311515999999997</v>
      </c>
      <c r="AV39" s="32">
        <v>81.848194000000007</v>
      </c>
      <c r="AW39" s="32">
        <v>40.159621999999999</v>
      </c>
      <c r="AX39" s="32">
        <v>45.117593999999997</v>
      </c>
      <c r="AY39" s="32">
        <v>48.624606</v>
      </c>
      <c r="AZ39" s="33">
        <v>4043.95</v>
      </c>
      <c r="BA39" s="33">
        <v>30936.799999999999</v>
      </c>
      <c r="BB39" s="33">
        <v>257.12400000000002</v>
      </c>
      <c r="BC39" s="33">
        <v>125.366</v>
      </c>
      <c r="BE39" s="34">
        <f t="shared" si="12"/>
        <v>1.0004956843542114</v>
      </c>
      <c r="BF39" s="35">
        <f t="shared" si="13"/>
        <v>1.0017823469143754E-5</v>
      </c>
      <c r="BG39" s="35">
        <f t="shared" si="14"/>
        <v>1.2030734766244056E-4</v>
      </c>
      <c r="BH39" s="35"/>
      <c r="BJ39" s="34"/>
      <c r="BK39" s="34"/>
      <c r="BL39" s="34"/>
      <c r="BM39" s="34"/>
      <c r="BN39" s="34"/>
      <c r="BP39" s="34"/>
      <c r="BQ39" s="34"/>
      <c r="BR39" s="34"/>
      <c r="BS39" s="34"/>
      <c r="BT39" s="34"/>
      <c r="BV39" s="58">
        <f t="shared" si="16"/>
        <v>22510</v>
      </c>
      <c r="BW39" s="58">
        <f t="shared" si="16"/>
        <v>703.4375</v>
      </c>
      <c r="BX39" s="58">
        <f t="shared" si="16"/>
        <v>30.96875</v>
      </c>
      <c r="BY39" s="58">
        <f t="shared" si="16"/>
        <v>6360</v>
      </c>
      <c r="BZ39" s="58">
        <f t="shared" si="16"/>
        <v>6344</v>
      </c>
      <c r="CA39" s="58">
        <f t="shared" si="16"/>
        <v>-8</v>
      </c>
      <c r="CB39" s="58">
        <f t="shared" si="16"/>
        <v>24</v>
      </c>
      <c r="CC39" s="58">
        <f t="shared" si="16"/>
        <v>2.6529999999951315E-3</v>
      </c>
      <c r="CD39" s="58">
        <f t="shared" si="16"/>
        <v>-2.6679999999998927E-3</v>
      </c>
      <c r="CE39" s="58">
        <f t="shared" si="16"/>
        <v>4.0940000000020405E-3</v>
      </c>
      <c r="CF39" s="58">
        <f t="shared" si="16"/>
        <v>1.2659999999939942E-3</v>
      </c>
      <c r="CG39" s="58">
        <f t="shared" si="16"/>
        <v>-1.5530000000012478E-3</v>
      </c>
      <c r="CJ39" t="s">
        <v>589</v>
      </c>
    </row>
    <row r="40" spans="1:88" ht="16" x14ac:dyDescent="0.2">
      <c r="B40" s="46" t="s">
        <v>16</v>
      </c>
      <c r="J40" s="47">
        <f>AVERAGE(J5:J24)</f>
        <v>1.7524708284099064E-2</v>
      </c>
      <c r="K40" s="47">
        <f>AVERAGE(K5:K24)</f>
        <v>9.4866712161740894E-3</v>
      </c>
      <c r="L40" s="47">
        <f>AVERAGE(L5:L24)</f>
        <v>6.9283074395525748E-3</v>
      </c>
      <c r="M40" s="47">
        <f>AVERAGE(M5:M24)</f>
        <v>8.0375291001182105E-3</v>
      </c>
      <c r="AH40" s="47">
        <f>AVERAGE(AH5:AH24)</f>
        <v>1.7595682520211983E-2</v>
      </c>
      <c r="AI40" s="47">
        <f>AVERAGE(AI5:AI24)</f>
        <v>9.5036076704731846E-3</v>
      </c>
      <c r="AJ40" s="47">
        <f>AVERAGE(AJ5:AJ24)</f>
        <v>6.9392508414890929E-3</v>
      </c>
      <c r="AK40" s="47">
        <f>AVERAGE(AK5:AK24)</f>
        <v>8.0915668819320323E-3</v>
      </c>
      <c r="BE40" s="51">
        <f t="shared" si="12"/>
        <v>1.0017852894775376</v>
      </c>
      <c r="BH40" s="55">
        <f>AVERAGE(BH5:BH24)</f>
        <v>-9.4753577190784255E-4</v>
      </c>
      <c r="BJ40" s="51">
        <f>AVERAGE(BJ5:BJ24)</f>
        <v>-2.9464216388949971E-3</v>
      </c>
      <c r="BK40" s="51">
        <f>AVERAGE(BK5:BK24)</f>
        <v>-1.3091906702722644E-2</v>
      </c>
      <c r="BL40" s="51">
        <f>AVERAGE(BL5:BL24)</f>
        <v>2.0631709629564815E-2</v>
      </c>
      <c r="BM40" s="51">
        <f>AVERAGE(BM5:BM24)</f>
        <v>1.645098892945282E-2</v>
      </c>
      <c r="BN40" s="51">
        <f>AVERAGE(BN5:BN24)</f>
        <v>3.5511749313561519E-2</v>
      </c>
      <c r="BP40" s="51">
        <f>AVERAGE(BP5:BP24)</f>
        <v>2.9481235645756332E-4</v>
      </c>
      <c r="BQ40" s="51">
        <f>AVERAGE(BQ5:BQ24)</f>
        <v>-1.7573003075371268E-2</v>
      </c>
      <c r="BR40" s="51">
        <f>AVERAGE(BR5:BR24)</f>
        <v>1.1136712113510666E-2</v>
      </c>
      <c r="BS40" s="51">
        <f>AVERAGE(BS5:BS24)</f>
        <v>1.0099113156355838E-2</v>
      </c>
      <c r="BT40" s="51">
        <f>AVERAGE(BT5:BT24)</f>
        <v>2.109501142351311E-2</v>
      </c>
    </row>
    <row r="41" spans="1:88" ht="16" x14ac:dyDescent="0.2">
      <c r="B41" s="46" t="s">
        <v>17</v>
      </c>
      <c r="J41" s="47">
        <f>AVERAGE(J25:J29)</f>
        <v>3.8080069987292013E-2</v>
      </c>
      <c r="K41" s="47">
        <f>AVERAGE(K25:K29)</f>
        <v>1.1344066568728203E-2</v>
      </c>
      <c r="L41" s="47">
        <f>AVERAGE(L25:L29)</f>
        <v>8.7549893509081232E-3</v>
      </c>
      <c r="M41" s="47">
        <f>AVERAGE(M25:M29)</f>
        <v>2.6735492021157693E-2</v>
      </c>
      <c r="AH41" s="47">
        <f>AVERAGE(AH25:AH29)</f>
        <v>3.8119581829382146E-2</v>
      </c>
      <c r="AI41" s="47">
        <f>AVERAGE(AI25:AI29)</f>
        <v>1.135837930363191E-2</v>
      </c>
      <c r="AJ41" s="47">
        <f>AVERAGE(AJ25:AJ29)</f>
        <v>8.7672756735900897E-3</v>
      </c>
      <c r="AK41" s="47">
        <f>AVERAGE(AK25:AK29)</f>
        <v>2.6760691128344116E-2</v>
      </c>
      <c r="BE41" s="51">
        <f t="shared" si="12"/>
        <v>1.0012616934868102</v>
      </c>
      <c r="BH41" s="55">
        <f>AVERAGE(BH25:BH29)</f>
        <v>7.6294184888248129E-5</v>
      </c>
      <c r="BJ41" s="51">
        <f>AVERAGE(BJ25:BJ29)</f>
        <v>-1.8128632546222656E-3</v>
      </c>
      <c r="BK41" s="51">
        <f>AVERAGE(BK25:BK29)</f>
        <v>-1.6154842037781059E-3</v>
      </c>
      <c r="BL41" s="51">
        <f>AVERAGE(BL25:BL29)</f>
        <v>2.6966339409750795E-4</v>
      </c>
      <c r="BM41" s="51">
        <f>AVERAGE(BM25:BM29)</f>
        <v>7.9839409394688587E-3</v>
      </c>
      <c r="BN41" s="51">
        <f>AVERAGE(BN25:BN29)</f>
        <v>3.7190675025200459E-3</v>
      </c>
      <c r="BP41" s="51">
        <f>AVERAGE(BP25:BP29)</f>
        <v>-5.1438928889937507E-3</v>
      </c>
      <c r="BQ41" s="51">
        <f>AVERAGE(BQ25:BQ29)</f>
        <v>-5.3753252691203235E-3</v>
      </c>
      <c r="BR41" s="51">
        <f>AVERAGE(BR25:BR29)</f>
        <v>7.7199300665542481E-4</v>
      </c>
      <c r="BS41" s="51">
        <f>AVERAGE(BS25:BS29)</f>
        <v>6.8302150537626893E-3</v>
      </c>
      <c r="BT41" s="51">
        <f>AVERAGE(BT25:BT29)</f>
        <v>3.2921797630047767E-3</v>
      </c>
    </row>
    <row r="42" spans="1:88" ht="16" x14ac:dyDescent="0.2">
      <c r="B42" s="46" t="s">
        <v>18</v>
      </c>
      <c r="J42" s="47">
        <f>AVERAGE(J30:J39)</f>
        <v>3.4932161657446434E-2</v>
      </c>
      <c r="K42" s="47">
        <f>AVERAGE(K30:K39)</f>
        <v>1.851442824525729E-2</v>
      </c>
      <c r="L42" s="47">
        <f>AVERAGE(L30:L39)</f>
        <v>1.4297848101410821E-2</v>
      </c>
      <c r="M42" s="47">
        <f>AVERAGE(M30:M39)</f>
        <v>1.6417370855409924E-2</v>
      </c>
      <c r="AH42" s="47">
        <f>AVERAGE(AH30:AH39)</f>
        <v>3.4941725932794265E-2</v>
      </c>
      <c r="AI42" s="47">
        <f>AVERAGE(AI30:AI39)</f>
        <v>1.8517733443772399E-2</v>
      </c>
      <c r="AJ42" s="47">
        <f>AVERAGE(AJ30:AJ39)</f>
        <v>1.4301451090252094E-2</v>
      </c>
      <c r="AK42" s="47">
        <f>AVERAGE(AK30:AK39)</f>
        <v>1.6423629932242643E-2</v>
      </c>
      <c r="BE42" s="51">
        <f t="shared" si="12"/>
        <v>1.0001785201504105</v>
      </c>
      <c r="BH42" s="55">
        <f>AVERAGE(BH30:BH39)</f>
        <v>-1.4017325149717763E-5</v>
      </c>
      <c r="BJ42" s="51">
        <f>AVERAGE(BJ30:BJ39)</f>
        <v>-1.156732415746875E-4</v>
      </c>
      <c r="BK42" s="51">
        <f>AVERAGE(BK30:BK39)</f>
        <v>1.6003397919461815E-4</v>
      </c>
      <c r="BL42" s="51">
        <f>AVERAGE(BL30:BL39)</f>
        <v>3.0267185691795762E-4</v>
      </c>
      <c r="BM42" s="51">
        <f>AVERAGE(BM30:BM39)</f>
        <v>7.002237994902516E-3</v>
      </c>
      <c r="BN42" s="51">
        <f>AVERAGE(BN30:BN39)</f>
        <v>-5.4863077177325081E-3</v>
      </c>
      <c r="BP42" s="51">
        <f>AVERAGE(BP30:BP39)</f>
        <v>5.7235604328131906E-5</v>
      </c>
      <c r="BQ42" s="51">
        <f>AVERAGE(BQ30:BQ39)</f>
        <v>4.3029058531118825E-4</v>
      </c>
      <c r="BR42" s="51">
        <f>AVERAGE(BR30:BR39)</f>
        <v>-1.1303022863451417E-5</v>
      </c>
      <c r="BS42" s="51">
        <f>AVERAGE(BS30:BS39)</f>
        <v>4.5175093787015452E-3</v>
      </c>
      <c r="BT42" s="51">
        <f>AVERAGE(BT30:BT39)</f>
        <v>-1.4528999340658877E-3</v>
      </c>
    </row>
    <row r="43" spans="1:88" ht="16" x14ac:dyDescent="0.2">
      <c r="B43" s="46" t="s">
        <v>19</v>
      </c>
      <c r="J43" s="47">
        <f>AVERAGE(J5:J39)</f>
        <v>2.5434746634083016E-2</v>
      </c>
      <c r="K43" s="47">
        <f>AVERAGE(K5:K39)</f>
        <v>1.2331372560562728E-2</v>
      </c>
      <c r="L43" s="47">
        <f>AVERAGE(L5:L39)</f>
        <v>9.2948450445628685E-3</v>
      </c>
      <c r="M43" s="47">
        <f>AVERAGE(M5:M39)</f>
        <v>1.3102907161778627E-2</v>
      </c>
      <c r="AH43" s="47">
        <f>AVERAGE(AH5:AH39)</f>
        <v>2.5483680539402653E-2</v>
      </c>
      <c r="AI43" s="47">
        <f>AVERAGE(AI5:AI39)</f>
        <v>1.2344039553295636E-2</v>
      </c>
      <c r="AJ43" s="47">
        <f>AVERAGE(AJ5:AJ39)</f>
        <v>9.303883031435806E-3</v>
      </c>
      <c r="AK43" s="47">
        <f>AVERAGE(AK5:AK39)</f>
        <v>1.3139174074365361E-2</v>
      </c>
      <c r="BE43" s="51">
        <f t="shared" si="12"/>
        <v>1.0010272167733718</v>
      </c>
      <c r="BH43" s="55">
        <f>AVERAGE(BH5:BH39)</f>
        <v>-5.3455479329179393E-4</v>
      </c>
      <c r="BJ43" s="51">
        <f>AVERAGE(BJ5:BJ39)</f>
        <v>-1.975699470478804E-3</v>
      </c>
      <c r="BK43" s="51">
        <f>AVERAGE(BK5:BK39)</f>
        <v>-7.6661490080399209E-3</v>
      </c>
      <c r="BL43" s="51">
        <f>AVERAGE(BL5:BL39)</f>
        <v>1.1914549375170383E-2</v>
      </c>
      <c r="BM43" s="51">
        <f>AVERAGE(BM5:BM39)</f>
        <v>1.2541767521012168E-2</v>
      </c>
      <c r="BN43" s="51">
        <f>AVERAGE(BN5:BN39)</f>
        <v>1.925620704590016E-2</v>
      </c>
      <c r="BP43" s="51">
        <f>AVERAGE(BP5:BP39)</f>
        <v>-5.5002460778674767E-4</v>
      </c>
      <c r="BQ43" s="51">
        <f>AVERAGE(BQ5:BQ39)</f>
        <v>-1.0686679485711861E-2</v>
      </c>
      <c r="BR43" s="51">
        <f>AVERAGE(BR5:BR39)</f>
        <v>6.4708907735673126E-3</v>
      </c>
      <c r="BS43" s="51">
        <f>AVERAGE(BS5:BS39)</f>
        <v>8.0373837766555909E-3</v>
      </c>
      <c r="BT43" s="51">
        <f>AVERAGE(BT5:BT39)</f>
        <v>1.2109489369846491E-2</v>
      </c>
    </row>
    <row r="44" spans="1:88" ht="16" hidden="1" outlineLevel="2" x14ac:dyDescent="0.2">
      <c r="A44" s="46" t="s">
        <v>245</v>
      </c>
      <c r="B44" s="46" t="s">
        <v>246</v>
      </c>
      <c r="AB44" s="48">
        <f>SUM(AB5:AB24,AB25:AB29,AB30:AB39)</f>
        <v>131935.01000000004</v>
      </c>
      <c r="AC44" s="48">
        <f>SUM(AC5:AC24,AC25:AC29,AC30:AC39)</f>
        <v>312158.63999999996</v>
      </c>
      <c r="AD44" s="48">
        <f>SUM(AD5:AD24,AD25:AD29,AD30:AD39)</f>
        <v>4252.2020000000002</v>
      </c>
      <c r="AE44" s="48">
        <f>SUM(AE5:AE24,AE25:AE29,AE30:AE39)</f>
        <v>1342.1770000000001</v>
      </c>
      <c r="AZ44" s="48">
        <f>SUM(AZ5:AZ24,AZ25:AZ29,AZ30:AZ39)</f>
        <v>138394.07999999999</v>
      </c>
      <c r="BA44" s="48">
        <f>SUM(BA5:BA24,BA25:BA29,BA30:BA39)</f>
        <v>317682.13999999996</v>
      </c>
      <c r="BB44" s="48">
        <f>SUM(BB5:BB24,BB25:BB29,BB30:BB39)</f>
        <v>4278.0250000000005</v>
      </c>
      <c r="BC44" s="48">
        <f>SUM(BC5:BC24,BC25:BC29,BC30:BC39)</f>
        <v>1350.4559999999999</v>
      </c>
    </row>
    <row r="45" spans="1:88" ht="16" hidden="1" outlineLevel="2" x14ac:dyDescent="0.2">
      <c r="B45" s="46" t="s">
        <v>247</v>
      </c>
      <c r="AZ45" s="55">
        <f>AZ44/AB44</f>
        <v>1.0489564521198729</v>
      </c>
      <c r="BA45" s="55">
        <f>BA44/AC44</f>
        <v>1.017694528653764</v>
      </c>
      <c r="BB45" s="55">
        <f>BB44/AD44</f>
        <v>1.0060728535474091</v>
      </c>
      <c r="BC45" s="55">
        <f>BC44/AE44</f>
        <v>1.0061683369630083</v>
      </c>
    </row>
    <row r="46" spans="1:88" ht="16" hidden="1" outlineLevel="2" x14ac:dyDescent="0.2">
      <c r="B46" s="46" t="s">
        <v>248</v>
      </c>
      <c r="AB46" s="48">
        <f>GEOMEAN(AB5:AB24,AB25:AB29,AB30:AB39)</f>
        <v>3578.1933597936495</v>
      </c>
      <c r="AC46" s="48">
        <f>GEOMEAN(AC5:AC24,AC25:AC29,AC30:AC39)</f>
        <v>6444.7649121879276</v>
      </c>
      <c r="AD46" s="48">
        <f>GEOMEAN(AD5:AD24,AD25:AD29,AD30:AD39)</f>
        <v>102.41054158961438</v>
      </c>
      <c r="AE46" s="48">
        <f>GEOMEAN(AE5:AE24,AE25:AE29,AE30:AE39)</f>
        <v>28.612309817486945</v>
      </c>
      <c r="AZ46" s="48">
        <f>GEOMEAN(AZ5:AZ24,AZ25:AZ29,AZ30:AZ39)</f>
        <v>3742.8946763645708</v>
      </c>
      <c r="BA46" s="48">
        <f>GEOMEAN(BA5:BA24,BA25:BA29,BA30:BA39)</f>
        <v>6530.940236218783</v>
      </c>
      <c r="BB46" s="48">
        <f>GEOMEAN(BB5:BB24,BB25:BB29,BB30:BB39)</f>
        <v>103.09716581660491</v>
      </c>
      <c r="BC46" s="48">
        <f>GEOMEAN(BC5:BC24,BC25:BC29,BC30:BC39)</f>
        <v>28.598448131808787</v>
      </c>
    </row>
    <row r="47" spans="1:88" ht="16" outlineLevel="2" collapsed="1" x14ac:dyDescent="0.2">
      <c r="B47" s="46" t="s">
        <v>249</v>
      </c>
      <c r="AZ47" s="55">
        <f>AZ46/AB46</f>
        <v>1.0460291828892163</v>
      </c>
      <c r="BA47" s="55">
        <f>BA46/AC46</f>
        <v>1.013371368111176</v>
      </c>
      <c r="BB47" s="55">
        <f>BB46/AD46</f>
        <v>1.0067046245077194</v>
      </c>
      <c r="BC47" s="55">
        <f>BC46/AE46</f>
        <v>0.99951553419606531</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2019-12-04T17:23:54Z</dcterms:modified>
</cp:coreProperties>
</file>