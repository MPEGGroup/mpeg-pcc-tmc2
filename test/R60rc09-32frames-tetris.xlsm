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7109D5C7-1961-4C42-B027-0432C223AEFA}" xr6:coauthVersionLast="36" xr6:coauthVersionMax="36" xr10:uidLastSave="{00000000-0000-0000-0000-000000000000}"/>
  <bookViews>
    <workbookView xWindow="240" yWindow="15" windowWidth="16095" windowHeight="9660" firstSheet="1" activeTab="5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L9" i="6" l="1"/>
  <c r="BK9" i="6"/>
  <c r="BJ9" i="6"/>
  <c r="BI9" i="6"/>
  <c r="BH9" i="6"/>
  <c r="BL8" i="6"/>
  <c r="BK8" i="6"/>
  <c r="BJ8" i="6"/>
  <c r="BI8" i="6"/>
  <c r="BH8" i="6"/>
  <c r="BL7" i="6"/>
  <c r="BK7" i="6"/>
  <c r="BJ7" i="6"/>
  <c r="BI7" i="6"/>
  <c r="BH7" i="6"/>
  <c r="BL6" i="6"/>
  <c r="BK6" i="6"/>
  <c r="BJ6" i="6"/>
  <c r="BI6" i="6"/>
  <c r="BH6" i="6"/>
  <c r="BL5" i="6"/>
  <c r="BK5" i="6"/>
  <c r="BJ5" i="6"/>
  <c r="BI5" i="6"/>
  <c r="BH5" i="6"/>
  <c r="BL9" i="5"/>
  <c r="BK9" i="5"/>
  <c r="BJ9" i="5"/>
  <c r="BI9" i="5"/>
  <c r="BH9" i="5"/>
  <c r="BL8" i="5"/>
  <c r="BK8" i="5"/>
  <c r="BJ8" i="5"/>
  <c r="BI8" i="5"/>
  <c r="BH8" i="5"/>
  <c r="BL7" i="5"/>
  <c r="BK7" i="5"/>
  <c r="BJ7" i="5"/>
  <c r="BI7" i="5"/>
  <c r="BH7" i="5"/>
  <c r="BL6" i="5"/>
  <c r="BK6" i="5"/>
  <c r="BJ6" i="5"/>
  <c r="BI6" i="5"/>
  <c r="BH6" i="5"/>
  <c r="BL5" i="5"/>
  <c r="BK5" i="5"/>
  <c r="BJ5" i="5"/>
  <c r="BI5" i="5"/>
  <c r="BH5" i="5"/>
  <c r="CF29" i="7" l="1"/>
  <c r="CE29" i="7"/>
  <c r="CD29" i="7"/>
  <c r="CC29" i="7"/>
  <c r="CB29" i="7"/>
  <c r="CA29" i="7"/>
  <c r="BZ29" i="7"/>
  <c r="BY29" i="7"/>
  <c r="BX29" i="7"/>
  <c r="BW29" i="7"/>
  <c r="BV29" i="7"/>
  <c r="BU29" i="7"/>
  <c r="CF28" i="7"/>
  <c r="CE28" i="7"/>
  <c r="CD28" i="7"/>
  <c r="CC28" i="7"/>
  <c r="CB28" i="7"/>
  <c r="CA28" i="7"/>
  <c r="BZ28" i="7"/>
  <c r="BY28" i="7"/>
  <c r="BX28" i="7"/>
  <c r="BW28" i="7"/>
  <c r="BV28" i="7"/>
  <c r="BU28" i="7"/>
  <c r="CF27" i="7"/>
  <c r="CE27" i="7"/>
  <c r="CD27" i="7"/>
  <c r="CC27" i="7"/>
  <c r="CB27" i="7"/>
  <c r="CA27" i="7"/>
  <c r="BZ27" i="7"/>
  <c r="BY27" i="7"/>
  <c r="BX27" i="7"/>
  <c r="BW27" i="7"/>
  <c r="BV27" i="7"/>
  <c r="BU27" i="7"/>
  <c r="CF26" i="7"/>
  <c r="CE26" i="7"/>
  <c r="CD26" i="7"/>
  <c r="CC26" i="7"/>
  <c r="CB26" i="7"/>
  <c r="CA26" i="7"/>
  <c r="BZ26" i="7"/>
  <c r="BY26" i="7"/>
  <c r="BX26" i="7"/>
  <c r="BW26" i="7"/>
  <c r="BV26" i="7"/>
  <c r="BU26" i="7"/>
  <c r="CF25" i="7"/>
  <c r="CE25" i="7"/>
  <c r="CD25" i="7"/>
  <c r="CC25" i="7"/>
  <c r="CB25" i="7"/>
  <c r="CA25" i="7"/>
  <c r="BZ25" i="7"/>
  <c r="BY25" i="7"/>
  <c r="BX25" i="7"/>
  <c r="BW25" i="7"/>
  <c r="BV25" i="7"/>
  <c r="BU25" i="7"/>
  <c r="CF24" i="7"/>
  <c r="CE24" i="7"/>
  <c r="CD24" i="7"/>
  <c r="CC24" i="7"/>
  <c r="CB24" i="7"/>
  <c r="CA24" i="7"/>
  <c r="BZ24" i="7"/>
  <c r="BY24" i="7"/>
  <c r="BX24" i="7"/>
  <c r="BW24" i="7"/>
  <c r="BV24" i="7"/>
  <c r="BU24" i="7"/>
  <c r="CF23" i="7"/>
  <c r="CE23" i="7"/>
  <c r="CD23" i="7"/>
  <c r="CC23" i="7"/>
  <c r="CB23" i="7"/>
  <c r="CA23" i="7"/>
  <c r="BZ23" i="7"/>
  <c r="BY23" i="7"/>
  <c r="BX23" i="7"/>
  <c r="BW23" i="7"/>
  <c r="BV23" i="7"/>
  <c r="BU23" i="7"/>
  <c r="CF22" i="7"/>
  <c r="CE22" i="7"/>
  <c r="CD22" i="7"/>
  <c r="CC22" i="7"/>
  <c r="CB22" i="7"/>
  <c r="CA22" i="7"/>
  <c r="BZ22" i="7"/>
  <c r="BY22" i="7"/>
  <c r="BX22" i="7"/>
  <c r="BW22" i="7"/>
  <c r="BV22" i="7"/>
  <c r="BU22" i="7"/>
  <c r="CF21" i="7"/>
  <c r="CE21" i="7"/>
  <c r="CD21" i="7"/>
  <c r="CC21" i="7"/>
  <c r="CB21" i="7"/>
  <c r="CA21" i="7"/>
  <c r="BZ21" i="7"/>
  <c r="BY21" i="7"/>
  <c r="BX21" i="7"/>
  <c r="BW21" i="7"/>
  <c r="BV21" i="7"/>
  <c r="BU21" i="7"/>
  <c r="CF20" i="7"/>
  <c r="CE20" i="7"/>
  <c r="CD20" i="7"/>
  <c r="CC20" i="7"/>
  <c r="CB20" i="7"/>
  <c r="CA20" i="7"/>
  <c r="BZ20" i="7"/>
  <c r="BY20" i="7"/>
  <c r="BX20" i="7"/>
  <c r="BW20" i="7"/>
  <c r="BV20" i="7"/>
  <c r="BU20" i="7"/>
  <c r="CF19" i="7"/>
  <c r="CE19" i="7"/>
  <c r="CD19" i="7"/>
  <c r="CC19" i="7"/>
  <c r="CB19" i="7"/>
  <c r="CA19" i="7"/>
  <c r="BZ19" i="7"/>
  <c r="BY19" i="7"/>
  <c r="BX19" i="7"/>
  <c r="BW19" i="7"/>
  <c r="BV19" i="7"/>
  <c r="BU19" i="7"/>
  <c r="CF18" i="7"/>
  <c r="CE18" i="7"/>
  <c r="CD18" i="7"/>
  <c r="CC18" i="7"/>
  <c r="CB18" i="7"/>
  <c r="CA18" i="7"/>
  <c r="BZ18" i="7"/>
  <c r="BY18" i="7"/>
  <c r="BX18" i="7"/>
  <c r="BW18" i="7"/>
  <c r="BV18" i="7"/>
  <c r="BU18" i="7"/>
  <c r="CF17" i="7"/>
  <c r="CE17" i="7"/>
  <c r="CD17" i="7"/>
  <c r="CC17" i="7"/>
  <c r="CB17" i="7"/>
  <c r="CA17" i="7"/>
  <c r="BZ17" i="7"/>
  <c r="BY17" i="7"/>
  <c r="BX17" i="7"/>
  <c r="BW17" i="7"/>
  <c r="BV17" i="7"/>
  <c r="BU17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CF15" i="7"/>
  <c r="CE15" i="7"/>
  <c r="CD15" i="7"/>
  <c r="CC15" i="7"/>
  <c r="CB15" i="7"/>
  <c r="CA15" i="7"/>
  <c r="BZ15" i="7"/>
  <c r="BY15" i="7"/>
  <c r="BX15" i="7"/>
  <c r="BW15" i="7"/>
  <c r="BV15" i="7"/>
  <c r="BU15" i="7"/>
  <c r="CF14" i="7"/>
  <c r="CE14" i="7"/>
  <c r="CD14" i="7"/>
  <c r="CC14" i="7"/>
  <c r="CB14" i="7"/>
  <c r="CA14" i="7"/>
  <c r="BZ14" i="7"/>
  <c r="BY14" i="7"/>
  <c r="BX14" i="7"/>
  <c r="BW14" i="7"/>
  <c r="BV14" i="7"/>
  <c r="BU14" i="7"/>
  <c r="CF13" i="7"/>
  <c r="CE13" i="7"/>
  <c r="CD13" i="7"/>
  <c r="CC13" i="7"/>
  <c r="CB13" i="7"/>
  <c r="CA13" i="7"/>
  <c r="BZ13" i="7"/>
  <c r="BY13" i="7"/>
  <c r="BX13" i="7"/>
  <c r="BW13" i="7"/>
  <c r="BV13" i="7"/>
  <c r="BU13" i="7"/>
  <c r="CF12" i="7"/>
  <c r="CE12" i="7"/>
  <c r="CD12" i="7"/>
  <c r="CC12" i="7"/>
  <c r="CB12" i="7"/>
  <c r="CA12" i="7"/>
  <c r="BZ12" i="7"/>
  <c r="BY12" i="7"/>
  <c r="BX12" i="7"/>
  <c r="BW12" i="7"/>
  <c r="BV12" i="7"/>
  <c r="BU12" i="7"/>
  <c r="CF11" i="7"/>
  <c r="CE11" i="7"/>
  <c r="CD11" i="7"/>
  <c r="CC11" i="7"/>
  <c r="CB11" i="7"/>
  <c r="CA11" i="7"/>
  <c r="BZ11" i="7"/>
  <c r="BY11" i="7"/>
  <c r="BX11" i="7"/>
  <c r="BW11" i="7"/>
  <c r="BV11" i="7"/>
  <c r="BU11" i="7"/>
  <c r="CF10" i="7"/>
  <c r="CE10" i="7"/>
  <c r="CD10" i="7"/>
  <c r="CC10" i="7"/>
  <c r="CB10" i="7"/>
  <c r="CA10" i="7"/>
  <c r="BZ10" i="7"/>
  <c r="BY10" i="7"/>
  <c r="BX10" i="7"/>
  <c r="BW10" i="7"/>
  <c r="BV10" i="7"/>
  <c r="BU10" i="7"/>
  <c r="CF9" i="7"/>
  <c r="CE9" i="7"/>
  <c r="CD9" i="7"/>
  <c r="CC9" i="7"/>
  <c r="CB9" i="7"/>
  <c r="CA9" i="7"/>
  <c r="BZ9" i="7"/>
  <c r="BY9" i="7"/>
  <c r="BX9" i="7"/>
  <c r="BW9" i="7"/>
  <c r="BV9" i="7"/>
  <c r="BU9" i="7"/>
  <c r="CF8" i="7"/>
  <c r="CE8" i="7"/>
  <c r="CD8" i="7"/>
  <c r="CC8" i="7"/>
  <c r="CB8" i="7"/>
  <c r="CA8" i="7"/>
  <c r="BZ8" i="7"/>
  <c r="BY8" i="7"/>
  <c r="BX8" i="7"/>
  <c r="BW8" i="7"/>
  <c r="BV8" i="7"/>
  <c r="BU8" i="7"/>
  <c r="CF7" i="7"/>
  <c r="CE7" i="7"/>
  <c r="CD7" i="7"/>
  <c r="CC7" i="7"/>
  <c r="CB7" i="7"/>
  <c r="CA7" i="7"/>
  <c r="BZ7" i="7"/>
  <c r="BY7" i="7"/>
  <c r="BX7" i="7"/>
  <c r="BW7" i="7"/>
  <c r="BV7" i="7"/>
  <c r="BU7" i="7"/>
  <c r="CF6" i="7"/>
  <c r="CE6" i="7"/>
  <c r="CD6" i="7"/>
  <c r="CC6" i="7"/>
  <c r="CB6" i="7"/>
  <c r="CA6" i="7"/>
  <c r="BZ6" i="7"/>
  <c r="BY6" i="7"/>
  <c r="BX6" i="7"/>
  <c r="BW6" i="7"/>
  <c r="BV6" i="7"/>
  <c r="BU6" i="7"/>
  <c r="CF5" i="7"/>
  <c r="CE5" i="7"/>
  <c r="CD5" i="7"/>
  <c r="CC5" i="7"/>
  <c r="CB5" i="7"/>
  <c r="CA5" i="7"/>
  <c r="BZ5" i="7"/>
  <c r="BY5" i="7"/>
  <c r="BX5" i="7"/>
  <c r="BW5" i="7"/>
  <c r="BV5" i="7"/>
  <c r="BU5" i="7"/>
  <c r="BU6" i="3"/>
  <c r="BV6" i="3"/>
  <c r="BW6" i="3"/>
  <c r="BX6" i="3"/>
  <c r="BY6" i="3"/>
  <c r="BZ6" i="3"/>
  <c r="CA6" i="3"/>
  <c r="CB6" i="3"/>
  <c r="CC6" i="3"/>
  <c r="CD6" i="3"/>
  <c r="CE6" i="3"/>
  <c r="CF6" i="3"/>
  <c r="BU7" i="3"/>
  <c r="BV7" i="3"/>
  <c r="BW7" i="3"/>
  <c r="BX7" i="3"/>
  <c r="BY7" i="3"/>
  <c r="BZ7" i="3"/>
  <c r="CA7" i="3"/>
  <c r="CB7" i="3"/>
  <c r="CC7" i="3"/>
  <c r="CD7" i="3"/>
  <c r="CE7" i="3"/>
  <c r="CF7" i="3"/>
  <c r="BU8" i="3"/>
  <c r="BV8" i="3"/>
  <c r="BW8" i="3"/>
  <c r="BX8" i="3"/>
  <c r="BY8" i="3"/>
  <c r="BZ8" i="3"/>
  <c r="CA8" i="3"/>
  <c r="CB8" i="3"/>
  <c r="CC8" i="3"/>
  <c r="CD8" i="3"/>
  <c r="CE8" i="3"/>
  <c r="CF8" i="3"/>
  <c r="BU9" i="3"/>
  <c r="BV9" i="3"/>
  <c r="BW9" i="3"/>
  <c r="BX9" i="3"/>
  <c r="BY9" i="3"/>
  <c r="BZ9" i="3"/>
  <c r="CA9" i="3"/>
  <c r="CB9" i="3"/>
  <c r="CC9" i="3"/>
  <c r="CD9" i="3"/>
  <c r="CE9" i="3"/>
  <c r="CF9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BV5" i="3"/>
  <c r="BW5" i="3"/>
  <c r="BX5" i="3"/>
  <c r="BY5" i="3"/>
  <c r="BZ5" i="3"/>
  <c r="CA5" i="3"/>
  <c r="CB5" i="3"/>
  <c r="CC5" i="3"/>
  <c r="CD5" i="3"/>
  <c r="CE5" i="3"/>
  <c r="CF5" i="3"/>
  <c r="BU5" i="3"/>
  <c r="H1" i="5" l="1"/>
  <c r="AE1" i="5"/>
  <c r="H1" i="6"/>
  <c r="AE1" i="6"/>
  <c r="I1" i="7"/>
  <c r="AG1" i="7"/>
  <c r="AG1" i="3"/>
  <c r="I1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R20" i="7"/>
  <c r="BM15" i="7"/>
  <c r="BS20" i="7"/>
  <c r="BS10" i="3"/>
  <c r="BK25" i="3"/>
  <c r="BL20" i="3"/>
  <c r="BP20" i="7"/>
  <c r="BK5" i="3"/>
  <c r="BO20" i="7"/>
  <c r="BL25" i="7"/>
  <c r="BL5" i="3"/>
  <c r="BJ15" i="3"/>
  <c r="BS15" i="3"/>
  <c r="BQ10" i="3"/>
  <c r="BR15" i="7"/>
  <c r="BM20" i="7"/>
  <c r="BP25" i="7"/>
  <c r="BQ15" i="3"/>
  <c r="BR5" i="3"/>
  <c r="BM15" i="3"/>
  <c r="BM10" i="7"/>
  <c r="BP10" i="7"/>
  <c r="BP15" i="7"/>
  <c r="BQ5" i="7"/>
  <c r="BQ20" i="3"/>
  <c r="BR25" i="3"/>
  <c r="BO25" i="3"/>
  <c r="BR10" i="3"/>
  <c r="BS10" i="7"/>
  <c r="BR10" i="7"/>
  <c r="BQ15" i="7"/>
  <c r="BO20" i="3"/>
  <c r="BS5" i="3"/>
  <c r="BL15" i="7"/>
  <c r="BL10" i="3"/>
  <c r="BK5" i="7"/>
  <c r="BL5" i="7"/>
  <c r="BK25" i="7"/>
  <c r="BO5" i="3"/>
  <c r="BP10" i="3"/>
  <c r="BM25" i="7"/>
  <c r="BP20" i="3"/>
  <c r="BR5" i="7"/>
  <c r="BO25" i="7"/>
  <c r="BS15" i="7"/>
  <c r="BO5" i="7"/>
  <c r="BM10" i="3"/>
  <c r="BR20" i="3"/>
  <c r="BL10" i="7"/>
  <c r="BM25" i="3"/>
  <c r="BP5" i="7"/>
  <c r="BL20" i="7"/>
  <c r="BO15" i="7"/>
  <c r="BK15" i="3"/>
  <c r="BQ25" i="3"/>
  <c r="BK10" i="7"/>
  <c r="BM5" i="3"/>
  <c r="BK15" i="7"/>
  <c r="BJ25" i="7"/>
  <c r="BS5" i="7"/>
  <c r="BL15" i="3"/>
  <c r="BP5" i="3"/>
  <c r="BQ25" i="7"/>
  <c r="BJ10" i="3"/>
  <c r="BQ20" i="7"/>
  <c r="BR15" i="3"/>
  <c r="BM20" i="3"/>
  <c r="BQ5" i="3"/>
  <c r="BO10" i="7"/>
  <c r="BL25" i="3"/>
  <c r="BK20" i="7"/>
  <c r="BQ10" i="7"/>
  <c r="BK20" i="3"/>
  <c r="BP15" i="3"/>
  <c r="BP25" i="3"/>
  <c r="BS25" i="7"/>
  <c r="BK10" i="3"/>
  <c r="BR25" i="7"/>
  <c r="BM5" i="7"/>
  <c r="BO10" i="3"/>
  <c r="BO15" i="3"/>
  <c r="BS25" i="3"/>
  <c r="BS20" i="3"/>
  <c r="BE9" i="6" l="1"/>
  <c r="BC34" i="3"/>
  <c r="BG5" i="3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5" i="3"/>
  <c r="BJ25" i="3"/>
  <c r="BJ10" i="7"/>
  <c r="BI10" i="3"/>
  <c r="BI5" i="7"/>
  <c r="BJ5" i="7"/>
  <c r="BJ15" i="7"/>
  <c r="BI15" i="3"/>
  <c r="BI20" i="7"/>
  <c r="BJ5" i="3"/>
  <c r="BI25" i="7"/>
  <c r="BI10" i="7"/>
  <c r="BI20" i="3"/>
  <c r="BJ20" i="7"/>
  <c r="BI15" i="7"/>
  <c r="BJ20" i="3"/>
  <c r="BI5" i="3"/>
  <c r="K10" i="6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<sst xmlns="http://schemas.openxmlformats.org/spreadsheetml/2006/main" count="1441" uniqueCount="550">
  <si>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</si>
  <si>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</si>
  <si>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</si>
  <si>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</si>
  <si>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</si>
  <si>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</si>
  <si>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</si>
  <si>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</si>
  <si>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</si>
  <si>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</si>
  <si>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</si>
  <si>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</si>
  <si>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</si>
  <si>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</si>
  <si>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</si>
  <si>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</si>
  <si>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</si>
  <si>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</si>
  <si>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</si>
  <si>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</si>
  <si>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</si>
  <si>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</si>
  <si>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</si>
  <si>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</si>
  <si>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</si>
  <si>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</si>
  <si>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</si>
  <si>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</si>
  <si>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</si>
  <si>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</si>
  <si>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</si>
  <si>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</si>
  <si>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</si>
  <si>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</si>
  <si>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</si>
  <si>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</si>
  <si>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</si>
  <si>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</si>
  <si>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</si>
  <si>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</si>
  <si>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</si>
  <si>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</si>
  <si>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</si>
  <si>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</si>
  <si>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</si>
  <si>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</si>
  <si>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</si>
  <si>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</si>
  <si>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</si>
  <si>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</si>
  <si>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</si>
  <si>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</si>
  <si>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</si>
  <si>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</si>
  <si>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</si>
  <si>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</si>
  <si>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</si>
  <si>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</si>
  <si>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</si>
  <si>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</si>
  <si>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</si>
  <si>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</si>
  <si>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</si>
  <si>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</si>
  <si>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</si>
  <si>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</si>
  <si>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</si>
  <si>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</si>
  <si>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</si>
  <si>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</si>
  <si>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</si>
  <si>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</si>
  <si>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</si>
  <si>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</si>
  <si>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</si>
  <si>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</si>
  <si>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</si>
  <si>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</si>
  <si>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</si>
  <si>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</si>
  <si>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</si>
  <si>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</si>
  <si>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</si>
  <si>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</si>
  <si>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</si>
  <si>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</si>
  <si>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</si>
  <si>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</si>
  <si>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</si>
  <si>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</si>
  <si>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</si>
  <si>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</si>
  <si>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</si>
  <si>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</si>
  <si>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</si>
  <si>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</si>
  <si>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</si>
  <si>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</si>
  <si>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</si>
  <si>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</si>
  <si>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</si>
  <si>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</si>
  <si>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</si>
  <si>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</si>
  <si>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</si>
  <si>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</si>
  <si>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</si>
  <si>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</si>
  <si>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</si>
  <si>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</si>
  <si>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</si>
  <si>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</si>
  <si>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</si>
  <si>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</si>
  <si>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</si>
  <si>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</si>
  <si>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</si>
  <si>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</si>
  <si>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</si>
  <si>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</si>
  <si>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</si>
  <si>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</si>
  <si>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</si>
  <si>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</si>
  <si>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</si>
  <si>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</si>
  <si>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</si>
  <si>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</si>
  <si>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</si>
  <si>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</si>
  <si>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</si>
  <si>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</si>
  <si>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</si>
  <si>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</si>
  <si>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</si>
  <si>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</si>
  <si>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</si>
  <si>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</si>
  <si>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</si>
  <si>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</si>
  <si>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</si>
  <si>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</si>
  <si>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</si>
  <si>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</si>
  <si>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</si>
  <si>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</si>
  <si>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</si>
  <si>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</si>
  <si>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</si>
  <si>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</si>
  <si>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</si>
  <si>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</si>
  <si>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</si>
  <si>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</si>
  <si>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</si>
  <si>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</si>
  <si>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</si>
  <si>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</si>
  <si>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</si>
  <si>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</si>
  <si>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</si>
  <si>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</si>
  <si>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</si>
  <si>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</si>
  <si>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</si>
  <si>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</si>
  <si>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</si>
  <si>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</si>
  <si>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</si>
  <si>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</si>
  <si>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</si>
  <si>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</si>
  <si>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</si>
  <si>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</si>
  <si>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</si>
  <si>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</si>
  <si>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</si>
  <si>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</si>
  <si>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</si>
  <si>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</si>
  <si>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</si>
  <si>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</si>
  <si>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</si>
  <si>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</si>
  <si>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</si>
  <si>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</si>
  <si>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</si>
  <si>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</si>
  <si>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</si>
  <si>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</si>
  <si>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</si>
  <si>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</si>
  <si>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</si>
  <si>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</si>
  <si>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</si>
  <si>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</si>
  <si>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</si>
  <si>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</si>
  <si>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</si>
  <si>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</si>
  <si>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</si>
  <si>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</si>
  <si>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</si>
  <si>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</si>
  <si>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</si>
  <si>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</si>
  <si>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</si>
  <si>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</si>
  <si>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</si>
  <si>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</si>
  <si>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</si>
  <si>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</si>
  <si>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</si>
  <si>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</si>
  <si>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</si>
  <si>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</si>
  <si>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</si>
  <si>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</si>
  <si>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</si>
  <si>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</si>
  <si>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</si>
  <si>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</si>
  <si>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</si>
  <si>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</si>
  <si>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</si>
  <si>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</si>
  <si>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</si>
  <si>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</si>
  <si>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</si>
  <si>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</si>
  <si>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</si>
  <si>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</si>
  <si>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</si>
  <si>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</si>
  <si>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</si>
  <si>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</si>
  <si>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</si>
  <si>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</si>
  <si>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</si>
  <si>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</si>
  <si>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</si>
  <si>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</si>
  <si>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</si>
  <si>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</si>
  <si>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</si>
  <si>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</si>
  <si>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</si>
  <si>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</si>
  <si>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</si>
  <si>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</si>
  <si>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</si>
  <si>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</si>
  <si>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</si>
  <si>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</si>
  <si>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</si>
  <si>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</si>
  <si>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</si>
  <si>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</si>
  <si>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</si>
  <si>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</si>
  <si>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</si>
  <si>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</si>
  <si>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</si>
  <si>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</si>
  <si>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</si>
  <si>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</si>
  <si>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</si>
  <si>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</si>
  <si>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</si>
  <si>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</si>
  <si>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</si>
  <si>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</si>
  <si>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</si>
  <si>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</si>
  <si>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</si>
  <si>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</si>
  <si>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</si>
  <si>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</si>
  <si>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</si>
  <si>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</si>
  <si>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</si>
  <si>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</si>
  <si>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</si>
  <si>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</si>
  <si>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</si>
  <si>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</si>
  <si>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</si>
  <si>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</si>
  <si>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</si>
  <si>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</si>
  <si>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</si>
  <si>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</si>
  <si>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</si>
  <si>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</si>
  <si>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</si>
  <si>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</si>
  <si>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</si>
  <si>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</si>
  <si>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</si>
  <si>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</si>
  <si>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</si>
  <si>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</si>
  <si>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</si>
  <si>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</si>
  <si>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</si>
  <si>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</si>
  <si>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</si>
  <si>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</si>
  <si>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</si>
  <si>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</si>
  <si>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</si>
  <si>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</si>
  <si>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</si>
  <si>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</si>
  <si>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</si>
  <si>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</si>
  <si>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</si>
  <si>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</si>
  <si>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</si>
  <si>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</si>
  <si>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</si>
  <si>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</si>
  <si>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</si>
  <si>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</si>
  <si>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</si>
  <si>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</si>
  <si>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</si>
  <si>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</si>
  <si>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</si>
  <si>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</si>
  <si>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</si>
  <si>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</si>
  <si>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</si>
  <si>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</si>
  <si>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</si>
  <si>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</si>
  <si>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</si>
  <si>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</si>
  <si>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</si>
  <si>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</si>
  <si>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</si>
  <si>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</si>
  <si>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</si>
  <si>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</si>
  <si>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</si>
  <si>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</si>
  <si>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</si>
  <si>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</si>
  <si>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</si>
  <si>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</si>
  <si>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</si>
  <si>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</si>
  <si>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</si>
  <si>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</si>
  <si>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</si>
  <si>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</si>
  <si>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</si>
  <si>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</si>
  <si>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</si>
  <si>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</si>
  <si>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</si>
  <si>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</si>
  <si>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</si>
  <si>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</si>
  <si>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</si>
  <si>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</si>
  <si>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</si>
  <si>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</si>
  <si>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</si>
  <si>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</si>
  <si>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</si>
  <si>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</si>
  <si>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</si>
  <si>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</si>
  <si>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</si>
  <si>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</si>
  <si>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</si>
  <si>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</si>
  <si>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</si>
  <si>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</si>
  <si>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</si>
  <si>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</si>
  <si>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</si>
  <si>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</si>
  <si>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</si>
  <si>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</si>
  <si>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</si>
  <si>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</si>
  <si>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</si>
  <si>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</si>
  <si>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</si>
  <si>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</si>
  <si>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</si>
  <si>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</si>
  <si>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</si>
  <si>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</si>
  <si>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</si>
  <si>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</si>
  <si>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</si>
  <si>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</si>
  <si>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</si>
  <si>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</si>
  <si>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</si>
  <si>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</si>
  <si>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</si>
  <si>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</si>
  <si>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</si>
  <si>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</si>
  <si>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</si>
  <si>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</si>
  <si>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</si>
  <si>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</si>
  <si>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</si>
  <si>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</si>
  <si>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</si>
  <si>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</si>
  <si>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</si>
  <si>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</si>
  <si>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</si>
  <si>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</si>
  <si>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</si>
  <si>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</si>
  <si>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</si>
  <si>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</si>
  <si>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</si>
  <si>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</si>
  <si>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</si>
  <si>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</si>
  <si>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</si>
  <si>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</si>
  <si>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</si>
  <si>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</si>
  <si>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</si>
  <si>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</si>
  <si>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</si>
  <si>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</si>
  <si>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</si>
  <si>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</si>
  <si>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</si>
  <si>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</si>
  <si>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</si>
  <si>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</si>
  <si>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</si>
  <si>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</si>
  <si>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</si>
  <si>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</si>
  <si>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</si>
  <si>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</si>
  <si>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</si>
  <si>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</si>
  <si>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</si>
  <si>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</si>
  <si>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</si>
  <si>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</si>
  <si>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</si>
  <si>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</si>
  <si>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</si>
  <si>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</si>
  <si>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</si>
  <si>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</si>
  <si>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</si>
  <si>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</si>
  <si>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</si>
  <si>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</si>
  <si>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</si>
  <si>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</si>
  <si>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</si>
  <si>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</si>
  <si>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</si>
  <si>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</si>
  <si>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</si>
  <si>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</si>
  <si>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</si>
  <si>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</si>
  <si>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</si>
  <si>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</si>
  <si>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</si>
  <si>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</si>
  <si>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</si>
  <si>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</si>
  <si>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</si>
  <si>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</si>
  <si>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</si>
  <si>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</si>
  <si>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</si>
  <si>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</si>
  <si>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</si>
  <si>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</si>
  <si>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</si>
  <si>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</si>
  <si>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</si>
  <si>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</si>
  <si>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</si>
  <si>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</si>
  <si>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</si>
  <si>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</si>
  <si>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</si>
  <si>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</si>
  <si>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</si>
  <si>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</si>
  <si>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</si>
  <si>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</si>
  <si>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</si>
  <si>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</si>
  <si>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</si>
  <si>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</si>
  <si>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</si>
  <si>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</si>
  <si>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</si>
  <si>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</si>
  <si>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</si>
  <si>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</si>
  <si>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</si>
  <si>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</si>
  <si>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</si>
  <si>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</si>
  <si>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</si>
  <si>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</si>
  <si>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</si>
  <si>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</si>
  <si>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</si>
  <si>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</si>
  <si>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</si>
  <si>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</si>
  <si>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</si>
  <si>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</si>
  <si>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</si>
  <si>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</si>
  <si>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</si>
  <si>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</si>
  <si>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</si>
  <si>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</si>
  <si>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</si>
  <si>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</si>
  <si>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</si>
  <si>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</si>
  <si>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</si>
  <si>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</si>
  <si>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</si>
  <si>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</si>
  <si>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</si>
  <si>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</si>
  <si>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</si>
  <si>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</si>
  <si>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</si>
  <si>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</si>
  <si>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</si>
  <si>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tested-rc0.9 (2 patch orientations, CTC)</t>
  </si>
  <si>
    <t>tested-rc0.9 (2 patch orientations, tetris)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</si>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</sst>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65.942943749999998</c:v>
                </c:pt>
                <c:pt idx="1">
                  <c:v>67.834771875000001</c:v>
                </c:pt>
                <c:pt idx="2">
                  <c:v>69.266559375</c:v>
                </c:pt>
                <c:pt idx="3">
                  <c:v>70.368890625000006</c:v>
                </c:pt>
                <c:pt idx="4">
                  <c:v>71.491009375000004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67.744171875000006</c:v>
                </c:pt>
                <c:pt idx="1">
                  <c:v>69.843143749999996</c:v>
                </c:pt>
                <c:pt idx="2">
                  <c:v>71.660468749999893</c:v>
                </c:pt>
                <c:pt idx="3">
                  <c:v>72.988653124999999</c:v>
                </c:pt>
                <c:pt idx="4">
                  <c:v>75.038962499999997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29.569587500000001</c:v>
                </c:pt>
                <c:pt idx="1">
                  <c:v>32.042650000000002</c:v>
                </c:pt>
                <c:pt idx="2">
                  <c:v>34.602193749999998</c:v>
                </c:pt>
                <c:pt idx="3">
                  <c:v>37.252562499999897</c:v>
                </c:pt>
                <c:pt idx="4">
                  <c:v>39.336550000000003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43.113490624999997</c:v>
                </c:pt>
                <c:pt idx="1">
                  <c:v>44.001762499999998</c:v>
                </c:pt>
                <c:pt idx="2">
                  <c:v>44.834174999999902</c:v>
                </c:pt>
                <c:pt idx="3">
                  <c:v>46.196156249999902</c:v>
                </c:pt>
                <c:pt idx="4">
                  <c:v>47.9555312499999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43.377806249999999</c:v>
                </c:pt>
                <c:pt idx="1">
                  <c:v>44.354593749999999</c:v>
                </c:pt>
                <c:pt idx="2">
                  <c:v>45.299881249999899</c:v>
                </c:pt>
                <c:pt idx="3">
                  <c:v>46.711165625</c:v>
                </c:pt>
                <c:pt idx="4">
                  <c:v>48.557153124999999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tested-rc0.9 (2 patch orientations, tetris)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0.14628847806500572</c:v>
                </c:pt>
                <c:pt idx="1">
                  <c:v>0.23322734093643643</c:v>
                </c:pt>
                <c:pt idx="2">
                  <c:v>0.39077666428123387</c:v>
                </c:pt>
                <c:pt idx="3">
                  <c:v>0.70331490322854695</c:v>
                </c:pt>
                <c:pt idx="4">
                  <c:v>1.2715842637787906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2" sqref="C2:E2"/>
    </sheetView>
  </sheetViews>
  <sheetFormatPr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7" t="s">
        <v>547</v>
      </c>
      <c r="D1" s="67"/>
      <c r="E1" s="67"/>
    </row>
    <row r="2" spans="2:12">
      <c r="B2" t="s">
        <v>1</v>
      </c>
      <c r="C2" s="68" t="s">
        <v>548</v>
      </c>
      <c r="D2" s="68"/>
      <c r="E2" s="68"/>
    </row>
    <row r="4" spans="2:12" s="1" customFormat="1">
      <c r="B4" s="1" t="s">
        <v>294</v>
      </c>
    </row>
    <row r="6" spans="2:12">
      <c r="B6" s="63" t="s">
        <v>295</v>
      </c>
      <c r="C6" s="64" t="s">
        <v>296</v>
      </c>
      <c r="D6" s="64"/>
      <c r="E6" s="64"/>
      <c r="F6" s="64"/>
      <c r="G6" s="64"/>
      <c r="H6" s="64"/>
      <c r="I6" s="64"/>
      <c r="J6" s="64"/>
      <c r="K6" s="64"/>
      <c r="L6" s="64"/>
    </row>
    <row r="7" spans="2:12">
      <c r="B7" s="63"/>
      <c r="C7" s="65" t="s">
        <v>235</v>
      </c>
      <c r="D7" s="65"/>
      <c r="E7" s="66" t="s">
        <v>240</v>
      </c>
      <c r="F7" s="66"/>
      <c r="G7" s="66"/>
      <c r="H7" s="65" t="s">
        <v>247</v>
      </c>
      <c r="I7" s="65"/>
      <c r="J7" s="66" t="s">
        <v>252</v>
      </c>
      <c r="K7" s="66"/>
      <c r="L7" s="66"/>
    </row>
    <row r="8" spans="2:12">
      <c r="B8" s="63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2.5740554456594844E-2</v>
      </c>
      <c r="D9" s="5">
        <f>'C2 lossyG,lossyA,intra'!$BJ$30:$BJ$30</f>
        <v>2.5987606434120958E-2</v>
      </c>
      <c r="E9" s="5">
        <f>'C2 lossyG,lossyA,intra'!$BK$30:$BK$30</f>
        <v>6.5715793991032723E-3</v>
      </c>
      <c r="F9" s="5">
        <f>'C2 lossyG,lossyA,intra'!$BL$30:$BL$30</f>
        <v>-8.4559671413227955E-3</v>
      </c>
      <c r="G9" s="5">
        <f>'C2 lossyG,lossyA,intra'!$BM$30:$BM$30</f>
        <v>4.2624734634242045E-3</v>
      </c>
      <c r="H9" s="5">
        <f>'C2 lossyG,lossyA,intra'!$BO$30:$BO$30</f>
        <v>1.5238977811577237E-2</v>
      </c>
      <c r="I9" s="5">
        <f>'C2 lossyG,lossyA,intra'!$BP$30:$BP$30</f>
        <v>1.5035363830052717E-2</v>
      </c>
      <c r="J9" s="5">
        <f>'C2 lossyG,lossyA,intra'!$BQ$30:$BQ$30</f>
        <v>1.3140035456952248E-2</v>
      </c>
      <c r="K9" s="5">
        <f>'C2 lossyG,lossyA,intra'!$BR$30:$BR$30</f>
        <v>1.8942116469707615E-3</v>
      </c>
      <c r="L9" s="5">
        <f>'C2 lossyG,lossyA,intra'!$BS$30:$BS$30</f>
        <v>1.1373615053454023E-2</v>
      </c>
    </row>
    <row r="10" spans="2:12">
      <c r="B10" s="4" t="s">
        <v>287</v>
      </c>
      <c r="C10" s="5">
        <f>'C2 lossyG,lossyA,intra'!$BI$31:$BI$31</f>
        <v>1.5206561891403902E-2</v>
      </c>
      <c r="D10" s="5">
        <f>'C2 lossyG,lossyA,intra'!$BJ$31:$BJ$31</f>
        <v>1.4008980794830928E-2</v>
      </c>
      <c r="E10" s="5">
        <f>'C2 lossyG,lossyA,intra'!$BK$31:$BK$31</f>
        <v>9.750739692392818E-3</v>
      </c>
      <c r="F10" s="5">
        <f>'C2 lossyG,lossyA,intra'!$BL$31:$BL$31</f>
        <v>1.0098914298107609E-2</v>
      </c>
      <c r="G10" s="5">
        <f>'C2 lossyG,lossyA,intra'!$BM$31:$BM$31</f>
        <v>9.4695233004127299E-3</v>
      </c>
      <c r="H10" s="5">
        <f>'C2 lossyG,lossyA,intra'!$BO$31:$BO$31</f>
        <v>1.2624880064166399E-2</v>
      </c>
      <c r="I10" s="5">
        <f>'C2 lossyG,lossyA,intra'!$BP$31:$BP$31</f>
        <v>8.0327351038791406E-3</v>
      </c>
      <c r="J10" s="5">
        <f>'C2 lossyG,lossyA,intra'!$BQ$31:$BQ$31</f>
        <v>1.0585328626707025E-2</v>
      </c>
      <c r="K10" s="5">
        <f>'C2 lossyG,lossyA,intra'!$BR$31:$BR$31</f>
        <v>1.0854151875966389E-2</v>
      </c>
      <c r="L10" s="5">
        <f>'C2 lossyG,lossyA,intra'!$BS$31:$BS$31</f>
        <v>1.035633374929934E-2</v>
      </c>
    </row>
    <row r="11" spans="2:12">
      <c r="B11" s="6" t="s">
        <v>288</v>
      </c>
      <c r="C11" s="7">
        <f>'C2 lossyG,lossyA,intra'!$BI$32:$BI$32</f>
        <v>2.3633755943556656E-2</v>
      </c>
      <c r="D11" s="7">
        <f>'C2 lossyG,lossyA,intra'!$BJ$32:$BJ$32</f>
        <v>2.3591881306262951E-2</v>
      </c>
      <c r="E11" s="7">
        <f>'C2 lossyG,lossyA,intra'!$BK$32:$BK$32</f>
        <v>7.2074114577611818E-3</v>
      </c>
      <c r="F11" s="7">
        <f>'C2 lossyG,lossyA,intra'!$BL$32:$BL$32</f>
        <v>-4.7449908534367147E-3</v>
      </c>
      <c r="G11" s="7">
        <f>'C2 lossyG,lossyA,intra'!$BM$32:$BM$32</f>
        <v>5.30388343082191E-3</v>
      </c>
      <c r="H11" s="7">
        <f>'C2 lossyG,lossyA,intra'!$BO$32:$BO$32</f>
        <v>1.471615826209507E-2</v>
      </c>
      <c r="I11" s="7">
        <f>'C2 lossyG,lossyA,intra'!$BP$32:$BP$32</f>
        <v>1.3634838084818001E-2</v>
      </c>
      <c r="J11" s="7">
        <f>'C2 lossyG,lossyA,intra'!$BQ$32:$BQ$32</f>
        <v>1.2629094090903204E-2</v>
      </c>
      <c r="K11" s="7">
        <f>'C2 lossyG,lossyA,intra'!$BR$32:$BR$32</f>
        <v>3.6861996927698868E-3</v>
      </c>
      <c r="L11" s="7">
        <f>'C2 lossyG,lossyA,intra'!$BS$32:$BS$32</f>
        <v>1.1170158792623086E-2</v>
      </c>
    </row>
    <row r="12" spans="2:12">
      <c r="B12" t="s">
        <v>297</v>
      </c>
      <c r="C12" s="61">
        <f>'C2 lossyG,lossyA,intra'!AZ36</f>
        <v>1.1009957035348537</v>
      </c>
      <c r="D12" s="61"/>
      <c r="E12" s="61"/>
      <c r="F12" s="61"/>
      <c r="G12" s="61"/>
      <c r="H12" s="61"/>
      <c r="I12" s="61"/>
      <c r="J12" s="61"/>
      <c r="K12" s="61"/>
      <c r="L12" s="61"/>
    </row>
    <row r="13" spans="2:12">
      <c r="B13" s="9" t="s">
        <v>298</v>
      </c>
      <c r="C13" s="62">
        <f>'C2 lossyG,lossyA,intra'!BB36</f>
        <v>0.97447024537684535</v>
      </c>
      <c r="D13" s="62"/>
      <c r="E13" s="62"/>
      <c r="F13" s="62"/>
      <c r="G13" s="62"/>
      <c r="H13" s="62"/>
      <c r="I13" s="62"/>
      <c r="J13" s="62"/>
      <c r="K13" s="62"/>
      <c r="L13" s="62"/>
    </row>
    <row r="15" spans="2:12">
      <c r="B15" s="63" t="s">
        <v>379</v>
      </c>
      <c r="C15" s="64" t="s">
        <v>380</v>
      </c>
      <c r="D15" s="64"/>
      <c r="E15" s="64"/>
    </row>
    <row r="16" spans="2:12">
      <c r="B16" s="63"/>
      <c r="C16" s="65" t="s">
        <v>355</v>
      </c>
      <c r="D16" s="65"/>
      <c r="E16" s="65"/>
    </row>
    <row r="17" spans="2:5">
      <c r="B17" s="63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0.99956338584292426</v>
      </c>
      <c r="D18" s="5">
        <f>'CW losslG,losslA,intra'!BB10</f>
        <v>0.9957450222477926</v>
      </c>
      <c r="E18" s="5">
        <f>'CW losslG,losslA,intra'!BD10</f>
        <v>0.99499210432745622</v>
      </c>
    </row>
    <row r="19" spans="2:5">
      <c r="B19" s="4" t="s">
        <v>287</v>
      </c>
      <c r="C19" s="5">
        <f>'CW losslG,losslA,intra'!BC11</f>
        <v>1.0010000649392816</v>
      </c>
      <c r="D19" s="5">
        <f>'CW losslG,losslA,intra'!BB11</f>
        <v>0.99857511401295884</v>
      </c>
      <c r="E19" s="5">
        <f>'CW losslG,losslA,intra'!BD11</f>
        <v>0.99826562798529128</v>
      </c>
    </row>
    <row r="20" spans="2:5">
      <c r="B20" s="6" t="s">
        <v>288</v>
      </c>
      <c r="C20" s="7">
        <f>'CW losslG,losslA,intra'!BC12</f>
        <v>0.99986067231799802</v>
      </c>
      <c r="D20" s="7">
        <f>'CW losslG,losslA,intra'!BB12</f>
        <v>0.99652748937232805</v>
      </c>
      <c r="E20" s="7">
        <f>'CW losslG,losslA,intra'!BD12</f>
        <v>0.99593456930946211</v>
      </c>
    </row>
    <row r="21" spans="2:5">
      <c r="B21" t="s">
        <v>297</v>
      </c>
      <c r="C21" s="61">
        <f>'CW losslG,losslA,intra'!AW16</f>
        <v>1.544246480551797</v>
      </c>
      <c r="D21" s="61"/>
      <c r="E21" s="61"/>
    </row>
    <row r="22" spans="2:5">
      <c r="B22" s="9" t="s">
        <v>298</v>
      </c>
      <c r="C22" s="62">
        <f>'CW losslG,losslA,intra'!AY16</f>
        <v>1.0594686814004575</v>
      </c>
      <c r="D22" s="62"/>
      <c r="E22" s="62"/>
    </row>
    <row r="24" spans="2:5" s="1" customFormat="1">
      <c r="B24" s="1" t="s">
        <v>454</v>
      </c>
    </row>
    <row r="26" spans="2:5">
      <c r="B26" s="63" t="s">
        <v>455</v>
      </c>
      <c r="C26" s="64" t="s">
        <v>456</v>
      </c>
      <c r="D26" s="64"/>
      <c r="E26" s="64"/>
    </row>
    <row r="27" spans="2:5">
      <c r="B27" s="63"/>
      <c r="C27" s="65" t="s">
        <v>355</v>
      </c>
      <c r="D27" s="65"/>
      <c r="E27" s="65"/>
    </row>
    <row r="28" spans="2:5">
      <c r="B28" s="63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0.9983423757074994</v>
      </c>
      <c r="D29" s="5">
        <f>'CW losslG,losslA,interLD'!BC10</f>
        <v>0.99948351581545181</v>
      </c>
      <c r="E29" s="5">
        <f>'CW losslG,losslA,interLD'!BD10</f>
        <v>0.99805461267395945</v>
      </c>
    </row>
    <row r="30" spans="2:5">
      <c r="B30" s="4" t="s">
        <v>287</v>
      </c>
      <c r="C30" s="5">
        <f>'CW losslG,losslA,interLD'!BB11</f>
        <v>0.99926828782384725</v>
      </c>
      <c r="D30" s="5">
        <f>'CW losslG,losslA,interLD'!BC11</f>
        <v>1.0008022300738357</v>
      </c>
      <c r="E30" s="5">
        <f>'CW losslG,losslA,interLD'!BD11</f>
        <v>0.99890123600677982</v>
      </c>
    </row>
    <row r="31" spans="2:5">
      <c r="B31" s="6" t="s">
        <v>288</v>
      </c>
      <c r="C31" s="7">
        <f>'CW losslG,losslA,interLD'!BB12</f>
        <v>0.99860175740140977</v>
      </c>
      <c r="D31" s="7">
        <f>'CW losslG,losslA,interLD'!BC12</f>
        <v>0.99977565406975888</v>
      </c>
      <c r="E31" s="7">
        <f>'CW losslG,losslA,interLD'!BD12</f>
        <v>0.99829946560407068</v>
      </c>
    </row>
    <row r="32" spans="2:5">
      <c r="B32" t="s">
        <v>297</v>
      </c>
      <c r="C32" s="61">
        <f>'CW losslG,losslA,interLD'!AW16</f>
        <v>1.4053247278795793</v>
      </c>
      <c r="D32" s="61"/>
      <c r="E32" s="61"/>
    </row>
    <row r="33" spans="2:12">
      <c r="B33" s="9" t="s">
        <v>298</v>
      </c>
      <c r="C33" s="62">
        <f>'CW losslG,losslA,interLD'!AY16</f>
        <v>1.1009142342931468</v>
      </c>
      <c r="D33" s="62"/>
      <c r="E33" s="62"/>
    </row>
    <row r="35" spans="2:12" s="1" customFormat="1">
      <c r="B35" s="1" t="s">
        <v>541</v>
      </c>
    </row>
    <row r="37" spans="2:12">
      <c r="B37" s="63" t="s">
        <v>542</v>
      </c>
      <c r="C37" s="64" t="s">
        <v>543</v>
      </c>
      <c r="D37" s="64"/>
      <c r="E37" s="64"/>
      <c r="F37" s="64"/>
      <c r="G37" s="64"/>
      <c r="H37" s="64"/>
      <c r="I37" s="64"/>
      <c r="J37" s="64"/>
      <c r="K37" s="64"/>
      <c r="L37" s="64"/>
    </row>
    <row r="38" spans="2:12">
      <c r="B38" s="63"/>
      <c r="C38" s="65" t="s">
        <v>235</v>
      </c>
      <c r="D38" s="65"/>
      <c r="E38" s="66" t="s">
        <v>240</v>
      </c>
      <c r="F38" s="66"/>
      <c r="G38" s="66"/>
      <c r="H38" s="65" t="s">
        <v>247</v>
      </c>
      <c r="I38" s="65"/>
      <c r="J38" s="66" t="s">
        <v>252</v>
      </c>
      <c r="K38" s="66"/>
      <c r="L38" s="66"/>
    </row>
    <row r="39" spans="2:12">
      <c r="B39" s="63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2.0415057000535586E-2</v>
      </c>
      <c r="D40" s="5">
        <f>'C2 lossyG,lossyA,interRA'!$BJ$30:$BJ$30</f>
        <v>2.0625964692216281E-2</v>
      </c>
      <c r="E40" s="5">
        <f>'C2 lossyG,lossyA,interRA'!$BK$30:$BK$30</f>
        <v>-5.652278513259823E-2</v>
      </c>
      <c r="F40" s="5">
        <f>'C2 lossyG,lossyA,interRA'!$BL$30:$BL$30</f>
        <v>-9.3631691501131625E-2</v>
      </c>
      <c r="G40" s="5">
        <f>'C2 lossyG,lossyA,interRA'!$BM$30:$BM$30</f>
        <v>-7.2762049915630261E-2</v>
      </c>
      <c r="H40" s="5">
        <f>'C2 lossyG,lossyA,interRA'!$BO$30:$BO$30</f>
        <v>-2.3323866181357289E-3</v>
      </c>
      <c r="I40" s="5">
        <f>'C2 lossyG,lossyA,interRA'!$BP$30:$BP$30</f>
        <v>-3.6084725443000509E-3</v>
      </c>
      <c r="J40" s="5">
        <f>'C2 lossyG,lossyA,interRA'!$BQ$30:$BQ$30</f>
        <v>-8.5765080117095049E-3</v>
      </c>
      <c r="K40" s="5">
        <f>'C2 lossyG,lossyA,interRA'!$BR$30:$BR$30</f>
        <v>-3.3778637320372507E-2</v>
      </c>
      <c r="L40" s="5">
        <f>'C2 lossyG,lossyA,interRA'!$BS$30:$BS$30</f>
        <v>-2.0509959605234857E-2</v>
      </c>
    </row>
    <row r="41" spans="2:12">
      <c r="B41" s="4" t="s">
        <v>287</v>
      </c>
      <c r="C41" s="5">
        <f>'C2 lossyG,lossyA,interRA'!$BI$31:$BI$31</f>
        <v>3.0273833095120439E-2</v>
      </c>
      <c r="D41" s="5">
        <f>'C2 lossyG,lossyA,interRA'!$BJ$31:$BJ$31</f>
        <v>2.8335787472875573E-2</v>
      </c>
      <c r="E41" s="5">
        <f>'C2 lossyG,lossyA,interRA'!$BK$31:$BK$31</f>
        <v>2.2936262252715167E-2</v>
      </c>
      <c r="F41" s="5">
        <f>'C2 lossyG,lossyA,interRA'!$BL$31:$BL$31</f>
        <v>2.1664424792424253E-2</v>
      </c>
      <c r="G41" s="5">
        <f>'C2 lossyG,lossyA,interRA'!$BM$31:$BM$31</f>
        <v>2.5360638226796794E-2</v>
      </c>
      <c r="H41" s="5">
        <f>'C2 lossyG,lossyA,interRA'!$BO$31:$BO$31</f>
        <v>2.4686354854064341E-2</v>
      </c>
      <c r="I41" s="5">
        <f>'C2 lossyG,lossyA,interRA'!$BP$31:$BP$31</f>
        <v>1.9655298431815016E-2</v>
      </c>
      <c r="J41" s="5">
        <f>'C2 lossyG,lossyA,interRA'!$BQ$31:$BQ$31</f>
        <v>2.5505592466322557E-2</v>
      </c>
      <c r="K41" s="5">
        <f>'C2 lossyG,lossyA,interRA'!$BR$31:$BR$31</f>
        <v>2.4283519117681118E-2</v>
      </c>
      <c r="L41" s="5">
        <f>'C2 lossyG,lossyA,interRA'!$BS$31:$BS$31</f>
        <v>2.7147969244694092E-2</v>
      </c>
    </row>
    <row r="42" spans="2:12">
      <c r="B42" s="6" t="s">
        <v>288</v>
      </c>
      <c r="C42" s="7">
        <f>'C2 lossyG,lossyA,interRA'!$BI$32:$BI$32</f>
        <v>2.2386812219452556E-2</v>
      </c>
      <c r="D42" s="7">
        <f>'C2 lossyG,lossyA,interRA'!$BJ$32:$BJ$32</f>
        <v>2.216792924834814E-2</v>
      </c>
      <c r="E42" s="7">
        <f>'C2 lossyG,lossyA,interRA'!$BK$32:$BK$32</f>
        <v>-4.0630975655535549E-2</v>
      </c>
      <c r="F42" s="7">
        <f>'C2 lossyG,lossyA,interRA'!$BL$32:$BL$32</f>
        <v>-7.0572468242420444E-2</v>
      </c>
      <c r="G42" s="7">
        <f>'C2 lossyG,lossyA,interRA'!$BM$32:$BM$32</f>
        <v>-5.3137512287144847E-2</v>
      </c>
      <c r="H42" s="7">
        <f>'C2 lossyG,lossyA,interRA'!$BO$32:$BO$32</f>
        <v>3.071361676304285E-3</v>
      </c>
      <c r="I42" s="7">
        <f>'C2 lossyG,lossyA,interRA'!$BP$32:$BP$32</f>
        <v>1.0442816509229624E-3</v>
      </c>
      <c r="J42" s="7">
        <f>'C2 lossyG,lossyA,interRA'!$BQ$32:$BQ$32</f>
        <v>-1.7600879161030925E-3</v>
      </c>
      <c r="K42" s="7">
        <f>'C2 lossyG,lossyA,interRA'!$BR$32:$BR$32</f>
        <v>-2.216620603276178E-2</v>
      </c>
      <c r="L42" s="7">
        <f>'C2 lossyG,lossyA,interRA'!$BS$32:$BS$32</f>
        <v>-1.0978373835249067E-2</v>
      </c>
    </row>
    <row r="43" spans="2:12">
      <c r="B43" t="s">
        <v>297</v>
      </c>
      <c r="C43" s="61">
        <f>'C2 lossyG,lossyA,interRA'!AZ36</f>
        <v>1.0717325772195294</v>
      </c>
      <c r="D43" s="61"/>
      <c r="E43" s="61"/>
      <c r="F43" s="61"/>
      <c r="G43" s="61"/>
      <c r="H43" s="61"/>
      <c r="I43" s="61"/>
      <c r="J43" s="61"/>
      <c r="K43" s="61"/>
      <c r="L43" s="61"/>
    </row>
    <row r="44" spans="2:12">
      <c r="B44" s="9" t="s">
        <v>298</v>
      </c>
      <c r="C44" s="62">
        <f>'C2 lossyG,lossyA,interRA'!BB36</f>
        <v>1.025389122951488</v>
      </c>
      <c r="D44" s="62"/>
      <c r="E44" s="62"/>
      <c r="F44" s="62"/>
      <c r="G44" s="62"/>
      <c r="H44" s="62"/>
      <c r="I44" s="62"/>
      <c r="J44" s="62"/>
      <c r="K44" s="62"/>
      <c r="L44" s="62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">
        <v>276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CF63"/>
  <sheetViews>
    <sheetView zoomScale="80" zoomScaleNormal="80" workbookViewId="0">
      <pane xSplit="2" topLeftCell="C1" activePane="topRight" state="frozen"/>
      <selection pane="topRight" activeCell="AN5" sqref="AN5:BC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259</v>
      </c>
      <c r="B1" s="73"/>
      <c r="C1" s="73"/>
      <c r="D1" s="73"/>
      <c r="E1" s="73"/>
      <c r="F1" s="73"/>
      <c r="G1" s="73"/>
      <c r="I1" s="67" t="str">
        <f>Summary!C1</f>
        <v>tested-rc0.9 (2 patch orientations, CTC)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G1" s="68" t="str">
        <f>Summary!C2</f>
        <v>tested-rc0.9 (2 patch orientations, tetris)</v>
      </c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</row>
    <row r="2" spans="1:84" ht="30" customHeight="1" thickBot="1">
      <c r="A2" s="71" t="s">
        <v>91</v>
      </c>
      <c r="B2" s="70" t="s">
        <v>94</v>
      </c>
      <c r="C2" s="71" t="s">
        <v>97</v>
      </c>
      <c r="D2" s="70" t="s">
        <v>100</v>
      </c>
      <c r="E2" s="71" t="s">
        <v>103</v>
      </c>
      <c r="F2" s="70" t="s">
        <v>106</v>
      </c>
      <c r="G2" s="71" t="s">
        <v>109</v>
      </c>
      <c r="I2" s="70" t="s">
        <v>112</v>
      </c>
      <c r="J2" s="69" t="s">
        <v>115</v>
      </c>
      <c r="K2" s="69"/>
      <c r="L2" s="69"/>
      <c r="M2" s="69"/>
      <c r="N2" s="71" t="s">
        <v>128</v>
      </c>
      <c r="O2" s="70" t="s">
        <v>131</v>
      </c>
      <c r="P2" s="71" t="s">
        <v>22</v>
      </c>
      <c r="Q2" s="70" t="s">
        <v>24</v>
      </c>
      <c r="R2" s="71" t="s">
        <v>20</v>
      </c>
      <c r="S2" s="72" t="s">
        <v>140</v>
      </c>
      <c r="T2" s="72"/>
      <c r="U2" s="72"/>
      <c r="V2" s="72"/>
      <c r="W2" s="69" t="s">
        <v>151</v>
      </c>
      <c r="X2" s="69"/>
      <c r="Y2" s="72" t="s">
        <v>158</v>
      </c>
      <c r="Z2" s="72"/>
      <c r="AA2" s="72"/>
      <c r="AB2" s="69" t="s">
        <v>168</v>
      </c>
      <c r="AC2" s="69"/>
      <c r="AD2" s="72" t="s">
        <v>175</v>
      </c>
      <c r="AE2" s="72"/>
      <c r="AG2" s="71" t="s">
        <v>112</v>
      </c>
      <c r="AH2" s="72" t="s">
        <v>115</v>
      </c>
      <c r="AI2" s="72"/>
      <c r="AJ2" s="72"/>
      <c r="AK2" s="72"/>
      <c r="AL2" s="70" t="s">
        <v>190</v>
      </c>
      <c r="AM2" s="71" t="s">
        <v>131</v>
      </c>
      <c r="AN2" s="70" t="s">
        <v>22</v>
      </c>
      <c r="AO2" s="71" t="s">
        <v>24</v>
      </c>
      <c r="AP2" s="70" t="s">
        <v>20</v>
      </c>
      <c r="AQ2" s="69" t="s">
        <v>140</v>
      </c>
      <c r="AR2" s="69"/>
      <c r="AS2" s="69"/>
      <c r="AT2" s="69"/>
      <c r="AU2" s="72" t="s">
        <v>151</v>
      </c>
      <c r="AV2" s="72"/>
      <c r="AW2" s="69" t="s">
        <v>158</v>
      </c>
      <c r="AX2" s="69"/>
      <c r="AY2" s="69"/>
      <c r="AZ2" s="72" t="s">
        <v>168</v>
      </c>
      <c r="BA2" s="72"/>
      <c r="BB2" s="69" t="s">
        <v>175</v>
      </c>
      <c r="BC2" s="69"/>
      <c r="BE2" s="70" t="s">
        <v>227</v>
      </c>
      <c r="BF2" s="71" t="s">
        <v>230</v>
      </c>
      <c r="BG2" s="70" t="s">
        <v>230</v>
      </c>
      <c r="BI2" s="69" t="s">
        <v>235</v>
      </c>
      <c r="BJ2" s="69"/>
      <c r="BK2" s="72" t="s">
        <v>240</v>
      </c>
      <c r="BL2" s="72"/>
      <c r="BM2" s="72"/>
      <c r="BO2" s="69" t="s">
        <v>247</v>
      </c>
      <c r="BP2" s="69"/>
      <c r="BQ2" s="72" t="s">
        <v>252</v>
      </c>
      <c r="BR2" s="72"/>
      <c r="BS2" s="72"/>
      <c r="BU2" s="70" t="s">
        <v>22</v>
      </c>
      <c r="BV2" s="71" t="s">
        <v>24</v>
      </c>
      <c r="BW2" s="70" t="s">
        <v>20</v>
      </c>
      <c r="BX2" s="69" t="s">
        <v>140</v>
      </c>
      <c r="BY2" s="69"/>
      <c r="BZ2" s="69"/>
      <c r="CA2" s="69"/>
      <c r="CB2" s="72" t="s">
        <v>151</v>
      </c>
      <c r="CC2" s="72"/>
      <c r="CD2" s="69" t="s">
        <v>158</v>
      </c>
      <c r="CE2" s="69"/>
      <c r="CF2" s="69"/>
    </row>
    <row r="3" spans="1:84" ht="30.75" thickBot="1">
      <c r="A3" s="71"/>
      <c r="B3" s="70"/>
      <c r="C3" s="71"/>
      <c r="D3" s="70"/>
      <c r="E3" s="71"/>
      <c r="F3" s="70"/>
      <c r="G3" s="71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0"/>
      <c r="P3" s="71"/>
      <c r="Q3" s="70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71"/>
      <c r="AN3" s="70"/>
      <c r="AO3" s="71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71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71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1.5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2.2488299999999999</v>
      </c>
      <c r="J5" s="18">
        <f t="shared" ref="J5:J29" si="1">IF(ISBLANK(S5),"·",S5/D5)</f>
        <v>9.6087134845658451E-2</v>
      </c>
      <c r="K5" s="18">
        <f t="shared" ref="K5:K29" si="2">IF(N5="","·",N5/D5)</f>
        <v>6.1039384135956165E-2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1523808</v>
      </c>
      <c r="O5" s="18">
        <f t="shared" ref="O5:O29" si="6">IF(ISBLANK(S5),"·",S5/P5)</f>
        <v>0.11071728075723496</v>
      </c>
      <c r="P5" s="42">
        <v>21665561</v>
      </c>
      <c r="Q5" s="42">
        <v>677048.78125</v>
      </c>
      <c r="R5" s="42">
        <v>13554.6875</v>
      </c>
      <c r="S5" s="43">
        <v>2398752</v>
      </c>
      <c r="T5" s="43">
        <v>847072</v>
      </c>
      <c r="U5" s="43">
        <v>676736</v>
      </c>
      <c r="V5" s="43">
        <v>875088</v>
      </c>
      <c r="W5" s="44">
        <v>66.333168749999999</v>
      </c>
      <c r="X5" s="44">
        <v>68.402850000000001</v>
      </c>
      <c r="Y5" s="44">
        <v>32.165624999999899</v>
      </c>
      <c r="Z5" s="44">
        <v>44.153831250000003</v>
      </c>
      <c r="AA5" s="44">
        <v>43.731209374999999</v>
      </c>
      <c r="AB5" s="45">
        <v>6740.31</v>
      </c>
      <c r="AC5" s="45">
        <v>1127.43</v>
      </c>
      <c r="AD5" s="45">
        <v>6.2</v>
      </c>
      <c r="AE5" s="45">
        <v>19.512</v>
      </c>
      <c r="AF5">
        <v>32</v>
      </c>
      <c r="AG5" s="17">
        <f t="shared" ref="AG5:AG29" si="7">IF(OR(ISBLANK(AQ5),ISBLANK(G5)),"·",AQ5*G5/F5/1000000)</f>
        <v>2.2735124999999998</v>
      </c>
      <c r="AH5" s="18">
        <f t="shared" ref="AH5:AH29" si="8">IF(ISBLANK(AQ5),"·",AQ5/D5)</f>
        <v>9.7141759119537749E-2</v>
      </c>
      <c r="AI5" s="18">
        <f t="shared" ref="AI5:AI29" si="9">IF(AL5="","·",AL5/D5)</f>
        <v>6.2540725589351628E-2</v>
      </c>
      <c r="AJ5" s="18">
        <f t="shared" ref="AJ5:AJ29" si="10">IF(AR5="","·",AR5/D5)</f>
        <v>3.4667688604317654E-2</v>
      </c>
      <c r="AK5" s="18">
        <f t="shared" ref="AK5:AK29" si="11">IF(ISBLANK(AT5),"·",AT5/D5)</f>
        <v>3.4606801757755191E-2</v>
      </c>
      <c r="AL5" s="15">
        <f t="shared" ref="AL5:AL29" si="12">IF(OR(ISBLANK(AR5),ISBLANK(AS5)),"",AR5+AS5)</f>
        <v>1561288</v>
      </c>
      <c r="AM5" s="18">
        <f t="shared" ref="AM5:AM29" si="13">IF(ISBLANK(AQ5),"·",AQ5/AN5)</f>
        <v>0.11235392329042235</v>
      </c>
      <c r="AN5" s="42">
        <v>21584293</v>
      </c>
      <c r="AO5" s="42">
        <v>674509.15625</v>
      </c>
      <c r="AP5" s="42">
        <v>13517.4375</v>
      </c>
      <c r="AQ5" s="43">
        <v>2425080</v>
      </c>
      <c r="AR5" s="43">
        <v>865456</v>
      </c>
      <c r="AS5" s="43">
        <v>695832</v>
      </c>
      <c r="AT5" s="43">
        <v>863936</v>
      </c>
      <c r="AU5" s="44">
        <v>66.301318749999993</v>
      </c>
      <c r="AV5" s="44">
        <v>68.382521874999995</v>
      </c>
      <c r="AW5" s="44">
        <v>32.150818749999999</v>
      </c>
      <c r="AX5" s="44">
        <v>44.206074999999998</v>
      </c>
      <c r="AY5" s="44">
        <v>43.684150000000002</v>
      </c>
      <c r="AZ5" s="45">
        <v>8866.94</v>
      </c>
      <c r="BA5" s="45">
        <v>1230.6400000000001</v>
      </c>
      <c r="BB5" s="45">
        <v>6.5720000000000001</v>
      </c>
      <c r="BC5" s="45">
        <v>22.044</v>
      </c>
      <c r="BD5">
        <v>32</v>
      </c>
      <c r="BE5" s="19">
        <f t="shared" ref="BE5:BE29" si="14">(AP5/AO5) - (R5/Q5)</f>
        <v>2.0153816180826234E-5</v>
      </c>
      <c r="BF5" s="19">
        <f t="shared" ref="BF5:BF29" si="15">(AL5/AQ5) - (N5/S5)</f>
        <v>8.5585338657857557E-3</v>
      </c>
      <c r="BG5" s="19">
        <f t="array" ref="BG5">AVERAGE(AL5:AL9/AQ5:AQ9) - AVERAGE(N5:N9/S5:S9)</f>
        <v>5.5017936770908049E-3</v>
      </c>
      <c r="BI5" s="20">
        <f>IF( OR(ISBLANK(N5:N9),ISBLANK(AL5:AL9), ISBLANK(W5:W9),ISBLANK(AU5:AU9)), "·", bdRateExtend( N5:N9,W5:W9, AL5:AL9,AU5:AU9))</f>
        <v>2.3769235281394518E-2</v>
      </c>
      <c r="BJ5" s="20">
        <f>IF( OR(ISBLANK(N5:N9),ISBLANK(AL5:AL9), ISBLANK(X5:X9),ISBLANK(AV5:AV9)), "·", bdRateExtend( N5:N9,X5:X9, AL5:AL9,AV5:AV9))</f>
        <v>2.2792401543318963E-2</v>
      </c>
      <c r="BK5" s="20">
        <f>IF( OR(ISBLANK(V5:V9),ISBLANK(AT5:AT9), ISBLANK(Y5:Y9),ISBLANK(AW5:AW9)), "·", bdRateExtend( V5:V9,Y5:Y9, AT5:AT9,AW5:AW9))</f>
        <v>-5.0359323970405878E-4</v>
      </c>
      <c r="BL5" s="20">
        <f>IF( OR(ISBLANK(V5:V9),ISBLANK(AT5:AT9), ISBLANK(Z5:Z9),ISBLANK(AX5:AX9)), "·", bdRateExtend( V5:V9,Z5:Z9, AT5:AT9,AX5:AX9))</f>
        <v>-1.3959597613735775E-2</v>
      </c>
      <c r="BM5" s="20">
        <f>IF( OR(ISBLANK(V5:V9),ISBLANK(AT5:AT9), ISBLANK(AA5:AA9),ISBLANK(AY5:AY9)), "·", bdRateExtend( V5:V9,AA5:AA9, AT5:AT9,AY5:AY9))</f>
        <v>9.2870832659963654E-5</v>
      </c>
      <c r="BO5" s="20">
        <f>IF( OR(ISBLANK(S5:S9),ISBLANK(AQ5:AQ9), ISBLANK(W5:W9),ISBLANK(AU5:AU9)), "·", bdRateExtend( S5:S9,W5:W9, AQ5:AQ9,AU5:AU9))</f>
        <v>1.1034499094661587E-2</v>
      </c>
      <c r="BP5" s="20">
        <f>IF( OR(ISBLANK(S5:S9),ISBLANK(AQ5:AQ9), ISBLANK(X5:X9),ISBLANK(AV5:AV9)), "·", bdRateExtend( S5:S9,X5:X9, AQ5:AQ9,AV5:AV9))</f>
        <v>9.6225859774929923E-3</v>
      </c>
      <c r="BQ5" s="20">
        <f>IF( OR(ISBLANK(S5:S9),ISBLANK(AQ5:AQ9), ISBLANK(Y5:Y9),ISBLANK(AW5:AW9)), "·", bdRateExtend( S5:S9,Y5:Y9, AQ5:AQ9,AW5:AW9))</f>
        <v>9.0184674597721948E-3</v>
      </c>
      <c r="BR5" s="20">
        <f>IF( OR(ISBLANK(S5:S9),ISBLANK(AQ5:AQ9), ISBLANK(Z5:Z9),ISBLANK(AX5:AX9)), "·", bdRateExtend( S5:S9,Z5:Z9, AQ5:AQ9,AX5:AX9))</f>
        <v>-1.658647116293821E-4</v>
      </c>
      <c r="BS5" s="20">
        <f>IF( OR(ISBLANK(S5:S9),ISBLANK(AQ5:AQ9), ISBLANK(AA5:AA9),ISBLANK(AY5:AY9)), "·", bdRateExtend( S5:S9,AA5:AA9, AQ5:AQ9,AY5:AY9))</f>
        <v>9.6034609349906486E-3</v>
      </c>
      <c r="BU5">
        <f>AN5-P5</f>
        <v>-81268</v>
      </c>
      <c r="BV5" s="4">
        <f t="shared" ref="BV5:CF5" si="16">AO5-Q5</f>
        <v>-2539.625</v>
      </c>
      <c r="BW5" s="4">
        <f t="shared" si="16"/>
        <v>-37.25</v>
      </c>
      <c r="BX5" s="4">
        <f t="shared" si="16"/>
        <v>26328</v>
      </c>
      <c r="BY5" s="4">
        <f t="shared" si="16"/>
        <v>18384</v>
      </c>
      <c r="BZ5" s="4">
        <f t="shared" si="16"/>
        <v>19096</v>
      </c>
      <c r="CA5" s="4">
        <f t="shared" si="16"/>
        <v>-11152</v>
      </c>
      <c r="CB5" s="4">
        <f t="shared" si="16"/>
        <v>-3.1850000000005707E-2</v>
      </c>
      <c r="CC5" s="4">
        <f t="shared" si="16"/>
        <v>-2.0328125000006025E-2</v>
      </c>
      <c r="CD5" s="4">
        <f t="shared" si="16"/>
        <v>-1.480624999989999E-2</v>
      </c>
      <c r="CE5" s="4">
        <f t="shared" si="16"/>
        <v>5.2243749999995259E-2</v>
      </c>
      <c r="CF5" s="4">
        <f t="shared" si="16"/>
        <v>-4.7059374999996351E-2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3.4893749999999999</v>
      </c>
      <c r="J6" s="24">
        <f t="shared" si="1"/>
        <v>0.14909265980624123</v>
      </c>
      <c r="K6" s="24">
        <f t="shared" si="2"/>
        <v>7.3706732334732974E-2</v>
      </c>
      <c r="L6" s="24">
        <f t="shared" si="3"/>
        <v>4.6598626416775833E-2</v>
      </c>
      <c r="M6" s="24">
        <f t="shared" si="4"/>
        <v>7.5391695699077332E-2</v>
      </c>
      <c r="N6" s="21">
        <f t="shared" si="5"/>
        <v>1840040</v>
      </c>
      <c r="O6" s="24">
        <f t="shared" si="6"/>
        <v>0.15404884399628363</v>
      </c>
      <c r="P6" s="46">
        <v>24161168</v>
      </c>
      <c r="Q6" s="46">
        <v>755036.5</v>
      </c>
      <c r="R6" s="46">
        <v>19192.28125</v>
      </c>
      <c r="S6" s="47">
        <v>3722000</v>
      </c>
      <c r="T6" s="47">
        <v>1163304</v>
      </c>
      <c r="U6" s="47">
        <v>676736</v>
      </c>
      <c r="V6" s="47">
        <v>1882104</v>
      </c>
      <c r="W6" s="48">
        <v>68.2381125</v>
      </c>
      <c r="X6" s="48">
        <v>70.356650000000002</v>
      </c>
      <c r="Y6" s="48">
        <v>34.445496874999897</v>
      </c>
      <c r="Z6" s="48">
        <v>45.472078124999904</v>
      </c>
      <c r="AA6" s="48">
        <v>45.189937499999999</v>
      </c>
      <c r="AB6" s="49">
        <v>6675.28</v>
      </c>
      <c r="AC6" s="49">
        <v>1220.79</v>
      </c>
      <c r="AD6" s="49">
        <v>5.1639999999999997</v>
      </c>
      <c r="AE6" s="49">
        <v>15.68</v>
      </c>
      <c r="AF6">
        <v>32</v>
      </c>
      <c r="AG6" s="23">
        <f t="shared" si="7"/>
        <v>3.5283674999999999</v>
      </c>
      <c r="AH6" s="24">
        <f t="shared" si="8"/>
        <v>0.15075871620244252</v>
      </c>
      <c r="AI6" s="24">
        <f t="shared" si="9"/>
        <v>7.5632999885716992E-2</v>
      </c>
      <c r="AJ6" s="24">
        <f t="shared" si="10"/>
        <v>4.7759962900683017E-2</v>
      </c>
      <c r="AK6" s="24">
        <f t="shared" si="11"/>
        <v>7.5131484544294594E-2</v>
      </c>
      <c r="AL6" s="21">
        <f t="shared" si="12"/>
        <v>1888128</v>
      </c>
      <c r="AM6" s="24">
        <f t="shared" si="13"/>
        <v>0.15597124215055111</v>
      </c>
      <c r="AN6" s="46">
        <v>24130038</v>
      </c>
      <c r="AO6" s="46">
        <v>754063.6875</v>
      </c>
      <c r="AP6" s="46">
        <v>19015.375</v>
      </c>
      <c r="AQ6" s="47">
        <v>3763592</v>
      </c>
      <c r="AR6" s="47">
        <v>1192296</v>
      </c>
      <c r="AS6" s="47">
        <v>695832</v>
      </c>
      <c r="AT6" s="47">
        <v>1875608</v>
      </c>
      <c r="AU6" s="48">
        <v>68.236193749999998</v>
      </c>
      <c r="AV6" s="48">
        <v>70.355909374999896</v>
      </c>
      <c r="AW6" s="48">
        <v>34.439031249999999</v>
      </c>
      <c r="AX6" s="48">
        <v>45.490646875000003</v>
      </c>
      <c r="AY6" s="48">
        <v>45.205543749999997</v>
      </c>
      <c r="AZ6" s="49">
        <v>8876.08</v>
      </c>
      <c r="BA6" s="49">
        <v>1295.77</v>
      </c>
      <c r="BB6" s="49">
        <v>6.2039999999999997</v>
      </c>
      <c r="BC6" s="49">
        <v>19.579999999999998</v>
      </c>
      <c r="BD6">
        <v>32</v>
      </c>
      <c r="BE6" s="25">
        <f t="shared" si="14"/>
        <v>-2.018109619777754E-4</v>
      </c>
      <c r="BF6" s="25">
        <f t="shared" si="15"/>
        <v>7.3138162685104091E-3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BU29" si="17">AN6-P6</f>
        <v>-31130</v>
      </c>
      <c r="BV6" s="4">
        <f t="shared" ref="BV6:BV29" si="18">AO6-Q6</f>
        <v>-972.8125</v>
      </c>
      <c r="BW6" s="4">
        <f t="shared" ref="BW6:BW29" si="19">AP6-R6</f>
        <v>-176.90625</v>
      </c>
      <c r="BX6" s="4">
        <f t="shared" ref="BX6:BX29" si="20">AQ6-S6</f>
        <v>41592</v>
      </c>
      <c r="BY6" s="4">
        <f t="shared" ref="BY6:BY29" si="21">AR6-T6</f>
        <v>28992</v>
      </c>
      <c r="BZ6" s="4">
        <f t="shared" ref="BZ6:BZ29" si="22">AS6-U6</f>
        <v>19096</v>
      </c>
      <c r="CA6" s="4">
        <f t="shared" ref="CA6:CA29" si="23">AT6-V6</f>
        <v>-6496</v>
      </c>
      <c r="CB6" s="4">
        <f t="shared" ref="CB6:CB29" si="24">AU6-W6</f>
        <v>-1.9187500000015234E-3</v>
      </c>
      <c r="CC6" s="4">
        <f t="shared" ref="CC6:CC29" si="25">AV6-X6</f>
        <v>-7.4062500010541044E-4</v>
      </c>
      <c r="CD6" s="4">
        <f t="shared" ref="CD6:CD29" si="26">AW6-Y6</f>
        <v>-6.4656249998975568E-3</v>
      </c>
      <c r="CE6" s="4">
        <f t="shared" ref="CE6:CE29" si="27">AX6-Z6</f>
        <v>1.8568750000099499E-2</v>
      </c>
      <c r="CF6" s="4">
        <f t="shared" ref="CF6:CF29" si="28">AY6-AA6</f>
        <v>1.5606249999997601E-2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5.7166575000000002</v>
      </c>
      <c r="J7" s="18">
        <f t="shared" si="1"/>
        <v>0.2442591214404578</v>
      </c>
      <c r="K7" s="18">
        <f t="shared" si="2"/>
        <v>9.1622206250106905E-2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2287288</v>
      </c>
      <c r="O7" s="18">
        <f t="shared" si="6"/>
        <v>0.24536750614277061</v>
      </c>
      <c r="P7" s="42">
        <v>24851571</v>
      </c>
      <c r="Q7" s="42">
        <v>776611.59375</v>
      </c>
      <c r="R7" s="42">
        <v>21049.5</v>
      </c>
      <c r="S7" s="43">
        <v>6097768</v>
      </c>
      <c r="T7" s="43">
        <v>1610552</v>
      </c>
      <c r="U7" s="43">
        <v>676736</v>
      </c>
      <c r="V7" s="43">
        <v>3810624</v>
      </c>
      <c r="W7" s="44">
        <v>69.677409374999897</v>
      </c>
      <c r="X7" s="44">
        <v>72.041343749999996</v>
      </c>
      <c r="Y7" s="44">
        <v>36.986228124999897</v>
      </c>
      <c r="Z7" s="44">
        <v>46.565628125000003</v>
      </c>
      <c r="AA7" s="44">
        <v>46.444781249999998</v>
      </c>
      <c r="AB7" s="45">
        <v>6834.72</v>
      </c>
      <c r="AC7" s="45">
        <v>1282.18</v>
      </c>
      <c r="AD7" s="45">
        <v>8.4120000000000008</v>
      </c>
      <c r="AE7" s="45">
        <v>28.571999999999999</v>
      </c>
      <c r="AF7">
        <v>32</v>
      </c>
      <c r="AG7" s="17">
        <f t="shared" si="7"/>
        <v>5.7606225000000002</v>
      </c>
      <c r="AH7" s="18">
        <f t="shared" si="8"/>
        <v>0.24613764088545337</v>
      </c>
      <c r="AI7" s="18">
        <f t="shared" si="9"/>
        <v>9.3631792643755346E-2</v>
      </c>
      <c r="AJ7" s="18">
        <f t="shared" si="10"/>
        <v>6.5758755658721371E-2</v>
      </c>
      <c r="AK7" s="18">
        <f t="shared" si="11"/>
        <v>0.15251161646926711</v>
      </c>
      <c r="AL7" s="15">
        <f t="shared" si="12"/>
        <v>2337456</v>
      </c>
      <c r="AM7" s="18">
        <f t="shared" si="13"/>
        <v>0.24717709926378631</v>
      </c>
      <c r="AN7" s="42">
        <v>24859358</v>
      </c>
      <c r="AO7" s="42">
        <v>776854.9375</v>
      </c>
      <c r="AP7" s="42">
        <v>21054.84375</v>
      </c>
      <c r="AQ7" s="43">
        <v>6144664</v>
      </c>
      <c r="AR7" s="43">
        <v>1641624</v>
      </c>
      <c r="AS7" s="43">
        <v>695832</v>
      </c>
      <c r="AT7" s="43">
        <v>3807352</v>
      </c>
      <c r="AU7" s="44">
        <v>69.675853125000003</v>
      </c>
      <c r="AV7" s="44">
        <v>72.047028124999997</v>
      </c>
      <c r="AW7" s="44">
        <v>36.981696874999898</v>
      </c>
      <c r="AX7" s="44">
        <v>46.611924999999999</v>
      </c>
      <c r="AY7" s="44">
        <v>46.4391125</v>
      </c>
      <c r="AZ7" s="45">
        <v>8863.23</v>
      </c>
      <c r="BA7" s="45">
        <v>1376.98</v>
      </c>
      <c r="BB7" s="45">
        <v>6.7519999999999998</v>
      </c>
      <c r="BC7" s="45">
        <v>22.876000000000001</v>
      </c>
      <c r="BD7">
        <v>32</v>
      </c>
      <c r="BE7" s="19">
        <f t="shared" si="14"/>
        <v>-1.6115077279520162E-6</v>
      </c>
      <c r="BF7" s="19">
        <f t="shared" si="15"/>
        <v>5.3017045884358183E-3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7787</v>
      </c>
      <c r="BV7" s="4">
        <f t="shared" si="18"/>
        <v>243.34375</v>
      </c>
      <c r="BW7" s="4">
        <f t="shared" si="19"/>
        <v>5.34375</v>
      </c>
      <c r="BX7" s="4">
        <f t="shared" si="20"/>
        <v>46896</v>
      </c>
      <c r="BY7" s="4">
        <f t="shared" si="21"/>
        <v>31072</v>
      </c>
      <c r="BZ7" s="4">
        <f t="shared" si="22"/>
        <v>19096</v>
      </c>
      <c r="CA7" s="4">
        <f t="shared" si="23"/>
        <v>-3272</v>
      </c>
      <c r="CB7" s="4">
        <f t="shared" si="24"/>
        <v>-1.5562499998935664E-3</v>
      </c>
      <c r="CC7" s="4">
        <f t="shared" si="25"/>
        <v>5.684375000001296E-3</v>
      </c>
      <c r="CD7" s="4">
        <f t="shared" si="26"/>
        <v>-4.5312499999994316E-3</v>
      </c>
      <c r="CE7" s="4">
        <f t="shared" si="27"/>
        <v>4.6296874999995907E-2</v>
      </c>
      <c r="CF7" s="4">
        <f t="shared" si="28"/>
        <v>-5.6687499999981128E-3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9.9381374999999998</v>
      </c>
      <c r="J8" s="24">
        <f t="shared" si="1"/>
        <v>0.42463287935379507</v>
      </c>
      <c r="K8" s="24">
        <f t="shared" si="2"/>
        <v>0.12107125118984716</v>
      </c>
      <c r="L8" s="24">
        <f t="shared" si="3"/>
        <v>9.3963145271890008E-2</v>
      </c>
      <c r="M8" s="24">
        <f t="shared" si="4"/>
        <v>0.30356739639151703</v>
      </c>
      <c r="N8" s="21">
        <f t="shared" si="5"/>
        <v>3022464</v>
      </c>
      <c r="O8" s="24">
        <f t="shared" si="6"/>
        <v>0.40887734574471613</v>
      </c>
      <c r="P8" s="46">
        <v>25926308</v>
      </c>
      <c r="Q8" s="46">
        <v>810197.125</v>
      </c>
      <c r="R8" s="46">
        <v>24362.6875</v>
      </c>
      <c r="S8" s="47">
        <v>10600680</v>
      </c>
      <c r="T8" s="47">
        <v>2345728</v>
      </c>
      <c r="U8" s="47">
        <v>676736</v>
      </c>
      <c r="V8" s="47">
        <v>7578360</v>
      </c>
      <c r="W8" s="48">
        <v>70.749765624999995</v>
      </c>
      <c r="X8" s="48">
        <v>73.293743750000004</v>
      </c>
      <c r="Y8" s="48">
        <v>39.614121875000002</v>
      </c>
      <c r="Z8" s="48">
        <v>47.886353124999999</v>
      </c>
      <c r="AA8" s="48">
        <v>47.917003124999901</v>
      </c>
      <c r="AB8" s="49">
        <v>8355.43</v>
      </c>
      <c r="AC8" s="49">
        <v>1408.56</v>
      </c>
      <c r="AD8" s="49">
        <v>9.4</v>
      </c>
      <c r="AE8" s="49">
        <v>27.135999999999999</v>
      </c>
      <c r="AF8">
        <v>32</v>
      </c>
      <c r="AG8" s="23">
        <f t="shared" si="7"/>
        <v>9.9965849999999996</v>
      </c>
      <c r="AH8" s="24">
        <f t="shared" si="8"/>
        <v>0.42713020143411756</v>
      </c>
      <c r="AI8" s="24">
        <f t="shared" si="9"/>
        <v>0.12326093446648562</v>
      </c>
      <c r="AJ8" s="24">
        <f t="shared" si="10"/>
        <v>9.5387897481451642E-2</v>
      </c>
      <c r="AK8" s="24">
        <f t="shared" si="11"/>
        <v>0.30387503519520104</v>
      </c>
      <c r="AL8" s="21">
        <f t="shared" si="12"/>
        <v>3077128</v>
      </c>
      <c r="AM8" s="24">
        <f t="shared" si="13"/>
        <v>0.41118316987074927</v>
      </c>
      <c r="AN8" s="46">
        <v>25932540</v>
      </c>
      <c r="AO8" s="46">
        <v>810391.875</v>
      </c>
      <c r="AP8" s="46">
        <v>24407.96875</v>
      </c>
      <c r="AQ8" s="47">
        <v>10663024</v>
      </c>
      <c r="AR8" s="47">
        <v>2381296</v>
      </c>
      <c r="AS8" s="47">
        <v>695832</v>
      </c>
      <c r="AT8" s="47">
        <v>7586040</v>
      </c>
      <c r="AU8" s="48">
        <v>70.742518749999903</v>
      </c>
      <c r="AV8" s="48">
        <v>73.288453124999904</v>
      </c>
      <c r="AW8" s="48">
        <v>39.613071874999903</v>
      </c>
      <c r="AX8" s="48">
        <v>47.897146874999997</v>
      </c>
      <c r="AY8" s="48">
        <v>47.909318749999997</v>
      </c>
      <c r="AZ8" s="49">
        <v>8377.51</v>
      </c>
      <c r="BA8" s="49">
        <v>1527.59</v>
      </c>
      <c r="BB8" s="49">
        <v>6.8440000000000003</v>
      </c>
      <c r="BC8" s="49">
        <v>23.428000000000001</v>
      </c>
      <c r="BD8">
        <v>32</v>
      </c>
      <c r="BE8" s="25">
        <f t="shared" si="14"/>
        <v>4.8649430362691232E-5</v>
      </c>
      <c r="BF8" s="25">
        <f t="shared" si="15"/>
        <v>3.4594773289395309E-3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6232</v>
      </c>
      <c r="BV8" s="4">
        <f t="shared" si="18"/>
        <v>194.75</v>
      </c>
      <c r="BW8" s="4">
        <f t="shared" si="19"/>
        <v>45.28125</v>
      </c>
      <c r="BX8" s="4">
        <f t="shared" si="20"/>
        <v>62344</v>
      </c>
      <c r="BY8" s="4">
        <f t="shared" si="21"/>
        <v>35568</v>
      </c>
      <c r="BZ8" s="4">
        <f t="shared" si="22"/>
        <v>19096</v>
      </c>
      <c r="CA8" s="4">
        <f t="shared" si="23"/>
        <v>7680</v>
      </c>
      <c r="CB8" s="4">
        <f t="shared" si="24"/>
        <v>-7.2468750000922455E-3</v>
      </c>
      <c r="CC8" s="4">
        <f t="shared" si="25"/>
        <v>-5.2906250001001354E-3</v>
      </c>
      <c r="CD8" s="4">
        <f t="shared" si="26"/>
        <v>-1.0500000000988052E-3</v>
      </c>
      <c r="CE8" s="4">
        <f t="shared" si="27"/>
        <v>1.0793749999997715E-2</v>
      </c>
      <c r="CF8" s="4">
        <f t="shared" si="28"/>
        <v>-7.6843749999042643E-3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18.132840000000002</v>
      </c>
      <c r="J9" s="30">
        <f t="shared" si="1"/>
        <v>0.77477294513802708</v>
      </c>
      <c r="K9" s="30">
        <f t="shared" si="2"/>
        <v>0.19590855612811892</v>
      </c>
      <c r="L9" s="30">
        <f t="shared" si="3"/>
        <v>0.14376538118911289</v>
      </c>
      <c r="M9" s="30">
        <f t="shared" si="4"/>
        <v>0.57887015723747726</v>
      </c>
      <c r="N9" s="27">
        <f t="shared" si="5"/>
        <v>4890728</v>
      </c>
      <c r="O9" s="30">
        <f t="shared" si="6"/>
        <v>0.7739149974935996</v>
      </c>
      <c r="P9" s="50">
        <v>24992016</v>
      </c>
      <c r="Q9" s="50">
        <v>781000.5</v>
      </c>
      <c r="R9" s="50">
        <v>10306.34375</v>
      </c>
      <c r="S9" s="51">
        <v>19341696</v>
      </c>
      <c r="T9" s="51">
        <v>3589008</v>
      </c>
      <c r="U9" s="51">
        <v>1301720</v>
      </c>
      <c r="V9" s="51">
        <v>14451112</v>
      </c>
      <c r="W9" s="52">
        <v>72.062162499999999</v>
      </c>
      <c r="X9" s="52">
        <v>75.321165625000006</v>
      </c>
      <c r="Y9" s="52">
        <v>42.039612499999997</v>
      </c>
      <c r="Z9" s="52">
        <v>49.434653124999997</v>
      </c>
      <c r="AA9" s="52">
        <v>49.581253124999897</v>
      </c>
      <c r="AB9" s="53">
        <v>8364.2999999999993</v>
      </c>
      <c r="AC9" s="53">
        <v>1638.86</v>
      </c>
      <c r="AD9" s="53">
        <v>6.7039999999999997</v>
      </c>
      <c r="AE9" s="53">
        <v>23.66</v>
      </c>
      <c r="AF9">
        <v>32</v>
      </c>
      <c r="AG9" s="29">
        <f t="shared" si="7"/>
        <v>18.240765</v>
      </c>
      <c r="AH9" s="30">
        <f t="shared" si="8"/>
        <v>0.77938432262241575</v>
      </c>
      <c r="AI9" s="30">
        <f t="shared" si="9"/>
        <v>0.19931565587891945</v>
      </c>
      <c r="AJ9" s="30">
        <f t="shared" si="10"/>
        <v>0.14688631276106989</v>
      </c>
      <c r="AK9" s="30">
        <f t="shared" si="11"/>
        <v>0.58007443497106537</v>
      </c>
      <c r="AL9" s="27">
        <f t="shared" si="12"/>
        <v>4975784</v>
      </c>
      <c r="AM9" s="30">
        <f t="shared" si="13"/>
        <v>0.77819478939326914</v>
      </c>
      <c r="AN9" s="50">
        <v>25002501</v>
      </c>
      <c r="AO9" s="50">
        <v>781328.15625</v>
      </c>
      <c r="AP9" s="50">
        <v>10359.28125</v>
      </c>
      <c r="AQ9" s="51">
        <v>19456816</v>
      </c>
      <c r="AR9" s="51">
        <v>3666920</v>
      </c>
      <c r="AS9" s="51">
        <v>1308864</v>
      </c>
      <c r="AT9" s="51">
        <v>14481176</v>
      </c>
      <c r="AU9" s="52">
        <v>72.054290624999993</v>
      </c>
      <c r="AV9" s="52">
        <v>75.304971874999893</v>
      </c>
      <c r="AW9" s="52">
        <v>42.044496875</v>
      </c>
      <c r="AX9" s="52">
        <v>49.420818750000002</v>
      </c>
      <c r="AY9" s="52">
        <v>49.569178124999901</v>
      </c>
      <c r="AZ9" s="53">
        <v>8390.08</v>
      </c>
      <c r="BA9" s="53">
        <v>1750.96</v>
      </c>
      <c r="BB9" s="53">
        <v>5.9359999999999999</v>
      </c>
      <c r="BC9" s="53">
        <v>21.795999999999999</v>
      </c>
      <c r="BD9">
        <v>32</v>
      </c>
      <c r="BE9" s="31">
        <f t="shared" si="14"/>
        <v>6.2219232948398928E-5</v>
      </c>
      <c r="BF9" s="31">
        <f t="shared" si="15"/>
        <v>2.8754363337823441E-3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10485</v>
      </c>
      <c r="BV9" s="4">
        <f t="shared" si="18"/>
        <v>327.65625</v>
      </c>
      <c r="BW9" s="4">
        <f t="shared" si="19"/>
        <v>52.9375</v>
      </c>
      <c r="BX9" s="4">
        <f t="shared" si="20"/>
        <v>115120</v>
      </c>
      <c r="BY9" s="4">
        <f t="shared" si="21"/>
        <v>77912</v>
      </c>
      <c r="BZ9" s="4">
        <f t="shared" si="22"/>
        <v>7144</v>
      </c>
      <c r="CA9" s="4">
        <f t="shared" si="23"/>
        <v>30064</v>
      </c>
      <c r="CB9" s="4">
        <f t="shared" si="24"/>
        <v>-7.8718750000064119E-3</v>
      </c>
      <c r="CC9" s="4">
        <f t="shared" si="25"/>
        <v>-1.6193750000113027E-2</v>
      </c>
      <c r="CD9" s="4">
        <f t="shared" si="26"/>
        <v>4.8843750000031605E-3</v>
      </c>
      <c r="CE9" s="4">
        <f t="shared" si="27"/>
        <v>-1.3834374999994736E-2</v>
      </c>
      <c r="CF9" s="4">
        <f t="shared" si="28"/>
        <v>-1.2074999999995839E-2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3.2629725000000001</v>
      </c>
      <c r="J10" s="24">
        <f t="shared" si="1"/>
        <v>0.15363215256606449</v>
      </c>
      <c r="K10" s="24">
        <f t="shared" si="2"/>
        <v>7.9627137555772429E-2</v>
      </c>
      <c r="L10" s="24">
        <f t="shared" si="3"/>
        <v>4.0425889643024265E-2</v>
      </c>
      <c r="M10" s="24">
        <f t="shared" si="4"/>
        <v>7.4011371282248536E-2</v>
      </c>
      <c r="N10" s="21">
        <f t="shared" si="5"/>
        <v>1803936</v>
      </c>
      <c r="O10" s="24">
        <f t="shared" si="6"/>
        <v>0.16845830984696616</v>
      </c>
      <c r="P10" s="46">
        <v>20660922</v>
      </c>
      <c r="Q10" s="46">
        <v>645653.8125</v>
      </c>
      <c r="R10" s="46">
        <v>18447.71875</v>
      </c>
      <c r="S10" s="47">
        <v>3480504</v>
      </c>
      <c r="T10" s="47">
        <v>915840</v>
      </c>
      <c r="U10" s="47">
        <v>888096</v>
      </c>
      <c r="V10" s="47">
        <v>1676712</v>
      </c>
      <c r="W10" s="48">
        <v>65.910393749999997</v>
      </c>
      <c r="X10" s="48">
        <v>67.841156249999997</v>
      </c>
      <c r="Y10" s="48">
        <v>32.503643750000002</v>
      </c>
      <c r="Z10" s="48">
        <v>39.236006249999903</v>
      </c>
      <c r="AA10" s="48">
        <v>32.222728125000003</v>
      </c>
      <c r="AB10" s="49">
        <v>7944.55</v>
      </c>
      <c r="AC10" s="49">
        <v>1137.0999999999999</v>
      </c>
      <c r="AD10" s="49">
        <v>5.34</v>
      </c>
      <c r="AE10" s="49">
        <v>17.34</v>
      </c>
      <c r="AF10">
        <v>32</v>
      </c>
      <c r="AG10" s="23">
        <f t="shared" si="7"/>
        <v>3.3082500000000001</v>
      </c>
      <c r="AH10" s="24">
        <f t="shared" si="8"/>
        <v>0.15576397555501401</v>
      </c>
      <c r="AI10" s="24">
        <f t="shared" si="9"/>
        <v>8.0933351442822973E-2</v>
      </c>
      <c r="AJ10" s="24">
        <f t="shared" si="10"/>
        <v>4.1507515254280231E-2</v>
      </c>
      <c r="AK10" s="24">
        <f t="shared" si="11"/>
        <v>7.4836980384147475E-2</v>
      </c>
      <c r="AL10" s="21">
        <f t="shared" si="12"/>
        <v>1833528</v>
      </c>
      <c r="AM10" s="24">
        <f t="shared" si="13"/>
        <v>0.17272507232568721</v>
      </c>
      <c r="AN10" s="46">
        <v>20430155</v>
      </c>
      <c r="AO10" s="46">
        <v>638442.34375</v>
      </c>
      <c r="AP10" s="46">
        <v>18625.96875</v>
      </c>
      <c r="AQ10" s="47">
        <v>3528800</v>
      </c>
      <c r="AR10" s="47">
        <v>940344</v>
      </c>
      <c r="AS10" s="47">
        <v>893184</v>
      </c>
      <c r="AT10" s="47">
        <v>1695416</v>
      </c>
      <c r="AU10" s="48">
        <v>65.885481249999998</v>
      </c>
      <c r="AV10" s="48">
        <v>67.841740625</v>
      </c>
      <c r="AW10" s="48">
        <v>32.513078125</v>
      </c>
      <c r="AX10" s="48">
        <v>39.259906249999901</v>
      </c>
      <c r="AY10" s="48">
        <v>32.209943750000001</v>
      </c>
      <c r="AZ10" s="49">
        <v>7991.26</v>
      </c>
      <c r="BA10" s="49">
        <v>1151.55</v>
      </c>
      <c r="BB10" s="49">
        <v>6.4359999999999999</v>
      </c>
      <c r="BC10" s="49">
        <v>21.416</v>
      </c>
      <c r="BD10">
        <v>32</v>
      </c>
      <c r="BE10" s="25">
        <f t="shared" si="14"/>
        <v>6.0192934207536908E-4</v>
      </c>
      <c r="BF10" s="25">
        <f t="shared" si="15"/>
        <v>1.2923121691562622E-3</v>
      </c>
      <c r="BG10" s="25">
        <f t="array" ref="BG10">AVERAGE(AL10:AL14/AQ10:AQ14) - AVERAGE(N10:N14/S10:S14)</f>
        <v>1.586272388745702E-3</v>
      </c>
      <c r="BI10" s="26">
        <f>IF( OR(ISBLANK(N10:N14),ISBLANK(AL10:AL14), ISBLANK(W10:W14),ISBLANK(AU10:AU14)), "·", bdRateExtend( N10:N14,W10:W14, AL10:AL14,AU10:AU14))</f>
        <v>1.8287014181740835E-2</v>
      </c>
      <c r="BJ10" s="26">
        <f>IF( OR(ISBLANK(N10:N14),ISBLANK(AL10:AL14), ISBLANK(X10:X14),ISBLANK(AV10:AV14)), "·", bdRateExtend( N10:N14,X10:X14, AL10:AL14,AV10:AV14))</f>
        <v>1.7963807453333702E-2</v>
      </c>
      <c r="BK10" s="26">
        <f>IF( OR(ISBLANK(V10:V14),ISBLANK(AT10:AT14), ISBLANK(Y10:Y14),ISBLANK(AW10:AW14)), "·", bdRateExtend( V10:V14,Y10:Y14, AT10:AT14,AW10:AW14))</f>
        <v>1.0033211569761225E-2</v>
      </c>
      <c r="BL10" s="26">
        <f>IF( OR(ISBLANK(V10:V14),ISBLANK(AT10:AT14), ISBLANK(Z10:Z14),ISBLANK(AX10:AX14)), "·", bdRateExtend( V10:V14,Z10:Z14, AT10:AT14,AX10:AX14))</f>
        <v>3.3333664983759004E-3</v>
      </c>
      <c r="BM10" s="26">
        <f>IF( OR(ISBLANK(V10:V14),ISBLANK(AT10:AT14), ISBLANK(AA10:AA14),ISBLANK(AY10:AY14)), "·", bdRateExtend( V10:V14,AA10:AA14, AT10:AT14,AY10:AY14))</f>
        <v>8.6501865273724832E-3</v>
      </c>
      <c r="BO10" s="26">
        <f>IF( OR(ISBLANK(S10:S14),ISBLANK(AQ10:AQ14), ISBLANK(W10:W14),ISBLANK(AU10:AU14)), "·", bdRateExtend( S10:S14,W10:W14, AQ10:AQ14,AU10:AU14))</f>
        <v>1.5283647395380573E-2</v>
      </c>
      <c r="BP10" s="26">
        <f>IF( OR(ISBLANK(S10:S14),ISBLANK(AQ10:AQ14), ISBLANK(X10:X14),ISBLANK(AV10:AV14)), "·", bdRateExtend( S10:S14,X10:X14, AQ10:AQ14,AV10:AV14))</f>
        <v>1.3570808355156005E-2</v>
      </c>
      <c r="BQ10" s="26">
        <f>IF( OR(ISBLANK(S10:S14),ISBLANK(AQ10:AQ14), ISBLANK(Y10:Y14),ISBLANK(AW10:AW14)), "·", bdRateExtend( S10:S14,Y10:Y14, AQ10:AQ14,AW10:AW14))</f>
        <v>1.2320395586605137E-2</v>
      </c>
      <c r="BR10" s="26">
        <f>IF( OR(ISBLANK(S10:S14),ISBLANK(AQ10:AQ14), ISBLANK(Z10:Z14),ISBLANK(AX10:AX14)), "·", bdRateExtend( S10:S14,Z10:Z14, AQ10:AQ14,AX10:AX14))</f>
        <v>7.3640762086937261E-3</v>
      </c>
      <c r="BS10" s="26">
        <f>IF( OR(ISBLANK(S10:S14),ISBLANK(AQ10:AQ14), ISBLANK(AA10:AA14),ISBLANK(AY10:AY14)), "·", bdRateExtend( S10:S14,AA10:AA14, AQ10:AQ14,AY10:AY14))</f>
        <v>1.1172614300599903E-2</v>
      </c>
      <c r="BU10" s="4">
        <f t="shared" si="17"/>
        <v>-230767</v>
      </c>
      <c r="BV10" s="4">
        <f t="shared" si="18"/>
        <v>-7211.46875</v>
      </c>
      <c r="BW10" s="4">
        <f t="shared" si="19"/>
        <v>178.25</v>
      </c>
      <c r="BX10" s="4">
        <f t="shared" si="20"/>
        <v>48296</v>
      </c>
      <c r="BY10" s="4">
        <f t="shared" si="21"/>
        <v>24504</v>
      </c>
      <c r="BZ10" s="4">
        <f t="shared" si="22"/>
        <v>5088</v>
      </c>
      <c r="CA10" s="4">
        <f t="shared" si="23"/>
        <v>18704</v>
      </c>
      <c r="CB10" s="4">
        <f t="shared" si="24"/>
        <v>-2.4912499999999227E-2</v>
      </c>
      <c r="CC10" s="4">
        <f t="shared" si="25"/>
        <v>5.8437500000252385E-4</v>
      </c>
      <c r="CD10" s="4">
        <f t="shared" si="26"/>
        <v>9.4343749999978854E-3</v>
      </c>
      <c r="CE10" s="4">
        <f t="shared" si="27"/>
        <v>2.389999999999759E-2</v>
      </c>
      <c r="CF10" s="4">
        <f t="shared" si="28"/>
        <v>-1.2784375000002512E-2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4.7058074999999997</v>
      </c>
      <c r="J11" s="18">
        <f t="shared" si="1"/>
        <v>0.22156586847928708</v>
      </c>
      <c r="K11" s="18">
        <f t="shared" si="2"/>
        <v>9.5649533526884753E-2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2166920</v>
      </c>
      <c r="O11" s="18">
        <f t="shared" si="6"/>
        <v>0.22600702011394977</v>
      </c>
      <c r="P11" s="42">
        <v>22209611</v>
      </c>
      <c r="Q11" s="42">
        <v>694050.34375</v>
      </c>
      <c r="R11" s="42">
        <v>23853.375</v>
      </c>
      <c r="S11" s="43">
        <v>5019528</v>
      </c>
      <c r="T11" s="43">
        <v>1278824</v>
      </c>
      <c r="U11" s="43">
        <v>888096</v>
      </c>
      <c r="V11" s="43">
        <v>2852752</v>
      </c>
      <c r="W11" s="44">
        <v>67.633171875000002</v>
      </c>
      <c r="X11" s="44">
        <v>69.747609374999996</v>
      </c>
      <c r="Y11" s="44">
        <v>34.396753124999996</v>
      </c>
      <c r="Z11" s="44">
        <v>40.080587499999901</v>
      </c>
      <c r="AA11" s="44">
        <v>33.994296874999897</v>
      </c>
      <c r="AB11" s="45">
        <v>7930.01</v>
      </c>
      <c r="AC11" s="45">
        <v>1201.5</v>
      </c>
      <c r="AD11" s="45">
        <v>7.1239999999999997</v>
      </c>
      <c r="AE11" s="45">
        <v>21.952000000000002</v>
      </c>
      <c r="AF11">
        <v>32</v>
      </c>
      <c r="AG11" s="17">
        <f t="shared" si="7"/>
        <v>4.7615850000000002</v>
      </c>
      <c r="AH11" s="18">
        <f t="shared" si="8"/>
        <v>0.22419206817596049</v>
      </c>
      <c r="AI11" s="18">
        <f t="shared" si="9"/>
        <v>9.7189516971444762E-2</v>
      </c>
      <c r="AJ11" s="18">
        <f t="shared" si="10"/>
        <v>5.7763680782902019E-2</v>
      </c>
      <c r="AK11" s="18">
        <f t="shared" si="11"/>
        <v>0.1270089074764722</v>
      </c>
      <c r="AL11" s="15">
        <f t="shared" si="12"/>
        <v>2201808</v>
      </c>
      <c r="AM11" s="18">
        <f t="shared" si="13"/>
        <v>0.22980770583811524</v>
      </c>
      <c r="AN11" s="42">
        <v>22101191</v>
      </c>
      <c r="AO11" s="42">
        <v>690662.21875</v>
      </c>
      <c r="AP11" s="42">
        <v>23823.96875</v>
      </c>
      <c r="AQ11" s="43">
        <v>5079024</v>
      </c>
      <c r="AR11" s="43">
        <v>1308624</v>
      </c>
      <c r="AS11" s="43">
        <v>893184</v>
      </c>
      <c r="AT11" s="43">
        <v>2877360</v>
      </c>
      <c r="AU11" s="44">
        <v>67.613662500000004</v>
      </c>
      <c r="AV11" s="44">
        <v>69.720290624999905</v>
      </c>
      <c r="AW11" s="44">
        <v>34.389368750000003</v>
      </c>
      <c r="AX11" s="44">
        <v>40.109593750000002</v>
      </c>
      <c r="AY11" s="44">
        <v>34.002924999999998</v>
      </c>
      <c r="AZ11" s="45">
        <v>7984.5</v>
      </c>
      <c r="BA11" s="45">
        <v>1203.21</v>
      </c>
      <c r="BB11" s="45">
        <v>6.7279999999999998</v>
      </c>
      <c r="BC11" s="45">
        <v>21.504000000000001</v>
      </c>
      <c r="BD11">
        <v>32</v>
      </c>
      <c r="BE11" s="19">
        <f t="shared" si="14"/>
        <v>1.2602117454094119E-4</v>
      </c>
      <c r="BF11" s="19">
        <f t="shared" si="15"/>
        <v>1.8120997548591311E-3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-108420</v>
      </c>
      <c r="BV11" s="4">
        <f t="shared" si="18"/>
        <v>-3388.125</v>
      </c>
      <c r="BW11" s="4">
        <f t="shared" si="19"/>
        <v>-29.40625</v>
      </c>
      <c r="BX11" s="4">
        <f t="shared" si="20"/>
        <v>59496</v>
      </c>
      <c r="BY11" s="4">
        <f t="shared" si="21"/>
        <v>29800</v>
      </c>
      <c r="BZ11" s="4">
        <f t="shared" si="22"/>
        <v>5088</v>
      </c>
      <c r="CA11" s="4">
        <f t="shared" si="23"/>
        <v>24608</v>
      </c>
      <c r="CB11" s="4">
        <f t="shared" si="24"/>
        <v>-1.9509374999998386E-2</v>
      </c>
      <c r="CC11" s="4">
        <f t="shared" si="25"/>
        <v>-2.7318750000091541E-2</v>
      </c>
      <c r="CD11" s="4">
        <f t="shared" si="26"/>
        <v>-7.3843749999937813E-3</v>
      </c>
      <c r="CE11" s="4">
        <f t="shared" si="27"/>
        <v>2.9006250000101375E-2</v>
      </c>
      <c r="CF11" s="4">
        <f t="shared" si="28"/>
        <v>8.6281250001007948E-3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7.3000724999999997</v>
      </c>
      <c r="J12" s="24">
        <f t="shared" si="1"/>
        <v>0.34371293416151438</v>
      </c>
      <c r="K12" s="24">
        <f t="shared" si="2"/>
        <v>0.11956500676302922</v>
      </c>
      <c r="L12" s="24">
        <f t="shared" si="3"/>
        <v>8.0363758850281061E-2</v>
      </c>
      <c r="M12" s="24">
        <f t="shared" si="4"/>
        <v>0.2241542836704416</v>
      </c>
      <c r="N12" s="21">
        <f t="shared" si="5"/>
        <v>2708720</v>
      </c>
      <c r="O12" s="24">
        <f t="shared" si="6"/>
        <v>0.3427526730811547</v>
      </c>
      <c r="P12" s="46">
        <v>22718259</v>
      </c>
      <c r="Q12" s="46">
        <v>709945.59375</v>
      </c>
      <c r="R12" s="46">
        <v>25700.59375</v>
      </c>
      <c r="S12" s="47">
        <v>7786744</v>
      </c>
      <c r="T12" s="47">
        <v>1820624</v>
      </c>
      <c r="U12" s="47">
        <v>888096</v>
      </c>
      <c r="V12" s="47">
        <v>5078168</v>
      </c>
      <c r="W12" s="48">
        <v>69.019671875</v>
      </c>
      <c r="X12" s="48">
        <v>71.3631406249999</v>
      </c>
      <c r="Y12" s="48">
        <v>36.512412500000003</v>
      </c>
      <c r="Z12" s="48">
        <v>41.018809374999996</v>
      </c>
      <c r="AA12" s="48">
        <v>35.786293749999899</v>
      </c>
      <c r="AB12" s="49">
        <v>5898.56</v>
      </c>
      <c r="AC12" s="49">
        <v>1304.79</v>
      </c>
      <c r="AD12" s="49">
        <v>6.2039999999999997</v>
      </c>
      <c r="AE12" s="49">
        <v>21.044</v>
      </c>
      <c r="AF12">
        <v>32</v>
      </c>
      <c r="AG12" s="23">
        <f t="shared" si="7"/>
        <v>7.3905599999999998</v>
      </c>
      <c r="AH12" s="24">
        <f t="shared" si="8"/>
        <v>0.34797340200343513</v>
      </c>
      <c r="AI12" s="24">
        <f t="shared" si="9"/>
        <v>0.12133664100777986</v>
      </c>
      <c r="AJ12" s="24">
        <f t="shared" si="10"/>
        <v>8.1910804819237112E-2</v>
      </c>
      <c r="AK12" s="24">
        <f t="shared" si="11"/>
        <v>0.22664311726761172</v>
      </c>
      <c r="AL12" s="21">
        <f t="shared" si="12"/>
        <v>2748856</v>
      </c>
      <c r="AM12" s="24">
        <f t="shared" si="13"/>
        <v>0.34754811757834042</v>
      </c>
      <c r="AN12" s="46">
        <v>22682511</v>
      </c>
      <c r="AO12" s="46">
        <v>708828.46875</v>
      </c>
      <c r="AP12" s="46">
        <v>25685.5625</v>
      </c>
      <c r="AQ12" s="47">
        <v>7883264</v>
      </c>
      <c r="AR12" s="47">
        <v>1855672</v>
      </c>
      <c r="AS12" s="47">
        <v>893184</v>
      </c>
      <c r="AT12" s="47">
        <v>5134552</v>
      </c>
      <c r="AU12" s="48">
        <v>69.012178124999906</v>
      </c>
      <c r="AV12" s="48">
        <v>71.369631249999998</v>
      </c>
      <c r="AW12" s="48">
        <v>36.509943749999898</v>
      </c>
      <c r="AX12" s="48">
        <v>41.023874999999997</v>
      </c>
      <c r="AY12" s="48">
        <v>35.785615624999899</v>
      </c>
      <c r="AZ12" s="49">
        <v>7399.73</v>
      </c>
      <c r="BA12" s="49">
        <v>1308.19</v>
      </c>
      <c r="BB12" s="49">
        <v>6.64</v>
      </c>
      <c r="BC12" s="49">
        <v>22.268000000000001</v>
      </c>
      <c r="BD12">
        <v>32</v>
      </c>
      <c r="BE12" s="25">
        <f t="shared" si="14"/>
        <v>3.5847264076224739E-5</v>
      </c>
      <c r="BF12" s="25">
        <f t="shared" si="15"/>
        <v>8.3217621882342163E-4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-35748</v>
      </c>
      <c r="BV12" s="4">
        <f t="shared" si="18"/>
        <v>-1117.125</v>
      </c>
      <c r="BW12" s="4">
        <f t="shared" si="19"/>
        <v>-15.03125</v>
      </c>
      <c r="BX12" s="4">
        <f t="shared" si="20"/>
        <v>96520</v>
      </c>
      <c r="BY12" s="4">
        <f t="shared" si="21"/>
        <v>35048</v>
      </c>
      <c r="BZ12" s="4">
        <f t="shared" si="22"/>
        <v>5088</v>
      </c>
      <c r="CA12" s="4">
        <f t="shared" si="23"/>
        <v>56384</v>
      </c>
      <c r="CB12" s="4">
        <f t="shared" si="24"/>
        <v>-7.4937500000942237E-3</v>
      </c>
      <c r="CC12" s="4">
        <f t="shared" si="25"/>
        <v>6.4906250000973387E-3</v>
      </c>
      <c r="CD12" s="4">
        <f t="shared" si="26"/>
        <v>-2.4687500001050466E-3</v>
      </c>
      <c r="CE12" s="4">
        <f t="shared" si="27"/>
        <v>5.0656250000002956E-3</v>
      </c>
      <c r="CF12" s="4">
        <f t="shared" si="28"/>
        <v>-6.7812500000030695E-4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12.64986</v>
      </c>
      <c r="J13" s="18">
        <f t="shared" si="1"/>
        <v>0.59559963237794888</v>
      </c>
      <c r="K13" s="18">
        <f t="shared" si="2"/>
        <v>0.16115974419360074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3651040</v>
      </c>
      <c r="O13" s="18">
        <f t="shared" si="6"/>
        <v>0.57202443142254855</v>
      </c>
      <c r="P13" s="42">
        <v>23588475</v>
      </c>
      <c r="Q13" s="42">
        <v>737139.84375</v>
      </c>
      <c r="R13" s="42">
        <v>29305.53125</v>
      </c>
      <c r="S13" s="43">
        <v>13493184</v>
      </c>
      <c r="T13" s="43">
        <v>2762944</v>
      </c>
      <c r="U13" s="43">
        <v>888096</v>
      </c>
      <c r="V13" s="43">
        <v>9842288</v>
      </c>
      <c r="W13" s="44">
        <v>70.058049999999994</v>
      </c>
      <c r="X13" s="44">
        <v>72.60575</v>
      </c>
      <c r="Y13" s="44">
        <v>38.843421874999997</v>
      </c>
      <c r="Z13" s="44">
        <v>42.199859374999903</v>
      </c>
      <c r="AA13" s="44">
        <v>37.872881249999999</v>
      </c>
      <c r="AB13" s="45">
        <v>5910.68</v>
      </c>
      <c r="AC13" s="45">
        <v>1437.54</v>
      </c>
      <c r="AD13" s="45">
        <v>6.3360000000000003</v>
      </c>
      <c r="AE13" s="45">
        <v>21.404</v>
      </c>
      <c r="AF13">
        <v>32</v>
      </c>
      <c r="AG13" s="17">
        <f t="shared" si="7"/>
        <v>12.78993</v>
      </c>
      <c r="AH13" s="18">
        <f t="shared" si="8"/>
        <v>0.60219461765898596</v>
      </c>
      <c r="AI13" s="18">
        <f t="shared" si="9"/>
        <v>0.16393884754344876</v>
      </c>
      <c r="AJ13" s="18">
        <f t="shared" si="10"/>
        <v>0.12451301135490601</v>
      </c>
      <c r="AK13" s="18">
        <f t="shared" si="11"/>
        <v>0.43826212638749362</v>
      </c>
      <c r="AL13" s="15">
        <f t="shared" si="12"/>
        <v>3714000</v>
      </c>
      <c r="AM13" s="18">
        <f t="shared" si="13"/>
        <v>0.5776382243912378</v>
      </c>
      <c r="AN13" s="42">
        <v>23617883</v>
      </c>
      <c r="AO13" s="42">
        <v>738058.84375</v>
      </c>
      <c r="AP13" s="42">
        <v>29643.03125</v>
      </c>
      <c r="AQ13" s="43">
        <v>13642592</v>
      </c>
      <c r="AR13" s="43">
        <v>2820816</v>
      </c>
      <c r="AS13" s="43">
        <v>893184</v>
      </c>
      <c r="AT13" s="43">
        <v>9928736</v>
      </c>
      <c r="AU13" s="44">
        <v>70.056421874999998</v>
      </c>
      <c r="AV13" s="44">
        <v>72.607431250000005</v>
      </c>
      <c r="AW13" s="44">
        <v>38.841871875000002</v>
      </c>
      <c r="AX13" s="44">
        <v>42.196550000000002</v>
      </c>
      <c r="AY13" s="44">
        <v>37.874978124999998</v>
      </c>
      <c r="AZ13" s="45">
        <v>6857.64</v>
      </c>
      <c r="BA13" s="45">
        <v>1437.22</v>
      </c>
      <c r="BB13" s="45">
        <v>6.7839999999999998</v>
      </c>
      <c r="BC13" s="45">
        <v>23.611999999999998</v>
      </c>
      <c r="BD13">
        <v>32</v>
      </c>
      <c r="BE13" s="19">
        <f t="shared" si="14"/>
        <v>4.0777844254849538E-4</v>
      </c>
      <c r="BF13" s="19">
        <f t="shared" si="15"/>
        <v>1.6516349972294231E-3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29408</v>
      </c>
      <c r="BV13" s="4">
        <f t="shared" si="18"/>
        <v>919</v>
      </c>
      <c r="BW13" s="4">
        <f t="shared" si="19"/>
        <v>337.5</v>
      </c>
      <c r="BX13" s="4">
        <f t="shared" si="20"/>
        <v>149408</v>
      </c>
      <c r="BY13" s="4">
        <f t="shared" si="21"/>
        <v>57872</v>
      </c>
      <c r="BZ13" s="4">
        <f t="shared" si="22"/>
        <v>5088</v>
      </c>
      <c r="CA13" s="4">
        <f t="shared" si="23"/>
        <v>86448</v>
      </c>
      <c r="CB13" s="4">
        <f t="shared" si="24"/>
        <v>-1.6281249999963165E-3</v>
      </c>
      <c r="CC13" s="4">
        <f t="shared" si="25"/>
        <v>1.6812500000042974E-3</v>
      </c>
      <c r="CD13" s="4">
        <f t="shared" si="26"/>
        <v>-1.5499999999946112E-3</v>
      </c>
      <c r="CE13" s="4">
        <f t="shared" si="27"/>
        <v>-3.3093749999011379E-3</v>
      </c>
      <c r="CF13" s="4">
        <f t="shared" si="28"/>
        <v>2.0968749999994429E-3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22.875885</v>
      </c>
      <c r="J14" s="36">
        <f t="shared" si="1"/>
        <v>1.0770766392924693</v>
      </c>
      <c r="K14" s="36">
        <f t="shared" si="2"/>
        <v>0.26421468767596995</v>
      </c>
      <c r="L14" s="36">
        <f t="shared" si="3"/>
        <v>0.19156744298081965</v>
      </c>
      <c r="M14" s="36">
        <f t="shared" si="4"/>
        <v>0.81286830788845577</v>
      </c>
      <c r="N14" s="33">
        <f t="shared" si="5"/>
        <v>5985728</v>
      </c>
      <c r="O14" s="36">
        <f t="shared" si="6"/>
        <v>1.0898608672232335</v>
      </c>
      <c r="P14" s="54">
        <v>22389045</v>
      </c>
      <c r="Q14" s="54">
        <v>699657.65625</v>
      </c>
      <c r="R14" s="54">
        <v>13460.21875</v>
      </c>
      <c r="S14" s="55">
        <v>24400944</v>
      </c>
      <c r="T14" s="55">
        <v>4339920</v>
      </c>
      <c r="U14" s="55">
        <v>1645808</v>
      </c>
      <c r="V14" s="55">
        <v>18415360</v>
      </c>
      <c r="W14" s="56">
        <v>71.168831249999997</v>
      </c>
      <c r="X14" s="56">
        <v>74.761062499999994</v>
      </c>
      <c r="Y14" s="56">
        <v>41.099753124999999</v>
      </c>
      <c r="Z14" s="56">
        <v>43.515153124999998</v>
      </c>
      <c r="AA14" s="56">
        <v>39.69825625</v>
      </c>
      <c r="AB14" s="57">
        <v>5779.28</v>
      </c>
      <c r="AC14" s="57">
        <v>1677.58</v>
      </c>
      <c r="AD14" s="57">
        <v>5.8559999999999999</v>
      </c>
      <c r="AE14" s="57">
        <v>21.867999999999999</v>
      </c>
      <c r="AF14">
        <v>32</v>
      </c>
      <c r="AG14" s="35">
        <f t="shared" si="7"/>
        <v>23.130765</v>
      </c>
      <c r="AH14" s="36">
        <f t="shared" si="8"/>
        <v>1.0890772807462474</v>
      </c>
      <c r="AI14" s="36">
        <f t="shared" si="9"/>
        <v>0.26971039103476091</v>
      </c>
      <c r="AJ14" s="36">
        <f t="shared" si="10"/>
        <v>0.19583638585201565</v>
      </c>
      <c r="AK14" s="36">
        <f t="shared" si="11"/>
        <v>0.81937324598344308</v>
      </c>
      <c r="AL14" s="33">
        <f t="shared" si="12"/>
        <v>6110232</v>
      </c>
      <c r="AM14" s="36">
        <f t="shared" si="13"/>
        <v>1.1008558925030498</v>
      </c>
      <c r="AN14" s="54">
        <v>22412394</v>
      </c>
      <c r="AO14" s="54">
        <v>700387.3125</v>
      </c>
      <c r="AP14" s="54">
        <v>13662.125</v>
      </c>
      <c r="AQ14" s="55">
        <v>24672816</v>
      </c>
      <c r="AR14" s="55">
        <v>4436632</v>
      </c>
      <c r="AS14" s="55">
        <v>1673600</v>
      </c>
      <c r="AT14" s="55">
        <v>18562728</v>
      </c>
      <c r="AU14" s="56">
        <v>71.166765624999996</v>
      </c>
      <c r="AV14" s="56">
        <v>74.746246874999997</v>
      </c>
      <c r="AW14" s="56">
        <v>41.100596874999901</v>
      </c>
      <c r="AX14" s="56">
        <v>43.525962499999899</v>
      </c>
      <c r="AY14" s="56">
        <v>39.705090624999997</v>
      </c>
      <c r="AZ14" s="57">
        <v>7383.35</v>
      </c>
      <c r="BA14" s="57">
        <v>1670.61</v>
      </c>
      <c r="BB14" s="57">
        <v>5.5960000000000001</v>
      </c>
      <c r="BC14" s="57">
        <v>21.56</v>
      </c>
      <c r="BD14">
        <v>32</v>
      </c>
      <c r="BE14" s="37">
        <f t="shared" si="14"/>
        <v>2.6823574066979841E-4</v>
      </c>
      <c r="BF14" s="37">
        <f t="shared" si="15"/>
        <v>2.3431388036601331E-3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23349</v>
      </c>
      <c r="BV14" s="4">
        <f t="shared" si="18"/>
        <v>729.65625</v>
      </c>
      <c r="BW14" s="4">
        <f t="shared" si="19"/>
        <v>201.90625</v>
      </c>
      <c r="BX14" s="4">
        <f t="shared" si="20"/>
        <v>271872</v>
      </c>
      <c r="BY14" s="4">
        <f t="shared" si="21"/>
        <v>96712</v>
      </c>
      <c r="BZ14" s="4">
        <f t="shared" si="22"/>
        <v>27792</v>
      </c>
      <c r="CA14" s="4">
        <f t="shared" si="23"/>
        <v>147368</v>
      </c>
      <c r="CB14" s="4">
        <f t="shared" si="24"/>
        <v>-2.0656250000001819E-3</v>
      </c>
      <c r="CC14" s="4">
        <f t="shared" si="25"/>
        <v>-1.4815624999997112E-2</v>
      </c>
      <c r="CD14" s="4">
        <f t="shared" si="26"/>
        <v>8.4374999990188826E-4</v>
      </c>
      <c r="CE14" s="4">
        <f t="shared" si="27"/>
        <v>1.0809374999901422E-2</v>
      </c>
      <c r="CF14" s="4">
        <f t="shared" si="28"/>
        <v>6.8343749999968395E-3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4.5382724999999997</v>
      </c>
      <c r="J15" s="18">
        <f t="shared" si="1"/>
        <v>0.14259644786727638</v>
      </c>
      <c r="K15" s="18">
        <f t="shared" si="2"/>
        <v>7.9615601849879869E-2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2702768</v>
      </c>
      <c r="O15" s="18">
        <f t="shared" si="6"/>
        <v>0.15668431632985058</v>
      </c>
      <c r="P15" s="42">
        <v>30895396</v>
      </c>
      <c r="Q15" s="42">
        <v>965481.125</v>
      </c>
      <c r="R15" s="42">
        <v>29621.5625</v>
      </c>
      <c r="S15" s="43">
        <v>4840824</v>
      </c>
      <c r="T15" s="43">
        <v>1405896</v>
      </c>
      <c r="U15" s="43">
        <v>1296872</v>
      </c>
      <c r="V15" s="43">
        <v>2138200</v>
      </c>
      <c r="W15" s="44">
        <v>65.996243750000005</v>
      </c>
      <c r="X15" s="44">
        <v>67.799565625</v>
      </c>
      <c r="Y15" s="44">
        <v>29.58718125</v>
      </c>
      <c r="Z15" s="44">
        <v>43.17996875</v>
      </c>
      <c r="AA15" s="44">
        <v>43.4143468749999</v>
      </c>
      <c r="AB15" s="45">
        <v>7367.24</v>
      </c>
      <c r="AC15" s="45">
        <v>1642.54</v>
      </c>
      <c r="AD15" s="45">
        <v>12.112</v>
      </c>
      <c r="AE15" s="45">
        <v>37.671999999999997</v>
      </c>
      <c r="AF15">
        <v>32</v>
      </c>
      <c r="AG15" s="17">
        <f t="shared" si="7"/>
        <v>4.6557750000000002</v>
      </c>
      <c r="AH15" s="18">
        <f t="shared" si="8"/>
        <v>0.14628847806500572</v>
      </c>
      <c r="AI15" s="18">
        <f t="shared" si="9"/>
        <v>8.2349217110852635E-2</v>
      </c>
      <c r="AJ15" s="18">
        <f t="shared" si="10"/>
        <v>4.3131735688390009E-2</v>
      </c>
      <c r="AK15" s="18">
        <f t="shared" si="11"/>
        <v>6.3943502770937355E-2</v>
      </c>
      <c r="AL15" s="15">
        <f t="shared" si="12"/>
        <v>2795568</v>
      </c>
      <c r="AM15" s="18">
        <f t="shared" si="13"/>
        <v>0.16270399962100299</v>
      </c>
      <c r="AN15" s="42">
        <v>30522667</v>
      </c>
      <c r="AO15" s="42">
        <v>953833.34375</v>
      </c>
      <c r="AP15" s="42">
        <v>29346.15625</v>
      </c>
      <c r="AQ15" s="43">
        <v>4966160</v>
      </c>
      <c r="AR15" s="43">
        <v>1464224</v>
      </c>
      <c r="AS15" s="43">
        <v>1331344</v>
      </c>
      <c r="AT15" s="43">
        <v>2170736</v>
      </c>
      <c r="AU15" s="44">
        <v>65.942943749999998</v>
      </c>
      <c r="AV15" s="44">
        <v>67.744171875000006</v>
      </c>
      <c r="AW15" s="44">
        <v>29.569587500000001</v>
      </c>
      <c r="AX15" s="44">
        <v>43.113490624999997</v>
      </c>
      <c r="AY15" s="44">
        <v>43.377806249999999</v>
      </c>
      <c r="AZ15" s="45">
        <v>8275.74</v>
      </c>
      <c r="BA15" s="45">
        <v>1749.92</v>
      </c>
      <c r="BB15" s="45">
        <v>7.8559999999999999</v>
      </c>
      <c r="BC15" s="45">
        <v>25.992000000000001</v>
      </c>
      <c r="BD15">
        <v>32</v>
      </c>
      <c r="BE15" s="19">
        <f t="shared" si="14"/>
        <v>8.5921651768239293E-5</v>
      </c>
      <c r="BF15" s="19">
        <f t="shared" si="15"/>
        <v>4.5953797252630268E-3</v>
      </c>
      <c r="BG15" s="19">
        <f t="array" ref="BG15">AVERAGE(AL15:AL19/AQ15:AQ19) - AVERAGE(N15:N19/S15:S19)</f>
        <v>4.1327177502512025E-3</v>
      </c>
      <c r="BI15" s="20">
        <f>IF( OR(ISBLANK(N15:N19),ISBLANK(AL15:AL19), ISBLANK(W15:W19),ISBLANK(AU15:AU19)), "·", bdRateExtend( N15:N19,W15:W19, AL15:AL19,AU15:AU19))</f>
        <v>3.336159093402391E-2</v>
      </c>
      <c r="BJ15" s="20">
        <f>IF( OR(ISBLANK(N15:N19),ISBLANK(AL15:AL19), ISBLANK(X15:X19),ISBLANK(AV15:AV19)), "·", bdRateExtend( N15:N19,X15:X19, AL15:AL19,AV15:AV19))</f>
        <v>3.4792331376815477E-2</v>
      </c>
      <c r="BK15" s="20">
        <f>IF( OR(ISBLANK(V15:V19),ISBLANK(AT15:AT19), ISBLANK(Y15:Y19),ISBLANK(AW15:AW19)), "·", bdRateExtend( V15:V19,Y15:Y19, AT15:AT19,AW15:AW19))</f>
        <v>1.332334702873661E-2</v>
      </c>
      <c r="BL15" s="20">
        <f>IF( OR(ISBLANK(V15:V19),ISBLANK(AT15:AT19), ISBLANK(Z15:Z19),ISBLANK(AX15:AX19)), "·", bdRateExtend( V15:V19,Z15:Z19, AT15:AT19,AX15:AX19))</f>
        <v>1.0028179475543464E-2</v>
      </c>
      <c r="BM15" s="20">
        <f>IF( OR(ISBLANK(V15:V19),ISBLANK(AT15:AT19), ISBLANK(AA15:AA19),ISBLANK(AY15:AY19)), "·", bdRateExtend( V15:V19,AA15:AA19, AT15:AT19,AY15:AY19))</f>
        <v>1.5686901404768694E-2</v>
      </c>
      <c r="BO15" s="20">
        <f>IF( OR(ISBLANK(S15:S19),ISBLANK(AQ15:AQ19), ISBLANK(W15:W19),ISBLANK(AU15:AU19)), "·", bdRateExtend( S15:S19,W15:W19, AQ15:AQ19,AU15:AU19))</f>
        <v>2.0705777132015601E-2</v>
      </c>
      <c r="BP15" s="20">
        <f>IF( OR(ISBLANK(S15:S19),ISBLANK(AQ15:AQ19), ISBLANK(X15:X19),ISBLANK(AV15:AV19)), "·", bdRateExtend( S15:S19,X15:X19, AQ15:AQ19,AV15:AV19))</f>
        <v>2.287166923210493E-2</v>
      </c>
      <c r="BQ15" s="20">
        <f>IF( OR(ISBLANK(S15:S19),ISBLANK(AQ15:AQ19), ISBLANK(Y15:Y19),ISBLANK(AW15:AW19)), "·", bdRateExtend( S15:S19,Y15:Y19, AQ15:AQ19,AW15:AW19))</f>
        <v>1.9594859971607592E-2</v>
      </c>
      <c r="BR15" s="20">
        <f>IF( OR(ISBLANK(S15:S19),ISBLANK(AQ15:AQ19), ISBLANK(Z15:Z19),ISBLANK(AX15:AX19)), "·", bdRateExtend( S15:S19,Z15:Z19, AQ15:AQ19,AX15:AX19))</f>
        <v>1.5802796586226631E-2</v>
      </c>
      <c r="BS15" s="20">
        <f>IF( OR(ISBLANK(S15:S19),ISBLANK(AQ15:AQ19), ISBLANK(AA15:AA19),ISBLANK(AY15:AY19)), "·", bdRateExtend( S15:S19,AA15:AA19, AQ15:AQ19,AY15:AY19))</f>
        <v>1.9488632352730129E-2</v>
      </c>
      <c r="BU15" s="4">
        <f t="shared" si="17"/>
        <v>-372729</v>
      </c>
      <c r="BV15" s="4">
        <f t="shared" si="18"/>
        <v>-11647.78125</v>
      </c>
      <c r="BW15" s="4">
        <f t="shared" si="19"/>
        <v>-275.40625</v>
      </c>
      <c r="BX15" s="4">
        <f t="shared" si="20"/>
        <v>125336</v>
      </c>
      <c r="BY15" s="4">
        <f t="shared" si="21"/>
        <v>58328</v>
      </c>
      <c r="BZ15" s="4">
        <f t="shared" si="22"/>
        <v>34472</v>
      </c>
      <c r="CA15" s="4">
        <f t="shared" si="23"/>
        <v>32536</v>
      </c>
      <c r="CB15" s="4">
        <f t="shared" si="24"/>
        <v>-5.330000000000723E-2</v>
      </c>
      <c r="CC15" s="4">
        <f t="shared" si="25"/>
        <v>-5.5393749999993247E-2</v>
      </c>
      <c r="CD15" s="4">
        <f t="shared" si="26"/>
        <v>-1.7593749999999631E-2</v>
      </c>
      <c r="CE15" s="4">
        <f t="shared" si="27"/>
        <v>-6.6478125000003274E-2</v>
      </c>
      <c r="CF15" s="4">
        <f t="shared" si="28"/>
        <v>-3.6540624999901183E-2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7.2577350000000003</v>
      </c>
      <c r="J16" s="24">
        <f t="shared" si="1"/>
        <v>0.22804431213903686</v>
      </c>
      <c r="K16" s="24">
        <f t="shared" si="2"/>
        <v>9.5819106309295965E-2</v>
      </c>
      <c r="L16" s="24">
        <f t="shared" si="3"/>
        <v>5.7617068693689516E-2</v>
      </c>
      <c r="M16" s="24">
        <f t="shared" si="4"/>
        <v>0.13222944764652517</v>
      </c>
      <c r="N16" s="21">
        <f t="shared" si="5"/>
        <v>3252840</v>
      </c>
      <c r="O16" s="24">
        <f t="shared" si="6"/>
        <v>0.23094422782025739</v>
      </c>
      <c r="P16" s="46">
        <v>33521444</v>
      </c>
      <c r="Q16" s="46">
        <v>1047545.125</v>
      </c>
      <c r="R16" s="46">
        <v>37744.8125</v>
      </c>
      <c r="S16" s="47">
        <v>7741584</v>
      </c>
      <c r="T16" s="47">
        <v>1955968</v>
      </c>
      <c r="U16" s="47">
        <v>1296872</v>
      </c>
      <c r="V16" s="47">
        <v>4488888</v>
      </c>
      <c r="W16" s="48">
        <v>67.830737499999998</v>
      </c>
      <c r="X16" s="48">
        <v>69.850415624999997</v>
      </c>
      <c r="Y16" s="48">
        <v>32.045284374999902</v>
      </c>
      <c r="Z16" s="48">
        <v>43.979681249999999</v>
      </c>
      <c r="AA16" s="48">
        <v>44.391762499999999</v>
      </c>
      <c r="AB16" s="49">
        <v>10178.9</v>
      </c>
      <c r="AC16" s="49">
        <v>1632.4</v>
      </c>
      <c r="AD16" s="49">
        <v>9.9120000000000008</v>
      </c>
      <c r="AE16" s="49">
        <v>31.423999999999999</v>
      </c>
      <c r="AF16">
        <v>32</v>
      </c>
      <c r="AG16" s="23">
        <f t="shared" si="7"/>
        <v>7.4226900000000002</v>
      </c>
      <c r="AH16" s="24">
        <f t="shared" si="8"/>
        <v>0.23322734093643643</v>
      </c>
      <c r="AI16" s="24">
        <f t="shared" si="9"/>
        <v>9.9163543187203329E-2</v>
      </c>
      <c r="AJ16" s="24">
        <f t="shared" si="10"/>
        <v>5.994606176474071E-2</v>
      </c>
      <c r="AK16" s="24">
        <f t="shared" si="11"/>
        <v>0.13406803956601737</v>
      </c>
      <c r="AL16" s="21">
        <f t="shared" si="12"/>
        <v>3366376</v>
      </c>
      <c r="AM16" s="24">
        <f t="shared" si="13"/>
        <v>0.236587541952824</v>
      </c>
      <c r="AN16" s="46">
        <v>33465566</v>
      </c>
      <c r="AO16" s="46">
        <v>1045798.9375</v>
      </c>
      <c r="AP16" s="46">
        <v>37628.96875</v>
      </c>
      <c r="AQ16" s="47">
        <v>7917536</v>
      </c>
      <c r="AR16" s="47">
        <v>2035032</v>
      </c>
      <c r="AS16" s="47">
        <v>1331344</v>
      </c>
      <c r="AT16" s="47">
        <v>4551304</v>
      </c>
      <c r="AU16" s="48">
        <v>67.834771875000001</v>
      </c>
      <c r="AV16" s="48">
        <v>69.843143749999996</v>
      </c>
      <c r="AW16" s="48">
        <v>32.042650000000002</v>
      </c>
      <c r="AX16" s="48">
        <v>44.001762499999998</v>
      </c>
      <c r="AY16" s="48">
        <v>44.354593749999999</v>
      </c>
      <c r="AZ16" s="49">
        <v>10188.700000000001</v>
      </c>
      <c r="BA16" s="49">
        <v>1754</v>
      </c>
      <c r="BB16" s="49">
        <v>9.7720000000000002</v>
      </c>
      <c r="BC16" s="49">
        <v>31.08</v>
      </c>
      <c r="BD16">
        <v>32</v>
      </c>
      <c r="BE16" s="25">
        <f t="shared" si="14"/>
        <v>-5.0607890227274965E-5</v>
      </c>
      <c r="BF16" s="25">
        <f t="shared" si="15"/>
        <v>5.0021768308659564E-3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-55878</v>
      </c>
      <c r="BV16" s="4">
        <f t="shared" si="18"/>
        <v>-1746.1875</v>
      </c>
      <c r="BW16" s="4">
        <f t="shared" si="19"/>
        <v>-115.84375</v>
      </c>
      <c r="BX16" s="4">
        <f t="shared" si="20"/>
        <v>175952</v>
      </c>
      <c r="BY16" s="4">
        <f t="shared" si="21"/>
        <v>79064</v>
      </c>
      <c r="BZ16" s="4">
        <f t="shared" si="22"/>
        <v>34472</v>
      </c>
      <c r="CA16" s="4">
        <f t="shared" si="23"/>
        <v>62416</v>
      </c>
      <c r="CB16" s="4">
        <f t="shared" si="24"/>
        <v>4.0343750000033651E-3</v>
      </c>
      <c r="CC16" s="4">
        <f t="shared" si="25"/>
        <v>-7.2718750000007049E-3</v>
      </c>
      <c r="CD16" s="4">
        <f t="shared" si="26"/>
        <v>-2.6343749999000465E-3</v>
      </c>
      <c r="CE16" s="4">
        <f t="shared" si="27"/>
        <v>2.2081249999999386E-2</v>
      </c>
      <c r="CF16" s="4">
        <f t="shared" si="28"/>
        <v>-3.7168749999999307E-2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12.218730000000001</v>
      </c>
      <c r="J17" s="18">
        <f t="shared" si="1"/>
        <v>0.38392306664029668</v>
      </c>
      <c r="K17" s="18">
        <f t="shared" si="2"/>
        <v>0.11977594488089008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4066120</v>
      </c>
      <c r="O17" s="18">
        <f t="shared" si="6"/>
        <v>0.38390337825412768</v>
      </c>
      <c r="P17" s="42">
        <v>33949459</v>
      </c>
      <c r="Q17" s="42">
        <v>1060920.59375</v>
      </c>
      <c r="R17" s="42">
        <v>39535.09375</v>
      </c>
      <c r="S17" s="43">
        <v>13033312</v>
      </c>
      <c r="T17" s="43">
        <v>2769248</v>
      </c>
      <c r="U17" s="43">
        <v>1296872</v>
      </c>
      <c r="V17" s="43">
        <v>8967336</v>
      </c>
      <c r="W17" s="44">
        <v>69.250596874999999</v>
      </c>
      <c r="X17" s="44">
        <v>71.669684375000003</v>
      </c>
      <c r="Y17" s="44">
        <v>34.602318750000002</v>
      </c>
      <c r="Z17" s="44">
        <v>44.831874999999897</v>
      </c>
      <c r="AA17" s="44">
        <v>45.299362500000001</v>
      </c>
      <c r="AB17" s="45">
        <v>10254.700000000001</v>
      </c>
      <c r="AC17" s="45">
        <v>1751.42</v>
      </c>
      <c r="AD17" s="45">
        <v>8.2840000000000007</v>
      </c>
      <c r="AE17" s="45">
        <v>25.024000000000001</v>
      </c>
      <c r="AF17">
        <v>32</v>
      </c>
      <c r="AG17" s="17">
        <f t="shared" si="7"/>
        <v>12.436852500000001</v>
      </c>
      <c r="AH17" s="18">
        <f t="shared" si="8"/>
        <v>0.39077666428123387</v>
      </c>
      <c r="AI17" s="18">
        <f t="shared" si="9"/>
        <v>0.12320993122424312</v>
      </c>
      <c r="AJ17" s="18">
        <f t="shared" si="10"/>
        <v>8.3992449801780486E-2</v>
      </c>
      <c r="AK17" s="18">
        <f t="shared" si="11"/>
        <v>0.26757097487377501</v>
      </c>
      <c r="AL17" s="15">
        <f t="shared" si="12"/>
        <v>4182696</v>
      </c>
      <c r="AM17" s="18">
        <f t="shared" si="13"/>
        <v>0.38921046551457306</v>
      </c>
      <c r="AN17" s="42">
        <v>34084325</v>
      </c>
      <c r="AO17" s="42">
        <v>1065135.15625</v>
      </c>
      <c r="AP17" s="42">
        <v>39672.875</v>
      </c>
      <c r="AQ17" s="43">
        <v>13265976</v>
      </c>
      <c r="AR17" s="43">
        <v>2851352</v>
      </c>
      <c r="AS17" s="43">
        <v>1331344</v>
      </c>
      <c r="AT17" s="43">
        <v>9083424</v>
      </c>
      <c r="AU17" s="44">
        <v>69.266559375</v>
      </c>
      <c r="AV17" s="44">
        <v>71.660468749999893</v>
      </c>
      <c r="AW17" s="44">
        <v>34.602193749999998</v>
      </c>
      <c r="AX17" s="44">
        <v>44.834174999999902</v>
      </c>
      <c r="AY17" s="44">
        <v>45.299881249999899</v>
      </c>
      <c r="AZ17" s="45">
        <v>11856.7</v>
      </c>
      <c r="BA17" s="45">
        <v>1879.34</v>
      </c>
      <c r="BB17" s="45">
        <v>10.119999999999999</v>
      </c>
      <c r="BC17" s="45">
        <v>32.396000000000001</v>
      </c>
      <c r="BD17">
        <v>32</v>
      </c>
      <c r="BE17" s="19">
        <f t="shared" si="14"/>
        <v>-1.8095333558384996E-5</v>
      </c>
      <c r="BF17" s="19">
        <f t="shared" si="15"/>
        <v>3.3159800377196569E-3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134866</v>
      </c>
      <c r="BV17" s="4">
        <f t="shared" si="18"/>
        <v>4214.5625</v>
      </c>
      <c r="BW17" s="4">
        <f t="shared" si="19"/>
        <v>137.78125</v>
      </c>
      <c r="BX17" s="4">
        <f t="shared" si="20"/>
        <v>232664</v>
      </c>
      <c r="BY17" s="4">
        <f t="shared" si="21"/>
        <v>82104</v>
      </c>
      <c r="BZ17" s="4">
        <f t="shared" si="22"/>
        <v>34472</v>
      </c>
      <c r="CA17" s="4">
        <f t="shared" si="23"/>
        <v>116088</v>
      </c>
      <c r="CB17" s="4">
        <f t="shared" si="24"/>
        <v>1.5962500000000546E-2</v>
      </c>
      <c r="CC17" s="4">
        <f t="shared" si="25"/>
        <v>-9.2156250001096396E-3</v>
      </c>
      <c r="CD17" s="4">
        <f t="shared" si="26"/>
        <v>-1.2500000000414957E-4</v>
      </c>
      <c r="CE17" s="4">
        <f t="shared" si="27"/>
        <v>2.3000000000052978E-3</v>
      </c>
      <c r="CF17" s="4">
        <f t="shared" si="28"/>
        <v>5.1874999989820481E-4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22.05828</v>
      </c>
      <c r="J18" s="24">
        <f t="shared" si="1"/>
        <v>0.69309023952655668</v>
      </c>
      <c r="K18" s="24">
        <f t="shared" si="2"/>
        <v>0.15908297576879837</v>
      </c>
      <c r="L18" s="24">
        <f t="shared" si="3"/>
        <v>0.12088093815319191</v>
      </c>
      <c r="M18" s="24">
        <f t="shared" si="4"/>
        <v>0.53401150557454258</v>
      </c>
      <c r="N18" s="21">
        <f t="shared" si="5"/>
        <v>5400504</v>
      </c>
      <c r="O18" s="24">
        <f t="shared" si="6"/>
        <v>0.66452768320254418</v>
      </c>
      <c r="P18" s="46">
        <v>35406850</v>
      </c>
      <c r="Q18" s="46">
        <v>1106464.0625</v>
      </c>
      <c r="R18" s="46">
        <v>45080.28125</v>
      </c>
      <c r="S18" s="47">
        <v>23528832</v>
      </c>
      <c r="T18" s="47">
        <v>4103632</v>
      </c>
      <c r="U18" s="47">
        <v>1296872</v>
      </c>
      <c r="V18" s="47">
        <v>18128472</v>
      </c>
      <c r="W18" s="48">
        <v>70.379759374999907</v>
      </c>
      <c r="X18" s="48">
        <v>72.996671874999905</v>
      </c>
      <c r="Y18" s="48">
        <v>37.257087499999997</v>
      </c>
      <c r="Z18" s="48">
        <v>46.193543750000003</v>
      </c>
      <c r="AA18" s="48">
        <v>46.690234375000003</v>
      </c>
      <c r="AB18" s="49">
        <v>10287.5</v>
      </c>
      <c r="AC18" s="49">
        <v>2009.21</v>
      </c>
      <c r="AD18" s="49">
        <v>12.523999999999999</v>
      </c>
      <c r="AE18" s="49">
        <v>37.991999999999997</v>
      </c>
      <c r="AF18">
        <v>32</v>
      </c>
      <c r="AG18" s="23">
        <f t="shared" si="7"/>
        <v>22.383690000000001</v>
      </c>
      <c r="AH18" s="24">
        <f t="shared" si="8"/>
        <v>0.70331490322854695</v>
      </c>
      <c r="AI18" s="24">
        <f t="shared" si="9"/>
        <v>0.16398109587218793</v>
      </c>
      <c r="AJ18" s="24">
        <f t="shared" si="10"/>
        <v>0.12476361444972531</v>
      </c>
      <c r="AK18" s="24">
        <f t="shared" si="11"/>
        <v>0.53933804917314321</v>
      </c>
      <c r="AL18" s="21">
        <f t="shared" si="12"/>
        <v>5566784</v>
      </c>
      <c r="AM18" s="24">
        <f t="shared" si="13"/>
        <v>0.67280810951798897</v>
      </c>
      <c r="AN18" s="46">
        <v>35486992</v>
      </c>
      <c r="AO18" s="46">
        <v>1108968.5</v>
      </c>
      <c r="AP18" s="46">
        <v>45272.40625</v>
      </c>
      <c r="AQ18" s="47">
        <v>23875936</v>
      </c>
      <c r="AR18" s="47">
        <v>4235440</v>
      </c>
      <c r="AS18" s="47">
        <v>1331344</v>
      </c>
      <c r="AT18" s="47">
        <v>18309296</v>
      </c>
      <c r="AU18" s="48">
        <v>70.368890625000006</v>
      </c>
      <c r="AV18" s="48">
        <v>72.988653124999999</v>
      </c>
      <c r="AW18" s="48">
        <v>37.252562499999897</v>
      </c>
      <c r="AX18" s="48">
        <v>46.196156249999902</v>
      </c>
      <c r="AY18" s="48">
        <v>46.711165625</v>
      </c>
      <c r="AZ18" s="49">
        <v>11863.5</v>
      </c>
      <c r="BA18" s="49">
        <v>2158.84</v>
      </c>
      <c r="BB18" s="49">
        <v>10.272</v>
      </c>
      <c r="BC18" s="49">
        <v>34.103999999999999</v>
      </c>
      <c r="BD18">
        <v>32</v>
      </c>
      <c r="BE18" s="25">
        <f t="shared" si="14"/>
        <v>8.1235465404019824E-5</v>
      </c>
      <c r="BF18" s="25">
        <f t="shared" si="15"/>
        <v>3.6275115651711043E-3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80142</v>
      </c>
      <c r="BV18" s="4">
        <f t="shared" si="18"/>
        <v>2504.4375</v>
      </c>
      <c r="BW18" s="4">
        <f t="shared" si="19"/>
        <v>192.125</v>
      </c>
      <c r="BX18" s="4">
        <f t="shared" si="20"/>
        <v>347104</v>
      </c>
      <c r="BY18" s="4">
        <f t="shared" si="21"/>
        <v>131808</v>
      </c>
      <c r="BZ18" s="4">
        <f t="shared" si="22"/>
        <v>34472</v>
      </c>
      <c r="CA18" s="4">
        <f t="shared" si="23"/>
        <v>180824</v>
      </c>
      <c r="CB18" s="4">
        <f t="shared" si="24"/>
        <v>-1.0868749999900729E-2</v>
      </c>
      <c r="CC18" s="4">
        <f t="shared" si="25"/>
        <v>-8.0187499999055944E-3</v>
      </c>
      <c r="CD18" s="4">
        <f t="shared" si="26"/>
        <v>-4.5250000001004764E-3</v>
      </c>
      <c r="CE18" s="4">
        <f t="shared" si="27"/>
        <v>2.6124999998984322E-3</v>
      </c>
      <c r="CF18" s="4">
        <f t="shared" si="28"/>
        <v>2.0931249999996737E-2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39.948990000000002</v>
      </c>
      <c r="J19" s="30">
        <f t="shared" si="1"/>
        <v>1.2552318244189491</v>
      </c>
      <c r="K19" s="30">
        <f t="shared" si="2"/>
        <v>0.25496971549015457</v>
      </c>
      <c r="L19" s="30">
        <f t="shared" si="3"/>
        <v>0.18416130356685537</v>
      </c>
      <c r="M19" s="30">
        <f t="shared" si="4"/>
        <v>1.0002663507455789</v>
      </c>
      <c r="N19" s="27">
        <f t="shared" si="5"/>
        <v>8655640</v>
      </c>
      <c r="O19" s="30">
        <f t="shared" si="6"/>
        <v>1.2653023326028463</v>
      </c>
      <c r="P19" s="50">
        <v>33677529</v>
      </c>
      <c r="Q19" s="50">
        <v>1052422.78125</v>
      </c>
      <c r="R19" s="50">
        <v>20027.96875</v>
      </c>
      <c r="S19" s="51">
        <v>42612256</v>
      </c>
      <c r="T19" s="51">
        <v>6251856</v>
      </c>
      <c r="U19" s="51">
        <v>2403784</v>
      </c>
      <c r="V19" s="51">
        <v>33956760</v>
      </c>
      <c r="W19" s="52">
        <v>71.497065624999905</v>
      </c>
      <c r="X19" s="52">
        <v>75.069756249999998</v>
      </c>
      <c r="Y19" s="52">
        <v>39.335715624999999</v>
      </c>
      <c r="Z19" s="52">
        <v>47.947415624999998</v>
      </c>
      <c r="AA19" s="52">
        <v>48.551328124999998</v>
      </c>
      <c r="AB19" s="53">
        <v>9334.5400000000009</v>
      </c>
      <c r="AC19" s="53">
        <v>2476.94</v>
      </c>
      <c r="AD19" s="53">
        <v>9.1479999999999997</v>
      </c>
      <c r="AE19" s="53">
        <v>30.827999999999999</v>
      </c>
      <c r="AF19">
        <v>32</v>
      </c>
      <c r="AG19" s="29">
        <f t="shared" si="7"/>
        <v>40.4694225</v>
      </c>
      <c r="AH19" s="30">
        <f t="shared" si="8"/>
        <v>1.2715842637787906</v>
      </c>
      <c r="AI19" s="30">
        <f t="shared" si="9"/>
        <v>0.26353347226461582</v>
      </c>
      <c r="AJ19" s="30">
        <f t="shared" si="10"/>
        <v>0.19132785302387631</v>
      </c>
      <c r="AK19" s="30">
        <f t="shared" si="11"/>
        <v>1.008055033330959</v>
      </c>
      <c r="AL19" s="27">
        <f t="shared" si="12"/>
        <v>8946360</v>
      </c>
      <c r="AM19" s="30">
        <f t="shared" si="13"/>
        <v>1.2802879787434995</v>
      </c>
      <c r="AN19" s="50">
        <v>33716933</v>
      </c>
      <c r="AO19" s="50">
        <v>1053654.15625</v>
      </c>
      <c r="AP19" s="50">
        <v>20276.78125</v>
      </c>
      <c r="AQ19" s="51">
        <v>43167384</v>
      </c>
      <c r="AR19" s="51">
        <v>6495144</v>
      </c>
      <c r="AS19" s="51">
        <v>2451216</v>
      </c>
      <c r="AT19" s="51">
        <v>34221168</v>
      </c>
      <c r="AU19" s="52">
        <v>71.491009375000004</v>
      </c>
      <c r="AV19" s="52">
        <v>75.038962499999997</v>
      </c>
      <c r="AW19" s="52">
        <v>39.336550000000003</v>
      </c>
      <c r="AX19" s="52">
        <v>47.9555312499999</v>
      </c>
      <c r="AY19" s="52">
        <v>48.557153124999999</v>
      </c>
      <c r="AZ19" s="53">
        <v>11837.8</v>
      </c>
      <c r="BA19" s="53">
        <v>2645.38</v>
      </c>
      <c r="BB19" s="53">
        <v>9.8320000000000007</v>
      </c>
      <c r="BC19" s="53">
        <v>36.851999999999997</v>
      </c>
      <c r="BD19">
        <v>32</v>
      </c>
      <c r="BE19" s="31">
        <f t="shared" si="14"/>
        <v>2.1390226330764844E-4</v>
      </c>
      <c r="BF19" s="31">
        <f t="shared" si="15"/>
        <v>4.1225405922361291E-3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39404</v>
      </c>
      <c r="BV19" s="4">
        <f t="shared" si="18"/>
        <v>1231.375</v>
      </c>
      <c r="BW19" s="4">
        <f t="shared" si="19"/>
        <v>248.8125</v>
      </c>
      <c r="BX19" s="4">
        <f t="shared" si="20"/>
        <v>555128</v>
      </c>
      <c r="BY19" s="4">
        <f t="shared" si="21"/>
        <v>243288</v>
      </c>
      <c r="BZ19" s="4">
        <f t="shared" si="22"/>
        <v>47432</v>
      </c>
      <c r="CA19" s="4">
        <f t="shared" si="23"/>
        <v>264408</v>
      </c>
      <c r="CB19" s="4">
        <f t="shared" si="24"/>
        <v>-6.0562499999008423E-3</v>
      </c>
      <c r="CC19" s="4">
        <f t="shared" si="25"/>
        <v>-3.0793750000000841E-2</v>
      </c>
      <c r="CD19" s="4">
        <f t="shared" si="26"/>
        <v>8.3437500000371756E-4</v>
      </c>
      <c r="CE19" s="4">
        <f t="shared" si="27"/>
        <v>8.1156249999025931E-3</v>
      </c>
      <c r="CF19" s="4">
        <f t="shared" si="28"/>
        <v>5.8250000000015234E-3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5.3420249999999996</v>
      </c>
      <c r="J20" s="24">
        <f t="shared" si="1"/>
        <v>0.10614510691720488</v>
      </c>
      <c r="K20" s="24">
        <f t="shared" si="2"/>
        <v>5.9853131560632322E-2</v>
      </c>
      <c r="L20" s="24">
        <f t="shared" si="3"/>
        <v>2.9251861003240551E-2</v>
      </c>
      <c r="M20" s="24">
        <f t="shared" si="4"/>
        <v>4.6296446067409069E-2</v>
      </c>
      <c r="N20" s="21">
        <f t="shared" si="5"/>
        <v>1927848</v>
      </c>
      <c r="O20" s="24">
        <f t="shared" si="6"/>
        <v>0.11309449105567045</v>
      </c>
      <c r="P20" s="46">
        <v>30230438</v>
      </c>
      <c r="Q20" s="46">
        <v>944701.1875</v>
      </c>
      <c r="R20" s="46">
        <v>27161</v>
      </c>
      <c r="S20" s="47">
        <v>3418896</v>
      </c>
      <c r="T20" s="47">
        <v>942192</v>
      </c>
      <c r="U20" s="47">
        <v>985656</v>
      </c>
      <c r="V20" s="47">
        <v>1491192</v>
      </c>
      <c r="W20" s="48">
        <v>67.065771874999996</v>
      </c>
      <c r="X20" s="48">
        <v>68.733975000000001</v>
      </c>
      <c r="Y20" s="48">
        <v>30.882368750000001</v>
      </c>
      <c r="Z20" s="48">
        <v>39.533853124999901</v>
      </c>
      <c r="AA20" s="48">
        <v>38.3956374999999</v>
      </c>
      <c r="AB20" s="49">
        <v>10212.5</v>
      </c>
      <c r="AC20" s="49">
        <v>1173.28</v>
      </c>
      <c r="AD20" s="49">
        <v>8.1080000000000005</v>
      </c>
      <c r="AE20" s="49">
        <v>20.544</v>
      </c>
      <c r="AF20">
        <v>32</v>
      </c>
      <c r="AG20" s="23">
        <f t="shared" si="7"/>
        <v>5.4142875000000004</v>
      </c>
      <c r="AH20" s="24">
        <f t="shared" si="8"/>
        <v>0.10758095021419517</v>
      </c>
      <c r="AI20" s="24">
        <f t="shared" si="9"/>
        <v>6.1382611412364924E-2</v>
      </c>
      <c r="AJ20" s="24">
        <f t="shared" si="10"/>
        <v>3.0388415047009371E-2</v>
      </c>
      <c r="AK20" s="24">
        <f t="shared" si="11"/>
        <v>4.6202809512666747E-2</v>
      </c>
      <c r="AL20" s="21">
        <f t="shared" si="12"/>
        <v>1977112</v>
      </c>
      <c r="AM20" s="24">
        <f t="shared" si="13"/>
        <v>0.11541708301690715</v>
      </c>
      <c r="AN20" s="46">
        <v>30022800</v>
      </c>
      <c r="AO20" s="46">
        <v>938212.5</v>
      </c>
      <c r="AP20" s="46">
        <v>26764.9375</v>
      </c>
      <c r="AQ20" s="47">
        <v>3465144</v>
      </c>
      <c r="AR20" s="47">
        <v>978800</v>
      </c>
      <c r="AS20" s="47">
        <v>998312</v>
      </c>
      <c r="AT20" s="47">
        <v>1488176</v>
      </c>
      <c r="AU20" s="48">
        <v>67.083403125000004</v>
      </c>
      <c r="AV20" s="48">
        <v>68.758271874999906</v>
      </c>
      <c r="AW20" s="48">
        <v>30.858199999999901</v>
      </c>
      <c r="AX20" s="48">
        <v>39.608240625000001</v>
      </c>
      <c r="AY20" s="48">
        <v>38.406590625</v>
      </c>
      <c r="AZ20" s="49">
        <v>9814.59</v>
      </c>
      <c r="BA20" s="49">
        <v>1348.58</v>
      </c>
      <c r="BB20" s="49">
        <v>6.8760000000000003</v>
      </c>
      <c r="BC20" s="49">
        <v>20.771999999999998</v>
      </c>
      <c r="BD20">
        <v>32</v>
      </c>
      <c r="BE20" s="25">
        <f t="shared" si="14"/>
        <v>-2.2330437819342852E-4</v>
      </c>
      <c r="BF20" s="25">
        <f t="shared" si="15"/>
        <v>6.6911116153858252E-3</v>
      </c>
      <c r="BG20" s="25">
        <f t="array" ref="BG20">AVERAGE(AL20:AL24/AQ20:AQ24) - AVERAGE(N20:N24/S20:S24)</f>
        <v>5.1232561486573847E-3</v>
      </c>
      <c r="BI20" s="26">
        <f>IF( OR(ISBLANK(N20:N24),ISBLANK(AL20:AL24), ISBLANK(W20:W24),ISBLANK(AU20:AU24)), "·", bdRateExtend( N20:N24,W20:W24, AL20:AL24,AU20:AU24))</f>
        <v>2.7544377429220113E-2</v>
      </c>
      <c r="BJ20" s="26">
        <f>IF( OR(ISBLANK(N20:N24),ISBLANK(AL20:AL24), ISBLANK(X20:X24),ISBLANK(AV20:AV24)), "·", bdRateExtend( N20:N24,X20:X24, AL20:AL24,AV20:AV24))</f>
        <v>2.8401885363015689E-2</v>
      </c>
      <c r="BK20" s="26">
        <f>IF( OR(ISBLANK(V20:V24),ISBLANK(AT20:AT24), ISBLANK(Y20:Y24),ISBLANK(AW20:AW24)), "·", bdRateExtend( V20:V24,Y20:Y24, AT20:AT24,AW20:AW24))</f>
        <v>3.4333522376193137E-3</v>
      </c>
      <c r="BL20" s="26">
        <f>IF( OR(ISBLANK(V20:V24),ISBLANK(AT20:AT24), ISBLANK(Z20:Z24),ISBLANK(AX20:AX24)), "·", bdRateExtend( V20:V24,Z20:Z24, AT20:AT24,AX20:AX24))</f>
        <v>-3.3225816925474772E-2</v>
      </c>
      <c r="BM20" s="26">
        <f>IF( OR(ISBLANK(V20:V24),ISBLANK(AT20:AT24), ISBLANK(AA20:AA24),ISBLANK(AY20:AY24)), "·", bdRateExtend( V20:V24,AA20:AA24, AT20:AT24,AY20:AY24))</f>
        <v>-7.3800649111043226E-3</v>
      </c>
      <c r="BO20" s="26">
        <f>IF( OR(ISBLANK(S20:S24),ISBLANK(AQ20:AQ24), ISBLANK(W20:W24),ISBLANK(AU20:AU24)), "·", bdRateExtend( S20:S24,W20:W24, AQ20:AQ24,AU20:AU24))</f>
        <v>1.3931987624251185E-2</v>
      </c>
      <c r="BP20" s="26">
        <f>IF( OR(ISBLANK(S20:S24),ISBLANK(AQ20:AQ24), ISBLANK(X20:X24),ISBLANK(AV20:AV24)), "·", bdRateExtend( S20:S24,X20:X24, AQ20:AQ24,AV20:AV24))</f>
        <v>1.4076391755456941E-2</v>
      </c>
      <c r="BQ20" s="26">
        <f>IF( OR(ISBLANK(S20:S24),ISBLANK(AQ20:AQ24), ISBLANK(Y20:Y24),ISBLANK(AW20:AW24)), "·", bdRateExtend( S20:S24,Y20:Y24, AQ20:AQ24,AW20:AW24))</f>
        <v>1.1626418809824068E-2</v>
      </c>
      <c r="BR20" s="26">
        <f>IF( OR(ISBLANK(S20:S24),ISBLANK(AQ20:AQ24), ISBLANK(Z20:Z24),ISBLANK(AX20:AX24)), "·", bdRateExtend( S20:S24,Z20:Z24, AQ20:AQ24,AX20:AX24))</f>
        <v>-1.5424161495407929E-2</v>
      </c>
      <c r="BS20" s="26">
        <f>IF( OR(ISBLANK(S20:S24),ISBLANK(AQ20:AQ24), ISBLANK(AA20:AA24),ISBLANK(AY20:AY24)), "·", bdRateExtend( S20:S24,AA20:AA24, AQ20:AQ24,AY20:AY24))</f>
        <v>5.2297526254954096E-3</v>
      </c>
      <c r="BU20" s="4">
        <f t="shared" si="17"/>
        <v>-207638</v>
      </c>
      <c r="BV20" s="4">
        <f t="shared" si="18"/>
        <v>-6488.6875</v>
      </c>
      <c r="BW20" s="4">
        <f t="shared" si="19"/>
        <v>-396.0625</v>
      </c>
      <c r="BX20" s="4">
        <f t="shared" si="20"/>
        <v>46248</v>
      </c>
      <c r="BY20" s="4">
        <f t="shared" si="21"/>
        <v>36608</v>
      </c>
      <c r="BZ20" s="4">
        <f t="shared" si="22"/>
        <v>12656</v>
      </c>
      <c r="CA20" s="4">
        <f t="shared" si="23"/>
        <v>-3016</v>
      </c>
      <c r="CB20" s="4">
        <f t="shared" si="24"/>
        <v>1.7631250000007981E-2</v>
      </c>
      <c r="CC20" s="4">
        <f t="shared" si="25"/>
        <v>2.4296874999905071E-2</v>
      </c>
      <c r="CD20" s="4">
        <f t="shared" si="26"/>
        <v>-2.4168750000100658E-2</v>
      </c>
      <c r="CE20" s="4">
        <f t="shared" si="27"/>
        <v>7.4387500000099749E-2</v>
      </c>
      <c r="CF20" s="4">
        <f t="shared" si="28"/>
        <v>1.0953125000099817E-2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8.4036375000000003</v>
      </c>
      <c r="J21" s="18">
        <f t="shared" si="1"/>
        <v>0.1669788143879769</v>
      </c>
      <c r="K21" s="18">
        <f t="shared" si="2"/>
        <v>7.0827236427302223E-2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2281320</v>
      </c>
      <c r="O21" s="18">
        <f t="shared" si="6"/>
        <v>0.17029368835343897</v>
      </c>
      <c r="P21" s="42">
        <v>31582662</v>
      </c>
      <c r="Q21" s="42">
        <v>986958.1875</v>
      </c>
      <c r="R21" s="42">
        <v>32537.78125</v>
      </c>
      <c r="S21" s="43">
        <v>5378328</v>
      </c>
      <c r="T21" s="43">
        <v>1295664</v>
      </c>
      <c r="U21" s="43">
        <v>985656</v>
      </c>
      <c r="V21" s="43">
        <v>3097152</v>
      </c>
      <c r="W21" s="44">
        <v>68.659734374999999</v>
      </c>
      <c r="X21" s="44">
        <v>70.740428124999994</v>
      </c>
      <c r="Y21" s="44">
        <v>32.778812499999901</v>
      </c>
      <c r="Z21" s="44">
        <v>40.701953125000003</v>
      </c>
      <c r="AA21" s="44">
        <v>39.685953124999997</v>
      </c>
      <c r="AB21" s="45">
        <v>10244.200000000001</v>
      </c>
      <c r="AC21" s="45">
        <v>1277.29</v>
      </c>
      <c r="AD21" s="45">
        <v>8.1920000000000002</v>
      </c>
      <c r="AE21" s="45">
        <v>20.504000000000001</v>
      </c>
      <c r="AF21">
        <v>32</v>
      </c>
      <c r="AG21" s="17">
        <f t="shared" si="7"/>
        <v>8.5031999999999996</v>
      </c>
      <c r="AH21" s="18">
        <f t="shared" si="8"/>
        <v>0.1689571039331296</v>
      </c>
      <c r="AI21" s="18">
        <f t="shared" si="9"/>
        <v>7.2816951122370396E-2</v>
      </c>
      <c r="AJ21" s="18">
        <f t="shared" si="10"/>
        <v>4.182275475701485E-2</v>
      </c>
      <c r="AK21" s="18">
        <f t="shared" si="11"/>
        <v>9.6144623521595696E-2</v>
      </c>
      <c r="AL21" s="15">
        <f t="shared" si="12"/>
        <v>2345408</v>
      </c>
      <c r="AM21" s="18">
        <f t="shared" si="13"/>
        <v>0.17213159632302066</v>
      </c>
      <c r="AN21" s="42">
        <v>31615625</v>
      </c>
      <c r="AO21" s="42">
        <v>987988.28125</v>
      </c>
      <c r="AP21" s="42">
        <v>32416.75</v>
      </c>
      <c r="AQ21" s="43">
        <v>5442048</v>
      </c>
      <c r="AR21" s="43">
        <v>1347096</v>
      </c>
      <c r="AS21" s="43">
        <v>998312</v>
      </c>
      <c r="AT21" s="43">
        <v>3096784</v>
      </c>
      <c r="AU21" s="44">
        <v>68.630640624999998</v>
      </c>
      <c r="AV21" s="44">
        <v>70.708550000000002</v>
      </c>
      <c r="AW21" s="44">
        <v>32.777318749999999</v>
      </c>
      <c r="AX21" s="44">
        <v>40.787512499999899</v>
      </c>
      <c r="AY21" s="44">
        <v>39.7300187499999</v>
      </c>
      <c r="AZ21" s="45">
        <v>11381.8</v>
      </c>
      <c r="BA21" s="45">
        <v>1450.98</v>
      </c>
      <c r="BB21" s="45">
        <v>6.9720000000000004</v>
      </c>
      <c r="BC21" s="45">
        <v>21.547999999999998</v>
      </c>
      <c r="BD21">
        <v>32</v>
      </c>
      <c r="BE21" s="19">
        <f t="shared" si="14"/>
        <v>-1.5687545714382356E-4</v>
      </c>
      <c r="BF21" s="19">
        <f t="shared" si="15"/>
        <v>6.8099273346626243E-3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32963</v>
      </c>
      <c r="BV21" s="4">
        <f t="shared" si="18"/>
        <v>1030.09375</v>
      </c>
      <c r="BW21" s="4">
        <f t="shared" si="19"/>
        <v>-121.03125</v>
      </c>
      <c r="BX21" s="4">
        <f t="shared" si="20"/>
        <v>63720</v>
      </c>
      <c r="BY21" s="4">
        <f t="shared" si="21"/>
        <v>51432</v>
      </c>
      <c r="BZ21" s="4">
        <f t="shared" si="22"/>
        <v>12656</v>
      </c>
      <c r="CA21" s="4">
        <f t="shared" si="23"/>
        <v>-368</v>
      </c>
      <c r="CB21" s="4">
        <f t="shared" si="24"/>
        <v>-2.9093750000001251E-2</v>
      </c>
      <c r="CC21" s="4">
        <f t="shared" si="25"/>
        <v>-3.1878124999991542E-2</v>
      </c>
      <c r="CD21" s="4">
        <f t="shared" si="26"/>
        <v>-1.4937499999021497E-3</v>
      </c>
      <c r="CE21" s="4">
        <f t="shared" si="27"/>
        <v>8.5559374999895965E-2</v>
      </c>
      <c r="CF21" s="4">
        <f t="shared" si="28"/>
        <v>4.4065624999902298E-2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13.9310125</v>
      </c>
      <c r="J22" s="24">
        <f t="shared" si="1"/>
        <v>0.27680679354316345</v>
      </c>
      <c r="K22" s="24">
        <f t="shared" si="2"/>
        <v>8.7328878497659843E-2</v>
      </c>
      <c r="L22" s="24">
        <f t="shared" si="3"/>
        <v>5.6727607940268071E-2</v>
      </c>
      <c r="M22" s="24">
        <f t="shared" si="4"/>
        <v>0.1894823857563401</v>
      </c>
      <c r="N22" s="21">
        <f t="shared" si="5"/>
        <v>2812832</v>
      </c>
      <c r="O22" s="24">
        <f t="shared" si="6"/>
        <v>0.27091150544255482</v>
      </c>
      <c r="P22" s="46">
        <v>32910555</v>
      </c>
      <c r="Q22" s="46">
        <v>1028454.84375</v>
      </c>
      <c r="R22" s="46">
        <v>34769.59375</v>
      </c>
      <c r="S22" s="47">
        <v>8915848</v>
      </c>
      <c r="T22" s="47">
        <v>1827176</v>
      </c>
      <c r="U22" s="47">
        <v>985656</v>
      </c>
      <c r="V22" s="47">
        <v>6103160</v>
      </c>
      <c r="W22" s="48">
        <v>69.831643749999998</v>
      </c>
      <c r="X22" s="48">
        <v>72.240359374999898</v>
      </c>
      <c r="Y22" s="48">
        <v>34.624715625</v>
      </c>
      <c r="Z22" s="48">
        <v>41.744956250000001</v>
      </c>
      <c r="AA22" s="48">
        <v>40.748353125000001</v>
      </c>
      <c r="AB22" s="49">
        <v>10274.6</v>
      </c>
      <c r="AC22" s="49">
        <v>1385.82</v>
      </c>
      <c r="AD22" s="49">
        <v>7.92</v>
      </c>
      <c r="AE22" s="49">
        <v>21.027999999999999</v>
      </c>
      <c r="AF22">
        <v>32</v>
      </c>
      <c r="AG22" s="23">
        <f t="shared" si="7"/>
        <v>14.004687499999999</v>
      </c>
      <c r="AH22" s="24">
        <f t="shared" si="8"/>
        <v>0.27827070296929401</v>
      </c>
      <c r="AI22" s="24">
        <f t="shared" si="9"/>
        <v>8.9031970953543316E-2</v>
      </c>
      <c r="AJ22" s="24">
        <f t="shared" si="10"/>
        <v>5.803777458818777E-2</v>
      </c>
      <c r="AK22" s="24">
        <f t="shared" si="11"/>
        <v>0.18924320272658718</v>
      </c>
      <c r="AL22" s="21">
        <f t="shared" si="12"/>
        <v>2867688</v>
      </c>
      <c r="AM22" s="24">
        <f t="shared" si="13"/>
        <v>0.27295135512292967</v>
      </c>
      <c r="AN22" s="46">
        <v>32837353</v>
      </c>
      <c r="AO22" s="46">
        <v>1026167.28125</v>
      </c>
      <c r="AP22" s="46">
        <v>34651.8125</v>
      </c>
      <c r="AQ22" s="47">
        <v>8963000</v>
      </c>
      <c r="AR22" s="47">
        <v>1869376</v>
      </c>
      <c r="AS22" s="47">
        <v>998312</v>
      </c>
      <c r="AT22" s="47">
        <v>6095456</v>
      </c>
      <c r="AU22" s="48">
        <v>69.854031249999906</v>
      </c>
      <c r="AV22" s="48">
        <v>72.266999999999996</v>
      </c>
      <c r="AW22" s="48">
        <v>34.615590624999903</v>
      </c>
      <c r="AX22" s="48">
        <v>41.804131249999998</v>
      </c>
      <c r="AY22" s="48">
        <v>40.756193750000001</v>
      </c>
      <c r="AZ22" s="49">
        <v>11372.1</v>
      </c>
      <c r="BA22" s="49">
        <v>1554.2</v>
      </c>
      <c r="BB22" s="49">
        <v>6.4359999999999999</v>
      </c>
      <c r="BC22" s="49">
        <v>17.707999999999998</v>
      </c>
      <c r="BD22">
        <v>32</v>
      </c>
      <c r="BE22" s="25">
        <f t="shared" si="14"/>
        <v>-3.9412914803096943E-5</v>
      </c>
      <c r="BF22" s="25">
        <f t="shared" si="15"/>
        <v>4.4605788556080217E-3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-73202</v>
      </c>
      <c r="BV22" s="4">
        <f t="shared" si="18"/>
        <v>-2287.5625</v>
      </c>
      <c r="BW22" s="4">
        <f t="shared" si="19"/>
        <v>-117.78125</v>
      </c>
      <c r="BX22" s="4">
        <f t="shared" si="20"/>
        <v>47152</v>
      </c>
      <c r="BY22" s="4">
        <f t="shared" si="21"/>
        <v>42200</v>
      </c>
      <c r="BZ22" s="4">
        <f t="shared" si="22"/>
        <v>12656</v>
      </c>
      <c r="CA22" s="4">
        <f t="shared" si="23"/>
        <v>-7704</v>
      </c>
      <c r="CB22" s="4">
        <f t="shared" si="24"/>
        <v>2.23874999999083E-2</v>
      </c>
      <c r="CC22" s="4">
        <f t="shared" si="25"/>
        <v>2.6640625000098339E-2</v>
      </c>
      <c r="CD22" s="4">
        <f t="shared" si="26"/>
        <v>-9.1250000000968612E-3</v>
      </c>
      <c r="CE22" s="4">
        <f t="shared" si="27"/>
        <v>5.9174999999996203E-2</v>
      </c>
      <c r="CF22" s="4">
        <f t="shared" si="28"/>
        <v>7.8406250000000455E-3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24.3050125</v>
      </c>
      <c r="J23" s="18">
        <f t="shared" si="1"/>
        <v>0.48293636784487182</v>
      </c>
      <c r="K23" s="18">
        <f t="shared" si="2"/>
        <v>0.11576831199277807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3728856</v>
      </c>
      <c r="O23" s="18">
        <f t="shared" si="6"/>
        <v>0.47201766205480272</v>
      </c>
      <c r="P23" s="42">
        <v>32954716</v>
      </c>
      <c r="Q23" s="42">
        <v>1029834.875</v>
      </c>
      <c r="R23" s="42">
        <v>36665.46875</v>
      </c>
      <c r="S23" s="43">
        <v>15555208</v>
      </c>
      <c r="T23" s="43">
        <v>2743200</v>
      </c>
      <c r="U23" s="43">
        <v>985656</v>
      </c>
      <c r="V23" s="43">
        <v>11826496</v>
      </c>
      <c r="W23" s="44">
        <v>70.837203125000002</v>
      </c>
      <c r="X23" s="44">
        <v>73.567968750000006</v>
      </c>
      <c r="Y23" s="44">
        <v>36.275565624999999</v>
      </c>
      <c r="Z23" s="44">
        <v>42.939684374999899</v>
      </c>
      <c r="AA23" s="44">
        <v>41.844209374999998</v>
      </c>
      <c r="AB23" s="45">
        <v>9978.82</v>
      </c>
      <c r="AC23" s="45">
        <v>1566.79</v>
      </c>
      <c r="AD23" s="45">
        <v>8.6720000000000006</v>
      </c>
      <c r="AE23" s="45">
        <v>21.34</v>
      </c>
      <c r="AF23">
        <v>32</v>
      </c>
      <c r="AG23" s="17">
        <f t="shared" si="7"/>
        <v>24.49015</v>
      </c>
      <c r="AH23" s="18">
        <f t="shared" si="8"/>
        <v>0.48661501774484117</v>
      </c>
      <c r="AI23" s="18">
        <f t="shared" si="9"/>
        <v>0.11846862133802601</v>
      </c>
      <c r="AJ23" s="18">
        <f t="shared" si="10"/>
        <v>8.7474424972670453E-2</v>
      </c>
      <c r="AK23" s="18">
        <f t="shared" si="11"/>
        <v>0.36815086711765171</v>
      </c>
      <c r="AL23" s="15">
        <f t="shared" si="12"/>
        <v>3815832</v>
      </c>
      <c r="AM23" s="18">
        <f t="shared" si="13"/>
        <v>0.47519250839053628</v>
      </c>
      <c r="AN23" s="42">
        <v>32983887</v>
      </c>
      <c r="AO23" s="42">
        <v>1030746.46875</v>
      </c>
      <c r="AP23" s="42">
        <v>37020.34375</v>
      </c>
      <c r="AQ23" s="43">
        <v>15673696</v>
      </c>
      <c r="AR23" s="43">
        <v>2817520</v>
      </c>
      <c r="AS23" s="43">
        <v>998312</v>
      </c>
      <c r="AT23" s="43">
        <v>11858008</v>
      </c>
      <c r="AU23" s="44">
        <v>70.814487499999998</v>
      </c>
      <c r="AV23" s="44">
        <v>73.542093749999907</v>
      </c>
      <c r="AW23" s="44">
        <v>36.266284374999998</v>
      </c>
      <c r="AX23" s="44">
        <v>42.965503124999998</v>
      </c>
      <c r="AY23" s="44">
        <v>41.829506249999902</v>
      </c>
      <c r="AZ23" s="45">
        <v>11360.6</v>
      </c>
      <c r="BA23" s="45">
        <v>1740.94</v>
      </c>
      <c r="BB23" s="45">
        <v>8.1479999999999997</v>
      </c>
      <c r="BC23" s="45">
        <v>25.995999999999999</v>
      </c>
      <c r="BD23">
        <v>32</v>
      </c>
      <c r="BE23" s="19">
        <f t="shared" si="14"/>
        <v>3.1280175036818569E-4</v>
      </c>
      <c r="BF23" s="19">
        <f t="shared" si="15"/>
        <v>3.7369839004832428E-3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29171</v>
      </c>
      <c r="BV23" s="4">
        <f t="shared" si="18"/>
        <v>911.59375</v>
      </c>
      <c r="BW23" s="4">
        <f t="shared" si="19"/>
        <v>354.875</v>
      </c>
      <c r="BX23" s="4">
        <f t="shared" si="20"/>
        <v>118488</v>
      </c>
      <c r="BY23" s="4">
        <f t="shared" si="21"/>
        <v>74320</v>
      </c>
      <c r="BZ23" s="4">
        <f t="shared" si="22"/>
        <v>12656</v>
      </c>
      <c r="CA23" s="4">
        <f t="shared" si="23"/>
        <v>31512</v>
      </c>
      <c r="CB23" s="4">
        <f t="shared" si="24"/>
        <v>-2.271562500000357E-2</v>
      </c>
      <c r="CC23" s="4">
        <f t="shared" si="25"/>
        <v>-2.587500000009868E-2</v>
      </c>
      <c r="CD23" s="4">
        <f t="shared" si="26"/>
        <v>-9.2812500000007958E-3</v>
      </c>
      <c r="CE23" s="4">
        <f t="shared" si="27"/>
        <v>2.5818750000098589E-2</v>
      </c>
      <c r="CF23" s="4">
        <f t="shared" si="28"/>
        <v>-1.4703125000096406E-2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41.251012500000002</v>
      </c>
      <c r="J24" s="36">
        <f t="shared" si="1"/>
        <v>0.81965043822435413</v>
      </c>
      <c r="K24" s="36">
        <f t="shared" si="2"/>
        <v>0.19083278880178833</v>
      </c>
      <c r="L24" s="36">
        <f t="shared" si="3"/>
        <v>0.13218650079418762</v>
      </c>
      <c r="M24" s="36">
        <f t="shared" si="4"/>
        <v>0.62882212013340233</v>
      </c>
      <c r="N24" s="33">
        <f t="shared" si="5"/>
        <v>6146656</v>
      </c>
      <c r="O24" s="36">
        <f t="shared" si="6"/>
        <v>0.83586256287218119</v>
      </c>
      <c r="P24" s="54">
        <v>31584915</v>
      </c>
      <c r="Q24" s="54">
        <v>987028.59375</v>
      </c>
      <c r="R24" s="54">
        <v>18072.71875</v>
      </c>
      <c r="S24" s="55">
        <v>26400648</v>
      </c>
      <c r="T24" s="55">
        <v>4257680</v>
      </c>
      <c r="U24" s="55">
        <v>1888976</v>
      </c>
      <c r="V24" s="55">
        <v>20254136</v>
      </c>
      <c r="W24" s="56">
        <v>71.893762499999994</v>
      </c>
      <c r="X24" s="56">
        <v>75.707471874999996</v>
      </c>
      <c r="Y24" s="56">
        <v>37.303737499999997</v>
      </c>
      <c r="Z24" s="56">
        <v>43.797081249999898</v>
      </c>
      <c r="AA24" s="56">
        <v>42.424003124999999</v>
      </c>
      <c r="AB24" s="57">
        <v>6340.95</v>
      </c>
      <c r="AC24" s="57">
        <v>1978.58</v>
      </c>
      <c r="AD24" s="57">
        <v>7.4359999999999999</v>
      </c>
      <c r="AE24" s="57">
        <v>22.42</v>
      </c>
      <c r="AF24">
        <v>32</v>
      </c>
      <c r="AG24" s="35">
        <f t="shared" si="7"/>
        <v>41.71425</v>
      </c>
      <c r="AH24" s="36">
        <f t="shared" si="8"/>
        <v>0.82885488671824148</v>
      </c>
      <c r="AI24" s="36">
        <f t="shared" si="9"/>
        <v>0.19622297583366571</v>
      </c>
      <c r="AJ24" s="36">
        <f t="shared" si="10"/>
        <v>0.13711670135555368</v>
      </c>
      <c r="AK24" s="36">
        <f t="shared" si="11"/>
        <v>0.63263638159541224</v>
      </c>
      <c r="AL24" s="33">
        <f t="shared" si="12"/>
        <v>6320272</v>
      </c>
      <c r="AM24" s="36">
        <f t="shared" si="13"/>
        <v>0.84434497458547919</v>
      </c>
      <c r="AN24" s="54">
        <v>31618735</v>
      </c>
      <c r="AO24" s="54">
        <v>988085.46875</v>
      </c>
      <c r="AP24" s="54">
        <v>18252.09375</v>
      </c>
      <c r="AQ24" s="55">
        <v>26697120</v>
      </c>
      <c r="AR24" s="55">
        <v>4416480</v>
      </c>
      <c r="AS24" s="55">
        <v>1903792</v>
      </c>
      <c r="AT24" s="55">
        <v>20376992</v>
      </c>
      <c r="AU24" s="56">
        <v>71.892096874999993</v>
      </c>
      <c r="AV24" s="56">
        <v>75.671331249999895</v>
      </c>
      <c r="AW24" s="56">
        <v>37.304303124999997</v>
      </c>
      <c r="AX24" s="56">
        <v>43.790443749999902</v>
      </c>
      <c r="AY24" s="56">
        <v>42.393609374999997</v>
      </c>
      <c r="AZ24" s="57">
        <v>6303.54</v>
      </c>
      <c r="BA24" s="57">
        <v>2196.16</v>
      </c>
      <c r="BB24" s="57">
        <v>7.36</v>
      </c>
      <c r="BC24" s="57">
        <v>24.552</v>
      </c>
      <c r="BD24">
        <v>32</v>
      </c>
      <c r="BE24" s="37">
        <f t="shared" si="14"/>
        <v>1.6195297135377165E-4</v>
      </c>
      <c r="BF24" s="37">
        <f t="shared" si="15"/>
        <v>3.9176790371470982E-3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33820</v>
      </c>
      <c r="BV24" s="4">
        <f t="shared" si="18"/>
        <v>1056.875</v>
      </c>
      <c r="BW24" s="4">
        <f t="shared" si="19"/>
        <v>179.375</v>
      </c>
      <c r="BX24" s="4">
        <f t="shared" si="20"/>
        <v>296472</v>
      </c>
      <c r="BY24" s="4">
        <f t="shared" si="21"/>
        <v>158800</v>
      </c>
      <c r="BZ24" s="4">
        <f t="shared" si="22"/>
        <v>14816</v>
      </c>
      <c r="CA24" s="4">
        <f t="shared" si="23"/>
        <v>122856</v>
      </c>
      <c r="CB24" s="4">
        <f t="shared" si="24"/>
        <v>-1.6656250000011141E-3</v>
      </c>
      <c r="CC24" s="4">
        <f t="shared" si="25"/>
        <v>-3.6140625000101068E-2</v>
      </c>
      <c r="CD24" s="4">
        <f t="shared" si="26"/>
        <v>5.6562500000012506E-4</v>
      </c>
      <c r="CE24" s="4">
        <f t="shared" si="27"/>
        <v>-6.6374999999965212E-3</v>
      </c>
      <c r="CF24" s="4">
        <f t="shared" si="28"/>
        <v>-3.0393750000001774E-2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4.7024625000000002</v>
      </c>
      <c r="J25" s="18">
        <f t="shared" si="1"/>
        <v>0.19816210294966802</v>
      </c>
      <c r="K25" s="18">
        <f t="shared" si="2"/>
        <v>6.9624035769334944E-2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1762352</v>
      </c>
      <c r="O25" s="18">
        <f t="shared" si="6"/>
        <v>0.21862141969157484</v>
      </c>
      <c r="P25" s="42">
        <v>22943589</v>
      </c>
      <c r="Q25" s="42">
        <v>716987.15625</v>
      </c>
      <c r="R25" s="42">
        <v>16957.03125</v>
      </c>
      <c r="S25" s="43">
        <v>5015960</v>
      </c>
      <c r="T25" s="43">
        <v>954432</v>
      </c>
      <c r="U25" s="43">
        <v>807920</v>
      </c>
      <c r="V25" s="43">
        <v>3253752</v>
      </c>
      <c r="W25" s="44">
        <v>66.188337499999903</v>
      </c>
      <c r="X25" s="44">
        <v>68.025690624999996</v>
      </c>
      <c r="Y25" s="44">
        <v>27.492265625000002</v>
      </c>
      <c r="Z25" s="44">
        <v>33.271618750000002</v>
      </c>
      <c r="AA25" s="44">
        <v>32.724562499999998</v>
      </c>
      <c r="AB25" s="45">
        <v>5342.43</v>
      </c>
      <c r="AC25" s="45">
        <v>1589.39</v>
      </c>
      <c r="AD25" s="45">
        <v>6.74</v>
      </c>
      <c r="AE25" s="45">
        <v>24.48</v>
      </c>
      <c r="AF25">
        <v>32</v>
      </c>
      <c r="AG25" s="17">
        <f t="shared" si="7"/>
        <v>4.7651624999999997</v>
      </c>
      <c r="AH25" s="18">
        <f t="shared" si="8"/>
        <v>0.20080428539236567</v>
      </c>
      <c r="AI25" s="18">
        <f t="shared" si="9"/>
        <v>7.0613589983220884E-2</v>
      </c>
      <c r="AJ25" s="18">
        <f t="shared" si="10"/>
        <v>3.8469986735359195E-2</v>
      </c>
      <c r="AK25" s="18">
        <f t="shared" si="11"/>
        <v>0.13019638431871042</v>
      </c>
      <c r="AL25" s="15">
        <f t="shared" si="12"/>
        <v>1787400</v>
      </c>
      <c r="AM25" s="18">
        <f t="shared" si="13"/>
        <v>0.2216618647866288</v>
      </c>
      <c r="AN25" s="42">
        <v>22930602</v>
      </c>
      <c r="AO25" s="42">
        <v>716581.3125</v>
      </c>
      <c r="AP25" s="42">
        <v>17534.875</v>
      </c>
      <c r="AQ25" s="43">
        <v>5082840</v>
      </c>
      <c r="AR25" s="43">
        <v>973768</v>
      </c>
      <c r="AS25" s="43">
        <v>813632</v>
      </c>
      <c r="AT25" s="43">
        <v>3295584</v>
      </c>
      <c r="AU25" s="44">
        <v>66.1715093749999</v>
      </c>
      <c r="AV25" s="44">
        <v>68.004846874999998</v>
      </c>
      <c r="AW25" s="44">
        <v>27.495065624999899</v>
      </c>
      <c r="AX25" s="44">
        <v>33.2721937499999</v>
      </c>
      <c r="AY25" s="44">
        <v>32.722450000000002</v>
      </c>
      <c r="AZ25" s="45">
        <v>5618.75</v>
      </c>
      <c r="BA25" s="45">
        <v>1630.12</v>
      </c>
      <c r="BB25" s="45">
        <v>6.3959999999999999</v>
      </c>
      <c r="BC25" s="45">
        <v>24.352</v>
      </c>
      <c r="BD25">
        <v>32</v>
      </c>
      <c r="BE25" s="19">
        <f t="shared" si="14"/>
        <v>8.197843088626304E-4</v>
      </c>
      <c r="BF25" s="19">
        <f t="shared" si="15"/>
        <v>3.049055148807156E-4</v>
      </c>
      <c r="BG25" s="19">
        <f t="array" ref="BG25">AVERAGE(AL25:AL29/AQ25:AQ29) - AVERAGE(N25:N29/S25:S29)</f>
        <v>7.0973690480752305E-4</v>
      </c>
      <c r="BI25" s="20">
        <f>IF( OR(ISBLANK(N25:N29),ISBLANK(AL25:AL29), ISBLANK(W25:W29),ISBLANK(AU25:AU29)), "·", bdRateExtend( N25:N29,W25:W29, AL25:AL29,AU25:AU29))</f>
        <v>1.5206561891403902E-2</v>
      </c>
      <c r="BJ25" s="20">
        <f>IF( OR(ISBLANK(N25:N29),ISBLANK(AL25:AL29), ISBLANK(X25:X29),ISBLANK(AV25:AV29)), "·", bdRateExtend( N25:N29,X25:X29, AL25:AL29,AV25:AV29))</f>
        <v>1.4008980794830928E-2</v>
      </c>
      <c r="BK25" s="20">
        <f>IF( OR(ISBLANK(V25:V29),ISBLANK(AT25:AT29), ISBLANK(Y25:Y29),ISBLANK(AW25:AW29)), "·", bdRateExtend( V25:V29,Y25:Y29, AT25:AT29,AW25:AW29))</f>
        <v>9.750739692392818E-3</v>
      </c>
      <c r="BL25" s="20">
        <f>IF( OR(ISBLANK(V25:V29),ISBLANK(AT25:AT29), ISBLANK(Z25:Z29),ISBLANK(AX25:AX29)), "·", bdRateExtend( V25:V29,Z25:Z29, AT25:AT29,AX25:AX29))</f>
        <v>1.0098914298107609E-2</v>
      </c>
      <c r="BM25" s="20">
        <f>IF( OR(ISBLANK(V25:V29),ISBLANK(AT25:AT29), ISBLANK(AA25:AA29),ISBLANK(AY25:AY29)), "·", bdRateExtend( V25:V29,AA25:AA29, AT25:AT29,AY25:AY29))</f>
        <v>9.4695233004127299E-3</v>
      </c>
      <c r="BO25" s="20">
        <f>IF( OR(ISBLANK(S25:S29),ISBLANK(AQ25:AQ29), ISBLANK(W25:W29),ISBLANK(AU25:AU29)), "·", bdRateExtend( S25:S29,W25:W29, AQ25:AQ29,AU25:AU29))</f>
        <v>1.2624880064166399E-2</v>
      </c>
      <c r="BP25" s="20">
        <f>IF( OR(ISBLANK(S25:S29),ISBLANK(AQ25:AQ29), ISBLANK(X25:X29),ISBLANK(AV25:AV29)), "·", bdRateExtend( S25:S29,X25:X29, AQ25:AQ29,AV25:AV29))</f>
        <v>8.0327351038791406E-3</v>
      </c>
      <c r="BQ25" s="20">
        <f>IF( OR(ISBLANK(S25:S29),ISBLANK(AQ25:AQ29), ISBLANK(Y25:Y29),ISBLANK(AW25:AW29)), "·", bdRateExtend( S25:S29,Y25:Y29, AQ25:AQ29,AW25:AW29))</f>
        <v>1.0585328626707025E-2</v>
      </c>
      <c r="BR25" s="20">
        <f>IF( OR(ISBLANK(S25:S29),ISBLANK(AQ25:AQ29), ISBLANK(Z25:Z29),ISBLANK(AX25:AX29)), "·", bdRateExtend( S25:S29,Z25:Z29, AQ25:AQ29,AX25:AX29))</f>
        <v>1.0854151875966389E-2</v>
      </c>
      <c r="BS25" s="20">
        <f>IF( OR(ISBLANK(S25:S29),ISBLANK(AQ25:AQ29), ISBLANK(AA25:AA29),ISBLANK(AY25:AY29)), "·", bdRateExtend( S25:S29,AA25:AA29, AQ25:AQ29,AY25:AY29))</f>
        <v>1.035633374929934E-2</v>
      </c>
      <c r="BU25" s="4">
        <f t="shared" si="17"/>
        <v>-12987</v>
      </c>
      <c r="BV25" s="4">
        <f t="shared" si="18"/>
        <v>-405.84375</v>
      </c>
      <c r="BW25" s="4">
        <f t="shared" si="19"/>
        <v>577.84375</v>
      </c>
      <c r="BX25" s="4">
        <f t="shared" si="20"/>
        <v>66880</v>
      </c>
      <c r="BY25" s="4">
        <f t="shared" si="21"/>
        <v>19336</v>
      </c>
      <c r="BZ25" s="4">
        <f t="shared" si="22"/>
        <v>5712</v>
      </c>
      <c r="CA25" s="4">
        <f t="shared" si="23"/>
        <v>41832</v>
      </c>
      <c r="CB25" s="4">
        <f t="shared" si="24"/>
        <v>-1.6828125000003524E-2</v>
      </c>
      <c r="CC25" s="4">
        <f t="shared" si="25"/>
        <v>-2.0843749999997385E-2</v>
      </c>
      <c r="CD25" s="4">
        <f t="shared" si="26"/>
        <v>2.7999999998975511E-3</v>
      </c>
      <c r="CE25" s="4">
        <f t="shared" si="27"/>
        <v>5.7499999989829575E-4</v>
      </c>
      <c r="CF25" s="4">
        <f t="shared" si="28"/>
        <v>-2.1124999999955207E-3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8.1052949999999999</v>
      </c>
      <c r="J26" s="24">
        <f t="shared" si="1"/>
        <v>0.34155770561220411</v>
      </c>
      <c r="K26" s="24">
        <f t="shared" si="2"/>
        <v>8.4214192501953986E-2</v>
      </c>
      <c r="L26" s="24">
        <f t="shared" si="3"/>
        <v>5.2296249333528444E-2</v>
      </c>
      <c r="M26" s="24">
        <f t="shared" si="4"/>
        <v>0.25734920201981576</v>
      </c>
      <c r="N26" s="21">
        <f t="shared" si="5"/>
        <v>2131664</v>
      </c>
      <c r="O26" s="24">
        <f t="shared" si="6"/>
        <v>0.34707090498468868</v>
      </c>
      <c r="P26" s="46">
        <v>24910322</v>
      </c>
      <c r="Q26" s="46">
        <v>778447.5625</v>
      </c>
      <c r="R26" s="46">
        <v>22364.375</v>
      </c>
      <c r="S26" s="47">
        <v>8645648</v>
      </c>
      <c r="T26" s="47">
        <v>1323744</v>
      </c>
      <c r="U26" s="47">
        <v>807920</v>
      </c>
      <c r="V26" s="47">
        <v>6514128</v>
      </c>
      <c r="W26" s="48">
        <v>68.016528124999994</v>
      </c>
      <c r="X26" s="48">
        <v>69.989903124999898</v>
      </c>
      <c r="Y26" s="48">
        <v>29.910231249999899</v>
      </c>
      <c r="Z26" s="48">
        <v>34.4604874999999</v>
      </c>
      <c r="AA26" s="48">
        <v>34.047587499999999</v>
      </c>
      <c r="AB26" s="49">
        <v>5599.96</v>
      </c>
      <c r="AC26" s="49">
        <v>1688.77</v>
      </c>
      <c r="AD26" s="49">
        <v>6.4960000000000004</v>
      </c>
      <c r="AE26" s="49">
        <v>24.228000000000002</v>
      </c>
      <c r="AF26">
        <v>32</v>
      </c>
      <c r="AG26" s="23">
        <f t="shared" si="7"/>
        <v>8.2007025000000002</v>
      </c>
      <c r="AH26" s="24">
        <f t="shared" si="8"/>
        <v>0.34557818442243821</v>
      </c>
      <c r="AI26" s="24">
        <f t="shared" si="9"/>
        <v>8.5405070904356478E-2</v>
      </c>
      <c r="AJ26" s="24">
        <f t="shared" si="10"/>
        <v>5.3261467656494789E-2</v>
      </c>
      <c r="AK26" s="24">
        <f t="shared" si="11"/>
        <v>0.26017880242764735</v>
      </c>
      <c r="AL26" s="21">
        <f t="shared" si="12"/>
        <v>2161808</v>
      </c>
      <c r="AM26" s="24">
        <f t="shared" si="13"/>
        <v>0.35237487842496767</v>
      </c>
      <c r="AN26" s="46">
        <v>24824176</v>
      </c>
      <c r="AO26" s="46">
        <v>775755.5</v>
      </c>
      <c r="AP26" s="46">
        <v>22420</v>
      </c>
      <c r="AQ26" s="47">
        <v>8747416</v>
      </c>
      <c r="AR26" s="47">
        <v>1348176</v>
      </c>
      <c r="AS26" s="47">
        <v>813632</v>
      </c>
      <c r="AT26" s="47">
        <v>6585752</v>
      </c>
      <c r="AU26" s="48">
        <v>67.999740624999902</v>
      </c>
      <c r="AV26" s="48">
        <v>69.995509374999997</v>
      </c>
      <c r="AW26" s="48">
        <v>29.912534375</v>
      </c>
      <c r="AX26" s="48">
        <v>34.454718749999998</v>
      </c>
      <c r="AY26" s="48">
        <v>34.050543749999903</v>
      </c>
      <c r="AZ26" s="49">
        <v>5620.78</v>
      </c>
      <c r="BA26" s="49">
        <v>1719.97</v>
      </c>
      <c r="BB26" s="49">
        <v>6.6440000000000001</v>
      </c>
      <c r="BC26" s="49">
        <v>25.504000000000001</v>
      </c>
      <c r="BD26">
        <v>32</v>
      </c>
      <c r="BE26" s="25">
        <f t="shared" si="14"/>
        <v>1.7140257614644064E-4</v>
      </c>
      <c r="BF26" s="25">
        <f t="shared" si="15"/>
        <v>5.7756073042494749E-4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-86146</v>
      </c>
      <c r="BV26" s="4">
        <f t="shared" si="18"/>
        <v>-2692.0625</v>
      </c>
      <c r="BW26" s="4">
        <f t="shared" si="19"/>
        <v>55.625</v>
      </c>
      <c r="BX26" s="4">
        <f t="shared" si="20"/>
        <v>101768</v>
      </c>
      <c r="BY26" s="4">
        <f t="shared" si="21"/>
        <v>24432</v>
      </c>
      <c r="BZ26" s="4">
        <f t="shared" si="22"/>
        <v>5712</v>
      </c>
      <c r="CA26" s="4">
        <f t="shared" si="23"/>
        <v>71624</v>
      </c>
      <c r="CB26" s="4">
        <f t="shared" si="24"/>
        <v>-1.6787500000091882E-2</v>
      </c>
      <c r="CC26" s="4">
        <f t="shared" si="25"/>
        <v>5.6062500000990667E-3</v>
      </c>
      <c r="CD26" s="4">
        <f t="shared" si="26"/>
        <v>2.3031250001004366E-3</v>
      </c>
      <c r="CE26" s="4">
        <f t="shared" si="27"/>
        <v>-5.7687499999019565E-3</v>
      </c>
      <c r="CF26" s="4">
        <f t="shared" si="28"/>
        <v>2.9562499999045144E-3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14.6541675</v>
      </c>
      <c r="J27" s="18">
        <f t="shared" si="1"/>
        <v>0.61752765679187849</v>
      </c>
      <c r="K27" s="18">
        <f t="shared" si="2"/>
        <v>0.10547870435716744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2669920</v>
      </c>
      <c r="O27" s="18">
        <f t="shared" si="6"/>
        <v>0.61871750529316139</v>
      </c>
      <c r="P27" s="42">
        <v>25263730</v>
      </c>
      <c r="Q27" s="42">
        <v>789491.5625</v>
      </c>
      <c r="R27" s="42">
        <v>23753.8125</v>
      </c>
      <c r="S27" s="43">
        <v>15631112</v>
      </c>
      <c r="T27" s="43">
        <v>1862000</v>
      </c>
      <c r="U27" s="43">
        <v>807920</v>
      </c>
      <c r="V27" s="43">
        <v>12961336</v>
      </c>
      <c r="W27" s="44">
        <v>69.394446875</v>
      </c>
      <c r="X27" s="44">
        <v>71.733012499999901</v>
      </c>
      <c r="Y27" s="44">
        <v>32.411193749999903</v>
      </c>
      <c r="Z27" s="44">
        <v>35.725224999999902</v>
      </c>
      <c r="AA27" s="44">
        <v>35.386656250000001</v>
      </c>
      <c r="AB27" s="45">
        <v>5594.85</v>
      </c>
      <c r="AC27" s="45">
        <v>1835.58</v>
      </c>
      <c r="AD27" s="45">
        <v>6.9240000000000004</v>
      </c>
      <c r="AE27" s="45">
        <v>27.911999999999999</v>
      </c>
      <c r="AF27">
        <v>32</v>
      </c>
      <c r="AG27" s="17">
        <f t="shared" si="7"/>
        <v>14.813565000000001</v>
      </c>
      <c r="AH27" s="18">
        <f t="shared" si="8"/>
        <v>0.62424467873621503</v>
      </c>
      <c r="AI27" s="18">
        <f t="shared" si="9"/>
        <v>0.10686869459436653</v>
      </c>
      <c r="AJ27" s="18">
        <f t="shared" si="10"/>
        <v>7.4725091346504846E-2</v>
      </c>
      <c r="AK27" s="18">
        <f t="shared" si="11"/>
        <v>0.51738167305141414</v>
      </c>
      <c r="AL27" s="15">
        <f t="shared" si="12"/>
        <v>2705104</v>
      </c>
      <c r="AM27" s="18">
        <f t="shared" si="13"/>
        <v>0.62553593788035444</v>
      </c>
      <c r="AN27" s="42">
        <v>25260157</v>
      </c>
      <c r="AO27" s="42">
        <v>789379.90625</v>
      </c>
      <c r="AP27" s="42">
        <v>23852.25</v>
      </c>
      <c r="AQ27" s="43">
        <v>15801136</v>
      </c>
      <c r="AR27" s="43">
        <v>1891472</v>
      </c>
      <c r="AS27" s="43">
        <v>813632</v>
      </c>
      <c r="AT27" s="43">
        <v>13096176</v>
      </c>
      <c r="AU27" s="44">
        <v>69.389624999999995</v>
      </c>
      <c r="AV27" s="44">
        <v>71.739909374999996</v>
      </c>
      <c r="AW27" s="44">
        <v>32.412606249999897</v>
      </c>
      <c r="AX27" s="44">
        <v>35.729403124999997</v>
      </c>
      <c r="AY27" s="44">
        <v>35.387353124999997</v>
      </c>
      <c r="AZ27" s="45">
        <v>5383.91</v>
      </c>
      <c r="BA27" s="45">
        <v>1868.55</v>
      </c>
      <c r="BB27" s="45">
        <v>7.5720000000000001</v>
      </c>
      <c r="BC27" s="45">
        <v>27.888000000000002</v>
      </c>
      <c r="BD27">
        <v>32</v>
      </c>
      <c r="BE27" s="19">
        <f t="shared" si="14"/>
        <v>1.2895812841254989E-4</v>
      </c>
      <c r="BF27" s="19">
        <f t="shared" si="15"/>
        <v>3.8873973977654463E-4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-3573</v>
      </c>
      <c r="BV27" s="4">
        <f t="shared" si="18"/>
        <v>-111.65625</v>
      </c>
      <c r="BW27" s="4">
        <f t="shared" si="19"/>
        <v>98.4375</v>
      </c>
      <c r="BX27" s="4">
        <f t="shared" si="20"/>
        <v>170024</v>
      </c>
      <c r="BY27" s="4">
        <f t="shared" si="21"/>
        <v>29472</v>
      </c>
      <c r="BZ27" s="4">
        <f t="shared" si="22"/>
        <v>5712</v>
      </c>
      <c r="CA27" s="4">
        <f t="shared" si="23"/>
        <v>134840</v>
      </c>
      <c r="CB27" s="4">
        <f t="shared" si="24"/>
        <v>-4.8218750000046384E-3</v>
      </c>
      <c r="CC27" s="4">
        <f t="shared" si="25"/>
        <v>6.8968750000948376E-3</v>
      </c>
      <c r="CD27" s="4">
        <f t="shared" si="26"/>
        <v>1.4124999999935994E-3</v>
      </c>
      <c r="CE27" s="4">
        <f t="shared" si="27"/>
        <v>4.1781250000951786E-3</v>
      </c>
      <c r="CF27" s="4">
        <f t="shared" si="28"/>
        <v>6.9687499999560032E-4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27.818864999999999</v>
      </c>
      <c r="J28" s="24">
        <f t="shared" si="1"/>
        <v>1.1722889422452418</v>
      </c>
      <c r="K28" s="24">
        <f t="shared" si="2"/>
        <v>0.14074741525974138</v>
      </c>
      <c r="L28" s="24">
        <f t="shared" si="3"/>
        <v>0.10882947209131585</v>
      </c>
      <c r="M28" s="24">
        <f t="shared" si="4"/>
        <v>1.0315472158950663</v>
      </c>
      <c r="N28" s="21">
        <f t="shared" si="5"/>
        <v>3562656</v>
      </c>
      <c r="O28" s="24">
        <f t="shared" si="6"/>
        <v>1.1329634964794024</v>
      </c>
      <c r="P28" s="46">
        <v>26191008</v>
      </c>
      <c r="Q28" s="46">
        <v>818469</v>
      </c>
      <c r="R28" s="46">
        <v>27045</v>
      </c>
      <c r="S28" s="47">
        <v>29673456</v>
      </c>
      <c r="T28" s="47">
        <v>2754736</v>
      </c>
      <c r="U28" s="47">
        <v>807920</v>
      </c>
      <c r="V28" s="47">
        <v>26110944</v>
      </c>
      <c r="W28" s="48">
        <v>70.457109374999902</v>
      </c>
      <c r="X28" s="48">
        <v>73.018118749999999</v>
      </c>
      <c r="Y28" s="48">
        <v>34.880259375000001</v>
      </c>
      <c r="Z28" s="48">
        <v>37.548418749999897</v>
      </c>
      <c r="AA28" s="48">
        <v>37.157228124999897</v>
      </c>
      <c r="AB28" s="49">
        <v>6002.55</v>
      </c>
      <c r="AC28" s="49">
        <v>2092.46</v>
      </c>
      <c r="AD28" s="49">
        <v>6.3159999999999998</v>
      </c>
      <c r="AE28" s="49">
        <v>24.995999999999999</v>
      </c>
      <c r="AF28">
        <v>32</v>
      </c>
      <c r="AG28" s="23">
        <f t="shared" si="7"/>
        <v>28.039582500000002</v>
      </c>
      <c r="AH28" s="24">
        <f t="shared" si="8"/>
        <v>1.1815899933344942</v>
      </c>
      <c r="AI28" s="24">
        <f t="shared" si="9"/>
        <v>0.14295281586801223</v>
      </c>
      <c r="AJ28" s="24">
        <f t="shared" si="10"/>
        <v>0.11080921262015056</v>
      </c>
      <c r="AK28" s="24">
        <f t="shared" si="11"/>
        <v>1.0386428663760476</v>
      </c>
      <c r="AL28" s="21">
        <f t="shared" si="12"/>
        <v>3618480</v>
      </c>
      <c r="AM28" s="24">
        <f t="shared" si="13"/>
        <v>1.1421523938452844</v>
      </c>
      <c r="AN28" s="46">
        <v>26186425</v>
      </c>
      <c r="AO28" s="46">
        <v>818325.78125</v>
      </c>
      <c r="AP28" s="46">
        <v>27260.8125</v>
      </c>
      <c r="AQ28" s="47">
        <v>29908888</v>
      </c>
      <c r="AR28" s="47">
        <v>2804848</v>
      </c>
      <c r="AS28" s="47">
        <v>813632</v>
      </c>
      <c r="AT28" s="47">
        <v>26290552</v>
      </c>
      <c r="AU28" s="48">
        <v>70.468437499999993</v>
      </c>
      <c r="AV28" s="48">
        <v>73.034946875000003</v>
      </c>
      <c r="AW28" s="48">
        <v>34.875265624999997</v>
      </c>
      <c r="AX28" s="48">
        <v>37.53985625</v>
      </c>
      <c r="AY28" s="48">
        <v>37.151678124999997</v>
      </c>
      <c r="AZ28" s="49">
        <v>6025.3</v>
      </c>
      <c r="BA28" s="49">
        <v>2130.77</v>
      </c>
      <c r="BB28" s="49">
        <v>7.3879999999999999</v>
      </c>
      <c r="BC28" s="49">
        <v>29.652000000000001</v>
      </c>
      <c r="BD28">
        <v>32</v>
      </c>
      <c r="BE28" s="25">
        <f t="shared" si="14"/>
        <v>2.6950749903026372E-4</v>
      </c>
      <c r="BF28" s="25">
        <f t="shared" si="15"/>
        <v>9.2138333965241515E-4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-4583</v>
      </c>
      <c r="BV28" s="4">
        <f t="shared" si="18"/>
        <v>-143.21875</v>
      </c>
      <c r="BW28" s="4">
        <f t="shared" si="19"/>
        <v>215.8125</v>
      </c>
      <c r="BX28" s="4">
        <f t="shared" si="20"/>
        <v>235432</v>
      </c>
      <c r="BY28" s="4">
        <f t="shared" si="21"/>
        <v>50112</v>
      </c>
      <c r="BZ28" s="4">
        <f t="shared" si="22"/>
        <v>5712</v>
      </c>
      <c r="CA28" s="4">
        <f t="shared" si="23"/>
        <v>179608</v>
      </c>
      <c r="CB28" s="4">
        <f t="shared" si="24"/>
        <v>1.1328125000090949E-2</v>
      </c>
      <c r="CC28" s="4">
        <f t="shared" si="25"/>
        <v>1.6828125000003524E-2</v>
      </c>
      <c r="CD28" s="4">
        <f t="shared" si="26"/>
        <v>-4.9937500000041268E-3</v>
      </c>
      <c r="CE28" s="4">
        <f t="shared" si="27"/>
        <v>-8.5624999998969997E-3</v>
      </c>
      <c r="CF28" s="4">
        <f t="shared" si="28"/>
        <v>-5.5499999999000238E-3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48.662212500000003</v>
      </c>
      <c r="J29" s="30">
        <f t="shared" si="1"/>
        <v>2.0506290827802713</v>
      </c>
      <c r="K29" s="30">
        <f t="shared" si="2"/>
        <v>0.22524573718944479</v>
      </c>
      <c r="L29" s="30">
        <f t="shared" si="3"/>
        <v>0.16586616334566034</v>
      </c>
      <c r="M29" s="30">
        <f t="shared" si="4"/>
        <v>1.825389034500392</v>
      </c>
      <c r="N29" s="27">
        <f t="shared" si="5"/>
        <v>5701512</v>
      </c>
      <c r="O29" s="30">
        <f t="shared" si="6"/>
        <v>2.0708685678634433</v>
      </c>
      <c r="P29" s="50">
        <v>25065019</v>
      </c>
      <c r="Q29" s="50">
        <v>783281.84375</v>
      </c>
      <c r="R29" s="50">
        <v>12136.59375</v>
      </c>
      <c r="S29" s="51">
        <v>51906360</v>
      </c>
      <c r="T29" s="51">
        <v>4198472</v>
      </c>
      <c r="U29" s="51">
        <v>1503040</v>
      </c>
      <c r="V29" s="51">
        <v>46204992</v>
      </c>
      <c r="W29" s="52">
        <v>71.492812499999999</v>
      </c>
      <c r="X29" s="52">
        <v>74.934843749999999</v>
      </c>
      <c r="Y29" s="52">
        <v>36.5576875</v>
      </c>
      <c r="Z29" s="52">
        <v>39.620221874999899</v>
      </c>
      <c r="AA29" s="52">
        <v>39.018403124999999</v>
      </c>
      <c r="AB29" s="53">
        <v>6041.01</v>
      </c>
      <c r="AC29" s="53">
        <v>2451.75</v>
      </c>
      <c r="AD29" s="53">
        <v>5.3639999999999999</v>
      </c>
      <c r="AE29" s="53">
        <v>21.84</v>
      </c>
      <c r="AF29">
        <v>32</v>
      </c>
      <c r="AG29" s="29">
        <f t="shared" si="7"/>
        <v>49.027927499999997</v>
      </c>
      <c r="AH29" s="30">
        <f t="shared" si="8"/>
        <v>2.0660403387935276</v>
      </c>
      <c r="AI29" s="30">
        <f t="shared" si="9"/>
        <v>0.22974029179681363</v>
      </c>
      <c r="AJ29" s="30">
        <f t="shared" si="10"/>
        <v>0.16992425216913382</v>
      </c>
      <c r="AK29" s="30">
        <f t="shared" si="11"/>
        <v>1.8363057359062795</v>
      </c>
      <c r="AL29" s="27">
        <f t="shared" si="12"/>
        <v>5815280</v>
      </c>
      <c r="AM29" s="30">
        <f t="shared" si="13"/>
        <v>2.0854617950008452</v>
      </c>
      <c r="AN29" s="50">
        <v>25076679</v>
      </c>
      <c r="AO29" s="50">
        <v>783646.21875</v>
      </c>
      <c r="AP29" s="50">
        <v>12295.4375</v>
      </c>
      <c r="AQ29" s="51">
        <v>52296456</v>
      </c>
      <c r="AR29" s="51">
        <v>4301192</v>
      </c>
      <c r="AS29" s="51">
        <v>1514088</v>
      </c>
      <c r="AT29" s="51">
        <v>46481320</v>
      </c>
      <c r="AU29" s="52">
        <v>71.488325000000003</v>
      </c>
      <c r="AV29" s="52">
        <v>74.921487499999998</v>
      </c>
      <c r="AW29" s="52">
        <v>36.5537843749999</v>
      </c>
      <c r="AX29" s="52">
        <v>39.622265624999997</v>
      </c>
      <c r="AY29" s="52">
        <v>39.013978125000001</v>
      </c>
      <c r="AZ29" s="53">
        <v>6009.47</v>
      </c>
      <c r="BA29" s="53">
        <v>2501.65</v>
      </c>
      <c r="BB29" s="53">
        <v>7.3360000000000003</v>
      </c>
      <c r="BC29" s="53">
        <v>31.576000000000001</v>
      </c>
      <c r="BD29">
        <v>32</v>
      </c>
      <c r="BE29" s="31">
        <f t="shared" si="14"/>
        <v>1.9549373485437498E-4</v>
      </c>
      <c r="BF29" s="31">
        <f t="shared" si="15"/>
        <v>1.356095199303034E-3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11660</v>
      </c>
      <c r="BV29" s="4">
        <f t="shared" si="18"/>
        <v>364.375</v>
      </c>
      <c r="BW29" s="4">
        <f t="shared" si="19"/>
        <v>158.84375</v>
      </c>
      <c r="BX29" s="4">
        <f t="shared" si="20"/>
        <v>390096</v>
      </c>
      <c r="BY29" s="4">
        <f t="shared" si="21"/>
        <v>102720</v>
      </c>
      <c r="BZ29" s="4">
        <f t="shared" si="22"/>
        <v>11048</v>
      </c>
      <c r="CA29" s="4">
        <f t="shared" si="23"/>
        <v>276328</v>
      </c>
      <c r="CB29" s="4">
        <f t="shared" si="24"/>
        <v>-4.4874999999962029E-3</v>
      </c>
      <c r="CC29" s="4">
        <f t="shared" si="25"/>
        <v>-1.3356250000001069E-2</v>
      </c>
      <c r="CD29" s="4">
        <f t="shared" si="26"/>
        <v>-3.9031250001002604E-3</v>
      </c>
      <c r="CE29" s="4">
        <f t="shared" si="27"/>
        <v>2.0437500000980435E-3</v>
      </c>
      <c r="CF29" s="4">
        <f t="shared" si="28"/>
        <v>-4.4249999999976808E-3</v>
      </c>
    </row>
    <row r="30" spans="1:84">
      <c r="B30" s="39" t="s">
        <v>286</v>
      </c>
      <c r="J30" s="40">
        <f>AVERAGE(J5:J24)</f>
        <v>0.43179176894855759</v>
      </c>
      <c r="K30" s="40">
        <f>AVERAGE(K5:K24)</f>
        <v>0.12487189656665994</v>
      </c>
      <c r="L30" s="40">
        <f>AVERAGE(L5:L24)</f>
        <v>8.5137108187666427E-2</v>
      </c>
      <c r="M30" s="40">
        <f>AVERAGE(M5:M24)</f>
        <v>0.30692508163868409</v>
      </c>
      <c r="AH30" s="40">
        <f>AVERAGE(AH5:AH24)</f>
        <v>0.43676121481366631</v>
      </c>
      <c r="AI30" s="40">
        <f>AVERAGE(AI5:AI24)</f>
        <v>0.12788256233917794</v>
      </c>
      <c r="AJ30" s="40">
        <f>AVERAGE(AJ5:AJ24)</f>
        <v>8.749969004592667E-2</v>
      </c>
      <c r="AK30" s="40">
        <f>AVERAGE(AK5:AK24)</f>
        <v>0.3088838617312748</v>
      </c>
      <c r="BG30" s="8">
        <f>AVERAGE(BG5:BG24)</f>
        <v>4.0860099911862735E-3</v>
      </c>
      <c r="BI30" s="5">
        <f>AVERAGE(BI5:BI24)</f>
        <v>2.5740554456594844E-2</v>
      </c>
      <c r="BJ30" s="5">
        <f>AVERAGE(BJ5:BJ24)</f>
        <v>2.5987606434120958E-2</v>
      </c>
      <c r="BK30" s="5">
        <f>AVERAGE(BK5:BK24)</f>
        <v>6.5715793991032723E-3</v>
      </c>
      <c r="BL30" s="5">
        <f>AVERAGE(BL5:BL24)</f>
        <v>-8.4559671413227955E-3</v>
      </c>
      <c r="BM30" s="5">
        <f>AVERAGE(BM5:BM24)</f>
        <v>4.2624734634242045E-3</v>
      </c>
      <c r="BO30" s="5">
        <f>AVERAGE(BO5:BO24)</f>
        <v>1.5238977811577237E-2</v>
      </c>
      <c r="BP30" s="5">
        <f>AVERAGE(BP5:BP24)</f>
        <v>1.5035363830052717E-2</v>
      </c>
      <c r="BQ30" s="5">
        <f>AVERAGE(BQ5:BQ24)</f>
        <v>1.3140035456952248E-2</v>
      </c>
      <c r="BR30" s="5">
        <f>AVERAGE(BR5:BR24)</f>
        <v>1.8942116469707615E-3</v>
      </c>
      <c r="BS30" s="5">
        <f>AVERAGE(BS5:BS24)</f>
        <v>1.1373615053454023E-2</v>
      </c>
    </row>
    <row r="31" spans="1:84">
      <c r="B31" s="39" t="s">
        <v>287</v>
      </c>
      <c r="J31" s="40">
        <f>AVERAGE(J25:J29)</f>
        <v>0.87603309807585283</v>
      </c>
      <c r="K31" s="40">
        <f>AVERAGE(K25:K29)</f>
        <v>0.12506201701552849</v>
      </c>
      <c r="L31" s="40">
        <f>AVERAGE(L25:L29)</f>
        <v>8.7651747712031186E-2</v>
      </c>
      <c r="M31" s="40">
        <f>AVERAGE(M25:M29)</f>
        <v>0.75097676996988993</v>
      </c>
      <c r="AH31" s="40">
        <f>AVERAGE(AH25:AH29)</f>
        <v>0.88365149613580807</v>
      </c>
      <c r="AI31" s="40">
        <f>AVERAGE(AI25:AI29)</f>
        <v>0.12711609262935394</v>
      </c>
      <c r="AJ31" s="40">
        <f>AVERAGE(AJ25:AJ29)</f>
        <v>8.9438002105528644E-2</v>
      </c>
      <c r="AK31" s="40">
        <f>AVERAGE(AK25:AK29)</f>
        <v>0.75654109241601986</v>
      </c>
      <c r="BG31" s="8">
        <f>AVERAGE(BG25:BG29)</f>
        <v>7.0973690480752305E-4</v>
      </c>
      <c r="BI31" s="5">
        <f>AVERAGE(BI25:BI29)</f>
        <v>1.5206561891403902E-2</v>
      </c>
      <c r="BJ31" s="5">
        <f>AVERAGE(BJ25:BJ29)</f>
        <v>1.4008980794830928E-2</v>
      </c>
      <c r="BK31" s="5">
        <f>AVERAGE(BK25:BK29)</f>
        <v>9.750739692392818E-3</v>
      </c>
      <c r="BL31" s="5">
        <f>AVERAGE(BL25:BL29)</f>
        <v>1.0098914298107609E-2</v>
      </c>
      <c r="BM31" s="5">
        <f>AVERAGE(BM25:BM29)</f>
        <v>9.4695233004127299E-3</v>
      </c>
      <c r="BO31" s="5">
        <f>AVERAGE(BO25:BO29)</f>
        <v>1.2624880064166399E-2</v>
      </c>
      <c r="BP31" s="5">
        <f>AVERAGE(BP25:BP29)</f>
        <v>8.0327351038791406E-3</v>
      </c>
      <c r="BQ31" s="5">
        <f>AVERAGE(BQ25:BQ29)</f>
        <v>1.0585328626707025E-2</v>
      </c>
      <c r="BR31" s="5">
        <f>AVERAGE(BR25:BR29)</f>
        <v>1.0854151875966389E-2</v>
      </c>
      <c r="BS31" s="5">
        <f>AVERAGE(BS25:BS29)</f>
        <v>1.035633374929934E-2</v>
      </c>
    </row>
    <row r="32" spans="1:84">
      <c r="B32" s="39" t="s">
        <v>288</v>
      </c>
      <c r="J32" s="40">
        <f>AVERAGE(J5:J29)</f>
        <v>0.52064003477401666</v>
      </c>
      <c r="K32" s="40">
        <f>AVERAGE(K5:K29)</f>
        <v>0.12490992065643365</v>
      </c>
      <c r="L32" s="40">
        <f>AVERAGE(L5:L29)</f>
        <v>8.5640036092539382E-2</v>
      </c>
      <c r="M32" s="40">
        <f>AVERAGE(M5:M29)</f>
        <v>0.39573541930492523</v>
      </c>
      <c r="AH32" s="40">
        <f>AVERAGE(AH5:AH29)</f>
        <v>0.52613927107809466</v>
      </c>
      <c r="AI32" s="40">
        <f>AVERAGE(AI5:AI29)</f>
        <v>0.12772926839721313</v>
      </c>
      <c r="AJ32" s="40">
        <f>AVERAGE(AJ5:AJ29)</f>
        <v>8.7887352457847068E-2</v>
      </c>
      <c r="AK32" s="40">
        <f>AVERAGE(AK5:AK29)</f>
        <v>0.39841530786822382</v>
      </c>
      <c r="BG32" s="8">
        <f>AVERAGE(BG5:BG29)</f>
        <v>3.4107553739105233E-3</v>
      </c>
      <c r="BI32" s="5">
        <f>AVERAGE(BI5:BI29)</f>
        <v>2.3633755943556656E-2</v>
      </c>
      <c r="BJ32" s="5">
        <f>AVERAGE(BJ5:BJ29)</f>
        <v>2.3591881306262951E-2</v>
      </c>
      <c r="BK32" s="5">
        <f>AVERAGE(BK5:BK29)</f>
        <v>7.2074114577611818E-3</v>
      </c>
      <c r="BL32" s="5">
        <f>AVERAGE(BL5:BL29)</f>
        <v>-4.7449908534367147E-3</v>
      </c>
      <c r="BM32" s="5">
        <f>AVERAGE(BM5:BM29)</f>
        <v>5.30388343082191E-3</v>
      </c>
      <c r="BO32" s="5">
        <f>AVERAGE(BO5:BO29)</f>
        <v>1.471615826209507E-2</v>
      </c>
      <c r="BP32" s="5">
        <f>AVERAGE(BP5:BP29)</f>
        <v>1.3634838084818001E-2</v>
      </c>
      <c r="BQ32" s="5">
        <f>AVERAGE(BQ5:BQ29)</f>
        <v>1.2629094090903204E-2</v>
      </c>
      <c r="BR32" s="5">
        <f>AVERAGE(BR5:BR29)</f>
        <v>3.6861996927698868E-3</v>
      </c>
      <c r="BS32" s="5">
        <f>AVERAGE(BS5:BS29)</f>
        <v>1.1170158792623086E-2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193487.87000000002</v>
      </c>
      <c r="AC33" s="41">
        <f>SUM(AC5:AC24,AC25:AC29)</f>
        <v>39988.549999999996</v>
      </c>
      <c r="AD33" s="41">
        <f>SUM(AD5:AD24,AD25:AD29)</f>
        <v>190.88800000000003</v>
      </c>
      <c r="AE33" s="41">
        <f>SUM(AE5:AE24,AE25:AE29)</f>
        <v>610.4</v>
      </c>
      <c r="AZ33" s="41">
        <f>SUM(AZ5:AZ24,AZ25:AZ29)</f>
        <v>213903.6</v>
      </c>
      <c r="BA33" s="41">
        <f>SUM(BA5:BA24,BA25:BA29)</f>
        <v>42282.12</v>
      </c>
      <c r="BB33" s="41">
        <f>SUM(BB5:BB24,BB25:BB29)</f>
        <v>183.47200000000004</v>
      </c>
      <c r="BC33" s="41">
        <f>SUM(BC5:BC24,BC25:BC29)</f>
        <v>630.05600000000004</v>
      </c>
    </row>
    <row r="34" spans="1:55" hidden="1" outlineLevel="2">
      <c r="B34" s="39" t="s">
        <v>291</v>
      </c>
      <c r="AZ34" s="8">
        <f>AZ33/AB33</f>
        <v>1.105514262987132</v>
      </c>
      <c r="BA34" s="8">
        <f>BA33/AC33</f>
        <v>1.0573556680599823</v>
      </c>
      <c r="BB34" s="8">
        <f>BB33/AD33</f>
        <v>0.96114999371359122</v>
      </c>
      <c r="BC34" s="8">
        <f>BC33/AE33</f>
        <v>1.0322018348623854</v>
      </c>
    </row>
    <row r="35" spans="1:55" hidden="1" outlineLevel="2">
      <c r="B35" s="39" t="s">
        <v>292</v>
      </c>
      <c r="AB35" s="41">
        <f>GEOMEAN(AB5:AB24,AB25:AB29)</f>
        <v>7530.0636790500866</v>
      </c>
      <c r="AC35" s="41">
        <f>GEOMEAN(AC5:AC24,AC25:AC29)</f>
        <v>1559.3380209119814</v>
      </c>
      <c r="AD35" s="41">
        <f>GEOMEAN(AD5:AD24,AD25:AD29)</f>
        <v>7.4273587807136634</v>
      </c>
      <c r="AE35" s="41">
        <f>GEOMEAN(AE5:AE24,AE25:AE29)</f>
        <v>23.870578497452797</v>
      </c>
      <c r="AZ35" s="41">
        <f>GEOMEAN(AZ5:AZ24,AZ25:AZ29)</f>
        <v>8290.5677579779986</v>
      </c>
      <c r="BA35" s="41">
        <f>GEOMEAN(BA5:BA24,BA25:BA29)</f>
        <v>1649.9585392570168</v>
      </c>
      <c r="BB35" s="41">
        <f>GEOMEAN(BB5:BB24,BB25:BB29)</f>
        <v>7.2377401335439107</v>
      </c>
      <c r="BC35" s="41">
        <f>GEOMEAN(BC5:BC24,BC25:BC29)</f>
        <v>24.777446401526646</v>
      </c>
    </row>
    <row r="36" spans="1:55" outlineLevel="2" collapsed="1">
      <c r="B36" s="39" t="s">
        <v>293</v>
      </c>
      <c r="AZ36" s="8">
        <f>AZ35/AB35</f>
        <v>1.1009957035348537</v>
      </c>
      <c r="BA36" s="8">
        <f>BA35/AC35</f>
        <v>1.0581147365931831</v>
      </c>
      <c r="BB36" s="8">
        <f>BB35/AD35</f>
        <v>0.97447024537684535</v>
      </c>
      <c r="BC36" s="8">
        <f>BC35/AE35</f>
        <v>1.0379910316865852</v>
      </c>
    </row>
    <row r="38" spans="1:55">
      <c r="AR38" s="4"/>
      <c r="AS38" s="4"/>
      <c r="AT38" s="4"/>
      <c r="AU38" s="4"/>
      <c r="AV38" s="4"/>
      <c r="AW38" s="4"/>
      <c r="AX38" s="4"/>
      <c r="AY38" s="4"/>
    </row>
    <row r="39" spans="1:55">
      <c r="AQ39" s="4"/>
      <c r="AR39" s="4"/>
      <c r="AS39" s="4"/>
      <c r="AT39" s="4"/>
      <c r="AU39" s="4"/>
      <c r="AV39" s="4"/>
      <c r="AW39" s="4"/>
      <c r="AX39" s="4"/>
      <c r="AY39" s="4"/>
    </row>
    <row r="40" spans="1:55"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Q48" s="4"/>
      <c r="AR48" s="4"/>
      <c r="AS48" s="4"/>
      <c r="AT48" s="4"/>
      <c r="AU48" s="4"/>
      <c r="AV48" s="4"/>
      <c r="AW48" s="4"/>
      <c r="AX48" s="4"/>
      <c r="AY48" s="4"/>
    </row>
    <row r="49" spans="43:51">
      <c r="AQ49" s="4"/>
      <c r="AR49" s="4"/>
      <c r="AS49" s="4"/>
      <c r="AT49" s="4"/>
      <c r="AU49" s="4"/>
      <c r="AV49" s="4"/>
      <c r="AW49" s="4"/>
      <c r="AX49" s="4"/>
      <c r="AY49" s="4"/>
    </row>
    <row r="50" spans="43:51">
      <c r="AQ50" s="4"/>
      <c r="AR50" s="4"/>
      <c r="AS50" s="4"/>
      <c r="AT50" s="4"/>
      <c r="AU50" s="4"/>
      <c r="AV50" s="4"/>
      <c r="AW50" s="4"/>
      <c r="AX50" s="4"/>
      <c r="AY50" s="4"/>
    </row>
    <row r="51" spans="43:51">
      <c r="AQ51" s="4"/>
      <c r="AR51" s="4"/>
      <c r="AS51" s="4"/>
      <c r="AT51" s="4"/>
      <c r="AU51" s="4"/>
      <c r="AV51" s="4"/>
      <c r="AW51" s="4"/>
      <c r="AX51" s="4"/>
      <c r="AY51" s="4"/>
    </row>
    <row r="52" spans="43:51">
      <c r="AQ52" s="4"/>
      <c r="AR52" s="4"/>
      <c r="AS52" s="4"/>
      <c r="AT52" s="4"/>
      <c r="AU52" s="4"/>
      <c r="AV52" s="4"/>
      <c r="AW52" s="4"/>
      <c r="AX52" s="4"/>
      <c r="AY52" s="4"/>
    </row>
    <row r="53" spans="43:51">
      <c r="AQ53" s="4"/>
      <c r="AR53" s="4"/>
      <c r="AS53" s="4"/>
      <c r="AT53" s="4"/>
      <c r="AU53" s="4"/>
      <c r="AV53" s="4"/>
      <c r="AW53" s="4"/>
      <c r="AX53" s="4"/>
      <c r="AY53" s="4"/>
    </row>
    <row r="54" spans="43:51">
      <c r="AQ54" s="4"/>
      <c r="AR54" s="4"/>
      <c r="AS54" s="4"/>
      <c r="AT54" s="4"/>
      <c r="AU54" s="4"/>
      <c r="AV54" s="4"/>
      <c r="AW54" s="4"/>
      <c r="AX54" s="4"/>
      <c r="AY54" s="4"/>
    </row>
    <row r="55" spans="43:51">
      <c r="AQ55" s="4"/>
      <c r="AR55" s="4"/>
      <c r="AS55" s="4"/>
      <c r="AT55" s="4"/>
      <c r="AU55" s="4"/>
      <c r="AV55" s="4"/>
      <c r="AW55" s="4"/>
      <c r="AX55" s="4"/>
      <c r="AY55" s="4"/>
    </row>
    <row r="56" spans="43:51">
      <c r="AQ56" s="4"/>
      <c r="AR56" s="4"/>
      <c r="AS56" s="4"/>
      <c r="AT56" s="4"/>
      <c r="AU56" s="4"/>
      <c r="AV56" s="4"/>
      <c r="AW56" s="4"/>
      <c r="AX56" s="4"/>
      <c r="AY56" s="4"/>
    </row>
    <row r="57" spans="43:51">
      <c r="AQ57" s="4"/>
      <c r="AR57" s="4"/>
      <c r="AS57" s="4"/>
      <c r="AT57" s="4"/>
      <c r="AU57" s="4"/>
      <c r="AV57" s="4"/>
      <c r="AW57" s="4"/>
      <c r="AX57" s="4"/>
      <c r="AY57" s="4"/>
    </row>
    <row r="58" spans="43:51">
      <c r="AQ58" s="4"/>
      <c r="AR58" s="4"/>
      <c r="AS58" s="4"/>
      <c r="AT58" s="4"/>
      <c r="AU58" s="4"/>
      <c r="AV58" s="4"/>
      <c r="AW58" s="4"/>
      <c r="AX58" s="4"/>
      <c r="AY58" s="4"/>
    </row>
    <row r="59" spans="43:51">
      <c r="AQ59" s="4"/>
      <c r="AR59" s="4"/>
      <c r="AS59" s="4"/>
      <c r="AT59" s="4"/>
      <c r="AU59" s="4"/>
      <c r="AV59" s="4"/>
      <c r="AW59" s="4"/>
      <c r="AX59" s="4"/>
      <c r="AY59" s="4"/>
    </row>
    <row r="60" spans="43:51">
      <c r="AQ60" s="4"/>
      <c r="AR60" s="4"/>
      <c r="AS60" s="4"/>
      <c r="AT60" s="4"/>
      <c r="AU60" s="4"/>
      <c r="AV60" s="4"/>
      <c r="AW60" s="4"/>
      <c r="AX60" s="4"/>
      <c r="AY60" s="4"/>
    </row>
    <row r="61" spans="43:51">
      <c r="AQ61" s="4"/>
      <c r="AR61" s="4"/>
      <c r="AS61" s="4"/>
      <c r="AT61" s="4"/>
      <c r="AU61" s="4"/>
      <c r="AV61" s="4"/>
      <c r="AW61" s="4"/>
      <c r="AX61" s="4"/>
      <c r="AY61" s="4"/>
    </row>
    <row r="62" spans="43:51">
      <c r="AQ62" s="4"/>
      <c r="AR62" s="4"/>
      <c r="AS62" s="4"/>
      <c r="AT62" s="4"/>
      <c r="AU62" s="4"/>
      <c r="AV62" s="4"/>
      <c r="AW62" s="4"/>
      <c r="AX62" s="4"/>
      <c r="AY62" s="4"/>
    </row>
    <row r="63" spans="43:51">
      <c r="AQ63" s="4"/>
      <c r="AR63" s="4"/>
      <c r="AS63" s="4"/>
      <c r="AT63" s="4"/>
      <c r="AU63" s="4"/>
      <c r="AV63" s="4"/>
      <c r="AW63" s="4"/>
      <c r="AX63" s="4"/>
      <c r="AY63" s="4"/>
    </row>
  </sheetData>
  <mergeCells count="47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CD2:CF2"/>
    <mergeCell ref="BU2:BU3"/>
    <mergeCell ref="BV2:BV3"/>
    <mergeCell ref="BW2:BW3"/>
    <mergeCell ref="BX2:CA2"/>
    <mergeCell ref="CB2:CC2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8"/>
  <sheetViews>
    <sheetView zoomScale="85" zoomScaleNormal="85" workbookViewId="0">
      <pane xSplit="2" topLeftCell="AV1" activePane="topRight" state="frozen"/>
      <selection pane="topRight" activeCell="BH2" sqref="BH2:BL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364</v>
      </c>
      <c r="B1" s="73"/>
      <c r="C1" s="73"/>
      <c r="D1" s="73"/>
      <c r="E1" s="73"/>
      <c r="F1" s="73"/>
      <c r="H1" s="67" t="str">
        <f>Summary!C1</f>
        <v>tested-rc0.9 (2 patch orientations, CTC)</v>
      </c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E1" s="68" t="str">
        <f>Summary!C2</f>
        <v>tested-rc0.9 (2 patch orientations, tetris)</v>
      </c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</row>
    <row r="2" spans="1:64" ht="30" customHeight="1" thickBot="1">
      <c r="A2" s="71" t="s">
        <v>91</v>
      </c>
      <c r="B2" s="70" t="s">
        <v>94</v>
      </c>
      <c r="C2" s="71" t="s">
        <v>100</v>
      </c>
      <c r="D2" s="70" t="s">
        <v>103</v>
      </c>
      <c r="E2" s="71" t="s">
        <v>106</v>
      </c>
      <c r="F2" s="70" t="s">
        <v>109</v>
      </c>
      <c r="H2" s="71" t="s">
        <v>308</v>
      </c>
      <c r="I2" s="70" t="s">
        <v>112</v>
      </c>
      <c r="J2" s="69" t="s">
        <v>115</v>
      </c>
      <c r="K2" s="69"/>
      <c r="L2" s="69"/>
      <c r="M2" s="69"/>
      <c r="N2" s="71" t="s">
        <v>128</v>
      </c>
      <c r="O2" s="70" t="s">
        <v>131</v>
      </c>
      <c r="P2" s="71" t="s">
        <v>22</v>
      </c>
      <c r="Q2" s="72" t="s">
        <v>140</v>
      </c>
      <c r="R2" s="72"/>
      <c r="S2" s="72"/>
      <c r="T2" s="72"/>
      <c r="U2" s="69" t="s">
        <v>151</v>
      </c>
      <c r="V2" s="69"/>
      <c r="W2" s="72" t="s">
        <v>158</v>
      </c>
      <c r="X2" s="72"/>
      <c r="Y2" s="72"/>
      <c r="Z2" s="69" t="s">
        <v>168</v>
      </c>
      <c r="AA2" s="69"/>
      <c r="AB2" s="72" t="s">
        <v>175</v>
      </c>
      <c r="AC2" s="72"/>
      <c r="AE2" s="71" t="s">
        <v>308</v>
      </c>
      <c r="AF2" s="70" t="s">
        <v>112</v>
      </c>
      <c r="AG2" s="69" t="s">
        <v>115</v>
      </c>
      <c r="AH2" s="69"/>
      <c r="AI2" s="69"/>
      <c r="AJ2" s="69"/>
      <c r="AK2" s="71" t="s">
        <v>190</v>
      </c>
      <c r="AL2" s="70" t="s">
        <v>131</v>
      </c>
      <c r="AM2" s="71" t="s">
        <v>22</v>
      </c>
      <c r="AN2" s="72" t="s">
        <v>140</v>
      </c>
      <c r="AO2" s="72"/>
      <c r="AP2" s="72"/>
      <c r="AQ2" s="72"/>
      <c r="AR2" s="69" t="s">
        <v>151</v>
      </c>
      <c r="AS2" s="69"/>
      <c r="AT2" s="72" t="s">
        <v>158</v>
      </c>
      <c r="AU2" s="72"/>
      <c r="AV2" s="72"/>
      <c r="AW2" s="69" t="s">
        <v>168</v>
      </c>
      <c r="AX2" s="69"/>
      <c r="AY2" s="72" t="s">
        <v>175</v>
      </c>
      <c r="AZ2" s="72"/>
      <c r="BB2" s="69" t="s">
        <v>355</v>
      </c>
      <c r="BC2" s="69"/>
      <c r="BD2" s="69"/>
      <c r="BE2" s="70" t="s">
        <v>230</v>
      </c>
      <c r="BF2" s="71" t="s">
        <v>230</v>
      </c>
      <c r="BH2" s="71" t="s">
        <v>22</v>
      </c>
      <c r="BI2" s="72" t="s">
        <v>140</v>
      </c>
      <c r="BJ2" s="72"/>
      <c r="BK2" s="72"/>
      <c r="BL2" s="72"/>
    </row>
    <row r="3" spans="1:64" ht="30.75" thickBot="1">
      <c r="A3" s="71"/>
      <c r="B3" s="70"/>
      <c r="C3" s="71"/>
      <c r="D3" s="70"/>
      <c r="E3" s="71"/>
      <c r="F3" s="70"/>
      <c r="H3" s="71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0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0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71"/>
      <c r="BH3" s="71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0.2950521679436014</v>
      </c>
      <c r="I5" s="17">
        <f>IF(OR(ISBLANK(Q5),ISBLANK(F5)),"·",Q5*F5/E5/1000000)</f>
        <v>207.162645</v>
      </c>
      <c r="J5" s="18">
        <f>IF(ISBLANK(Q5),"·",Q5/C5)</f>
        <v>8.8515650383080402</v>
      </c>
      <c r="K5" s="18">
        <f>IF(N5="","·",N5/C5)</f>
        <v>1.3701716380176028</v>
      </c>
      <c r="L5" s="18">
        <f>IF(R5="","·",R5/C5)</f>
        <v>1.2905172221449788</v>
      </c>
      <c r="M5" s="18">
        <f>IF(ISBLANK(T5),"·",T5/C5)</f>
        <v>7.4813991685180072</v>
      </c>
      <c r="N5" s="15">
        <f>IF(OR(ISBLANK(R5),ISBLANK(S5)),"",R5+S5)</f>
        <v>34205432</v>
      </c>
      <c r="O5" s="18">
        <f>IF(ISBLANK(Q5),"·",Q5/P5)</f>
        <v>8.8515650383080402</v>
      </c>
      <c r="P5" s="42">
        <v>24964341</v>
      </c>
      <c r="Q5" s="43">
        <v>220973488</v>
      </c>
      <c r="R5" s="43">
        <v>32216912</v>
      </c>
      <c r="S5" s="43">
        <v>1988520</v>
      </c>
      <c r="T5" s="43">
        <v>186768200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3390.24</v>
      </c>
      <c r="AA5" s="45">
        <v>4016.19</v>
      </c>
      <c r="AB5" s="45">
        <v>3.2719999999999998</v>
      </c>
      <c r="AC5" s="45">
        <v>23.744</v>
      </c>
      <c r="AE5" s="19">
        <f>IF(ISBLANK(AN5),"·",AN5/(C5*D5*3))</f>
        <v>0.29569042232411957</v>
      </c>
      <c r="AF5" s="17">
        <f>IF(OR(ISBLANK(AN5),ISBLANK(F5)),"·",AN5*F5/E5/1000000)</f>
        <v>207.61077750000001</v>
      </c>
      <c r="AG5" s="18">
        <f>IF(ISBLANK(AN5),"·",AN5/C5)</f>
        <v>8.8707126697235861</v>
      </c>
      <c r="AH5" s="18">
        <f>IF(AK5="","·",AK5/C5)</f>
        <v>1.3702693774291899</v>
      </c>
      <c r="AI5" s="18">
        <f>IF(AO5="","·",AO5/C5)</f>
        <v>1.2900839641631237</v>
      </c>
      <c r="AJ5" s="18">
        <f>IF(ISBLANK(AQ5),"·",AQ5/C5)</f>
        <v>7.5004490605219658</v>
      </c>
      <c r="AK5" s="15">
        <f>IF(OR(ISBLANK(AO5),ISBLANK(AP5)),"",AO5+AP5)</f>
        <v>34207872</v>
      </c>
      <c r="AL5" s="18">
        <f>IF(ISBLANK(AN5),"·",AN5/AM5)</f>
        <v>8.8707126697235861</v>
      </c>
      <c r="AM5" s="42">
        <v>24964341</v>
      </c>
      <c r="AN5" s="43">
        <v>221451496</v>
      </c>
      <c r="AO5" s="43">
        <v>32206096</v>
      </c>
      <c r="AP5" s="43">
        <v>2001776</v>
      </c>
      <c r="AQ5" s="43">
        <v>187243768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5144.97</v>
      </c>
      <c r="AX5" s="45">
        <v>4683.05</v>
      </c>
      <c r="AY5" s="45">
        <v>3.56</v>
      </c>
      <c r="AZ5" s="45">
        <v>27.248000000000001</v>
      </c>
      <c r="BB5" s="20">
        <f t="shared" ref="BB5:BB12" si="0">AG5/J5</f>
        <v>1.0021631916313871</v>
      </c>
      <c r="BC5" s="20">
        <f t="shared" ref="BC5:BD12" si="1">AI5/L5</f>
        <v>0.99966427570711924</v>
      </c>
      <c r="BD5" s="20">
        <f t="shared" si="1"/>
        <v>1.0025463007085789</v>
      </c>
      <c r="BE5" s="19">
        <f>(AK5/AN5) - (N5/Q5)</f>
        <v>-3.2310869667992459E-4</v>
      </c>
      <c r="BF5" s="19">
        <f t="array" ref="BF5">AVERAGE(AK5:AK5/AN5:AN5) - AVERAGE(N5:N5/Q5:Q5)</f>
        <v>-3.2310869667992459E-4</v>
      </c>
      <c r="BH5" s="4">
        <f>AM5-P5</f>
        <v>0</v>
      </c>
      <c r="BI5" s="4">
        <f t="shared" ref="BI5:BL9" si="2">AN5-Q5</f>
        <v>478008</v>
      </c>
      <c r="BJ5" s="4">
        <f t="shared" si="2"/>
        <v>-10816</v>
      </c>
      <c r="BK5" s="4">
        <f t="shared" si="2"/>
        <v>13256</v>
      </c>
      <c r="BL5" s="4">
        <f t="shared" si="2"/>
        <v>475568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0.42430317639830295</v>
      </c>
      <c r="I6" s="23">
        <f>IF(OR(ISBLANK(Q6),ISBLANK(F6)),"·",Q6*F6/E6/1000000)</f>
        <v>270.35153250000002</v>
      </c>
      <c r="J6" s="24">
        <f>IF(ISBLANK(Q6),"·",Q6/C6)</f>
        <v>12.729095291949088</v>
      </c>
      <c r="K6" s="24">
        <f>IF(N6="","·",N6/C6)</f>
        <v>1.6688130708257756</v>
      </c>
      <c r="L6" s="24">
        <f>IF(R6="","·",R6/C6)</f>
        <v>1.5309702509257535</v>
      </c>
      <c r="M6" s="24">
        <f>IF(ISBLANK(T6),"·",T6/C6)</f>
        <v>11.060288577395269</v>
      </c>
      <c r="N6" s="21">
        <f>IF(OR(ISBLANK(R6),ISBLANK(S6)),"",R6+S6)</f>
        <v>37806608</v>
      </c>
      <c r="O6" s="24">
        <f>IF(ISBLANK(Q6),"·",Q6/P6)</f>
        <v>12.729095291949088</v>
      </c>
      <c r="P6" s="46">
        <v>22654789</v>
      </c>
      <c r="Q6" s="47">
        <v>288374968</v>
      </c>
      <c r="R6" s="47">
        <v>34683808</v>
      </c>
      <c r="S6" s="47">
        <v>3122800</v>
      </c>
      <c r="T6" s="47">
        <v>250568504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3129</v>
      </c>
      <c r="AA6" s="49">
        <v>4074.93</v>
      </c>
      <c r="AB6" s="49">
        <v>2.952</v>
      </c>
      <c r="AC6" s="49">
        <v>23.911999999999999</v>
      </c>
      <c r="AE6" s="25">
        <f>IF(ISBLANK(AN6),"·",AN6/(C6*D6*3))</f>
        <v>0.4227862638667701</v>
      </c>
      <c r="AF6" s="23">
        <f>IF(OR(ISBLANK(AN6),ISBLANK(F6)),"·",AN6*F6/E6/1000000)</f>
        <v>269.38500749999997</v>
      </c>
      <c r="AG6" s="24">
        <f>IF(ISBLANK(AN6),"·",AN6/C6)</f>
        <v>12.683587916003102</v>
      </c>
      <c r="AH6" s="24">
        <f>IF(AK6="","·",AK6/C6)</f>
        <v>1.6690132933924038</v>
      </c>
      <c r="AI6" s="24">
        <f>IF(AO6="","·",AO6/C6)</f>
        <v>1.5303293268368114</v>
      </c>
      <c r="AJ6" s="24">
        <f>IF(ISBLANK(AQ6),"·",AQ6/C6)</f>
        <v>11.014580978882655</v>
      </c>
      <c r="AK6" s="21">
        <f>IF(OR(ISBLANK(AO6),ISBLANK(AP6)),"",AO6+AP6)</f>
        <v>37811144</v>
      </c>
      <c r="AL6" s="24">
        <f>IF(ISBLANK(AN6),"·",AN6/AM6)</f>
        <v>12.683587916003102</v>
      </c>
      <c r="AM6" s="46">
        <v>22654789</v>
      </c>
      <c r="AN6" s="47">
        <v>287344008</v>
      </c>
      <c r="AO6" s="47">
        <v>34669288</v>
      </c>
      <c r="AP6" s="47">
        <v>3141856</v>
      </c>
      <c r="AQ6" s="47">
        <v>249533008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6157.72</v>
      </c>
      <c r="AX6" s="49">
        <v>5296.56</v>
      </c>
      <c r="AY6" s="49">
        <v>3.476</v>
      </c>
      <c r="AZ6" s="49">
        <v>27.643999999999998</v>
      </c>
      <c r="BB6" s="26">
        <f t="shared" si="0"/>
        <v>0.99642493241646413</v>
      </c>
      <c r="BC6" s="26">
        <f t="shared" si="1"/>
        <v>0.99958136084711346</v>
      </c>
      <c r="BD6" s="26">
        <f t="shared" si="1"/>
        <v>0.99586741356766861</v>
      </c>
      <c r="BE6" s="25">
        <f>(AK6/AN6) - (N6/Q6)</f>
        <v>4.8616701519751948E-4</v>
      </c>
      <c r="BF6" s="25">
        <f t="array" ref="BF6">AVERAGE(AK6:AK6/AN6:AN6) - AVERAGE(N6:N6/Q6:Q6)</f>
        <v>4.8616701519751948E-4</v>
      </c>
      <c r="BH6" s="4">
        <f t="shared" ref="BH6:BH9" si="3">AM6-P6</f>
        <v>0</v>
      </c>
      <c r="BI6" s="4">
        <f t="shared" si="2"/>
        <v>-1030960</v>
      </c>
      <c r="BJ6" s="4">
        <f t="shared" si="2"/>
        <v>-14520</v>
      </c>
      <c r="BK6" s="4">
        <f t="shared" si="2"/>
        <v>19056</v>
      </c>
      <c r="BL6" s="4">
        <f t="shared" si="2"/>
        <v>-1035496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0.32849717124825101</v>
      </c>
      <c r="I7" s="17">
        <f>IF(OR(ISBLANK(Q7),ISBLANK(F7)),"·",Q7*F7/E7/1000000)</f>
        <v>313.64238749999998</v>
      </c>
      <c r="J7" s="18">
        <f>IF(ISBLANK(Q7),"·",Q7/C7)</f>
        <v>9.8549151374475308</v>
      </c>
      <c r="K7" s="18">
        <f>IF(N7="","·",N7/C7)</f>
        <v>1.6144670460618296</v>
      </c>
      <c r="L7" s="18">
        <f>IF(R7="","·",R7/C7)</f>
        <v>1.5006737124421736</v>
      </c>
      <c r="M7" s="18">
        <f>IF(ISBLANK(T7),"·",T7/C7)</f>
        <v>8.2404523332024855</v>
      </c>
      <c r="N7" s="15">
        <f>IF(OR(ISBLANK(R7),ISBLANK(S7)),"",R7+S7)</f>
        <v>54807472</v>
      </c>
      <c r="O7" s="18">
        <f>IF(ISBLANK(Q7),"·",Q7/P7)</f>
        <v>9.8549151374475308</v>
      </c>
      <c r="P7" s="42">
        <v>33947718</v>
      </c>
      <c r="Q7" s="43">
        <v>334551880</v>
      </c>
      <c r="R7" s="43">
        <v>50944448</v>
      </c>
      <c r="S7" s="43">
        <v>3863024</v>
      </c>
      <c r="T7" s="43">
        <v>279744552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6197.69</v>
      </c>
      <c r="AA7" s="45">
        <v>6585.92</v>
      </c>
      <c r="AB7" s="45">
        <v>4.4880000000000004</v>
      </c>
      <c r="AC7" s="45">
        <v>30.463999999999999</v>
      </c>
      <c r="AE7" s="19">
        <f>IF(ISBLANK(AN7),"·",AN7/(C7*D7*3))</f>
        <v>0.32668021259435859</v>
      </c>
      <c r="AF7" s="17">
        <f>IF(OR(ISBLANK(AN7),ISBLANK(F7)),"·",AN7*F7/E7/1000000)</f>
        <v>311.90759250000002</v>
      </c>
      <c r="AG7" s="18">
        <f>IF(ISBLANK(AN7),"·",AN7/C7)</f>
        <v>9.8004063778307575</v>
      </c>
      <c r="AH7" s="18">
        <f>IF(AK7="","·",AK7/C7)</f>
        <v>1.6143890437642967</v>
      </c>
      <c r="AI7" s="18">
        <f>IF(AO7="","·",AO7/C7)</f>
        <v>1.5002144179470325</v>
      </c>
      <c r="AJ7" s="18">
        <f>IF(ISBLANK(AQ7),"·",AQ7/C7)</f>
        <v>8.1860215758832453</v>
      </c>
      <c r="AK7" s="15">
        <f>IF(OR(ISBLANK(AO7),ISBLANK(AP7)),"",AO7+AP7)</f>
        <v>54804824</v>
      </c>
      <c r="AL7" s="18">
        <f>IF(ISBLANK(AN7),"·",AN7/AM7)</f>
        <v>9.8004063778307575</v>
      </c>
      <c r="AM7" s="42">
        <v>33947718</v>
      </c>
      <c r="AN7" s="43">
        <v>332701432</v>
      </c>
      <c r="AO7" s="43">
        <v>50928856</v>
      </c>
      <c r="AP7" s="43">
        <v>3875968</v>
      </c>
      <c r="AQ7" s="43">
        <v>277896752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9070.2199999999993</v>
      </c>
      <c r="AX7" s="45">
        <v>7434.13</v>
      </c>
      <c r="AY7" s="45">
        <v>5.18</v>
      </c>
      <c r="AZ7" s="45">
        <v>35.783999999999999</v>
      </c>
      <c r="BB7" s="20">
        <f t="shared" si="0"/>
        <v>0.99446887579887455</v>
      </c>
      <c r="BC7" s="20">
        <f t="shared" si="1"/>
        <v>0.99969394113368337</v>
      </c>
      <c r="BD7" s="20">
        <f t="shared" si="1"/>
        <v>0.99339468816536591</v>
      </c>
      <c r="BE7" s="19">
        <f>(AK7/AN7) - (N7/Q7)</f>
        <v>9.0320902129961689E-4</v>
      </c>
      <c r="BF7" s="19">
        <f t="array" ref="BF7">AVERAGE(AK7:AK7/AN7:AN7) - AVERAGE(N7:N7/Q7:Q7)</f>
        <v>9.0320902129961689E-4</v>
      </c>
      <c r="BH7" s="4">
        <f t="shared" si="3"/>
        <v>0</v>
      </c>
      <c r="BI7" s="4">
        <f t="shared" si="2"/>
        <v>-1850448</v>
      </c>
      <c r="BJ7" s="4">
        <f t="shared" si="2"/>
        <v>-15592</v>
      </c>
      <c r="BK7" s="4">
        <f t="shared" si="2"/>
        <v>12944</v>
      </c>
      <c r="BL7" s="4">
        <f t="shared" si="2"/>
        <v>-1847800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0.26317799713996626</v>
      </c>
      <c r="I8" s="35">
        <f>IF(OR(ISBLANK(Q8),ISBLANK(F8)),"·",Q8*F8/E8/1000000)</f>
        <v>397.35325</v>
      </c>
      <c r="J8" s="36">
        <f>IF(ISBLANK(Q8),"·",Q8/C8)</f>
        <v>7.8953399141989866</v>
      </c>
      <c r="K8" s="36">
        <f>IF(N8="","·",N8/C8)</f>
        <v>1.2380188131858525</v>
      </c>
      <c r="L8" s="36">
        <f>IF(R8="","·",R8/C8)</f>
        <v>1.0871914351860403</v>
      </c>
      <c r="M8" s="36">
        <f>IF(ISBLANK(T8),"·",T8/C8)</f>
        <v>6.6573255717239705</v>
      </c>
      <c r="N8" s="33">
        <f>IF(OR(ISBLANK(R8),ISBLANK(S8)),"",R8+S8)</f>
        <v>39876144</v>
      </c>
      <c r="O8" s="36">
        <f>IF(ISBLANK(Q8),"·",Q8/P8)</f>
        <v>7.8953399141989866</v>
      </c>
      <c r="P8" s="54">
        <v>32209643</v>
      </c>
      <c r="Q8" s="55">
        <v>254306080</v>
      </c>
      <c r="R8" s="55">
        <v>35018048</v>
      </c>
      <c r="S8" s="55">
        <v>4858096</v>
      </c>
      <c r="T8" s="55">
        <v>214430080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6213.18</v>
      </c>
      <c r="AA8" s="57">
        <v>4605.16</v>
      </c>
      <c r="AB8" s="57">
        <v>4.0999999999999996</v>
      </c>
      <c r="AC8" s="57">
        <v>25.872</v>
      </c>
      <c r="AE8" s="37">
        <f>IF(ISBLANK(AN8),"·",AN8/(C8*D8*3))</f>
        <v>0.26029520828074171</v>
      </c>
      <c r="AF8" s="35">
        <f>IF(OR(ISBLANK(AN8),ISBLANK(F8)),"·",AN8*F8/E8/1000000)</f>
        <v>393.00073750000001</v>
      </c>
      <c r="AG8" s="36">
        <f>IF(ISBLANK(AN8),"·",AN8/C8)</f>
        <v>7.8088562484222503</v>
      </c>
      <c r="AH8" s="36">
        <f>IF(AK8="","·",AK8/C8)</f>
        <v>1.2379080389062369</v>
      </c>
      <c r="AI8" s="36">
        <f>IF(AO8="","·",AO8/C8)</f>
        <v>1.0863631118171662</v>
      </c>
      <c r="AJ8" s="36">
        <f>IF(ISBLANK(AQ8),"·",AQ8/C8)</f>
        <v>6.5709526802268501</v>
      </c>
      <c r="AK8" s="33">
        <f>IF(OR(ISBLANK(AO8),ISBLANK(AP8)),"",AO8+AP8)</f>
        <v>39872576</v>
      </c>
      <c r="AL8" s="36">
        <f>IF(ISBLANK(AN8),"·",AN8/AM8)</f>
        <v>7.8088562484222503</v>
      </c>
      <c r="AM8" s="54">
        <v>32209643</v>
      </c>
      <c r="AN8" s="55">
        <v>251520472</v>
      </c>
      <c r="AO8" s="55">
        <v>34991368</v>
      </c>
      <c r="AP8" s="55">
        <v>4881208</v>
      </c>
      <c r="AQ8" s="55">
        <v>211648040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8981.0300000000007</v>
      </c>
      <c r="AX8" s="57">
        <v>5326.99</v>
      </c>
      <c r="AY8" s="57">
        <v>4.1120000000000001</v>
      </c>
      <c r="AZ8" s="57">
        <v>28.388000000000002</v>
      </c>
      <c r="BB8" s="38">
        <f t="shared" si="0"/>
        <v>0.98904623908323386</v>
      </c>
      <c r="BC8" s="38">
        <f t="shared" si="1"/>
        <v>0.99923810716119887</v>
      </c>
      <c r="BD8" s="38">
        <f t="shared" si="1"/>
        <v>0.98702588741281083</v>
      </c>
      <c r="BE8" s="37">
        <f>(AK8/AN8) - (N8/Q8)</f>
        <v>1.7224273802195211E-3</v>
      </c>
      <c r="BF8" s="37">
        <f t="array" ref="BF8">AVERAGE(AK8:AK8/AN8:AN8) - AVERAGE(N8:N8/Q8:Q8)</f>
        <v>1.7224273802195211E-3</v>
      </c>
      <c r="BH8" s="4">
        <f t="shared" si="3"/>
        <v>0</v>
      </c>
      <c r="BI8" s="4">
        <f t="shared" si="2"/>
        <v>-2785608</v>
      </c>
      <c r="BJ8" s="4">
        <f t="shared" si="2"/>
        <v>-26680</v>
      </c>
      <c r="BK8" s="4">
        <f t="shared" si="2"/>
        <v>23112</v>
      </c>
      <c r="BL8" s="4">
        <f t="shared" si="2"/>
        <v>-2782040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0.50098941725865564</v>
      </c>
      <c r="I9" s="29">
        <f>IF(OR(ISBLANK(Q9),ISBLANK(F9)),"·",Q9*F9/E9/1000000)</f>
        <v>356.66011500000002</v>
      </c>
      <c r="J9" s="30">
        <f>IF(ISBLANK(Q9),"·",Q9/C9)</f>
        <v>15.029682517759669</v>
      </c>
      <c r="K9" s="30">
        <f>IF(N9="","·",N9/C9)</f>
        <v>1.5098546135950401</v>
      </c>
      <c r="L9" s="30">
        <f>IF(R9="","·",R9/C9)</f>
        <v>1.411390018681747</v>
      </c>
      <c r="M9" s="30">
        <f>IF(ISBLANK(T9),"·",T9/C9)</f>
        <v>13.519833593074194</v>
      </c>
      <c r="N9" s="27">
        <f>IF(OR(ISBLANK(R9),ISBLANK(S9)),"",R9+S9)</f>
        <v>38218056</v>
      </c>
      <c r="O9" s="30">
        <f>IF(ISBLANK(Q9),"·",Q9/P9)</f>
        <v>15.029682517759669</v>
      </c>
      <c r="P9" s="50">
        <v>25312408</v>
      </c>
      <c r="Q9" s="51">
        <v>380437456</v>
      </c>
      <c r="R9" s="51">
        <v>35725680</v>
      </c>
      <c r="S9" s="51">
        <v>2492376</v>
      </c>
      <c r="T9" s="51">
        <v>342219544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4939.92</v>
      </c>
      <c r="AA9" s="53">
        <v>5330.96</v>
      </c>
      <c r="AB9" s="53">
        <v>3.7240000000000002</v>
      </c>
      <c r="AC9" s="53">
        <v>32.316000000000003</v>
      </c>
      <c r="AE9" s="31">
        <f>IF(ISBLANK(AN9),"·",AN9/(C9*D9*3))</f>
        <v>0.50027556445834787</v>
      </c>
      <c r="AF9" s="29">
        <f>IF(OR(ISBLANK(AN9),ISBLANK(F9)),"·",AN9*F9/E9/1000000)</f>
        <v>356.15191499999997</v>
      </c>
      <c r="AG9" s="30">
        <f>IF(ISBLANK(AN9),"·",AN9/C9)</f>
        <v>15.008266933750436</v>
      </c>
      <c r="AH9" s="30">
        <f>IF(AK9="","·",AK9/C9)</f>
        <v>1.5118874506131539</v>
      </c>
      <c r="AI9" s="30">
        <f>IF(AO9="","·",AO9/C9)</f>
        <v>1.4128015003550827</v>
      </c>
      <c r="AJ9" s="30">
        <f>IF(ISBLANK(AQ9),"·",AQ9/C9)</f>
        <v>13.496385172046848</v>
      </c>
      <c r="AK9" s="27">
        <f>IF(OR(ISBLANK(AO9),ISBLANK(AP9)),"",AO9+AP9)</f>
        <v>38269512</v>
      </c>
      <c r="AL9" s="30">
        <f>IF(ISBLANK(AN9),"·",AN9/AM9)</f>
        <v>15.008266933750436</v>
      </c>
      <c r="AM9" s="50">
        <v>25312408</v>
      </c>
      <c r="AN9" s="51">
        <v>379895376</v>
      </c>
      <c r="AO9" s="51">
        <v>35761408</v>
      </c>
      <c r="AP9" s="51">
        <v>2508104</v>
      </c>
      <c r="AQ9" s="51">
        <v>341626008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6866.51</v>
      </c>
      <c r="AX9" s="53">
        <v>6029.1</v>
      </c>
      <c r="AY9" s="53">
        <v>3.3519999999999999</v>
      </c>
      <c r="AZ9" s="53">
        <v>28.332000000000001</v>
      </c>
      <c r="BB9" s="32">
        <f t="shared" si="0"/>
        <v>0.99857511401295884</v>
      </c>
      <c r="BC9" s="32">
        <f t="shared" si="1"/>
        <v>1.0010000649392816</v>
      </c>
      <c r="BD9" s="32">
        <f t="shared" si="1"/>
        <v>0.99826562798529128</v>
      </c>
      <c r="BE9" s="31">
        <f>(AK9/AN9) - (N9/Q9)</f>
        <v>2.7879352879082997E-4</v>
      </c>
      <c r="BF9" s="31">
        <f t="array" ref="BF9">AVERAGE(AK9:AK9/AN9:AN9) - AVERAGE(N9:N9/Q9:Q9)</f>
        <v>2.7879352879082997E-4</v>
      </c>
      <c r="BH9" s="4">
        <f t="shared" si="3"/>
        <v>0</v>
      </c>
      <c r="BI9" s="4">
        <f t="shared" si="2"/>
        <v>-542080</v>
      </c>
      <c r="BJ9" s="4">
        <f t="shared" si="2"/>
        <v>35728</v>
      </c>
      <c r="BK9" s="4">
        <f t="shared" si="2"/>
        <v>15728</v>
      </c>
      <c r="BL9" s="4">
        <f t="shared" si="2"/>
        <v>-593536</v>
      </c>
    </row>
    <row r="10" spans="1:64">
      <c r="B10" s="39" t="s">
        <v>286</v>
      </c>
      <c r="J10" s="40">
        <f>AVERAGE(J5:J8)</f>
        <v>9.832728845475911</v>
      </c>
      <c r="K10" s="40">
        <f>AVERAGE(K5:K8)</f>
        <v>1.4728676420227651</v>
      </c>
      <c r="L10" s="40">
        <f>AVERAGE(L5:L8)</f>
        <v>1.3523381551747367</v>
      </c>
      <c r="M10" s="40">
        <f>AVERAGE(M5:M8)</f>
        <v>8.359866412709934</v>
      </c>
      <c r="AG10" s="40">
        <f>AVERAGE(AG5:AG8)</f>
        <v>9.7908908029949231</v>
      </c>
      <c r="AH10" s="40">
        <f>AVERAGE(AH5:AH8)</f>
        <v>1.4728949383730319</v>
      </c>
      <c r="AI10" s="40">
        <f>AVERAGE(AI5:AI8)</f>
        <v>1.3517477051910336</v>
      </c>
      <c r="AJ10" s="40">
        <f>AVERAGE(AJ5:AJ8)</f>
        <v>8.3180010738786798</v>
      </c>
      <c r="BB10" s="5">
        <f t="shared" si="0"/>
        <v>0.9957450222477926</v>
      </c>
      <c r="BC10" s="5">
        <f t="shared" si="1"/>
        <v>0.99956338584292426</v>
      </c>
      <c r="BD10" s="5">
        <f t="shared" si="1"/>
        <v>0.99499210432745622</v>
      </c>
      <c r="BF10" s="8">
        <f>AVERAGE(BF5:BF8)</f>
        <v>6.9717368000918323E-4</v>
      </c>
    </row>
    <row r="11" spans="1:64">
      <c r="B11" s="39" t="s">
        <v>287</v>
      </c>
      <c r="J11" s="40">
        <f>AVERAGE(J9:J9)</f>
        <v>15.029682517759669</v>
      </c>
      <c r="K11" s="40">
        <f>AVERAGE(K9:K9)</f>
        <v>1.5098546135950401</v>
      </c>
      <c r="L11" s="40">
        <f>AVERAGE(L9:L9)</f>
        <v>1.411390018681747</v>
      </c>
      <c r="M11" s="40">
        <f>AVERAGE(M9:M9)</f>
        <v>13.519833593074194</v>
      </c>
      <c r="AG11" s="40">
        <f>AVERAGE(AG9:AG9)</f>
        <v>15.008266933750436</v>
      </c>
      <c r="AH11" s="40">
        <f>AVERAGE(AH9:AH9)</f>
        <v>1.5118874506131539</v>
      </c>
      <c r="AI11" s="40">
        <f>AVERAGE(AI9:AI9)</f>
        <v>1.4128015003550827</v>
      </c>
      <c r="AJ11" s="40">
        <f>AVERAGE(AJ9:AJ9)</f>
        <v>13.496385172046848</v>
      </c>
      <c r="BB11" s="5">
        <f t="shared" si="0"/>
        <v>0.99857511401295884</v>
      </c>
      <c r="BC11" s="5">
        <f t="shared" si="1"/>
        <v>1.0010000649392816</v>
      </c>
      <c r="BD11" s="5">
        <f t="shared" si="1"/>
        <v>0.99826562798529128</v>
      </c>
      <c r="BF11" s="8">
        <f>AVERAGE(BF9:BF9)</f>
        <v>2.7879352879082997E-4</v>
      </c>
    </row>
    <row r="12" spans="1:64">
      <c r="B12" s="39" t="s">
        <v>288</v>
      </c>
      <c r="J12" s="40">
        <f>AVERAGE(J5:J9)</f>
        <v>10.872119579932662</v>
      </c>
      <c r="K12" s="40">
        <f>AVERAGE(K5:K9)</f>
        <v>1.4802650363372201</v>
      </c>
      <c r="L12" s="40">
        <f>AVERAGE(L5:L9)</f>
        <v>1.3641485278761387</v>
      </c>
      <c r="M12" s="40">
        <f>AVERAGE(M5:M9)</f>
        <v>9.3918598487827865</v>
      </c>
      <c r="AG12" s="40">
        <f>AVERAGE(AG5:AG9)</f>
        <v>10.834366029146025</v>
      </c>
      <c r="AH12" s="40">
        <f>AVERAGE(AH5:AH9)</f>
        <v>1.4806934408210561</v>
      </c>
      <c r="AI12" s="40">
        <f>AVERAGE(AI5:AI9)</f>
        <v>1.3639584642238434</v>
      </c>
      <c r="AJ12" s="40">
        <f>AVERAGE(AJ5:AJ9)</f>
        <v>9.3536778935123142</v>
      </c>
      <c r="BB12" s="5">
        <f t="shared" si="0"/>
        <v>0.99652748937232805</v>
      </c>
      <c r="BC12" s="5">
        <f t="shared" si="1"/>
        <v>0.99986067231799802</v>
      </c>
      <c r="BD12" s="5">
        <f t="shared" si="1"/>
        <v>0.99593456930946211</v>
      </c>
      <c r="BF12" s="8">
        <f>AVERAGE(BF5:BF9)</f>
        <v>6.1349764976551262E-4</v>
      </c>
    </row>
    <row r="13" spans="1:64" hidden="1" outlineLevel="2">
      <c r="A13" s="39" t="s">
        <v>289</v>
      </c>
      <c r="B13" s="39" t="s">
        <v>290</v>
      </c>
      <c r="Z13" s="41">
        <f>SUM(Z5:Z8,Z9:Z9)</f>
        <v>23870.03</v>
      </c>
      <c r="AA13" s="41">
        <f>SUM(AA5:AA8,AA9:AA9)</f>
        <v>24613.16</v>
      </c>
      <c r="AB13" s="41">
        <f>SUM(AB5:AB8,AB9:AB9)</f>
        <v>18.536000000000001</v>
      </c>
      <c r="AC13" s="41">
        <f>SUM(AC5:AC8,AC9:AC9)</f>
        <v>136.30799999999999</v>
      </c>
      <c r="AW13" s="41">
        <f>SUM(AW5:AW8,AW9:AW9)</f>
        <v>36220.450000000004</v>
      </c>
      <c r="AX13" s="41">
        <f>SUM(AX5:AX8,AX9:AX9)</f>
        <v>28769.83</v>
      </c>
      <c r="AY13" s="41">
        <f>SUM(AY5:AY8,AY9:AY9)</f>
        <v>19.68</v>
      </c>
      <c r="AZ13" s="41">
        <f>SUM(AZ5:AZ8,AZ9:AZ9)</f>
        <v>147.39599999999999</v>
      </c>
    </row>
    <row r="14" spans="1:64" hidden="1" outlineLevel="2">
      <c r="B14" s="39" t="s">
        <v>291</v>
      </c>
      <c r="AW14" s="8">
        <f>AW13/Z13</f>
        <v>1.5174027849985947</v>
      </c>
      <c r="AX14" s="8">
        <f>AX13/AA13</f>
        <v>1.1688799812783082</v>
      </c>
      <c r="AY14" s="8">
        <f>AY13/AB13</f>
        <v>1.0617177384548986</v>
      </c>
      <c r="AZ14" s="8">
        <f>AZ13/AC13</f>
        <v>1.0813451888370456</v>
      </c>
    </row>
    <row r="15" spans="1:64" hidden="1" outlineLevel="2">
      <c r="B15" s="39" t="s">
        <v>292</v>
      </c>
      <c r="Z15" s="41">
        <f>GEOMEAN(Z5:Z8,Z9:Z9)</f>
        <v>4581.2072733173836</v>
      </c>
      <c r="AA15" s="41">
        <f>GEOMEAN(AA5:AA8,AA9:AA9)</f>
        <v>4836.3775924754864</v>
      </c>
      <c r="AB15" s="41">
        <f>GEOMEAN(AB5:AB8,AB9:AB9)</f>
        <v>3.6656855291513883</v>
      </c>
      <c r="AC15" s="41">
        <f>GEOMEAN(AC5:AC8,AC9:AC9)</f>
        <v>27.042127921644958</v>
      </c>
      <c r="AW15" s="41">
        <f>GEOMEAN(AW5:AW8,AW9:AW9)</f>
        <v>7074.5132084986644</v>
      </c>
      <c r="AX15" s="41">
        <f>GEOMEAN(AX5:AX8,AX9:AX9)</f>
        <v>5681.9504516328543</v>
      </c>
      <c r="AY15" s="41">
        <f>GEOMEAN(AY5:AY8,AY9:AY9)</f>
        <v>3.8836790139987598</v>
      </c>
      <c r="AZ15" s="41">
        <f>GEOMEAN(AZ5:AZ8,AZ9:AZ9)</f>
        <v>29.322924755713188</v>
      </c>
    </row>
    <row r="16" spans="1:64" outlineLevel="2" collapsed="1">
      <c r="B16" s="39" t="s">
        <v>293</v>
      </c>
      <c r="AW16" s="8">
        <f>AW15/Z15</f>
        <v>1.544246480551797</v>
      </c>
      <c r="AX16" s="8">
        <f>AX15/AA15</f>
        <v>1.1748359889171853</v>
      </c>
      <c r="AY16" s="8">
        <f>AY15/AB15</f>
        <v>1.0594686814004575</v>
      </c>
      <c r="AZ16" s="8">
        <f>AZ15/AC15</f>
        <v>1.0843423579933087</v>
      </c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L16"/>
  <sheetViews>
    <sheetView tabSelected="1" zoomScale="85" zoomScaleNormal="85" workbookViewId="0">
      <pane xSplit="2" topLeftCell="AY1" activePane="topRight" state="frozen"/>
      <selection pane="topRight" activeCell="BH2" sqref="BH2:BL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439</v>
      </c>
      <c r="B1" s="73"/>
      <c r="C1" s="73"/>
      <c r="D1" s="73"/>
      <c r="E1" s="73"/>
      <c r="F1" s="73"/>
      <c r="H1" s="67" t="str">
        <f>Summary!C1</f>
        <v>tested-rc0.9 (2 patch orientations, CTC)</v>
      </c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E1" s="68" t="str">
        <f>Summary!C2</f>
        <v>tested-rc0.9 (2 patch orientations, tetris)</v>
      </c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</row>
    <row r="2" spans="1:64" ht="30" customHeight="1" thickBot="1">
      <c r="A2" s="71" t="s">
        <v>91</v>
      </c>
      <c r="B2" s="70" t="s">
        <v>94</v>
      </c>
      <c r="C2" s="71" t="s">
        <v>100</v>
      </c>
      <c r="D2" s="70" t="s">
        <v>103</v>
      </c>
      <c r="E2" s="71" t="s">
        <v>106</v>
      </c>
      <c r="F2" s="70" t="s">
        <v>109</v>
      </c>
      <c r="H2" s="71" t="s">
        <v>308</v>
      </c>
      <c r="I2" s="70" t="s">
        <v>112</v>
      </c>
      <c r="J2" s="69" t="s">
        <v>115</v>
      </c>
      <c r="K2" s="69"/>
      <c r="L2" s="69"/>
      <c r="M2" s="69"/>
      <c r="N2" s="71" t="s">
        <v>128</v>
      </c>
      <c r="O2" s="70" t="s">
        <v>131</v>
      </c>
      <c r="P2" s="71" t="s">
        <v>22</v>
      </c>
      <c r="Q2" s="72" t="s">
        <v>140</v>
      </c>
      <c r="R2" s="72"/>
      <c r="S2" s="72"/>
      <c r="T2" s="72"/>
      <c r="U2" s="69" t="s">
        <v>151</v>
      </c>
      <c r="V2" s="69"/>
      <c r="W2" s="72" t="s">
        <v>158</v>
      </c>
      <c r="X2" s="72"/>
      <c r="Y2" s="72"/>
      <c r="Z2" s="69" t="s">
        <v>168</v>
      </c>
      <c r="AA2" s="69"/>
      <c r="AB2" s="72" t="s">
        <v>175</v>
      </c>
      <c r="AC2" s="72"/>
      <c r="AE2" s="71" t="s">
        <v>308</v>
      </c>
      <c r="AF2" s="70" t="s">
        <v>112</v>
      </c>
      <c r="AG2" s="69" t="s">
        <v>115</v>
      </c>
      <c r="AH2" s="69"/>
      <c r="AI2" s="69"/>
      <c r="AJ2" s="69"/>
      <c r="AK2" s="71" t="s">
        <v>190</v>
      </c>
      <c r="AL2" s="70" t="s">
        <v>131</v>
      </c>
      <c r="AM2" s="71" t="s">
        <v>22</v>
      </c>
      <c r="AN2" s="72" t="s">
        <v>140</v>
      </c>
      <c r="AO2" s="72"/>
      <c r="AP2" s="72"/>
      <c r="AQ2" s="72"/>
      <c r="AR2" s="69" t="s">
        <v>151</v>
      </c>
      <c r="AS2" s="69"/>
      <c r="AT2" s="72" t="s">
        <v>158</v>
      </c>
      <c r="AU2" s="72"/>
      <c r="AV2" s="72"/>
      <c r="AW2" s="69" t="s">
        <v>168</v>
      </c>
      <c r="AX2" s="69"/>
      <c r="AY2" s="72" t="s">
        <v>175</v>
      </c>
      <c r="AZ2" s="72"/>
      <c r="BB2" s="69" t="s">
        <v>355</v>
      </c>
      <c r="BC2" s="69"/>
      <c r="BD2" s="69"/>
      <c r="BE2" s="70" t="s">
        <v>230</v>
      </c>
      <c r="BF2" s="71" t="s">
        <v>230</v>
      </c>
      <c r="BH2" s="71" t="s">
        <v>22</v>
      </c>
      <c r="BI2" s="72" t="s">
        <v>140</v>
      </c>
      <c r="BJ2" s="72"/>
      <c r="BK2" s="72"/>
      <c r="BL2" s="72"/>
    </row>
    <row r="3" spans="1:64" ht="30.75" thickBot="1">
      <c r="A3" s="71"/>
      <c r="B3" s="70"/>
      <c r="C3" s="71"/>
      <c r="D3" s="70"/>
      <c r="E3" s="71"/>
      <c r="F3" s="70"/>
      <c r="H3" s="71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0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0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71"/>
      <c r="BH3" s="71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0.29250305999799209</v>
      </c>
      <c r="I5" s="17">
        <f>IF(OR(ISBLANK(Q5),ISBLANK(F5)),"·",Q5*F5/E5/1000000)</f>
        <v>205.37286</v>
      </c>
      <c r="J5" s="18">
        <f>IF(ISBLANK(Q5),"·",Q5/C5)</f>
        <v>8.7750917999397622</v>
      </c>
      <c r="K5" s="18">
        <f>IF(N5="","·",N5/C5)</f>
        <v>1.3458950909218874</v>
      </c>
      <c r="L5" s="18">
        <f>IF(R5="","·",R5/C5)</f>
        <v>1.2657442870212356</v>
      </c>
      <c r="M5" s="18">
        <f>IF(ISBLANK(T5),"·",T5/C5)</f>
        <v>7.4292024772454441</v>
      </c>
      <c r="N5" s="15">
        <f>IF(OR(ISBLANK(R5),ISBLANK(S5)),"",R5+S5)</f>
        <v>33599384</v>
      </c>
      <c r="O5" s="18">
        <f>IF(ISBLANK(Q5),"·",Q5/P5)</f>
        <v>8.7750917999397622</v>
      </c>
      <c r="P5" s="42">
        <v>24964341</v>
      </c>
      <c r="Q5" s="43">
        <v>219064384</v>
      </c>
      <c r="R5" s="43">
        <v>31598472</v>
      </c>
      <c r="S5" s="43">
        <v>2000912</v>
      </c>
      <c r="T5" s="43">
        <v>185465144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4392.03</v>
      </c>
      <c r="AA5" s="45">
        <v>6898.42</v>
      </c>
      <c r="AB5" s="45">
        <v>3.6640000000000001</v>
      </c>
      <c r="AC5" s="45">
        <v>25.391999999999999</v>
      </c>
      <c r="AE5" s="19">
        <f>IF(ISBLANK(AN5),"·",AN5/(C5*D5*3))</f>
        <v>0.29213899938316018</v>
      </c>
      <c r="AF5" s="17">
        <f>IF(OR(ISBLANK(AN5),ISBLANK(F5)),"·",AN5*F5/E5/1000000)</f>
        <v>205.117245</v>
      </c>
      <c r="AG5" s="18">
        <f>IF(ISBLANK(AN5),"·",AN5/C5)</f>
        <v>8.7641699814948044</v>
      </c>
      <c r="AH5" s="18">
        <f>IF(AK5="","·",AK5/C5)</f>
        <v>1.3424158883264734</v>
      </c>
      <c r="AI5" s="18">
        <f>IF(AO5="","·",AO5/C5)</f>
        <v>1.2625743255149415</v>
      </c>
      <c r="AJ5" s="18">
        <f>IF(ISBLANK(AQ5),"·",AQ5/C5)</f>
        <v>7.421759861395901</v>
      </c>
      <c r="AK5" s="15">
        <f>IF(OR(ISBLANK(AO5),ISBLANK(AP5)),"",AO5+AP5)</f>
        <v>33512528</v>
      </c>
      <c r="AL5" s="18">
        <f>IF(ISBLANK(AN5),"·",AN5/AM5)</f>
        <v>8.7641699814948044</v>
      </c>
      <c r="AM5" s="42">
        <v>24964341</v>
      </c>
      <c r="AN5" s="43">
        <v>218791728</v>
      </c>
      <c r="AO5" s="43">
        <v>31519336</v>
      </c>
      <c r="AP5" s="43">
        <v>1993192</v>
      </c>
      <c r="AQ5" s="43">
        <v>185279344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6819.2</v>
      </c>
      <c r="AX5" s="45">
        <v>7149.44</v>
      </c>
      <c r="AY5" s="45">
        <v>2.964</v>
      </c>
      <c r="AZ5" s="45">
        <v>23.448</v>
      </c>
      <c r="BB5" s="20">
        <f t="shared" ref="BB5:BB12" si="0">AG5/J5</f>
        <v>0.99875536134618759</v>
      </c>
      <c r="BC5" s="20">
        <f t="shared" ref="BC5:BD12" si="1">AI5/L5</f>
        <v>0.99749557510249232</v>
      </c>
      <c r="BD5" s="20">
        <f t="shared" si="1"/>
        <v>0.9989981945071037</v>
      </c>
      <c r="BE5" s="19">
        <f>(AK5/AN5) - (N5/Q5)</f>
        <v>-2.058437416304626E-4</v>
      </c>
      <c r="BF5" s="19">
        <f t="array" ref="BF5">AVERAGE(AK5:AK5/AN5:AN5) - AVERAGE(N5:N5/Q5:Q5)</f>
        <v>-2.058437416304626E-4</v>
      </c>
      <c r="BH5" s="4">
        <f>AM5-P5</f>
        <v>0</v>
      </c>
      <c r="BI5" s="4">
        <f t="shared" ref="BI5:BL9" si="2">AN5-Q5</f>
        <v>-272656</v>
      </c>
      <c r="BJ5" s="4">
        <f t="shared" si="2"/>
        <v>-79136</v>
      </c>
      <c r="BK5" s="4">
        <f t="shared" si="2"/>
        <v>-7720</v>
      </c>
      <c r="BL5" s="4">
        <f t="shared" si="2"/>
        <v>-185800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0.42176153866039834</v>
      </c>
      <c r="I6" s="23">
        <f>IF(OR(ISBLANK(Q6),ISBLANK(F6)),"·",Q6*F6/E6/1000000)</f>
        <v>268.73208749999998</v>
      </c>
      <c r="J6" s="24">
        <f>IF(ISBLANK(Q6),"·",Q6/C6)</f>
        <v>12.652846159811949</v>
      </c>
      <c r="K6" s="24">
        <f>IF(N6="","·",N6/C6)</f>
        <v>1.6680810401721242</v>
      </c>
      <c r="L6" s="24">
        <f>IF(R6="","·",R6/C6)</f>
        <v>1.5234140560744132</v>
      </c>
      <c r="M6" s="24">
        <f>IF(ISBLANK(T6),"·",T6/C6)</f>
        <v>10.984771475911781</v>
      </c>
      <c r="N6" s="21">
        <f>IF(OR(ISBLANK(R6),ISBLANK(S6)),"",R6+S6)</f>
        <v>37790024</v>
      </c>
      <c r="O6" s="24">
        <f>IF(ISBLANK(Q6),"·",Q6/P6)</f>
        <v>12.652846159811949</v>
      </c>
      <c r="P6" s="46">
        <v>22654789</v>
      </c>
      <c r="Q6" s="47">
        <v>286647560</v>
      </c>
      <c r="R6" s="47">
        <v>34512624</v>
      </c>
      <c r="S6" s="47">
        <v>3277400</v>
      </c>
      <c r="T6" s="47">
        <v>248857680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4086.96</v>
      </c>
      <c r="AA6" s="49">
        <v>9150.7099999999991</v>
      </c>
      <c r="AB6" s="49">
        <v>3.6280000000000001</v>
      </c>
      <c r="AC6" s="49">
        <v>29.768000000000001</v>
      </c>
      <c r="AE6" s="25">
        <f>IF(ISBLANK(AN6),"·",AN6/(C6*D6*3))</f>
        <v>0.4214771778864651</v>
      </c>
      <c r="AF6" s="23">
        <f>IF(OR(ISBLANK(AN6),ISBLANK(F6)),"·",AN6*F6/E6/1000000)</f>
        <v>268.55090250000001</v>
      </c>
      <c r="AG6" s="24">
        <f>IF(ISBLANK(AN6),"·",AN6/C6)</f>
        <v>12.644315336593953</v>
      </c>
      <c r="AH6" s="24">
        <f>IF(AK6="","·",AK6/C6)</f>
        <v>1.6736745594938007</v>
      </c>
      <c r="AI6" s="24">
        <f>IF(AO6="","·",AO6/C6)</f>
        <v>1.5257898892812465</v>
      </c>
      <c r="AJ6" s="24">
        <f>IF(ISBLANK(AQ6),"·",AQ6/C6)</f>
        <v>10.970647133372109</v>
      </c>
      <c r="AK6" s="21">
        <f>IF(OR(ISBLANK(AO6),ISBLANK(AP6)),"",AO6+AP6)</f>
        <v>37916744</v>
      </c>
      <c r="AL6" s="24">
        <f>IF(ISBLANK(AN6),"·",AN6/AM6)</f>
        <v>12.644315336593953</v>
      </c>
      <c r="AM6" s="46">
        <v>22654789</v>
      </c>
      <c r="AN6" s="47">
        <v>286454296</v>
      </c>
      <c r="AO6" s="47">
        <v>34566448</v>
      </c>
      <c r="AP6" s="47">
        <v>3350296</v>
      </c>
      <c r="AQ6" s="47">
        <v>248537696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6154.68</v>
      </c>
      <c r="AX6" s="49">
        <v>9834.1200000000008</v>
      </c>
      <c r="AY6" s="49">
        <v>3.8239999999999998</v>
      </c>
      <c r="AZ6" s="49">
        <v>34.247999999999998</v>
      </c>
      <c r="BB6" s="26">
        <f t="shared" si="0"/>
        <v>0.99932577831815494</v>
      </c>
      <c r="BC6" s="26">
        <f t="shared" si="1"/>
        <v>1.0015595452840678</v>
      </c>
      <c r="BD6" s="26">
        <f t="shared" si="1"/>
        <v>0.99871418876845597</v>
      </c>
      <c r="BE6" s="25">
        <f>(AK6/AN6) - (N6/Q6)</f>
        <v>5.3131984984525205E-4</v>
      </c>
      <c r="BF6" s="25">
        <f t="array" ref="BF6">AVERAGE(AK6:AK6/AN6:AN6) - AVERAGE(N6:N6/Q6:Q6)</f>
        <v>5.3131984984525205E-4</v>
      </c>
      <c r="BH6" s="4">
        <f t="shared" ref="BH6:BH9" si="3">AM6-P6</f>
        <v>0</v>
      </c>
      <c r="BI6" s="4">
        <f t="shared" si="2"/>
        <v>-193264</v>
      </c>
      <c r="BJ6" s="4">
        <f t="shared" si="2"/>
        <v>53824</v>
      </c>
      <c r="BK6" s="4">
        <f t="shared" si="2"/>
        <v>72896</v>
      </c>
      <c r="BL6" s="4">
        <f t="shared" si="2"/>
        <v>-319984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0.32094374453485602</v>
      </c>
      <c r="I7" s="17">
        <f>IF(OR(ISBLANK(Q7),ISBLANK(F7)),"·",Q7*F7/E7/1000000)</f>
        <v>306.43052999999998</v>
      </c>
      <c r="J7" s="18">
        <f>IF(ISBLANK(Q7),"·",Q7/C7)</f>
        <v>9.6283123360456813</v>
      </c>
      <c r="K7" s="18">
        <f>IF(N7="","·",N7/C7)</f>
        <v>1.4795061040627238</v>
      </c>
      <c r="L7" s="18">
        <f>IF(R7="","·",R7/C7)</f>
        <v>1.3674314132101604</v>
      </c>
      <c r="M7" s="18">
        <f>IF(ISBLANK(T7),"·",T7/C7)</f>
        <v>8.1488104737997418</v>
      </c>
      <c r="N7" s="15">
        <f>IF(OR(ISBLANK(R7),ISBLANK(S7)),"",R7+S7)</f>
        <v>50225856</v>
      </c>
      <c r="O7" s="18">
        <f>IF(ISBLANK(Q7),"·",Q7/P7)</f>
        <v>9.6283123360456813</v>
      </c>
      <c r="P7" s="42">
        <v>33947718</v>
      </c>
      <c r="Q7" s="43">
        <v>326859232</v>
      </c>
      <c r="R7" s="43">
        <v>46421176</v>
      </c>
      <c r="S7" s="43">
        <v>3804680</v>
      </c>
      <c r="T7" s="43">
        <v>276633520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5930.6</v>
      </c>
      <c r="AA7" s="45">
        <v>9758.4</v>
      </c>
      <c r="AB7" s="45">
        <v>4.3760000000000003</v>
      </c>
      <c r="AC7" s="45">
        <v>29.616</v>
      </c>
      <c r="AE7" s="19">
        <f>IF(ISBLANK(AN7),"·",AN7/(C7*D7*3))</f>
        <v>0.32041454647015349</v>
      </c>
      <c r="AF7" s="17">
        <f>IF(OR(ISBLANK(AN7),ISBLANK(F7)),"·",AN7*F7/E7/1000000)</f>
        <v>305.92526249999997</v>
      </c>
      <c r="AG7" s="18">
        <f>IF(ISBLANK(AN7),"·",AN7/C7)</f>
        <v>9.6124363941046056</v>
      </c>
      <c r="AH7" s="18">
        <f>IF(AK7="","·",AK7/C7)</f>
        <v>1.4788019624765352</v>
      </c>
      <c r="AI7" s="18">
        <f>IF(AO7="","·",AO7/C7)</f>
        <v>1.3665743305632503</v>
      </c>
      <c r="AJ7" s="18">
        <f>IF(ISBLANK(AQ7),"·",AQ7/C7)</f>
        <v>8.1336386734448549</v>
      </c>
      <c r="AK7" s="15">
        <f>IF(OR(ISBLANK(AO7),ISBLANK(AP7)),"",AO7+AP7)</f>
        <v>50201952</v>
      </c>
      <c r="AL7" s="18">
        <f>IF(ISBLANK(AN7),"·",AN7/AM7)</f>
        <v>9.6124363941046056</v>
      </c>
      <c r="AM7" s="42">
        <v>33947718</v>
      </c>
      <c r="AN7" s="43">
        <v>326320280</v>
      </c>
      <c r="AO7" s="43">
        <v>46392080</v>
      </c>
      <c r="AP7" s="43">
        <v>3809872</v>
      </c>
      <c r="AQ7" s="43">
        <v>276118472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9178.56</v>
      </c>
      <c r="AX7" s="45">
        <v>10632</v>
      </c>
      <c r="AY7" s="45">
        <v>5.7160000000000002</v>
      </c>
      <c r="AZ7" s="45">
        <v>40.795999999999999</v>
      </c>
      <c r="BB7" s="20">
        <f t="shared" si="0"/>
        <v>0.99835111893061046</v>
      </c>
      <c r="BC7" s="20">
        <f t="shared" si="1"/>
        <v>0.99937321708523719</v>
      </c>
      <c r="BD7" s="20">
        <f t="shared" si="1"/>
        <v>0.99813815766072023</v>
      </c>
      <c r="BE7" s="19">
        <f>(AK7/AN7) - (N7/Q7)</f>
        <v>1.8053570912687777E-4</v>
      </c>
      <c r="BF7" s="19">
        <f t="array" ref="BF7">AVERAGE(AK7:AK7/AN7:AN7) - AVERAGE(N7:N7/Q7:Q7)</f>
        <v>1.8053570912687777E-4</v>
      </c>
      <c r="BH7" s="4">
        <f t="shared" si="3"/>
        <v>0</v>
      </c>
      <c r="BI7" s="4">
        <f t="shared" si="2"/>
        <v>-538952</v>
      </c>
      <c r="BJ7" s="4">
        <f t="shared" si="2"/>
        <v>-29096</v>
      </c>
      <c r="BK7" s="4">
        <f t="shared" si="2"/>
        <v>5192</v>
      </c>
      <c r="BL7" s="4">
        <f t="shared" si="2"/>
        <v>-515048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0.24077102624204808</v>
      </c>
      <c r="I8" s="35">
        <f>IF(OR(ISBLANK(Q8),ISBLANK(F8)),"·",Q8*F8/E8/1000000)</f>
        <v>363.52260000000001</v>
      </c>
      <c r="J8" s="36">
        <f>IF(ISBLANK(Q8),"·",Q8/C8)</f>
        <v>7.2231307872614421</v>
      </c>
      <c r="K8" s="36">
        <f>IF(N8="","·",N8/C8)</f>
        <v>0.88954727005201517</v>
      </c>
      <c r="L8" s="36">
        <f>IF(R8="","·",R8/C8)</f>
        <v>0.78847194922340491</v>
      </c>
      <c r="M8" s="36">
        <f>IF(ISBLANK(T8),"·",T8/C8)</f>
        <v>6.3335879879202635</v>
      </c>
      <c r="N8" s="33">
        <f>IF(OR(ISBLANK(R8),ISBLANK(S8)),"",R8+S8)</f>
        <v>28652000</v>
      </c>
      <c r="O8" s="36">
        <f>IF(ISBLANK(Q8),"·",Q8/P8)</f>
        <v>7.2231307872614421</v>
      </c>
      <c r="P8" s="54">
        <v>32209643</v>
      </c>
      <c r="Q8" s="55">
        <v>232654464</v>
      </c>
      <c r="R8" s="55">
        <v>25396400</v>
      </c>
      <c r="S8" s="55">
        <v>3255600</v>
      </c>
      <c r="T8" s="55">
        <v>204002608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5868.05</v>
      </c>
      <c r="AA8" s="57">
        <v>6566.12</v>
      </c>
      <c r="AB8" s="57">
        <v>3.7559999999999998</v>
      </c>
      <c r="AC8" s="57">
        <v>22.364000000000001</v>
      </c>
      <c r="AE8" s="37">
        <f>IF(ISBLANK(AN8),"·",AN8/(C8*D8*3))</f>
        <v>0.23983355129600992</v>
      </c>
      <c r="AF8" s="35">
        <f>IF(OR(ISBLANK(AN8),ISBLANK(F8)),"·",AN8*F8/E8/1000000)</f>
        <v>362.10717499999998</v>
      </c>
      <c r="AG8" s="36">
        <f>IF(ISBLANK(AN8),"·",AN8/C8)</f>
        <v>7.1950065388802971</v>
      </c>
      <c r="AH8" s="36">
        <f>IF(AK8="","·",AK8/C8)</f>
        <v>0.888680448895382</v>
      </c>
      <c r="AI8" s="36">
        <f>IF(AO8="","·",AO8/C8)</f>
        <v>0.78756911400725549</v>
      </c>
      <c r="AJ8" s="36">
        <f>IF(ISBLANK(AQ8),"·",AQ8/C8)</f>
        <v>6.306330560695752</v>
      </c>
      <c r="AK8" s="33">
        <f>IF(OR(ISBLANK(AO8),ISBLANK(AP8)),"",AO8+AP8)</f>
        <v>28624080</v>
      </c>
      <c r="AL8" s="36">
        <f>IF(ISBLANK(AN8),"·",AN8/AM8)</f>
        <v>7.1950065388802971</v>
      </c>
      <c r="AM8" s="54">
        <v>32209643</v>
      </c>
      <c r="AN8" s="55">
        <v>231748592</v>
      </c>
      <c r="AO8" s="55">
        <v>25367320</v>
      </c>
      <c r="AP8" s="55">
        <v>3256760</v>
      </c>
      <c r="AQ8" s="55">
        <v>203124656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9103.32</v>
      </c>
      <c r="AX8" s="57">
        <v>6791.9</v>
      </c>
      <c r="AY8" s="57">
        <v>4.1040000000000001</v>
      </c>
      <c r="AZ8" s="57">
        <v>27.96</v>
      </c>
      <c r="BB8" s="38">
        <f t="shared" si="0"/>
        <v>0.99610636312570389</v>
      </c>
      <c r="BC8" s="38">
        <f t="shared" si="1"/>
        <v>0.99885495582050998</v>
      </c>
      <c r="BD8" s="38">
        <f t="shared" si="1"/>
        <v>0.99569636874446232</v>
      </c>
      <c r="BE8" s="37">
        <f>(AK8/AN8) - (N8/Q8)</f>
        <v>3.6091042884235647E-4</v>
      </c>
      <c r="BF8" s="37">
        <f t="array" ref="BF8">AVERAGE(AK8:AK8/AN8:AN8) - AVERAGE(N8:N8/Q8:Q8)</f>
        <v>3.6091042884235647E-4</v>
      </c>
      <c r="BH8" s="4">
        <f t="shared" si="3"/>
        <v>0</v>
      </c>
      <c r="BI8" s="4">
        <f t="shared" si="2"/>
        <v>-905872</v>
      </c>
      <c r="BJ8" s="4">
        <f t="shared" si="2"/>
        <v>-29080</v>
      </c>
      <c r="BK8" s="4">
        <f t="shared" si="2"/>
        <v>1160</v>
      </c>
      <c r="BL8" s="4">
        <f t="shared" si="2"/>
        <v>-877952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0.49655001346902017</v>
      </c>
      <c r="I9" s="29">
        <f>IF(OR(ISBLANK(Q9),ISBLANK(F9)),"·",Q9*F9/E9/1000000)</f>
        <v>353.49965250000002</v>
      </c>
      <c r="J9" s="30">
        <f>IF(ISBLANK(Q9),"·",Q9/C9)</f>
        <v>14.896500404070604</v>
      </c>
      <c r="K9" s="30">
        <f>IF(N9="","·",N9/C9)</f>
        <v>1.5113792413586253</v>
      </c>
      <c r="L9" s="30">
        <f>IF(R9="","·",R9/C9)</f>
        <v>1.4072428036084121</v>
      </c>
      <c r="M9" s="30">
        <f>IF(ISBLANK(T9),"·",T9/C9)</f>
        <v>13.385126851621544</v>
      </c>
      <c r="N9" s="27">
        <f>IF(OR(ISBLANK(R9),ISBLANK(S9)),"",R9+S9)</f>
        <v>38256648</v>
      </c>
      <c r="O9" s="30">
        <f>IF(ISBLANK(Q9),"·",Q9/P9)</f>
        <v>14.896500404070604</v>
      </c>
      <c r="P9" s="50">
        <v>25312408</v>
      </c>
      <c r="Q9" s="51">
        <v>377066296</v>
      </c>
      <c r="R9" s="51">
        <v>35620704</v>
      </c>
      <c r="S9" s="51">
        <v>2635944</v>
      </c>
      <c r="T9" s="51">
        <v>338809792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4646.42</v>
      </c>
      <c r="AA9" s="53">
        <v>10364.6</v>
      </c>
      <c r="AB9" s="53">
        <v>3.32</v>
      </c>
      <c r="AC9" s="53">
        <v>29.152000000000001</v>
      </c>
      <c r="AE9" s="31">
        <f>IF(ISBLANK(AN9),"·",AN9/(C9*D9*3))</f>
        <v>0.49618668177809605</v>
      </c>
      <c r="AF9" s="29">
        <f>IF(OR(ISBLANK(AN9),ISBLANK(F9)),"·",AN9*F9/E9/1000000)</f>
        <v>353.2409925</v>
      </c>
      <c r="AG9" s="30">
        <f>IF(ISBLANK(AN9),"·",AN9/C9)</f>
        <v>14.885600453342882</v>
      </c>
      <c r="AH9" s="30">
        <f>IF(AK9="","·",AK9/C9)</f>
        <v>1.5151863860601489</v>
      </c>
      <c r="AI9" s="30">
        <f>IF(AO9="","·",AO9/C9)</f>
        <v>1.4083717361066557</v>
      </c>
      <c r="AJ9" s="30">
        <f>IF(ISBLANK(AQ9),"·",AQ9/C9)</f>
        <v>13.370419756192298</v>
      </c>
      <c r="AK9" s="27">
        <f>IF(OR(ISBLANK(AO9),ISBLANK(AP9)),"",AO9+AP9)</f>
        <v>38353016</v>
      </c>
      <c r="AL9" s="30">
        <f>IF(ISBLANK(AN9),"·",AN9/AM9)</f>
        <v>14.885600453342882</v>
      </c>
      <c r="AM9" s="50">
        <v>25312408</v>
      </c>
      <c r="AN9" s="51">
        <v>376790392</v>
      </c>
      <c r="AO9" s="51">
        <v>35649280</v>
      </c>
      <c r="AP9" s="51">
        <v>2703736</v>
      </c>
      <c r="AQ9" s="51">
        <v>338437520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4536.7700000000004</v>
      </c>
      <c r="AX9" s="53">
        <v>10182</v>
      </c>
      <c r="AY9" s="53">
        <v>4.4119999999999999</v>
      </c>
      <c r="AZ9" s="53">
        <v>40.728000000000002</v>
      </c>
      <c r="BB9" s="32">
        <f t="shared" si="0"/>
        <v>0.99926828782384725</v>
      </c>
      <c r="BC9" s="32">
        <f t="shared" si="1"/>
        <v>1.0008022300738357</v>
      </c>
      <c r="BD9" s="32">
        <f t="shared" si="1"/>
        <v>0.99890123600677982</v>
      </c>
      <c r="BE9" s="31">
        <f>(AK9/AN9) - (N9/Q9)</f>
        <v>3.3005314838385758E-4</v>
      </c>
      <c r="BF9" s="31">
        <f t="array" ref="BF9">AVERAGE(AK9:AK9/AN9:AN9) - AVERAGE(N9:N9/Q9:Q9)</f>
        <v>3.3005314838385758E-4</v>
      </c>
      <c r="BH9" s="4">
        <f t="shared" si="3"/>
        <v>0</v>
      </c>
      <c r="BI9" s="4">
        <f t="shared" si="2"/>
        <v>-275904</v>
      </c>
      <c r="BJ9" s="4">
        <f t="shared" si="2"/>
        <v>28576</v>
      </c>
      <c r="BK9" s="4">
        <f t="shared" si="2"/>
        <v>67792</v>
      </c>
      <c r="BL9" s="4">
        <f t="shared" si="2"/>
        <v>-372272</v>
      </c>
    </row>
    <row r="10" spans="1:64">
      <c r="B10" s="39" t="s">
        <v>286</v>
      </c>
      <c r="J10" s="40">
        <f>AVERAGE(J5:J8)</f>
        <v>9.5698452707647075</v>
      </c>
      <c r="K10" s="40">
        <f>AVERAGE(K5:K8)</f>
        <v>1.3457573763021875</v>
      </c>
      <c r="L10" s="40">
        <f>AVERAGE(L5:L8)</f>
        <v>1.2362654263823036</v>
      </c>
      <c r="M10" s="40">
        <f>AVERAGE(M5:M8)</f>
        <v>8.2240931037193068</v>
      </c>
      <c r="AG10" s="40">
        <f>AVERAGE(AG5:AG8)</f>
        <v>9.5539820627684158</v>
      </c>
      <c r="AH10" s="40">
        <f>AVERAGE(AH5:AH8)</f>
        <v>1.345893214798048</v>
      </c>
      <c r="AI10" s="40">
        <f>AVERAGE(AI5:AI8)</f>
        <v>1.2356269148416734</v>
      </c>
      <c r="AJ10" s="40">
        <f>AVERAGE(AJ5:AJ8)</f>
        <v>8.2080940572271537</v>
      </c>
      <c r="BB10" s="5">
        <f t="shared" si="0"/>
        <v>0.9983423757074994</v>
      </c>
      <c r="BC10" s="5">
        <f t="shared" si="1"/>
        <v>0.99948351581545181</v>
      </c>
      <c r="BD10" s="5">
        <f t="shared" si="1"/>
        <v>0.99805461267395945</v>
      </c>
      <c r="BF10" s="8">
        <f>AVERAGE(BF5:BF8)</f>
        <v>2.1673056154600592E-4</v>
      </c>
    </row>
    <row r="11" spans="1:64">
      <c r="B11" s="39" t="s">
        <v>287</v>
      </c>
      <c r="J11" s="40">
        <f>AVERAGE(J9:J9)</f>
        <v>14.896500404070604</v>
      </c>
      <c r="K11" s="40">
        <f>AVERAGE(K9:K9)</f>
        <v>1.5113792413586253</v>
      </c>
      <c r="L11" s="40">
        <f>AVERAGE(L9:L9)</f>
        <v>1.4072428036084121</v>
      </c>
      <c r="M11" s="40">
        <f>AVERAGE(M9:M9)</f>
        <v>13.385126851621544</v>
      </c>
      <c r="AG11" s="40">
        <f>AVERAGE(AG9:AG9)</f>
        <v>14.885600453342882</v>
      </c>
      <c r="AH11" s="40">
        <f>AVERAGE(AH9:AH9)</f>
        <v>1.5151863860601489</v>
      </c>
      <c r="AI11" s="40">
        <f>AVERAGE(AI9:AI9)</f>
        <v>1.4083717361066557</v>
      </c>
      <c r="AJ11" s="40">
        <f>AVERAGE(AJ9:AJ9)</f>
        <v>13.370419756192298</v>
      </c>
      <c r="BB11" s="5">
        <f t="shared" si="0"/>
        <v>0.99926828782384725</v>
      </c>
      <c r="BC11" s="5">
        <f t="shared" si="1"/>
        <v>1.0008022300738357</v>
      </c>
      <c r="BD11" s="5">
        <f t="shared" si="1"/>
        <v>0.99890123600677982</v>
      </c>
      <c r="BF11" s="8">
        <f>AVERAGE(BF9:BF9)</f>
        <v>3.3005314838385758E-4</v>
      </c>
    </row>
    <row r="12" spans="1:64">
      <c r="B12" s="39" t="s">
        <v>288</v>
      </c>
      <c r="J12" s="40">
        <f>AVERAGE(J5:J9)</f>
        <v>10.635176297425886</v>
      </c>
      <c r="K12" s="40">
        <f>AVERAGE(K5:K9)</f>
        <v>1.3788817493134751</v>
      </c>
      <c r="L12" s="40">
        <f>AVERAGE(L5:L9)</f>
        <v>1.2704609018275252</v>
      </c>
      <c r="M12" s="40">
        <f>AVERAGE(M5:M9)</f>
        <v>9.2562998532997547</v>
      </c>
      <c r="AG12" s="40">
        <f>AVERAGE(AG5:AG9)</f>
        <v>10.620305740883309</v>
      </c>
      <c r="AH12" s="40">
        <f>AVERAGE(AH5:AH9)</f>
        <v>1.3797518490504683</v>
      </c>
      <c r="AI12" s="40">
        <f>AVERAGE(AI5:AI9)</f>
        <v>1.2701758790946698</v>
      </c>
      <c r="AJ12" s="40">
        <f>AVERAGE(AJ5:AJ9)</f>
        <v>9.2405591970201826</v>
      </c>
      <c r="BB12" s="5">
        <f t="shared" si="0"/>
        <v>0.99860175740140977</v>
      </c>
      <c r="BC12" s="5">
        <f t="shared" si="1"/>
        <v>0.99977565406975888</v>
      </c>
      <c r="BD12" s="5">
        <f t="shared" si="1"/>
        <v>0.99829946560407068</v>
      </c>
      <c r="BF12" s="8">
        <f>AVERAGE(BF5:BF9)</f>
        <v>2.3939507891357624E-4</v>
      </c>
    </row>
    <row r="13" spans="1:64" hidden="1" outlineLevel="2">
      <c r="A13" s="39" t="s">
        <v>289</v>
      </c>
      <c r="B13" s="39" t="s">
        <v>290</v>
      </c>
      <c r="Z13" s="41">
        <f>SUM(Z5:Z8,Z9:Z9)</f>
        <v>24924.059999999998</v>
      </c>
      <c r="AA13" s="41">
        <f>SUM(AA5:AA8,AA9:AA9)</f>
        <v>42738.25</v>
      </c>
      <c r="AB13" s="41">
        <f>SUM(AB5:AB8,AB9:AB9)</f>
        <v>18.744</v>
      </c>
      <c r="AC13" s="41">
        <f>SUM(AC5:AC8,AC9:AC9)</f>
        <v>136.292</v>
      </c>
      <c r="AW13" s="41">
        <f>SUM(AW5:AW8,AW9:AW9)</f>
        <v>35792.53</v>
      </c>
      <c r="AX13" s="41">
        <f>SUM(AX5:AX8,AX9:AX9)</f>
        <v>44589.46</v>
      </c>
      <c r="AY13" s="41">
        <f>SUM(AY5:AY8,AY9:AY9)</f>
        <v>21.02</v>
      </c>
      <c r="AZ13" s="41">
        <f>SUM(AZ5:AZ8,AZ9:AZ9)</f>
        <v>167.18</v>
      </c>
    </row>
    <row r="14" spans="1:64" hidden="1" outlineLevel="2">
      <c r="B14" s="39" t="s">
        <v>291</v>
      </c>
      <c r="AW14" s="8">
        <f>AW13/Z13</f>
        <v>1.4360633861417442</v>
      </c>
      <c r="AX14" s="8">
        <f>AX13/AA13</f>
        <v>1.0433150632045065</v>
      </c>
      <c r="AY14" s="8">
        <f>AY13/AB13</f>
        <v>1.1214255228339736</v>
      </c>
      <c r="AZ14" s="8">
        <f>AZ13/AC13</f>
        <v>1.226631056848531</v>
      </c>
    </row>
    <row r="15" spans="1:64" hidden="1" outlineLevel="2">
      <c r="B15" s="39" t="s">
        <v>292</v>
      </c>
      <c r="Z15" s="41">
        <f>GEOMEAN(Z5:Z8,Z9:Z9)</f>
        <v>4926.6909235650019</v>
      </c>
      <c r="AA15" s="41">
        <f>GEOMEAN(AA5:AA8,AA9:AA9)</f>
        <v>8404.0548918056593</v>
      </c>
      <c r="AB15" s="41">
        <f>GEOMEAN(AB5:AB8,AB9:AB9)</f>
        <v>3.7334706779459541</v>
      </c>
      <c r="AC15" s="41">
        <f>GEOMEAN(AC5:AC8,AC9:AC9)</f>
        <v>27.091818745038228</v>
      </c>
      <c r="AW15" s="41">
        <f>GEOMEAN(AW5:AW8,AW9:AW9)</f>
        <v>6923.6005815057797</v>
      </c>
      <c r="AX15" s="41">
        <f>GEOMEAN(AX5:AX8,AX9:AX9)</f>
        <v>8763.7377804155094</v>
      </c>
      <c r="AY15" s="41">
        <f>GEOMEAN(AY5:AY8,AY9:AY9)</f>
        <v>4.1102310126667856</v>
      </c>
      <c r="AZ15" s="41">
        <f>GEOMEAN(AZ5:AZ8,AZ9:AZ9)</f>
        <v>32.685698540051845</v>
      </c>
    </row>
    <row r="16" spans="1:64" outlineLevel="2" collapsed="1">
      <c r="B16" s="39" t="s">
        <v>293</v>
      </c>
      <c r="AW16" s="8">
        <f>AW15/Z15</f>
        <v>1.4053247278795793</v>
      </c>
      <c r="AX16" s="8">
        <f>AX15/AA15</f>
        <v>1.0427987314743217</v>
      </c>
      <c r="AY16" s="8">
        <f>AY15/AB15</f>
        <v>1.1009142342931468</v>
      </c>
      <c r="AZ16" s="8">
        <f>AZ15/AC15</f>
        <v>1.2064785626855752</v>
      </c>
    </row>
  </sheetData>
  <mergeCells count="36">
    <mergeCell ref="BH2:BH3"/>
    <mergeCell ref="BI2:BL2"/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CF36"/>
  <sheetViews>
    <sheetView zoomScale="85" zoomScaleNormal="85" workbookViewId="0">
      <pane xSplit="2" topLeftCell="BB1" activePane="topRight" state="frozen"/>
      <selection pane="topRight" activeCell="AN5" sqref="AN5:BC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526</v>
      </c>
      <c r="B1" s="73"/>
      <c r="C1" s="73"/>
      <c r="D1" s="73"/>
      <c r="E1" s="73"/>
      <c r="F1" s="73"/>
      <c r="G1" s="73"/>
      <c r="I1" s="67" t="str">
        <f>Summary!C1</f>
        <v>tested-rc0.9 (2 patch orientations, CTC)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G1" s="68" t="str">
        <f>Summary!C2</f>
        <v>tested-rc0.9 (2 patch orientations, tetris)</v>
      </c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</row>
    <row r="2" spans="1:84" ht="30" customHeight="1" thickBot="1">
      <c r="A2" s="71" t="s">
        <v>91</v>
      </c>
      <c r="B2" s="70" t="s">
        <v>94</v>
      </c>
      <c r="C2" s="71" t="s">
        <v>97</v>
      </c>
      <c r="D2" s="70" t="s">
        <v>100</v>
      </c>
      <c r="E2" s="71" t="s">
        <v>103</v>
      </c>
      <c r="F2" s="70" t="s">
        <v>106</v>
      </c>
      <c r="G2" s="71" t="s">
        <v>109</v>
      </c>
      <c r="I2" s="70" t="s">
        <v>112</v>
      </c>
      <c r="J2" s="69" t="s">
        <v>115</v>
      </c>
      <c r="K2" s="69"/>
      <c r="L2" s="69"/>
      <c r="M2" s="69"/>
      <c r="N2" s="71" t="s">
        <v>128</v>
      </c>
      <c r="O2" s="70" t="s">
        <v>131</v>
      </c>
      <c r="P2" s="71" t="s">
        <v>22</v>
      </c>
      <c r="Q2" s="70" t="s">
        <v>24</v>
      </c>
      <c r="R2" s="71" t="s">
        <v>20</v>
      </c>
      <c r="S2" s="72" t="s">
        <v>140</v>
      </c>
      <c r="T2" s="72"/>
      <c r="U2" s="72"/>
      <c r="V2" s="72"/>
      <c r="W2" s="69" t="s">
        <v>151</v>
      </c>
      <c r="X2" s="69"/>
      <c r="Y2" s="72" t="s">
        <v>158</v>
      </c>
      <c r="Z2" s="72"/>
      <c r="AA2" s="72"/>
      <c r="AB2" s="69" t="s">
        <v>168</v>
      </c>
      <c r="AC2" s="69"/>
      <c r="AD2" s="72" t="s">
        <v>175</v>
      </c>
      <c r="AE2" s="72"/>
      <c r="AG2" s="71" t="s">
        <v>112</v>
      </c>
      <c r="AH2" s="72" t="s">
        <v>115</v>
      </c>
      <c r="AI2" s="72"/>
      <c r="AJ2" s="72"/>
      <c r="AK2" s="72"/>
      <c r="AL2" s="70" t="s">
        <v>190</v>
      </c>
      <c r="AM2" s="71" t="s">
        <v>131</v>
      </c>
      <c r="AN2" s="70" t="s">
        <v>22</v>
      </c>
      <c r="AO2" s="71" t="s">
        <v>24</v>
      </c>
      <c r="AP2" s="70" t="s">
        <v>20</v>
      </c>
      <c r="AQ2" s="69" t="s">
        <v>140</v>
      </c>
      <c r="AR2" s="69"/>
      <c r="AS2" s="69"/>
      <c r="AT2" s="69"/>
      <c r="AU2" s="72" t="s">
        <v>151</v>
      </c>
      <c r="AV2" s="72"/>
      <c r="AW2" s="69" t="s">
        <v>158</v>
      </c>
      <c r="AX2" s="69"/>
      <c r="AY2" s="69"/>
      <c r="AZ2" s="72" t="s">
        <v>168</v>
      </c>
      <c r="BA2" s="72"/>
      <c r="BB2" s="69" t="s">
        <v>175</v>
      </c>
      <c r="BC2" s="69"/>
      <c r="BE2" s="70" t="s">
        <v>227</v>
      </c>
      <c r="BF2" s="71" t="s">
        <v>230</v>
      </c>
      <c r="BG2" s="70" t="s">
        <v>230</v>
      </c>
      <c r="BI2" s="69" t="s">
        <v>235</v>
      </c>
      <c r="BJ2" s="69"/>
      <c r="BK2" s="72" t="s">
        <v>240</v>
      </c>
      <c r="BL2" s="72"/>
      <c r="BM2" s="72"/>
      <c r="BO2" s="69" t="s">
        <v>247</v>
      </c>
      <c r="BP2" s="69"/>
      <c r="BQ2" s="72" t="s">
        <v>252</v>
      </c>
      <c r="BR2" s="72"/>
      <c r="BS2" s="72"/>
      <c r="BU2" s="70" t="s">
        <v>22</v>
      </c>
      <c r="BV2" s="71" t="s">
        <v>24</v>
      </c>
      <c r="BW2" s="70" t="s">
        <v>20</v>
      </c>
      <c r="BX2" s="69" t="s">
        <v>140</v>
      </c>
      <c r="BY2" s="69"/>
      <c r="BZ2" s="69"/>
      <c r="CA2" s="69"/>
      <c r="CB2" s="72" t="s">
        <v>151</v>
      </c>
      <c r="CC2" s="72"/>
      <c r="CD2" s="69" t="s">
        <v>158</v>
      </c>
      <c r="CE2" s="69"/>
      <c r="CF2" s="69"/>
    </row>
    <row r="3" spans="1:84" ht="30.75" thickBot="1">
      <c r="A3" s="71"/>
      <c r="B3" s="70"/>
      <c r="C3" s="71"/>
      <c r="D3" s="70"/>
      <c r="E3" s="71"/>
      <c r="F3" s="70"/>
      <c r="G3" s="71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0"/>
      <c r="P3" s="71"/>
      <c r="Q3" s="70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71"/>
      <c r="AN3" s="70"/>
      <c r="AO3" s="71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71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71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 thickBot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1.2086775000000001</v>
      </c>
      <c r="J5" s="18">
        <f t="shared" ref="J5:J29" si="1">IF(ISBLANK(S5),"·",S5/D5)</f>
        <v>5.1643902797193803E-2</v>
      </c>
      <c r="K5" s="18">
        <f t="shared" ref="K5:K29" si="2">IF(N5="","·",N5/D5)</f>
        <v>4.3441162736881381E-2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1084480</v>
      </c>
      <c r="O5" s="18">
        <f t="shared" ref="O5:O29" si="6">IF(ISBLANK(S5),"·",S5/P5)</f>
        <v>5.5327167102587359E-2</v>
      </c>
      <c r="P5" s="42">
        <v>23302404</v>
      </c>
      <c r="Q5" s="42">
        <v>728200.125</v>
      </c>
      <c r="R5" s="42">
        <v>16212.03125</v>
      </c>
      <c r="S5" s="43">
        <v>1289256</v>
      </c>
      <c r="T5" s="43">
        <v>649160</v>
      </c>
      <c r="U5" s="43">
        <v>435320</v>
      </c>
      <c r="V5" s="43">
        <v>204920</v>
      </c>
      <c r="W5" s="44">
        <v>66.750615624999995</v>
      </c>
      <c r="X5" s="44">
        <v>68.466490625000006</v>
      </c>
      <c r="Y5" s="44">
        <v>31.668503124999901</v>
      </c>
      <c r="Z5" s="44">
        <v>44.340690625000001</v>
      </c>
      <c r="AA5" s="44">
        <v>43.451671874999903</v>
      </c>
      <c r="AB5" s="45">
        <v>6002.32</v>
      </c>
      <c r="AC5" s="45">
        <v>3868.27</v>
      </c>
      <c r="AD5" s="45">
        <v>6.508</v>
      </c>
      <c r="AE5" s="45">
        <v>18.96</v>
      </c>
      <c r="AG5" s="17">
        <f t="shared" ref="AG5:AG29" si="7">IF(OR(ISBLANK(AQ5),ISBLANK(G5)),"·",AQ5*G5/F5/1000000)</f>
        <v>1.1623425000000001</v>
      </c>
      <c r="AH5" s="18">
        <f t="shared" ref="AH5:AH29" si="8">IF(ISBLANK(AQ5),"·",AQ5/D5)</f>
        <v>4.9664118912652253E-2</v>
      </c>
      <c r="AI5" s="18">
        <f t="shared" ref="AI5:AI29" si="9">IF(AL5="","·",AL5/D5)</f>
        <v>4.2955990706904701E-2</v>
      </c>
      <c r="AJ5" s="18">
        <f t="shared" ref="AJ5:AJ29" si="10">IF(AR5="","·",AR5/D5)</f>
        <v>2.6383872900951E-2</v>
      </c>
      <c r="AK5" s="18">
        <f t="shared" ref="AK5:AK29" si="11">IF(ISBLANK(AT5),"·",AT5/D5)</f>
        <v>6.7138964333166252E-3</v>
      </c>
      <c r="AL5" s="15">
        <f t="shared" ref="AL5:AL29" si="12">IF(OR(ISBLANK(AR5),ISBLANK(AS5)),"",AR5+AS5)</f>
        <v>1072368</v>
      </c>
      <c r="AM5" s="18">
        <f t="shared" ref="AM5:AM29" si="13">IF(ISBLANK(AQ5),"·",AQ5/AN5)</f>
        <v>5.2915253019117543E-2</v>
      </c>
      <c r="AN5" s="42">
        <v>23430522</v>
      </c>
      <c r="AO5" s="42">
        <v>732203.8125</v>
      </c>
      <c r="AP5" s="42">
        <v>16368.09375</v>
      </c>
      <c r="AQ5" s="43">
        <v>1239832</v>
      </c>
      <c r="AR5" s="43">
        <v>658656</v>
      </c>
      <c r="AS5" s="43">
        <v>413712</v>
      </c>
      <c r="AT5" s="43">
        <v>167608</v>
      </c>
      <c r="AU5" s="44">
        <v>66.804849999999902</v>
      </c>
      <c r="AV5" s="44">
        <v>68.499049999999997</v>
      </c>
      <c r="AW5" s="44">
        <v>31.657696874999999</v>
      </c>
      <c r="AX5" s="44">
        <v>44.635778124999902</v>
      </c>
      <c r="AY5" s="44">
        <v>43.803956249999999</v>
      </c>
      <c r="AZ5" s="45">
        <v>5944.14</v>
      </c>
      <c r="BA5" s="45">
        <v>4294.01</v>
      </c>
      <c r="BB5" s="45">
        <v>7.008</v>
      </c>
      <c r="BC5" s="45">
        <v>23.876000000000001</v>
      </c>
      <c r="BD5">
        <v>32</v>
      </c>
      <c r="BE5" s="19">
        <f t="shared" ref="BE5:BE29" si="14">(AP5/AO5) - (R5/Q5)</f>
        <v>9.1405956910949049E-5</v>
      </c>
      <c r="BF5" s="19">
        <f t="shared" ref="BF5:BF29" si="15">(AL5/AQ5) - (N5/S5)</f>
        <v>2.3762778404615936E-2</v>
      </c>
      <c r="BG5" s="19">
        <f t="array" ref="BG5">AVERAGE(AL5:AL9/AQ5:AQ9) - AVERAGE(N5:N9/S5:S9)</f>
        <v>2.185483187643289E-2</v>
      </c>
      <c r="BI5" s="20">
        <f>IF( OR(ISBLANK(N5:N9),ISBLANK(AL5:AL9), ISBLANK(W5:W9),ISBLANK(AU5:AU9)), "·", bdRateExtend( N5:N9,W5:W9, AL5:AL9,AU5:AU9))</f>
        <v>-2.2411684081296013E-3</v>
      </c>
      <c r="BJ5" s="20">
        <f>IF( OR(ISBLANK(N5:N9),ISBLANK(AL5:AL9), ISBLANK(X5:X9),ISBLANK(AV5:AV9)), "·", bdRateExtend( N5:N9,X5:X9, AL5:AL9,AV5:AV9))</f>
        <v>5.3025963545683119E-4</v>
      </c>
      <c r="BK5" s="20">
        <f>IF( OR(ISBLANK(V5:V9),ISBLANK(AT5:AT9), ISBLANK(Y5:Y9),ISBLANK(AW5:AW9)), "·", bdRateExtend( V5:V9,Y5:Y9, AT5:AT9,AW5:AW9))</f>
        <v>-0.12205623800192755</v>
      </c>
      <c r="BL5" s="20">
        <f>IF( OR(ISBLANK(V5:V9),ISBLANK(AT5:AT9), ISBLANK(Z5:Z9),ISBLANK(AX5:AX9)), "·", bdRateExtend( V5:V9,Z5:Z9, AT5:AT9,AX5:AX9))</f>
        <v>-0.1703110779876793</v>
      </c>
      <c r="BM5" s="20">
        <f>IF( OR(ISBLANK(V5:V9),ISBLANK(AT5:AT9), ISBLANK(AA5:AA9),ISBLANK(AY5:AY9)), "·", bdRateExtend( V5:V9,AA5:AA9, AT5:AT9,AY5:AY9))</f>
        <v>-0.15968438384387773</v>
      </c>
      <c r="BO5" s="20">
        <f>IF( OR(ISBLANK(S5:S9),ISBLANK(AQ5:AQ9), ISBLANK(W5:W9),ISBLANK(AU5:AU9)), "·", bdRateExtend( S5:S9,W5:W9, AQ5:AQ9,AU5:AU9))</f>
        <v>-3.5790288585656693E-2</v>
      </c>
      <c r="BP5" s="20">
        <f>IF( OR(ISBLANK(S5:S9),ISBLANK(AQ5:AQ9), ISBLANK(X5:X9),ISBLANK(AV5:AV9)), "·", bdRateExtend( S5:S9,X5:X9, AQ5:AQ9,AV5:AV9))</f>
        <v>-3.2157639844442087E-2</v>
      </c>
      <c r="BQ5" s="20">
        <f>IF( OR(ISBLANK(S5:S9),ISBLANK(AQ5:AQ9), ISBLANK(Y5:Y9),ISBLANK(AW5:AW9)), "·", bdRateExtend( S5:S9,Y5:Y9, AQ5:AQ9,AW5:AW9))</f>
        <v>-3.7039865870922117E-2</v>
      </c>
      <c r="BR5" s="20">
        <f>IF( OR(ISBLANK(S5:S9),ISBLANK(AQ5:AQ9), ISBLANK(Z5:Z9),ISBLANK(AX5:AX9)), "·", bdRateExtend( S5:S9,Z5:Z9, AQ5:AQ9,AX5:AX9))</f>
        <v>-6.7140821389090166E-2</v>
      </c>
      <c r="BS5" s="20">
        <f>IF( OR(ISBLANK(S5:S9),ISBLANK(AQ5:AQ9), ISBLANK(AA5:AA9),ISBLANK(AY5:AY9)), "·", bdRateExtend( S5:S9,AA5:AA9, AQ5:AQ9,AY5:AY9))</f>
        <v>-6.040620609949543E-2</v>
      </c>
      <c r="BU5" s="4">
        <f>AN5-P5</f>
        <v>128118</v>
      </c>
      <c r="BV5" s="4">
        <f t="shared" ref="BV5:CF20" si="16">AO5-Q5</f>
        <v>4003.6875</v>
      </c>
      <c r="BW5" s="4">
        <f t="shared" si="16"/>
        <v>156.0625</v>
      </c>
      <c r="BX5" s="4">
        <f t="shared" si="16"/>
        <v>-49424</v>
      </c>
      <c r="BY5" s="4">
        <f t="shared" si="16"/>
        <v>9496</v>
      </c>
      <c r="BZ5" s="4">
        <f t="shared" si="16"/>
        <v>-21608</v>
      </c>
      <c r="CA5" s="4">
        <f t="shared" si="16"/>
        <v>-37312</v>
      </c>
      <c r="CB5" s="4">
        <f t="shared" si="16"/>
        <v>5.4234374999907686E-2</v>
      </c>
      <c r="CC5" s="4">
        <f t="shared" si="16"/>
        <v>3.2559374999991064E-2</v>
      </c>
      <c r="CD5" s="4">
        <f t="shared" si="16"/>
        <v>-1.0806249999902207E-2</v>
      </c>
      <c r="CE5" s="4">
        <f t="shared" si="16"/>
        <v>0.29508749999990158</v>
      </c>
      <c r="CF5" s="4">
        <f t="shared" si="16"/>
        <v>0.35228437500009591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1.5521624999999999</v>
      </c>
      <c r="J6" s="24">
        <f t="shared" si="1"/>
        <v>6.6320196475444709E-2</v>
      </c>
      <c r="K6" s="24">
        <f t="shared" si="2"/>
        <v>5.1904754866150885E-2</v>
      </c>
      <c r="L6" s="24">
        <f t="shared" si="3"/>
        <v>3.4467082467748697E-2</v>
      </c>
      <c r="M6" s="24">
        <f t="shared" si="4"/>
        <v>1.4421209836862908E-2</v>
      </c>
      <c r="N6" s="21">
        <f t="shared" si="5"/>
        <v>1295768</v>
      </c>
      <c r="O6" s="24">
        <f t="shared" si="6"/>
        <v>6.7220266347577065E-2</v>
      </c>
      <c r="P6" s="46">
        <v>24630072</v>
      </c>
      <c r="Q6" s="46">
        <v>769689.75</v>
      </c>
      <c r="R6" s="46">
        <v>19807.3125</v>
      </c>
      <c r="S6" s="47">
        <v>1655640</v>
      </c>
      <c r="T6" s="47">
        <v>860448</v>
      </c>
      <c r="U6" s="47">
        <v>435320</v>
      </c>
      <c r="V6" s="47">
        <v>360016</v>
      </c>
      <c r="W6" s="48">
        <v>68.474656249999995</v>
      </c>
      <c r="X6" s="48">
        <v>70.500003125000006</v>
      </c>
      <c r="Y6" s="48">
        <v>33.831906250000003</v>
      </c>
      <c r="Z6" s="48">
        <v>45.376818749999899</v>
      </c>
      <c r="AA6" s="48">
        <v>44.926993750000001</v>
      </c>
      <c r="AB6" s="49">
        <v>5895.1</v>
      </c>
      <c r="AC6" s="49">
        <v>4148.54</v>
      </c>
      <c r="AD6" s="49">
        <v>5.18</v>
      </c>
      <c r="AE6" s="49">
        <v>14.747999999999999</v>
      </c>
      <c r="AG6" s="23">
        <f t="shared" si="7"/>
        <v>1.5037275000000001</v>
      </c>
      <c r="AH6" s="24">
        <f t="shared" si="8"/>
        <v>6.4250684606495315E-2</v>
      </c>
      <c r="AI6" s="24">
        <f t="shared" si="9"/>
        <v>5.2015953475399168E-2</v>
      </c>
      <c r="AJ6" s="24">
        <f t="shared" si="10"/>
        <v>3.5443835669445471E-2</v>
      </c>
      <c r="AK6" s="24">
        <f t="shared" si="11"/>
        <v>1.2240499358665226E-2</v>
      </c>
      <c r="AL6" s="21">
        <f t="shared" si="12"/>
        <v>1298544</v>
      </c>
      <c r="AM6" s="24">
        <f t="shared" si="13"/>
        <v>6.4811219749647972E-2</v>
      </c>
      <c r="AN6" s="46">
        <v>24748431</v>
      </c>
      <c r="AO6" s="46">
        <v>773388.46875</v>
      </c>
      <c r="AP6" s="46">
        <v>19854</v>
      </c>
      <c r="AQ6" s="47">
        <v>1603976</v>
      </c>
      <c r="AR6" s="47">
        <v>884832</v>
      </c>
      <c r="AS6" s="47">
        <v>413712</v>
      </c>
      <c r="AT6" s="47">
        <v>305576</v>
      </c>
      <c r="AU6" s="48">
        <v>68.502415624999998</v>
      </c>
      <c r="AV6" s="48">
        <v>70.509184375000004</v>
      </c>
      <c r="AW6" s="48">
        <v>33.874771875</v>
      </c>
      <c r="AX6" s="48">
        <v>45.589356249999902</v>
      </c>
      <c r="AY6" s="48">
        <v>45.027081249999902</v>
      </c>
      <c r="AZ6" s="49">
        <v>5889.79</v>
      </c>
      <c r="BA6" s="49">
        <v>4556.26</v>
      </c>
      <c r="BB6" s="49">
        <v>6.34</v>
      </c>
      <c r="BC6" s="49">
        <v>20.911999999999999</v>
      </c>
      <c r="BD6">
        <v>32</v>
      </c>
      <c r="BE6" s="25">
        <f t="shared" si="14"/>
        <v>-6.2705729373557784E-5</v>
      </c>
      <c r="BF6" s="25">
        <f t="shared" si="15"/>
        <v>2.6939460287649375E-2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CF29" si="17">AN6-P6</f>
        <v>118359</v>
      </c>
      <c r="BV6" s="4">
        <f t="shared" si="16"/>
        <v>3698.71875</v>
      </c>
      <c r="BW6" s="4">
        <f t="shared" si="16"/>
        <v>46.6875</v>
      </c>
      <c r="BX6" s="4">
        <f t="shared" si="16"/>
        <v>-51664</v>
      </c>
      <c r="BY6" s="4">
        <f t="shared" si="16"/>
        <v>24384</v>
      </c>
      <c r="BZ6" s="4">
        <f t="shared" si="16"/>
        <v>-21608</v>
      </c>
      <c r="CA6" s="4">
        <f t="shared" si="16"/>
        <v>-54440</v>
      </c>
      <c r="CB6" s="4">
        <f t="shared" si="16"/>
        <v>2.7759375000002251E-2</v>
      </c>
      <c r="CC6" s="4">
        <f t="shared" si="16"/>
        <v>9.1812499999974762E-3</v>
      </c>
      <c r="CD6" s="4">
        <f t="shared" si="16"/>
        <v>4.2865624999997465E-2</v>
      </c>
      <c r="CE6" s="4">
        <f t="shared" si="16"/>
        <v>0.21253750000000338</v>
      </c>
      <c r="CF6" s="4">
        <f t="shared" si="16"/>
        <v>0.1000874999999013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2.1322874999999999</v>
      </c>
      <c r="J7" s="18">
        <f t="shared" si="1"/>
        <v>9.1107552168110506E-2</v>
      </c>
      <c r="K7" s="18">
        <f t="shared" si="2"/>
        <v>6.3408843838497486E-2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1582960</v>
      </c>
      <c r="O7" s="18">
        <f t="shared" si="6"/>
        <v>9.1273061853988785E-2</v>
      </c>
      <c r="P7" s="42">
        <v>24919072</v>
      </c>
      <c r="Q7" s="42">
        <v>778721</v>
      </c>
      <c r="R7" s="42">
        <v>21072.28125</v>
      </c>
      <c r="S7" s="43">
        <v>2274440</v>
      </c>
      <c r="T7" s="43">
        <v>1147640</v>
      </c>
      <c r="U7" s="43">
        <v>435320</v>
      </c>
      <c r="V7" s="43">
        <v>691624</v>
      </c>
      <c r="W7" s="44">
        <v>69.796599999999998</v>
      </c>
      <c r="X7" s="44">
        <v>72.151678125000004</v>
      </c>
      <c r="Y7" s="44">
        <v>36.257321875000002</v>
      </c>
      <c r="Z7" s="44">
        <v>46.796909374999998</v>
      </c>
      <c r="AA7" s="44">
        <v>46.487650000000002</v>
      </c>
      <c r="AB7" s="45">
        <v>7887.92</v>
      </c>
      <c r="AC7" s="45">
        <v>4072.98</v>
      </c>
      <c r="AD7" s="45">
        <v>6.6959999999999997</v>
      </c>
      <c r="AE7" s="45">
        <v>19.908000000000001</v>
      </c>
      <c r="AG7" s="17">
        <f t="shared" si="7"/>
        <v>2.0539649999999998</v>
      </c>
      <c r="AH7" s="18">
        <f t="shared" si="8"/>
        <v>8.7761018806785246E-2</v>
      </c>
      <c r="AI7" s="18">
        <f t="shared" si="9"/>
        <v>6.316818056603217E-2</v>
      </c>
      <c r="AJ7" s="18">
        <f t="shared" si="10"/>
        <v>4.6596062760078466E-2</v>
      </c>
      <c r="AK7" s="18">
        <f t="shared" si="11"/>
        <v>2.4598606468322157E-2</v>
      </c>
      <c r="AL7" s="15">
        <f t="shared" si="12"/>
        <v>1576952</v>
      </c>
      <c r="AM7" s="18">
        <f t="shared" si="13"/>
        <v>8.772044110221662E-2</v>
      </c>
      <c r="AN7" s="42">
        <v>24975889</v>
      </c>
      <c r="AO7" s="42">
        <v>780496.53125</v>
      </c>
      <c r="AP7" s="42">
        <v>20991.6875</v>
      </c>
      <c r="AQ7" s="43">
        <v>2190896</v>
      </c>
      <c r="AR7" s="43">
        <v>1163240</v>
      </c>
      <c r="AS7" s="43">
        <v>413712</v>
      </c>
      <c r="AT7" s="43">
        <v>614088</v>
      </c>
      <c r="AU7" s="44">
        <v>69.810415625000005</v>
      </c>
      <c r="AV7" s="44">
        <v>72.157903125000004</v>
      </c>
      <c r="AW7" s="44">
        <v>36.296899999999901</v>
      </c>
      <c r="AX7" s="44">
        <v>46.923515624999901</v>
      </c>
      <c r="AY7" s="44">
        <v>46.646974999999998</v>
      </c>
      <c r="AZ7" s="45">
        <v>8380.7900000000009</v>
      </c>
      <c r="BA7" s="45">
        <v>4466.03</v>
      </c>
      <c r="BB7" s="45">
        <v>6.3040000000000003</v>
      </c>
      <c r="BC7" s="45">
        <v>21.364000000000001</v>
      </c>
      <c r="BD7">
        <v>32</v>
      </c>
      <c r="BE7" s="19">
        <f t="shared" si="14"/>
        <v>-1.6481794336960232E-4</v>
      </c>
      <c r="BF7" s="19">
        <f t="shared" si="15"/>
        <v>2.3797012090234659E-2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56817</v>
      </c>
      <c r="BV7" s="4">
        <f t="shared" si="16"/>
        <v>1775.53125</v>
      </c>
      <c r="BW7" s="4">
        <f t="shared" si="16"/>
        <v>-80.59375</v>
      </c>
      <c r="BX7" s="4">
        <f t="shared" si="16"/>
        <v>-83544</v>
      </c>
      <c r="BY7" s="4">
        <f t="shared" si="16"/>
        <v>15600</v>
      </c>
      <c r="BZ7" s="4">
        <f t="shared" si="16"/>
        <v>-21608</v>
      </c>
      <c r="CA7" s="4">
        <f t="shared" si="16"/>
        <v>-77536</v>
      </c>
      <c r="CB7" s="4">
        <f t="shared" si="16"/>
        <v>1.3815625000006548E-2</v>
      </c>
      <c r="CC7" s="4">
        <f t="shared" si="16"/>
        <v>6.2250000000005912E-3</v>
      </c>
      <c r="CD7" s="4">
        <f t="shared" si="16"/>
        <v>3.9578124999898989E-2</v>
      </c>
      <c r="CE7" s="4">
        <f t="shared" si="16"/>
        <v>0.12660624999990233</v>
      </c>
      <c r="CF7" s="4">
        <f t="shared" si="16"/>
        <v>0.1593249999999955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3.5141550000000001</v>
      </c>
      <c r="J8" s="24">
        <f t="shared" si="1"/>
        <v>0.15015145002225375</v>
      </c>
      <c r="K8" s="24">
        <f t="shared" si="2"/>
        <v>8.8533320386867009E-2</v>
      </c>
      <c r="L8" s="24">
        <f t="shared" si="3"/>
        <v>7.1095647988464822E-2</v>
      </c>
      <c r="M8" s="24">
        <f t="shared" si="4"/>
        <v>6.1623897862955808E-2</v>
      </c>
      <c r="N8" s="21">
        <f t="shared" si="5"/>
        <v>2210176</v>
      </c>
      <c r="O8" s="24">
        <f t="shared" si="6"/>
        <v>0.14414770837710847</v>
      </c>
      <c r="P8" s="46">
        <v>26004104</v>
      </c>
      <c r="Q8" s="46">
        <v>812628.25</v>
      </c>
      <c r="R8" s="46">
        <v>24474.75</v>
      </c>
      <c r="S8" s="47">
        <v>3748432</v>
      </c>
      <c r="T8" s="47">
        <v>1774856</v>
      </c>
      <c r="U8" s="47">
        <v>435320</v>
      </c>
      <c r="V8" s="47">
        <v>1538400</v>
      </c>
      <c r="W8" s="48">
        <v>70.793118749999906</v>
      </c>
      <c r="X8" s="48">
        <v>73.333334374999893</v>
      </c>
      <c r="Y8" s="48">
        <v>38.702150000000003</v>
      </c>
      <c r="Z8" s="48">
        <v>48.108049999999999</v>
      </c>
      <c r="AA8" s="48">
        <v>47.962968750000002</v>
      </c>
      <c r="AB8" s="49">
        <v>7886.44</v>
      </c>
      <c r="AC8" s="49">
        <v>4409.3</v>
      </c>
      <c r="AD8" s="49">
        <v>5.984</v>
      </c>
      <c r="AE8" s="49">
        <v>18.731999999999999</v>
      </c>
      <c r="AG8" s="23">
        <f t="shared" si="7"/>
        <v>3.4035674999999999</v>
      </c>
      <c r="AH8" s="24">
        <f t="shared" si="8"/>
        <v>0.14542631027191946</v>
      </c>
      <c r="AI8" s="24">
        <f t="shared" si="9"/>
        <v>8.8716301383641574E-2</v>
      </c>
      <c r="AJ8" s="24">
        <f t="shared" si="10"/>
        <v>7.214418357768787E-2</v>
      </c>
      <c r="AK8" s="24">
        <f t="shared" si="11"/>
        <v>5.6715777115846959E-2</v>
      </c>
      <c r="AL8" s="21">
        <f t="shared" si="12"/>
        <v>2214744</v>
      </c>
      <c r="AM8" s="24">
        <f t="shared" si="13"/>
        <v>0.13952599611683916</v>
      </c>
      <c r="AN8" s="46">
        <v>26020040</v>
      </c>
      <c r="AO8" s="46">
        <v>813126.25</v>
      </c>
      <c r="AP8" s="46">
        <v>24476.4375</v>
      </c>
      <c r="AQ8" s="47">
        <v>3630472</v>
      </c>
      <c r="AR8" s="47">
        <v>1801032</v>
      </c>
      <c r="AS8" s="47">
        <v>413712</v>
      </c>
      <c r="AT8" s="47">
        <v>1415872</v>
      </c>
      <c r="AU8" s="48">
        <v>70.802487499999998</v>
      </c>
      <c r="AV8" s="48">
        <v>73.348771874999997</v>
      </c>
      <c r="AW8" s="48">
        <v>38.729709374999999</v>
      </c>
      <c r="AX8" s="48">
        <v>48.152643749999903</v>
      </c>
      <c r="AY8" s="48">
        <v>48.047521874999902</v>
      </c>
      <c r="AZ8" s="49">
        <v>8414.32</v>
      </c>
      <c r="BA8" s="49">
        <v>4873.6099999999997</v>
      </c>
      <c r="BB8" s="49">
        <v>7.7320000000000002</v>
      </c>
      <c r="BC8" s="49">
        <v>24.584</v>
      </c>
      <c r="BD8">
        <v>32</v>
      </c>
      <c r="BE8" s="25">
        <f t="shared" si="14"/>
        <v>-1.6370485614647379E-5</v>
      </c>
      <c r="BF8" s="25">
        <f t="shared" si="15"/>
        <v>2.0416182365221802E-2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15936</v>
      </c>
      <c r="BV8" s="4">
        <f t="shared" si="16"/>
        <v>498</v>
      </c>
      <c r="BW8" s="4">
        <f t="shared" si="16"/>
        <v>1.6875</v>
      </c>
      <c r="BX8" s="4">
        <f t="shared" si="16"/>
        <v>-117960</v>
      </c>
      <c r="BY8" s="4">
        <f t="shared" si="16"/>
        <v>26176</v>
      </c>
      <c r="BZ8" s="4">
        <f t="shared" si="16"/>
        <v>-21608</v>
      </c>
      <c r="CA8" s="4">
        <f t="shared" si="16"/>
        <v>-122528</v>
      </c>
      <c r="CB8" s="4">
        <f t="shared" si="16"/>
        <v>9.3687500000925183E-3</v>
      </c>
      <c r="CC8" s="4">
        <f t="shared" si="16"/>
        <v>1.543750000010391E-2</v>
      </c>
      <c r="CD8" s="4">
        <f t="shared" si="16"/>
        <v>2.7559374999995612E-2</v>
      </c>
      <c r="CE8" s="4">
        <f t="shared" si="16"/>
        <v>4.459374999990473E-2</v>
      </c>
      <c r="CF8" s="4">
        <f t="shared" si="16"/>
        <v>8.4553124999899865E-2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7.4982899999999999</v>
      </c>
      <c r="J9" s="30">
        <f t="shared" si="1"/>
        <v>0.32038402295498208</v>
      </c>
      <c r="K9" s="30">
        <f t="shared" si="2"/>
        <v>0.15074045014847379</v>
      </c>
      <c r="L9" s="30">
        <f t="shared" si="3"/>
        <v>0.11441663931765714</v>
      </c>
      <c r="M9" s="30">
        <f t="shared" si="4"/>
        <v>0.16964934103407736</v>
      </c>
      <c r="N9" s="27">
        <f t="shared" si="5"/>
        <v>3763136</v>
      </c>
      <c r="O9" s="30">
        <f t="shared" si="6"/>
        <v>0.31959791806397769</v>
      </c>
      <c r="P9" s="50">
        <v>25025745</v>
      </c>
      <c r="Q9" s="50">
        <v>782054.53125</v>
      </c>
      <c r="R9" s="50">
        <v>10275.84375</v>
      </c>
      <c r="S9" s="51">
        <v>7998176</v>
      </c>
      <c r="T9" s="51">
        <v>2856336</v>
      </c>
      <c r="U9" s="51">
        <v>906800</v>
      </c>
      <c r="V9" s="51">
        <v>4235184</v>
      </c>
      <c r="W9" s="52">
        <v>72.048096874999999</v>
      </c>
      <c r="X9" s="52">
        <v>75.254449999999906</v>
      </c>
      <c r="Y9" s="52">
        <v>41.140931249999902</v>
      </c>
      <c r="Z9" s="52">
        <v>49.543940624999998</v>
      </c>
      <c r="AA9" s="52">
        <v>49.608296875000001</v>
      </c>
      <c r="AB9" s="53">
        <v>7934.92</v>
      </c>
      <c r="AC9" s="53">
        <v>5048.84</v>
      </c>
      <c r="AD9" s="53">
        <v>7.08</v>
      </c>
      <c r="AE9" s="53">
        <v>23.492000000000001</v>
      </c>
      <c r="AG9" s="29">
        <f t="shared" si="7"/>
        <v>7.4044049999999997</v>
      </c>
      <c r="AH9" s="30">
        <f t="shared" si="8"/>
        <v>0.3163725411377773</v>
      </c>
      <c r="AI9" s="30">
        <f t="shared" si="9"/>
        <v>0.15339575757277149</v>
      </c>
      <c r="AJ9" s="30">
        <f t="shared" si="10"/>
        <v>0.11820123751714495</v>
      </c>
      <c r="AK9" s="30">
        <f t="shared" si="11"/>
        <v>0.16298255179257487</v>
      </c>
      <c r="AL9" s="27">
        <f t="shared" si="12"/>
        <v>3829424</v>
      </c>
      <c r="AM9" s="30">
        <f t="shared" si="13"/>
        <v>0.31499308358075095</v>
      </c>
      <c r="AN9" s="50">
        <v>25073668</v>
      </c>
      <c r="AO9" s="50">
        <v>783552.125</v>
      </c>
      <c r="AP9" s="50">
        <v>10308.78125</v>
      </c>
      <c r="AQ9" s="51">
        <v>7898032</v>
      </c>
      <c r="AR9" s="51">
        <v>2950816</v>
      </c>
      <c r="AS9" s="51">
        <v>878608</v>
      </c>
      <c r="AT9" s="51">
        <v>4068752</v>
      </c>
      <c r="AU9" s="52">
        <v>72.043268749999996</v>
      </c>
      <c r="AV9" s="52">
        <v>75.211928125</v>
      </c>
      <c r="AW9" s="52">
        <v>41.163768749999903</v>
      </c>
      <c r="AX9" s="52">
        <v>49.628581249999897</v>
      </c>
      <c r="AY9" s="52">
        <v>49.625696875000003</v>
      </c>
      <c r="AZ9" s="53">
        <v>8393.58</v>
      </c>
      <c r="BA9" s="53">
        <v>5550.51</v>
      </c>
      <c r="BB9" s="53">
        <v>7.2519999999999998</v>
      </c>
      <c r="BC9" s="53">
        <v>28.071999999999999</v>
      </c>
      <c r="BD9">
        <v>32</v>
      </c>
      <c r="BE9" s="31">
        <f t="shared" si="14"/>
        <v>1.6922669568023366E-5</v>
      </c>
      <c r="BF9" s="31">
        <f t="shared" si="15"/>
        <v>1.4358726234443675E-2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47923</v>
      </c>
      <c r="BV9" s="4">
        <f t="shared" si="16"/>
        <v>1497.59375</v>
      </c>
      <c r="BW9" s="4">
        <f t="shared" si="16"/>
        <v>32.9375</v>
      </c>
      <c r="BX9" s="4">
        <f t="shared" si="16"/>
        <v>-100144</v>
      </c>
      <c r="BY9" s="4">
        <f t="shared" si="16"/>
        <v>94480</v>
      </c>
      <c r="BZ9" s="4">
        <f t="shared" si="16"/>
        <v>-28192</v>
      </c>
      <c r="CA9" s="4">
        <f t="shared" si="16"/>
        <v>-166432</v>
      </c>
      <c r="CB9" s="4">
        <f t="shared" si="16"/>
        <v>-4.8281250000030695E-3</v>
      </c>
      <c r="CC9" s="4">
        <f t="shared" si="16"/>
        <v>-4.2521874999906117E-2</v>
      </c>
      <c r="CD9" s="4">
        <f t="shared" si="16"/>
        <v>2.2837500000001398E-2</v>
      </c>
      <c r="CE9" s="4">
        <f t="shared" si="16"/>
        <v>8.4640624999899217E-2</v>
      </c>
      <c r="CF9" s="4">
        <f t="shared" si="16"/>
        <v>1.740000000000208E-2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2.0552250000000001</v>
      </c>
      <c r="J10" s="24">
        <f t="shared" si="1"/>
        <v>9.6767178012560615E-2</v>
      </c>
      <c r="K10" s="24">
        <f t="shared" si="2"/>
        <v>7.1235799194598548E-2</v>
      </c>
      <c r="L10" s="24">
        <f t="shared" si="3"/>
        <v>3.912638515414997E-2</v>
      </c>
      <c r="M10" s="24">
        <f t="shared" si="4"/>
        <v>2.5537735089918516E-2</v>
      </c>
      <c r="N10" s="21">
        <f t="shared" si="5"/>
        <v>1613832</v>
      </c>
      <c r="O10" s="24">
        <f t="shared" si="6"/>
        <v>0.1050372546765808</v>
      </c>
      <c r="P10" s="46">
        <v>20871071</v>
      </c>
      <c r="Q10" s="46">
        <v>652220.96875</v>
      </c>
      <c r="R10" s="46">
        <v>18933.5625</v>
      </c>
      <c r="S10" s="47">
        <v>2192240</v>
      </c>
      <c r="T10" s="47">
        <v>886400</v>
      </c>
      <c r="U10" s="47">
        <v>727432</v>
      </c>
      <c r="V10" s="47">
        <v>578552</v>
      </c>
      <c r="W10" s="48">
        <v>65.969918750000005</v>
      </c>
      <c r="X10" s="48">
        <v>67.878562500000001</v>
      </c>
      <c r="Y10" s="48">
        <v>31.036003124999901</v>
      </c>
      <c r="Z10" s="48">
        <v>38.622875000000001</v>
      </c>
      <c r="AA10" s="48">
        <v>30.1112156249999</v>
      </c>
      <c r="AB10" s="49">
        <v>6764.04</v>
      </c>
      <c r="AC10" s="49">
        <v>4854.6000000000004</v>
      </c>
      <c r="AD10" s="49">
        <v>6.58</v>
      </c>
      <c r="AE10" s="49">
        <v>23.815999999999999</v>
      </c>
      <c r="AG10" s="23">
        <f t="shared" si="7"/>
        <v>2.0976675</v>
      </c>
      <c r="AH10" s="24">
        <f t="shared" si="8"/>
        <v>9.8765519290424639E-2</v>
      </c>
      <c r="AI10" s="24">
        <f t="shared" si="9"/>
        <v>7.3246499890155678E-2</v>
      </c>
      <c r="AJ10" s="24">
        <f t="shared" si="10"/>
        <v>4.126456441505591E-2</v>
      </c>
      <c r="AK10" s="24">
        <f t="shared" si="11"/>
        <v>2.5525375672225417E-2</v>
      </c>
      <c r="AL10" s="21">
        <f t="shared" si="12"/>
        <v>1659384</v>
      </c>
      <c r="AM10" s="24">
        <f t="shared" si="13"/>
        <v>0.1071503601932824</v>
      </c>
      <c r="AN10" s="46">
        <v>20881983</v>
      </c>
      <c r="AO10" s="46">
        <v>652561.96875</v>
      </c>
      <c r="AP10" s="46">
        <v>19543.625</v>
      </c>
      <c r="AQ10" s="47">
        <v>2237512</v>
      </c>
      <c r="AR10" s="47">
        <v>934840</v>
      </c>
      <c r="AS10" s="47">
        <v>724544</v>
      </c>
      <c r="AT10" s="47">
        <v>578272</v>
      </c>
      <c r="AU10" s="48">
        <v>65.986024999999898</v>
      </c>
      <c r="AV10" s="48">
        <v>67.868090624999994</v>
      </c>
      <c r="AW10" s="48">
        <v>31.091506249999998</v>
      </c>
      <c r="AX10" s="48">
        <v>38.765168750000001</v>
      </c>
      <c r="AY10" s="48">
        <v>30.116034375000002</v>
      </c>
      <c r="AZ10" s="49">
        <v>6893.61</v>
      </c>
      <c r="BA10" s="49">
        <v>6074.3</v>
      </c>
      <c r="BB10" s="49">
        <v>6.92</v>
      </c>
      <c r="BC10" s="49">
        <v>31.628</v>
      </c>
      <c r="BD10">
        <v>32</v>
      </c>
      <c r="BE10" s="25">
        <f t="shared" si="14"/>
        <v>9.1970343701096649E-4</v>
      </c>
      <c r="BF10" s="25">
        <f t="shared" si="15"/>
        <v>5.4635314869967422E-3</v>
      </c>
      <c r="BG10" s="25">
        <f t="array" ref="BG10">AVERAGE(AL10:AL14/AQ10:AQ14) - AVERAGE(N10:N14/S10:S14)</f>
        <v>6.0291519225027512E-3</v>
      </c>
      <c r="BI10" s="26">
        <f>IF( OR(ISBLANK(N10:N14),ISBLANK(AL10:AL14), ISBLANK(W10:W14),ISBLANK(AU10:AU14)), "·", bdRateExtend( N10:N14,W10:W14, AL10:AL14,AU10:AU14))</f>
        <v>3.2077251311616317E-2</v>
      </c>
      <c r="BJ10" s="26">
        <f>IF( OR(ISBLANK(N10:N14),ISBLANK(AL10:AL14), ISBLANK(X10:X14),ISBLANK(AV10:AV14)), "·", bdRateExtend( N10:N14,X10:X14, AL10:AL14,AV10:AV14))</f>
        <v>3.0753657910014054E-2</v>
      </c>
      <c r="BK10" s="26">
        <f>IF( OR(ISBLANK(V10:V14),ISBLANK(AT10:AT14), ISBLANK(Y10:Y14),ISBLANK(AW10:AW14)), "·", bdRateExtend( V10:V14,Y10:Y14, AT10:AT14,AW10:AW14))</f>
        <v>-1.0409859397234267E-2</v>
      </c>
      <c r="BL10" s="26">
        <f>IF( OR(ISBLANK(V10:V14),ISBLANK(AT10:AT14), ISBLANK(Z10:Z14),ISBLANK(AX10:AX14)), "·", bdRateExtend( V10:V14,Z10:Z14, AT10:AT14,AX10:AX14))</f>
        <v>-4.1263938898399743E-2</v>
      </c>
      <c r="BM10" s="26">
        <f>IF( OR(ISBLANK(V10:V14),ISBLANK(AT10:AT14), ISBLANK(AA10:AA14),ISBLANK(AY10:AY14)), "·", bdRateExtend( V10:V14,AA10:AA14, AT10:AT14,AY10:AY14))</f>
        <v>-1.2411068328974539E-2</v>
      </c>
      <c r="BO10" s="26">
        <f>IF( OR(ISBLANK(S10:S14),ISBLANK(AQ10:AQ14), ISBLANK(W10:W14),ISBLANK(AU10:AU14)), "·", bdRateExtend( S10:S14,W10:W14, AQ10:AQ14,AU10:AU14))</f>
        <v>2.1257711149603953E-2</v>
      </c>
      <c r="BP10" s="26">
        <f>IF( OR(ISBLANK(S10:S14),ISBLANK(AQ10:AQ14), ISBLANK(X10:X14),ISBLANK(AV10:AV14)), "·", bdRateExtend( S10:S14,X10:X14, AQ10:AQ14,AV10:AV14))</f>
        <v>1.8473326463382955E-2</v>
      </c>
      <c r="BQ10" s="26">
        <f>IF( OR(ISBLANK(S10:S14),ISBLANK(AQ10:AQ14), ISBLANK(Y10:Y14),ISBLANK(AW10:AW14)), "·", bdRateExtend( S10:S14,Y10:Y14, AQ10:AQ14,AW10:AW14))</f>
        <v>9.7234757378499292E-3</v>
      </c>
      <c r="BR10" s="26">
        <f>IF( OR(ISBLANK(S10:S14),ISBLANK(AQ10:AQ14), ISBLANK(Z10:Z14),ISBLANK(AX10:AX14)), "·", bdRateExtend( S10:S14,Z10:Z14, AQ10:AQ14,AX10:AX14))</f>
        <v>-1.2372974144702287E-2</v>
      </c>
      <c r="BS10" s="26">
        <f>IF( OR(ISBLANK(S10:S14),ISBLANK(AQ10:AQ14), ISBLANK(AA10:AA14),ISBLANK(AY10:AY14)), "·", bdRateExtend( S10:S14,AA10:AA14, AQ10:AQ14,AY10:AY14))</f>
        <v>8.4283304364267675E-3</v>
      </c>
      <c r="BU10" s="4">
        <f t="shared" si="17"/>
        <v>10912</v>
      </c>
      <c r="BV10" s="4">
        <f t="shared" si="16"/>
        <v>341</v>
      </c>
      <c r="BW10" s="4">
        <f t="shared" si="16"/>
        <v>610.0625</v>
      </c>
      <c r="BX10" s="4">
        <f t="shared" si="16"/>
        <v>45272</v>
      </c>
      <c r="BY10" s="4">
        <f t="shared" si="16"/>
        <v>48440</v>
      </c>
      <c r="BZ10" s="4">
        <f t="shared" si="16"/>
        <v>-2888</v>
      </c>
      <c r="CA10" s="4">
        <f t="shared" si="16"/>
        <v>-280</v>
      </c>
      <c r="CB10" s="4">
        <f t="shared" si="16"/>
        <v>1.6106249999893407E-2</v>
      </c>
      <c r="CC10" s="4">
        <f t="shared" si="16"/>
        <v>-1.0471875000007458E-2</v>
      </c>
      <c r="CD10" s="4">
        <f t="shared" si="16"/>
        <v>5.5503125000097242E-2</v>
      </c>
      <c r="CE10" s="4">
        <f t="shared" si="16"/>
        <v>0.14229375000000033</v>
      </c>
      <c r="CF10" s="4">
        <f t="shared" si="16"/>
        <v>4.8187500001013461E-3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2.7926924999999998</v>
      </c>
      <c r="J11" s="18">
        <f t="shared" si="1"/>
        <v>0.1314897260795499</v>
      </c>
      <c r="K11" s="18">
        <f t="shared" si="2"/>
        <v>8.6273326138680884E-2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1954504</v>
      </c>
      <c r="O11" s="18">
        <f t="shared" si="6"/>
        <v>0.1331087798820603</v>
      </c>
      <c r="P11" s="42">
        <v>22379230</v>
      </c>
      <c r="Q11" s="42">
        <v>699350.9375</v>
      </c>
      <c r="R11" s="42">
        <v>24081.75</v>
      </c>
      <c r="S11" s="43">
        <v>2978872</v>
      </c>
      <c r="T11" s="43">
        <v>1227072</v>
      </c>
      <c r="U11" s="43">
        <v>727432</v>
      </c>
      <c r="V11" s="43">
        <v>1024512</v>
      </c>
      <c r="W11" s="44">
        <v>67.698618749999994</v>
      </c>
      <c r="X11" s="44">
        <v>69.777518749999999</v>
      </c>
      <c r="Y11" s="44">
        <v>32.909609375000002</v>
      </c>
      <c r="Z11" s="44">
        <v>39.656315624999998</v>
      </c>
      <c r="AA11" s="44">
        <v>32.299137499999901</v>
      </c>
      <c r="AB11" s="45">
        <v>6724.68</v>
      </c>
      <c r="AC11" s="45">
        <v>5144.04</v>
      </c>
      <c r="AD11" s="45">
        <v>6.76</v>
      </c>
      <c r="AE11" s="45">
        <v>24.771999999999998</v>
      </c>
      <c r="AG11" s="17">
        <f t="shared" si="7"/>
        <v>2.8511774999999999</v>
      </c>
      <c r="AH11" s="18">
        <f t="shared" si="8"/>
        <v>0.13424340434157211</v>
      </c>
      <c r="AI11" s="18">
        <f t="shared" si="9"/>
        <v>8.9117404712972609E-2</v>
      </c>
      <c r="AJ11" s="18">
        <f t="shared" si="10"/>
        <v>5.7135469237872841E-2</v>
      </c>
      <c r="AK11" s="18">
        <f t="shared" si="11"/>
        <v>4.5132355900555948E-2</v>
      </c>
      <c r="AL11" s="15">
        <f t="shared" si="12"/>
        <v>2018936</v>
      </c>
      <c r="AM11" s="18">
        <f t="shared" si="13"/>
        <v>0.13640278500187231</v>
      </c>
      <c r="AN11" s="42">
        <v>22296143</v>
      </c>
      <c r="AO11" s="42">
        <v>696754.46875</v>
      </c>
      <c r="AP11" s="42">
        <v>24179.8125</v>
      </c>
      <c r="AQ11" s="43">
        <v>3041256</v>
      </c>
      <c r="AR11" s="43">
        <v>1294392</v>
      </c>
      <c r="AS11" s="43">
        <v>724544</v>
      </c>
      <c r="AT11" s="43">
        <v>1022464</v>
      </c>
      <c r="AU11" s="44">
        <v>67.681096874999994</v>
      </c>
      <c r="AV11" s="44">
        <v>69.778499999999994</v>
      </c>
      <c r="AW11" s="44">
        <v>32.949775000000002</v>
      </c>
      <c r="AX11" s="44">
        <v>39.708374999999997</v>
      </c>
      <c r="AY11" s="44">
        <v>32.351071875000002</v>
      </c>
      <c r="AZ11" s="45">
        <v>7198.76</v>
      </c>
      <c r="BA11" s="45">
        <v>6324.35</v>
      </c>
      <c r="BB11" s="45">
        <v>6.968</v>
      </c>
      <c r="BC11" s="45">
        <v>31.704000000000001</v>
      </c>
      <c r="BD11">
        <v>32</v>
      </c>
      <c r="BE11" s="19">
        <f t="shared" si="14"/>
        <v>2.6906238348734651E-4</v>
      </c>
      <c r="BF11" s="19">
        <f t="shared" si="15"/>
        <v>7.7272264240908495E-3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-83087</v>
      </c>
      <c r="BV11" s="4">
        <f t="shared" si="16"/>
        <v>-2596.46875</v>
      </c>
      <c r="BW11" s="4">
        <f t="shared" si="16"/>
        <v>98.0625</v>
      </c>
      <c r="BX11" s="4">
        <f t="shared" si="16"/>
        <v>62384</v>
      </c>
      <c r="BY11" s="4">
        <f t="shared" si="16"/>
        <v>67320</v>
      </c>
      <c r="BZ11" s="4">
        <f t="shared" si="16"/>
        <v>-2888</v>
      </c>
      <c r="CA11" s="4">
        <f t="shared" si="16"/>
        <v>-2048</v>
      </c>
      <c r="CB11" s="4">
        <f t="shared" si="16"/>
        <v>-1.7521874999999909E-2</v>
      </c>
      <c r="CC11" s="4">
        <f t="shared" si="16"/>
        <v>9.8124999999527063E-4</v>
      </c>
      <c r="CD11" s="4">
        <f t="shared" si="16"/>
        <v>4.0165625000000205E-2</v>
      </c>
      <c r="CE11" s="4">
        <f t="shared" si="16"/>
        <v>5.2059374999998909E-2</v>
      </c>
      <c r="CF11" s="4">
        <f t="shared" si="16"/>
        <v>5.193437500010134E-2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3.9566699999999999</v>
      </c>
      <c r="J12" s="24">
        <f t="shared" si="1"/>
        <v>0.18629385601428466</v>
      </c>
      <c r="K12" s="24">
        <f t="shared" si="2"/>
        <v>0.10820670190307224</v>
      </c>
      <c r="L12" s="24">
        <f t="shared" si="3"/>
        <v>7.6097287862623667E-2</v>
      </c>
      <c r="M12" s="24">
        <f t="shared" si="4"/>
        <v>7.8093510383168876E-2</v>
      </c>
      <c r="N12" s="21">
        <f t="shared" si="5"/>
        <v>2451400</v>
      </c>
      <c r="O12" s="24">
        <f t="shared" si="6"/>
        <v>0.18578440590869041</v>
      </c>
      <c r="P12" s="46">
        <v>22716912</v>
      </c>
      <c r="Q12" s="46">
        <v>709903.5</v>
      </c>
      <c r="R12" s="46">
        <v>25579.28125</v>
      </c>
      <c r="S12" s="47">
        <v>4220448</v>
      </c>
      <c r="T12" s="47">
        <v>1723968</v>
      </c>
      <c r="U12" s="47">
        <v>727432</v>
      </c>
      <c r="V12" s="47">
        <v>1769192</v>
      </c>
      <c r="W12" s="48">
        <v>69.047799999999995</v>
      </c>
      <c r="X12" s="48">
        <v>71.398093750000001</v>
      </c>
      <c r="Y12" s="48">
        <v>34.942528125000003</v>
      </c>
      <c r="Z12" s="48">
        <v>40.653209374999904</v>
      </c>
      <c r="AA12" s="48">
        <v>34.211896875000001</v>
      </c>
      <c r="AB12" s="49">
        <v>7837.58</v>
      </c>
      <c r="AC12" s="49">
        <v>5474.32</v>
      </c>
      <c r="AD12" s="49">
        <v>6.8840000000000003</v>
      </c>
      <c r="AE12" s="49">
        <v>25.155999999999999</v>
      </c>
      <c r="AG12" s="23">
        <f t="shared" si="7"/>
        <v>4.0202475</v>
      </c>
      <c r="AH12" s="24">
        <f t="shared" si="8"/>
        <v>0.18928730697955298</v>
      </c>
      <c r="AI12" s="24">
        <f t="shared" si="9"/>
        <v>0.11091094249432207</v>
      </c>
      <c r="AJ12" s="24">
        <f t="shared" si="10"/>
        <v>7.89290070192223E-2</v>
      </c>
      <c r="AK12" s="24">
        <f t="shared" si="11"/>
        <v>7.8382720757187371E-2</v>
      </c>
      <c r="AL12" s="21">
        <f t="shared" si="12"/>
        <v>2512664</v>
      </c>
      <c r="AM12" s="24">
        <f t="shared" si="13"/>
        <v>0.18886247707573972</v>
      </c>
      <c r="AN12" s="46">
        <v>22705749</v>
      </c>
      <c r="AO12" s="46">
        <v>709554.65625</v>
      </c>
      <c r="AP12" s="46">
        <v>25819.0625</v>
      </c>
      <c r="AQ12" s="47">
        <v>4288264</v>
      </c>
      <c r="AR12" s="47">
        <v>1788120</v>
      </c>
      <c r="AS12" s="47">
        <v>724544</v>
      </c>
      <c r="AT12" s="47">
        <v>1775744</v>
      </c>
      <c r="AU12" s="48">
        <v>69.039209374999999</v>
      </c>
      <c r="AV12" s="48">
        <v>71.415665624999903</v>
      </c>
      <c r="AW12" s="48">
        <v>35.009159375000003</v>
      </c>
      <c r="AX12" s="48">
        <v>40.719368750000001</v>
      </c>
      <c r="AY12" s="48">
        <v>34.290212500000003</v>
      </c>
      <c r="AZ12" s="49">
        <v>8051.21</v>
      </c>
      <c r="BA12" s="49">
        <v>6682.73</v>
      </c>
      <c r="BB12" s="49">
        <v>6.1879999999999997</v>
      </c>
      <c r="BC12" s="49">
        <v>28.184000000000001</v>
      </c>
      <c r="BD12">
        <v>32</v>
      </c>
      <c r="BE12" s="25">
        <f t="shared" si="14"/>
        <v>3.5564674914941724E-4</v>
      </c>
      <c r="BF12" s="25">
        <f t="shared" si="15"/>
        <v>5.1008601999360526E-3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-11163</v>
      </c>
      <c r="BV12" s="4">
        <f t="shared" si="16"/>
        <v>-348.84375</v>
      </c>
      <c r="BW12" s="4">
        <f t="shared" si="16"/>
        <v>239.78125</v>
      </c>
      <c r="BX12" s="4">
        <f t="shared" si="16"/>
        <v>67816</v>
      </c>
      <c r="BY12" s="4">
        <f t="shared" si="16"/>
        <v>64152</v>
      </c>
      <c r="BZ12" s="4">
        <f t="shared" si="16"/>
        <v>-2888</v>
      </c>
      <c r="CA12" s="4">
        <f t="shared" si="16"/>
        <v>6552</v>
      </c>
      <c r="CB12" s="4">
        <f t="shared" si="16"/>
        <v>-8.5906249999965212E-3</v>
      </c>
      <c r="CC12" s="4">
        <f t="shared" si="16"/>
        <v>1.7571874999902093E-2</v>
      </c>
      <c r="CD12" s="4">
        <f t="shared" si="16"/>
        <v>6.6631250000000364E-2</v>
      </c>
      <c r="CE12" s="4">
        <f t="shared" si="16"/>
        <v>6.6159375000097498E-2</v>
      </c>
      <c r="CF12" s="4">
        <f t="shared" si="16"/>
        <v>7.8315625000001887E-2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6.4486875000000001</v>
      </c>
      <c r="J13" s="18">
        <f t="shared" si="1"/>
        <v>0.30362675194194039</v>
      </c>
      <c r="K13" s="18">
        <f t="shared" si="2"/>
        <v>0.1483931719690702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3361816</v>
      </c>
      <c r="O13" s="18">
        <f t="shared" si="6"/>
        <v>0.29104908754888231</v>
      </c>
      <c r="P13" s="42">
        <v>23633814</v>
      </c>
      <c r="Q13" s="42">
        <v>738556.6875</v>
      </c>
      <c r="R13" s="42">
        <v>29497.75</v>
      </c>
      <c r="S13" s="43">
        <v>6878600</v>
      </c>
      <c r="T13" s="43">
        <v>2634384</v>
      </c>
      <c r="U13" s="43">
        <v>727432</v>
      </c>
      <c r="V13" s="43">
        <v>3516928</v>
      </c>
      <c r="W13" s="44">
        <v>70.054337500000003</v>
      </c>
      <c r="X13" s="44">
        <v>72.592015625000002</v>
      </c>
      <c r="Y13" s="44">
        <v>37.139621874999897</v>
      </c>
      <c r="Z13" s="44">
        <v>41.702190625</v>
      </c>
      <c r="AA13" s="44">
        <v>36.228109375000003</v>
      </c>
      <c r="AB13" s="45">
        <v>7856.88</v>
      </c>
      <c r="AC13" s="45">
        <v>5936.53</v>
      </c>
      <c r="AD13" s="45">
        <v>6.0519999999999996</v>
      </c>
      <c r="AE13" s="45">
        <v>22.532</v>
      </c>
      <c r="AG13" s="17">
        <f t="shared" si="7"/>
        <v>6.5867775000000002</v>
      </c>
      <c r="AH13" s="18">
        <f t="shared" si="8"/>
        <v>0.31012851190094953</v>
      </c>
      <c r="AI13" s="18">
        <f t="shared" si="9"/>
        <v>0.15348207392264832</v>
      </c>
      <c r="AJ13" s="18">
        <f t="shared" si="10"/>
        <v>0.12150013844754855</v>
      </c>
      <c r="AK13" s="18">
        <f t="shared" si="11"/>
        <v>0.15665279425025763</v>
      </c>
      <c r="AL13" s="15">
        <f t="shared" si="12"/>
        <v>3477104</v>
      </c>
      <c r="AM13" s="18">
        <f t="shared" si="13"/>
        <v>0.29684459579358308</v>
      </c>
      <c r="AN13" s="42">
        <v>23668600</v>
      </c>
      <c r="AO13" s="42">
        <v>739643.75</v>
      </c>
      <c r="AP13" s="42">
        <v>29822</v>
      </c>
      <c r="AQ13" s="43">
        <v>7025896</v>
      </c>
      <c r="AR13" s="43">
        <v>2752560</v>
      </c>
      <c r="AS13" s="43">
        <v>724544</v>
      </c>
      <c r="AT13" s="43">
        <v>3548936</v>
      </c>
      <c r="AU13" s="44">
        <v>70.060271874999998</v>
      </c>
      <c r="AV13" s="44">
        <v>72.604059375000006</v>
      </c>
      <c r="AW13" s="44">
        <v>37.1948875</v>
      </c>
      <c r="AX13" s="44">
        <v>41.791056249999997</v>
      </c>
      <c r="AY13" s="44">
        <v>36.2820125</v>
      </c>
      <c r="AZ13" s="45">
        <v>8054.29</v>
      </c>
      <c r="BA13" s="45">
        <v>7138.22</v>
      </c>
      <c r="BB13" s="45">
        <v>6.3</v>
      </c>
      <c r="BC13" s="45">
        <v>29.207999999999998</v>
      </c>
      <c r="BD13">
        <v>32</v>
      </c>
      <c r="BE13" s="19">
        <f t="shared" si="14"/>
        <v>3.7968687514451649E-4</v>
      </c>
      <c r="BF13" s="19">
        <f t="shared" si="15"/>
        <v>6.1628034363959694E-3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34786</v>
      </c>
      <c r="BV13" s="4">
        <f t="shared" si="16"/>
        <v>1087.0625</v>
      </c>
      <c r="BW13" s="4">
        <f t="shared" si="16"/>
        <v>324.25</v>
      </c>
      <c r="BX13" s="4">
        <f t="shared" si="16"/>
        <v>147296</v>
      </c>
      <c r="BY13" s="4">
        <f t="shared" si="16"/>
        <v>118176</v>
      </c>
      <c r="BZ13" s="4">
        <f t="shared" si="16"/>
        <v>-2888</v>
      </c>
      <c r="CA13" s="4">
        <f t="shared" si="16"/>
        <v>32008</v>
      </c>
      <c r="CB13" s="4">
        <f t="shared" si="16"/>
        <v>5.9343749999953843E-3</v>
      </c>
      <c r="CC13" s="4">
        <f t="shared" si="16"/>
        <v>1.2043750000003683E-2</v>
      </c>
      <c r="CD13" s="4">
        <f t="shared" si="16"/>
        <v>5.5265625000103569E-2</v>
      </c>
      <c r="CE13" s="4">
        <f t="shared" si="16"/>
        <v>8.886562499999684E-2</v>
      </c>
      <c r="CF13" s="4">
        <f t="shared" si="16"/>
        <v>5.3903124999997942E-2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13.090132499999999</v>
      </c>
      <c r="J14" s="36">
        <f t="shared" si="1"/>
        <v>0.61632920085903253</v>
      </c>
      <c r="K14" s="36">
        <f t="shared" si="2"/>
        <v>0.24840557994161852</v>
      </c>
      <c r="L14" s="36">
        <f t="shared" si="3"/>
        <v>0.18634435306371647</v>
      </c>
      <c r="M14" s="36">
        <f t="shared" si="4"/>
        <v>0.36792997718937043</v>
      </c>
      <c r="N14" s="33">
        <f t="shared" si="5"/>
        <v>5627576</v>
      </c>
      <c r="O14" s="36">
        <f t="shared" si="6"/>
        <v>0.6231610404517991</v>
      </c>
      <c r="P14" s="54">
        <v>22406420</v>
      </c>
      <c r="Q14" s="54">
        <v>700200.625</v>
      </c>
      <c r="R14" s="54">
        <v>13452.625</v>
      </c>
      <c r="S14" s="55">
        <v>13962808</v>
      </c>
      <c r="T14" s="55">
        <v>4221592</v>
      </c>
      <c r="U14" s="55">
        <v>1405984</v>
      </c>
      <c r="V14" s="55">
        <v>8335376</v>
      </c>
      <c r="W14" s="56">
        <v>71.156053125</v>
      </c>
      <c r="X14" s="56">
        <v>74.731656249999901</v>
      </c>
      <c r="Y14" s="56">
        <v>39.604943749999997</v>
      </c>
      <c r="Z14" s="56">
        <v>43.019550000000002</v>
      </c>
      <c r="AA14" s="56">
        <v>38.466506249999902</v>
      </c>
      <c r="AB14" s="57">
        <v>7854.54</v>
      </c>
      <c r="AC14" s="57">
        <v>6741.86</v>
      </c>
      <c r="AD14" s="57">
        <v>6.016</v>
      </c>
      <c r="AE14" s="57">
        <v>24.536000000000001</v>
      </c>
      <c r="AG14" s="35">
        <f t="shared" si="7"/>
        <v>13.3430175</v>
      </c>
      <c r="AH14" s="36">
        <f t="shared" si="8"/>
        <v>0.62823591073834317</v>
      </c>
      <c r="AI14" s="36">
        <f t="shared" si="9"/>
        <v>0.25677996824424187</v>
      </c>
      <c r="AJ14" s="36">
        <f t="shared" si="10"/>
        <v>0.19494015150615615</v>
      </c>
      <c r="AK14" s="36">
        <f t="shared" si="11"/>
        <v>0.3714622987660578</v>
      </c>
      <c r="AL14" s="33">
        <f t="shared" si="12"/>
        <v>5817296</v>
      </c>
      <c r="AM14" s="36">
        <f t="shared" si="13"/>
        <v>0.63486346504246893</v>
      </c>
      <c r="AN14" s="54">
        <v>22418288</v>
      </c>
      <c r="AO14" s="54">
        <v>700571.5</v>
      </c>
      <c r="AP14" s="54">
        <v>13699.3125</v>
      </c>
      <c r="AQ14" s="55">
        <v>14232552</v>
      </c>
      <c r="AR14" s="55">
        <v>4416328</v>
      </c>
      <c r="AS14" s="55">
        <v>1400968</v>
      </c>
      <c r="AT14" s="55">
        <v>8415400</v>
      </c>
      <c r="AU14" s="56">
        <v>71.148828124999994</v>
      </c>
      <c r="AV14" s="56">
        <v>74.71988125</v>
      </c>
      <c r="AW14" s="56">
        <v>39.606193750000003</v>
      </c>
      <c r="AX14" s="56">
        <v>43.081115624999903</v>
      </c>
      <c r="AY14" s="56">
        <v>38.493215624999898</v>
      </c>
      <c r="AZ14" s="57">
        <v>8047.32</v>
      </c>
      <c r="BA14" s="57">
        <v>7930.74</v>
      </c>
      <c r="BB14" s="57">
        <v>5.1360000000000001</v>
      </c>
      <c r="BC14" s="57">
        <v>24.46</v>
      </c>
      <c r="BD14">
        <v>32</v>
      </c>
      <c r="BE14" s="37">
        <f t="shared" si="14"/>
        <v>3.4195232493530042E-4</v>
      </c>
      <c r="BF14" s="37">
        <f t="shared" si="15"/>
        <v>5.691338065094087E-3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11868</v>
      </c>
      <c r="BV14" s="4">
        <f t="shared" si="16"/>
        <v>370.875</v>
      </c>
      <c r="BW14" s="4">
        <f t="shared" si="16"/>
        <v>246.6875</v>
      </c>
      <c r="BX14" s="4">
        <f t="shared" si="16"/>
        <v>269744</v>
      </c>
      <c r="BY14" s="4">
        <f t="shared" si="16"/>
        <v>194736</v>
      </c>
      <c r="BZ14" s="4">
        <f t="shared" si="16"/>
        <v>-5016</v>
      </c>
      <c r="CA14" s="4">
        <f t="shared" si="16"/>
        <v>80024</v>
      </c>
      <c r="CB14" s="4">
        <f t="shared" si="16"/>
        <v>-7.225000000005366E-3</v>
      </c>
      <c r="CC14" s="4">
        <f t="shared" si="16"/>
        <v>-1.1774999999900615E-2</v>
      </c>
      <c r="CD14" s="4">
        <f t="shared" si="16"/>
        <v>1.2500000000059686E-3</v>
      </c>
      <c r="CE14" s="4">
        <f t="shared" si="16"/>
        <v>6.1565624999900592E-2</v>
      </c>
      <c r="CF14" s="4">
        <f t="shared" si="16"/>
        <v>2.6709374999995816E-2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1.9025624999999999</v>
      </c>
      <c r="J15" s="18">
        <f t="shared" si="1"/>
        <v>5.9780159597178223E-2</v>
      </c>
      <c r="K15" s="18">
        <f t="shared" si="2"/>
        <v>4.9235238727975764E-2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1671424</v>
      </c>
      <c r="O15" s="18">
        <f t="shared" si="6"/>
        <v>6.2235010919646949E-2</v>
      </c>
      <c r="P15" s="42">
        <v>32608655</v>
      </c>
      <c r="Q15" s="42">
        <v>1019020.46875</v>
      </c>
      <c r="R15" s="42">
        <v>33932.375</v>
      </c>
      <c r="S15" s="43">
        <v>2029400</v>
      </c>
      <c r="T15" s="43">
        <v>876168</v>
      </c>
      <c r="U15" s="43">
        <v>795256</v>
      </c>
      <c r="V15" s="43">
        <v>358120</v>
      </c>
      <c r="W15" s="44">
        <v>66.342974999999996</v>
      </c>
      <c r="X15" s="44">
        <v>67.898153124999993</v>
      </c>
      <c r="Y15" s="44">
        <v>29.318606249999998</v>
      </c>
      <c r="Z15" s="44">
        <v>43.358424999999997</v>
      </c>
      <c r="AA15" s="44">
        <v>43.505356249999998</v>
      </c>
      <c r="AB15" s="45">
        <v>11719.1</v>
      </c>
      <c r="AC15" s="45">
        <v>4653.08</v>
      </c>
      <c r="AD15" s="45">
        <v>9.66</v>
      </c>
      <c r="AE15" s="45">
        <v>27.14</v>
      </c>
      <c r="AG15" s="17">
        <f t="shared" si="7"/>
        <v>1.8707024999999999</v>
      </c>
      <c r="AH15" s="18">
        <f t="shared" si="8"/>
        <v>5.8779090836090959E-2</v>
      </c>
      <c r="AI15" s="18">
        <f t="shared" si="9"/>
        <v>4.951189944490525E-2</v>
      </c>
      <c r="AJ15" s="18">
        <f t="shared" si="10"/>
        <v>2.7220916587088417E-2</v>
      </c>
      <c r="AK15" s="18">
        <f t="shared" si="11"/>
        <v>9.2714332079699736E-3</v>
      </c>
      <c r="AL15" s="15">
        <f t="shared" si="12"/>
        <v>1680816</v>
      </c>
      <c r="AM15" s="18">
        <f t="shared" si="13"/>
        <v>6.0883703051745973E-2</v>
      </c>
      <c r="AN15" s="42">
        <v>32774222</v>
      </c>
      <c r="AO15" s="42">
        <v>1024194.4375</v>
      </c>
      <c r="AP15" s="42">
        <v>34443.53125</v>
      </c>
      <c r="AQ15" s="43">
        <v>1995416</v>
      </c>
      <c r="AR15" s="43">
        <v>924088</v>
      </c>
      <c r="AS15" s="43">
        <v>756728</v>
      </c>
      <c r="AT15" s="43">
        <v>314744</v>
      </c>
      <c r="AU15" s="44">
        <v>66.355631250000002</v>
      </c>
      <c r="AV15" s="44">
        <v>67.911190625000003</v>
      </c>
      <c r="AW15" s="44">
        <v>29.402121874999999</v>
      </c>
      <c r="AX15" s="44">
        <v>43.381731250000001</v>
      </c>
      <c r="AY15" s="44">
        <v>43.758296874999999</v>
      </c>
      <c r="AZ15" s="45">
        <v>11609.9</v>
      </c>
      <c r="BA15" s="45">
        <v>6023.44</v>
      </c>
      <c r="BB15" s="45">
        <v>8.1039999999999992</v>
      </c>
      <c r="BC15" s="45">
        <v>30.923999999999999</v>
      </c>
      <c r="BD15">
        <v>32</v>
      </c>
      <c r="BE15" s="19">
        <f t="shared" si="14"/>
        <v>3.3086315368485025E-4</v>
      </c>
      <c r="BF15" s="19">
        <f t="shared" si="15"/>
        <v>1.8733633757419987E-2</v>
      </c>
      <c r="BG15" s="19">
        <f t="array" ref="BG15">AVERAGE(AL15:AL19/AQ15:AQ19) - AVERAGE(N15:N19/S15:S19)</f>
        <v>1.8457456154342022E-2</v>
      </c>
      <c r="BI15" s="20">
        <f>IF( OR(ISBLANK(N15:N19),ISBLANK(AL15:AL19), ISBLANK(W15:W19),ISBLANK(AU15:AU19)), "·", bdRateExtend( N15:N19,W15:W19, AL15:AL19,AU15:AU19))</f>
        <v>3.0866151866408398E-2</v>
      </c>
      <c r="BJ15" s="20">
        <f>IF( OR(ISBLANK(N15:N19),ISBLANK(AL15:AL19), ISBLANK(X15:X19),ISBLANK(AV15:AV19)), "·", bdRateExtend( N15:N19,X15:X19, AL15:AL19,AV15:AV19))</f>
        <v>3.1195823961762015E-2</v>
      </c>
      <c r="BK15" s="20">
        <f>IF( OR(ISBLANK(V15:V19),ISBLANK(AT15:AT19), ISBLANK(Y15:Y19),ISBLANK(AW15:AW19)), "·", bdRateExtend( V15:V19,Y15:Y19, AT15:AT19,AW15:AW19))</f>
        <v>-7.428700772336061E-2</v>
      </c>
      <c r="BL15" s="20">
        <f>IF( OR(ISBLANK(V15:V19),ISBLANK(AT15:AT19), ISBLANK(Z15:Z19),ISBLANK(AX15:AX19)), "·", bdRateExtend( V15:V19,Z15:Z19, AT15:AT19,AX15:AX19))</f>
        <v>-0.10355115433770568</v>
      </c>
      <c r="BM15" s="20">
        <f>IF( OR(ISBLANK(V15:V19),ISBLANK(AT15:AT19), ISBLANK(AA15:AA19),ISBLANK(AY15:AY19)), "·", bdRateExtend( V15:V19,AA15:AA19, AT15:AT19,AY15:AY19))</f>
        <v>-9.2310262372314655E-2</v>
      </c>
      <c r="BO15" s="20">
        <f>IF( OR(ISBLANK(S15:S19),ISBLANK(AQ15:AQ19), ISBLANK(W15:W19),ISBLANK(AU15:AU19)), "·", bdRateExtend( S15:S19,W15:W19, AQ15:AQ19,AU15:AU19))</f>
        <v>-4.8463368612372548E-4</v>
      </c>
      <c r="BP15" s="20">
        <f>IF( OR(ISBLANK(S15:S19),ISBLANK(AQ15:AQ19), ISBLANK(X15:X19),ISBLANK(AV15:AV19)), "·", bdRateExtend( S15:S19,X15:X19, AQ15:AQ19,AV15:AV19))</f>
        <v>-1.8480903152656714E-3</v>
      </c>
      <c r="BQ15" s="20">
        <f>IF( OR(ISBLANK(S15:S19),ISBLANK(AQ15:AQ19), ISBLANK(Y15:Y19),ISBLANK(AW15:AW19)), "·", bdRateExtend( S15:S19,Y15:Y19, AQ15:AQ19,AW15:AW19))</f>
        <v>-6.4889701945682887E-3</v>
      </c>
      <c r="BR15" s="20">
        <f>IF( OR(ISBLANK(S15:S19),ISBLANK(AQ15:AQ19), ISBLANK(Z15:Z19),ISBLANK(AX15:AX19)), "·", bdRateExtend( S15:S19,Z15:Z19, AQ15:AQ19,AX15:AX19))</f>
        <v>-2.9815125709157897E-2</v>
      </c>
      <c r="BS15" s="20">
        <f>IF( OR(ISBLANK(S15:S19),ISBLANK(AQ15:AQ19), ISBLANK(AA15:AA19),ISBLANK(AY15:AY19)), "·", bdRateExtend( S15:S19,AA15:AA19, AQ15:AQ19,AY15:AY19))</f>
        <v>-2.8005741424141584E-2</v>
      </c>
      <c r="BU15" s="4">
        <f t="shared" si="17"/>
        <v>165567</v>
      </c>
      <c r="BV15" s="4">
        <f t="shared" si="16"/>
        <v>5173.96875</v>
      </c>
      <c r="BW15" s="4">
        <f t="shared" si="16"/>
        <v>511.15625</v>
      </c>
      <c r="BX15" s="4">
        <f t="shared" si="16"/>
        <v>-33984</v>
      </c>
      <c r="BY15" s="4">
        <f t="shared" si="16"/>
        <v>47920</v>
      </c>
      <c r="BZ15" s="4">
        <f t="shared" si="16"/>
        <v>-38528</v>
      </c>
      <c r="CA15" s="4">
        <f t="shared" si="16"/>
        <v>-43376</v>
      </c>
      <c r="CB15" s="4">
        <f t="shared" si="16"/>
        <v>1.2656250000006253E-2</v>
      </c>
      <c r="CC15" s="4">
        <f t="shared" si="16"/>
        <v>1.3037500000010027E-2</v>
      </c>
      <c r="CD15" s="4">
        <f t="shared" si="16"/>
        <v>8.3515625000000426E-2</v>
      </c>
      <c r="CE15" s="4">
        <f t="shared" si="16"/>
        <v>2.3306250000004525E-2</v>
      </c>
      <c r="CF15" s="4">
        <f t="shared" si="16"/>
        <v>0.25294062500000081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2.4427425</v>
      </c>
      <c r="J16" s="24">
        <f t="shared" si="1"/>
        <v>7.6753082489962945E-2</v>
      </c>
      <c r="K16" s="24">
        <f t="shared" si="2"/>
        <v>5.7451402182615047E-2</v>
      </c>
      <c r="L16" s="24">
        <f t="shared" si="3"/>
        <v>3.4025497678518479E-2</v>
      </c>
      <c r="M16" s="24">
        <f t="shared" si="4"/>
        <v>1.9305922124132173E-2</v>
      </c>
      <c r="N16" s="21">
        <f t="shared" si="5"/>
        <v>1950344</v>
      </c>
      <c r="O16" s="24">
        <f t="shared" si="6"/>
        <v>7.6400119467916222E-2</v>
      </c>
      <c r="P16" s="46">
        <v>34104554</v>
      </c>
      <c r="Q16" s="46">
        <v>1065767.3125</v>
      </c>
      <c r="R16" s="46">
        <v>39391.28125</v>
      </c>
      <c r="S16" s="47">
        <v>2605592</v>
      </c>
      <c r="T16" s="47">
        <v>1155088</v>
      </c>
      <c r="U16" s="47">
        <v>795256</v>
      </c>
      <c r="V16" s="47">
        <v>655392</v>
      </c>
      <c r="W16" s="48">
        <v>68.094181249999906</v>
      </c>
      <c r="X16" s="48">
        <v>70.090278124999898</v>
      </c>
      <c r="Y16" s="48">
        <v>31.73281875</v>
      </c>
      <c r="Z16" s="48">
        <v>43.915612500000002</v>
      </c>
      <c r="AA16" s="48">
        <v>44.425890625000001</v>
      </c>
      <c r="AB16" s="49">
        <v>11735.3</v>
      </c>
      <c r="AC16" s="49">
        <v>4953.24</v>
      </c>
      <c r="AD16" s="49">
        <v>10.08</v>
      </c>
      <c r="AE16" s="49">
        <v>28.696000000000002</v>
      </c>
      <c r="AG16" s="23">
        <f t="shared" si="7"/>
        <v>2.4427574999999999</v>
      </c>
      <c r="AH16" s="24">
        <f t="shared" si="8"/>
        <v>7.6753553802938981E-2</v>
      </c>
      <c r="AI16" s="24">
        <f t="shared" si="9"/>
        <v>5.9279389560146577E-2</v>
      </c>
      <c r="AJ16" s="24">
        <f t="shared" si="10"/>
        <v>3.6988406702329744E-2</v>
      </c>
      <c r="AK16" s="24">
        <f t="shared" si="11"/>
        <v>1.7478406059576672E-2</v>
      </c>
      <c r="AL16" s="21">
        <f t="shared" si="12"/>
        <v>2012400</v>
      </c>
      <c r="AM16" s="24">
        <f t="shared" si="13"/>
        <v>7.6549316869365835E-2</v>
      </c>
      <c r="AN16" s="46">
        <v>34038292</v>
      </c>
      <c r="AO16" s="46">
        <v>1063696.625</v>
      </c>
      <c r="AP16" s="46">
        <v>39467.59375</v>
      </c>
      <c r="AQ16" s="47">
        <v>2605608</v>
      </c>
      <c r="AR16" s="47">
        <v>1255672</v>
      </c>
      <c r="AS16" s="47">
        <v>756728</v>
      </c>
      <c r="AT16" s="47">
        <v>593352</v>
      </c>
      <c r="AU16" s="48">
        <v>68.094206249999999</v>
      </c>
      <c r="AV16" s="48">
        <v>70.106828124999893</v>
      </c>
      <c r="AW16" s="48">
        <v>31.786406249999899</v>
      </c>
      <c r="AX16" s="48">
        <v>44.12185625</v>
      </c>
      <c r="AY16" s="48">
        <v>44.499737499999902</v>
      </c>
      <c r="AZ16" s="49">
        <v>10905.6</v>
      </c>
      <c r="BA16" s="49">
        <v>6416.74</v>
      </c>
      <c r="BB16" s="49">
        <v>10.352</v>
      </c>
      <c r="BC16" s="49">
        <v>36.027999999999999</v>
      </c>
      <c r="BD16">
        <v>32</v>
      </c>
      <c r="BE16" s="25">
        <f t="shared" si="14"/>
        <v>1.4369334206847106E-4</v>
      </c>
      <c r="BF16" s="25">
        <f t="shared" si="15"/>
        <v>2.3811725954733132E-2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-66262</v>
      </c>
      <c r="BV16" s="4">
        <f t="shared" si="16"/>
        <v>-2070.6875</v>
      </c>
      <c r="BW16" s="4">
        <f t="shared" si="16"/>
        <v>76.3125</v>
      </c>
      <c r="BX16" s="4">
        <f t="shared" si="16"/>
        <v>16</v>
      </c>
      <c r="BY16" s="4">
        <f t="shared" si="16"/>
        <v>100584</v>
      </c>
      <c r="BZ16" s="4">
        <f t="shared" si="16"/>
        <v>-38528</v>
      </c>
      <c r="CA16" s="4">
        <f t="shared" si="16"/>
        <v>-62040</v>
      </c>
      <c r="CB16" s="4">
        <f t="shared" si="16"/>
        <v>2.500000009320047E-5</v>
      </c>
      <c r="CC16" s="4">
        <f t="shared" si="16"/>
        <v>1.654999999999518E-2</v>
      </c>
      <c r="CD16" s="4">
        <f t="shared" si="16"/>
        <v>5.3587499999899535E-2</v>
      </c>
      <c r="CE16" s="4">
        <f t="shared" si="16"/>
        <v>0.20624374999999873</v>
      </c>
      <c r="CF16" s="4">
        <f t="shared" si="16"/>
        <v>7.3846874999901502E-2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3.4026375</v>
      </c>
      <c r="J17" s="18">
        <f t="shared" si="1"/>
        <v>0.10691381376503717</v>
      </c>
      <c r="K17" s="18">
        <f t="shared" si="2"/>
        <v>6.735934356471325E-2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2286696</v>
      </c>
      <c r="O17" s="18">
        <f t="shared" si="6"/>
        <v>0.10600165736746098</v>
      </c>
      <c r="P17" s="42">
        <v>34239842</v>
      </c>
      <c r="Q17" s="42">
        <v>1069995.0625</v>
      </c>
      <c r="R17" s="42">
        <v>40498.25</v>
      </c>
      <c r="S17" s="43">
        <v>3629480</v>
      </c>
      <c r="T17" s="43">
        <v>1491440</v>
      </c>
      <c r="U17" s="43">
        <v>795256</v>
      </c>
      <c r="V17" s="43">
        <v>1342928</v>
      </c>
      <c r="W17" s="44">
        <v>69.468378125000001</v>
      </c>
      <c r="X17" s="44">
        <v>71.867181250000002</v>
      </c>
      <c r="Y17" s="44">
        <v>34.163890625000001</v>
      </c>
      <c r="Z17" s="44">
        <v>45.253209374999997</v>
      </c>
      <c r="AA17" s="44">
        <v>45.705962499999998</v>
      </c>
      <c r="AB17" s="45">
        <v>11133.9</v>
      </c>
      <c r="AC17" s="45">
        <v>5312.52</v>
      </c>
      <c r="AD17" s="45">
        <v>10.116</v>
      </c>
      <c r="AE17" s="45">
        <v>29.187999999999999</v>
      </c>
      <c r="AG17" s="17">
        <f t="shared" si="7"/>
        <v>3.3729225</v>
      </c>
      <c r="AH17" s="18">
        <f t="shared" si="8"/>
        <v>0.10598014275952215</v>
      </c>
      <c r="AI17" s="18">
        <f t="shared" si="9"/>
        <v>6.8882627103241514E-2</v>
      </c>
      <c r="AJ17" s="18">
        <f t="shared" si="10"/>
        <v>4.6591644245424682E-2</v>
      </c>
      <c r="AK17" s="18">
        <f t="shared" si="11"/>
        <v>3.7101757473064906E-2</v>
      </c>
      <c r="AL17" s="15">
        <f t="shared" si="12"/>
        <v>2338408</v>
      </c>
      <c r="AM17" s="18">
        <f t="shared" si="13"/>
        <v>0.10489833799043245</v>
      </c>
      <c r="AN17" s="42">
        <v>34297817</v>
      </c>
      <c r="AO17" s="42">
        <v>1071806.78125</v>
      </c>
      <c r="AP17" s="42">
        <v>40776.71875</v>
      </c>
      <c r="AQ17" s="43">
        <v>3597784</v>
      </c>
      <c r="AR17" s="43">
        <v>1581680</v>
      </c>
      <c r="AS17" s="43">
        <v>756728</v>
      </c>
      <c r="AT17" s="43">
        <v>1259520</v>
      </c>
      <c r="AU17" s="44">
        <v>69.468703124999905</v>
      </c>
      <c r="AV17" s="44">
        <v>71.883106249999997</v>
      </c>
      <c r="AW17" s="44">
        <v>34.217643749999901</v>
      </c>
      <c r="AX17" s="44">
        <v>45.246903124999903</v>
      </c>
      <c r="AY17" s="44">
        <v>45.606340624999902</v>
      </c>
      <c r="AZ17" s="45">
        <v>11600.9</v>
      </c>
      <c r="BA17" s="45">
        <v>6823.06</v>
      </c>
      <c r="BB17" s="45">
        <v>8.984</v>
      </c>
      <c r="BC17" s="45">
        <v>32.076000000000001</v>
      </c>
      <c r="BD17">
        <v>32</v>
      </c>
      <c r="BE17" s="19">
        <f t="shared" si="14"/>
        <v>1.9583473351247882E-4</v>
      </c>
      <c r="BF17" s="19">
        <f t="shared" si="15"/>
        <v>1.9923808486091987E-2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57975</v>
      </c>
      <c r="BV17" s="4">
        <f t="shared" si="16"/>
        <v>1811.71875</v>
      </c>
      <c r="BW17" s="4">
        <f t="shared" si="16"/>
        <v>278.46875</v>
      </c>
      <c r="BX17" s="4">
        <f t="shared" si="16"/>
        <v>-31696</v>
      </c>
      <c r="BY17" s="4">
        <f t="shared" si="16"/>
        <v>90240</v>
      </c>
      <c r="BZ17" s="4">
        <f t="shared" si="16"/>
        <v>-38528</v>
      </c>
      <c r="CA17" s="4">
        <f t="shared" si="16"/>
        <v>-83408</v>
      </c>
      <c r="CB17" s="4">
        <f t="shared" si="16"/>
        <v>3.2499999990420747E-4</v>
      </c>
      <c r="CC17" s="4">
        <f t="shared" si="16"/>
        <v>1.5924999999995748E-2</v>
      </c>
      <c r="CD17" s="4">
        <f t="shared" si="16"/>
        <v>5.3753124999900592E-2</v>
      </c>
      <c r="CE17" s="4">
        <f t="shared" si="16"/>
        <v>-6.3062500000938826E-3</v>
      </c>
      <c r="CF17" s="4">
        <f t="shared" si="16"/>
        <v>-9.9621875000096338E-2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6.1874025000000001</v>
      </c>
      <c r="J18" s="24">
        <f t="shared" si="1"/>
        <v>0.19441353907794331</v>
      </c>
      <c r="K18" s="24">
        <f t="shared" si="2"/>
        <v>9.5229258119794685E-2</v>
      </c>
      <c r="L18" s="24">
        <f t="shared" si="3"/>
        <v>7.1803353615698118E-2</v>
      </c>
      <c r="M18" s="24">
        <f t="shared" si="4"/>
        <v>9.9188522774932911E-2</v>
      </c>
      <c r="N18" s="21">
        <f t="shared" si="5"/>
        <v>3232816</v>
      </c>
      <c r="O18" s="24">
        <f t="shared" si="6"/>
        <v>0.18559825926336915</v>
      </c>
      <c r="P18" s="46">
        <v>35560118</v>
      </c>
      <c r="Q18" s="46">
        <v>1111253.6875</v>
      </c>
      <c r="R18" s="46">
        <v>45639.40625</v>
      </c>
      <c r="S18" s="47">
        <v>6599896</v>
      </c>
      <c r="T18" s="47">
        <v>2437560</v>
      </c>
      <c r="U18" s="47">
        <v>795256</v>
      </c>
      <c r="V18" s="47">
        <v>3367224</v>
      </c>
      <c r="W18" s="48">
        <v>70.4932625</v>
      </c>
      <c r="X18" s="48">
        <v>73.121421874999996</v>
      </c>
      <c r="Y18" s="48">
        <v>36.5251375</v>
      </c>
      <c r="Z18" s="48">
        <v>46.468596875000003</v>
      </c>
      <c r="AA18" s="48">
        <v>46.962015624999999</v>
      </c>
      <c r="AB18" s="49">
        <v>11686.1</v>
      </c>
      <c r="AC18" s="49">
        <v>5855.42</v>
      </c>
      <c r="AD18" s="49">
        <v>10.14</v>
      </c>
      <c r="AE18" s="49">
        <v>29.812000000000001</v>
      </c>
      <c r="AG18" s="23">
        <f t="shared" si="7"/>
        <v>6.2349825000000001</v>
      </c>
      <c r="AH18" s="24">
        <f t="shared" si="8"/>
        <v>0.19590854383790982</v>
      </c>
      <c r="AI18" s="24">
        <f t="shared" si="9"/>
        <v>9.935418928600738E-2</v>
      </c>
      <c r="AJ18" s="24">
        <f t="shared" si="10"/>
        <v>7.7063206428190548E-2</v>
      </c>
      <c r="AK18" s="24">
        <f t="shared" si="11"/>
        <v>9.6558596368686703E-2</v>
      </c>
      <c r="AL18" s="21">
        <f t="shared" si="12"/>
        <v>3372848</v>
      </c>
      <c r="AM18" s="24">
        <f t="shared" si="13"/>
        <v>0.18703186653424039</v>
      </c>
      <c r="AN18" s="46">
        <v>35558903</v>
      </c>
      <c r="AO18" s="46">
        <v>1111215.71875</v>
      </c>
      <c r="AP18" s="46">
        <v>46000.5</v>
      </c>
      <c r="AQ18" s="47">
        <v>6650648</v>
      </c>
      <c r="AR18" s="47">
        <v>2616120</v>
      </c>
      <c r="AS18" s="47">
        <v>756728</v>
      </c>
      <c r="AT18" s="47">
        <v>3277944</v>
      </c>
      <c r="AU18" s="48">
        <v>70.4928687499999</v>
      </c>
      <c r="AV18" s="48">
        <v>73.134181249999997</v>
      </c>
      <c r="AW18" s="48">
        <v>36.533834374999998</v>
      </c>
      <c r="AX18" s="48">
        <v>46.548987499999903</v>
      </c>
      <c r="AY18" s="48">
        <v>47.104656249999998</v>
      </c>
      <c r="AZ18" s="49">
        <v>11594.1</v>
      </c>
      <c r="BA18" s="49">
        <v>7513.63</v>
      </c>
      <c r="BB18" s="49">
        <v>9.7720000000000002</v>
      </c>
      <c r="BC18" s="49">
        <v>36.155999999999999</v>
      </c>
      <c r="BD18">
        <v>32</v>
      </c>
      <c r="BE18" s="25">
        <f t="shared" si="14"/>
        <v>3.2635709508788135E-4</v>
      </c>
      <c r="BF18" s="25">
        <f t="shared" si="15"/>
        <v>1.7317445288270839E-2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-1215</v>
      </c>
      <c r="BV18" s="4">
        <f t="shared" si="16"/>
        <v>-37.96875</v>
      </c>
      <c r="BW18" s="4">
        <f t="shared" si="16"/>
        <v>361.09375</v>
      </c>
      <c r="BX18" s="4">
        <f t="shared" si="16"/>
        <v>50752</v>
      </c>
      <c r="BY18" s="4">
        <f t="shared" si="16"/>
        <v>178560</v>
      </c>
      <c r="BZ18" s="4">
        <f t="shared" si="16"/>
        <v>-38528</v>
      </c>
      <c r="CA18" s="4">
        <f t="shared" si="16"/>
        <v>-89280</v>
      </c>
      <c r="CB18" s="4">
        <f t="shared" si="16"/>
        <v>-3.9375000010011263E-4</v>
      </c>
      <c r="CC18" s="4">
        <f t="shared" si="16"/>
        <v>1.2759375000001683E-2</v>
      </c>
      <c r="CD18" s="4">
        <f t="shared" si="16"/>
        <v>8.696874999998272E-3</v>
      </c>
      <c r="CE18" s="4">
        <f t="shared" si="16"/>
        <v>8.039062499990024E-2</v>
      </c>
      <c r="CF18" s="4">
        <f t="shared" si="16"/>
        <v>0.14264062499999852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14.5409475</v>
      </c>
      <c r="J19" s="30">
        <f t="shared" si="1"/>
        <v>0.45688914936786029</v>
      </c>
      <c r="K19" s="30">
        <f t="shared" si="2"/>
        <v>0.16535992198356309</v>
      </c>
      <c r="L19" s="30">
        <f t="shared" si="3"/>
        <v>0.1167036912466399</v>
      </c>
      <c r="M19" s="30">
        <f t="shared" si="4"/>
        <v>0.29153346920108147</v>
      </c>
      <c r="N19" s="27">
        <f t="shared" si="5"/>
        <v>5613592</v>
      </c>
      <c r="O19" s="30">
        <f t="shared" si="6"/>
        <v>0.46137596872303216</v>
      </c>
      <c r="P19" s="50">
        <v>33617581</v>
      </c>
      <c r="Q19" s="50">
        <v>1050549.40625</v>
      </c>
      <c r="R19" s="50">
        <v>19923.5625</v>
      </c>
      <c r="S19" s="51">
        <v>15510344</v>
      </c>
      <c r="T19" s="51">
        <v>3961824</v>
      </c>
      <c r="U19" s="51">
        <v>1651768</v>
      </c>
      <c r="V19" s="51">
        <v>9896896</v>
      </c>
      <c r="W19" s="52">
        <v>71.522968749999905</v>
      </c>
      <c r="X19" s="52">
        <v>75.1362968749999</v>
      </c>
      <c r="Y19" s="52">
        <v>38.812965624999997</v>
      </c>
      <c r="Z19" s="52">
        <v>48.258624999999903</v>
      </c>
      <c r="AA19" s="52">
        <v>48.851871874999901</v>
      </c>
      <c r="AB19" s="53">
        <v>11480.3</v>
      </c>
      <c r="AC19" s="53">
        <v>7189.76</v>
      </c>
      <c r="AD19" s="53">
        <v>8.48</v>
      </c>
      <c r="AE19" s="53">
        <v>28.204000000000001</v>
      </c>
      <c r="AG19" s="29">
        <f t="shared" si="7"/>
        <v>14.710342499999999</v>
      </c>
      <c r="AH19" s="30">
        <f t="shared" si="8"/>
        <v>0.4622116868061647</v>
      </c>
      <c r="AI19" s="30">
        <f t="shared" si="9"/>
        <v>0.17306423954623401</v>
      </c>
      <c r="AJ19" s="30">
        <f t="shared" si="10"/>
        <v>0.12589500124868483</v>
      </c>
      <c r="AK19" s="30">
        <f t="shared" si="11"/>
        <v>0.28915168907671496</v>
      </c>
      <c r="AL19" s="27">
        <f t="shared" si="12"/>
        <v>5875136</v>
      </c>
      <c r="AM19" s="30">
        <f t="shared" si="13"/>
        <v>0.46631627388766439</v>
      </c>
      <c r="AN19" s="50">
        <v>33648905</v>
      </c>
      <c r="AO19" s="50">
        <v>1051528.28125</v>
      </c>
      <c r="AP19" s="50">
        <v>20229.59375</v>
      </c>
      <c r="AQ19" s="51">
        <v>15691032</v>
      </c>
      <c r="AR19" s="51">
        <v>4273848</v>
      </c>
      <c r="AS19" s="51">
        <v>1601288</v>
      </c>
      <c r="AT19" s="51">
        <v>9816040</v>
      </c>
      <c r="AU19" s="52">
        <v>71.509318750000006</v>
      </c>
      <c r="AV19" s="52">
        <v>75.102656249999995</v>
      </c>
      <c r="AW19" s="52">
        <v>38.824406250000003</v>
      </c>
      <c r="AX19" s="52">
        <v>48.310140625000003</v>
      </c>
      <c r="AY19" s="52">
        <v>48.924693749999904</v>
      </c>
      <c r="AZ19" s="53">
        <v>11750</v>
      </c>
      <c r="BA19" s="53">
        <v>9045.8700000000008</v>
      </c>
      <c r="BB19" s="53">
        <v>11.028</v>
      </c>
      <c r="BC19" s="53">
        <v>43.351999999999997</v>
      </c>
      <c r="BD19">
        <v>32</v>
      </c>
      <c r="BE19" s="31">
        <f t="shared" si="14"/>
        <v>2.7338017478082191E-4</v>
      </c>
      <c r="BF19" s="31">
        <f t="shared" si="15"/>
        <v>1.2500667285194E-2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31324</v>
      </c>
      <c r="BV19" s="4">
        <f t="shared" si="16"/>
        <v>978.875</v>
      </c>
      <c r="BW19" s="4">
        <f t="shared" si="16"/>
        <v>306.03125</v>
      </c>
      <c r="BX19" s="4">
        <f t="shared" si="16"/>
        <v>180688</v>
      </c>
      <c r="BY19" s="4">
        <f t="shared" si="16"/>
        <v>312024</v>
      </c>
      <c r="BZ19" s="4">
        <f t="shared" si="16"/>
        <v>-50480</v>
      </c>
      <c r="CA19" s="4">
        <f t="shared" si="16"/>
        <v>-80856</v>
      </c>
      <c r="CB19" s="4">
        <f t="shared" si="16"/>
        <v>-1.364999999989891E-2</v>
      </c>
      <c r="CC19" s="4">
        <f t="shared" si="16"/>
        <v>-3.3640624999904389E-2</v>
      </c>
      <c r="CD19" s="4">
        <f t="shared" si="16"/>
        <v>1.1440625000005866E-2</v>
      </c>
      <c r="CE19" s="4">
        <f t="shared" si="16"/>
        <v>5.1515625000099874E-2</v>
      </c>
      <c r="CF19" s="4">
        <f t="shared" si="16"/>
        <v>7.2821875000002478E-2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2.2821750000000001</v>
      </c>
      <c r="J20" s="24">
        <f t="shared" si="1"/>
        <v>4.5346420014652132E-2</v>
      </c>
      <c r="K20" s="24">
        <f t="shared" si="2"/>
        <v>3.3996527064891716E-2</v>
      </c>
      <c r="L20" s="24">
        <f t="shared" si="3"/>
        <v>1.8871367186528581E-2</v>
      </c>
      <c r="M20" s="24">
        <f t="shared" si="4"/>
        <v>1.1354363660596922E-2</v>
      </c>
      <c r="N20" s="21">
        <f t="shared" si="5"/>
        <v>1095016</v>
      </c>
      <c r="O20" s="24">
        <f t="shared" si="6"/>
        <v>4.7419037701880211E-2</v>
      </c>
      <c r="P20" s="46">
        <v>30801806</v>
      </c>
      <c r="Q20" s="46">
        <v>962556.4375</v>
      </c>
      <c r="R20" s="46">
        <v>28246.0625</v>
      </c>
      <c r="S20" s="47">
        <v>1460592</v>
      </c>
      <c r="T20" s="47">
        <v>607840</v>
      </c>
      <c r="U20" s="47">
        <v>487176</v>
      </c>
      <c r="V20" s="47">
        <v>365720</v>
      </c>
      <c r="W20" s="48">
        <v>67.130621874999903</v>
      </c>
      <c r="X20" s="48">
        <v>68.790568749999906</v>
      </c>
      <c r="Y20" s="48">
        <v>30.041068749999901</v>
      </c>
      <c r="Z20" s="48">
        <v>39.297615624999999</v>
      </c>
      <c r="AA20" s="48">
        <v>37.967503125</v>
      </c>
      <c r="AB20" s="49">
        <v>10096.700000000001</v>
      </c>
      <c r="AC20" s="49">
        <v>3588.12</v>
      </c>
      <c r="AD20" s="49">
        <v>11.728</v>
      </c>
      <c r="AE20" s="49">
        <v>28.888000000000002</v>
      </c>
      <c r="AG20" s="23">
        <f t="shared" si="7"/>
        <v>2.2831250000000001</v>
      </c>
      <c r="AH20" s="24">
        <f t="shared" si="8"/>
        <v>4.5365296349295148E-2</v>
      </c>
      <c r="AI20" s="24">
        <f t="shared" si="9"/>
        <v>3.4185290411321852E-2</v>
      </c>
      <c r="AJ20" s="24">
        <f t="shared" si="10"/>
        <v>1.9555634317337825E-2</v>
      </c>
      <c r="AK20" s="24">
        <f t="shared" si="11"/>
        <v>1.11844766488098E-2</v>
      </c>
      <c r="AL20" s="21">
        <f t="shared" si="12"/>
        <v>1101096</v>
      </c>
      <c r="AM20" s="24">
        <f t="shared" si="13"/>
        <v>4.8102942667560336E-2</v>
      </c>
      <c r="AN20" s="46">
        <v>30376520</v>
      </c>
      <c r="AO20" s="46">
        <v>949266.25</v>
      </c>
      <c r="AP20" s="46">
        <v>28027.21875</v>
      </c>
      <c r="AQ20" s="47">
        <v>1461200</v>
      </c>
      <c r="AR20" s="47">
        <v>629880</v>
      </c>
      <c r="AS20" s="47">
        <v>471216</v>
      </c>
      <c r="AT20" s="47">
        <v>360248</v>
      </c>
      <c r="AU20" s="48">
        <v>67.204603125000006</v>
      </c>
      <c r="AV20" s="48">
        <v>68.904887500000001</v>
      </c>
      <c r="AW20" s="48">
        <v>30.049178125000001</v>
      </c>
      <c r="AX20" s="48">
        <v>39.434268750000001</v>
      </c>
      <c r="AY20" s="48">
        <v>38.050746874999902</v>
      </c>
      <c r="AZ20" s="49">
        <v>11737.8</v>
      </c>
      <c r="BA20" s="49">
        <v>3855.84</v>
      </c>
      <c r="BB20" s="49">
        <v>6.7439999999999998</v>
      </c>
      <c r="BC20" s="49">
        <v>19.564</v>
      </c>
      <c r="BD20">
        <v>32</v>
      </c>
      <c r="BE20" s="25">
        <f t="shared" si="14"/>
        <v>1.8030204495340235E-4</v>
      </c>
      <c r="BF20" s="25">
        <f t="shared" si="15"/>
        <v>3.8490132516937337E-3</v>
      </c>
      <c r="BG20" s="25">
        <f t="array" ref="BG20">AVERAGE(AL20:AL24/AQ20:AQ24) - AVERAGE(N20:N24/S20:S24)</f>
        <v>5.1846027515726201E-3</v>
      </c>
      <c r="BI20" s="26">
        <f>IF( OR(ISBLANK(N20:N24),ISBLANK(AL20:AL24), ISBLANK(W20:W24),ISBLANK(AU20:AU24)), "·", bdRateExtend( N20:N24,W20:W24, AL20:AL24,AU20:AU24))</f>
        <v>2.095799323224723E-2</v>
      </c>
      <c r="BJ20" s="26">
        <f>IF( OR(ISBLANK(N20:N24),ISBLANK(AL20:AL24), ISBLANK(X20:X24),ISBLANK(AV20:AV24)), "·", bdRateExtend( N20:N24,X20:X24, AL20:AL24,AV20:AV24))</f>
        <v>2.0024117261632224E-2</v>
      </c>
      <c r="BK20" s="26">
        <f>IF( OR(ISBLANK(V20:V24),ISBLANK(AT20:AT24), ISBLANK(Y20:Y24),ISBLANK(AW20:AW24)), "·", bdRateExtend( V20:V24,Y20:Y24, AT20:AT24,AW20:AW24))</f>
        <v>-1.9338035407870491E-2</v>
      </c>
      <c r="BL20" s="26">
        <f>IF( OR(ISBLANK(V20:V24),ISBLANK(AT20:AT24), ISBLANK(Z20:Z24),ISBLANK(AX20:AX24)), "·", bdRateExtend( V20:V24,Z20:Z24, AT20:AT24,AX20:AX24))</f>
        <v>-5.9400594780741778E-2</v>
      </c>
      <c r="BM20" s="26">
        <f>IF( OR(ISBLANK(V20:V24),ISBLANK(AT20:AT24), ISBLANK(AA20:AA24),ISBLANK(AY20:AY24)), "·", bdRateExtend( V20:V24,AA20:AA24, AT20:AT24,AY20:AY24))</f>
        <v>-2.664248511735412E-2</v>
      </c>
      <c r="BO20" s="26">
        <f>IF( OR(ISBLANK(S20:S24),ISBLANK(AQ20:AQ24), ISBLANK(W20:W24),ISBLANK(AU20:AU24)), "·", bdRateExtend( S20:S24,W20:W24, AQ20:AQ24,AU20:AU24))</f>
        <v>5.6876646496335503E-3</v>
      </c>
      <c r="BP20" s="26">
        <f>IF( OR(ISBLANK(S20:S24),ISBLANK(AQ20:AQ24), ISBLANK(X20:X24),ISBLANK(AV20:AV24)), "·", bdRateExtend( S20:S24,X20:X24, AQ20:AQ24,AV20:AV24))</f>
        <v>1.0985135191245998E-3</v>
      </c>
      <c r="BQ20" s="26">
        <f>IF( OR(ISBLANK(S20:S24),ISBLANK(AQ20:AQ24), ISBLANK(Y20:Y24),ISBLANK(AW20:AW24)), "·", bdRateExtend( S20:S24,Y20:Y24, AQ20:AQ24,AW20:AW24))</f>
        <v>-5.0067171919754294E-4</v>
      </c>
      <c r="BR20" s="26">
        <f>IF( OR(ISBLANK(S20:S24),ISBLANK(AQ20:AQ24), ISBLANK(Z20:Z24),ISBLANK(AX20:AX24)), "·", bdRateExtend( S20:S24,Z20:Z24, AQ20:AQ24,AX20:AX24))</f>
        <v>-2.5785628038539676E-2</v>
      </c>
      <c r="BS20" s="26">
        <f>IF( OR(ISBLANK(S20:S24),ISBLANK(AQ20:AQ24), ISBLANK(AA20:AA24),ISBLANK(AY20:AY24)), "·", bdRateExtend( S20:S24,AA20:AA24, AQ20:AQ24,AY20:AY24))</f>
        <v>-2.0562213337291801E-3</v>
      </c>
      <c r="BU20" s="4">
        <f t="shared" si="17"/>
        <v>-425286</v>
      </c>
      <c r="BV20" s="4">
        <f t="shared" si="16"/>
        <v>-13290.1875</v>
      </c>
      <c r="BW20" s="4">
        <f t="shared" si="16"/>
        <v>-218.84375</v>
      </c>
      <c r="BX20" s="4">
        <f t="shared" si="16"/>
        <v>608</v>
      </c>
      <c r="BY20" s="4">
        <f t="shared" si="16"/>
        <v>22040</v>
      </c>
      <c r="BZ20" s="4">
        <f t="shared" si="16"/>
        <v>-15960</v>
      </c>
      <c r="CA20" s="4">
        <f t="shared" si="16"/>
        <v>-5472</v>
      </c>
      <c r="CB20" s="4">
        <f t="shared" si="16"/>
        <v>7.398125000010225E-2</v>
      </c>
      <c r="CC20" s="4">
        <f t="shared" si="16"/>
        <v>0.11431875000009484</v>
      </c>
      <c r="CD20" s="4">
        <f t="shared" si="16"/>
        <v>8.1093750000995612E-3</v>
      </c>
      <c r="CE20" s="4">
        <f t="shared" si="16"/>
        <v>0.13665312500000226</v>
      </c>
      <c r="CF20" s="4">
        <f t="shared" si="16"/>
        <v>8.3243749999901695E-2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3.1211000000000002</v>
      </c>
      <c r="J21" s="18">
        <f t="shared" si="1"/>
        <v>6.2015713741378632E-2</v>
      </c>
      <c r="K21" s="18">
        <f t="shared" si="2"/>
        <v>3.9562562056338221E-2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1274296</v>
      </c>
      <c r="O21" s="18">
        <f t="shared" si="6"/>
        <v>6.3156943536351123E-2</v>
      </c>
      <c r="P21" s="42">
        <v>31627623</v>
      </c>
      <c r="Q21" s="42">
        <v>988363.21875</v>
      </c>
      <c r="R21" s="42">
        <v>32272.96875</v>
      </c>
      <c r="S21" s="43">
        <v>1997504</v>
      </c>
      <c r="T21" s="43">
        <v>787120</v>
      </c>
      <c r="U21" s="43">
        <v>487176</v>
      </c>
      <c r="V21" s="43">
        <v>723352</v>
      </c>
      <c r="W21" s="44">
        <v>68.791021874999998</v>
      </c>
      <c r="X21" s="44">
        <v>70.898106249999998</v>
      </c>
      <c r="Y21" s="44">
        <v>31.547462499999899</v>
      </c>
      <c r="Z21" s="44">
        <v>40.477543749999903</v>
      </c>
      <c r="AA21" s="44">
        <v>39.232834375000003</v>
      </c>
      <c r="AB21" s="45">
        <v>11480.8</v>
      </c>
      <c r="AC21" s="45">
        <v>3804.04</v>
      </c>
      <c r="AD21" s="45">
        <v>7.1</v>
      </c>
      <c r="AE21" s="45">
        <v>19.231999999999999</v>
      </c>
      <c r="AG21" s="17">
        <f t="shared" si="7"/>
        <v>3.1801499999999998</v>
      </c>
      <c r="AH21" s="18">
        <f t="shared" si="8"/>
        <v>6.3189026963136469E-2</v>
      </c>
      <c r="AI21" s="18">
        <f t="shared" si="9"/>
        <v>4.0623114015886481E-2</v>
      </c>
      <c r="AJ21" s="18">
        <f t="shared" si="10"/>
        <v>2.5993457921902455E-2</v>
      </c>
      <c r="AK21" s="18">
        <f t="shared" si="11"/>
        <v>2.2570383658086494E-2</v>
      </c>
      <c r="AL21" s="15">
        <f t="shared" si="12"/>
        <v>1308456</v>
      </c>
      <c r="AM21" s="18">
        <f t="shared" si="13"/>
        <v>6.4207165348239933E-2</v>
      </c>
      <c r="AN21" s="42">
        <v>31698892</v>
      </c>
      <c r="AO21" s="42">
        <v>990590.375</v>
      </c>
      <c r="AP21" s="42">
        <v>32949.125</v>
      </c>
      <c r="AQ21" s="43">
        <v>2035296</v>
      </c>
      <c r="AR21" s="43">
        <v>837240</v>
      </c>
      <c r="AS21" s="43">
        <v>471216</v>
      </c>
      <c r="AT21" s="43">
        <v>726984</v>
      </c>
      <c r="AU21" s="44">
        <v>68.80078125</v>
      </c>
      <c r="AV21" s="44">
        <v>70.929412499999998</v>
      </c>
      <c r="AW21" s="44">
        <v>31.615437499999899</v>
      </c>
      <c r="AX21" s="44">
        <v>40.579437499999898</v>
      </c>
      <c r="AY21" s="44">
        <v>39.309053124999998</v>
      </c>
      <c r="AZ21" s="45">
        <v>10892.5</v>
      </c>
      <c r="BA21" s="45">
        <v>4109.2299999999996</v>
      </c>
      <c r="BB21" s="45">
        <v>7.92</v>
      </c>
      <c r="BC21" s="45">
        <v>23.763999999999999</v>
      </c>
      <c r="BD21">
        <v>32</v>
      </c>
      <c r="BE21" s="19">
        <f t="shared" si="14"/>
        <v>6.0916505662359649E-4</v>
      </c>
      <c r="BF21" s="19">
        <f t="shared" si="15"/>
        <v>4.9382569024464251E-3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71269</v>
      </c>
      <c r="BV21" s="4">
        <f t="shared" si="17"/>
        <v>2227.15625</v>
      </c>
      <c r="BW21" s="4">
        <f t="shared" si="17"/>
        <v>676.15625</v>
      </c>
      <c r="BX21" s="4">
        <f t="shared" si="17"/>
        <v>37792</v>
      </c>
      <c r="BY21" s="4">
        <f t="shared" si="17"/>
        <v>50120</v>
      </c>
      <c r="BZ21" s="4">
        <f t="shared" si="17"/>
        <v>-15960</v>
      </c>
      <c r="CA21" s="4">
        <f t="shared" si="17"/>
        <v>3632</v>
      </c>
      <c r="CB21" s="4">
        <f t="shared" si="17"/>
        <v>9.7593750000015689E-3</v>
      </c>
      <c r="CC21" s="4">
        <f t="shared" si="17"/>
        <v>3.1306250000000091E-2</v>
      </c>
      <c r="CD21" s="4">
        <f t="shared" si="17"/>
        <v>6.7975000000000563E-2</v>
      </c>
      <c r="CE21" s="4">
        <f t="shared" si="17"/>
        <v>0.10189374999999501</v>
      </c>
      <c r="CF21" s="4">
        <f t="shared" si="17"/>
        <v>7.6218749999995339E-2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5.1036625000000004</v>
      </c>
      <c r="J22" s="24">
        <f t="shared" si="1"/>
        <v>0.10140888553157823</v>
      </c>
      <c r="K22" s="24">
        <f t="shared" si="2"/>
        <v>4.6562204989356759E-2</v>
      </c>
      <c r="L22" s="24">
        <f t="shared" si="3"/>
        <v>3.1437045110993621E-2</v>
      </c>
      <c r="M22" s="24">
        <f t="shared" si="4"/>
        <v>5.4851151253057971E-2</v>
      </c>
      <c r="N22" s="21">
        <f t="shared" si="5"/>
        <v>1499752</v>
      </c>
      <c r="O22" s="24">
        <f t="shared" si="6"/>
        <v>9.9745989051694489E-2</v>
      </c>
      <c r="P22" s="46">
        <v>32746620</v>
      </c>
      <c r="Q22" s="46">
        <v>1023331.875</v>
      </c>
      <c r="R22" s="46">
        <v>34640.1875</v>
      </c>
      <c r="S22" s="47">
        <v>3266344</v>
      </c>
      <c r="T22" s="47">
        <v>1012576</v>
      </c>
      <c r="U22" s="47">
        <v>487176</v>
      </c>
      <c r="V22" s="47">
        <v>1766736</v>
      </c>
      <c r="W22" s="48">
        <v>70.003465624999905</v>
      </c>
      <c r="X22" s="48">
        <v>72.449924999999993</v>
      </c>
      <c r="Y22" s="48">
        <v>33.569618749999997</v>
      </c>
      <c r="Z22" s="48">
        <v>41.681912499999903</v>
      </c>
      <c r="AA22" s="48">
        <v>40.571950000000001</v>
      </c>
      <c r="AB22" s="49">
        <v>11482.4</v>
      </c>
      <c r="AC22" s="49">
        <v>4023.62</v>
      </c>
      <c r="AD22" s="49">
        <v>7.7679999999999998</v>
      </c>
      <c r="AE22" s="49">
        <v>20.936</v>
      </c>
      <c r="AG22" s="23">
        <f t="shared" si="7"/>
        <v>5.1314124999999997</v>
      </c>
      <c r="AH22" s="24">
        <f t="shared" si="8"/>
        <v>0.10196027320141363</v>
      </c>
      <c r="AI22" s="24">
        <f t="shared" si="9"/>
        <v>4.7234053478953493E-2</v>
      </c>
      <c r="AJ22" s="24">
        <f t="shared" si="10"/>
        <v>3.2604397384969466E-2</v>
      </c>
      <c r="AK22" s="24">
        <f t="shared" si="11"/>
        <v>5.473069043329664E-2</v>
      </c>
      <c r="AL22" s="21">
        <f t="shared" si="12"/>
        <v>1521392</v>
      </c>
      <c r="AM22" s="24">
        <f t="shared" si="13"/>
        <v>0.10031612936668713</v>
      </c>
      <c r="AN22" s="46">
        <v>32737547</v>
      </c>
      <c r="AO22" s="46">
        <v>1023048.34375</v>
      </c>
      <c r="AP22" s="46">
        <v>34857.65625</v>
      </c>
      <c r="AQ22" s="47">
        <v>3284104</v>
      </c>
      <c r="AR22" s="47">
        <v>1050176</v>
      </c>
      <c r="AS22" s="47">
        <v>471216</v>
      </c>
      <c r="AT22" s="47">
        <v>1762856</v>
      </c>
      <c r="AU22" s="48">
        <v>70.036371875</v>
      </c>
      <c r="AV22" s="48">
        <v>72.510518750000003</v>
      </c>
      <c r="AW22" s="48">
        <v>33.632824999999997</v>
      </c>
      <c r="AX22" s="48">
        <v>41.7759874999999</v>
      </c>
      <c r="AY22" s="48">
        <v>40.606043749999998</v>
      </c>
      <c r="AZ22" s="49">
        <v>11740.4</v>
      </c>
      <c r="BA22" s="49">
        <v>4322.5200000000004</v>
      </c>
      <c r="BB22" s="49">
        <v>8.7040000000000006</v>
      </c>
      <c r="BC22" s="49">
        <v>24.923999999999999</v>
      </c>
      <c r="BD22">
        <v>32</v>
      </c>
      <c r="BE22" s="25">
        <f t="shared" si="14"/>
        <v>2.2195079636733867E-4</v>
      </c>
      <c r="BF22" s="25">
        <f t="shared" si="15"/>
        <v>4.1062770237002555E-3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-9073</v>
      </c>
      <c r="BV22" s="4">
        <f t="shared" si="17"/>
        <v>-283.53125</v>
      </c>
      <c r="BW22" s="4">
        <f t="shared" si="17"/>
        <v>217.46875</v>
      </c>
      <c r="BX22" s="4">
        <f t="shared" si="17"/>
        <v>17760</v>
      </c>
      <c r="BY22" s="4">
        <f t="shared" si="17"/>
        <v>37600</v>
      </c>
      <c r="BZ22" s="4">
        <f t="shared" si="17"/>
        <v>-15960</v>
      </c>
      <c r="CA22" s="4">
        <f t="shared" si="17"/>
        <v>-3880</v>
      </c>
      <c r="CB22" s="4">
        <f t="shared" si="17"/>
        <v>3.2906250000095838E-2</v>
      </c>
      <c r="CC22" s="4">
        <f t="shared" si="17"/>
        <v>6.059375000000955E-2</v>
      </c>
      <c r="CD22" s="4">
        <f t="shared" si="17"/>
        <v>6.3206250000000352E-2</v>
      </c>
      <c r="CE22" s="4">
        <f t="shared" si="17"/>
        <v>9.4074999999996578E-2</v>
      </c>
      <c r="CF22" s="4">
        <f t="shared" si="17"/>
        <v>3.4093749999996703E-2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9.4715000000000007</v>
      </c>
      <c r="J23" s="18">
        <f t="shared" si="1"/>
        <v>0.18819705639084544</v>
      </c>
      <c r="K23" s="18">
        <f t="shared" si="2"/>
        <v>6.6090766668851317E-2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2128760</v>
      </c>
      <c r="O23" s="18">
        <f t="shared" si="6"/>
        <v>0.18341060161301215</v>
      </c>
      <c r="P23" s="42">
        <v>33050216</v>
      </c>
      <c r="Q23" s="42">
        <v>1032819.25</v>
      </c>
      <c r="R23" s="42">
        <v>36820.71875</v>
      </c>
      <c r="S23" s="43">
        <v>6061760</v>
      </c>
      <c r="T23" s="43">
        <v>1641584</v>
      </c>
      <c r="U23" s="43">
        <v>487176</v>
      </c>
      <c r="V23" s="43">
        <v>3933144</v>
      </c>
      <c r="W23" s="44">
        <v>70.935637499999999</v>
      </c>
      <c r="X23" s="44">
        <v>73.669268750000001</v>
      </c>
      <c r="Y23" s="44">
        <v>35.486553125</v>
      </c>
      <c r="Z23" s="44">
        <v>42.753943749999998</v>
      </c>
      <c r="AA23" s="44">
        <v>41.608881250000003</v>
      </c>
      <c r="AB23" s="45">
        <v>8075.64</v>
      </c>
      <c r="AC23" s="45">
        <v>4365.7299999999996</v>
      </c>
      <c r="AD23" s="45">
        <v>7.1239999999999997</v>
      </c>
      <c r="AE23" s="45">
        <v>19.579999999999998</v>
      </c>
      <c r="AG23" s="17">
        <f t="shared" si="7"/>
        <v>9.5954750000000004</v>
      </c>
      <c r="AH23" s="18">
        <f t="shared" si="8"/>
        <v>0.19066041806175871</v>
      </c>
      <c r="AI23" s="18">
        <f t="shared" si="9"/>
        <v>6.8492283506526294E-2</v>
      </c>
      <c r="AJ23" s="18">
        <f t="shared" si="10"/>
        <v>5.386262741254226E-2</v>
      </c>
      <c r="AK23" s="18">
        <f t="shared" si="11"/>
        <v>0.12217260526606892</v>
      </c>
      <c r="AL23" s="15">
        <f t="shared" si="12"/>
        <v>2206112</v>
      </c>
      <c r="AM23" s="18">
        <f t="shared" si="13"/>
        <v>0.18604877746119489</v>
      </c>
      <c r="AN23" s="42">
        <v>33008032</v>
      </c>
      <c r="AO23" s="42">
        <v>1031501</v>
      </c>
      <c r="AP23" s="42">
        <v>37083.65625</v>
      </c>
      <c r="AQ23" s="43">
        <v>6141104</v>
      </c>
      <c r="AR23" s="43">
        <v>1734896</v>
      </c>
      <c r="AS23" s="43">
        <v>471216</v>
      </c>
      <c r="AT23" s="43">
        <v>3935136</v>
      </c>
      <c r="AU23" s="44">
        <v>70.940271874999993</v>
      </c>
      <c r="AV23" s="44">
        <v>73.698021874999995</v>
      </c>
      <c r="AW23" s="44">
        <v>35.506849999999901</v>
      </c>
      <c r="AX23" s="44">
        <v>42.821612500000001</v>
      </c>
      <c r="AY23" s="44">
        <v>41.607828124999997</v>
      </c>
      <c r="AZ23" s="45">
        <v>9637.36</v>
      </c>
      <c r="BA23" s="45">
        <v>4703.97</v>
      </c>
      <c r="BB23" s="45">
        <v>8.7439999999999998</v>
      </c>
      <c r="BC23" s="45">
        <v>25.812000000000001</v>
      </c>
      <c r="BD23">
        <v>32</v>
      </c>
      <c r="BE23" s="19">
        <f t="shared" si="14"/>
        <v>3.004689495125154E-4</v>
      </c>
      <c r="BF23" s="19">
        <f t="shared" si="15"/>
        <v>8.0585006003501269E-3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-42184</v>
      </c>
      <c r="BV23" s="4">
        <f t="shared" si="17"/>
        <v>-1318.25</v>
      </c>
      <c r="BW23" s="4">
        <f t="shared" si="17"/>
        <v>262.9375</v>
      </c>
      <c r="BX23" s="4">
        <f t="shared" si="17"/>
        <v>79344</v>
      </c>
      <c r="BY23" s="4">
        <f t="shared" si="17"/>
        <v>93312</v>
      </c>
      <c r="BZ23" s="4">
        <f t="shared" si="17"/>
        <v>-15960</v>
      </c>
      <c r="CA23" s="4">
        <f t="shared" si="17"/>
        <v>1992</v>
      </c>
      <c r="CB23" s="4">
        <f t="shared" si="17"/>
        <v>4.6343749999948614E-3</v>
      </c>
      <c r="CC23" s="4">
        <f t="shared" si="17"/>
        <v>2.8753124999994384E-2</v>
      </c>
      <c r="CD23" s="4">
        <f t="shared" si="17"/>
        <v>2.0296874999900183E-2</v>
      </c>
      <c r="CE23" s="4">
        <f t="shared" si="17"/>
        <v>6.7668750000002831E-2</v>
      </c>
      <c r="CF23" s="4">
        <f t="shared" si="17"/>
        <v>-1.0531250000056502E-3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18.404062499999998</v>
      </c>
      <c r="J24" s="36">
        <f t="shared" si="1"/>
        <v>0.36568551846414443</v>
      </c>
      <c r="K24" s="36">
        <f t="shared" si="2"/>
        <v>0.11236386569078087</v>
      </c>
      <c r="L24" s="36">
        <f t="shared" si="3"/>
        <v>8.0886087436610216E-2</v>
      </c>
      <c r="M24" s="36">
        <f t="shared" si="4"/>
        <v>0.25332612348420008</v>
      </c>
      <c r="N24" s="33">
        <f t="shared" si="5"/>
        <v>3619200</v>
      </c>
      <c r="O24" s="36">
        <f t="shared" si="6"/>
        <v>0.37401213575485337</v>
      </c>
      <c r="P24" s="54">
        <v>31492561</v>
      </c>
      <c r="Q24" s="54">
        <v>984142.53125</v>
      </c>
      <c r="R24" s="54">
        <v>17732.5</v>
      </c>
      <c r="S24" s="55">
        <v>11778600</v>
      </c>
      <c r="T24" s="55">
        <v>2605312</v>
      </c>
      <c r="U24" s="55">
        <v>1013888</v>
      </c>
      <c r="V24" s="55">
        <v>8159544</v>
      </c>
      <c r="W24" s="56">
        <v>71.941287500000001</v>
      </c>
      <c r="X24" s="56">
        <v>75.855562500000005</v>
      </c>
      <c r="Y24" s="56">
        <v>36.955393749999899</v>
      </c>
      <c r="Z24" s="56">
        <v>43.6213499999999</v>
      </c>
      <c r="AA24" s="56">
        <v>42.239159375</v>
      </c>
      <c r="AB24" s="57">
        <v>8043.7</v>
      </c>
      <c r="AC24" s="57">
        <v>4895.3</v>
      </c>
      <c r="AD24" s="57">
        <v>7.44</v>
      </c>
      <c r="AE24" s="57">
        <v>22.771999999999998</v>
      </c>
      <c r="AG24" s="35">
        <f t="shared" si="7"/>
        <v>18.4462625</v>
      </c>
      <c r="AH24" s="36">
        <f t="shared" si="8"/>
        <v>0.36652402511881305</v>
      </c>
      <c r="AI24" s="36">
        <f t="shared" si="9"/>
        <v>0.11444349134822761</v>
      </c>
      <c r="AJ24" s="36">
        <f t="shared" si="10"/>
        <v>8.3733433493814263E-2</v>
      </c>
      <c r="AK24" s="36">
        <f t="shared" si="11"/>
        <v>0.2520850044814219</v>
      </c>
      <c r="AL24" s="33">
        <f t="shared" si="12"/>
        <v>3686184</v>
      </c>
      <c r="AM24" s="36">
        <f t="shared" si="13"/>
        <v>0.37473511987763791</v>
      </c>
      <c r="AN24" s="54">
        <v>31503874</v>
      </c>
      <c r="AO24" s="54">
        <v>984496.0625</v>
      </c>
      <c r="AP24" s="54">
        <v>17804.875</v>
      </c>
      <c r="AQ24" s="55">
        <v>11805608</v>
      </c>
      <c r="AR24" s="55">
        <v>2697024</v>
      </c>
      <c r="AS24" s="55">
        <v>989160</v>
      </c>
      <c r="AT24" s="55">
        <v>8119568</v>
      </c>
      <c r="AU24" s="56">
        <v>71.927431249999998</v>
      </c>
      <c r="AV24" s="56">
        <v>75.825950000000006</v>
      </c>
      <c r="AW24" s="56">
        <v>36.947349999999901</v>
      </c>
      <c r="AX24" s="56">
        <v>43.613287499999998</v>
      </c>
      <c r="AY24" s="56">
        <v>42.221374999999902</v>
      </c>
      <c r="AZ24" s="57">
        <v>9651.44</v>
      </c>
      <c r="BA24" s="57">
        <v>5231.18</v>
      </c>
      <c r="BB24" s="57">
        <v>8.4039999999999999</v>
      </c>
      <c r="BC24" s="57">
        <v>27.736000000000001</v>
      </c>
      <c r="BD24">
        <v>32</v>
      </c>
      <c r="BE24" s="37">
        <f t="shared" si="14"/>
        <v>6.7044447883111286E-5</v>
      </c>
      <c r="BF24" s="37">
        <f t="shared" si="15"/>
        <v>4.9709659796728922E-3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11313</v>
      </c>
      <c r="BV24" s="4">
        <f t="shared" si="17"/>
        <v>353.53125</v>
      </c>
      <c r="BW24" s="4">
        <f t="shared" si="17"/>
        <v>72.375</v>
      </c>
      <c r="BX24" s="4">
        <f t="shared" si="17"/>
        <v>27008</v>
      </c>
      <c r="BY24" s="4">
        <f t="shared" si="17"/>
        <v>91712</v>
      </c>
      <c r="BZ24" s="4">
        <f t="shared" si="17"/>
        <v>-24728</v>
      </c>
      <c r="CA24" s="4">
        <f t="shared" si="17"/>
        <v>-39976</v>
      </c>
      <c r="CB24" s="4">
        <f t="shared" si="17"/>
        <v>-1.3856250000003456E-2</v>
      </c>
      <c r="CC24" s="4">
        <f t="shared" si="17"/>
        <v>-2.9612499999998931E-2</v>
      </c>
      <c r="CD24" s="4">
        <f t="shared" si="17"/>
        <v>-8.0437499999987949E-3</v>
      </c>
      <c r="CE24" s="4">
        <f t="shared" si="17"/>
        <v>-8.0624999999017177E-3</v>
      </c>
      <c r="CF24" s="4">
        <f t="shared" si="17"/>
        <v>-1.7784375000097441E-2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2.2620225</v>
      </c>
      <c r="J25" s="18">
        <f t="shared" si="1"/>
        <v>9.532178842882115E-2</v>
      </c>
      <c r="K25" s="18">
        <f t="shared" si="2"/>
        <v>6.1190859439370603E-2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1548888</v>
      </c>
      <c r="O25" s="18">
        <f t="shared" si="6"/>
        <v>0.1035848333014714</v>
      </c>
      <c r="P25" s="42">
        <v>23293217</v>
      </c>
      <c r="Q25" s="42">
        <v>727913.03125</v>
      </c>
      <c r="R25" s="42">
        <v>18037.96875</v>
      </c>
      <c r="S25" s="43">
        <v>2412824</v>
      </c>
      <c r="T25" s="43">
        <v>911200</v>
      </c>
      <c r="U25" s="43">
        <v>637688</v>
      </c>
      <c r="V25" s="43">
        <v>864080</v>
      </c>
      <c r="W25" s="44">
        <v>66.258609374999907</v>
      </c>
      <c r="X25" s="44">
        <v>68.024615624999996</v>
      </c>
      <c r="Y25" s="44">
        <v>26.0055624999999</v>
      </c>
      <c r="Z25" s="44">
        <v>32.538881249999903</v>
      </c>
      <c r="AA25" s="44">
        <v>31.726471875000001</v>
      </c>
      <c r="AB25" s="45">
        <v>6924.89</v>
      </c>
      <c r="AC25" s="45">
        <v>6161.92</v>
      </c>
      <c r="AD25" s="45">
        <v>6.78</v>
      </c>
      <c r="AE25" s="45">
        <v>29.332000000000001</v>
      </c>
      <c r="AG25" s="17">
        <f t="shared" si="7"/>
        <v>2.3384849999999999</v>
      </c>
      <c r="AH25" s="18">
        <f t="shared" si="8"/>
        <v>9.8543923596680336E-2</v>
      </c>
      <c r="AI25" s="18">
        <f t="shared" si="9"/>
        <v>6.3419647786966765E-2</v>
      </c>
      <c r="AJ25" s="18">
        <f t="shared" si="10"/>
        <v>3.8244326655923054E-2</v>
      </c>
      <c r="AK25" s="18">
        <f t="shared" si="11"/>
        <v>3.5129964719279178E-2</v>
      </c>
      <c r="AL25" s="15">
        <f t="shared" si="12"/>
        <v>1605304</v>
      </c>
      <c r="AM25" s="18">
        <f t="shared" si="13"/>
        <v>0.10756543372274736</v>
      </c>
      <c r="AN25" s="42">
        <v>23189457</v>
      </c>
      <c r="AO25" s="42">
        <v>724670.53125</v>
      </c>
      <c r="AP25" s="42">
        <v>17942.09375</v>
      </c>
      <c r="AQ25" s="43">
        <v>2494384</v>
      </c>
      <c r="AR25" s="43">
        <v>968056</v>
      </c>
      <c r="AS25" s="43">
        <v>637248</v>
      </c>
      <c r="AT25" s="43">
        <v>889224</v>
      </c>
      <c r="AU25" s="44">
        <v>66.2460093749999</v>
      </c>
      <c r="AV25" s="44">
        <v>68.041084374999997</v>
      </c>
      <c r="AW25" s="44">
        <v>26.0075</v>
      </c>
      <c r="AX25" s="44">
        <v>32.509406249999998</v>
      </c>
      <c r="AY25" s="44">
        <v>31.6955687499999</v>
      </c>
      <c r="AZ25" s="45">
        <v>8165.74</v>
      </c>
      <c r="BA25" s="45">
        <v>7351.21</v>
      </c>
      <c r="BB25" s="45">
        <v>7.2880000000000003</v>
      </c>
      <c r="BC25" s="45">
        <v>36.503999999999998</v>
      </c>
      <c r="BD25">
        <v>32</v>
      </c>
      <c r="BE25" s="19">
        <f t="shared" si="14"/>
        <v>-2.142295702708269E-5</v>
      </c>
      <c r="BF25" s="19">
        <f t="shared" si="15"/>
        <v>1.6274084759906327E-3</v>
      </c>
      <c r="BG25" s="19">
        <f t="array" ref="BG25">AVERAGE(AL25:AL29/AQ25:AQ29) - AVERAGE(N25:N29/S25:S29)</f>
        <v>1.9272918586123455E-3</v>
      </c>
      <c r="BI25" s="20">
        <f>IF( OR(ISBLANK(N25:N29),ISBLANK(AL25:AL29), ISBLANK(W25:W29),ISBLANK(AU25:AU29)), "·", bdRateExtend( N25:N29,W25:W29, AL25:AL29,AU25:AU29))</f>
        <v>3.0273833095120439E-2</v>
      </c>
      <c r="BJ25" s="20">
        <f>IF( OR(ISBLANK(N25:N29),ISBLANK(AL25:AL29), ISBLANK(X25:X29),ISBLANK(AV25:AV29)), "·", bdRateExtend( N25:N29,X25:X29, AL25:AL29,AV25:AV29))</f>
        <v>2.8335787472875573E-2</v>
      </c>
      <c r="BK25" s="20">
        <f>IF( OR(ISBLANK(V25:V29),ISBLANK(AT25:AT29), ISBLANK(Y25:Y29),ISBLANK(AW25:AW29)), "·", bdRateExtend( V25:V29,Y25:Y29, AT25:AT29,AW25:AW29))</f>
        <v>2.2936262252715167E-2</v>
      </c>
      <c r="BL25" s="20">
        <f>IF( OR(ISBLANK(V25:V29),ISBLANK(AT25:AT29), ISBLANK(Z25:Z29),ISBLANK(AX25:AX29)), "·", bdRateExtend( V25:V29,Z25:Z29, AT25:AT29,AX25:AX29))</f>
        <v>2.1664424792424253E-2</v>
      </c>
      <c r="BM25" s="20">
        <f>IF( OR(ISBLANK(V25:V29),ISBLANK(AT25:AT29), ISBLANK(AA25:AA29),ISBLANK(AY25:AY29)), "·", bdRateExtend( V25:V29,AA25:AA29, AT25:AT29,AY25:AY29))</f>
        <v>2.5360638226796794E-2</v>
      </c>
      <c r="BO25" s="20">
        <f>IF( OR(ISBLANK(S25:S29),ISBLANK(AQ25:AQ29), ISBLANK(W25:W29),ISBLANK(AU25:AU29)), "·", bdRateExtend( S25:S29,W25:W29, AQ25:AQ29,AU25:AU29))</f>
        <v>2.4686354854064341E-2</v>
      </c>
      <c r="BP25" s="20">
        <f>IF( OR(ISBLANK(S25:S29),ISBLANK(AQ25:AQ29), ISBLANK(X25:X29),ISBLANK(AV25:AV29)), "·", bdRateExtend( S25:S29,X25:X29, AQ25:AQ29,AV25:AV29))</f>
        <v>1.9655298431815016E-2</v>
      </c>
      <c r="BQ25" s="20">
        <f>IF( OR(ISBLANK(S25:S29),ISBLANK(AQ25:AQ29), ISBLANK(Y25:Y29),ISBLANK(AW25:AW29)), "·", bdRateExtend( S25:S29,Y25:Y29, AQ25:AQ29,AW25:AW29))</f>
        <v>2.5505592466322557E-2</v>
      </c>
      <c r="BR25" s="20">
        <f>IF( OR(ISBLANK(S25:S29),ISBLANK(AQ25:AQ29), ISBLANK(Z25:Z29),ISBLANK(AX25:AX29)), "·", bdRateExtend( S25:S29,Z25:Z29, AQ25:AQ29,AX25:AX29))</f>
        <v>2.4283519117681118E-2</v>
      </c>
      <c r="BS25" s="20">
        <f>IF( OR(ISBLANK(S25:S29),ISBLANK(AQ25:AQ29), ISBLANK(AA25:AA29),ISBLANK(AY25:AY29)), "·", bdRateExtend( S25:S29,AA25:AA29, AQ25:AQ29,AY25:AY29))</f>
        <v>2.7147969244694092E-2</v>
      </c>
      <c r="BU25" s="4">
        <f t="shared" si="17"/>
        <v>-103760</v>
      </c>
      <c r="BV25" s="4">
        <f t="shared" si="17"/>
        <v>-3242.5</v>
      </c>
      <c r="BW25" s="4">
        <f t="shared" si="17"/>
        <v>-95.875</v>
      </c>
      <c r="BX25" s="4">
        <f t="shared" si="17"/>
        <v>81560</v>
      </c>
      <c r="BY25" s="4">
        <f t="shared" si="17"/>
        <v>56856</v>
      </c>
      <c r="BZ25" s="4">
        <f t="shared" si="17"/>
        <v>-440</v>
      </c>
      <c r="CA25" s="4">
        <f t="shared" si="17"/>
        <v>25144</v>
      </c>
      <c r="CB25" s="4">
        <f t="shared" si="17"/>
        <v>-1.2600000000006162E-2</v>
      </c>
      <c r="CC25" s="4">
        <f t="shared" si="17"/>
        <v>1.6468750000001364E-2</v>
      </c>
      <c r="CD25" s="4">
        <f t="shared" si="17"/>
        <v>1.9375000000998455E-3</v>
      </c>
      <c r="CE25" s="4">
        <f t="shared" si="17"/>
        <v>-2.9474999999905549E-2</v>
      </c>
      <c r="CF25" s="4">
        <f t="shared" si="17"/>
        <v>-3.0903125000101284E-2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3.4634325000000001</v>
      </c>
      <c r="J26" s="24">
        <f t="shared" si="1"/>
        <v>0.14594929095643527</v>
      </c>
      <c r="K26" s="24">
        <f t="shared" si="2"/>
        <v>7.4960232941883684E-2</v>
      </c>
      <c r="L26" s="24">
        <f t="shared" si="3"/>
        <v>4.976752903161169E-2</v>
      </c>
      <c r="M26" s="24">
        <f t="shared" si="4"/>
        <v>7.0994746924117211E-2</v>
      </c>
      <c r="N26" s="21">
        <f t="shared" si="5"/>
        <v>1897424</v>
      </c>
      <c r="O26" s="24">
        <f t="shared" si="6"/>
        <v>0.14802537299863444</v>
      </c>
      <c r="P26" s="46">
        <v>24957397</v>
      </c>
      <c r="Q26" s="46">
        <v>779918.65625</v>
      </c>
      <c r="R26" s="46">
        <v>22437.59375</v>
      </c>
      <c r="S26" s="47">
        <v>3694328</v>
      </c>
      <c r="T26" s="47">
        <v>1259736</v>
      </c>
      <c r="U26" s="47">
        <v>637688</v>
      </c>
      <c r="V26" s="47">
        <v>1797048</v>
      </c>
      <c r="W26" s="48">
        <v>68.062037500000002</v>
      </c>
      <c r="X26" s="48">
        <v>70.048765625000001</v>
      </c>
      <c r="Y26" s="48">
        <v>28.064584374999999</v>
      </c>
      <c r="Z26" s="48">
        <v>33.763143749999998</v>
      </c>
      <c r="AA26" s="48">
        <v>33.161640624999997</v>
      </c>
      <c r="AB26" s="49">
        <v>6952.96</v>
      </c>
      <c r="AC26" s="49">
        <v>6691.01</v>
      </c>
      <c r="AD26" s="49">
        <v>6.8760000000000003</v>
      </c>
      <c r="AE26" s="49">
        <v>30.004000000000001</v>
      </c>
      <c r="AG26" s="23">
        <f t="shared" si="7"/>
        <v>3.5615174999999999</v>
      </c>
      <c r="AH26" s="24">
        <f t="shared" si="8"/>
        <v>0.15008259980638744</v>
      </c>
      <c r="AI26" s="24">
        <f t="shared" si="9"/>
        <v>7.7438701209304142E-2</v>
      </c>
      <c r="AJ26" s="24">
        <f t="shared" si="10"/>
        <v>5.2263380078260431E-2</v>
      </c>
      <c r="AK26" s="24">
        <f t="shared" si="11"/>
        <v>7.2649587506648919E-2</v>
      </c>
      <c r="AL26" s="21">
        <f t="shared" si="12"/>
        <v>1960160</v>
      </c>
      <c r="AM26" s="24">
        <f t="shared" si="13"/>
        <v>0.15306291259316346</v>
      </c>
      <c r="AN26" s="46">
        <v>24819546</v>
      </c>
      <c r="AO26" s="46">
        <v>775610.8125</v>
      </c>
      <c r="AP26" s="46">
        <v>22101.34375</v>
      </c>
      <c r="AQ26" s="47">
        <v>3798952</v>
      </c>
      <c r="AR26" s="47">
        <v>1322912</v>
      </c>
      <c r="AS26" s="47">
        <v>637248</v>
      </c>
      <c r="AT26" s="47">
        <v>1838936</v>
      </c>
      <c r="AU26" s="48">
        <v>68.041540624999996</v>
      </c>
      <c r="AV26" s="48">
        <v>70.043512499999906</v>
      </c>
      <c r="AW26" s="48">
        <v>28.049259374999899</v>
      </c>
      <c r="AX26" s="48">
        <v>33.757737499999998</v>
      </c>
      <c r="AY26" s="48">
        <v>33.149428125</v>
      </c>
      <c r="AZ26" s="49">
        <v>8219.0300000000007</v>
      </c>
      <c r="BA26" s="49">
        <v>7891.33</v>
      </c>
      <c r="BB26" s="49">
        <v>7.66</v>
      </c>
      <c r="BC26" s="49">
        <v>36.948</v>
      </c>
      <c r="BD26">
        <v>32</v>
      </c>
      <c r="BE26" s="25">
        <f t="shared" si="14"/>
        <v>-2.7374168907481553E-4</v>
      </c>
      <c r="BF26" s="25">
        <f t="shared" si="15"/>
        <v>2.3692397837425938E-3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-137851</v>
      </c>
      <c r="BV26" s="4">
        <f t="shared" si="17"/>
        <v>-4307.84375</v>
      </c>
      <c r="BW26" s="4">
        <f t="shared" si="17"/>
        <v>-336.25</v>
      </c>
      <c r="BX26" s="4">
        <f t="shared" si="17"/>
        <v>104624</v>
      </c>
      <c r="BY26" s="4">
        <f t="shared" si="17"/>
        <v>63176</v>
      </c>
      <c r="BZ26" s="4">
        <f t="shared" si="17"/>
        <v>-440</v>
      </c>
      <c r="CA26" s="4">
        <f t="shared" si="17"/>
        <v>41888</v>
      </c>
      <c r="CB26" s="4">
        <f t="shared" si="17"/>
        <v>-2.0496875000006298E-2</v>
      </c>
      <c r="CC26" s="4">
        <f t="shared" si="17"/>
        <v>-5.2531250000953378E-3</v>
      </c>
      <c r="CD26" s="4">
        <f t="shared" si="17"/>
        <v>-1.5325000000100175E-2</v>
      </c>
      <c r="CE26" s="4">
        <f t="shared" si="17"/>
        <v>-5.4062500000000568E-3</v>
      </c>
      <c r="CF26" s="4">
        <f t="shared" si="17"/>
        <v>-1.2212499999996851E-2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5.88957</v>
      </c>
      <c r="J27" s="18">
        <f t="shared" si="1"/>
        <v>0.24818689711385816</v>
      </c>
      <c r="K27" s="18">
        <f t="shared" si="2"/>
        <v>9.4737410996219726E-2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2398032</v>
      </c>
      <c r="O27" s="18">
        <f t="shared" si="6"/>
        <v>0.24866233631706383</v>
      </c>
      <c r="P27" s="42">
        <v>25264011</v>
      </c>
      <c r="Q27" s="42">
        <v>789500.34375</v>
      </c>
      <c r="R27" s="42">
        <v>23649.9375</v>
      </c>
      <c r="S27" s="43">
        <v>6282208</v>
      </c>
      <c r="T27" s="43">
        <v>1760344</v>
      </c>
      <c r="U27" s="43">
        <v>637688</v>
      </c>
      <c r="V27" s="43">
        <v>3884320</v>
      </c>
      <c r="W27" s="44">
        <v>69.418368749999999</v>
      </c>
      <c r="X27" s="44">
        <v>71.767524999999907</v>
      </c>
      <c r="Y27" s="44">
        <v>30.349296874999901</v>
      </c>
      <c r="Z27" s="44">
        <v>35.025328125000001</v>
      </c>
      <c r="AA27" s="44">
        <v>34.500487499999899</v>
      </c>
      <c r="AB27" s="45">
        <v>7067.31</v>
      </c>
      <c r="AC27" s="45">
        <v>7055.68</v>
      </c>
      <c r="AD27" s="45">
        <v>7.1040000000000001</v>
      </c>
      <c r="AE27" s="45">
        <v>31.004000000000001</v>
      </c>
      <c r="AG27" s="17">
        <f t="shared" si="7"/>
        <v>6.0227025000000003</v>
      </c>
      <c r="AH27" s="18">
        <f t="shared" si="8"/>
        <v>0.25379711009715078</v>
      </c>
      <c r="AI27" s="18">
        <f t="shared" si="9"/>
        <v>9.7226624981708573E-2</v>
      </c>
      <c r="AJ27" s="18">
        <f t="shared" si="10"/>
        <v>7.2051303850664855E-2</v>
      </c>
      <c r="AK27" s="18">
        <f t="shared" si="11"/>
        <v>0.15657617402500781</v>
      </c>
      <c r="AL27" s="15">
        <f t="shared" si="12"/>
        <v>2461040</v>
      </c>
      <c r="AM27" s="18">
        <f t="shared" si="13"/>
        <v>0.25505488160574996</v>
      </c>
      <c r="AN27" s="42">
        <v>25187583</v>
      </c>
      <c r="AO27" s="42">
        <v>787111.96875</v>
      </c>
      <c r="AP27" s="42">
        <v>23551.25</v>
      </c>
      <c r="AQ27" s="43">
        <v>6424216</v>
      </c>
      <c r="AR27" s="43">
        <v>1823792</v>
      </c>
      <c r="AS27" s="43">
        <v>637248</v>
      </c>
      <c r="AT27" s="43">
        <v>3963320</v>
      </c>
      <c r="AU27" s="44">
        <v>69.410653124999996</v>
      </c>
      <c r="AV27" s="44">
        <v>71.788162499999899</v>
      </c>
      <c r="AW27" s="44">
        <v>30.335121874999999</v>
      </c>
      <c r="AX27" s="44">
        <v>35.036615625000003</v>
      </c>
      <c r="AY27" s="44">
        <v>34.491896875000002</v>
      </c>
      <c r="AZ27" s="45">
        <v>8724.14</v>
      </c>
      <c r="BA27" s="45">
        <v>8327.82</v>
      </c>
      <c r="BB27" s="45">
        <v>8.0399999999999991</v>
      </c>
      <c r="BC27" s="45">
        <v>40.204000000000001</v>
      </c>
      <c r="BD27">
        <v>32</v>
      </c>
      <c r="BE27" s="19">
        <f t="shared" si="14"/>
        <v>-3.4483469185497828E-5</v>
      </c>
      <c r="BF27" s="19">
        <f t="shared" si="15"/>
        <v>1.3699706536903222E-3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-76428</v>
      </c>
      <c r="BV27" s="4">
        <f t="shared" si="17"/>
        <v>-2388.375</v>
      </c>
      <c r="BW27" s="4">
        <f t="shared" si="17"/>
        <v>-98.6875</v>
      </c>
      <c r="BX27" s="4">
        <f t="shared" si="17"/>
        <v>142008</v>
      </c>
      <c r="BY27" s="4">
        <f t="shared" si="17"/>
        <v>63448</v>
      </c>
      <c r="BZ27" s="4">
        <f t="shared" si="17"/>
        <v>-440</v>
      </c>
      <c r="CA27" s="4">
        <f t="shared" si="17"/>
        <v>79000</v>
      </c>
      <c r="CB27" s="4">
        <f t="shared" si="17"/>
        <v>-7.7156250000030013E-3</v>
      </c>
      <c r="CC27" s="4">
        <f t="shared" si="17"/>
        <v>2.0637499999992315E-2</v>
      </c>
      <c r="CD27" s="4">
        <f t="shared" si="17"/>
        <v>-1.4174999999902127E-2</v>
      </c>
      <c r="CE27" s="4">
        <f t="shared" si="17"/>
        <v>1.1287500000001671E-2</v>
      </c>
      <c r="CF27" s="4">
        <f t="shared" si="17"/>
        <v>-8.5906249998970452E-3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11.8741275</v>
      </c>
      <c r="J28" s="24">
        <f t="shared" si="1"/>
        <v>0.50037657420819071</v>
      </c>
      <c r="K28" s="24">
        <f t="shared" si="2"/>
        <v>0.12906018265824412</v>
      </c>
      <c r="L28" s="24">
        <f t="shared" si="3"/>
        <v>0.10386747874797214</v>
      </c>
      <c r="M28" s="24">
        <f t="shared" si="4"/>
        <v>0.3713220804595122</v>
      </c>
      <c r="N28" s="21">
        <f t="shared" si="5"/>
        <v>3266824</v>
      </c>
      <c r="O28" s="24">
        <f t="shared" si="6"/>
        <v>0.48285039091453791</v>
      </c>
      <c r="P28" s="46">
        <v>26231181</v>
      </c>
      <c r="Q28" s="46">
        <v>819724.40625</v>
      </c>
      <c r="R28" s="46">
        <v>27138.5625</v>
      </c>
      <c r="S28" s="47">
        <v>12665736</v>
      </c>
      <c r="T28" s="47">
        <v>2629136</v>
      </c>
      <c r="U28" s="47">
        <v>637688</v>
      </c>
      <c r="V28" s="47">
        <v>9399056</v>
      </c>
      <c r="W28" s="48">
        <v>70.446950000000001</v>
      </c>
      <c r="X28" s="48">
        <v>72.997609374999996</v>
      </c>
      <c r="Y28" s="48">
        <v>32.832218750000003</v>
      </c>
      <c r="Z28" s="48">
        <v>36.566724999999998</v>
      </c>
      <c r="AA28" s="48">
        <v>36.046299999999903</v>
      </c>
      <c r="AB28" s="49">
        <v>7255.56</v>
      </c>
      <c r="AC28" s="49">
        <v>7622.68</v>
      </c>
      <c r="AD28" s="49">
        <v>7.3840000000000003</v>
      </c>
      <c r="AE28" s="49">
        <v>32.951999999999998</v>
      </c>
      <c r="AG28" s="23">
        <f t="shared" si="7"/>
        <v>12.11547</v>
      </c>
      <c r="AH28" s="24">
        <f t="shared" si="8"/>
        <v>0.51054676425885681</v>
      </c>
      <c r="AI28" s="24">
        <f t="shared" si="9"/>
        <v>0.13276903564449499</v>
      </c>
      <c r="AJ28" s="24">
        <f t="shared" si="10"/>
        <v>0.10759371451345127</v>
      </c>
      <c r="AK28" s="24">
        <f t="shared" si="11"/>
        <v>0.37778341752392741</v>
      </c>
      <c r="AL28" s="21">
        <f t="shared" si="12"/>
        <v>3360704</v>
      </c>
      <c r="AM28" s="24">
        <f t="shared" si="13"/>
        <v>0.49311018826124542</v>
      </c>
      <c r="AN28" s="46">
        <v>26207465</v>
      </c>
      <c r="AO28" s="46">
        <v>818983.28125</v>
      </c>
      <c r="AP28" s="46">
        <v>27182.40625</v>
      </c>
      <c r="AQ28" s="47">
        <v>12923168</v>
      </c>
      <c r="AR28" s="47">
        <v>2723456</v>
      </c>
      <c r="AS28" s="47">
        <v>637248</v>
      </c>
      <c r="AT28" s="47">
        <v>9562608</v>
      </c>
      <c r="AU28" s="48">
        <v>70.466321874999906</v>
      </c>
      <c r="AV28" s="48">
        <v>73.023578125</v>
      </c>
      <c r="AW28" s="48">
        <v>32.828284374999903</v>
      </c>
      <c r="AX28" s="48">
        <v>36.559293749999902</v>
      </c>
      <c r="AY28" s="48">
        <v>36.041656249999903</v>
      </c>
      <c r="AZ28" s="49">
        <v>8747.84</v>
      </c>
      <c r="BA28" s="49">
        <v>8943.99</v>
      </c>
      <c r="BB28" s="49">
        <v>7.508</v>
      </c>
      <c r="BC28" s="49">
        <v>36.152000000000001</v>
      </c>
      <c r="BD28">
        <v>32</v>
      </c>
      <c r="BE28" s="25">
        <f t="shared" si="14"/>
        <v>8.3493923068708731E-5</v>
      </c>
      <c r="BF28" s="25">
        <f t="shared" si="15"/>
        <v>2.1265347623175557E-3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-23716</v>
      </c>
      <c r="BV28" s="4">
        <f t="shared" si="17"/>
        <v>-741.125</v>
      </c>
      <c r="BW28" s="4">
        <f t="shared" si="17"/>
        <v>43.84375</v>
      </c>
      <c r="BX28" s="4">
        <f t="shared" si="17"/>
        <v>257432</v>
      </c>
      <c r="BY28" s="4">
        <f t="shared" si="17"/>
        <v>94320</v>
      </c>
      <c r="BZ28" s="4">
        <f t="shared" si="17"/>
        <v>-440</v>
      </c>
      <c r="CA28" s="4">
        <f t="shared" si="17"/>
        <v>163552</v>
      </c>
      <c r="CB28" s="4">
        <f t="shared" si="17"/>
        <v>1.9371874999905003E-2</v>
      </c>
      <c r="CC28" s="4">
        <f t="shared" si="17"/>
        <v>2.5968750000004093E-2</v>
      </c>
      <c r="CD28" s="4">
        <f t="shared" si="17"/>
        <v>-3.9343750000995215E-3</v>
      </c>
      <c r="CE28" s="4">
        <f t="shared" si="17"/>
        <v>-7.4312500000957016E-3</v>
      </c>
      <c r="CF28" s="4">
        <f t="shared" si="17"/>
        <v>-4.6437499999996135E-3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1.1611118152014617</v>
      </c>
      <c r="K29" s="30">
        <f t="shared" si="2"/>
        <v>0.21132876808875711</v>
      </c>
      <c r="L29" s="30">
        <f t="shared" si="3"/>
        <v>0.16190636623745952</v>
      </c>
      <c r="M29" s="30">
        <f t="shared" si="4"/>
        <v>0.94978873602227021</v>
      </c>
      <c r="N29" s="27">
        <f t="shared" si="5"/>
        <v>5349240</v>
      </c>
      <c r="O29" s="30">
        <f t="shared" si="6"/>
        <v>1.1722858179336515</v>
      </c>
      <c r="P29" s="50">
        <v>25071135</v>
      </c>
      <c r="Q29" s="50">
        <v>783472.96875</v>
      </c>
      <c r="R29" s="50">
        <v>12108.53125</v>
      </c>
      <c r="S29" s="51">
        <v>29390536</v>
      </c>
      <c r="T29" s="51">
        <v>4098240</v>
      </c>
      <c r="U29" s="51">
        <v>1251000</v>
      </c>
      <c r="V29" s="51">
        <v>24041440</v>
      </c>
      <c r="W29" s="52">
        <v>71.482781250000002</v>
      </c>
      <c r="X29" s="52">
        <v>74.907206250000002</v>
      </c>
      <c r="Y29" s="52">
        <v>35.524450000000002</v>
      </c>
      <c r="Z29" s="52">
        <v>38.553015625</v>
      </c>
      <c r="AA29" s="52">
        <v>37.999199999999902</v>
      </c>
      <c r="AB29" s="53">
        <v>7035.17</v>
      </c>
      <c r="AC29" s="53">
        <v>8530.4500000000007</v>
      </c>
      <c r="AD29" s="53">
        <v>7.1239999999999997</v>
      </c>
      <c r="AE29" s="53">
        <v>36.631999999999998</v>
      </c>
      <c r="AG29" s="29">
        <f t="shared" si="7"/>
        <v>27.967214999999999</v>
      </c>
      <c r="AH29" s="30">
        <f t="shared" si="8"/>
        <v>1.1785404217567921</v>
      </c>
      <c r="AI29" s="30">
        <f t="shared" si="9"/>
        <v>0.21702684311978537</v>
      </c>
      <c r="AJ29" s="30">
        <f t="shared" si="10"/>
        <v>0.16771979971245723</v>
      </c>
      <c r="AK29" s="30">
        <f t="shared" si="11"/>
        <v>0.96151926754657246</v>
      </c>
      <c r="AL29" s="27">
        <f t="shared" si="12"/>
        <v>5493472</v>
      </c>
      <c r="AM29" s="30">
        <f t="shared" si="13"/>
        <v>1.187692762664343</v>
      </c>
      <c r="AN29" s="50">
        <v>25117351</v>
      </c>
      <c r="AO29" s="50">
        <v>784917.21875</v>
      </c>
      <c r="AP29" s="50">
        <v>12267.3125</v>
      </c>
      <c r="AQ29" s="51">
        <v>29831696</v>
      </c>
      <c r="AR29" s="51">
        <v>4245392</v>
      </c>
      <c r="AS29" s="51">
        <v>1248080</v>
      </c>
      <c r="AT29" s="51">
        <v>24338368</v>
      </c>
      <c r="AU29" s="52">
        <v>71.491184374999904</v>
      </c>
      <c r="AV29" s="52">
        <v>74.890874999999994</v>
      </c>
      <c r="AW29" s="52">
        <v>35.524434374999998</v>
      </c>
      <c r="AX29" s="52">
        <v>38.554831249999999</v>
      </c>
      <c r="AY29" s="52">
        <v>37.988271874999903</v>
      </c>
      <c r="AZ29" s="53">
        <v>8724.2900000000009</v>
      </c>
      <c r="BA29" s="53">
        <v>10028</v>
      </c>
      <c r="BB29" s="53">
        <v>7.12</v>
      </c>
      <c r="BC29" s="53">
        <v>40.372</v>
      </c>
      <c r="BD29">
        <v>32</v>
      </c>
      <c r="BE29" s="31">
        <f t="shared" si="14"/>
        <v>1.738532970672578E-4</v>
      </c>
      <c r="BF29" s="31">
        <f t="shared" si="15"/>
        <v>2.1433056173205678E-3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46216</v>
      </c>
      <c r="BV29" s="4">
        <f t="shared" si="17"/>
        <v>1444.25</v>
      </c>
      <c r="BW29" s="4">
        <f t="shared" si="17"/>
        <v>158.78125</v>
      </c>
      <c r="BX29" s="4">
        <f t="shared" si="17"/>
        <v>441160</v>
      </c>
      <c r="BY29" s="4">
        <f t="shared" si="17"/>
        <v>147152</v>
      </c>
      <c r="BZ29" s="4">
        <f t="shared" si="17"/>
        <v>-2920</v>
      </c>
      <c r="CA29" s="4">
        <f t="shared" si="17"/>
        <v>296928</v>
      </c>
      <c r="CB29" s="4">
        <f t="shared" si="17"/>
        <v>8.403124999901479E-3</v>
      </c>
      <c r="CC29" s="4">
        <f t="shared" si="17"/>
        <v>-1.6331250000007458E-2</v>
      </c>
      <c r="CD29" s="4">
        <f t="shared" si="17"/>
        <v>-1.5625000003183231E-5</v>
      </c>
      <c r="CE29" s="4">
        <f t="shared" si="17"/>
        <v>1.8156249999989882E-3</v>
      </c>
      <c r="CF29" s="4">
        <f t="shared" si="17"/>
        <v>-1.0928124999999511E-2</v>
      </c>
    </row>
    <row r="30" spans="1:84">
      <c r="B30" s="39" t="s">
        <v>286</v>
      </c>
      <c r="J30" s="40">
        <f>AVERAGE(J5:J24)</f>
        <v>0.18357585878829669</v>
      </c>
      <c r="K30" s="40">
        <f>AVERAGE(K5:K24)</f>
        <v>8.9687710108639587E-2</v>
      </c>
      <c r="L30" s="40">
        <f>AVERAGE(L5:L24)</f>
        <v>6.3142127609386853E-2</v>
      </c>
      <c r="M30" s="40">
        <f>AVERAGE(M5:M24)</f>
        <v>9.3893357936443683E-2</v>
      </c>
      <c r="AH30" s="40">
        <f>AVERAGE(AH5:AH24)</f>
        <v>0.18457336923617582</v>
      </c>
      <c r="AI30" s="40">
        <f>AVERAGE(AI5:AI24)</f>
        <v>9.1942982533527021E-2</v>
      </c>
      <c r="AJ30" s="40">
        <f>AVERAGE(AJ5:AJ24)</f>
        <v>6.6102362439672407E-2</v>
      </c>
      <c r="AK30" s="40">
        <f>AVERAGE(AK5:AK24)</f>
        <v>9.2635595959435352E-2</v>
      </c>
      <c r="BG30" s="8">
        <f>AVERAGE(BG5:BG24)</f>
        <v>1.2881510676212571E-2</v>
      </c>
      <c r="BI30" s="5">
        <f>AVERAGE(BI5:BI24)</f>
        <v>2.0415057000535586E-2</v>
      </c>
      <c r="BJ30" s="5">
        <f>AVERAGE(BJ5:BJ24)</f>
        <v>2.0625964692216281E-2</v>
      </c>
      <c r="BK30" s="5">
        <f>AVERAGE(BK5:BK24)</f>
        <v>-5.652278513259823E-2</v>
      </c>
      <c r="BL30" s="5">
        <f>AVERAGE(BL5:BL24)</f>
        <v>-9.3631691501131625E-2</v>
      </c>
      <c r="BM30" s="5">
        <f>AVERAGE(BM5:BM24)</f>
        <v>-7.2762049915630261E-2</v>
      </c>
      <c r="BO30" s="5">
        <f>AVERAGE(BO5:BO24)</f>
        <v>-2.3323866181357289E-3</v>
      </c>
      <c r="BP30" s="5">
        <f>AVERAGE(BP5:BP24)</f>
        <v>-3.6084725443000509E-3</v>
      </c>
      <c r="BQ30" s="5">
        <f>AVERAGE(BQ5:BQ24)</f>
        <v>-8.5765080117095049E-3</v>
      </c>
      <c r="BR30" s="5">
        <f>AVERAGE(BR5:BR24)</f>
        <v>-3.3778637320372507E-2</v>
      </c>
      <c r="BS30" s="5">
        <f>AVERAGE(BS5:BS24)</f>
        <v>-2.0509959605234857E-2</v>
      </c>
    </row>
    <row r="31" spans="1:84">
      <c r="B31" s="39" t="s">
        <v>287</v>
      </c>
      <c r="J31" s="40">
        <f>AVERAGE(J25:J29)</f>
        <v>0.43018927318175343</v>
      </c>
      <c r="K31" s="40">
        <f>AVERAGE(K25:K29)</f>
        <v>0.11425549082489506</v>
      </c>
      <c r="L31" s="40">
        <f>AVERAGE(L25:L29)</f>
        <v>8.4216847326417946E-2</v>
      </c>
      <c r="M31" s="40">
        <f>AVERAGE(M25:M29)</f>
        <v>0.31593947126642397</v>
      </c>
      <c r="AH31" s="40">
        <f>AVERAGE(AH25:AH29)</f>
        <v>0.43830216390317356</v>
      </c>
      <c r="AI31" s="40">
        <f>AVERAGE(AI25:AI29)</f>
        <v>0.11757617054845197</v>
      </c>
      <c r="AJ31" s="40">
        <f>AVERAGE(AJ25:AJ29)</f>
        <v>8.7574504962151384E-2</v>
      </c>
      <c r="AK31" s="40">
        <f>AVERAGE(AK25:AK29)</f>
        <v>0.32073168226428717</v>
      </c>
      <c r="BG31" s="8">
        <f>AVERAGE(BG25:BG29)</f>
        <v>1.9272918586123455E-3</v>
      </c>
      <c r="BI31" s="5">
        <f>AVERAGE(BI25:BI29)</f>
        <v>3.0273833095120439E-2</v>
      </c>
      <c r="BJ31" s="5">
        <f>AVERAGE(BJ25:BJ29)</f>
        <v>2.8335787472875573E-2</v>
      </c>
      <c r="BK31" s="5">
        <f>AVERAGE(BK25:BK29)</f>
        <v>2.2936262252715167E-2</v>
      </c>
      <c r="BL31" s="5">
        <f>AVERAGE(BL25:BL29)</f>
        <v>2.1664424792424253E-2</v>
      </c>
      <c r="BM31" s="5">
        <f>AVERAGE(BM25:BM29)</f>
        <v>2.5360638226796794E-2</v>
      </c>
      <c r="BO31" s="5">
        <f>AVERAGE(BO25:BO29)</f>
        <v>2.4686354854064341E-2</v>
      </c>
      <c r="BP31" s="5">
        <f>AVERAGE(BP25:BP29)</f>
        <v>1.9655298431815016E-2</v>
      </c>
      <c r="BQ31" s="5">
        <f>AVERAGE(BQ25:BQ29)</f>
        <v>2.5505592466322557E-2</v>
      </c>
      <c r="BR31" s="5">
        <f>AVERAGE(BR25:BR29)</f>
        <v>2.4283519117681118E-2</v>
      </c>
      <c r="BS31" s="5">
        <f>AVERAGE(BS25:BS29)</f>
        <v>2.7147969244694092E-2</v>
      </c>
    </row>
    <row r="32" spans="1:84">
      <c r="B32" s="39" t="s">
        <v>288</v>
      </c>
      <c r="J32" s="40">
        <f>AVERAGE(J5:J29)</f>
        <v>0.23289854166698803</v>
      </c>
      <c r="K32" s="40">
        <f>AVERAGE(K5:K29)</f>
        <v>9.4601266251890678E-2</v>
      </c>
      <c r="L32" s="40">
        <f>AVERAGE(L5:L29)</f>
        <v>6.735707155279308E-2</v>
      </c>
      <c r="M32" s="40">
        <f>AVERAGE(M5:M29)</f>
        <v>0.13830258060243972</v>
      </c>
      <c r="AH32" s="40">
        <f>AVERAGE(AH5:AH29)</f>
        <v>0.23531912816957537</v>
      </c>
      <c r="AI32" s="40">
        <f>AVERAGE(AI5:AI29)</f>
        <v>9.7069620136512005E-2</v>
      </c>
      <c r="AJ32" s="40">
        <f>AVERAGE(AJ5:AJ29)</f>
        <v>7.0396790944168203E-2</v>
      </c>
      <c r="AK32" s="40">
        <f>AVERAGE(AK5:AK29)</f>
        <v>0.13825481322040573</v>
      </c>
      <c r="BG32" s="8">
        <f>AVERAGE(BG5:BG29)</f>
        <v>1.0690666912692525E-2</v>
      </c>
      <c r="BI32" s="5">
        <f>AVERAGE(BI5:BI29)</f>
        <v>2.2386812219452556E-2</v>
      </c>
      <c r="BJ32" s="5">
        <f>AVERAGE(BJ5:BJ29)</f>
        <v>2.216792924834814E-2</v>
      </c>
      <c r="BK32" s="5">
        <f>AVERAGE(BK5:BK29)</f>
        <v>-4.0630975655535549E-2</v>
      </c>
      <c r="BL32" s="5">
        <f>AVERAGE(BL5:BL29)</f>
        <v>-7.0572468242420444E-2</v>
      </c>
      <c r="BM32" s="5">
        <f>AVERAGE(BM5:BM29)</f>
        <v>-5.3137512287144847E-2</v>
      </c>
      <c r="BO32" s="5">
        <f>AVERAGE(BO5:BO29)</f>
        <v>3.071361676304285E-3</v>
      </c>
      <c r="BP32" s="5">
        <f>AVERAGE(BP5:BP29)</f>
        <v>1.0442816509229624E-3</v>
      </c>
      <c r="BQ32" s="5">
        <f>AVERAGE(BQ5:BQ29)</f>
        <v>-1.7600879161030925E-3</v>
      </c>
      <c r="BR32" s="5">
        <f>AVERAGE(BR5:BR29)</f>
        <v>-2.216620603276178E-2</v>
      </c>
      <c r="BS32" s="5">
        <f>AVERAGE(BS5:BS29)</f>
        <v>-1.0978373835249067E-2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214814.25000000003</v>
      </c>
      <c r="AC33" s="41">
        <f>SUM(AC5:AC24,AC25:AC29)</f>
        <v>134401.84999999998</v>
      </c>
      <c r="AD33" s="41">
        <f>SUM(AD5:AD24,AD25:AD29)</f>
        <v>188.64399999999998</v>
      </c>
      <c r="AE33" s="41">
        <f>SUM(AE5:AE24,AE25:AE29)</f>
        <v>631.02399999999989</v>
      </c>
      <c r="AZ33" s="41">
        <f>SUM(AZ5:AZ24,AZ25:AZ29)</f>
        <v>228968.84999999998</v>
      </c>
      <c r="BA33" s="41">
        <f>SUM(BA5:BA24,BA25:BA29)</f>
        <v>158478.59</v>
      </c>
      <c r="BB33" s="41">
        <f>SUM(BB5:BB24,BB25:BB29)</f>
        <v>192.52</v>
      </c>
      <c r="BC33" s="41">
        <f>SUM(BC5:BC24,BC25:BC29)</f>
        <v>754.50799999999992</v>
      </c>
    </row>
    <row r="34" spans="1:55" hidden="1" outlineLevel="2">
      <c r="B34" s="39" t="s">
        <v>291</v>
      </c>
      <c r="AZ34" s="8">
        <f>AZ33/AB33</f>
        <v>1.0658922766995205</v>
      </c>
      <c r="BA34" s="8">
        <f>BA33/AC33</f>
        <v>1.179139944874271</v>
      </c>
      <c r="BB34" s="8">
        <f>BB33/AD33</f>
        <v>1.0205466381119994</v>
      </c>
      <c r="BC34" s="8">
        <f>BC33/AE33</f>
        <v>1.1956882781003577</v>
      </c>
    </row>
    <row r="35" spans="1:55" hidden="1" outlineLevel="2">
      <c r="B35" s="39" t="s">
        <v>292</v>
      </c>
      <c r="AB35" s="41">
        <f>GEOMEAN(AB5:AB24,AB25:AB29)</f>
        <v>8374.4327720354522</v>
      </c>
      <c r="AC35" s="41">
        <f>GEOMEAN(AC5:AC24,AC25:AC29)</f>
        <v>5228.573431129008</v>
      </c>
      <c r="AD35" s="41">
        <f>GEOMEAN(AD5:AD24,AD25:AD29)</f>
        <v>7.4007481003016711</v>
      </c>
      <c r="AE35" s="41">
        <f>GEOMEAN(AE5:AE24,AE25:AE29)</f>
        <v>24.699140583444485</v>
      </c>
      <c r="AZ35" s="41">
        <f>GEOMEAN(AZ5:AZ24,AZ25:AZ29)</f>
        <v>8975.1524175252434</v>
      </c>
      <c r="BA35" s="41">
        <f>GEOMEAN(BA5:BA24,BA25:BA29)</f>
        <v>6111.0250359913534</v>
      </c>
      <c r="BB35" s="41">
        <f>GEOMEAN(BB5:BB24,BB25:BB29)</f>
        <v>7.5886466037532205</v>
      </c>
      <c r="BC35" s="41">
        <f>GEOMEAN(BC5:BC24,BC25:BC29)</f>
        <v>29.478654746661686</v>
      </c>
    </row>
    <row r="36" spans="1:55" outlineLevel="2" collapsed="1">
      <c r="B36" s="39" t="s">
        <v>293</v>
      </c>
      <c r="AZ36" s="8">
        <f>AZ35/AB35</f>
        <v>1.0717325772195294</v>
      </c>
      <c r="BA36" s="8">
        <f>BA35/AC35</f>
        <v>1.168774832463584</v>
      </c>
      <c r="BB36" s="8">
        <f>BB35/AD35</f>
        <v>1.025389122951488</v>
      </c>
      <c r="BC36" s="8">
        <f>BC35/AE35</f>
        <v>1.1935093307020102</v>
      </c>
    </row>
  </sheetData>
  <mergeCells count="47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CD2:CF2"/>
    <mergeCell ref="BU2:BU3"/>
    <mergeCell ref="BV2:BV3"/>
    <mergeCell ref="BW2:BW3"/>
    <mergeCell ref="BX2:CA2"/>
    <mergeCell ref="CB2:CC2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2019-04-28T05:36:06Z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