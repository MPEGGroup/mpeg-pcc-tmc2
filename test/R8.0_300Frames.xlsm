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C5F0174C-AA2A-4862-BB7D-20C3E5BAB86B}" xr6:coauthVersionLast="47" xr6:coauthVersionMax="47" xr10:uidLastSave="{00000000-0000-0000-0000-000000000000}"/>
  <bookViews>
    <workbookView xWindow="5295" yWindow="3375" windowWidth="21600" windowHeight="14295" firstSheet="2"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M37" i="7"/>
  <c r="L37" i="7"/>
  <c r="J37" i="7"/>
  <c r="I37" i="7"/>
  <c r="BF36" i="7"/>
  <c r="AL36" i="7"/>
  <c r="AK36" i="7"/>
  <c r="AJ36" i="7"/>
  <c r="AH36" i="7"/>
  <c r="AG36" i="7"/>
  <c r="N36" i="7"/>
  <c r="M36" i="7"/>
  <c r="L36" i="7"/>
  <c r="J36" i="7"/>
  <c r="I36" i="7"/>
  <c r="BF35" i="7"/>
  <c r="AL35" i="7"/>
  <c r="AI35" i="7" s="1"/>
  <c r="AK35" i="7"/>
  <c r="AJ35" i="7"/>
  <c r="AH35" i="7"/>
  <c r="AG35" i="7"/>
  <c r="N35" i="7"/>
  <c r="K35" i="7" s="1"/>
  <c r="M35" i="7"/>
  <c r="L35" i="7"/>
  <c r="J35" i="7"/>
  <c r="I35" i="7"/>
  <c r="BF34" i="7"/>
  <c r="AL34" i="7"/>
  <c r="AI34" i="7" s="1"/>
  <c r="AK34" i="7"/>
  <c r="AJ34" i="7"/>
  <c r="AH34" i="7"/>
  <c r="AG34" i="7"/>
  <c r="N34" i="7"/>
  <c r="K34" i="7" s="1"/>
  <c r="M34" i="7"/>
  <c r="L34" i="7"/>
  <c r="J34" i="7"/>
  <c r="I34" i="7"/>
  <c r="BF33" i="7"/>
  <c r="AL33" i="7"/>
  <c r="AI33" i="7" s="1"/>
  <c r="AK33" i="7"/>
  <c r="AJ33" i="7"/>
  <c r="AH33" i="7"/>
  <c r="AG33" i="7"/>
  <c r="N33" i="7"/>
  <c r="BG33" i="7" s="1"/>
  <c r="M33" i="7"/>
  <c r="L33" i="7"/>
  <c r="K33" i="7"/>
  <c r="J33" i="7"/>
  <c r="I33" i="7"/>
  <c r="BF32" i="7"/>
  <c r="AL32" i="7"/>
  <c r="AK32" i="7"/>
  <c r="AJ32" i="7"/>
  <c r="AH32" i="7"/>
  <c r="AG32" i="7"/>
  <c r="N32" i="7"/>
  <c r="K32" i="7" s="1"/>
  <c r="M32" i="7"/>
  <c r="L32" i="7"/>
  <c r="J32" i="7"/>
  <c r="I32" i="7"/>
  <c r="BF31" i="7"/>
  <c r="AL31" i="7"/>
  <c r="AK31" i="7"/>
  <c r="AJ31" i="7"/>
  <c r="AH31" i="7"/>
  <c r="AG31" i="7"/>
  <c r="N31" i="7"/>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M26" i="7"/>
  <c r="L26" i="7"/>
  <c r="K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BG20" i="7" s="1"/>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K16" i="7"/>
  <c r="AJ16" i="7"/>
  <c r="AI16" i="7"/>
  <c r="AH16" i="7"/>
  <c r="AG16" i="7"/>
  <c r="N16" i="7"/>
  <c r="K16" i="7" s="1"/>
  <c r="M16" i="7"/>
  <c r="L16" i="7"/>
  <c r="J16" i="7"/>
  <c r="I16" i="7"/>
  <c r="BF15" i="7"/>
  <c r="AL15" i="7"/>
  <c r="AK15" i="7"/>
  <c r="AJ15" i="7"/>
  <c r="AH15" i="7"/>
  <c r="AG15" i="7"/>
  <c r="N15" i="7"/>
  <c r="BG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K12" i="7"/>
  <c r="AJ12" i="7"/>
  <c r="AH12" i="7"/>
  <c r="AG12" i="7"/>
  <c r="N12" i="7"/>
  <c r="M12" i="7"/>
  <c r="L12" i="7"/>
  <c r="K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BE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M7" i="7"/>
  <c r="L7" i="7"/>
  <c r="J7" i="7"/>
  <c r="I7" i="7"/>
  <c r="BF6" i="7"/>
  <c r="AL6" i="7"/>
  <c r="AI6" i="7" s="1"/>
  <c r="AK6" i="7"/>
  <c r="AJ6" i="7"/>
  <c r="AH6" i="7"/>
  <c r="AG6" i="7"/>
  <c r="N6" i="7"/>
  <c r="K6" i="7" s="1"/>
  <c r="M6" i="7"/>
  <c r="L6" i="7"/>
  <c r="J6" i="7"/>
  <c r="I6" i="7"/>
  <c r="BF5" i="7"/>
  <c r="AL5" i="7"/>
  <c r="AI5" i="7" s="1"/>
  <c r="AK5" i="7"/>
  <c r="AJ5" i="7"/>
  <c r="AH5" i="7"/>
  <c r="AG5" i="7"/>
  <c r="N5" i="7"/>
  <c r="M5" i="7"/>
  <c r="L5" i="7"/>
  <c r="J5" i="7"/>
  <c r="I5" i="7"/>
  <c r="AG1" i="7"/>
  <c r="I1" i="7"/>
  <c r="AZ18" i="6"/>
  <c r="AY18" i="6"/>
  <c r="AX18" i="6"/>
  <c r="AW18" i="6"/>
  <c r="AC18" i="6"/>
  <c r="AB18" i="6"/>
  <c r="AA18" i="6"/>
  <c r="Z18" i="6"/>
  <c r="AZ16" i="6"/>
  <c r="AY16" i="6"/>
  <c r="AX16" i="6"/>
  <c r="AX17" i="6" s="1"/>
  <c r="AW16" i="6"/>
  <c r="AC16" i="6"/>
  <c r="AB16" i="6"/>
  <c r="AA16" i="6"/>
  <c r="Z16" i="6"/>
  <c r="AI13" i="6"/>
  <c r="AK11" i="6"/>
  <c r="AH11" i="6" s="1"/>
  <c r="AJ11" i="6"/>
  <c r="AI11" i="6"/>
  <c r="AG11" i="6"/>
  <c r="AF11" i="6"/>
  <c r="AE11" i="6"/>
  <c r="N11" i="6"/>
  <c r="BG11" i="6" s="1" a="1"/>
  <c r="M11" i="6"/>
  <c r="L11" i="6"/>
  <c r="J11" i="6"/>
  <c r="I11" i="6"/>
  <c r="H11" i="6"/>
  <c r="AK10" i="6"/>
  <c r="AJ10" i="6"/>
  <c r="AI10" i="6"/>
  <c r="AG10" i="6"/>
  <c r="AF10" i="6"/>
  <c r="AE10" i="6"/>
  <c r="N10" i="6"/>
  <c r="K10" i="6" s="1"/>
  <c r="M10" i="6"/>
  <c r="L10" i="6"/>
  <c r="L14" i="6" s="1"/>
  <c r="J10" i="6"/>
  <c r="J14" i="6" s="1"/>
  <c r="I10" i="6"/>
  <c r="H10" i="6"/>
  <c r="AK9" i="6"/>
  <c r="AH9" i="6" s="1"/>
  <c r="AH13" i="6" s="1"/>
  <c r="AJ9" i="6"/>
  <c r="AJ13" i="6" s="1"/>
  <c r="AI9" i="6"/>
  <c r="AG9" i="6"/>
  <c r="AG13" i="6" s="1"/>
  <c r="AF9" i="6"/>
  <c r="AE9" i="6"/>
  <c r="N9" i="6"/>
  <c r="K9" i="6" s="1"/>
  <c r="K13" i="6" s="1"/>
  <c r="M9" i="6"/>
  <c r="M13" i="6" s="1"/>
  <c r="L9" i="6"/>
  <c r="L13" i="6" s="1"/>
  <c r="J9" i="6"/>
  <c r="I9" i="6"/>
  <c r="H9" i="6"/>
  <c r="AK8" i="6"/>
  <c r="AJ8" i="6"/>
  <c r="AI8" i="6"/>
  <c r="AG8" i="6"/>
  <c r="AF8" i="6"/>
  <c r="AE8" i="6"/>
  <c r="N8" i="6"/>
  <c r="K8" i="6" s="1"/>
  <c r="M8" i="6"/>
  <c r="BE8" i="6" s="1"/>
  <c r="L8" i="6"/>
  <c r="J8" i="6"/>
  <c r="I8" i="6"/>
  <c r="H8" i="6"/>
  <c r="AK7" i="6"/>
  <c r="AH7" i="6" s="1"/>
  <c r="AJ7" i="6"/>
  <c r="AI7" i="6"/>
  <c r="AG7" i="6"/>
  <c r="AF7" i="6"/>
  <c r="AE7" i="6"/>
  <c r="N7" i="6"/>
  <c r="M7" i="6"/>
  <c r="L7" i="6"/>
  <c r="J7" i="6"/>
  <c r="BB7" i="6" s="1"/>
  <c r="I7" i="6"/>
  <c r="H7" i="6"/>
  <c r="AK6" i="6"/>
  <c r="AJ6" i="6"/>
  <c r="AI6" i="6"/>
  <c r="AG6" i="6"/>
  <c r="AF6" i="6"/>
  <c r="AE6" i="6"/>
  <c r="N6" i="6"/>
  <c r="K6" i="6" s="1"/>
  <c r="M6" i="6"/>
  <c r="L6" i="6"/>
  <c r="J6" i="6"/>
  <c r="I6" i="6"/>
  <c r="H6" i="6"/>
  <c r="AK5" i="6"/>
  <c r="AH5" i="6" s="1"/>
  <c r="AJ5" i="6"/>
  <c r="AI5" i="6"/>
  <c r="BD5" i="6" s="1"/>
  <c r="AG5" i="6"/>
  <c r="AF5" i="6"/>
  <c r="AE5" i="6"/>
  <c r="N5" i="6"/>
  <c r="K5" i="6" s="1"/>
  <c r="M5" i="6"/>
  <c r="L5" i="6"/>
  <c r="J5" i="6"/>
  <c r="I5" i="6"/>
  <c r="H5" i="6"/>
  <c r="AE1" i="6"/>
  <c r="H1" i="6"/>
  <c r="AZ18" i="5"/>
  <c r="AY18" i="5"/>
  <c r="AX18" i="5"/>
  <c r="AW18" i="5"/>
  <c r="AC18" i="5"/>
  <c r="AB18" i="5"/>
  <c r="AA18" i="5"/>
  <c r="Z18" i="5"/>
  <c r="AZ16" i="5"/>
  <c r="AY16" i="5"/>
  <c r="AX16" i="5"/>
  <c r="AW16" i="5"/>
  <c r="AC16" i="5"/>
  <c r="AB16" i="5"/>
  <c r="AA16" i="5"/>
  <c r="Z16" i="5"/>
  <c r="L14" i="5"/>
  <c r="AK11" i="5"/>
  <c r="AH11" i="5" s="1"/>
  <c r="AJ11" i="5"/>
  <c r="AI11" i="5"/>
  <c r="AG11" i="5"/>
  <c r="AF11" i="5"/>
  <c r="AE11" i="5"/>
  <c r="N11" i="5"/>
  <c r="K11" i="5" s="1"/>
  <c r="M11" i="5"/>
  <c r="L11" i="5"/>
  <c r="J11" i="5"/>
  <c r="I11" i="5"/>
  <c r="H11" i="5"/>
  <c r="AK10" i="5"/>
  <c r="BG10" i="5" s="1" a="1"/>
  <c r="BG10" i="5" s="1"/>
  <c r="AJ10" i="5"/>
  <c r="AI10" i="5"/>
  <c r="AG10" i="5"/>
  <c r="AF10" i="5"/>
  <c r="AE10" i="5"/>
  <c r="N10" i="5"/>
  <c r="M10" i="5"/>
  <c r="L10" i="5"/>
  <c r="K10" i="5"/>
  <c r="J10" i="5"/>
  <c r="I10" i="5"/>
  <c r="H10" i="5"/>
  <c r="AK9" i="5"/>
  <c r="AH9" i="5" s="1"/>
  <c r="AJ9" i="5"/>
  <c r="AI9" i="5"/>
  <c r="AI13" i="5" s="1"/>
  <c r="AG9" i="5"/>
  <c r="AG13" i="5" s="1"/>
  <c r="AF9" i="5"/>
  <c r="AE9" i="5"/>
  <c r="N9" i="5"/>
  <c r="K9" i="5" s="1"/>
  <c r="K13" i="5" s="1"/>
  <c r="M9" i="5"/>
  <c r="M13" i="5" s="1"/>
  <c r="L9" i="5"/>
  <c r="L13" i="5" s="1"/>
  <c r="J9" i="5"/>
  <c r="J13" i="5" s="1"/>
  <c r="I9" i="5"/>
  <c r="H9" i="5"/>
  <c r="BG8" i="5" a="1"/>
  <c r="AK8" i="5"/>
  <c r="AJ8" i="5"/>
  <c r="AI8" i="5"/>
  <c r="AG8" i="5"/>
  <c r="AF8" i="5"/>
  <c r="AE8" i="5"/>
  <c r="N8" i="5"/>
  <c r="M8" i="5"/>
  <c r="L8" i="5"/>
  <c r="K8" i="5"/>
  <c r="J8" i="5"/>
  <c r="I8" i="5"/>
  <c r="H8" i="5"/>
  <c r="AK7" i="5"/>
  <c r="AH7" i="5" s="1"/>
  <c r="AJ7" i="5"/>
  <c r="AI7" i="5"/>
  <c r="AG7" i="5"/>
  <c r="AF7" i="5"/>
  <c r="AE7" i="5"/>
  <c r="N7" i="5"/>
  <c r="K7" i="5" s="1"/>
  <c r="M7" i="5"/>
  <c r="BE7" i="5" s="1"/>
  <c r="L7" i="5"/>
  <c r="J7" i="5"/>
  <c r="I7" i="5"/>
  <c r="H7" i="5"/>
  <c r="AK6" i="5"/>
  <c r="AJ6" i="5"/>
  <c r="AI6" i="5"/>
  <c r="AG6" i="5"/>
  <c r="AF6" i="5"/>
  <c r="AE6" i="5"/>
  <c r="N6" i="5"/>
  <c r="K6" i="5" s="1"/>
  <c r="M6" i="5"/>
  <c r="L6" i="5"/>
  <c r="J6" i="5"/>
  <c r="J12" i="5" s="1"/>
  <c r="I6" i="5"/>
  <c r="H6" i="5"/>
  <c r="AK5" i="5"/>
  <c r="AH5" i="5" s="1"/>
  <c r="AJ5" i="5"/>
  <c r="AI5" i="5"/>
  <c r="AG5" i="5"/>
  <c r="AF5" i="5"/>
  <c r="AE5" i="5"/>
  <c r="N5" i="5"/>
  <c r="BG5" i="5" s="1" a="1"/>
  <c r="M5" i="5"/>
  <c r="L5" i="5"/>
  <c r="J5" i="5"/>
  <c r="I5" i="5"/>
  <c r="H5" i="5"/>
  <c r="AE1" i="5"/>
  <c r="H1" i="5"/>
  <c r="BC46" i="3"/>
  <c r="BB46" i="3"/>
  <c r="BA46" i="3"/>
  <c r="AZ46" i="3"/>
  <c r="AE46" i="3"/>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M36" i="3"/>
  <c r="L36" i="3"/>
  <c r="J36" i="3"/>
  <c r="I36" i="3"/>
  <c r="BF35" i="3"/>
  <c r="AL35" i="3"/>
  <c r="AI35" i="3" s="1"/>
  <c r="AK35" i="3"/>
  <c r="AJ35" i="3"/>
  <c r="AH35" i="3"/>
  <c r="AG35" i="3"/>
  <c r="N35" i="3"/>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J25" i="3"/>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F15" i="3"/>
  <c r="AL15" i="3"/>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F10" i="3"/>
  <c r="AL10" i="3"/>
  <c r="AK10" i="3"/>
  <c r="AJ10" i="3"/>
  <c r="AH10" i="3"/>
  <c r="AG10" i="3"/>
  <c r="N10" i="3"/>
  <c r="K10" i="3" s="1"/>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AG1" i="3"/>
  <c r="I1" i="3"/>
  <c r="B1" i="2"/>
  <c r="B2" i="2" s="1"/>
  <c r="BB11" i="6" l="1"/>
  <c r="K5" i="5"/>
  <c r="BE13" i="6"/>
  <c r="D32" i="1" s="1"/>
  <c r="AJ14" i="6"/>
  <c r="K20" i="7"/>
  <c r="BG9" i="5" a="1"/>
  <c r="BE11" i="5"/>
  <c r="BG8" i="6" a="1"/>
  <c r="BG8" i="6" s="1"/>
  <c r="J42" i="7"/>
  <c r="BG8" i="7"/>
  <c r="M42" i="7"/>
  <c r="BD6" i="5"/>
  <c r="BB8" i="5"/>
  <c r="K12" i="5"/>
  <c r="AK43" i="7"/>
  <c r="BB45" i="3"/>
  <c r="AI15" i="6"/>
  <c r="J40" i="7"/>
  <c r="L41" i="7"/>
  <c r="BG6" i="5" a="1"/>
  <c r="BG6" i="5" s="1"/>
  <c r="BE8" i="5"/>
  <c r="BD13" i="5"/>
  <c r="BB8" i="6"/>
  <c r="AZ17" i="6"/>
  <c r="BH20" i="7" a="1"/>
  <c r="BH20" i="7" s="1"/>
  <c r="BG5" i="6" a="1"/>
  <c r="BE7" i="6"/>
  <c r="BD11" i="6"/>
  <c r="BG32" i="7"/>
  <c r="BC45" i="7"/>
  <c r="BG26" i="7"/>
  <c r="AK41" i="7"/>
  <c r="AH42" i="7"/>
  <c r="AI32" i="7"/>
  <c r="BE32" i="7" s="1"/>
  <c r="AH40" i="7"/>
  <c r="AH41" i="7"/>
  <c r="AI8" i="7"/>
  <c r="BE8" i="7" s="1"/>
  <c r="BG11" i="7"/>
  <c r="BG38" i="7"/>
  <c r="BG10" i="7"/>
  <c r="BE22" i="7"/>
  <c r="BG28" i="7"/>
  <c r="BG35" i="7"/>
  <c r="BA45" i="7"/>
  <c r="AZ47" i="7"/>
  <c r="C47" i="1" s="1"/>
  <c r="BE6" i="7"/>
  <c r="BG16" i="7"/>
  <c r="BE18" i="7"/>
  <c r="BG22" i="7"/>
  <c r="BE24" i="7"/>
  <c r="BG30" i="7"/>
  <c r="BB45" i="7"/>
  <c r="BG6" i="7"/>
  <c r="BG18" i="7"/>
  <c r="BG24" i="7"/>
  <c r="BE26" i="7"/>
  <c r="BB47" i="7"/>
  <c r="C48" i="1" s="1"/>
  <c r="BE10" i="7"/>
  <c r="BE35" i="7"/>
  <c r="AZ45" i="7"/>
  <c r="AJ15" i="6"/>
  <c r="AI12" i="6"/>
  <c r="BD7" i="6"/>
  <c r="AY19" i="6"/>
  <c r="C36" i="1" s="1"/>
  <c r="AJ12" i="6"/>
  <c r="BB9" i="6"/>
  <c r="BG11" i="6"/>
  <c r="AW17" i="6"/>
  <c r="J12" i="6"/>
  <c r="BG5" i="6"/>
  <c r="BF11" i="6"/>
  <c r="L12" i="6"/>
  <c r="BD8" i="6"/>
  <c r="K11" i="6"/>
  <c r="BC11" i="6" s="1"/>
  <c r="AW19" i="6"/>
  <c r="C35" i="1" s="1"/>
  <c r="BF5" i="6"/>
  <c r="BB6" i="6"/>
  <c r="M14" i="6"/>
  <c r="BE14" i="6" s="1"/>
  <c r="D33" i="1" s="1"/>
  <c r="BE11" i="6"/>
  <c r="J13" i="6"/>
  <c r="BB13" i="6" s="1"/>
  <c r="E32" i="1" s="1"/>
  <c r="J15" i="6"/>
  <c r="AX19" i="6"/>
  <c r="BD11" i="5"/>
  <c r="AZ17" i="5"/>
  <c r="AZ19" i="5"/>
  <c r="BC5" i="5"/>
  <c r="AW17" i="5"/>
  <c r="AW19" i="5"/>
  <c r="C23" i="1" s="1"/>
  <c r="J15" i="5"/>
  <c r="AX17" i="5"/>
  <c r="AX19" i="5"/>
  <c r="BD5" i="5"/>
  <c r="BD8" i="5"/>
  <c r="BD10" i="5"/>
  <c r="AY17" i="5"/>
  <c r="AY19" i="5"/>
  <c r="BC9" i="5"/>
  <c r="AH13" i="5"/>
  <c r="BC13" i="5" s="1"/>
  <c r="C20" i="1" s="1"/>
  <c r="AG12" i="5"/>
  <c r="BB9" i="5"/>
  <c r="BF9" i="5"/>
  <c r="BG9" i="5"/>
  <c r="BG13" i="5" s="1"/>
  <c r="BG8" i="5"/>
  <c r="AH10" i="5"/>
  <c r="BC10" i="5" s="1"/>
  <c r="BF10" i="5"/>
  <c r="AG15" i="5"/>
  <c r="BG5" i="5"/>
  <c r="AI14" i="5"/>
  <c r="BD14" i="5" s="1"/>
  <c r="BB5" i="5"/>
  <c r="BF5" i="5"/>
  <c r="AH6" i="5"/>
  <c r="BC6" i="5" s="1"/>
  <c r="BF6" i="5"/>
  <c r="BD7" i="5"/>
  <c r="AG14" i="5"/>
  <c r="BB11" i="5"/>
  <c r="BG15" i="3"/>
  <c r="BG33" i="3"/>
  <c r="BG36" i="3"/>
  <c r="BE12" i="3"/>
  <c r="BG26" i="3"/>
  <c r="BA45" i="3"/>
  <c r="BG10" i="3"/>
  <c r="M41" i="3"/>
  <c r="AJ41" i="3"/>
  <c r="BG11" i="3"/>
  <c r="BH30" i="3" a="1"/>
  <c r="BH30" i="3" s="1"/>
  <c r="L40" i="3"/>
  <c r="BG18" i="3"/>
  <c r="J41" i="3"/>
  <c r="L42" i="3"/>
  <c r="BE32" i="3"/>
  <c r="BE28" i="3"/>
  <c r="BG32" i="3"/>
  <c r="BE38" i="3"/>
  <c r="BC45" i="3"/>
  <c r="BA47" i="3"/>
  <c r="BG8" i="3"/>
  <c r="BG28" i="3"/>
  <c r="AZ45" i="3"/>
  <c r="BB47" i="3"/>
  <c r="C14" i="1" s="1"/>
  <c r="BE7" i="3"/>
  <c r="BG16" i="3"/>
  <c r="BG20" i="3"/>
  <c r="BG24" i="3"/>
  <c r="AH41" i="3"/>
  <c r="BG27" i="3"/>
  <c r="BG30" i="3"/>
  <c r="BC47" i="3"/>
  <c r="BG6" i="3"/>
  <c r="BG12" i="3"/>
  <c r="BG23" i="3"/>
  <c r="AI24" i="3"/>
  <c r="BE24" i="3" s="1"/>
  <c r="L41" i="3"/>
  <c r="AK42" i="3"/>
  <c r="BG38" i="3"/>
  <c r="AZ47" i="3"/>
  <c r="C13" i="1" s="1"/>
  <c r="J43" i="3"/>
  <c r="BH5" i="3" a="1"/>
  <c r="BH5" i="3" s="1"/>
  <c r="BE6" i="3"/>
  <c r="BH10" i="3" a="1"/>
  <c r="BH10" i="3" s="1"/>
  <c r="BG14" i="3"/>
  <c r="BE18" i="3"/>
  <c r="BG22" i="3"/>
  <c r="BH25" i="3" a="1"/>
  <c r="BH25" i="3" s="1"/>
  <c r="BH41" i="3" s="1"/>
  <c r="BE26" i="3"/>
  <c r="AJ42" i="3"/>
  <c r="BG34" i="3"/>
  <c r="AI34" i="3"/>
  <c r="BE34" i="3" s="1"/>
  <c r="BB12" i="5"/>
  <c r="BG9" i="3"/>
  <c r="K9" i="3"/>
  <c r="BE9" i="3" s="1"/>
  <c r="K17" i="3"/>
  <c r="BE17" i="3" s="1"/>
  <c r="BG17" i="3"/>
  <c r="M43" i="3"/>
  <c r="M40" i="3"/>
  <c r="L43" i="3"/>
  <c r="AH40" i="3"/>
  <c r="BE14" i="3"/>
  <c r="BH20" i="3" a="1"/>
  <c r="BH20" i="3" s="1"/>
  <c r="BE22" i="3"/>
  <c r="AI27" i="3"/>
  <c r="BE27" i="3" s="1"/>
  <c r="K35" i="3"/>
  <c r="BE19" i="3"/>
  <c r="BG5" i="3"/>
  <c r="K5" i="3"/>
  <c r="AJ43" i="3"/>
  <c r="AJ40" i="3"/>
  <c r="BG7" i="3"/>
  <c r="AI8" i="3"/>
  <c r="BE8" i="3" s="1"/>
  <c r="BE11" i="3"/>
  <c r="BG13" i="3"/>
  <c r="K13" i="3"/>
  <c r="BE13" i="3" s="1"/>
  <c r="BH15" i="3" a="1"/>
  <c r="BH15" i="3" s="1"/>
  <c r="AI15" i="3"/>
  <c r="BE15" i="3" s="1"/>
  <c r="AI16" i="3"/>
  <c r="BE16" i="3" s="1"/>
  <c r="BG19" i="3"/>
  <c r="AI20" i="3"/>
  <c r="BG21" i="3"/>
  <c r="K21" i="3"/>
  <c r="BE21" i="3" s="1"/>
  <c r="BE23" i="3"/>
  <c r="BG25" i="3"/>
  <c r="K25" i="3"/>
  <c r="K41" i="3" s="1"/>
  <c r="BE31" i="3"/>
  <c r="BG37" i="3"/>
  <c r="K37" i="3"/>
  <c r="BE37" i="3" s="1"/>
  <c r="J40" i="3"/>
  <c r="BB10" i="6"/>
  <c r="AG14" i="6"/>
  <c r="BB14" i="6" s="1"/>
  <c r="M43" i="7"/>
  <c r="M40" i="7"/>
  <c r="AK43" i="3"/>
  <c r="AK40" i="3"/>
  <c r="AK41" i="3"/>
  <c r="BG29" i="3"/>
  <c r="AH42" i="3"/>
  <c r="BG39" i="3"/>
  <c r="BD9" i="5"/>
  <c r="BF11" i="5"/>
  <c r="M15" i="6"/>
  <c r="BF6" i="6"/>
  <c r="AH6" i="6"/>
  <c r="BG6" i="6" a="1"/>
  <c r="BG6" i="6" s="1"/>
  <c r="BG7" i="6" a="1"/>
  <c r="BG7" i="6" s="1"/>
  <c r="K7" i="6"/>
  <c r="BC7" i="6" s="1"/>
  <c r="AH8" i="6"/>
  <c r="BC8" i="6" s="1"/>
  <c r="BD9" i="6"/>
  <c r="BE10" i="6"/>
  <c r="L15" i="6"/>
  <c r="BD15" i="6" s="1"/>
  <c r="AZ19" i="6"/>
  <c r="BG13" i="7"/>
  <c r="AI13" i="7"/>
  <c r="BE13" i="7" s="1"/>
  <c r="BG19" i="7"/>
  <c r="AI19" i="7"/>
  <c r="BE19" i="7" s="1"/>
  <c r="K25" i="7"/>
  <c r="K41" i="7" s="1"/>
  <c r="BG27" i="7"/>
  <c r="AI27" i="7"/>
  <c r="BE27" i="7" s="1"/>
  <c r="K36" i="7"/>
  <c r="BH35" i="7" a="1"/>
  <c r="BH35" i="7" s="1"/>
  <c r="BE5" i="7"/>
  <c r="BE30" i="7"/>
  <c r="K31" i="7"/>
  <c r="BH30" i="7" a="1"/>
  <c r="BH30" i="7" s="1"/>
  <c r="BH42" i="7" s="1"/>
  <c r="J42" i="3"/>
  <c r="K15" i="5"/>
  <c r="AI15" i="5"/>
  <c r="AI12" i="5"/>
  <c r="M15" i="5"/>
  <c r="BF7" i="5"/>
  <c r="C24" i="1"/>
  <c r="AH43" i="3"/>
  <c r="AI10" i="3"/>
  <c r="BE10" i="3" s="1"/>
  <c r="K20" i="3"/>
  <c r="M42" i="3"/>
  <c r="AI30" i="3"/>
  <c r="BG31" i="3"/>
  <c r="BE33" i="3"/>
  <c r="BG35" i="3"/>
  <c r="BH35" i="3" a="1"/>
  <c r="BH35" i="3" s="1"/>
  <c r="K36" i="3"/>
  <c r="BE36" i="3" s="1"/>
  <c r="AI39" i="3"/>
  <c r="BE39" i="3" s="1"/>
  <c r="L15" i="5"/>
  <c r="L12" i="5"/>
  <c r="AJ12" i="5"/>
  <c r="BE12" i="5" s="1"/>
  <c r="AJ15" i="5"/>
  <c r="BE15" i="5" s="1"/>
  <c r="BE5" i="5"/>
  <c r="BB6" i="5"/>
  <c r="BG7" i="5" a="1"/>
  <c r="BG7" i="5" s="1"/>
  <c r="BF8" i="5"/>
  <c r="AH8" i="5"/>
  <c r="BC8" i="5" s="1"/>
  <c r="AJ13" i="5"/>
  <c r="BE13" i="5" s="1"/>
  <c r="BE9" i="5"/>
  <c r="J14" i="5"/>
  <c r="BB10" i="5"/>
  <c r="BG11" i="5" a="1"/>
  <c r="BG11" i="5" s="1"/>
  <c r="BG14" i="5" s="1"/>
  <c r="K14" i="5"/>
  <c r="BC5" i="6"/>
  <c r="BB5" i="6"/>
  <c r="BE6" i="6"/>
  <c r="BF7" i="6"/>
  <c r="BF8" i="6"/>
  <c r="BE9" i="6"/>
  <c r="M12" i="6"/>
  <c r="BE12" i="6" s="1"/>
  <c r="BC13" i="6"/>
  <c r="K7" i="7"/>
  <c r="BG7" i="7"/>
  <c r="BG12" i="7"/>
  <c r="BH10" i="7" a="1"/>
  <c r="BH10" i="7" s="1"/>
  <c r="AI12" i="7"/>
  <c r="BE12" i="7" s="1"/>
  <c r="BA47" i="7"/>
  <c r="BE29" i="3"/>
  <c r="BC7" i="5"/>
  <c r="BB7" i="5"/>
  <c r="BC11" i="5"/>
  <c r="BD13" i="6"/>
  <c r="L43" i="7"/>
  <c r="L40" i="7"/>
  <c r="BG5" i="7"/>
  <c r="BH5" i="7" a="1"/>
  <c r="BH5" i="7" s="1"/>
  <c r="K15" i="7"/>
  <c r="AH43" i="7"/>
  <c r="BB13" i="5"/>
  <c r="AJ14" i="5"/>
  <c r="BE5" i="6"/>
  <c r="BF9" i="6"/>
  <c r="BG9" i="6" a="1"/>
  <c r="BG9" i="6" s="1"/>
  <c r="BG13" i="6" s="1"/>
  <c r="AY17" i="6"/>
  <c r="K5" i="7"/>
  <c r="AJ43" i="7"/>
  <c r="AJ40" i="7"/>
  <c r="BH15" i="7" a="1"/>
  <c r="BH15" i="7" s="1"/>
  <c r="AI15" i="7"/>
  <c r="BE15" i="7" s="1"/>
  <c r="BE20" i="7"/>
  <c r="J41" i="7"/>
  <c r="BH25" i="7" a="1"/>
  <c r="BH25" i="7" s="1"/>
  <c r="BH41" i="7" s="1"/>
  <c r="AI25" i="7"/>
  <c r="BG25" i="7"/>
  <c r="BE33" i="7"/>
  <c r="BG39" i="7"/>
  <c r="AI39" i="7"/>
  <c r="BE39" i="7" s="1"/>
  <c r="BC47" i="7"/>
  <c r="BE6" i="5"/>
  <c r="M14" i="5"/>
  <c r="BE10" i="5"/>
  <c r="M12" i="5"/>
  <c r="AG12" i="6"/>
  <c r="AG15" i="6"/>
  <c r="BD6" i="6"/>
  <c r="BC9" i="6"/>
  <c r="BF10" i="6"/>
  <c r="AH10" i="6"/>
  <c r="BG10" i="6" a="1"/>
  <c r="BG10" i="6" s="1"/>
  <c r="BG14" i="6" s="1"/>
  <c r="BE11" i="7"/>
  <c r="BG14" i="7"/>
  <c r="K14" i="7"/>
  <c r="BE14" i="7" s="1"/>
  <c r="BE16" i="7"/>
  <c r="AI21" i="7"/>
  <c r="BE21" i="7" s="1"/>
  <c r="BG21" i="7"/>
  <c r="BE28" i="7"/>
  <c r="BG37" i="7"/>
  <c r="K37" i="7"/>
  <c r="AI14" i="6"/>
  <c r="BD14" i="6" s="1"/>
  <c r="BD10" i="6"/>
  <c r="J43" i="7"/>
  <c r="AK40" i="7"/>
  <c r="BE7" i="7"/>
  <c r="BG9" i="7"/>
  <c r="AI17" i="7"/>
  <c r="BE17" i="7" s="1"/>
  <c r="BG17" i="7"/>
  <c r="BG23" i="7"/>
  <c r="AI23" i="7"/>
  <c r="BE23" i="7" s="1"/>
  <c r="M41" i="7"/>
  <c r="AJ41" i="7"/>
  <c r="AI29" i="7"/>
  <c r="BE29" i="7" s="1"/>
  <c r="BG29" i="7"/>
  <c r="AK42" i="7"/>
  <c r="BG31" i="7"/>
  <c r="AI31" i="7"/>
  <c r="BG36" i="7"/>
  <c r="AI36" i="7"/>
  <c r="BE36" i="7" s="1"/>
  <c r="BE38" i="7"/>
  <c r="L42" i="7"/>
  <c r="BG34" i="7"/>
  <c r="AJ42" i="7"/>
  <c r="BE34" i="7"/>
  <c r="BL35" i="7"/>
  <c r="BM25" i="7"/>
  <c r="BR15" i="7"/>
  <c r="BR5" i="7"/>
  <c r="BR30" i="3"/>
  <c r="BS20" i="3"/>
  <c r="BS10" i="3"/>
  <c r="BT35" i="7"/>
  <c r="BP30" i="7"/>
  <c r="BS20" i="7"/>
  <c r="BT10" i="7"/>
  <c r="BL5" i="7"/>
  <c r="BL30" i="3"/>
  <c r="BM20" i="3"/>
  <c r="BJ15" i="3"/>
  <c r="BP5" i="3"/>
  <c r="BS30" i="3"/>
  <c r="BS15" i="3"/>
  <c r="BR5" i="3"/>
  <c r="BS30" i="7"/>
  <c r="BP25" i="7"/>
  <c r="BJ20" i="7"/>
  <c r="BN10" i="7"/>
  <c r="BR35" i="3"/>
  <c r="BK30" i="3"/>
  <c r="BJ25" i="3"/>
  <c r="BP15" i="3"/>
  <c r="BN5" i="3"/>
  <c r="BM30" i="7"/>
  <c r="BL20" i="7"/>
  <c r="BM10" i="7"/>
  <c r="BN30" i="3"/>
  <c r="BM5" i="3"/>
  <c r="BQ30" i="7"/>
  <c r="BT20" i="7"/>
  <c r="BM15" i="7"/>
  <c r="BM5" i="7"/>
  <c r="BM30" i="3"/>
  <c r="BN20" i="3"/>
  <c r="BN10" i="3"/>
  <c r="BP35" i="7"/>
  <c r="BK30" i="7"/>
  <c r="BN20" i="7"/>
  <c r="BP10" i="7"/>
  <c r="BS35" i="3"/>
  <c r="BQ25" i="3"/>
  <c r="BK20" i="3"/>
  <c r="BR10" i="3"/>
  <c r="BJ5" i="3"/>
  <c r="BS25" i="3"/>
  <c r="BT10" i="3"/>
  <c r="BS35" i="7"/>
  <c r="BN30" i="7"/>
  <c r="BJ25" i="7"/>
  <c r="BT15" i="7"/>
  <c r="BK10" i="7"/>
  <c r="BM35" i="3"/>
  <c r="BJ30" i="3"/>
  <c r="BQ20" i="3"/>
  <c r="BQ10" i="3"/>
  <c r="BR35" i="7"/>
  <c r="BS25" i="7"/>
  <c r="BS15" i="7"/>
  <c r="BS5" i="7"/>
  <c r="BP20" i="3"/>
  <c r="BL30" i="7"/>
  <c r="BP20" i="7"/>
  <c r="BQ10" i="7"/>
  <c r="BT35" i="3"/>
  <c r="BR25" i="3"/>
  <c r="BR15" i="3"/>
  <c r="BQ5" i="3"/>
  <c r="BK35" i="7"/>
  <c r="BQ25" i="7"/>
  <c r="BQ15" i="7"/>
  <c r="BJ10" i="7"/>
  <c r="BN35" i="3"/>
  <c r="BL25" i="3"/>
  <c r="BQ15" i="3"/>
  <c r="BM10" i="3"/>
  <c r="BN5" i="7"/>
  <c r="BN25" i="3"/>
  <c r="BP10" i="3"/>
  <c r="BN35" i="7"/>
  <c r="BJ30" i="7"/>
  <c r="BR20" i="7"/>
  <c r="BP15" i="7"/>
  <c r="BT5" i="7"/>
  <c r="BT30" i="3"/>
  <c r="BT25" i="3"/>
  <c r="BL20" i="3"/>
  <c r="BL10" i="3"/>
  <c r="BM35" i="7"/>
  <c r="BN25" i="7"/>
  <c r="BN15" i="7"/>
  <c r="BJ5" i="7"/>
  <c r="BN15" i="3"/>
  <c r="BQ35" i="7"/>
  <c r="BR25" i="7"/>
  <c r="BK20" i="7"/>
  <c r="BL10" i="7"/>
  <c r="BP35" i="3"/>
  <c r="BM25" i="3"/>
  <c r="BM15" i="3"/>
  <c r="BL5" i="3"/>
  <c r="BT30" i="7"/>
  <c r="BL25" i="7"/>
  <c r="BL15" i="7"/>
  <c r="BQ5" i="7"/>
  <c r="BQ30" i="3"/>
  <c r="BR20" i="3"/>
  <c r="BL15" i="3"/>
  <c r="BT5" i="3"/>
  <c r="BQ35" i="3"/>
  <c r="BT20" i="3"/>
  <c r="BJ10" i="3"/>
  <c r="BJ35" i="7"/>
  <c r="BT25" i="7"/>
  <c r="BM20" i="7"/>
  <c r="BS10" i="7"/>
  <c r="BP5" i="7"/>
  <c r="BP30" i="3"/>
  <c r="BP25" i="3"/>
  <c r="BT15" i="3"/>
  <c r="BS5" i="3"/>
  <c r="BR30" i="7"/>
  <c r="BQ20" i="7"/>
  <c r="BR10" i="7"/>
  <c r="BL35" i="3"/>
  <c r="BK10" i="3"/>
  <c r="BJ20" i="3"/>
  <c r="BK5" i="3"/>
  <c r="BK35" i="3"/>
  <c r="BJ15" i="7"/>
  <c r="BK25" i="3"/>
  <c r="BK15" i="7"/>
  <c r="BK15" i="3"/>
  <c r="BK25" i="7"/>
  <c r="BJ35" i="3"/>
  <c r="BK5" i="7"/>
  <c r="BD15" i="5" l="1"/>
  <c r="BE31" i="7"/>
  <c r="K42" i="7"/>
  <c r="BB14" i="5"/>
  <c r="E21" i="1" s="1"/>
  <c r="BB15" i="5"/>
  <c r="BE15" i="6"/>
  <c r="D34" i="1" s="1"/>
  <c r="K15" i="6"/>
  <c r="BD12" i="6"/>
  <c r="BB15" i="6"/>
  <c r="E34" i="1" s="1"/>
  <c r="BG12" i="6"/>
  <c r="BB12" i="6"/>
  <c r="E31" i="1" s="1"/>
  <c r="K14" i="6"/>
  <c r="K12" i="6"/>
  <c r="AH14" i="5"/>
  <c r="BG15" i="5"/>
  <c r="K42" i="3"/>
  <c r="BH42" i="3"/>
  <c r="BE35" i="3"/>
  <c r="BR42" i="7"/>
  <c r="J45" i="1" s="1"/>
  <c r="BS43" i="3"/>
  <c r="BS40" i="3"/>
  <c r="K9" i="1" s="1"/>
  <c r="BP41" i="3"/>
  <c r="H10" i="1" s="1"/>
  <c r="BP42" i="3"/>
  <c r="H11" i="1" s="1"/>
  <c r="BP40" i="7"/>
  <c r="H43" i="1" s="1"/>
  <c r="BP43" i="7"/>
  <c r="H46" i="1" s="1"/>
  <c r="BT41" i="7"/>
  <c r="L44" i="1" s="1"/>
  <c r="BT43" i="3"/>
  <c r="L12" i="1" s="1"/>
  <c r="BT40" i="3"/>
  <c r="L9" i="1" s="1"/>
  <c r="BQ42" i="3"/>
  <c r="BQ43" i="7"/>
  <c r="BQ40" i="7"/>
  <c r="BL41" i="7"/>
  <c r="E44" i="1" s="1"/>
  <c r="BT42" i="7"/>
  <c r="L45" i="1" s="1"/>
  <c r="BL43" i="3"/>
  <c r="E12" i="1" s="1"/>
  <c r="BL40" i="3"/>
  <c r="E9" i="1" s="1"/>
  <c r="BM41" i="3"/>
  <c r="F10" i="1" s="1"/>
  <c r="BR41" i="7"/>
  <c r="J44" i="1" s="1"/>
  <c r="BN41" i="7"/>
  <c r="G44" i="1" s="1"/>
  <c r="BT41" i="3"/>
  <c r="L10" i="1" s="1"/>
  <c r="BT42" i="3"/>
  <c r="L11" i="1" s="1"/>
  <c r="BT40" i="7"/>
  <c r="L43" i="1" s="1"/>
  <c r="BT43" i="7"/>
  <c r="L46" i="1" s="1"/>
  <c r="BJ42" i="7"/>
  <c r="C45" i="1" s="1"/>
  <c r="BN41" i="3"/>
  <c r="G10" i="1" s="1"/>
  <c r="BN43" i="7"/>
  <c r="G46" i="1" s="1"/>
  <c r="BN40" i="7"/>
  <c r="G43" i="1" s="1"/>
  <c r="BL41" i="3"/>
  <c r="E10" i="1" s="1"/>
  <c r="BQ41" i="7"/>
  <c r="I44" i="1" s="1"/>
  <c r="BQ43" i="3"/>
  <c r="I12" i="1" s="1"/>
  <c r="BQ40" i="3"/>
  <c r="I9" i="1" s="1"/>
  <c r="BR41" i="3"/>
  <c r="J10" i="1" s="1"/>
  <c r="BL42" i="7"/>
  <c r="E45" i="1" s="1"/>
  <c r="BS40" i="7"/>
  <c r="BS43" i="7"/>
  <c r="K46" i="1" s="1"/>
  <c r="BS41" i="7"/>
  <c r="K44" i="1" s="1"/>
  <c r="BJ41" i="7"/>
  <c r="C44" i="1" s="1"/>
  <c r="BN42" i="7"/>
  <c r="G45" i="1" s="1"/>
  <c r="BS41" i="3"/>
  <c r="K10" i="1" s="1"/>
  <c r="BQ41" i="3"/>
  <c r="I10" i="1" s="1"/>
  <c r="BK42" i="7"/>
  <c r="D45" i="1" s="1"/>
  <c r="BM42" i="3"/>
  <c r="F11" i="1" s="1"/>
  <c r="BM40" i="7"/>
  <c r="F43" i="1" s="1"/>
  <c r="BM43" i="7"/>
  <c r="F46" i="1" s="1"/>
  <c r="BQ42" i="7"/>
  <c r="BM43" i="3"/>
  <c r="F12" i="1" s="1"/>
  <c r="BM40" i="3"/>
  <c r="F9" i="1" s="1"/>
  <c r="BN42" i="3"/>
  <c r="G11" i="1" s="1"/>
  <c r="BM42" i="7"/>
  <c r="F45" i="1" s="1"/>
  <c r="BN43" i="3"/>
  <c r="G12" i="1" s="1"/>
  <c r="BN40" i="3"/>
  <c r="G9" i="1" s="1"/>
  <c r="BJ41" i="3"/>
  <c r="C10" i="1" s="1"/>
  <c r="BP41" i="7"/>
  <c r="BS42" i="7"/>
  <c r="BR43" i="3"/>
  <c r="J12" i="1" s="1"/>
  <c r="BR40" i="3"/>
  <c r="J9" i="1" s="1"/>
  <c r="BS42" i="3"/>
  <c r="BP43" i="3"/>
  <c r="BP40" i="3"/>
  <c r="H9" i="1" s="1"/>
  <c r="BL42" i="3"/>
  <c r="E11" i="1" s="1"/>
  <c r="BL40" i="7"/>
  <c r="E43" i="1" s="1"/>
  <c r="BL43" i="7"/>
  <c r="E46" i="1" s="1"/>
  <c r="BP42" i="7"/>
  <c r="H45" i="1" s="1"/>
  <c r="BR42" i="3"/>
  <c r="J11" i="1" s="1"/>
  <c r="BR43" i="7"/>
  <c r="BR40" i="7"/>
  <c r="J43" i="1" s="1"/>
  <c r="BM41" i="7"/>
  <c r="F44" i="1" s="1"/>
  <c r="BK42" i="3"/>
  <c r="D11" i="1" s="1"/>
  <c r="BK41" i="3"/>
  <c r="D10" i="1" s="1"/>
  <c r="BJ42" i="3"/>
  <c r="C11" i="1" s="1"/>
  <c r="BJ43" i="7"/>
  <c r="C46" i="1" s="1"/>
  <c r="BJ40" i="7"/>
  <c r="C43" i="1" s="1"/>
  <c r="BJ43" i="3"/>
  <c r="C12" i="1" s="1"/>
  <c r="BJ40" i="3"/>
  <c r="C9" i="1" s="1"/>
  <c r="BK41" i="7"/>
  <c r="D44" i="1" s="1"/>
  <c r="K11" i="1"/>
  <c r="H44" i="1"/>
  <c r="J46" i="1"/>
  <c r="I43" i="1"/>
  <c r="I45" i="1"/>
  <c r="D31" i="1"/>
  <c r="BE25" i="3"/>
  <c r="AI43" i="3"/>
  <c r="BG12" i="5"/>
  <c r="AI40" i="3"/>
  <c r="K43" i="1"/>
  <c r="D20" i="1"/>
  <c r="AI42" i="3"/>
  <c r="BE42" i="3" s="1"/>
  <c r="BE30" i="3"/>
  <c r="AI43" i="7"/>
  <c r="AH12" i="5"/>
  <c r="BC12" i="5" s="1"/>
  <c r="AI41" i="3"/>
  <c r="BE41" i="3" s="1"/>
  <c r="E19" i="1"/>
  <c r="K12" i="1"/>
  <c r="BH40" i="3"/>
  <c r="BH43" i="3"/>
  <c r="BE37" i="7"/>
  <c r="BH40" i="7"/>
  <c r="BH43" i="7"/>
  <c r="AI40" i="7"/>
  <c r="D19" i="1"/>
  <c r="E22" i="1"/>
  <c r="I11" i="1"/>
  <c r="AH14" i="6"/>
  <c r="BC10" i="6"/>
  <c r="BE14" i="5"/>
  <c r="BC14" i="5"/>
  <c r="BG15" i="6"/>
  <c r="BC6" i="6"/>
  <c r="AH12" i="6"/>
  <c r="BC12" i="6" s="1"/>
  <c r="E33" i="1"/>
  <c r="BE20" i="3"/>
  <c r="BK43" i="3"/>
  <c r="D12" i="1" s="1"/>
  <c r="BK40" i="3"/>
  <c r="D9" i="1" s="1"/>
  <c r="AI42" i="7"/>
  <c r="BE42" i="7" s="1"/>
  <c r="BK43" i="7"/>
  <c r="D46" i="1" s="1"/>
  <c r="BK40" i="7"/>
  <c r="D43" i="1" s="1"/>
  <c r="I46" i="1"/>
  <c r="K43" i="3"/>
  <c r="K40" i="3"/>
  <c r="K45" i="1"/>
  <c r="AI41" i="7"/>
  <c r="BE41" i="7" s="1"/>
  <c r="BE25" i="7"/>
  <c r="K40" i="7"/>
  <c r="K43" i="7"/>
  <c r="E20" i="1"/>
  <c r="C32" i="1"/>
  <c r="AH15" i="6"/>
  <c r="D22" i="1"/>
  <c r="BD12" i="5"/>
  <c r="H12" i="1"/>
  <c r="AH15" i="5"/>
  <c r="BC15" i="5" s="1"/>
  <c r="BE5" i="3"/>
  <c r="BC15" i="6" l="1"/>
  <c r="BC14" i="6"/>
  <c r="BE40" i="3"/>
  <c r="C22" i="1"/>
  <c r="BE40" i="7"/>
  <c r="BE43" i="7"/>
  <c r="C34" i="1"/>
  <c r="C21" i="1"/>
  <c r="C31" i="1"/>
  <c r="D21" i="1"/>
  <c r="C33" i="1"/>
  <c r="C19" i="1"/>
  <c r="BE43" i="3"/>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<sst xmlns="http://schemas.openxmlformats.org/spreadsheetml/2006/main" count="1459" uniqueCount="575">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</sst>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ALL_master+r8.0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Graphs!graph_a_y_range_A</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0-A234-4254-98EB-0760D523CBA5}"/>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A234-4254-98EB-0760D523CBA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ALL_master+r8.0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Graphs!graph_b_y_range_A</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0-4E38-49EE-9DD3-4C0C624D0A5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4E38-49EE-9DD3-4C0C624D0A5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ALL_master+r8.0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Graphs!graph_c_y_range_A</c:f>
              <c:numCache>
                <c:formatCode>0.00</c:formatCode>
                <c:ptCount val="5"/>
                <c:pt idx="0">
                  <c:v>32.326273333333297</c:v>
                </c:pt>
                <c:pt idx="1">
                  <c:v>34.599027</c:v>
                </c:pt>
                <c:pt idx="2">
                  <c:v>37.138562333333297</c:v>
                </c:pt>
                <c:pt idx="3">
                  <c:v>39.744085666666599</c:v>
                </c:pt>
                <c:pt idx="4">
                  <c:v>42.292687999999998</c:v>
                </c:pt>
              </c:numCache>
            </c:numRef>
          </c:yVal>
          <c:smooth val="1"/>
          <c:extLst>
            <c:ext xmlns:c16="http://schemas.microsoft.com/office/drawing/2014/chart" uri="{C3380CC4-5D6E-409C-BE32-E72D297353CC}">
              <c16:uniqueId val="{00000000-40CF-4914-A5E3-1C7FB79A68A5}"/>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0CF-4914-A5E3-1C7FB79A68A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ALL_master+r8.0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Graphs!graph_d_y_range_A</c:f>
              <c:numCache>
                <c:formatCode>0.00</c:formatCode>
                <c:ptCount val="5"/>
                <c:pt idx="0">
                  <c:v>44.147258333333298</c:v>
                </c:pt>
                <c:pt idx="1">
                  <c:v>45.436083333333301</c:v>
                </c:pt>
                <c:pt idx="2">
                  <c:v>46.565525333333298</c:v>
                </c:pt>
                <c:pt idx="3">
                  <c:v>47.904731333333302</c:v>
                </c:pt>
                <c:pt idx="4">
                  <c:v>49.426783333333297</c:v>
                </c:pt>
              </c:numCache>
            </c:numRef>
          </c:yVal>
          <c:smooth val="1"/>
          <c:extLst>
            <c:ext xmlns:c16="http://schemas.microsoft.com/office/drawing/2014/chart" uri="{C3380CC4-5D6E-409C-BE32-E72D297353CC}">
              <c16:uniqueId val="{00000000-5E22-44B5-9B14-C7301B9937D8}"/>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5E22-44B5-9B14-C7301B9937D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ALL_master+r8.0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Graphs!graph_e_y_range_A</c:f>
              <c:numCache>
                <c:formatCode>0.00</c:formatCode>
                <c:ptCount val="5"/>
                <c:pt idx="0">
                  <c:v>43.801342333333302</c:v>
                </c:pt>
                <c:pt idx="1">
                  <c:v>45.237760999999999</c:v>
                </c:pt>
                <c:pt idx="2">
                  <c:v>46.476092666666702</c:v>
                </c:pt>
                <c:pt idx="3">
                  <c:v>47.995258333333297</c:v>
                </c:pt>
                <c:pt idx="4">
                  <c:v>49.583480999999999</c:v>
                </c:pt>
              </c:numCache>
            </c:numRef>
          </c:yVal>
          <c:smooth val="1"/>
          <c:extLst>
            <c:ext xmlns:c16="http://schemas.microsoft.com/office/drawing/2014/chart" uri="{C3380CC4-5D6E-409C-BE32-E72D297353CC}">
              <c16:uniqueId val="{00000000-C3B2-49B2-88AF-7F7BA0E25A0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3B2-49B2-88AF-7F7BA0E25A0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A9F0-42A2-A696-B19EE248E8CC}"/>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A9F0-42A2-A696-B19EE248E8CC}"/>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19" workbookViewId="0">
      <selection activeCell="F1" sqref="F1"/>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E53" sqref="E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ht="15.75" thickBot="1" x14ac:dyDescent="0.3">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2.2751264</v>
      </c>
      <c r="J5" s="12">
        <f t="shared" ref="J5:J39" si="1">IF(ISBLANK(S5),"·",S5/D5)</f>
        <v>9.5534783896851078E-2</v>
      </c>
      <c r="K5" s="12">
        <f t="shared" ref="K5:K39" si="2">IF(N5="","·",N5/D5)</f>
        <v>6.1061265463393063E-2</v>
      </c>
      <c r="L5" s="12">
        <f t="shared" ref="L5:L39" si="3">IF(T5="","·",T5/D5)</f>
        <v>3.4664359032843796E-2</v>
      </c>
      <c r="M5" s="12">
        <f t="shared" ref="M5:M39" si="4">IF(ISBLANK(V5),"·",V5/D5)</f>
        <v>3.4473518433458014E-2</v>
      </c>
      <c r="N5" s="54">
        <f t="shared" ref="N5:N39" si="5">IF(OR(ISBLANK(T5),ISBLANK(U5)),"",T5+U5)</f>
        <v>14541520</v>
      </c>
      <c r="O5" s="12">
        <v>16</v>
      </c>
      <c r="P5" s="13">
        <v>210114715</v>
      </c>
      <c r="Q5" s="13">
        <v>700382.38333333295</v>
      </c>
      <c r="R5" s="13">
        <v>14452.67</v>
      </c>
      <c r="S5" s="14">
        <v>22751264</v>
      </c>
      <c r="T5" s="14">
        <v>8255192</v>
      </c>
      <c r="U5" s="14">
        <v>6286328</v>
      </c>
      <c r="V5" s="14">
        <v>8209744</v>
      </c>
      <c r="W5" s="15">
        <v>66.306621000000007</v>
      </c>
      <c r="X5" s="15">
        <v>68.366856666666706</v>
      </c>
      <c r="Y5" s="15">
        <v>32.326273333333297</v>
      </c>
      <c r="Z5" s="15">
        <v>44.147258333333298</v>
      </c>
      <c r="AA5" s="15">
        <v>43.801342333333302</v>
      </c>
      <c r="AB5" s="16">
        <v>34219.1</v>
      </c>
      <c r="AC5" s="16">
        <v>16073</v>
      </c>
      <c r="AD5" s="16">
        <v>483.07900000000001</v>
      </c>
      <c r="AE5" s="16">
        <v>261.08800000000002</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3.4838632</v>
      </c>
      <c r="J6" s="21">
        <f t="shared" si="1"/>
        <v>0.14629082495732634</v>
      </c>
      <c r="K6" s="21">
        <f t="shared" si="2"/>
        <v>7.4472377790516256E-2</v>
      </c>
      <c r="L6" s="21">
        <f t="shared" si="3"/>
        <v>4.8075471359966988E-2</v>
      </c>
      <c r="M6" s="21">
        <f t="shared" si="4"/>
        <v>7.1818447166810101E-2</v>
      </c>
      <c r="N6" s="18">
        <f t="shared" si="5"/>
        <v>17735328</v>
      </c>
      <c r="O6" s="21">
        <v>16</v>
      </c>
      <c r="P6" s="22">
        <v>230812362</v>
      </c>
      <c r="Q6" s="22">
        <v>769374.54</v>
      </c>
      <c r="R6" s="22">
        <v>19712.863333333298</v>
      </c>
      <c r="S6" s="23">
        <v>34838632</v>
      </c>
      <c r="T6" s="23">
        <v>11449000</v>
      </c>
      <c r="U6" s="23">
        <v>6286328</v>
      </c>
      <c r="V6" s="23">
        <v>17103304</v>
      </c>
      <c r="W6" s="24">
        <v>68.157705000000007</v>
      </c>
      <c r="X6" s="24">
        <v>70.306218666666695</v>
      </c>
      <c r="Y6" s="24">
        <v>34.599027</v>
      </c>
      <c r="Z6" s="24">
        <v>45.436083333333301</v>
      </c>
      <c r="AA6" s="24">
        <v>45.237760999999999</v>
      </c>
      <c r="AB6" s="25">
        <v>34437.699999999997</v>
      </c>
      <c r="AC6" s="25">
        <v>16832</v>
      </c>
      <c r="AD6" s="25">
        <v>515.22500000000002</v>
      </c>
      <c r="AE6" s="25">
        <v>267.12099999999998</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5.6252192000000001</v>
      </c>
      <c r="J7" s="12">
        <f t="shared" si="1"/>
        <v>0.23620845885504096</v>
      </c>
      <c r="K7" s="12">
        <f t="shared" si="2"/>
        <v>9.3813859224093799E-2</v>
      </c>
      <c r="L7" s="12">
        <f t="shared" si="3"/>
        <v>6.7416952793544538E-2</v>
      </c>
      <c r="M7" s="12">
        <f t="shared" si="4"/>
        <v>0.14239459963094717</v>
      </c>
      <c r="N7" s="54">
        <f t="shared" si="5"/>
        <v>22341432</v>
      </c>
      <c r="O7" s="12">
        <v>16</v>
      </c>
      <c r="P7" s="13">
        <v>236176991</v>
      </c>
      <c r="Q7" s="13">
        <v>787256.63666666695</v>
      </c>
      <c r="R7" s="13">
        <v>21575.106666666699</v>
      </c>
      <c r="S7" s="14">
        <v>56252192</v>
      </c>
      <c r="T7" s="14">
        <v>16055104</v>
      </c>
      <c r="U7" s="14">
        <v>6286328</v>
      </c>
      <c r="V7" s="14">
        <v>33910760</v>
      </c>
      <c r="W7" s="15">
        <v>69.5551173333332</v>
      </c>
      <c r="X7" s="15">
        <v>71.985771333333304</v>
      </c>
      <c r="Y7" s="15">
        <v>37.138562333333297</v>
      </c>
      <c r="Z7" s="15">
        <v>46.565525333333298</v>
      </c>
      <c r="AA7" s="15">
        <v>46.476092666666702</v>
      </c>
      <c r="AB7" s="16">
        <v>34362.300000000003</v>
      </c>
      <c r="AC7" s="16">
        <v>17619.599999999999</v>
      </c>
      <c r="AD7" s="16">
        <v>525.42899999999997</v>
      </c>
      <c r="AE7" s="16">
        <v>271.96600000000001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9.4133568000000007</v>
      </c>
      <c r="J8" s="21">
        <f t="shared" si="1"/>
        <v>0.39527606362088435</v>
      </c>
      <c r="K8" s="21">
        <f t="shared" si="2"/>
        <v>0.1266802317403164</v>
      </c>
      <c r="L8" s="21">
        <f t="shared" si="3"/>
        <v>0.10028332530976714</v>
      </c>
      <c r="M8" s="21">
        <f t="shared" si="4"/>
        <v>0.26859583188056796</v>
      </c>
      <c r="N8" s="18">
        <f t="shared" si="5"/>
        <v>30168440</v>
      </c>
      <c r="O8" s="21">
        <v>16</v>
      </c>
      <c r="P8" s="22">
        <v>245523356</v>
      </c>
      <c r="Q8" s="22">
        <v>818411.186666667</v>
      </c>
      <c r="R8" s="22">
        <v>24831.63</v>
      </c>
      <c r="S8" s="23">
        <v>94133568</v>
      </c>
      <c r="T8" s="23">
        <v>23882112</v>
      </c>
      <c r="U8" s="23">
        <v>6286328</v>
      </c>
      <c r="V8" s="23">
        <v>63965128</v>
      </c>
      <c r="W8" s="24">
        <v>70.687753333333404</v>
      </c>
      <c r="X8" s="24">
        <v>73.255345666666599</v>
      </c>
      <c r="Y8" s="24">
        <v>39.744085666666599</v>
      </c>
      <c r="Z8" s="24">
        <v>47.904731333333302</v>
      </c>
      <c r="AA8" s="24">
        <v>47.995258333333297</v>
      </c>
      <c r="AB8" s="25">
        <v>34461.199999999997</v>
      </c>
      <c r="AC8" s="25">
        <v>18897.400000000001</v>
      </c>
      <c r="AD8" s="25">
        <v>545.51300000000003</v>
      </c>
      <c r="AE8" s="25">
        <v>279.791</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300</v>
      </c>
      <c r="G9" s="28">
        <v>30</v>
      </c>
      <c r="I9" s="29">
        <f t="shared" si="0"/>
        <v>16.673772800000002</v>
      </c>
      <c r="J9" s="30">
        <f t="shared" si="1"/>
        <v>0.70014803625556521</v>
      </c>
      <c r="K9" s="30">
        <f t="shared" si="2"/>
        <v>0.20639073216104292</v>
      </c>
      <c r="L9" s="30">
        <f t="shared" si="3"/>
        <v>0.15538711229094376</v>
      </c>
      <c r="M9" s="30">
        <f t="shared" si="4"/>
        <v>0.49375730409452229</v>
      </c>
      <c r="N9" s="27">
        <f t="shared" si="5"/>
        <v>49151208</v>
      </c>
      <c r="O9" s="30">
        <v>16</v>
      </c>
      <c r="P9" s="31">
        <v>236237089</v>
      </c>
      <c r="Q9" s="31">
        <v>787456.96333333303</v>
      </c>
      <c r="R9" s="31">
        <v>10954.163333333299</v>
      </c>
      <c r="S9" s="32">
        <v>166737728</v>
      </c>
      <c r="T9" s="32">
        <v>37004880</v>
      </c>
      <c r="U9" s="32">
        <v>12146328</v>
      </c>
      <c r="V9" s="32">
        <v>117586520</v>
      </c>
      <c r="W9" s="33">
        <v>71.789984666666697</v>
      </c>
      <c r="X9" s="33">
        <v>75.226265666666706</v>
      </c>
      <c r="Y9" s="33">
        <v>42.292687999999998</v>
      </c>
      <c r="Z9" s="33">
        <v>49.426783333333297</v>
      </c>
      <c r="AA9" s="33">
        <v>49.583480999999999</v>
      </c>
      <c r="AB9" s="34">
        <v>34305.9</v>
      </c>
      <c r="AC9" s="34">
        <v>20984.2</v>
      </c>
      <c r="AD9" s="34">
        <v>523.96500000000003</v>
      </c>
      <c r="AE9" s="34">
        <v>292.89999999999998</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3.3800032</v>
      </c>
      <c r="J10" s="21">
        <f t="shared" si="1"/>
        <v>0.15495983651147557</v>
      </c>
      <c r="K10" s="21">
        <f t="shared" si="2"/>
        <v>8.1398766287971158E-2</v>
      </c>
      <c r="L10" s="21">
        <f t="shared" si="3"/>
        <v>4.3115727353138768E-2</v>
      </c>
      <c r="M10" s="21">
        <f t="shared" si="4"/>
        <v>7.3561070223504416E-2</v>
      </c>
      <c r="N10" s="18">
        <f t="shared" si="5"/>
        <v>17754800</v>
      </c>
      <c r="O10" s="21">
        <v>16</v>
      </c>
      <c r="P10" s="22">
        <v>199595828</v>
      </c>
      <c r="Q10" s="22">
        <v>665319.42666666699</v>
      </c>
      <c r="R10" s="22">
        <v>19570.46</v>
      </c>
      <c r="S10" s="23">
        <v>33800032</v>
      </c>
      <c r="T10" s="23">
        <v>9404456</v>
      </c>
      <c r="U10" s="23">
        <v>8350344</v>
      </c>
      <c r="V10" s="23">
        <v>16045232</v>
      </c>
      <c r="W10" s="24">
        <v>65.811761000000004</v>
      </c>
      <c r="X10" s="24">
        <v>67.675730000000001</v>
      </c>
      <c r="Y10" s="24">
        <v>32.281323666666701</v>
      </c>
      <c r="Z10" s="24">
        <v>39.166944666666701</v>
      </c>
      <c r="AA10" s="24">
        <v>31.988359000000099</v>
      </c>
      <c r="AB10" s="25">
        <v>31606.6</v>
      </c>
      <c r="AC10" s="25">
        <v>16787.099999999999</v>
      </c>
      <c r="AD10" s="25">
        <v>452.827</v>
      </c>
      <c r="AE10" s="25">
        <v>280.31200000000001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4.8783599999999998</v>
      </c>
      <c r="J11" s="12">
        <f t="shared" si="1"/>
        <v>0.22365359537059668</v>
      </c>
      <c r="K11" s="12">
        <f t="shared" si="2"/>
        <v>9.9295491816427495E-2</v>
      </c>
      <c r="L11" s="12">
        <f t="shared" si="3"/>
        <v>6.101245288159509E-2</v>
      </c>
      <c r="M11" s="12">
        <f t="shared" si="4"/>
        <v>0.12435810355416919</v>
      </c>
      <c r="N11" s="54">
        <f t="shared" si="5"/>
        <v>21658456</v>
      </c>
      <c r="O11" s="12">
        <v>16</v>
      </c>
      <c r="P11" s="13">
        <v>213479129</v>
      </c>
      <c r="Q11" s="13">
        <v>711597.09666666703</v>
      </c>
      <c r="R11" s="13">
        <v>24836.7133333333</v>
      </c>
      <c r="S11" s="14">
        <v>48783600</v>
      </c>
      <c r="T11" s="14">
        <v>13308112</v>
      </c>
      <c r="U11" s="14">
        <v>8350344</v>
      </c>
      <c r="V11" s="14">
        <v>27125144</v>
      </c>
      <c r="W11" s="15">
        <v>67.515264000000002</v>
      </c>
      <c r="X11" s="15">
        <v>69.557891999999995</v>
      </c>
      <c r="Y11" s="15">
        <v>34.110876333333302</v>
      </c>
      <c r="Z11" s="15">
        <v>40.020099999999999</v>
      </c>
      <c r="AA11" s="15">
        <v>33.744524333333302</v>
      </c>
      <c r="AB11" s="16">
        <v>31818.799999999999</v>
      </c>
      <c r="AC11" s="16">
        <v>17558.400000000001</v>
      </c>
      <c r="AD11" s="16">
        <v>482.71199999999999</v>
      </c>
      <c r="AE11" s="16">
        <v>284.42399999999998</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7.5468752000000006</v>
      </c>
      <c r="J12" s="21">
        <f t="shared" si="1"/>
        <v>0.3459945088704382</v>
      </c>
      <c r="K12" s="21">
        <f t="shared" si="2"/>
        <v>0.12677521797716521</v>
      </c>
      <c r="L12" s="21">
        <f t="shared" si="3"/>
        <v>8.8492179042332794E-2</v>
      </c>
      <c r="M12" s="21">
        <f t="shared" si="4"/>
        <v>0.21921929089327302</v>
      </c>
      <c r="N12" s="18">
        <f t="shared" si="5"/>
        <v>27652368</v>
      </c>
      <c r="O12" s="21">
        <v>16</v>
      </c>
      <c r="P12" s="22">
        <v>217337189</v>
      </c>
      <c r="Q12" s="22">
        <v>724457.29666666698</v>
      </c>
      <c r="R12" s="22">
        <v>26579.32</v>
      </c>
      <c r="S12" s="23">
        <v>75468752</v>
      </c>
      <c r="T12" s="23">
        <v>19302024</v>
      </c>
      <c r="U12" s="23">
        <v>8350344</v>
      </c>
      <c r="V12" s="23">
        <v>47816384</v>
      </c>
      <c r="W12" s="24">
        <v>68.866620999999995</v>
      </c>
      <c r="X12" s="24">
        <v>71.213702999999995</v>
      </c>
      <c r="Y12" s="24">
        <v>36.201666000000003</v>
      </c>
      <c r="Z12" s="24">
        <v>40.9066263333333</v>
      </c>
      <c r="AA12" s="24">
        <v>35.495655333333303</v>
      </c>
      <c r="AB12" s="25">
        <v>31604.3</v>
      </c>
      <c r="AC12" s="25">
        <v>18296.099999999999</v>
      </c>
      <c r="AD12" s="25">
        <v>490.52300000000002</v>
      </c>
      <c r="AE12" s="25">
        <v>293.53199999999998</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12.7540648</v>
      </c>
      <c r="J13" s="12">
        <f t="shared" si="1"/>
        <v>0.58472364649381559</v>
      </c>
      <c r="K13" s="12">
        <f t="shared" si="2"/>
        <v>0.17454971212753317</v>
      </c>
      <c r="L13" s="12">
        <f t="shared" si="3"/>
        <v>0.13626667319270078</v>
      </c>
      <c r="M13" s="12">
        <f t="shared" si="4"/>
        <v>0.41017393436628241</v>
      </c>
      <c r="N13" s="54">
        <f t="shared" si="5"/>
        <v>38073000</v>
      </c>
      <c r="O13" s="12">
        <v>16</v>
      </c>
      <c r="P13" s="13">
        <v>224970663</v>
      </c>
      <c r="Q13" s="13">
        <v>749902.21</v>
      </c>
      <c r="R13" s="13">
        <v>30093.82</v>
      </c>
      <c r="S13" s="14">
        <v>127540648</v>
      </c>
      <c r="T13" s="14">
        <v>29722656</v>
      </c>
      <c r="U13" s="14">
        <v>8350344</v>
      </c>
      <c r="V13" s="14">
        <v>89467648</v>
      </c>
      <c r="W13" s="15">
        <v>69.944933000000006</v>
      </c>
      <c r="X13" s="15">
        <v>72.473840999999993</v>
      </c>
      <c r="Y13" s="15">
        <v>38.521727666666699</v>
      </c>
      <c r="Z13" s="15">
        <v>42.073988999999997</v>
      </c>
      <c r="AA13" s="15">
        <v>37.512836333333297</v>
      </c>
      <c r="AB13" s="16">
        <v>31680.400000000001</v>
      </c>
      <c r="AC13" s="16">
        <v>19788.2</v>
      </c>
      <c r="AD13" s="16">
        <v>505.48200000000003</v>
      </c>
      <c r="AE13" s="16">
        <v>303.90600000000001</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300</v>
      </c>
      <c r="G14" s="38">
        <v>30</v>
      </c>
      <c r="I14" s="39">
        <f t="shared" si="0"/>
        <v>22.8973528</v>
      </c>
      <c r="J14" s="40">
        <f t="shared" si="1"/>
        <v>1.0497534577581398</v>
      </c>
      <c r="K14" s="40">
        <f t="shared" si="2"/>
        <v>0.28813179048375309</v>
      </c>
      <c r="L14" s="40">
        <f t="shared" si="3"/>
        <v>0.21558223109696029</v>
      </c>
      <c r="M14" s="40">
        <f t="shared" si="4"/>
        <v>0.76162166727438674</v>
      </c>
      <c r="N14" s="37">
        <f t="shared" si="5"/>
        <v>62847664</v>
      </c>
      <c r="O14" s="40">
        <v>16</v>
      </c>
      <c r="P14" s="41">
        <v>212784934</v>
      </c>
      <c r="Q14" s="41">
        <v>709283.11333333305</v>
      </c>
      <c r="R14" s="41">
        <v>14214.696666666699</v>
      </c>
      <c r="S14" s="42">
        <v>228973528</v>
      </c>
      <c r="T14" s="42">
        <v>47023064</v>
      </c>
      <c r="U14" s="42">
        <v>15824600</v>
      </c>
      <c r="V14" s="42">
        <v>166125864</v>
      </c>
      <c r="W14" s="43">
        <v>70.819807333333301</v>
      </c>
      <c r="X14" s="43">
        <v>74.589538000000005</v>
      </c>
      <c r="Y14" s="43">
        <v>40.780632666666598</v>
      </c>
      <c r="Z14" s="43">
        <v>43.390104333333298</v>
      </c>
      <c r="AA14" s="43">
        <v>39.250982999999998</v>
      </c>
      <c r="AB14" s="44">
        <v>31846.6</v>
      </c>
      <c r="AC14" s="44">
        <v>22209.8</v>
      </c>
      <c r="AD14" s="44">
        <v>477.495</v>
      </c>
      <c r="AE14" s="44">
        <v>321.05200000000002</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4.3624688000000003</v>
      </c>
      <c r="J15" s="12">
        <f t="shared" si="1"/>
        <v>0.1352327351402387</v>
      </c>
      <c r="K15" s="12">
        <f t="shared" si="2"/>
        <v>7.6605743126879219E-2</v>
      </c>
      <c r="L15" s="12">
        <f t="shared" si="3"/>
        <v>4.180334286180442E-2</v>
      </c>
      <c r="M15" s="12">
        <f t="shared" si="4"/>
        <v>5.8626992013359483E-2</v>
      </c>
      <c r="N15" s="54">
        <f t="shared" si="5"/>
        <v>24712224</v>
      </c>
      <c r="O15" s="12">
        <v>16</v>
      </c>
      <c r="P15" s="13">
        <v>295692711</v>
      </c>
      <c r="Q15" s="13">
        <v>985642.37</v>
      </c>
      <c r="R15" s="13">
        <v>28254.27</v>
      </c>
      <c r="S15" s="14">
        <v>43624688</v>
      </c>
      <c r="T15" s="14">
        <v>13485328</v>
      </c>
      <c r="U15" s="14">
        <v>11226896</v>
      </c>
      <c r="V15" s="14">
        <v>18912464</v>
      </c>
      <c r="W15" s="15">
        <v>65.952931333333296</v>
      </c>
      <c r="X15" s="15">
        <v>67.740381333333403</v>
      </c>
      <c r="Y15" s="15">
        <v>29.506841666666698</v>
      </c>
      <c r="Z15" s="15">
        <v>43.201269000000003</v>
      </c>
      <c r="AA15" s="15">
        <v>43.416677</v>
      </c>
      <c r="AB15" s="16">
        <v>44508.3</v>
      </c>
      <c r="AC15" s="16">
        <v>16778.5</v>
      </c>
      <c r="AD15" s="16">
        <v>656.49800000000005</v>
      </c>
      <c r="AE15" s="16">
        <v>266.06400000000002</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6.9553255999999992</v>
      </c>
      <c r="J16" s="21">
        <f t="shared" si="1"/>
        <v>0.21560903878072935</v>
      </c>
      <c r="K16" s="21">
        <f t="shared" si="2"/>
        <v>9.3903604561415263E-2</v>
      </c>
      <c r="L16" s="21">
        <f t="shared" si="3"/>
        <v>5.910120429634047E-2</v>
      </c>
      <c r="M16" s="21">
        <f t="shared" si="4"/>
        <v>0.12170543421931408</v>
      </c>
      <c r="N16" s="18">
        <f t="shared" si="5"/>
        <v>30292336</v>
      </c>
      <c r="O16" s="21">
        <v>16</v>
      </c>
      <c r="P16" s="22">
        <v>315645479</v>
      </c>
      <c r="Q16" s="22">
        <v>1052151.5966666699</v>
      </c>
      <c r="R16" s="22">
        <v>35009.363333333298</v>
      </c>
      <c r="S16" s="23">
        <v>69553256</v>
      </c>
      <c r="T16" s="23">
        <v>19065440</v>
      </c>
      <c r="U16" s="23">
        <v>11226896</v>
      </c>
      <c r="V16" s="23">
        <v>39260920</v>
      </c>
      <c r="W16" s="24">
        <v>67.752667000000002</v>
      </c>
      <c r="X16" s="24">
        <v>69.809411333333301</v>
      </c>
      <c r="Y16" s="24">
        <v>31.918554</v>
      </c>
      <c r="Z16" s="24">
        <v>44.068763333333301</v>
      </c>
      <c r="AA16" s="24">
        <v>44.377466333333302</v>
      </c>
      <c r="AB16" s="25">
        <v>44714.6</v>
      </c>
      <c r="AC16" s="25">
        <v>17935.7</v>
      </c>
      <c r="AD16" s="25">
        <v>701.596</v>
      </c>
      <c r="AE16" s="25">
        <v>273.137</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11.565619999999999</v>
      </c>
      <c r="J17" s="12">
        <f t="shared" si="1"/>
        <v>0.35852415178135999</v>
      </c>
      <c r="K17" s="12">
        <f t="shared" si="2"/>
        <v>0.1198596468534532</v>
      </c>
      <c r="L17" s="12">
        <f t="shared" si="3"/>
        <v>8.5057246588378405E-2</v>
      </c>
      <c r="M17" s="12">
        <f t="shared" si="4"/>
        <v>0.23866450492790681</v>
      </c>
      <c r="N17" s="54">
        <f t="shared" si="5"/>
        <v>38665488</v>
      </c>
      <c r="O17" s="12">
        <v>16</v>
      </c>
      <c r="P17" s="13">
        <v>319981779</v>
      </c>
      <c r="Q17" s="13">
        <v>1066605.93</v>
      </c>
      <c r="R17" s="13">
        <v>36803.99</v>
      </c>
      <c r="S17" s="14">
        <v>115656200</v>
      </c>
      <c r="T17" s="14">
        <v>27438592</v>
      </c>
      <c r="U17" s="14">
        <v>11226896</v>
      </c>
      <c r="V17" s="14">
        <v>76990712</v>
      </c>
      <c r="W17" s="15">
        <v>69.144569999999902</v>
      </c>
      <c r="X17" s="15">
        <v>71.605159666666594</v>
      </c>
      <c r="Y17" s="15">
        <v>34.4701356666666</v>
      </c>
      <c r="Z17" s="15">
        <v>44.925890000000003</v>
      </c>
      <c r="AA17" s="15">
        <v>45.338106666666697</v>
      </c>
      <c r="AB17" s="16">
        <v>44467.6</v>
      </c>
      <c r="AC17" s="16">
        <v>19242.5</v>
      </c>
      <c r="AD17" s="16">
        <v>711.01</v>
      </c>
      <c r="AE17" s="16">
        <v>281.95100000000002</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19.940157600000003</v>
      </c>
      <c r="J18" s="21">
        <f t="shared" si="1"/>
        <v>0.61812752709553309</v>
      </c>
      <c r="K18" s="21">
        <f t="shared" si="2"/>
        <v>0.16307419408525203</v>
      </c>
      <c r="L18" s="21">
        <f t="shared" si="3"/>
        <v>0.12827179382017723</v>
      </c>
      <c r="M18" s="21">
        <f t="shared" si="4"/>
        <v>0.45505333301028106</v>
      </c>
      <c r="N18" s="18">
        <f t="shared" si="5"/>
        <v>52606056</v>
      </c>
      <c r="O18" s="21">
        <v>16</v>
      </c>
      <c r="P18" s="22">
        <v>330485852</v>
      </c>
      <c r="Q18" s="22">
        <v>1101619.5066666701</v>
      </c>
      <c r="R18" s="22">
        <v>41193.003333333298</v>
      </c>
      <c r="S18" s="23">
        <v>199401576</v>
      </c>
      <c r="T18" s="23">
        <v>41379160</v>
      </c>
      <c r="U18" s="23">
        <v>11226896</v>
      </c>
      <c r="V18" s="23">
        <v>146795520</v>
      </c>
      <c r="W18" s="24">
        <v>70.367146666666699</v>
      </c>
      <c r="X18" s="24">
        <v>72.960699000000005</v>
      </c>
      <c r="Y18" s="24">
        <v>37.152290666666701</v>
      </c>
      <c r="Z18" s="24">
        <v>46.289817999999997</v>
      </c>
      <c r="AA18" s="24">
        <v>46.800843999999998</v>
      </c>
      <c r="AB18" s="25">
        <v>44555.9</v>
      </c>
      <c r="AC18" s="25">
        <v>21615.4</v>
      </c>
      <c r="AD18" s="25">
        <v>734.40200000000004</v>
      </c>
      <c r="AE18" s="25">
        <v>296.56299999999999</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300</v>
      </c>
      <c r="G19" s="28">
        <v>30</v>
      </c>
      <c r="I19" s="29">
        <f t="shared" si="0"/>
        <v>35.272457600000003</v>
      </c>
      <c r="J19" s="30">
        <f t="shared" si="1"/>
        <v>1.093415479869128</v>
      </c>
      <c r="K19" s="30">
        <f t="shared" si="2"/>
        <v>0.26270564419501746</v>
      </c>
      <c r="L19" s="30">
        <f t="shared" si="3"/>
        <v>0.19726162122024823</v>
      </c>
      <c r="M19" s="30">
        <f t="shared" si="4"/>
        <v>0.83070983567411072</v>
      </c>
      <c r="N19" s="27">
        <f t="shared" si="5"/>
        <v>84746136</v>
      </c>
      <c r="O19" s="30">
        <v>16</v>
      </c>
      <c r="P19" s="31">
        <v>314292335</v>
      </c>
      <c r="Q19" s="31">
        <v>1047641.11666667</v>
      </c>
      <c r="R19" s="31">
        <v>18188.7366666667</v>
      </c>
      <c r="S19" s="32">
        <v>352724576</v>
      </c>
      <c r="T19" s="32">
        <v>63634568</v>
      </c>
      <c r="U19" s="32">
        <v>21111568</v>
      </c>
      <c r="V19" s="32">
        <v>267978440</v>
      </c>
      <c r="W19" s="33">
        <v>71.149593666666703</v>
      </c>
      <c r="X19" s="33">
        <v>75.005414999999999</v>
      </c>
      <c r="Y19" s="33">
        <v>39.680292333333298</v>
      </c>
      <c r="Z19" s="33">
        <v>48.065980000000003</v>
      </c>
      <c r="AA19" s="33">
        <v>48.647580666666698</v>
      </c>
      <c r="AB19" s="34">
        <v>44593.599999999999</v>
      </c>
      <c r="AC19" s="34">
        <v>24928.9</v>
      </c>
      <c r="AD19" s="34">
        <v>716.71500000000003</v>
      </c>
      <c r="AE19" s="34">
        <v>315.45999999999998</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4.8312591999999999</v>
      </c>
      <c r="J20" s="21">
        <f t="shared" si="1"/>
        <v>9.6392726770259007E-2</v>
      </c>
      <c r="K20" s="21">
        <f t="shared" si="2"/>
        <v>5.7859923092427532E-2</v>
      </c>
      <c r="L20" s="21">
        <f t="shared" si="3"/>
        <v>2.9198226607848671E-2</v>
      </c>
      <c r="M20" s="21">
        <f t="shared" si="4"/>
        <v>3.8532803677831476E-2</v>
      </c>
      <c r="N20" s="18">
        <f t="shared" si="5"/>
        <v>14499864</v>
      </c>
      <c r="O20" s="21">
        <v>16</v>
      </c>
      <c r="P20" s="22">
        <v>233912910</v>
      </c>
      <c r="Q20" s="22">
        <v>935651.64</v>
      </c>
      <c r="R20" s="22">
        <v>27733.488000000001</v>
      </c>
      <c r="S20" s="23">
        <v>24156296</v>
      </c>
      <c r="T20" s="23">
        <v>7317160</v>
      </c>
      <c r="U20" s="23">
        <v>7182704</v>
      </c>
      <c r="V20" s="23">
        <v>9656432</v>
      </c>
      <c r="W20" s="24">
        <v>67.265048399999998</v>
      </c>
      <c r="X20" s="24">
        <v>69.083568400000004</v>
      </c>
      <c r="Y20" s="24">
        <v>31.087987200000001</v>
      </c>
      <c r="Z20" s="24">
        <v>40.296405200000002</v>
      </c>
      <c r="AA20" s="24">
        <v>39.077879199999998</v>
      </c>
      <c r="AB20" s="25">
        <v>35199.599999999999</v>
      </c>
      <c r="AC20" s="25">
        <v>15306.1</v>
      </c>
      <c r="AD20" s="25">
        <v>533.71799999999996</v>
      </c>
      <c r="AE20" s="25">
        <v>245.40600000000001</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7.1202032000000006</v>
      </c>
      <c r="J21" s="12">
        <f t="shared" si="1"/>
        <v>0.14206147366432417</v>
      </c>
      <c r="K21" s="12">
        <f t="shared" si="2"/>
        <v>6.8871990786411152E-2</v>
      </c>
      <c r="L21" s="12">
        <f t="shared" si="3"/>
        <v>4.0210294301832296E-2</v>
      </c>
      <c r="M21" s="12">
        <f t="shared" si="4"/>
        <v>7.3189482877913006E-2</v>
      </c>
      <c r="N21" s="54">
        <f t="shared" si="5"/>
        <v>17259520</v>
      </c>
      <c r="O21" s="12">
        <v>16</v>
      </c>
      <c r="P21" s="13">
        <v>243598892</v>
      </c>
      <c r="Q21" s="13">
        <v>974395.56799999997</v>
      </c>
      <c r="R21" s="13">
        <v>33172.135999999999</v>
      </c>
      <c r="S21" s="14">
        <v>35601016</v>
      </c>
      <c r="T21" s="14">
        <v>10076816</v>
      </c>
      <c r="U21" s="14">
        <v>7182704</v>
      </c>
      <c r="V21" s="14">
        <v>18341496</v>
      </c>
      <c r="W21" s="15">
        <v>68.859277599999999</v>
      </c>
      <c r="X21" s="15">
        <v>71.013437600000003</v>
      </c>
      <c r="Y21" s="15">
        <v>32.850496800000002</v>
      </c>
      <c r="Z21" s="15">
        <v>41.473146800000002</v>
      </c>
      <c r="AA21" s="15">
        <v>40.391191999999997</v>
      </c>
      <c r="AB21" s="16">
        <v>34966</v>
      </c>
      <c r="AC21" s="16">
        <v>16172.4</v>
      </c>
      <c r="AD21" s="16">
        <v>553.83399999999995</v>
      </c>
      <c r="AE21" s="16">
        <v>251.62899999999999</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11.5002736</v>
      </c>
      <c r="J22" s="21">
        <f t="shared" si="1"/>
        <v>0.22945213349513993</v>
      </c>
      <c r="K22" s="21">
        <f t="shared" si="2"/>
        <v>8.5718755734545779E-2</v>
      </c>
      <c r="L22" s="21">
        <f t="shared" si="3"/>
        <v>5.7057059249966915E-2</v>
      </c>
      <c r="M22" s="21">
        <f t="shared" si="4"/>
        <v>0.14373337776059414</v>
      </c>
      <c r="N22" s="18">
        <f t="shared" si="5"/>
        <v>21481368</v>
      </c>
      <c r="O22" s="21">
        <v>16</v>
      </c>
      <c r="P22" s="22">
        <v>254522160</v>
      </c>
      <c r="Q22" s="22">
        <v>1018088.64</v>
      </c>
      <c r="R22" s="22">
        <v>35582.472000000002</v>
      </c>
      <c r="S22" s="23">
        <v>57501368</v>
      </c>
      <c r="T22" s="23">
        <v>14298664</v>
      </c>
      <c r="U22" s="23">
        <v>7182704</v>
      </c>
      <c r="V22" s="23">
        <v>36020000</v>
      </c>
      <c r="W22" s="24">
        <v>70.041861600000004</v>
      </c>
      <c r="X22" s="24">
        <v>72.450412799999995</v>
      </c>
      <c r="Y22" s="24">
        <v>34.734970799999999</v>
      </c>
      <c r="Z22" s="24">
        <v>42.539732000000001</v>
      </c>
      <c r="AA22" s="24">
        <v>41.5218968</v>
      </c>
      <c r="AB22" s="25">
        <v>34835.9</v>
      </c>
      <c r="AC22" s="25">
        <v>17017.2</v>
      </c>
      <c r="AD22" s="25">
        <v>577.44600000000003</v>
      </c>
      <c r="AE22" s="25">
        <v>255.864</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20.228652799999999</v>
      </c>
      <c r="J23" s="12">
        <f t="shared" si="1"/>
        <v>0.40359974937400062</v>
      </c>
      <c r="K23" s="12">
        <f t="shared" si="2"/>
        <v>0.11525029054832413</v>
      </c>
      <c r="L23" s="12">
        <f t="shared" si="3"/>
        <v>8.6588594063745264E-2</v>
      </c>
      <c r="M23" s="12">
        <f t="shared" si="4"/>
        <v>0.28834945882567653</v>
      </c>
      <c r="N23" s="54">
        <f t="shared" si="5"/>
        <v>28882056</v>
      </c>
      <c r="O23" s="12">
        <v>16</v>
      </c>
      <c r="P23" s="13">
        <v>254709425</v>
      </c>
      <c r="Q23" s="13">
        <v>1018837.7</v>
      </c>
      <c r="R23" s="13">
        <v>37597.303999999996</v>
      </c>
      <c r="S23" s="14">
        <v>101143264</v>
      </c>
      <c r="T23" s="14">
        <v>21699352</v>
      </c>
      <c r="U23" s="14">
        <v>7182704</v>
      </c>
      <c r="V23" s="14">
        <v>72261208</v>
      </c>
      <c r="W23" s="15">
        <v>71.086374399999997</v>
      </c>
      <c r="X23" s="15">
        <v>73.828453199999998</v>
      </c>
      <c r="Y23" s="15">
        <v>36.217287200000001</v>
      </c>
      <c r="Z23" s="15">
        <v>43.851308000000003</v>
      </c>
      <c r="AA23" s="15">
        <v>42.746985199999997</v>
      </c>
      <c r="AB23" s="16">
        <v>34785.9</v>
      </c>
      <c r="AC23" s="16">
        <v>18368.400000000001</v>
      </c>
      <c r="AD23" s="16">
        <v>578.35699999999997</v>
      </c>
      <c r="AE23" s="16">
        <v>264.25200000000001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250</v>
      </c>
      <c r="G24" s="38">
        <v>50</v>
      </c>
      <c r="I24" s="39">
        <f t="shared" si="0"/>
        <v>35.372094400000002</v>
      </c>
      <c r="J24" s="40">
        <f t="shared" si="1"/>
        <v>0.70573995094094899</v>
      </c>
      <c r="K24" s="40">
        <f t="shared" si="2"/>
        <v>0.19119974158638098</v>
      </c>
      <c r="L24" s="40">
        <f t="shared" si="3"/>
        <v>0.13619389570410023</v>
      </c>
      <c r="M24" s="40">
        <f t="shared" si="4"/>
        <v>0.51454020935456801</v>
      </c>
      <c r="N24" s="37">
        <f t="shared" si="5"/>
        <v>47915208</v>
      </c>
      <c r="O24" s="40">
        <v>16</v>
      </c>
      <c r="P24" s="41">
        <v>244491264</v>
      </c>
      <c r="Q24" s="41">
        <v>977965.05599999998</v>
      </c>
      <c r="R24" s="41">
        <v>18776.612000000001</v>
      </c>
      <c r="S24" s="42">
        <v>176860472</v>
      </c>
      <c r="T24" s="42">
        <v>34130584</v>
      </c>
      <c r="U24" s="42">
        <v>13784624</v>
      </c>
      <c r="V24" s="42">
        <v>128945264</v>
      </c>
      <c r="W24" s="43">
        <v>71.859961200000001</v>
      </c>
      <c r="X24" s="43">
        <v>75.795926399999999</v>
      </c>
      <c r="Y24" s="43">
        <v>37.320363200000003</v>
      </c>
      <c r="Z24" s="43">
        <v>44.964394400000003</v>
      </c>
      <c r="AA24" s="43">
        <v>43.600688400000003</v>
      </c>
      <c r="AB24" s="44">
        <v>34954.699999999997</v>
      </c>
      <c r="AC24" s="44">
        <v>20290.2</v>
      </c>
      <c r="AD24" s="44">
        <v>553.87400000000002</v>
      </c>
      <c r="AE24" s="44">
        <v>279.11200000000002</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4.6391720000000003</v>
      </c>
      <c r="J25" s="12">
        <f t="shared" si="1"/>
        <v>0.18534847869779297</v>
      </c>
      <c r="K25" s="12">
        <f t="shared" si="2"/>
        <v>6.3901375220339368E-2</v>
      </c>
      <c r="L25" s="12">
        <f t="shared" si="3"/>
        <v>3.6544586490489833E-2</v>
      </c>
      <c r="M25" s="12">
        <f t="shared" si="4"/>
        <v>0.12144710347745362</v>
      </c>
      <c r="N25" s="54">
        <f t="shared" si="5"/>
        <v>15994168</v>
      </c>
      <c r="O25" s="12">
        <v>16</v>
      </c>
      <c r="P25" s="13">
        <v>229868535</v>
      </c>
      <c r="Q25" s="13">
        <v>766228.45</v>
      </c>
      <c r="R25" s="13">
        <v>15692.583333333299</v>
      </c>
      <c r="S25" s="14">
        <v>46391720</v>
      </c>
      <c r="T25" s="14">
        <v>9146912</v>
      </c>
      <c r="U25" s="14">
        <v>6847256</v>
      </c>
      <c r="V25" s="14">
        <v>30397552</v>
      </c>
      <c r="W25" s="15">
        <v>66.290462666666699</v>
      </c>
      <c r="X25" s="15">
        <v>68.083682666666704</v>
      </c>
      <c r="Y25" s="15">
        <v>27.282872000000001</v>
      </c>
      <c r="Z25" s="15">
        <v>33.1026666666666</v>
      </c>
      <c r="AA25" s="15">
        <v>32.534654000000003</v>
      </c>
      <c r="AB25" s="16">
        <v>15072.2</v>
      </c>
      <c r="AC25" s="16">
        <v>16414.099999999999</v>
      </c>
      <c r="AD25" s="16">
        <v>512.303</v>
      </c>
      <c r="AE25" s="16">
        <v>272.154</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7.9718999999999998</v>
      </c>
      <c r="J26" s="21">
        <f t="shared" si="1"/>
        <v>0.31850070170516115</v>
      </c>
      <c r="K26" s="21">
        <f t="shared" si="2"/>
        <v>7.8930929475732714E-2</v>
      </c>
      <c r="L26" s="21">
        <f t="shared" si="3"/>
        <v>5.1574140745883186E-2</v>
      </c>
      <c r="M26" s="21">
        <f t="shared" si="4"/>
        <v>0.23956977222942843</v>
      </c>
      <c r="N26" s="18">
        <f t="shared" si="5"/>
        <v>19755984</v>
      </c>
      <c r="O26" s="21">
        <v>16</v>
      </c>
      <c r="P26" s="22">
        <v>243598891</v>
      </c>
      <c r="Q26" s="22">
        <v>811996.30333333299</v>
      </c>
      <c r="R26" s="22">
        <v>19489.3</v>
      </c>
      <c r="S26" s="23">
        <v>79719000</v>
      </c>
      <c r="T26" s="23">
        <v>12908728</v>
      </c>
      <c r="U26" s="23">
        <v>6847256</v>
      </c>
      <c r="V26" s="23">
        <v>59963016</v>
      </c>
      <c r="W26" s="24">
        <v>68.005527000000001</v>
      </c>
      <c r="X26" s="24">
        <v>70.039568000000003</v>
      </c>
      <c r="Y26" s="24">
        <v>29.6744353333333</v>
      </c>
      <c r="Z26" s="24">
        <v>34.266967666666702</v>
      </c>
      <c r="AA26" s="24">
        <v>33.8504096666667</v>
      </c>
      <c r="AB26" s="25">
        <v>15028.9</v>
      </c>
      <c r="AC26" s="25">
        <v>17277.3</v>
      </c>
      <c r="AD26" s="25">
        <v>538.625</v>
      </c>
      <c r="AE26" s="25">
        <v>266.57799999999997</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14.0482408</v>
      </c>
      <c r="J27" s="12">
        <f t="shared" si="1"/>
        <v>0.56126827387737865</v>
      </c>
      <c r="K27" s="12">
        <f t="shared" si="2"/>
        <v>0.10163186033327722</v>
      </c>
      <c r="L27" s="12">
        <f t="shared" si="3"/>
        <v>7.4275071603427681E-2</v>
      </c>
      <c r="M27" s="12">
        <f t="shared" si="4"/>
        <v>0.4596364135441014</v>
      </c>
      <c r="N27" s="54">
        <f t="shared" si="5"/>
        <v>25437904</v>
      </c>
      <c r="O27" s="12">
        <v>16</v>
      </c>
      <c r="P27" s="13">
        <v>246298785</v>
      </c>
      <c r="Q27" s="13">
        <v>820995.95</v>
      </c>
      <c r="R27" s="13">
        <v>20455.656666666699</v>
      </c>
      <c r="S27" s="14">
        <v>140482408</v>
      </c>
      <c r="T27" s="14">
        <v>18590648</v>
      </c>
      <c r="U27" s="14">
        <v>6847256</v>
      </c>
      <c r="V27" s="14">
        <v>115044504</v>
      </c>
      <c r="W27" s="15">
        <v>69.314347333333302</v>
      </c>
      <c r="X27" s="15">
        <v>71.731666666666598</v>
      </c>
      <c r="Y27" s="15">
        <v>32.1860316666667</v>
      </c>
      <c r="Z27" s="15">
        <v>35.538375666666603</v>
      </c>
      <c r="AA27" s="15">
        <v>35.187346666666699</v>
      </c>
      <c r="AB27" s="16">
        <v>15099.1</v>
      </c>
      <c r="AC27" s="16">
        <v>18588.599999999999</v>
      </c>
      <c r="AD27" s="16">
        <v>548.20699999999999</v>
      </c>
      <c r="AE27" s="16">
        <v>292.02100000000002</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25.973819199999998</v>
      </c>
      <c r="J28" s="21">
        <f t="shared" si="1"/>
        <v>1.0377299817061163</v>
      </c>
      <c r="K28" s="21">
        <f t="shared" si="2"/>
        <v>0.13939692869580372</v>
      </c>
      <c r="L28" s="21">
        <f t="shared" si="3"/>
        <v>0.1120401399659542</v>
      </c>
      <c r="M28" s="21">
        <f t="shared" si="4"/>
        <v>0.89833305301031241</v>
      </c>
      <c r="N28" s="18">
        <f t="shared" si="5"/>
        <v>34890296</v>
      </c>
      <c r="O28" s="21">
        <v>16</v>
      </c>
      <c r="P28" s="22">
        <v>253016684</v>
      </c>
      <c r="Q28" s="22">
        <v>843388.94666666701</v>
      </c>
      <c r="R28" s="22">
        <v>22933.3</v>
      </c>
      <c r="S28" s="23">
        <v>259738192</v>
      </c>
      <c r="T28" s="23">
        <v>28043040</v>
      </c>
      <c r="U28" s="23">
        <v>6847256</v>
      </c>
      <c r="V28" s="23">
        <v>224847896</v>
      </c>
      <c r="W28" s="24">
        <v>70.456214000000102</v>
      </c>
      <c r="X28" s="24">
        <v>73.021119666666706</v>
      </c>
      <c r="Y28" s="24">
        <v>34.865637</v>
      </c>
      <c r="Z28" s="24">
        <v>37.363936666666703</v>
      </c>
      <c r="AA28" s="24">
        <v>36.934083666666702</v>
      </c>
      <c r="AB28" s="25">
        <v>15046.2</v>
      </c>
      <c r="AC28" s="25">
        <v>20972.5</v>
      </c>
      <c r="AD28" s="25">
        <v>560.54200000000003</v>
      </c>
      <c r="AE28" s="25">
        <v>301.76600000000002</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300</v>
      </c>
      <c r="G29" s="28">
        <v>30</v>
      </c>
      <c r="I29" s="29">
        <f t="shared" si="0"/>
        <v>46.773592000000001</v>
      </c>
      <c r="J29" s="30">
        <f t="shared" si="1"/>
        <v>1.8687416893426803</v>
      </c>
      <c r="K29" s="30">
        <f t="shared" si="2"/>
        <v>0.22565947512199844</v>
      </c>
      <c r="L29" s="30">
        <f t="shared" si="3"/>
        <v>0.17322864783385522</v>
      </c>
      <c r="M29" s="30">
        <f t="shared" si="4"/>
        <v>1.6430822142206818</v>
      </c>
      <c r="N29" s="27">
        <f t="shared" si="5"/>
        <v>56481344</v>
      </c>
      <c r="O29" s="30">
        <v>16</v>
      </c>
      <c r="P29" s="31">
        <v>243471533</v>
      </c>
      <c r="Q29" s="31">
        <v>811571.77666666696</v>
      </c>
      <c r="R29" s="31">
        <v>10616.586666666701</v>
      </c>
      <c r="S29" s="32">
        <v>467735920</v>
      </c>
      <c r="T29" s="32">
        <v>43358192</v>
      </c>
      <c r="U29" s="32">
        <v>13123152</v>
      </c>
      <c r="V29" s="32">
        <v>411254576</v>
      </c>
      <c r="W29" s="33">
        <v>71.196085666666704</v>
      </c>
      <c r="X29" s="33">
        <v>74.950534666666599</v>
      </c>
      <c r="Y29" s="33">
        <v>37.2875606666667</v>
      </c>
      <c r="Z29" s="33">
        <v>39.4105286666667</v>
      </c>
      <c r="AA29" s="33">
        <v>38.764485999999998</v>
      </c>
      <c r="AB29" s="34">
        <v>15161.7</v>
      </c>
      <c r="AC29" s="34">
        <v>24365.1</v>
      </c>
      <c r="AD29" s="34">
        <v>539.92600000000004</v>
      </c>
      <c r="AE29" s="34">
        <v>314.83699999999999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5.8532549999999999</v>
      </c>
      <c r="J30" s="21">
        <f t="shared" si="1"/>
        <v>6.6807972913260835E-2</v>
      </c>
      <c r="K30" s="21">
        <f t="shared" si="2"/>
        <v>4.0812080634904477E-2</v>
      </c>
      <c r="L30" s="21">
        <f t="shared" si="3"/>
        <v>2.5444990203762879E-2</v>
      </c>
      <c r="M30" s="21">
        <f t="shared" si="4"/>
        <v>2.5995892278356358E-2</v>
      </c>
      <c r="N30" s="18">
        <f t="shared" si="5"/>
        <v>7628104</v>
      </c>
      <c r="O30" s="21">
        <v>16</v>
      </c>
      <c r="P30" s="22">
        <v>169180132</v>
      </c>
      <c r="Q30" s="22">
        <v>2643439.5625</v>
      </c>
      <c r="R30" s="22">
        <v>32386.1875</v>
      </c>
      <c r="S30" s="23">
        <v>12486944</v>
      </c>
      <c r="T30" s="23">
        <v>4755872</v>
      </c>
      <c r="U30" s="23">
        <v>2872232</v>
      </c>
      <c r="V30" s="23">
        <v>4858840</v>
      </c>
      <c r="W30" s="24">
        <v>73.425825000000003</v>
      </c>
      <c r="X30" s="24">
        <v>75.7108109375</v>
      </c>
      <c r="Y30" s="24">
        <v>34.771393750000001</v>
      </c>
      <c r="Z30" s="24">
        <v>42.271803124999998</v>
      </c>
      <c r="AA30" s="24">
        <v>43.839759375</v>
      </c>
      <c r="AB30" s="25">
        <v>6916.32</v>
      </c>
      <c r="AC30" s="25">
        <v>11308.7</v>
      </c>
      <c r="AD30" s="25">
        <v>387.12200000000001</v>
      </c>
      <c r="AE30" s="25">
        <v>187.68899999999999</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8.32654125</v>
      </c>
      <c r="J31" s="12">
        <f t="shared" si="1"/>
        <v>9.5037605963032373E-2</v>
      </c>
      <c r="K31" s="12">
        <f t="shared" si="2"/>
        <v>5.0213027007496969E-2</v>
      </c>
      <c r="L31" s="12">
        <f t="shared" si="3"/>
        <v>3.4845936576355367E-2</v>
      </c>
      <c r="M31" s="12">
        <f t="shared" si="4"/>
        <v>4.4824578955535398E-2</v>
      </c>
      <c r="N31" s="54">
        <f t="shared" si="5"/>
        <v>9385216</v>
      </c>
      <c r="O31" s="12">
        <v>16</v>
      </c>
      <c r="P31" s="13">
        <v>180452170</v>
      </c>
      <c r="Q31" s="13">
        <v>2819565.15625</v>
      </c>
      <c r="R31" s="13">
        <v>41116.796875</v>
      </c>
      <c r="S31" s="14">
        <v>17763288</v>
      </c>
      <c r="T31" s="14">
        <v>6512984</v>
      </c>
      <c r="U31" s="14">
        <v>2872232</v>
      </c>
      <c r="V31" s="14">
        <v>8378072</v>
      </c>
      <c r="W31" s="15">
        <v>75.137903124999994</v>
      </c>
      <c r="X31" s="15">
        <v>77.582792187500004</v>
      </c>
      <c r="Y31" s="15">
        <v>36.6978875</v>
      </c>
      <c r="Z31" s="15">
        <v>42.803424999999997</v>
      </c>
      <c r="AA31" s="15">
        <v>45.101806250000003</v>
      </c>
      <c r="AB31" s="16">
        <v>6931.41</v>
      </c>
      <c r="AC31" s="16">
        <v>11856.5</v>
      </c>
      <c r="AD31" s="16">
        <v>412.83300000000003</v>
      </c>
      <c r="AE31" s="16">
        <v>191.947</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12.830152500000001</v>
      </c>
      <c r="J32" s="21">
        <f t="shared" si="1"/>
        <v>0.14644099406108324</v>
      </c>
      <c r="K32" s="21">
        <f t="shared" si="2"/>
        <v>6.3753892684021193E-2</v>
      </c>
      <c r="L32" s="21">
        <f t="shared" si="3"/>
        <v>4.8386802252879599E-2</v>
      </c>
      <c r="M32" s="21">
        <f t="shared" si="4"/>
        <v>8.2687101377062047E-2</v>
      </c>
      <c r="N32" s="18">
        <f t="shared" si="5"/>
        <v>11916112</v>
      </c>
      <c r="O32" s="21">
        <v>16</v>
      </c>
      <c r="P32" s="22">
        <v>184663139</v>
      </c>
      <c r="Q32" s="22">
        <v>2885361.546875</v>
      </c>
      <c r="R32" s="22">
        <v>44778.625</v>
      </c>
      <c r="S32" s="23">
        <v>27370992</v>
      </c>
      <c r="T32" s="23">
        <v>9043880</v>
      </c>
      <c r="U32" s="23">
        <v>2872232</v>
      </c>
      <c r="V32" s="23">
        <v>15454880</v>
      </c>
      <c r="W32" s="24">
        <v>76.444009374999993</v>
      </c>
      <c r="X32" s="24">
        <v>79.129159375</v>
      </c>
      <c r="Y32" s="24">
        <v>38.453512500000002</v>
      </c>
      <c r="Z32" s="24">
        <v>43.326978124999997</v>
      </c>
      <c r="AA32" s="24">
        <v>46.292881250000001</v>
      </c>
      <c r="AB32" s="25">
        <v>6912.78</v>
      </c>
      <c r="AC32" s="25">
        <v>12221.8</v>
      </c>
      <c r="AD32" s="25">
        <v>421.01900000000001</v>
      </c>
      <c r="AE32" s="25">
        <v>193.21899999999999</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21.363933750000001</v>
      </c>
      <c r="J33" s="12">
        <f t="shared" si="1"/>
        <v>0.24384399915785301</v>
      </c>
      <c r="K33" s="12">
        <f t="shared" si="2"/>
        <v>8.6185721187276576E-2</v>
      </c>
      <c r="L33" s="12">
        <f t="shared" si="3"/>
        <v>7.0818630756134981E-2</v>
      </c>
      <c r="M33" s="12">
        <f t="shared" si="4"/>
        <v>0.15765827797057644</v>
      </c>
      <c r="N33" s="54">
        <f t="shared" si="5"/>
        <v>16108800</v>
      </c>
      <c r="O33" s="12">
        <v>16</v>
      </c>
      <c r="P33" s="13">
        <v>188952868</v>
      </c>
      <c r="Q33" s="13">
        <v>2952388.5625</v>
      </c>
      <c r="R33" s="13">
        <v>49662.96875</v>
      </c>
      <c r="S33" s="14">
        <v>45576392</v>
      </c>
      <c r="T33" s="14">
        <v>13236568</v>
      </c>
      <c r="U33" s="14">
        <v>2872232</v>
      </c>
      <c r="V33" s="14">
        <v>29467592</v>
      </c>
      <c r="W33" s="15">
        <v>77.586043750000002</v>
      </c>
      <c r="X33" s="15">
        <v>80.332601562500003</v>
      </c>
      <c r="Y33" s="15">
        <v>40.056317187499999</v>
      </c>
      <c r="Z33" s="15">
        <v>44.025435937499999</v>
      </c>
      <c r="AA33" s="15">
        <v>47.886992187499999</v>
      </c>
      <c r="AB33" s="16">
        <v>6922.47</v>
      </c>
      <c r="AC33" s="16">
        <v>12800.3</v>
      </c>
      <c r="AD33" s="16">
        <v>432.596</v>
      </c>
      <c r="AE33" s="16">
        <v>198.07599999999999</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186907991</v>
      </c>
      <c r="E34" s="38">
        <v>11</v>
      </c>
      <c r="F34" s="38">
        <v>64</v>
      </c>
      <c r="G34" s="38">
        <v>30</v>
      </c>
      <c r="I34" s="39">
        <f t="shared" si="0"/>
        <v>40.011780000000002</v>
      </c>
      <c r="J34" s="40">
        <f t="shared" si="1"/>
        <v>0.45668707658411456</v>
      </c>
      <c r="K34" s="40">
        <f t="shared" si="2"/>
        <v>0.13839275603791601</v>
      </c>
      <c r="L34" s="40">
        <f t="shared" si="3"/>
        <v>0.10748569867192034</v>
      </c>
      <c r="M34" s="40">
        <f t="shared" si="4"/>
        <v>0.31829432054619861</v>
      </c>
      <c r="N34" s="37">
        <f t="shared" si="5"/>
        <v>25866712</v>
      </c>
      <c r="O34" s="40">
        <v>16</v>
      </c>
      <c r="P34" s="41">
        <v>185214441</v>
      </c>
      <c r="Q34" s="41">
        <v>2893975.640625</v>
      </c>
      <c r="R34" s="41">
        <v>21165.515625</v>
      </c>
      <c r="S34" s="42">
        <v>85358464</v>
      </c>
      <c r="T34" s="42">
        <v>20089936</v>
      </c>
      <c r="U34" s="42">
        <v>5776776</v>
      </c>
      <c r="V34" s="42">
        <v>59491752</v>
      </c>
      <c r="W34" s="43">
        <v>78.508043749999999</v>
      </c>
      <c r="X34" s="43">
        <v>81.993964062499998</v>
      </c>
      <c r="Y34" s="43">
        <v>41.551774999999999</v>
      </c>
      <c r="Z34" s="43">
        <v>44.809354687499997</v>
      </c>
      <c r="AA34" s="43">
        <v>49.270271874999999</v>
      </c>
      <c r="AB34" s="44">
        <v>6851.84</v>
      </c>
      <c r="AC34" s="44">
        <v>14080.1</v>
      </c>
      <c r="AD34" s="44">
        <v>421.43099999999998</v>
      </c>
      <c r="AE34" s="44">
        <v>208.864</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6.2276024999999997</v>
      </c>
      <c r="J35" s="12">
        <f t="shared" si="1"/>
        <v>8.0019602391918729E-2</v>
      </c>
      <c r="K35" s="12">
        <f t="shared" si="2"/>
        <v>4.7063665214833496E-2</v>
      </c>
      <c r="L35" s="12">
        <f t="shared" si="3"/>
        <v>2.8873029062357756E-2</v>
      </c>
      <c r="M35" s="12">
        <f t="shared" si="4"/>
        <v>3.2955937177085233E-2</v>
      </c>
      <c r="N35" s="54">
        <f t="shared" si="5"/>
        <v>7813920</v>
      </c>
      <c r="O35" s="12">
        <v>16</v>
      </c>
      <c r="P35" s="13">
        <v>149439565</v>
      </c>
      <c r="Q35" s="13">
        <v>2334993.203125</v>
      </c>
      <c r="R35" s="13">
        <v>31998.515625</v>
      </c>
      <c r="S35" s="14">
        <v>13285552</v>
      </c>
      <c r="T35" s="14">
        <v>4793752</v>
      </c>
      <c r="U35" s="14">
        <v>3020168</v>
      </c>
      <c r="V35" s="14">
        <v>5471632</v>
      </c>
      <c r="W35" s="15">
        <v>73.210637500000004</v>
      </c>
      <c r="X35" s="15">
        <v>75.474950000000007</v>
      </c>
      <c r="Y35" s="15">
        <v>34.087684375000002</v>
      </c>
      <c r="Z35" s="15">
        <v>42.537615625000001</v>
      </c>
      <c r="AA35" s="15">
        <v>44.077350000000003</v>
      </c>
      <c r="AB35" s="16">
        <v>6224.7</v>
      </c>
      <c r="AC35" s="16">
        <v>14620.5</v>
      </c>
      <c r="AD35" s="16">
        <v>347.69799999999998</v>
      </c>
      <c r="AE35" s="16">
        <v>242.47300000000001</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8.8635862500000009</v>
      </c>
      <c r="J36" s="21">
        <f t="shared" si="1"/>
        <v>0.11388983922648852</v>
      </c>
      <c r="K36" s="21">
        <f t="shared" si="2"/>
        <v>5.7604251331989445E-2</v>
      </c>
      <c r="L36" s="21">
        <f t="shared" si="3"/>
        <v>3.9413615179513702E-2</v>
      </c>
      <c r="M36" s="21">
        <f t="shared" si="4"/>
        <v>5.628558789449907E-2</v>
      </c>
      <c r="N36" s="18">
        <f t="shared" si="5"/>
        <v>9563960</v>
      </c>
      <c r="O36" s="21">
        <v>16</v>
      </c>
      <c r="P36" s="22">
        <v>159793992</v>
      </c>
      <c r="Q36" s="22">
        <v>2496781.125</v>
      </c>
      <c r="R36" s="22">
        <v>40635.875</v>
      </c>
      <c r="S36" s="23">
        <v>18908984</v>
      </c>
      <c r="T36" s="23">
        <v>6543792</v>
      </c>
      <c r="U36" s="23">
        <v>3020168</v>
      </c>
      <c r="V36" s="23">
        <v>9345024</v>
      </c>
      <c r="W36" s="24">
        <v>74.940449999999998</v>
      </c>
      <c r="X36" s="24">
        <v>77.395582812499995</v>
      </c>
      <c r="Y36" s="24">
        <v>36.167735937499998</v>
      </c>
      <c r="Z36" s="24">
        <v>43.155681250000001</v>
      </c>
      <c r="AA36" s="24">
        <v>45.348968749999997</v>
      </c>
      <c r="AB36" s="25">
        <v>6192.37</v>
      </c>
      <c r="AC36" s="25">
        <v>14924.6</v>
      </c>
      <c r="AD36" s="25">
        <v>328.11200000000002</v>
      </c>
      <c r="AE36" s="25">
        <v>218.90799999999999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13.500018750000001</v>
      </c>
      <c r="J37" s="12">
        <f t="shared" si="1"/>
        <v>0.17346420755956207</v>
      </c>
      <c r="K37" s="12">
        <f t="shared" si="2"/>
        <v>7.2817089390523393E-2</v>
      </c>
      <c r="L37" s="12">
        <f t="shared" si="3"/>
        <v>5.4626453238047649E-2</v>
      </c>
      <c r="M37" s="12">
        <f t="shared" si="4"/>
        <v>0.10064711816903868</v>
      </c>
      <c r="N37" s="54">
        <f t="shared" si="5"/>
        <v>12089728</v>
      </c>
      <c r="O37" s="12">
        <v>16</v>
      </c>
      <c r="P37" s="13">
        <v>163362133</v>
      </c>
      <c r="Q37" s="13">
        <v>2552533.328125</v>
      </c>
      <c r="R37" s="13">
        <v>43997.828125</v>
      </c>
      <c r="S37" s="14">
        <v>28800040</v>
      </c>
      <c r="T37" s="14">
        <v>9069560</v>
      </c>
      <c r="U37" s="14">
        <v>3020168</v>
      </c>
      <c r="V37" s="14">
        <v>16710312</v>
      </c>
      <c r="W37" s="15">
        <v>76.241079687500005</v>
      </c>
      <c r="X37" s="15">
        <v>78.977154687500004</v>
      </c>
      <c r="Y37" s="15">
        <v>38.015401562500003</v>
      </c>
      <c r="Z37" s="15">
        <v>43.721659375000002</v>
      </c>
      <c r="AA37" s="15">
        <v>46.522646875</v>
      </c>
      <c r="AB37" s="16">
        <v>6208.11</v>
      </c>
      <c r="AC37" s="16">
        <v>15394.7</v>
      </c>
      <c r="AD37" s="16">
        <v>377.96199999999999</v>
      </c>
      <c r="AE37" s="16">
        <v>244.87</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22.556733749999999</v>
      </c>
      <c r="J38" s="21">
        <f t="shared" si="1"/>
        <v>0.28983559338210391</v>
      </c>
      <c r="K38" s="21">
        <f t="shared" si="2"/>
        <v>9.8023716595824109E-2</v>
      </c>
      <c r="L38" s="21">
        <f t="shared" si="3"/>
        <v>7.9833080443348359E-2</v>
      </c>
      <c r="M38" s="21">
        <f t="shared" si="4"/>
        <v>0.19181187678627984</v>
      </c>
      <c r="N38" s="18">
        <f t="shared" si="5"/>
        <v>16274752</v>
      </c>
      <c r="O38" s="21">
        <v>16</v>
      </c>
      <c r="P38" s="22">
        <v>167645166</v>
      </c>
      <c r="Q38" s="22">
        <v>2619455.71875</v>
      </c>
      <c r="R38" s="22">
        <v>49216.015625</v>
      </c>
      <c r="S38" s="23">
        <v>48121032</v>
      </c>
      <c r="T38" s="23">
        <v>13254584</v>
      </c>
      <c r="U38" s="23">
        <v>3020168</v>
      </c>
      <c r="V38" s="23">
        <v>31846280</v>
      </c>
      <c r="W38" s="24">
        <v>77.421584374999995</v>
      </c>
      <c r="X38" s="24">
        <v>80.181292187500006</v>
      </c>
      <c r="Y38" s="24">
        <v>39.781451562500003</v>
      </c>
      <c r="Z38" s="24">
        <v>44.508240624999999</v>
      </c>
      <c r="AA38" s="24">
        <v>47.868728124999997</v>
      </c>
      <c r="AB38" s="25">
        <v>6220.81</v>
      </c>
      <c r="AC38" s="25">
        <v>16107.3</v>
      </c>
      <c r="AD38" s="25">
        <v>390.91800000000001</v>
      </c>
      <c r="AE38" s="25">
        <v>253.239</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166028718</v>
      </c>
      <c r="E39" s="28">
        <v>11</v>
      </c>
      <c r="F39" s="28">
        <v>64</v>
      </c>
      <c r="G39" s="28">
        <v>30</v>
      </c>
      <c r="I39" s="29">
        <f t="shared" si="0"/>
        <v>41.33961</v>
      </c>
      <c r="J39" s="30">
        <f t="shared" si="1"/>
        <v>0.53118020221055973</v>
      </c>
      <c r="K39" s="30">
        <f t="shared" si="2"/>
        <v>0.15820048673748116</v>
      </c>
      <c r="L39" s="30">
        <f t="shared" si="3"/>
        <v>0.1213118805145505</v>
      </c>
      <c r="M39" s="30">
        <f t="shared" si="4"/>
        <v>0.37297971547307857</v>
      </c>
      <c r="N39" s="27">
        <f t="shared" si="5"/>
        <v>26265824</v>
      </c>
      <c r="O39" s="30">
        <v>16</v>
      </c>
      <c r="P39" s="31">
        <v>163814525</v>
      </c>
      <c r="Q39" s="31">
        <v>2559601.953125</v>
      </c>
      <c r="R39" s="31">
        <v>20010.140625</v>
      </c>
      <c r="S39" s="32">
        <v>88191168</v>
      </c>
      <c r="T39" s="32">
        <v>20141256</v>
      </c>
      <c r="U39" s="32">
        <v>6124568</v>
      </c>
      <c r="V39" s="32">
        <v>61925344</v>
      </c>
      <c r="W39" s="33">
        <v>78.307156250000006</v>
      </c>
      <c r="X39" s="33">
        <v>81.904659374999994</v>
      </c>
      <c r="Y39" s="33">
        <v>41.3705421875</v>
      </c>
      <c r="Z39" s="33">
        <v>45.495809375</v>
      </c>
      <c r="AA39" s="33">
        <v>49.194292187499997</v>
      </c>
      <c r="AB39" s="34">
        <v>6239.81</v>
      </c>
      <c r="AC39" s="34">
        <v>17542.900000000001</v>
      </c>
      <c r="AD39" s="34">
        <v>378.137</v>
      </c>
      <c r="AE39" s="34">
        <v>265.22500000000002</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0.39653490897508969</v>
      </c>
      <c r="K40" s="48">
        <f>AVERAGE(K5:K24)</f>
        <v>0.12838094898211594</v>
      </c>
      <c r="L40" s="48">
        <f>AVERAGE(L5:L24)</f>
        <v>9.0551988153411797E-2</v>
      </c>
      <c r="M40" s="48">
        <f>AVERAGE(M5:M24)</f>
        <v>0.26815395999297387</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0.79431782506582593</v>
      </c>
      <c r="K41" s="48">
        <f>AVERAGE(K25:K29)</f>
        <v>0.12190411376943029</v>
      </c>
      <c r="L41" s="48">
        <f>AVERAGE(L25:L29)</f>
        <v>8.9532517327922029E-2</v>
      </c>
      <c r="M41" s="48">
        <f>AVERAGE(M25:M29)</f>
        <v>0.67241371129639549</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0.21972070934499768</v>
      </c>
      <c r="K42" s="48">
        <f>AVERAGE(K30:K39)</f>
        <v>8.130666868222669E-2</v>
      </c>
      <c r="L42" s="48">
        <f>AVERAGE(L30:L39)</f>
        <v>6.1104011689887119E-2</v>
      </c>
      <c r="M42" s="48">
        <f>AVERAGE(M30:M39)</f>
        <v>0.13841404066277102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0.40284269709374004</v>
      </c>
      <c r="K43" s="48">
        <f>AVERAGE(K5:K39)</f>
        <v>0.1140058924374782</v>
      </c>
      <c r="L43" s="48">
        <f>AVERAGE(L5:L39)</f>
        <v>8.1992641903049071E-2</v>
      </c>
      <c r="M43" s="48">
        <f>AVERAGE(M5:M39)</f>
        <v>0.28883680465626194</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868953.71999999974</v>
      </c>
      <c r="AC44" s="49">
        <f>SUM(AC5:AC24,AC25:AC29,AC30:AC39)</f>
        <v>611176.1</v>
      </c>
      <c r="AD44" s="49">
        <f>SUM(AD5:AD24,AD25:AD29,AD30:AD39)</f>
        <v>17917.131000000001</v>
      </c>
      <c r="AE44" s="49">
        <f>SUM(AE5:AE24,AE25:AE29,AE30:AE39)</f>
        <v>9237.3959999999988</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19569.096790559579</v>
      </c>
      <c r="AC46" s="49">
        <f>GEOMEAN(AC5:AC24,AC25:AC29,AC30:AC39)</f>
        <v>17172.785366728804</v>
      </c>
      <c r="AD46" s="49">
        <f>GEOMEAN(AD5:AD24,AD25:AD29,AD30:AD39)</f>
        <v>501.63974354902257</v>
      </c>
      <c r="AE46" s="49">
        <f>GEOMEAN(AE5:AE24,AE25:AE29,AE30:AE39)</f>
        <v>261.36008794304047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29" sqref="F29"/>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0.16882800462006581</v>
      </c>
      <c r="I5" s="11">
        <f t="shared" ref="I5:I11" si="1">IF(OR(ISBLANK(Q5),ISBLANK(F5)),"·",Q5*F5/E5/1000000)</f>
        <v>217.11121199999999</v>
      </c>
      <c r="J5" s="12">
        <f t="shared" ref="J5:J11" si="2">IF(ISBLANK(Q5),"·",Q5/C5)</f>
        <v>9.1167122494835535</v>
      </c>
      <c r="K5" s="12">
        <f t="shared" ref="K5:K11" si="3">IF(N5="","·",N5/C5)</f>
        <v>1.4349644962706993</v>
      </c>
      <c r="L5" s="12">
        <f t="shared" ref="L5:L11" si="4">IF(R5="","·",R5/C5)</f>
        <v>1.3377396930613155</v>
      </c>
      <c r="M5" s="12">
        <f t="shared" ref="M5:M11" si="5">IF(ISBLANK(T5),"·",T5/C5)</f>
        <v>7.6817477532128544</v>
      </c>
      <c r="N5" s="54">
        <f t="shared" ref="N5:N11" si="6">IF(OR(ISBLANK(R5),ISBLANK(S5)),"",R5+S5)</f>
        <v>341731616</v>
      </c>
      <c r="O5" s="12">
        <v>16</v>
      </c>
      <c r="P5" s="13">
        <v>238146391</v>
      </c>
      <c r="Q5" s="14">
        <v>2171112120</v>
      </c>
      <c r="R5" s="14">
        <v>318577880</v>
      </c>
      <c r="S5" s="14">
        <v>23153736</v>
      </c>
      <c r="T5" s="14">
        <v>1829380504</v>
      </c>
      <c r="U5" s="15" t="s">
        <v>571</v>
      </c>
      <c r="V5" s="15" t="s">
        <v>571</v>
      </c>
      <c r="W5" s="15" t="s">
        <v>571</v>
      </c>
      <c r="X5" s="15" t="s">
        <v>571</v>
      </c>
      <c r="Y5" s="15" t="s">
        <v>571</v>
      </c>
      <c r="Z5" s="16">
        <v>33546.800000000003</v>
      </c>
      <c r="AA5" s="16">
        <v>55656.6</v>
      </c>
      <c r="AB5" s="16">
        <v>57.360999999999997</v>
      </c>
      <c r="AC5" s="16">
        <v>267.12</v>
      </c>
      <c r="AE5" s="17">
        <f t="shared" ref="AE5:AE11" si="7">IF(ISBLANK(Q5),"·",Q5/(C5*(D5*3+IF(AND(ISNUMBER(T5),T5&gt;0),24,0))))</f>
        <v>0.16882800462006581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0.24066282943345454</v>
      </c>
      <c r="I6" s="20">
        <f t="shared" si="1"/>
        <v>283.46584639999998</v>
      </c>
      <c r="J6" s="21">
        <f t="shared" si="2"/>
        <v>12.995792789406545</v>
      </c>
      <c r="K6" s="21">
        <f t="shared" si="3"/>
        <v>1.7636050321041177</v>
      </c>
      <c r="L6" s="21">
        <f t="shared" si="4"/>
        <v>1.6027027390573909</v>
      </c>
      <c r="M6" s="21">
        <f t="shared" si="5"/>
        <v>11.232187757302427</v>
      </c>
      <c r="N6" s="18">
        <f t="shared" si="6"/>
        <v>384679720</v>
      </c>
      <c r="O6" s="21">
        <v>16</v>
      </c>
      <c r="P6" s="22">
        <v>218121242</v>
      </c>
      <c r="Q6" s="23">
        <v>2834658464</v>
      </c>
      <c r="R6" s="23">
        <v>349583512</v>
      </c>
      <c r="S6" s="23">
        <v>35096208</v>
      </c>
      <c r="T6" s="23">
        <v>2449978744</v>
      </c>
      <c r="U6" s="24" t="s">
        <v>571</v>
      </c>
      <c r="V6" s="24" t="s">
        <v>571</v>
      </c>
      <c r="W6" s="24" t="s">
        <v>571</v>
      </c>
      <c r="X6" s="24" t="s">
        <v>571</v>
      </c>
      <c r="Y6" s="24" t="s">
        <v>571</v>
      </c>
      <c r="Z6" s="25">
        <v>30967.5</v>
      </c>
      <c r="AA6" s="25">
        <v>56575.1</v>
      </c>
      <c r="AB6" s="25">
        <v>55.109000000000002</v>
      </c>
      <c r="AC6" s="25">
        <v>282.05700000000002</v>
      </c>
      <c r="AE6" s="26">
        <f t="shared" si="7"/>
        <v>0.24066282943345454</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0.18813087769269954</v>
      </c>
      <c r="I7" s="11">
        <f t="shared" si="1"/>
        <v>327.72105439999996</v>
      </c>
      <c r="J7" s="12">
        <f t="shared" si="2"/>
        <v>10.159067395405776</v>
      </c>
      <c r="K7" s="12">
        <f t="shared" si="3"/>
        <v>1.6478056720619949</v>
      </c>
      <c r="L7" s="12">
        <f t="shared" si="4"/>
        <v>1.5287124724848626</v>
      </c>
      <c r="M7" s="12">
        <f t="shared" si="5"/>
        <v>8.5112617233437806</v>
      </c>
      <c r="N7" s="54">
        <f t="shared" si="6"/>
        <v>531565144</v>
      </c>
      <c r="O7" s="12">
        <v>16</v>
      </c>
      <c r="P7" s="13">
        <v>322589704</v>
      </c>
      <c r="Q7" s="14">
        <v>3277210544</v>
      </c>
      <c r="R7" s="14">
        <v>493146904</v>
      </c>
      <c r="S7" s="14">
        <v>38418240</v>
      </c>
      <c r="T7" s="14">
        <v>2745645400</v>
      </c>
      <c r="U7" s="15" t="s">
        <v>571</v>
      </c>
      <c r="V7" s="15" t="s">
        <v>571</v>
      </c>
      <c r="W7" s="15" t="s">
        <v>571</v>
      </c>
      <c r="X7" s="15" t="s">
        <v>571</v>
      </c>
      <c r="Y7" s="15" t="s">
        <v>571</v>
      </c>
      <c r="Z7" s="16">
        <v>43388</v>
      </c>
      <c r="AA7" s="16">
        <v>73997.5</v>
      </c>
      <c r="AB7" s="16">
        <v>72.209999999999994</v>
      </c>
      <c r="AC7" s="16">
        <v>314.76799999999997</v>
      </c>
      <c r="AE7" s="17">
        <f t="shared" si="7"/>
        <v>0.18813087769269954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0.16104683532369352</v>
      </c>
      <c r="I8" s="39">
        <f t="shared" si="1"/>
        <v>435.87506719999999</v>
      </c>
      <c r="J8" s="40">
        <f t="shared" si="2"/>
        <v>8.6965291074794511</v>
      </c>
      <c r="K8" s="40">
        <f t="shared" si="3"/>
        <v>1.2303637151576197</v>
      </c>
      <c r="L8" s="40">
        <f t="shared" si="4"/>
        <v>1.0860655554049454</v>
      </c>
      <c r="M8" s="40">
        <f t="shared" si="5"/>
        <v>7.4661653923218312</v>
      </c>
      <c r="N8" s="37">
        <f t="shared" si="6"/>
        <v>308332704</v>
      </c>
      <c r="O8" s="40">
        <v>16</v>
      </c>
      <c r="P8" s="41">
        <v>250602891</v>
      </c>
      <c r="Q8" s="42">
        <v>2179375336</v>
      </c>
      <c r="R8" s="42">
        <v>272171168</v>
      </c>
      <c r="S8" s="42">
        <v>36161536</v>
      </c>
      <c r="T8" s="42">
        <v>1871042632</v>
      </c>
      <c r="U8" s="43" t="s">
        <v>571</v>
      </c>
      <c r="V8" s="43" t="s">
        <v>571</v>
      </c>
      <c r="W8" s="43" t="s">
        <v>571</v>
      </c>
      <c r="X8" s="43" t="s">
        <v>571</v>
      </c>
      <c r="Y8" s="43" t="s">
        <v>571</v>
      </c>
      <c r="Z8" s="44">
        <v>33679.9</v>
      </c>
      <c r="AA8" s="44">
        <v>50932.800000000003</v>
      </c>
      <c r="AB8" s="44">
        <v>53.393000000000001</v>
      </c>
      <c r="AC8" s="44">
        <v>254.12700000000001</v>
      </c>
      <c r="AE8" s="46">
        <f t="shared" si="7"/>
        <v>0.16104683532369352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0.27564993648016572</v>
      </c>
      <c r="I9" s="29">
        <f t="shared" si="1"/>
        <v>372.56590239999997</v>
      </c>
      <c r="J9" s="30">
        <f t="shared" si="2"/>
        <v>14.885096569928949</v>
      </c>
      <c r="K9" s="30">
        <f t="shared" si="3"/>
        <v>1.5214848877551812</v>
      </c>
      <c r="L9" s="30">
        <f t="shared" si="4"/>
        <v>1.4219677835455504</v>
      </c>
      <c r="M9" s="30">
        <f t="shared" si="5"/>
        <v>13.363611682173767</v>
      </c>
      <c r="N9" s="27">
        <f t="shared" si="6"/>
        <v>380819424</v>
      </c>
      <c r="O9" s="30">
        <v>16</v>
      </c>
      <c r="P9" s="31">
        <v>250294582</v>
      </c>
      <c r="Q9" s="32">
        <v>3725659024</v>
      </c>
      <c r="R9" s="32">
        <v>355910832</v>
      </c>
      <c r="S9" s="32">
        <v>24908592</v>
      </c>
      <c r="T9" s="32">
        <v>3344839600</v>
      </c>
      <c r="U9" s="33" t="s">
        <v>571</v>
      </c>
      <c r="V9" s="33" t="s">
        <v>571</v>
      </c>
      <c r="W9" s="33" t="s">
        <v>571</v>
      </c>
      <c r="X9" s="33" t="s">
        <v>571</v>
      </c>
      <c r="Y9" s="33" t="s">
        <v>571</v>
      </c>
      <c r="Z9" s="34">
        <v>14169.9</v>
      </c>
      <c r="AA9" s="34">
        <v>61996.3</v>
      </c>
      <c r="AB9" s="34">
        <v>59.23</v>
      </c>
      <c r="AC9" s="34">
        <v>299.70999999999998</v>
      </c>
      <c r="AE9" s="36">
        <f t="shared" si="7"/>
        <v>0.27564993648016572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0.17260552696594847</v>
      </c>
      <c r="I10" s="20">
        <f t="shared" si="1"/>
        <v>861.98300625000002</v>
      </c>
      <c r="J10" s="21">
        <f t="shared" si="2"/>
        <v>9.8385150370590626</v>
      </c>
      <c r="K10" s="21">
        <f t="shared" si="3"/>
        <v>1.1270006320917547</v>
      </c>
      <c r="L10" s="21">
        <f t="shared" si="4"/>
        <v>1.0768247142520515</v>
      </c>
      <c r="M10" s="21">
        <f t="shared" si="5"/>
        <v>8.7115144049673088</v>
      </c>
      <c r="N10" s="18">
        <f t="shared" si="6"/>
        <v>210645424</v>
      </c>
      <c r="O10" s="21">
        <v>16</v>
      </c>
      <c r="P10" s="22">
        <v>186907991</v>
      </c>
      <c r="Q10" s="23">
        <v>1838897080</v>
      </c>
      <c r="R10" s="23">
        <v>201267144</v>
      </c>
      <c r="S10" s="23">
        <v>9378280</v>
      </c>
      <c r="T10" s="23">
        <v>1628251656</v>
      </c>
      <c r="U10" s="24" t="s">
        <v>571</v>
      </c>
      <c r="V10" s="24" t="s">
        <v>571</v>
      </c>
      <c r="W10" s="24" t="s">
        <v>571</v>
      </c>
      <c r="X10" s="24" t="s">
        <v>571</v>
      </c>
      <c r="Y10" s="24" t="s">
        <v>571</v>
      </c>
      <c r="Z10" s="25">
        <v>6151.51</v>
      </c>
      <c r="AA10" s="25">
        <v>39445.9</v>
      </c>
      <c r="AB10" s="25">
        <v>38.883000000000003</v>
      </c>
      <c r="AC10" s="25">
        <v>179.44800000000001</v>
      </c>
      <c r="AE10" s="26">
        <f t="shared" si="7"/>
        <v>0.17260552696594847</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0.17521759773394754</v>
      </c>
      <c r="I11" s="29">
        <f t="shared" si="1"/>
        <v>777.2792475</v>
      </c>
      <c r="J11" s="30">
        <f t="shared" si="2"/>
        <v>9.9874030708350112</v>
      </c>
      <c r="K11" s="30">
        <f t="shared" si="3"/>
        <v>1.1933266147366144</v>
      </c>
      <c r="L11" s="30">
        <f t="shared" si="4"/>
        <v>1.1351388017101958</v>
      </c>
      <c r="M11" s="30">
        <f t="shared" si="5"/>
        <v>8.7940764560983968</v>
      </c>
      <c r="N11" s="27">
        <f t="shared" si="6"/>
        <v>198126488</v>
      </c>
      <c r="O11" s="30">
        <v>16</v>
      </c>
      <c r="P11" s="31">
        <v>166028718</v>
      </c>
      <c r="Q11" s="32">
        <v>1658195728</v>
      </c>
      <c r="R11" s="32">
        <v>188465640</v>
      </c>
      <c r="S11" s="32">
        <v>9660848</v>
      </c>
      <c r="T11" s="32">
        <v>1460069240</v>
      </c>
      <c r="U11" s="33" t="s">
        <v>571</v>
      </c>
      <c r="V11" s="33" t="s">
        <v>571</v>
      </c>
      <c r="W11" s="33" t="s">
        <v>571</v>
      </c>
      <c r="X11" s="33" t="s">
        <v>571</v>
      </c>
      <c r="Y11" s="33" t="s">
        <v>571</v>
      </c>
      <c r="Z11" s="34">
        <v>5416.03</v>
      </c>
      <c r="AA11" s="34">
        <v>41653.800000000003</v>
      </c>
      <c r="AB11" s="34">
        <v>41.759</v>
      </c>
      <c r="AC11" s="34">
        <v>207.089</v>
      </c>
      <c r="AE11" s="36">
        <f t="shared" si="7"/>
        <v>0.17521759773394754</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10.242025385443831</v>
      </c>
      <c r="K12" s="48">
        <f>AVERAGE(K5:K8)</f>
        <v>1.519184728898608</v>
      </c>
      <c r="L12" s="48">
        <f>AVERAGE(L5:L8)</f>
        <v>1.3888051150021286</v>
      </c>
      <c r="M12" s="48">
        <f>AVERAGE(M5:M8)</f>
        <v>8.7228406565452232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14.885096569928949</v>
      </c>
      <c r="K13" s="48">
        <f>AVERAGE(K9:K9)</f>
        <v>1.5214848877551812</v>
      </c>
      <c r="L13" s="48">
        <f>AVERAGE(L9:L9)</f>
        <v>1.4219677835455504</v>
      </c>
      <c r="M13" s="48">
        <f>AVERAGE(M9:M9)</f>
        <v>13.363611682173767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9.9129590539470378</v>
      </c>
      <c r="K14" s="48">
        <f>AVERAGE(K10:K11)</f>
        <v>1.1601636234141846</v>
      </c>
      <c r="L14" s="48">
        <f>AVERAGE(L10:L11)</f>
        <v>1.1059817579811235</v>
      </c>
      <c r="M14" s="48">
        <f>AVERAGE(M10:M11)</f>
        <v>8.7527954305328528</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10.811302317085479</v>
      </c>
      <c r="K15" s="48">
        <f>AVERAGE(K5:K11)</f>
        <v>1.4169358643111405</v>
      </c>
      <c r="L15" s="48">
        <f>AVERAGE(L5:L11)</f>
        <v>1.3127359656451874</v>
      </c>
      <c r="M15" s="48">
        <f>AVERAGE(M5:M11)</f>
        <v>9.3943664527743387</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167319.64000000001</v>
      </c>
      <c r="AA16" s="49">
        <f>SUM(AA5:AA8,AA9:AA9,AA10:AA11)</f>
        <v>380258</v>
      </c>
      <c r="AB16" s="49">
        <f>SUM(AB5:AB8,AB9:AB9,AB10:AB11)</f>
        <v>377.94499999999999</v>
      </c>
      <c r="AC16" s="49">
        <f>SUM(AC5:AC8,AC9:AC9,AC10:AC11)</f>
        <v>1804.319</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18409.701645712506</v>
      </c>
      <c r="AA18" s="49">
        <f>GEOMEAN(AA5:AA8,AA9:AA9,AA10:AA11)</f>
        <v>53217.457776452822</v>
      </c>
      <c r="AB18" s="49">
        <f>GEOMEAN(AB5:AB8,AB9:AB9,AB10:AB11)</f>
        <v>52.983290774818869</v>
      </c>
      <c r="AC18" s="49">
        <f>GEOMEAN(AC5:AC8,AC9:AC9,AC10:AC11)</f>
        <v>253.41961267287735</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28" sqref="F28"/>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0.16737540976540677</v>
      </c>
      <c r="I5" s="11">
        <f t="shared" ref="I5:I11" si="1">IF(OR(ISBLANK(Q5),ISBLANK(F5)),"·",Q5*F5/E5/1000000)</f>
        <v>215.24318880000001</v>
      </c>
      <c r="J5" s="12">
        <f t="shared" ref="J5:J11" si="2">IF(ISBLANK(Q5),"·",Q5/C5)</f>
        <v>9.0382721273319646</v>
      </c>
      <c r="K5" s="12">
        <f t="shared" ref="K5:K11" si="3">IF(N5="","·",N5/C5)</f>
        <v>1.4170302165108184</v>
      </c>
      <c r="L5" s="12">
        <f t="shared" ref="L5:L11" si="4">IF(R5="","·",R5/C5)</f>
        <v>1.3191548554687105</v>
      </c>
      <c r="M5" s="12">
        <f t="shared" ref="M5:M11" si="5">IF(ISBLANK(T5),"·",T5/C5)</f>
        <v>7.6212419108211469</v>
      </c>
      <c r="N5" s="54">
        <f t="shared" ref="N5:N11" si="6">IF(OR(ISBLANK(R5),ISBLANK(S5)),"",R5+S5)</f>
        <v>337460632</v>
      </c>
      <c r="O5" s="12">
        <v>16</v>
      </c>
      <c r="P5" s="13">
        <v>238146391</v>
      </c>
      <c r="Q5" s="14">
        <v>2152431888</v>
      </c>
      <c r="R5" s="14">
        <v>314151968</v>
      </c>
      <c r="S5" s="14">
        <v>23308664</v>
      </c>
      <c r="T5" s="14">
        <v>1814971256</v>
      </c>
      <c r="U5" s="15" t="s">
        <v>571</v>
      </c>
      <c r="V5" s="15" t="s">
        <v>571</v>
      </c>
      <c r="W5" s="15" t="s">
        <v>571</v>
      </c>
      <c r="X5" s="15" t="s">
        <v>571</v>
      </c>
      <c r="Y5" s="15" t="s">
        <v>571</v>
      </c>
      <c r="Z5" s="16">
        <v>33517</v>
      </c>
      <c r="AA5" s="16">
        <v>82439.199999999997</v>
      </c>
      <c r="AB5" s="16">
        <v>58.334000000000003</v>
      </c>
      <c r="AC5" s="16">
        <v>267.65100000000001</v>
      </c>
      <c r="AE5" s="17">
        <f t="shared" ref="AE5:AE11" si="7">IF(ISBLANK(Q5),"·",Q5/(C5*(D5*3+IF(AND(ISNUMBER(T5),T5&gt;0),24,0))))</f>
        <v>0.16737540976540677</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0.23916864174643379</v>
      </c>
      <c r="I6" s="20">
        <f t="shared" si="1"/>
        <v>281.70591039999999</v>
      </c>
      <c r="J6" s="21">
        <f t="shared" si="2"/>
        <v>12.915106654307424</v>
      </c>
      <c r="K6" s="21">
        <f t="shared" si="3"/>
        <v>1.7618313763315174</v>
      </c>
      <c r="L6" s="21">
        <f t="shared" si="4"/>
        <v>1.5954921070915229</v>
      </c>
      <c r="M6" s="21">
        <f t="shared" si="5"/>
        <v>11.153275277975906</v>
      </c>
      <c r="N6" s="18">
        <f t="shared" si="6"/>
        <v>384292848</v>
      </c>
      <c r="O6" s="21">
        <v>16</v>
      </c>
      <c r="P6" s="22">
        <v>218121242</v>
      </c>
      <c r="Q6" s="23">
        <v>2817059104</v>
      </c>
      <c r="R6" s="23">
        <v>348010720</v>
      </c>
      <c r="S6" s="23">
        <v>36282128</v>
      </c>
      <c r="T6" s="23">
        <v>2432766256</v>
      </c>
      <c r="U6" s="24" t="s">
        <v>571</v>
      </c>
      <c r="V6" s="24" t="s">
        <v>571</v>
      </c>
      <c r="W6" s="24" t="s">
        <v>571</v>
      </c>
      <c r="X6" s="24" t="s">
        <v>571</v>
      </c>
      <c r="Y6" s="24" t="s">
        <v>571</v>
      </c>
      <c r="Z6" s="25">
        <v>30809.9</v>
      </c>
      <c r="AA6" s="25">
        <v>98955.3</v>
      </c>
      <c r="AB6" s="25">
        <v>57.203000000000003</v>
      </c>
      <c r="AC6" s="25">
        <v>300.89100000000002</v>
      </c>
      <c r="AE6" s="26">
        <f t="shared" si="7"/>
        <v>0.23916864174643379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0.18406722431354289</v>
      </c>
      <c r="I7" s="11">
        <f t="shared" si="1"/>
        <v>320.6422336</v>
      </c>
      <c r="J7" s="12">
        <f t="shared" si="2"/>
        <v>9.9396301129313169</v>
      </c>
      <c r="K7" s="12">
        <f t="shared" si="3"/>
        <v>1.5521417385348417</v>
      </c>
      <c r="L7" s="12">
        <f t="shared" si="4"/>
        <v>1.4374309974877562</v>
      </c>
      <c r="M7" s="12">
        <f t="shared" si="5"/>
        <v>8.3874883743964741</v>
      </c>
      <c r="N7" s="54">
        <f t="shared" si="6"/>
        <v>500704944</v>
      </c>
      <c r="O7" s="12">
        <v>16</v>
      </c>
      <c r="P7" s="13">
        <v>322589704</v>
      </c>
      <c r="Q7" s="14">
        <v>3206422336</v>
      </c>
      <c r="R7" s="14">
        <v>463700440</v>
      </c>
      <c r="S7" s="14">
        <v>37004504</v>
      </c>
      <c r="T7" s="14">
        <v>2705717392</v>
      </c>
      <c r="U7" s="15" t="s">
        <v>571</v>
      </c>
      <c r="V7" s="15" t="s">
        <v>571</v>
      </c>
      <c r="W7" s="15" t="s">
        <v>571</v>
      </c>
      <c r="X7" s="15" t="s">
        <v>571</v>
      </c>
      <c r="Y7" s="15" t="s">
        <v>571</v>
      </c>
      <c r="Z7" s="16">
        <v>43451.1</v>
      </c>
      <c r="AA7" s="16">
        <v>103704</v>
      </c>
      <c r="AB7" s="16">
        <v>72.447999999999993</v>
      </c>
      <c r="AC7" s="16">
        <v>316.137</v>
      </c>
      <c r="AE7" s="17">
        <f t="shared" si="7"/>
        <v>0.18406722431354289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0.15307486438995452</v>
      </c>
      <c r="I8" s="39">
        <f t="shared" si="1"/>
        <v>414.29883839999997</v>
      </c>
      <c r="J8" s="40">
        <f t="shared" si="2"/>
        <v>8.2660426770575448</v>
      </c>
      <c r="K8" s="40">
        <f t="shared" si="3"/>
        <v>1.0092092034165718</v>
      </c>
      <c r="L8" s="40">
        <f t="shared" si="4"/>
        <v>0.89337136976604148</v>
      </c>
      <c r="M8" s="40">
        <f t="shared" si="5"/>
        <v>7.2568334736409721</v>
      </c>
      <c r="N8" s="37">
        <f t="shared" si="6"/>
        <v>252910744</v>
      </c>
      <c r="O8" s="40">
        <v>16</v>
      </c>
      <c r="P8" s="41">
        <v>250602891</v>
      </c>
      <c r="Q8" s="42">
        <v>2071494192</v>
      </c>
      <c r="R8" s="42">
        <v>223881448</v>
      </c>
      <c r="S8" s="42">
        <v>29029296</v>
      </c>
      <c r="T8" s="42">
        <v>1818583448</v>
      </c>
      <c r="U8" s="43" t="s">
        <v>571</v>
      </c>
      <c r="V8" s="43" t="s">
        <v>571</v>
      </c>
      <c r="W8" s="43" t="s">
        <v>571</v>
      </c>
      <c r="X8" s="43" t="s">
        <v>571</v>
      </c>
      <c r="Y8" s="43" t="s">
        <v>571</v>
      </c>
      <c r="Z8" s="44">
        <v>33637.9</v>
      </c>
      <c r="AA8" s="44">
        <v>67552.7</v>
      </c>
      <c r="AB8" s="44">
        <v>52.435000000000002</v>
      </c>
      <c r="AC8" s="44">
        <v>228.46700000000001</v>
      </c>
      <c r="AE8" s="46">
        <f t="shared" si="7"/>
        <v>0.15307486438995452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0.27383404834015412</v>
      </c>
      <c r="I9" s="29">
        <f t="shared" si="1"/>
        <v>370.1115648</v>
      </c>
      <c r="J9" s="30">
        <f t="shared" si="2"/>
        <v>14.787038610368322</v>
      </c>
      <c r="K9" s="30">
        <f t="shared" si="3"/>
        <v>1.5157997147537137</v>
      </c>
      <c r="L9" s="30">
        <f t="shared" si="4"/>
        <v>1.4142692069938614</v>
      </c>
      <c r="M9" s="30">
        <f t="shared" si="5"/>
        <v>13.271238895614609</v>
      </c>
      <c r="N9" s="27">
        <f t="shared" si="6"/>
        <v>379396456</v>
      </c>
      <c r="O9" s="30">
        <v>16</v>
      </c>
      <c r="P9" s="31">
        <v>250294582</v>
      </c>
      <c r="Q9" s="32">
        <v>3701115648</v>
      </c>
      <c r="R9" s="32">
        <v>353983920</v>
      </c>
      <c r="S9" s="32">
        <v>25412536</v>
      </c>
      <c r="T9" s="32">
        <v>3321719192</v>
      </c>
      <c r="U9" s="33" t="s">
        <v>571</v>
      </c>
      <c r="V9" s="33" t="s">
        <v>571</v>
      </c>
      <c r="W9" s="33" t="s">
        <v>571</v>
      </c>
      <c r="X9" s="33" t="s">
        <v>571</v>
      </c>
      <c r="Y9" s="33" t="s">
        <v>571</v>
      </c>
      <c r="Z9" s="34">
        <v>14226.1</v>
      </c>
      <c r="AA9" s="34">
        <v>101913</v>
      </c>
      <c r="AB9" s="34">
        <v>62.274999999999999</v>
      </c>
      <c r="AC9" s="34">
        <v>320.32</v>
      </c>
      <c r="AE9" s="36">
        <f t="shared" si="7"/>
        <v>0.27383404834015412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0.172553589599761</v>
      </c>
      <c r="I10" s="20">
        <f t="shared" si="1"/>
        <v>861.72363374999998</v>
      </c>
      <c r="J10" s="21">
        <f t="shared" si="2"/>
        <v>9.8355546071863778</v>
      </c>
      <c r="K10" s="21">
        <f t="shared" si="3"/>
        <v>1.1260541985066865</v>
      </c>
      <c r="L10" s="21">
        <f t="shared" si="4"/>
        <v>1.0744377430069323</v>
      </c>
      <c r="M10" s="21">
        <f t="shared" si="5"/>
        <v>8.7095004086796912</v>
      </c>
      <c r="N10" s="18">
        <f t="shared" si="6"/>
        <v>210468528</v>
      </c>
      <c r="O10" s="21">
        <v>16</v>
      </c>
      <c r="P10" s="22">
        <v>186907991</v>
      </c>
      <c r="Q10" s="23">
        <v>1838343752</v>
      </c>
      <c r="R10" s="23">
        <v>200821000</v>
      </c>
      <c r="S10" s="23">
        <v>9647528</v>
      </c>
      <c r="T10" s="23">
        <v>1627875224</v>
      </c>
      <c r="U10" s="24" t="s">
        <v>571</v>
      </c>
      <c r="V10" s="24" t="s">
        <v>571</v>
      </c>
      <c r="W10" s="24" t="s">
        <v>571</v>
      </c>
      <c r="X10" s="24" t="s">
        <v>571</v>
      </c>
      <c r="Y10" s="24" t="s">
        <v>571</v>
      </c>
      <c r="Z10" s="25">
        <v>6190.37</v>
      </c>
      <c r="AA10" s="25">
        <v>82947.199999999997</v>
      </c>
      <c r="AB10" s="25">
        <v>45.851999999999997</v>
      </c>
      <c r="AC10" s="25">
        <v>231.934</v>
      </c>
      <c r="AE10" s="26">
        <f t="shared" si="7"/>
        <v>0.172553589599761</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0.17519372784103363</v>
      </c>
      <c r="I11" s="29">
        <f t="shared" si="1"/>
        <v>777.17335875000003</v>
      </c>
      <c r="J11" s="30">
        <f t="shared" si="2"/>
        <v>9.9860424869389171</v>
      </c>
      <c r="K11" s="30">
        <f t="shared" si="3"/>
        <v>1.1936596173681231</v>
      </c>
      <c r="L11" s="30">
        <f t="shared" si="4"/>
        <v>1.1339409848361295</v>
      </c>
      <c r="M11" s="30">
        <f t="shared" si="5"/>
        <v>8.792382869570794</v>
      </c>
      <c r="N11" s="27">
        <f t="shared" si="6"/>
        <v>198181776</v>
      </c>
      <c r="O11" s="30">
        <v>16</v>
      </c>
      <c r="P11" s="31">
        <v>166028718</v>
      </c>
      <c r="Q11" s="32">
        <v>1657969832</v>
      </c>
      <c r="R11" s="32">
        <v>188266768</v>
      </c>
      <c r="S11" s="32">
        <v>9915008</v>
      </c>
      <c r="T11" s="32">
        <v>1459788056</v>
      </c>
      <c r="U11" s="33" t="s">
        <v>571</v>
      </c>
      <c r="V11" s="33" t="s">
        <v>571</v>
      </c>
      <c r="W11" s="33" t="s">
        <v>571</v>
      </c>
      <c r="X11" s="33" t="s">
        <v>571</v>
      </c>
      <c r="Y11" s="33" t="s">
        <v>571</v>
      </c>
      <c r="Z11" s="34">
        <v>5478.98</v>
      </c>
      <c r="AA11" s="34">
        <v>87309.2</v>
      </c>
      <c r="AB11" s="34">
        <v>44.692</v>
      </c>
      <c r="AC11" s="34">
        <v>227.934</v>
      </c>
      <c r="AE11" s="36">
        <f t="shared" si="7"/>
        <v>0.17519372784103363</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10.039762892907063</v>
      </c>
      <c r="K12" s="48">
        <f>AVERAGE(K5:K8)</f>
        <v>1.4350531336984373</v>
      </c>
      <c r="L12" s="48">
        <f>AVERAGE(L5:L8)</f>
        <v>1.3113623324535078</v>
      </c>
      <c r="M12" s="48">
        <f>AVERAGE(M5:M8)</f>
        <v>8.6047097592086246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14.787038610368322</v>
      </c>
      <c r="K13" s="48">
        <f>AVERAGE(K9:K9)</f>
        <v>1.5157997147537137</v>
      </c>
      <c r="L13" s="48">
        <f>AVERAGE(L9:L9)</f>
        <v>1.4142692069938614</v>
      </c>
      <c r="M13" s="48">
        <f>AVERAGE(M9:M9)</f>
        <v>13.271238895614609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9.9107985470626474</v>
      </c>
      <c r="K14" s="48">
        <f>AVERAGE(K10:K11)</f>
        <v>1.1598569079374048</v>
      </c>
      <c r="L14" s="48">
        <f>AVERAGE(L10:L11)</f>
        <v>1.104189363921531</v>
      </c>
      <c r="M14" s="48">
        <f>AVERAGE(M10:M11)</f>
        <v>8.7509416391252426</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10.681098182303122</v>
      </c>
      <c r="K15" s="48">
        <f>AVERAGE(K5:K11)</f>
        <v>1.3679608664888963</v>
      </c>
      <c r="L15" s="48">
        <f>AVERAGE(L5:L11)</f>
        <v>1.2668710378072792</v>
      </c>
      <c r="M15" s="48">
        <f>AVERAGE(M5:M11)</f>
        <v>9.3131373158142274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167311.35</v>
      </c>
      <c r="AA16" s="49">
        <f>SUM(AA5:AA8,AA9:AA9,AA10:AA11)</f>
        <v>624820.6</v>
      </c>
      <c r="AB16" s="49">
        <f>SUM(AB5:AB8,AB9:AB9,AB10:AB11)</f>
        <v>393.23899999999998</v>
      </c>
      <c r="AC16" s="49">
        <f>SUM(AC5:AC8,AC9:AC9,AC10:AC11)</f>
        <v>1893.3340000000001</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18451.89764918209</v>
      </c>
      <c r="AA18" s="49">
        <f>GEOMEAN(AA5:AA8,AA9:AA9,AA10:AA11)</f>
        <v>88398.154084898299</v>
      </c>
      <c r="AB18" s="49">
        <f>GEOMEAN(AB5:AB8,AB9:AB9,AB10:AB11)</f>
        <v>55.478811589210196</v>
      </c>
      <c r="AC18" s="49">
        <f>GEOMEAN(AC5:AC8,AC9:AC9,AC10:AC11)</f>
        <v>267.69083005254907</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J53" sqref="J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1.2493223999999998</v>
      </c>
      <c r="J5" s="12">
        <f t="shared" ref="J5:J39" si="1">IF(ISBLANK(S5),"·",S5/D5)</f>
        <v>5.2460270120154792E-2</v>
      </c>
      <c r="K5" s="12">
        <f t="shared" ref="K5:K39" si="2">IF(N5="","·",N5/D5)</f>
        <v>4.4559046036519612E-2</v>
      </c>
      <c r="L5" s="12">
        <f t="shared" ref="L5:L39" si="3">IF(T5="","·",T5/D5)</f>
        <v>2.7862156433015185E-2</v>
      </c>
      <c r="M5" s="12">
        <f t="shared" ref="M5:M39" si="4">IF(ISBLANK(V5),"·",V5/D5)</f>
        <v>7.9012240836351787E-3</v>
      </c>
      <c r="N5" s="54">
        <f t="shared" ref="N5:N39" si="5">IF(OR(ISBLANK(T5),ISBLANK(U5)),"",T5+U5)</f>
        <v>10611576</v>
      </c>
      <c r="O5" s="12">
        <v>16</v>
      </c>
      <c r="P5" s="13">
        <v>222175774</v>
      </c>
      <c r="Q5" s="13">
        <v>740585.91333333298</v>
      </c>
      <c r="R5" s="13">
        <v>16831.89</v>
      </c>
      <c r="S5" s="14">
        <v>12493224</v>
      </c>
      <c r="T5" s="14">
        <v>6635272</v>
      </c>
      <c r="U5" s="14">
        <v>3976304</v>
      </c>
      <c r="V5" s="14">
        <v>1881648</v>
      </c>
      <c r="W5" s="15">
        <v>66.605775333333298</v>
      </c>
      <c r="X5" s="15">
        <v>68.398893666666595</v>
      </c>
      <c r="Y5" s="15">
        <v>31.595100333333299</v>
      </c>
      <c r="Z5" s="15">
        <v>44.335028333333298</v>
      </c>
      <c r="AA5" s="15">
        <v>43.8360293333333</v>
      </c>
      <c r="AB5" s="16">
        <v>34302.6</v>
      </c>
      <c r="AC5" s="16">
        <v>47258</v>
      </c>
      <c r="AD5" s="16">
        <v>497.13900000000001</v>
      </c>
      <c r="AE5" s="16">
        <v>258.512</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1.6518704</v>
      </c>
      <c r="J6" s="21">
        <f t="shared" si="1"/>
        <v>6.9363654559854326E-2</v>
      </c>
      <c r="K6" s="21">
        <f t="shared" si="2"/>
        <v>5.4697784607619773E-2</v>
      </c>
      <c r="L6" s="21">
        <f t="shared" si="3"/>
        <v>3.8000895004115347E-2</v>
      </c>
      <c r="M6" s="21">
        <f t="shared" si="4"/>
        <v>1.4665869952234548E-2</v>
      </c>
      <c r="N6" s="18">
        <f t="shared" si="5"/>
        <v>13026080</v>
      </c>
      <c r="O6" s="21">
        <v>16</v>
      </c>
      <c r="P6" s="22">
        <v>234540050</v>
      </c>
      <c r="Q6" s="22">
        <v>781800.16666666698</v>
      </c>
      <c r="R6" s="22">
        <v>20263.916666666701</v>
      </c>
      <c r="S6" s="23">
        <v>16518704</v>
      </c>
      <c r="T6" s="23">
        <v>9049776</v>
      </c>
      <c r="U6" s="23">
        <v>3976304</v>
      </c>
      <c r="V6" s="23">
        <v>3492624</v>
      </c>
      <c r="W6" s="24">
        <v>68.316568000000103</v>
      </c>
      <c r="X6" s="24">
        <v>70.389475333333294</v>
      </c>
      <c r="Y6" s="24">
        <v>33.6396813333333</v>
      </c>
      <c r="Z6" s="24">
        <v>45.389418333333303</v>
      </c>
      <c r="AA6" s="24">
        <v>44.987770333333302</v>
      </c>
      <c r="AB6" s="25">
        <v>34590.199999999997</v>
      </c>
      <c r="AC6" s="25">
        <v>50422.6</v>
      </c>
      <c r="AD6" s="25">
        <v>525.577</v>
      </c>
      <c r="AE6" s="25">
        <v>264.32499999999999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2.3457664</v>
      </c>
      <c r="J7" s="12">
        <f t="shared" si="1"/>
        <v>9.8501026622738116E-2</v>
      </c>
      <c r="K7" s="12">
        <f t="shared" si="2"/>
        <v>6.8982342881694136E-2</v>
      </c>
      <c r="L7" s="12">
        <f t="shared" si="3"/>
        <v>5.2285453278189717E-2</v>
      </c>
      <c r="M7" s="12">
        <f t="shared" si="4"/>
        <v>2.951868374104397E-2</v>
      </c>
      <c r="N7" s="54">
        <f t="shared" si="5"/>
        <v>16427896</v>
      </c>
      <c r="O7" s="12">
        <v>16</v>
      </c>
      <c r="P7" s="13">
        <v>237156270</v>
      </c>
      <c r="Q7" s="13">
        <v>790520.9</v>
      </c>
      <c r="R7" s="13">
        <v>21717.65</v>
      </c>
      <c r="S7" s="14">
        <v>23457664</v>
      </c>
      <c r="T7" s="14">
        <v>12451592</v>
      </c>
      <c r="U7" s="14">
        <v>3976304</v>
      </c>
      <c r="V7" s="14">
        <v>7029768</v>
      </c>
      <c r="W7" s="15">
        <v>69.641762666666693</v>
      </c>
      <c r="X7" s="15">
        <v>72.052495333333397</v>
      </c>
      <c r="Y7" s="15">
        <v>36.020566000000002</v>
      </c>
      <c r="Z7" s="15">
        <v>46.671894666666702</v>
      </c>
      <c r="AA7" s="15">
        <v>46.487680666666698</v>
      </c>
      <c r="AB7" s="16">
        <v>34434.1</v>
      </c>
      <c r="AC7" s="16">
        <v>53881.599999999999</v>
      </c>
      <c r="AD7" s="16">
        <v>529.57600000000002</v>
      </c>
      <c r="AE7" s="16">
        <v>262.041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3.8735607999999999</v>
      </c>
      <c r="J8" s="21">
        <f t="shared" si="1"/>
        <v>0.16265460852606412</v>
      </c>
      <c r="K8" s="21">
        <f t="shared" si="2"/>
        <v>9.8883950754475217E-2</v>
      </c>
      <c r="L8" s="21">
        <f t="shared" si="3"/>
        <v>8.2187061150970797E-2</v>
      </c>
      <c r="M8" s="21">
        <f t="shared" si="4"/>
        <v>6.3770657771588898E-2</v>
      </c>
      <c r="N8" s="18">
        <f t="shared" si="5"/>
        <v>23548856</v>
      </c>
      <c r="O8" s="21">
        <v>16</v>
      </c>
      <c r="P8" s="22">
        <v>246285905</v>
      </c>
      <c r="Q8" s="22">
        <v>820953.01666666695</v>
      </c>
      <c r="R8" s="22">
        <v>25005.6033333333</v>
      </c>
      <c r="S8" s="23">
        <v>38735608</v>
      </c>
      <c r="T8" s="23">
        <v>19572552</v>
      </c>
      <c r="U8" s="23">
        <v>3976304</v>
      </c>
      <c r="V8" s="23">
        <v>15186752</v>
      </c>
      <c r="W8" s="24">
        <v>70.708440999999993</v>
      </c>
      <c r="X8" s="24">
        <v>73.267006666666603</v>
      </c>
      <c r="Y8" s="24">
        <v>38.4981236666667</v>
      </c>
      <c r="Z8" s="24">
        <v>47.929636666666703</v>
      </c>
      <c r="AA8" s="24">
        <v>47.904751666666698</v>
      </c>
      <c r="AB8" s="25">
        <v>34553.5</v>
      </c>
      <c r="AC8" s="25">
        <v>58149.4</v>
      </c>
      <c r="AD8" s="25">
        <v>548.52300000000002</v>
      </c>
      <c r="AE8" s="25">
        <v>276.40199999999999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7.7050095999999995</v>
      </c>
      <c r="J9" s="30">
        <f t="shared" si="1"/>
        <v>0.32354089296276589</v>
      </c>
      <c r="K9" s="30">
        <f t="shared" si="2"/>
        <v>0.17054766956346612</v>
      </c>
      <c r="L9" s="30">
        <f t="shared" si="3"/>
        <v>0.13410702495172391</v>
      </c>
      <c r="M9" s="30">
        <f t="shared" si="4"/>
        <v>0.1529932233992998</v>
      </c>
      <c r="N9" s="27">
        <f t="shared" si="5"/>
        <v>40615312</v>
      </c>
      <c r="O9" s="30">
        <v>16</v>
      </c>
      <c r="P9" s="31">
        <v>236696159</v>
      </c>
      <c r="Q9" s="31">
        <v>788987.19666666701</v>
      </c>
      <c r="R9" s="31">
        <v>10947.596666666699</v>
      </c>
      <c r="S9" s="32">
        <v>77050096</v>
      </c>
      <c r="T9" s="32">
        <v>31937104</v>
      </c>
      <c r="U9" s="32">
        <v>8678208</v>
      </c>
      <c r="V9" s="32">
        <v>36434784</v>
      </c>
      <c r="W9" s="33">
        <v>71.773718333333306</v>
      </c>
      <c r="X9" s="33">
        <v>75.150895333333395</v>
      </c>
      <c r="Y9" s="33">
        <v>41.054992666666699</v>
      </c>
      <c r="Z9" s="33">
        <v>49.406795666666703</v>
      </c>
      <c r="AA9" s="33">
        <v>49.484079000000001</v>
      </c>
      <c r="AB9" s="34">
        <v>34692</v>
      </c>
      <c r="AC9" s="34">
        <v>64703.4</v>
      </c>
      <c r="AD9" s="34">
        <v>526.66600000000005</v>
      </c>
      <c r="AE9" s="34">
        <v>299.733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2.1223800000000002</v>
      </c>
      <c r="J10" s="21">
        <f t="shared" si="1"/>
        <v>9.7302765220821541E-2</v>
      </c>
      <c r="K10" s="21">
        <f t="shared" si="2"/>
        <v>7.2637913917618355E-2</v>
      </c>
      <c r="L10" s="21">
        <f t="shared" si="3"/>
        <v>4.1382966267907093E-2</v>
      </c>
      <c r="M10" s="21">
        <f t="shared" si="4"/>
        <v>2.4664851303203197E-2</v>
      </c>
      <c r="N10" s="18">
        <f t="shared" si="5"/>
        <v>15843872</v>
      </c>
      <c r="O10" s="21">
        <v>16</v>
      </c>
      <c r="P10" s="22">
        <v>202429427</v>
      </c>
      <c r="Q10" s="22">
        <v>674764.75666666694</v>
      </c>
      <c r="R10" s="22">
        <v>20419.77</v>
      </c>
      <c r="S10" s="23">
        <v>21223800</v>
      </c>
      <c r="T10" s="23">
        <v>9026504</v>
      </c>
      <c r="U10" s="23">
        <v>6817368</v>
      </c>
      <c r="V10" s="23">
        <v>5379928</v>
      </c>
      <c r="W10" s="24">
        <v>65.897101000000006</v>
      </c>
      <c r="X10" s="24">
        <v>67.697368666666705</v>
      </c>
      <c r="Y10" s="24">
        <v>30.8722626666666</v>
      </c>
      <c r="Z10" s="24">
        <v>38.654364000000001</v>
      </c>
      <c r="AA10" s="24">
        <v>29.907063999999998</v>
      </c>
      <c r="AB10" s="25">
        <v>32251.3</v>
      </c>
      <c r="AC10" s="25">
        <v>57890.5</v>
      </c>
      <c r="AD10" s="25">
        <v>459.43799999999999</v>
      </c>
      <c r="AE10" s="25">
        <v>293.24700000000001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2.8970896000000002</v>
      </c>
      <c r="J11" s="12">
        <f t="shared" si="1"/>
        <v>0.13282014963036015</v>
      </c>
      <c r="K11" s="12">
        <f t="shared" si="2"/>
        <v>8.9384013318611122E-2</v>
      </c>
      <c r="L11" s="12">
        <f t="shared" si="3"/>
        <v>5.8129065668899867E-2</v>
      </c>
      <c r="M11" s="12">
        <f t="shared" si="4"/>
        <v>4.3436136311749043E-2</v>
      </c>
      <c r="N11" s="54">
        <f t="shared" si="5"/>
        <v>19496552</v>
      </c>
      <c r="O11" s="12">
        <v>16</v>
      </c>
      <c r="P11" s="13">
        <v>214431738</v>
      </c>
      <c r="Q11" s="13">
        <v>714772.46</v>
      </c>
      <c r="R11" s="13">
        <v>25010.959999999999</v>
      </c>
      <c r="S11" s="14">
        <v>28970896</v>
      </c>
      <c r="T11" s="14">
        <v>12679184</v>
      </c>
      <c r="U11" s="14">
        <v>6817368</v>
      </c>
      <c r="V11" s="14">
        <v>9474344</v>
      </c>
      <c r="W11" s="15">
        <v>67.574102999999994</v>
      </c>
      <c r="X11" s="15">
        <v>69.611167666666603</v>
      </c>
      <c r="Y11" s="15">
        <v>32.679231999999999</v>
      </c>
      <c r="Z11" s="15">
        <v>39.611995333333297</v>
      </c>
      <c r="AA11" s="15">
        <v>32.107638333333298</v>
      </c>
      <c r="AB11" s="16">
        <v>32146.5</v>
      </c>
      <c r="AC11" s="16">
        <v>62052.6</v>
      </c>
      <c r="AD11" s="16">
        <v>484.649</v>
      </c>
      <c r="AE11" s="16">
        <v>294.98200000000003</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4.1355399999999998</v>
      </c>
      <c r="J12" s="21">
        <f t="shared" si="1"/>
        <v>0.18959822354211608</v>
      </c>
      <c r="K12" s="21">
        <f t="shared" si="2"/>
        <v>0.11466294511563437</v>
      </c>
      <c r="L12" s="21">
        <f t="shared" si="3"/>
        <v>8.3407997465923103E-2</v>
      </c>
      <c r="M12" s="21">
        <f t="shared" si="4"/>
        <v>7.4935278426481733E-2</v>
      </c>
      <c r="N12" s="18">
        <f t="shared" si="5"/>
        <v>25010424</v>
      </c>
      <c r="O12" s="21">
        <v>16</v>
      </c>
      <c r="P12" s="22">
        <v>217408494</v>
      </c>
      <c r="Q12" s="22">
        <v>724694.98</v>
      </c>
      <c r="R12" s="22">
        <v>26563.503333333301</v>
      </c>
      <c r="S12" s="23">
        <v>41355400</v>
      </c>
      <c r="T12" s="23">
        <v>18193056</v>
      </c>
      <c r="U12" s="23">
        <v>6817368</v>
      </c>
      <c r="V12" s="23">
        <v>16344976</v>
      </c>
      <c r="W12" s="24">
        <v>68.898682333333298</v>
      </c>
      <c r="X12" s="24">
        <v>71.250570999999994</v>
      </c>
      <c r="Y12" s="24">
        <v>34.692301999999998</v>
      </c>
      <c r="Z12" s="24">
        <v>40.566290000000002</v>
      </c>
      <c r="AA12" s="24">
        <v>33.990343000000003</v>
      </c>
      <c r="AB12" s="25">
        <v>31951.200000000001</v>
      </c>
      <c r="AC12" s="25">
        <v>66215.5</v>
      </c>
      <c r="AD12" s="25">
        <v>490.233</v>
      </c>
      <c r="AE12" s="25">
        <v>304.24900000000002</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6.7052824000000006</v>
      </c>
      <c r="J13" s="12">
        <f t="shared" si="1"/>
        <v>0.30741079312211139</v>
      </c>
      <c r="K13" s="12">
        <f t="shared" si="2"/>
        <v>0.16157157219928173</v>
      </c>
      <c r="L13" s="12">
        <f t="shared" si="3"/>
        <v>0.13031662454957046</v>
      </c>
      <c r="M13" s="12">
        <f t="shared" si="4"/>
        <v>0.14583922092282969</v>
      </c>
      <c r="N13" s="54">
        <f t="shared" si="5"/>
        <v>35242192</v>
      </c>
      <c r="O13" s="12">
        <v>16</v>
      </c>
      <c r="P13" s="13">
        <v>225163089</v>
      </c>
      <c r="Q13" s="13">
        <v>750543.63</v>
      </c>
      <c r="R13" s="13">
        <v>30141.4666666667</v>
      </c>
      <c r="S13" s="14">
        <v>67052824</v>
      </c>
      <c r="T13" s="14">
        <v>28424824</v>
      </c>
      <c r="U13" s="14">
        <v>6817368</v>
      </c>
      <c r="V13" s="14">
        <v>31810632</v>
      </c>
      <c r="W13" s="15">
        <v>69.946918666666704</v>
      </c>
      <c r="X13" s="15">
        <v>72.471755333333306</v>
      </c>
      <c r="Y13" s="15">
        <v>36.882745333333297</v>
      </c>
      <c r="Z13" s="15">
        <v>41.618031333333299</v>
      </c>
      <c r="AA13" s="15">
        <v>35.9194666666667</v>
      </c>
      <c r="AB13" s="16">
        <v>32194.9</v>
      </c>
      <c r="AC13" s="16">
        <v>71008</v>
      </c>
      <c r="AD13" s="16">
        <v>505.66199999999998</v>
      </c>
      <c r="AE13" s="16">
        <v>298.32600000000002</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13.199306400000001</v>
      </c>
      <c r="J14" s="40">
        <f t="shared" si="1"/>
        <v>0.60513622052454663</v>
      </c>
      <c r="K14" s="40">
        <f t="shared" si="2"/>
        <v>0.27257783540403646</v>
      </c>
      <c r="L14" s="40">
        <f t="shared" si="3"/>
        <v>0.21076901808582219</v>
      </c>
      <c r="M14" s="40">
        <f t="shared" si="4"/>
        <v>0.33255838512051017</v>
      </c>
      <c r="N14" s="37">
        <f t="shared" si="5"/>
        <v>59455016</v>
      </c>
      <c r="O14" s="40">
        <v>16</v>
      </c>
      <c r="P14" s="41">
        <v>212925678</v>
      </c>
      <c r="Q14" s="41">
        <v>709752.26</v>
      </c>
      <c r="R14" s="41">
        <v>14252.19</v>
      </c>
      <c r="S14" s="42">
        <v>131993064</v>
      </c>
      <c r="T14" s="42">
        <v>45973200</v>
      </c>
      <c r="U14" s="42">
        <v>13481816</v>
      </c>
      <c r="V14" s="42">
        <v>72538048</v>
      </c>
      <c r="W14" s="43">
        <v>70.806886666666699</v>
      </c>
      <c r="X14" s="43">
        <v>74.5742093333333</v>
      </c>
      <c r="Y14" s="43">
        <v>39.298372333333297</v>
      </c>
      <c r="Z14" s="43">
        <v>42.915351999999999</v>
      </c>
      <c r="AA14" s="43">
        <v>38.038868333333397</v>
      </c>
      <c r="AB14" s="44">
        <v>31773.599999999999</v>
      </c>
      <c r="AC14" s="44">
        <v>78573.8</v>
      </c>
      <c r="AD14" s="44">
        <v>476.73399999999998</v>
      </c>
      <c r="AE14" s="44">
        <v>322.13400000000001</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1.8693903999999999</v>
      </c>
      <c r="J15" s="12">
        <f t="shared" si="1"/>
        <v>5.7949475039662149E-2</v>
      </c>
      <c r="K15" s="12">
        <f t="shared" si="2"/>
        <v>4.8066506177146931E-2</v>
      </c>
      <c r="L15" s="12">
        <f t="shared" si="3"/>
        <v>2.6890504850086597E-2</v>
      </c>
      <c r="M15" s="12">
        <f t="shared" si="4"/>
        <v>9.8829688625152162E-3</v>
      </c>
      <c r="N15" s="54">
        <f t="shared" si="5"/>
        <v>15505760</v>
      </c>
      <c r="O15" s="12">
        <v>16</v>
      </c>
      <c r="P15" s="13">
        <v>308654013</v>
      </c>
      <c r="Q15" s="13">
        <v>1028846.71</v>
      </c>
      <c r="R15" s="13">
        <v>31662.186666666701</v>
      </c>
      <c r="S15" s="14">
        <v>18693904</v>
      </c>
      <c r="T15" s="14">
        <v>8674600</v>
      </c>
      <c r="U15" s="14">
        <v>6831160</v>
      </c>
      <c r="V15" s="14">
        <v>3188144</v>
      </c>
      <c r="W15" s="15">
        <v>66.288795666666601</v>
      </c>
      <c r="X15" s="15">
        <v>67.884240666666699</v>
      </c>
      <c r="Y15" s="15">
        <v>29.027851666666599</v>
      </c>
      <c r="Z15" s="15">
        <v>43.379063333333299</v>
      </c>
      <c r="AA15" s="15">
        <v>43.586013333333298</v>
      </c>
      <c r="AB15" s="16">
        <v>44752</v>
      </c>
      <c r="AC15" s="16">
        <v>49771.3</v>
      </c>
      <c r="AD15" s="16">
        <v>690.60599999999999</v>
      </c>
      <c r="AE15" s="16">
        <v>280.60000000000002</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2.4944576000000001</v>
      </c>
      <c r="J16" s="21">
        <f t="shared" si="1"/>
        <v>7.7326014099941637E-2</v>
      </c>
      <c r="K16" s="21">
        <f t="shared" si="2"/>
        <v>5.8361168278327942E-2</v>
      </c>
      <c r="L16" s="21">
        <f t="shared" si="3"/>
        <v>3.7185166951267605E-2</v>
      </c>
      <c r="M16" s="21">
        <f t="shared" si="4"/>
        <v>1.8964845821613698E-2</v>
      </c>
      <c r="N16" s="18">
        <f t="shared" si="5"/>
        <v>18826712</v>
      </c>
      <c r="O16" s="21">
        <v>16</v>
      </c>
      <c r="P16" s="22">
        <v>321094751</v>
      </c>
      <c r="Q16" s="22">
        <v>1070315.8366666699</v>
      </c>
      <c r="R16" s="22">
        <v>36528.910000000003</v>
      </c>
      <c r="S16" s="23">
        <v>24944576</v>
      </c>
      <c r="T16" s="23">
        <v>11995552</v>
      </c>
      <c r="U16" s="23">
        <v>6831160</v>
      </c>
      <c r="V16" s="23">
        <v>6117864</v>
      </c>
      <c r="W16" s="24">
        <v>68.000212666666698</v>
      </c>
      <c r="X16" s="24">
        <v>70.007170333333306</v>
      </c>
      <c r="Y16" s="24">
        <v>31.339413333333301</v>
      </c>
      <c r="Z16" s="24">
        <v>44.048478666666703</v>
      </c>
      <c r="AA16" s="24">
        <v>44.317250666666702</v>
      </c>
      <c r="AB16" s="25">
        <v>44566.400000000001</v>
      </c>
      <c r="AC16" s="25">
        <v>53703.7</v>
      </c>
      <c r="AD16" s="25">
        <v>716.17499999999995</v>
      </c>
      <c r="AE16" s="25">
        <v>275.67500000000001</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3.5873863999999998</v>
      </c>
      <c r="J17" s="12">
        <f t="shared" si="1"/>
        <v>0.11120585547268427</v>
      </c>
      <c r="K17" s="12">
        <f t="shared" si="2"/>
        <v>7.237575071521811E-2</v>
      </c>
      <c r="L17" s="12">
        <f t="shared" si="3"/>
        <v>5.1199749388157779E-2</v>
      </c>
      <c r="M17" s="12">
        <f t="shared" si="4"/>
        <v>3.8830104757466156E-2</v>
      </c>
      <c r="N17" s="54">
        <f t="shared" si="5"/>
        <v>23347672</v>
      </c>
      <c r="O17" s="12">
        <v>16</v>
      </c>
      <c r="P17" s="13">
        <v>321754793</v>
      </c>
      <c r="Q17" s="13">
        <v>1072515.9766666701</v>
      </c>
      <c r="R17" s="13">
        <v>37385.196666666699</v>
      </c>
      <c r="S17" s="14">
        <v>35873864</v>
      </c>
      <c r="T17" s="14">
        <v>16516512</v>
      </c>
      <c r="U17" s="14">
        <v>6831160</v>
      </c>
      <c r="V17" s="14">
        <v>12526192</v>
      </c>
      <c r="W17" s="15">
        <v>69.319582999999994</v>
      </c>
      <c r="X17" s="15">
        <v>71.776932000000002</v>
      </c>
      <c r="Y17" s="15">
        <v>33.739956999999997</v>
      </c>
      <c r="Z17" s="15">
        <v>45.163038666666601</v>
      </c>
      <c r="AA17" s="15">
        <v>45.588048333333298</v>
      </c>
      <c r="AB17" s="16">
        <v>44951.9</v>
      </c>
      <c r="AC17" s="16">
        <v>57266.9</v>
      </c>
      <c r="AD17" s="16">
        <v>716.75099999999998</v>
      </c>
      <c r="AE17" s="16">
        <v>283.86799999999999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6.2302112000000003</v>
      </c>
      <c r="J18" s="21">
        <f t="shared" si="1"/>
        <v>0.19313112361453422</v>
      </c>
      <c r="K18" s="21">
        <f t="shared" si="2"/>
        <v>0.10629274144471765</v>
      </c>
      <c r="L18" s="21">
        <f t="shared" si="3"/>
        <v>8.5116740117657325E-2</v>
      </c>
      <c r="M18" s="21">
        <f t="shared" si="4"/>
        <v>8.6838382169816555E-2</v>
      </c>
      <c r="N18" s="18">
        <f t="shared" si="5"/>
        <v>34288944</v>
      </c>
      <c r="O18" s="21">
        <v>16</v>
      </c>
      <c r="P18" s="22">
        <v>331702199</v>
      </c>
      <c r="Q18" s="22">
        <v>1105673.9966666701</v>
      </c>
      <c r="R18" s="22">
        <v>41739.050000000003</v>
      </c>
      <c r="S18" s="23">
        <v>62302112</v>
      </c>
      <c r="T18" s="23">
        <v>27457784</v>
      </c>
      <c r="U18" s="23">
        <v>6831160</v>
      </c>
      <c r="V18" s="23">
        <v>28013168</v>
      </c>
      <c r="W18" s="24">
        <v>70.481268666666594</v>
      </c>
      <c r="X18" s="24">
        <v>73.086710999999994</v>
      </c>
      <c r="Y18" s="24">
        <v>36.160558333333299</v>
      </c>
      <c r="Z18" s="24">
        <v>46.482283666666603</v>
      </c>
      <c r="AA18" s="24">
        <v>46.975236333333399</v>
      </c>
      <c r="AB18" s="25">
        <v>44575.8</v>
      </c>
      <c r="AC18" s="25">
        <v>62796</v>
      </c>
      <c r="AD18" s="25">
        <v>739.58699999999999</v>
      </c>
      <c r="AE18" s="25">
        <v>296.06299999999999</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13.078827199999999</v>
      </c>
      <c r="J19" s="30">
        <f t="shared" si="1"/>
        <v>0.40543225768916669</v>
      </c>
      <c r="K19" s="30">
        <f t="shared" si="2"/>
        <v>0.18381228930976667</v>
      </c>
      <c r="L19" s="30">
        <f t="shared" si="3"/>
        <v>0.13881477134806511</v>
      </c>
      <c r="M19" s="30">
        <f t="shared" si="4"/>
        <v>0.22161996837939998</v>
      </c>
      <c r="N19" s="27">
        <f t="shared" si="5"/>
        <v>59295952</v>
      </c>
      <c r="O19" s="30">
        <v>16</v>
      </c>
      <c r="P19" s="31">
        <v>314143532</v>
      </c>
      <c r="Q19" s="31">
        <v>1047145.1066666699</v>
      </c>
      <c r="R19" s="31">
        <v>18178.98</v>
      </c>
      <c r="S19" s="32">
        <v>130788272</v>
      </c>
      <c r="T19" s="32">
        <v>44780216</v>
      </c>
      <c r="U19" s="32">
        <v>14515736</v>
      </c>
      <c r="V19" s="32">
        <v>71492320</v>
      </c>
      <c r="W19" s="33">
        <v>71.167008999999993</v>
      </c>
      <c r="X19" s="33">
        <v>75.031801333333306</v>
      </c>
      <c r="Y19" s="33">
        <v>38.676436000000002</v>
      </c>
      <c r="Z19" s="33">
        <v>48.284075666666702</v>
      </c>
      <c r="AA19" s="33">
        <v>48.816028000000003</v>
      </c>
      <c r="AB19" s="34">
        <v>45011.9</v>
      </c>
      <c r="AC19" s="34">
        <v>70952.3</v>
      </c>
      <c r="AD19" s="34">
        <v>693.80700000000002</v>
      </c>
      <c r="AE19" s="34">
        <v>316.52300000000002</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2.2134800000000001</v>
      </c>
      <c r="J20" s="21">
        <f t="shared" si="1"/>
        <v>4.4163097863064958E-2</v>
      </c>
      <c r="K20" s="21">
        <f t="shared" si="2"/>
        <v>3.5108741024061051E-2</v>
      </c>
      <c r="L20" s="21">
        <f t="shared" si="3"/>
        <v>1.9913928287443421E-2</v>
      </c>
      <c r="M20" s="21">
        <f t="shared" si="4"/>
        <v>9.0543568390039041E-3</v>
      </c>
      <c r="N20" s="18">
        <f t="shared" si="5"/>
        <v>8798352</v>
      </c>
      <c r="O20" s="21">
        <v>16</v>
      </c>
      <c r="P20" s="22">
        <v>236077728</v>
      </c>
      <c r="Q20" s="22">
        <v>944310.91200000001</v>
      </c>
      <c r="R20" s="22">
        <v>29116.612000000001</v>
      </c>
      <c r="S20" s="23">
        <v>11067400</v>
      </c>
      <c r="T20" s="23">
        <v>4990488</v>
      </c>
      <c r="U20" s="23">
        <v>3807864</v>
      </c>
      <c r="V20" s="23">
        <v>2269048</v>
      </c>
      <c r="W20" s="24">
        <v>67.491250800000003</v>
      </c>
      <c r="X20" s="24">
        <v>69.268420800000001</v>
      </c>
      <c r="Y20" s="24">
        <v>30.3007788</v>
      </c>
      <c r="Z20" s="24">
        <v>40.204972400000003</v>
      </c>
      <c r="AA20" s="24">
        <v>38.768202799999997</v>
      </c>
      <c r="AB20" s="25">
        <v>34566.9</v>
      </c>
      <c r="AC20" s="25">
        <v>40366</v>
      </c>
      <c r="AD20" s="25">
        <v>534.46199999999999</v>
      </c>
      <c r="AE20" s="25">
        <v>235.27799999999999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2.9400543999999997</v>
      </c>
      <c r="J21" s="12">
        <f t="shared" si="1"/>
        <v>5.8659626556343276E-2</v>
      </c>
      <c r="K21" s="12">
        <f t="shared" si="2"/>
        <v>4.1880538401290829E-2</v>
      </c>
      <c r="L21" s="12">
        <f t="shared" si="3"/>
        <v>2.6685725664673199E-2</v>
      </c>
      <c r="M21" s="12">
        <f t="shared" si="4"/>
        <v>1.6779088155052448E-2</v>
      </c>
      <c r="N21" s="54">
        <f t="shared" si="5"/>
        <v>10495384</v>
      </c>
      <c r="O21" s="12">
        <v>16</v>
      </c>
      <c r="P21" s="13">
        <v>245359978</v>
      </c>
      <c r="Q21" s="13">
        <v>981439.91200000001</v>
      </c>
      <c r="R21" s="13">
        <v>33615.811999999998</v>
      </c>
      <c r="S21" s="14">
        <v>14700272</v>
      </c>
      <c r="T21" s="14">
        <v>6687520</v>
      </c>
      <c r="U21" s="14">
        <v>3807864</v>
      </c>
      <c r="V21" s="14">
        <v>4204888</v>
      </c>
      <c r="W21" s="15">
        <v>69.054532399999999</v>
      </c>
      <c r="X21" s="15">
        <v>71.225704800000003</v>
      </c>
      <c r="Y21" s="15">
        <v>31.8378984</v>
      </c>
      <c r="Z21" s="15">
        <v>41.358273199999999</v>
      </c>
      <c r="AA21" s="15">
        <v>40.047008400000003</v>
      </c>
      <c r="AB21" s="16">
        <v>34882.800000000003</v>
      </c>
      <c r="AC21" s="16">
        <v>42935.8</v>
      </c>
      <c r="AD21" s="16">
        <v>555.95399999999995</v>
      </c>
      <c r="AE21" s="16">
        <v>240.976</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4.3610592000000006</v>
      </c>
      <c r="J22" s="21">
        <f t="shared" si="1"/>
        <v>8.701135055939957E-2</v>
      </c>
      <c r="K22" s="21">
        <f t="shared" si="2"/>
        <v>4.985471616127525E-2</v>
      </c>
      <c r="L22" s="21">
        <f t="shared" si="3"/>
        <v>3.465990342465762E-2</v>
      </c>
      <c r="M22" s="21">
        <f t="shared" si="4"/>
        <v>3.7156634398124319E-2</v>
      </c>
      <c r="N22" s="18">
        <f t="shared" si="5"/>
        <v>12493736</v>
      </c>
      <c r="O22" s="21">
        <v>16</v>
      </c>
      <c r="P22" s="22">
        <v>252324755</v>
      </c>
      <c r="Q22" s="22">
        <v>1009299.02</v>
      </c>
      <c r="R22" s="22">
        <v>35506.167999999998</v>
      </c>
      <c r="S22" s="23">
        <v>21805296</v>
      </c>
      <c r="T22" s="23">
        <v>8685872</v>
      </c>
      <c r="U22" s="23">
        <v>3807864</v>
      </c>
      <c r="V22" s="23">
        <v>9311560</v>
      </c>
      <c r="W22" s="24">
        <v>70.261877600000005</v>
      </c>
      <c r="X22" s="24">
        <v>72.740842000000001</v>
      </c>
      <c r="Y22" s="24">
        <v>33.704040800000001</v>
      </c>
      <c r="Z22" s="24">
        <v>42.560581999999997</v>
      </c>
      <c r="AA22" s="24">
        <v>41.368309199999999</v>
      </c>
      <c r="AB22" s="25">
        <v>34594.9</v>
      </c>
      <c r="AC22" s="25">
        <v>45289.5</v>
      </c>
      <c r="AD22" s="25">
        <v>572.88099999999997</v>
      </c>
      <c r="AE22" s="25">
        <v>244.749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7.9538960000000003</v>
      </c>
      <c r="J23" s="12">
        <f t="shared" si="1"/>
        <v>0.15869521632932798</v>
      </c>
      <c r="K23" s="12">
        <f t="shared" si="2"/>
        <v>7.235479178889441E-2</v>
      </c>
      <c r="L23" s="12">
        <f t="shared" si="3"/>
        <v>5.7159979052276773E-2</v>
      </c>
      <c r="M23" s="12">
        <f t="shared" si="4"/>
        <v>8.6340424540433572E-2</v>
      </c>
      <c r="N23" s="54">
        <f t="shared" si="5"/>
        <v>18132320</v>
      </c>
      <c r="O23" s="12">
        <v>16</v>
      </c>
      <c r="P23" s="13">
        <v>255090373</v>
      </c>
      <c r="Q23" s="13">
        <v>1020361.492</v>
      </c>
      <c r="R23" s="13">
        <v>37774.063999999998</v>
      </c>
      <c r="S23" s="14">
        <v>39769480</v>
      </c>
      <c r="T23" s="14">
        <v>14324456</v>
      </c>
      <c r="U23" s="14">
        <v>3807864</v>
      </c>
      <c r="V23" s="14">
        <v>21637160</v>
      </c>
      <c r="W23" s="15">
        <v>71.205645599999997</v>
      </c>
      <c r="X23" s="15">
        <v>73.977870800000005</v>
      </c>
      <c r="Y23" s="15">
        <v>35.53304</v>
      </c>
      <c r="Z23" s="15">
        <v>43.722256000000002</v>
      </c>
      <c r="AA23" s="15">
        <v>42.493805999999999</v>
      </c>
      <c r="AB23" s="16">
        <v>34942.300000000003</v>
      </c>
      <c r="AC23" s="16">
        <v>48859.199999999997</v>
      </c>
      <c r="AD23" s="16">
        <v>577.38300000000004</v>
      </c>
      <c r="AE23" s="16">
        <v>250.81800000000001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15.8846656</v>
      </c>
      <c r="J24" s="40">
        <f t="shared" si="1"/>
        <v>0.31692901739110424</v>
      </c>
      <c r="K24" s="40">
        <f t="shared" si="2"/>
        <v>0.12473263925754152</v>
      </c>
      <c r="L24" s="40">
        <f t="shared" si="3"/>
        <v>9.1759516054425727E-2</v>
      </c>
      <c r="M24" s="40">
        <f t="shared" si="4"/>
        <v>0.19219637813356272</v>
      </c>
      <c r="N24" s="37">
        <f t="shared" si="5"/>
        <v>31258360</v>
      </c>
      <c r="O24" s="40">
        <v>16</v>
      </c>
      <c r="P24" s="41">
        <v>243894865</v>
      </c>
      <c r="Q24" s="41">
        <v>975579.46</v>
      </c>
      <c r="R24" s="41">
        <v>18588.684000000001</v>
      </c>
      <c r="S24" s="42">
        <v>79423328</v>
      </c>
      <c r="T24" s="42">
        <v>22995200</v>
      </c>
      <c r="U24" s="42">
        <v>8263160</v>
      </c>
      <c r="V24" s="42">
        <v>48164968</v>
      </c>
      <c r="W24" s="43">
        <v>71.920644800000005</v>
      </c>
      <c r="X24" s="43">
        <v>75.958430800000002</v>
      </c>
      <c r="Y24" s="43">
        <v>37.002616400000001</v>
      </c>
      <c r="Z24" s="43">
        <v>44.823437599999998</v>
      </c>
      <c r="AA24" s="43">
        <v>43.421534000000001</v>
      </c>
      <c r="AB24" s="44">
        <v>34852.1</v>
      </c>
      <c r="AC24" s="44">
        <v>54135.6</v>
      </c>
      <c r="AD24" s="44">
        <v>550.46799999999996</v>
      </c>
      <c r="AE24" s="44">
        <v>266.613</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2.1765143999999998</v>
      </c>
      <c r="J25" s="12">
        <f t="shared" si="1"/>
        <v>8.6958110823189938E-2</v>
      </c>
      <c r="K25" s="12">
        <f t="shared" si="2"/>
        <v>5.5912932226395533E-2</v>
      </c>
      <c r="L25" s="12">
        <f t="shared" si="3"/>
        <v>3.4338194344134862E-2</v>
      </c>
      <c r="M25" s="12">
        <f t="shared" si="4"/>
        <v>3.1045178596794395E-2</v>
      </c>
      <c r="N25" s="54">
        <f t="shared" si="5"/>
        <v>13994704</v>
      </c>
      <c r="O25" s="12">
        <v>16</v>
      </c>
      <c r="P25" s="13">
        <v>232141403</v>
      </c>
      <c r="Q25" s="13">
        <v>773804.67666666699</v>
      </c>
      <c r="R25" s="13">
        <v>16163.3</v>
      </c>
      <c r="S25" s="14">
        <v>21765144</v>
      </c>
      <c r="T25" s="14">
        <v>8594664</v>
      </c>
      <c r="U25" s="14">
        <v>5400040</v>
      </c>
      <c r="V25" s="14">
        <v>7770440</v>
      </c>
      <c r="W25" s="15">
        <v>66.367152333333294</v>
      </c>
      <c r="X25" s="15">
        <v>68.130876333333305</v>
      </c>
      <c r="Y25" s="15">
        <v>25.833124000000002</v>
      </c>
      <c r="Z25" s="15">
        <v>32.381196000000003</v>
      </c>
      <c r="AA25" s="15">
        <v>31.539062000000001</v>
      </c>
      <c r="AB25" s="16">
        <v>15301.7</v>
      </c>
      <c r="AC25" s="16">
        <v>55849.8</v>
      </c>
      <c r="AD25" s="16">
        <v>515.54999999999995</v>
      </c>
      <c r="AE25" s="16">
        <v>278.08199999999999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3.3527040000000001</v>
      </c>
      <c r="J26" s="21">
        <f t="shared" si="1"/>
        <v>0.1339503225842899</v>
      </c>
      <c r="K26" s="21">
        <f t="shared" si="2"/>
        <v>6.9950663174962374E-2</v>
      </c>
      <c r="L26" s="21">
        <f t="shared" si="3"/>
        <v>4.8375925292701703E-2</v>
      </c>
      <c r="M26" s="21">
        <f t="shared" si="4"/>
        <v>6.3999659409327531E-2</v>
      </c>
      <c r="N26" s="18">
        <f t="shared" si="5"/>
        <v>17508272</v>
      </c>
      <c r="O26" s="21">
        <v>16</v>
      </c>
      <c r="P26" s="22">
        <v>244031498</v>
      </c>
      <c r="Q26" s="22">
        <v>813438.32666666701</v>
      </c>
      <c r="R26" s="22">
        <v>19473.3</v>
      </c>
      <c r="S26" s="23">
        <v>33527040</v>
      </c>
      <c r="T26" s="23">
        <v>12108232</v>
      </c>
      <c r="U26" s="23">
        <v>5400040</v>
      </c>
      <c r="V26" s="23">
        <v>16018768</v>
      </c>
      <c r="W26" s="24">
        <v>68.071844999999996</v>
      </c>
      <c r="X26" s="24">
        <v>70.1145286666667</v>
      </c>
      <c r="Y26" s="24">
        <v>27.865641666666701</v>
      </c>
      <c r="Z26" s="24">
        <v>33.581391000000004</v>
      </c>
      <c r="AA26" s="24">
        <v>32.954001666666699</v>
      </c>
      <c r="AB26" s="25">
        <v>15348.2</v>
      </c>
      <c r="AC26" s="25">
        <v>60341.3</v>
      </c>
      <c r="AD26" s="25">
        <v>542.79899999999998</v>
      </c>
      <c r="AE26" s="25">
        <v>288.36599999999999</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5.6556935999999993</v>
      </c>
      <c r="J27" s="12">
        <f t="shared" si="1"/>
        <v>0.22596148725264856</v>
      </c>
      <c r="K27" s="12">
        <f t="shared" si="2"/>
        <v>9.0695914464500871E-2</v>
      </c>
      <c r="L27" s="12">
        <f t="shared" si="3"/>
        <v>6.9121176582240207E-2</v>
      </c>
      <c r="M27" s="12">
        <f t="shared" si="4"/>
        <v>0.13526557278814769</v>
      </c>
      <c r="N27" s="54">
        <f t="shared" si="5"/>
        <v>22700696</v>
      </c>
      <c r="O27" s="12">
        <v>16</v>
      </c>
      <c r="P27" s="13">
        <v>246289141</v>
      </c>
      <c r="Q27" s="13">
        <v>820963.80333333299</v>
      </c>
      <c r="R27" s="13">
        <v>20401.856666666699</v>
      </c>
      <c r="S27" s="14">
        <v>56556936</v>
      </c>
      <c r="T27" s="14">
        <v>17300656</v>
      </c>
      <c r="U27" s="14">
        <v>5400040</v>
      </c>
      <c r="V27" s="14">
        <v>33856240</v>
      </c>
      <c r="W27" s="15">
        <v>69.362729999999999</v>
      </c>
      <c r="X27" s="15">
        <v>71.793965333333404</v>
      </c>
      <c r="Y27" s="15">
        <v>30.176362999999998</v>
      </c>
      <c r="Z27" s="15">
        <v>34.8356553333333</v>
      </c>
      <c r="AA27" s="15">
        <v>34.295900666666697</v>
      </c>
      <c r="AB27" s="16">
        <v>15358.3</v>
      </c>
      <c r="AC27" s="16">
        <v>64473.7</v>
      </c>
      <c r="AD27" s="16">
        <v>546.18200000000002</v>
      </c>
      <c r="AE27" s="16">
        <v>292.70800000000003</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10.909644800000001</v>
      </c>
      <c r="J28" s="21">
        <f t="shared" si="1"/>
        <v>0.43587219159222551</v>
      </c>
      <c r="K28" s="21">
        <f t="shared" si="2"/>
        <v>0.12782454875511448</v>
      </c>
      <c r="L28" s="21">
        <f t="shared" si="3"/>
        <v>0.10624981087285382</v>
      </c>
      <c r="M28" s="21">
        <f t="shared" si="4"/>
        <v>0.30804764283711106</v>
      </c>
      <c r="N28" s="18">
        <f t="shared" si="5"/>
        <v>31993792</v>
      </c>
      <c r="O28" s="21">
        <v>16</v>
      </c>
      <c r="P28" s="22">
        <v>253120330</v>
      </c>
      <c r="Q28" s="22">
        <v>843734.433333333</v>
      </c>
      <c r="R28" s="22">
        <v>22945.56</v>
      </c>
      <c r="S28" s="23">
        <v>109096448</v>
      </c>
      <c r="T28" s="23">
        <v>26593752</v>
      </c>
      <c r="U28" s="23">
        <v>5400040</v>
      </c>
      <c r="V28" s="23">
        <v>77102656</v>
      </c>
      <c r="W28" s="24">
        <v>70.485357999999906</v>
      </c>
      <c r="X28" s="24">
        <v>73.041494666666694</v>
      </c>
      <c r="Y28" s="24">
        <v>32.692002666666703</v>
      </c>
      <c r="Z28" s="24">
        <v>36.390619666666701</v>
      </c>
      <c r="AA28" s="24">
        <v>35.8425783333334</v>
      </c>
      <c r="AB28" s="25">
        <v>15370.4</v>
      </c>
      <c r="AC28" s="25">
        <v>70093.100000000006</v>
      </c>
      <c r="AD28" s="25">
        <v>563.09699999999998</v>
      </c>
      <c r="AE28" s="25">
        <v>308.93400000000003</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25.1433632</v>
      </c>
      <c r="J29" s="30">
        <f t="shared" si="1"/>
        <v>1.0045508376206083</v>
      </c>
      <c r="K29" s="30">
        <f t="shared" si="2"/>
        <v>0.2111768284301096</v>
      </c>
      <c r="L29" s="30">
        <f t="shared" si="3"/>
        <v>0.16742620501469743</v>
      </c>
      <c r="M29" s="30">
        <f t="shared" si="4"/>
        <v>0.79337400919049861</v>
      </c>
      <c r="N29" s="27">
        <f t="shared" si="5"/>
        <v>52856416</v>
      </c>
      <c r="O29" s="30">
        <v>16</v>
      </c>
      <c r="P29" s="31">
        <v>243643189</v>
      </c>
      <c r="Q29" s="31">
        <v>812143.96333333303</v>
      </c>
      <c r="R29" s="31">
        <v>10655.1133333333</v>
      </c>
      <c r="S29" s="32">
        <v>251433632</v>
      </c>
      <c r="T29" s="32">
        <v>41905872</v>
      </c>
      <c r="U29" s="32">
        <v>10950544</v>
      </c>
      <c r="V29" s="32">
        <v>198577216</v>
      </c>
      <c r="W29" s="33">
        <v>71.191933333333296</v>
      </c>
      <c r="X29" s="33">
        <v>74.925769000000003</v>
      </c>
      <c r="Y29" s="33">
        <v>35.720438666666702</v>
      </c>
      <c r="Z29" s="33">
        <v>38.376886333333303</v>
      </c>
      <c r="AA29" s="33">
        <v>37.768400999999997</v>
      </c>
      <c r="AB29" s="34">
        <v>15289.7</v>
      </c>
      <c r="AC29" s="34">
        <v>79889.899999999994</v>
      </c>
      <c r="AD29" s="34">
        <v>542.43299999999999</v>
      </c>
      <c r="AE29" s="34">
        <v>335.14</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4.0104337499999998</v>
      </c>
      <c r="J30" s="21">
        <f t="shared" si="1"/>
        <v>4.5774351081650649E-2</v>
      </c>
      <c r="K30" s="21">
        <f t="shared" si="2"/>
        <v>3.5690373452251165E-2</v>
      </c>
      <c r="L30" s="21">
        <f t="shared" si="3"/>
        <v>2.292768745237864E-2</v>
      </c>
      <c r="M30" s="21">
        <f t="shared" si="4"/>
        <v>1.0083977629399483E-2</v>
      </c>
      <c r="N30" s="18">
        <f t="shared" si="5"/>
        <v>6670816</v>
      </c>
      <c r="O30" s="21">
        <v>16</v>
      </c>
      <c r="P30" s="22">
        <v>172119781</v>
      </c>
      <c r="Q30" s="22">
        <v>2689371.578125</v>
      </c>
      <c r="R30" s="22">
        <v>33544.125</v>
      </c>
      <c r="S30" s="23">
        <v>8555592</v>
      </c>
      <c r="T30" s="23">
        <v>4285368</v>
      </c>
      <c r="U30" s="23">
        <v>2385448</v>
      </c>
      <c r="V30" s="23">
        <v>1884776</v>
      </c>
      <c r="W30" s="24">
        <v>73.538409375000001</v>
      </c>
      <c r="X30" s="24">
        <v>75.705965625000005</v>
      </c>
      <c r="Y30" s="24">
        <v>32.984943749999999</v>
      </c>
      <c r="Z30" s="24">
        <v>41.898460937499998</v>
      </c>
      <c r="AA30" s="24">
        <v>43.1148375</v>
      </c>
      <c r="AB30" s="25">
        <v>7019.35</v>
      </c>
      <c r="AC30" s="25">
        <v>54840.1</v>
      </c>
      <c r="AD30" s="25">
        <v>400.77</v>
      </c>
      <c r="AE30" s="25">
        <v>273.79300000000001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5.3672887500000002</v>
      </c>
      <c r="J31" s="12">
        <f t="shared" si="1"/>
        <v>6.1261243774216156E-2</v>
      </c>
      <c r="K31" s="12">
        <f t="shared" si="2"/>
        <v>4.4092882042694473E-2</v>
      </c>
      <c r="L31" s="12">
        <f t="shared" si="3"/>
        <v>3.1330196042821945E-2</v>
      </c>
      <c r="M31" s="12">
        <f t="shared" si="4"/>
        <v>1.7168361731521687E-2</v>
      </c>
      <c r="N31" s="54">
        <f t="shared" si="5"/>
        <v>8241312</v>
      </c>
      <c r="O31" s="12">
        <v>16</v>
      </c>
      <c r="P31" s="13">
        <v>181793517</v>
      </c>
      <c r="Q31" s="13">
        <v>2840523.703125</v>
      </c>
      <c r="R31" s="13">
        <v>41507.578125</v>
      </c>
      <c r="S31" s="14">
        <v>11450216</v>
      </c>
      <c r="T31" s="14">
        <v>5855864</v>
      </c>
      <c r="U31" s="14">
        <v>2385448</v>
      </c>
      <c r="V31" s="14">
        <v>3208904</v>
      </c>
      <c r="W31" s="15">
        <v>75.198571874999999</v>
      </c>
      <c r="X31" s="15">
        <v>77.573767187499996</v>
      </c>
      <c r="Y31" s="15">
        <v>35.008137499999997</v>
      </c>
      <c r="Z31" s="15">
        <v>42.637901562499998</v>
      </c>
      <c r="AA31" s="15">
        <v>44.5175640625</v>
      </c>
      <c r="AB31" s="16">
        <v>7104.69</v>
      </c>
      <c r="AC31" s="16">
        <v>57705.4</v>
      </c>
      <c r="AD31" s="16">
        <v>422.49099999999999</v>
      </c>
      <c r="AE31" s="16">
        <v>278.05200000000002</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7.7311087499999998</v>
      </c>
      <c r="J32" s="21">
        <f t="shared" si="1"/>
        <v>8.8241449237983619E-2</v>
      </c>
      <c r="K32" s="21">
        <f t="shared" si="2"/>
        <v>5.6482807094106531E-2</v>
      </c>
      <c r="L32" s="21">
        <f t="shared" si="3"/>
        <v>4.372012109423401E-2</v>
      </c>
      <c r="M32" s="21">
        <f t="shared" si="4"/>
        <v>3.1758642143877087E-2</v>
      </c>
      <c r="N32" s="18">
        <f t="shared" si="5"/>
        <v>10557088</v>
      </c>
      <c r="O32" s="21">
        <v>16</v>
      </c>
      <c r="P32" s="22">
        <v>184640807</v>
      </c>
      <c r="Q32" s="22">
        <v>2885012.609375</v>
      </c>
      <c r="R32" s="22">
        <v>44657.078125</v>
      </c>
      <c r="S32" s="23">
        <v>16493032</v>
      </c>
      <c r="T32" s="23">
        <v>8171640</v>
      </c>
      <c r="U32" s="23">
        <v>2385448</v>
      </c>
      <c r="V32" s="23">
        <v>5935944</v>
      </c>
      <c r="W32" s="24">
        <v>76.443582812499997</v>
      </c>
      <c r="X32" s="24">
        <v>79.119150000000005</v>
      </c>
      <c r="Y32" s="24">
        <v>36.883573437499997</v>
      </c>
      <c r="Z32" s="24">
        <v>43.144957812500003</v>
      </c>
      <c r="AA32" s="24">
        <v>45.674196875</v>
      </c>
      <c r="AB32" s="25">
        <v>7085.8</v>
      </c>
      <c r="AC32" s="25">
        <v>60724.1</v>
      </c>
      <c r="AD32" s="25">
        <v>427.62400000000002</v>
      </c>
      <c r="AE32" s="25">
        <v>280.06200000000001</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12.76633125</v>
      </c>
      <c r="J33" s="12">
        <f t="shared" si="1"/>
        <v>0.14571255008567291</v>
      </c>
      <c r="K33" s="12">
        <f t="shared" si="2"/>
        <v>7.8508532040237916E-2</v>
      </c>
      <c r="L33" s="12">
        <f t="shared" si="3"/>
        <v>6.5745846040365388E-2</v>
      </c>
      <c r="M33" s="12">
        <f t="shared" si="4"/>
        <v>6.7204018045434979E-2</v>
      </c>
      <c r="N33" s="54">
        <f t="shared" si="5"/>
        <v>14673872</v>
      </c>
      <c r="O33" s="12">
        <v>16</v>
      </c>
      <c r="P33" s="13">
        <v>189214522</v>
      </c>
      <c r="Q33" s="13">
        <v>2956476.90625</v>
      </c>
      <c r="R33" s="13">
        <v>49885.15625</v>
      </c>
      <c r="S33" s="14">
        <v>27234840</v>
      </c>
      <c r="T33" s="14">
        <v>12288424</v>
      </c>
      <c r="U33" s="14">
        <v>2385448</v>
      </c>
      <c r="V33" s="14">
        <v>12560968</v>
      </c>
      <c r="W33" s="15">
        <v>77.554853124999994</v>
      </c>
      <c r="X33" s="15">
        <v>80.274532812499999</v>
      </c>
      <c r="Y33" s="15">
        <v>38.703032812499998</v>
      </c>
      <c r="Z33" s="15">
        <v>43.746154687500002</v>
      </c>
      <c r="AA33" s="15">
        <v>47.196599999999997</v>
      </c>
      <c r="AB33" s="16">
        <v>7071.04</v>
      </c>
      <c r="AC33" s="16">
        <v>63528.2</v>
      </c>
      <c r="AD33" s="16">
        <v>419.70499999999998</v>
      </c>
      <c r="AE33" s="16">
        <v>273.91300000000001</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25.7569275</v>
      </c>
      <c r="J34" s="40">
        <f t="shared" si="1"/>
        <v>0.29398481951475258</v>
      </c>
      <c r="K34" s="40">
        <f t="shared" si="2"/>
        <v>0.13010803802390664</v>
      </c>
      <c r="L34" s="40">
        <f t="shared" si="3"/>
        <v>0.10363785890780881</v>
      </c>
      <c r="M34" s="40">
        <f t="shared" si="4"/>
        <v>0.16387678149084595</v>
      </c>
      <c r="N34" s="37">
        <f t="shared" si="5"/>
        <v>24318232</v>
      </c>
      <c r="O34" s="40">
        <v>16</v>
      </c>
      <c r="P34" s="41">
        <v>185473998</v>
      </c>
      <c r="Q34" s="41">
        <v>2898031.21875</v>
      </c>
      <c r="R34" s="41">
        <v>21040.359375</v>
      </c>
      <c r="S34" s="42">
        <v>54948112</v>
      </c>
      <c r="T34" s="42">
        <v>19370744</v>
      </c>
      <c r="U34" s="42">
        <v>4947488</v>
      </c>
      <c r="V34" s="42">
        <v>30629880</v>
      </c>
      <c r="W34" s="43">
        <v>78.483640625000007</v>
      </c>
      <c r="X34" s="43">
        <v>81.908514062500004</v>
      </c>
      <c r="Y34" s="43">
        <v>40.533028125000001</v>
      </c>
      <c r="Z34" s="43">
        <v>44.458529687499997</v>
      </c>
      <c r="AA34" s="43">
        <v>48.760359375</v>
      </c>
      <c r="AB34" s="44">
        <v>7022.69</v>
      </c>
      <c r="AC34" s="44">
        <v>68244.7</v>
      </c>
      <c r="AD34" s="44">
        <v>427.24900000000002</v>
      </c>
      <c r="AE34" s="44">
        <v>302.07100000000003</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4.5756600000000001</v>
      </c>
      <c r="J35" s="12">
        <f t="shared" si="1"/>
        <v>5.8793491376594259E-2</v>
      </c>
      <c r="K35" s="12">
        <f t="shared" si="2"/>
        <v>4.4541258217750013E-2</v>
      </c>
      <c r="L35" s="12">
        <f t="shared" si="3"/>
        <v>2.8690217315296019E-2</v>
      </c>
      <c r="M35" s="12">
        <f t="shared" si="4"/>
        <v>1.4252233158844243E-2</v>
      </c>
      <c r="N35" s="54">
        <f t="shared" si="5"/>
        <v>7395128</v>
      </c>
      <c r="O35" s="12">
        <v>16</v>
      </c>
      <c r="P35" s="13">
        <v>149613278</v>
      </c>
      <c r="Q35" s="13">
        <v>2337707.46875</v>
      </c>
      <c r="R35" s="13">
        <v>31836.328125</v>
      </c>
      <c r="S35" s="14">
        <v>9761408</v>
      </c>
      <c r="T35" s="14">
        <v>4763400</v>
      </c>
      <c r="U35" s="14">
        <v>2631728</v>
      </c>
      <c r="V35" s="14">
        <v>2366280</v>
      </c>
      <c r="W35" s="15">
        <v>73.201135937499998</v>
      </c>
      <c r="X35" s="15">
        <v>75.428648437500001</v>
      </c>
      <c r="Y35" s="15">
        <v>31.861665625000001</v>
      </c>
      <c r="Z35" s="15">
        <v>42.110481249999999</v>
      </c>
      <c r="AA35" s="15">
        <v>43.259603124999998</v>
      </c>
      <c r="AB35" s="16">
        <v>6259.19</v>
      </c>
      <c r="AC35" s="16">
        <v>57479.5</v>
      </c>
      <c r="AD35" s="16">
        <v>336.82900000000001</v>
      </c>
      <c r="AE35" s="16">
        <v>263.64</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6.1351837500000004</v>
      </c>
      <c r="J36" s="21">
        <f t="shared" si="1"/>
        <v>7.8832096986980293E-2</v>
      </c>
      <c r="K36" s="21">
        <f t="shared" si="2"/>
        <v>5.487628953444066E-2</v>
      </c>
      <c r="L36" s="21">
        <f t="shared" si="3"/>
        <v>3.9025248631986663E-2</v>
      </c>
      <c r="M36" s="21">
        <f t="shared" si="4"/>
        <v>2.3955807452539626E-2</v>
      </c>
      <c r="N36" s="18">
        <f t="shared" si="5"/>
        <v>9111040</v>
      </c>
      <c r="O36" s="21">
        <v>16</v>
      </c>
      <c r="P36" s="22">
        <v>159901191</v>
      </c>
      <c r="Q36" s="22">
        <v>2498456.109375</v>
      </c>
      <c r="R36" s="22">
        <v>40289.96875</v>
      </c>
      <c r="S36" s="23">
        <v>13088392</v>
      </c>
      <c r="T36" s="23">
        <v>6479312</v>
      </c>
      <c r="U36" s="23">
        <v>2631728</v>
      </c>
      <c r="V36" s="23">
        <v>3977352</v>
      </c>
      <c r="W36" s="24">
        <v>74.942665625000004</v>
      </c>
      <c r="X36" s="24">
        <v>77.380543750000001</v>
      </c>
      <c r="Y36" s="24">
        <v>34.085734375000001</v>
      </c>
      <c r="Z36" s="24">
        <v>42.919023437500002</v>
      </c>
      <c r="AA36" s="24">
        <v>44.79616875</v>
      </c>
      <c r="AB36" s="25">
        <v>6314.6</v>
      </c>
      <c r="AC36" s="25">
        <v>60650.6</v>
      </c>
      <c r="AD36" s="25">
        <v>363.87599999999998</v>
      </c>
      <c r="AE36" s="25">
        <v>271.33300000000003</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8.7876899999999996</v>
      </c>
      <c r="J37" s="12">
        <f t="shared" si="1"/>
        <v>0.11291463444294017</v>
      </c>
      <c r="K37" s="12">
        <f t="shared" si="2"/>
        <v>6.9876489680538278E-2</v>
      </c>
      <c r="L37" s="12">
        <f t="shared" si="3"/>
        <v>5.4025448778084281E-2</v>
      </c>
      <c r="M37" s="12">
        <f t="shared" si="4"/>
        <v>4.3038144762401885E-2</v>
      </c>
      <c r="N37" s="54">
        <f t="shared" si="5"/>
        <v>11601504</v>
      </c>
      <c r="O37" s="12">
        <v>16</v>
      </c>
      <c r="P37" s="13">
        <v>163389765</v>
      </c>
      <c r="Q37" s="13">
        <v>2552965.078125</v>
      </c>
      <c r="R37" s="13">
        <v>43966.28125</v>
      </c>
      <c r="S37" s="14">
        <v>18747072</v>
      </c>
      <c r="T37" s="14">
        <v>8969776</v>
      </c>
      <c r="U37" s="14">
        <v>2631728</v>
      </c>
      <c r="V37" s="14">
        <v>7145568</v>
      </c>
      <c r="W37" s="15">
        <v>76.244087500000006</v>
      </c>
      <c r="X37" s="15">
        <v>78.967284375000006</v>
      </c>
      <c r="Y37" s="15">
        <v>36.1798875</v>
      </c>
      <c r="Z37" s="15">
        <v>43.484889062500002</v>
      </c>
      <c r="AA37" s="15">
        <v>46.040328125000002</v>
      </c>
      <c r="AB37" s="16">
        <v>6302.53</v>
      </c>
      <c r="AC37" s="16">
        <v>63262.400000000001</v>
      </c>
      <c r="AD37" s="16">
        <v>361.755</v>
      </c>
      <c r="AE37" s="16">
        <v>267.14600000000002</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14.247795</v>
      </c>
      <c r="J38" s="21">
        <f t="shared" si="1"/>
        <v>0.18307252122491244</v>
      </c>
      <c r="K38" s="21">
        <f t="shared" si="2"/>
        <v>9.5175390079203046E-2</v>
      </c>
      <c r="L38" s="21">
        <f t="shared" si="3"/>
        <v>7.9324349176749048E-2</v>
      </c>
      <c r="M38" s="21">
        <f t="shared" si="4"/>
        <v>8.7897131145709378E-2</v>
      </c>
      <c r="N38" s="18">
        <f t="shared" si="5"/>
        <v>15801848</v>
      </c>
      <c r="O38" s="21">
        <v>16</v>
      </c>
      <c r="P38" s="22">
        <v>167533646</v>
      </c>
      <c r="Q38" s="22">
        <v>2617713.21875</v>
      </c>
      <c r="R38" s="22">
        <v>49170.921875</v>
      </c>
      <c r="S38" s="23">
        <v>30395296</v>
      </c>
      <c r="T38" s="23">
        <v>13170120</v>
      </c>
      <c r="U38" s="23">
        <v>2631728</v>
      </c>
      <c r="V38" s="23">
        <v>14593448</v>
      </c>
      <c r="W38" s="24">
        <v>77.413173437500006</v>
      </c>
      <c r="X38" s="24">
        <v>80.162648437499996</v>
      </c>
      <c r="Y38" s="24">
        <v>38.153678124999999</v>
      </c>
      <c r="Z38" s="24">
        <v>44.131234374999998</v>
      </c>
      <c r="AA38" s="24">
        <v>47.2756890625</v>
      </c>
      <c r="AB38" s="25">
        <v>6275.72</v>
      </c>
      <c r="AC38" s="25">
        <v>66781.7</v>
      </c>
      <c r="AD38" s="25">
        <v>372.334</v>
      </c>
      <c r="AE38" s="25">
        <v>269.06799999999998</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28.204852500000001</v>
      </c>
      <c r="J39" s="30">
        <f t="shared" si="1"/>
        <v>0.36240930319054804</v>
      </c>
      <c r="K39" s="30">
        <f t="shared" si="2"/>
        <v>0.15453736142201616</v>
      </c>
      <c r="L39" s="30">
        <f t="shared" si="3"/>
        <v>0.12233228229829493</v>
      </c>
      <c r="M39" s="30">
        <f t="shared" si="4"/>
        <v>0.20787194176853188</v>
      </c>
      <c r="N39" s="27">
        <f t="shared" si="5"/>
        <v>25657640</v>
      </c>
      <c r="O39" s="30">
        <v>16</v>
      </c>
      <c r="P39" s="31">
        <v>163847524</v>
      </c>
      <c r="Q39" s="31">
        <v>2560117.5625</v>
      </c>
      <c r="R39" s="31">
        <v>19932.265625</v>
      </c>
      <c r="S39" s="32">
        <v>60170352</v>
      </c>
      <c r="T39" s="32">
        <v>20310672</v>
      </c>
      <c r="U39" s="32">
        <v>5346968</v>
      </c>
      <c r="V39" s="32">
        <v>34512712</v>
      </c>
      <c r="W39" s="33">
        <v>78.301231250000001</v>
      </c>
      <c r="X39" s="33">
        <v>81.886656250000001</v>
      </c>
      <c r="Y39" s="33">
        <v>40.245785937500003</v>
      </c>
      <c r="Z39" s="33">
        <v>45.053335937500002</v>
      </c>
      <c r="AA39" s="33">
        <v>48.672321875000002</v>
      </c>
      <c r="AB39" s="34">
        <v>6236.08</v>
      </c>
      <c r="AC39" s="34">
        <v>71535.600000000006</v>
      </c>
      <c r="AD39" s="34">
        <v>363.50599999999997</v>
      </c>
      <c r="AE39" s="34">
        <v>287.149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0.17746458197233811</v>
      </c>
      <c r="K40" s="48">
        <f>AVERAGE(K5:K24)</f>
        <v>9.7067247817859872E-2</v>
      </c>
      <c r="L40" s="48">
        <f>AVERAGE(L5:L24)</f>
        <v>7.139171239974243E-2</v>
      </c>
      <c r="M40" s="48">
        <f>AVERAGE(M5:M24)</f>
        <v>8.0397334154478223E-2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0.37745858997459247</v>
      </c>
      <c r="K41" s="48">
        <f>AVERAGE(K25:K29)</f>
        <v>0.11111217741021658</v>
      </c>
      <c r="L41" s="48">
        <f>AVERAGE(L25:L29)</f>
        <v>8.5102262421325597E-2</v>
      </c>
      <c r="M41" s="48">
        <f>AVERAGE(M25:M29)</f>
        <v>0.26634641256437586</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0.14309964609162512</v>
      </c>
      <c r="K42" s="48">
        <f>AVERAGE(K30:K39)</f>
        <v>7.6388942158714487E-2</v>
      </c>
      <c r="L42" s="48">
        <f>AVERAGE(L30:L39)</f>
        <v>5.907592557380198E-2</v>
      </c>
      <c r="M42" s="48">
        <f>AVERAGE(M30:M39)</f>
        <v>6.6710703932910606E-2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0.19621660143531358</v>
      </c>
      <c r="K43" s="48">
        <f>AVERAGE(K5:K39)</f>
        <v>9.316557899986927E-2</v>
      </c>
      <c r="L43" s="48">
        <f>AVERAGE(L5:L39)</f>
        <v>6.9831566166842746E-2</v>
      </c>
      <c r="M43" s="48">
        <f>AVERAGE(M5:M39)</f>
        <v>0.10305102243544428</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873946.8899999999</v>
      </c>
      <c r="AC44" s="49">
        <f>SUM(AC5:AC24,AC25:AC29,AC30:AC39)</f>
        <v>2091631.8000000003</v>
      </c>
      <c r="AD44" s="49">
        <f>SUM(AD5:AD24,AD25:AD29,AD30:AD39)</f>
        <v>17998.471000000001</v>
      </c>
      <c r="AE44" s="49">
        <f>SUM(AE5:AE24,AE25:AE29,AE30:AE39)</f>
        <v>9834.5709999999999</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19746.646013811958</v>
      </c>
      <c r="AC46" s="49">
        <f>GEOMEAN(AC5:AC24,AC25:AC29,AC30:AC39)</f>
        <v>59026.101617645509</v>
      </c>
      <c r="AD46" s="49">
        <f>GEOMEAN(AD5:AD24,AD25:AD29,AD30:AD39)</f>
        <v>503.69362640141645</v>
      </c>
      <c r="AE46" s="49">
        <f>GEOMEAN(AE5:AE24,AE25:AE29,AE30:AE39)</f>
        <v>280.11101395738626</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2021-07-09T15:48:12Z</dcterms:modified>
</cp:coreProperties>
</file>