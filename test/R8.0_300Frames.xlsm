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1" defaultThemeVersion="124226"/>
  <mc:AlternateContent xmlns:mc="http://schemas.openxmlformats.org/markup-compatibility/2006">
    <mc:Choice Requires="x15">
      <x15ac:absPath xmlns:x15ac="http://schemas.microsoft.com/office/spreadsheetml/2010/11/ac" url="\\rennsrdhnevs02\wp21\PCC\ricardj\gitMpeg128\tm2_r80\test\"/>
    </mc:Choice>
  </mc:AlternateContent>
  <xr:revisionPtr revIDLastSave="0" documentId="13_ncr:1_{73EF7E8E-92EA-4BDC-97D6-A130DB3DF9AF}" xr6:coauthVersionLast="45" xr6:coauthVersionMax="45" xr10:uidLastSave="{00000000-0000-0000-0000-000000000000}"/>
  <bookViews>
    <workbookView xWindow="-108" yWindow="-108" windowWidth="23256" windowHeight="12768"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BC45" i="7" s="1"/>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M37" i="7"/>
  <c r="L37" i="7"/>
  <c r="J37" i="7"/>
  <c r="I37" i="7"/>
  <c r="BF36" i="7"/>
  <c r="AL36" i="7"/>
  <c r="AK36" i="7"/>
  <c r="AJ36" i="7"/>
  <c r="AH36" i="7"/>
  <c r="AG36" i="7"/>
  <c r="N36" i="7"/>
  <c r="M36" i="7"/>
  <c r="L36" i="7"/>
  <c r="J36" i="7"/>
  <c r="I36" i="7"/>
  <c r="BF35" i="7"/>
  <c r="AL35" i="7"/>
  <c r="AI35" i="7" s="1"/>
  <c r="AK35" i="7"/>
  <c r="AJ35" i="7"/>
  <c r="AH35" i="7"/>
  <c r="AG35" i="7"/>
  <c r="N35" i="7"/>
  <c r="K35" i="7" s="1"/>
  <c r="M35" i="7"/>
  <c r="L35" i="7"/>
  <c r="J35" i="7"/>
  <c r="I35" i="7"/>
  <c r="BF34" i="7"/>
  <c r="AL34" i="7"/>
  <c r="AI34" i="7" s="1"/>
  <c r="AK34" i="7"/>
  <c r="AJ34" i="7"/>
  <c r="AH34" i="7"/>
  <c r="AG34" i="7"/>
  <c r="N34" i="7"/>
  <c r="K34" i="7" s="1"/>
  <c r="M34" i="7"/>
  <c r="L34" i="7"/>
  <c r="J34" i="7"/>
  <c r="I34" i="7"/>
  <c r="BF33" i="7"/>
  <c r="AL33" i="7"/>
  <c r="AK33" i="7"/>
  <c r="AJ33" i="7"/>
  <c r="AI33" i="7"/>
  <c r="AH33" i="7"/>
  <c r="AG33" i="7"/>
  <c r="N33" i="7"/>
  <c r="BG33" i="7" s="1"/>
  <c r="M33" i="7"/>
  <c r="L33" i="7"/>
  <c r="K33" i="7"/>
  <c r="J33" i="7"/>
  <c r="I33" i="7"/>
  <c r="BF32" i="7"/>
  <c r="AL32" i="7"/>
  <c r="BG32" i="7" s="1"/>
  <c r="AK32" i="7"/>
  <c r="AJ32" i="7"/>
  <c r="AH32" i="7"/>
  <c r="AG32" i="7"/>
  <c r="N32" i="7"/>
  <c r="K32" i="7" s="1"/>
  <c r="M32" i="7"/>
  <c r="L32" i="7"/>
  <c r="J32" i="7"/>
  <c r="I32" i="7"/>
  <c r="BF31" i="7"/>
  <c r="AL31" i="7"/>
  <c r="AK31" i="7"/>
  <c r="AJ31" i="7"/>
  <c r="AH31" i="7"/>
  <c r="AG31" i="7"/>
  <c r="N31" i="7"/>
  <c r="M31" i="7"/>
  <c r="L31" i="7"/>
  <c r="J31" i="7"/>
  <c r="I31" i="7"/>
  <c r="BF30" i="7"/>
  <c r="AL30" i="7"/>
  <c r="AK30" i="7"/>
  <c r="AJ30" i="7"/>
  <c r="AI30" i="7"/>
  <c r="AH30" i="7"/>
  <c r="AG30" i="7"/>
  <c r="N30" i="7"/>
  <c r="K30" i="7" s="1"/>
  <c r="M30" i="7"/>
  <c r="M42" i="7" s="1"/>
  <c r="L30" i="7"/>
  <c r="J30" i="7"/>
  <c r="J42" i="7" s="1"/>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M26" i="7"/>
  <c r="L26" i="7"/>
  <c r="K26" i="7"/>
  <c r="J26" i="7"/>
  <c r="I26" i="7"/>
  <c r="BF25" i="7"/>
  <c r="AL25" i="7"/>
  <c r="AK25" i="7"/>
  <c r="AJ25" i="7"/>
  <c r="AH25" i="7"/>
  <c r="AG25" i="7"/>
  <c r="N25" i="7"/>
  <c r="M25" i="7"/>
  <c r="L25" i="7"/>
  <c r="L41" i="7" s="1"/>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H20" i="7" a="1"/>
  <c r="BH20" i="7" s="1"/>
  <c r="BF20" i="7"/>
  <c r="AL20" i="7"/>
  <c r="AI20" i="7" s="1"/>
  <c r="AK20" i="7"/>
  <c r="AJ20" i="7"/>
  <c r="AH20" i="7"/>
  <c r="AG20" i="7"/>
  <c r="N20" i="7"/>
  <c r="BG20" i="7" s="1"/>
  <c r="M20" i="7"/>
  <c r="L20" i="7"/>
  <c r="K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K16" i="7"/>
  <c r="AJ16" i="7"/>
  <c r="AI16" i="7"/>
  <c r="AH16" i="7"/>
  <c r="AG16" i="7"/>
  <c r="N16" i="7"/>
  <c r="K16" i="7" s="1"/>
  <c r="M16" i="7"/>
  <c r="L16" i="7"/>
  <c r="J16" i="7"/>
  <c r="I16" i="7"/>
  <c r="BF15" i="7"/>
  <c r="AL15" i="7"/>
  <c r="AK15" i="7"/>
  <c r="AJ15" i="7"/>
  <c r="AH15" i="7"/>
  <c r="AG15" i="7"/>
  <c r="N15" i="7"/>
  <c r="BG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K12" i="7"/>
  <c r="AJ12" i="7"/>
  <c r="AH12" i="7"/>
  <c r="AG12" i="7"/>
  <c r="N12" i="7"/>
  <c r="M12" i="7"/>
  <c r="L12" i="7"/>
  <c r="K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BE9" i="7" s="1"/>
  <c r="AK9" i="7"/>
  <c r="AJ9" i="7"/>
  <c r="AH9" i="7"/>
  <c r="AG9" i="7"/>
  <c r="N9" i="7"/>
  <c r="K9" i="7" s="1"/>
  <c r="M9" i="7"/>
  <c r="L9" i="7"/>
  <c r="J9" i="7"/>
  <c r="I9" i="7"/>
  <c r="BF8" i="7"/>
  <c r="AL8" i="7"/>
  <c r="BG8" i="7" s="1"/>
  <c r="AK8" i="7"/>
  <c r="AJ8" i="7"/>
  <c r="AH8" i="7"/>
  <c r="AG8" i="7"/>
  <c r="N8" i="7"/>
  <c r="M8" i="7"/>
  <c r="L8" i="7"/>
  <c r="K8" i="7"/>
  <c r="J8" i="7"/>
  <c r="I8" i="7"/>
  <c r="BF7" i="7"/>
  <c r="AL7" i="7"/>
  <c r="AI7" i="7" s="1"/>
  <c r="AK7" i="7"/>
  <c r="AJ7" i="7"/>
  <c r="AH7" i="7"/>
  <c r="AG7" i="7"/>
  <c r="N7" i="7"/>
  <c r="M7" i="7"/>
  <c r="L7" i="7"/>
  <c r="J7" i="7"/>
  <c r="J40" i="7" s="1"/>
  <c r="I7" i="7"/>
  <c r="BF6" i="7"/>
  <c r="AL6" i="7"/>
  <c r="AI6" i="7" s="1"/>
  <c r="AK6" i="7"/>
  <c r="AJ6" i="7"/>
  <c r="AH6" i="7"/>
  <c r="AG6" i="7"/>
  <c r="N6" i="7"/>
  <c r="K6" i="7" s="1"/>
  <c r="M6" i="7"/>
  <c r="L6" i="7"/>
  <c r="J6" i="7"/>
  <c r="I6" i="7"/>
  <c r="BF5" i="7"/>
  <c r="AL5" i="7"/>
  <c r="AI5" i="7" s="1"/>
  <c r="AK5" i="7"/>
  <c r="AK43" i="7" s="1"/>
  <c r="AJ5" i="7"/>
  <c r="AH5" i="7"/>
  <c r="AG5" i="7"/>
  <c r="N5" i="7"/>
  <c r="M5" i="7"/>
  <c r="L5" i="7"/>
  <c r="J5" i="7"/>
  <c r="I5" i="7"/>
  <c r="AG1" i="7"/>
  <c r="I1" i="7"/>
  <c r="AZ18" i="6"/>
  <c r="AY18" i="6"/>
  <c r="AX18" i="6"/>
  <c r="AW18" i="6"/>
  <c r="AC18" i="6"/>
  <c r="AB18" i="6"/>
  <c r="AA18" i="6"/>
  <c r="Z18" i="6"/>
  <c r="AX17" i="6"/>
  <c r="AZ16" i="6"/>
  <c r="AZ17" i="6" s="1"/>
  <c r="AY16" i="6"/>
  <c r="AX16" i="6"/>
  <c r="AW16" i="6"/>
  <c r="AC16" i="6"/>
  <c r="AB16" i="6"/>
  <c r="AA16" i="6"/>
  <c r="Z16" i="6"/>
  <c r="AI13" i="6"/>
  <c r="AK11" i="6"/>
  <c r="AH11" i="6" s="1"/>
  <c r="AJ11" i="6"/>
  <c r="AI11" i="6"/>
  <c r="BD11" i="6" s="1"/>
  <c r="AG11" i="6"/>
  <c r="AF11" i="6"/>
  <c r="AE11" i="6"/>
  <c r="N11" i="6"/>
  <c r="BG11" i="6" s="1" a="1"/>
  <c r="M11" i="6"/>
  <c r="L11" i="6"/>
  <c r="J11" i="6"/>
  <c r="BB11" i="6" s="1"/>
  <c r="I11" i="6"/>
  <c r="H11" i="6"/>
  <c r="AK10" i="6"/>
  <c r="AJ10" i="6"/>
  <c r="AJ14" i="6" s="1"/>
  <c r="AI10" i="6"/>
  <c r="AG10" i="6"/>
  <c r="AF10" i="6"/>
  <c r="AE10" i="6"/>
  <c r="N10" i="6"/>
  <c r="K10" i="6" s="1"/>
  <c r="M10" i="6"/>
  <c r="L10" i="6"/>
  <c r="L14" i="6" s="1"/>
  <c r="J10" i="6"/>
  <c r="J14" i="6" s="1"/>
  <c r="I10" i="6"/>
  <c r="H10" i="6"/>
  <c r="AK9" i="6"/>
  <c r="AH9" i="6" s="1"/>
  <c r="AH13" i="6" s="1"/>
  <c r="AJ9" i="6"/>
  <c r="AJ13" i="6" s="1"/>
  <c r="BE13" i="6" s="1"/>
  <c r="D32" i="1" s="1"/>
  <c r="AI9" i="6"/>
  <c r="AG9" i="6"/>
  <c r="AG13" i="6" s="1"/>
  <c r="AF9" i="6"/>
  <c r="AE9" i="6"/>
  <c r="N9" i="6"/>
  <c r="K9" i="6" s="1"/>
  <c r="K13" i="6" s="1"/>
  <c r="M9" i="6"/>
  <c r="M13" i="6" s="1"/>
  <c r="L9" i="6"/>
  <c r="L13" i="6" s="1"/>
  <c r="J9" i="6"/>
  <c r="I9" i="6"/>
  <c r="H9" i="6"/>
  <c r="AK8" i="6"/>
  <c r="BG8" i="6" s="1" a="1"/>
  <c r="BG8" i="6" s="1"/>
  <c r="AJ8" i="6"/>
  <c r="AI8" i="6"/>
  <c r="AG8" i="6"/>
  <c r="BB8" i="6" s="1"/>
  <c r="AF8" i="6"/>
  <c r="AE8" i="6"/>
  <c r="N8" i="6"/>
  <c r="K8" i="6" s="1"/>
  <c r="M8" i="6"/>
  <c r="BE8" i="6" s="1"/>
  <c r="L8" i="6"/>
  <c r="J8" i="6"/>
  <c r="I8" i="6"/>
  <c r="H8" i="6"/>
  <c r="BB7" i="6"/>
  <c r="AK7" i="6"/>
  <c r="AJ7" i="6"/>
  <c r="BE7" i="6" s="1"/>
  <c r="AI7" i="6"/>
  <c r="AH7" i="6"/>
  <c r="AG7" i="6"/>
  <c r="AF7" i="6"/>
  <c r="AE7" i="6"/>
  <c r="N7" i="6"/>
  <c r="M7" i="6"/>
  <c r="L7" i="6"/>
  <c r="J7" i="6"/>
  <c r="I7" i="6"/>
  <c r="H7" i="6"/>
  <c r="AK6" i="6"/>
  <c r="AJ6" i="6"/>
  <c r="AI6" i="6"/>
  <c r="AI15" i="6" s="1"/>
  <c r="AG6" i="6"/>
  <c r="AF6" i="6"/>
  <c r="AE6" i="6"/>
  <c r="N6" i="6"/>
  <c r="K6" i="6" s="1"/>
  <c r="M6" i="6"/>
  <c r="L6" i="6"/>
  <c r="J6" i="6"/>
  <c r="I6" i="6"/>
  <c r="H6" i="6"/>
  <c r="BG5" i="6" a="1"/>
  <c r="BD5" i="6"/>
  <c r="AK5" i="6"/>
  <c r="AH5" i="6" s="1"/>
  <c r="AJ5" i="6"/>
  <c r="AI5" i="6"/>
  <c r="AG5" i="6"/>
  <c r="AF5" i="6"/>
  <c r="AE5" i="6"/>
  <c r="N5" i="6"/>
  <c r="K5" i="6" s="1"/>
  <c r="M5" i="6"/>
  <c r="L5" i="6"/>
  <c r="J5" i="6"/>
  <c r="I5" i="6"/>
  <c r="H5" i="6"/>
  <c r="AE1" i="6"/>
  <c r="H1" i="6"/>
  <c r="AZ18" i="5"/>
  <c r="AY18" i="5"/>
  <c r="AX18" i="5"/>
  <c r="AW18" i="5"/>
  <c r="AC18" i="5"/>
  <c r="AB18" i="5"/>
  <c r="AA18" i="5"/>
  <c r="Z18" i="5"/>
  <c r="AZ16" i="5"/>
  <c r="AY16" i="5"/>
  <c r="AX16" i="5"/>
  <c r="AW16" i="5"/>
  <c r="AC16" i="5"/>
  <c r="AB16" i="5"/>
  <c r="AA16" i="5"/>
  <c r="Z16" i="5"/>
  <c r="L14" i="5"/>
  <c r="AK11" i="5"/>
  <c r="AH11" i="5" s="1"/>
  <c r="AJ11" i="5"/>
  <c r="BE11" i="5" s="1"/>
  <c r="AI11" i="5"/>
  <c r="AG11" i="5"/>
  <c r="AF11" i="5"/>
  <c r="AE11" i="5"/>
  <c r="N11" i="5"/>
  <c r="K11" i="5" s="1"/>
  <c r="M11" i="5"/>
  <c r="L11" i="5"/>
  <c r="J11" i="5"/>
  <c r="I11" i="5"/>
  <c r="H11" i="5"/>
  <c r="AK10" i="5"/>
  <c r="BG10" i="5" s="1" a="1"/>
  <c r="BG10" i="5" s="1"/>
  <c r="AJ10" i="5"/>
  <c r="AI10" i="5"/>
  <c r="AG10" i="5"/>
  <c r="AF10" i="5"/>
  <c r="AE10" i="5"/>
  <c r="N10" i="5"/>
  <c r="M10" i="5"/>
  <c r="L10" i="5"/>
  <c r="K10" i="5"/>
  <c r="J10" i="5"/>
  <c r="I10" i="5"/>
  <c r="H10" i="5"/>
  <c r="BG9" i="5" a="1"/>
  <c r="AK9" i="5"/>
  <c r="AH9" i="5" s="1"/>
  <c r="AJ9" i="5"/>
  <c r="AI9" i="5"/>
  <c r="AI13" i="5" s="1"/>
  <c r="BD13" i="5" s="1"/>
  <c r="AG9" i="5"/>
  <c r="AG13" i="5" s="1"/>
  <c r="AF9" i="5"/>
  <c r="AE9" i="5"/>
  <c r="N9" i="5"/>
  <c r="K9" i="5" s="1"/>
  <c r="K13" i="5" s="1"/>
  <c r="M9" i="5"/>
  <c r="M13" i="5" s="1"/>
  <c r="L9" i="5"/>
  <c r="L13" i="5" s="1"/>
  <c r="J9" i="5"/>
  <c r="J13" i="5" s="1"/>
  <c r="I9" i="5"/>
  <c r="H9" i="5"/>
  <c r="BG8" i="5" a="1"/>
  <c r="AK8" i="5"/>
  <c r="AJ8" i="5"/>
  <c r="BE8" i="5" s="1"/>
  <c r="AI8" i="5"/>
  <c r="AG8" i="5"/>
  <c r="BB8" i="5" s="1"/>
  <c r="AF8" i="5"/>
  <c r="AE8" i="5"/>
  <c r="N8" i="5"/>
  <c r="M8" i="5"/>
  <c r="L8" i="5"/>
  <c r="K8" i="5"/>
  <c r="J8" i="5"/>
  <c r="I8" i="5"/>
  <c r="H8" i="5"/>
  <c r="AK7" i="5"/>
  <c r="AH7" i="5" s="1"/>
  <c r="AJ7" i="5"/>
  <c r="AI7" i="5"/>
  <c r="AG7" i="5"/>
  <c r="AF7" i="5"/>
  <c r="AE7" i="5"/>
  <c r="N7" i="5"/>
  <c r="K7" i="5" s="1"/>
  <c r="M7" i="5"/>
  <c r="BE7" i="5" s="1"/>
  <c r="L7" i="5"/>
  <c r="J7" i="5"/>
  <c r="I7" i="5"/>
  <c r="H7" i="5"/>
  <c r="AK6" i="5"/>
  <c r="BG6" i="5" s="1" a="1"/>
  <c r="AJ6" i="5"/>
  <c r="AI6" i="5"/>
  <c r="BD6" i="5" s="1"/>
  <c r="AG6" i="5"/>
  <c r="AF6" i="5"/>
  <c r="AE6" i="5"/>
  <c r="N6" i="5"/>
  <c r="K6" i="5" s="1"/>
  <c r="K12" i="5" s="1"/>
  <c r="M6" i="5"/>
  <c r="L6" i="5"/>
  <c r="J6" i="5"/>
  <c r="J12" i="5" s="1"/>
  <c r="I6" i="5"/>
  <c r="H6" i="5"/>
  <c r="BG5" i="5" a="1"/>
  <c r="AK5" i="5"/>
  <c r="AH5" i="5" s="1"/>
  <c r="AJ5" i="5"/>
  <c r="AI5" i="5"/>
  <c r="AG5" i="5"/>
  <c r="AF5" i="5"/>
  <c r="AE5" i="5"/>
  <c r="N5" i="5"/>
  <c r="M5" i="5"/>
  <c r="L5" i="5"/>
  <c r="K5" i="5"/>
  <c r="J5" i="5"/>
  <c r="I5" i="5"/>
  <c r="H5" i="5"/>
  <c r="AE1" i="5"/>
  <c r="H1" i="5"/>
  <c r="BC46" i="3"/>
  <c r="BB46" i="3"/>
  <c r="BA46" i="3"/>
  <c r="AZ46" i="3"/>
  <c r="AE46" i="3"/>
  <c r="AD46" i="3"/>
  <c r="AC46" i="3"/>
  <c r="AB46" i="3"/>
  <c r="BC44" i="3"/>
  <c r="BB44" i="3"/>
  <c r="BB45" i="3" s="1"/>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M36" i="3"/>
  <c r="L36" i="3"/>
  <c r="J36" i="3"/>
  <c r="I36" i="3"/>
  <c r="BF35" i="3"/>
  <c r="AL35" i="3"/>
  <c r="AI35" i="3" s="1"/>
  <c r="AK35" i="3"/>
  <c r="AJ35" i="3"/>
  <c r="AH35" i="3"/>
  <c r="AG35" i="3"/>
  <c r="N35" i="3"/>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M25" i="3"/>
  <c r="L25" i="3"/>
  <c r="J25" i="3"/>
  <c r="I25" i="3"/>
  <c r="BF24" i="3"/>
  <c r="AL24" i="3"/>
  <c r="AK24" i="3"/>
  <c r="AJ24" i="3"/>
  <c r="AH24" i="3"/>
  <c r="AG24" i="3"/>
  <c r="N24" i="3"/>
  <c r="K24" i="3" s="1"/>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F15" i="3"/>
  <c r="AL15" i="3"/>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F10" i="3"/>
  <c r="AL10" i="3"/>
  <c r="AK10" i="3"/>
  <c r="AJ10" i="3"/>
  <c r="AH10" i="3"/>
  <c r="AG10" i="3"/>
  <c r="N10" i="3"/>
  <c r="K10" i="3" s="1"/>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J5" i="3"/>
  <c r="I5" i="3"/>
  <c r="AG1" i="3"/>
  <c r="I1" i="3"/>
  <c r="B2" i="2"/>
  <c r="B1" i="2"/>
  <c r="BG26" i="7" l="1"/>
  <c r="AK41" i="7"/>
  <c r="AH42" i="7"/>
  <c r="AI32" i="7"/>
  <c r="BE32" i="7" s="1"/>
  <c r="AH40" i="7"/>
  <c r="AH41" i="7"/>
  <c r="AI8" i="7"/>
  <c r="BE8" i="7" s="1"/>
  <c r="BG11" i="7"/>
  <c r="BG38" i="7"/>
  <c r="BG10" i="7"/>
  <c r="BE22" i="7"/>
  <c r="BG28" i="7"/>
  <c r="BG35" i="7"/>
  <c r="BA45" i="7"/>
  <c r="AZ47" i="7"/>
  <c r="C47" i="1" s="1"/>
  <c r="BE6" i="7"/>
  <c r="BG16" i="7"/>
  <c r="BE18" i="7"/>
  <c r="BG22" i="7"/>
  <c r="BE24" i="7"/>
  <c r="BG30" i="7"/>
  <c r="BB45" i="7"/>
  <c r="BG6" i="7"/>
  <c r="BG18" i="7"/>
  <c r="BG24" i="7"/>
  <c r="BE26" i="7"/>
  <c r="BB47" i="7"/>
  <c r="C48" i="1" s="1"/>
  <c r="BE10" i="7"/>
  <c r="BE35" i="7"/>
  <c r="AZ45" i="7"/>
  <c r="AJ15" i="6"/>
  <c r="AI12" i="6"/>
  <c r="BD7" i="6"/>
  <c r="AY19" i="6"/>
  <c r="C36" i="1" s="1"/>
  <c r="AJ12" i="6"/>
  <c r="BB9" i="6"/>
  <c r="BG11" i="6"/>
  <c r="AW17" i="6"/>
  <c r="J12" i="6"/>
  <c r="BG5" i="6"/>
  <c r="BB13" i="6"/>
  <c r="E32" i="1" s="1"/>
  <c r="BF11" i="6"/>
  <c r="L12" i="6"/>
  <c r="BD8" i="6"/>
  <c r="K11" i="6"/>
  <c r="BC11" i="6" s="1"/>
  <c r="AW19" i="6"/>
  <c r="C35" i="1" s="1"/>
  <c r="BF5" i="6"/>
  <c r="BB6" i="6"/>
  <c r="M14" i="6"/>
  <c r="BE14" i="6" s="1"/>
  <c r="D33" i="1" s="1"/>
  <c r="BE11" i="6"/>
  <c r="J13" i="6"/>
  <c r="J15" i="6"/>
  <c r="AX19" i="6"/>
  <c r="BD11" i="5"/>
  <c r="AZ17" i="5"/>
  <c r="AZ19" i="5"/>
  <c r="BC5" i="5"/>
  <c r="AW17" i="5"/>
  <c r="AW19" i="5"/>
  <c r="C23" i="1" s="1"/>
  <c r="J15" i="5"/>
  <c r="BB15" i="5" s="1"/>
  <c r="AX17" i="5"/>
  <c r="AX19" i="5"/>
  <c r="BD5" i="5"/>
  <c r="BG6" i="5"/>
  <c r="BD8" i="5"/>
  <c r="BD10" i="5"/>
  <c r="AY17" i="5"/>
  <c r="AY19" i="5"/>
  <c r="BC9" i="5"/>
  <c r="AH13" i="5"/>
  <c r="BC13" i="5" s="1"/>
  <c r="C20" i="1" s="1"/>
  <c r="AG12" i="5"/>
  <c r="BB9" i="5"/>
  <c r="BF9" i="5"/>
  <c r="BG9" i="5"/>
  <c r="BG13" i="5" s="1"/>
  <c r="BG8" i="5"/>
  <c r="AH10" i="5"/>
  <c r="BC10" i="5" s="1"/>
  <c r="BF10" i="5"/>
  <c r="AG15" i="5"/>
  <c r="BG5" i="5"/>
  <c r="AI14" i="5"/>
  <c r="BD14" i="5" s="1"/>
  <c r="BB5" i="5"/>
  <c r="BF5" i="5"/>
  <c r="AH6" i="5"/>
  <c r="BC6" i="5" s="1"/>
  <c r="BF6" i="5"/>
  <c r="BD7" i="5"/>
  <c r="AG14" i="5"/>
  <c r="BB11" i="5"/>
  <c r="BG15" i="3"/>
  <c r="BG33" i="3"/>
  <c r="BG36" i="3"/>
  <c r="BE12" i="3"/>
  <c r="BG26" i="3"/>
  <c r="BA45" i="3"/>
  <c r="BG10" i="3"/>
  <c r="M41" i="3"/>
  <c r="AJ41" i="3"/>
  <c r="BG11" i="3"/>
  <c r="BH30" i="3" a="1"/>
  <c r="BH30" i="3" s="1"/>
  <c r="L40" i="3"/>
  <c r="BG18" i="3"/>
  <c r="J41" i="3"/>
  <c r="L42" i="3"/>
  <c r="BE32" i="3"/>
  <c r="BE28" i="3"/>
  <c r="BG32" i="3"/>
  <c r="BE38" i="3"/>
  <c r="BC45" i="3"/>
  <c r="BA47" i="3"/>
  <c r="BG8" i="3"/>
  <c r="BG28" i="3"/>
  <c r="AZ45" i="3"/>
  <c r="BB47" i="3"/>
  <c r="C14" i="1" s="1"/>
  <c r="BE7" i="3"/>
  <c r="BG16" i="3"/>
  <c r="BG20" i="3"/>
  <c r="BG24" i="3"/>
  <c r="AH41" i="3"/>
  <c r="BG27" i="3"/>
  <c r="BG30" i="3"/>
  <c r="BC47" i="3"/>
  <c r="BG6" i="3"/>
  <c r="BG12" i="3"/>
  <c r="BG23" i="3"/>
  <c r="AI24" i="3"/>
  <c r="BE24" i="3" s="1"/>
  <c r="L41" i="3"/>
  <c r="AK42" i="3"/>
  <c r="BG38" i="3"/>
  <c r="AZ47" i="3"/>
  <c r="C13" i="1" s="1"/>
  <c r="J43" i="3"/>
  <c r="BH5" i="3" a="1"/>
  <c r="BH5" i="3" s="1"/>
  <c r="BE6" i="3"/>
  <c r="BH10" i="3" a="1"/>
  <c r="BH10" i="3" s="1"/>
  <c r="BG14" i="3"/>
  <c r="BE18" i="3"/>
  <c r="BG22" i="3"/>
  <c r="BH25" i="3" a="1"/>
  <c r="BH25" i="3" s="1"/>
  <c r="BH41" i="3" s="1"/>
  <c r="BE26" i="3"/>
  <c r="AJ42" i="3"/>
  <c r="BG34" i="3"/>
  <c r="AI34" i="3"/>
  <c r="BE34" i="3" s="1"/>
  <c r="BB12" i="5"/>
  <c r="BG9" i="3"/>
  <c r="K9" i="3"/>
  <c r="BE9" i="3" s="1"/>
  <c r="K17" i="3"/>
  <c r="BE17" i="3" s="1"/>
  <c r="BG17" i="3"/>
  <c r="M43" i="3"/>
  <c r="M40" i="3"/>
  <c r="L43" i="3"/>
  <c r="AH40" i="3"/>
  <c r="BE14" i="3"/>
  <c r="BH20" i="3" a="1"/>
  <c r="BH20" i="3" s="1"/>
  <c r="BE22" i="3"/>
  <c r="AI27" i="3"/>
  <c r="BE27" i="3" s="1"/>
  <c r="K35" i="3"/>
  <c r="BE19" i="3"/>
  <c r="BG5" i="3"/>
  <c r="K5" i="3"/>
  <c r="AJ43" i="3"/>
  <c r="AJ40" i="3"/>
  <c r="BG7" i="3"/>
  <c r="AI8" i="3"/>
  <c r="BE8" i="3" s="1"/>
  <c r="BE11" i="3"/>
  <c r="BG13" i="3"/>
  <c r="K13" i="3"/>
  <c r="BE13" i="3" s="1"/>
  <c r="BH15" i="3" a="1"/>
  <c r="BH15" i="3" s="1"/>
  <c r="AI15" i="3"/>
  <c r="BE15" i="3" s="1"/>
  <c r="AI16" i="3"/>
  <c r="BE16" i="3" s="1"/>
  <c r="BG19" i="3"/>
  <c r="AI20" i="3"/>
  <c r="BG21" i="3"/>
  <c r="K21" i="3"/>
  <c r="BE21" i="3" s="1"/>
  <c r="BE23" i="3"/>
  <c r="BG25" i="3"/>
  <c r="K25" i="3"/>
  <c r="K41" i="3" s="1"/>
  <c r="BE31" i="3"/>
  <c r="BG37" i="3"/>
  <c r="K37" i="3"/>
  <c r="BE37" i="3" s="1"/>
  <c r="J40" i="3"/>
  <c r="BB10" i="6"/>
  <c r="AG14" i="6"/>
  <c r="BB14" i="6" s="1"/>
  <c r="M43" i="7"/>
  <c r="M40" i="7"/>
  <c r="AK43" i="3"/>
  <c r="AK40" i="3"/>
  <c r="AK41" i="3"/>
  <c r="BG29" i="3"/>
  <c r="AH42" i="3"/>
  <c r="BG39" i="3"/>
  <c r="BD9" i="5"/>
  <c r="BF11" i="5"/>
  <c r="M15" i="6"/>
  <c r="BE15" i="6" s="1"/>
  <c r="BF6" i="6"/>
  <c r="AH6" i="6"/>
  <c r="BG6" i="6" a="1"/>
  <c r="BG6" i="6" s="1"/>
  <c r="BG7" i="6" a="1"/>
  <c r="BG7" i="6" s="1"/>
  <c r="K7" i="6"/>
  <c r="BC7" i="6" s="1"/>
  <c r="AH8" i="6"/>
  <c r="BC8" i="6" s="1"/>
  <c r="BD9" i="6"/>
  <c r="BE10" i="6"/>
  <c r="L15" i="6"/>
  <c r="AZ19" i="6"/>
  <c r="BG13" i="7"/>
  <c r="AI13" i="7"/>
  <c r="BE13" i="7" s="1"/>
  <c r="BG19" i="7"/>
  <c r="AI19" i="7"/>
  <c r="BE19" i="7" s="1"/>
  <c r="K25" i="7"/>
  <c r="K41" i="7" s="1"/>
  <c r="BG27" i="7"/>
  <c r="AI27" i="7"/>
  <c r="BE27" i="7" s="1"/>
  <c r="K36" i="7"/>
  <c r="BH35" i="7" a="1"/>
  <c r="BH35" i="7" s="1"/>
  <c r="BE5" i="7"/>
  <c r="BE30" i="7"/>
  <c r="K31" i="7"/>
  <c r="BH30" i="7" a="1"/>
  <c r="BH30" i="7" s="1"/>
  <c r="BH42" i="7" s="1"/>
  <c r="J42" i="3"/>
  <c r="K15" i="5"/>
  <c r="AI15" i="5"/>
  <c r="BD15" i="5" s="1"/>
  <c r="AI12" i="5"/>
  <c r="M15" i="5"/>
  <c r="BF7" i="5"/>
  <c r="C24" i="1"/>
  <c r="AH43" i="3"/>
  <c r="AI10" i="3"/>
  <c r="BE10" i="3" s="1"/>
  <c r="K20" i="3"/>
  <c r="M42" i="3"/>
  <c r="AI30" i="3"/>
  <c r="BG31" i="3"/>
  <c r="BE33" i="3"/>
  <c r="BG35" i="3"/>
  <c r="BH35" i="3" a="1"/>
  <c r="BH35" i="3" s="1"/>
  <c r="K36" i="3"/>
  <c r="BE36" i="3" s="1"/>
  <c r="AI39" i="3"/>
  <c r="BE39" i="3" s="1"/>
  <c r="L15" i="5"/>
  <c r="L12" i="5"/>
  <c r="AJ12" i="5"/>
  <c r="BE12" i="5" s="1"/>
  <c r="AJ15" i="5"/>
  <c r="BE15" i="5" s="1"/>
  <c r="BE5" i="5"/>
  <c r="BB6" i="5"/>
  <c r="BG7" i="5" a="1"/>
  <c r="BG7" i="5" s="1"/>
  <c r="BF8" i="5"/>
  <c r="AH8" i="5"/>
  <c r="BC8" i="5" s="1"/>
  <c r="AJ13" i="5"/>
  <c r="BE13" i="5" s="1"/>
  <c r="BE9" i="5"/>
  <c r="J14" i="5"/>
  <c r="BB14" i="5" s="1"/>
  <c r="BB10" i="5"/>
  <c r="BG11" i="5" a="1"/>
  <c r="BG11" i="5" s="1"/>
  <c r="BG14" i="5" s="1"/>
  <c r="K14" i="5"/>
  <c r="K15" i="6"/>
  <c r="BC5" i="6"/>
  <c r="BB5" i="6"/>
  <c r="BE6" i="6"/>
  <c r="BF7" i="6"/>
  <c r="BF8" i="6"/>
  <c r="BE9" i="6"/>
  <c r="M12" i="6"/>
  <c r="BE12" i="6" s="1"/>
  <c r="BC13" i="6"/>
  <c r="K7" i="7"/>
  <c r="BG7" i="7"/>
  <c r="BG12" i="7"/>
  <c r="BH10" i="7" a="1"/>
  <c r="BH10" i="7" s="1"/>
  <c r="AI12" i="7"/>
  <c r="BE12" i="7" s="1"/>
  <c r="BA47" i="7"/>
  <c r="BE29" i="3"/>
  <c r="BC7" i="5"/>
  <c r="BB7" i="5"/>
  <c r="BC11" i="5"/>
  <c r="BD15" i="6"/>
  <c r="BD13" i="6"/>
  <c r="L43" i="7"/>
  <c r="L40" i="7"/>
  <c r="BG5" i="7"/>
  <c r="BH5" i="7" a="1"/>
  <c r="BH5" i="7" s="1"/>
  <c r="K15" i="7"/>
  <c r="AH43" i="7"/>
  <c r="BB13" i="5"/>
  <c r="AJ14" i="5"/>
  <c r="BE5" i="6"/>
  <c r="BF9" i="6"/>
  <c r="BG9" i="6" a="1"/>
  <c r="BG9" i="6" s="1"/>
  <c r="BG13" i="6" s="1"/>
  <c r="AY17" i="6"/>
  <c r="K5" i="7"/>
  <c r="AJ43" i="7"/>
  <c r="AJ40" i="7"/>
  <c r="BH15" i="7" a="1"/>
  <c r="BH15" i="7" s="1"/>
  <c r="AI15" i="7"/>
  <c r="BE15" i="7" s="1"/>
  <c r="BE20" i="7"/>
  <c r="J41" i="7"/>
  <c r="BH25" i="7" a="1"/>
  <c r="BH25" i="7" s="1"/>
  <c r="BH41" i="7" s="1"/>
  <c r="AI25" i="7"/>
  <c r="BG25" i="7"/>
  <c r="BE33" i="7"/>
  <c r="BG39" i="7"/>
  <c r="AI39" i="7"/>
  <c r="BE39" i="7" s="1"/>
  <c r="BC47" i="7"/>
  <c r="BE6" i="5"/>
  <c r="M14" i="5"/>
  <c r="BE10" i="5"/>
  <c r="M12" i="5"/>
  <c r="AG12" i="6"/>
  <c r="AG15" i="6"/>
  <c r="BD6" i="6"/>
  <c r="BC9" i="6"/>
  <c r="BF10" i="6"/>
  <c r="AH10" i="6"/>
  <c r="BG10" i="6" a="1"/>
  <c r="BG10" i="6" s="1"/>
  <c r="BG14" i="6" s="1"/>
  <c r="BE11" i="7"/>
  <c r="BG14" i="7"/>
  <c r="K14" i="7"/>
  <c r="BE14" i="7" s="1"/>
  <c r="BE16" i="7"/>
  <c r="AI21" i="7"/>
  <c r="BE21" i="7" s="1"/>
  <c r="BG21" i="7"/>
  <c r="BE28" i="7"/>
  <c r="BG37" i="7"/>
  <c r="K37" i="7"/>
  <c r="K42" i="7" s="1"/>
  <c r="AI14" i="6"/>
  <c r="BD14" i="6" s="1"/>
  <c r="BD10" i="6"/>
  <c r="J43" i="7"/>
  <c r="AK40" i="7"/>
  <c r="BE7" i="7"/>
  <c r="BG9" i="7"/>
  <c r="AI17" i="7"/>
  <c r="BE17" i="7" s="1"/>
  <c r="BG17" i="7"/>
  <c r="BG23" i="7"/>
  <c r="AI23" i="7"/>
  <c r="BE23" i="7" s="1"/>
  <c r="M41" i="7"/>
  <c r="AJ41" i="7"/>
  <c r="AI29" i="7"/>
  <c r="BE29" i="7" s="1"/>
  <c r="BG29" i="7"/>
  <c r="AK42" i="7"/>
  <c r="BG31" i="7"/>
  <c r="AI31" i="7"/>
  <c r="BE31" i="7" s="1"/>
  <c r="BG36" i="7"/>
  <c r="AI36" i="7"/>
  <c r="BE36" i="7" s="1"/>
  <c r="BE38" i="7"/>
  <c r="L42" i="7"/>
  <c r="BG34" i="7"/>
  <c r="AJ42" i="7"/>
  <c r="BE34" i="7"/>
  <c r="BL35" i="7"/>
  <c r="BM25" i="7"/>
  <c r="BR15" i="7"/>
  <c r="BR5" i="7"/>
  <c r="BR30" i="3"/>
  <c r="BS20" i="3"/>
  <c r="BS10" i="3"/>
  <c r="BT35" i="7"/>
  <c r="BP30" i="7"/>
  <c r="BS20" i="7"/>
  <c r="BT10" i="7"/>
  <c r="BL5" i="7"/>
  <c r="BL30" i="3"/>
  <c r="BM20" i="3"/>
  <c r="BJ15" i="3"/>
  <c r="BP5" i="3"/>
  <c r="BS30" i="3"/>
  <c r="BS15" i="3"/>
  <c r="BR5" i="3"/>
  <c r="BS30" i="7"/>
  <c r="BP25" i="7"/>
  <c r="BJ20" i="7"/>
  <c r="BN10" i="7"/>
  <c r="BR35" i="3"/>
  <c r="BK30" i="3"/>
  <c r="BJ25" i="3"/>
  <c r="BP15" i="3"/>
  <c r="BN5" i="3"/>
  <c r="BM30" i="7"/>
  <c r="BL20" i="7"/>
  <c r="BM10" i="7"/>
  <c r="BN30" i="3"/>
  <c r="BM5" i="3"/>
  <c r="BQ30" i="7"/>
  <c r="BT20" i="7"/>
  <c r="BM15" i="7"/>
  <c r="BM5" i="7"/>
  <c r="BM30" i="3"/>
  <c r="BN20" i="3"/>
  <c r="BN10" i="3"/>
  <c r="BP35" i="7"/>
  <c r="BK30" i="7"/>
  <c r="BN20" i="7"/>
  <c r="BP10" i="7"/>
  <c r="BS35" i="3"/>
  <c r="BQ25" i="3"/>
  <c r="BK20" i="3"/>
  <c r="BR10" i="3"/>
  <c r="BJ5" i="3"/>
  <c r="BS25" i="3"/>
  <c r="BT10" i="3"/>
  <c r="BS35" i="7"/>
  <c r="BN30" i="7"/>
  <c r="BJ25" i="7"/>
  <c r="BT15" i="7"/>
  <c r="BK10" i="7"/>
  <c r="BM35" i="3"/>
  <c r="BJ30" i="3"/>
  <c r="BQ20" i="3"/>
  <c r="BQ10" i="3"/>
  <c r="BR35" i="7"/>
  <c r="BS25" i="7"/>
  <c r="BS15" i="7"/>
  <c r="BS5" i="7"/>
  <c r="BP20" i="3"/>
  <c r="BL30" i="7"/>
  <c r="BP20" i="7"/>
  <c r="BQ10" i="7"/>
  <c r="BT35" i="3"/>
  <c r="BR25" i="3"/>
  <c r="BR15" i="3"/>
  <c r="BQ5" i="3"/>
  <c r="BK35" i="7"/>
  <c r="BQ25" i="7"/>
  <c r="BQ15" i="7"/>
  <c r="BJ10" i="7"/>
  <c r="BN35" i="3"/>
  <c r="BL25" i="3"/>
  <c r="BQ15" i="3"/>
  <c r="BM10" i="3"/>
  <c r="BN5" i="7"/>
  <c r="BN25" i="3"/>
  <c r="BP10" i="3"/>
  <c r="BN35" i="7"/>
  <c r="BJ30" i="7"/>
  <c r="BR20" i="7"/>
  <c r="BP15" i="7"/>
  <c r="BT5" i="7"/>
  <c r="BT30" i="3"/>
  <c r="BT25" i="3"/>
  <c r="BL20" i="3"/>
  <c r="BL10" i="3"/>
  <c r="BM35" i="7"/>
  <c r="BN25" i="7"/>
  <c r="BN15" i="7"/>
  <c r="BJ5" i="7"/>
  <c r="BN15" i="3"/>
  <c r="BQ35" i="7"/>
  <c r="BR25" i="7"/>
  <c r="BK20" i="7"/>
  <c r="BL10" i="7"/>
  <c r="BP35" i="3"/>
  <c r="BM25" i="3"/>
  <c r="BM15" i="3"/>
  <c r="BL5" i="3"/>
  <c r="BT30" i="7"/>
  <c r="BL25" i="7"/>
  <c r="BL15" i="7"/>
  <c r="BQ5" i="7"/>
  <c r="BQ30" i="3"/>
  <c r="BR20" i="3"/>
  <c r="BL15" i="3"/>
  <c r="BT5" i="3"/>
  <c r="BQ35" i="3"/>
  <c r="BT20" i="3"/>
  <c r="BJ10" i="3"/>
  <c r="BJ35" i="7"/>
  <c r="BT25" i="7"/>
  <c r="BM20" i="7"/>
  <c r="BS10" i="7"/>
  <c r="BP5" i="7"/>
  <c r="BP30" i="3"/>
  <c r="BP25" i="3"/>
  <c r="BT15" i="3"/>
  <c r="BS5" i="3"/>
  <c r="BR30" i="7"/>
  <c r="BQ20" i="7"/>
  <c r="BR10" i="7"/>
  <c r="BL35" i="3"/>
  <c r="BK10" i="3"/>
  <c r="BJ20" i="3"/>
  <c r="BK5" i="3"/>
  <c r="BK35" i="3"/>
  <c r="BJ15" i="7"/>
  <c r="BK25" i="3"/>
  <c r="BK15" i="7"/>
  <c r="BK15" i="3"/>
  <c r="BK25" i="7"/>
  <c r="BJ35" i="3"/>
  <c r="BK5" i="7"/>
  <c r="BD12" i="6" l="1"/>
  <c r="BB15" i="6"/>
  <c r="BG12" i="6"/>
  <c r="BB12" i="6"/>
  <c r="E31" i="1" s="1"/>
  <c r="K14" i="6"/>
  <c r="K12" i="6"/>
  <c r="AH14" i="5"/>
  <c r="BG15" i="5"/>
  <c r="K42" i="3"/>
  <c r="BH42" i="3"/>
  <c r="BE35" i="3"/>
  <c r="BR42" i="7"/>
  <c r="J45" i="1" s="1"/>
  <c r="BS43" i="3"/>
  <c r="BS40" i="3"/>
  <c r="BP41" i="3"/>
  <c r="H10" i="1" s="1"/>
  <c r="BP42" i="3"/>
  <c r="H11" i="1" s="1"/>
  <c r="BP40" i="7"/>
  <c r="BP43" i="7"/>
  <c r="BT41" i="7"/>
  <c r="L44" i="1" s="1"/>
  <c r="BT43" i="3"/>
  <c r="L12" i="1" s="1"/>
  <c r="BT40" i="3"/>
  <c r="L9" i="1" s="1"/>
  <c r="BQ42" i="3"/>
  <c r="BQ43" i="7"/>
  <c r="BQ40" i="7"/>
  <c r="BL41" i="7"/>
  <c r="E44" i="1" s="1"/>
  <c r="BT42" i="7"/>
  <c r="BL43" i="3"/>
  <c r="E12" i="1" s="1"/>
  <c r="BL40" i="3"/>
  <c r="E9" i="1" s="1"/>
  <c r="BM41" i="3"/>
  <c r="F10" i="1" s="1"/>
  <c r="BR41" i="7"/>
  <c r="BN41" i="7"/>
  <c r="G44" i="1" s="1"/>
  <c r="BT41" i="3"/>
  <c r="L10" i="1" s="1"/>
  <c r="BT42" i="3"/>
  <c r="L11" i="1" s="1"/>
  <c r="BT40" i="7"/>
  <c r="L43" i="1" s="1"/>
  <c r="BT43" i="7"/>
  <c r="L46" i="1" s="1"/>
  <c r="BJ42" i="7"/>
  <c r="C45" i="1" s="1"/>
  <c r="BN41" i="3"/>
  <c r="G10" i="1" s="1"/>
  <c r="BN43" i="7"/>
  <c r="G46" i="1" s="1"/>
  <c r="BN40" i="7"/>
  <c r="G43" i="1" s="1"/>
  <c r="BL41" i="3"/>
  <c r="E10" i="1" s="1"/>
  <c r="BQ41" i="7"/>
  <c r="BQ43" i="3"/>
  <c r="I12" i="1" s="1"/>
  <c r="BQ40" i="3"/>
  <c r="I9" i="1" s="1"/>
  <c r="BR41" i="3"/>
  <c r="J10" i="1" s="1"/>
  <c r="BL42" i="7"/>
  <c r="E45" i="1" s="1"/>
  <c r="BS40" i="7"/>
  <c r="BS43" i="7"/>
  <c r="K46" i="1" s="1"/>
  <c r="BS41" i="7"/>
  <c r="K44" i="1" s="1"/>
  <c r="BJ41" i="7"/>
  <c r="C44" i="1" s="1"/>
  <c r="BN42" i="7"/>
  <c r="G45" i="1" s="1"/>
  <c r="BS41" i="3"/>
  <c r="K10" i="1" s="1"/>
  <c r="BQ41" i="3"/>
  <c r="I10" i="1" s="1"/>
  <c r="BK42" i="7"/>
  <c r="D45" i="1" s="1"/>
  <c r="BM42" i="3"/>
  <c r="F11" i="1" s="1"/>
  <c r="BM40" i="7"/>
  <c r="F43" i="1" s="1"/>
  <c r="BM43" i="7"/>
  <c r="F46" i="1" s="1"/>
  <c r="BQ42" i="7"/>
  <c r="BM43" i="3"/>
  <c r="F12" i="1" s="1"/>
  <c r="BM40" i="3"/>
  <c r="F9" i="1" s="1"/>
  <c r="BN42" i="3"/>
  <c r="G11" i="1" s="1"/>
  <c r="BM42" i="7"/>
  <c r="F45" i="1" s="1"/>
  <c r="BN43" i="3"/>
  <c r="G12" i="1" s="1"/>
  <c r="BN40" i="3"/>
  <c r="G9" i="1" s="1"/>
  <c r="BJ41" i="3"/>
  <c r="C10" i="1" s="1"/>
  <c r="BP41" i="7"/>
  <c r="BS42" i="7"/>
  <c r="BR43" i="3"/>
  <c r="J12" i="1" s="1"/>
  <c r="BR40" i="3"/>
  <c r="J9" i="1" s="1"/>
  <c r="BS42" i="3"/>
  <c r="BP43" i="3"/>
  <c r="BP40" i="3"/>
  <c r="H9" i="1" s="1"/>
  <c r="BL42" i="3"/>
  <c r="E11" i="1" s="1"/>
  <c r="BL40" i="7"/>
  <c r="E43" i="1" s="1"/>
  <c r="BL43" i="7"/>
  <c r="E46" i="1" s="1"/>
  <c r="BP42" i="7"/>
  <c r="H45" i="1" s="1"/>
  <c r="BR42" i="3"/>
  <c r="J11" i="1" s="1"/>
  <c r="BR43" i="7"/>
  <c r="BR40" i="7"/>
  <c r="BM41" i="7"/>
  <c r="F44" i="1" s="1"/>
  <c r="BK42" i="3"/>
  <c r="D11" i="1" s="1"/>
  <c r="BK41" i="3"/>
  <c r="D10" i="1" s="1"/>
  <c r="BJ42" i="3"/>
  <c r="C11" i="1" s="1"/>
  <c r="BJ43" i="7"/>
  <c r="C46" i="1" s="1"/>
  <c r="BJ40" i="7"/>
  <c r="C43" i="1" s="1"/>
  <c r="BJ43" i="3"/>
  <c r="C12" i="1" s="1"/>
  <c r="BJ40" i="3"/>
  <c r="C9" i="1" s="1"/>
  <c r="BK41" i="7"/>
  <c r="D44" i="1" s="1"/>
  <c r="J44" i="1"/>
  <c r="K11" i="1"/>
  <c r="H44" i="1"/>
  <c r="J46" i="1"/>
  <c r="I43" i="1"/>
  <c r="H43" i="1"/>
  <c r="H46" i="1"/>
  <c r="I45" i="1"/>
  <c r="D34" i="1"/>
  <c r="E21" i="1"/>
  <c r="D31" i="1"/>
  <c r="BE25" i="3"/>
  <c r="AI43" i="3"/>
  <c r="BG12" i="5"/>
  <c r="K9" i="1"/>
  <c r="AI40" i="3"/>
  <c r="K43" i="1"/>
  <c r="L45" i="1"/>
  <c r="D20" i="1"/>
  <c r="AI42" i="3"/>
  <c r="BE42" i="3" s="1"/>
  <c r="BE30" i="3"/>
  <c r="AI43" i="7"/>
  <c r="I44" i="1"/>
  <c r="AH12" i="5"/>
  <c r="BC12" i="5" s="1"/>
  <c r="AI41" i="3"/>
  <c r="BE41" i="3" s="1"/>
  <c r="E19" i="1"/>
  <c r="K12" i="1"/>
  <c r="BH40" i="3"/>
  <c r="BH43" i="3"/>
  <c r="BE37" i="7"/>
  <c r="BH40" i="7"/>
  <c r="BH43" i="7"/>
  <c r="AI40" i="7"/>
  <c r="D19" i="1"/>
  <c r="E22" i="1"/>
  <c r="I11" i="1"/>
  <c r="J43" i="1"/>
  <c r="AH14" i="6"/>
  <c r="BC10" i="6"/>
  <c r="E34" i="1"/>
  <c r="BE14" i="5"/>
  <c r="BC14" i="5"/>
  <c r="BG15" i="6"/>
  <c r="BC6" i="6"/>
  <c r="AH12" i="6"/>
  <c r="BC12" i="6" s="1"/>
  <c r="E33" i="1"/>
  <c r="BE20" i="3"/>
  <c r="BK43" i="3"/>
  <c r="D12" i="1" s="1"/>
  <c r="BK40" i="3"/>
  <c r="D9" i="1" s="1"/>
  <c r="AI42" i="7"/>
  <c r="BE42" i="7" s="1"/>
  <c r="BK43" i="7"/>
  <c r="D46" i="1" s="1"/>
  <c r="BK40" i="7"/>
  <c r="D43" i="1" s="1"/>
  <c r="I46" i="1"/>
  <c r="K43" i="3"/>
  <c r="K40" i="3"/>
  <c r="K45" i="1"/>
  <c r="AI41" i="7"/>
  <c r="BE41" i="7" s="1"/>
  <c r="BE25" i="7"/>
  <c r="K40" i="7"/>
  <c r="K43" i="7"/>
  <c r="E20" i="1"/>
  <c r="C32" i="1"/>
  <c r="AH15" i="6"/>
  <c r="BC15" i="6" s="1"/>
  <c r="D22" i="1"/>
  <c r="BD12" i="5"/>
  <c r="H12" i="1"/>
  <c r="AH15" i="5"/>
  <c r="BC15" i="5" s="1"/>
  <c r="BE5" i="3"/>
  <c r="BC14" i="6" l="1"/>
  <c r="BE40" i="3"/>
  <c r="C22" i="1"/>
  <c r="BE40" i="7"/>
  <c r="BE43" i="7"/>
  <c r="C34" i="1"/>
  <c r="C21" i="1"/>
  <c r="C31" i="1"/>
  <c r="D21" i="1"/>
  <c r="C33" i="1"/>
  <c r="C19" i="1"/>
  <c r="BE43" i="3"/>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<sst xmlns="http://schemas.openxmlformats.org/spreadsheetml/2006/main" count="1459" uniqueCount="575">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</sst>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ALL_master+r8.0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Graphs!graph_a_y_range_A</c:f>
              <c:numCache>
                <c:formatCode>0.00</c:formatCode>
                <c:ptCount val="5"/>
                <c:pt idx="0">
                  <c:v>66.306621000000007</c:v>
                </c:pt>
                <c:pt idx="1">
                  <c:v>68.157705000000007</c:v>
                </c:pt>
                <c:pt idx="2">
                  <c:v>69.5551173333332</c:v>
                </c:pt>
                <c:pt idx="3">
                  <c:v>70.687753333333404</c:v>
                </c:pt>
                <c:pt idx="4">
                  <c:v>71.789984666666697</c:v>
                </c:pt>
              </c:numCache>
            </c:numRef>
          </c:yVal>
          <c:smooth val="1"/>
          <c:extLst>
            <c:ext xmlns:c16="http://schemas.microsoft.com/office/drawing/2014/chart" uri="{C3380CC4-5D6E-409C-BE32-E72D297353CC}">
              <c16:uniqueId val="{00000000-A234-4254-98EB-0760D523CBA5}"/>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A234-4254-98EB-0760D523CBA5}"/>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ALL_master+r8.0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Graphs!graph_b_y_range_A</c:f>
              <c:numCache>
                <c:formatCode>0.00</c:formatCode>
                <c:ptCount val="5"/>
                <c:pt idx="0">
                  <c:v>68.366856666666706</c:v>
                </c:pt>
                <c:pt idx="1">
                  <c:v>70.306218666666695</c:v>
                </c:pt>
                <c:pt idx="2">
                  <c:v>71.985771333333304</c:v>
                </c:pt>
                <c:pt idx="3">
                  <c:v>73.255345666666599</c:v>
                </c:pt>
                <c:pt idx="4">
                  <c:v>75.226265666666706</c:v>
                </c:pt>
              </c:numCache>
            </c:numRef>
          </c:yVal>
          <c:smooth val="1"/>
          <c:extLst>
            <c:ext xmlns:c16="http://schemas.microsoft.com/office/drawing/2014/chart" uri="{C3380CC4-5D6E-409C-BE32-E72D297353CC}">
              <c16:uniqueId val="{00000000-4E38-49EE-9DD3-4C0C624D0A5B}"/>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4E38-49EE-9DD3-4C0C624D0A5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ALL_master+r8.0</c:v>
                </c:pt>
              </c:strCache>
            </c:strRef>
          </c:tx>
          <c:spPr>
            <a:ln>
              <a:prstDash val="solid"/>
            </a:ln>
          </c:spPr>
          <c:marker>
            <c:symbol val="none"/>
          </c:marker>
          <c:xVal>
            <c:numRef>
              <c:f>Graphs!graph_c_x_range_A</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Graphs!graph_c_y_range_A</c:f>
              <c:numCache>
                <c:formatCode>0.00</c:formatCode>
                <c:ptCount val="5"/>
                <c:pt idx="0">
                  <c:v>32.326273333333297</c:v>
                </c:pt>
                <c:pt idx="1">
                  <c:v>34.599027</c:v>
                </c:pt>
                <c:pt idx="2">
                  <c:v>37.138562333333297</c:v>
                </c:pt>
                <c:pt idx="3">
                  <c:v>39.744085666666599</c:v>
                </c:pt>
                <c:pt idx="4">
                  <c:v>42.292687999999998</c:v>
                </c:pt>
              </c:numCache>
            </c:numRef>
          </c:yVal>
          <c:smooth val="1"/>
          <c:extLst>
            <c:ext xmlns:c16="http://schemas.microsoft.com/office/drawing/2014/chart" uri="{C3380CC4-5D6E-409C-BE32-E72D297353CC}">
              <c16:uniqueId val="{00000000-40CF-4914-A5E3-1C7FB79A68A5}"/>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40CF-4914-A5E3-1C7FB79A68A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ALL_master+r8.0</c:v>
                </c:pt>
              </c:strCache>
            </c:strRef>
          </c:tx>
          <c:spPr>
            <a:ln>
              <a:prstDash val="solid"/>
            </a:ln>
          </c:spPr>
          <c:marker>
            <c:symbol val="none"/>
          </c:marker>
          <c:xVal>
            <c:numRef>
              <c:f>Graphs!graph_d_x_range_A</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Graphs!graph_d_y_range_A</c:f>
              <c:numCache>
                <c:formatCode>0.00</c:formatCode>
                <c:ptCount val="5"/>
                <c:pt idx="0">
                  <c:v>44.147258333333298</c:v>
                </c:pt>
                <c:pt idx="1">
                  <c:v>45.436083333333301</c:v>
                </c:pt>
                <c:pt idx="2">
                  <c:v>46.565525333333298</c:v>
                </c:pt>
                <c:pt idx="3">
                  <c:v>47.904731333333302</c:v>
                </c:pt>
                <c:pt idx="4">
                  <c:v>49.426783333333297</c:v>
                </c:pt>
              </c:numCache>
            </c:numRef>
          </c:yVal>
          <c:smooth val="1"/>
          <c:extLst>
            <c:ext xmlns:c16="http://schemas.microsoft.com/office/drawing/2014/chart" uri="{C3380CC4-5D6E-409C-BE32-E72D297353CC}">
              <c16:uniqueId val="{00000000-5E22-44B5-9B14-C7301B9937D8}"/>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5E22-44B5-9B14-C7301B9937D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ALL_master+r8.0</c:v>
                </c:pt>
              </c:strCache>
            </c:strRef>
          </c:tx>
          <c:spPr>
            <a:ln>
              <a:prstDash val="solid"/>
            </a:ln>
          </c:spPr>
          <c:marker>
            <c:symbol val="none"/>
          </c:marker>
          <c:xVal>
            <c:numRef>
              <c:f>Graphs!graph_e_x_range_A</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Graphs!graph_e_y_range_A</c:f>
              <c:numCache>
                <c:formatCode>0.00</c:formatCode>
                <c:ptCount val="5"/>
                <c:pt idx="0">
                  <c:v>43.801342333333302</c:v>
                </c:pt>
                <c:pt idx="1">
                  <c:v>45.237760999999999</c:v>
                </c:pt>
                <c:pt idx="2">
                  <c:v>46.476092666666702</c:v>
                </c:pt>
                <c:pt idx="3">
                  <c:v>47.995258333333297</c:v>
                </c:pt>
                <c:pt idx="4">
                  <c:v>49.583480999999999</c:v>
                </c:pt>
              </c:numCache>
            </c:numRef>
          </c:yVal>
          <c:smooth val="1"/>
          <c:extLst>
            <c:ext xmlns:c16="http://schemas.microsoft.com/office/drawing/2014/chart" uri="{C3380CC4-5D6E-409C-BE32-E72D297353CC}">
              <c16:uniqueId val="{00000000-C3B2-49B2-88AF-7F7BA0E25A0D}"/>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3B2-49B2-88AF-7F7BA0E25A0D}"/>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ALL_master+r8.0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A9F0-42A2-A696-B19EE248E8CC}"/>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A9F0-42A2-A696-B19EE248E8CC}"/>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F1" sqref="F1"/>
    </sheetView>
  </sheetViews>
  <sheetFormatPr defaultRowHeight="14.4" x14ac:dyDescent="0.3"/>
  <cols>
    <col min="2" max="2" width="16.6640625" style="53" customWidth="1"/>
    <col min="3" max="12" width="24.6640625" style="53" customWidth="1"/>
  </cols>
  <sheetData>
    <row r="1" spans="2:12" x14ac:dyDescent="0.3">
      <c r="B1" t="s">
        <v>0</v>
      </c>
      <c r="C1" s="58" t="s">
        <v>574</v>
      </c>
      <c r="D1" s="59"/>
      <c r="E1" s="59"/>
    </row>
    <row r="2" spans="2:12" x14ac:dyDescent="0.3">
      <c r="B2" t="s">
        <v>1</v>
      </c>
      <c r="C2" s="60"/>
      <c r="D2" s="59"/>
      <c r="E2" s="59"/>
    </row>
    <row r="4" spans="2:12" s="1" customFormat="1" x14ac:dyDescent="0.3">
      <c r="B4" s="1" t="s">
        <v>2</v>
      </c>
    </row>
    <row r="6" spans="2:12" x14ac:dyDescent="0.3">
      <c r="B6" s="61" t="s">
        <v>3</v>
      </c>
      <c r="C6" s="63" t="s">
        <v>4</v>
      </c>
      <c r="D6" s="64"/>
      <c r="E6" s="64"/>
      <c r="F6" s="64"/>
      <c r="G6" s="64"/>
      <c r="H6" s="64"/>
      <c r="I6" s="64"/>
      <c r="J6" s="64"/>
      <c r="K6" s="64"/>
      <c r="L6" s="64"/>
    </row>
    <row r="7" spans="2:12" x14ac:dyDescent="0.3">
      <c r="B7" s="59"/>
      <c r="C7" s="65" t="s">
        <v>5</v>
      </c>
      <c r="D7" s="59"/>
      <c r="E7" s="66" t="s">
        <v>6</v>
      </c>
      <c r="F7" s="59"/>
      <c r="G7" s="59"/>
      <c r="H7" s="65" t="s">
        <v>7</v>
      </c>
      <c r="I7" s="59"/>
      <c r="J7" s="66" t="s">
        <v>8</v>
      </c>
      <c r="K7" s="59"/>
      <c r="L7" s="59"/>
    </row>
    <row r="8" spans="2:12" x14ac:dyDescent="0.3">
      <c r="B8" s="62"/>
      <c r="C8" s="2" t="s">
        <v>9</v>
      </c>
      <c r="D8" s="2" t="s">
        <v>10</v>
      </c>
      <c r="E8" s="3" t="s">
        <v>11</v>
      </c>
      <c r="F8" s="3" t="s">
        <v>12</v>
      </c>
      <c r="G8" s="3" t="s">
        <v>13</v>
      </c>
      <c r="H8" s="2" t="s">
        <v>9</v>
      </c>
      <c r="I8" s="2" t="s">
        <v>10</v>
      </c>
      <c r="J8" s="3" t="s">
        <v>11</v>
      </c>
      <c r="K8" s="3" t="s">
        <v>12</v>
      </c>
      <c r="L8" s="3" t="s">
        <v>13</v>
      </c>
    </row>
    <row r="9" spans="2:12" x14ac:dyDescent="0.3">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3">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3">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3">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3">
      <c r="B13" t="s">
        <v>18</v>
      </c>
      <c r="C13" s="67" t="e">
        <f>'C2 lossyG,lossyA,intra'!AZ47</f>
        <v>#NUM!</v>
      </c>
      <c r="D13" s="59"/>
      <c r="E13" s="59"/>
      <c r="F13" s="59"/>
      <c r="G13" s="59"/>
      <c r="H13" s="59"/>
      <c r="I13" s="59"/>
      <c r="J13" s="59"/>
      <c r="K13" s="59"/>
      <c r="L13" s="59"/>
    </row>
    <row r="14" spans="2:12" x14ac:dyDescent="0.3">
      <c r="B14" s="6" t="s">
        <v>19</v>
      </c>
      <c r="C14" s="68" t="e">
        <f>'C2 lossyG,lossyA,intra'!BB47</f>
        <v>#NUM!</v>
      </c>
      <c r="D14" s="62"/>
      <c r="E14" s="62"/>
      <c r="F14" s="62"/>
      <c r="G14" s="62"/>
      <c r="H14" s="62"/>
      <c r="I14" s="62"/>
      <c r="J14" s="62"/>
      <c r="K14" s="62"/>
      <c r="L14" s="62"/>
    </row>
    <row r="16" spans="2:12" x14ac:dyDescent="0.3">
      <c r="B16" s="61" t="s">
        <v>20</v>
      </c>
      <c r="C16" s="63" t="s">
        <v>21</v>
      </c>
      <c r="D16" s="64"/>
      <c r="E16" s="64"/>
    </row>
    <row r="17" spans="2:5" x14ac:dyDescent="0.3">
      <c r="B17" s="59"/>
      <c r="C17" s="65" t="s">
        <v>22</v>
      </c>
      <c r="D17" s="59"/>
      <c r="E17" s="59"/>
    </row>
    <row r="18" spans="2:5" x14ac:dyDescent="0.3">
      <c r="B18" s="62"/>
      <c r="C18" s="2" t="s">
        <v>23</v>
      </c>
      <c r="D18" s="2" t="s">
        <v>24</v>
      </c>
      <c r="E18" s="2" t="s">
        <v>25</v>
      </c>
    </row>
    <row r="19" spans="2:5" x14ac:dyDescent="0.3">
      <c r="B19" t="s">
        <v>14</v>
      </c>
      <c r="C19" s="52" t="e">
        <f>'CW losslG,losslA,intra'!BC12</f>
        <v>#DIV/0!</v>
      </c>
      <c r="D19" s="52" t="e">
        <f>'CW losslG,losslA,intra'!BE12</f>
        <v>#DIV/0!</v>
      </c>
      <c r="E19" s="52" t="e">
        <f>'CW losslG,losslA,intra'!BB12</f>
        <v>#DIV/0!</v>
      </c>
    </row>
    <row r="20" spans="2:5" x14ac:dyDescent="0.3">
      <c r="B20" t="s">
        <v>15</v>
      </c>
      <c r="C20" s="52" t="e">
        <f>'CW losslG,losslA,intra'!BC13</f>
        <v>#DIV/0!</v>
      </c>
      <c r="D20" s="52" t="e">
        <f>'CW losslG,losslA,intra'!BE13</f>
        <v>#DIV/0!</v>
      </c>
      <c r="E20" s="52" t="e">
        <f>'CW losslG,losslA,intra'!BB13</f>
        <v>#DIV/0!</v>
      </c>
    </row>
    <row r="21" spans="2:5" x14ac:dyDescent="0.3">
      <c r="B21" t="s">
        <v>16</v>
      </c>
      <c r="C21" s="52" t="e">
        <f>'CW losslG,losslA,intra'!BC14</f>
        <v>#DIV/0!</v>
      </c>
      <c r="D21" s="52" t="e">
        <f>'CW losslG,losslA,intra'!BE14</f>
        <v>#DIV/0!</v>
      </c>
      <c r="E21" s="52" t="e">
        <f>'CW losslG,losslA,intra'!BB14</f>
        <v>#DIV/0!</v>
      </c>
    </row>
    <row r="22" spans="2:5" x14ac:dyDescent="0.3">
      <c r="B22" s="4" t="s">
        <v>17</v>
      </c>
      <c r="C22" s="5" t="e">
        <f>'CW losslG,losslA,intra'!BC15</f>
        <v>#DIV/0!</v>
      </c>
      <c r="D22" s="5" t="e">
        <f>'CW losslG,losslA,intra'!BE15</f>
        <v>#DIV/0!</v>
      </c>
      <c r="E22" s="5" t="e">
        <f>'CW losslG,losslA,intra'!BB15</f>
        <v>#DIV/0!</v>
      </c>
    </row>
    <row r="23" spans="2:5" x14ac:dyDescent="0.3">
      <c r="B23" t="s">
        <v>18</v>
      </c>
      <c r="C23" s="67" t="e">
        <f>'CW losslG,losslA,intra'!AW19</f>
        <v>#NUM!</v>
      </c>
      <c r="D23" s="59"/>
      <c r="E23" s="59"/>
    </row>
    <row r="24" spans="2:5" x14ac:dyDescent="0.3">
      <c r="B24" s="6" t="s">
        <v>19</v>
      </c>
      <c r="C24" s="68" t="e">
        <f>'CW losslG,losslA,intra'!AY19</f>
        <v>#NUM!</v>
      </c>
      <c r="D24" s="62"/>
      <c r="E24" s="62"/>
    </row>
    <row r="26" spans="2:5" s="1" customFormat="1" x14ac:dyDescent="0.3">
      <c r="B26" s="1" t="s">
        <v>26</v>
      </c>
    </row>
    <row r="28" spans="2:5" x14ac:dyDescent="0.3">
      <c r="B28" s="61" t="s">
        <v>27</v>
      </c>
      <c r="C28" s="63" t="s">
        <v>28</v>
      </c>
      <c r="D28" s="64"/>
      <c r="E28" s="64"/>
    </row>
    <row r="29" spans="2:5" x14ac:dyDescent="0.3">
      <c r="B29" s="59"/>
      <c r="C29" s="65" t="s">
        <v>22</v>
      </c>
      <c r="D29" s="59"/>
      <c r="E29" s="59"/>
    </row>
    <row r="30" spans="2:5" x14ac:dyDescent="0.3">
      <c r="B30" s="62"/>
      <c r="C30" s="2" t="s">
        <v>23</v>
      </c>
      <c r="D30" s="2" t="s">
        <v>24</v>
      </c>
      <c r="E30" s="2" t="s">
        <v>25</v>
      </c>
    </row>
    <row r="31" spans="2:5" x14ac:dyDescent="0.3">
      <c r="B31" t="s">
        <v>14</v>
      </c>
      <c r="C31" s="52" t="e">
        <f>'CW losslG,losslA,interLD'!BC12</f>
        <v>#DIV/0!</v>
      </c>
      <c r="D31" s="52" t="e">
        <f>'CW losslG,losslA,interLD'!BE12</f>
        <v>#DIV/0!</v>
      </c>
      <c r="E31" s="52" t="e">
        <f>'CW losslG,losslA,interLD'!BB12</f>
        <v>#DIV/0!</v>
      </c>
    </row>
    <row r="32" spans="2:5" x14ac:dyDescent="0.3">
      <c r="B32" t="s">
        <v>15</v>
      </c>
      <c r="C32" s="52" t="e">
        <f>'CW losslG,losslA,interLD'!BC13</f>
        <v>#DIV/0!</v>
      </c>
      <c r="D32" s="52" t="e">
        <f>'CW losslG,losslA,interLD'!BE13</f>
        <v>#DIV/0!</v>
      </c>
      <c r="E32" s="52" t="e">
        <f>'CW losslG,losslA,interLD'!BB13</f>
        <v>#DIV/0!</v>
      </c>
    </row>
    <row r="33" spans="2:12" x14ac:dyDescent="0.3">
      <c r="B33" t="s">
        <v>16</v>
      </c>
      <c r="C33" s="52" t="e">
        <f>'CW losslG,losslA,interLD'!BC14</f>
        <v>#DIV/0!</v>
      </c>
      <c r="D33" s="52" t="e">
        <f>'CW losslG,losslA,interLD'!BE14</f>
        <v>#DIV/0!</v>
      </c>
      <c r="E33" s="52" t="e">
        <f>'CW losslG,losslA,interLD'!BB14</f>
        <v>#DIV/0!</v>
      </c>
    </row>
    <row r="34" spans="2:12" x14ac:dyDescent="0.3">
      <c r="B34" s="4" t="s">
        <v>17</v>
      </c>
      <c r="C34" s="5" t="e">
        <f>'CW losslG,losslA,interLD'!BC15</f>
        <v>#DIV/0!</v>
      </c>
      <c r="D34" s="5" t="e">
        <f>'CW losslG,losslA,interLD'!BE15</f>
        <v>#DIV/0!</v>
      </c>
      <c r="E34" s="5" t="e">
        <f>'CW losslG,losslA,interLD'!BB15</f>
        <v>#DIV/0!</v>
      </c>
    </row>
    <row r="35" spans="2:12" x14ac:dyDescent="0.3">
      <c r="B35" t="s">
        <v>18</v>
      </c>
      <c r="C35" s="67" t="e">
        <f>'CW losslG,losslA,interLD'!AW19</f>
        <v>#NUM!</v>
      </c>
      <c r="D35" s="59"/>
      <c r="E35" s="59"/>
    </row>
    <row r="36" spans="2:12" x14ac:dyDescent="0.3">
      <c r="B36" s="6" t="s">
        <v>19</v>
      </c>
      <c r="C36" s="68" t="e">
        <f>'CW losslG,losslA,interLD'!AY19</f>
        <v>#NUM!</v>
      </c>
      <c r="D36" s="62"/>
      <c r="E36" s="62"/>
    </row>
    <row r="38" spans="2:12" s="1" customFormat="1" x14ac:dyDescent="0.3">
      <c r="B38" s="1" t="s">
        <v>29</v>
      </c>
    </row>
    <row r="40" spans="2:12" x14ac:dyDescent="0.3">
      <c r="B40" s="61" t="s">
        <v>30</v>
      </c>
      <c r="C40" s="63" t="s">
        <v>31</v>
      </c>
      <c r="D40" s="64"/>
      <c r="E40" s="64"/>
      <c r="F40" s="64"/>
      <c r="G40" s="64"/>
      <c r="H40" s="64"/>
      <c r="I40" s="64"/>
      <c r="J40" s="64"/>
      <c r="K40" s="64"/>
      <c r="L40" s="64"/>
    </row>
    <row r="41" spans="2:12" x14ac:dyDescent="0.3">
      <c r="B41" s="59"/>
      <c r="C41" s="65" t="s">
        <v>5</v>
      </c>
      <c r="D41" s="59"/>
      <c r="E41" s="66" t="s">
        <v>6</v>
      </c>
      <c r="F41" s="59"/>
      <c r="G41" s="59"/>
      <c r="H41" s="65" t="s">
        <v>7</v>
      </c>
      <c r="I41" s="59"/>
      <c r="J41" s="66" t="s">
        <v>8</v>
      </c>
      <c r="K41" s="59"/>
      <c r="L41" s="59"/>
    </row>
    <row r="42" spans="2:12" x14ac:dyDescent="0.3">
      <c r="B42" s="62"/>
      <c r="C42" s="2" t="s">
        <v>9</v>
      </c>
      <c r="D42" s="2" t="s">
        <v>10</v>
      </c>
      <c r="E42" s="3" t="s">
        <v>11</v>
      </c>
      <c r="F42" s="3" t="s">
        <v>12</v>
      </c>
      <c r="G42" s="3" t="s">
        <v>13</v>
      </c>
      <c r="H42" s="2" t="s">
        <v>9</v>
      </c>
      <c r="I42" s="2" t="s">
        <v>10</v>
      </c>
      <c r="J42" s="3" t="s">
        <v>11</v>
      </c>
      <c r="K42" s="3" t="s">
        <v>12</v>
      </c>
      <c r="L42" s="3" t="s">
        <v>13</v>
      </c>
    </row>
    <row r="43" spans="2:12" x14ac:dyDescent="0.3">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3">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3">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3">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3">
      <c r="B47" t="s">
        <v>18</v>
      </c>
      <c r="C47" s="67" t="e">
        <f>'C2 lossyG,lossyA,interRA'!AZ47</f>
        <v>#NUM!</v>
      </c>
      <c r="D47" s="59"/>
      <c r="E47" s="59"/>
      <c r="F47" s="59"/>
      <c r="G47" s="59"/>
      <c r="H47" s="59"/>
      <c r="I47" s="59"/>
      <c r="J47" s="59"/>
      <c r="K47" s="59"/>
      <c r="L47" s="59"/>
    </row>
    <row r="48" spans="2:12" x14ac:dyDescent="0.3">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Y5" activePane="bottomRight" state="frozen"/>
      <selection pane="topRight" activeCell="C1" sqref="C1"/>
      <selection pane="bottomLeft" activeCell="A5" sqref="A5"/>
      <selection pane="bottomRight" activeCell="AU52" sqref="AU52"/>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3" t="s">
        <v>136</v>
      </c>
      <c r="B1" s="59"/>
      <c r="C1" s="59"/>
      <c r="D1" s="59"/>
      <c r="E1" s="59"/>
      <c r="F1" s="59"/>
      <c r="G1" s="59"/>
      <c r="I1" s="58" t="str">
        <f>Summary!$C$1</f>
        <v>ALL_master+r8.0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3">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ht="15" thickBot="1" x14ac:dyDescent="0.3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300</v>
      </c>
      <c r="G5" s="10">
        <v>30</v>
      </c>
      <c r="I5" s="11">
        <f>IF(OR(ISBLANK(S5),ISBLANK(G5)),"·",S5*G5/F5/1000000)</f>
        <v>2.2751264</v>
      </c>
      <c r="J5" s="12">
        <f>IF(ISBLANK(S5),"·",S5/D5)</f>
        <v>9.5534783896851078E-2</v>
      </c>
      <c r="K5" s="12">
        <f t="shared" ref="K5:K39" si="0">IF(N5="","·",N5/D5)</f>
        <v>6.1061265463393063E-2</v>
      </c>
      <c r="L5" s="12">
        <f>IF(T5="","·",T5/D5)</f>
        <v>3.4664359032843796E-2</v>
      </c>
      <c r="M5" s="12">
        <f>IF(ISBLANK(V5),"·",V5/D5)</f>
        <v>3.4473518433458014E-2</v>
      </c>
      <c r="N5" s="54">
        <f>IF(OR(ISBLANK(T5),ISBLANK(U5)),"",T5+U5)</f>
        <v>14541520</v>
      </c>
      <c r="O5" s="12">
        <v>16</v>
      </c>
      <c r="P5" s="13">
        <v>210114715</v>
      </c>
      <c r="Q5" s="13">
        <v>700382.38333333295</v>
      </c>
      <c r="R5" s="13">
        <v>14452.67</v>
      </c>
      <c r="S5" s="14">
        <v>22751264</v>
      </c>
      <c r="T5" s="14">
        <v>8255192</v>
      </c>
      <c r="U5" s="14">
        <v>6286328</v>
      </c>
      <c r="V5" s="14">
        <v>8209744</v>
      </c>
      <c r="W5" s="15">
        <v>66.306621000000007</v>
      </c>
      <c r="X5" s="15">
        <v>68.366856666666706</v>
      </c>
      <c r="Y5" s="15">
        <v>32.326273333333297</v>
      </c>
      <c r="Z5" s="15">
        <v>44.147258333333298</v>
      </c>
      <c r="AA5" s="15">
        <v>43.801342333333302</v>
      </c>
      <c r="AB5" s="16">
        <v>34219.1</v>
      </c>
      <c r="AC5" s="16">
        <v>16073</v>
      </c>
      <c r="AD5" s="16">
        <v>483.07900000000001</v>
      </c>
      <c r="AE5" s="16">
        <v>261.08800000000002</v>
      </c>
      <c r="AG5" s="11" t="str">
        <f>IF(OR(ISBLANK(AQ5),ISBLANK(G5)),"·",AQ5*G5/F5/1000000)</f>
        <v>·</v>
      </c>
      <c r="AH5" s="12" t="str">
        <f>IF(ISBLANK(AQ5),"·",AQ5/D5)</f>
        <v>·</v>
      </c>
      <c r="AI5" s="12" t="str">
        <f t="shared" ref="AI5:AI39" si="1">IF(AL5="","·",AL5/D5)</f>
        <v>·</v>
      </c>
      <c r="AJ5" s="12" t="str">
        <f>IF(AR5="","·",AR5/D5)</f>
        <v>·</v>
      </c>
      <c r="AK5" s="12" t="str">
        <f>IF(ISBLANK(AT5),"·",AT5/D5)</f>
        <v>·</v>
      </c>
      <c r="AL5" s="54" t="str">
        <f>IF(OR(ISBLANK(AR5),ISBLANK(AS5)),"",AR5+AS5)</f>
        <v/>
      </c>
      <c r="AM5" s="12">
        <v>16</v>
      </c>
      <c r="AN5" s="13"/>
      <c r="AO5" s="13"/>
      <c r="AP5" s="13"/>
      <c r="AQ5" s="14"/>
      <c r="AR5" s="14"/>
      <c r="AS5" s="14"/>
      <c r="AT5" s="14"/>
      <c r="AU5" s="15"/>
      <c r="AV5" s="15"/>
      <c r="AW5" s="15"/>
      <c r="AX5" s="15"/>
      <c r="AY5" s="15"/>
      <c r="AZ5" s="16"/>
      <c r="BA5" s="16"/>
      <c r="BB5" s="16"/>
      <c r="BC5" s="16"/>
      <c r="BE5" s="51" t="e">
        <f t="shared" ref="BE5:BE43" si="2">AI5/K5</f>
        <v>#VALUE!</v>
      </c>
      <c r="BF5" s="17" t="e">
        <f>(AP5/AO5) - (R5/Q5)</f>
        <v>#DIV/0!</v>
      </c>
      <c r="BG5" s="17" t="e">
        <f>(AL5/AQ5)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3">
      <c r="A6" s="18"/>
      <c r="B6" s="18" t="s">
        <v>49</v>
      </c>
      <c r="C6" s="19" t="s">
        <v>231</v>
      </c>
      <c r="D6" s="18">
        <v>238146391</v>
      </c>
      <c r="E6" s="19">
        <v>10</v>
      </c>
      <c r="F6" s="19">
        <v>300</v>
      </c>
      <c r="G6" s="19">
        <v>30</v>
      </c>
      <c r="I6" s="20">
        <f>IF(OR(ISBLANK(S6),ISBLANK(G6)),"·",S6*G6/F6/1000000)</f>
        <v>3.4838632</v>
      </c>
      <c r="J6" s="21">
        <f>IF(ISBLANK(S6),"·",S6/D6)</f>
        <v>0.14629082495732634</v>
      </c>
      <c r="K6" s="21">
        <f t="shared" si="0"/>
        <v>7.4472377790516256E-2</v>
      </c>
      <c r="L6" s="21">
        <f>IF(T6="","·",T6/D6)</f>
        <v>4.8075471359966988E-2</v>
      </c>
      <c r="M6" s="21">
        <f>IF(ISBLANK(V6),"·",V6/D6)</f>
        <v>7.1818447166810101E-2</v>
      </c>
      <c r="N6" s="18">
        <f>IF(OR(ISBLANK(T6),ISBLANK(U6)),"",T6+U6)</f>
        <v>17735328</v>
      </c>
      <c r="O6" s="21">
        <v>16</v>
      </c>
      <c r="P6" s="22">
        <v>230812362</v>
      </c>
      <c r="Q6" s="22">
        <v>769374.54</v>
      </c>
      <c r="R6" s="22">
        <v>19712.863333333298</v>
      </c>
      <c r="S6" s="23">
        <v>34838632</v>
      </c>
      <c r="T6" s="23">
        <v>11449000</v>
      </c>
      <c r="U6" s="23">
        <v>6286328</v>
      </c>
      <c r="V6" s="23">
        <v>17103304</v>
      </c>
      <c r="W6" s="24">
        <v>68.157705000000007</v>
      </c>
      <c r="X6" s="24">
        <v>70.306218666666695</v>
      </c>
      <c r="Y6" s="24">
        <v>34.599027</v>
      </c>
      <c r="Z6" s="24">
        <v>45.436083333333301</v>
      </c>
      <c r="AA6" s="24">
        <v>45.237760999999999</v>
      </c>
      <c r="AB6" s="25">
        <v>34437.699999999997</v>
      </c>
      <c r="AC6" s="25">
        <v>16832</v>
      </c>
      <c r="AD6" s="25">
        <v>515.22500000000002</v>
      </c>
      <c r="AE6" s="25">
        <v>267.12099999999998</v>
      </c>
      <c r="AG6" s="20" t="str">
        <f>IF(OR(ISBLANK(AQ6),ISBLANK(G6)),"·",AQ6*G6/F6/1000000)</f>
        <v>·</v>
      </c>
      <c r="AH6" s="21" t="str">
        <f>IF(ISBLANK(AQ6),"·",AQ6/D6)</f>
        <v>·</v>
      </c>
      <c r="AI6" s="21" t="str">
        <f t="shared" si="1"/>
        <v>·</v>
      </c>
      <c r="AJ6" s="21" t="str">
        <f>IF(AR6="","·",AR6/D6)</f>
        <v>·</v>
      </c>
      <c r="AK6" s="21" t="str">
        <f>IF(ISBLANK(AT6),"·",AT6/D6)</f>
        <v>·</v>
      </c>
      <c r="AL6" s="18" t="str">
        <f>IF(OR(ISBLANK(AR6),ISBLANK(AS6)),"",AR6+AS6)</f>
        <v/>
      </c>
      <c r="AM6" s="21">
        <v>16</v>
      </c>
      <c r="AN6" s="22"/>
      <c r="AO6" s="22"/>
      <c r="AP6" s="22"/>
      <c r="AQ6" s="23"/>
      <c r="AR6" s="23"/>
      <c r="AS6" s="23"/>
      <c r="AT6" s="23"/>
      <c r="AU6" s="24"/>
      <c r="AV6" s="24"/>
      <c r="AW6" s="24"/>
      <c r="AX6" s="24"/>
      <c r="AY6" s="24"/>
      <c r="AZ6" s="25"/>
      <c r="BA6" s="25"/>
      <c r="BB6" s="25"/>
      <c r="BC6" s="25"/>
      <c r="BE6" s="50" t="e">
        <f t="shared" si="2"/>
        <v>#VALUE!</v>
      </c>
      <c r="BF6" s="26" t="e">
        <f>(AP6/AO6) - (R6/Q6)</f>
        <v>#DIV/0!</v>
      </c>
      <c r="BG6" s="26" t="e">
        <f>(AL6/AQ6) - (N6/S6)</f>
        <v>#VALUE!</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300</v>
      </c>
      <c r="G7" s="10">
        <v>30</v>
      </c>
      <c r="I7" s="11">
        <f>IF(OR(ISBLANK(S7),ISBLANK(G7)),"·",S7*G7/F7/1000000)</f>
        <v>5.6252192000000001</v>
      </c>
      <c r="J7" s="12">
        <f>IF(ISBLANK(S7),"·",S7/D7)</f>
        <v>0.23620845885504096</v>
      </c>
      <c r="K7" s="12">
        <f t="shared" si="0"/>
        <v>9.3813859224093799E-2</v>
      </c>
      <c r="L7" s="12">
        <f>IF(T7="","·",T7/D7)</f>
        <v>6.7416952793544538E-2</v>
      </c>
      <c r="M7" s="12">
        <f>IF(ISBLANK(V7),"·",V7/D7)</f>
        <v>0.14239459963094717</v>
      </c>
      <c r="N7" s="54">
        <f>IF(OR(ISBLANK(T7),ISBLANK(U7)),"",T7+U7)</f>
        <v>22341432</v>
      </c>
      <c r="O7" s="12">
        <v>16</v>
      </c>
      <c r="P7" s="13">
        <v>236176991</v>
      </c>
      <c r="Q7" s="13">
        <v>787256.63666666695</v>
      </c>
      <c r="R7" s="13">
        <v>21575.106666666699</v>
      </c>
      <c r="S7" s="14">
        <v>56252192</v>
      </c>
      <c r="T7" s="14">
        <v>16055104</v>
      </c>
      <c r="U7" s="14">
        <v>6286328</v>
      </c>
      <c r="V7" s="14">
        <v>33910760</v>
      </c>
      <c r="W7" s="15">
        <v>69.5551173333332</v>
      </c>
      <c r="X7" s="15">
        <v>71.985771333333304</v>
      </c>
      <c r="Y7" s="15">
        <v>37.138562333333297</v>
      </c>
      <c r="Z7" s="15">
        <v>46.565525333333298</v>
      </c>
      <c r="AA7" s="15">
        <v>46.476092666666702</v>
      </c>
      <c r="AB7" s="16">
        <v>34362.300000000003</v>
      </c>
      <c r="AC7" s="16">
        <v>17619.599999999999</v>
      </c>
      <c r="AD7" s="16">
        <v>525.42899999999997</v>
      </c>
      <c r="AE7" s="16">
        <v>271.96600000000001</v>
      </c>
      <c r="AG7" s="11" t="str">
        <f>IF(OR(ISBLANK(AQ7),ISBLANK(G7)),"·",AQ7*G7/F7/1000000)</f>
        <v>·</v>
      </c>
      <c r="AH7" s="12" t="str">
        <f>IF(ISBLANK(AQ7),"·",AQ7/D7)</f>
        <v>·</v>
      </c>
      <c r="AI7" s="12" t="str">
        <f t="shared" si="1"/>
        <v>·</v>
      </c>
      <c r="AJ7" s="12" t="str">
        <f>IF(AR7="","·",AR7/D7)</f>
        <v>·</v>
      </c>
      <c r="AK7" s="12" t="str">
        <f>IF(ISBLANK(AT7),"·",AT7/D7)</f>
        <v>·</v>
      </c>
      <c r="AL7" s="54" t="str">
        <f>IF(OR(ISBLANK(AR7),ISBLANK(AS7)),"",AR7+AS7)</f>
        <v/>
      </c>
      <c r="AM7" s="12">
        <v>16</v>
      </c>
      <c r="AN7" s="13"/>
      <c r="AO7" s="13"/>
      <c r="AP7" s="13"/>
      <c r="AQ7" s="14"/>
      <c r="AR7" s="14"/>
      <c r="AS7" s="14"/>
      <c r="AT7" s="14"/>
      <c r="AU7" s="15"/>
      <c r="AV7" s="15"/>
      <c r="AW7" s="15"/>
      <c r="AX7" s="15"/>
      <c r="AY7" s="15"/>
      <c r="AZ7" s="16"/>
      <c r="BA7" s="16"/>
      <c r="BB7" s="16"/>
      <c r="BC7" s="16"/>
      <c r="BE7" s="51" t="e">
        <f t="shared" si="2"/>
        <v>#VALUE!</v>
      </c>
      <c r="BF7" s="17" t="e">
        <f>(AP7/AO7) - (R7/Q7)</f>
        <v>#DIV/0!</v>
      </c>
      <c r="BG7" s="17" t="e">
        <f>(AL7/AQ7) - (N7/S7)</f>
        <v>#VALUE!</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300</v>
      </c>
      <c r="G8" s="19">
        <v>30</v>
      </c>
      <c r="I8" s="20">
        <f>IF(OR(ISBLANK(S8),ISBLANK(G8)),"·",S8*G8/F8/1000000)</f>
        <v>9.4133568000000007</v>
      </c>
      <c r="J8" s="21">
        <f>IF(ISBLANK(S8),"·",S8/D8)</f>
        <v>0.39527606362088435</v>
      </c>
      <c r="K8" s="21">
        <f t="shared" si="0"/>
        <v>0.1266802317403164</v>
      </c>
      <c r="L8" s="21">
        <f>IF(T8="","·",T8/D8)</f>
        <v>0.10028332530976714</v>
      </c>
      <c r="M8" s="21">
        <f>IF(ISBLANK(V8),"·",V8/D8)</f>
        <v>0.26859583188056796</v>
      </c>
      <c r="N8" s="18">
        <f>IF(OR(ISBLANK(T8),ISBLANK(U8)),"",T8+U8)</f>
        <v>30168440</v>
      </c>
      <c r="O8" s="21">
        <v>16</v>
      </c>
      <c r="P8" s="22">
        <v>245523356</v>
      </c>
      <c r="Q8" s="22">
        <v>818411.186666667</v>
      </c>
      <c r="R8" s="22">
        <v>24831.63</v>
      </c>
      <c r="S8" s="23">
        <v>94133568</v>
      </c>
      <c r="T8" s="23">
        <v>23882112</v>
      </c>
      <c r="U8" s="23">
        <v>6286328</v>
      </c>
      <c r="V8" s="23">
        <v>63965128</v>
      </c>
      <c r="W8" s="24">
        <v>70.687753333333404</v>
      </c>
      <c r="X8" s="24">
        <v>73.255345666666599</v>
      </c>
      <c r="Y8" s="24">
        <v>39.744085666666599</v>
      </c>
      <c r="Z8" s="24">
        <v>47.904731333333302</v>
      </c>
      <c r="AA8" s="24">
        <v>47.995258333333297</v>
      </c>
      <c r="AB8" s="25">
        <v>34461.199999999997</v>
      </c>
      <c r="AC8" s="25">
        <v>18897.400000000001</v>
      </c>
      <c r="AD8" s="25">
        <v>545.51300000000003</v>
      </c>
      <c r="AE8" s="25">
        <v>279.791</v>
      </c>
      <c r="AG8" s="20" t="str">
        <f>IF(OR(ISBLANK(AQ8),ISBLANK(G8)),"·",AQ8*G8/F8/1000000)</f>
        <v>·</v>
      </c>
      <c r="AH8" s="21" t="str">
        <f>IF(ISBLANK(AQ8),"·",AQ8/D8)</f>
        <v>·</v>
      </c>
      <c r="AI8" s="21" t="str">
        <f t="shared" si="1"/>
        <v>·</v>
      </c>
      <c r="AJ8" s="21" t="str">
        <f>IF(AR8="","·",AR8/D8)</f>
        <v>·</v>
      </c>
      <c r="AK8" s="21" t="str">
        <f>IF(ISBLANK(AT8),"·",AT8/D8)</f>
        <v>·</v>
      </c>
      <c r="AL8" s="18" t="str">
        <f>IF(OR(ISBLANK(AR8),ISBLANK(AS8)),"",AR8+AS8)</f>
        <v/>
      </c>
      <c r="AM8" s="21">
        <v>16</v>
      </c>
      <c r="AN8" s="22"/>
      <c r="AO8" s="22"/>
      <c r="AP8" s="22"/>
      <c r="AQ8" s="23"/>
      <c r="AR8" s="23"/>
      <c r="AS8" s="23"/>
      <c r="AT8" s="23"/>
      <c r="AU8" s="24"/>
      <c r="AV8" s="24"/>
      <c r="AW8" s="24"/>
      <c r="AX8" s="24"/>
      <c r="AY8" s="24"/>
      <c r="AZ8" s="25"/>
      <c r="BA8" s="25"/>
      <c r="BB8" s="25"/>
      <c r="BC8" s="25"/>
      <c r="BE8" s="50" t="e">
        <f t="shared" si="2"/>
        <v>#VALUE!</v>
      </c>
      <c r="BF8" s="26" t="e">
        <f>(AP8/AO8) - (R8/Q8)</f>
        <v>#DIV/0!</v>
      </c>
      <c r="BG8" s="26" t="e">
        <f>(AL8/AQ8) - (N8/S8)</f>
        <v>#VALUE!</v>
      </c>
      <c r="BH8" s="26"/>
      <c r="BJ8" s="50"/>
      <c r="BK8" s="50"/>
      <c r="BL8" s="50"/>
      <c r="BM8" s="50"/>
      <c r="BN8" s="50"/>
      <c r="BP8" s="50"/>
      <c r="BQ8" s="50"/>
      <c r="BR8" s="50"/>
      <c r="BS8" s="50"/>
      <c r="BT8" s="50"/>
    </row>
    <row r="9" spans="1:72" ht="15" outlineLevel="1" thickBot="1" x14ac:dyDescent="0.35">
      <c r="A9" s="54"/>
      <c r="B9" s="27" t="s">
        <v>49</v>
      </c>
      <c r="C9" s="28" t="s">
        <v>234</v>
      </c>
      <c r="D9" s="27">
        <v>238146391</v>
      </c>
      <c r="E9" s="28">
        <v>10</v>
      </c>
      <c r="F9" s="28">
        <v>300</v>
      </c>
      <c r="G9" s="28">
        <v>30</v>
      </c>
      <c r="I9" s="29">
        <f>IF(OR(ISBLANK(S9),ISBLANK(G9)),"·",S9*G9/F9/1000000)</f>
        <v>16.673772800000002</v>
      </c>
      <c r="J9" s="30">
        <f>IF(ISBLANK(S9),"·",S9/D9)</f>
        <v>0.70014803625556521</v>
      </c>
      <c r="K9" s="30">
        <f t="shared" si="0"/>
        <v>0.20639073216104292</v>
      </c>
      <c r="L9" s="30">
        <f>IF(T9="","·",T9/D9)</f>
        <v>0.15538711229094376</v>
      </c>
      <c r="M9" s="30">
        <f>IF(ISBLANK(V9),"·",V9/D9)</f>
        <v>0.49375730409452229</v>
      </c>
      <c r="N9" s="27">
        <f>IF(OR(ISBLANK(T9),ISBLANK(U9)),"",T9+U9)</f>
        <v>49151208</v>
      </c>
      <c r="O9" s="30">
        <v>16</v>
      </c>
      <c r="P9" s="31">
        <v>236237089</v>
      </c>
      <c r="Q9" s="31">
        <v>787456.96333333303</v>
      </c>
      <c r="R9" s="31">
        <v>10954.163333333299</v>
      </c>
      <c r="S9" s="32">
        <v>166737728</v>
      </c>
      <c r="T9" s="32">
        <v>37004880</v>
      </c>
      <c r="U9" s="32">
        <v>12146328</v>
      </c>
      <c r="V9" s="32">
        <v>117586520</v>
      </c>
      <c r="W9" s="33">
        <v>71.789984666666697</v>
      </c>
      <c r="X9" s="33">
        <v>75.226265666666706</v>
      </c>
      <c r="Y9" s="33">
        <v>42.292687999999998</v>
      </c>
      <c r="Z9" s="33">
        <v>49.426783333333297</v>
      </c>
      <c r="AA9" s="33">
        <v>49.583480999999999</v>
      </c>
      <c r="AB9" s="34">
        <v>34305.9</v>
      </c>
      <c r="AC9" s="34">
        <v>20984.2</v>
      </c>
      <c r="AD9" s="34">
        <v>523.96500000000003</v>
      </c>
      <c r="AE9" s="34">
        <v>292.89999999999998</v>
      </c>
      <c r="AG9" s="29" t="str">
        <f>IF(OR(ISBLANK(AQ9),ISBLANK(G9)),"·",AQ9*G9/F9/1000000)</f>
        <v>·</v>
      </c>
      <c r="AH9" s="30" t="str">
        <f>IF(ISBLANK(AQ9),"·",AQ9/D9)</f>
        <v>·</v>
      </c>
      <c r="AI9" s="30" t="str">
        <f t="shared" si="1"/>
        <v>·</v>
      </c>
      <c r="AJ9" s="30" t="str">
        <f>IF(AR9="","·",AR9/D9)</f>
        <v>·</v>
      </c>
      <c r="AK9" s="30" t="str">
        <f>IF(ISBLANK(AT9),"·",AT9/D9)</f>
        <v>·</v>
      </c>
      <c r="AL9" s="27" t="str">
        <f>IF(OR(ISBLANK(AR9),ISBLANK(AS9)),"",AR9+AS9)</f>
        <v/>
      </c>
      <c r="AM9" s="30">
        <v>16</v>
      </c>
      <c r="AN9" s="31"/>
      <c r="AO9" s="31"/>
      <c r="AP9" s="31"/>
      <c r="AQ9" s="32"/>
      <c r="AR9" s="32"/>
      <c r="AS9" s="32"/>
      <c r="AT9" s="32"/>
      <c r="AU9" s="33"/>
      <c r="AV9" s="33"/>
      <c r="AW9" s="33"/>
      <c r="AX9" s="33"/>
      <c r="AY9" s="33"/>
      <c r="AZ9" s="34"/>
      <c r="BA9" s="34"/>
      <c r="BB9" s="34"/>
      <c r="BC9" s="34"/>
      <c r="BE9" s="35" t="e">
        <f t="shared" si="2"/>
        <v>#VALUE!</v>
      </c>
      <c r="BF9" s="36" t="e">
        <f>(AP9/AO9) - (R9/Q9)</f>
        <v>#DIV/0!</v>
      </c>
      <c r="BG9" s="36" t="e">
        <f>(AL9/AQ9) - (N9/S9)</f>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300</v>
      </c>
      <c r="G10" s="19">
        <v>30</v>
      </c>
      <c r="I10" s="20">
        <f>IF(OR(ISBLANK(S10),ISBLANK(G10)),"·",S10*G10/F10/1000000)</f>
        <v>3.3800032</v>
      </c>
      <c r="J10" s="21">
        <f>IF(ISBLANK(S10),"·",S10/D10)</f>
        <v>0.15495983651147557</v>
      </c>
      <c r="K10" s="21">
        <f t="shared" si="0"/>
        <v>8.1398766287971158E-2</v>
      </c>
      <c r="L10" s="21">
        <f>IF(T10="","·",T10/D10)</f>
        <v>4.3115727353138768E-2</v>
      </c>
      <c r="M10" s="21">
        <f>IF(ISBLANK(V10),"·",V10/D10)</f>
        <v>7.3561070223504416E-2</v>
      </c>
      <c r="N10" s="18">
        <f>IF(OR(ISBLANK(T10),ISBLANK(U10)),"",T10+U10)</f>
        <v>17754800</v>
      </c>
      <c r="O10" s="21">
        <v>16</v>
      </c>
      <c r="P10" s="22">
        <v>199595828</v>
      </c>
      <c r="Q10" s="22">
        <v>665319.42666666699</v>
      </c>
      <c r="R10" s="22">
        <v>19570.46</v>
      </c>
      <c r="S10" s="23">
        <v>33800032</v>
      </c>
      <c r="T10" s="23">
        <v>9404456</v>
      </c>
      <c r="U10" s="23">
        <v>8350344</v>
      </c>
      <c r="V10" s="23">
        <v>16045232</v>
      </c>
      <c r="W10" s="24">
        <v>65.811761000000004</v>
      </c>
      <c r="X10" s="24">
        <v>67.675730000000001</v>
      </c>
      <c r="Y10" s="24">
        <v>32.281323666666701</v>
      </c>
      <c r="Z10" s="24">
        <v>39.166944666666701</v>
      </c>
      <c r="AA10" s="24">
        <v>31.988359000000099</v>
      </c>
      <c r="AB10" s="25">
        <v>31606.6</v>
      </c>
      <c r="AC10" s="25">
        <v>16787.099999999999</v>
      </c>
      <c r="AD10" s="25">
        <v>452.827</v>
      </c>
      <c r="AE10" s="25">
        <v>280.31200000000001</v>
      </c>
      <c r="AG10" s="20" t="str">
        <f>IF(OR(ISBLANK(AQ10),ISBLANK(G10)),"·",AQ10*G10/F10/1000000)</f>
        <v>·</v>
      </c>
      <c r="AH10" s="21" t="str">
        <f>IF(ISBLANK(AQ10),"·",AQ10/D10)</f>
        <v>·</v>
      </c>
      <c r="AI10" s="21" t="str">
        <f t="shared" si="1"/>
        <v>·</v>
      </c>
      <c r="AJ10" s="21" t="str">
        <f>IF(AR10="","·",AR10/D10)</f>
        <v>·</v>
      </c>
      <c r="AK10" s="21" t="str">
        <f>IF(ISBLANK(AT10),"·",AT10/D10)</f>
        <v>·</v>
      </c>
      <c r="AL10" s="18" t="str">
        <f>IF(OR(ISBLANK(AR10),ISBLANK(AS10)),"",AR10+AS10)</f>
        <v/>
      </c>
      <c r="AM10" s="21">
        <v>16</v>
      </c>
      <c r="AN10" s="22"/>
      <c r="AO10" s="22"/>
      <c r="AP10" s="22"/>
      <c r="AQ10" s="23"/>
      <c r="AR10" s="23"/>
      <c r="AS10" s="23"/>
      <c r="AT10" s="23"/>
      <c r="AU10" s="24"/>
      <c r="AV10" s="24"/>
      <c r="AW10" s="24"/>
      <c r="AX10" s="24"/>
      <c r="AY10" s="24"/>
      <c r="AZ10" s="25"/>
      <c r="BA10" s="25"/>
      <c r="BB10" s="25"/>
      <c r="BC10" s="25"/>
      <c r="BE10" s="50" t="e">
        <f t="shared" si="2"/>
        <v>#VALUE!</v>
      </c>
      <c r="BF10" s="26" t="e">
        <f>(AP10/AO10) - (R10/Q10)</f>
        <v>#DIV/0!</v>
      </c>
      <c r="BG10" s="26" t="e">
        <f>(AL10/AQ10) - (N10/S10)</f>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3">
      <c r="A11" s="54"/>
      <c r="B11" s="54" t="s">
        <v>57</v>
      </c>
      <c r="C11" s="10" t="s">
        <v>231</v>
      </c>
      <c r="D11" s="54">
        <v>218121242</v>
      </c>
      <c r="E11" s="10">
        <v>10</v>
      </c>
      <c r="F11" s="10">
        <v>300</v>
      </c>
      <c r="G11" s="10">
        <v>30</v>
      </c>
      <c r="I11" s="11">
        <f>IF(OR(ISBLANK(S11),ISBLANK(G11)),"·",S11*G11/F11/1000000)</f>
        <v>4.8783599999999998</v>
      </c>
      <c r="J11" s="12">
        <f>IF(ISBLANK(S11),"·",S11/D11)</f>
        <v>0.22365359537059668</v>
      </c>
      <c r="K11" s="12">
        <f t="shared" si="0"/>
        <v>9.9295491816427495E-2</v>
      </c>
      <c r="L11" s="12">
        <f>IF(T11="","·",T11/D11)</f>
        <v>6.101245288159509E-2</v>
      </c>
      <c r="M11" s="12">
        <f>IF(ISBLANK(V11),"·",V11/D11)</f>
        <v>0.12435810355416919</v>
      </c>
      <c r="N11" s="54">
        <f>IF(OR(ISBLANK(T11),ISBLANK(U11)),"",T11+U11)</f>
        <v>21658456</v>
      </c>
      <c r="O11" s="12">
        <v>16</v>
      </c>
      <c r="P11" s="13">
        <v>213479129</v>
      </c>
      <c r="Q11" s="13">
        <v>711597.09666666703</v>
      </c>
      <c r="R11" s="13">
        <v>24836.7133333333</v>
      </c>
      <c r="S11" s="14">
        <v>48783600</v>
      </c>
      <c r="T11" s="14">
        <v>13308112</v>
      </c>
      <c r="U11" s="14">
        <v>8350344</v>
      </c>
      <c r="V11" s="14">
        <v>27125144</v>
      </c>
      <c r="W11" s="15">
        <v>67.515264000000002</v>
      </c>
      <c r="X11" s="15">
        <v>69.557891999999995</v>
      </c>
      <c r="Y11" s="15">
        <v>34.110876333333302</v>
      </c>
      <c r="Z11" s="15">
        <v>40.020099999999999</v>
      </c>
      <c r="AA11" s="15">
        <v>33.744524333333302</v>
      </c>
      <c r="AB11" s="16">
        <v>31818.799999999999</v>
      </c>
      <c r="AC11" s="16">
        <v>17558.400000000001</v>
      </c>
      <c r="AD11" s="16">
        <v>482.71199999999999</v>
      </c>
      <c r="AE11" s="16">
        <v>284.42399999999998</v>
      </c>
      <c r="AG11" s="11" t="str">
        <f>IF(OR(ISBLANK(AQ11),ISBLANK(G11)),"·",AQ11*G11/F11/1000000)</f>
        <v>·</v>
      </c>
      <c r="AH11" s="12" t="str">
        <f>IF(ISBLANK(AQ11),"·",AQ11/D11)</f>
        <v>·</v>
      </c>
      <c r="AI11" s="12" t="str">
        <f t="shared" si="1"/>
        <v>·</v>
      </c>
      <c r="AJ11" s="12" t="str">
        <f>IF(AR11="","·",AR11/D11)</f>
        <v>·</v>
      </c>
      <c r="AK11" s="12" t="str">
        <f>IF(ISBLANK(AT11),"·",AT11/D11)</f>
        <v>·</v>
      </c>
      <c r="AL11" s="54" t="str">
        <f>IF(OR(ISBLANK(AR11),ISBLANK(AS11)),"",AR11+AS11)</f>
        <v/>
      </c>
      <c r="AM11" s="12">
        <v>16</v>
      </c>
      <c r="AN11" s="13"/>
      <c r="AO11" s="13"/>
      <c r="AP11" s="13"/>
      <c r="AQ11" s="14"/>
      <c r="AR11" s="14"/>
      <c r="AS11" s="14"/>
      <c r="AT11" s="14"/>
      <c r="AU11" s="15"/>
      <c r="AV11" s="15"/>
      <c r="AW11" s="15"/>
      <c r="AX11" s="15"/>
      <c r="AY11" s="15"/>
      <c r="AZ11" s="16"/>
      <c r="BA11" s="16"/>
      <c r="BB11" s="16"/>
      <c r="BC11" s="16"/>
      <c r="BE11" s="51" t="e">
        <f t="shared" si="2"/>
        <v>#VALUE!</v>
      </c>
      <c r="BF11" s="17" t="e">
        <f>(AP11/AO11) - (R11/Q11)</f>
        <v>#DIV/0!</v>
      </c>
      <c r="BG11" s="17" t="e">
        <f>(AL11/AQ11) - (N11/S11)</f>
        <v>#VALUE!</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300</v>
      </c>
      <c r="G12" s="19">
        <v>30</v>
      </c>
      <c r="I12" s="20">
        <f>IF(OR(ISBLANK(S12),ISBLANK(G12)),"·",S12*G12/F12/1000000)</f>
        <v>7.5468752000000006</v>
      </c>
      <c r="J12" s="21">
        <f>IF(ISBLANK(S12),"·",S12/D12)</f>
        <v>0.3459945088704382</v>
      </c>
      <c r="K12" s="21">
        <f t="shared" si="0"/>
        <v>0.12677521797716521</v>
      </c>
      <c r="L12" s="21">
        <f>IF(T12="","·",T12/D12)</f>
        <v>8.8492179042332794E-2</v>
      </c>
      <c r="M12" s="21">
        <f>IF(ISBLANK(V12),"·",V12/D12)</f>
        <v>0.21921929089327302</v>
      </c>
      <c r="N12" s="18">
        <f>IF(OR(ISBLANK(T12),ISBLANK(U12)),"",T12+U12)</f>
        <v>27652368</v>
      </c>
      <c r="O12" s="21">
        <v>16</v>
      </c>
      <c r="P12" s="22">
        <v>217337189</v>
      </c>
      <c r="Q12" s="22">
        <v>724457.29666666698</v>
      </c>
      <c r="R12" s="22">
        <v>26579.32</v>
      </c>
      <c r="S12" s="23">
        <v>75468752</v>
      </c>
      <c r="T12" s="23">
        <v>19302024</v>
      </c>
      <c r="U12" s="23">
        <v>8350344</v>
      </c>
      <c r="V12" s="23">
        <v>47816384</v>
      </c>
      <c r="W12" s="24">
        <v>68.866620999999995</v>
      </c>
      <c r="X12" s="24">
        <v>71.213702999999995</v>
      </c>
      <c r="Y12" s="24">
        <v>36.201666000000003</v>
      </c>
      <c r="Z12" s="24">
        <v>40.9066263333333</v>
      </c>
      <c r="AA12" s="24">
        <v>35.495655333333303</v>
      </c>
      <c r="AB12" s="25">
        <v>31604.3</v>
      </c>
      <c r="AC12" s="25">
        <v>18296.099999999999</v>
      </c>
      <c r="AD12" s="25">
        <v>490.52300000000002</v>
      </c>
      <c r="AE12" s="25">
        <v>293.53199999999998</v>
      </c>
      <c r="AG12" s="20" t="str">
        <f>IF(OR(ISBLANK(AQ12),ISBLANK(G12)),"·",AQ12*G12/F12/1000000)</f>
        <v>·</v>
      </c>
      <c r="AH12" s="21" t="str">
        <f>IF(ISBLANK(AQ12),"·",AQ12/D12)</f>
        <v>·</v>
      </c>
      <c r="AI12" s="21" t="str">
        <f t="shared" si="1"/>
        <v>·</v>
      </c>
      <c r="AJ12" s="21" t="str">
        <f>IF(AR12="","·",AR12/D12)</f>
        <v>·</v>
      </c>
      <c r="AK12" s="21" t="str">
        <f>IF(ISBLANK(AT12),"·",AT12/D12)</f>
        <v>·</v>
      </c>
      <c r="AL12" s="18" t="str">
        <f>IF(OR(ISBLANK(AR12),ISBLANK(AS12)),"",AR12+AS12)</f>
        <v/>
      </c>
      <c r="AM12" s="21">
        <v>16</v>
      </c>
      <c r="AN12" s="22"/>
      <c r="AO12" s="22"/>
      <c r="AP12" s="22"/>
      <c r="AQ12" s="23"/>
      <c r="AR12" s="23"/>
      <c r="AS12" s="23"/>
      <c r="AT12" s="23"/>
      <c r="AU12" s="24"/>
      <c r="AV12" s="24"/>
      <c r="AW12" s="24"/>
      <c r="AX12" s="24"/>
      <c r="AY12" s="24"/>
      <c r="AZ12" s="25"/>
      <c r="BA12" s="25"/>
      <c r="BB12" s="25"/>
      <c r="BC12" s="25"/>
      <c r="BE12" s="50" t="e">
        <f t="shared" si="2"/>
        <v>#VALUE!</v>
      </c>
      <c r="BF12" s="26" t="e">
        <f>(AP12/AO12) - (R12/Q12)</f>
        <v>#DIV/0!</v>
      </c>
      <c r="BG12" s="26" t="e">
        <f>(AL12/AQ12) - (N12/S12)</f>
        <v>#VALUE!</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300</v>
      </c>
      <c r="G13" s="10">
        <v>30</v>
      </c>
      <c r="I13" s="11">
        <f>IF(OR(ISBLANK(S13),ISBLANK(G13)),"·",S13*G13/F13/1000000)</f>
        <v>12.7540648</v>
      </c>
      <c r="J13" s="12">
        <f>IF(ISBLANK(S13),"·",S13/D13)</f>
        <v>0.58472364649381559</v>
      </c>
      <c r="K13" s="12">
        <f t="shared" si="0"/>
        <v>0.17454971212753317</v>
      </c>
      <c r="L13" s="12">
        <f>IF(T13="","·",T13/D13)</f>
        <v>0.13626667319270078</v>
      </c>
      <c r="M13" s="12">
        <f>IF(ISBLANK(V13),"·",V13/D13)</f>
        <v>0.41017393436628241</v>
      </c>
      <c r="N13" s="54">
        <f>IF(OR(ISBLANK(T13),ISBLANK(U13)),"",T13+U13)</f>
        <v>38073000</v>
      </c>
      <c r="O13" s="12">
        <v>16</v>
      </c>
      <c r="P13" s="13">
        <v>224970663</v>
      </c>
      <c r="Q13" s="13">
        <v>749902.21</v>
      </c>
      <c r="R13" s="13">
        <v>30093.82</v>
      </c>
      <c r="S13" s="14">
        <v>127540648</v>
      </c>
      <c r="T13" s="14">
        <v>29722656</v>
      </c>
      <c r="U13" s="14">
        <v>8350344</v>
      </c>
      <c r="V13" s="14">
        <v>89467648</v>
      </c>
      <c r="W13" s="15">
        <v>69.944933000000006</v>
      </c>
      <c r="X13" s="15">
        <v>72.473840999999993</v>
      </c>
      <c r="Y13" s="15">
        <v>38.521727666666699</v>
      </c>
      <c r="Z13" s="15">
        <v>42.073988999999997</v>
      </c>
      <c r="AA13" s="15">
        <v>37.512836333333297</v>
      </c>
      <c r="AB13" s="16">
        <v>31680.400000000001</v>
      </c>
      <c r="AC13" s="16">
        <v>19788.2</v>
      </c>
      <c r="AD13" s="16">
        <v>505.48200000000003</v>
      </c>
      <c r="AE13" s="16">
        <v>303.90600000000001</v>
      </c>
      <c r="AG13" s="11" t="str">
        <f>IF(OR(ISBLANK(AQ13),ISBLANK(G13)),"·",AQ13*G13/F13/1000000)</f>
        <v>·</v>
      </c>
      <c r="AH13" s="12" t="str">
        <f>IF(ISBLANK(AQ13),"·",AQ13/D13)</f>
        <v>·</v>
      </c>
      <c r="AI13" s="12" t="str">
        <f t="shared" si="1"/>
        <v>·</v>
      </c>
      <c r="AJ13" s="12" t="str">
        <f>IF(AR13="","·",AR13/D13)</f>
        <v>·</v>
      </c>
      <c r="AK13" s="12" t="str">
        <f>IF(ISBLANK(AT13),"·",AT13/D13)</f>
        <v>·</v>
      </c>
      <c r="AL13" s="54" t="str">
        <f>IF(OR(ISBLANK(AR13),ISBLANK(AS13)),"",AR13+AS13)</f>
        <v/>
      </c>
      <c r="AM13" s="12">
        <v>16</v>
      </c>
      <c r="AN13" s="13"/>
      <c r="AO13" s="13"/>
      <c r="AP13" s="13"/>
      <c r="AQ13" s="14"/>
      <c r="AR13" s="14"/>
      <c r="AS13" s="14"/>
      <c r="AT13" s="14"/>
      <c r="AU13" s="15"/>
      <c r="AV13" s="15"/>
      <c r="AW13" s="15"/>
      <c r="AX13" s="15"/>
      <c r="AY13" s="15"/>
      <c r="AZ13" s="16"/>
      <c r="BA13" s="16"/>
      <c r="BB13" s="16"/>
      <c r="BC13" s="16"/>
      <c r="BE13" s="51" t="e">
        <f t="shared" si="2"/>
        <v>#VALUE!</v>
      </c>
      <c r="BF13" s="17" t="e">
        <f>(AP13/AO13) - (R13/Q13)</f>
        <v>#DIV/0!</v>
      </c>
      <c r="BG13" s="17" t="e">
        <f>(AL13/AQ13) - (N13/S13)</f>
        <v>#VALUE!</v>
      </c>
      <c r="BH13" s="17"/>
      <c r="BJ13" s="51"/>
      <c r="BK13" s="51"/>
      <c r="BL13" s="51"/>
      <c r="BM13" s="51"/>
      <c r="BN13" s="51"/>
      <c r="BP13" s="51"/>
      <c r="BQ13" s="51"/>
      <c r="BR13" s="51"/>
      <c r="BS13" s="51"/>
      <c r="BT13" s="51"/>
    </row>
    <row r="14" spans="1:72" ht="15" outlineLevel="1" thickBot="1" x14ac:dyDescent="0.35">
      <c r="A14" s="18"/>
      <c r="B14" s="37" t="s">
        <v>57</v>
      </c>
      <c r="C14" s="38" t="s">
        <v>234</v>
      </c>
      <c r="D14" s="37">
        <v>218121242</v>
      </c>
      <c r="E14" s="38">
        <v>10</v>
      </c>
      <c r="F14" s="38">
        <v>300</v>
      </c>
      <c r="G14" s="38">
        <v>30</v>
      </c>
      <c r="I14" s="39">
        <f>IF(OR(ISBLANK(S14),ISBLANK(G14)),"·",S14*G14/F14/1000000)</f>
        <v>22.8973528</v>
      </c>
      <c r="J14" s="40">
        <f>IF(ISBLANK(S14),"·",S14/D14)</f>
        <v>1.0497534577581398</v>
      </c>
      <c r="K14" s="40">
        <f t="shared" si="0"/>
        <v>0.28813179048375309</v>
      </c>
      <c r="L14" s="40">
        <f>IF(T14="","·",T14/D14)</f>
        <v>0.21558223109696029</v>
      </c>
      <c r="M14" s="40">
        <f>IF(ISBLANK(V14),"·",V14/D14)</f>
        <v>0.76162166727438674</v>
      </c>
      <c r="N14" s="37">
        <f>IF(OR(ISBLANK(T14),ISBLANK(U14)),"",T14+U14)</f>
        <v>62847664</v>
      </c>
      <c r="O14" s="40">
        <v>16</v>
      </c>
      <c r="P14" s="41">
        <v>212784934</v>
      </c>
      <c r="Q14" s="41">
        <v>709283.11333333305</v>
      </c>
      <c r="R14" s="41">
        <v>14214.696666666699</v>
      </c>
      <c r="S14" s="42">
        <v>228973528</v>
      </c>
      <c r="T14" s="42">
        <v>47023064</v>
      </c>
      <c r="U14" s="42">
        <v>15824600</v>
      </c>
      <c r="V14" s="42">
        <v>166125864</v>
      </c>
      <c r="W14" s="43">
        <v>70.819807333333301</v>
      </c>
      <c r="X14" s="43">
        <v>74.589538000000005</v>
      </c>
      <c r="Y14" s="43">
        <v>40.780632666666598</v>
      </c>
      <c r="Z14" s="43">
        <v>43.390104333333298</v>
      </c>
      <c r="AA14" s="43">
        <v>39.250982999999998</v>
      </c>
      <c r="AB14" s="44">
        <v>31846.6</v>
      </c>
      <c r="AC14" s="44">
        <v>22209.8</v>
      </c>
      <c r="AD14" s="44">
        <v>477.495</v>
      </c>
      <c r="AE14" s="44">
        <v>321.05200000000002</v>
      </c>
      <c r="AG14" s="39" t="str">
        <f>IF(OR(ISBLANK(AQ14),ISBLANK(G14)),"·",AQ14*G14/F14/1000000)</f>
        <v>·</v>
      </c>
      <c r="AH14" s="40" t="str">
        <f>IF(ISBLANK(AQ14),"·",AQ14/D14)</f>
        <v>·</v>
      </c>
      <c r="AI14" s="40" t="str">
        <f t="shared" si="1"/>
        <v>·</v>
      </c>
      <c r="AJ14" s="40" t="str">
        <f>IF(AR14="","·",AR14/D14)</f>
        <v>·</v>
      </c>
      <c r="AK14" s="40" t="str">
        <f>IF(ISBLANK(AT14),"·",AT14/D14)</f>
        <v>·</v>
      </c>
      <c r="AL14" s="37" t="str">
        <f>IF(OR(ISBLANK(AR14),ISBLANK(AS14)),"",AR14+AS14)</f>
        <v/>
      </c>
      <c r="AM14" s="40">
        <v>16</v>
      </c>
      <c r="AN14" s="41"/>
      <c r="AO14" s="41"/>
      <c r="AP14" s="41"/>
      <c r="AQ14" s="42"/>
      <c r="AR14" s="42"/>
      <c r="AS14" s="42"/>
      <c r="AT14" s="42"/>
      <c r="AU14" s="43"/>
      <c r="AV14" s="43"/>
      <c r="AW14" s="43"/>
      <c r="AX14" s="43"/>
      <c r="AY14" s="43"/>
      <c r="AZ14" s="44"/>
      <c r="BA14" s="44"/>
      <c r="BB14" s="44"/>
      <c r="BC14" s="44"/>
      <c r="BE14" s="45" t="e">
        <f t="shared" si="2"/>
        <v>#VALUE!</v>
      </c>
      <c r="BF14" s="46" t="e">
        <f>(AP14/AO14) - (R14/Q14)</f>
        <v>#DIV/0!</v>
      </c>
      <c r="BG14" s="46" t="e">
        <f>(AL14/AQ14) - (N14/S14)</f>
        <v>#VALUE!</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300</v>
      </c>
      <c r="G15" s="10">
        <v>30</v>
      </c>
      <c r="I15" s="11">
        <f>IF(OR(ISBLANK(S15),ISBLANK(G15)),"·",S15*G15/F15/1000000)</f>
        <v>4.3624688000000003</v>
      </c>
      <c r="J15" s="12">
        <f>IF(ISBLANK(S15),"·",S15/D15)</f>
        <v>0.1352327351402387</v>
      </c>
      <c r="K15" s="12">
        <f t="shared" si="0"/>
        <v>7.6605743126879219E-2</v>
      </c>
      <c r="L15" s="12">
        <f>IF(T15="","·",T15/D15)</f>
        <v>4.180334286180442E-2</v>
      </c>
      <c r="M15" s="12">
        <f>IF(ISBLANK(V15),"·",V15/D15)</f>
        <v>5.8626992013359483E-2</v>
      </c>
      <c r="N15" s="54">
        <f>IF(OR(ISBLANK(T15),ISBLANK(U15)),"",T15+U15)</f>
        <v>24712224</v>
      </c>
      <c r="O15" s="12">
        <v>16</v>
      </c>
      <c r="P15" s="13">
        <v>295692711</v>
      </c>
      <c r="Q15" s="13">
        <v>985642.37</v>
      </c>
      <c r="R15" s="13">
        <v>28254.27</v>
      </c>
      <c r="S15" s="14">
        <v>43624688</v>
      </c>
      <c r="T15" s="14">
        <v>13485328</v>
      </c>
      <c r="U15" s="14">
        <v>11226896</v>
      </c>
      <c r="V15" s="14">
        <v>18912464</v>
      </c>
      <c r="W15" s="15">
        <v>65.952931333333296</v>
      </c>
      <c r="X15" s="15">
        <v>67.740381333333403</v>
      </c>
      <c r="Y15" s="15">
        <v>29.506841666666698</v>
      </c>
      <c r="Z15" s="15">
        <v>43.201269000000003</v>
      </c>
      <c r="AA15" s="15">
        <v>43.416677</v>
      </c>
      <c r="AB15" s="16">
        <v>44508.3</v>
      </c>
      <c r="AC15" s="16">
        <v>16778.5</v>
      </c>
      <c r="AD15" s="16">
        <v>656.49800000000005</v>
      </c>
      <c r="AE15" s="16">
        <v>266.06400000000002</v>
      </c>
      <c r="AG15" s="11" t="str">
        <f>IF(OR(ISBLANK(AQ15),ISBLANK(G15)),"·",AQ15*G15/F15/1000000)</f>
        <v>·</v>
      </c>
      <c r="AH15" s="12" t="str">
        <f>IF(ISBLANK(AQ15),"·",AQ15/D15)</f>
        <v>·</v>
      </c>
      <c r="AI15" s="12" t="str">
        <f t="shared" si="1"/>
        <v>·</v>
      </c>
      <c r="AJ15" s="12" t="str">
        <f>IF(AR15="","·",AR15/D15)</f>
        <v>·</v>
      </c>
      <c r="AK15" s="12" t="str">
        <f>IF(ISBLANK(AT15),"·",AT15/D15)</f>
        <v>·</v>
      </c>
      <c r="AL15" s="54" t="str">
        <f>IF(OR(ISBLANK(AR15),ISBLANK(AS15)),"",AR15+AS15)</f>
        <v/>
      </c>
      <c r="AM15" s="12">
        <v>16</v>
      </c>
      <c r="AN15" s="13"/>
      <c r="AO15" s="13"/>
      <c r="AP15" s="13"/>
      <c r="AQ15" s="14"/>
      <c r="AR15" s="14"/>
      <c r="AS15" s="14"/>
      <c r="AT15" s="14"/>
      <c r="AU15" s="15"/>
      <c r="AV15" s="15"/>
      <c r="AW15" s="15"/>
      <c r="AX15" s="15"/>
      <c r="AY15" s="15"/>
      <c r="AZ15" s="16"/>
      <c r="BA15" s="16"/>
      <c r="BB15" s="16"/>
      <c r="BC15" s="16"/>
      <c r="BE15" s="51" t="e">
        <f t="shared" si="2"/>
        <v>#VALUE!</v>
      </c>
      <c r="BF15" s="17" t="e">
        <f>(AP15/AO15) - (R15/Q15)</f>
        <v>#DIV/0!</v>
      </c>
      <c r="BG15" s="17" t="e">
        <f>(AL15/AQ15) - (N15/S15)</f>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300</v>
      </c>
      <c r="G16" s="19">
        <v>30</v>
      </c>
      <c r="I16" s="20">
        <f>IF(OR(ISBLANK(S16),ISBLANK(G16)),"·",S16*G16/F16/1000000)</f>
        <v>6.9553255999999992</v>
      </c>
      <c r="J16" s="21">
        <f>IF(ISBLANK(S16),"·",S16/D16)</f>
        <v>0.21560903878072935</v>
      </c>
      <c r="K16" s="21">
        <f t="shared" si="0"/>
        <v>9.3903604561415263E-2</v>
      </c>
      <c r="L16" s="21">
        <f>IF(T16="","·",T16/D16)</f>
        <v>5.910120429634047E-2</v>
      </c>
      <c r="M16" s="21">
        <f>IF(ISBLANK(V16),"·",V16/D16)</f>
        <v>0.12170543421931408</v>
      </c>
      <c r="N16" s="18">
        <f>IF(OR(ISBLANK(T16),ISBLANK(U16)),"",T16+U16)</f>
        <v>30292336</v>
      </c>
      <c r="O16" s="21">
        <v>16</v>
      </c>
      <c r="P16" s="22">
        <v>315645479</v>
      </c>
      <c r="Q16" s="22">
        <v>1052151.5966666699</v>
      </c>
      <c r="R16" s="22">
        <v>35009.363333333298</v>
      </c>
      <c r="S16" s="23">
        <v>69553256</v>
      </c>
      <c r="T16" s="23">
        <v>19065440</v>
      </c>
      <c r="U16" s="23">
        <v>11226896</v>
      </c>
      <c r="V16" s="23">
        <v>39260920</v>
      </c>
      <c r="W16" s="24">
        <v>67.752667000000002</v>
      </c>
      <c r="X16" s="24">
        <v>69.809411333333301</v>
      </c>
      <c r="Y16" s="24">
        <v>31.918554</v>
      </c>
      <c r="Z16" s="24">
        <v>44.068763333333301</v>
      </c>
      <c r="AA16" s="24">
        <v>44.377466333333302</v>
      </c>
      <c r="AB16" s="25">
        <v>44714.6</v>
      </c>
      <c r="AC16" s="25">
        <v>17935.7</v>
      </c>
      <c r="AD16" s="25">
        <v>701.596</v>
      </c>
      <c r="AE16" s="25">
        <v>273.137</v>
      </c>
      <c r="AG16" s="20" t="str">
        <f>IF(OR(ISBLANK(AQ16),ISBLANK(G16)),"·",AQ16*G16/F16/1000000)</f>
        <v>·</v>
      </c>
      <c r="AH16" s="21" t="str">
        <f>IF(ISBLANK(AQ16),"·",AQ16/D16)</f>
        <v>·</v>
      </c>
      <c r="AI16" s="21" t="str">
        <f t="shared" si="1"/>
        <v>·</v>
      </c>
      <c r="AJ16" s="21" t="str">
        <f>IF(AR16="","·",AR16/D16)</f>
        <v>·</v>
      </c>
      <c r="AK16" s="21" t="str">
        <f>IF(ISBLANK(AT16),"·",AT16/D16)</f>
        <v>·</v>
      </c>
      <c r="AL16" s="18" t="str">
        <f>IF(OR(ISBLANK(AR16),ISBLANK(AS16)),"",AR16+AS16)</f>
        <v/>
      </c>
      <c r="AM16" s="21">
        <v>16</v>
      </c>
      <c r="AN16" s="22"/>
      <c r="AO16" s="22"/>
      <c r="AP16" s="22"/>
      <c r="AQ16" s="23"/>
      <c r="AR16" s="23"/>
      <c r="AS16" s="23"/>
      <c r="AT16" s="23"/>
      <c r="AU16" s="24"/>
      <c r="AV16" s="24"/>
      <c r="AW16" s="24"/>
      <c r="AX16" s="24"/>
      <c r="AY16" s="24"/>
      <c r="AZ16" s="25"/>
      <c r="BA16" s="25"/>
      <c r="BB16" s="25"/>
      <c r="BC16" s="25"/>
      <c r="BE16" s="50" t="e">
        <f t="shared" si="2"/>
        <v>#VALUE!</v>
      </c>
      <c r="BF16" s="26" t="e">
        <f>(AP16/AO16) - (R16/Q16)</f>
        <v>#DIV/0!</v>
      </c>
      <c r="BG16" s="26" t="e">
        <f>(AL16/AQ16) - (N16/S16)</f>
        <v>#VALUE!</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300</v>
      </c>
      <c r="G17" s="10">
        <v>30</v>
      </c>
      <c r="I17" s="11">
        <f>IF(OR(ISBLANK(S17),ISBLANK(G17)),"·",S17*G17/F17/1000000)</f>
        <v>11.565619999999999</v>
      </c>
      <c r="J17" s="12">
        <f>IF(ISBLANK(S17),"·",S17/D17)</f>
        <v>0.35852415178135999</v>
      </c>
      <c r="K17" s="12">
        <f t="shared" si="0"/>
        <v>0.1198596468534532</v>
      </c>
      <c r="L17" s="12">
        <f>IF(T17="","·",T17/D17)</f>
        <v>8.5057246588378405E-2</v>
      </c>
      <c r="M17" s="12">
        <f>IF(ISBLANK(V17),"·",V17/D17)</f>
        <v>0.23866450492790681</v>
      </c>
      <c r="N17" s="54">
        <f>IF(OR(ISBLANK(T17),ISBLANK(U17)),"",T17+U17)</f>
        <v>38665488</v>
      </c>
      <c r="O17" s="12">
        <v>16</v>
      </c>
      <c r="P17" s="13">
        <v>319981779</v>
      </c>
      <c r="Q17" s="13">
        <v>1066605.93</v>
      </c>
      <c r="R17" s="13">
        <v>36803.99</v>
      </c>
      <c r="S17" s="14">
        <v>115656200</v>
      </c>
      <c r="T17" s="14">
        <v>27438592</v>
      </c>
      <c r="U17" s="14">
        <v>11226896</v>
      </c>
      <c r="V17" s="14">
        <v>76990712</v>
      </c>
      <c r="W17" s="15">
        <v>69.144569999999902</v>
      </c>
      <c r="X17" s="15">
        <v>71.605159666666594</v>
      </c>
      <c r="Y17" s="15">
        <v>34.4701356666666</v>
      </c>
      <c r="Z17" s="15">
        <v>44.925890000000003</v>
      </c>
      <c r="AA17" s="15">
        <v>45.338106666666697</v>
      </c>
      <c r="AB17" s="16">
        <v>44467.6</v>
      </c>
      <c r="AC17" s="16">
        <v>19242.5</v>
      </c>
      <c r="AD17" s="16">
        <v>711.01</v>
      </c>
      <c r="AE17" s="16">
        <v>281.95100000000002</v>
      </c>
      <c r="AG17" s="11" t="str">
        <f>IF(OR(ISBLANK(AQ17),ISBLANK(G17)),"·",AQ17*G17/F17/1000000)</f>
        <v>·</v>
      </c>
      <c r="AH17" s="12" t="str">
        <f>IF(ISBLANK(AQ17),"·",AQ17/D17)</f>
        <v>·</v>
      </c>
      <c r="AI17" s="12" t="str">
        <f t="shared" si="1"/>
        <v>·</v>
      </c>
      <c r="AJ17" s="12" t="str">
        <f>IF(AR17="","·",AR17/D17)</f>
        <v>·</v>
      </c>
      <c r="AK17" s="12" t="str">
        <f>IF(ISBLANK(AT17),"·",AT17/D17)</f>
        <v>·</v>
      </c>
      <c r="AL17" s="54" t="str">
        <f>IF(OR(ISBLANK(AR17),ISBLANK(AS17)),"",AR17+AS17)</f>
        <v/>
      </c>
      <c r="AM17" s="12">
        <v>16</v>
      </c>
      <c r="AN17" s="13"/>
      <c r="AO17" s="13"/>
      <c r="AP17" s="13"/>
      <c r="AQ17" s="14"/>
      <c r="AR17" s="14"/>
      <c r="AS17" s="14"/>
      <c r="AT17" s="14"/>
      <c r="AU17" s="15"/>
      <c r="AV17" s="15"/>
      <c r="AW17" s="15"/>
      <c r="AX17" s="15"/>
      <c r="AY17" s="15"/>
      <c r="AZ17" s="16"/>
      <c r="BA17" s="16"/>
      <c r="BB17" s="16"/>
      <c r="BC17" s="16"/>
      <c r="BE17" s="51" t="e">
        <f t="shared" si="2"/>
        <v>#VALUE!</v>
      </c>
      <c r="BF17" s="17" t="e">
        <f>(AP17/AO17) - (R17/Q17)</f>
        <v>#DIV/0!</v>
      </c>
      <c r="BG17" s="17" t="e">
        <f>(AL17/AQ17) - (N17/S17)</f>
        <v>#VALUE!</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300</v>
      </c>
      <c r="G18" s="19">
        <v>30</v>
      </c>
      <c r="I18" s="20">
        <f>IF(OR(ISBLANK(S18),ISBLANK(G18)),"·",S18*G18/F18/1000000)</f>
        <v>19.940157600000003</v>
      </c>
      <c r="J18" s="21">
        <f>IF(ISBLANK(S18),"·",S18/D18)</f>
        <v>0.61812752709553309</v>
      </c>
      <c r="K18" s="21">
        <f t="shared" si="0"/>
        <v>0.16307419408525203</v>
      </c>
      <c r="L18" s="21">
        <f>IF(T18="","·",T18/D18)</f>
        <v>0.12827179382017723</v>
      </c>
      <c r="M18" s="21">
        <f>IF(ISBLANK(V18),"·",V18/D18)</f>
        <v>0.45505333301028106</v>
      </c>
      <c r="N18" s="18">
        <f>IF(OR(ISBLANK(T18),ISBLANK(U18)),"",T18+U18)</f>
        <v>52606056</v>
      </c>
      <c r="O18" s="21">
        <v>16</v>
      </c>
      <c r="P18" s="22">
        <v>330485852</v>
      </c>
      <c r="Q18" s="22">
        <v>1101619.5066666701</v>
      </c>
      <c r="R18" s="22">
        <v>41193.003333333298</v>
      </c>
      <c r="S18" s="23">
        <v>199401576</v>
      </c>
      <c r="T18" s="23">
        <v>41379160</v>
      </c>
      <c r="U18" s="23">
        <v>11226896</v>
      </c>
      <c r="V18" s="23">
        <v>146795520</v>
      </c>
      <c r="W18" s="24">
        <v>70.367146666666699</v>
      </c>
      <c r="X18" s="24">
        <v>72.960699000000005</v>
      </c>
      <c r="Y18" s="24">
        <v>37.152290666666701</v>
      </c>
      <c r="Z18" s="24">
        <v>46.289817999999997</v>
      </c>
      <c r="AA18" s="24">
        <v>46.800843999999998</v>
      </c>
      <c r="AB18" s="25">
        <v>44555.9</v>
      </c>
      <c r="AC18" s="25">
        <v>21615.4</v>
      </c>
      <c r="AD18" s="25">
        <v>734.40200000000004</v>
      </c>
      <c r="AE18" s="25">
        <v>296.56299999999999</v>
      </c>
      <c r="AG18" s="20" t="str">
        <f>IF(OR(ISBLANK(AQ18),ISBLANK(G18)),"·",AQ18*G18/F18/1000000)</f>
        <v>·</v>
      </c>
      <c r="AH18" s="21" t="str">
        <f>IF(ISBLANK(AQ18),"·",AQ18/D18)</f>
        <v>·</v>
      </c>
      <c r="AI18" s="21" t="str">
        <f t="shared" si="1"/>
        <v>·</v>
      </c>
      <c r="AJ18" s="21" t="str">
        <f>IF(AR18="","·",AR18/D18)</f>
        <v>·</v>
      </c>
      <c r="AK18" s="21" t="str">
        <f>IF(ISBLANK(AT18),"·",AT18/D18)</f>
        <v>·</v>
      </c>
      <c r="AL18" s="18" t="str">
        <f>IF(OR(ISBLANK(AR18),ISBLANK(AS18)),"",AR18+AS18)</f>
        <v/>
      </c>
      <c r="AM18" s="21">
        <v>16</v>
      </c>
      <c r="AN18" s="22"/>
      <c r="AO18" s="22"/>
      <c r="AP18" s="22"/>
      <c r="AQ18" s="23"/>
      <c r="AR18" s="23"/>
      <c r="AS18" s="23"/>
      <c r="AT18" s="23"/>
      <c r="AU18" s="24"/>
      <c r="AV18" s="24"/>
      <c r="AW18" s="24"/>
      <c r="AX18" s="24"/>
      <c r="AY18" s="24"/>
      <c r="AZ18" s="25"/>
      <c r="BA18" s="25"/>
      <c r="BB18" s="25"/>
      <c r="BC18" s="25"/>
      <c r="BE18" s="50" t="e">
        <f t="shared" si="2"/>
        <v>#VALUE!</v>
      </c>
      <c r="BF18" s="26" t="e">
        <f>(AP18/AO18) - (R18/Q18)</f>
        <v>#DIV/0!</v>
      </c>
      <c r="BG18" s="26" t="e">
        <f>(AL18/AQ18) - (N18/S18)</f>
        <v>#VALUE!</v>
      </c>
      <c r="BH18" s="26"/>
      <c r="BJ18" s="50"/>
      <c r="BK18" s="50"/>
      <c r="BL18" s="50"/>
      <c r="BM18" s="50"/>
      <c r="BN18" s="50"/>
      <c r="BP18" s="50"/>
      <c r="BQ18" s="50"/>
      <c r="BR18" s="50"/>
      <c r="BS18" s="50"/>
      <c r="BT18" s="50"/>
    </row>
    <row r="19" spans="1:72" ht="15" outlineLevel="1" thickBot="1" x14ac:dyDescent="0.35">
      <c r="A19" s="54"/>
      <c r="B19" s="27" t="s">
        <v>62</v>
      </c>
      <c r="C19" s="28" t="s">
        <v>234</v>
      </c>
      <c r="D19" s="27">
        <v>322589704</v>
      </c>
      <c r="E19" s="28">
        <v>10</v>
      </c>
      <c r="F19" s="28">
        <v>300</v>
      </c>
      <c r="G19" s="28">
        <v>30</v>
      </c>
      <c r="I19" s="29">
        <f>IF(OR(ISBLANK(S19),ISBLANK(G19)),"·",S19*G19/F19/1000000)</f>
        <v>35.272457600000003</v>
      </c>
      <c r="J19" s="30">
        <f>IF(ISBLANK(S19),"·",S19/D19)</f>
        <v>1.093415479869128</v>
      </c>
      <c r="K19" s="30">
        <f t="shared" si="0"/>
        <v>0.26270564419501746</v>
      </c>
      <c r="L19" s="30">
        <f>IF(T19="","·",T19/D19)</f>
        <v>0.19726162122024823</v>
      </c>
      <c r="M19" s="30">
        <f>IF(ISBLANK(V19),"·",V19/D19)</f>
        <v>0.83070983567411072</v>
      </c>
      <c r="N19" s="27">
        <f>IF(OR(ISBLANK(T19),ISBLANK(U19)),"",T19+U19)</f>
        <v>84746136</v>
      </c>
      <c r="O19" s="30">
        <v>16</v>
      </c>
      <c r="P19" s="31">
        <v>314292335</v>
      </c>
      <c r="Q19" s="31">
        <v>1047641.11666667</v>
      </c>
      <c r="R19" s="31">
        <v>18188.7366666667</v>
      </c>
      <c r="S19" s="32">
        <v>352724576</v>
      </c>
      <c r="T19" s="32">
        <v>63634568</v>
      </c>
      <c r="U19" s="32">
        <v>21111568</v>
      </c>
      <c r="V19" s="32">
        <v>267978440</v>
      </c>
      <c r="W19" s="33">
        <v>71.149593666666703</v>
      </c>
      <c r="X19" s="33">
        <v>75.005414999999999</v>
      </c>
      <c r="Y19" s="33">
        <v>39.680292333333298</v>
      </c>
      <c r="Z19" s="33">
        <v>48.065980000000003</v>
      </c>
      <c r="AA19" s="33">
        <v>48.647580666666698</v>
      </c>
      <c r="AB19" s="34">
        <v>44593.599999999999</v>
      </c>
      <c r="AC19" s="34">
        <v>24928.9</v>
      </c>
      <c r="AD19" s="34">
        <v>716.71500000000003</v>
      </c>
      <c r="AE19" s="34">
        <v>315.45999999999998</v>
      </c>
      <c r="AG19" s="29" t="str">
        <f>IF(OR(ISBLANK(AQ19),ISBLANK(G19)),"·",AQ19*G19/F19/1000000)</f>
        <v>·</v>
      </c>
      <c r="AH19" s="30" t="str">
        <f>IF(ISBLANK(AQ19),"·",AQ19/D19)</f>
        <v>·</v>
      </c>
      <c r="AI19" s="30" t="str">
        <f t="shared" si="1"/>
        <v>·</v>
      </c>
      <c r="AJ19" s="30" t="str">
        <f>IF(AR19="","·",AR19/D19)</f>
        <v>·</v>
      </c>
      <c r="AK19" s="30" t="str">
        <f>IF(ISBLANK(AT19),"·",AT19/D19)</f>
        <v>·</v>
      </c>
      <c r="AL19" s="27" t="str">
        <f>IF(OR(ISBLANK(AR19),ISBLANK(AS19)),"",AR19+AS19)</f>
        <v/>
      </c>
      <c r="AM19" s="30">
        <v>16</v>
      </c>
      <c r="AN19" s="31"/>
      <c r="AO19" s="31"/>
      <c r="AP19" s="31"/>
      <c r="AQ19" s="32"/>
      <c r="AR19" s="32"/>
      <c r="AS19" s="32"/>
      <c r="AT19" s="32"/>
      <c r="AU19" s="33"/>
      <c r="AV19" s="33"/>
      <c r="AW19" s="33"/>
      <c r="AX19" s="33"/>
      <c r="AY19" s="33"/>
      <c r="AZ19" s="34"/>
      <c r="BA19" s="34"/>
      <c r="BB19" s="34"/>
      <c r="BC19" s="34"/>
      <c r="BE19" s="35" t="e">
        <f t="shared" si="2"/>
        <v>#VALUE!</v>
      </c>
      <c r="BF19" s="36" t="e">
        <f>(AP19/AO19) - (R19/Q19)</f>
        <v>#DIV/0!</v>
      </c>
      <c r="BG19" s="36" t="e">
        <f>(AL19/AQ19) - (N19/S19)</f>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250</v>
      </c>
      <c r="G20" s="19">
        <v>50</v>
      </c>
      <c r="I20" s="20">
        <f>IF(OR(ISBLANK(S20),ISBLANK(G20)),"·",S20*G20/F20/1000000)</f>
        <v>4.8312591999999999</v>
      </c>
      <c r="J20" s="21">
        <f>IF(ISBLANK(S20),"·",S20/D20)</f>
        <v>9.6392726770259007E-2</v>
      </c>
      <c r="K20" s="21">
        <f t="shared" si="0"/>
        <v>5.7859923092427532E-2</v>
      </c>
      <c r="L20" s="21">
        <f>IF(T20="","·",T20/D20)</f>
        <v>2.9198226607848671E-2</v>
      </c>
      <c r="M20" s="21">
        <f>IF(ISBLANK(V20),"·",V20/D20)</f>
        <v>3.8532803677831476E-2</v>
      </c>
      <c r="N20" s="18">
        <f>IF(OR(ISBLANK(T20),ISBLANK(U20)),"",T20+U20)</f>
        <v>14499864</v>
      </c>
      <c r="O20" s="21">
        <v>16</v>
      </c>
      <c r="P20" s="22">
        <v>233912910</v>
      </c>
      <c r="Q20" s="22">
        <v>935651.64</v>
      </c>
      <c r="R20" s="22">
        <v>27733.488000000001</v>
      </c>
      <c r="S20" s="23">
        <v>24156296</v>
      </c>
      <c r="T20" s="23">
        <v>7317160</v>
      </c>
      <c r="U20" s="23">
        <v>7182704</v>
      </c>
      <c r="V20" s="23">
        <v>9656432</v>
      </c>
      <c r="W20" s="24">
        <v>67.265048399999998</v>
      </c>
      <c r="X20" s="24">
        <v>69.083568400000004</v>
      </c>
      <c r="Y20" s="24">
        <v>31.087987200000001</v>
      </c>
      <c r="Z20" s="24">
        <v>40.296405200000002</v>
      </c>
      <c r="AA20" s="24">
        <v>39.077879199999998</v>
      </c>
      <c r="AB20" s="25">
        <v>35199.599999999999</v>
      </c>
      <c r="AC20" s="25">
        <v>15306.1</v>
      </c>
      <c r="AD20" s="25">
        <v>533.71799999999996</v>
      </c>
      <c r="AE20" s="25">
        <v>245.40600000000001</v>
      </c>
      <c r="AG20" s="20" t="str">
        <f>IF(OR(ISBLANK(AQ20),ISBLANK(G20)),"·",AQ20*G20/F20/1000000)</f>
        <v>·</v>
      </c>
      <c r="AH20" s="21" t="str">
        <f>IF(ISBLANK(AQ20),"·",AQ20/D20)</f>
        <v>·</v>
      </c>
      <c r="AI20" s="21" t="str">
        <f t="shared" si="1"/>
        <v>·</v>
      </c>
      <c r="AJ20" s="21" t="str">
        <f>IF(AR20="","·",AR20/D20)</f>
        <v>·</v>
      </c>
      <c r="AK20" s="21" t="str">
        <f>IF(ISBLANK(AT20),"·",AT20/D20)</f>
        <v>·</v>
      </c>
      <c r="AL20" s="18" t="str">
        <f>IF(OR(ISBLANK(AR20),ISBLANK(AS20)),"",AR20+AS20)</f>
        <v/>
      </c>
      <c r="AM20" s="21">
        <v>16</v>
      </c>
      <c r="AN20" s="22"/>
      <c r="AO20" s="22"/>
      <c r="AP20" s="22"/>
      <c r="AQ20" s="23"/>
      <c r="AR20" s="23"/>
      <c r="AS20" s="23"/>
      <c r="AT20" s="23"/>
      <c r="AU20" s="24"/>
      <c r="AV20" s="24"/>
      <c r="AW20" s="24"/>
      <c r="AX20" s="24"/>
      <c r="AY20" s="24"/>
      <c r="AZ20" s="25"/>
      <c r="BA20" s="25"/>
      <c r="BB20" s="25"/>
      <c r="BC20" s="25"/>
      <c r="BE20" s="50" t="e">
        <f t="shared" si="2"/>
        <v>#VALUE!</v>
      </c>
      <c r="BF20" s="26" t="e">
        <f>(AP20/AO20) - (R20/Q20)</f>
        <v>#DIV/0!</v>
      </c>
      <c r="BG20" s="26" t="e">
        <f>(AL20/AQ20) - (N20/S20)</f>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3">
      <c r="A21" s="54"/>
      <c r="B21" s="54" t="s">
        <v>68</v>
      </c>
      <c r="C21" s="10" t="s">
        <v>231</v>
      </c>
      <c r="D21" s="54">
        <v>250602891</v>
      </c>
      <c r="E21" s="10">
        <v>10</v>
      </c>
      <c r="F21" s="10">
        <v>250</v>
      </c>
      <c r="G21" s="10">
        <v>50</v>
      </c>
      <c r="I21" s="11">
        <f>IF(OR(ISBLANK(S21),ISBLANK(G21)),"·",S21*G21/F21/1000000)</f>
        <v>7.1202032000000006</v>
      </c>
      <c r="J21" s="12">
        <f>IF(ISBLANK(S21),"·",S21/D21)</f>
        <v>0.14206147366432417</v>
      </c>
      <c r="K21" s="12">
        <f t="shared" si="0"/>
        <v>6.8871990786411152E-2</v>
      </c>
      <c r="L21" s="12">
        <f>IF(T21="","·",T21/D21)</f>
        <v>4.0210294301832296E-2</v>
      </c>
      <c r="M21" s="12">
        <f>IF(ISBLANK(V21),"·",V21/D21)</f>
        <v>7.3189482877913006E-2</v>
      </c>
      <c r="N21" s="54">
        <f>IF(OR(ISBLANK(T21),ISBLANK(U21)),"",T21+U21)</f>
        <v>17259520</v>
      </c>
      <c r="O21" s="12">
        <v>16</v>
      </c>
      <c r="P21" s="13">
        <v>243598892</v>
      </c>
      <c r="Q21" s="13">
        <v>974395.56799999997</v>
      </c>
      <c r="R21" s="13">
        <v>33172.135999999999</v>
      </c>
      <c r="S21" s="14">
        <v>35601016</v>
      </c>
      <c r="T21" s="14">
        <v>10076816</v>
      </c>
      <c r="U21" s="14">
        <v>7182704</v>
      </c>
      <c r="V21" s="14">
        <v>18341496</v>
      </c>
      <c r="W21" s="15">
        <v>68.859277599999999</v>
      </c>
      <c r="X21" s="15">
        <v>71.013437600000003</v>
      </c>
      <c r="Y21" s="15">
        <v>32.850496800000002</v>
      </c>
      <c r="Z21" s="15">
        <v>41.473146800000002</v>
      </c>
      <c r="AA21" s="15">
        <v>40.391191999999997</v>
      </c>
      <c r="AB21" s="16">
        <v>34966</v>
      </c>
      <c r="AC21" s="16">
        <v>16172.4</v>
      </c>
      <c r="AD21" s="16">
        <v>553.83399999999995</v>
      </c>
      <c r="AE21" s="16">
        <v>251.62899999999999</v>
      </c>
      <c r="AG21" s="11" t="str">
        <f>IF(OR(ISBLANK(AQ21),ISBLANK(G21)),"·",AQ21*G21/F21/1000000)</f>
        <v>·</v>
      </c>
      <c r="AH21" s="12" t="str">
        <f>IF(ISBLANK(AQ21),"·",AQ21/D21)</f>
        <v>·</v>
      </c>
      <c r="AI21" s="12" t="str">
        <f t="shared" si="1"/>
        <v>·</v>
      </c>
      <c r="AJ21" s="12" t="str">
        <f>IF(AR21="","·",AR21/D21)</f>
        <v>·</v>
      </c>
      <c r="AK21" s="12" t="str">
        <f>IF(ISBLANK(AT21),"·",AT21/D21)</f>
        <v>·</v>
      </c>
      <c r="AL21" s="54" t="str">
        <f>IF(OR(ISBLANK(AR21),ISBLANK(AS21)),"",AR21+AS21)</f>
        <v/>
      </c>
      <c r="AM21" s="12">
        <v>16</v>
      </c>
      <c r="AN21" s="13"/>
      <c r="AO21" s="13"/>
      <c r="AP21" s="13"/>
      <c r="AQ21" s="14"/>
      <c r="AR21" s="14"/>
      <c r="AS21" s="14"/>
      <c r="AT21" s="14"/>
      <c r="AU21" s="15"/>
      <c r="AV21" s="15"/>
      <c r="AW21" s="15"/>
      <c r="AX21" s="15"/>
      <c r="AY21" s="15"/>
      <c r="AZ21" s="16"/>
      <c r="BA21" s="16"/>
      <c r="BB21" s="16"/>
      <c r="BC21" s="16"/>
      <c r="BE21" s="51" t="e">
        <f t="shared" si="2"/>
        <v>#VALUE!</v>
      </c>
      <c r="BF21" s="17" t="e">
        <f>(AP21/AO21) - (R21/Q21)</f>
        <v>#DIV/0!</v>
      </c>
      <c r="BG21" s="17" t="e">
        <f>(AL21/AQ21) - (N21/S21)</f>
        <v>#VALUE!</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250</v>
      </c>
      <c r="G22" s="19">
        <v>50</v>
      </c>
      <c r="I22" s="20">
        <f>IF(OR(ISBLANK(S22),ISBLANK(G22)),"·",S22*G22/F22/1000000)</f>
        <v>11.5002736</v>
      </c>
      <c r="J22" s="21">
        <f>IF(ISBLANK(S22),"·",S22/D22)</f>
        <v>0.22945213349513993</v>
      </c>
      <c r="K22" s="21">
        <f t="shared" si="0"/>
        <v>8.5718755734545779E-2</v>
      </c>
      <c r="L22" s="21">
        <f>IF(T22="","·",T22/D22)</f>
        <v>5.7057059249966915E-2</v>
      </c>
      <c r="M22" s="21">
        <f>IF(ISBLANK(V22),"·",V22/D22)</f>
        <v>0.14373337776059414</v>
      </c>
      <c r="N22" s="18">
        <f>IF(OR(ISBLANK(T22),ISBLANK(U22)),"",T22+U22)</f>
        <v>21481368</v>
      </c>
      <c r="O22" s="21">
        <v>16</v>
      </c>
      <c r="P22" s="22">
        <v>254522160</v>
      </c>
      <c r="Q22" s="22">
        <v>1018088.64</v>
      </c>
      <c r="R22" s="22">
        <v>35582.472000000002</v>
      </c>
      <c r="S22" s="23">
        <v>57501368</v>
      </c>
      <c r="T22" s="23">
        <v>14298664</v>
      </c>
      <c r="U22" s="23">
        <v>7182704</v>
      </c>
      <c r="V22" s="23">
        <v>36020000</v>
      </c>
      <c r="W22" s="24">
        <v>70.041861600000004</v>
      </c>
      <c r="X22" s="24">
        <v>72.450412799999995</v>
      </c>
      <c r="Y22" s="24">
        <v>34.734970799999999</v>
      </c>
      <c r="Z22" s="24">
        <v>42.539732000000001</v>
      </c>
      <c r="AA22" s="24">
        <v>41.5218968</v>
      </c>
      <c r="AB22" s="25">
        <v>34835.9</v>
      </c>
      <c r="AC22" s="25">
        <v>17017.2</v>
      </c>
      <c r="AD22" s="25">
        <v>577.44600000000003</v>
      </c>
      <c r="AE22" s="25">
        <v>255.864</v>
      </c>
      <c r="AG22" s="20" t="str">
        <f>IF(OR(ISBLANK(AQ22),ISBLANK(G22)),"·",AQ22*G22/F22/1000000)</f>
        <v>·</v>
      </c>
      <c r="AH22" s="21" t="str">
        <f>IF(ISBLANK(AQ22),"·",AQ22/D22)</f>
        <v>·</v>
      </c>
      <c r="AI22" s="21" t="str">
        <f t="shared" si="1"/>
        <v>·</v>
      </c>
      <c r="AJ22" s="21" t="str">
        <f>IF(AR22="","·",AR22/D22)</f>
        <v>·</v>
      </c>
      <c r="AK22" s="21" t="str">
        <f>IF(ISBLANK(AT22),"·",AT22/D22)</f>
        <v>·</v>
      </c>
      <c r="AL22" s="18" t="str">
        <f>IF(OR(ISBLANK(AR22),ISBLANK(AS22)),"",AR22+AS22)</f>
        <v/>
      </c>
      <c r="AM22" s="21">
        <v>16</v>
      </c>
      <c r="AN22" s="22"/>
      <c r="AO22" s="22"/>
      <c r="AP22" s="22"/>
      <c r="AQ22" s="23"/>
      <c r="AR22" s="23"/>
      <c r="AS22" s="23"/>
      <c r="AT22" s="23"/>
      <c r="AU22" s="24"/>
      <c r="AV22" s="24"/>
      <c r="AW22" s="24"/>
      <c r="AX22" s="24"/>
      <c r="AY22" s="24"/>
      <c r="AZ22" s="25"/>
      <c r="BA22" s="25"/>
      <c r="BB22" s="25"/>
      <c r="BC22" s="25"/>
      <c r="BE22" s="50" t="e">
        <f t="shared" si="2"/>
        <v>#VALUE!</v>
      </c>
      <c r="BF22" s="26" t="e">
        <f>(AP22/AO22) - (R22/Q22)</f>
        <v>#DIV/0!</v>
      </c>
      <c r="BG22" s="26" t="e">
        <f>(AL22/AQ22) - (N22/S22)</f>
        <v>#VALUE!</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250</v>
      </c>
      <c r="G23" s="10">
        <v>50</v>
      </c>
      <c r="I23" s="11">
        <f>IF(OR(ISBLANK(S23),ISBLANK(G23)),"·",S23*G23/F23/1000000)</f>
        <v>20.228652799999999</v>
      </c>
      <c r="J23" s="12">
        <f>IF(ISBLANK(S23),"·",S23/D23)</f>
        <v>0.40359974937400062</v>
      </c>
      <c r="K23" s="12">
        <f t="shared" si="0"/>
        <v>0.11525029054832413</v>
      </c>
      <c r="L23" s="12">
        <f>IF(T23="","·",T23/D23)</f>
        <v>8.6588594063745264E-2</v>
      </c>
      <c r="M23" s="12">
        <f>IF(ISBLANK(V23),"·",V23/D23)</f>
        <v>0.28834945882567653</v>
      </c>
      <c r="N23" s="54">
        <f>IF(OR(ISBLANK(T23),ISBLANK(U23)),"",T23+U23)</f>
        <v>28882056</v>
      </c>
      <c r="O23" s="12">
        <v>16</v>
      </c>
      <c r="P23" s="13">
        <v>254709425</v>
      </c>
      <c r="Q23" s="13">
        <v>1018837.7</v>
      </c>
      <c r="R23" s="13">
        <v>37597.303999999996</v>
      </c>
      <c r="S23" s="14">
        <v>101143264</v>
      </c>
      <c r="T23" s="14">
        <v>21699352</v>
      </c>
      <c r="U23" s="14">
        <v>7182704</v>
      </c>
      <c r="V23" s="14">
        <v>72261208</v>
      </c>
      <c r="W23" s="15">
        <v>71.086374399999997</v>
      </c>
      <c r="X23" s="15">
        <v>73.828453199999998</v>
      </c>
      <c r="Y23" s="15">
        <v>36.217287200000001</v>
      </c>
      <c r="Z23" s="15">
        <v>43.851308000000003</v>
      </c>
      <c r="AA23" s="15">
        <v>42.746985199999997</v>
      </c>
      <c r="AB23" s="16">
        <v>34785.9</v>
      </c>
      <c r="AC23" s="16">
        <v>18368.400000000001</v>
      </c>
      <c r="AD23" s="16">
        <v>578.35699999999997</v>
      </c>
      <c r="AE23" s="16">
        <v>264.25200000000001</v>
      </c>
      <c r="AG23" s="11" t="str">
        <f>IF(OR(ISBLANK(AQ23),ISBLANK(G23)),"·",AQ23*G23/F23/1000000)</f>
        <v>·</v>
      </c>
      <c r="AH23" s="12" t="str">
        <f>IF(ISBLANK(AQ23),"·",AQ23/D23)</f>
        <v>·</v>
      </c>
      <c r="AI23" s="12" t="str">
        <f t="shared" si="1"/>
        <v>·</v>
      </c>
      <c r="AJ23" s="12" t="str">
        <f>IF(AR23="","·",AR23/D23)</f>
        <v>·</v>
      </c>
      <c r="AK23" s="12" t="str">
        <f>IF(ISBLANK(AT23),"·",AT23/D23)</f>
        <v>·</v>
      </c>
      <c r="AL23" s="54" t="str">
        <f>IF(OR(ISBLANK(AR23),ISBLANK(AS23)),"",AR23+AS23)</f>
        <v/>
      </c>
      <c r="AM23" s="12">
        <v>16</v>
      </c>
      <c r="AN23" s="13"/>
      <c r="AO23" s="13"/>
      <c r="AP23" s="13"/>
      <c r="AQ23" s="14"/>
      <c r="AR23" s="14"/>
      <c r="AS23" s="14"/>
      <c r="AT23" s="14"/>
      <c r="AU23" s="15"/>
      <c r="AV23" s="15"/>
      <c r="AW23" s="15"/>
      <c r="AX23" s="15"/>
      <c r="AY23" s="15"/>
      <c r="AZ23" s="16"/>
      <c r="BA23" s="16"/>
      <c r="BB23" s="16"/>
      <c r="BC23" s="16"/>
      <c r="BE23" s="51" t="e">
        <f t="shared" si="2"/>
        <v>#VALUE!</v>
      </c>
      <c r="BF23" s="17" t="e">
        <f>(AP23/AO23) - (R23/Q23)</f>
        <v>#DIV/0!</v>
      </c>
      <c r="BG23" s="17" t="e">
        <f>(AL23/AQ23) - (N23/S23)</f>
        <v>#VALUE!</v>
      </c>
      <c r="BH23" s="17"/>
      <c r="BJ23" s="51"/>
      <c r="BK23" s="51"/>
      <c r="BL23" s="51"/>
      <c r="BM23" s="51"/>
      <c r="BN23" s="51"/>
      <c r="BP23" s="51"/>
      <c r="BQ23" s="51"/>
      <c r="BR23" s="51"/>
      <c r="BS23" s="51"/>
      <c r="BT23" s="51"/>
    </row>
    <row r="24" spans="1:72" ht="15" outlineLevel="1" thickBot="1" x14ac:dyDescent="0.35">
      <c r="A24" s="37"/>
      <c r="B24" s="37" t="s">
        <v>68</v>
      </c>
      <c r="C24" s="38" t="s">
        <v>234</v>
      </c>
      <c r="D24" s="37">
        <v>250602891</v>
      </c>
      <c r="E24" s="38">
        <v>10</v>
      </c>
      <c r="F24" s="38">
        <v>250</v>
      </c>
      <c r="G24" s="38">
        <v>50</v>
      </c>
      <c r="I24" s="39">
        <f>IF(OR(ISBLANK(S24),ISBLANK(G24)),"·",S24*G24/F24/1000000)</f>
        <v>35.372094400000002</v>
      </c>
      <c r="J24" s="40">
        <f>IF(ISBLANK(S24),"·",S24/D24)</f>
        <v>0.70573995094094899</v>
      </c>
      <c r="K24" s="40">
        <f t="shared" si="0"/>
        <v>0.19119974158638098</v>
      </c>
      <c r="L24" s="40">
        <f>IF(T24="","·",T24/D24)</f>
        <v>0.13619389570410023</v>
      </c>
      <c r="M24" s="40">
        <f>IF(ISBLANK(V24),"·",V24/D24)</f>
        <v>0.51454020935456801</v>
      </c>
      <c r="N24" s="37">
        <f>IF(OR(ISBLANK(T24),ISBLANK(U24)),"",T24+U24)</f>
        <v>47915208</v>
      </c>
      <c r="O24" s="40">
        <v>16</v>
      </c>
      <c r="P24" s="41">
        <v>244491264</v>
      </c>
      <c r="Q24" s="41">
        <v>977965.05599999998</v>
      </c>
      <c r="R24" s="41">
        <v>18776.612000000001</v>
      </c>
      <c r="S24" s="42">
        <v>176860472</v>
      </c>
      <c r="T24" s="42">
        <v>34130584</v>
      </c>
      <c r="U24" s="42">
        <v>13784624</v>
      </c>
      <c r="V24" s="42">
        <v>128945264</v>
      </c>
      <c r="W24" s="43">
        <v>71.859961200000001</v>
      </c>
      <c r="X24" s="43">
        <v>75.795926399999999</v>
      </c>
      <c r="Y24" s="43">
        <v>37.320363200000003</v>
      </c>
      <c r="Z24" s="43">
        <v>44.964394400000003</v>
      </c>
      <c r="AA24" s="43">
        <v>43.600688400000003</v>
      </c>
      <c r="AB24" s="44">
        <v>34954.699999999997</v>
      </c>
      <c r="AC24" s="44">
        <v>20290.2</v>
      </c>
      <c r="AD24" s="44">
        <v>553.87400000000002</v>
      </c>
      <c r="AE24" s="44">
        <v>279.11200000000002</v>
      </c>
      <c r="AG24" s="39" t="str">
        <f>IF(OR(ISBLANK(AQ24),ISBLANK(G24)),"·",AQ24*G24/F24/1000000)</f>
        <v>·</v>
      </c>
      <c r="AH24" s="40" t="str">
        <f>IF(ISBLANK(AQ24),"·",AQ24/D24)</f>
        <v>·</v>
      </c>
      <c r="AI24" s="40" t="str">
        <f t="shared" si="1"/>
        <v>·</v>
      </c>
      <c r="AJ24" s="40" t="str">
        <f>IF(AR24="","·",AR24/D24)</f>
        <v>·</v>
      </c>
      <c r="AK24" s="40" t="str">
        <f>IF(ISBLANK(AT24),"·",AT24/D24)</f>
        <v>·</v>
      </c>
      <c r="AL24" s="37" t="str">
        <f>IF(OR(ISBLANK(AR24),ISBLANK(AS24)),"",AR24+AS24)</f>
        <v/>
      </c>
      <c r="AM24" s="40">
        <v>16</v>
      </c>
      <c r="AN24" s="41"/>
      <c r="AO24" s="41"/>
      <c r="AP24" s="41"/>
      <c r="AQ24" s="42"/>
      <c r="AR24" s="42"/>
      <c r="AS24" s="42"/>
      <c r="AT24" s="42"/>
      <c r="AU24" s="43"/>
      <c r="AV24" s="43"/>
      <c r="AW24" s="43"/>
      <c r="AX24" s="43"/>
      <c r="AY24" s="43"/>
      <c r="AZ24" s="44"/>
      <c r="BA24" s="44"/>
      <c r="BB24" s="44"/>
      <c r="BC24" s="44"/>
      <c r="BE24" s="45" t="e">
        <f t="shared" si="2"/>
        <v>#VALUE!</v>
      </c>
      <c r="BF24" s="46" t="e">
        <f>(AP24/AO24) - (R24/Q24)</f>
        <v>#DIV/0!</v>
      </c>
      <c r="BG24" s="46" t="e">
        <f>(AL24/AQ24) - (N24/S24)</f>
        <v>#VALUE!</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300</v>
      </c>
      <c r="G25" s="10">
        <v>30</v>
      </c>
      <c r="I25" s="11">
        <f>IF(OR(ISBLANK(S25),ISBLANK(G25)),"·",S25*G25/F25/1000000)</f>
        <v>4.6391720000000003</v>
      </c>
      <c r="J25" s="12">
        <f>IF(ISBLANK(S25),"·",S25/D25)</f>
        <v>0.18534847869779297</v>
      </c>
      <c r="K25" s="12">
        <f t="shared" si="0"/>
        <v>6.3901375220339368E-2</v>
      </c>
      <c r="L25" s="12">
        <f>IF(T25="","·",T25/D25)</f>
        <v>3.6544586490489833E-2</v>
      </c>
      <c r="M25" s="12">
        <f>IF(ISBLANK(V25),"·",V25/D25)</f>
        <v>0.12144710347745362</v>
      </c>
      <c r="N25" s="54">
        <f>IF(OR(ISBLANK(T25),ISBLANK(U25)),"",T25+U25)</f>
        <v>15994168</v>
      </c>
      <c r="O25" s="12">
        <v>16</v>
      </c>
      <c r="P25" s="13">
        <v>229868535</v>
      </c>
      <c r="Q25" s="13">
        <v>766228.45</v>
      </c>
      <c r="R25" s="13">
        <v>15692.583333333299</v>
      </c>
      <c r="S25" s="14">
        <v>46391720</v>
      </c>
      <c r="T25" s="14">
        <v>9146912</v>
      </c>
      <c r="U25" s="14">
        <v>6847256</v>
      </c>
      <c r="V25" s="14">
        <v>30397552</v>
      </c>
      <c r="W25" s="15">
        <v>66.290462666666699</v>
      </c>
      <c r="X25" s="15">
        <v>68.083682666666704</v>
      </c>
      <c r="Y25" s="15">
        <v>27.282872000000001</v>
      </c>
      <c r="Z25" s="15">
        <v>33.1026666666666</v>
      </c>
      <c r="AA25" s="15">
        <v>32.534654000000003</v>
      </c>
      <c r="AB25" s="16">
        <v>15072.2</v>
      </c>
      <c r="AC25" s="16">
        <v>16414.099999999999</v>
      </c>
      <c r="AD25" s="16">
        <v>512.303</v>
      </c>
      <c r="AE25" s="16">
        <v>272.154</v>
      </c>
      <c r="AG25" s="11" t="str">
        <f>IF(OR(ISBLANK(AQ25),ISBLANK(G25)),"·",AQ25*G25/F25/1000000)</f>
        <v>·</v>
      </c>
      <c r="AH25" s="12" t="str">
        <f>IF(ISBLANK(AQ25),"·",AQ25/D25)</f>
        <v>·</v>
      </c>
      <c r="AI25" s="12" t="str">
        <f t="shared" si="1"/>
        <v>·</v>
      </c>
      <c r="AJ25" s="12" t="str">
        <f>IF(AR25="","·",AR25/D25)</f>
        <v>·</v>
      </c>
      <c r="AK25" s="12" t="str">
        <f>IF(ISBLANK(AT25),"·",AT25/D25)</f>
        <v>·</v>
      </c>
      <c r="AL25" s="54" t="str">
        <f>IF(OR(ISBLANK(AR25),ISBLANK(AS25)),"",AR25+AS25)</f>
        <v/>
      </c>
      <c r="AM25" s="12">
        <v>16</v>
      </c>
      <c r="AN25" s="13"/>
      <c r="AO25" s="13"/>
      <c r="AP25" s="13"/>
      <c r="AQ25" s="14"/>
      <c r="AR25" s="14"/>
      <c r="AS25" s="14"/>
      <c r="AT25" s="14"/>
      <c r="AU25" s="15"/>
      <c r="AV25" s="15"/>
      <c r="AW25" s="15"/>
      <c r="AX25" s="15"/>
      <c r="AY25" s="15"/>
      <c r="AZ25" s="16"/>
      <c r="BA25" s="16"/>
      <c r="BB25" s="16"/>
      <c r="BC25" s="16"/>
      <c r="BE25" s="51" t="e">
        <f t="shared" si="2"/>
        <v>#VALUE!</v>
      </c>
      <c r="BF25" s="17" t="e">
        <f>(AP25/AO25) - (R25/Q25)</f>
        <v>#DIV/0!</v>
      </c>
      <c r="BG25" s="17" t="e">
        <f>(AL25/AQ25) - (N25/S25)</f>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300</v>
      </c>
      <c r="G26" s="19">
        <v>30</v>
      </c>
      <c r="I26" s="20">
        <f>IF(OR(ISBLANK(S26),ISBLANK(G26)),"·",S26*G26/F26/1000000)</f>
        <v>7.9718999999999998</v>
      </c>
      <c r="J26" s="21">
        <f>IF(ISBLANK(S26),"·",S26/D26)</f>
        <v>0.31850070170516115</v>
      </c>
      <c r="K26" s="21">
        <f t="shared" si="0"/>
        <v>7.8930929475732714E-2</v>
      </c>
      <c r="L26" s="21">
        <f>IF(T26="","·",T26/D26)</f>
        <v>5.1574140745883186E-2</v>
      </c>
      <c r="M26" s="21">
        <f>IF(ISBLANK(V26),"·",V26/D26)</f>
        <v>0.23956977222942843</v>
      </c>
      <c r="N26" s="18">
        <f>IF(OR(ISBLANK(T26),ISBLANK(U26)),"",T26+U26)</f>
        <v>19755984</v>
      </c>
      <c r="O26" s="21">
        <v>16</v>
      </c>
      <c r="P26" s="22">
        <v>243598891</v>
      </c>
      <c r="Q26" s="22">
        <v>811996.30333333299</v>
      </c>
      <c r="R26" s="22">
        <v>19489.3</v>
      </c>
      <c r="S26" s="23">
        <v>79719000</v>
      </c>
      <c r="T26" s="23">
        <v>12908728</v>
      </c>
      <c r="U26" s="23">
        <v>6847256</v>
      </c>
      <c r="V26" s="23">
        <v>59963016</v>
      </c>
      <c r="W26" s="24">
        <v>68.005527000000001</v>
      </c>
      <c r="X26" s="24">
        <v>70.039568000000003</v>
      </c>
      <c r="Y26" s="24">
        <v>29.6744353333333</v>
      </c>
      <c r="Z26" s="24">
        <v>34.266967666666702</v>
      </c>
      <c r="AA26" s="24">
        <v>33.8504096666667</v>
      </c>
      <c r="AB26" s="25">
        <v>15028.9</v>
      </c>
      <c r="AC26" s="25">
        <v>17277.3</v>
      </c>
      <c r="AD26" s="25">
        <v>538.625</v>
      </c>
      <c r="AE26" s="25">
        <v>266.57799999999997</v>
      </c>
      <c r="AG26" s="20" t="str">
        <f>IF(OR(ISBLANK(AQ26),ISBLANK(G26)),"·",AQ26*G26/F26/1000000)</f>
        <v>·</v>
      </c>
      <c r="AH26" s="21" t="str">
        <f>IF(ISBLANK(AQ26),"·",AQ26/D26)</f>
        <v>·</v>
      </c>
      <c r="AI26" s="21" t="str">
        <f t="shared" si="1"/>
        <v>·</v>
      </c>
      <c r="AJ26" s="21" t="str">
        <f>IF(AR26="","·",AR26/D26)</f>
        <v>·</v>
      </c>
      <c r="AK26" s="21" t="str">
        <f>IF(ISBLANK(AT26),"·",AT26/D26)</f>
        <v>·</v>
      </c>
      <c r="AL26" s="18" t="str">
        <f>IF(OR(ISBLANK(AR26),ISBLANK(AS26)),"",AR26+AS26)</f>
        <v/>
      </c>
      <c r="AM26" s="21">
        <v>16</v>
      </c>
      <c r="AN26" s="22"/>
      <c r="AO26" s="22"/>
      <c r="AP26" s="22"/>
      <c r="AQ26" s="23"/>
      <c r="AR26" s="23"/>
      <c r="AS26" s="23"/>
      <c r="AT26" s="23"/>
      <c r="AU26" s="24"/>
      <c r="AV26" s="24"/>
      <c r="AW26" s="24"/>
      <c r="AX26" s="24"/>
      <c r="AY26" s="24"/>
      <c r="AZ26" s="25"/>
      <c r="BA26" s="25"/>
      <c r="BB26" s="25"/>
      <c r="BC26" s="25"/>
      <c r="BE26" s="50" t="e">
        <f t="shared" si="2"/>
        <v>#VALUE!</v>
      </c>
      <c r="BF26" s="26" t="e">
        <f>(AP26/AO26) - (R26/Q26)</f>
        <v>#DIV/0!</v>
      </c>
      <c r="BG26" s="26" t="e">
        <f>(AL26/AQ26) - (N26/S26)</f>
        <v>#VALUE!</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300</v>
      </c>
      <c r="G27" s="10">
        <v>30</v>
      </c>
      <c r="I27" s="11">
        <f>IF(OR(ISBLANK(S27),ISBLANK(G27)),"·",S27*G27/F27/1000000)</f>
        <v>14.0482408</v>
      </c>
      <c r="J27" s="12">
        <f>IF(ISBLANK(S27),"·",S27/D27)</f>
        <v>0.56126827387737865</v>
      </c>
      <c r="K27" s="12">
        <f t="shared" si="0"/>
        <v>0.10163186033327722</v>
      </c>
      <c r="L27" s="12">
        <f>IF(T27="","·",T27/D27)</f>
        <v>7.4275071603427681E-2</v>
      </c>
      <c r="M27" s="12">
        <f>IF(ISBLANK(V27),"·",V27/D27)</f>
        <v>0.4596364135441014</v>
      </c>
      <c r="N27" s="54">
        <f>IF(OR(ISBLANK(T27),ISBLANK(U27)),"",T27+U27)</f>
        <v>25437904</v>
      </c>
      <c r="O27" s="12">
        <v>16</v>
      </c>
      <c r="P27" s="13">
        <v>246298785</v>
      </c>
      <c r="Q27" s="13">
        <v>820995.95</v>
      </c>
      <c r="R27" s="13">
        <v>20455.656666666699</v>
      </c>
      <c r="S27" s="14">
        <v>140482408</v>
      </c>
      <c r="T27" s="14">
        <v>18590648</v>
      </c>
      <c r="U27" s="14">
        <v>6847256</v>
      </c>
      <c r="V27" s="14">
        <v>115044504</v>
      </c>
      <c r="W27" s="15">
        <v>69.314347333333302</v>
      </c>
      <c r="X27" s="15">
        <v>71.731666666666598</v>
      </c>
      <c r="Y27" s="15">
        <v>32.1860316666667</v>
      </c>
      <c r="Z27" s="15">
        <v>35.538375666666603</v>
      </c>
      <c r="AA27" s="15">
        <v>35.187346666666699</v>
      </c>
      <c r="AB27" s="16">
        <v>15099.1</v>
      </c>
      <c r="AC27" s="16">
        <v>18588.599999999999</v>
      </c>
      <c r="AD27" s="16">
        <v>548.20699999999999</v>
      </c>
      <c r="AE27" s="16">
        <v>292.02100000000002</v>
      </c>
      <c r="AG27" s="11" t="str">
        <f>IF(OR(ISBLANK(AQ27),ISBLANK(G27)),"·",AQ27*G27/F27/1000000)</f>
        <v>·</v>
      </c>
      <c r="AH27" s="12" t="str">
        <f>IF(ISBLANK(AQ27),"·",AQ27/D27)</f>
        <v>·</v>
      </c>
      <c r="AI27" s="12" t="str">
        <f t="shared" si="1"/>
        <v>·</v>
      </c>
      <c r="AJ27" s="12" t="str">
        <f>IF(AR27="","·",AR27/D27)</f>
        <v>·</v>
      </c>
      <c r="AK27" s="12" t="str">
        <f>IF(ISBLANK(AT27),"·",AT27/D27)</f>
        <v>·</v>
      </c>
      <c r="AL27" s="54" t="str">
        <f>IF(OR(ISBLANK(AR27),ISBLANK(AS27)),"",AR27+AS27)</f>
        <v/>
      </c>
      <c r="AM27" s="12">
        <v>16</v>
      </c>
      <c r="AN27" s="13"/>
      <c r="AO27" s="13"/>
      <c r="AP27" s="13"/>
      <c r="AQ27" s="14"/>
      <c r="AR27" s="14"/>
      <c r="AS27" s="14"/>
      <c r="AT27" s="14"/>
      <c r="AU27" s="15"/>
      <c r="AV27" s="15"/>
      <c r="AW27" s="15"/>
      <c r="AX27" s="15"/>
      <c r="AY27" s="15"/>
      <c r="AZ27" s="16"/>
      <c r="BA27" s="16"/>
      <c r="BB27" s="16"/>
      <c r="BC27" s="16"/>
      <c r="BE27" s="51" t="e">
        <f t="shared" si="2"/>
        <v>#VALUE!</v>
      </c>
      <c r="BF27" s="17" t="e">
        <f>(AP27/AO27) - (R27/Q27)</f>
        <v>#DIV/0!</v>
      </c>
      <c r="BG27" s="17" t="e">
        <f>(AL27/AQ27) - (N27/S27)</f>
        <v>#VALUE!</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300</v>
      </c>
      <c r="G28" s="19">
        <v>30</v>
      </c>
      <c r="I28" s="20">
        <f>IF(OR(ISBLANK(S28),ISBLANK(G28)),"·",S28*G28/F28/1000000)</f>
        <v>25.973819199999998</v>
      </c>
      <c r="J28" s="21">
        <f>IF(ISBLANK(S28),"·",S28/D28)</f>
        <v>1.0377299817061163</v>
      </c>
      <c r="K28" s="21">
        <f t="shared" si="0"/>
        <v>0.13939692869580372</v>
      </c>
      <c r="L28" s="21">
        <f>IF(T28="","·",T28/D28)</f>
        <v>0.1120401399659542</v>
      </c>
      <c r="M28" s="21">
        <f>IF(ISBLANK(V28),"·",V28/D28)</f>
        <v>0.89833305301031241</v>
      </c>
      <c r="N28" s="18">
        <f>IF(OR(ISBLANK(T28),ISBLANK(U28)),"",T28+U28)</f>
        <v>34890296</v>
      </c>
      <c r="O28" s="21">
        <v>16</v>
      </c>
      <c r="P28" s="22">
        <v>253016684</v>
      </c>
      <c r="Q28" s="22">
        <v>843388.94666666701</v>
      </c>
      <c r="R28" s="22">
        <v>22933.3</v>
      </c>
      <c r="S28" s="23">
        <v>259738192</v>
      </c>
      <c r="T28" s="23">
        <v>28043040</v>
      </c>
      <c r="U28" s="23">
        <v>6847256</v>
      </c>
      <c r="V28" s="23">
        <v>224847896</v>
      </c>
      <c r="W28" s="24">
        <v>70.456214000000102</v>
      </c>
      <c r="X28" s="24">
        <v>73.021119666666706</v>
      </c>
      <c r="Y28" s="24">
        <v>34.865637</v>
      </c>
      <c r="Z28" s="24">
        <v>37.363936666666703</v>
      </c>
      <c r="AA28" s="24">
        <v>36.934083666666702</v>
      </c>
      <c r="AB28" s="25">
        <v>15046.2</v>
      </c>
      <c r="AC28" s="25">
        <v>20972.5</v>
      </c>
      <c r="AD28" s="25">
        <v>560.54200000000003</v>
      </c>
      <c r="AE28" s="25">
        <v>301.76600000000002</v>
      </c>
      <c r="AG28" s="20" t="str">
        <f>IF(OR(ISBLANK(AQ28),ISBLANK(G28)),"·",AQ28*G28/F28/1000000)</f>
        <v>·</v>
      </c>
      <c r="AH28" s="21" t="str">
        <f>IF(ISBLANK(AQ28),"·",AQ28/D28)</f>
        <v>·</v>
      </c>
      <c r="AI28" s="21" t="str">
        <f t="shared" si="1"/>
        <v>·</v>
      </c>
      <c r="AJ28" s="21" t="str">
        <f>IF(AR28="","·",AR28/D28)</f>
        <v>·</v>
      </c>
      <c r="AK28" s="21" t="str">
        <f>IF(ISBLANK(AT28),"·",AT28/D28)</f>
        <v>·</v>
      </c>
      <c r="AL28" s="18" t="str">
        <f>IF(OR(ISBLANK(AR28),ISBLANK(AS28)),"",AR28+AS28)</f>
        <v/>
      </c>
      <c r="AM28" s="21">
        <v>16</v>
      </c>
      <c r="AN28" s="22"/>
      <c r="AO28" s="22"/>
      <c r="AP28" s="22"/>
      <c r="AQ28" s="23"/>
      <c r="AR28" s="23"/>
      <c r="AS28" s="23"/>
      <c r="AT28" s="23"/>
      <c r="AU28" s="24"/>
      <c r="AV28" s="24"/>
      <c r="AW28" s="24"/>
      <c r="AX28" s="24"/>
      <c r="AY28" s="24"/>
      <c r="AZ28" s="25"/>
      <c r="BA28" s="25"/>
      <c r="BB28" s="25"/>
      <c r="BC28" s="25"/>
      <c r="BE28" s="50" t="e">
        <f t="shared" si="2"/>
        <v>#VALUE!</v>
      </c>
      <c r="BF28" s="26" t="e">
        <f>(AP28/AO28) - (R28/Q28)</f>
        <v>#DIV/0!</v>
      </c>
      <c r="BG28" s="26" t="e">
        <f>(AL28/AQ28) - (N28/S28)</f>
        <v>#VALUE!</v>
      </c>
      <c r="BH28" s="26"/>
      <c r="BJ28" s="50"/>
      <c r="BK28" s="50"/>
      <c r="BL28" s="50"/>
      <c r="BM28" s="50"/>
      <c r="BN28" s="50"/>
      <c r="BP28" s="50"/>
      <c r="BQ28" s="50"/>
      <c r="BR28" s="50"/>
      <c r="BS28" s="50"/>
      <c r="BT28" s="50"/>
    </row>
    <row r="29" spans="1:72" ht="15" outlineLevel="1" thickBot="1" x14ac:dyDescent="0.35">
      <c r="A29" s="27"/>
      <c r="B29" s="27" t="s">
        <v>71</v>
      </c>
      <c r="C29" s="28" t="s">
        <v>234</v>
      </c>
      <c r="D29" s="27">
        <v>250294582</v>
      </c>
      <c r="E29" s="28">
        <v>10</v>
      </c>
      <c r="F29" s="28">
        <v>300</v>
      </c>
      <c r="G29" s="28">
        <v>30</v>
      </c>
      <c r="I29" s="29">
        <f>IF(OR(ISBLANK(S29),ISBLANK(G29)),"·",S29*G29/F29/1000000)</f>
        <v>46.773592000000001</v>
      </c>
      <c r="J29" s="30">
        <f>IF(ISBLANK(S29),"·",S29/D29)</f>
        <v>1.8687416893426803</v>
      </c>
      <c r="K29" s="30">
        <f t="shared" si="0"/>
        <v>0.22565947512199844</v>
      </c>
      <c r="L29" s="30">
        <f>IF(T29="","·",T29/D29)</f>
        <v>0.17322864783385522</v>
      </c>
      <c r="M29" s="30">
        <f>IF(ISBLANK(V29),"·",V29/D29)</f>
        <v>1.6430822142206818</v>
      </c>
      <c r="N29" s="27">
        <f>IF(OR(ISBLANK(T29),ISBLANK(U29)),"",T29+U29)</f>
        <v>56481344</v>
      </c>
      <c r="O29" s="30">
        <v>16</v>
      </c>
      <c r="P29" s="31">
        <v>243471533</v>
      </c>
      <c r="Q29" s="31">
        <v>811571.77666666696</v>
      </c>
      <c r="R29" s="31">
        <v>10616.586666666701</v>
      </c>
      <c r="S29" s="32">
        <v>467735920</v>
      </c>
      <c r="T29" s="32">
        <v>43358192</v>
      </c>
      <c r="U29" s="32">
        <v>13123152</v>
      </c>
      <c r="V29" s="32">
        <v>411254576</v>
      </c>
      <c r="W29" s="33">
        <v>71.196085666666704</v>
      </c>
      <c r="X29" s="33">
        <v>74.950534666666599</v>
      </c>
      <c r="Y29" s="33">
        <v>37.2875606666667</v>
      </c>
      <c r="Z29" s="33">
        <v>39.4105286666667</v>
      </c>
      <c r="AA29" s="33">
        <v>38.764485999999998</v>
      </c>
      <c r="AB29" s="34">
        <v>15161.7</v>
      </c>
      <c r="AC29" s="34">
        <v>24365.1</v>
      </c>
      <c r="AD29" s="34">
        <v>539.92600000000004</v>
      </c>
      <c r="AE29" s="34">
        <v>314.83699999999999</v>
      </c>
      <c r="AG29" s="29" t="str">
        <f>IF(OR(ISBLANK(AQ29),ISBLANK(G29)),"·",AQ29*G29/F29/1000000)</f>
        <v>·</v>
      </c>
      <c r="AH29" s="30" t="str">
        <f>IF(ISBLANK(AQ29),"·",AQ29/D29)</f>
        <v>·</v>
      </c>
      <c r="AI29" s="30" t="str">
        <f t="shared" si="1"/>
        <v>·</v>
      </c>
      <c r="AJ29" s="30" t="str">
        <f>IF(AR29="","·",AR29/D29)</f>
        <v>·</v>
      </c>
      <c r="AK29" s="30" t="str">
        <f>IF(ISBLANK(AT29),"·",AT29/D29)</f>
        <v>·</v>
      </c>
      <c r="AL29" s="27" t="str">
        <f>IF(OR(ISBLANK(AR29),ISBLANK(AS29)),"",AR29+AS29)</f>
        <v/>
      </c>
      <c r="AM29" s="30">
        <v>16</v>
      </c>
      <c r="AN29" s="31"/>
      <c r="AO29" s="31"/>
      <c r="AP29" s="31"/>
      <c r="AQ29" s="32"/>
      <c r="AR29" s="32"/>
      <c r="AS29" s="32"/>
      <c r="AT29" s="32"/>
      <c r="AU29" s="33"/>
      <c r="AV29" s="33"/>
      <c r="AW29" s="33"/>
      <c r="AX29" s="33"/>
      <c r="AY29" s="33"/>
      <c r="AZ29" s="34"/>
      <c r="BA29" s="34"/>
      <c r="BB29" s="34"/>
      <c r="BC29" s="34"/>
      <c r="BE29" s="35" t="e">
        <f t="shared" si="2"/>
        <v>#VALUE!</v>
      </c>
      <c r="BF29" s="36" t="e">
        <f>(AP29/AO29) - (R29/Q29)</f>
        <v>#DIV/0!</v>
      </c>
      <c r="BG29" s="36" t="e">
        <f>(AL29/AQ29) - (N29/S29)</f>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128</v>
      </c>
      <c r="G30" s="19">
        <v>30</v>
      </c>
      <c r="I30" s="20">
        <f>IF(OR(ISBLANK(S30),ISBLANK(G30)),"·",S30*G30/F30/1000000)</f>
        <v>2.9266274999999999</v>
      </c>
      <c r="J30" s="21">
        <f>IF(ISBLANK(S30),"·",S30/D30)</f>
        <v>3.3261039769378366E-2</v>
      </c>
      <c r="K30" s="21">
        <f t="shared" si="0"/>
        <v>2.0318716133343288E-2</v>
      </c>
      <c r="L30" s="21">
        <f>IF(T30="","·",T30/D30)</f>
        <v>1.2668051344674327E-2</v>
      </c>
      <c r="M30" s="21">
        <f>IF(ISBLANK(V30),"·",V30/D30)</f>
        <v>1.2942323636035076E-2</v>
      </c>
      <c r="N30" s="18">
        <f>IF(OR(ISBLANK(T30),ISBLANK(U30)),"",T30+U30)</f>
        <v>7628104</v>
      </c>
      <c r="O30" s="21">
        <v>16</v>
      </c>
      <c r="P30" s="22">
        <v>169180132</v>
      </c>
      <c r="Q30" s="22">
        <v>2643439.5625</v>
      </c>
      <c r="R30" s="22">
        <v>32386.1875</v>
      </c>
      <c r="S30" s="23">
        <v>12486944</v>
      </c>
      <c r="T30" s="23">
        <v>4755872</v>
      </c>
      <c r="U30" s="23">
        <v>2872232</v>
      </c>
      <c r="V30" s="23">
        <v>4858840</v>
      </c>
      <c r="W30" s="24">
        <v>73.425825000000003</v>
      </c>
      <c r="X30" s="24">
        <v>75.7108109375</v>
      </c>
      <c r="Y30" s="24">
        <v>34.771393750000001</v>
      </c>
      <c r="Z30" s="24">
        <v>42.271803124999998</v>
      </c>
      <c r="AA30" s="24">
        <v>43.839759375</v>
      </c>
      <c r="AB30" s="25">
        <v>6916.32</v>
      </c>
      <c r="AC30" s="25">
        <v>11308.7</v>
      </c>
      <c r="AD30" s="25">
        <v>387.12200000000001</v>
      </c>
      <c r="AE30" s="25">
        <v>187.68899999999999</v>
      </c>
      <c r="AG30" s="20" t="str">
        <f>IF(OR(ISBLANK(AQ30),ISBLANK(G30)),"·",AQ30*G30/F30/1000000)</f>
        <v>·</v>
      </c>
      <c r="AH30" s="21" t="str">
        <f>IF(ISBLANK(AQ30),"·",AQ30/D30)</f>
        <v>·</v>
      </c>
      <c r="AI30" s="21" t="str">
        <f t="shared" si="1"/>
        <v>·</v>
      </c>
      <c r="AJ30" s="21" t="str">
        <f>IF(AR30="","·",AR30/D30)</f>
        <v>·</v>
      </c>
      <c r="AK30" s="21" t="str">
        <f>IF(ISBLANK(AT30),"·",AT30/D30)</f>
        <v>·</v>
      </c>
      <c r="AL30" s="18" t="str">
        <f>IF(OR(ISBLANK(AR30),ISBLANK(AS30)),"",AR30+AS30)</f>
        <v/>
      </c>
      <c r="AM30" s="21">
        <v>16</v>
      </c>
      <c r="AN30" s="22"/>
      <c r="AO30" s="22"/>
      <c r="AP30" s="22"/>
      <c r="AQ30" s="23"/>
      <c r="AR30" s="23"/>
      <c r="AS30" s="23"/>
      <c r="AT30" s="23"/>
      <c r="AU30" s="24"/>
      <c r="AV30" s="24"/>
      <c r="AW30" s="24"/>
      <c r="AX30" s="24"/>
      <c r="AY30" s="24"/>
      <c r="AZ30" s="25"/>
      <c r="BA30" s="25"/>
      <c r="BB30" s="25"/>
      <c r="BC30" s="25"/>
      <c r="BE30" s="50" t="e">
        <f t="shared" si="2"/>
        <v>#VALUE!</v>
      </c>
      <c r="BF30" s="26" t="e">
        <f>(AP30/AO30) - (R30/Q30)</f>
        <v>#DIV/0!</v>
      </c>
      <c r="BG30" s="26" t="e">
        <f>(AL30/AQ30) - (N30/S30)</f>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3">
      <c r="A31" s="54"/>
      <c r="B31" s="54" t="s">
        <v>75</v>
      </c>
      <c r="C31" s="10" t="s">
        <v>231</v>
      </c>
      <c r="D31" s="54">
        <v>375422539</v>
      </c>
      <c r="E31" s="10">
        <v>11</v>
      </c>
      <c r="F31" s="10">
        <v>128</v>
      </c>
      <c r="G31" s="10">
        <v>30</v>
      </c>
      <c r="I31" s="11">
        <f>IF(OR(ISBLANK(S31),ISBLANK(G31)),"·",S31*G31/F31/1000000)</f>
        <v>4.163270625</v>
      </c>
      <c r="J31" s="12">
        <f>IF(ISBLANK(S31),"·",S31/D31)</f>
        <v>4.7315454333976471E-2</v>
      </c>
      <c r="K31" s="12">
        <f t="shared" si="0"/>
        <v>2.4999074442890602E-2</v>
      </c>
      <c r="L31" s="12">
        <f>IF(T31="","·",T31/D31)</f>
        <v>1.7348409654221641E-2</v>
      </c>
      <c r="M31" s="12">
        <f>IF(ISBLANK(V31),"·",V31/D31)</f>
        <v>2.2316379891085869E-2</v>
      </c>
      <c r="N31" s="54">
        <f>IF(OR(ISBLANK(T31),ISBLANK(U31)),"",T31+U31)</f>
        <v>9385216</v>
      </c>
      <c r="O31" s="12">
        <v>16</v>
      </c>
      <c r="P31" s="13">
        <v>180452170</v>
      </c>
      <c r="Q31" s="13">
        <v>2819565.15625</v>
      </c>
      <c r="R31" s="13">
        <v>41116.796875</v>
      </c>
      <c r="S31" s="14">
        <v>17763288</v>
      </c>
      <c r="T31" s="14">
        <v>6512984</v>
      </c>
      <c r="U31" s="14">
        <v>2872232</v>
      </c>
      <c r="V31" s="14">
        <v>8378072</v>
      </c>
      <c r="W31" s="15">
        <v>75.137903124999994</v>
      </c>
      <c r="X31" s="15">
        <v>77.582792187500004</v>
      </c>
      <c r="Y31" s="15">
        <v>36.6978875</v>
      </c>
      <c r="Z31" s="15">
        <v>42.803424999999997</v>
      </c>
      <c r="AA31" s="15">
        <v>45.101806250000003</v>
      </c>
      <c r="AB31" s="16">
        <v>6931.41</v>
      </c>
      <c r="AC31" s="16">
        <v>11856.5</v>
      </c>
      <c r="AD31" s="16">
        <v>412.83300000000003</v>
      </c>
      <c r="AE31" s="16">
        <v>191.947</v>
      </c>
      <c r="AG31" s="11" t="str">
        <f>IF(OR(ISBLANK(AQ31),ISBLANK(G31)),"·",AQ31*G31/F31/1000000)</f>
        <v>·</v>
      </c>
      <c r="AH31" s="12" t="str">
        <f>IF(ISBLANK(AQ31),"·",AQ31/D31)</f>
        <v>·</v>
      </c>
      <c r="AI31" s="12" t="str">
        <f t="shared" si="1"/>
        <v>·</v>
      </c>
      <c r="AJ31" s="12" t="str">
        <f>IF(AR31="","·",AR31/D31)</f>
        <v>·</v>
      </c>
      <c r="AK31" s="12" t="str">
        <f>IF(ISBLANK(AT31),"·",AT31/D31)</f>
        <v>·</v>
      </c>
      <c r="AL31" s="54" t="str">
        <f>IF(OR(ISBLANK(AR31),ISBLANK(AS31)),"",AR31+AS31)</f>
        <v/>
      </c>
      <c r="AM31" s="12">
        <v>16</v>
      </c>
      <c r="AN31" s="13"/>
      <c r="AO31" s="13"/>
      <c r="AP31" s="13"/>
      <c r="AQ31" s="14"/>
      <c r="AR31" s="14"/>
      <c r="AS31" s="14"/>
      <c r="AT31" s="14"/>
      <c r="AU31" s="15"/>
      <c r="AV31" s="15"/>
      <c r="AW31" s="15"/>
      <c r="AX31" s="15"/>
      <c r="AY31" s="15"/>
      <c r="AZ31" s="16"/>
      <c r="BA31" s="16"/>
      <c r="BB31" s="16"/>
      <c r="BC31" s="16"/>
      <c r="BE31" s="51" t="e">
        <f t="shared" si="2"/>
        <v>#VALUE!</v>
      </c>
      <c r="BF31" s="17" t="e">
        <f>(AP31/AO31) - (R31/Q31)</f>
        <v>#DIV/0!</v>
      </c>
      <c r="BG31" s="17" t="e">
        <f>(AL31/AQ31) - (N31/S31)</f>
        <v>#VALUE!</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128</v>
      </c>
      <c r="G32" s="19">
        <v>30</v>
      </c>
      <c r="I32" s="20">
        <f>IF(OR(ISBLANK(S32),ISBLANK(G32)),"·",S32*G32/F32/1000000)</f>
        <v>6.4150762500000003</v>
      </c>
      <c r="J32" s="21">
        <f>IF(ISBLANK(S32),"·",S32/D32)</f>
        <v>7.2907162348076288E-2</v>
      </c>
      <c r="K32" s="21">
        <f t="shared" si="0"/>
        <v>3.1740534363601434E-2</v>
      </c>
      <c r="L32" s="21">
        <f>IF(T32="","·",T32/D32)</f>
        <v>2.4089869574932473E-2</v>
      </c>
      <c r="M32" s="21">
        <f>IF(ISBLANK(V32),"·",V32/D32)</f>
        <v>4.1166627984474846E-2</v>
      </c>
      <c r="N32" s="18">
        <f>IF(OR(ISBLANK(T32),ISBLANK(U32)),"",T32+U32)</f>
        <v>11916112</v>
      </c>
      <c r="O32" s="21">
        <v>16</v>
      </c>
      <c r="P32" s="22">
        <v>184663139</v>
      </c>
      <c r="Q32" s="22">
        <v>2885361.546875</v>
      </c>
      <c r="R32" s="22">
        <v>44778.625</v>
      </c>
      <c r="S32" s="23">
        <v>27370992</v>
      </c>
      <c r="T32" s="23">
        <v>9043880</v>
      </c>
      <c r="U32" s="23">
        <v>2872232</v>
      </c>
      <c r="V32" s="23">
        <v>15454880</v>
      </c>
      <c r="W32" s="24">
        <v>76.444009374999993</v>
      </c>
      <c r="X32" s="24">
        <v>79.129159375</v>
      </c>
      <c r="Y32" s="24">
        <v>38.453512500000002</v>
      </c>
      <c r="Z32" s="24">
        <v>43.326978124999997</v>
      </c>
      <c r="AA32" s="24">
        <v>46.292881250000001</v>
      </c>
      <c r="AB32" s="25">
        <v>6912.78</v>
      </c>
      <c r="AC32" s="25">
        <v>12221.8</v>
      </c>
      <c r="AD32" s="25">
        <v>421.01900000000001</v>
      </c>
      <c r="AE32" s="25">
        <v>193.21899999999999</v>
      </c>
      <c r="AG32" s="20" t="str">
        <f>IF(OR(ISBLANK(AQ32),ISBLANK(G32)),"·",AQ32*G32/F32/1000000)</f>
        <v>·</v>
      </c>
      <c r="AH32" s="21" t="str">
        <f>IF(ISBLANK(AQ32),"·",AQ32/D32)</f>
        <v>·</v>
      </c>
      <c r="AI32" s="21" t="str">
        <f t="shared" si="1"/>
        <v>·</v>
      </c>
      <c r="AJ32" s="21" t="str">
        <f>IF(AR32="","·",AR32/D32)</f>
        <v>·</v>
      </c>
      <c r="AK32" s="21" t="str">
        <f>IF(ISBLANK(AT32),"·",AT32/D32)</f>
        <v>·</v>
      </c>
      <c r="AL32" s="18" t="str">
        <f>IF(OR(ISBLANK(AR32),ISBLANK(AS32)),"",AR32+AS32)</f>
        <v/>
      </c>
      <c r="AM32" s="21">
        <v>16</v>
      </c>
      <c r="AN32" s="22"/>
      <c r="AO32" s="22"/>
      <c r="AP32" s="22"/>
      <c r="AQ32" s="23"/>
      <c r="AR32" s="23"/>
      <c r="AS32" s="23"/>
      <c r="AT32" s="23"/>
      <c r="AU32" s="24"/>
      <c r="AV32" s="24"/>
      <c r="AW32" s="24"/>
      <c r="AX32" s="24"/>
      <c r="AY32" s="24"/>
      <c r="AZ32" s="25"/>
      <c r="BA32" s="25"/>
      <c r="BB32" s="25"/>
      <c r="BC32" s="25"/>
      <c r="BE32" s="50" t="e">
        <f t="shared" si="2"/>
        <v>#VALUE!</v>
      </c>
      <c r="BF32" s="26" t="e">
        <f>(AP32/AO32) - (R32/Q32)</f>
        <v>#DIV/0!</v>
      </c>
      <c r="BG32" s="26" t="e">
        <f>(AL32/AQ32) - (N32/S32)</f>
        <v>#VALUE!</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128</v>
      </c>
      <c r="G33" s="10">
        <v>30</v>
      </c>
      <c r="I33" s="11">
        <f>IF(OR(ISBLANK(S33),ISBLANK(G33)),"·",S33*G33/F33/1000000)</f>
        <v>10.681966875000001</v>
      </c>
      <c r="J33" s="12">
        <f>IF(ISBLANK(S33),"·",S33/D33)</f>
        <v>0.12140025508697548</v>
      </c>
      <c r="K33" s="12">
        <f t="shared" si="0"/>
        <v>4.2908452014917518E-2</v>
      </c>
      <c r="L33" s="12">
        <f>IF(T33="","·",T33/D33)</f>
        <v>3.5257787226248553E-2</v>
      </c>
      <c r="M33" s="12">
        <f>IF(ISBLANK(V33),"·",V33/D33)</f>
        <v>7.8491803072057956E-2</v>
      </c>
      <c r="N33" s="54">
        <f>IF(OR(ISBLANK(T33),ISBLANK(U33)),"",T33+U33)</f>
        <v>16108800</v>
      </c>
      <c r="O33" s="12">
        <v>16</v>
      </c>
      <c r="P33" s="13">
        <v>188952868</v>
      </c>
      <c r="Q33" s="13">
        <v>2952388.5625</v>
      </c>
      <c r="R33" s="13">
        <v>49662.96875</v>
      </c>
      <c r="S33" s="14">
        <v>45576392</v>
      </c>
      <c r="T33" s="14">
        <v>13236568</v>
      </c>
      <c r="U33" s="14">
        <v>2872232</v>
      </c>
      <c r="V33" s="14">
        <v>29467592</v>
      </c>
      <c r="W33" s="15">
        <v>77.586043750000002</v>
      </c>
      <c r="X33" s="15">
        <v>80.332601562500003</v>
      </c>
      <c r="Y33" s="15">
        <v>40.056317187499999</v>
      </c>
      <c r="Z33" s="15">
        <v>44.025435937499999</v>
      </c>
      <c r="AA33" s="15">
        <v>47.886992187499999</v>
      </c>
      <c r="AB33" s="16">
        <v>6922.47</v>
      </c>
      <c r="AC33" s="16">
        <v>12800.3</v>
      </c>
      <c r="AD33" s="16">
        <v>432.596</v>
      </c>
      <c r="AE33" s="16">
        <v>198.07599999999999</v>
      </c>
      <c r="AG33" s="11" t="str">
        <f>IF(OR(ISBLANK(AQ33),ISBLANK(G33)),"·",AQ33*G33/F33/1000000)</f>
        <v>·</v>
      </c>
      <c r="AH33" s="12" t="str">
        <f>IF(ISBLANK(AQ33),"·",AQ33/D33)</f>
        <v>·</v>
      </c>
      <c r="AI33" s="12" t="str">
        <f t="shared" si="1"/>
        <v>·</v>
      </c>
      <c r="AJ33" s="12" t="str">
        <f>IF(AR33="","·",AR33/D33)</f>
        <v>·</v>
      </c>
      <c r="AK33" s="12" t="str">
        <f>IF(ISBLANK(AT33),"·",AT33/D33)</f>
        <v>·</v>
      </c>
      <c r="AL33" s="54" t="str">
        <f>IF(OR(ISBLANK(AR33),ISBLANK(AS33)),"",AR33+AS33)</f>
        <v/>
      </c>
      <c r="AM33" s="12">
        <v>16</v>
      </c>
      <c r="AN33" s="13"/>
      <c r="AO33" s="13"/>
      <c r="AP33" s="13"/>
      <c r="AQ33" s="14"/>
      <c r="AR33" s="14"/>
      <c r="AS33" s="14"/>
      <c r="AT33" s="14"/>
      <c r="AU33" s="15"/>
      <c r="AV33" s="15"/>
      <c r="AW33" s="15"/>
      <c r="AX33" s="15"/>
      <c r="AY33" s="15"/>
      <c r="AZ33" s="16"/>
      <c r="BA33" s="16"/>
      <c r="BB33" s="16"/>
      <c r="BC33" s="16"/>
      <c r="BE33" s="51" t="e">
        <f t="shared" si="2"/>
        <v>#VALUE!</v>
      </c>
      <c r="BF33" s="17" t="e">
        <f>(AP33/AO33) - (R33/Q33)</f>
        <v>#DIV/0!</v>
      </c>
      <c r="BG33" s="17" t="e">
        <f>(AL33/AQ33) - (N33/S33)</f>
        <v>#VALUE!</v>
      </c>
      <c r="BH33" s="17"/>
      <c r="BJ33" s="51"/>
      <c r="BK33" s="51"/>
      <c r="BL33" s="51"/>
      <c r="BM33" s="51"/>
      <c r="BN33" s="51"/>
      <c r="BP33" s="51"/>
      <c r="BQ33" s="51"/>
      <c r="BR33" s="51"/>
      <c r="BS33" s="51"/>
      <c r="BT33" s="51"/>
    </row>
    <row r="34" spans="1:72" ht="15" outlineLevel="1" thickBot="1" x14ac:dyDescent="0.35">
      <c r="A34" s="18"/>
      <c r="B34" s="37" t="s">
        <v>75</v>
      </c>
      <c r="C34" s="38" t="s">
        <v>234</v>
      </c>
      <c r="D34" s="37">
        <v>375422539</v>
      </c>
      <c r="E34" s="38">
        <v>11</v>
      </c>
      <c r="F34" s="38">
        <v>128</v>
      </c>
      <c r="G34" s="38">
        <v>30</v>
      </c>
      <c r="I34" s="39">
        <f>IF(OR(ISBLANK(S34),ISBLANK(G34)),"·",S34*G34/F34/1000000)</f>
        <v>20.005890000000001</v>
      </c>
      <c r="J34" s="40">
        <f>IF(ISBLANK(S34),"·",S34/D34)</f>
        <v>0.22736638089808456</v>
      </c>
      <c r="K34" s="40">
        <f t="shared" si="0"/>
        <v>6.8900263870411899E-2</v>
      </c>
      <c r="L34" s="40">
        <f>IF(T34="","·",T34/D34)</f>
        <v>5.3512865939037292E-2</v>
      </c>
      <c r="M34" s="40">
        <f>IF(ISBLANK(V34),"·",V34/D34)</f>
        <v>0.15846611702767266</v>
      </c>
      <c r="N34" s="37">
        <f>IF(OR(ISBLANK(T34),ISBLANK(U34)),"",T34+U34)</f>
        <v>25866712</v>
      </c>
      <c r="O34" s="40">
        <v>16</v>
      </c>
      <c r="P34" s="41">
        <v>185214441</v>
      </c>
      <c r="Q34" s="41">
        <v>2893975.640625</v>
      </c>
      <c r="R34" s="41">
        <v>21165.515625</v>
      </c>
      <c r="S34" s="42">
        <v>85358464</v>
      </c>
      <c r="T34" s="42">
        <v>20089936</v>
      </c>
      <c r="U34" s="42">
        <v>5776776</v>
      </c>
      <c r="V34" s="42">
        <v>59491752</v>
      </c>
      <c r="W34" s="43">
        <v>78.508043749999999</v>
      </c>
      <c r="X34" s="43">
        <v>81.993964062499998</v>
      </c>
      <c r="Y34" s="43">
        <v>41.551774999999999</v>
      </c>
      <c r="Z34" s="43">
        <v>44.809354687499997</v>
      </c>
      <c r="AA34" s="43">
        <v>49.270271874999999</v>
      </c>
      <c r="AB34" s="44">
        <v>6851.84</v>
      </c>
      <c r="AC34" s="44">
        <v>14080.1</v>
      </c>
      <c r="AD34" s="44">
        <v>421.43099999999998</v>
      </c>
      <c r="AE34" s="44">
        <v>208.864</v>
      </c>
      <c r="AG34" s="39" t="str">
        <f>IF(OR(ISBLANK(AQ34),ISBLANK(G34)),"·",AQ34*G34/F34/1000000)</f>
        <v>·</v>
      </c>
      <c r="AH34" s="40" t="str">
        <f>IF(ISBLANK(AQ34),"·",AQ34/D34)</f>
        <v>·</v>
      </c>
      <c r="AI34" s="40" t="str">
        <f t="shared" si="1"/>
        <v>·</v>
      </c>
      <c r="AJ34" s="40" t="str">
        <f>IF(AR34="","·",AR34/D34)</f>
        <v>·</v>
      </c>
      <c r="AK34" s="40" t="str">
        <f>IF(ISBLANK(AT34),"·",AT34/D34)</f>
        <v>·</v>
      </c>
      <c r="AL34" s="37" t="str">
        <f>IF(OR(ISBLANK(AR34),ISBLANK(AS34)),"",AR34+AS34)</f>
        <v/>
      </c>
      <c r="AM34" s="40">
        <v>16</v>
      </c>
      <c r="AN34" s="41"/>
      <c r="AO34" s="41"/>
      <c r="AP34" s="41"/>
      <c r="AQ34" s="42"/>
      <c r="AR34" s="42"/>
      <c r="AS34" s="42"/>
      <c r="AT34" s="42"/>
      <c r="AU34" s="43"/>
      <c r="AV34" s="43"/>
      <c r="AW34" s="43"/>
      <c r="AX34" s="43"/>
      <c r="AY34" s="43"/>
      <c r="AZ34" s="44"/>
      <c r="BA34" s="44"/>
      <c r="BB34" s="44"/>
      <c r="BC34" s="44"/>
      <c r="BE34" s="45" t="e">
        <f t="shared" si="2"/>
        <v>#VALUE!</v>
      </c>
      <c r="BF34" s="46" t="e">
        <f>(AP34/AO34) - (R34/Q34)</f>
        <v>#DIV/0!</v>
      </c>
      <c r="BG34" s="46" t="e">
        <f>(AL34/AQ34) - (N34/S34)</f>
        <v>#VALUE!</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128</v>
      </c>
      <c r="G35" s="10">
        <v>30</v>
      </c>
      <c r="I35" s="11">
        <f>IF(OR(ISBLANK(S35),ISBLANK(G35)),"·",S35*G35/F35/1000000)</f>
        <v>3.1138012499999999</v>
      </c>
      <c r="J35" s="12">
        <f>IF(ISBLANK(S35),"·",S35/D35)</f>
        <v>3.9873719280312782E-2</v>
      </c>
      <c r="K35" s="12">
        <f t="shared" si="0"/>
        <v>2.3451795797330938E-2</v>
      </c>
      <c r="L35" s="12">
        <f>IF(T35="","·",T35/D35)</f>
        <v>1.4387412848742601E-2</v>
      </c>
      <c r="M35" s="12">
        <f>IF(ISBLANK(V35),"·",V35/D35)</f>
        <v>1.6421923482981843E-2</v>
      </c>
      <c r="N35" s="54">
        <f>IF(OR(ISBLANK(T35),ISBLANK(U35)),"",T35+U35)</f>
        <v>7813920</v>
      </c>
      <c r="O35" s="12">
        <v>16</v>
      </c>
      <c r="P35" s="13">
        <v>149439565</v>
      </c>
      <c r="Q35" s="13">
        <v>2334993.203125</v>
      </c>
      <c r="R35" s="13">
        <v>31998.515625</v>
      </c>
      <c r="S35" s="14">
        <v>13285552</v>
      </c>
      <c r="T35" s="14">
        <v>4793752</v>
      </c>
      <c r="U35" s="14">
        <v>3020168</v>
      </c>
      <c r="V35" s="14">
        <v>5471632</v>
      </c>
      <c r="W35" s="15">
        <v>73.210637500000004</v>
      </c>
      <c r="X35" s="15">
        <v>75.474950000000007</v>
      </c>
      <c r="Y35" s="15">
        <v>34.087684375000002</v>
      </c>
      <c r="Z35" s="15">
        <v>42.537615625000001</v>
      </c>
      <c r="AA35" s="15">
        <v>44.077350000000003</v>
      </c>
      <c r="AB35" s="16">
        <v>6224.7</v>
      </c>
      <c r="AC35" s="16">
        <v>14620.5</v>
      </c>
      <c r="AD35" s="16">
        <v>347.69799999999998</v>
      </c>
      <c r="AE35" s="16">
        <v>242.47300000000001</v>
      </c>
      <c r="AG35" s="11" t="str">
        <f>IF(OR(ISBLANK(AQ35),ISBLANK(G35)),"·",AQ35*G35/F35/1000000)</f>
        <v>·</v>
      </c>
      <c r="AH35" s="12" t="str">
        <f>IF(ISBLANK(AQ35),"·",AQ35/D35)</f>
        <v>·</v>
      </c>
      <c r="AI35" s="12" t="str">
        <f t="shared" si="1"/>
        <v>·</v>
      </c>
      <c r="AJ35" s="12" t="str">
        <f>IF(AR35="","·",AR35/D35)</f>
        <v>·</v>
      </c>
      <c r="AK35" s="12" t="str">
        <f>IF(ISBLANK(AT35),"·",AT35/D35)</f>
        <v>·</v>
      </c>
      <c r="AL35" s="54" t="str">
        <f>IF(OR(ISBLANK(AR35),ISBLANK(AS35)),"",AR35+AS35)</f>
        <v/>
      </c>
      <c r="AM35" s="12">
        <v>16</v>
      </c>
      <c r="AN35" s="13"/>
      <c r="AO35" s="13"/>
      <c r="AP35" s="13"/>
      <c r="AQ35" s="14"/>
      <c r="AR35" s="14"/>
      <c r="AS35" s="14"/>
      <c r="AT35" s="14"/>
      <c r="AU35" s="15"/>
      <c r="AV35" s="15"/>
      <c r="AW35" s="15"/>
      <c r="AX35" s="15"/>
      <c r="AY35" s="15"/>
      <c r="AZ35" s="16"/>
      <c r="BA35" s="16"/>
      <c r="BB35" s="16"/>
      <c r="BC35" s="16"/>
      <c r="BE35" s="51" t="e">
        <f t="shared" si="2"/>
        <v>#VALUE!</v>
      </c>
      <c r="BF35" s="17" t="e">
        <f>(AP35/AO35) - (R35/Q35)</f>
        <v>#DIV/0!</v>
      </c>
      <c r="BG35" s="17" t="e">
        <f>(AL35/AQ35) - (N35/S35)</f>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128</v>
      </c>
      <c r="G36" s="19">
        <v>30</v>
      </c>
      <c r="I36" s="20">
        <f>IF(OR(ISBLANK(S36),ISBLANK(G36)),"·",S36*G36/F36/1000000)</f>
        <v>4.4317931250000004</v>
      </c>
      <c r="J36" s="21">
        <f>IF(ISBLANK(S36),"·",S36/D36)</f>
        <v>5.6751237727414403E-2</v>
      </c>
      <c r="K36" s="21">
        <f t="shared" si="0"/>
        <v>2.8704163458781407E-2</v>
      </c>
      <c r="L36" s="21">
        <f>IF(T36="","·",T36/D36)</f>
        <v>1.9639780510193067E-2</v>
      </c>
      <c r="M36" s="21">
        <f>IF(ISBLANK(V36),"·",V36/D36)</f>
        <v>2.8047074268632999E-2</v>
      </c>
      <c r="N36" s="18">
        <f>IF(OR(ISBLANK(T36),ISBLANK(U36)),"",T36+U36)</f>
        <v>9563960</v>
      </c>
      <c r="O36" s="21">
        <v>16</v>
      </c>
      <c r="P36" s="22">
        <v>159793992</v>
      </c>
      <c r="Q36" s="22">
        <v>2496781.125</v>
      </c>
      <c r="R36" s="22">
        <v>40635.875</v>
      </c>
      <c r="S36" s="23">
        <v>18908984</v>
      </c>
      <c r="T36" s="23">
        <v>6543792</v>
      </c>
      <c r="U36" s="23">
        <v>3020168</v>
      </c>
      <c r="V36" s="23">
        <v>9345024</v>
      </c>
      <c r="W36" s="24">
        <v>74.940449999999998</v>
      </c>
      <c r="X36" s="24">
        <v>77.395582812499995</v>
      </c>
      <c r="Y36" s="24">
        <v>36.167735937499998</v>
      </c>
      <c r="Z36" s="24">
        <v>43.155681250000001</v>
      </c>
      <c r="AA36" s="24">
        <v>45.348968749999997</v>
      </c>
      <c r="AB36" s="25">
        <v>6192.37</v>
      </c>
      <c r="AC36" s="25">
        <v>14924.6</v>
      </c>
      <c r="AD36" s="25">
        <v>328.11200000000002</v>
      </c>
      <c r="AE36" s="25">
        <v>218.90799999999999</v>
      </c>
      <c r="AG36" s="20" t="str">
        <f>IF(OR(ISBLANK(AQ36),ISBLANK(G36)),"·",AQ36*G36/F36/1000000)</f>
        <v>·</v>
      </c>
      <c r="AH36" s="21" t="str">
        <f>IF(ISBLANK(AQ36),"·",AQ36/D36)</f>
        <v>·</v>
      </c>
      <c r="AI36" s="21" t="str">
        <f t="shared" si="1"/>
        <v>·</v>
      </c>
      <c r="AJ36" s="21" t="str">
        <f>IF(AR36="","·",AR36/D36)</f>
        <v>·</v>
      </c>
      <c r="AK36" s="21" t="str">
        <f>IF(ISBLANK(AT36),"·",AT36/D36)</f>
        <v>·</v>
      </c>
      <c r="AL36" s="18" t="str">
        <f>IF(OR(ISBLANK(AR36),ISBLANK(AS36)),"",AR36+AS36)</f>
        <v/>
      </c>
      <c r="AM36" s="21">
        <v>16</v>
      </c>
      <c r="AN36" s="22"/>
      <c r="AO36" s="22"/>
      <c r="AP36" s="22"/>
      <c r="AQ36" s="23"/>
      <c r="AR36" s="23"/>
      <c r="AS36" s="23"/>
      <c r="AT36" s="23"/>
      <c r="AU36" s="24"/>
      <c r="AV36" s="24"/>
      <c r="AW36" s="24"/>
      <c r="AX36" s="24"/>
      <c r="AY36" s="24"/>
      <c r="AZ36" s="25"/>
      <c r="BA36" s="25"/>
      <c r="BB36" s="25"/>
      <c r="BC36" s="25"/>
      <c r="BE36" s="50" t="e">
        <f t="shared" si="2"/>
        <v>#VALUE!</v>
      </c>
      <c r="BF36" s="26" t="e">
        <f>(AP36/AO36) - (R36/Q36)</f>
        <v>#DIV/0!</v>
      </c>
      <c r="BG36" s="26" t="e">
        <f>(AL36/AQ36) - (N36/S36)</f>
        <v>#VALUE!</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128</v>
      </c>
      <c r="G37" s="10">
        <v>30</v>
      </c>
      <c r="I37" s="11">
        <f>IF(OR(ISBLANK(S37),ISBLANK(G37)),"·",S37*G37/F37/1000000)</f>
        <v>6.7500093750000003</v>
      </c>
      <c r="J37" s="12">
        <f>IF(ISBLANK(S37),"·",S37/D37)</f>
        <v>8.6437109291490441E-2</v>
      </c>
      <c r="K37" s="12">
        <f t="shared" si="0"/>
        <v>3.6284711425414409E-2</v>
      </c>
      <c r="L37" s="12">
        <f>IF(T37="","·",T37/D37)</f>
        <v>2.7220328476826074E-2</v>
      </c>
      <c r="M37" s="12">
        <f>IF(ISBLANK(V37),"·",V37/D37)</f>
        <v>5.0152397866076025E-2</v>
      </c>
      <c r="N37" s="54">
        <f>IF(OR(ISBLANK(T37),ISBLANK(U37)),"",T37+U37)</f>
        <v>12089728</v>
      </c>
      <c r="O37" s="12">
        <v>16</v>
      </c>
      <c r="P37" s="13">
        <v>163362133</v>
      </c>
      <c r="Q37" s="13">
        <v>2552533.328125</v>
      </c>
      <c r="R37" s="13">
        <v>43997.828125</v>
      </c>
      <c r="S37" s="14">
        <v>28800040</v>
      </c>
      <c r="T37" s="14">
        <v>9069560</v>
      </c>
      <c r="U37" s="14">
        <v>3020168</v>
      </c>
      <c r="V37" s="14">
        <v>16710312</v>
      </c>
      <c r="W37" s="15">
        <v>76.241079687500005</v>
      </c>
      <c r="X37" s="15">
        <v>78.977154687500004</v>
      </c>
      <c r="Y37" s="15">
        <v>38.015401562500003</v>
      </c>
      <c r="Z37" s="15">
        <v>43.721659375000002</v>
      </c>
      <c r="AA37" s="15">
        <v>46.522646875</v>
      </c>
      <c r="AB37" s="16">
        <v>6208.11</v>
      </c>
      <c r="AC37" s="16">
        <v>15394.7</v>
      </c>
      <c r="AD37" s="16">
        <v>377.96199999999999</v>
      </c>
      <c r="AE37" s="16">
        <v>244.87</v>
      </c>
      <c r="AG37" s="11" t="str">
        <f>IF(OR(ISBLANK(AQ37),ISBLANK(G37)),"·",AQ37*G37/F37/1000000)</f>
        <v>·</v>
      </c>
      <c r="AH37" s="12" t="str">
        <f>IF(ISBLANK(AQ37),"·",AQ37/D37)</f>
        <v>·</v>
      </c>
      <c r="AI37" s="12" t="str">
        <f t="shared" si="1"/>
        <v>·</v>
      </c>
      <c r="AJ37" s="12" t="str">
        <f>IF(AR37="","·",AR37/D37)</f>
        <v>·</v>
      </c>
      <c r="AK37" s="12" t="str">
        <f>IF(ISBLANK(AT37),"·",AT37/D37)</f>
        <v>·</v>
      </c>
      <c r="AL37" s="54" t="str">
        <f>IF(OR(ISBLANK(AR37),ISBLANK(AS37)),"",AR37+AS37)</f>
        <v/>
      </c>
      <c r="AM37" s="12">
        <v>16</v>
      </c>
      <c r="AN37" s="13"/>
      <c r="AO37" s="13"/>
      <c r="AP37" s="13"/>
      <c r="AQ37" s="14"/>
      <c r="AR37" s="14"/>
      <c r="AS37" s="14"/>
      <c r="AT37" s="14"/>
      <c r="AU37" s="15"/>
      <c r="AV37" s="15"/>
      <c r="AW37" s="15"/>
      <c r="AX37" s="15"/>
      <c r="AY37" s="15"/>
      <c r="AZ37" s="16"/>
      <c r="BA37" s="16"/>
      <c r="BB37" s="16"/>
      <c r="BC37" s="16"/>
      <c r="BE37" s="51" t="e">
        <f t="shared" si="2"/>
        <v>#VALUE!</v>
      </c>
      <c r="BF37" s="17" t="e">
        <f>(AP37/AO37) - (R37/Q37)</f>
        <v>#DIV/0!</v>
      </c>
      <c r="BG37" s="17" t="e">
        <f>(AL37/AQ37) - (N37/S37)</f>
        <v>#VALUE!</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128</v>
      </c>
      <c r="G38" s="19">
        <v>30</v>
      </c>
      <c r="I38" s="20">
        <f>IF(OR(ISBLANK(S38),ISBLANK(G38)),"·",S38*G38/F38/1000000)</f>
        <v>11.278366875</v>
      </c>
      <c r="J38" s="21">
        <f>IF(ISBLANK(S38),"·",S38/D38)</f>
        <v>0.14442490018080908</v>
      </c>
      <c r="K38" s="21">
        <f t="shared" si="0"/>
        <v>4.8845158455193209E-2</v>
      </c>
      <c r="L38" s="21">
        <f>IF(T38="","·",T38/D38)</f>
        <v>3.9780775506604867E-2</v>
      </c>
      <c r="M38" s="21">
        <f>IF(ISBLANK(V38),"·",V38/D38)</f>
        <v>9.5579741725615869E-2</v>
      </c>
      <c r="N38" s="18">
        <f>IF(OR(ISBLANK(T38),ISBLANK(U38)),"",T38+U38)</f>
        <v>16274752</v>
      </c>
      <c r="O38" s="21">
        <v>16</v>
      </c>
      <c r="P38" s="22">
        <v>167645166</v>
      </c>
      <c r="Q38" s="22">
        <v>2619455.71875</v>
      </c>
      <c r="R38" s="22">
        <v>49216.015625</v>
      </c>
      <c r="S38" s="23">
        <v>48121032</v>
      </c>
      <c r="T38" s="23">
        <v>13254584</v>
      </c>
      <c r="U38" s="23">
        <v>3020168</v>
      </c>
      <c r="V38" s="23">
        <v>31846280</v>
      </c>
      <c r="W38" s="24">
        <v>77.421584374999995</v>
      </c>
      <c r="X38" s="24">
        <v>80.181292187500006</v>
      </c>
      <c r="Y38" s="24">
        <v>39.781451562500003</v>
      </c>
      <c r="Z38" s="24">
        <v>44.508240624999999</v>
      </c>
      <c r="AA38" s="24">
        <v>47.868728124999997</v>
      </c>
      <c r="AB38" s="25">
        <v>6220.81</v>
      </c>
      <c r="AC38" s="25">
        <v>16107.3</v>
      </c>
      <c r="AD38" s="25">
        <v>390.91800000000001</v>
      </c>
      <c r="AE38" s="25">
        <v>253.239</v>
      </c>
      <c r="AG38" s="20" t="str">
        <f>IF(OR(ISBLANK(AQ38),ISBLANK(G38)),"·",AQ38*G38/F38/1000000)</f>
        <v>·</v>
      </c>
      <c r="AH38" s="21" t="str">
        <f>IF(ISBLANK(AQ38),"·",AQ38/D38)</f>
        <v>·</v>
      </c>
      <c r="AI38" s="21" t="str">
        <f t="shared" si="1"/>
        <v>·</v>
      </c>
      <c r="AJ38" s="21" t="str">
        <f>IF(AR38="","·",AR38/D38)</f>
        <v>·</v>
      </c>
      <c r="AK38" s="21" t="str">
        <f>IF(ISBLANK(AT38),"·",AT38/D38)</f>
        <v>·</v>
      </c>
      <c r="AL38" s="18" t="str">
        <f>IF(OR(ISBLANK(AR38),ISBLANK(AS38)),"",AR38+AS38)</f>
        <v/>
      </c>
      <c r="AM38" s="21">
        <v>16</v>
      </c>
      <c r="AN38" s="22"/>
      <c r="AO38" s="22"/>
      <c r="AP38" s="22"/>
      <c r="AQ38" s="23"/>
      <c r="AR38" s="23"/>
      <c r="AS38" s="23"/>
      <c r="AT38" s="23"/>
      <c r="AU38" s="24"/>
      <c r="AV38" s="24"/>
      <c r="AW38" s="24"/>
      <c r="AX38" s="24"/>
      <c r="AY38" s="24"/>
      <c r="AZ38" s="25"/>
      <c r="BA38" s="25"/>
      <c r="BB38" s="25"/>
      <c r="BC38" s="25"/>
      <c r="BE38" s="50" t="e">
        <f t="shared" si="2"/>
        <v>#VALUE!</v>
      </c>
      <c r="BF38" s="26" t="e">
        <f>(AP38/AO38) - (R38/Q38)</f>
        <v>#DIV/0!</v>
      </c>
      <c r="BG38" s="26" t="e">
        <f>(AL38/AQ38) - (N38/S38)</f>
        <v>#VALUE!</v>
      </c>
      <c r="BH38" s="26"/>
      <c r="BJ38" s="50"/>
      <c r="BK38" s="50"/>
      <c r="BL38" s="50"/>
      <c r="BM38" s="50"/>
      <c r="BN38" s="50"/>
      <c r="BP38" s="50"/>
      <c r="BQ38" s="50"/>
      <c r="BR38" s="50"/>
      <c r="BS38" s="50"/>
      <c r="BT38" s="50"/>
    </row>
    <row r="39" spans="1:72" ht="15" outlineLevel="1" thickBot="1" x14ac:dyDescent="0.35">
      <c r="A39" s="27"/>
      <c r="B39" s="27" t="s">
        <v>80</v>
      </c>
      <c r="C39" s="28" t="s">
        <v>234</v>
      </c>
      <c r="D39" s="27">
        <v>333190689</v>
      </c>
      <c r="E39" s="28">
        <v>11</v>
      </c>
      <c r="F39" s="28">
        <v>128</v>
      </c>
      <c r="G39" s="28">
        <v>30</v>
      </c>
      <c r="I39" s="29">
        <f>IF(OR(ISBLANK(S39),ISBLANK(G39)),"·",S39*G39/F39/1000000)</f>
        <v>20.669805</v>
      </c>
      <c r="J39" s="30">
        <f>IF(ISBLANK(S39),"·",S39/D39)</f>
        <v>0.26468677220448977</v>
      </c>
      <c r="K39" s="30">
        <f t="shared" si="0"/>
        <v>7.8831206474680324E-2</v>
      </c>
      <c r="L39" s="30">
        <f>IF(T39="","·",T39/D39)</f>
        <v>6.0449636394251098E-2</v>
      </c>
      <c r="M39" s="30">
        <f>IF(ISBLANK(V39),"·",V39/D39)</f>
        <v>0.18585556572980946</v>
      </c>
      <c r="N39" s="27">
        <f>IF(OR(ISBLANK(T39),ISBLANK(U39)),"",T39+U39)</f>
        <v>26265824</v>
      </c>
      <c r="O39" s="30">
        <v>16</v>
      </c>
      <c r="P39" s="31">
        <v>163814525</v>
      </c>
      <c r="Q39" s="31">
        <v>2559601.953125</v>
      </c>
      <c r="R39" s="31">
        <v>20010.140625</v>
      </c>
      <c r="S39" s="32">
        <v>88191168</v>
      </c>
      <c r="T39" s="32">
        <v>20141256</v>
      </c>
      <c r="U39" s="32">
        <v>6124568</v>
      </c>
      <c r="V39" s="32">
        <v>61925344</v>
      </c>
      <c r="W39" s="33">
        <v>78.307156250000006</v>
      </c>
      <c r="X39" s="33">
        <v>81.904659374999994</v>
      </c>
      <c r="Y39" s="33">
        <v>41.3705421875</v>
      </c>
      <c r="Z39" s="33">
        <v>45.495809375</v>
      </c>
      <c r="AA39" s="33">
        <v>49.194292187499997</v>
      </c>
      <c r="AB39" s="34">
        <v>6239.81</v>
      </c>
      <c r="AC39" s="34">
        <v>17542.900000000001</v>
      </c>
      <c r="AD39" s="34">
        <v>378.137</v>
      </c>
      <c r="AE39" s="34">
        <v>265.22500000000002</v>
      </c>
      <c r="AG39" s="29" t="str">
        <f>IF(OR(ISBLANK(AQ39),ISBLANK(G39)),"·",AQ39*G39/F39/1000000)</f>
        <v>·</v>
      </c>
      <c r="AH39" s="30" t="str">
        <f>IF(ISBLANK(AQ39),"·",AQ39/D39)</f>
        <v>·</v>
      </c>
      <c r="AI39" s="30" t="str">
        <f t="shared" si="1"/>
        <v>·</v>
      </c>
      <c r="AJ39" s="30" t="str">
        <f>IF(AR39="","·",AR39/D39)</f>
        <v>·</v>
      </c>
      <c r="AK39" s="30" t="str">
        <f>IF(ISBLANK(AT39),"·",AT39/D39)</f>
        <v>·</v>
      </c>
      <c r="AL39" s="27" t="str">
        <f>IF(OR(ISBLANK(AR39),ISBLANK(AS39)),"",AR39+AS39)</f>
        <v/>
      </c>
      <c r="AM39" s="30">
        <v>16</v>
      </c>
      <c r="AN39" s="31"/>
      <c r="AO39" s="31"/>
      <c r="AP39" s="31"/>
      <c r="AQ39" s="32"/>
      <c r="AR39" s="32"/>
      <c r="AS39" s="32"/>
      <c r="AT39" s="32"/>
      <c r="AU39" s="33"/>
      <c r="AV39" s="33"/>
      <c r="AW39" s="33"/>
      <c r="AX39" s="33"/>
      <c r="AY39" s="33"/>
      <c r="AZ39" s="34"/>
      <c r="BA39" s="34"/>
      <c r="BB39" s="34"/>
      <c r="BC39" s="34"/>
      <c r="BE39" s="35" t="e">
        <f t="shared" si="2"/>
        <v>#VALUE!</v>
      </c>
      <c r="BF39" s="36" t="e">
        <f>(AP39/AO39) - (R39/Q39)</f>
        <v>#DIV/0!</v>
      </c>
      <c r="BG39" s="36" t="e">
        <f>(AL39/AQ39) - (N39/S39)</f>
        <v>#VALUE!</v>
      </c>
      <c r="BH39" s="36"/>
      <c r="BJ39" s="35"/>
      <c r="BK39" s="35"/>
      <c r="BL39" s="35"/>
      <c r="BM39" s="35"/>
      <c r="BN39" s="35"/>
      <c r="BP39" s="35"/>
      <c r="BQ39" s="35"/>
      <c r="BR39" s="35"/>
      <c r="BS39" s="35"/>
      <c r="BT39" s="35"/>
    </row>
    <row r="40" spans="1:72" x14ac:dyDescent="0.3">
      <c r="B40" s="47" t="s">
        <v>14</v>
      </c>
      <c r="J40" s="48">
        <f>AVERAGE(J5:J24)</f>
        <v>0.39653490897508969</v>
      </c>
      <c r="K40" s="48">
        <f>AVERAGE(K5:K24)</f>
        <v>0.12838094898211594</v>
      </c>
      <c r="L40" s="48">
        <f>AVERAGE(L5:L24)</f>
        <v>9.0551988153411797E-2</v>
      </c>
      <c r="M40" s="48">
        <f>AVERAGE(M5:M24)</f>
        <v>0.26815395999297387</v>
      </c>
      <c r="AH40" s="48" t="e">
        <f>AVERAGE(AH5:AH24)</f>
        <v>#DIV/0!</v>
      </c>
      <c r="AI40" s="48" t="e">
        <f>AVERAGE(AI5:AI24)</f>
        <v>#DIV/0!</v>
      </c>
      <c r="AJ40" s="48" t="e">
        <f>AVERAGE(AJ5:AJ24)</f>
        <v>#DIV/0!</v>
      </c>
      <c r="AK40" s="48" t="e">
        <f>AVERAGE(AK5:AK24)</f>
        <v>#DIV/0!</v>
      </c>
      <c r="BE40" s="52" t="e">
        <f t="shared" si="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3">
      <c r="B41" s="47" t="s">
        <v>15</v>
      </c>
      <c r="J41" s="48">
        <f>AVERAGE(J25:J29)</f>
        <v>0.79431782506582593</v>
      </c>
      <c r="K41" s="48">
        <f>AVERAGE(K25:K29)</f>
        <v>0.12190411376943029</v>
      </c>
      <c r="L41" s="48">
        <f>AVERAGE(L25:L29)</f>
        <v>8.9532517327922029E-2</v>
      </c>
      <c r="M41" s="48">
        <f>AVERAGE(M25:M29)</f>
        <v>0.67241371129639549</v>
      </c>
      <c r="AH41" s="48" t="e">
        <f>AVERAGE(AH25:AH29)</f>
        <v>#DIV/0!</v>
      </c>
      <c r="AI41" s="48" t="e">
        <f>AVERAGE(AI25:AI29)</f>
        <v>#DIV/0!</v>
      </c>
      <c r="AJ41" s="48" t="e">
        <f>AVERAGE(AJ25:AJ29)</f>
        <v>#DIV/0!</v>
      </c>
      <c r="AK41" s="48" t="e">
        <f>AVERAGE(AK25:AK29)</f>
        <v>#DIV/0!</v>
      </c>
      <c r="BE41" s="52" t="e">
        <f t="shared" si="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3">
      <c r="B42" s="47" t="s">
        <v>16</v>
      </c>
      <c r="J42" s="48">
        <f>AVERAGE(J30:J39)</f>
        <v>0.10944240311210077</v>
      </c>
      <c r="K42" s="48">
        <f>AVERAGE(K30:K39)</f>
        <v>4.049840764365651E-2</v>
      </c>
      <c r="L42" s="48">
        <f>AVERAGE(L30:L39)</f>
        <v>3.0435491747573196E-2</v>
      </c>
      <c r="M42" s="48">
        <f>AVERAGE(M30:M39)</f>
        <v>6.894399546844425E-2</v>
      </c>
      <c r="AH42" s="48" t="e">
        <f>AVERAGE(AH30:AH39)</f>
        <v>#DIV/0!</v>
      </c>
      <c r="AI42" s="48" t="e">
        <f>AVERAGE(AI30:AI39)</f>
        <v>#DIV/0!</v>
      </c>
      <c r="AJ42" s="48" t="e">
        <f>AVERAGE(AJ30:AJ39)</f>
        <v>#DIV/0!</v>
      </c>
      <c r="AK42" s="48" t="e">
        <f>AVERAGE(AK30:AK39)</f>
        <v>#DIV/0!</v>
      </c>
      <c r="BE42" s="52" t="e">
        <f t="shared" si="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3">
      <c r="B43" s="47" t="s">
        <v>17</v>
      </c>
      <c r="J43" s="48">
        <f>AVERAGE(J5:J39)</f>
        <v>0.37133460959862669</v>
      </c>
      <c r="K43" s="48">
        <f>AVERAGE(K5:K39)</f>
        <v>0.102346389283601</v>
      </c>
      <c r="L43" s="48">
        <f>AVERAGE(L5:L39)</f>
        <v>7.3230207633816546E-2</v>
      </c>
      <c r="M43" s="48">
        <f>AVERAGE(M5:M39)</f>
        <v>0.26898822031502573</v>
      </c>
      <c r="AH43" s="48" t="e">
        <f>AVERAGE(AH5:AH39)</f>
        <v>#DIV/0!</v>
      </c>
      <c r="AI43" s="48" t="e">
        <f>AVERAGE(AI5:AI39)</f>
        <v>#DIV/0!</v>
      </c>
      <c r="AJ43" s="48" t="e">
        <f>AVERAGE(AJ5:AJ39)</f>
        <v>#DIV/0!</v>
      </c>
      <c r="AK43" s="48" t="e">
        <f>AVERAGE(AK5:AK39)</f>
        <v>#DIV/0!</v>
      </c>
      <c r="BE43" s="52" t="e">
        <f t="shared" si="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3">
      <c r="A44" s="47" t="s">
        <v>237</v>
      </c>
      <c r="B44" s="47" t="s">
        <v>238</v>
      </c>
      <c r="AB44" s="49">
        <f>SUM(AB5:AB24,AB25:AB29,AB30:AB39)</f>
        <v>868953.71999999974</v>
      </c>
      <c r="AC44" s="49">
        <f>SUM(AC5:AC24,AC25:AC29,AC30:AC39)</f>
        <v>611176.1</v>
      </c>
      <c r="AD44" s="49">
        <f>SUM(AD5:AD24,AD25:AD29,AD30:AD39)</f>
        <v>17917.131000000001</v>
      </c>
      <c r="AE44" s="49">
        <f>SUM(AE5:AE24,AE25:AE29,AE30:AE39)</f>
        <v>9237.3959999999988</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55">
        <f>AZ44/AB44</f>
        <v>0</v>
      </c>
      <c r="BA45" s="55">
        <f>BA44/AC44</f>
        <v>0</v>
      </c>
      <c r="BB45" s="55">
        <f>BB44/AD44</f>
        <v>0</v>
      </c>
      <c r="BC45" s="55">
        <f>BC44/AE44</f>
        <v>0</v>
      </c>
    </row>
    <row r="46" spans="1:72" hidden="1" outlineLevel="2" x14ac:dyDescent="0.3">
      <c r="B46" s="47" t="s">
        <v>240</v>
      </c>
      <c r="AB46" s="49">
        <f>GEOMEAN(AB5:AB24,AB25:AB29,AB30:AB39)</f>
        <v>19569.096790559579</v>
      </c>
      <c r="AC46" s="49">
        <f>GEOMEAN(AC5:AC24,AC25:AC29,AC30:AC39)</f>
        <v>17172.785366728804</v>
      </c>
      <c r="AD46" s="49">
        <f>GEOMEAN(AD5:AD24,AD25:AD29,AD30:AD39)</f>
        <v>501.63974354902257</v>
      </c>
      <c r="AE46" s="49">
        <f>GEOMEAN(AE5:AE24,AE25:AE29,AE30:AE39)</f>
        <v>261.36008794304047</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4.4" x14ac:dyDescent="0.3"/>
  <sheetData>
    <row r="1" spans="1:2" x14ac:dyDescent="0.3">
      <c r="A1" t="s">
        <v>242</v>
      </c>
      <c r="B1">
        <v>1</v>
      </c>
    </row>
    <row r="2" spans="1:2" x14ac:dyDescent="0.3">
      <c r="A2" t="s">
        <v>243</v>
      </c>
      <c r="B2">
        <v>2</v>
      </c>
    </row>
    <row r="3" spans="1:2" x14ac:dyDescent="0.3">
      <c r="A3" t="s">
        <v>244</v>
      </c>
      <c r="B3">
        <v>3</v>
      </c>
    </row>
    <row r="4" spans="1:2" x14ac:dyDescent="0.3">
      <c r="A4" t="s">
        <v>245</v>
      </c>
      <c r="B4">
        <v>4</v>
      </c>
    </row>
    <row r="5" spans="1:2" x14ac:dyDescent="0.3">
      <c r="A5" t="s">
        <v>246</v>
      </c>
      <c r="B5">
        <v>5</v>
      </c>
    </row>
    <row r="6" spans="1:2" x14ac:dyDescent="0.3">
      <c r="A6" t="s">
        <v>247</v>
      </c>
      <c r="B6">
        <v>6</v>
      </c>
    </row>
    <row r="7" spans="1:2" x14ac:dyDescent="0.3">
      <c r="A7" t="s">
        <v>248</v>
      </c>
      <c r="B7">
        <v>7</v>
      </c>
    </row>
    <row r="8" spans="1:2" x14ac:dyDescent="0.3">
      <c r="A8" t="s">
        <v>249</v>
      </c>
      <c r="B8">
        <v>9</v>
      </c>
    </row>
    <row r="9" spans="1:2" x14ac:dyDescent="0.3">
      <c r="A9" t="s">
        <v>250</v>
      </c>
      <c r="B9">
        <v>10</v>
      </c>
    </row>
    <row r="10" spans="1:2" x14ac:dyDescent="0.3">
      <c r="A10" t="s">
        <v>251</v>
      </c>
      <c r="B10">
        <v>11</v>
      </c>
    </row>
    <row r="11" spans="1:2" x14ac:dyDescent="0.3">
      <c r="A11" t="s">
        <v>252</v>
      </c>
      <c r="B11">
        <v>12</v>
      </c>
    </row>
    <row r="12" spans="1:2" x14ac:dyDescent="0.3">
      <c r="A12" t="s">
        <v>253</v>
      </c>
      <c r="B12">
        <v>13</v>
      </c>
    </row>
    <row r="13" spans="1:2" x14ac:dyDescent="0.3">
      <c r="A13" t="s">
        <v>254</v>
      </c>
      <c r="B13">
        <v>14</v>
      </c>
    </row>
    <row r="14" spans="1:2" x14ac:dyDescent="0.3">
      <c r="A14" t="s">
        <v>255</v>
      </c>
      <c r="B14">
        <v>15</v>
      </c>
    </row>
    <row r="15" spans="1:2" x14ac:dyDescent="0.3">
      <c r="A15" t="s">
        <v>256</v>
      </c>
      <c r="B15">
        <v>16</v>
      </c>
    </row>
    <row r="16" spans="1:2" x14ac:dyDescent="0.3">
      <c r="A16" t="s">
        <v>257</v>
      </c>
      <c r="B16">
        <v>17</v>
      </c>
    </row>
    <row r="17" spans="1:2" x14ac:dyDescent="0.3">
      <c r="A17" t="s">
        <v>258</v>
      </c>
      <c r="B17">
        <v>18</v>
      </c>
    </row>
    <row r="18" spans="1:2" x14ac:dyDescent="0.3">
      <c r="A18" t="s">
        <v>259</v>
      </c>
      <c r="B18">
        <v>19</v>
      </c>
    </row>
    <row r="19" spans="1:2" x14ac:dyDescent="0.3">
      <c r="A19" t="s">
        <v>260</v>
      </c>
      <c r="B19">
        <v>20</v>
      </c>
    </row>
    <row r="20" spans="1:2" x14ac:dyDescent="0.3">
      <c r="A20" t="s">
        <v>261</v>
      </c>
      <c r="B20">
        <v>21</v>
      </c>
    </row>
    <row r="21" spans="1:2" x14ac:dyDescent="0.3">
      <c r="A21" t="s">
        <v>262</v>
      </c>
      <c r="B21">
        <v>22</v>
      </c>
    </row>
    <row r="22" spans="1:2" x14ac:dyDescent="0.3">
      <c r="A22" t="s">
        <v>263</v>
      </c>
      <c r="B22">
        <v>23</v>
      </c>
    </row>
    <row r="23" spans="1:2" x14ac:dyDescent="0.3">
      <c r="A23" t="s">
        <v>264</v>
      </c>
      <c r="B23">
        <v>24</v>
      </c>
    </row>
    <row r="24" spans="1:2" x14ac:dyDescent="0.3">
      <c r="A24" t="s">
        <v>265</v>
      </c>
      <c r="B24">
        <v>25</v>
      </c>
    </row>
    <row r="25" spans="1:2" x14ac:dyDescent="0.3">
      <c r="A25" t="s">
        <v>266</v>
      </c>
      <c r="B25">
        <v>26</v>
      </c>
    </row>
    <row r="26" spans="1:2" x14ac:dyDescent="0.3">
      <c r="A26" t="s">
        <v>267</v>
      </c>
      <c r="B26">
        <v>27</v>
      </c>
    </row>
    <row r="27" spans="1:2" x14ac:dyDescent="0.3">
      <c r="A27" t="s">
        <v>268</v>
      </c>
      <c r="B27">
        <v>28</v>
      </c>
    </row>
    <row r="28" spans="1:2" x14ac:dyDescent="0.3">
      <c r="A28" t="s">
        <v>269</v>
      </c>
      <c r="B28">
        <v>29</v>
      </c>
    </row>
    <row r="29" spans="1:2" x14ac:dyDescent="0.3">
      <c r="A29" t="s">
        <v>270</v>
      </c>
      <c r="B29">
        <v>30</v>
      </c>
    </row>
    <row r="30" spans="1:2" x14ac:dyDescent="0.3">
      <c r="A30" t="s">
        <v>271</v>
      </c>
      <c r="B30">
        <v>31</v>
      </c>
    </row>
    <row r="31" spans="1:2" x14ac:dyDescent="0.3">
      <c r="A31" t="s">
        <v>272</v>
      </c>
      <c r="B31">
        <v>33</v>
      </c>
    </row>
    <row r="32" spans="1:2" x14ac:dyDescent="0.3">
      <c r="A32" t="s">
        <v>273</v>
      </c>
      <c r="B32">
        <v>34</v>
      </c>
    </row>
    <row r="33" spans="1:2" x14ac:dyDescent="0.3">
      <c r="A33" t="s">
        <v>274</v>
      </c>
      <c r="B33">
        <v>35</v>
      </c>
    </row>
    <row r="34" spans="1:2" x14ac:dyDescent="0.3">
      <c r="A34" t="s">
        <v>275</v>
      </c>
      <c r="B34">
        <v>36</v>
      </c>
    </row>
    <row r="35" spans="1:2" x14ac:dyDescent="0.3">
      <c r="A35" t="s">
        <v>276</v>
      </c>
      <c r="B35">
        <v>37</v>
      </c>
    </row>
    <row r="36" spans="1:2" x14ac:dyDescent="0.3">
      <c r="A36" t="s">
        <v>277</v>
      </c>
      <c r="B36">
        <v>38</v>
      </c>
    </row>
    <row r="37" spans="1:2" x14ac:dyDescent="0.3">
      <c r="A37" t="s">
        <v>278</v>
      </c>
      <c r="B37">
        <v>39</v>
      </c>
    </row>
    <row r="38" spans="1:2" x14ac:dyDescent="0.3">
      <c r="A38" t="s">
        <v>279</v>
      </c>
      <c r="B38">
        <v>40</v>
      </c>
    </row>
    <row r="39" spans="1:2" x14ac:dyDescent="0.3">
      <c r="A39" t="s">
        <v>280</v>
      </c>
      <c r="B39">
        <v>41</v>
      </c>
    </row>
    <row r="40" spans="1:2" x14ac:dyDescent="0.3">
      <c r="A40" t="s">
        <v>281</v>
      </c>
      <c r="B40">
        <v>42</v>
      </c>
    </row>
    <row r="41" spans="1:2" x14ac:dyDescent="0.3">
      <c r="A41" t="s">
        <v>282</v>
      </c>
      <c r="B41">
        <v>43</v>
      </c>
    </row>
    <row r="42" spans="1:2" x14ac:dyDescent="0.3">
      <c r="A42" t="s">
        <v>283</v>
      </c>
      <c r="B42">
        <v>44</v>
      </c>
    </row>
    <row r="43" spans="1:2" x14ac:dyDescent="0.3">
      <c r="A43" t="s">
        <v>284</v>
      </c>
      <c r="B43">
        <v>45</v>
      </c>
    </row>
    <row r="44" spans="1:2" x14ac:dyDescent="0.3">
      <c r="A44" t="s">
        <v>285</v>
      </c>
      <c r="B44">
        <v>46</v>
      </c>
    </row>
    <row r="45" spans="1:2" x14ac:dyDescent="0.3">
      <c r="A45" t="s">
        <v>286</v>
      </c>
      <c r="B45">
        <v>47</v>
      </c>
    </row>
    <row r="46" spans="1:2" x14ac:dyDescent="0.3">
      <c r="A46" t="s">
        <v>287</v>
      </c>
      <c r="B46">
        <v>48</v>
      </c>
    </row>
    <row r="47" spans="1:2" x14ac:dyDescent="0.3">
      <c r="A47" t="s">
        <v>288</v>
      </c>
      <c r="B47">
        <v>49</v>
      </c>
    </row>
    <row r="48" spans="1:2" x14ac:dyDescent="0.3">
      <c r="A48" t="s">
        <v>289</v>
      </c>
      <c r="B48">
        <v>50</v>
      </c>
    </row>
    <row r="49" spans="1:2" x14ac:dyDescent="0.3">
      <c r="A49" t="s">
        <v>290</v>
      </c>
      <c r="B49">
        <v>51</v>
      </c>
    </row>
    <row r="50" spans="1:2" x14ac:dyDescent="0.3">
      <c r="A50" t="s">
        <v>291</v>
      </c>
      <c r="B50">
        <v>52</v>
      </c>
    </row>
    <row r="51" spans="1:2" x14ac:dyDescent="0.3">
      <c r="A51" t="s">
        <v>292</v>
      </c>
      <c r="B51">
        <v>53</v>
      </c>
    </row>
    <row r="52" spans="1:2" x14ac:dyDescent="0.3">
      <c r="A52" t="s">
        <v>293</v>
      </c>
      <c r="B52">
        <v>54</v>
      </c>
    </row>
    <row r="53" spans="1:2" x14ac:dyDescent="0.3">
      <c r="A53" t="s">
        <v>294</v>
      </c>
      <c r="B53">
        <v>55</v>
      </c>
    </row>
    <row r="54" spans="1:2" x14ac:dyDescent="0.3">
      <c r="A54" t="s">
        <v>295</v>
      </c>
      <c r="B54">
        <v>57</v>
      </c>
    </row>
    <row r="55" spans="1:2" x14ac:dyDescent="0.3">
      <c r="A55" t="s">
        <v>296</v>
      </c>
      <c r="B55">
        <v>58</v>
      </c>
    </row>
    <row r="56" spans="1:2" x14ac:dyDescent="0.3">
      <c r="A56" t="s">
        <v>297</v>
      </c>
      <c r="B56">
        <v>59</v>
      </c>
    </row>
    <row r="57" spans="1:2" x14ac:dyDescent="0.3">
      <c r="A57" t="s">
        <v>298</v>
      </c>
      <c r="B57">
        <v>60</v>
      </c>
    </row>
    <row r="58" spans="1:2" x14ac:dyDescent="0.3">
      <c r="A58" t="s">
        <v>299</v>
      </c>
      <c r="B58">
        <v>62</v>
      </c>
    </row>
    <row r="59" spans="1:2" x14ac:dyDescent="0.3">
      <c r="A59" t="s">
        <v>300</v>
      </c>
      <c r="B59">
        <v>63</v>
      </c>
    </row>
    <row r="60" spans="1:2" x14ac:dyDescent="0.3">
      <c r="A60" t="s">
        <v>301</v>
      </c>
      <c r="B60">
        <v>64</v>
      </c>
    </row>
    <row r="61" spans="1:2" x14ac:dyDescent="0.3">
      <c r="A61" t="s">
        <v>302</v>
      </c>
      <c r="B61">
        <v>65</v>
      </c>
    </row>
    <row r="62" spans="1:2" x14ac:dyDescent="0.3">
      <c r="A62" t="s">
        <v>303</v>
      </c>
      <c r="B62">
        <v>66</v>
      </c>
    </row>
    <row r="63" spans="1:2" x14ac:dyDescent="0.3">
      <c r="A63" t="s">
        <v>304</v>
      </c>
      <c r="B63">
        <v>68</v>
      </c>
    </row>
    <row r="64" spans="1:2" x14ac:dyDescent="0.3">
      <c r="A64" t="s">
        <v>305</v>
      </c>
      <c r="B64">
        <v>69</v>
      </c>
    </row>
    <row r="65" spans="1:24" x14ac:dyDescent="0.3">
      <c r="A65" t="s">
        <v>306</v>
      </c>
      <c r="B65">
        <v>70</v>
      </c>
    </row>
    <row r="66" spans="1:24" x14ac:dyDescent="0.3">
      <c r="A66" t="s">
        <v>307</v>
      </c>
      <c r="B66">
        <v>71</v>
      </c>
    </row>
    <row r="67" spans="1:24" x14ac:dyDescent="0.3">
      <c r="A67" t="s">
        <v>308</v>
      </c>
      <c r="B67">
        <v>72</v>
      </c>
    </row>
    <row r="68" spans="1:24" x14ac:dyDescent="0.3">
      <c r="A68" t="s">
        <v>309</v>
      </c>
      <c r="B68" t="s">
        <v>310</v>
      </c>
    </row>
    <row r="69" spans="1:24" x14ac:dyDescent="0.3">
      <c r="A69" t="s">
        <v>311</v>
      </c>
      <c r="B69" t="s">
        <v>312</v>
      </c>
    </row>
    <row r="70" spans="1:24" x14ac:dyDescent="0.3">
      <c r="A70" t="s">
        <v>313</v>
      </c>
      <c r="B70" t="s">
        <v>314</v>
      </c>
    </row>
    <row r="71" spans="1:24" x14ac:dyDescent="0.3">
      <c r="A71" t="s">
        <v>315</v>
      </c>
      <c r="B71" t="s">
        <v>316</v>
      </c>
    </row>
    <row r="72" spans="1:24" x14ac:dyDescent="0.3">
      <c r="A72" t="s">
        <v>317</v>
      </c>
      <c r="B72" t="s">
        <v>318</v>
      </c>
    </row>
    <row r="73" spans="1:24" x14ac:dyDescent="0.3">
      <c r="A73" t="s">
        <v>319</v>
      </c>
      <c r="B73" t="s">
        <v>320</v>
      </c>
    </row>
    <row r="74" spans="1:24" x14ac:dyDescent="0.3">
      <c r="A74" t="s">
        <v>321</v>
      </c>
      <c r="B74" t="s">
        <v>322</v>
      </c>
    </row>
    <row r="75" spans="1:24" x14ac:dyDescent="0.3">
      <c r="A75" t="s">
        <v>323</v>
      </c>
      <c r="B75" t="s">
        <v>324</v>
      </c>
    </row>
    <row r="76" spans="1:24" x14ac:dyDescent="0.3">
      <c r="A76" t="s">
        <v>325</v>
      </c>
      <c r="B76" t="s">
        <v>326</v>
      </c>
    </row>
    <row r="77" spans="1:24" x14ac:dyDescent="0.3">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328</v>
      </c>
      <c r="B78">
        <v>1</v>
      </c>
    </row>
    <row r="79" spans="1:24" x14ac:dyDescent="0.3">
      <c r="A79" t="s">
        <v>329</v>
      </c>
      <c r="B79">
        <v>2</v>
      </c>
    </row>
    <row r="80" spans="1:24" x14ac:dyDescent="0.3">
      <c r="A80" t="s">
        <v>330</v>
      </c>
      <c r="B80">
        <v>3</v>
      </c>
    </row>
    <row r="81" spans="1:2" x14ac:dyDescent="0.3">
      <c r="A81" t="s">
        <v>331</v>
      </c>
      <c r="B81">
        <v>4</v>
      </c>
    </row>
    <row r="82" spans="1:2" x14ac:dyDescent="0.3">
      <c r="A82" t="s">
        <v>332</v>
      </c>
      <c r="B82">
        <v>5</v>
      </c>
    </row>
    <row r="83" spans="1:2" x14ac:dyDescent="0.3">
      <c r="A83" t="s">
        <v>333</v>
      </c>
      <c r="B83">
        <v>6</v>
      </c>
    </row>
    <row r="84" spans="1:2" x14ac:dyDescent="0.3">
      <c r="A84" t="s">
        <v>334</v>
      </c>
      <c r="B84">
        <v>8</v>
      </c>
    </row>
    <row r="85" spans="1:2" x14ac:dyDescent="0.3">
      <c r="A85" t="s">
        <v>335</v>
      </c>
      <c r="B85">
        <v>9</v>
      </c>
    </row>
    <row r="86" spans="1:2" x14ac:dyDescent="0.3">
      <c r="A86" t="s">
        <v>336</v>
      </c>
      <c r="B86">
        <v>10</v>
      </c>
    </row>
    <row r="87" spans="1:2" x14ac:dyDescent="0.3">
      <c r="A87" t="s">
        <v>337</v>
      </c>
      <c r="B87">
        <v>11</v>
      </c>
    </row>
    <row r="88" spans="1:2" x14ac:dyDescent="0.3">
      <c r="A88" t="s">
        <v>338</v>
      </c>
      <c r="B88">
        <v>12</v>
      </c>
    </row>
    <row r="89" spans="1:2" x14ac:dyDescent="0.3">
      <c r="A89" t="s">
        <v>339</v>
      </c>
      <c r="B89">
        <v>13</v>
      </c>
    </row>
    <row r="90" spans="1:2" x14ac:dyDescent="0.3">
      <c r="A90" t="s">
        <v>340</v>
      </c>
      <c r="B90">
        <v>14</v>
      </c>
    </row>
    <row r="91" spans="1:2" x14ac:dyDescent="0.3">
      <c r="A91" t="s">
        <v>341</v>
      </c>
      <c r="B91">
        <v>15</v>
      </c>
    </row>
    <row r="92" spans="1:2" x14ac:dyDescent="0.3">
      <c r="A92" t="s">
        <v>342</v>
      </c>
      <c r="B92">
        <v>16</v>
      </c>
    </row>
    <row r="93" spans="1:2" x14ac:dyDescent="0.3">
      <c r="A93" t="s">
        <v>343</v>
      </c>
      <c r="B93">
        <v>17</v>
      </c>
    </row>
    <row r="94" spans="1:2" x14ac:dyDescent="0.3">
      <c r="A94" t="s">
        <v>344</v>
      </c>
      <c r="B94">
        <v>18</v>
      </c>
    </row>
    <row r="95" spans="1:2" x14ac:dyDescent="0.3">
      <c r="A95" t="s">
        <v>345</v>
      </c>
      <c r="B95">
        <v>19</v>
      </c>
    </row>
    <row r="96" spans="1:2" x14ac:dyDescent="0.3">
      <c r="A96" t="s">
        <v>346</v>
      </c>
      <c r="B96">
        <v>20</v>
      </c>
    </row>
    <row r="97" spans="1:2" x14ac:dyDescent="0.3">
      <c r="A97" t="s">
        <v>347</v>
      </c>
      <c r="B97">
        <v>21</v>
      </c>
    </row>
    <row r="98" spans="1:2" x14ac:dyDescent="0.3">
      <c r="A98" t="s">
        <v>348</v>
      </c>
      <c r="B98">
        <v>22</v>
      </c>
    </row>
    <row r="99" spans="1:2" x14ac:dyDescent="0.3">
      <c r="A99" t="s">
        <v>349</v>
      </c>
      <c r="B99">
        <v>23</v>
      </c>
    </row>
    <row r="100" spans="1:2" x14ac:dyDescent="0.3">
      <c r="A100" t="s">
        <v>350</v>
      </c>
      <c r="B100">
        <v>24</v>
      </c>
    </row>
    <row r="101" spans="1:2" x14ac:dyDescent="0.3">
      <c r="A101" t="s">
        <v>351</v>
      </c>
      <c r="B101">
        <v>25</v>
      </c>
    </row>
    <row r="102" spans="1:2" x14ac:dyDescent="0.3">
      <c r="A102" t="s">
        <v>352</v>
      </c>
      <c r="B102">
        <v>26</v>
      </c>
    </row>
    <row r="103" spans="1:2" x14ac:dyDescent="0.3">
      <c r="A103" t="s">
        <v>353</v>
      </c>
      <c r="B103">
        <v>27</v>
      </c>
    </row>
    <row r="104" spans="1:2" x14ac:dyDescent="0.3">
      <c r="A104" t="s">
        <v>354</v>
      </c>
      <c r="B104">
        <v>28</v>
      </c>
    </row>
    <row r="105" spans="1:2" x14ac:dyDescent="0.3">
      <c r="A105" t="s">
        <v>355</v>
      </c>
      <c r="B105">
        <v>29</v>
      </c>
    </row>
    <row r="106" spans="1:2" x14ac:dyDescent="0.3">
      <c r="A106" t="s">
        <v>356</v>
      </c>
      <c r="B106">
        <v>31</v>
      </c>
    </row>
    <row r="107" spans="1:2" x14ac:dyDescent="0.3">
      <c r="A107" t="s">
        <v>357</v>
      </c>
      <c r="B107">
        <v>32</v>
      </c>
    </row>
    <row r="108" spans="1:2" x14ac:dyDescent="0.3">
      <c r="A108" t="s">
        <v>358</v>
      </c>
      <c r="B108">
        <v>33</v>
      </c>
    </row>
    <row r="109" spans="1:2" x14ac:dyDescent="0.3">
      <c r="A109" t="s">
        <v>359</v>
      </c>
      <c r="B109">
        <v>34</v>
      </c>
    </row>
    <row r="110" spans="1:2" x14ac:dyDescent="0.3">
      <c r="A110" t="s">
        <v>360</v>
      </c>
      <c r="B110">
        <v>35</v>
      </c>
    </row>
    <row r="111" spans="1:2" x14ac:dyDescent="0.3">
      <c r="A111" t="s">
        <v>361</v>
      </c>
      <c r="B111">
        <v>36</v>
      </c>
    </row>
    <row r="112" spans="1:2" x14ac:dyDescent="0.3">
      <c r="A112" t="s">
        <v>362</v>
      </c>
      <c r="B112">
        <v>37</v>
      </c>
    </row>
    <row r="113" spans="1:2" x14ac:dyDescent="0.3">
      <c r="A113" t="s">
        <v>363</v>
      </c>
      <c r="B113">
        <v>38</v>
      </c>
    </row>
    <row r="114" spans="1:2" x14ac:dyDescent="0.3">
      <c r="A114" t="s">
        <v>364</v>
      </c>
      <c r="B114">
        <v>39</v>
      </c>
    </row>
    <row r="115" spans="1:2" x14ac:dyDescent="0.3">
      <c r="A115" t="s">
        <v>365</v>
      </c>
      <c r="B115">
        <v>40</v>
      </c>
    </row>
    <row r="116" spans="1:2" x14ac:dyDescent="0.3">
      <c r="A116" t="s">
        <v>366</v>
      </c>
      <c r="B116">
        <v>41</v>
      </c>
    </row>
    <row r="117" spans="1:2" x14ac:dyDescent="0.3">
      <c r="A117" t="s">
        <v>367</v>
      </c>
      <c r="B117">
        <v>42</v>
      </c>
    </row>
    <row r="118" spans="1:2" x14ac:dyDescent="0.3">
      <c r="A118" t="s">
        <v>368</v>
      </c>
      <c r="B118">
        <v>43</v>
      </c>
    </row>
    <row r="119" spans="1:2" x14ac:dyDescent="0.3">
      <c r="A119" t="s">
        <v>369</v>
      </c>
      <c r="B119">
        <v>44</v>
      </c>
    </row>
    <row r="120" spans="1:2" x14ac:dyDescent="0.3">
      <c r="A120" t="s">
        <v>370</v>
      </c>
      <c r="B120">
        <v>45</v>
      </c>
    </row>
    <row r="121" spans="1:2" x14ac:dyDescent="0.3">
      <c r="A121" t="s">
        <v>371</v>
      </c>
      <c r="B121">
        <v>46</v>
      </c>
    </row>
    <row r="122" spans="1:2" x14ac:dyDescent="0.3">
      <c r="A122" t="s">
        <v>372</v>
      </c>
      <c r="B122">
        <v>47</v>
      </c>
    </row>
    <row r="123" spans="1:2" x14ac:dyDescent="0.3">
      <c r="A123" t="s">
        <v>373</v>
      </c>
      <c r="B123">
        <v>48</v>
      </c>
    </row>
    <row r="124" spans="1:2" x14ac:dyDescent="0.3">
      <c r="A124" t="s">
        <v>374</v>
      </c>
      <c r="B124">
        <v>49</v>
      </c>
    </row>
    <row r="125" spans="1:2" x14ac:dyDescent="0.3">
      <c r="A125" t="s">
        <v>375</v>
      </c>
      <c r="B125">
        <v>50</v>
      </c>
    </row>
    <row r="126" spans="1:2" x14ac:dyDescent="0.3">
      <c r="A126" t="s">
        <v>376</v>
      </c>
      <c r="B126">
        <v>51</v>
      </c>
    </row>
    <row r="127" spans="1:2" x14ac:dyDescent="0.3">
      <c r="A127" t="s">
        <v>377</v>
      </c>
      <c r="B127">
        <v>52</v>
      </c>
    </row>
    <row r="128" spans="1:2" x14ac:dyDescent="0.3">
      <c r="A128" t="s">
        <v>378</v>
      </c>
      <c r="B128">
        <v>54</v>
      </c>
    </row>
    <row r="129" spans="1:23" x14ac:dyDescent="0.3">
      <c r="A129" t="s">
        <v>379</v>
      </c>
      <c r="B129">
        <v>55</v>
      </c>
    </row>
    <row r="130" spans="1:23" x14ac:dyDescent="0.3">
      <c r="A130" t="s">
        <v>380</v>
      </c>
      <c r="B130">
        <v>56</v>
      </c>
    </row>
    <row r="131" spans="1:23" x14ac:dyDescent="0.3">
      <c r="A131" t="s">
        <v>381</v>
      </c>
      <c r="B131">
        <v>57</v>
      </c>
    </row>
    <row r="132" spans="1:23" x14ac:dyDescent="0.3">
      <c r="A132" t="s">
        <v>382</v>
      </c>
      <c r="B132">
        <v>58</v>
      </c>
    </row>
    <row r="133" spans="1:23" x14ac:dyDescent="0.3">
      <c r="A133" t="s">
        <v>383</v>
      </c>
      <c r="B133">
        <v>59</v>
      </c>
    </row>
    <row r="134" spans="1:23" x14ac:dyDescent="0.3">
      <c r="A134" t="s">
        <v>384</v>
      </c>
      <c r="B134" t="s">
        <v>385</v>
      </c>
    </row>
    <row r="135" spans="1:23" x14ac:dyDescent="0.3">
      <c r="A135" t="s">
        <v>386</v>
      </c>
      <c r="B135" t="s">
        <v>387</v>
      </c>
    </row>
    <row r="136" spans="1:23" x14ac:dyDescent="0.3">
      <c r="A136" t="s">
        <v>388</v>
      </c>
      <c r="B136" t="s">
        <v>389</v>
      </c>
    </row>
    <row r="137" spans="1:23" x14ac:dyDescent="0.3">
      <c r="A137" t="s">
        <v>390</v>
      </c>
      <c r="B137" t="s">
        <v>391</v>
      </c>
    </row>
    <row r="138" spans="1:23" x14ac:dyDescent="0.3">
      <c r="A138" t="s">
        <v>392</v>
      </c>
      <c r="B138" t="s">
        <v>393</v>
      </c>
    </row>
    <row r="139" spans="1:23" x14ac:dyDescent="0.3">
      <c r="A139" t="s">
        <v>394</v>
      </c>
      <c r="B139" t="s">
        <v>395</v>
      </c>
    </row>
    <row r="140" spans="1:23" x14ac:dyDescent="0.3">
      <c r="A140" t="s">
        <v>396</v>
      </c>
      <c r="B140" t="s">
        <v>397</v>
      </c>
    </row>
    <row r="141" spans="1:23" x14ac:dyDescent="0.3">
      <c r="A141" t="s">
        <v>398</v>
      </c>
      <c r="B141" t="s">
        <v>399</v>
      </c>
    </row>
    <row r="142" spans="1:23" x14ac:dyDescent="0.3">
      <c r="A142" t="s">
        <v>400</v>
      </c>
      <c r="B142" t="s">
        <v>401</v>
      </c>
    </row>
    <row r="143" spans="1:23" x14ac:dyDescent="0.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403</v>
      </c>
      <c r="B144">
        <v>1</v>
      </c>
    </row>
    <row r="145" spans="1:2" x14ac:dyDescent="0.3">
      <c r="A145" t="s">
        <v>404</v>
      </c>
      <c r="B145">
        <v>2</v>
      </c>
    </row>
    <row r="146" spans="1:2" x14ac:dyDescent="0.3">
      <c r="A146" t="s">
        <v>405</v>
      </c>
      <c r="B146">
        <v>3</v>
      </c>
    </row>
    <row r="147" spans="1:2" x14ac:dyDescent="0.3">
      <c r="A147" t="s">
        <v>406</v>
      </c>
      <c r="B147">
        <v>4</v>
      </c>
    </row>
    <row r="148" spans="1:2" x14ac:dyDescent="0.3">
      <c r="A148" t="s">
        <v>407</v>
      </c>
      <c r="B148">
        <v>5</v>
      </c>
    </row>
    <row r="149" spans="1:2" x14ac:dyDescent="0.3">
      <c r="A149" t="s">
        <v>408</v>
      </c>
      <c r="B149">
        <v>6</v>
      </c>
    </row>
    <row r="150" spans="1:2" x14ac:dyDescent="0.3">
      <c r="A150" t="s">
        <v>409</v>
      </c>
      <c r="B150">
        <v>8</v>
      </c>
    </row>
    <row r="151" spans="1:2" x14ac:dyDescent="0.3">
      <c r="A151" t="s">
        <v>410</v>
      </c>
      <c r="B151">
        <v>9</v>
      </c>
    </row>
    <row r="152" spans="1:2" x14ac:dyDescent="0.3">
      <c r="A152" t="s">
        <v>411</v>
      </c>
      <c r="B152">
        <v>10</v>
      </c>
    </row>
    <row r="153" spans="1:2" x14ac:dyDescent="0.3">
      <c r="A153" t="s">
        <v>412</v>
      </c>
      <c r="B153">
        <v>11</v>
      </c>
    </row>
    <row r="154" spans="1:2" x14ac:dyDescent="0.3">
      <c r="A154" t="s">
        <v>413</v>
      </c>
      <c r="B154">
        <v>12</v>
      </c>
    </row>
    <row r="155" spans="1:2" x14ac:dyDescent="0.3">
      <c r="A155" t="s">
        <v>414</v>
      </c>
      <c r="B155">
        <v>13</v>
      </c>
    </row>
    <row r="156" spans="1:2" x14ac:dyDescent="0.3">
      <c r="A156" t="s">
        <v>415</v>
      </c>
      <c r="B156">
        <v>14</v>
      </c>
    </row>
    <row r="157" spans="1:2" x14ac:dyDescent="0.3">
      <c r="A157" t="s">
        <v>416</v>
      </c>
      <c r="B157">
        <v>15</v>
      </c>
    </row>
    <row r="158" spans="1:2" x14ac:dyDescent="0.3">
      <c r="A158" t="s">
        <v>417</v>
      </c>
      <c r="B158">
        <v>16</v>
      </c>
    </row>
    <row r="159" spans="1:2" x14ac:dyDescent="0.3">
      <c r="A159" t="s">
        <v>418</v>
      </c>
      <c r="B159">
        <v>17</v>
      </c>
    </row>
    <row r="160" spans="1:2" x14ac:dyDescent="0.3">
      <c r="A160" t="s">
        <v>419</v>
      </c>
      <c r="B160">
        <v>18</v>
      </c>
    </row>
    <row r="161" spans="1:2" x14ac:dyDescent="0.3">
      <c r="A161" t="s">
        <v>420</v>
      </c>
      <c r="B161">
        <v>19</v>
      </c>
    </row>
    <row r="162" spans="1:2" x14ac:dyDescent="0.3">
      <c r="A162" t="s">
        <v>421</v>
      </c>
      <c r="B162">
        <v>20</v>
      </c>
    </row>
    <row r="163" spans="1:2" x14ac:dyDescent="0.3">
      <c r="A163" t="s">
        <v>422</v>
      </c>
      <c r="B163">
        <v>21</v>
      </c>
    </row>
    <row r="164" spans="1:2" x14ac:dyDescent="0.3">
      <c r="A164" t="s">
        <v>423</v>
      </c>
      <c r="B164">
        <v>22</v>
      </c>
    </row>
    <row r="165" spans="1:2" x14ac:dyDescent="0.3">
      <c r="A165" t="s">
        <v>424</v>
      </c>
      <c r="B165">
        <v>23</v>
      </c>
    </row>
    <row r="166" spans="1:2" x14ac:dyDescent="0.3">
      <c r="A166" t="s">
        <v>425</v>
      </c>
      <c r="B166">
        <v>24</v>
      </c>
    </row>
    <row r="167" spans="1:2" x14ac:dyDescent="0.3">
      <c r="A167" t="s">
        <v>426</v>
      </c>
      <c r="B167">
        <v>25</v>
      </c>
    </row>
    <row r="168" spans="1:2" x14ac:dyDescent="0.3">
      <c r="A168" t="s">
        <v>427</v>
      </c>
      <c r="B168">
        <v>26</v>
      </c>
    </row>
    <row r="169" spans="1:2" x14ac:dyDescent="0.3">
      <c r="A169" t="s">
        <v>428</v>
      </c>
      <c r="B169">
        <v>27</v>
      </c>
    </row>
    <row r="170" spans="1:2" x14ac:dyDescent="0.3">
      <c r="A170" t="s">
        <v>429</v>
      </c>
      <c r="B170">
        <v>28</v>
      </c>
    </row>
    <row r="171" spans="1:2" x14ac:dyDescent="0.3">
      <c r="A171" t="s">
        <v>430</v>
      </c>
      <c r="B171">
        <v>29</v>
      </c>
    </row>
    <row r="172" spans="1:2" x14ac:dyDescent="0.3">
      <c r="A172" t="s">
        <v>431</v>
      </c>
      <c r="B172">
        <v>31</v>
      </c>
    </row>
    <row r="173" spans="1:2" x14ac:dyDescent="0.3">
      <c r="A173" t="s">
        <v>432</v>
      </c>
      <c r="B173">
        <v>32</v>
      </c>
    </row>
    <row r="174" spans="1:2" x14ac:dyDescent="0.3">
      <c r="A174" t="s">
        <v>433</v>
      </c>
      <c r="B174">
        <v>33</v>
      </c>
    </row>
    <row r="175" spans="1:2" x14ac:dyDescent="0.3">
      <c r="A175" t="s">
        <v>434</v>
      </c>
      <c r="B175">
        <v>34</v>
      </c>
    </row>
    <row r="176" spans="1:2" x14ac:dyDescent="0.3">
      <c r="A176" t="s">
        <v>435</v>
      </c>
      <c r="B176">
        <v>35</v>
      </c>
    </row>
    <row r="177" spans="1:2" x14ac:dyDescent="0.3">
      <c r="A177" t="s">
        <v>436</v>
      </c>
      <c r="B177">
        <v>36</v>
      </c>
    </row>
    <row r="178" spans="1:2" x14ac:dyDescent="0.3">
      <c r="A178" t="s">
        <v>437</v>
      </c>
      <c r="B178">
        <v>37</v>
      </c>
    </row>
    <row r="179" spans="1:2" x14ac:dyDescent="0.3">
      <c r="A179" t="s">
        <v>438</v>
      </c>
      <c r="B179">
        <v>38</v>
      </c>
    </row>
    <row r="180" spans="1:2" x14ac:dyDescent="0.3">
      <c r="A180" t="s">
        <v>439</v>
      </c>
      <c r="B180">
        <v>39</v>
      </c>
    </row>
    <row r="181" spans="1:2" x14ac:dyDescent="0.3">
      <c r="A181" t="s">
        <v>440</v>
      </c>
      <c r="B181">
        <v>40</v>
      </c>
    </row>
    <row r="182" spans="1:2" x14ac:dyDescent="0.3">
      <c r="A182" t="s">
        <v>441</v>
      </c>
      <c r="B182">
        <v>41</v>
      </c>
    </row>
    <row r="183" spans="1:2" x14ac:dyDescent="0.3">
      <c r="A183" t="s">
        <v>442</v>
      </c>
      <c r="B183">
        <v>42</v>
      </c>
    </row>
    <row r="184" spans="1:2" x14ac:dyDescent="0.3">
      <c r="A184" t="s">
        <v>443</v>
      </c>
      <c r="B184">
        <v>43</v>
      </c>
    </row>
    <row r="185" spans="1:2" x14ac:dyDescent="0.3">
      <c r="A185" t="s">
        <v>444</v>
      </c>
      <c r="B185">
        <v>44</v>
      </c>
    </row>
    <row r="186" spans="1:2" x14ac:dyDescent="0.3">
      <c r="A186" t="s">
        <v>445</v>
      </c>
      <c r="B186">
        <v>45</v>
      </c>
    </row>
    <row r="187" spans="1:2" x14ac:dyDescent="0.3">
      <c r="A187" t="s">
        <v>446</v>
      </c>
      <c r="B187">
        <v>46</v>
      </c>
    </row>
    <row r="188" spans="1:2" x14ac:dyDescent="0.3">
      <c r="A188" t="s">
        <v>447</v>
      </c>
      <c r="B188">
        <v>47</v>
      </c>
    </row>
    <row r="189" spans="1:2" x14ac:dyDescent="0.3">
      <c r="A189" t="s">
        <v>448</v>
      </c>
      <c r="B189">
        <v>48</v>
      </c>
    </row>
    <row r="190" spans="1:2" x14ac:dyDescent="0.3">
      <c r="A190" t="s">
        <v>449</v>
      </c>
      <c r="B190">
        <v>49</v>
      </c>
    </row>
    <row r="191" spans="1:2" x14ac:dyDescent="0.3">
      <c r="A191" t="s">
        <v>450</v>
      </c>
      <c r="B191">
        <v>50</v>
      </c>
    </row>
    <row r="192" spans="1:2" x14ac:dyDescent="0.3">
      <c r="A192" t="s">
        <v>451</v>
      </c>
      <c r="B192">
        <v>51</v>
      </c>
    </row>
    <row r="193" spans="1:2" x14ac:dyDescent="0.3">
      <c r="A193" t="s">
        <v>452</v>
      </c>
      <c r="B193">
        <v>52</v>
      </c>
    </row>
    <row r="194" spans="1:2" x14ac:dyDescent="0.3">
      <c r="A194" t="s">
        <v>453</v>
      </c>
      <c r="B194">
        <v>54</v>
      </c>
    </row>
    <row r="195" spans="1:2" x14ac:dyDescent="0.3">
      <c r="A195" t="s">
        <v>454</v>
      </c>
      <c r="B195">
        <v>55</v>
      </c>
    </row>
    <row r="196" spans="1:2" x14ac:dyDescent="0.3">
      <c r="A196" t="s">
        <v>455</v>
      </c>
      <c r="B196">
        <v>56</v>
      </c>
    </row>
    <row r="197" spans="1:2" x14ac:dyDescent="0.3">
      <c r="A197" t="s">
        <v>456</v>
      </c>
      <c r="B197">
        <v>57</v>
      </c>
    </row>
    <row r="198" spans="1:2" x14ac:dyDescent="0.3">
      <c r="A198" t="s">
        <v>457</v>
      </c>
      <c r="B198">
        <v>58</v>
      </c>
    </row>
    <row r="199" spans="1:2" x14ac:dyDescent="0.3">
      <c r="A199" t="s">
        <v>458</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478</v>
      </c>
      <c r="B210">
        <v>1</v>
      </c>
    </row>
    <row r="211" spans="1:23" x14ac:dyDescent="0.3">
      <c r="A211" t="s">
        <v>479</v>
      </c>
      <c r="B211">
        <v>2</v>
      </c>
    </row>
    <row r="212" spans="1:23" x14ac:dyDescent="0.3">
      <c r="A212" t="s">
        <v>480</v>
      </c>
      <c r="B212">
        <v>3</v>
      </c>
    </row>
    <row r="213" spans="1:23" x14ac:dyDescent="0.3">
      <c r="A213" t="s">
        <v>481</v>
      </c>
      <c r="B213">
        <v>4</v>
      </c>
    </row>
    <row r="214" spans="1:23" x14ac:dyDescent="0.3">
      <c r="A214" t="s">
        <v>482</v>
      </c>
      <c r="B214">
        <v>5</v>
      </c>
    </row>
    <row r="215" spans="1:23" x14ac:dyDescent="0.3">
      <c r="A215" t="s">
        <v>483</v>
      </c>
      <c r="B215">
        <v>6</v>
      </c>
    </row>
    <row r="216" spans="1:23" x14ac:dyDescent="0.3">
      <c r="A216" t="s">
        <v>484</v>
      </c>
      <c r="B216">
        <v>7</v>
      </c>
    </row>
    <row r="217" spans="1:23" x14ac:dyDescent="0.3">
      <c r="A217" t="s">
        <v>485</v>
      </c>
      <c r="B217">
        <v>9</v>
      </c>
    </row>
    <row r="218" spans="1:23" x14ac:dyDescent="0.3">
      <c r="A218" t="s">
        <v>486</v>
      </c>
      <c r="B218">
        <v>10</v>
      </c>
    </row>
    <row r="219" spans="1:23" x14ac:dyDescent="0.3">
      <c r="A219" t="s">
        <v>487</v>
      </c>
      <c r="B219">
        <v>11</v>
      </c>
    </row>
    <row r="220" spans="1:23" x14ac:dyDescent="0.3">
      <c r="A220" t="s">
        <v>488</v>
      </c>
      <c r="B220">
        <v>12</v>
      </c>
    </row>
    <row r="221" spans="1:23" x14ac:dyDescent="0.3">
      <c r="A221" t="s">
        <v>489</v>
      </c>
      <c r="B221">
        <v>13</v>
      </c>
    </row>
    <row r="222" spans="1:23" x14ac:dyDescent="0.3">
      <c r="A222" t="s">
        <v>490</v>
      </c>
      <c r="B222">
        <v>14</v>
      </c>
    </row>
    <row r="223" spans="1:23" x14ac:dyDescent="0.3">
      <c r="A223" t="s">
        <v>491</v>
      </c>
      <c r="B223">
        <v>15</v>
      </c>
    </row>
    <row r="224" spans="1:23" x14ac:dyDescent="0.3">
      <c r="A224" t="s">
        <v>492</v>
      </c>
      <c r="B224">
        <v>16</v>
      </c>
    </row>
    <row r="225" spans="1:2" x14ac:dyDescent="0.3">
      <c r="A225" t="s">
        <v>493</v>
      </c>
      <c r="B225">
        <v>17</v>
      </c>
    </row>
    <row r="226" spans="1:2" x14ac:dyDescent="0.3">
      <c r="A226" t="s">
        <v>494</v>
      </c>
      <c r="B226">
        <v>18</v>
      </c>
    </row>
    <row r="227" spans="1:2" x14ac:dyDescent="0.3">
      <c r="A227" t="s">
        <v>495</v>
      </c>
      <c r="B227">
        <v>19</v>
      </c>
    </row>
    <row r="228" spans="1:2" x14ac:dyDescent="0.3">
      <c r="A228" t="s">
        <v>496</v>
      </c>
      <c r="B228">
        <v>20</v>
      </c>
    </row>
    <row r="229" spans="1:2" x14ac:dyDescent="0.3">
      <c r="A229" t="s">
        <v>497</v>
      </c>
      <c r="B229">
        <v>21</v>
      </c>
    </row>
    <row r="230" spans="1:2" x14ac:dyDescent="0.3">
      <c r="A230" t="s">
        <v>498</v>
      </c>
      <c r="B230">
        <v>22</v>
      </c>
    </row>
    <row r="231" spans="1:2" x14ac:dyDescent="0.3">
      <c r="A231" t="s">
        <v>499</v>
      </c>
      <c r="B231">
        <v>23</v>
      </c>
    </row>
    <row r="232" spans="1:2" x14ac:dyDescent="0.3">
      <c r="A232" t="s">
        <v>500</v>
      </c>
      <c r="B232">
        <v>24</v>
      </c>
    </row>
    <row r="233" spans="1:2" x14ac:dyDescent="0.3">
      <c r="A233" t="s">
        <v>501</v>
      </c>
      <c r="B233">
        <v>25</v>
      </c>
    </row>
    <row r="234" spans="1:2" x14ac:dyDescent="0.3">
      <c r="A234" t="s">
        <v>502</v>
      </c>
      <c r="B234">
        <v>26</v>
      </c>
    </row>
    <row r="235" spans="1:2" x14ac:dyDescent="0.3">
      <c r="A235" t="s">
        <v>503</v>
      </c>
      <c r="B235">
        <v>27</v>
      </c>
    </row>
    <row r="236" spans="1:2" x14ac:dyDescent="0.3">
      <c r="A236" t="s">
        <v>504</v>
      </c>
      <c r="B236">
        <v>28</v>
      </c>
    </row>
    <row r="237" spans="1:2" x14ac:dyDescent="0.3">
      <c r="A237" t="s">
        <v>505</v>
      </c>
      <c r="B237">
        <v>29</v>
      </c>
    </row>
    <row r="238" spans="1:2" x14ac:dyDescent="0.3">
      <c r="A238" t="s">
        <v>506</v>
      </c>
      <c r="B238">
        <v>30</v>
      </c>
    </row>
    <row r="239" spans="1:2" x14ac:dyDescent="0.3">
      <c r="A239" t="s">
        <v>507</v>
      </c>
      <c r="B239">
        <v>31</v>
      </c>
    </row>
    <row r="240" spans="1:2" x14ac:dyDescent="0.3">
      <c r="A240" t="s">
        <v>508</v>
      </c>
      <c r="B240">
        <v>33</v>
      </c>
    </row>
    <row r="241" spans="1:2" x14ac:dyDescent="0.3">
      <c r="A241" t="s">
        <v>509</v>
      </c>
      <c r="B241">
        <v>34</v>
      </c>
    </row>
    <row r="242" spans="1:2" x14ac:dyDescent="0.3">
      <c r="A242" t="s">
        <v>510</v>
      </c>
      <c r="B242">
        <v>35</v>
      </c>
    </row>
    <row r="243" spans="1:2" x14ac:dyDescent="0.3">
      <c r="A243" t="s">
        <v>511</v>
      </c>
      <c r="B243">
        <v>36</v>
      </c>
    </row>
    <row r="244" spans="1:2" x14ac:dyDescent="0.3">
      <c r="A244" t="s">
        <v>512</v>
      </c>
      <c r="B244">
        <v>37</v>
      </c>
    </row>
    <row r="245" spans="1:2" x14ac:dyDescent="0.3">
      <c r="A245" t="s">
        <v>513</v>
      </c>
      <c r="B245">
        <v>38</v>
      </c>
    </row>
    <row r="246" spans="1:2" x14ac:dyDescent="0.3">
      <c r="A246" t="s">
        <v>514</v>
      </c>
      <c r="B246">
        <v>39</v>
      </c>
    </row>
    <row r="247" spans="1:2" x14ac:dyDescent="0.3">
      <c r="A247" t="s">
        <v>515</v>
      </c>
      <c r="B247">
        <v>40</v>
      </c>
    </row>
    <row r="248" spans="1:2" x14ac:dyDescent="0.3">
      <c r="A248" t="s">
        <v>516</v>
      </c>
      <c r="B248">
        <v>41</v>
      </c>
    </row>
    <row r="249" spans="1:2" x14ac:dyDescent="0.3">
      <c r="A249" t="s">
        <v>517</v>
      </c>
      <c r="B249">
        <v>42</v>
      </c>
    </row>
    <row r="250" spans="1:2" x14ac:dyDescent="0.3">
      <c r="A250" t="s">
        <v>518</v>
      </c>
      <c r="B250">
        <v>43</v>
      </c>
    </row>
    <row r="251" spans="1:2" x14ac:dyDescent="0.3">
      <c r="A251" t="s">
        <v>519</v>
      </c>
      <c r="B251">
        <v>44</v>
      </c>
    </row>
    <row r="252" spans="1:2" x14ac:dyDescent="0.3">
      <c r="A252" t="s">
        <v>520</v>
      </c>
      <c r="B252">
        <v>45</v>
      </c>
    </row>
    <row r="253" spans="1:2" x14ac:dyDescent="0.3">
      <c r="A253" t="s">
        <v>521</v>
      </c>
      <c r="B253">
        <v>46</v>
      </c>
    </row>
    <row r="254" spans="1:2" x14ac:dyDescent="0.3">
      <c r="A254" t="s">
        <v>522</v>
      </c>
      <c r="B254">
        <v>47</v>
      </c>
    </row>
    <row r="255" spans="1:2" x14ac:dyDescent="0.3">
      <c r="A255" t="s">
        <v>523</v>
      </c>
      <c r="B255">
        <v>48</v>
      </c>
    </row>
    <row r="256" spans="1:2" x14ac:dyDescent="0.3">
      <c r="A256" t="s">
        <v>524</v>
      </c>
      <c r="B256">
        <v>49</v>
      </c>
    </row>
    <row r="257" spans="1:2" x14ac:dyDescent="0.3">
      <c r="A257" t="s">
        <v>525</v>
      </c>
      <c r="B257">
        <v>50</v>
      </c>
    </row>
    <row r="258" spans="1:2" x14ac:dyDescent="0.3">
      <c r="A258" t="s">
        <v>526</v>
      </c>
      <c r="B258">
        <v>51</v>
      </c>
    </row>
    <row r="259" spans="1:2" x14ac:dyDescent="0.3">
      <c r="A259" t="s">
        <v>527</v>
      </c>
      <c r="B259">
        <v>52</v>
      </c>
    </row>
    <row r="260" spans="1:2" x14ac:dyDescent="0.3">
      <c r="A260" t="s">
        <v>528</v>
      </c>
      <c r="B260">
        <v>53</v>
      </c>
    </row>
    <row r="261" spans="1:2" x14ac:dyDescent="0.3">
      <c r="A261" t="s">
        <v>529</v>
      </c>
      <c r="B261">
        <v>54</v>
      </c>
    </row>
    <row r="262" spans="1:2" x14ac:dyDescent="0.3">
      <c r="A262" t="s">
        <v>530</v>
      </c>
      <c r="B262">
        <v>55</v>
      </c>
    </row>
    <row r="263" spans="1:2" x14ac:dyDescent="0.3">
      <c r="A263" t="s">
        <v>531</v>
      </c>
      <c r="B263">
        <v>57</v>
      </c>
    </row>
    <row r="264" spans="1:2" x14ac:dyDescent="0.3">
      <c r="A264" t="s">
        <v>532</v>
      </c>
      <c r="B264">
        <v>58</v>
      </c>
    </row>
    <row r="265" spans="1:2" x14ac:dyDescent="0.3">
      <c r="A265" t="s">
        <v>533</v>
      </c>
      <c r="B265">
        <v>59</v>
      </c>
    </row>
    <row r="266" spans="1:2" x14ac:dyDescent="0.3">
      <c r="A266" t="s">
        <v>534</v>
      </c>
      <c r="B266">
        <v>60</v>
      </c>
    </row>
    <row r="267" spans="1:2" x14ac:dyDescent="0.3">
      <c r="A267" t="s">
        <v>535</v>
      </c>
      <c r="B267">
        <v>62</v>
      </c>
    </row>
    <row r="268" spans="1:2" x14ac:dyDescent="0.3">
      <c r="A268" t="s">
        <v>536</v>
      </c>
      <c r="B268">
        <v>63</v>
      </c>
    </row>
    <row r="269" spans="1:2" x14ac:dyDescent="0.3">
      <c r="A269" t="s">
        <v>537</v>
      </c>
      <c r="B269">
        <v>64</v>
      </c>
    </row>
    <row r="270" spans="1:2" x14ac:dyDescent="0.3">
      <c r="A270" t="s">
        <v>538</v>
      </c>
      <c r="B270">
        <v>65</v>
      </c>
    </row>
    <row r="271" spans="1:2" x14ac:dyDescent="0.3">
      <c r="A271" t="s">
        <v>539</v>
      </c>
      <c r="B271">
        <v>66</v>
      </c>
    </row>
    <row r="272" spans="1:2" x14ac:dyDescent="0.3">
      <c r="A272" t="s">
        <v>540</v>
      </c>
      <c r="B272">
        <v>68</v>
      </c>
    </row>
    <row r="273" spans="1:24" x14ac:dyDescent="0.3">
      <c r="A273" t="s">
        <v>541</v>
      </c>
      <c r="B273">
        <v>69</v>
      </c>
    </row>
    <row r="274" spans="1:24" x14ac:dyDescent="0.3">
      <c r="A274" t="s">
        <v>542</v>
      </c>
      <c r="B274">
        <v>70</v>
      </c>
    </row>
    <row r="275" spans="1:24" x14ac:dyDescent="0.3">
      <c r="A275" t="s">
        <v>543</v>
      </c>
      <c r="B275">
        <v>71</v>
      </c>
    </row>
    <row r="276" spans="1:24" x14ac:dyDescent="0.3">
      <c r="A276" t="s">
        <v>544</v>
      </c>
      <c r="B276">
        <v>72</v>
      </c>
    </row>
    <row r="277" spans="1:24" x14ac:dyDescent="0.3">
      <c r="A277" t="s">
        <v>545</v>
      </c>
      <c r="B277" t="s">
        <v>546</v>
      </c>
    </row>
    <row r="278" spans="1:24" x14ac:dyDescent="0.3">
      <c r="A278" t="s">
        <v>547</v>
      </c>
      <c r="B278" t="s">
        <v>548</v>
      </c>
    </row>
    <row r="279" spans="1:24" x14ac:dyDescent="0.3">
      <c r="A279" t="s">
        <v>549</v>
      </c>
      <c r="B279" t="s">
        <v>550</v>
      </c>
    </row>
    <row r="280" spans="1:24" x14ac:dyDescent="0.3">
      <c r="A280" t="s">
        <v>551</v>
      </c>
      <c r="B280" t="s">
        <v>552</v>
      </c>
    </row>
    <row r="281" spans="1:24" x14ac:dyDescent="0.3">
      <c r="A281" t="s">
        <v>553</v>
      </c>
      <c r="B281" t="s">
        <v>554</v>
      </c>
    </row>
    <row r="282" spans="1:24" x14ac:dyDescent="0.3">
      <c r="A282" t="s">
        <v>555</v>
      </c>
      <c r="B282" t="s">
        <v>556</v>
      </c>
    </row>
    <row r="283" spans="1:24" x14ac:dyDescent="0.3">
      <c r="A283" t="s">
        <v>557</v>
      </c>
      <c r="B283" t="s">
        <v>558</v>
      </c>
    </row>
    <row r="284" spans="1:24" x14ac:dyDescent="0.3">
      <c r="A284" t="s">
        <v>559</v>
      </c>
      <c r="B284" t="s">
        <v>560</v>
      </c>
    </row>
    <row r="285" spans="1:24" x14ac:dyDescent="0.3">
      <c r="A285" t="s">
        <v>561</v>
      </c>
      <c r="B285" t="s">
        <v>562</v>
      </c>
    </row>
    <row r="286" spans="1:24" x14ac:dyDescent="0.3">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U5" activePane="bottomRight" state="frozen"/>
      <selection pane="topRight" activeCell="C1" sqref="C1"/>
      <selection pane="bottomLeft" activeCell="A5" sqref="A5"/>
      <selection pane="bottomRight" activeCell="AM5" sqref="AM5:AZ1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3" t="s">
        <v>564</v>
      </c>
      <c r="B1" s="59"/>
      <c r="C1" s="59"/>
      <c r="D1" s="59"/>
      <c r="E1" s="59"/>
      <c r="F1" s="59"/>
      <c r="H1" s="58" t="str">
        <f>Summary!$C$1</f>
        <v>ALL_master+r8.0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3">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3">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300</v>
      </c>
      <c r="F5" s="10">
        <v>30</v>
      </c>
      <c r="H5" s="17">
        <f t="shared" ref="H5:H11" si="0">IF(ISBLANK(Q5),"·",Q5/(C5*(D5*3+IF(AND(ISNUMBER(T5),T5&gt;0),24,0))))</f>
        <v>0.16882800462006581</v>
      </c>
      <c r="I5" s="11">
        <f t="shared" ref="I5:I11" si="1">IF(OR(ISBLANK(Q5),ISBLANK(F5)),"·",Q5*F5/E5/1000000)</f>
        <v>217.11121199999999</v>
      </c>
      <c r="J5" s="12">
        <f t="shared" ref="J5:J11" si="2">IF(ISBLANK(Q5),"·",Q5/C5)</f>
        <v>9.1167122494835535</v>
      </c>
      <c r="K5" s="12">
        <f t="shared" ref="K5:K11" si="3">IF(N5="","·",N5/C5)</f>
        <v>1.4349644962706993</v>
      </c>
      <c r="L5" s="12">
        <f t="shared" ref="L5:L11" si="4">IF(R5="","·",R5/C5)</f>
        <v>1.3377396930613155</v>
      </c>
      <c r="M5" s="12">
        <f t="shared" ref="M5:M11" si="5">IF(ISBLANK(T5),"·",T5/C5)</f>
        <v>7.6817477532128544</v>
      </c>
      <c r="N5" s="54">
        <f t="shared" ref="N5:N11" si="6">IF(OR(ISBLANK(R5),ISBLANK(S5)),"",R5+S5)</f>
        <v>341731616</v>
      </c>
      <c r="O5" s="12">
        <v>16</v>
      </c>
      <c r="P5" s="13">
        <v>238146391</v>
      </c>
      <c r="Q5" s="14">
        <v>2171112120</v>
      </c>
      <c r="R5" s="14">
        <v>318577880</v>
      </c>
      <c r="S5" s="14">
        <v>23153736</v>
      </c>
      <c r="T5" s="14">
        <v>1829380504</v>
      </c>
      <c r="U5" s="15" t="s">
        <v>571</v>
      </c>
      <c r="V5" s="15" t="s">
        <v>571</v>
      </c>
      <c r="W5" s="15" t="s">
        <v>571</v>
      </c>
      <c r="X5" s="15" t="s">
        <v>571</v>
      </c>
      <c r="Y5" s="15" t="s">
        <v>571</v>
      </c>
      <c r="Z5" s="16">
        <v>33546.800000000003</v>
      </c>
      <c r="AA5" s="16">
        <v>55656.6</v>
      </c>
      <c r="AB5" s="16">
        <v>57.360999999999997</v>
      </c>
      <c r="AC5" s="16">
        <v>267.12</v>
      </c>
      <c r="AE5" s="17">
        <f t="shared" ref="AE5:AE11" si="7">IF(ISBLANK(Q5),"·",Q5/(C5*(D5*3+IF(AND(ISNUMBER(T5),T5&gt;0),24,0))))</f>
        <v>0.16882800462006581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300</v>
      </c>
      <c r="F6" s="19">
        <v>30</v>
      </c>
      <c r="H6" s="26">
        <f t="shared" si="0"/>
        <v>0.24066282943345454</v>
      </c>
      <c r="I6" s="20">
        <f t="shared" si="1"/>
        <v>283.46584639999998</v>
      </c>
      <c r="J6" s="21">
        <f t="shared" si="2"/>
        <v>12.995792789406545</v>
      </c>
      <c r="K6" s="21">
        <f t="shared" si="3"/>
        <v>1.7636050321041177</v>
      </c>
      <c r="L6" s="21">
        <f t="shared" si="4"/>
        <v>1.6027027390573909</v>
      </c>
      <c r="M6" s="21">
        <f t="shared" si="5"/>
        <v>11.232187757302427</v>
      </c>
      <c r="N6" s="18">
        <f t="shared" si="6"/>
        <v>384679720</v>
      </c>
      <c r="O6" s="21">
        <v>16</v>
      </c>
      <c r="P6" s="22">
        <v>218121242</v>
      </c>
      <c r="Q6" s="23">
        <v>2834658464</v>
      </c>
      <c r="R6" s="23">
        <v>349583512</v>
      </c>
      <c r="S6" s="23">
        <v>35096208</v>
      </c>
      <c r="T6" s="23">
        <v>2449978744</v>
      </c>
      <c r="U6" s="24" t="s">
        <v>571</v>
      </c>
      <c r="V6" s="24" t="s">
        <v>571</v>
      </c>
      <c r="W6" s="24" t="s">
        <v>571</v>
      </c>
      <c r="X6" s="24" t="s">
        <v>571</v>
      </c>
      <c r="Y6" s="24" t="s">
        <v>571</v>
      </c>
      <c r="Z6" s="25">
        <v>30967.5</v>
      </c>
      <c r="AA6" s="25">
        <v>56575.1</v>
      </c>
      <c r="AB6" s="25">
        <v>55.109000000000002</v>
      </c>
      <c r="AC6" s="25">
        <v>282.05700000000002</v>
      </c>
      <c r="AE6" s="26">
        <f t="shared" si="7"/>
        <v>0.24066282943345454</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300</v>
      </c>
      <c r="F7" s="10">
        <v>30</v>
      </c>
      <c r="H7" s="17">
        <f t="shared" si="0"/>
        <v>0.18813087769269954</v>
      </c>
      <c r="I7" s="11">
        <f t="shared" si="1"/>
        <v>327.72105439999996</v>
      </c>
      <c r="J7" s="12">
        <f t="shared" si="2"/>
        <v>10.159067395405776</v>
      </c>
      <c r="K7" s="12">
        <f t="shared" si="3"/>
        <v>1.6478056720619949</v>
      </c>
      <c r="L7" s="12">
        <f t="shared" si="4"/>
        <v>1.5287124724848626</v>
      </c>
      <c r="M7" s="12">
        <f t="shared" si="5"/>
        <v>8.5112617233437806</v>
      </c>
      <c r="N7" s="54">
        <f t="shared" si="6"/>
        <v>531565144</v>
      </c>
      <c r="O7" s="12">
        <v>16</v>
      </c>
      <c r="P7" s="13">
        <v>322589704</v>
      </c>
      <c r="Q7" s="14">
        <v>3277210544</v>
      </c>
      <c r="R7" s="14">
        <v>493146904</v>
      </c>
      <c r="S7" s="14">
        <v>38418240</v>
      </c>
      <c r="T7" s="14">
        <v>2745645400</v>
      </c>
      <c r="U7" s="15" t="s">
        <v>571</v>
      </c>
      <c r="V7" s="15" t="s">
        <v>571</v>
      </c>
      <c r="W7" s="15" t="s">
        <v>571</v>
      </c>
      <c r="X7" s="15" t="s">
        <v>571</v>
      </c>
      <c r="Y7" s="15" t="s">
        <v>571</v>
      </c>
      <c r="Z7" s="16">
        <v>43388</v>
      </c>
      <c r="AA7" s="16">
        <v>73997.5</v>
      </c>
      <c r="AB7" s="16">
        <v>72.209999999999994</v>
      </c>
      <c r="AC7" s="16">
        <v>314.76799999999997</v>
      </c>
      <c r="AE7" s="17">
        <f t="shared" si="7"/>
        <v>0.18813087769269954</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250</v>
      </c>
      <c r="F8" s="38">
        <v>50</v>
      </c>
      <c r="H8" s="46">
        <f t="shared" si="0"/>
        <v>0.16104683532369352</v>
      </c>
      <c r="I8" s="39">
        <f t="shared" si="1"/>
        <v>435.87506719999999</v>
      </c>
      <c r="J8" s="40">
        <f t="shared" si="2"/>
        <v>8.6965291074794511</v>
      </c>
      <c r="K8" s="40">
        <f t="shared" si="3"/>
        <v>1.2303637151576197</v>
      </c>
      <c r="L8" s="40">
        <f t="shared" si="4"/>
        <v>1.0860655554049454</v>
      </c>
      <c r="M8" s="40">
        <f t="shared" si="5"/>
        <v>7.4661653923218312</v>
      </c>
      <c r="N8" s="37">
        <f t="shared" si="6"/>
        <v>308332704</v>
      </c>
      <c r="O8" s="40">
        <v>16</v>
      </c>
      <c r="P8" s="41">
        <v>250602891</v>
      </c>
      <c r="Q8" s="42">
        <v>2179375336</v>
      </c>
      <c r="R8" s="42">
        <v>272171168</v>
      </c>
      <c r="S8" s="42">
        <v>36161536</v>
      </c>
      <c r="T8" s="42">
        <v>1871042632</v>
      </c>
      <c r="U8" s="43" t="s">
        <v>571</v>
      </c>
      <c r="V8" s="43" t="s">
        <v>571</v>
      </c>
      <c r="W8" s="43" t="s">
        <v>571</v>
      </c>
      <c r="X8" s="43" t="s">
        <v>571</v>
      </c>
      <c r="Y8" s="43" t="s">
        <v>571</v>
      </c>
      <c r="Z8" s="44">
        <v>33679.9</v>
      </c>
      <c r="AA8" s="44">
        <v>50932.800000000003</v>
      </c>
      <c r="AB8" s="44">
        <v>53.393000000000001</v>
      </c>
      <c r="AC8" s="44">
        <v>254.12700000000001</v>
      </c>
      <c r="AE8" s="46">
        <f t="shared" si="7"/>
        <v>0.16104683532369352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300</v>
      </c>
      <c r="F9" s="28">
        <v>30</v>
      </c>
      <c r="H9" s="36">
        <f t="shared" si="0"/>
        <v>0.27564993648016572</v>
      </c>
      <c r="I9" s="29">
        <f t="shared" si="1"/>
        <v>372.56590239999997</v>
      </c>
      <c r="J9" s="30">
        <f t="shared" si="2"/>
        <v>14.885096569928949</v>
      </c>
      <c r="K9" s="30">
        <f t="shared" si="3"/>
        <v>1.5214848877551812</v>
      </c>
      <c r="L9" s="30">
        <f t="shared" si="4"/>
        <v>1.4219677835455504</v>
      </c>
      <c r="M9" s="30">
        <f t="shared" si="5"/>
        <v>13.363611682173767</v>
      </c>
      <c r="N9" s="27">
        <f t="shared" si="6"/>
        <v>380819424</v>
      </c>
      <c r="O9" s="30">
        <v>16</v>
      </c>
      <c r="P9" s="31">
        <v>250294582</v>
      </c>
      <c r="Q9" s="32">
        <v>3725659024</v>
      </c>
      <c r="R9" s="32">
        <v>355910832</v>
      </c>
      <c r="S9" s="32">
        <v>24908592</v>
      </c>
      <c r="T9" s="32">
        <v>3344839600</v>
      </c>
      <c r="U9" s="33" t="s">
        <v>571</v>
      </c>
      <c r="V9" s="33" t="s">
        <v>571</v>
      </c>
      <c r="W9" s="33" t="s">
        <v>571</v>
      </c>
      <c r="X9" s="33" t="s">
        <v>571</v>
      </c>
      <c r="Y9" s="33" t="s">
        <v>571</v>
      </c>
      <c r="Z9" s="34">
        <v>14169.9</v>
      </c>
      <c r="AA9" s="34">
        <v>61996.3</v>
      </c>
      <c r="AB9" s="34">
        <v>59.23</v>
      </c>
      <c r="AC9" s="34">
        <v>299.70999999999998</v>
      </c>
      <c r="AE9" s="36">
        <f t="shared" si="7"/>
        <v>0.27564993648016572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128</v>
      </c>
      <c r="F10" s="19">
        <v>30</v>
      </c>
      <c r="H10" s="26">
        <f t="shared" si="0"/>
        <v>8.5933445462904809E-2</v>
      </c>
      <c r="I10" s="20">
        <f t="shared" si="1"/>
        <v>430.99150312500001</v>
      </c>
      <c r="J10" s="21">
        <f t="shared" si="2"/>
        <v>4.8982063913855738</v>
      </c>
      <c r="K10" s="21">
        <f t="shared" si="3"/>
        <v>0.56108891213907641</v>
      </c>
      <c r="L10" s="21">
        <f t="shared" si="4"/>
        <v>0.53610831287889193</v>
      </c>
      <c r="M10" s="21">
        <f t="shared" si="5"/>
        <v>4.3371174792464977</v>
      </c>
      <c r="N10" s="18">
        <f t="shared" si="6"/>
        <v>210645424</v>
      </c>
      <c r="O10" s="21">
        <v>16</v>
      </c>
      <c r="P10" s="22">
        <v>186907991</v>
      </c>
      <c r="Q10" s="23">
        <v>1838897080</v>
      </c>
      <c r="R10" s="23">
        <v>201267144</v>
      </c>
      <c r="S10" s="23">
        <v>9378280</v>
      </c>
      <c r="T10" s="23">
        <v>1628251656</v>
      </c>
      <c r="U10" s="24" t="s">
        <v>571</v>
      </c>
      <c r="V10" s="24" t="s">
        <v>571</v>
      </c>
      <c r="W10" s="24" t="s">
        <v>571</v>
      </c>
      <c r="X10" s="24" t="s">
        <v>571</v>
      </c>
      <c r="Y10" s="24" t="s">
        <v>571</v>
      </c>
      <c r="Z10" s="25">
        <v>6151.51</v>
      </c>
      <c r="AA10" s="25">
        <v>39445.9</v>
      </c>
      <c r="AB10" s="25">
        <v>38.883000000000003</v>
      </c>
      <c r="AC10" s="25">
        <v>179.44800000000001</v>
      </c>
      <c r="AE10" s="26">
        <f t="shared" si="7"/>
        <v>8.5933445462904809E-2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128</v>
      </c>
      <c r="F11" s="28">
        <v>30</v>
      </c>
      <c r="H11" s="36">
        <f t="shared" si="0"/>
        <v>8.7310822550647621E-2</v>
      </c>
      <c r="I11" s="29">
        <f t="shared" si="1"/>
        <v>388.63962375</v>
      </c>
      <c r="J11" s="30">
        <f t="shared" si="2"/>
        <v>4.9767168853869146</v>
      </c>
      <c r="K11" s="30">
        <f t="shared" si="3"/>
        <v>0.59463392748048849</v>
      </c>
      <c r="L11" s="30">
        <f t="shared" si="4"/>
        <v>0.56563897558373843</v>
      </c>
      <c r="M11" s="30">
        <f t="shared" si="5"/>
        <v>4.3820829579064258</v>
      </c>
      <c r="N11" s="27">
        <f t="shared" si="6"/>
        <v>198126488</v>
      </c>
      <c r="O11" s="30">
        <v>16</v>
      </c>
      <c r="P11" s="31">
        <v>166028718</v>
      </c>
      <c r="Q11" s="32">
        <v>1658195728</v>
      </c>
      <c r="R11" s="32">
        <v>188465640</v>
      </c>
      <c r="S11" s="32">
        <v>9660848</v>
      </c>
      <c r="T11" s="32">
        <v>1460069240</v>
      </c>
      <c r="U11" s="33" t="s">
        <v>571</v>
      </c>
      <c r="V11" s="33" t="s">
        <v>571</v>
      </c>
      <c r="W11" s="33" t="s">
        <v>571</v>
      </c>
      <c r="X11" s="33" t="s">
        <v>571</v>
      </c>
      <c r="Y11" s="33" t="s">
        <v>571</v>
      </c>
      <c r="Z11" s="34">
        <v>5416.03</v>
      </c>
      <c r="AA11" s="34">
        <v>41653.800000000003</v>
      </c>
      <c r="AB11" s="34">
        <v>41.759</v>
      </c>
      <c r="AC11" s="34">
        <v>207.089</v>
      </c>
      <c r="AE11" s="36">
        <f t="shared" si="7"/>
        <v>8.7310822550647621E-2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10.242025385443831</v>
      </c>
      <c r="K12" s="48">
        <f>AVERAGE(K5:K8)</f>
        <v>1.519184728898608</v>
      </c>
      <c r="L12" s="48">
        <f>AVERAGE(L5:L8)</f>
        <v>1.3888051150021286</v>
      </c>
      <c r="M12" s="48">
        <f>AVERAGE(M5:M8)</f>
        <v>8.7228406565452232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14.885096569928949</v>
      </c>
      <c r="K13" s="48">
        <f>AVERAGE(K9:K9)</f>
        <v>1.5214848877551812</v>
      </c>
      <c r="L13" s="48">
        <f>AVERAGE(L9:L9)</f>
        <v>1.4219677835455504</v>
      </c>
      <c r="M13" s="48">
        <f>AVERAGE(M9:M9)</f>
        <v>13.363611682173767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4.9374616383862442</v>
      </c>
      <c r="K14" s="48">
        <f>AVERAGE(K10:K11)</f>
        <v>0.57786141980978245</v>
      </c>
      <c r="L14" s="48">
        <f>AVERAGE(L10:L11)</f>
        <v>0.55087364423131513</v>
      </c>
      <c r="M14" s="48">
        <f>AVERAGE(M10:M11)</f>
        <v>4.3596002185764622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9.3897316269252524</v>
      </c>
      <c r="K15" s="48">
        <f>AVERAGE(K5:K11)</f>
        <v>1.2505638061384541</v>
      </c>
      <c r="L15" s="48">
        <f>AVERAGE(L5:L11)</f>
        <v>1.1541336474309565</v>
      </c>
      <c r="M15" s="48">
        <f>AVERAGE(M5:M11)</f>
        <v>8.139167820786799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167319.64000000001</v>
      </c>
      <c r="AA16" s="49">
        <f>SUM(AA5:AA8,AA9:AA9,AA10:AA11)</f>
        <v>380258</v>
      </c>
      <c r="AB16" s="49">
        <f>SUM(AB5:AB8,AB9:AB9,AB10:AB11)</f>
        <v>377.94499999999999</v>
      </c>
      <c r="AC16" s="49">
        <f>SUM(AC5:AC8,AC9:AC9,AC10:AC11)</f>
        <v>1804.319</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f>AX16/AA16</f>
        <v>0</v>
      </c>
      <c r="AY17" s="55">
        <f>AY16/AB16</f>
        <v>0</v>
      </c>
      <c r="AZ17" s="55">
        <f>AZ16/AC16</f>
        <v>0</v>
      </c>
    </row>
    <row r="18" spans="2:52" hidden="1" outlineLevel="2" x14ac:dyDescent="0.3">
      <c r="B18" s="47" t="s">
        <v>240</v>
      </c>
      <c r="Z18" s="49">
        <f>GEOMEAN(Z5:Z8,Z9:Z9,Z10:Z11)</f>
        <v>18409.701645712506</v>
      </c>
      <c r="AA18" s="49">
        <f>GEOMEAN(AA5:AA8,AA9:AA9,AA10:AA11)</f>
        <v>53217.457776452822</v>
      </c>
      <c r="AB18" s="49">
        <f>GEOMEAN(AB5:AB8,AB9:AB9,AB10:AB11)</f>
        <v>52.983290774818869</v>
      </c>
      <c r="AC18" s="49">
        <f>GEOMEAN(AC5:AC8,AC9:AC9,AC10:AC11)</f>
        <v>253.41961267287735</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Y5" activePane="bottomRight" state="frozen"/>
      <selection pane="topRight" activeCell="C1" sqref="C1"/>
      <selection pane="bottomLeft" activeCell="A5" sqref="A5"/>
      <selection pane="bottomRight" activeCell="AU44" sqref="AU44"/>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3" t="s">
        <v>572</v>
      </c>
      <c r="B1" s="59"/>
      <c r="C1" s="59"/>
      <c r="D1" s="59"/>
      <c r="E1" s="59"/>
      <c r="F1" s="59"/>
      <c r="H1" s="58" t="str">
        <f>Summary!$C$1</f>
        <v>ALL_master+r8.0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3">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8" customHeight="1" x14ac:dyDescent="0.3">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300</v>
      </c>
      <c r="F5" s="10">
        <v>30</v>
      </c>
      <c r="H5" s="17">
        <f t="shared" ref="H5:H11" si="0">IF(ISBLANK(Q5),"·",Q5/(C5*(D5*3+IF(AND(ISNUMBER(T5),T5&gt;0),24,0))))</f>
        <v>0.16737540976540677</v>
      </c>
      <c r="I5" s="11">
        <f t="shared" ref="I5:I11" si="1">IF(OR(ISBLANK(Q5),ISBLANK(F5)),"·",Q5*F5/E5/1000000)</f>
        <v>215.24318880000001</v>
      </c>
      <c r="J5" s="12">
        <f t="shared" ref="J5:J11" si="2">IF(ISBLANK(Q5),"·",Q5/C5)</f>
        <v>9.0382721273319646</v>
      </c>
      <c r="K5" s="12">
        <f t="shared" ref="K5:K11" si="3">IF(N5="","·",N5/C5)</f>
        <v>1.4170302165108184</v>
      </c>
      <c r="L5" s="12">
        <f t="shared" ref="L5:L11" si="4">IF(R5="","·",R5/C5)</f>
        <v>1.3191548554687105</v>
      </c>
      <c r="M5" s="12">
        <f t="shared" ref="M5:M11" si="5">IF(ISBLANK(T5),"·",T5/C5)</f>
        <v>7.6212419108211469</v>
      </c>
      <c r="N5" s="54">
        <f t="shared" ref="N5:N11" si="6">IF(OR(ISBLANK(R5),ISBLANK(S5)),"",R5+S5)</f>
        <v>337460632</v>
      </c>
      <c r="O5" s="12">
        <v>16</v>
      </c>
      <c r="P5" s="13">
        <v>238146391</v>
      </c>
      <c r="Q5" s="14">
        <v>2152431888</v>
      </c>
      <c r="R5" s="14">
        <v>314151968</v>
      </c>
      <c r="S5" s="14">
        <v>23308664</v>
      </c>
      <c r="T5" s="14">
        <v>1814971256</v>
      </c>
      <c r="U5" s="15" t="s">
        <v>571</v>
      </c>
      <c r="V5" s="15" t="s">
        <v>571</v>
      </c>
      <c r="W5" s="15" t="s">
        <v>571</v>
      </c>
      <c r="X5" s="15" t="s">
        <v>571</v>
      </c>
      <c r="Y5" s="15" t="s">
        <v>571</v>
      </c>
      <c r="Z5" s="16">
        <v>33517</v>
      </c>
      <c r="AA5" s="16">
        <v>82439.199999999997</v>
      </c>
      <c r="AB5" s="16">
        <v>58.334000000000003</v>
      </c>
      <c r="AC5" s="16">
        <v>267.65100000000001</v>
      </c>
      <c r="AE5" s="17">
        <f t="shared" ref="AE5:AE11" si="7">IF(ISBLANK(Q5),"·",Q5/(C5*(D5*3+IF(AND(ISNUMBER(T5),T5&gt;0),24,0))))</f>
        <v>0.16737540976540677</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300</v>
      </c>
      <c r="F6" s="19">
        <v>30</v>
      </c>
      <c r="H6" s="26">
        <f t="shared" si="0"/>
        <v>0.23916864174643379</v>
      </c>
      <c r="I6" s="20">
        <f t="shared" si="1"/>
        <v>281.70591039999999</v>
      </c>
      <c r="J6" s="21">
        <f t="shared" si="2"/>
        <v>12.915106654307424</v>
      </c>
      <c r="K6" s="21">
        <f t="shared" si="3"/>
        <v>1.7618313763315174</v>
      </c>
      <c r="L6" s="21">
        <f t="shared" si="4"/>
        <v>1.5954921070915229</v>
      </c>
      <c r="M6" s="21">
        <f t="shared" si="5"/>
        <v>11.153275277975906</v>
      </c>
      <c r="N6" s="18">
        <f t="shared" si="6"/>
        <v>384292848</v>
      </c>
      <c r="O6" s="21">
        <v>16</v>
      </c>
      <c r="P6" s="22">
        <v>218121242</v>
      </c>
      <c r="Q6" s="23">
        <v>2817059104</v>
      </c>
      <c r="R6" s="23">
        <v>348010720</v>
      </c>
      <c r="S6" s="23">
        <v>36282128</v>
      </c>
      <c r="T6" s="23">
        <v>2432766256</v>
      </c>
      <c r="U6" s="24" t="s">
        <v>571</v>
      </c>
      <c r="V6" s="24" t="s">
        <v>571</v>
      </c>
      <c r="W6" s="24" t="s">
        <v>571</v>
      </c>
      <c r="X6" s="24" t="s">
        <v>571</v>
      </c>
      <c r="Y6" s="24" t="s">
        <v>571</v>
      </c>
      <c r="Z6" s="25">
        <v>30809.9</v>
      </c>
      <c r="AA6" s="25">
        <v>98955.3</v>
      </c>
      <c r="AB6" s="25">
        <v>57.203000000000003</v>
      </c>
      <c r="AC6" s="25">
        <v>300.89100000000002</v>
      </c>
      <c r="AE6" s="26">
        <f t="shared" si="7"/>
        <v>0.23916864174643379</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300</v>
      </c>
      <c r="F7" s="10">
        <v>30</v>
      </c>
      <c r="H7" s="17">
        <f t="shared" si="0"/>
        <v>0.18406722431354289</v>
      </c>
      <c r="I7" s="11">
        <f t="shared" si="1"/>
        <v>320.6422336</v>
      </c>
      <c r="J7" s="12">
        <f t="shared" si="2"/>
        <v>9.9396301129313169</v>
      </c>
      <c r="K7" s="12">
        <f t="shared" si="3"/>
        <v>1.5521417385348417</v>
      </c>
      <c r="L7" s="12">
        <f t="shared" si="4"/>
        <v>1.4374309974877562</v>
      </c>
      <c r="M7" s="12">
        <f t="shared" si="5"/>
        <v>8.3874883743964741</v>
      </c>
      <c r="N7" s="54">
        <f t="shared" si="6"/>
        <v>500704944</v>
      </c>
      <c r="O7" s="12">
        <v>16</v>
      </c>
      <c r="P7" s="13">
        <v>322589704</v>
      </c>
      <c r="Q7" s="14">
        <v>3206422336</v>
      </c>
      <c r="R7" s="14">
        <v>463700440</v>
      </c>
      <c r="S7" s="14">
        <v>37004504</v>
      </c>
      <c r="T7" s="14">
        <v>2705717392</v>
      </c>
      <c r="U7" s="15" t="s">
        <v>571</v>
      </c>
      <c r="V7" s="15" t="s">
        <v>571</v>
      </c>
      <c r="W7" s="15" t="s">
        <v>571</v>
      </c>
      <c r="X7" s="15" t="s">
        <v>571</v>
      </c>
      <c r="Y7" s="15" t="s">
        <v>571</v>
      </c>
      <c r="Z7" s="16">
        <v>43451.1</v>
      </c>
      <c r="AA7" s="16">
        <v>103704</v>
      </c>
      <c r="AB7" s="16">
        <v>72.447999999999993</v>
      </c>
      <c r="AC7" s="16">
        <v>316.137</v>
      </c>
      <c r="AE7" s="17">
        <f t="shared" si="7"/>
        <v>0.18406722431354289</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3">
      <c r="A8" s="37"/>
      <c r="B8" s="37" t="s">
        <v>68</v>
      </c>
      <c r="C8" s="37">
        <v>250602891</v>
      </c>
      <c r="D8" s="38">
        <v>10</v>
      </c>
      <c r="E8" s="38">
        <v>250</v>
      </c>
      <c r="F8" s="38">
        <v>50</v>
      </c>
      <c r="H8" s="46">
        <f t="shared" si="0"/>
        <v>0.15307486438995452</v>
      </c>
      <c r="I8" s="39">
        <f t="shared" si="1"/>
        <v>414.29883839999997</v>
      </c>
      <c r="J8" s="40">
        <f t="shared" si="2"/>
        <v>8.2660426770575448</v>
      </c>
      <c r="K8" s="40">
        <f t="shared" si="3"/>
        <v>1.0092092034165718</v>
      </c>
      <c r="L8" s="40">
        <f t="shared" si="4"/>
        <v>0.89337136976604148</v>
      </c>
      <c r="M8" s="40">
        <f t="shared" si="5"/>
        <v>7.2568334736409721</v>
      </c>
      <c r="N8" s="37">
        <f t="shared" si="6"/>
        <v>252910744</v>
      </c>
      <c r="O8" s="40">
        <v>16</v>
      </c>
      <c r="P8" s="41">
        <v>250602891</v>
      </c>
      <c r="Q8" s="42">
        <v>2071494192</v>
      </c>
      <c r="R8" s="42">
        <v>223881448</v>
      </c>
      <c r="S8" s="42">
        <v>29029296</v>
      </c>
      <c r="T8" s="42">
        <v>1818583448</v>
      </c>
      <c r="U8" s="43" t="s">
        <v>571</v>
      </c>
      <c r="V8" s="43" t="s">
        <v>571</v>
      </c>
      <c r="W8" s="43" t="s">
        <v>571</v>
      </c>
      <c r="X8" s="43" t="s">
        <v>571</v>
      </c>
      <c r="Y8" s="43" t="s">
        <v>571</v>
      </c>
      <c r="Z8" s="44">
        <v>33637.9</v>
      </c>
      <c r="AA8" s="44">
        <v>67552.7</v>
      </c>
      <c r="AB8" s="44">
        <v>52.435000000000002</v>
      </c>
      <c r="AC8" s="44">
        <v>228.46700000000001</v>
      </c>
      <c r="AE8" s="46">
        <f t="shared" si="7"/>
        <v>0.15307486438995452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3">
      <c r="A9" s="27" t="s">
        <v>235</v>
      </c>
      <c r="B9" s="27" t="s">
        <v>71</v>
      </c>
      <c r="C9" s="27">
        <v>250294582</v>
      </c>
      <c r="D9" s="28">
        <v>10</v>
      </c>
      <c r="E9" s="28">
        <v>300</v>
      </c>
      <c r="F9" s="28">
        <v>30</v>
      </c>
      <c r="H9" s="36">
        <f t="shared" si="0"/>
        <v>0.27383404834015412</v>
      </c>
      <c r="I9" s="29">
        <f t="shared" si="1"/>
        <v>370.1115648</v>
      </c>
      <c r="J9" s="30">
        <f t="shared" si="2"/>
        <v>14.787038610368322</v>
      </c>
      <c r="K9" s="30">
        <f t="shared" si="3"/>
        <v>1.5157997147537137</v>
      </c>
      <c r="L9" s="30">
        <f t="shared" si="4"/>
        <v>1.4142692069938614</v>
      </c>
      <c r="M9" s="30">
        <f t="shared" si="5"/>
        <v>13.271238895614609</v>
      </c>
      <c r="N9" s="27">
        <f t="shared" si="6"/>
        <v>379396456</v>
      </c>
      <c r="O9" s="30">
        <v>16</v>
      </c>
      <c r="P9" s="31">
        <v>250294582</v>
      </c>
      <c r="Q9" s="32">
        <v>3701115648</v>
      </c>
      <c r="R9" s="32">
        <v>353983920</v>
      </c>
      <c r="S9" s="32">
        <v>25412536</v>
      </c>
      <c r="T9" s="32">
        <v>3321719192</v>
      </c>
      <c r="U9" s="33" t="s">
        <v>571</v>
      </c>
      <c r="V9" s="33" t="s">
        <v>571</v>
      </c>
      <c r="W9" s="33" t="s">
        <v>571</v>
      </c>
      <c r="X9" s="33" t="s">
        <v>571</v>
      </c>
      <c r="Y9" s="33" t="s">
        <v>571</v>
      </c>
      <c r="Z9" s="34">
        <v>14226.1</v>
      </c>
      <c r="AA9" s="34">
        <v>101913</v>
      </c>
      <c r="AB9" s="34">
        <v>62.274999999999999</v>
      </c>
      <c r="AC9" s="34">
        <v>320.32</v>
      </c>
      <c r="AE9" s="36">
        <f t="shared" si="7"/>
        <v>0.27383404834015412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128</v>
      </c>
      <c r="F10" s="19">
        <v>30</v>
      </c>
      <c r="H10" s="26">
        <f t="shared" si="0"/>
        <v>8.5907587908380281E-2</v>
      </c>
      <c r="I10" s="20">
        <f t="shared" si="1"/>
        <v>430.86181687499999</v>
      </c>
      <c r="J10" s="21">
        <f t="shared" si="2"/>
        <v>4.8967325107776762</v>
      </c>
      <c r="K10" s="21">
        <f t="shared" si="3"/>
        <v>0.56061772039744262</v>
      </c>
      <c r="L10" s="21">
        <f t="shared" si="4"/>
        <v>0.5349199345753719</v>
      </c>
      <c r="M10" s="21">
        <f t="shared" si="5"/>
        <v>4.3361147903802335</v>
      </c>
      <c r="N10" s="18">
        <f t="shared" si="6"/>
        <v>210468528</v>
      </c>
      <c r="O10" s="21">
        <v>16</v>
      </c>
      <c r="P10" s="22">
        <v>186907991</v>
      </c>
      <c r="Q10" s="23">
        <v>1838343752</v>
      </c>
      <c r="R10" s="23">
        <v>200821000</v>
      </c>
      <c r="S10" s="23">
        <v>9647528</v>
      </c>
      <c r="T10" s="23">
        <v>1627875224</v>
      </c>
      <c r="U10" s="24" t="s">
        <v>571</v>
      </c>
      <c r="V10" s="24" t="s">
        <v>571</v>
      </c>
      <c r="W10" s="24" t="s">
        <v>571</v>
      </c>
      <c r="X10" s="24" t="s">
        <v>571</v>
      </c>
      <c r="Y10" s="24" t="s">
        <v>571</v>
      </c>
      <c r="Z10" s="25">
        <v>6190.37</v>
      </c>
      <c r="AA10" s="25">
        <v>82947.199999999997</v>
      </c>
      <c r="AB10" s="25">
        <v>45.851999999999997</v>
      </c>
      <c r="AC10" s="25">
        <v>231.934</v>
      </c>
      <c r="AE10" s="26">
        <f t="shared" si="7"/>
        <v>8.5907587908380281E-2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3">
      <c r="A11" s="27"/>
      <c r="B11" s="27" t="s">
        <v>80</v>
      </c>
      <c r="C11" s="27">
        <v>333190689</v>
      </c>
      <c r="D11" s="28">
        <v>11</v>
      </c>
      <c r="E11" s="28">
        <v>128</v>
      </c>
      <c r="F11" s="28">
        <v>30</v>
      </c>
      <c r="H11" s="36">
        <f t="shared" si="0"/>
        <v>8.7298928197503498E-2</v>
      </c>
      <c r="I11" s="29">
        <f t="shared" si="1"/>
        <v>388.58667937500002</v>
      </c>
      <c r="J11" s="30">
        <f t="shared" si="2"/>
        <v>4.9760389072576992</v>
      </c>
      <c r="K11" s="30">
        <f t="shared" si="3"/>
        <v>0.59479986248955474</v>
      </c>
      <c r="L11" s="30">
        <f t="shared" si="4"/>
        <v>0.56504210416276068</v>
      </c>
      <c r="M11" s="30">
        <f t="shared" si="5"/>
        <v>4.3812390447681446</v>
      </c>
      <c r="N11" s="27">
        <f t="shared" si="6"/>
        <v>198181776</v>
      </c>
      <c r="O11" s="30">
        <v>16</v>
      </c>
      <c r="P11" s="31">
        <v>166028718</v>
      </c>
      <c r="Q11" s="32">
        <v>1657969832</v>
      </c>
      <c r="R11" s="32">
        <v>188266768</v>
      </c>
      <c r="S11" s="32">
        <v>9915008</v>
      </c>
      <c r="T11" s="32">
        <v>1459788056</v>
      </c>
      <c r="U11" s="33" t="s">
        <v>571</v>
      </c>
      <c r="V11" s="33" t="s">
        <v>571</v>
      </c>
      <c r="W11" s="33" t="s">
        <v>571</v>
      </c>
      <c r="X11" s="33" t="s">
        <v>571</v>
      </c>
      <c r="Y11" s="33" t="s">
        <v>571</v>
      </c>
      <c r="Z11" s="34">
        <v>5478.98</v>
      </c>
      <c r="AA11" s="34">
        <v>87309.2</v>
      </c>
      <c r="AB11" s="34">
        <v>44.692</v>
      </c>
      <c r="AC11" s="34">
        <v>227.934</v>
      </c>
      <c r="AE11" s="36">
        <f t="shared" si="7"/>
        <v>8.7298928197503498E-2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10.039762892907063</v>
      </c>
      <c r="K12" s="48">
        <f>AVERAGE(K5:K8)</f>
        <v>1.4350531336984373</v>
      </c>
      <c r="L12" s="48">
        <f>AVERAGE(L5:L8)</f>
        <v>1.3113623324535078</v>
      </c>
      <c r="M12" s="48">
        <f>AVERAGE(M5:M8)</f>
        <v>8.6047097592086246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14.787038610368322</v>
      </c>
      <c r="K13" s="48">
        <f>AVERAGE(K9:K9)</f>
        <v>1.5157997147537137</v>
      </c>
      <c r="L13" s="48">
        <f>AVERAGE(L9:L9)</f>
        <v>1.4142692069938614</v>
      </c>
      <c r="M13" s="48">
        <f>AVERAGE(M9:M9)</f>
        <v>13.271238895614609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4.9363857090176877</v>
      </c>
      <c r="K14" s="48">
        <f>AVERAGE(K10:K11)</f>
        <v>0.57770879144349863</v>
      </c>
      <c r="L14" s="48">
        <f>AVERAGE(L10:L11)</f>
        <v>0.54998101936906629</v>
      </c>
      <c r="M14" s="48">
        <f>AVERAGE(M10:M11)</f>
        <v>4.3586769175741891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9.2598373714331359</v>
      </c>
      <c r="K15" s="48">
        <f>AVERAGE(K5:K11)</f>
        <v>1.2016328332049231</v>
      </c>
      <c r="L15" s="48">
        <f>AVERAGE(L5:L11)</f>
        <v>1.1085257965065749</v>
      </c>
      <c r="M15" s="48">
        <f>AVERAGE(M5:M11)</f>
        <v>8.0582045382282121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167311.35</v>
      </c>
      <c r="AA16" s="49">
        <f>SUM(AA5:AA8,AA9:AA9,AA10:AA11)</f>
        <v>624820.6</v>
      </c>
      <c r="AB16" s="49">
        <f>SUM(AB5:AB8,AB9:AB9,AB10:AB11)</f>
        <v>393.23899999999998</v>
      </c>
      <c r="AC16" s="49">
        <f>SUM(AC5:AC8,AC9:AC9,AC10:AC11)</f>
        <v>1893.3340000000001</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f>AX16/AA16</f>
        <v>0</v>
      </c>
      <c r="AY17" s="55">
        <f>AY16/AB16</f>
        <v>0</v>
      </c>
      <c r="AZ17" s="55">
        <f>AZ16/AC16</f>
        <v>0</v>
      </c>
    </row>
    <row r="18" spans="2:52" hidden="1" outlineLevel="2" x14ac:dyDescent="0.3">
      <c r="B18" s="47" t="s">
        <v>240</v>
      </c>
      <c r="Z18" s="49">
        <f>GEOMEAN(Z5:Z8,Z9:Z9,Z10:Z11)</f>
        <v>18451.89764918209</v>
      </c>
      <c r="AA18" s="49">
        <f>GEOMEAN(AA5:AA8,AA9:AA9,AA10:AA11)</f>
        <v>88398.154084898299</v>
      </c>
      <c r="AB18" s="49">
        <f>GEOMEAN(AB5:AB8,AB9:AB9,AB10:AB11)</f>
        <v>55.478811589210196</v>
      </c>
      <c r="AC18" s="49">
        <f>GEOMEAN(AC5:AC8,AC9:AC9,AC10:AC11)</f>
        <v>267.69083005254907</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W49" sqref="AW4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3" t="s">
        <v>573</v>
      </c>
      <c r="B1" s="59"/>
      <c r="C1" s="59"/>
      <c r="D1" s="59"/>
      <c r="E1" s="59"/>
      <c r="F1" s="59"/>
      <c r="G1" s="59"/>
      <c r="I1" s="58" t="str">
        <f>Summary!$C$1</f>
        <v>ALL_master+r8.0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3">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3">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300</v>
      </c>
      <c r="G5" s="10">
        <v>30</v>
      </c>
      <c r="I5" s="11">
        <f t="shared" ref="I5:I39" si="0">IF(OR(ISBLANK(S5),ISBLANK(G5)),"·",S5*G5/F5/1000000)</f>
        <v>1.2493223999999998</v>
      </c>
      <c r="J5" s="12">
        <f t="shared" ref="J5:J39" si="1">IF(ISBLANK(S5),"·",S5/D5)</f>
        <v>5.2460270120154792E-2</v>
      </c>
      <c r="K5" s="12">
        <f t="shared" ref="K5:K39" si="2">IF(N5="","·",N5/D5)</f>
        <v>4.4559046036519612E-2</v>
      </c>
      <c r="L5" s="12">
        <f t="shared" ref="L5:L39" si="3">IF(T5="","·",T5/D5)</f>
        <v>2.7862156433015185E-2</v>
      </c>
      <c r="M5" s="12">
        <f t="shared" ref="M5:M39" si="4">IF(ISBLANK(V5),"·",V5/D5)</f>
        <v>7.9012240836351787E-3</v>
      </c>
      <c r="N5" s="54">
        <f t="shared" ref="N5:N39" si="5">IF(OR(ISBLANK(T5),ISBLANK(U5)),"",T5+U5)</f>
        <v>10611576</v>
      </c>
      <c r="O5" s="12">
        <v>16</v>
      </c>
      <c r="P5" s="13">
        <v>222175774</v>
      </c>
      <c r="Q5" s="13">
        <v>740585.91333333298</v>
      </c>
      <c r="R5" s="13">
        <v>16831.89</v>
      </c>
      <c r="S5" s="14">
        <v>12493224</v>
      </c>
      <c r="T5" s="14">
        <v>6635272</v>
      </c>
      <c r="U5" s="14">
        <v>3976304</v>
      </c>
      <c r="V5" s="14">
        <v>1881648</v>
      </c>
      <c r="W5" s="15">
        <v>66.605775333333298</v>
      </c>
      <c r="X5" s="15">
        <v>68.398893666666595</v>
      </c>
      <c r="Y5" s="15">
        <v>31.595100333333299</v>
      </c>
      <c r="Z5" s="15">
        <v>44.335028333333298</v>
      </c>
      <c r="AA5" s="15">
        <v>43.8360293333333</v>
      </c>
      <c r="AB5" s="16">
        <v>34302.6</v>
      </c>
      <c r="AC5" s="16">
        <v>47258</v>
      </c>
      <c r="AD5" s="16">
        <v>497.13900000000001</v>
      </c>
      <c r="AE5" s="16">
        <v>258.512</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3">
      <c r="A6" s="18"/>
      <c r="B6" s="18" t="s">
        <v>49</v>
      </c>
      <c r="C6" s="19" t="s">
        <v>231</v>
      </c>
      <c r="D6" s="18">
        <v>238146391</v>
      </c>
      <c r="E6" s="19">
        <v>10</v>
      </c>
      <c r="F6" s="19">
        <v>300</v>
      </c>
      <c r="G6" s="19">
        <v>30</v>
      </c>
      <c r="I6" s="20">
        <f t="shared" si="0"/>
        <v>1.6518704</v>
      </c>
      <c r="J6" s="21">
        <f t="shared" si="1"/>
        <v>6.9363654559854326E-2</v>
      </c>
      <c r="K6" s="21">
        <f t="shared" si="2"/>
        <v>5.4697784607619773E-2</v>
      </c>
      <c r="L6" s="21">
        <f t="shared" si="3"/>
        <v>3.8000895004115347E-2</v>
      </c>
      <c r="M6" s="21">
        <f t="shared" si="4"/>
        <v>1.4665869952234548E-2</v>
      </c>
      <c r="N6" s="18">
        <f t="shared" si="5"/>
        <v>13026080</v>
      </c>
      <c r="O6" s="21">
        <v>16</v>
      </c>
      <c r="P6" s="22">
        <v>234540050</v>
      </c>
      <c r="Q6" s="22">
        <v>781800.16666666698</v>
      </c>
      <c r="R6" s="22">
        <v>20263.916666666701</v>
      </c>
      <c r="S6" s="23">
        <v>16518704</v>
      </c>
      <c r="T6" s="23">
        <v>9049776</v>
      </c>
      <c r="U6" s="23">
        <v>3976304</v>
      </c>
      <c r="V6" s="23">
        <v>3492624</v>
      </c>
      <c r="W6" s="24">
        <v>68.316568000000103</v>
      </c>
      <c r="X6" s="24">
        <v>70.389475333333294</v>
      </c>
      <c r="Y6" s="24">
        <v>33.6396813333333</v>
      </c>
      <c r="Z6" s="24">
        <v>45.389418333333303</v>
      </c>
      <c r="AA6" s="24">
        <v>44.987770333333302</v>
      </c>
      <c r="AB6" s="25">
        <v>34590.199999999997</v>
      </c>
      <c r="AC6" s="25">
        <v>50422.6</v>
      </c>
      <c r="AD6" s="25">
        <v>525.577</v>
      </c>
      <c r="AE6" s="25">
        <v>264.32499999999999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300</v>
      </c>
      <c r="G7" s="10">
        <v>30</v>
      </c>
      <c r="I7" s="11">
        <f t="shared" si="0"/>
        <v>2.3457664</v>
      </c>
      <c r="J7" s="12">
        <f t="shared" si="1"/>
        <v>9.8501026622738116E-2</v>
      </c>
      <c r="K7" s="12">
        <f t="shared" si="2"/>
        <v>6.8982342881694136E-2</v>
      </c>
      <c r="L7" s="12">
        <f t="shared" si="3"/>
        <v>5.2285453278189717E-2</v>
      </c>
      <c r="M7" s="12">
        <f t="shared" si="4"/>
        <v>2.951868374104397E-2</v>
      </c>
      <c r="N7" s="54">
        <f t="shared" si="5"/>
        <v>16427896</v>
      </c>
      <c r="O7" s="12">
        <v>16</v>
      </c>
      <c r="P7" s="13">
        <v>237156270</v>
      </c>
      <c r="Q7" s="13">
        <v>790520.9</v>
      </c>
      <c r="R7" s="13">
        <v>21717.65</v>
      </c>
      <c r="S7" s="14">
        <v>23457664</v>
      </c>
      <c r="T7" s="14">
        <v>12451592</v>
      </c>
      <c r="U7" s="14">
        <v>3976304</v>
      </c>
      <c r="V7" s="14">
        <v>7029768</v>
      </c>
      <c r="W7" s="15">
        <v>69.641762666666693</v>
      </c>
      <c r="X7" s="15">
        <v>72.052495333333397</v>
      </c>
      <c r="Y7" s="15">
        <v>36.020566000000002</v>
      </c>
      <c r="Z7" s="15">
        <v>46.671894666666702</v>
      </c>
      <c r="AA7" s="15">
        <v>46.487680666666698</v>
      </c>
      <c r="AB7" s="16">
        <v>34434.1</v>
      </c>
      <c r="AC7" s="16">
        <v>53881.599999999999</v>
      </c>
      <c r="AD7" s="16">
        <v>529.57600000000002</v>
      </c>
      <c r="AE7" s="16">
        <v>262.041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300</v>
      </c>
      <c r="G8" s="19">
        <v>30</v>
      </c>
      <c r="I8" s="20">
        <f t="shared" si="0"/>
        <v>3.8735607999999999</v>
      </c>
      <c r="J8" s="21">
        <f t="shared" si="1"/>
        <v>0.16265460852606412</v>
      </c>
      <c r="K8" s="21">
        <f t="shared" si="2"/>
        <v>9.8883950754475217E-2</v>
      </c>
      <c r="L8" s="21">
        <f t="shared" si="3"/>
        <v>8.2187061150970797E-2</v>
      </c>
      <c r="M8" s="21">
        <f t="shared" si="4"/>
        <v>6.3770657771588898E-2</v>
      </c>
      <c r="N8" s="18">
        <f t="shared" si="5"/>
        <v>23548856</v>
      </c>
      <c r="O8" s="21">
        <v>16</v>
      </c>
      <c r="P8" s="22">
        <v>246285905</v>
      </c>
      <c r="Q8" s="22">
        <v>820953.01666666695</v>
      </c>
      <c r="R8" s="22">
        <v>25005.6033333333</v>
      </c>
      <c r="S8" s="23">
        <v>38735608</v>
      </c>
      <c r="T8" s="23">
        <v>19572552</v>
      </c>
      <c r="U8" s="23">
        <v>3976304</v>
      </c>
      <c r="V8" s="23">
        <v>15186752</v>
      </c>
      <c r="W8" s="24">
        <v>70.708440999999993</v>
      </c>
      <c r="X8" s="24">
        <v>73.267006666666603</v>
      </c>
      <c r="Y8" s="24">
        <v>38.4981236666667</v>
      </c>
      <c r="Z8" s="24">
        <v>47.929636666666703</v>
      </c>
      <c r="AA8" s="24">
        <v>47.904751666666698</v>
      </c>
      <c r="AB8" s="25">
        <v>34553.5</v>
      </c>
      <c r="AC8" s="25">
        <v>58149.4</v>
      </c>
      <c r="AD8" s="25">
        <v>548.52300000000002</v>
      </c>
      <c r="AE8" s="25">
        <v>276.40199999999999</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300</v>
      </c>
      <c r="G9" s="28">
        <v>30</v>
      </c>
      <c r="I9" s="29">
        <f t="shared" si="0"/>
        <v>7.7050095999999995</v>
      </c>
      <c r="J9" s="30">
        <f t="shared" si="1"/>
        <v>0.32354089296276589</v>
      </c>
      <c r="K9" s="30">
        <f t="shared" si="2"/>
        <v>0.17054766956346612</v>
      </c>
      <c r="L9" s="30">
        <f t="shared" si="3"/>
        <v>0.13410702495172391</v>
      </c>
      <c r="M9" s="30">
        <f t="shared" si="4"/>
        <v>0.1529932233992998</v>
      </c>
      <c r="N9" s="27">
        <f t="shared" si="5"/>
        <v>40615312</v>
      </c>
      <c r="O9" s="30">
        <v>16</v>
      </c>
      <c r="P9" s="31">
        <v>236696159</v>
      </c>
      <c r="Q9" s="31">
        <v>788987.19666666701</v>
      </c>
      <c r="R9" s="31">
        <v>10947.596666666699</v>
      </c>
      <c r="S9" s="32">
        <v>77050096</v>
      </c>
      <c r="T9" s="32">
        <v>31937104</v>
      </c>
      <c r="U9" s="32">
        <v>8678208</v>
      </c>
      <c r="V9" s="32">
        <v>36434784</v>
      </c>
      <c r="W9" s="33">
        <v>71.773718333333306</v>
      </c>
      <c r="X9" s="33">
        <v>75.150895333333395</v>
      </c>
      <c r="Y9" s="33">
        <v>41.054992666666699</v>
      </c>
      <c r="Z9" s="33">
        <v>49.406795666666703</v>
      </c>
      <c r="AA9" s="33">
        <v>49.484079000000001</v>
      </c>
      <c r="AB9" s="34">
        <v>34692</v>
      </c>
      <c r="AC9" s="34">
        <v>64703.4</v>
      </c>
      <c r="AD9" s="34">
        <v>526.66600000000005</v>
      </c>
      <c r="AE9" s="34">
        <v>299.733</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300</v>
      </c>
      <c r="G10" s="19">
        <v>30</v>
      </c>
      <c r="I10" s="20">
        <f t="shared" si="0"/>
        <v>2.1223800000000002</v>
      </c>
      <c r="J10" s="21">
        <f t="shared" si="1"/>
        <v>9.7302765220821541E-2</v>
      </c>
      <c r="K10" s="21">
        <f t="shared" si="2"/>
        <v>7.2637913917618355E-2</v>
      </c>
      <c r="L10" s="21">
        <f t="shared" si="3"/>
        <v>4.1382966267907093E-2</v>
      </c>
      <c r="M10" s="21">
        <f t="shared" si="4"/>
        <v>2.4664851303203197E-2</v>
      </c>
      <c r="N10" s="18">
        <f t="shared" si="5"/>
        <v>15843872</v>
      </c>
      <c r="O10" s="21">
        <v>16</v>
      </c>
      <c r="P10" s="22">
        <v>202429427</v>
      </c>
      <c r="Q10" s="22">
        <v>674764.75666666694</v>
      </c>
      <c r="R10" s="22">
        <v>20419.77</v>
      </c>
      <c r="S10" s="23">
        <v>21223800</v>
      </c>
      <c r="T10" s="23">
        <v>9026504</v>
      </c>
      <c r="U10" s="23">
        <v>6817368</v>
      </c>
      <c r="V10" s="23">
        <v>5379928</v>
      </c>
      <c r="W10" s="24">
        <v>65.897101000000006</v>
      </c>
      <c r="X10" s="24">
        <v>67.697368666666705</v>
      </c>
      <c r="Y10" s="24">
        <v>30.8722626666666</v>
      </c>
      <c r="Z10" s="24">
        <v>38.654364000000001</v>
      </c>
      <c r="AA10" s="24">
        <v>29.907063999999998</v>
      </c>
      <c r="AB10" s="25">
        <v>32251.3</v>
      </c>
      <c r="AC10" s="25">
        <v>57890.5</v>
      </c>
      <c r="AD10" s="25">
        <v>459.43799999999999</v>
      </c>
      <c r="AE10" s="25">
        <v>293.24700000000001</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3">
      <c r="A11" s="54"/>
      <c r="B11" s="54" t="s">
        <v>57</v>
      </c>
      <c r="C11" s="10" t="s">
        <v>231</v>
      </c>
      <c r="D11" s="54">
        <v>218121242</v>
      </c>
      <c r="E11" s="10">
        <v>10</v>
      </c>
      <c r="F11" s="10">
        <v>300</v>
      </c>
      <c r="G11" s="10">
        <v>30</v>
      </c>
      <c r="I11" s="11">
        <f t="shared" si="0"/>
        <v>2.8970896000000002</v>
      </c>
      <c r="J11" s="12">
        <f t="shared" si="1"/>
        <v>0.13282014963036015</v>
      </c>
      <c r="K11" s="12">
        <f t="shared" si="2"/>
        <v>8.9384013318611122E-2</v>
      </c>
      <c r="L11" s="12">
        <f t="shared" si="3"/>
        <v>5.8129065668899867E-2</v>
      </c>
      <c r="M11" s="12">
        <f t="shared" si="4"/>
        <v>4.3436136311749043E-2</v>
      </c>
      <c r="N11" s="54">
        <f t="shared" si="5"/>
        <v>19496552</v>
      </c>
      <c r="O11" s="12">
        <v>16</v>
      </c>
      <c r="P11" s="13">
        <v>214431738</v>
      </c>
      <c r="Q11" s="13">
        <v>714772.46</v>
      </c>
      <c r="R11" s="13">
        <v>25010.959999999999</v>
      </c>
      <c r="S11" s="14">
        <v>28970896</v>
      </c>
      <c r="T11" s="14">
        <v>12679184</v>
      </c>
      <c r="U11" s="14">
        <v>6817368</v>
      </c>
      <c r="V11" s="14">
        <v>9474344</v>
      </c>
      <c r="W11" s="15">
        <v>67.574102999999994</v>
      </c>
      <c r="X11" s="15">
        <v>69.611167666666603</v>
      </c>
      <c r="Y11" s="15">
        <v>32.679231999999999</v>
      </c>
      <c r="Z11" s="15">
        <v>39.611995333333297</v>
      </c>
      <c r="AA11" s="15">
        <v>32.107638333333298</v>
      </c>
      <c r="AB11" s="16">
        <v>32146.5</v>
      </c>
      <c r="AC11" s="16">
        <v>62052.6</v>
      </c>
      <c r="AD11" s="16">
        <v>484.649</v>
      </c>
      <c r="AE11" s="16">
        <v>294.98200000000003</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300</v>
      </c>
      <c r="G12" s="19">
        <v>30</v>
      </c>
      <c r="I12" s="20">
        <f t="shared" si="0"/>
        <v>4.1355399999999998</v>
      </c>
      <c r="J12" s="21">
        <f t="shared" si="1"/>
        <v>0.18959822354211608</v>
      </c>
      <c r="K12" s="21">
        <f t="shared" si="2"/>
        <v>0.11466294511563437</v>
      </c>
      <c r="L12" s="21">
        <f t="shared" si="3"/>
        <v>8.3407997465923103E-2</v>
      </c>
      <c r="M12" s="21">
        <f t="shared" si="4"/>
        <v>7.4935278426481733E-2</v>
      </c>
      <c r="N12" s="18">
        <f t="shared" si="5"/>
        <v>25010424</v>
      </c>
      <c r="O12" s="21">
        <v>16</v>
      </c>
      <c r="P12" s="22">
        <v>217408494</v>
      </c>
      <c r="Q12" s="22">
        <v>724694.98</v>
      </c>
      <c r="R12" s="22">
        <v>26563.503333333301</v>
      </c>
      <c r="S12" s="23">
        <v>41355400</v>
      </c>
      <c r="T12" s="23">
        <v>18193056</v>
      </c>
      <c r="U12" s="23">
        <v>6817368</v>
      </c>
      <c r="V12" s="23">
        <v>16344976</v>
      </c>
      <c r="W12" s="24">
        <v>68.898682333333298</v>
      </c>
      <c r="X12" s="24">
        <v>71.250570999999994</v>
      </c>
      <c r="Y12" s="24">
        <v>34.692301999999998</v>
      </c>
      <c r="Z12" s="24">
        <v>40.566290000000002</v>
      </c>
      <c r="AA12" s="24">
        <v>33.990343000000003</v>
      </c>
      <c r="AB12" s="25">
        <v>31951.200000000001</v>
      </c>
      <c r="AC12" s="25">
        <v>66215.5</v>
      </c>
      <c r="AD12" s="25">
        <v>490.233</v>
      </c>
      <c r="AE12" s="25">
        <v>304.24900000000002</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300</v>
      </c>
      <c r="G13" s="10">
        <v>30</v>
      </c>
      <c r="I13" s="11">
        <f t="shared" si="0"/>
        <v>6.7052824000000006</v>
      </c>
      <c r="J13" s="12">
        <f t="shared" si="1"/>
        <v>0.30741079312211139</v>
      </c>
      <c r="K13" s="12">
        <f t="shared" si="2"/>
        <v>0.16157157219928173</v>
      </c>
      <c r="L13" s="12">
        <f t="shared" si="3"/>
        <v>0.13031662454957046</v>
      </c>
      <c r="M13" s="12">
        <f t="shared" si="4"/>
        <v>0.14583922092282969</v>
      </c>
      <c r="N13" s="54">
        <f t="shared" si="5"/>
        <v>35242192</v>
      </c>
      <c r="O13" s="12">
        <v>16</v>
      </c>
      <c r="P13" s="13">
        <v>225163089</v>
      </c>
      <c r="Q13" s="13">
        <v>750543.63</v>
      </c>
      <c r="R13" s="13">
        <v>30141.4666666667</v>
      </c>
      <c r="S13" s="14">
        <v>67052824</v>
      </c>
      <c r="T13" s="14">
        <v>28424824</v>
      </c>
      <c r="U13" s="14">
        <v>6817368</v>
      </c>
      <c r="V13" s="14">
        <v>31810632</v>
      </c>
      <c r="W13" s="15">
        <v>69.946918666666704</v>
      </c>
      <c r="X13" s="15">
        <v>72.471755333333306</v>
      </c>
      <c r="Y13" s="15">
        <v>36.882745333333297</v>
      </c>
      <c r="Z13" s="15">
        <v>41.618031333333299</v>
      </c>
      <c r="AA13" s="15">
        <v>35.9194666666667</v>
      </c>
      <c r="AB13" s="16">
        <v>32194.9</v>
      </c>
      <c r="AC13" s="16">
        <v>71008</v>
      </c>
      <c r="AD13" s="16">
        <v>505.66199999999998</v>
      </c>
      <c r="AE13" s="16">
        <v>298.32600000000002</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300</v>
      </c>
      <c r="G14" s="38">
        <v>30</v>
      </c>
      <c r="I14" s="39">
        <f t="shared" si="0"/>
        <v>13.199306400000001</v>
      </c>
      <c r="J14" s="40">
        <f t="shared" si="1"/>
        <v>0.60513622052454663</v>
      </c>
      <c r="K14" s="40">
        <f t="shared" si="2"/>
        <v>0.27257783540403646</v>
      </c>
      <c r="L14" s="40">
        <f t="shared" si="3"/>
        <v>0.21076901808582219</v>
      </c>
      <c r="M14" s="40">
        <f t="shared" si="4"/>
        <v>0.33255838512051017</v>
      </c>
      <c r="N14" s="37">
        <f t="shared" si="5"/>
        <v>59455016</v>
      </c>
      <c r="O14" s="40">
        <v>16</v>
      </c>
      <c r="P14" s="41">
        <v>212925678</v>
      </c>
      <c r="Q14" s="41">
        <v>709752.26</v>
      </c>
      <c r="R14" s="41">
        <v>14252.19</v>
      </c>
      <c r="S14" s="42">
        <v>131993064</v>
      </c>
      <c r="T14" s="42">
        <v>45973200</v>
      </c>
      <c r="U14" s="42">
        <v>13481816</v>
      </c>
      <c r="V14" s="42">
        <v>72538048</v>
      </c>
      <c r="W14" s="43">
        <v>70.806886666666699</v>
      </c>
      <c r="X14" s="43">
        <v>74.5742093333333</v>
      </c>
      <c r="Y14" s="43">
        <v>39.298372333333297</v>
      </c>
      <c r="Z14" s="43">
        <v>42.915351999999999</v>
      </c>
      <c r="AA14" s="43">
        <v>38.038868333333397</v>
      </c>
      <c r="AB14" s="44">
        <v>31773.599999999999</v>
      </c>
      <c r="AC14" s="44">
        <v>78573.8</v>
      </c>
      <c r="AD14" s="44">
        <v>476.73399999999998</v>
      </c>
      <c r="AE14" s="44">
        <v>322.13400000000001</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300</v>
      </c>
      <c r="G15" s="10">
        <v>30</v>
      </c>
      <c r="I15" s="11">
        <f t="shared" si="0"/>
        <v>1.8693903999999999</v>
      </c>
      <c r="J15" s="12">
        <f t="shared" si="1"/>
        <v>5.7949475039662149E-2</v>
      </c>
      <c r="K15" s="12">
        <f t="shared" si="2"/>
        <v>4.8066506177146931E-2</v>
      </c>
      <c r="L15" s="12">
        <f t="shared" si="3"/>
        <v>2.6890504850086597E-2</v>
      </c>
      <c r="M15" s="12">
        <f t="shared" si="4"/>
        <v>9.8829688625152162E-3</v>
      </c>
      <c r="N15" s="54">
        <f t="shared" si="5"/>
        <v>15505760</v>
      </c>
      <c r="O15" s="12">
        <v>16</v>
      </c>
      <c r="P15" s="13">
        <v>308654013</v>
      </c>
      <c r="Q15" s="13">
        <v>1028846.71</v>
      </c>
      <c r="R15" s="13">
        <v>31662.186666666701</v>
      </c>
      <c r="S15" s="14">
        <v>18693904</v>
      </c>
      <c r="T15" s="14">
        <v>8674600</v>
      </c>
      <c r="U15" s="14">
        <v>6831160</v>
      </c>
      <c r="V15" s="14">
        <v>3188144</v>
      </c>
      <c r="W15" s="15">
        <v>66.288795666666601</v>
      </c>
      <c r="X15" s="15">
        <v>67.884240666666699</v>
      </c>
      <c r="Y15" s="15">
        <v>29.027851666666599</v>
      </c>
      <c r="Z15" s="15">
        <v>43.379063333333299</v>
      </c>
      <c r="AA15" s="15">
        <v>43.586013333333298</v>
      </c>
      <c r="AB15" s="16">
        <v>44752</v>
      </c>
      <c r="AC15" s="16">
        <v>49771.3</v>
      </c>
      <c r="AD15" s="16">
        <v>690.60599999999999</v>
      </c>
      <c r="AE15" s="16">
        <v>280.60000000000002</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300</v>
      </c>
      <c r="G16" s="19">
        <v>30</v>
      </c>
      <c r="I16" s="20">
        <f t="shared" si="0"/>
        <v>2.4944576000000001</v>
      </c>
      <c r="J16" s="21">
        <f t="shared" si="1"/>
        <v>7.7326014099941637E-2</v>
      </c>
      <c r="K16" s="21">
        <f t="shared" si="2"/>
        <v>5.8361168278327942E-2</v>
      </c>
      <c r="L16" s="21">
        <f t="shared" si="3"/>
        <v>3.7185166951267605E-2</v>
      </c>
      <c r="M16" s="21">
        <f t="shared" si="4"/>
        <v>1.8964845821613698E-2</v>
      </c>
      <c r="N16" s="18">
        <f t="shared" si="5"/>
        <v>18826712</v>
      </c>
      <c r="O16" s="21">
        <v>16</v>
      </c>
      <c r="P16" s="22">
        <v>321094751</v>
      </c>
      <c r="Q16" s="22">
        <v>1070315.8366666699</v>
      </c>
      <c r="R16" s="22">
        <v>36528.910000000003</v>
      </c>
      <c r="S16" s="23">
        <v>24944576</v>
      </c>
      <c r="T16" s="23">
        <v>11995552</v>
      </c>
      <c r="U16" s="23">
        <v>6831160</v>
      </c>
      <c r="V16" s="23">
        <v>6117864</v>
      </c>
      <c r="W16" s="24">
        <v>68.000212666666698</v>
      </c>
      <c r="X16" s="24">
        <v>70.007170333333306</v>
      </c>
      <c r="Y16" s="24">
        <v>31.339413333333301</v>
      </c>
      <c r="Z16" s="24">
        <v>44.048478666666703</v>
      </c>
      <c r="AA16" s="24">
        <v>44.317250666666702</v>
      </c>
      <c r="AB16" s="25">
        <v>44566.400000000001</v>
      </c>
      <c r="AC16" s="25">
        <v>53703.7</v>
      </c>
      <c r="AD16" s="25">
        <v>716.17499999999995</v>
      </c>
      <c r="AE16" s="25">
        <v>275.67500000000001</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300</v>
      </c>
      <c r="G17" s="10">
        <v>30</v>
      </c>
      <c r="I17" s="11">
        <f t="shared" si="0"/>
        <v>3.5873863999999998</v>
      </c>
      <c r="J17" s="12">
        <f t="shared" si="1"/>
        <v>0.11120585547268427</v>
      </c>
      <c r="K17" s="12">
        <f t="shared" si="2"/>
        <v>7.237575071521811E-2</v>
      </c>
      <c r="L17" s="12">
        <f t="shared" si="3"/>
        <v>5.1199749388157779E-2</v>
      </c>
      <c r="M17" s="12">
        <f t="shared" si="4"/>
        <v>3.8830104757466156E-2</v>
      </c>
      <c r="N17" s="54">
        <f t="shared" si="5"/>
        <v>23347672</v>
      </c>
      <c r="O17" s="12">
        <v>16</v>
      </c>
      <c r="P17" s="13">
        <v>321754793</v>
      </c>
      <c r="Q17" s="13">
        <v>1072515.9766666701</v>
      </c>
      <c r="R17" s="13">
        <v>37385.196666666699</v>
      </c>
      <c r="S17" s="14">
        <v>35873864</v>
      </c>
      <c r="T17" s="14">
        <v>16516512</v>
      </c>
      <c r="U17" s="14">
        <v>6831160</v>
      </c>
      <c r="V17" s="14">
        <v>12526192</v>
      </c>
      <c r="W17" s="15">
        <v>69.319582999999994</v>
      </c>
      <c r="X17" s="15">
        <v>71.776932000000002</v>
      </c>
      <c r="Y17" s="15">
        <v>33.739956999999997</v>
      </c>
      <c r="Z17" s="15">
        <v>45.163038666666601</v>
      </c>
      <c r="AA17" s="15">
        <v>45.588048333333298</v>
      </c>
      <c r="AB17" s="16">
        <v>44951.9</v>
      </c>
      <c r="AC17" s="16">
        <v>57266.9</v>
      </c>
      <c r="AD17" s="16">
        <v>716.75099999999998</v>
      </c>
      <c r="AE17" s="16">
        <v>283.86799999999999</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300</v>
      </c>
      <c r="G18" s="19">
        <v>30</v>
      </c>
      <c r="I18" s="20">
        <f t="shared" si="0"/>
        <v>6.2302112000000003</v>
      </c>
      <c r="J18" s="21">
        <f t="shared" si="1"/>
        <v>0.19313112361453422</v>
      </c>
      <c r="K18" s="21">
        <f t="shared" si="2"/>
        <v>0.10629274144471765</v>
      </c>
      <c r="L18" s="21">
        <f t="shared" si="3"/>
        <v>8.5116740117657325E-2</v>
      </c>
      <c r="M18" s="21">
        <f t="shared" si="4"/>
        <v>8.6838382169816555E-2</v>
      </c>
      <c r="N18" s="18">
        <f t="shared" si="5"/>
        <v>34288944</v>
      </c>
      <c r="O18" s="21">
        <v>16</v>
      </c>
      <c r="P18" s="22">
        <v>331702199</v>
      </c>
      <c r="Q18" s="22">
        <v>1105673.9966666701</v>
      </c>
      <c r="R18" s="22">
        <v>41739.050000000003</v>
      </c>
      <c r="S18" s="23">
        <v>62302112</v>
      </c>
      <c r="T18" s="23">
        <v>27457784</v>
      </c>
      <c r="U18" s="23">
        <v>6831160</v>
      </c>
      <c r="V18" s="23">
        <v>28013168</v>
      </c>
      <c r="W18" s="24">
        <v>70.481268666666594</v>
      </c>
      <c r="X18" s="24">
        <v>73.086710999999994</v>
      </c>
      <c r="Y18" s="24">
        <v>36.160558333333299</v>
      </c>
      <c r="Z18" s="24">
        <v>46.482283666666603</v>
      </c>
      <c r="AA18" s="24">
        <v>46.975236333333399</v>
      </c>
      <c r="AB18" s="25">
        <v>44575.8</v>
      </c>
      <c r="AC18" s="25">
        <v>62796</v>
      </c>
      <c r="AD18" s="25">
        <v>739.58699999999999</v>
      </c>
      <c r="AE18" s="25">
        <v>296.06299999999999</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300</v>
      </c>
      <c r="G19" s="28">
        <v>30</v>
      </c>
      <c r="I19" s="29">
        <f t="shared" si="0"/>
        <v>13.078827199999999</v>
      </c>
      <c r="J19" s="30">
        <f t="shared" si="1"/>
        <v>0.40543225768916669</v>
      </c>
      <c r="K19" s="30">
        <f t="shared" si="2"/>
        <v>0.18381228930976667</v>
      </c>
      <c r="L19" s="30">
        <f t="shared" si="3"/>
        <v>0.13881477134806511</v>
      </c>
      <c r="M19" s="30">
        <f t="shared" si="4"/>
        <v>0.22161996837939998</v>
      </c>
      <c r="N19" s="27">
        <f t="shared" si="5"/>
        <v>59295952</v>
      </c>
      <c r="O19" s="30">
        <v>16</v>
      </c>
      <c r="P19" s="31">
        <v>314143532</v>
      </c>
      <c r="Q19" s="31">
        <v>1047145.1066666699</v>
      </c>
      <c r="R19" s="31">
        <v>18178.98</v>
      </c>
      <c r="S19" s="32">
        <v>130788272</v>
      </c>
      <c r="T19" s="32">
        <v>44780216</v>
      </c>
      <c r="U19" s="32">
        <v>14515736</v>
      </c>
      <c r="V19" s="32">
        <v>71492320</v>
      </c>
      <c r="W19" s="33">
        <v>71.167008999999993</v>
      </c>
      <c r="X19" s="33">
        <v>75.031801333333306</v>
      </c>
      <c r="Y19" s="33">
        <v>38.676436000000002</v>
      </c>
      <c r="Z19" s="33">
        <v>48.284075666666702</v>
      </c>
      <c r="AA19" s="33">
        <v>48.816028000000003</v>
      </c>
      <c r="AB19" s="34">
        <v>45011.9</v>
      </c>
      <c r="AC19" s="34">
        <v>70952.3</v>
      </c>
      <c r="AD19" s="34">
        <v>693.80700000000002</v>
      </c>
      <c r="AE19" s="34">
        <v>316.52300000000002</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250</v>
      </c>
      <c r="G20" s="19">
        <v>50</v>
      </c>
      <c r="I20" s="20">
        <f t="shared" si="0"/>
        <v>2.2134800000000001</v>
      </c>
      <c r="J20" s="21">
        <f t="shared" si="1"/>
        <v>4.4163097863064958E-2</v>
      </c>
      <c r="K20" s="21">
        <f t="shared" si="2"/>
        <v>3.5108741024061051E-2</v>
      </c>
      <c r="L20" s="21">
        <f t="shared" si="3"/>
        <v>1.9913928287443421E-2</v>
      </c>
      <c r="M20" s="21">
        <f t="shared" si="4"/>
        <v>9.0543568390039041E-3</v>
      </c>
      <c r="N20" s="18">
        <f t="shared" si="5"/>
        <v>8798352</v>
      </c>
      <c r="O20" s="21">
        <v>16</v>
      </c>
      <c r="P20" s="22">
        <v>236077728</v>
      </c>
      <c r="Q20" s="22">
        <v>944310.91200000001</v>
      </c>
      <c r="R20" s="22">
        <v>29116.612000000001</v>
      </c>
      <c r="S20" s="23">
        <v>11067400</v>
      </c>
      <c r="T20" s="23">
        <v>4990488</v>
      </c>
      <c r="U20" s="23">
        <v>3807864</v>
      </c>
      <c r="V20" s="23">
        <v>2269048</v>
      </c>
      <c r="W20" s="24">
        <v>67.491250800000003</v>
      </c>
      <c r="X20" s="24">
        <v>69.268420800000001</v>
      </c>
      <c r="Y20" s="24">
        <v>30.3007788</v>
      </c>
      <c r="Z20" s="24">
        <v>40.204972400000003</v>
      </c>
      <c r="AA20" s="24">
        <v>38.768202799999997</v>
      </c>
      <c r="AB20" s="25">
        <v>34566.9</v>
      </c>
      <c r="AC20" s="25">
        <v>40366</v>
      </c>
      <c r="AD20" s="25">
        <v>534.46199999999999</v>
      </c>
      <c r="AE20" s="25">
        <v>235.27799999999999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3">
      <c r="A21" s="54"/>
      <c r="B21" s="54" t="s">
        <v>68</v>
      </c>
      <c r="C21" s="10" t="s">
        <v>231</v>
      </c>
      <c r="D21" s="54">
        <v>250602891</v>
      </c>
      <c r="E21" s="10">
        <v>10</v>
      </c>
      <c r="F21" s="10">
        <v>250</v>
      </c>
      <c r="G21" s="10">
        <v>50</v>
      </c>
      <c r="I21" s="11">
        <f t="shared" si="0"/>
        <v>2.9400543999999997</v>
      </c>
      <c r="J21" s="12">
        <f t="shared" si="1"/>
        <v>5.8659626556343276E-2</v>
      </c>
      <c r="K21" s="12">
        <f t="shared" si="2"/>
        <v>4.1880538401290829E-2</v>
      </c>
      <c r="L21" s="12">
        <f t="shared" si="3"/>
        <v>2.6685725664673199E-2</v>
      </c>
      <c r="M21" s="12">
        <f t="shared" si="4"/>
        <v>1.6779088155052448E-2</v>
      </c>
      <c r="N21" s="54">
        <f t="shared" si="5"/>
        <v>10495384</v>
      </c>
      <c r="O21" s="12">
        <v>16</v>
      </c>
      <c r="P21" s="13">
        <v>245359978</v>
      </c>
      <c r="Q21" s="13">
        <v>981439.91200000001</v>
      </c>
      <c r="R21" s="13">
        <v>33615.811999999998</v>
      </c>
      <c r="S21" s="14">
        <v>14700272</v>
      </c>
      <c r="T21" s="14">
        <v>6687520</v>
      </c>
      <c r="U21" s="14">
        <v>3807864</v>
      </c>
      <c r="V21" s="14">
        <v>4204888</v>
      </c>
      <c r="W21" s="15">
        <v>69.054532399999999</v>
      </c>
      <c r="X21" s="15">
        <v>71.225704800000003</v>
      </c>
      <c r="Y21" s="15">
        <v>31.8378984</v>
      </c>
      <c r="Z21" s="15">
        <v>41.358273199999999</v>
      </c>
      <c r="AA21" s="15">
        <v>40.047008400000003</v>
      </c>
      <c r="AB21" s="16">
        <v>34882.800000000003</v>
      </c>
      <c r="AC21" s="16">
        <v>42935.8</v>
      </c>
      <c r="AD21" s="16">
        <v>555.95399999999995</v>
      </c>
      <c r="AE21" s="16">
        <v>240.976</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250</v>
      </c>
      <c r="G22" s="19">
        <v>50</v>
      </c>
      <c r="I22" s="20">
        <f t="shared" si="0"/>
        <v>4.3610592000000006</v>
      </c>
      <c r="J22" s="21">
        <f t="shared" si="1"/>
        <v>8.701135055939957E-2</v>
      </c>
      <c r="K22" s="21">
        <f t="shared" si="2"/>
        <v>4.985471616127525E-2</v>
      </c>
      <c r="L22" s="21">
        <f t="shared" si="3"/>
        <v>3.465990342465762E-2</v>
      </c>
      <c r="M22" s="21">
        <f t="shared" si="4"/>
        <v>3.7156634398124319E-2</v>
      </c>
      <c r="N22" s="18">
        <f t="shared" si="5"/>
        <v>12493736</v>
      </c>
      <c r="O22" s="21">
        <v>16</v>
      </c>
      <c r="P22" s="22">
        <v>252324755</v>
      </c>
      <c r="Q22" s="22">
        <v>1009299.02</v>
      </c>
      <c r="R22" s="22">
        <v>35506.167999999998</v>
      </c>
      <c r="S22" s="23">
        <v>21805296</v>
      </c>
      <c r="T22" s="23">
        <v>8685872</v>
      </c>
      <c r="U22" s="23">
        <v>3807864</v>
      </c>
      <c r="V22" s="23">
        <v>9311560</v>
      </c>
      <c r="W22" s="24">
        <v>70.261877600000005</v>
      </c>
      <c r="X22" s="24">
        <v>72.740842000000001</v>
      </c>
      <c r="Y22" s="24">
        <v>33.704040800000001</v>
      </c>
      <c r="Z22" s="24">
        <v>42.560581999999997</v>
      </c>
      <c r="AA22" s="24">
        <v>41.368309199999999</v>
      </c>
      <c r="AB22" s="25">
        <v>34594.9</v>
      </c>
      <c r="AC22" s="25">
        <v>45289.5</v>
      </c>
      <c r="AD22" s="25">
        <v>572.88099999999997</v>
      </c>
      <c r="AE22" s="25">
        <v>244.749</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250</v>
      </c>
      <c r="G23" s="10">
        <v>50</v>
      </c>
      <c r="I23" s="11">
        <f t="shared" si="0"/>
        <v>7.9538960000000003</v>
      </c>
      <c r="J23" s="12">
        <f t="shared" si="1"/>
        <v>0.15869521632932798</v>
      </c>
      <c r="K23" s="12">
        <f t="shared" si="2"/>
        <v>7.235479178889441E-2</v>
      </c>
      <c r="L23" s="12">
        <f t="shared" si="3"/>
        <v>5.7159979052276773E-2</v>
      </c>
      <c r="M23" s="12">
        <f t="shared" si="4"/>
        <v>8.6340424540433572E-2</v>
      </c>
      <c r="N23" s="54">
        <f t="shared" si="5"/>
        <v>18132320</v>
      </c>
      <c r="O23" s="12">
        <v>16</v>
      </c>
      <c r="P23" s="13">
        <v>255090373</v>
      </c>
      <c r="Q23" s="13">
        <v>1020361.492</v>
      </c>
      <c r="R23" s="13">
        <v>37774.063999999998</v>
      </c>
      <c r="S23" s="14">
        <v>39769480</v>
      </c>
      <c r="T23" s="14">
        <v>14324456</v>
      </c>
      <c r="U23" s="14">
        <v>3807864</v>
      </c>
      <c r="V23" s="14">
        <v>21637160</v>
      </c>
      <c r="W23" s="15">
        <v>71.205645599999997</v>
      </c>
      <c r="X23" s="15">
        <v>73.977870800000005</v>
      </c>
      <c r="Y23" s="15">
        <v>35.53304</v>
      </c>
      <c r="Z23" s="15">
        <v>43.722256000000002</v>
      </c>
      <c r="AA23" s="15">
        <v>42.493805999999999</v>
      </c>
      <c r="AB23" s="16">
        <v>34942.300000000003</v>
      </c>
      <c r="AC23" s="16">
        <v>48859.199999999997</v>
      </c>
      <c r="AD23" s="16">
        <v>577.38300000000004</v>
      </c>
      <c r="AE23" s="16">
        <v>250.81800000000001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250</v>
      </c>
      <c r="G24" s="38">
        <v>50</v>
      </c>
      <c r="I24" s="39">
        <f t="shared" si="0"/>
        <v>15.8846656</v>
      </c>
      <c r="J24" s="40">
        <f t="shared" si="1"/>
        <v>0.31692901739110424</v>
      </c>
      <c r="K24" s="40">
        <f t="shared" si="2"/>
        <v>0.12473263925754152</v>
      </c>
      <c r="L24" s="40">
        <f t="shared" si="3"/>
        <v>9.1759516054425727E-2</v>
      </c>
      <c r="M24" s="40">
        <f t="shared" si="4"/>
        <v>0.19219637813356272</v>
      </c>
      <c r="N24" s="37">
        <f t="shared" si="5"/>
        <v>31258360</v>
      </c>
      <c r="O24" s="40">
        <v>16</v>
      </c>
      <c r="P24" s="41">
        <v>243894865</v>
      </c>
      <c r="Q24" s="41">
        <v>975579.46</v>
      </c>
      <c r="R24" s="41">
        <v>18588.684000000001</v>
      </c>
      <c r="S24" s="42">
        <v>79423328</v>
      </c>
      <c r="T24" s="42">
        <v>22995200</v>
      </c>
      <c r="U24" s="42">
        <v>8263160</v>
      </c>
      <c r="V24" s="42">
        <v>48164968</v>
      </c>
      <c r="W24" s="43">
        <v>71.920644800000005</v>
      </c>
      <c r="X24" s="43">
        <v>75.958430800000002</v>
      </c>
      <c r="Y24" s="43">
        <v>37.002616400000001</v>
      </c>
      <c r="Z24" s="43">
        <v>44.823437599999998</v>
      </c>
      <c r="AA24" s="43">
        <v>43.421534000000001</v>
      </c>
      <c r="AB24" s="44">
        <v>34852.1</v>
      </c>
      <c r="AC24" s="44">
        <v>54135.6</v>
      </c>
      <c r="AD24" s="44">
        <v>550.46799999999996</v>
      </c>
      <c r="AE24" s="44">
        <v>266.613</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300</v>
      </c>
      <c r="G25" s="10">
        <v>30</v>
      </c>
      <c r="I25" s="11">
        <f t="shared" si="0"/>
        <v>2.1765143999999998</v>
      </c>
      <c r="J25" s="12">
        <f t="shared" si="1"/>
        <v>8.6958110823189938E-2</v>
      </c>
      <c r="K25" s="12">
        <f t="shared" si="2"/>
        <v>5.5912932226395533E-2</v>
      </c>
      <c r="L25" s="12">
        <f t="shared" si="3"/>
        <v>3.4338194344134862E-2</v>
      </c>
      <c r="M25" s="12">
        <f t="shared" si="4"/>
        <v>3.1045178596794395E-2</v>
      </c>
      <c r="N25" s="54">
        <f t="shared" si="5"/>
        <v>13994704</v>
      </c>
      <c r="O25" s="12">
        <v>16</v>
      </c>
      <c r="P25" s="13">
        <v>232141403</v>
      </c>
      <c r="Q25" s="13">
        <v>773804.67666666699</v>
      </c>
      <c r="R25" s="13">
        <v>16163.3</v>
      </c>
      <c r="S25" s="14">
        <v>21765144</v>
      </c>
      <c r="T25" s="14">
        <v>8594664</v>
      </c>
      <c r="U25" s="14">
        <v>5400040</v>
      </c>
      <c r="V25" s="14">
        <v>7770440</v>
      </c>
      <c r="W25" s="15">
        <v>66.367152333333294</v>
      </c>
      <c r="X25" s="15">
        <v>68.130876333333305</v>
      </c>
      <c r="Y25" s="15">
        <v>25.833124000000002</v>
      </c>
      <c r="Z25" s="15">
        <v>32.381196000000003</v>
      </c>
      <c r="AA25" s="15">
        <v>31.539062000000001</v>
      </c>
      <c r="AB25" s="16">
        <v>15301.7</v>
      </c>
      <c r="AC25" s="16">
        <v>55849.8</v>
      </c>
      <c r="AD25" s="16">
        <v>515.54999999999995</v>
      </c>
      <c r="AE25" s="16">
        <v>278.08199999999999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300</v>
      </c>
      <c r="G26" s="19">
        <v>30</v>
      </c>
      <c r="I26" s="20">
        <f t="shared" si="0"/>
        <v>3.3527040000000001</v>
      </c>
      <c r="J26" s="21">
        <f t="shared" si="1"/>
        <v>0.1339503225842899</v>
      </c>
      <c r="K26" s="21">
        <f t="shared" si="2"/>
        <v>6.9950663174962374E-2</v>
      </c>
      <c r="L26" s="21">
        <f t="shared" si="3"/>
        <v>4.8375925292701703E-2</v>
      </c>
      <c r="M26" s="21">
        <f t="shared" si="4"/>
        <v>6.3999659409327531E-2</v>
      </c>
      <c r="N26" s="18">
        <f t="shared" si="5"/>
        <v>17508272</v>
      </c>
      <c r="O26" s="21">
        <v>16</v>
      </c>
      <c r="P26" s="22">
        <v>244031498</v>
      </c>
      <c r="Q26" s="22">
        <v>813438.32666666701</v>
      </c>
      <c r="R26" s="22">
        <v>19473.3</v>
      </c>
      <c r="S26" s="23">
        <v>33527040</v>
      </c>
      <c r="T26" s="23">
        <v>12108232</v>
      </c>
      <c r="U26" s="23">
        <v>5400040</v>
      </c>
      <c r="V26" s="23">
        <v>16018768</v>
      </c>
      <c r="W26" s="24">
        <v>68.071844999999996</v>
      </c>
      <c r="X26" s="24">
        <v>70.1145286666667</v>
      </c>
      <c r="Y26" s="24">
        <v>27.865641666666701</v>
      </c>
      <c r="Z26" s="24">
        <v>33.581391000000004</v>
      </c>
      <c r="AA26" s="24">
        <v>32.954001666666699</v>
      </c>
      <c r="AB26" s="25">
        <v>15348.2</v>
      </c>
      <c r="AC26" s="25">
        <v>60341.3</v>
      </c>
      <c r="AD26" s="25">
        <v>542.79899999999998</v>
      </c>
      <c r="AE26" s="25">
        <v>288.36599999999999</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300</v>
      </c>
      <c r="G27" s="10">
        <v>30</v>
      </c>
      <c r="I27" s="11">
        <f t="shared" si="0"/>
        <v>5.6556935999999993</v>
      </c>
      <c r="J27" s="12">
        <f t="shared" si="1"/>
        <v>0.22596148725264856</v>
      </c>
      <c r="K27" s="12">
        <f t="shared" si="2"/>
        <v>9.0695914464500871E-2</v>
      </c>
      <c r="L27" s="12">
        <f t="shared" si="3"/>
        <v>6.9121176582240207E-2</v>
      </c>
      <c r="M27" s="12">
        <f t="shared" si="4"/>
        <v>0.13526557278814769</v>
      </c>
      <c r="N27" s="54">
        <f t="shared" si="5"/>
        <v>22700696</v>
      </c>
      <c r="O27" s="12">
        <v>16</v>
      </c>
      <c r="P27" s="13">
        <v>246289141</v>
      </c>
      <c r="Q27" s="13">
        <v>820963.80333333299</v>
      </c>
      <c r="R27" s="13">
        <v>20401.856666666699</v>
      </c>
      <c r="S27" s="14">
        <v>56556936</v>
      </c>
      <c r="T27" s="14">
        <v>17300656</v>
      </c>
      <c r="U27" s="14">
        <v>5400040</v>
      </c>
      <c r="V27" s="14">
        <v>33856240</v>
      </c>
      <c r="W27" s="15">
        <v>69.362729999999999</v>
      </c>
      <c r="X27" s="15">
        <v>71.793965333333404</v>
      </c>
      <c r="Y27" s="15">
        <v>30.176362999999998</v>
      </c>
      <c r="Z27" s="15">
        <v>34.8356553333333</v>
      </c>
      <c r="AA27" s="15">
        <v>34.295900666666697</v>
      </c>
      <c r="AB27" s="16">
        <v>15358.3</v>
      </c>
      <c r="AC27" s="16">
        <v>64473.7</v>
      </c>
      <c r="AD27" s="16">
        <v>546.18200000000002</v>
      </c>
      <c r="AE27" s="16">
        <v>292.70800000000003</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300</v>
      </c>
      <c r="G28" s="19">
        <v>30</v>
      </c>
      <c r="I28" s="20">
        <f t="shared" si="0"/>
        <v>10.909644800000001</v>
      </c>
      <c r="J28" s="21">
        <f t="shared" si="1"/>
        <v>0.43587219159222551</v>
      </c>
      <c r="K28" s="21">
        <f t="shared" si="2"/>
        <v>0.12782454875511448</v>
      </c>
      <c r="L28" s="21">
        <f t="shared" si="3"/>
        <v>0.10624981087285382</v>
      </c>
      <c r="M28" s="21">
        <f t="shared" si="4"/>
        <v>0.30804764283711106</v>
      </c>
      <c r="N28" s="18">
        <f t="shared" si="5"/>
        <v>31993792</v>
      </c>
      <c r="O28" s="21">
        <v>16</v>
      </c>
      <c r="P28" s="22">
        <v>253120330</v>
      </c>
      <c r="Q28" s="22">
        <v>843734.433333333</v>
      </c>
      <c r="R28" s="22">
        <v>22945.56</v>
      </c>
      <c r="S28" s="23">
        <v>109096448</v>
      </c>
      <c r="T28" s="23">
        <v>26593752</v>
      </c>
      <c r="U28" s="23">
        <v>5400040</v>
      </c>
      <c r="V28" s="23">
        <v>77102656</v>
      </c>
      <c r="W28" s="24">
        <v>70.485357999999906</v>
      </c>
      <c r="X28" s="24">
        <v>73.041494666666694</v>
      </c>
      <c r="Y28" s="24">
        <v>32.692002666666703</v>
      </c>
      <c r="Z28" s="24">
        <v>36.390619666666701</v>
      </c>
      <c r="AA28" s="24">
        <v>35.8425783333334</v>
      </c>
      <c r="AB28" s="25">
        <v>15370.4</v>
      </c>
      <c r="AC28" s="25">
        <v>70093.100000000006</v>
      </c>
      <c r="AD28" s="25">
        <v>563.09699999999998</v>
      </c>
      <c r="AE28" s="25">
        <v>308.93400000000003</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3">
      <c r="A29" s="27"/>
      <c r="B29" s="27" t="s">
        <v>71</v>
      </c>
      <c r="C29" s="28" t="s">
        <v>234</v>
      </c>
      <c r="D29" s="27">
        <v>250294582</v>
      </c>
      <c r="E29" s="28">
        <v>10</v>
      </c>
      <c r="F29" s="28">
        <v>300</v>
      </c>
      <c r="G29" s="28">
        <v>30</v>
      </c>
      <c r="I29" s="29">
        <f t="shared" si="0"/>
        <v>25.1433632</v>
      </c>
      <c r="J29" s="30">
        <f t="shared" si="1"/>
        <v>1.0045508376206083</v>
      </c>
      <c r="K29" s="30">
        <f t="shared" si="2"/>
        <v>0.2111768284301096</v>
      </c>
      <c r="L29" s="30">
        <f t="shared" si="3"/>
        <v>0.16742620501469743</v>
      </c>
      <c r="M29" s="30">
        <f t="shared" si="4"/>
        <v>0.79337400919049861</v>
      </c>
      <c r="N29" s="27">
        <f t="shared" si="5"/>
        <v>52856416</v>
      </c>
      <c r="O29" s="30">
        <v>16</v>
      </c>
      <c r="P29" s="31">
        <v>243643189</v>
      </c>
      <c r="Q29" s="31">
        <v>812143.96333333303</v>
      </c>
      <c r="R29" s="31">
        <v>10655.1133333333</v>
      </c>
      <c r="S29" s="32">
        <v>251433632</v>
      </c>
      <c r="T29" s="32">
        <v>41905872</v>
      </c>
      <c r="U29" s="32">
        <v>10950544</v>
      </c>
      <c r="V29" s="32">
        <v>198577216</v>
      </c>
      <c r="W29" s="33">
        <v>71.191933333333296</v>
      </c>
      <c r="X29" s="33">
        <v>74.925769000000003</v>
      </c>
      <c r="Y29" s="33">
        <v>35.720438666666702</v>
      </c>
      <c r="Z29" s="33">
        <v>38.376886333333303</v>
      </c>
      <c r="AA29" s="33">
        <v>37.768400999999997</v>
      </c>
      <c r="AB29" s="34">
        <v>15289.7</v>
      </c>
      <c r="AC29" s="34">
        <v>79889.899999999994</v>
      </c>
      <c r="AD29" s="34">
        <v>542.43299999999999</v>
      </c>
      <c r="AE29" s="34">
        <v>335.14</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128</v>
      </c>
      <c r="G30" s="19">
        <v>30</v>
      </c>
      <c r="I30" s="20">
        <f t="shared" si="0"/>
        <v>2.0052168749999999</v>
      </c>
      <c r="J30" s="21">
        <f t="shared" si="1"/>
        <v>2.2789233759883554E-2</v>
      </c>
      <c r="K30" s="21">
        <f t="shared" si="2"/>
        <v>1.7768821280067043E-2</v>
      </c>
      <c r="L30" s="21">
        <f t="shared" si="3"/>
        <v>1.141478615379563E-2</v>
      </c>
      <c r="M30" s="21">
        <f t="shared" si="4"/>
        <v>5.0204124798165087E-3</v>
      </c>
      <c r="N30" s="18">
        <f t="shared" si="5"/>
        <v>6670816</v>
      </c>
      <c r="O30" s="21">
        <v>16</v>
      </c>
      <c r="P30" s="22">
        <v>172119781</v>
      </c>
      <c r="Q30" s="22">
        <v>2689371.578125</v>
      </c>
      <c r="R30" s="22">
        <v>33544.125</v>
      </c>
      <c r="S30" s="23">
        <v>8555592</v>
      </c>
      <c r="T30" s="23">
        <v>4285368</v>
      </c>
      <c r="U30" s="23">
        <v>2385448</v>
      </c>
      <c r="V30" s="23">
        <v>1884776</v>
      </c>
      <c r="W30" s="24">
        <v>73.538409375000001</v>
      </c>
      <c r="X30" s="24">
        <v>75.705965625000005</v>
      </c>
      <c r="Y30" s="24">
        <v>32.984943749999999</v>
      </c>
      <c r="Z30" s="24">
        <v>41.898460937499998</v>
      </c>
      <c r="AA30" s="24">
        <v>43.1148375</v>
      </c>
      <c r="AB30" s="25">
        <v>7019.35</v>
      </c>
      <c r="AC30" s="25">
        <v>54840.1</v>
      </c>
      <c r="AD30" s="25">
        <v>400.77</v>
      </c>
      <c r="AE30" s="25">
        <v>273.79300000000001</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3">
      <c r="A31" s="54"/>
      <c r="B31" s="54" t="s">
        <v>75</v>
      </c>
      <c r="C31" s="10" t="s">
        <v>231</v>
      </c>
      <c r="D31" s="54">
        <v>375422539</v>
      </c>
      <c r="E31" s="10">
        <v>11</v>
      </c>
      <c r="F31" s="10">
        <v>128</v>
      </c>
      <c r="G31" s="10">
        <v>30</v>
      </c>
      <c r="I31" s="11">
        <f t="shared" si="0"/>
        <v>2.6836443750000001</v>
      </c>
      <c r="J31" s="12">
        <f t="shared" si="1"/>
        <v>3.0499543342548223E-2</v>
      </c>
      <c r="K31" s="12">
        <f t="shared" si="2"/>
        <v>2.195209702100491E-2</v>
      </c>
      <c r="L31" s="12">
        <f t="shared" si="3"/>
        <v>1.5598061894733497E-2</v>
      </c>
      <c r="M31" s="12">
        <f t="shared" si="4"/>
        <v>8.5474463215433113E-3</v>
      </c>
      <c r="N31" s="54">
        <f t="shared" si="5"/>
        <v>8241312</v>
      </c>
      <c r="O31" s="12">
        <v>16</v>
      </c>
      <c r="P31" s="13">
        <v>181793517</v>
      </c>
      <c r="Q31" s="13">
        <v>2840523.703125</v>
      </c>
      <c r="R31" s="13">
        <v>41507.578125</v>
      </c>
      <c r="S31" s="14">
        <v>11450216</v>
      </c>
      <c r="T31" s="14">
        <v>5855864</v>
      </c>
      <c r="U31" s="14">
        <v>2385448</v>
      </c>
      <c r="V31" s="14">
        <v>3208904</v>
      </c>
      <c r="W31" s="15">
        <v>75.198571874999999</v>
      </c>
      <c r="X31" s="15">
        <v>77.573767187499996</v>
      </c>
      <c r="Y31" s="15">
        <v>35.008137499999997</v>
      </c>
      <c r="Z31" s="15">
        <v>42.637901562499998</v>
      </c>
      <c r="AA31" s="15">
        <v>44.5175640625</v>
      </c>
      <c r="AB31" s="16">
        <v>7104.69</v>
      </c>
      <c r="AC31" s="16">
        <v>57705.4</v>
      </c>
      <c r="AD31" s="16">
        <v>422.49099999999999</v>
      </c>
      <c r="AE31" s="16">
        <v>278.05200000000002</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128</v>
      </c>
      <c r="G32" s="19">
        <v>30</v>
      </c>
      <c r="I32" s="20">
        <f t="shared" si="0"/>
        <v>3.8655543749999999</v>
      </c>
      <c r="J32" s="21">
        <f t="shared" si="1"/>
        <v>4.3931917470730227E-2</v>
      </c>
      <c r="K32" s="21">
        <f t="shared" si="2"/>
        <v>2.8120549256633737E-2</v>
      </c>
      <c r="L32" s="21">
        <f t="shared" si="3"/>
        <v>2.1766514130362322E-2</v>
      </c>
      <c r="M32" s="21">
        <f t="shared" si="4"/>
        <v>1.581136821409649E-2</v>
      </c>
      <c r="N32" s="18">
        <f t="shared" si="5"/>
        <v>10557088</v>
      </c>
      <c r="O32" s="21">
        <v>16</v>
      </c>
      <c r="P32" s="22">
        <v>184640807</v>
      </c>
      <c r="Q32" s="22">
        <v>2885012.609375</v>
      </c>
      <c r="R32" s="22">
        <v>44657.078125</v>
      </c>
      <c r="S32" s="23">
        <v>16493032</v>
      </c>
      <c r="T32" s="23">
        <v>8171640</v>
      </c>
      <c r="U32" s="23">
        <v>2385448</v>
      </c>
      <c r="V32" s="23">
        <v>5935944</v>
      </c>
      <c r="W32" s="24">
        <v>76.443582812499997</v>
      </c>
      <c r="X32" s="24">
        <v>79.119150000000005</v>
      </c>
      <c r="Y32" s="24">
        <v>36.883573437499997</v>
      </c>
      <c r="Z32" s="24">
        <v>43.144957812500003</v>
      </c>
      <c r="AA32" s="24">
        <v>45.674196875</v>
      </c>
      <c r="AB32" s="25">
        <v>7085.8</v>
      </c>
      <c r="AC32" s="25">
        <v>60724.1</v>
      </c>
      <c r="AD32" s="25">
        <v>427.62400000000002</v>
      </c>
      <c r="AE32" s="25">
        <v>280.06200000000001</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128</v>
      </c>
      <c r="G33" s="10">
        <v>30</v>
      </c>
      <c r="I33" s="11">
        <f t="shared" si="0"/>
        <v>6.3831656250000002</v>
      </c>
      <c r="J33" s="12">
        <f t="shared" si="1"/>
        <v>7.2544498986513967E-2</v>
      </c>
      <c r="K33" s="12">
        <f t="shared" si="2"/>
        <v>3.908628405499117E-2</v>
      </c>
      <c r="L33" s="12">
        <f t="shared" si="3"/>
        <v>3.2732248928719752E-2</v>
      </c>
      <c r="M33" s="12">
        <f t="shared" si="4"/>
        <v>3.3458214931522796E-2</v>
      </c>
      <c r="N33" s="54">
        <f t="shared" si="5"/>
        <v>14673872</v>
      </c>
      <c r="O33" s="12">
        <v>16</v>
      </c>
      <c r="P33" s="13">
        <v>189214522</v>
      </c>
      <c r="Q33" s="13">
        <v>2956476.90625</v>
      </c>
      <c r="R33" s="13">
        <v>49885.15625</v>
      </c>
      <c r="S33" s="14">
        <v>27234840</v>
      </c>
      <c r="T33" s="14">
        <v>12288424</v>
      </c>
      <c r="U33" s="14">
        <v>2385448</v>
      </c>
      <c r="V33" s="14">
        <v>12560968</v>
      </c>
      <c r="W33" s="15">
        <v>77.554853124999994</v>
      </c>
      <c r="X33" s="15">
        <v>80.274532812499999</v>
      </c>
      <c r="Y33" s="15">
        <v>38.703032812499998</v>
      </c>
      <c r="Z33" s="15">
        <v>43.746154687500002</v>
      </c>
      <c r="AA33" s="15">
        <v>47.196599999999997</v>
      </c>
      <c r="AB33" s="16">
        <v>7071.04</v>
      </c>
      <c r="AC33" s="16">
        <v>63528.2</v>
      </c>
      <c r="AD33" s="16">
        <v>419.70499999999998</v>
      </c>
      <c r="AE33" s="16">
        <v>273.91300000000001</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3">
      <c r="A34" s="18"/>
      <c r="B34" s="37" t="s">
        <v>75</v>
      </c>
      <c r="C34" s="38" t="s">
        <v>234</v>
      </c>
      <c r="D34" s="37">
        <v>375422539</v>
      </c>
      <c r="E34" s="38">
        <v>11</v>
      </c>
      <c r="F34" s="38">
        <v>128</v>
      </c>
      <c r="G34" s="38">
        <v>30</v>
      </c>
      <c r="I34" s="39">
        <f t="shared" si="0"/>
        <v>12.87846375</v>
      </c>
      <c r="J34" s="40">
        <f t="shared" si="1"/>
        <v>0.14636338070261679</v>
      </c>
      <c r="K34" s="40">
        <f t="shared" si="2"/>
        <v>6.4775631385306884E-2</v>
      </c>
      <c r="L34" s="40">
        <f t="shared" si="3"/>
        <v>5.1597179145389561E-2</v>
      </c>
      <c r="M34" s="40">
        <f t="shared" si="4"/>
        <v>8.1587749317309902E-2</v>
      </c>
      <c r="N34" s="37">
        <f t="shared" si="5"/>
        <v>24318232</v>
      </c>
      <c r="O34" s="40">
        <v>16</v>
      </c>
      <c r="P34" s="41">
        <v>185473998</v>
      </c>
      <c r="Q34" s="41">
        <v>2898031.21875</v>
      </c>
      <c r="R34" s="41">
        <v>21040.359375</v>
      </c>
      <c r="S34" s="42">
        <v>54948112</v>
      </c>
      <c r="T34" s="42">
        <v>19370744</v>
      </c>
      <c r="U34" s="42">
        <v>4947488</v>
      </c>
      <c r="V34" s="42">
        <v>30629880</v>
      </c>
      <c r="W34" s="43">
        <v>78.483640625000007</v>
      </c>
      <c r="X34" s="43">
        <v>81.908514062500004</v>
      </c>
      <c r="Y34" s="43">
        <v>40.533028125000001</v>
      </c>
      <c r="Z34" s="43">
        <v>44.458529687499997</v>
      </c>
      <c r="AA34" s="43">
        <v>48.760359375</v>
      </c>
      <c r="AB34" s="44">
        <v>7022.69</v>
      </c>
      <c r="AC34" s="44">
        <v>68244.7</v>
      </c>
      <c r="AD34" s="44">
        <v>427.24900000000002</v>
      </c>
      <c r="AE34" s="44">
        <v>302.07100000000003</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128</v>
      </c>
      <c r="G35" s="10">
        <v>30</v>
      </c>
      <c r="I35" s="11">
        <f t="shared" si="0"/>
        <v>2.28783</v>
      </c>
      <c r="J35" s="12">
        <f t="shared" si="1"/>
        <v>2.9296761050846772E-2</v>
      </c>
      <c r="K35" s="12">
        <f t="shared" si="2"/>
        <v>2.21948819224057E-2</v>
      </c>
      <c r="L35" s="12">
        <f t="shared" si="3"/>
        <v>1.4296317866193434E-2</v>
      </c>
      <c r="M35" s="12">
        <f t="shared" si="4"/>
        <v>7.1018791284410713E-3</v>
      </c>
      <c r="N35" s="54">
        <f t="shared" si="5"/>
        <v>7395128</v>
      </c>
      <c r="O35" s="12">
        <v>16</v>
      </c>
      <c r="P35" s="13">
        <v>149613278</v>
      </c>
      <c r="Q35" s="13">
        <v>2337707.46875</v>
      </c>
      <c r="R35" s="13">
        <v>31836.328125</v>
      </c>
      <c r="S35" s="14">
        <v>9761408</v>
      </c>
      <c r="T35" s="14">
        <v>4763400</v>
      </c>
      <c r="U35" s="14">
        <v>2631728</v>
      </c>
      <c r="V35" s="14">
        <v>2366280</v>
      </c>
      <c r="W35" s="15">
        <v>73.201135937499998</v>
      </c>
      <c r="X35" s="15">
        <v>75.428648437500001</v>
      </c>
      <c r="Y35" s="15">
        <v>31.861665625000001</v>
      </c>
      <c r="Z35" s="15">
        <v>42.110481249999999</v>
      </c>
      <c r="AA35" s="15">
        <v>43.259603124999998</v>
      </c>
      <c r="AB35" s="16">
        <v>6259.19</v>
      </c>
      <c r="AC35" s="16">
        <v>57479.5</v>
      </c>
      <c r="AD35" s="16">
        <v>336.82900000000001</v>
      </c>
      <c r="AE35" s="16">
        <v>263.64</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128</v>
      </c>
      <c r="G36" s="19">
        <v>30</v>
      </c>
      <c r="I36" s="20">
        <f t="shared" si="0"/>
        <v>3.0675918750000002</v>
      </c>
      <c r="J36" s="21">
        <f t="shared" si="1"/>
        <v>3.9281986058139817E-2</v>
      </c>
      <c r="K36" s="21">
        <f t="shared" si="2"/>
        <v>2.7344821751606629E-2</v>
      </c>
      <c r="L36" s="21">
        <f t="shared" si="3"/>
        <v>1.9446257695394362E-2</v>
      </c>
      <c r="M36" s="21">
        <f t="shared" si="4"/>
        <v>1.1937164306533188E-2</v>
      </c>
      <c r="N36" s="18">
        <f t="shared" si="5"/>
        <v>9111040</v>
      </c>
      <c r="O36" s="21">
        <v>16</v>
      </c>
      <c r="P36" s="22">
        <v>159901191</v>
      </c>
      <c r="Q36" s="22">
        <v>2498456.109375</v>
      </c>
      <c r="R36" s="22">
        <v>40289.96875</v>
      </c>
      <c r="S36" s="23">
        <v>13088392</v>
      </c>
      <c r="T36" s="23">
        <v>6479312</v>
      </c>
      <c r="U36" s="23">
        <v>2631728</v>
      </c>
      <c r="V36" s="23">
        <v>3977352</v>
      </c>
      <c r="W36" s="24">
        <v>74.942665625000004</v>
      </c>
      <c r="X36" s="24">
        <v>77.380543750000001</v>
      </c>
      <c r="Y36" s="24">
        <v>34.085734375000001</v>
      </c>
      <c r="Z36" s="24">
        <v>42.919023437500002</v>
      </c>
      <c r="AA36" s="24">
        <v>44.79616875</v>
      </c>
      <c r="AB36" s="25">
        <v>6314.6</v>
      </c>
      <c r="AC36" s="25">
        <v>60650.6</v>
      </c>
      <c r="AD36" s="25">
        <v>363.87599999999998</v>
      </c>
      <c r="AE36" s="25">
        <v>271.33300000000003</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128</v>
      </c>
      <c r="G37" s="10">
        <v>30</v>
      </c>
      <c r="I37" s="11">
        <f t="shared" si="0"/>
        <v>4.3938449999999998</v>
      </c>
      <c r="J37" s="12">
        <f t="shared" si="1"/>
        <v>5.6265293775961428E-2</v>
      </c>
      <c r="K37" s="12">
        <f t="shared" si="2"/>
        <v>3.4819412375596125E-2</v>
      </c>
      <c r="L37" s="12">
        <f t="shared" si="3"/>
        <v>2.692084831938386E-2</v>
      </c>
      <c r="M37" s="12">
        <f t="shared" si="4"/>
        <v>2.1445881400365303E-2</v>
      </c>
      <c r="N37" s="54">
        <f t="shared" si="5"/>
        <v>11601504</v>
      </c>
      <c r="O37" s="12">
        <v>16</v>
      </c>
      <c r="P37" s="13">
        <v>163389765</v>
      </c>
      <c r="Q37" s="13">
        <v>2552965.078125</v>
      </c>
      <c r="R37" s="13">
        <v>43966.28125</v>
      </c>
      <c r="S37" s="14">
        <v>18747072</v>
      </c>
      <c r="T37" s="14">
        <v>8969776</v>
      </c>
      <c r="U37" s="14">
        <v>2631728</v>
      </c>
      <c r="V37" s="14">
        <v>7145568</v>
      </c>
      <c r="W37" s="15">
        <v>76.244087500000006</v>
      </c>
      <c r="X37" s="15">
        <v>78.967284375000006</v>
      </c>
      <c r="Y37" s="15">
        <v>36.1798875</v>
      </c>
      <c r="Z37" s="15">
        <v>43.484889062500002</v>
      </c>
      <c r="AA37" s="15">
        <v>46.040328125000002</v>
      </c>
      <c r="AB37" s="16">
        <v>6302.53</v>
      </c>
      <c r="AC37" s="16">
        <v>63262.400000000001</v>
      </c>
      <c r="AD37" s="16">
        <v>361.755</v>
      </c>
      <c r="AE37" s="16">
        <v>267.14600000000002</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128</v>
      </c>
      <c r="G38" s="19">
        <v>30</v>
      </c>
      <c r="I38" s="20">
        <f t="shared" si="0"/>
        <v>7.1238975</v>
      </c>
      <c r="J38" s="21">
        <f t="shared" si="1"/>
        <v>9.1224926156324854E-2</v>
      </c>
      <c r="K38" s="21">
        <f t="shared" si="2"/>
        <v>4.7425839081595707E-2</v>
      </c>
      <c r="L38" s="21">
        <f t="shared" si="3"/>
        <v>3.9527275025383439E-2</v>
      </c>
      <c r="M38" s="21">
        <f t="shared" si="4"/>
        <v>4.3799087074729147E-2</v>
      </c>
      <c r="N38" s="18">
        <f t="shared" si="5"/>
        <v>15801848</v>
      </c>
      <c r="O38" s="21">
        <v>16</v>
      </c>
      <c r="P38" s="22">
        <v>167533646</v>
      </c>
      <c r="Q38" s="22">
        <v>2617713.21875</v>
      </c>
      <c r="R38" s="22">
        <v>49170.921875</v>
      </c>
      <c r="S38" s="23">
        <v>30395296</v>
      </c>
      <c r="T38" s="23">
        <v>13170120</v>
      </c>
      <c r="U38" s="23">
        <v>2631728</v>
      </c>
      <c r="V38" s="23">
        <v>14593448</v>
      </c>
      <c r="W38" s="24">
        <v>77.413173437500006</v>
      </c>
      <c r="X38" s="24">
        <v>80.162648437499996</v>
      </c>
      <c r="Y38" s="24">
        <v>38.153678124999999</v>
      </c>
      <c r="Z38" s="24">
        <v>44.131234374999998</v>
      </c>
      <c r="AA38" s="24">
        <v>47.2756890625</v>
      </c>
      <c r="AB38" s="25">
        <v>6275.72</v>
      </c>
      <c r="AC38" s="25">
        <v>66781.7</v>
      </c>
      <c r="AD38" s="25">
        <v>372.334</v>
      </c>
      <c r="AE38" s="25">
        <v>269.06799999999998</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3">
      <c r="A39" s="27"/>
      <c r="B39" s="27" t="s">
        <v>80</v>
      </c>
      <c r="C39" s="28" t="s">
        <v>234</v>
      </c>
      <c r="D39" s="27">
        <v>333190689</v>
      </c>
      <c r="E39" s="28">
        <v>11</v>
      </c>
      <c r="F39" s="28">
        <v>128</v>
      </c>
      <c r="G39" s="28">
        <v>30</v>
      </c>
      <c r="I39" s="29">
        <f t="shared" si="0"/>
        <v>14.102426250000001</v>
      </c>
      <c r="J39" s="30">
        <f t="shared" si="1"/>
        <v>0.18058833570826466</v>
      </c>
      <c r="K39" s="30">
        <f t="shared" si="2"/>
        <v>7.7005873354402163E-2</v>
      </c>
      <c r="L39" s="30">
        <f t="shared" si="3"/>
        <v>6.0958101983456088E-2</v>
      </c>
      <c r="M39" s="30">
        <f t="shared" si="4"/>
        <v>0.10358246235386248</v>
      </c>
      <c r="N39" s="27">
        <f t="shared" si="5"/>
        <v>25657640</v>
      </c>
      <c r="O39" s="30">
        <v>16</v>
      </c>
      <c r="P39" s="31">
        <v>163847524</v>
      </c>
      <c r="Q39" s="31">
        <v>2560117.5625</v>
      </c>
      <c r="R39" s="31">
        <v>19932.265625</v>
      </c>
      <c r="S39" s="32">
        <v>60170352</v>
      </c>
      <c r="T39" s="32">
        <v>20310672</v>
      </c>
      <c r="U39" s="32">
        <v>5346968</v>
      </c>
      <c r="V39" s="32">
        <v>34512712</v>
      </c>
      <c r="W39" s="33">
        <v>78.301231250000001</v>
      </c>
      <c r="X39" s="33">
        <v>81.886656250000001</v>
      </c>
      <c r="Y39" s="33">
        <v>40.245785937500003</v>
      </c>
      <c r="Z39" s="33">
        <v>45.053335937500002</v>
      </c>
      <c r="AA39" s="33">
        <v>48.672321875000002</v>
      </c>
      <c r="AB39" s="34">
        <v>6236.08</v>
      </c>
      <c r="AC39" s="34">
        <v>71535.600000000006</v>
      </c>
      <c r="AD39" s="34">
        <v>363.50599999999997</v>
      </c>
      <c r="AE39" s="34">
        <v>287.149</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3">
      <c r="B40" s="47" t="s">
        <v>14</v>
      </c>
      <c r="J40" s="48">
        <f>AVERAGE(J5:J24)</f>
        <v>0.17746458197233811</v>
      </c>
      <c r="K40" s="48">
        <f>AVERAGE(K5:K24)</f>
        <v>9.7067247817859872E-2</v>
      </c>
      <c r="L40" s="48">
        <f>AVERAGE(L5:L24)</f>
        <v>7.139171239974243E-2</v>
      </c>
      <c r="M40" s="48">
        <f>AVERAGE(M5:M24)</f>
        <v>8.0397334154478223E-2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3">
      <c r="B41" s="47" t="s">
        <v>15</v>
      </c>
      <c r="J41" s="48">
        <f>AVERAGE(J25:J29)</f>
        <v>0.37745858997459247</v>
      </c>
      <c r="K41" s="48">
        <f>AVERAGE(K25:K29)</f>
        <v>0.11111217741021658</v>
      </c>
      <c r="L41" s="48">
        <f>AVERAGE(L25:L29)</f>
        <v>8.5102262421325597E-2</v>
      </c>
      <c r="M41" s="48">
        <f>AVERAGE(M25:M29)</f>
        <v>0.26634641256437586</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3">
      <c r="B42" s="47" t="s">
        <v>16</v>
      </c>
      <c r="J42" s="48">
        <f>AVERAGE(J30:J39)</f>
        <v>7.1278587701183033E-2</v>
      </c>
      <c r="K42" s="48">
        <f>AVERAGE(K30:K39)</f>
        <v>3.8049421148361004E-2</v>
      </c>
      <c r="L42" s="48">
        <f>AVERAGE(L30:L39)</f>
        <v>2.9425759114281191E-2</v>
      </c>
      <c r="M42" s="48">
        <f>AVERAGE(M30:M39)</f>
        <v>3.3229166552822022E-2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3">
      <c r="B43" s="47" t="s">
        <v>17</v>
      </c>
      <c r="J43" s="48">
        <f>AVERAGE(J5:J39)</f>
        <v>0.17569629903804446</v>
      </c>
      <c r="K43" s="48">
        <f>AVERAGE(K5:K39)</f>
        <v>8.2211430139768282E-2</v>
      </c>
      <c r="L43" s="48">
        <f>AVERAGE(L5:L39)</f>
        <v>6.1360090035551096E-2</v>
      </c>
      <c r="M43" s="48">
        <f>AVERAGE(M5:M39)</f>
        <v>9.3484868898276133E-2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3">
      <c r="A44" s="47" t="s">
        <v>237</v>
      </c>
      <c r="B44" s="47" t="s">
        <v>238</v>
      </c>
      <c r="AB44" s="49">
        <f>SUM(AB5:AB24,AB25:AB29,AB30:AB39)</f>
        <v>873946.8899999999</v>
      </c>
      <c r="AC44" s="49">
        <f>SUM(AC5:AC24,AC25:AC29,AC30:AC39)</f>
        <v>2091631.8000000003</v>
      </c>
      <c r="AD44" s="49">
        <f>SUM(AD5:AD24,AD25:AD29,AD30:AD39)</f>
        <v>17998.471000000001</v>
      </c>
      <c r="AE44" s="49">
        <f>SUM(AE5:AE24,AE25:AE29,AE30:AE39)</f>
        <v>9834.5709999999999</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55">
        <f>AZ44/AB44</f>
        <v>0</v>
      </c>
      <c r="BA45" s="55">
        <f>BA44/AC44</f>
        <v>0</v>
      </c>
      <c r="BB45" s="55">
        <f>BB44/AD44</f>
        <v>0</v>
      </c>
      <c r="BC45" s="55">
        <f>BC44/AE44</f>
        <v>0</v>
      </c>
    </row>
    <row r="46" spans="1:72" hidden="1" outlineLevel="2" x14ac:dyDescent="0.3">
      <c r="B46" s="47" t="s">
        <v>240</v>
      </c>
      <c r="AB46" s="49">
        <f>GEOMEAN(AB5:AB24,AB25:AB29,AB30:AB39)</f>
        <v>19746.646013811958</v>
      </c>
      <c r="AC46" s="49">
        <f>GEOMEAN(AC5:AC24,AC25:AC29,AC30:AC39)</f>
        <v>59026.101617645509</v>
      </c>
      <c r="AD46" s="49">
        <f>GEOMEAN(AD5:AD24,AD25:AD29,AD30:AD39)</f>
        <v>503.69362640141645</v>
      </c>
      <c r="AE46" s="49">
        <f>GEOMEAN(AE5:AE24,AE25:AE29,AE30:AE39)</f>
        <v>280.11101395738626</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Ricard Julien</cp:lastModifiedBy>
  <dcterms:created xsi:type="dcterms:W3CDTF">2019-04-23T13:57:55Z</dcterms:created>
  <dcterms:modified xsi:type="dcterms:W3CDTF">2019-12-16T17:20:31Z</dcterms:modified>
</cp:coreProperties>
</file>