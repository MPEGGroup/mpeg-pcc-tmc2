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5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jkim/_RDoc/VPCCv7.0rc/"/>
    </mc:Choice>
  </mc:AlternateContent>
  <xr:revisionPtr revIDLastSave="0" documentId="13_ncr:1_{94769007-367E-7F41-9873-10846AD166AD}" xr6:coauthVersionLast="36" xr6:coauthVersionMax="36" xr10:uidLastSave="{00000000-0000-0000-0000-000000000000}"/>
  <bookViews>
    <workbookView xWindow="11060" yWindow="2400" windowWidth="37740" windowHeight="24320" activeTab="4" xr2:uid="{00000000-000D-0000-FFFF-FFFF00000000}"/>
  </bookViews>
  <sheets>
    <sheet name="Summary" sheetId="1" r:id="rId1"/>
    <sheet name="Graphs" sheetId="2" r:id="rId2"/>
    <sheet name="names" sheetId="4" state="hidden" r:id="rId3"/>
    <sheet name="CW losslG,losslA,intra" sheetId="5" r:id="rId4"/>
    <sheet name="CW losslG,losslA,interLD" sheetId="6" r:id="rId5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81029"/>
</workbook>
</file>

<file path=xl/calcChain.xml><?xml version="1.0" encoding="utf-8"?>
<calcChain xmlns="http://schemas.openxmlformats.org/spreadsheetml/2006/main">
  <c r="BM11" i="6" l="1"/>
  <c r="BL11" i="6"/>
  <c r="BK11" i="6"/>
  <c r="BJ11" i="6"/>
  <c r="BI11" i="6"/>
  <c r="BM10" i="6"/>
  <c r="BL10" i="6"/>
  <c r="BK10" i="6"/>
  <c r="BJ10" i="6"/>
  <c r="BI10" i="6"/>
  <c r="BM9" i="6"/>
  <c r="BL9" i="6"/>
  <c r="BK9" i="6"/>
  <c r="BJ9" i="6"/>
  <c r="BI9" i="6"/>
  <c r="BM8" i="6"/>
  <c r="BL8" i="6"/>
  <c r="BK8" i="6"/>
  <c r="BJ8" i="6"/>
  <c r="BI8" i="6"/>
  <c r="BM7" i="6"/>
  <c r="BL7" i="6"/>
  <c r="BK7" i="6"/>
  <c r="BJ7" i="6"/>
  <c r="BI7" i="6"/>
  <c r="BM6" i="6"/>
  <c r="BL6" i="6"/>
  <c r="BK6" i="6"/>
  <c r="BJ6" i="6"/>
  <c r="BI6" i="6"/>
  <c r="BM5" i="6"/>
  <c r="BL5" i="6"/>
  <c r="BK5" i="6"/>
  <c r="BJ5" i="6"/>
  <c r="BI5" i="6"/>
  <c r="BM11" i="5"/>
  <c r="BL11" i="5"/>
  <c r="BK11" i="5"/>
  <c r="BJ11" i="5"/>
  <c r="BI11" i="5"/>
  <c r="BM10" i="5"/>
  <c r="BL10" i="5"/>
  <c r="BK10" i="5"/>
  <c r="BJ10" i="5"/>
  <c r="BI10" i="5"/>
  <c r="BM9" i="5"/>
  <c r="BL9" i="5"/>
  <c r="BK9" i="5"/>
  <c r="BJ9" i="5"/>
  <c r="BI9" i="5"/>
  <c r="BM8" i="5"/>
  <c r="BL8" i="5"/>
  <c r="BK8" i="5"/>
  <c r="BJ8" i="5"/>
  <c r="BI8" i="5"/>
  <c r="BM7" i="5"/>
  <c r="BL7" i="5"/>
  <c r="BK7" i="5"/>
  <c r="BJ7" i="5"/>
  <c r="BI7" i="5"/>
  <c r="BM6" i="5"/>
  <c r="BL6" i="5"/>
  <c r="BK6" i="5"/>
  <c r="BJ6" i="5"/>
  <c r="BI6" i="5"/>
  <c r="BM5" i="5"/>
  <c r="BL5" i="5"/>
  <c r="BK5" i="5"/>
  <c r="BJ5" i="5"/>
  <c r="BI5" i="5"/>
  <c r="AZ18" i="6" l="1"/>
  <c r="AY18" i="6"/>
  <c r="AX18" i="6"/>
  <c r="AW18" i="6"/>
  <c r="AC18" i="6"/>
  <c r="AB18" i="6"/>
  <c r="AA18" i="6"/>
  <c r="Z18" i="6"/>
  <c r="AZ16" i="6"/>
  <c r="AY16" i="6"/>
  <c r="AX16" i="6"/>
  <c r="AW16" i="6"/>
  <c r="AC16" i="6"/>
  <c r="AB16" i="6"/>
  <c r="AA16" i="6"/>
  <c r="Z16" i="6"/>
  <c r="AL11" i="6"/>
  <c r="AK11" i="6"/>
  <c r="BG11" i="6" s="1" a="1"/>
  <c r="AJ11" i="6"/>
  <c r="AI11" i="6"/>
  <c r="AG11" i="6"/>
  <c r="AF11" i="6"/>
  <c r="AE11" i="6"/>
  <c r="O11" i="6"/>
  <c r="N11" i="6"/>
  <c r="K11" i="6" s="1"/>
  <c r="M11" i="6"/>
  <c r="L11" i="6"/>
  <c r="J11" i="6"/>
  <c r="I11" i="6"/>
  <c r="H11" i="6"/>
  <c r="AL10" i="6"/>
  <c r="AK10" i="6"/>
  <c r="AH10" i="6" s="1"/>
  <c r="AJ10" i="6"/>
  <c r="AI10" i="6"/>
  <c r="AG10" i="6"/>
  <c r="AF10" i="6"/>
  <c r="AE10" i="6"/>
  <c r="O10" i="6"/>
  <c r="N10" i="6"/>
  <c r="K10" i="6" s="1"/>
  <c r="M10" i="6"/>
  <c r="L10" i="6"/>
  <c r="J10" i="6"/>
  <c r="I10" i="6"/>
  <c r="H10" i="6"/>
  <c r="BG9" i="6" a="1"/>
  <c r="AL9" i="6"/>
  <c r="AK9" i="6"/>
  <c r="AH9" i="6" s="1"/>
  <c r="AH13" i="6" s="1"/>
  <c r="AJ9" i="6"/>
  <c r="AI9" i="6"/>
  <c r="AI13" i="6" s="1"/>
  <c r="AG9" i="6"/>
  <c r="AG13" i="6" s="1"/>
  <c r="AF9" i="6"/>
  <c r="AE9" i="6"/>
  <c r="O9" i="6"/>
  <c r="N9" i="6"/>
  <c r="M9" i="6"/>
  <c r="M13" i="6" s="1"/>
  <c r="L9" i="6"/>
  <c r="L13" i="6" s="1"/>
  <c r="J9" i="6"/>
  <c r="J13" i="6" s="1"/>
  <c r="I9" i="6"/>
  <c r="H9" i="6"/>
  <c r="AL8" i="6"/>
  <c r="AK8" i="6"/>
  <c r="AJ8" i="6"/>
  <c r="AI8" i="6"/>
  <c r="AG8" i="6"/>
  <c r="AF8" i="6"/>
  <c r="AE8" i="6"/>
  <c r="O8" i="6"/>
  <c r="N8" i="6"/>
  <c r="K8" i="6" s="1"/>
  <c r="M8" i="6"/>
  <c r="L8" i="6"/>
  <c r="J8" i="6"/>
  <c r="I8" i="6"/>
  <c r="H8" i="6"/>
  <c r="AL7" i="6"/>
  <c r="AK7" i="6"/>
  <c r="AH7" i="6" s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H6" i="6" s="1"/>
  <c r="AJ6" i="6"/>
  <c r="AI6" i="6"/>
  <c r="AG6" i="6"/>
  <c r="AF6" i="6"/>
  <c r="AE6" i="6"/>
  <c r="O6" i="6"/>
  <c r="N6" i="6"/>
  <c r="K6" i="6" s="1"/>
  <c r="M6" i="6"/>
  <c r="L6" i="6"/>
  <c r="J6" i="6"/>
  <c r="I6" i="6"/>
  <c r="H6" i="6"/>
  <c r="AL5" i="6"/>
  <c r="AK5" i="6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8" i="5"/>
  <c r="AY18" i="5"/>
  <c r="AX18" i="5"/>
  <c r="AW18" i="5"/>
  <c r="AC18" i="5"/>
  <c r="AB18" i="5"/>
  <c r="AA18" i="5"/>
  <c r="Z18" i="5"/>
  <c r="AZ16" i="5"/>
  <c r="AY16" i="5"/>
  <c r="AX16" i="5"/>
  <c r="AW16" i="5"/>
  <c r="AC16" i="5"/>
  <c r="AB16" i="5"/>
  <c r="AA16" i="5"/>
  <c r="AX17" i="5" s="1"/>
  <c r="Z16" i="5"/>
  <c r="AL11" i="5"/>
  <c r="AK11" i="5"/>
  <c r="BG11" i="5" s="1" a="1"/>
  <c r="AJ11" i="5"/>
  <c r="AI11" i="5"/>
  <c r="AG11" i="5"/>
  <c r="AF11" i="5"/>
  <c r="AE11" i="5"/>
  <c r="O11" i="5"/>
  <c r="N11" i="5"/>
  <c r="K11" i="5" s="1"/>
  <c r="K14" i="5" s="1"/>
  <c r="M11" i="5"/>
  <c r="L11" i="5"/>
  <c r="J11" i="5"/>
  <c r="I11" i="5"/>
  <c r="H11" i="5"/>
  <c r="AL10" i="5"/>
  <c r="AK10" i="5"/>
  <c r="BG10" i="5" s="1" a="1"/>
  <c r="AJ10" i="5"/>
  <c r="AI10" i="5"/>
  <c r="AG10" i="5"/>
  <c r="AF10" i="5"/>
  <c r="AE10" i="5"/>
  <c r="O10" i="5"/>
  <c r="N10" i="5"/>
  <c r="K10" i="5" s="1"/>
  <c r="M10" i="5"/>
  <c r="M14" i="5" s="1"/>
  <c r="L10" i="5"/>
  <c r="J10" i="5"/>
  <c r="I10" i="5"/>
  <c r="H10" i="5"/>
  <c r="AL9" i="5"/>
  <c r="AK9" i="5"/>
  <c r="AJ9" i="5"/>
  <c r="AI9" i="5"/>
  <c r="AI13" i="5" s="1"/>
  <c r="AG9" i="5"/>
  <c r="AF9" i="5"/>
  <c r="AE9" i="5"/>
  <c r="O9" i="5"/>
  <c r="N9" i="5"/>
  <c r="K9" i="5" s="1"/>
  <c r="K13" i="5" s="1"/>
  <c r="M9" i="5"/>
  <c r="M13" i="5" s="1"/>
  <c r="L9" i="5"/>
  <c r="L13" i="5" s="1"/>
  <c r="J9" i="5"/>
  <c r="J13" i="5" s="1"/>
  <c r="I9" i="5"/>
  <c r="H9" i="5"/>
  <c r="AL8" i="5"/>
  <c r="AK8" i="5"/>
  <c r="BG8" i="5" s="1" a="1"/>
  <c r="AJ8" i="5"/>
  <c r="AI8" i="5"/>
  <c r="AG8" i="5"/>
  <c r="AF8" i="5"/>
  <c r="AE8" i="5"/>
  <c r="O8" i="5"/>
  <c r="N8" i="5"/>
  <c r="K8" i="5" s="1"/>
  <c r="M8" i="5"/>
  <c r="L8" i="5"/>
  <c r="J8" i="5"/>
  <c r="BB8" i="5" s="1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AL6" i="5"/>
  <c r="AK6" i="5"/>
  <c r="BG6" i="5" s="1" a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1" i="2"/>
  <c r="B2" i="2" s="1"/>
  <c r="BB8" i="6" l="1"/>
  <c r="BE6" i="6"/>
  <c r="BG11" i="6"/>
  <c r="BF9" i="6"/>
  <c r="AZ19" i="5"/>
  <c r="BD13" i="6"/>
  <c r="AZ17" i="6"/>
  <c r="BF8" i="5"/>
  <c r="AJ12" i="6"/>
  <c r="BG9" i="6"/>
  <c r="BG13" i="6" s="1"/>
  <c r="AH11" i="5"/>
  <c r="BG5" i="6" a="1"/>
  <c r="BG5" i="6" s="1"/>
  <c r="AH6" i="5"/>
  <c r="BC6" i="5" s="1"/>
  <c r="AH5" i="6"/>
  <c r="BC5" i="6" s="1"/>
  <c r="AH8" i="5"/>
  <c r="BC8" i="5" s="1"/>
  <c r="BF5" i="6"/>
  <c r="J12" i="6"/>
  <c r="BD6" i="6"/>
  <c r="BE8" i="6"/>
  <c r="BE11" i="6"/>
  <c r="E44" i="1"/>
  <c r="F44" i="1"/>
  <c r="I45" i="1"/>
  <c r="K43" i="1"/>
  <c r="H44" i="1"/>
  <c r="G44" i="1"/>
  <c r="I44" i="1"/>
  <c r="J44" i="1"/>
  <c r="K44" i="1"/>
  <c r="L44" i="1"/>
  <c r="K10" i="1"/>
  <c r="L10" i="1"/>
  <c r="E10" i="1"/>
  <c r="I11" i="1"/>
  <c r="F10" i="1"/>
  <c r="J11" i="1"/>
  <c r="G10" i="1"/>
  <c r="F11" i="1"/>
  <c r="H9" i="1"/>
  <c r="H10" i="1"/>
  <c r="J10" i="1"/>
  <c r="G9" i="1"/>
  <c r="I10" i="1"/>
  <c r="E11" i="1"/>
  <c r="C14" i="1"/>
  <c r="C47" i="1"/>
  <c r="C48" i="1"/>
  <c r="C13" i="1"/>
  <c r="G11" i="1"/>
  <c r="K11" i="1"/>
  <c r="BD7" i="6"/>
  <c r="L15" i="6"/>
  <c r="AY17" i="6"/>
  <c r="J15" i="6"/>
  <c r="BB5" i="6"/>
  <c r="BF7" i="6"/>
  <c r="BD8" i="6"/>
  <c r="K9" i="6"/>
  <c r="K13" i="6" s="1"/>
  <c r="AY19" i="6"/>
  <c r="C36" i="1" s="1"/>
  <c r="AX17" i="6"/>
  <c r="AW19" i="6"/>
  <c r="C35" i="1" s="1"/>
  <c r="BB13" i="6"/>
  <c r="E32" i="1" s="1"/>
  <c r="BC7" i="6"/>
  <c r="AW17" i="6"/>
  <c r="BE7" i="5"/>
  <c r="BD5" i="5"/>
  <c r="BD6" i="5"/>
  <c r="BG6" i="5"/>
  <c r="BF11" i="5"/>
  <c r="AY17" i="5"/>
  <c r="BD13" i="5"/>
  <c r="BG11" i="5"/>
  <c r="AY19" i="5"/>
  <c r="C24" i="1" s="1"/>
  <c r="BB11" i="5"/>
  <c r="AW17" i="5"/>
  <c r="BG8" i="5"/>
  <c r="J14" i="5"/>
  <c r="BD10" i="5"/>
  <c r="BG10" i="5"/>
  <c r="BG14" i="5" s="1"/>
  <c r="AW19" i="5"/>
  <c r="C23" i="1" s="1"/>
  <c r="M14" i="6"/>
  <c r="BB11" i="6"/>
  <c r="BD10" i="6"/>
  <c r="BE11" i="5"/>
  <c r="L14" i="5"/>
  <c r="K14" i="6"/>
  <c r="BC6" i="6"/>
  <c r="BB9" i="6"/>
  <c r="L14" i="6"/>
  <c r="BB7" i="6"/>
  <c r="BD9" i="5"/>
  <c r="M15" i="5"/>
  <c r="BE6" i="5"/>
  <c r="BB5" i="5"/>
  <c r="BD7" i="5"/>
  <c r="H11" i="1"/>
  <c r="E45" i="1"/>
  <c r="J43" i="1"/>
  <c r="H45" i="1"/>
  <c r="L45" i="1"/>
  <c r="K12" i="1"/>
  <c r="L12" i="1"/>
  <c r="L9" i="1"/>
  <c r="F45" i="1"/>
  <c r="J45" i="1"/>
  <c r="K45" i="1"/>
  <c r="AH5" i="5"/>
  <c r="BF5" i="5"/>
  <c r="AG13" i="5"/>
  <c r="BB13" i="5" s="1"/>
  <c r="E20" i="1" s="1"/>
  <c r="BB9" i="5"/>
  <c r="K12" i="6"/>
  <c r="E43" i="1"/>
  <c r="E46" i="1"/>
  <c r="I46" i="1"/>
  <c r="I43" i="1"/>
  <c r="F46" i="1"/>
  <c r="F43" i="1"/>
  <c r="F12" i="1"/>
  <c r="F9" i="1"/>
  <c r="J12" i="1"/>
  <c r="J9" i="1"/>
  <c r="L11" i="1"/>
  <c r="J15" i="5"/>
  <c r="J12" i="5"/>
  <c r="BB7" i="5"/>
  <c r="AG12" i="5"/>
  <c r="BG7" i="5" a="1"/>
  <c r="BG7" i="5" s="1"/>
  <c r="BF7" i="5"/>
  <c r="BE8" i="5"/>
  <c r="BC11" i="5"/>
  <c r="BE9" i="6"/>
  <c r="AJ13" i="6"/>
  <c r="BE13" i="6" s="1"/>
  <c r="D32" i="1" s="1"/>
  <c r="BE10" i="6"/>
  <c r="AJ14" i="6"/>
  <c r="G12" i="1"/>
  <c r="K9" i="1"/>
  <c r="BC7" i="5"/>
  <c r="AI14" i="5"/>
  <c r="BD11" i="5"/>
  <c r="AI15" i="5"/>
  <c r="M12" i="5"/>
  <c r="AG15" i="5"/>
  <c r="BF11" i="6"/>
  <c r="AH11" i="6"/>
  <c r="J46" i="1"/>
  <c r="H12" i="1"/>
  <c r="L12" i="5"/>
  <c r="L15" i="5"/>
  <c r="AJ15" i="5"/>
  <c r="BE15" i="5" s="1"/>
  <c r="D22" i="1" s="1"/>
  <c r="BE5" i="5"/>
  <c r="AJ12" i="5"/>
  <c r="BG5" i="5" a="1"/>
  <c r="BG5" i="5" s="1"/>
  <c r="AH9" i="5"/>
  <c r="BG9" i="5" a="1"/>
  <c r="BG9" i="5" s="1"/>
  <c r="BG13" i="5" s="1"/>
  <c r="BF9" i="5"/>
  <c r="E12" i="1"/>
  <c r="E9" i="1"/>
  <c r="I12" i="1"/>
  <c r="I9" i="1"/>
  <c r="AJ14" i="5"/>
  <c r="BE14" i="5" s="1"/>
  <c r="D21" i="1" s="1"/>
  <c r="BE10" i="5"/>
  <c r="AZ17" i="5"/>
  <c r="BB6" i="6"/>
  <c r="AH8" i="6"/>
  <c r="BC8" i="6" s="1"/>
  <c r="BG8" i="6" a="1"/>
  <c r="BG8" i="6" s="1"/>
  <c r="AX19" i="6"/>
  <c r="AX19" i="5"/>
  <c r="BE7" i="6"/>
  <c r="BF8" i="6"/>
  <c r="K15" i="5"/>
  <c r="AG14" i="5"/>
  <c r="BB10" i="5"/>
  <c r="BF10" i="5"/>
  <c r="M15" i="6"/>
  <c r="M12" i="6"/>
  <c r="AJ15" i="6"/>
  <c r="BF6" i="6"/>
  <c r="BC13" i="6"/>
  <c r="C32" i="1" s="1"/>
  <c r="BC10" i="6"/>
  <c r="AZ19" i="6"/>
  <c r="G43" i="1"/>
  <c r="K46" i="1"/>
  <c r="AI12" i="5"/>
  <c r="BB6" i="5"/>
  <c r="BF6" i="5"/>
  <c r="BD8" i="5"/>
  <c r="BE9" i="5"/>
  <c r="AJ13" i="5"/>
  <c r="BE13" i="5" s="1"/>
  <c r="D20" i="1" s="1"/>
  <c r="AH10" i="5"/>
  <c r="K12" i="5"/>
  <c r="BE5" i="6"/>
  <c r="AG15" i="6"/>
  <c r="BG6" i="6" a="1"/>
  <c r="BG6" i="6" s="1"/>
  <c r="AI14" i="6"/>
  <c r="BD14" i="6" s="1"/>
  <c r="BD11" i="6"/>
  <c r="AG12" i="6"/>
  <c r="BB12" i="6" s="1"/>
  <c r="E31" i="1" s="1"/>
  <c r="G45" i="1"/>
  <c r="G46" i="1"/>
  <c r="L12" i="6"/>
  <c r="AI12" i="6"/>
  <c r="BG7" i="6" a="1"/>
  <c r="BG7" i="6" s="1"/>
  <c r="J14" i="6"/>
  <c r="AG14" i="6"/>
  <c r="BB10" i="6"/>
  <c r="BF10" i="6"/>
  <c r="BD5" i="6"/>
  <c r="BD9" i="6"/>
  <c r="BG10" i="6" a="1"/>
  <c r="BG10" i="6" s="1"/>
  <c r="BG14" i="6" s="1"/>
  <c r="AI15" i="6"/>
  <c r="H46" i="1"/>
  <c r="H43" i="1"/>
  <c r="L46" i="1"/>
  <c r="L43" i="1"/>
  <c r="BE12" i="6" l="1"/>
  <c r="D31" i="1" s="1"/>
  <c r="BG15" i="6"/>
  <c r="BB14" i="5"/>
  <c r="E21" i="1" s="1"/>
  <c r="BD14" i="5"/>
  <c r="BE12" i="5"/>
  <c r="D19" i="1" s="1"/>
  <c r="BG12" i="6"/>
  <c r="BD15" i="6"/>
  <c r="AH12" i="6"/>
  <c r="BC12" i="6" s="1"/>
  <c r="C31" i="1" s="1"/>
  <c r="BD12" i="6"/>
  <c r="C44" i="1"/>
  <c r="D10" i="1"/>
  <c r="D44" i="1"/>
  <c r="C45" i="1"/>
  <c r="D45" i="1"/>
  <c r="C12" i="1"/>
  <c r="C10" i="1"/>
  <c r="C9" i="1"/>
  <c r="BB15" i="6"/>
  <c r="E34" i="1" s="1"/>
  <c r="BE14" i="6"/>
  <c r="D33" i="1" s="1"/>
  <c r="BC9" i="6"/>
  <c r="K15" i="6"/>
  <c r="BE15" i="6"/>
  <c r="D34" i="1" s="1"/>
  <c r="BD15" i="5"/>
  <c r="C11" i="1"/>
  <c r="D46" i="1"/>
  <c r="D43" i="1"/>
  <c r="AH13" i="5"/>
  <c r="BC13" i="5" s="1"/>
  <c r="C20" i="1" s="1"/>
  <c r="BC9" i="5"/>
  <c r="BC11" i="6"/>
  <c r="AH14" i="6"/>
  <c r="BC14" i="6" s="1"/>
  <c r="C33" i="1" s="1"/>
  <c r="AH15" i="6"/>
  <c r="BC15" i="6" s="1"/>
  <c r="C34" i="1" s="1"/>
  <c r="D12" i="1"/>
  <c r="D9" i="1"/>
  <c r="BB12" i="5"/>
  <c r="E19" i="1" s="1"/>
  <c r="BB14" i="6"/>
  <c r="E33" i="1" s="1"/>
  <c r="AH14" i="5"/>
  <c r="BC14" i="5" s="1"/>
  <c r="C21" i="1" s="1"/>
  <c r="BC10" i="5"/>
  <c r="BG12" i="5"/>
  <c r="BG15" i="5"/>
  <c r="BB15" i="5"/>
  <c r="E22" i="1" s="1"/>
  <c r="D11" i="1"/>
  <c r="C46" i="1"/>
  <c r="C43" i="1"/>
  <c r="AH15" i="5"/>
  <c r="BC15" i="5" s="1"/>
  <c r="C22" i="1" s="1"/>
  <c r="AH12" i="5"/>
  <c r="BC12" i="5" s="1"/>
  <c r="C19" i="1" s="1"/>
  <c r="BC5" i="5"/>
  <c r="BD12" i="5"/>
</calcChain>
</file>

<file path=xl/sharedStrings.xml><?xml version="1.0" encoding="utf-8"?>
<sst xmlns="http://schemas.openxmlformats.org/spreadsheetml/2006/main" count="940" uniqueCount="553">
  <si>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</si>
  <si>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</si>
  <si>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</si>
  <si>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</si>
  <si>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</si>
  <si>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</si>
  <si>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</si>
  <si>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</si>
  <si>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</si>
  <si>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</si>
  <si>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</si>
  <si>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</si>
  <si>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</si>
  <si>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</si>
  <si>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</si>
  <si>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</si>
  <si>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</si>
  <si>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</si>
  <si>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</si>
  <si>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</si>
  <si>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</si>
  <si>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</si>
  <si>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</si>
  <si>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</si>
  <si>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</si>
  <si>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</si>
  <si>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</si>
  <si>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</si>
  <si>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</si>
  <si>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</si>
  <si>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</si>
  <si>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</si>
  <si>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</si>
  <si>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</si>
  <si>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</si>
  <si>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</si>
  <si>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</si>
  <si>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</si>
  <si>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</si>
  <si>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</si>
  <si>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</si>
  <si>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</si>
  <si>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</si>
  <si>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</si>
  <si>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</si>
  <si>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</si>
  <si>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</si>
  <si>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</si>
  <si>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</si>
  <si>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</si>
  <si>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</si>
  <si>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</si>
  <si>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</si>
  <si>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</si>
  <si>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</si>
  <si>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</si>
  <si>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</si>
  <si>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</si>
  <si>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</si>
  <si>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</si>
  <si>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</si>
  <si>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</si>
  <si>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</si>
  <si>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</si>
  <si>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</si>
  <si>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</si>
  <si>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</si>
  <si>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</si>
  <si>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</si>
  <si>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</si>
  <si>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</si>
  <si>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</si>
  <si>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</si>
  <si>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</si>
  <si>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</si>
  <si>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</si>
  <si>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</si>
  <si>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</si>
  <si>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</si>
  <si>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</si>
  <si>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</si>
  <si>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</si>
  <si>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</si>
  <si>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</si>
  <si>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</si>
  <si>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</si>
  <si>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</si>
  <si>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</si>
  <si>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</si>
  <si>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</si>
  <si>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</si>
  <si>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</si>
  <si>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</si>
  <si>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</si>
  <si>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</si>
  <si>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</si>
  <si>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</si>
  <si>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</si>
  <si>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</si>
  <si>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</si>
  <si>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</si>
  <si>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</si>
  <si>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</si>
  <si>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</si>
  <si>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</si>
  <si>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</si>
  <si>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</si>
  <si>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</si>
  <si>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</si>
  <si>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</si>
  <si>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</si>
  <si>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</si>
  <si>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</si>
  <si>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</si>
  <si>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</si>
  <si>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</si>
  <si>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</si>
  <si>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</si>
  <si>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</si>
  <si>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</si>
  <si>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</si>
  <si>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</si>
  <si>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</si>
  <si>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</si>
  <si>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</si>
  <si>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</si>
  <si>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</si>
  <si>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</si>
  <si>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</si>
  <si>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</si>
  <si>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</si>
  <si>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</si>
  <si>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</si>
  <si>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</si>
  <si>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col.C2 lossyG,lossyA,intra.A.dec.numpoints.mean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</si>
  <si>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</si>
  <si>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</si>
  <si>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</si>
  <si>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</si>
  <si>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</si>
  <si>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</si>
  <si>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</si>
  <si>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</si>
  <si>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</si>
  <si>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</si>
  <si>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</si>
  <si>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</si>
  <si>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</si>
  <si>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</si>
  <si>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</si>
  <si>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</si>
  <si>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</si>
  <si>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</si>
  <si>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</si>
  <si>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</si>
  <si>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</si>
  <si>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</si>
  <si>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</si>
  <si>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</si>
  <si>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</si>
  <si>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</si>
  <si>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</si>
  <si>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</si>
  <si>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</si>
  <si>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</si>
  <si>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</si>
  <si>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</si>
  <si>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</si>
  <si>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</si>
  <si>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</si>
  <si>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</si>
  <si>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</si>
  <si>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</si>
  <si>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</si>
  <si>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</si>
  <si>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</si>
  <si>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</si>
  <si>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</si>
  <si>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</si>
  <si>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</si>
  <si>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</si>
  <si>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</si>
  <si>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</si>
  <si>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</si>
  <si>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</si>
  <si>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</si>
  <si>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</si>
  <si>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</si>
  <si>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</si>
  <si>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</si>
  <si>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</si>
  <si>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</si>
  <si>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</si>
  <si>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col.C2 lossyG,lossyA,intra.B.dec.numpoints.mean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</si>
  <si>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</si>
  <si>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</si>
  <si>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</si>
  <si>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</si>
  <si>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</si>
  <si>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</si>
  <si>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</si>
  <si>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</si>
  <si>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</si>
  <si>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</si>
  <si>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</si>
  <si>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</si>
  <si>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</si>
  <si>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</si>
  <si>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</si>
  <si>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</si>
  <si>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</si>
  <si>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</si>
  <si>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</si>
  <si>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</si>
  <si>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</si>
  <si>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</si>
  <si>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</si>
  <si>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</si>
  <si>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</si>
  <si>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</si>
  <si>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</si>
  <si>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eqn.ab.ratio-bpp-geometry-total</t>
  </si>
  <si>
    <t>col.C2 lossyG,lossyA,intra.eqn.ab.ratio-bpp-geometry-total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</si>
  <si>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</si>
  <si>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</si>
  <si>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</si>
  <si>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</si>
  <si>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</si>
  <si>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</si>
  <si>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</si>
  <si>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col.C2 lossyG,lossyA,intra.eqn.ab.bdrate-d1-geomrate</t>
  </si>
  <si>
    <t>col.C2 lossyG,lossyA,intra.eqn.ab.bdrate-d2-geomrate</t>
  </si>
  <si>
    <t>End-to-End BD‑AttrRate [%]</t>
  </si>
  <si>
    <t>col.C2 lossyG,lossyA,intra.eqn.ab.bdrate-y-attrrate</t>
  </si>
  <si>
    <t>col.C2 lossyG,lossyA,intra.eqn.ab.bdrate-cb-attrrate</t>
  </si>
  <si>
    <t>col.C2 lossyG,lossyA,intra.eqn.ab.bdrate-cr-attrrate</t>
  </si>
  <si>
    <t>Geom. BD‑TotalRate [%]</t>
  </si>
  <si>
    <t>col.C2 lossyG,lossyA,intra.eqn.ab.bdrate-d1</t>
  </si>
  <si>
    <t>col.C2 lossyG,lossyA,intra.eqn.ab.bdrate-d2</t>
  </si>
  <si>
    <t>End-to-End BD‑TotalRate [%]</t>
  </si>
  <si>
    <t>col.C2 lossyG,lossyA,intra.eqn.ab.bdrate-y</t>
  </si>
  <si>
    <t>col.C2 lossyG,lossyA,intra.eqn.ab.bdrate-cb</t>
  </si>
  <si>
    <t>col.C2 lossyG,lossyA,intra.eqn.ab.bdrate-cr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</si>
  <si>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</si>
  <si>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</si>
  <si>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</si>
  <si>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</si>
  <si>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</si>
  <si>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</si>
  <si>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range.C2 lossyG,lossyA,intra.8ivfbv2_loot_vox10</t>
  </si>
  <si>
    <t>'C2 lossyG,lossyA,intra'!$A$5:$BT$9</t>
  </si>
  <si>
    <t>8ivfbv2_redandblack_vox10</t>
  </si>
  <si>
    <t>range.C2 lossyG,lossyA,intra.8ivfbv2_redandblack_vox10</t>
  </si>
  <si>
    <t>'C2 lossyG,lossyA,intra'!$A$10:$BT$14</t>
  </si>
  <si>
    <t>8ivfbv2_soldier_vox10</t>
  </si>
  <si>
    <t>range.C2 lossyG,lossyA,intra.8ivfbv2_soldier_vox10</t>
  </si>
  <si>
    <t>'C2 lossyG,lossyA,intra'!$A$15:$BT$19</t>
  </si>
  <si>
    <t>queen</t>
  </si>
  <si>
    <t>range.C2 lossyG,lossyA,intra.queen</t>
  </si>
  <si>
    <t>'C2 lossyG,lossyA,intra'!$A$20:$BT$24</t>
  </si>
  <si>
    <t>8ivfbv2_longdress_vox10</t>
  </si>
  <si>
    <t>cat2-B</t>
  </si>
  <si>
    <t>range.C2 lossyG,lossyA,intra.8ivfbv2_longdress_vox10</t>
  </si>
  <si>
    <t>'C2 lossyG,lossyA,intra'!$A$25:$BT$29</t>
  </si>
  <si>
    <t>basketball_player_vox11</t>
  </si>
  <si>
    <t>cat2-C</t>
  </si>
  <si>
    <t>range.C2 lossyG,lossyA,intra.basketball_player_vox11</t>
  </si>
  <si>
    <t>'C2 lossyG,lossyA,intra'!$A$30:$BT$34</t>
  </si>
  <si>
    <t>dancer_player_vox11</t>
  </si>
  <si>
    <t>range.C2 lossyG,lossyA,intra.dancer_player_vox11</t>
  </si>
  <si>
    <t>'C2 lossyG,lossyA,intra'!$A$35:$BT$39</t>
  </si>
  <si>
    <t>Cat2-A average</t>
  </si>
  <si>
    <t>Cat2-B average</t>
  </si>
  <si>
    <t>Cat2-C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</si>
  <si>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</si>
  <si>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</si>
  <si>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</si>
  <si>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</si>
  <si>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</si>
  <si>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</si>
  <si>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</si>
  <si>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</si>
  <si>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</si>
  <si>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</si>
  <si>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</si>
  <si>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</si>
  <si>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</si>
  <si>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names!$B$77:$X$77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</si>
  <si>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</si>
  <si>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</si>
  <si>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</si>
  <si>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</si>
  <si>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</si>
  <si>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</si>
  <si>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</si>
  <si>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</si>
  <si>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</si>
  <si>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</si>
  <si>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</si>
  <si>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</si>
  <si>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</si>
  <si>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</si>
  <si>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</si>
  <si>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</si>
  <si>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</si>
  <si>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</si>
  <si>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</si>
  <si>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</si>
  <si>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</si>
  <si>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</si>
  <si>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</si>
  <si>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</si>
  <si>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</si>
  <si>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</si>
  <si>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</si>
  <si>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</si>
  <si>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</si>
  <si>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</si>
  <si>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</si>
  <si>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</si>
  <si>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</si>
  <si>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</si>
  <si>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</si>
  <si>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</si>
  <si>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</si>
  <si>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</si>
  <si>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</si>
  <si>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</si>
  <si>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</si>
  <si>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</si>
  <si>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</si>
  <si>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</si>
  <si>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</si>
  <si>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</si>
  <si>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</si>
  <si>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</si>
  <si>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</si>
  <si>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</si>
  <si>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</si>
  <si>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</si>
  <si>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</si>
  <si>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</si>
  <si>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</si>
  <si>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</si>
  <si>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col.CW losslG,losslA,intra.eqn.ab.ratio-bpp-geometry-total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</si>
  <si>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</si>
  <si>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</si>
  <si>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</si>
  <si>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</si>
  <si>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</si>
  <si>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</si>
  <si>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</si>
  <si>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</si>
  <si>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</si>
  <si>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</si>
  <si>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</si>
  <si>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</si>
  <si>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losslG,losslA,intra'!$A$5:$BG$5</t>
  </si>
  <si>
    <t>range.CW losslG,losslA,intra.8ivfbv2_redandblack_vox10</t>
  </si>
  <si>
    <t>'CW losslG,losslA,intra'!$A$6:$BG$6</t>
  </si>
  <si>
    <t>range.CW losslG,losslA,intra.8ivfbv2_soldier_vox10</t>
  </si>
  <si>
    <t>'CW losslG,losslA,intra'!$A$7:$BG$7</t>
  </si>
  <si>
    <t>range.CW losslG,losslA,intra.queen</t>
  </si>
  <si>
    <t>'CW losslG,losslA,intra'!$A$8:$BG$8</t>
  </si>
  <si>
    <t>range.CW losslG,losslA,intra.8ivfbv2_longdress_vox10</t>
  </si>
  <si>
    <t>'CW losslG,losslA,intra'!$A$9:$BG$9</t>
  </si>
  <si>
    <t>range.CW losslG,losslA,intra.basketball_player_vox11</t>
  </si>
  <si>
    <t>'CW losslG,losslA,intra'!$A$10:$BG$10</t>
  </si>
  <si>
    <t>range.CW losslG,losslA,intra.dancer_player_vox11</t>
  </si>
  <si>
    <t>'CW losslG,losslA,intra'!$A$11:$BG$11</t>
  </si>
  <si>
    <t>CW_ai</t>
  </si>
  <si>
    <t>lossless geometry, lossless attributes [all intra]</t>
  </si>
  <si>
    <t>CW losslG,losslA,intra</t>
  </si>
  <si>
    <t>cols.CW losslG,losslA,intra</t>
  </si>
  <si>
    <t>names!$B$143:$W$143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</si>
  <si>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</si>
  <si>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</si>
  <si>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</si>
  <si>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</si>
  <si>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</si>
  <si>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</si>
  <si>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</si>
  <si>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</si>
  <si>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</si>
  <si>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</si>
  <si>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</si>
  <si>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</si>
  <si>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</si>
  <si>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</si>
  <si>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</si>
  <si>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</si>
  <si>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</si>
  <si>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</si>
  <si>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</si>
  <si>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</si>
  <si>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</si>
  <si>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</si>
  <si>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</si>
  <si>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</si>
  <si>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</si>
  <si>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</si>
  <si>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</si>
  <si>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</si>
  <si>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</si>
  <si>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</si>
  <si>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</si>
  <si>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</si>
  <si>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</si>
  <si>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</si>
  <si>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</si>
  <si>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</si>
  <si>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</si>
  <si>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</si>
  <si>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</si>
  <si>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</si>
  <si>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</si>
  <si>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</si>
  <si>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</si>
  <si>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</si>
  <si>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</si>
  <si>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</si>
  <si>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</si>
  <si>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</si>
  <si>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</si>
  <si>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</si>
  <si>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</si>
  <si>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losslG,losslA,interLD.eqn.ab.ratio-bpp-geometry-total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</si>
  <si>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</si>
  <si>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</si>
  <si>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</si>
  <si>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</si>
  <si>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</si>
  <si>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</si>
  <si>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</si>
  <si>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</si>
  <si>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</si>
  <si>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</si>
  <si>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losslG,losslA,interLD'!$A$5:$BG$5</t>
  </si>
  <si>
    <t>range.CW losslG,losslA,interLD.8ivfbv2_redandblack_vox10</t>
  </si>
  <si>
    <t>'CW losslG,losslA,interLD'!$A$6:$BG$6</t>
  </si>
  <si>
    <t>range.CW losslG,losslA,interLD.8ivfbv2_soldier_vox10</t>
  </si>
  <si>
    <t>'CW losslG,losslA,interLD'!$A$7:$BG$7</t>
  </si>
  <si>
    <t>range.CW losslG,losslA,interLD.queen</t>
  </si>
  <si>
    <t>'CW losslG,losslA,interLD'!$A$8:$BG$8</t>
  </si>
  <si>
    <t>range.CW losslG,losslA,interLD.8ivfbv2_longdress_vox10</t>
  </si>
  <si>
    <t>'CW losslG,losslA,interLD'!$A$9:$BG$9</t>
  </si>
  <si>
    <t>range.CW losslG,losslA,interLD.basketball_player_vox11</t>
  </si>
  <si>
    <t>'CW losslG,losslA,interLD'!$A$10:$BG$10</t>
  </si>
  <si>
    <t>range.CW losslG,losslA,interLD.dancer_player_vox11</t>
  </si>
  <si>
    <t>'CW losslG,losslA,interLD'!$A$11:$BG$11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</si>
  <si>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</si>
  <si>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</si>
  <si>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</si>
  <si>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</si>
  <si>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</si>
  <si>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names!$B$209:$W$209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</si>
  <si>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</si>
  <si>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</si>
  <si>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</si>
  <si>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</si>
  <si>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</si>
  <si>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</si>
  <si>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</si>
  <si>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</si>
  <si>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</si>
  <si>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</si>
  <si>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</si>
  <si>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</si>
  <si>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</si>
  <si>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</si>
  <si>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</si>
  <si>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</si>
  <si>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</si>
  <si>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</si>
  <si>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</si>
  <si>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</si>
  <si>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</si>
  <si>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</si>
  <si>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</si>
  <si>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</si>
  <si>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</si>
  <si>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</si>
  <si>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</si>
  <si>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</si>
  <si>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</si>
  <si>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</si>
  <si>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</si>
  <si>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</si>
  <si>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</si>
  <si>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</si>
  <si>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</si>
  <si>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</si>
  <si>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</si>
  <si>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</si>
  <si>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</si>
  <si>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</si>
  <si>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</si>
  <si>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</si>
  <si>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</si>
  <si>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</si>
  <si>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</si>
  <si>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</si>
  <si>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</si>
  <si>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</si>
  <si>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</si>
  <si>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</si>
  <si>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</si>
  <si>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</si>
  <si>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</si>
  <si>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lossyG,lossyA,interRA.eqn.ab.ratio-bpp-geometry-total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</si>
  <si>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</si>
  <si>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</si>
  <si>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</si>
  <si>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</si>
  <si>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</si>
  <si>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</si>
  <si>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</si>
  <si>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</si>
  <si>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</si>
  <si>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</si>
  <si>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</si>
  <si>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</si>
  <si>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</si>
  <si>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</si>
  <si>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</si>
  <si>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</si>
  <si>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</si>
  <si>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</si>
  <si>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lossyG,lossyA,interRA'!$A$5:$BT$9</t>
  </si>
  <si>
    <t>range.C2 lossyG,lossyA,interRA.8ivfbv2_redandblack_vox10</t>
  </si>
  <si>
    <t>'C2 lossyG,lossyA,interRA'!$A$10:$BT$14</t>
  </si>
  <si>
    <t>range.C2 lossyG,lossyA,interRA.8ivfbv2_soldier_vox10</t>
  </si>
  <si>
    <t>'C2 lossyG,lossyA,interRA'!$A$15:$BT$19</t>
  </si>
  <si>
    <t>range.C2 lossyG,lossyA,interRA.queen</t>
  </si>
  <si>
    <t>'C2 lossyG,lossyA,interRA'!$A$20:$BT$24</t>
  </si>
  <si>
    <t>range.C2 lossyG,lossyA,interRA.8ivfbv2_longdress_vox10</t>
  </si>
  <si>
    <t>'C2 lossyG,lossyA,interRA'!$A$25:$BT$29</t>
  </si>
  <si>
    <t>range.C2 lossyG,lossyA,interRA.basketball_player_vox11</t>
  </si>
  <si>
    <t>'C2 lossyG,lossyA,interRA'!$A$30:$BT$34</t>
  </si>
  <si>
    <t>range.C2 lossyG,lossyA,interRA.dancer_player_vox11</t>
  </si>
  <si>
    <t>'C2 lossyG,lossyA,interRA'!$A$35:$BT$39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</si>
  <si>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</si>
  <si>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</si>
  <si>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</si>
  <si>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</si>
  <si>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</si>
  <si>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names!$B$286:$X$286</t>
  </si>
  <si>
    <t>Δ
№ output points</t>
  </si>
  <si>
    <t>Δ Bitstream [bits]</t>
  </si>
  <si>
    <t>2 pass boundary detection + bugfix</t>
  </si>
  <si>
    <t>single pass boundary detection + bugfix</t>
  </si>
  <si>
    <t>rc13.0 CC_Apple</t>
  </si>
  <si>
    <t>rc14.0 seperateVideo=1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</si>
</sst>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" fillId="13" borderId="3" xfId="0" applyFont="1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</cellXfs>
  <cellStyles count="1">
    <cellStyle name="Normal" xfId="0" builtinId="0"/>
  </cellStyles>
  <dxfs count="70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Graphs!graph_a_x_range_A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Graphs!graph_a_A_title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C03-4B15-B1DB-110EC2DCAFAF}"/>
            </c:ext>
          </c:extLst>
        </c:ser>
        <c:ser>
          <c:idx val="1"/>
          <c:order val="1"/>
          <c:xVal>
            <c:numRef>
              <c:f>Graphs!graph_a_x_range_B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Graphs!graph_a_B_title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C03-4B15-B1DB-110EC2DCA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Graphs!graph_b_x_range_A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Graphs!graph_b_A_title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151-46AD-98A2-31F95191F8BB}"/>
            </c:ext>
          </c:extLst>
        </c:ser>
        <c:ser>
          <c:idx val="1"/>
          <c:order val="1"/>
          <c:xVal>
            <c:numRef>
              <c:f>Graphs!graph_b_x_range_B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Graphs!graph_b_B_title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D151-46AD-98A2-31F95191F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Graphs!graph_c_x_range_A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Graphs!graph_c_y_range_A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Graphs!graph_c_A_title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931-40A1-B4F2-EEC4DFF2CA35}"/>
            </c:ext>
          </c:extLst>
        </c:ser>
        <c:ser>
          <c:idx val="1"/>
          <c:order val="1"/>
          <c:xVal>
            <c:numRef>
              <c:f>Graphs!graph_c_x_range_B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Graphs!graph_c_y_range_B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Graphs!graph_c_B_title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931-40A1-B4F2-EEC4DFF2C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Graphs!graph_d_x_range_A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Graphs!graph_d_y_range_A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Graphs!graph_d_A_title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B47-4FFF-B330-8340E41BBEC4}"/>
            </c:ext>
          </c:extLst>
        </c:ser>
        <c:ser>
          <c:idx val="1"/>
          <c:order val="1"/>
          <c:xVal>
            <c:numRef>
              <c:f>Graphs!graph_d_x_range_B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Graphs!graph_d_y_range_B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Graphs!graph_d_B_title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B47-4FFF-B330-8340E41BB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Graphs!graph_e_x_range_A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Graphs!graph_e_y_range_A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Graphs!graph_e_A_title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5F0-4F1B-B081-FE8D2BA9DB52}"/>
            </c:ext>
          </c:extLst>
        </c:ser>
        <c:ser>
          <c:idx val="1"/>
          <c:order val="1"/>
          <c:xVal>
            <c:numRef>
              <c:f>Graphs!graph_e_x_range_B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Graphs!graph_e_y_range_B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Graphs!graph_e_B_title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5F0-4F1B-B081-FE8D2BA9D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Graphs!graph_f_x_range_A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Graphs!graph_f_A_title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150-4FCA-9AE3-A0B5D778BA06}"/>
            </c:ext>
          </c:extLst>
        </c:ser>
        <c:ser>
          <c:idx val="1"/>
          <c:order val="1"/>
          <c:xVal>
            <c:numRef>
              <c:f>Graphs!graph_f_x_range_B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Graphs!graph_f_B_title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3150-4FCA-9AE3-A0B5D778B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8"/>
  <sheetViews>
    <sheetView workbookViewId="0">
      <selection activeCell="C2" sqref="C2:E2"/>
    </sheetView>
  </sheetViews>
  <sheetFormatPr baseColWidth="10" defaultColWidth="8.83203125" defaultRowHeight="15" x14ac:dyDescent="0.2"/>
  <cols>
    <col min="2" max="2" width="16.6640625" customWidth="1"/>
    <col min="3" max="12" width="24.6640625" customWidth="1"/>
  </cols>
  <sheetData>
    <row r="1" spans="2:12" x14ac:dyDescent="0.2">
      <c r="B1" t="s">
        <v>0</v>
      </c>
      <c r="C1" s="65" t="s">
        <v>549</v>
      </c>
      <c r="D1" s="65"/>
      <c r="E1" s="65"/>
    </row>
    <row r="2" spans="2:12" x14ac:dyDescent="0.2">
      <c r="B2" t="s">
        <v>1</v>
      </c>
      <c r="C2" s="66" t="s">
        <v>550</v>
      </c>
      <c r="D2" s="66"/>
      <c r="E2" s="66"/>
    </row>
    <row r="4" spans="2:12" s="1" customFormat="1" x14ac:dyDescent="0.2">
      <c r="B4" s="1" t="s">
        <v>280</v>
      </c>
    </row>
    <row r="6" spans="2:12" x14ac:dyDescent="0.2">
      <c r="B6" s="61" t="s">
        <v>281</v>
      </c>
      <c r="C6" s="62" t="s">
        <v>282</v>
      </c>
      <c r="D6" s="62"/>
      <c r="E6" s="62"/>
      <c r="F6" s="62"/>
      <c r="G6" s="62"/>
      <c r="H6" s="62"/>
      <c r="I6" s="62"/>
      <c r="J6" s="62"/>
      <c r="K6" s="62"/>
      <c r="L6" s="62"/>
    </row>
    <row r="7" spans="2:12" x14ac:dyDescent="0.2">
      <c r="B7" s="61"/>
      <c r="C7" s="63" t="s">
        <v>229</v>
      </c>
      <c r="D7" s="63"/>
      <c r="E7" s="64" t="s">
        <v>232</v>
      </c>
      <c r="F7" s="64"/>
      <c r="G7" s="64"/>
      <c r="H7" s="63" t="s">
        <v>236</v>
      </c>
      <c r="I7" s="63"/>
      <c r="J7" s="64" t="s">
        <v>239</v>
      </c>
      <c r="K7" s="64"/>
      <c r="L7" s="64"/>
    </row>
    <row r="8" spans="2:12" ht="16" x14ac:dyDescent="0.2">
      <c r="B8" s="61"/>
      <c r="C8" s="2" t="s">
        <v>148</v>
      </c>
      <c r="D8" s="2" t="s">
        <v>151</v>
      </c>
      <c r="E8" s="3" t="s">
        <v>155</v>
      </c>
      <c r="F8" s="3" t="s">
        <v>158</v>
      </c>
      <c r="G8" s="3" t="s">
        <v>161</v>
      </c>
      <c r="H8" s="2" t="s">
        <v>148</v>
      </c>
      <c r="I8" s="2" t="s">
        <v>151</v>
      </c>
      <c r="J8" s="3" t="s">
        <v>155</v>
      </c>
      <c r="K8" s="3" t="s">
        <v>158</v>
      </c>
      <c r="L8" s="3" t="s">
        <v>161</v>
      </c>
    </row>
    <row r="9" spans="2:12" x14ac:dyDescent="0.2">
      <c r="B9" s="4" t="s">
        <v>271</v>
      </c>
      <c r="C9" s="5" t="e">
        <f>#REF!</f>
        <v>#REF!</v>
      </c>
      <c r="D9" s="5" t="e">
        <f>#REF!</f>
        <v>#REF!</v>
      </c>
      <c r="E9" s="5" t="e">
        <f>#REF!</f>
        <v>#REF!</v>
      </c>
      <c r="F9" s="5" t="e">
        <f>#REF!</f>
        <v>#REF!</v>
      </c>
      <c r="G9" s="5" t="e">
        <f>#REF!</f>
        <v>#REF!</v>
      </c>
      <c r="H9" s="5" t="e">
        <f>#REF!</f>
        <v>#REF!</v>
      </c>
      <c r="I9" s="5" t="e">
        <f>#REF!</f>
        <v>#REF!</v>
      </c>
      <c r="J9" s="5" t="e">
        <f>#REF!</f>
        <v>#REF!</v>
      </c>
      <c r="K9" s="5" t="e">
        <f>#REF!</f>
        <v>#REF!</v>
      </c>
      <c r="L9" s="5" t="e">
        <f>#REF!</f>
        <v>#REF!</v>
      </c>
    </row>
    <row r="10" spans="2:12" x14ac:dyDescent="0.2">
      <c r="B10" s="4" t="s">
        <v>272</v>
      </c>
      <c r="C10" s="5" t="e">
        <f>#REF!</f>
        <v>#REF!</v>
      </c>
      <c r="D10" s="5" t="e">
        <f>#REF!</f>
        <v>#REF!</v>
      </c>
      <c r="E10" s="5" t="e">
        <f>#REF!</f>
        <v>#REF!</v>
      </c>
      <c r="F10" s="5" t="e">
        <f>#REF!</f>
        <v>#REF!</v>
      </c>
      <c r="G10" s="5" t="e">
        <f>#REF!</f>
        <v>#REF!</v>
      </c>
      <c r="H10" s="5" t="e">
        <f>#REF!</f>
        <v>#REF!</v>
      </c>
      <c r="I10" s="5" t="e">
        <f>#REF!</f>
        <v>#REF!</v>
      </c>
      <c r="J10" s="5" t="e">
        <f>#REF!</f>
        <v>#REF!</v>
      </c>
      <c r="K10" s="5" t="e">
        <f>#REF!</f>
        <v>#REF!</v>
      </c>
      <c r="L10" s="5" t="e">
        <f>#REF!</f>
        <v>#REF!</v>
      </c>
    </row>
    <row r="11" spans="2:12" x14ac:dyDescent="0.2">
      <c r="B11" s="4" t="s">
        <v>273</v>
      </c>
      <c r="C11" s="5" t="e">
        <f>#REF!</f>
        <v>#REF!</v>
      </c>
      <c r="D11" s="5" t="e">
        <f>#REF!</f>
        <v>#REF!</v>
      </c>
      <c r="E11" s="5" t="e">
        <f>#REF!</f>
        <v>#REF!</v>
      </c>
      <c r="F11" s="5" t="e">
        <f>#REF!</f>
        <v>#REF!</v>
      </c>
      <c r="G11" s="5" t="e">
        <f>#REF!</f>
        <v>#REF!</v>
      </c>
      <c r="H11" s="5" t="e">
        <f>#REF!</f>
        <v>#REF!</v>
      </c>
      <c r="I11" s="5" t="e">
        <f>#REF!</f>
        <v>#REF!</v>
      </c>
      <c r="J11" s="5" t="e">
        <f>#REF!</f>
        <v>#REF!</v>
      </c>
      <c r="K11" s="5" t="e">
        <f>#REF!</f>
        <v>#REF!</v>
      </c>
      <c r="L11" s="5" t="e">
        <f>#REF!</f>
        <v>#REF!</v>
      </c>
    </row>
    <row r="12" spans="2:12" x14ac:dyDescent="0.2">
      <c r="B12" s="6" t="s">
        <v>274</v>
      </c>
      <c r="C12" s="7" t="e">
        <f>#REF!</f>
        <v>#REF!</v>
      </c>
      <c r="D12" s="7" t="e">
        <f>#REF!</f>
        <v>#REF!</v>
      </c>
      <c r="E12" s="7" t="e">
        <f>#REF!</f>
        <v>#REF!</v>
      </c>
      <c r="F12" s="7" t="e">
        <f>#REF!</f>
        <v>#REF!</v>
      </c>
      <c r="G12" s="7" t="e">
        <f>#REF!</f>
        <v>#REF!</v>
      </c>
      <c r="H12" s="7" t="e">
        <f>#REF!</f>
        <v>#REF!</v>
      </c>
      <c r="I12" s="7" t="e">
        <f>#REF!</f>
        <v>#REF!</v>
      </c>
      <c r="J12" s="7" t="e">
        <f>#REF!</f>
        <v>#REF!</v>
      </c>
      <c r="K12" s="7" t="e">
        <f>#REF!</f>
        <v>#REF!</v>
      </c>
      <c r="L12" s="7" t="e">
        <f>#REF!</f>
        <v>#REF!</v>
      </c>
    </row>
    <row r="13" spans="2:12" x14ac:dyDescent="0.2">
      <c r="B13" t="s">
        <v>283</v>
      </c>
      <c r="C13" s="59" t="e">
        <f>#REF!</f>
        <v>#REF!</v>
      </c>
      <c r="D13" s="59"/>
      <c r="E13" s="59"/>
      <c r="F13" s="59"/>
      <c r="G13" s="59"/>
      <c r="H13" s="59"/>
      <c r="I13" s="59"/>
      <c r="J13" s="59"/>
      <c r="K13" s="59"/>
      <c r="L13" s="59"/>
    </row>
    <row r="14" spans="2:12" x14ac:dyDescent="0.2">
      <c r="B14" s="9" t="s">
        <v>284</v>
      </c>
      <c r="C14" s="60" t="e">
        <f>#REF!</f>
        <v>#REF!</v>
      </c>
      <c r="D14" s="60"/>
      <c r="E14" s="60"/>
      <c r="F14" s="60"/>
      <c r="G14" s="60"/>
      <c r="H14" s="60"/>
      <c r="I14" s="60"/>
      <c r="J14" s="60"/>
      <c r="K14" s="60"/>
      <c r="L14" s="60"/>
    </row>
    <row r="16" spans="2:12" x14ac:dyDescent="0.2">
      <c r="B16" s="61" t="s">
        <v>370</v>
      </c>
      <c r="C16" s="62" t="s">
        <v>371</v>
      </c>
      <c r="D16" s="62"/>
      <c r="E16" s="62"/>
    </row>
    <row r="17" spans="2:5" x14ac:dyDescent="0.2">
      <c r="B17" s="61"/>
      <c r="C17" s="63" t="s">
        <v>341</v>
      </c>
      <c r="D17" s="63"/>
      <c r="E17" s="63"/>
    </row>
    <row r="18" spans="2:5" ht="16" x14ac:dyDescent="0.2">
      <c r="B18" s="61"/>
      <c r="C18" s="2" t="s">
        <v>117</v>
      </c>
      <c r="D18" s="2" t="s">
        <v>144</v>
      </c>
      <c r="E18" s="2" t="s">
        <v>114</v>
      </c>
    </row>
    <row r="19" spans="2:5" x14ac:dyDescent="0.2">
      <c r="B19" s="4" t="s">
        <v>271</v>
      </c>
      <c r="C19" s="5">
        <f>'CW losslG,losslA,intra'!BC12</f>
        <v>0.99914426244179522</v>
      </c>
      <c r="D19" s="5">
        <f>'CW losslG,losslA,intra'!BE12</f>
        <v>0.99840109094614804</v>
      </c>
      <c r="E19" s="5">
        <f>'CW losslG,losslA,intra'!BB12</f>
        <v>0.99851377095504179</v>
      </c>
    </row>
    <row r="20" spans="2:5" x14ac:dyDescent="0.2">
      <c r="B20" s="4" t="s">
        <v>272</v>
      </c>
      <c r="C20" s="5">
        <f>'CW losslG,losslA,intra'!BC13</f>
        <v>0.99859814562233673</v>
      </c>
      <c r="D20" s="5">
        <f>'CW losslG,losslA,intra'!BE13</f>
        <v>0.99781719143650349</v>
      </c>
      <c r="E20" s="5">
        <f>'CW losslG,losslA,intra'!BB13</f>
        <v>0.99789608426701093</v>
      </c>
    </row>
    <row r="21" spans="2:5" x14ac:dyDescent="0.2">
      <c r="B21" s="4" t="s">
        <v>273</v>
      </c>
      <c r="C21" s="5" t="e">
        <f>'CW losslG,losslA,intra'!BC14</f>
        <v>#DIV/0!</v>
      </c>
      <c r="D21" s="5" t="e">
        <f>'CW losslG,losslA,intra'!BE14</f>
        <v>#DIV/0!</v>
      </c>
      <c r="E21" s="5" t="e">
        <f>'CW losslG,losslA,intra'!BB14</f>
        <v>#DIV/0!</v>
      </c>
    </row>
    <row r="22" spans="2:5" x14ac:dyDescent="0.2">
      <c r="B22" s="6" t="s">
        <v>274</v>
      </c>
      <c r="C22" s="7">
        <f>'CW losslG,losslA,intra'!BC15</f>
        <v>0.93173775201684916</v>
      </c>
      <c r="D22" s="7">
        <f>'CW losslG,losslA,intra'!BE15</f>
        <v>0.97725202413214596</v>
      </c>
      <c r="E22" s="7">
        <f>'CW losslG,losslA,intra'!BB15</f>
        <v>0.97098058314413893</v>
      </c>
    </row>
    <row r="23" spans="2:5" x14ac:dyDescent="0.2">
      <c r="B23" t="s">
        <v>283</v>
      </c>
      <c r="C23" s="59">
        <f>'CW losslG,losslA,intra'!AW19</f>
        <v>1.1235719474209107</v>
      </c>
      <c r="D23" s="59"/>
      <c r="E23" s="59"/>
    </row>
    <row r="24" spans="2:5" x14ac:dyDescent="0.2">
      <c r="B24" s="9" t="s">
        <v>284</v>
      </c>
      <c r="C24" s="60">
        <f>'CW losslG,losslA,intra'!AY19</f>
        <v>1.4921248868536907</v>
      </c>
      <c r="D24" s="60"/>
      <c r="E24" s="60"/>
    </row>
    <row r="26" spans="2:5" s="1" customFormat="1" x14ac:dyDescent="0.2">
      <c r="B26" s="1" t="s">
        <v>450</v>
      </c>
    </row>
    <row r="28" spans="2:5" x14ac:dyDescent="0.2">
      <c r="B28" s="61" t="s">
        <v>451</v>
      </c>
      <c r="C28" s="62" t="s">
        <v>452</v>
      </c>
      <c r="D28" s="62"/>
      <c r="E28" s="62"/>
    </row>
    <row r="29" spans="2:5" x14ac:dyDescent="0.2">
      <c r="B29" s="61"/>
      <c r="C29" s="63" t="s">
        <v>341</v>
      </c>
      <c r="D29" s="63"/>
      <c r="E29" s="63"/>
    </row>
    <row r="30" spans="2:5" ht="16" x14ac:dyDescent="0.2">
      <c r="B30" s="61"/>
      <c r="C30" s="2" t="s">
        <v>117</v>
      </c>
      <c r="D30" s="2" t="s">
        <v>144</v>
      </c>
      <c r="E30" s="2" t="s">
        <v>114</v>
      </c>
    </row>
    <row r="31" spans="2:5" x14ac:dyDescent="0.2">
      <c r="B31" s="4" t="s">
        <v>271</v>
      </c>
      <c r="C31" s="5">
        <f>'CW losslG,losslA,interLD'!BC12</f>
        <v>0.99856048042896606</v>
      </c>
      <c r="D31" s="5">
        <f>'CW losslG,losslA,interLD'!BE12</f>
        <v>0.99851667690774104</v>
      </c>
      <c r="E31" s="5">
        <f>'CW losslG,losslA,interLD'!BB12</f>
        <v>0.99852293003147408</v>
      </c>
    </row>
    <row r="32" spans="2:5" x14ac:dyDescent="0.2">
      <c r="B32" s="4" t="s">
        <v>272</v>
      </c>
      <c r="C32" s="5">
        <f>'CW losslG,losslA,interLD'!BC13</f>
        <v>0.99735562690832935</v>
      </c>
      <c r="D32" s="5">
        <f>'CW losslG,losslA,interLD'!BE13</f>
        <v>0.99795394046665786</v>
      </c>
      <c r="E32" s="5">
        <f>'CW losslG,losslA,interLD'!BB13</f>
        <v>0.99789312749137182</v>
      </c>
    </row>
    <row r="33" spans="2:12" x14ac:dyDescent="0.2">
      <c r="B33" s="4" t="s">
        <v>273</v>
      </c>
      <c r="C33" s="5" t="e">
        <f>'CW losslG,losslA,interLD'!BC14</f>
        <v>#DIV/0!</v>
      </c>
      <c r="D33" s="5" t="e">
        <f>'CW losslG,losslA,interLD'!BE14</f>
        <v>#DIV/0!</v>
      </c>
      <c r="E33" s="5" t="e">
        <f>'CW losslG,losslA,interLD'!BB14</f>
        <v>#DIV/0!</v>
      </c>
    </row>
    <row r="34" spans="2:12" x14ac:dyDescent="0.2">
      <c r="B34" s="6" t="s">
        <v>274</v>
      </c>
      <c r="C34" s="7">
        <f>'CW losslG,losslA,interLD'!BC15</f>
        <v>0.9476021068457694</v>
      </c>
      <c r="D34" s="7">
        <f>'CW losslG,losslA,interLD'!BE15</f>
        <v>0.98198452376292689</v>
      </c>
      <c r="E34" s="7">
        <f>'CW losslG,losslA,interLD'!BB15</f>
        <v>0.97747005485004634</v>
      </c>
    </row>
    <row r="35" spans="2:12" x14ac:dyDescent="0.2">
      <c r="B35" t="s">
        <v>283</v>
      </c>
      <c r="C35" s="59">
        <f>'CW losslG,losslA,interLD'!AW19</f>
        <v>1.1571636934498577</v>
      </c>
      <c r="D35" s="59"/>
      <c r="E35" s="59"/>
    </row>
    <row r="36" spans="2:12" x14ac:dyDescent="0.2">
      <c r="B36" s="9" t="s">
        <v>284</v>
      </c>
      <c r="C36" s="60">
        <f>'CW losslG,losslA,interLD'!AY19</f>
        <v>1.4440667456004503</v>
      </c>
      <c r="D36" s="60"/>
      <c r="E36" s="60"/>
    </row>
    <row r="38" spans="2:12" s="1" customFormat="1" x14ac:dyDescent="0.2">
      <c r="B38" s="1" t="s">
        <v>541</v>
      </c>
    </row>
    <row r="40" spans="2:12" x14ac:dyDescent="0.2">
      <c r="B40" s="61" t="s">
        <v>542</v>
      </c>
      <c r="C40" s="62" t="s">
        <v>543</v>
      </c>
      <c r="D40" s="62"/>
      <c r="E40" s="62"/>
      <c r="F40" s="62"/>
      <c r="G40" s="62"/>
      <c r="H40" s="62"/>
      <c r="I40" s="62"/>
      <c r="J40" s="62"/>
      <c r="K40" s="62"/>
      <c r="L40" s="62"/>
    </row>
    <row r="41" spans="2:12" x14ac:dyDescent="0.2">
      <c r="B41" s="61"/>
      <c r="C41" s="63" t="s">
        <v>229</v>
      </c>
      <c r="D41" s="63"/>
      <c r="E41" s="64" t="s">
        <v>232</v>
      </c>
      <c r="F41" s="64"/>
      <c r="G41" s="64"/>
      <c r="H41" s="63" t="s">
        <v>236</v>
      </c>
      <c r="I41" s="63"/>
      <c r="J41" s="64" t="s">
        <v>239</v>
      </c>
      <c r="K41" s="64"/>
      <c r="L41" s="64"/>
    </row>
    <row r="42" spans="2:12" ht="16" x14ac:dyDescent="0.2">
      <c r="B42" s="61"/>
      <c r="C42" s="2" t="s">
        <v>148</v>
      </c>
      <c r="D42" s="2" t="s">
        <v>151</v>
      </c>
      <c r="E42" s="3" t="s">
        <v>155</v>
      </c>
      <c r="F42" s="3" t="s">
        <v>158</v>
      </c>
      <c r="G42" s="3" t="s">
        <v>161</v>
      </c>
      <c r="H42" s="2" t="s">
        <v>148</v>
      </c>
      <c r="I42" s="2" t="s">
        <v>151</v>
      </c>
      <c r="J42" s="3" t="s">
        <v>155</v>
      </c>
      <c r="K42" s="3" t="s">
        <v>158</v>
      </c>
      <c r="L42" s="3" t="s">
        <v>161</v>
      </c>
    </row>
    <row r="43" spans="2:12" x14ac:dyDescent="0.2">
      <c r="B43" s="4" t="s">
        <v>271</v>
      </c>
      <c r="C43" s="5" t="e">
        <f>#REF!</f>
        <v>#REF!</v>
      </c>
      <c r="D43" s="5" t="e">
        <f>#REF!</f>
        <v>#REF!</v>
      </c>
      <c r="E43" s="5" t="e">
        <f>#REF!</f>
        <v>#REF!</v>
      </c>
      <c r="F43" s="5" t="e">
        <f>#REF!</f>
        <v>#REF!</v>
      </c>
      <c r="G43" s="5" t="e">
        <f>#REF!</f>
        <v>#REF!</v>
      </c>
      <c r="H43" s="5" t="e">
        <f>#REF!</f>
        <v>#REF!</v>
      </c>
      <c r="I43" s="5" t="e">
        <f>#REF!</f>
        <v>#REF!</v>
      </c>
      <c r="J43" s="5" t="e">
        <f>#REF!</f>
        <v>#REF!</v>
      </c>
      <c r="K43" s="5" t="e">
        <f>#REF!</f>
        <v>#REF!</v>
      </c>
      <c r="L43" s="5" t="e">
        <f>#REF!</f>
        <v>#REF!</v>
      </c>
    </row>
    <row r="44" spans="2:12" x14ac:dyDescent="0.2">
      <c r="B44" s="4" t="s">
        <v>272</v>
      </c>
      <c r="C44" s="5" t="e">
        <f>#REF!</f>
        <v>#REF!</v>
      </c>
      <c r="D44" s="5" t="e">
        <f>#REF!</f>
        <v>#REF!</v>
      </c>
      <c r="E44" s="5" t="e">
        <f>#REF!</f>
        <v>#REF!</v>
      </c>
      <c r="F44" s="5" t="e">
        <f>#REF!</f>
        <v>#REF!</v>
      </c>
      <c r="G44" s="5" t="e">
        <f>#REF!</f>
        <v>#REF!</v>
      </c>
      <c r="H44" s="5" t="e">
        <f>#REF!</f>
        <v>#REF!</v>
      </c>
      <c r="I44" s="5" t="e">
        <f>#REF!</f>
        <v>#REF!</v>
      </c>
      <c r="J44" s="5" t="e">
        <f>#REF!</f>
        <v>#REF!</v>
      </c>
      <c r="K44" s="5" t="e">
        <f>#REF!</f>
        <v>#REF!</v>
      </c>
      <c r="L44" s="5" t="e">
        <f>#REF!</f>
        <v>#REF!</v>
      </c>
    </row>
    <row r="45" spans="2:12" x14ac:dyDescent="0.2">
      <c r="B45" s="4" t="s">
        <v>273</v>
      </c>
      <c r="C45" s="5" t="e">
        <f>#REF!</f>
        <v>#REF!</v>
      </c>
      <c r="D45" s="5" t="e">
        <f>#REF!</f>
        <v>#REF!</v>
      </c>
      <c r="E45" s="5" t="e">
        <f>#REF!</f>
        <v>#REF!</v>
      </c>
      <c r="F45" s="5" t="e">
        <f>#REF!</f>
        <v>#REF!</v>
      </c>
      <c r="G45" s="5" t="e">
        <f>#REF!</f>
        <v>#REF!</v>
      </c>
      <c r="H45" s="5" t="e">
        <f>#REF!</f>
        <v>#REF!</v>
      </c>
      <c r="I45" s="5" t="e">
        <f>#REF!</f>
        <v>#REF!</v>
      </c>
      <c r="J45" s="5" t="e">
        <f>#REF!</f>
        <v>#REF!</v>
      </c>
      <c r="K45" s="5" t="e">
        <f>#REF!</f>
        <v>#REF!</v>
      </c>
      <c r="L45" s="5" t="e">
        <f>#REF!</f>
        <v>#REF!</v>
      </c>
    </row>
    <row r="46" spans="2:12" x14ac:dyDescent="0.2">
      <c r="B46" s="6" t="s">
        <v>274</v>
      </c>
      <c r="C46" s="7" t="e">
        <f>#REF!</f>
        <v>#REF!</v>
      </c>
      <c r="D46" s="7" t="e">
        <f>#REF!</f>
        <v>#REF!</v>
      </c>
      <c r="E46" s="7" t="e">
        <f>#REF!</f>
        <v>#REF!</v>
      </c>
      <c r="F46" s="7" t="e">
        <f>#REF!</f>
        <v>#REF!</v>
      </c>
      <c r="G46" s="7" t="e">
        <f>#REF!</f>
        <v>#REF!</v>
      </c>
      <c r="H46" s="7" t="e">
        <f>#REF!</f>
        <v>#REF!</v>
      </c>
      <c r="I46" s="7" t="e">
        <f>#REF!</f>
        <v>#REF!</v>
      </c>
      <c r="J46" s="7" t="e">
        <f>#REF!</f>
        <v>#REF!</v>
      </c>
      <c r="K46" s="7" t="e">
        <f>#REF!</f>
        <v>#REF!</v>
      </c>
      <c r="L46" s="7" t="e">
        <f>#REF!</f>
        <v>#REF!</v>
      </c>
    </row>
    <row r="47" spans="2:12" x14ac:dyDescent="0.2">
      <c r="B47" t="s">
        <v>283</v>
      </c>
      <c r="C47" s="59" t="e">
        <f>#REF!</f>
        <v>#REF!</v>
      </c>
      <c r="D47" s="59"/>
      <c r="E47" s="59"/>
      <c r="F47" s="59"/>
      <c r="G47" s="59"/>
      <c r="H47" s="59"/>
      <c r="I47" s="59"/>
      <c r="J47" s="59"/>
      <c r="K47" s="59"/>
      <c r="L47" s="59"/>
    </row>
    <row r="48" spans="2:12" x14ac:dyDescent="0.2">
      <c r="B48" s="9" t="s">
        <v>284</v>
      </c>
      <c r="C48" s="60" t="e">
        <f>#REF!</f>
        <v>#REF!</v>
      </c>
      <c r="D48" s="60"/>
      <c r="E48" s="60"/>
      <c r="F48" s="60"/>
      <c r="G48" s="60"/>
      <c r="H48" s="60"/>
      <c r="I48" s="60"/>
      <c r="J48" s="60"/>
      <c r="K48" s="60"/>
      <c r="L48" s="60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3:L13"/>
    <mergeCell ref="C14:L14"/>
    <mergeCell ref="B16:B18"/>
    <mergeCell ref="C16:E16"/>
    <mergeCell ref="C17:E17"/>
    <mergeCell ref="C23:E23"/>
    <mergeCell ref="C24:E24"/>
    <mergeCell ref="B28:B30"/>
    <mergeCell ref="C28:E28"/>
    <mergeCell ref="C29:E29"/>
    <mergeCell ref="C47:L47"/>
    <mergeCell ref="C48:L48"/>
    <mergeCell ref="C35:E35"/>
    <mergeCell ref="C36:E36"/>
    <mergeCell ref="B40:B42"/>
    <mergeCell ref="C40:L40"/>
    <mergeCell ref="C41:D41"/>
    <mergeCell ref="E41:G41"/>
    <mergeCell ref="H41:I41"/>
    <mergeCell ref="J41:L41"/>
  </mergeCells>
  <conditionalFormatting sqref="C19 C20 C21 C22">
    <cfRule type="cellIs" dxfId="69" priority="23" operator="greaterThanOrEqual">
      <formula>1.03</formula>
    </cfRule>
    <cfRule type="cellIs" dxfId="68" priority="24" operator="lessThanOrEqual">
      <formula>0.97</formula>
    </cfRule>
  </conditionalFormatting>
  <conditionalFormatting sqref="C31 C32 C33 C34">
    <cfRule type="cellIs" dxfId="67" priority="27" operator="greaterThanOrEqual">
      <formula>1.03</formula>
    </cfRule>
    <cfRule type="cellIs" dxfId="66" priority="28" operator="lessThanOrEqual">
      <formula>0.97</formula>
    </cfRule>
  </conditionalFormatting>
  <conditionalFormatting sqref="C43 C44 C45 C46">
    <cfRule type="cellIs" dxfId="65" priority="51" operator="greaterThanOrEqual">
      <formula>0.03</formula>
    </cfRule>
    <cfRule type="cellIs" dxfId="64" priority="52" operator="lessThanOrEqual">
      <formula>-0.03</formula>
    </cfRule>
  </conditionalFormatting>
  <conditionalFormatting sqref="C9 C10 C11 C12">
    <cfRule type="cellIs" dxfId="63" priority="15" operator="greaterThanOrEqual">
      <formula>0.03</formula>
    </cfRule>
    <cfRule type="cellIs" dxfId="62" priority="16" operator="lessThanOrEqual">
      <formula>-0.03</formula>
    </cfRule>
  </conditionalFormatting>
  <conditionalFormatting sqref="D19 D20 D21 D22">
    <cfRule type="cellIs" dxfId="61" priority="25" operator="greaterThanOrEqual">
      <formula>1.03</formula>
    </cfRule>
    <cfRule type="cellIs" dxfId="60" priority="26" operator="lessThanOrEqual">
      <formula>0.97</formula>
    </cfRule>
  </conditionalFormatting>
  <conditionalFormatting sqref="D31 D32 D33 D34">
    <cfRule type="cellIs" dxfId="59" priority="29" operator="greaterThanOrEqual">
      <formula>1.03</formula>
    </cfRule>
    <cfRule type="cellIs" dxfId="58" priority="30" operator="lessThanOrEqual">
      <formula>0.97</formula>
    </cfRule>
  </conditionalFormatting>
  <conditionalFormatting sqref="D43 D44 D45 D46">
    <cfRule type="cellIs" dxfId="57" priority="35" operator="greaterThanOrEqual">
      <formula>0.03</formula>
    </cfRule>
    <cfRule type="cellIs" dxfId="56" priority="36" operator="lessThanOrEqual">
      <formula>-0.03</formula>
    </cfRule>
  </conditionalFormatting>
  <conditionalFormatting sqref="D9 D10 D11 D12">
    <cfRule type="cellIs" dxfId="55" priority="7" operator="greaterThanOrEqual">
      <formula>0.03</formula>
    </cfRule>
    <cfRule type="cellIs" dxfId="54" priority="8" operator="lessThanOrEqual">
      <formula>-0.03</formula>
    </cfRule>
  </conditionalFormatting>
  <conditionalFormatting sqref="E19 E20 E21 E22">
    <cfRule type="cellIs" dxfId="53" priority="21" operator="greaterThanOrEqual">
      <formula>1.03</formula>
    </cfRule>
    <cfRule type="cellIs" dxfId="52" priority="22" operator="lessThanOrEqual">
      <formula>0.97</formula>
    </cfRule>
  </conditionalFormatting>
  <conditionalFormatting sqref="E31 E32 E33 E34">
    <cfRule type="cellIs" dxfId="51" priority="31" operator="greaterThanOrEqual">
      <formula>1.03</formula>
    </cfRule>
    <cfRule type="cellIs" dxfId="50" priority="32" operator="lessThanOrEqual">
      <formula>0.97</formula>
    </cfRule>
  </conditionalFormatting>
  <conditionalFormatting sqref="E43 E44 E45 E46">
    <cfRule type="cellIs" dxfId="49" priority="37" operator="greaterThanOrEqual">
      <formula>0.03</formula>
    </cfRule>
    <cfRule type="cellIs" dxfId="48" priority="38" operator="lessThanOrEqual">
      <formula>-0.03</formula>
    </cfRule>
  </conditionalFormatting>
  <conditionalFormatting sqref="E9 E10 E11 E12">
    <cfRule type="cellIs" dxfId="47" priority="9" operator="greaterThanOrEqual">
      <formula>0.03</formula>
    </cfRule>
    <cfRule type="cellIs" dxfId="46" priority="10" operator="lessThanOrEqual">
      <formula>-0.03</formula>
    </cfRule>
  </conditionalFormatting>
  <conditionalFormatting sqref="F43 F44 F45 F46">
    <cfRule type="cellIs" dxfId="45" priority="47" operator="greaterThanOrEqual">
      <formula>0.03</formula>
    </cfRule>
    <cfRule type="cellIs" dxfId="44" priority="48" operator="lessThanOrEqual">
      <formula>-0.03</formula>
    </cfRule>
  </conditionalFormatting>
  <conditionalFormatting sqref="F9 F10 F11 F12">
    <cfRule type="cellIs" dxfId="43" priority="11" operator="greaterThanOrEqual">
      <formula>0.03</formula>
    </cfRule>
    <cfRule type="cellIs" dxfId="42" priority="12" operator="lessThanOrEqual">
      <formula>-0.03</formula>
    </cfRule>
  </conditionalFormatting>
  <conditionalFormatting sqref="G43 G44 G45 G46">
    <cfRule type="cellIs" dxfId="41" priority="49" operator="greaterThanOrEqual">
      <formula>0.03</formula>
    </cfRule>
    <cfRule type="cellIs" dxfId="40" priority="50" operator="lessThanOrEqual">
      <formula>-0.03</formula>
    </cfRule>
  </conditionalFormatting>
  <conditionalFormatting sqref="G9 G10 G11 G12">
    <cfRule type="cellIs" dxfId="39" priority="13" operator="greaterThanOrEqual">
      <formula>0.03</formula>
    </cfRule>
    <cfRule type="cellIs" dxfId="38" priority="14" operator="lessThanOrEqual">
      <formula>-0.03</formula>
    </cfRule>
  </conditionalFormatting>
  <conditionalFormatting sqref="H43 H44 H45 H46">
    <cfRule type="cellIs" dxfId="37" priority="39" operator="greaterThanOrEqual">
      <formula>0.03</formula>
    </cfRule>
    <cfRule type="cellIs" dxfId="36" priority="40" operator="lessThanOrEqual">
      <formula>-0.03</formula>
    </cfRule>
  </conditionalFormatting>
  <conditionalFormatting sqref="H9 H10 H11 H12">
    <cfRule type="cellIs" dxfId="35" priority="5" operator="greaterThanOrEqual">
      <formula>0.03</formula>
    </cfRule>
    <cfRule type="cellIs" dxfId="34" priority="6" operator="lessThanOrEqual">
      <formula>-0.03</formula>
    </cfRule>
  </conditionalFormatting>
  <conditionalFormatting sqref="I43 I44 I45 I46">
    <cfRule type="cellIs" dxfId="33" priority="45" operator="greaterThanOrEqual">
      <formula>0.03</formula>
    </cfRule>
    <cfRule type="cellIs" dxfId="32" priority="46" operator="lessThanOrEqual">
      <formula>-0.03</formula>
    </cfRule>
  </conditionalFormatting>
  <conditionalFormatting sqref="I9 I10 I11 I12">
    <cfRule type="cellIs" dxfId="31" priority="19" operator="greaterThanOrEqual">
      <formula>0.03</formula>
    </cfRule>
    <cfRule type="cellIs" dxfId="30" priority="20" operator="lessThanOrEqual">
      <formula>-0.03</formula>
    </cfRule>
  </conditionalFormatting>
  <conditionalFormatting sqref="J43 J44 J45 J46">
    <cfRule type="cellIs" dxfId="29" priority="41" operator="greaterThanOrEqual">
      <formula>0.03</formula>
    </cfRule>
    <cfRule type="cellIs" dxfId="28" priority="42" operator="lessThanOrEqual">
      <formula>-0.03</formula>
    </cfRule>
  </conditionalFormatting>
  <conditionalFormatting sqref="J9 J10 J11 J12">
    <cfRule type="cellIs" dxfId="27" priority="1" operator="greaterThanOrEqual">
      <formula>0.03</formula>
    </cfRule>
    <cfRule type="cellIs" dxfId="26" priority="2" operator="lessThanOrEqual">
      <formula>-0.03</formula>
    </cfRule>
  </conditionalFormatting>
  <conditionalFormatting sqref="K43 K44 K45 K46">
    <cfRule type="cellIs" dxfId="25" priority="43" operator="greaterThanOrEqual">
      <formula>0.03</formula>
    </cfRule>
    <cfRule type="cellIs" dxfId="24" priority="44" operator="lessThanOrEqual">
      <formula>-0.03</formula>
    </cfRule>
  </conditionalFormatting>
  <conditionalFormatting sqref="K9 K10 K11 K12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L43 L44 L45 L46">
    <cfRule type="cellIs" dxfId="21" priority="33" operator="greaterThanOrEqual">
      <formula>0.03</formula>
    </cfRule>
    <cfRule type="cellIs" dxfId="20" priority="34" operator="lessThanOrEqual">
      <formula>-0.03</formula>
    </cfRule>
  </conditionalFormatting>
  <conditionalFormatting sqref="L9 L10 L11 L12">
    <cfRule type="cellIs" dxfId="19" priority="3" operator="greaterThanOrEqual">
      <formula>0.03</formula>
    </cfRule>
    <cfRule type="cellIs" dxfId="18" priority="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2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285</v>
      </c>
      <c r="N1" t="s">
        <v>372</v>
      </c>
      <c r="O1" t="s">
        <v>453</v>
      </c>
      <c r="P1" t="s">
        <v>544</v>
      </c>
    </row>
    <row r="2" spans="1:16" x14ac:dyDescent="0.2">
      <c r="A2" t="s">
        <v>81</v>
      </c>
      <c r="B2" s="10" t="str">
        <f>HLOOKUP(B1,M1:ZZ3,3,0)</f>
        <v>8ivfbv2_loot_vox10</v>
      </c>
      <c r="C2" t="s">
        <v>82</v>
      </c>
      <c r="I2" t="s">
        <v>3</v>
      </c>
      <c r="J2" t="s">
        <v>4</v>
      </c>
      <c r="M2" t="s">
        <v>287</v>
      </c>
      <c r="N2" t="s">
        <v>374</v>
      </c>
      <c r="O2" t="s">
        <v>455</v>
      </c>
      <c r="P2" t="s">
        <v>546</v>
      </c>
    </row>
    <row r="3" spans="1:16" x14ac:dyDescent="0.2">
      <c r="I3" t="s">
        <v>5</v>
      </c>
      <c r="J3" t="s">
        <v>6</v>
      </c>
      <c r="M3" t="s">
        <v>247</v>
      </c>
      <c r="N3" t="s">
        <v>247</v>
      </c>
      <c r="O3" t="s">
        <v>247</v>
      </c>
      <c r="P3" t="s">
        <v>247</v>
      </c>
    </row>
    <row r="4" spans="1:16" x14ac:dyDescent="0.2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251</v>
      </c>
      <c r="N4" t="s">
        <v>251</v>
      </c>
      <c r="O4" t="s">
        <v>251</v>
      </c>
      <c r="P4" t="s">
        <v>251</v>
      </c>
    </row>
    <row r="5" spans="1:16" x14ac:dyDescent="0.2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254</v>
      </c>
      <c r="N5" t="s">
        <v>254</v>
      </c>
      <c r="O5" t="s">
        <v>254</v>
      </c>
      <c r="P5" t="s">
        <v>254</v>
      </c>
    </row>
    <row r="6" spans="1:16" x14ac:dyDescent="0.2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257</v>
      </c>
      <c r="N6" t="s">
        <v>257</v>
      </c>
      <c r="O6" t="s">
        <v>257</v>
      </c>
      <c r="P6" t="s">
        <v>257</v>
      </c>
    </row>
    <row r="7" spans="1:16" x14ac:dyDescent="0.2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260</v>
      </c>
      <c r="N7" t="s">
        <v>260</v>
      </c>
      <c r="O7" t="s">
        <v>260</v>
      </c>
      <c r="P7" t="s">
        <v>260</v>
      </c>
    </row>
    <row r="8" spans="1:16" x14ac:dyDescent="0.2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264</v>
      </c>
      <c r="N8" t="s">
        <v>264</v>
      </c>
      <c r="O8" t="s">
        <v>264</v>
      </c>
      <c r="P8" t="s">
        <v>264</v>
      </c>
    </row>
    <row r="9" spans="1:16" x14ac:dyDescent="0.2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268</v>
      </c>
      <c r="N9" t="s">
        <v>268</v>
      </c>
      <c r="O9" t="s">
        <v>268</v>
      </c>
      <c r="P9" t="s">
        <v>268</v>
      </c>
    </row>
    <row r="10" spans="1:16" x14ac:dyDescent="0.2">
      <c r="I10" t="s">
        <v>19</v>
      </c>
      <c r="J10" t="s">
        <v>20</v>
      </c>
    </row>
    <row r="11" spans="1:16" x14ac:dyDescent="0.2">
      <c r="I11" t="s">
        <v>21</v>
      </c>
      <c r="J11" t="s">
        <v>22</v>
      </c>
    </row>
    <row r="12" spans="1:16" x14ac:dyDescent="0.2">
      <c r="I12" t="s">
        <v>23</v>
      </c>
      <c r="J12" t="s">
        <v>24</v>
      </c>
    </row>
    <row r="13" spans="1:16" x14ac:dyDescent="0.2">
      <c r="I13" t="s">
        <v>25</v>
      </c>
      <c r="J13" t="s">
        <v>26</v>
      </c>
    </row>
    <row r="14" spans="1:16" x14ac:dyDescent="0.2">
      <c r="I14" t="s">
        <v>27</v>
      </c>
      <c r="J14" t="s">
        <v>28</v>
      </c>
    </row>
    <row r="15" spans="1:16" x14ac:dyDescent="0.2">
      <c r="I15" t="s">
        <v>29</v>
      </c>
      <c r="J15" t="s">
        <v>30</v>
      </c>
    </row>
    <row r="16" spans="1:16" x14ac:dyDescent="0.2">
      <c r="I16" t="s">
        <v>31</v>
      </c>
      <c r="J16" t="s">
        <v>32</v>
      </c>
    </row>
    <row r="17" spans="9:10" x14ac:dyDescent="0.2">
      <c r="I17" t="s">
        <v>33</v>
      </c>
      <c r="J17" t="s">
        <v>34</v>
      </c>
    </row>
    <row r="18" spans="9:10" x14ac:dyDescent="0.2">
      <c r="I18" t="s">
        <v>35</v>
      </c>
      <c r="J18" t="s">
        <v>36</v>
      </c>
    </row>
    <row r="19" spans="9:10" x14ac:dyDescent="0.2">
      <c r="I19" t="s">
        <v>37</v>
      </c>
      <c r="J19" t="s">
        <v>38</v>
      </c>
    </row>
    <row r="20" spans="9:10" x14ac:dyDescent="0.2">
      <c r="I20" t="s">
        <v>39</v>
      </c>
      <c r="J20" t="s">
        <v>40</v>
      </c>
    </row>
    <row r="21" spans="9:10" x14ac:dyDescent="0.2">
      <c r="I21" t="s">
        <v>41</v>
      </c>
      <c r="J21" t="s">
        <v>42</v>
      </c>
    </row>
    <row r="22" spans="9:10" x14ac:dyDescent="0.2">
      <c r="I22" t="s">
        <v>43</v>
      </c>
      <c r="J22" t="s">
        <v>44</v>
      </c>
    </row>
    <row r="23" spans="9:10" x14ac:dyDescent="0.2">
      <c r="I23" t="s">
        <v>45</v>
      </c>
      <c r="J23" t="s">
        <v>46</v>
      </c>
    </row>
    <row r="24" spans="9:10" x14ac:dyDescent="0.2">
      <c r="I24" t="s">
        <v>47</v>
      </c>
      <c r="J24" t="s">
        <v>48</v>
      </c>
    </row>
    <row r="25" spans="9:10" x14ac:dyDescent="0.2">
      <c r="I25" t="s">
        <v>49</v>
      </c>
      <c r="J25" t="s">
        <v>50</v>
      </c>
    </row>
    <row r="26" spans="9:10" x14ac:dyDescent="0.2">
      <c r="I26" t="s">
        <v>51</v>
      </c>
      <c r="J26" t="s">
        <v>52</v>
      </c>
    </row>
    <row r="27" spans="9:10" x14ac:dyDescent="0.2">
      <c r="I27" t="s">
        <v>53</v>
      </c>
      <c r="J27" t="s">
        <v>54</v>
      </c>
    </row>
    <row r="28" spans="9:10" x14ac:dyDescent="0.2">
      <c r="I28" t="s">
        <v>55</v>
      </c>
      <c r="J28" t="s">
        <v>56</v>
      </c>
    </row>
    <row r="29" spans="9:10" x14ac:dyDescent="0.2">
      <c r="I29" t="s">
        <v>57</v>
      </c>
      <c r="J29" t="s">
        <v>58</v>
      </c>
    </row>
    <row r="30" spans="9:10" x14ac:dyDescent="0.2">
      <c r="I30" t="s">
        <v>59</v>
      </c>
      <c r="J30" t="s">
        <v>60</v>
      </c>
    </row>
    <row r="31" spans="9:10" x14ac:dyDescent="0.2">
      <c r="I31" t="s">
        <v>61</v>
      </c>
      <c r="J31" t="s">
        <v>62</v>
      </c>
    </row>
    <row r="32" spans="9:10" x14ac:dyDescent="0.2">
      <c r="I32" t="s">
        <v>63</v>
      </c>
      <c r="J32" t="s">
        <v>64</v>
      </c>
    </row>
    <row r="33" spans="9:10" x14ac:dyDescent="0.2">
      <c r="I33" t="s">
        <v>65</v>
      </c>
      <c r="J33" t="s">
        <v>66</v>
      </c>
    </row>
    <row r="34" spans="9:10" x14ac:dyDescent="0.2">
      <c r="I34" t="s">
        <v>67</v>
      </c>
      <c r="J34" t="s">
        <v>68</v>
      </c>
    </row>
    <row r="35" spans="9:10" x14ac:dyDescent="0.2">
      <c r="I35" t="s">
        <v>69</v>
      </c>
      <c r="J35" t="s">
        <v>70</v>
      </c>
    </row>
    <row r="36" spans="9:10" x14ac:dyDescent="0.2">
      <c r="I36" t="s">
        <v>71</v>
      </c>
      <c r="J36" t="s">
        <v>72</v>
      </c>
    </row>
    <row r="37" spans="9:10" x14ac:dyDescent="0.2">
      <c r="I37" t="s">
        <v>73</v>
      </c>
      <c r="J37" t="s">
        <v>74</v>
      </c>
    </row>
    <row r="38" spans="9:10" x14ac:dyDescent="0.2">
      <c r="I38" t="s">
        <v>75</v>
      </c>
      <c r="J38" t="s">
        <v>76</v>
      </c>
    </row>
    <row r="39" spans="9:10" x14ac:dyDescent="0.2">
      <c r="I39" t="s">
        <v>77</v>
      </c>
      <c r="J39" t="s">
        <v>78</v>
      </c>
    </row>
  </sheetData>
  <conditionalFormatting sqref="B2">
    <cfRule type="expression" dxfId="17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86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93</v>
      </c>
      <c r="B1">
        <v>1</v>
      </c>
    </row>
    <row r="2" spans="1:2" x14ac:dyDescent="0.2">
      <c r="A2" t="s">
        <v>96</v>
      </c>
      <c r="B2">
        <v>2</v>
      </c>
    </row>
    <row r="3" spans="1:2" x14ac:dyDescent="0.2">
      <c r="A3" t="s">
        <v>97</v>
      </c>
      <c r="B3">
        <v>3</v>
      </c>
    </row>
    <row r="4" spans="1:2" x14ac:dyDescent="0.2">
      <c r="A4" t="s">
        <v>100</v>
      </c>
      <c r="B4">
        <v>4</v>
      </c>
    </row>
    <row r="5" spans="1:2" x14ac:dyDescent="0.2">
      <c r="A5" t="s">
        <v>103</v>
      </c>
      <c r="B5">
        <v>5</v>
      </c>
    </row>
    <row r="6" spans="1:2" x14ac:dyDescent="0.2">
      <c r="A6" t="s">
        <v>106</v>
      </c>
      <c r="B6">
        <v>6</v>
      </c>
    </row>
    <row r="7" spans="1:2" x14ac:dyDescent="0.2">
      <c r="A7" t="s">
        <v>109</v>
      </c>
      <c r="B7">
        <v>7</v>
      </c>
    </row>
    <row r="8" spans="1:2" x14ac:dyDescent="0.2">
      <c r="A8" t="s">
        <v>112</v>
      </c>
      <c r="B8">
        <v>9</v>
      </c>
    </row>
    <row r="9" spans="1:2" x14ac:dyDescent="0.2">
      <c r="A9" t="s">
        <v>116</v>
      </c>
      <c r="B9">
        <v>10</v>
      </c>
    </row>
    <row r="10" spans="1:2" x14ac:dyDescent="0.2">
      <c r="A10" t="s">
        <v>119</v>
      </c>
      <c r="B10">
        <v>11</v>
      </c>
    </row>
    <row r="11" spans="1:2" x14ac:dyDescent="0.2">
      <c r="A11" t="s">
        <v>122</v>
      </c>
      <c r="B11">
        <v>12</v>
      </c>
    </row>
    <row r="12" spans="1:2" x14ac:dyDescent="0.2">
      <c r="A12" t="s">
        <v>125</v>
      </c>
      <c r="B12">
        <v>13</v>
      </c>
    </row>
    <row r="13" spans="1:2" x14ac:dyDescent="0.2">
      <c r="A13" t="s">
        <v>128</v>
      </c>
      <c r="B13">
        <v>14</v>
      </c>
    </row>
    <row r="14" spans="1:2" x14ac:dyDescent="0.2">
      <c r="A14" t="s">
        <v>131</v>
      </c>
      <c r="B14">
        <v>15</v>
      </c>
    </row>
    <row r="15" spans="1:2" x14ac:dyDescent="0.2">
      <c r="A15" t="s">
        <v>133</v>
      </c>
      <c r="B15">
        <v>16</v>
      </c>
    </row>
    <row r="16" spans="1:2" x14ac:dyDescent="0.2">
      <c r="A16" t="s">
        <v>134</v>
      </c>
      <c r="B16">
        <v>17</v>
      </c>
    </row>
    <row r="17" spans="1:2" x14ac:dyDescent="0.2">
      <c r="A17" t="s">
        <v>135</v>
      </c>
      <c r="B17">
        <v>18</v>
      </c>
    </row>
    <row r="18" spans="1:2" x14ac:dyDescent="0.2">
      <c r="A18" t="s">
        <v>138</v>
      </c>
      <c r="B18">
        <v>19</v>
      </c>
    </row>
    <row r="19" spans="1:2" x14ac:dyDescent="0.2">
      <c r="A19" t="s">
        <v>140</v>
      </c>
      <c r="B19">
        <v>20</v>
      </c>
    </row>
    <row r="20" spans="1:2" x14ac:dyDescent="0.2">
      <c r="A20" t="s">
        <v>143</v>
      </c>
      <c r="B20">
        <v>21</v>
      </c>
    </row>
    <row r="21" spans="1:2" x14ac:dyDescent="0.2">
      <c r="A21" t="s">
        <v>146</v>
      </c>
      <c r="B21">
        <v>22</v>
      </c>
    </row>
    <row r="22" spans="1:2" x14ac:dyDescent="0.2">
      <c r="A22" t="s">
        <v>150</v>
      </c>
      <c r="B22">
        <v>23</v>
      </c>
    </row>
    <row r="23" spans="1:2" x14ac:dyDescent="0.2">
      <c r="A23" t="s">
        <v>153</v>
      </c>
      <c r="B23">
        <v>24</v>
      </c>
    </row>
    <row r="24" spans="1:2" x14ac:dyDescent="0.2">
      <c r="A24" t="s">
        <v>157</v>
      </c>
      <c r="B24">
        <v>25</v>
      </c>
    </row>
    <row r="25" spans="1:2" x14ac:dyDescent="0.2">
      <c r="A25" t="s">
        <v>160</v>
      </c>
      <c r="B25">
        <v>26</v>
      </c>
    </row>
    <row r="26" spans="1:2" x14ac:dyDescent="0.2">
      <c r="A26" t="s">
        <v>163</v>
      </c>
      <c r="B26">
        <v>27</v>
      </c>
    </row>
    <row r="27" spans="1:2" x14ac:dyDescent="0.2">
      <c r="A27" t="s">
        <v>167</v>
      </c>
      <c r="B27">
        <v>28</v>
      </c>
    </row>
    <row r="28" spans="1:2" x14ac:dyDescent="0.2">
      <c r="A28" t="s">
        <v>170</v>
      </c>
      <c r="B28">
        <v>29</v>
      </c>
    </row>
    <row r="29" spans="1:2" x14ac:dyDescent="0.2">
      <c r="A29" t="s">
        <v>173</v>
      </c>
      <c r="B29">
        <v>30</v>
      </c>
    </row>
    <row r="30" spans="1:2" x14ac:dyDescent="0.2">
      <c r="A30" t="s">
        <v>175</v>
      </c>
      <c r="B30">
        <v>31</v>
      </c>
    </row>
    <row r="31" spans="1:2" x14ac:dyDescent="0.2">
      <c r="A31" t="s">
        <v>177</v>
      </c>
      <c r="B31">
        <v>33</v>
      </c>
    </row>
    <row r="32" spans="1:2" x14ac:dyDescent="0.2">
      <c r="A32" t="s">
        <v>179</v>
      </c>
      <c r="B32">
        <v>34</v>
      </c>
    </row>
    <row r="33" spans="1:2" x14ac:dyDescent="0.2">
      <c r="A33" t="s">
        <v>181</v>
      </c>
      <c r="B33">
        <v>35</v>
      </c>
    </row>
    <row r="34" spans="1:2" x14ac:dyDescent="0.2">
      <c r="A34" t="s">
        <v>183</v>
      </c>
      <c r="B34">
        <v>36</v>
      </c>
    </row>
    <row r="35" spans="1:2" x14ac:dyDescent="0.2">
      <c r="A35" t="s">
        <v>185</v>
      </c>
      <c r="B35">
        <v>37</v>
      </c>
    </row>
    <row r="36" spans="1:2" x14ac:dyDescent="0.2">
      <c r="A36" t="s">
        <v>188</v>
      </c>
      <c r="B36">
        <v>38</v>
      </c>
    </row>
    <row r="37" spans="1:2" x14ac:dyDescent="0.2">
      <c r="A37" t="s">
        <v>190</v>
      </c>
      <c r="B37">
        <v>39</v>
      </c>
    </row>
    <row r="38" spans="1:2" x14ac:dyDescent="0.2">
      <c r="A38" t="s">
        <v>192</v>
      </c>
      <c r="B38">
        <v>40</v>
      </c>
    </row>
    <row r="39" spans="1:2" x14ac:dyDescent="0.2">
      <c r="A39" t="s">
        <v>193</v>
      </c>
      <c r="B39">
        <v>41</v>
      </c>
    </row>
    <row r="40" spans="1:2" x14ac:dyDescent="0.2">
      <c r="A40" t="s">
        <v>194</v>
      </c>
      <c r="B40">
        <v>42</v>
      </c>
    </row>
    <row r="41" spans="1:2" x14ac:dyDescent="0.2">
      <c r="A41" t="s">
        <v>196</v>
      </c>
      <c r="B41">
        <v>43</v>
      </c>
    </row>
    <row r="42" spans="1:2" x14ac:dyDescent="0.2">
      <c r="A42" t="s">
        <v>198</v>
      </c>
      <c r="B42">
        <v>44</v>
      </c>
    </row>
    <row r="43" spans="1:2" x14ac:dyDescent="0.2">
      <c r="A43" t="s">
        <v>200</v>
      </c>
      <c r="B43">
        <v>45</v>
      </c>
    </row>
    <row r="44" spans="1:2" x14ac:dyDescent="0.2">
      <c r="A44" t="s">
        <v>202</v>
      </c>
      <c r="B44">
        <v>46</v>
      </c>
    </row>
    <row r="45" spans="1:2" x14ac:dyDescent="0.2">
      <c r="A45" t="s">
        <v>204</v>
      </c>
      <c r="B45">
        <v>47</v>
      </c>
    </row>
    <row r="46" spans="1:2" x14ac:dyDescent="0.2">
      <c r="A46" t="s">
        <v>206</v>
      </c>
      <c r="B46">
        <v>48</v>
      </c>
    </row>
    <row r="47" spans="1:2" x14ac:dyDescent="0.2">
      <c r="A47" t="s">
        <v>208</v>
      </c>
      <c r="B47">
        <v>49</v>
      </c>
    </row>
    <row r="48" spans="1:2" x14ac:dyDescent="0.2">
      <c r="A48" t="s">
        <v>210</v>
      </c>
      <c r="B48">
        <v>50</v>
      </c>
    </row>
    <row r="49" spans="1:2" x14ac:dyDescent="0.2">
      <c r="A49" t="s">
        <v>212</v>
      </c>
      <c r="B49">
        <v>51</v>
      </c>
    </row>
    <row r="50" spans="1:2" x14ac:dyDescent="0.2">
      <c r="A50" t="s">
        <v>214</v>
      </c>
      <c r="B50">
        <v>52</v>
      </c>
    </row>
    <row r="51" spans="1:2" x14ac:dyDescent="0.2">
      <c r="A51" t="s">
        <v>216</v>
      </c>
      <c r="B51">
        <v>53</v>
      </c>
    </row>
    <row r="52" spans="1:2" x14ac:dyDescent="0.2">
      <c r="A52" t="s">
        <v>218</v>
      </c>
      <c r="B52">
        <v>54</v>
      </c>
    </row>
    <row r="53" spans="1:2" x14ac:dyDescent="0.2">
      <c r="A53" t="s">
        <v>220</v>
      </c>
      <c r="B53">
        <v>55</v>
      </c>
    </row>
    <row r="54" spans="1:2" x14ac:dyDescent="0.2">
      <c r="A54" t="s">
        <v>222</v>
      </c>
      <c r="B54">
        <v>57</v>
      </c>
    </row>
    <row r="55" spans="1:2" x14ac:dyDescent="0.2">
      <c r="A55" t="s">
        <v>223</v>
      </c>
      <c r="B55">
        <v>58</v>
      </c>
    </row>
    <row r="56" spans="1:2" x14ac:dyDescent="0.2">
      <c r="A56" t="s">
        <v>226</v>
      </c>
      <c r="B56">
        <v>59</v>
      </c>
    </row>
    <row r="57" spans="1:2" x14ac:dyDescent="0.2">
      <c r="A57" t="s">
        <v>228</v>
      </c>
      <c r="B57">
        <v>60</v>
      </c>
    </row>
    <row r="58" spans="1:2" x14ac:dyDescent="0.2">
      <c r="A58" t="s">
        <v>230</v>
      </c>
      <c r="B58">
        <v>62</v>
      </c>
    </row>
    <row r="59" spans="1:2" x14ac:dyDescent="0.2">
      <c r="A59" t="s">
        <v>231</v>
      </c>
      <c r="B59">
        <v>63</v>
      </c>
    </row>
    <row r="60" spans="1:2" x14ac:dyDescent="0.2">
      <c r="A60" t="s">
        <v>233</v>
      </c>
      <c r="B60">
        <v>64</v>
      </c>
    </row>
    <row r="61" spans="1:2" x14ac:dyDescent="0.2">
      <c r="A61" t="s">
        <v>234</v>
      </c>
      <c r="B61">
        <v>65</v>
      </c>
    </row>
    <row r="62" spans="1:2" x14ac:dyDescent="0.2">
      <c r="A62" t="s">
        <v>235</v>
      </c>
      <c r="B62">
        <v>66</v>
      </c>
    </row>
    <row r="63" spans="1:2" x14ac:dyDescent="0.2">
      <c r="A63" t="s">
        <v>237</v>
      </c>
      <c r="B63">
        <v>68</v>
      </c>
    </row>
    <row r="64" spans="1:2" x14ac:dyDescent="0.2">
      <c r="A64" t="s">
        <v>238</v>
      </c>
      <c r="B64">
        <v>69</v>
      </c>
    </row>
    <row r="65" spans="1:24" x14ac:dyDescent="0.2">
      <c r="A65" t="s">
        <v>240</v>
      </c>
      <c r="B65">
        <v>70</v>
      </c>
    </row>
    <row r="66" spans="1:24" x14ac:dyDescent="0.2">
      <c r="A66" t="s">
        <v>241</v>
      </c>
      <c r="B66">
        <v>71</v>
      </c>
    </row>
    <row r="67" spans="1:24" x14ac:dyDescent="0.2">
      <c r="A67" t="s">
        <v>242</v>
      </c>
      <c r="B67">
        <v>72</v>
      </c>
    </row>
    <row r="68" spans="1:24" x14ac:dyDescent="0.2">
      <c r="A68" t="s">
        <v>243</v>
      </c>
      <c r="B68" t="s">
        <v>244</v>
      </c>
    </row>
    <row r="69" spans="1:24" x14ac:dyDescent="0.2">
      <c r="A69" t="s">
        <v>245</v>
      </c>
      <c r="B69" t="s">
        <v>246</v>
      </c>
    </row>
    <row r="70" spans="1:24" x14ac:dyDescent="0.2">
      <c r="A70" t="s">
        <v>249</v>
      </c>
      <c r="B70" t="s">
        <v>250</v>
      </c>
    </row>
    <row r="71" spans="1:24" x14ac:dyDescent="0.2">
      <c r="A71" t="s">
        <v>252</v>
      </c>
      <c r="B71" t="s">
        <v>253</v>
      </c>
    </row>
    <row r="72" spans="1:24" x14ac:dyDescent="0.2">
      <c r="A72" t="s">
        <v>255</v>
      </c>
      <c r="B72" t="s">
        <v>256</v>
      </c>
    </row>
    <row r="73" spans="1:24" x14ac:dyDescent="0.2">
      <c r="A73" t="s">
        <v>258</v>
      </c>
      <c r="B73" t="s">
        <v>259</v>
      </c>
    </row>
    <row r="74" spans="1:24" x14ac:dyDescent="0.2">
      <c r="A74" t="s">
        <v>262</v>
      </c>
      <c r="B74" t="s">
        <v>263</v>
      </c>
    </row>
    <row r="75" spans="1:24" x14ac:dyDescent="0.2">
      <c r="A75" t="s">
        <v>266</v>
      </c>
      <c r="B75" t="s">
        <v>267</v>
      </c>
    </row>
    <row r="76" spans="1:24" x14ac:dyDescent="0.2">
      <c r="A76" t="s">
        <v>269</v>
      </c>
      <c r="B76" t="s">
        <v>270</v>
      </c>
    </row>
    <row r="77" spans="1:24" x14ac:dyDescent="0.2">
      <c r="A77" t="s">
        <v>286</v>
      </c>
      <c r="B77" t="s">
        <v>59</v>
      </c>
      <c r="C77" t="s">
        <v>49</v>
      </c>
      <c r="D77" t="s">
        <v>43</v>
      </c>
      <c r="E77" t="s">
        <v>37</v>
      </c>
      <c r="F77" t="s">
        <v>67</v>
      </c>
      <c r="G77" t="s">
        <v>63</v>
      </c>
      <c r="H77" t="s">
        <v>23</v>
      </c>
      <c r="I77" t="s">
        <v>21</v>
      </c>
      <c r="J77" t="s">
        <v>39</v>
      </c>
      <c r="K77" t="s">
        <v>57</v>
      </c>
      <c r="L77" t="s">
        <v>45</v>
      </c>
      <c r="M77" t="s">
        <v>5</v>
      </c>
      <c r="N77" t="s">
        <v>9</v>
      </c>
      <c r="O77" t="s">
        <v>71</v>
      </c>
      <c r="P77" t="s">
        <v>69</v>
      </c>
      <c r="Q77" t="s">
        <v>65</v>
      </c>
      <c r="R77" t="s">
        <v>47</v>
      </c>
      <c r="S77" t="s">
        <v>73</v>
      </c>
      <c r="T77" t="s">
        <v>13</v>
      </c>
      <c r="U77" t="s">
        <v>61</v>
      </c>
      <c r="V77" t="s">
        <v>53</v>
      </c>
      <c r="W77" t="s">
        <v>19</v>
      </c>
      <c r="X77" t="s">
        <v>17</v>
      </c>
    </row>
    <row r="78" spans="1:24" x14ac:dyDescent="0.2">
      <c r="A78" t="s">
        <v>288</v>
      </c>
      <c r="B78">
        <v>1</v>
      </c>
    </row>
    <row r="79" spans="1:24" x14ac:dyDescent="0.2">
      <c r="A79" t="s">
        <v>289</v>
      </c>
      <c r="B79">
        <v>2</v>
      </c>
    </row>
    <row r="80" spans="1:24" x14ac:dyDescent="0.2">
      <c r="A80" t="s">
        <v>290</v>
      </c>
      <c r="B80">
        <v>3</v>
      </c>
    </row>
    <row r="81" spans="1:2" x14ac:dyDescent="0.2">
      <c r="A81" t="s">
        <v>291</v>
      </c>
      <c r="B81">
        <v>4</v>
      </c>
    </row>
    <row r="82" spans="1:2" x14ac:dyDescent="0.2">
      <c r="A82" t="s">
        <v>292</v>
      </c>
      <c r="B82">
        <v>5</v>
      </c>
    </row>
    <row r="83" spans="1:2" x14ac:dyDescent="0.2">
      <c r="A83" t="s">
        <v>293</v>
      </c>
      <c r="B83">
        <v>6</v>
      </c>
    </row>
    <row r="84" spans="1:2" x14ac:dyDescent="0.2">
      <c r="A84" t="s">
        <v>296</v>
      </c>
      <c r="B84">
        <v>8</v>
      </c>
    </row>
    <row r="85" spans="1:2" x14ac:dyDescent="0.2">
      <c r="A85" t="s">
        <v>297</v>
      </c>
      <c r="B85">
        <v>9</v>
      </c>
    </row>
    <row r="86" spans="1:2" x14ac:dyDescent="0.2">
      <c r="A86" t="s">
        <v>298</v>
      </c>
      <c r="B86">
        <v>10</v>
      </c>
    </row>
    <row r="87" spans="1:2" x14ac:dyDescent="0.2">
      <c r="A87" t="s">
        <v>299</v>
      </c>
      <c r="B87">
        <v>11</v>
      </c>
    </row>
    <row r="88" spans="1:2" x14ac:dyDescent="0.2">
      <c r="A88" t="s">
        <v>300</v>
      </c>
      <c r="B88">
        <v>12</v>
      </c>
    </row>
    <row r="89" spans="1:2" x14ac:dyDescent="0.2">
      <c r="A89" t="s">
        <v>301</v>
      </c>
      <c r="B89">
        <v>13</v>
      </c>
    </row>
    <row r="90" spans="1:2" x14ac:dyDescent="0.2">
      <c r="A90" t="s">
        <v>302</v>
      </c>
      <c r="B90">
        <v>14</v>
      </c>
    </row>
    <row r="91" spans="1:2" x14ac:dyDescent="0.2">
      <c r="A91" t="s">
        <v>303</v>
      </c>
      <c r="B91">
        <v>15</v>
      </c>
    </row>
    <row r="92" spans="1:2" x14ac:dyDescent="0.2">
      <c r="A92" t="s">
        <v>304</v>
      </c>
      <c r="B92">
        <v>16</v>
      </c>
    </row>
    <row r="93" spans="1:2" x14ac:dyDescent="0.2">
      <c r="A93" t="s">
        <v>305</v>
      </c>
      <c r="B93">
        <v>17</v>
      </c>
    </row>
    <row r="94" spans="1:2" x14ac:dyDescent="0.2">
      <c r="A94" t="s">
        <v>306</v>
      </c>
      <c r="B94">
        <v>18</v>
      </c>
    </row>
    <row r="95" spans="1:2" x14ac:dyDescent="0.2">
      <c r="A95" t="s">
        <v>307</v>
      </c>
      <c r="B95">
        <v>19</v>
      </c>
    </row>
    <row r="96" spans="1:2" x14ac:dyDescent="0.2">
      <c r="A96" t="s">
        <v>308</v>
      </c>
      <c r="B96">
        <v>20</v>
      </c>
    </row>
    <row r="97" spans="1:2" x14ac:dyDescent="0.2">
      <c r="A97" t="s">
        <v>309</v>
      </c>
      <c r="B97">
        <v>21</v>
      </c>
    </row>
    <row r="98" spans="1:2" x14ac:dyDescent="0.2">
      <c r="A98" t="s">
        <v>310</v>
      </c>
      <c r="B98">
        <v>22</v>
      </c>
    </row>
    <row r="99" spans="1:2" x14ac:dyDescent="0.2">
      <c r="A99" t="s">
        <v>311</v>
      </c>
      <c r="B99">
        <v>23</v>
      </c>
    </row>
    <row r="100" spans="1:2" x14ac:dyDescent="0.2">
      <c r="A100" t="s">
        <v>312</v>
      </c>
      <c r="B100">
        <v>24</v>
      </c>
    </row>
    <row r="101" spans="1:2" x14ac:dyDescent="0.2">
      <c r="A101" t="s">
        <v>313</v>
      </c>
      <c r="B101">
        <v>25</v>
      </c>
    </row>
    <row r="102" spans="1:2" x14ac:dyDescent="0.2">
      <c r="A102" t="s">
        <v>314</v>
      </c>
      <c r="B102">
        <v>26</v>
      </c>
    </row>
    <row r="103" spans="1:2" x14ac:dyDescent="0.2">
      <c r="A103" t="s">
        <v>315</v>
      </c>
      <c r="B103">
        <v>27</v>
      </c>
    </row>
    <row r="104" spans="1:2" x14ac:dyDescent="0.2">
      <c r="A104" t="s">
        <v>316</v>
      </c>
      <c r="B104">
        <v>28</v>
      </c>
    </row>
    <row r="105" spans="1:2" x14ac:dyDescent="0.2">
      <c r="A105" t="s">
        <v>317</v>
      </c>
      <c r="B105">
        <v>29</v>
      </c>
    </row>
    <row r="106" spans="1:2" x14ac:dyDescent="0.2">
      <c r="A106" t="s">
        <v>319</v>
      </c>
      <c r="B106">
        <v>31</v>
      </c>
    </row>
    <row r="107" spans="1:2" x14ac:dyDescent="0.2">
      <c r="A107" t="s">
        <v>320</v>
      </c>
      <c r="B107">
        <v>32</v>
      </c>
    </row>
    <row r="108" spans="1:2" x14ac:dyDescent="0.2">
      <c r="A108" t="s">
        <v>321</v>
      </c>
      <c r="B108">
        <v>33</v>
      </c>
    </row>
    <row r="109" spans="1:2" x14ac:dyDescent="0.2">
      <c r="A109" t="s">
        <v>322</v>
      </c>
      <c r="B109">
        <v>34</v>
      </c>
    </row>
    <row r="110" spans="1:2" x14ac:dyDescent="0.2">
      <c r="A110" t="s">
        <v>323</v>
      </c>
      <c r="B110">
        <v>35</v>
      </c>
    </row>
    <row r="111" spans="1:2" x14ac:dyDescent="0.2">
      <c r="A111" t="s">
        <v>324</v>
      </c>
      <c r="B111">
        <v>36</v>
      </c>
    </row>
    <row r="112" spans="1:2" x14ac:dyDescent="0.2">
      <c r="A112" t="s">
        <v>325</v>
      </c>
      <c r="B112">
        <v>37</v>
      </c>
    </row>
    <row r="113" spans="1:2" x14ac:dyDescent="0.2">
      <c r="A113" t="s">
        <v>326</v>
      </c>
      <c r="B113">
        <v>38</v>
      </c>
    </row>
    <row r="114" spans="1:2" x14ac:dyDescent="0.2">
      <c r="A114" t="s">
        <v>327</v>
      </c>
      <c r="B114">
        <v>39</v>
      </c>
    </row>
    <row r="115" spans="1:2" x14ac:dyDescent="0.2">
      <c r="A115" t="s">
        <v>328</v>
      </c>
      <c r="B115">
        <v>40</v>
      </c>
    </row>
    <row r="116" spans="1:2" x14ac:dyDescent="0.2">
      <c r="A116" t="s">
        <v>329</v>
      </c>
      <c r="B116">
        <v>41</v>
      </c>
    </row>
    <row r="117" spans="1:2" x14ac:dyDescent="0.2">
      <c r="A117" t="s">
        <v>330</v>
      </c>
      <c r="B117">
        <v>42</v>
      </c>
    </row>
    <row r="118" spans="1:2" x14ac:dyDescent="0.2">
      <c r="A118" t="s">
        <v>331</v>
      </c>
      <c r="B118">
        <v>43</v>
      </c>
    </row>
    <row r="119" spans="1:2" x14ac:dyDescent="0.2">
      <c r="A119" t="s">
        <v>332</v>
      </c>
      <c r="B119">
        <v>44</v>
      </c>
    </row>
    <row r="120" spans="1:2" x14ac:dyDescent="0.2">
      <c r="A120" t="s">
        <v>333</v>
      </c>
      <c r="B120">
        <v>45</v>
      </c>
    </row>
    <row r="121" spans="1:2" x14ac:dyDescent="0.2">
      <c r="A121" t="s">
        <v>334</v>
      </c>
      <c r="B121">
        <v>46</v>
      </c>
    </row>
    <row r="122" spans="1:2" x14ac:dyDescent="0.2">
      <c r="A122" t="s">
        <v>335</v>
      </c>
      <c r="B122">
        <v>47</v>
      </c>
    </row>
    <row r="123" spans="1:2" x14ac:dyDescent="0.2">
      <c r="A123" t="s">
        <v>336</v>
      </c>
      <c r="B123">
        <v>48</v>
      </c>
    </row>
    <row r="124" spans="1:2" x14ac:dyDescent="0.2">
      <c r="A124" t="s">
        <v>337</v>
      </c>
      <c r="B124">
        <v>49</v>
      </c>
    </row>
    <row r="125" spans="1:2" x14ac:dyDescent="0.2">
      <c r="A125" t="s">
        <v>338</v>
      </c>
      <c r="B125">
        <v>50</v>
      </c>
    </row>
    <row r="126" spans="1:2" x14ac:dyDescent="0.2">
      <c r="A126" t="s">
        <v>339</v>
      </c>
      <c r="B126">
        <v>51</v>
      </c>
    </row>
    <row r="127" spans="1:2" x14ac:dyDescent="0.2">
      <c r="A127" t="s">
        <v>340</v>
      </c>
      <c r="B127">
        <v>52</v>
      </c>
    </row>
    <row r="128" spans="1:2" x14ac:dyDescent="0.2">
      <c r="A128" t="s">
        <v>343</v>
      </c>
      <c r="B128">
        <v>54</v>
      </c>
    </row>
    <row r="129" spans="1:23" x14ac:dyDescent="0.2">
      <c r="A129" t="s">
        <v>344</v>
      </c>
      <c r="B129">
        <v>55</v>
      </c>
    </row>
    <row r="130" spans="1:23" x14ac:dyDescent="0.2">
      <c r="A130" t="s">
        <v>346</v>
      </c>
      <c r="B130">
        <v>56</v>
      </c>
    </row>
    <row r="131" spans="1:23" x14ac:dyDescent="0.2">
      <c r="A131" t="s">
        <v>348</v>
      </c>
      <c r="B131">
        <v>57</v>
      </c>
    </row>
    <row r="132" spans="1:23" x14ac:dyDescent="0.2">
      <c r="A132" t="s">
        <v>349</v>
      </c>
      <c r="B132">
        <v>58</v>
      </c>
    </row>
    <row r="133" spans="1:23" x14ac:dyDescent="0.2">
      <c r="A133" t="s">
        <v>350</v>
      </c>
      <c r="B133">
        <v>59</v>
      </c>
    </row>
    <row r="134" spans="1:23" x14ac:dyDescent="0.2">
      <c r="A134" t="s">
        <v>352</v>
      </c>
      <c r="B134" t="s">
        <v>353</v>
      </c>
    </row>
    <row r="135" spans="1:23" x14ac:dyDescent="0.2">
      <c r="A135" t="s">
        <v>354</v>
      </c>
      <c r="B135" t="s">
        <v>355</v>
      </c>
    </row>
    <row r="136" spans="1:23" x14ac:dyDescent="0.2">
      <c r="A136" t="s">
        <v>356</v>
      </c>
      <c r="B136" t="s">
        <v>357</v>
      </c>
    </row>
    <row r="137" spans="1:23" x14ac:dyDescent="0.2">
      <c r="A137" t="s">
        <v>358</v>
      </c>
      <c r="B137" t="s">
        <v>359</v>
      </c>
    </row>
    <row r="138" spans="1:23" x14ac:dyDescent="0.2">
      <c r="A138" t="s">
        <v>360</v>
      </c>
      <c r="B138" t="s">
        <v>361</v>
      </c>
    </row>
    <row r="139" spans="1:23" x14ac:dyDescent="0.2">
      <c r="A139" t="s">
        <v>362</v>
      </c>
      <c r="B139" t="s">
        <v>363</v>
      </c>
    </row>
    <row r="140" spans="1:23" x14ac:dyDescent="0.2">
      <c r="A140" t="s">
        <v>364</v>
      </c>
      <c r="B140" t="s">
        <v>365</v>
      </c>
    </row>
    <row r="141" spans="1:23" x14ac:dyDescent="0.2">
      <c r="A141" t="s">
        <v>366</v>
      </c>
      <c r="B141" t="s">
        <v>367</v>
      </c>
    </row>
    <row r="142" spans="1:23" x14ac:dyDescent="0.2">
      <c r="A142" t="s">
        <v>368</v>
      </c>
      <c r="B142" t="s">
        <v>369</v>
      </c>
    </row>
    <row r="143" spans="1:23" x14ac:dyDescent="0.2">
      <c r="A143" t="s">
        <v>373</v>
      </c>
      <c r="B143" t="s">
        <v>43</v>
      </c>
      <c r="C143" t="s">
        <v>67</v>
      </c>
      <c r="D143" t="s">
        <v>47</v>
      </c>
      <c r="E143" t="s">
        <v>13</v>
      </c>
      <c r="F143" t="s">
        <v>73</v>
      </c>
      <c r="G143" t="s">
        <v>77</v>
      </c>
      <c r="H143" t="s">
        <v>61</v>
      </c>
      <c r="I143" t="s">
        <v>37</v>
      </c>
      <c r="J143" t="s">
        <v>53</v>
      </c>
      <c r="K143" t="s">
        <v>63</v>
      </c>
      <c r="L143" t="s">
        <v>59</v>
      </c>
      <c r="M143" t="s">
        <v>69</v>
      </c>
      <c r="N143" t="s">
        <v>21</v>
      </c>
      <c r="O143" t="s">
        <v>65</v>
      </c>
      <c r="P143" t="s">
        <v>49</v>
      </c>
      <c r="Q143" t="s">
        <v>45</v>
      </c>
      <c r="R143" t="s">
        <v>5</v>
      </c>
      <c r="S143" t="s">
        <v>71</v>
      </c>
      <c r="T143" t="s">
        <v>9</v>
      </c>
      <c r="U143" t="s">
        <v>39</v>
      </c>
      <c r="V143" t="s">
        <v>17</v>
      </c>
      <c r="W143" t="s">
        <v>57</v>
      </c>
    </row>
    <row r="144" spans="1:23" x14ac:dyDescent="0.2">
      <c r="A144" t="s">
        <v>375</v>
      </c>
      <c r="B144">
        <v>1</v>
      </c>
    </row>
    <row r="145" spans="1:2" x14ac:dyDescent="0.2">
      <c r="A145" t="s">
        <v>376</v>
      </c>
      <c r="B145">
        <v>2</v>
      </c>
    </row>
    <row r="146" spans="1:2" x14ac:dyDescent="0.2">
      <c r="A146" t="s">
        <v>377</v>
      </c>
      <c r="B146">
        <v>3</v>
      </c>
    </row>
    <row r="147" spans="1:2" x14ac:dyDescent="0.2">
      <c r="A147" t="s">
        <v>378</v>
      </c>
      <c r="B147">
        <v>4</v>
      </c>
    </row>
    <row r="148" spans="1:2" x14ac:dyDescent="0.2">
      <c r="A148" t="s">
        <v>379</v>
      </c>
      <c r="B148">
        <v>5</v>
      </c>
    </row>
    <row r="149" spans="1:2" x14ac:dyDescent="0.2">
      <c r="A149" t="s">
        <v>380</v>
      </c>
      <c r="B149">
        <v>6</v>
      </c>
    </row>
    <row r="150" spans="1:2" x14ac:dyDescent="0.2">
      <c r="A150" t="s">
        <v>381</v>
      </c>
      <c r="B150">
        <v>8</v>
      </c>
    </row>
    <row r="151" spans="1:2" x14ac:dyDescent="0.2">
      <c r="A151" t="s">
        <v>382</v>
      </c>
      <c r="B151">
        <v>9</v>
      </c>
    </row>
    <row r="152" spans="1:2" x14ac:dyDescent="0.2">
      <c r="A152" t="s">
        <v>383</v>
      </c>
      <c r="B152">
        <v>10</v>
      </c>
    </row>
    <row r="153" spans="1:2" x14ac:dyDescent="0.2">
      <c r="A153" t="s">
        <v>384</v>
      </c>
      <c r="B153">
        <v>11</v>
      </c>
    </row>
    <row r="154" spans="1:2" x14ac:dyDescent="0.2">
      <c r="A154" t="s">
        <v>385</v>
      </c>
      <c r="B154">
        <v>12</v>
      </c>
    </row>
    <row r="155" spans="1:2" x14ac:dyDescent="0.2">
      <c r="A155" t="s">
        <v>386</v>
      </c>
      <c r="B155">
        <v>13</v>
      </c>
    </row>
    <row r="156" spans="1:2" x14ac:dyDescent="0.2">
      <c r="A156" t="s">
        <v>387</v>
      </c>
      <c r="B156">
        <v>14</v>
      </c>
    </row>
    <row r="157" spans="1:2" x14ac:dyDescent="0.2">
      <c r="A157" t="s">
        <v>388</v>
      </c>
      <c r="B157">
        <v>15</v>
      </c>
    </row>
    <row r="158" spans="1:2" x14ac:dyDescent="0.2">
      <c r="A158" t="s">
        <v>389</v>
      </c>
      <c r="B158">
        <v>16</v>
      </c>
    </row>
    <row r="159" spans="1:2" x14ac:dyDescent="0.2">
      <c r="A159" t="s">
        <v>390</v>
      </c>
      <c r="B159">
        <v>17</v>
      </c>
    </row>
    <row r="160" spans="1:2" x14ac:dyDescent="0.2">
      <c r="A160" t="s">
        <v>391</v>
      </c>
      <c r="B160">
        <v>18</v>
      </c>
    </row>
    <row r="161" spans="1:2" x14ac:dyDescent="0.2">
      <c r="A161" t="s">
        <v>392</v>
      </c>
      <c r="B161">
        <v>19</v>
      </c>
    </row>
    <row r="162" spans="1:2" x14ac:dyDescent="0.2">
      <c r="A162" t="s">
        <v>393</v>
      </c>
      <c r="B162">
        <v>20</v>
      </c>
    </row>
    <row r="163" spans="1:2" x14ac:dyDescent="0.2">
      <c r="A163" t="s">
        <v>394</v>
      </c>
      <c r="B163">
        <v>21</v>
      </c>
    </row>
    <row r="164" spans="1:2" x14ac:dyDescent="0.2">
      <c r="A164" t="s">
        <v>395</v>
      </c>
      <c r="B164">
        <v>22</v>
      </c>
    </row>
    <row r="165" spans="1:2" x14ac:dyDescent="0.2">
      <c r="A165" t="s">
        <v>396</v>
      </c>
      <c r="B165">
        <v>23</v>
      </c>
    </row>
    <row r="166" spans="1:2" x14ac:dyDescent="0.2">
      <c r="A166" t="s">
        <v>397</v>
      </c>
      <c r="B166">
        <v>24</v>
      </c>
    </row>
    <row r="167" spans="1:2" x14ac:dyDescent="0.2">
      <c r="A167" t="s">
        <v>398</v>
      </c>
      <c r="B167">
        <v>25</v>
      </c>
    </row>
    <row r="168" spans="1:2" x14ac:dyDescent="0.2">
      <c r="A168" t="s">
        <v>399</v>
      </c>
      <c r="B168">
        <v>26</v>
      </c>
    </row>
    <row r="169" spans="1:2" x14ac:dyDescent="0.2">
      <c r="A169" t="s">
        <v>400</v>
      </c>
      <c r="B169">
        <v>27</v>
      </c>
    </row>
    <row r="170" spans="1:2" x14ac:dyDescent="0.2">
      <c r="A170" t="s">
        <v>401</v>
      </c>
      <c r="B170">
        <v>28</v>
      </c>
    </row>
    <row r="171" spans="1:2" x14ac:dyDescent="0.2">
      <c r="A171" t="s">
        <v>402</v>
      </c>
      <c r="B171">
        <v>29</v>
      </c>
    </row>
    <row r="172" spans="1:2" x14ac:dyDescent="0.2">
      <c r="A172" t="s">
        <v>403</v>
      </c>
      <c r="B172">
        <v>31</v>
      </c>
    </row>
    <row r="173" spans="1:2" x14ac:dyDescent="0.2">
      <c r="A173" t="s">
        <v>404</v>
      </c>
      <c r="B173">
        <v>32</v>
      </c>
    </row>
    <row r="174" spans="1:2" x14ac:dyDescent="0.2">
      <c r="A174" t="s">
        <v>405</v>
      </c>
      <c r="B174">
        <v>33</v>
      </c>
    </row>
    <row r="175" spans="1:2" x14ac:dyDescent="0.2">
      <c r="A175" t="s">
        <v>406</v>
      </c>
      <c r="B175">
        <v>34</v>
      </c>
    </row>
    <row r="176" spans="1:2" x14ac:dyDescent="0.2">
      <c r="A176" t="s">
        <v>407</v>
      </c>
      <c r="B176">
        <v>35</v>
      </c>
    </row>
    <row r="177" spans="1:2" x14ac:dyDescent="0.2">
      <c r="A177" t="s">
        <v>408</v>
      </c>
      <c r="B177">
        <v>36</v>
      </c>
    </row>
    <row r="178" spans="1:2" x14ac:dyDescent="0.2">
      <c r="A178" t="s">
        <v>409</v>
      </c>
      <c r="B178">
        <v>37</v>
      </c>
    </row>
    <row r="179" spans="1:2" x14ac:dyDescent="0.2">
      <c r="A179" t="s">
        <v>410</v>
      </c>
      <c r="B179">
        <v>38</v>
      </c>
    </row>
    <row r="180" spans="1:2" x14ac:dyDescent="0.2">
      <c r="A180" t="s">
        <v>411</v>
      </c>
      <c r="B180">
        <v>39</v>
      </c>
    </row>
    <row r="181" spans="1:2" x14ac:dyDescent="0.2">
      <c r="A181" t="s">
        <v>412</v>
      </c>
      <c r="B181">
        <v>40</v>
      </c>
    </row>
    <row r="182" spans="1:2" x14ac:dyDescent="0.2">
      <c r="A182" t="s">
        <v>413</v>
      </c>
      <c r="B182">
        <v>41</v>
      </c>
    </row>
    <row r="183" spans="1:2" x14ac:dyDescent="0.2">
      <c r="A183" t="s">
        <v>414</v>
      </c>
      <c r="B183">
        <v>42</v>
      </c>
    </row>
    <row r="184" spans="1:2" x14ac:dyDescent="0.2">
      <c r="A184" t="s">
        <v>415</v>
      </c>
      <c r="B184">
        <v>43</v>
      </c>
    </row>
    <row r="185" spans="1:2" x14ac:dyDescent="0.2">
      <c r="A185" t="s">
        <v>416</v>
      </c>
      <c r="B185">
        <v>44</v>
      </c>
    </row>
    <row r="186" spans="1:2" x14ac:dyDescent="0.2">
      <c r="A186" t="s">
        <v>417</v>
      </c>
      <c r="B186">
        <v>45</v>
      </c>
    </row>
    <row r="187" spans="1:2" x14ac:dyDescent="0.2">
      <c r="A187" t="s">
        <v>418</v>
      </c>
      <c r="B187">
        <v>46</v>
      </c>
    </row>
    <row r="188" spans="1:2" x14ac:dyDescent="0.2">
      <c r="A188" t="s">
        <v>419</v>
      </c>
      <c r="B188">
        <v>47</v>
      </c>
    </row>
    <row r="189" spans="1:2" x14ac:dyDescent="0.2">
      <c r="A189" t="s">
        <v>420</v>
      </c>
      <c r="B189">
        <v>48</v>
      </c>
    </row>
    <row r="190" spans="1:2" x14ac:dyDescent="0.2">
      <c r="A190" t="s">
        <v>421</v>
      </c>
      <c r="B190">
        <v>49</v>
      </c>
    </row>
    <row r="191" spans="1:2" x14ac:dyDescent="0.2">
      <c r="A191" t="s">
        <v>422</v>
      </c>
      <c r="B191">
        <v>50</v>
      </c>
    </row>
    <row r="192" spans="1:2" x14ac:dyDescent="0.2">
      <c r="A192" t="s">
        <v>423</v>
      </c>
      <c r="B192">
        <v>51</v>
      </c>
    </row>
    <row r="193" spans="1:2" x14ac:dyDescent="0.2">
      <c r="A193" t="s">
        <v>424</v>
      </c>
      <c r="B193">
        <v>52</v>
      </c>
    </row>
    <row r="194" spans="1:2" x14ac:dyDescent="0.2">
      <c r="A194" t="s">
        <v>425</v>
      </c>
      <c r="B194">
        <v>54</v>
      </c>
    </row>
    <row r="195" spans="1:2" x14ac:dyDescent="0.2">
      <c r="A195" t="s">
        <v>426</v>
      </c>
      <c r="B195">
        <v>55</v>
      </c>
    </row>
    <row r="196" spans="1:2" x14ac:dyDescent="0.2">
      <c r="A196" t="s">
        <v>427</v>
      </c>
      <c r="B196">
        <v>56</v>
      </c>
    </row>
    <row r="197" spans="1:2" x14ac:dyDescent="0.2">
      <c r="A197" t="s">
        <v>428</v>
      </c>
      <c r="B197">
        <v>57</v>
      </c>
    </row>
    <row r="198" spans="1:2" x14ac:dyDescent="0.2">
      <c r="A198" t="s">
        <v>429</v>
      </c>
      <c r="B198">
        <v>58</v>
      </c>
    </row>
    <row r="199" spans="1:2" x14ac:dyDescent="0.2">
      <c r="A199" t="s">
        <v>430</v>
      </c>
      <c r="B199">
        <v>59</v>
      </c>
    </row>
    <row r="200" spans="1:2" x14ac:dyDescent="0.2">
      <c r="A200" t="s">
        <v>432</v>
      </c>
      <c r="B200" t="s">
        <v>433</v>
      </c>
    </row>
    <row r="201" spans="1:2" x14ac:dyDescent="0.2">
      <c r="A201" t="s">
        <v>434</v>
      </c>
      <c r="B201" t="s">
        <v>435</v>
      </c>
    </row>
    <row r="202" spans="1:2" x14ac:dyDescent="0.2">
      <c r="A202" t="s">
        <v>436</v>
      </c>
      <c r="B202" t="s">
        <v>437</v>
      </c>
    </row>
    <row r="203" spans="1:2" x14ac:dyDescent="0.2">
      <c r="A203" t="s">
        <v>438</v>
      </c>
      <c r="B203" t="s">
        <v>439</v>
      </c>
    </row>
    <row r="204" spans="1:2" x14ac:dyDescent="0.2">
      <c r="A204" t="s">
        <v>440</v>
      </c>
      <c r="B204" t="s">
        <v>441</v>
      </c>
    </row>
    <row r="205" spans="1:2" x14ac:dyDescent="0.2">
      <c r="A205" t="s">
        <v>442</v>
      </c>
      <c r="B205" t="s">
        <v>443</v>
      </c>
    </row>
    <row r="206" spans="1:2" x14ac:dyDescent="0.2">
      <c r="A206" t="s">
        <v>444</v>
      </c>
      <c r="B206" t="s">
        <v>445</v>
      </c>
    </row>
    <row r="207" spans="1:2" x14ac:dyDescent="0.2">
      <c r="A207" t="s">
        <v>446</v>
      </c>
      <c r="B207" t="s">
        <v>447</v>
      </c>
    </row>
    <row r="208" spans="1:2" x14ac:dyDescent="0.2">
      <c r="A208" t="s">
        <v>448</v>
      </c>
      <c r="B208" t="s">
        <v>449</v>
      </c>
    </row>
    <row r="209" spans="1:23" x14ac:dyDescent="0.2">
      <c r="A209" t="s">
        <v>454</v>
      </c>
      <c r="B209" t="s">
        <v>59</v>
      </c>
      <c r="C209" t="s">
        <v>65</v>
      </c>
      <c r="D209" t="s">
        <v>43</v>
      </c>
      <c r="E209" t="s">
        <v>49</v>
      </c>
      <c r="F209" t="s">
        <v>53</v>
      </c>
      <c r="G209" t="s">
        <v>37</v>
      </c>
      <c r="H209" t="s">
        <v>61</v>
      </c>
      <c r="I209" t="s">
        <v>77</v>
      </c>
      <c r="J209" t="s">
        <v>13</v>
      </c>
      <c r="K209" t="s">
        <v>73</v>
      </c>
      <c r="L209" t="s">
        <v>47</v>
      </c>
      <c r="M209" t="s">
        <v>67</v>
      </c>
      <c r="N209" t="s">
        <v>21</v>
      </c>
      <c r="O209" t="s">
        <v>63</v>
      </c>
      <c r="P209" t="s">
        <v>69</v>
      </c>
      <c r="Q209" t="s">
        <v>5</v>
      </c>
      <c r="R209" t="s">
        <v>9</v>
      </c>
      <c r="S209" t="s">
        <v>57</v>
      </c>
      <c r="T209" t="s">
        <v>39</v>
      </c>
      <c r="U209" t="s">
        <v>71</v>
      </c>
      <c r="V209" t="s">
        <v>45</v>
      </c>
      <c r="W209" t="s">
        <v>17</v>
      </c>
    </row>
    <row r="210" spans="1:23" x14ac:dyDescent="0.2">
      <c r="A210" t="s">
        <v>456</v>
      </c>
      <c r="B210">
        <v>1</v>
      </c>
    </row>
    <row r="211" spans="1:23" x14ac:dyDescent="0.2">
      <c r="A211" t="s">
        <v>457</v>
      </c>
      <c r="B211">
        <v>2</v>
      </c>
    </row>
    <row r="212" spans="1:23" x14ac:dyDescent="0.2">
      <c r="A212" t="s">
        <v>458</v>
      </c>
      <c r="B212">
        <v>3</v>
      </c>
    </row>
    <row r="213" spans="1:23" x14ac:dyDescent="0.2">
      <c r="A213" t="s">
        <v>459</v>
      </c>
      <c r="B213">
        <v>4</v>
      </c>
    </row>
    <row r="214" spans="1:23" x14ac:dyDescent="0.2">
      <c r="A214" t="s">
        <v>460</v>
      </c>
      <c r="B214">
        <v>5</v>
      </c>
    </row>
    <row r="215" spans="1:23" x14ac:dyDescent="0.2">
      <c r="A215" t="s">
        <v>461</v>
      </c>
      <c r="B215">
        <v>6</v>
      </c>
    </row>
    <row r="216" spans="1:23" x14ac:dyDescent="0.2">
      <c r="A216" t="s">
        <v>462</v>
      </c>
      <c r="B216">
        <v>7</v>
      </c>
    </row>
    <row r="217" spans="1:23" x14ac:dyDescent="0.2">
      <c r="A217" t="s">
        <v>463</v>
      </c>
      <c r="B217">
        <v>9</v>
      </c>
    </row>
    <row r="218" spans="1:23" x14ac:dyDescent="0.2">
      <c r="A218" t="s">
        <v>464</v>
      </c>
      <c r="B218">
        <v>10</v>
      </c>
    </row>
    <row r="219" spans="1:23" x14ac:dyDescent="0.2">
      <c r="A219" t="s">
        <v>465</v>
      </c>
      <c r="B219">
        <v>11</v>
      </c>
    </row>
    <row r="220" spans="1:23" x14ac:dyDescent="0.2">
      <c r="A220" t="s">
        <v>466</v>
      </c>
      <c r="B220">
        <v>12</v>
      </c>
    </row>
    <row r="221" spans="1:23" x14ac:dyDescent="0.2">
      <c r="A221" t="s">
        <v>467</v>
      </c>
      <c r="B221">
        <v>13</v>
      </c>
    </row>
    <row r="222" spans="1:23" x14ac:dyDescent="0.2">
      <c r="A222" t="s">
        <v>468</v>
      </c>
      <c r="B222">
        <v>14</v>
      </c>
    </row>
    <row r="223" spans="1:23" x14ac:dyDescent="0.2">
      <c r="A223" t="s">
        <v>469</v>
      </c>
      <c r="B223">
        <v>15</v>
      </c>
    </row>
    <row r="224" spans="1:23" x14ac:dyDescent="0.2">
      <c r="A224" t="s">
        <v>470</v>
      </c>
      <c r="B224">
        <v>16</v>
      </c>
    </row>
    <row r="225" spans="1:2" x14ac:dyDescent="0.2">
      <c r="A225" t="s">
        <v>471</v>
      </c>
      <c r="B225">
        <v>17</v>
      </c>
    </row>
    <row r="226" spans="1:2" x14ac:dyDescent="0.2">
      <c r="A226" t="s">
        <v>472</v>
      </c>
      <c r="B226">
        <v>18</v>
      </c>
    </row>
    <row r="227" spans="1:2" x14ac:dyDescent="0.2">
      <c r="A227" t="s">
        <v>473</v>
      </c>
      <c r="B227">
        <v>19</v>
      </c>
    </row>
    <row r="228" spans="1:2" x14ac:dyDescent="0.2">
      <c r="A228" t="s">
        <v>474</v>
      </c>
      <c r="B228">
        <v>20</v>
      </c>
    </row>
    <row r="229" spans="1:2" x14ac:dyDescent="0.2">
      <c r="A229" t="s">
        <v>475</v>
      </c>
      <c r="B229">
        <v>21</v>
      </c>
    </row>
    <row r="230" spans="1:2" x14ac:dyDescent="0.2">
      <c r="A230" t="s">
        <v>476</v>
      </c>
      <c r="B230">
        <v>22</v>
      </c>
    </row>
    <row r="231" spans="1:2" x14ac:dyDescent="0.2">
      <c r="A231" t="s">
        <v>477</v>
      </c>
      <c r="B231">
        <v>23</v>
      </c>
    </row>
    <row r="232" spans="1:2" x14ac:dyDescent="0.2">
      <c r="A232" t="s">
        <v>478</v>
      </c>
      <c r="B232">
        <v>24</v>
      </c>
    </row>
    <row r="233" spans="1:2" x14ac:dyDescent="0.2">
      <c r="A233" t="s">
        <v>479</v>
      </c>
      <c r="B233">
        <v>25</v>
      </c>
    </row>
    <row r="234" spans="1:2" x14ac:dyDescent="0.2">
      <c r="A234" t="s">
        <v>480</v>
      </c>
      <c r="B234">
        <v>26</v>
      </c>
    </row>
    <row r="235" spans="1:2" x14ac:dyDescent="0.2">
      <c r="A235" t="s">
        <v>481</v>
      </c>
      <c r="B235">
        <v>27</v>
      </c>
    </row>
    <row r="236" spans="1:2" x14ac:dyDescent="0.2">
      <c r="A236" t="s">
        <v>482</v>
      </c>
      <c r="B236">
        <v>28</v>
      </c>
    </row>
    <row r="237" spans="1:2" x14ac:dyDescent="0.2">
      <c r="A237" t="s">
        <v>483</v>
      </c>
      <c r="B237">
        <v>29</v>
      </c>
    </row>
    <row r="238" spans="1:2" x14ac:dyDescent="0.2">
      <c r="A238" t="s">
        <v>484</v>
      </c>
      <c r="B238">
        <v>30</v>
      </c>
    </row>
    <row r="239" spans="1:2" x14ac:dyDescent="0.2">
      <c r="A239" t="s">
        <v>485</v>
      </c>
      <c r="B239">
        <v>31</v>
      </c>
    </row>
    <row r="240" spans="1:2" x14ac:dyDescent="0.2">
      <c r="A240" t="s">
        <v>486</v>
      </c>
      <c r="B240">
        <v>33</v>
      </c>
    </row>
    <row r="241" spans="1:2" x14ac:dyDescent="0.2">
      <c r="A241" t="s">
        <v>487</v>
      </c>
      <c r="B241">
        <v>34</v>
      </c>
    </row>
    <row r="242" spans="1:2" x14ac:dyDescent="0.2">
      <c r="A242" t="s">
        <v>488</v>
      </c>
      <c r="B242">
        <v>35</v>
      </c>
    </row>
    <row r="243" spans="1:2" x14ac:dyDescent="0.2">
      <c r="A243" t="s">
        <v>489</v>
      </c>
      <c r="B243">
        <v>36</v>
      </c>
    </row>
    <row r="244" spans="1:2" x14ac:dyDescent="0.2">
      <c r="A244" t="s">
        <v>490</v>
      </c>
      <c r="B244">
        <v>37</v>
      </c>
    </row>
    <row r="245" spans="1:2" x14ac:dyDescent="0.2">
      <c r="A245" t="s">
        <v>491</v>
      </c>
      <c r="B245">
        <v>38</v>
      </c>
    </row>
    <row r="246" spans="1:2" x14ac:dyDescent="0.2">
      <c r="A246" t="s">
        <v>492</v>
      </c>
      <c r="B246">
        <v>39</v>
      </c>
    </row>
    <row r="247" spans="1:2" x14ac:dyDescent="0.2">
      <c r="A247" t="s">
        <v>493</v>
      </c>
      <c r="B247">
        <v>40</v>
      </c>
    </row>
    <row r="248" spans="1:2" x14ac:dyDescent="0.2">
      <c r="A248" t="s">
        <v>494</v>
      </c>
      <c r="B248">
        <v>41</v>
      </c>
    </row>
    <row r="249" spans="1:2" x14ac:dyDescent="0.2">
      <c r="A249" t="s">
        <v>495</v>
      </c>
      <c r="B249">
        <v>42</v>
      </c>
    </row>
    <row r="250" spans="1:2" x14ac:dyDescent="0.2">
      <c r="A250" t="s">
        <v>496</v>
      </c>
      <c r="B250">
        <v>43</v>
      </c>
    </row>
    <row r="251" spans="1:2" x14ac:dyDescent="0.2">
      <c r="A251" t="s">
        <v>497</v>
      </c>
      <c r="B251">
        <v>44</v>
      </c>
    </row>
    <row r="252" spans="1:2" x14ac:dyDescent="0.2">
      <c r="A252" t="s">
        <v>498</v>
      </c>
      <c r="B252">
        <v>45</v>
      </c>
    </row>
    <row r="253" spans="1:2" x14ac:dyDescent="0.2">
      <c r="A253" t="s">
        <v>499</v>
      </c>
      <c r="B253">
        <v>46</v>
      </c>
    </row>
    <row r="254" spans="1:2" x14ac:dyDescent="0.2">
      <c r="A254" t="s">
        <v>500</v>
      </c>
      <c r="B254">
        <v>47</v>
      </c>
    </row>
    <row r="255" spans="1:2" x14ac:dyDescent="0.2">
      <c r="A255" t="s">
        <v>501</v>
      </c>
      <c r="B255">
        <v>48</v>
      </c>
    </row>
    <row r="256" spans="1:2" x14ac:dyDescent="0.2">
      <c r="A256" t="s">
        <v>502</v>
      </c>
      <c r="B256">
        <v>49</v>
      </c>
    </row>
    <row r="257" spans="1:2" x14ac:dyDescent="0.2">
      <c r="A257" t="s">
        <v>503</v>
      </c>
      <c r="B257">
        <v>50</v>
      </c>
    </row>
    <row r="258" spans="1:2" x14ac:dyDescent="0.2">
      <c r="A258" t="s">
        <v>504</v>
      </c>
      <c r="B258">
        <v>51</v>
      </c>
    </row>
    <row r="259" spans="1:2" x14ac:dyDescent="0.2">
      <c r="A259" t="s">
        <v>505</v>
      </c>
      <c r="B259">
        <v>52</v>
      </c>
    </row>
    <row r="260" spans="1:2" x14ac:dyDescent="0.2">
      <c r="A260" t="s">
        <v>506</v>
      </c>
      <c r="B260">
        <v>53</v>
      </c>
    </row>
    <row r="261" spans="1:2" x14ac:dyDescent="0.2">
      <c r="A261" t="s">
        <v>507</v>
      </c>
      <c r="B261">
        <v>54</v>
      </c>
    </row>
    <row r="262" spans="1:2" x14ac:dyDescent="0.2">
      <c r="A262" t="s">
        <v>508</v>
      </c>
      <c r="B262">
        <v>55</v>
      </c>
    </row>
    <row r="263" spans="1:2" x14ac:dyDescent="0.2">
      <c r="A263" t="s">
        <v>509</v>
      </c>
      <c r="B263">
        <v>57</v>
      </c>
    </row>
    <row r="264" spans="1:2" x14ac:dyDescent="0.2">
      <c r="A264" t="s">
        <v>510</v>
      </c>
      <c r="B264">
        <v>58</v>
      </c>
    </row>
    <row r="265" spans="1:2" x14ac:dyDescent="0.2">
      <c r="A265" t="s">
        <v>511</v>
      </c>
      <c r="B265">
        <v>59</v>
      </c>
    </row>
    <row r="266" spans="1:2" x14ac:dyDescent="0.2">
      <c r="A266" t="s">
        <v>512</v>
      </c>
      <c r="B266">
        <v>60</v>
      </c>
    </row>
    <row r="267" spans="1:2" x14ac:dyDescent="0.2">
      <c r="A267" t="s">
        <v>513</v>
      </c>
      <c r="B267">
        <v>62</v>
      </c>
    </row>
    <row r="268" spans="1:2" x14ac:dyDescent="0.2">
      <c r="A268" t="s">
        <v>514</v>
      </c>
      <c r="B268">
        <v>63</v>
      </c>
    </row>
    <row r="269" spans="1:2" x14ac:dyDescent="0.2">
      <c r="A269" t="s">
        <v>515</v>
      </c>
      <c r="B269">
        <v>64</v>
      </c>
    </row>
    <row r="270" spans="1:2" x14ac:dyDescent="0.2">
      <c r="A270" t="s">
        <v>516</v>
      </c>
      <c r="B270">
        <v>65</v>
      </c>
    </row>
    <row r="271" spans="1:2" x14ac:dyDescent="0.2">
      <c r="A271" t="s">
        <v>517</v>
      </c>
      <c r="B271">
        <v>66</v>
      </c>
    </row>
    <row r="272" spans="1:2" x14ac:dyDescent="0.2">
      <c r="A272" t="s">
        <v>518</v>
      </c>
      <c r="B272">
        <v>68</v>
      </c>
    </row>
    <row r="273" spans="1:24" x14ac:dyDescent="0.2">
      <c r="A273" t="s">
        <v>519</v>
      </c>
      <c r="B273">
        <v>69</v>
      </c>
    </row>
    <row r="274" spans="1:24" x14ac:dyDescent="0.2">
      <c r="A274" t="s">
        <v>520</v>
      </c>
      <c r="B274">
        <v>70</v>
      </c>
    </row>
    <row r="275" spans="1:24" x14ac:dyDescent="0.2">
      <c r="A275" t="s">
        <v>521</v>
      </c>
      <c r="B275">
        <v>71</v>
      </c>
    </row>
    <row r="276" spans="1:24" x14ac:dyDescent="0.2">
      <c r="A276" t="s">
        <v>522</v>
      </c>
      <c r="B276">
        <v>72</v>
      </c>
    </row>
    <row r="277" spans="1:24" x14ac:dyDescent="0.2">
      <c r="A277" t="s">
        <v>523</v>
      </c>
      <c r="B277" t="s">
        <v>524</v>
      </c>
    </row>
    <row r="278" spans="1:24" x14ac:dyDescent="0.2">
      <c r="A278" t="s">
        <v>525</v>
      </c>
      <c r="B278" t="s">
        <v>526</v>
      </c>
    </row>
    <row r="279" spans="1:24" x14ac:dyDescent="0.2">
      <c r="A279" t="s">
        <v>527</v>
      </c>
      <c r="B279" t="s">
        <v>528</v>
      </c>
    </row>
    <row r="280" spans="1:24" x14ac:dyDescent="0.2">
      <c r="A280" t="s">
        <v>529</v>
      </c>
      <c r="B280" t="s">
        <v>530</v>
      </c>
    </row>
    <row r="281" spans="1:24" x14ac:dyDescent="0.2">
      <c r="A281" t="s">
        <v>531</v>
      </c>
      <c r="B281" t="s">
        <v>532</v>
      </c>
    </row>
    <row r="282" spans="1:24" x14ac:dyDescent="0.2">
      <c r="A282" t="s">
        <v>533</v>
      </c>
      <c r="B282" t="s">
        <v>534</v>
      </c>
    </row>
    <row r="283" spans="1:24" x14ac:dyDescent="0.2">
      <c r="A283" t="s">
        <v>535</v>
      </c>
      <c r="B283" t="s">
        <v>536</v>
      </c>
    </row>
    <row r="284" spans="1:24" x14ac:dyDescent="0.2">
      <c r="A284" t="s">
        <v>537</v>
      </c>
      <c r="B284" t="s">
        <v>538</v>
      </c>
    </row>
    <row r="285" spans="1:24" x14ac:dyDescent="0.2">
      <c r="A285" t="s">
        <v>539</v>
      </c>
      <c r="B285" t="s">
        <v>540</v>
      </c>
    </row>
    <row r="286" spans="1:24" x14ac:dyDescent="0.2">
      <c r="A286" t="s">
        <v>545</v>
      </c>
      <c r="B286" t="s">
        <v>23</v>
      </c>
      <c r="C286" t="s">
        <v>21</v>
      </c>
      <c r="D286" t="s">
        <v>13</v>
      </c>
      <c r="E286" t="s">
        <v>17</v>
      </c>
      <c r="F286" t="s">
        <v>47</v>
      </c>
      <c r="G286" t="s">
        <v>19</v>
      </c>
      <c r="H286" t="s">
        <v>61</v>
      </c>
      <c r="I286" t="s">
        <v>5</v>
      </c>
      <c r="J286" t="s">
        <v>49</v>
      </c>
      <c r="K286" t="s">
        <v>65</v>
      </c>
      <c r="L286" t="s">
        <v>57</v>
      </c>
      <c r="M286" t="s">
        <v>9</v>
      </c>
      <c r="N286" t="s">
        <v>73</v>
      </c>
      <c r="O286" t="s">
        <v>53</v>
      </c>
      <c r="P286" t="s">
        <v>67</v>
      </c>
      <c r="Q286" t="s">
        <v>63</v>
      </c>
      <c r="R286" t="s">
        <v>69</v>
      </c>
      <c r="S286" t="s">
        <v>39</v>
      </c>
      <c r="T286" t="s">
        <v>71</v>
      </c>
      <c r="U286" t="s">
        <v>45</v>
      </c>
      <c r="V286" t="s">
        <v>37</v>
      </c>
      <c r="W286" t="s">
        <v>43</v>
      </c>
      <c r="X286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M19"/>
  <sheetViews>
    <sheetView zoomScale="85" zoomScaleNormal="85" workbookViewId="0">
      <pane xSplit="2" ySplit="4" topLeftCell="M6" activePane="bottomRight" state="frozen"/>
      <selection pane="topRight" activeCell="C1" sqref="C1"/>
      <selection pane="bottomLeft" activeCell="A5" sqref="A5"/>
      <selection pane="bottomRight" activeCell="AE2" sqref="AE2:AE3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60" max="60" width="1.6640625" customWidth="1"/>
    <col min="62" max="62" width="8.6640625" customWidth="1"/>
    <col min="63" max="63" width="9.5" customWidth="1"/>
    <col min="64" max="64" width="10.1640625" customWidth="1"/>
  </cols>
  <sheetData>
    <row r="1" spans="1:65" x14ac:dyDescent="0.2">
      <c r="A1" s="70" t="s">
        <v>351</v>
      </c>
      <c r="B1" s="70"/>
      <c r="C1" s="70"/>
      <c r="D1" s="70"/>
      <c r="E1" s="70"/>
      <c r="F1" s="70"/>
      <c r="H1" s="65" t="s">
        <v>551</v>
      </c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E1" s="66" t="s">
        <v>552</v>
      </c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</row>
    <row r="2" spans="1:65" ht="30" customHeight="1" thickBot="1" x14ac:dyDescent="0.25">
      <c r="A2" s="69" t="s">
        <v>91</v>
      </c>
      <c r="B2" s="73" t="s">
        <v>94</v>
      </c>
      <c r="C2" s="69" t="s">
        <v>98</v>
      </c>
      <c r="D2" s="73" t="s">
        <v>101</v>
      </c>
      <c r="E2" s="69" t="s">
        <v>104</v>
      </c>
      <c r="F2" s="73" t="s">
        <v>107</v>
      </c>
      <c r="H2" s="69" t="s">
        <v>294</v>
      </c>
      <c r="I2" s="73" t="s">
        <v>110</v>
      </c>
      <c r="J2" s="72" t="s">
        <v>113</v>
      </c>
      <c r="K2" s="72"/>
      <c r="L2" s="72"/>
      <c r="M2" s="72"/>
      <c r="N2" s="69" t="s">
        <v>126</v>
      </c>
      <c r="O2" s="73" t="s">
        <v>129</v>
      </c>
      <c r="P2" s="69" t="s">
        <v>22</v>
      </c>
      <c r="Q2" s="71" t="s">
        <v>136</v>
      </c>
      <c r="R2" s="71"/>
      <c r="S2" s="71"/>
      <c r="T2" s="71"/>
      <c r="U2" s="72" t="s">
        <v>147</v>
      </c>
      <c r="V2" s="72"/>
      <c r="W2" s="71" t="s">
        <v>154</v>
      </c>
      <c r="X2" s="71"/>
      <c r="Y2" s="71"/>
      <c r="Z2" s="72" t="s">
        <v>164</v>
      </c>
      <c r="AA2" s="72"/>
      <c r="AB2" s="71" t="s">
        <v>171</v>
      </c>
      <c r="AC2" s="71"/>
      <c r="AE2" s="69" t="s">
        <v>294</v>
      </c>
      <c r="AF2" s="73" t="s">
        <v>110</v>
      </c>
      <c r="AG2" s="72" t="s">
        <v>113</v>
      </c>
      <c r="AH2" s="72"/>
      <c r="AI2" s="72"/>
      <c r="AJ2" s="72"/>
      <c r="AK2" s="69" t="s">
        <v>186</v>
      </c>
      <c r="AL2" s="73" t="s">
        <v>129</v>
      </c>
      <c r="AM2" s="69" t="s">
        <v>22</v>
      </c>
      <c r="AN2" s="71" t="s">
        <v>136</v>
      </c>
      <c r="AO2" s="71"/>
      <c r="AP2" s="71"/>
      <c r="AQ2" s="71"/>
      <c r="AR2" s="72" t="s">
        <v>147</v>
      </c>
      <c r="AS2" s="72"/>
      <c r="AT2" s="71" t="s">
        <v>154</v>
      </c>
      <c r="AU2" s="71"/>
      <c r="AV2" s="71"/>
      <c r="AW2" s="72" t="s">
        <v>164</v>
      </c>
      <c r="AX2" s="72"/>
      <c r="AY2" s="71" t="s">
        <v>171</v>
      </c>
      <c r="AZ2" s="71"/>
      <c r="BB2" s="72" t="s">
        <v>341</v>
      </c>
      <c r="BC2" s="72"/>
      <c r="BD2" s="72"/>
      <c r="BE2" s="72"/>
      <c r="BF2" s="73" t="s">
        <v>224</v>
      </c>
      <c r="BG2" s="69" t="s">
        <v>224</v>
      </c>
      <c r="BI2" s="67" t="s">
        <v>547</v>
      </c>
      <c r="BJ2" s="68" t="s">
        <v>548</v>
      </c>
      <c r="BK2" s="68"/>
      <c r="BL2" s="68"/>
      <c r="BM2" s="68"/>
    </row>
    <row r="3" spans="1:65" ht="33" thickBot="1" x14ac:dyDescent="0.25">
      <c r="A3" s="69"/>
      <c r="B3" s="73"/>
      <c r="C3" s="69"/>
      <c r="D3" s="73"/>
      <c r="E3" s="69"/>
      <c r="F3" s="73"/>
      <c r="H3" s="69"/>
      <c r="I3" s="73"/>
      <c r="J3" s="11" t="s">
        <v>114</v>
      </c>
      <c r="K3" s="11" t="s">
        <v>117</v>
      </c>
      <c r="L3" s="11" t="s">
        <v>120</v>
      </c>
      <c r="M3" s="11" t="s">
        <v>123</v>
      </c>
      <c r="N3" s="69"/>
      <c r="O3" s="73"/>
      <c r="P3" s="69"/>
      <c r="Q3" s="12" t="s">
        <v>114</v>
      </c>
      <c r="R3" s="12" t="s">
        <v>120</v>
      </c>
      <c r="S3" s="12" t="s">
        <v>141</v>
      </c>
      <c r="T3" s="12" t="s">
        <v>144</v>
      </c>
      <c r="U3" s="11" t="s">
        <v>148</v>
      </c>
      <c r="V3" s="11" t="s">
        <v>151</v>
      </c>
      <c r="W3" s="12" t="s">
        <v>155</v>
      </c>
      <c r="X3" s="12" t="s">
        <v>158</v>
      </c>
      <c r="Y3" s="12" t="s">
        <v>161</v>
      </c>
      <c r="Z3" s="11" t="s">
        <v>165</v>
      </c>
      <c r="AA3" s="11" t="s">
        <v>168</v>
      </c>
      <c r="AB3" s="12" t="s">
        <v>165</v>
      </c>
      <c r="AC3" s="12" t="s">
        <v>168</v>
      </c>
      <c r="AE3" s="69"/>
      <c r="AF3" s="73"/>
      <c r="AG3" s="11" t="s">
        <v>114</v>
      </c>
      <c r="AH3" s="11" t="s">
        <v>117</v>
      </c>
      <c r="AI3" s="11" t="s">
        <v>120</v>
      </c>
      <c r="AJ3" s="11" t="s">
        <v>123</v>
      </c>
      <c r="AK3" s="69"/>
      <c r="AL3" s="73"/>
      <c r="AM3" s="69"/>
      <c r="AN3" s="12" t="s">
        <v>114</v>
      </c>
      <c r="AO3" s="12" t="s">
        <v>120</v>
      </c>
      <c r="AP3" s="12" t="s">
        <v>141</v>
      </c>
      <c r="AQ3" s="12" t="s">
        <v>144</v>
      </c>
      <c r="AR3" s="11" t="s">
        <v>148</v>
      </c>
      <c r="AS3" s="11" t="s">
        <v>151</v>
      </c>
      <c r="AT3" s="12" t="s">
        <v>155</v>
      </c>
      <c r="AU3" s="12" t="s">
        <v>158</v>
      </c>
      <c r="AV3" s="12" t="s">
        <v>161</v>
      </c>
      <c r="AW3" s="11" t="s">
        <v>165</v>
      </c>
      <c r="AX3" s="11" t="s">
        <v>168</v>
      </c>
      <c r="AY3" s="12" t="s">
        <v>165</v>
      </c>
      <c r="AZ3" s="12" t="s">
        <v>168</v>
      </c>
      <c r="BB3" s="11" t="s">
        <v>114</v>
      </c>
      <c r="BC3" s="11" t="s">
        <v>117</v>
      </c>
      <c r="BD3" s="11" t="s">
        <v>120</v>
      </c>
      <c r="BE3" s="11" t="s">
        <v>144</v>
      </c>
      <c r="BF3" s="73"/>
      <c r="BG3" s="69"/>
      <c r="BI3" s="67"/>
      <c r="BJ3" s="58" t="s">
        <v>114</v>
      </c>
      <c r="BK3" s="58" t="s">
        <v>120</v>
      </c>
      <c r="BL3" s="58" t="s">
        <v>141</v>
      </c>
      <c r="BM3" s="58" t="s">
        <v>144</v>
      </c>
    </row>
    <row r="4" spans="1:65" ht="127" hidden="1" thickBot="1" x14ac:dyDescent="0.25">
      <c r="A4" s="13" t="s">
        <v>92</v>
      </c>
      <c r="B4" s="14" t="s">
        <v>95</v>
      </c>
      <c r="C4" s="13" t="s">
        <v>99</v>
      </c>
      <c r="D4" s="14" t="s">
        <v>102</v>
      </c>
      <c r="E4" s="13" t="s">
        <v>105</v>
      </c>
      <c r="F4" s="14" t="s">
        <v>108</v>
      </c>
      <c r="H4" s="13" t="s">
        <v>295</v>
      </c>
      <c r="I4" s="14" t="s">
        <v>111</v>
      </c>
      <c r="J4" s="13" t="s">
        <v>115</v>
      </c>
      <c r="K4" s="13" t="s">
        <v>118</v>
      </c>
      <c r="L4" s="13" t="s">
        <v>121</v>
      </c>
      <c r="M4" s="13" t="s">
        <v>124</v>
      </c>
      <c r="N4" s="13" t="s">
        <v>127</v>
      </c>
      <c r="O4" s="14" t="s">
        <v>130</v>
      </c>
      <c r="P4" s="13" t="s">
        <v>132</v>
      </c>
      <c r="Q4" s="14" t="s">
        <v>137</v>
      </c>
      <c r="R4" s="14" t="s">
        <v>139</v>
      </c>
      <c r="S4" s="14" t="s">
        <v>142</v>
      </c>
      <c r="T4" s="14" t="s">
        <v>145</v>
      </c>
      <c r="U4" s="13" t="s">
        <v>149</v>
      </c>
      <c r="V4" s="13" t="s">
        <v>152</v>
      </c>
      <c r="W4" s="14" t="s">
        <v>156</v>
      </c>
      <c r="X4" s="14" t="s">
        <v>159</v>
      </c>
      <c r="Y4" s="14" t="s">
        <v>162</v>
      </c>
      <c r="Z4" s="13" t="s">
        <v>166</v>
      </c>
      <c r="AA4" s="13" t="s">
        <v>169</v>
      </c>
      <c r="AB4" s="14" t="s">
        <v>172</v>
      </c>
      <c r="AC4" s="14" t="s">
        <v>174</v>
      </c>
      <c r="AE4" s="13" t="s">
        <v>318</v>
      </c>
      <c r="AF4" s="14" t="s">
        <v>176</v>
      </c>
      <c r="AG4" s="13" t="s">
        <v>178</v>
      </c>
      <c r="AH4" s="13" t="s">
        <v>180</v>
      </c>
      <c r="AI4" s="13" t="s">
        <v>182</v>
      </c>
      <c r="AJ4" s="13" t="s">
        <v>184</v>
      </c>
      <c r="AK4" s="13" t="s">
        <v>187</v>
      </c>
      <c r="AL4" s="14" t="s">
        <v>189</v>
      </c>
      <c r="AM4" s="13" t="s">
        <v>191</v>
      </c>
      <c r="AN4" s="14" t="s">
        <v>195</v>
      </c>
      <c r="AO4" s="14" t="s">
        <v>197</v>
      </c>
      <c r="AP4" s="14" t="s">
        <v>199</v>
      </c>
      <c r="AQ4" s="14" t="s">
        <v>201</v>
      </c>
      <c r="AR4" s="13" t="s">
        <v>203</v>
      </c>
      <c r="AS4" s="13" t="s">
        <v>205</v>
      </c>
      <c r="AT4" s="14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4" t="s">
        <v>217</v>
      </c>
      <c r="AZ4" s="14" t="s">
        <v>219</v>
      </c>
      <c r="BB4" s="13" t="s">
        <v>342</v>
      </c>
      <c r="BC4" s="13" t="s">
        <v>221</v>
      </c>
      <c r="BD4" s="13" t="s">
        <v>345</v>
      </c>
      <c r="BE4" s="13" t="s">
        <v>347</v>
      </c>
      <c r="BF4" s="14" t="s">
        <v>225</v>
      </c>
      <c r="BG4" s="13" t="s">
        <v>227</v>
      </c>
      <c r="BI4" s="4"/>
      <c r="BJ4" s="4"/>
      <c r="BK4" s="4"/>
      <c r="BL4" s="4"/>
      <c r="BM4" s="4"/>
    </row>
    <row r="5" spans="1:65" collapsed="1" x14ac:dyDescent="0.2">
      <c r="A5" s="15" t="s">
        <v>248</v>
      </c>
      <c r="B5" s="15" t="s">
        <v>247</v>
      </c>
      <c r="C5" s="15">
        <v>24964341</v>
      </c>
      <c r="D5" s="16">
        <v>10</v>
      </c>
      <c r="E5" s="16">
        <v>32</v>
      </c>
      <c r="F5" s="16">
        <v>30</v>
      </c>
      <c r="H5" s="24">
        <f t="shared" ref="H5:H11" si="0">IF(ISBLANK(Q5),"·",Q5/(C5*(D5*3+IF(AND(ISNUMBER(T5),T5&gt;0),24,0))))</f>
        <v>0.16452052623854635</v>
      </c>
      <c r="I5" s="17">
        <f t="shared" ref="I5:I11" si="1">IF(OR(ISBLANK(Q5),ISBLANK(F5)),"·",Q5*F5/E5/1000000)</f>
        <v>207.92429250000001</v>
      </c>
      <c r="J5" s="18">
        <f t="shared" ref="J5:J11" si="2">IF(ISBLANK(Q5),"·",Q5/C5)</f>
        <v>8.884108416881503</v>
      </c>
      <c r="K5" s="18">
        <f t="shared" ref="K5:K11" si="3">IF(N5="","·",N5/C5)</f>
        <v>1.3893622106828296</v>
      </c>
      <c r="L5" s="18">
        <f t="shared" ref="L5:L11" si="4">IF(R5="","·",R5/C5)</f>
        <v>1.3041674122301086</v>
      </c>
      <c r="M5" s="18">
        <f t="shared" ref="M5:M11" si="5">IF(ISBLANK(T5),"·",T5/C5)</f>
        <v>7.4947462061986734</v>
      </c>
      <c r="N5" s="15">
        <f t="shared" ref="N5:N11" si="6">IF(OR(ISBLANK(R5),ISBLANK(S5)),"",R5+S5)</f>
        <v>34684512</v>
      </c>
      <c r="O5" s="18">
        <f t="shared" ref="O5:O11" si="7">IF(ISBLANK(Q5),"·",Q5/P5)</f>
        <v>8.884108416881503</v>
      </c>
      <c r="P5" s="19">
        <v>24964341</v>
      </c>
      <c r="Q5" s="20">
        <v>221785912</v>
      </c>
      <c r="R5" s="20">
        <v>32557680</v>
      </c>
      <c r="S5" s="20">
        <v>2126832</v>
      </c>
      <c r="T5" s="20">
        <v>187101400</v>
      </c>
      <c r="U5" s="21"/>
      <c r="V5" s="21"/>
      <c r="W5" s="21"/>
      <c r="X5" s="21"/>
      <c r="Y5" s="21"/>
      <c r="Z5" s="22">
        <v>3227.02</v>
      </c>
      <c r="AA5" s="22">
        <v>3452.17</v>
      </c>
      <c r="AB5" s="22">
        <v>4.3940000000000001</v>
      </c>
      <c r="AC5" s="22">
        <v>22.989000000000001</v>
      </c>
      <c r="AE5" s="24">
        <f t="shared" ref="AE5:AE11" si="8">IF(ISBLANK(Q5),"·",Q5/(C5*(D5*3+IF(AND(ISNUMBER(T5),T5&gt;0),24,0))))</f>
        <v>0.16452052623854635</v>
      </c>
      <c r="AF5" s="17">
        <f t="shared" ref="AF5:AF11" si="9">IF(OR(ISBLANK(AN5),ISBLANK(F5)),"·",AN5*F5/E5/1000000)</f>
        <v>207.8131875</v>
      </c>
      <c r="AG5" s="18">
        <f t="shared" ref="AG5:AG11" si="10">IF(ISBLANK(AN5),"·",AN5/C5)</f>
        <v>8.8793611655921545</v>
      </c>
      <c r="AH5" s="18">
        <f t="shared" ref="AH5:AH11" si="11">IF(AK5="","·",AK5/C5)</f>
        <v>1.3901380372908703</v>
      </c>
      <c r="AI5" s="18">
        <f t="shared" ref="AI5:AI11" si="12">IF(AO5="","·",AO5/C5)</f>
        <v>1.3056902243083444</v>
      </c>
      <c r="AJ5" s="18">
        <f t="shared" ref="AJ5:AJ11" si="13">IF(ISBLANK(AQ5),"·",AQ5/C5)</f>
        <v>7.4892231283012842</v>
      </c>
      <c r="AK5" s="15">
        <f t="shared" ref="AK5:AK11" si="14">IF(OR(ISBLANK(AO5),ISBLANK(AP5)),"",AO5+AP5)</f>
        <v>34703880</v>
      </c>
      <c r="AL5" s="18">
        <f t="shared" ref="AL5:AL11" si="15">IF(ISBLANK(AN5),"·",AN5/AM5)</f>
        <v>8.8793611655921545</v>
      </c>
      <c r="AM5" s="19">
        <v>24964341</v>
      </c>
      <c r="AN5" s="20">
        <v>221667400</v>
      </c>
      <c r="AO5" s="20">
        <v>32595696</v>
      </c>
      <c r="AP5" s="20">
        <v>2108184</v>
      </c>
      <c r="AQ5" s="20">
        <v>186963520</v>
      </c>
      <c r="AR5" s="21"/>
      <c r="AS5" s="21"/>
      <c r="AT5" s="21"/>
      <c r="AU5" s="21"/>
      <c r="AV5" s="21"/>
      <c r="AW5" s="22">
        <v>3244.05</v>
      </c>
      <c r="AX5" s="22">
        <v>3493.94</v>
      </c>
      <c r="AY5" s="22">
        <v>4.3860000000000001</v>
      </c>
      <c r="AZ5" s="22">
        <v>22.898</v>
      </c>
      <c r="BB5" s="23">
        <f t="shared" ref="BB5:BB15" si="16">AG5/J5</f>
        <v>0.99946564685316897</v>
      </c>
      <c r="BC5" s="23">
        <f t="shared" ref="BC5:BC15" si="17">AH5/K5</f>
        <v>1.0005584048580531</v>
      </c>
      <c r="BD5" s="23">
        <f t="shared" ref="BD5:BD15" si="18">AI5/L5</f>
        <v>1.0011676507662708</v>
      </c>
      <c r="BE5" s="23">
        <f t="shared" ref="BE5:BE15" si="19">AJ5/M5</f>
        <v>0.99926307339228893</v>
      </c>
      <c r="BF5" s="24">
        <f t="shared" ref="BF5:BF11" si="20">(AK5/AN5) - (N5/Q5)</f>
        <v>1.7098489959957441E-4</v>
      </c>
      <c r="BG5" s="24">
        <f t="array" ref="BG5">AVERAGE(AK5:AK5/AN5:AN5) - AVERAGE(N5:N5/Q5:Q5)</f>
        <v>1.7098489959957441E-4</v>
      </c>
      <c r="BI5" s="4">
        <f>AM5-P5</f>
        <v>0</v>
      </c>
      <c r="BJ5" s="4">
        <f t="shared" ref="BJ5:BM11" si="21">AN5-Q5</f>
        <v>-118512</v>
      </c>
      <c r="BK5" s="4">
        <f t="shared" si="21"/>
        <v>38016</v>
      </c>
      <c r="BL5" s="4">
        <f t="shared" si="21"/>
        <v>-18648</v>
      </c>
      <c r="BM5" s="4">
        <f t="shared" si="21"/>
        <v>-137880</v>
      </c>
    </row>
    <row r="6" spans="1:65" collapsed="1" x14ac:dyDescent="0.2">
      <c r="A6" s="25"/>
      <c r="B6" s="25" t="s">
        <v>251</v>
      </c>
      <c r="C6" s="25">
        <v>22654789</v>
      </c>
      <c r="D6" s="26">
        <v>10</v>
      </c>
      <c r="E6" s="26">
        <v>32</v>
      </c>
      <c r="F6" s="26">
        <v>30</v>
      </c>
      <c r="H6" s="34">
        <f t="shared" si="0"/>
        <v>0.2363510017274526</v>
      </c>
      <c r="I6" s="27">
        <f t="shared" si="1"/>
        <v>271.07065499999999</v>
      </c>
      <c r="J6" s="28">
        <f t="shared" si="2"/>
        <v>12.76295409328244</v>
      </c>
      <c r="K6" s="28">
        <f t="shared" si="3"/>
        <v>1.7044046625196996</v>
      </c>
      <c r="L6" s="28">
        <f t="shared" si="4"/>
        <v>1.5568300371281321</v>
      </c>
      <c r="M6" s="28">
        <f t="shared" si="5"/>
        <v>11.05854943076274</v>
      </c>
      <c r="N6" s="25">
        <f t="shared" si="6"/>
        <v>38612928</v>
      </c>
      <c r="O6" s="28">
        <f t="shared" si="7"/>
        <v>12.76295409328244</v>
      </c>
      <c r="P6" s="29">
        <v>22654789</v>
      </c>
      <c r="Q6" s="30">
        <v>289142032</v>
      </c>
      <c r="R6" s="30">
        <v>35269656</v>
      </c>
      <c r="S6" s="30">
        <v>3343272</v>
      </c>
      <c r="T6" s="30">
        <v>250529104</v>
      </c>
      <c r="U6" s="31"/>
      <c r="V6" s="31"/>
      <c r="W6" s="31"/>
      <c r="X6" s="31"/>
      <c r="Y6" s="31"/>
      <c r="Z6" s="32">
        <v>3220.27</v>
      </c>
      <c r="AA6" s="32">
        <v>3561.26</v>
      </c>
      <c r="AB6" s="32">
        <v>4.1879999999999997</v>
      </c>
      <c r="AC6" s="32">
        <v>24.207999999999998</v>
      </c>
      <c r="AE6" s="34">
        <f t="shared" si="8"/>
        <v>0.2363510017274526</v>
      </c>
      <c r="AF6" s="27">
        <f t="shared" si="9"/>
        <v>270.7132125</v>
      </c>
      <c r="AG6" s="28">
        <f t="shared" si="10"/>
        <v>12.746124450772859</v>
      </c>
      <c r="AH6" s="28">
        <f t="shared" si="11"/>
        <v>1.7056918075908807</v>
      </c>
      <c r="AI6" s="28">
        <f t="shared" si="12"/>
        <v>1.5604926622799267</v>
      </c>
      <c r="AJ6" s="28">
        <f t="shared" si="13"/>
        <v>11.040432643181978</v>
      </c>
      <c r="AK6" s="25">
        <f t="shared" si="14"/>
        <v>38642088</v>
      </c>
      <c r="AL6" s="28">
        <f t="shared" si="15"/>
        <v>12.746124450772859</v>
      </c>
      <c r="AM6" s="29">
        <v>22654789</v>
      </c>
      <c r="AN6" s="30">
        <v>288760760</v>
      </c>
      <c r="AO6" s="30">
        <v>35352632</v>
      </c>
      <c r="AP6" s="30">
        <v>3289456</v>
      </c>
      <c r="AQ6" s="30">
        <v>250118672</v>
      </c>
      <c r="AR6" s="31"/>
      <c r="AS6" s="31"/>
      <c r="AT6" s="31"/>
      <c r="AU6" s="31"/>
      <c r="AV6" s="31"/>
      <c r="AW6" s="32">
        <v>5357.91</v>
      </c>
      <c r="AX6" s="32">
        <v>4370.8900000000003</v>
      </c>
      <c r="AY6" s="32">
        <v>5.1539999999999999</v>
      </c>
      <c r="AZ6" s="32">
        <v>33.911000000000001</v>
      </c>
      <c r="BB6" s="33">
        <f t="shared" si="16"/>
        <v>0.99868136777844885</v>
      </c>
      <c r="BC6" s="33">
        <f t="shared" si="17"/>
        <v>1.0007551874853935</v>
      </c>
      <c r="BD6" s="33">
        <f t="shared" si="18"/>
        <v>1.0023526172186086</v>
      </c>
      <c r="BE6" s="33">
        <f t="shared" si="19"/>
        <v>0.99836173924128191</v>
      </c>
      <c r="BF6" s="34">
        <f t="shared" si="20"/>
        <v>2.7731001618516715E-4</v>
      </c>
      <c r="BG6" s="34">
        <f t="array" ref="BG6">AVERAGE(AK6:AK6/AN6:AN6) - AVERAGE(N6:N6/Q6:Q6)</f>
        <v>2.7731001618516715E-4</v>
      </c>
      <c r="BI6" s="4">
        <f t="shared" ref="BI6:BI11" si="22">AM6-P6</f>
        <v>0</v>
      </c>
      <c r="BJ6" s="4">
        <f t="shared" si="21"/>
        <v>-381272</v>
      </c>
      <c r="BK6" s="4">
        <f t="shared" si="21"/>
        <v>82976</v>
      </c>
      <c r="BL6" s="4">
        <f t="shared" si="21"/>
        <v>-53816</v>
      </c>
      <c r="BM6" s="4">
        <f t="shared" si="21"/>
        <v>-410432</v>
      </c>
    </row>
    <row r="7" spans="1:65" collapsed="1" x14ac:dyDescent="0.2">
      <c r="A7" s="15"/>
      <c r="B7" s="15" t="s">
        <v>254</v>
      </c>
      <c r="C7" s="15">
        <v>33947718</v>
      </c>
      <c r="D7" s="16">
        <v>10</v>
      </c>
      <c r="E7" s="16">
        <v>32</v>
      </c>
      <c r="F7" s="16">
        <v>30</v>
      </c>
      <c r="H7" s="24">
        <f t="shared" si="0"/>
        <v>0.18456217707301389</v>
      </c>
      <c r="I7" s="17">
        <f t="shared" si="1"/>
        <v>317.18915249999998</v>
      </c>
      <c r="J7" s="18">
        <f t="shared" si="2"/>
        <v>9.9663575619427505</v>
      </c>
      <c r="K7" s="18">
        <f t="shared" si="3"/>
        <v>1.6528946069364663</v>
      </c>
      <c r="L7" s="18">
        <f t="shared" si="4"/>
        <v>1.5294473696287922</v>
      </c>
      <c r="M7" s="18">
        <f t="shared" si="5"/>
        <v>8.3134629550062833</v>
      </c>
      <c r="N7" s="15">
        <f t="shared" si="6"/>
        <v>56112000</v>
      </c>
      <c r="O7" s="18">
        <f t="shared" si="7"/>
        <v>9.9663575619427505</v>
      </c>
      <c r="P7" s="19">
        <v>33947718</v>
      </c>
      <c r="Q7" s="20">
        <v>338335096</v>
      </c>
      <c r="R7" s="20">
        <v>51921248</v>
      </c>
      <c r="S7" s="20">
        <v>4190752</v>
      </c>
      <c r="T7" s="20">
        <v>282223096</v>
      </c>
      <c r="U7" s="21"/>
      <c r="V7" s="21"/>
      <c r="W7" s="21"/>
      <c r="X7" s="21"/>
      <c r="Y7" s="21"/>
      <c r="Z7" s="22">
        <v>7849.9</v>
      </c>
      <c r="AA7" s="22">
        <v>5872.73</v>
      </c>
      <c r="AB7" s="22">
        <v>8.1829999999999998</v>
      </c>
      <c r="AC7" s="22">
        <v>37.613999999999997</v>
      </c>
      <c r="AE7" s="24">
        <f t="shared" si="8"/>
        <v>0.18456217707301389</v>
      </c>
      <c r="AF7" s="17">
        <f t="shared" si="9"/>
        <v>316.10948250000001</v>
      </c>
      <c r="AG7" s="18">
        <f t="shared" si="10"/>
        <v>9.9324333965540781</v>
      </c>
      <c r="AH7" s="18">
        <f t="shared" si="11"/>
        <v>1.6476224999865969</v>
      </c>
      <c r="AI7" s="18">
        <f t="shared" si="12"/>
        <v>1.5283378988832179</v>
      </c>
      <c r="AJ7" s="18">
        <f t="shared" si="13"/>
        <v>8.28481089656748</v>
      </c>
      <c r="AK7" s="15">
        <f t="shared" si="14"/>
        <v>55933024</v>
      </c>
      <c r="AL7" s="18">
        <f t="shared" si="15"/>
        <v>9.9324333965540781</v>
      </c>
      <c r="AM7" s="19">
        <v>33947718</v>
      </c>
      <c r="AN7" s="20">
        <v>337183448</v>
      </c>
      <c r="AO7" s="20">
        <v>51883584</v>
      </c>
      <c r="AP7" s="20">
        <v>4049440</v>
      </c>
      <c r="AQ7" s="20">
        <v>281250424</v>
      </c>
      <c r="AR7" s="21"/>
      <c r="AS7" s="21"/>
      <c r="AT7" s="21"/>
      <c r="AU7" s="21"/>
      <c r="AV7" s="21"/>
      <c r="AW7" s="22">
        <v>4713.7</v>
      </c>
      <c r="AX7" s="22">
        <v>4774.84</v>
      </c>
      <c r="AY7" s="22">
        <v>5.5640000000000001</v>
      </c>
      <c r="AZ7" s="22">
        <v>26.657</v>
      </c>
      <c r="BB7" s="23">
        <f t="shared" si="16"/>
        <v>0.99659613201936337</v>
      </c>
      <c r="BC7" s="23">
        <f t="shared" si="17"/>
        <v>0.99681037924151683</v>
      </c>
      <c r="BD7" s="23">
        <f t="shared" si="18"/>
        <v>0.99927459370776284</v>
      </c>
      <c r="BE7" s="23">
        <f t="shared" si="19"/>
        <v>0.99655353507992128</v>
      </c>
      <c r="BF7" s="24">
        <f t="shared" si="20"/>
        <v>3.5653707798483092E-5</v>
      </c>
      <c r="BG7" s="24">
        <f t="array" ref="BG7">AVERAGE(AK7:AK7/AN7:AN7) - AVERAGE(N7:N7/Q7:Q7)</f>
        <v>3.5653707798483092E-5</v>
      </c>
      <c r="BI7" s="4">
        <f t="shared" si="22"/>
        <v>0</v>
      </c>
      <c r="BJ7" s="4">
        <f t="shared" si="21"/>
        <v>-1151648</v>
      </c>
      <c r="BK7" s="4">
        <f t="shared" si="21"/>
        <v>-37664</v>
      </c>
      <c r="BL7" s="4">
        <f t="shared" si="21"/>
        <v>-141312</v>
      </c>
      <c r="BM7" s="4">
        <f t="shared" si="21"/>
        <v>-972672</v>
      </c>
    </row>
    <row r="8" spans="1:65" ht="16" collapsed="1" thickBot="1" x14ac:dyDescent="0.25">
      <c r="A8" s="45"/>
      <c r="B8" s="45" t="s">
        <v>257</v>
      </c>
      <c r="C8" s="45">
        <v>32209643</v>
      </c>
      <c r="D8" s="46">
        <v>10</v>
      </c>
      <c r="E8" s="46">
        <v>32</v>
      </c>
      <c r="F8" s="46">
        <v>50</v>
      </c>
      <c r="H8" s="54">
        <f t="shared" si="0"/>
        <v>0.14988544246183022</v>
      </c>
      <c r="I8" s="47">
        <f t="shared" si="1"/>
        <v>407.34196250000002</v>
      </c>
      <c r="J8" s="48">
        <f t="shared" si="2"/>
        <v>8.0938138929388312</v>
      </c>
      <c r="K8" s="48">
        <f t="shared" si="3"/>
        <v>1.2737678588986534</v>
      </c>
      <c r="L8" s="48">
        <f t="shared" si="4"/>
        <v>1.11339451977161</v>
      </c>
      <c r="M8" s="48">
        <f t="shared" si="5"/>
        <v>6.8200460340401783</v>
      </c>
      <c r="N8" s="45">
        <f t="shared" si="6"/>
        <v>41027608</v>
      </c>
      <c r="O8" s="48">
        <f t="shared" si="7"/>
        <v>8.0938138929388312</v>
      </c>
      <c r="P8" s="49">
        <v>32209643</v>
      </c>
      <c r="Q8" s="50">
        <v>260698856</v>
      </c>
      <c r="R8" s="50">
        <v>35862040</v>
      </c>
      <c r="S8" s="50">
        <v>5165568</v>
      </c>
      <c r="T8" s="50">
        <v>219671248</v>
      </c>
      <c r="U8" s="51"/>
      <c r="V8" s="51"/>
      <c r="W8" s="51"/>
      <c r="X8" s="51"/>
      <c r="Y8" s="51"/>
      <c r="Z8" s="52">
        <v>3959.37</v>
      </c>
      <c r="AA8" s="52">
        <v>3797.36</v>
      </c>
      <c r="AB8" s="52">
        <v>5.2350000000000003</v>
      </c>
      <c r="AC8" s="52">
        <v>25.581</v>
      </c>
      <c r="AE8" s="54">
        <f t="shared" si="8"/>
        <v>0.14988544246183022</v>
      </c>
      <c r="AF8" s="47">
        <f t="shared" si="9"/>
        <v>407.16516250000001</v>
      </c>
      <c r="AG8" s="48">
        <f t="shared" si="10"/>
        <v>8.0903009077126367</v>
      </c>
      <c r="AH8" s="48">
        <f t="shared" si="11"/>
        <v>1.2718250866673686</v>
      </c>
      <c r="AI8" s="48">
        <f t="shared" si="12"/>
        <v>1.1131001979748736</v>
      </c>
      <c r="AJ8" s="48">
        <f t="shared" si="13"/>
        <v>6.8184758210452694</v>
      </c>
      <c r="AK8" s="45">
        <f t="shared" si="14"/>
        <v>40965032</v>
      </c>
      <c r="AL8" s="48">
        <f t="shared" si="15"/>
        <v>8.0903009077126367</v>
      </c>
      <c r="AM8" s="49">
        <v>32209643</v>
      </c>
      <c r="AN8" s="50">
        <v>260585704</v>
      </c>
      <c r="AO8" s="50">
        <v>35852560</v>
      </c>
      <c r="AP8" s="50">
        <v>5112472</v>
      </c>
      <c r="AQ8" s="50">
        <v>219620672</v>
      </c>
      <c r="AR8" s="51"/>
      <c r="AS8" s="51"/>
      <c r="AT8" s="51"/>
      <c r="AU8" s="51"/>
      <c r="AV8" s="51"/>
      <c r="AW8" s="52">
        <v>6901.08</v>
      </c>
      <c r="AX8" s="52">
        <v>4668.83</v>
      </c>
      <c r="AY8" s="52">
        <v>7.0190000000000001</v>
      </c>
      <c r="AZ8" s="52">
        <v>35.406999999999996</v>
      </c>
      <c r="BB8" s="53">
        <f t="shared" si="16"/>
        <v>0.9995659666416028</v>
      </c>
      <c r="BC8" s="53">
        <f t="shared" si="17"/>
        <v>0.99847478312652305</v>
      </c>
      <c r="BD8" s="53">
        <f t="shared" si="18"/>
        <v>0.99973565363264338</v>
      </c>
      <c r="BE8" s="53">
        <f t="shared" si="19"/>
        <v>0.99976976504453607</v>
      </c>
      <c r="BF8" s="54">
        <f t="shared" si="20"/>
        <v>-1.7180009810804919E-4</v>
      </c>
      <c r="BG8" s="54">
        <f t="array" ref="BG8">AVERAGE(AK8:AK8/AN8:AN8) - AVERAGE(N8:N8/Q8:Q8)</f>
        <v>-1.7180009810804919E-4</v>
      </c>
      <c r="BI8" s="4">
        <f t="shared" si="22"/>
        <v>0</v>
      </c>
      <c r="BJ8" s="4">
        <f t="shared" si="21"/>
        <v>-113152</v>
      </c>
      <c r="BK8" s="4">
        <f t="shared" si="21"/>
        <v>-9480</v>
      </c>
      <c r="BL8" s="4">
        <f t="shared" si="21"/>
        <v>-53096</v>
      </c>
      <c r="BM8" s="4">
        <f t="shared" si="21"/>
        <v>-50576</v>
      </c>
    </row>
    <row r="9" spans="1:65" ht="16" collapsed="1" thickBot="1" x14ac:dyDescent="0.25">
      <c r="A9" s="35" t="s">
        <v>261</v>
      </c>
      <c r="B9" s="35" t="s">
        <v>260</v>
      </c>
      <c r="C9" s="35">
        <v>25312408</v>
      </c>
      <c r="D9" s="36">
        <v>10</v>
      </c>
      <c r="E9" s="36">
        <v>32</v>
      </c>
      <c r="F9" s="36">
        <v>30</v>
      </c>
      <c r="H9" s="44">
        <f t="shared" si="0"/>
        <v>0.27656920054561557</v>
      </c>
      <c r="I9" s="37">
        <f t="shared" si="1"/>
        <v>354.40701749999999</v>
      </c>
      <c r="J9" s="38">
        <f t="shared" si="2"/>
        <v>14.934736829463242</v>
      </c>
      <c r="K9" s="38">
        <f t="shared" si="3"/>
        <v>1.5087231526925451</v>
      </c>
      <c r="L9" s="38">
        <f t="shared" si="4"/>
        <v>1.4115600538676525</v>
      </c>
      <c r="M9" s="38">
        <f t="shared" si="5"/>
        <v>13.426013676770697</v>
      </c>
      <c r="N9" s="35">
        <f t="shared" si="6"/>
        <v>38189416</v>
      </c>
      <c r="O9" s="38">
        <f t="shared" si="7"/>
        <v>14.934736829463242</v>
      </c>
      <c r="P9" s="39">
        <v>25312408</v>
      </c>
      <c r="Q9" s="40">
        <v>378034152</v>
      </c>
      <c r="R9" s="40">
        <v>35729984</v>
      </c>
      <c r="S9" s="40">
        <v>2459432</v>
      </c>
      <c r="T9" s="40">
        <v>339844736</v>
      </c>
      <c r="U9" s="41"/>
      <c r="V9" s="41"/>
      <c r="W9" s="41"/>
      <c r="X9" s="41"/>
      <c r="Y9" s="41"/>
      <c r="Z9" s="42">
        <v>1311.69</v>
      </c>
      <c r="AA9" s="42">
        <v>3811.84</v>
      </c>
      <c r="AB9" s="42">
        <v>4.5030000000000001</v>
      </c>
      <c r="AC9" s="42">
        <v>25.879000000000001</v>
      </c>
      <c r="AE9" s="44">
        <f t="shared" si="8"/>
        <v>0.27656920054561557</v>
      </c>
      <c r="AF9" s="37">
        <f t="shared" si="9"/>
        <v>353.66137500000002</v>
      </c>
      <c r="AG9" s="38">
        <f t="shared" si="10"/>
        <v>14.903315401679682</v>
      </c>
      <c r="AH9" s="38">
        <f t="shared" si="11"/>
        <v>1.5066081425362612</v>
      </c>
      <c r="AI9" s="38">
        <f t="shared" si="12"/>
        <v>1.4122686391591033</v>
      </c>
      <c r="AJ9" s="38">
        <f t="shared" si="13"/>
        <v>13.396707259143421</v>
      </c>
      <c r="AK9" s="35">
        <f t="shared" si="14"/>
        <v>38135880</v>
      </c>
      <c r="AL9" s="38">
        <f t="shared" si="15"/>
        <v>14.903315401679682</v>
      </c>
      <c r="AM9" s="39">
        <v>25312408</v>
      </c>
      <c r="AN9" s="40">
        <v>377238800</v>
      </c>
      <c r="AO9" s="40">
        <v>35747920</v>
      </c>
      <c r="AP9" s="40">
        <v>2387960</v>
      </c>
      <c r="AQ9" s="40">
        <v>339102920</v>
      </c>
      <c r="AR9" s="41"/>
      <c r="AS9" s="41"/>
      <c r="AT9" s="41"/>
      <c r="AU9" s="41"/>
      <c r="AV9" s="41"/>
      <c r="AW9" s="42">
        <v>1309.3699999999999</v>
      </c>
      <c r="AX9" s="42">
        <v>3804.09</v>
      </c>
      <c r="AY9" s="42">
        <v>4.4189999999999996</v>
      </c>
      <c r="AZ9" s="42">
        <v>26.21</v>
      </c>
      <c r="BB9" s="43">
        <f t="shared" si="16"/>
        <v>0.99789608426701093</v>
      </c>
      <c r="BC9" s="43">
        <f t="shared" si="17"/>
        <v>0.99859814562233673</v>
      </c>
      <c r="BD9" s="43">
        <f t="shared" si="18"/>
        <v>1.0005019873504561</v>
      </c>
      <c r="BE9" s="43">
        <f t="shared" si="19"/>
        <v>0.99781719143650349</v>
      </c>
      <c r="BF9" s="44">
        <f t="shared" si="20"/>
        <v>7.1072522646306591E-5</v>
      </c>
      <c r="BG9" s="44">
        <f t="array" ref="BG9">AVERAGE(AK9:AK9/AN9:AN9) - AVERAGE(N9:N9/Q9:Q9)</f>
        <v>7.1072522646306591E-5</v>
      </c>
      <c r="BI9" s="4">
        <f t="shared" si="22"/>
        <v>0</v>
      </c>
      <c r="BJ9" s="4">
        <f t="shared" si="21"/>
        <v>-795352</v>
      </c>
      <c r="BK9" s="4">
        <f t="shared" si="21"/>
        <v>17936</v>
      </c>
      <c r="BL9" s="4">
        <f t="shared" si="21"/>
        <v>-71472</v>
      </c>
      <c r="BM9" s="4">
        <f t="shared" si="21"/>
        <v>-741816</v>
      </c>
    </row>
    <row r="10" spans="1:65" collapsed="1" x14ac:dyDescent="0.2">
      <c r="A10" s="25" t="s">
        <v>265</v>
      </c>
      <c r="B10" s="25" t="s">
        <v>264</v>
      </c>
      <c r="C10" s="25">
        <v>92854683</v>
      </c>
      <c r="D10" s="26">
        <v>11</v>
      </c>
      <c r="E10" s="26">
        <v>32</v>
      </c>
      <c r="F10" s="26">
        <v>30</v>
      </c>
      <c r="H10" s="34" t="str">
        <f t="shared" si="0"/>
        <v>·</v>
      </c>
      <c r="I10" s="27" t="str">
        <f t="shared" si="1"/>
        <v>·</v>
      </c>
      <c r="J10" s="28" t="str">
        <f t="shared" si="2"/>
        <v>·</v>
      </c>
      <c r="K10" s="28" t="str">
        <f t="shared" si="3"/>
        <v>·</v>
      </c>
      <c r="L10" s="28" t="str">
        <f t="shared" si="4"/>
        <v>·</v>
      </c>
      <c r="M10" s="28" t="str">
        <f t="shared" si="5"/>
        <v>·</v>
      </c>
      <c r="N10" s="25" t="str">
        <f t="shared" si="6"/>
        <v/>
      </c>
      <c r="O10" s="28" t="str">
        <f t="shared" si="7"/>
        <v>·</v>
      </c>
      <c r="P10" s="29"/>
      <c r="Q10" s="30"/>
      <c r="R10" s="30"/>
      <c r="S10" s="30"/>
      <c r="T10" s="30"/>
      <c r="U10" s="31"/>
      <c r="V10" s="31"/>
      <c r="W10" s="31"/>
      <c r="X10" s="31"/>
      <c r="Y10" s="31"/>
      <c r="Z10" s="32"/>
      <c r="AA10" s="32"/>
      <c r="AB10" s="32"/>
      <c r="AC10" s="32"/>
      <c r="AE10" s="34" t="str">
        <f t="shared" si="8"/>
        <v>·</v>
      </c>
      <c r="AF10" s="27">
        <f t="shared" si="9"/>
        <v>850.55402249999997</v>
      </c>
      <c r="AG10" s="28">
        <f t="shared" si="10"/>
        <v>9.7707255540358684</v>
      </c>
      <c r="AH10" s="28">
        <f t="shared" si="11"/>
        <v>1.1137947237405355</v>
      </c>
      <c r="AI10" s="28">
        <f t="shared" si="12"/>
        <v>1.0648304727937092</v>
      </c>
      <c r="AJ10" s="28">
        <f t="shared" si="13"/>
        <v>8.6569308302953338</v>
      </c>
      <c r="AK10" s="25">
        <f t="shared" si="14"/>
        <v>103421056</v>
      </c>
      <c r="AL10" s="28">
        <f t="shared" si="15"/>
        <v>9.7707255540358684</v>
      </c>
      <c r="AM10" s="29">
        <v>92854683</v>
      </c>
      <c r="AN10" s="30">
        <v>907257624</v>
      </c>
      <c r="AO10" s="30">
        <v>98874496</v>
      </c>
      <c r="AP10" s="30">
        <v>4546560</v>
      </c>
      <c r="AQ10" s="30">
        <v>803836568</v>
      </c>
      <c r="AR10" s="31"/>
      <c r="AS10" s="31"/>
      <c r="AT10" s="31"/>
      <c r="AU10" s="31"/>
      <c r="AV10" s="31"/>
      <c r="AW10" s="32">
        <v>3352.64</v>
      </c>
      <c r="AX10" s="32">
        <v>11963.7</v>
      </c>
      <c r="AY10" s="32">
        <v>16.271000000000001</v>
      </c>
      <c r="AZ10" s="32">
        <v>74.156999999999996</v>
      </c>
      <c r="BB10" s="33" t="e">
        <f t="shared" si="16"/>
        <v>#VALUE!</v>
      </c>
      <c r="BC10" s="33" t="e">
        <f t="shared" si="17"/>
        <v>#VALUE!</v>
      </c>
      <c r="BD10" s="33" t="e">
        <f t="shared" si="18"/>
        <v>#VALUE!</v>
      </c>
      <c r="BE10" s="33" t="e">
        <f t="shared" si="19"/>
        <v>#VALUE!</v>
      </c>
      <c r="BF10" s="34" t="e">
        <f t="shared" si="20"/>
        <v>#VALUE!</v>
      </c>
      <c r="BG10" s="34" t="e">
        <f t="array" ref="BG10">AVERAGE(AK10:AK10/AN10:AN10) - AVERAGE(N10:N10/Q10:Q10)</f>
        <v>#VALUE!</v>
      </c>
      <c r="BI10" s="4">
        <f t="shared" si="22"/>
        <v>92854683</v>
      </c>
      <c r="BJ10" s="4">
        <f t="shared" si="21"/>
        <v>907257624</v>
      </c>
      <c r="BK10" s="4">
        <f t="shared" si="21"/>
        <v>98874496</v>
      </c>
      <c r="BL10" s="4">
        <f t="shared" si="21"/>
        <v>4546560</v>
      </c>
      <c r="BM10" s="4">
        <f t="shared" si="21"/>
        <v>803836568</v>
      </c>
    </row>
    <row r="11" spans="1:65" ht="16" collapsed="1" thickBot="1" x14ac:dyDescent="0.25">
      <c r="A11" s="35"/>
      <c r="B11" s="35" t="s">
        <v>268</v>
      </c>
      <c r="C11" s="35">
        <v>83104648</v>
      </c>
      <c r="D11" s="36">
        <v>11</v>
      </c>
      <c r="E11" s="36">
        <v>32</v>
      </c>
      <c r="F11" s="36">
        <v>30</v>
      </c>
      <c r="H11" s="44" t="str">
        <f t="shared" si="0"/>
        <v>·</v>
      </c>
      <c r="I11" s="37" t="str">
        <f t="shared" si="1"/>
        <v>·</v>
      </c>
      <c r="J11" s="38" t="str">
        <f t="shared" si="2"/>
        <v>·</v>
      </c>
      <c r="K11" s="38" t="str">
        <f t="shared" si="3"/>
        <v>·</v>
      </c>
      <c r="L11" s="38" t="str">
        <f t="shared" si="4"/>
        <v>·</v>
      </c>
      <c r="M11" s="38" t="str">
        <f t="shared" si="5"/>
        <v>·</v>
      </c>
      <c r="N11" s="35" t="str">
        <f t="shared" si="6"/>
        <v/>
      </c>
      <c r="O11" s="38" t="str">
        <f t="shared" si="7"/>
        <v>·</v>
      </c>
      <c r="P11" s="39"/>
      <c r="Q11" s="40"/>
      <c r="R11" s="40"/>
      <c r="S11" s="40"/>
      <c r="T11" s="40"/>
      <c r="U11" s="41"/>
      <c r="V11" s="41"/>
      <c r="W11" s="41"/>
      <c r="X11" s="41"/>
      <c r="Y11" s="41"/>
      <c r="Z11" s="42"/>
      <c r="AA11" s="42"/>
      <c r="AB11" s="42"/>
      <c r="AC11" s="42"/>
      <c r="AE11" s="44" t="str">
        <f t="shared" si="8"/>
        <v>·</v>
      </c>
      <c r="AF11" s="37">
        <f t="shared" si="9"/>
        <v>775.72077000000002</v>
      </c>
      <c r="AG11" s="38">
        <f t="shared" si="10"/>
        <v>9.956548856328709</v>
      </c>
      <c r="AH11" s="38">
        <f t="shared" si="11"/>
        <v>1.1855935663189381</v>
      </c>
      <c r="AI11" s="38">
        <f t="shared" si="12"/>
        <v>1.1287028855473884</v>
      </c>
      <c r="AJ11" s="38">
        <f t="shared" si="13"/>
        <v>8.7709552900097716</v>
      </c>
      <c r="AK11" s="35">
        <f t="shared" si="14"/>
        <v>98528336</v>
      </c>
      <c r="AL11" s="38">
        <f t="shared" si="15"/>
        <v>9.956548856328709</v>
      </c>
      <c r="AM11" s="39">
        <v>83104648</v>
      </c>
      <c r="AN11" s="40">
        <v>827435488</v>
      </c>
      <c r="AO11" s="40">
        <v>93800456</v>
      </c>
      <c r="AP11" s="40">
        <v>4727880</v>
      </c>
      <c r="AQ11" s="40">
        <v>728907152</v>
      </c>
      <c r="AR11" s="41"/>
      <c r="AS11" s="41"/>
      <c r="AT11" s="41"/>
      <c r="AU11" s="41"/>
      <c r="AV11" s="41"/>
      <c r="AW11" s="42">
        <v>4337.2700000000004</v>
      </c>
      <c r="AX11" s="42">
        <v>16358.4</v>
      </c>
      <c r="AY11" s="42">
        <v>24.227</v>
      </c>
      <c r="AZ11" s="42">
        <v>132.69900000000001</v>
      </c>
      <c r="BB11" s="43" t="e">
        <f t="shared" si="16"/>
        <v>#VALUE!</v>
      </c>
      <c r="BC11" s="43" t="e">
        <f t="shared" si="17"/>
        <v>#VALUE!</v>
      </c>
      <c r="BD11" s="43" t="e">
        <f t="shared" si="18"/>
        <v>#VALUE!</v>
      </c>
      <c r="BE11" s="43" t="e">
        <f t="shared" si="19"/>
        <v>#VALUE!</v>
      </c>
      <c r="BF11" s="44" t="e">
        <f t="shared" si="20"/>
        <v>#VALUE!</v>
      </c>
      <c r="BG11" s="44" t="e">
        <f t="array" ref="BG11">AVERAGE(AK11:AK11/AN11:AN11) - AVERAGE(N11:N11/Q11:Q11)</f>
        <v>#VALUE!</v>
      </c>
      <c r="BI11" s="4">
        <f t="shared" si="22"/>
        <v>83104648</v>
      </c>
      <c r="BJ11" s="4">
        <f t="shared" si="21"/>
        <v>827435488</v>
      </c>
      <c r="BK11" s="4">
        <f t="shared" si="21"/>
        <v>93800456</v>
      </c>
      <c r="BL11" s="4">
        <f t="shared" si="21"/>
        <v>4727880</v>
      </c>
      <c r="BM11" s="4">
        <f t="shared" si="21"/>
        <v>728907152</v>
      </c>
    </row>
    <row r="12" spans="1:65" ht="16" x14ac:dyDescent="0.2">
      <c r="B12" s="55" t="s">
        <v>271</v>
      </c>
      <c r="J12" s="56">
        <f>AVERAGE(J5:J8)</f>
        <v>9.9268084912613812</v>
      </c>
      <c r="K12" s="56">
        <f>AVERAGE(K5:K8)</f>
        <v>1.5051073347594124</v>
      </c>
      <c r="L12" s="56">
        <f>AVERAGE(L5:L8)</f>
        <v>1.3759598346896609</v>
      </c>
      <c r="M12" s="56">
        <f>AVERAGE(M5:M8)</f>
        <v>8.4217011565019693</v>
      </c>
      <c r="AG12" s="56">
        <f>AVERAGE(AG5:AG8)</f>
        <v>9.9120549801579312</v>
      </c>
      <c r="AH12" s="56">
        <f>AVERAGE(AH5:AH8)</f>
        <v>1.5038193578839292</v>
      </c>
      <c r="AI12" s="56">
        <f>AVERAGE(AI5:AI8)</f>
        <v>1.3769052458615905</v>
      </c>
      <c r="AJ12" s="56">
        <f>AVERAGE(AJ5:AJ8)</f>
        <v>8.4082356222740025</v>
      </c>
      <c r="BB12" s="5">
        <f t="shared" si="16"/>
        <v>0.99851377095504179</v>
      </c>
      <c r="BC12" s="5">
        <f t="shared" si="17"/>
        <v>0.99914426244179522</v>
      </c>
      <c r="BD12" s="5">
        <f t="shared" si="18"/>
        <v>1.0006870921287778</v>
      </c>
      <c r="BE12" s="5">
        <f t="shared" si="19"/>
        <v>0.99840109094614804</v>
      </c>
      <c r="BG12" s="8">
        <f>AVERAGE(BG5:BG8)</f>
        <v>7.8037131368793866E-5</v>
      </c>
    </row>
    <row r="13" spans="1:65" ht="16" x14ac:dyDescent="0.2">
      <c r="B13" s="55" t="s">
        <v>272</v>
      </c>
      <c r="J13" s="56">
        <f>AVERAGE(J9:J9)</f>
        <v>14.934736829463242</v>
      </c>
      <c r="K13" s="56">
        <f>AVERAGE(K9:K9)</f>
        <v>1.5087231526925451</v>
      </c>
      <c r="L13" s="56">
        <f>AVERAGE(L9:L9)</f>
        <v>1.4115600538676525</v>
      </c>
      <c r="M13" s="56">
        <f>AVERAGE(M9:M9)</f>
        <v>13.426013676770697</v>
      </c>
      <c r="AG13" s="56">
        <f>AVERAGE(AG9:AG9)</f>
        <v>14.903315401679682</v>
      </c>
      <c r="AH13" s="56">
        <f>AVERAGE(AH9:AH9)</f>
        <v>1.5066081425362612</v>
      </c>
      <c r="AI13" s="56">
        <f>AVERAGE(AI9:AI9)</f>
        <v>1.4122686391591033</v>
      </c>
      <c r="AJ13" s="56">
        <f>AVERAGE(AJ9:AJ9)</f>
        <v>13.396707259143421</v>
      </c>
      <c r="BB13" s="5">
        <f t="shared" si="16"/>
        <v>0.99789608426701093</v>
      </c>
      <c r="BC13" s="5">
        <f t="shared" si="17"/>
        <v>0.99859814562233673</v>
      </c>
      <c r="BD13" s="5">
        <f t="shared" si="18"/>
        <v>1.0005019873504561</v>
      </c>
      <c r="BE13" s="5">
        <f t="shared" si="19"/>
        <v>0.99781719143650349</v>
      </c>
      <c r="BG13" s="8">
        <f>AVERAGE(BG9:BG9)</f>
        <v>7.1072522646306591E-5</v>
      </c>
    </row>
    <row r="14" spans="1:65" ht="16" x14ac:dyDescent="0.2">
      <c r="B14" s="55" t="s">
        <v>273</v>
      </c>
      <c r="J14" s="56" t="e">
        <f>AVERAGE(J10:J11)</f>
        <v>#DIV/0!</v>
      </c>
      <c r="K14" s="56" t="e">
        <f>AVERAGE(K10:K11)</f>
        <v>#DIV/0!</v>
      </c>
      <c r="L14" s="56" t="e">
        <f>AVERAGE(L10:L11)</f>
        <v>#DIV/0!</v>
      </c>
      <c r="M14" s="56" t="e">
        <f>AVERAGE(M10:M11)</f>
        <v>#DIV/0!</v>
      </c>
      <c r="AG14" s="56">
        <f>AVERAGE(AG10:AG11)</f>
        <v>9.8636372051822896</v>
      </c>
      <c r="AH14" s="56">
        <f>AVERAGE(AH10:AH11)</f>
        <v>1.1496941450297369</v>
      </c>
      <c r="AI14" s="56">
        <f>AVERAGE(AI10:AI11)</f>
        <v>1.0967666791705488</v>
      </c>
      <c r="AJ14" s="56">
        <f>AVERAGE(AJ10:AJ11)</f>
        <v>8.7139430601525518</v>
      </c>
      <c r="BB14" s="5" t="e">
        <f t="shared" si="16"/>
        <v>#DIV/0!</v>
      </c>
      <c r="BC14" s="5" t="e">
        <f t="shared" si="17"/>
        <v>#DIV/0!</v>
      </c>
      <c r="BD14" s="5" t="e">
        <f t="shared" si="18"/>
        <v>#DIV/0!</v>
      </c>
      <c r="BE14" s="5" t="e">
        <f t="shared" si="19"/>
        <v>#DIV/0!</v>
      </c>
      <c r="BG14" s="8" t="e">
        <f>AVERAGE(BG10:BG11)</f>
        <v>#VALUE!</v>
      </c>
    </row>
    <row r="15" spans="1:65" ht="16" x14ac:dyDescent="0.2">
      <c r="B15" s="55" t="s">
        <v>274</v>
      </c>
      <c r="J15" s="56">
        <f>AVERAGE(J5:J11)</f>
        <v>10.928394158901753</v>
      </c>
      <c r="K15" s="56">
        <f>AVERAGE(K5:K11)</f>
        <v>1.5058304983460389</v>
      </c>
      <c r="L15" s="56">
        <f>AVERAGE(L5:L11)</f>
        <v>1.3830798785252592</v>
      </c>
      <c r="M15" s="56">
        <f>AVERAGE(M5:M11)</f>
        <v>9.4225636605557153</v>
      </c>
      <c r="AG15" s="56">
        <f>AVERAGE(AG5:AG11)</f>
        <v>10.611258533239425</v>
      </c>
      <c r="AH15" s="56">
        <f>AVERAGE(AH5:AH11)</f>
        <v>1.40303912344735</v>
      </c>
      <c r="AI15" s="56">
        <f>AVERAGE(AI5:AI11)</f>
        <v>1.3019175687066518</v>
      </c>
      <c r="AJ15" s="56">
        <f>AVERAGE(AJ5:AJ11)</f>
        <v>9.2082194097920755</v>
      </c>
      <c r="BB15" s="5">
        <f t="shared" si="16"/>
        <v>0.97098058314413893</v>
      </c>
      <c r="BC15" s="5">
        <f t="shared" si="17"/>
        <v>0.93173775201684916</v>
      </c>
      <c r="BD15" s="5">
        <f t="shared" si="18"/>
        <v>0.94131769894219808</v>
      </c>
      <c r="BE15" s="5">
        <f t="shared" si="19"/>
        <v>0.97725202413214596</v>
      </c>
      <c r="BG15" s="8" t="e">
        <f>AVERAGE(BG5:BG11)</f>
        <v>#VALUE!</v>
      </c>
    </row>
    <row r="16" spans="1:65" ht="16" hidden="1" outlineLevel="2" x14ac:dyDescent="0.2">
      <c r="A16" s="55" t="s">
        <v>275</v>
      </c>
      <c r="B16" s="55" t="s">
        <v>276</v>
      </c>
      <c r="Z16" s="57">
        <f>SUM(Z5:Z8,Z9:Z9,Z10:Z11)</f>
        <v>19568.249999999996</v>
      </c>
      <c r="AA16" s="57">
        <f>SUM(AA5:AA8,AA9:AA9,AA10:AA11)</f>
        <v>20495.36</v>
      </c>
      <c r="AB16" s="57">
        <f>SUM(AB5:AB8,AB9:AB9,AB10:AB11)</f>
        <v>26.503</v>
      </c>
      <c r="AC16" s="57">
        <f>SUM(AC5:AC8,AC9:AC9,AC10:AC11)</f>
        <v>136.27100000000002</v>
      </c>
      <c r="AW16" s="57">
        <f>SUM(AW5:AW8,AW9:AW9,AW10:AW11)</f>
        <v>29216.019999999997</v>
      </c>
      <c r="AX16" s="57">
        <f>SUM(AX5:AX8,AX9:AX9,AX10:AX11)</f>
        <v>49434.69</v>
      </c>
      <c r="AY16" s="57">
        <f>SUM(AY5:AY8,AY9:AY9,AY10:AY11)</f>
        <v>67.040000000000006</v>
      </c>
      <c r="AZ16" s="57">
        <f>SUM(AZ5:AZ8,AZ9:AZ9,AZ10:AZ11)</f>
        <v>351.93900000000002</v>
      </c>
    </row>
    <row r="17" spans="2:52" ht="16" hidden="1" outlineLevel="2" x14ac:dyDescent="0.2">
      <c r="B17" s="55" t="s">
        <v>277</v>
      </c>
      <c r="AW17" s="8">
        <f>AW16/Z16</f>
        <v>1.4930318245116452</v>
      </c>
      <c r="AX17" s="8">
        <f>AX16/AA16</f>
        <v>2.4119942269860104</v>
      </c>
      <c r="AY17" s="8">
        <f>AY16/AB16</f>
        <v>2.5295249594385543</v>
      </c>
      <c r="AZ17" s="8">
        <f>AZ16/AC16</f>
        <v>2.5826404737618422</v>
      </c>
    </row>
    <row r="18" spans="2:52" ht="16" hidden="1" outlineLevel="2" x14ac:dyDescent="0.2">
      <c r="B18" s="55" t="s">
        <v>278</v>
      </c>
      <c r="Z18" s="57">
        <f>GEOMEAN(Z5:Z8,Z9:Z9,Z10:Z11)</f>
        <v>3352.7646792847481</v>
      </c>
      <c r="AA18" s="57">
        <f>GEOMEAN(AA5:AA8,AA9:AA9,AA10:AA11)</f>
        <v>4016.339948492172</v>
      </c>
      <c r="AB18" s="57">
        <f>GEOMEAN(AB5:AB8,AB9:AB9,AB10:AB11)</f>
        <v>5.1290812872131202</v>
      </c>
      <c r="AC18" s="57">
        <f>GEOMEAN(AC5:AC8,AC9:AC9,AC10:AC11)</f>
        <v>26.812586085524629</v>
      </c>
      <c r="AW18" s="57">
        <f>GEOMEAN(AW5:AW8,AW9:AW9,AW10:AW11)</f>
        <v>3767.0723399480094</v>
      </c>
      <c r="AX18" s="57">
        <f>GEOMEAN(AX5:AX8,AX9:AX9,AX10:AX11)</f>
        <v>5915.4399007537068</v>
      </c>
      <c r="AY18" s="57">
        <f>GEOMEAN(AY5:AY8,AY9:AY9,AY10:AY11)</f>
        <v>7.6532298353462593</v>
      </c>
      <c r="AZ18" s="57">
        <f>GEOMEAN(AZ5:AZ8,AZ9:AZ9,AZ10:AZ11)</f>
        <v>40.825564294288284</v>
      </c>
    </row>
    <row r="19" spans="2:52" ht="16" outlineLevel="2" collapsed="1" x14ac:dyDescent="0.2">
      <c r="B19" s="55" t="s">
        <v>279</v>
      </c>
      <c r="AW19" s="8">
        <f>AW18/Z18</f>
        <v>1.1235719474209107</v>
      </c>
      <c r="AX19" s="8">
        <f>AX18/AA18</f>
        <v>1.4728434287477337</v>
      </c>
      <c r="AY19" s="8">
        <f>AY18/AB18</f>
        <v>1.4921248868536907</v>
      </c>
      <c r="AZ19" s="8">
        <f>AZ18/AC18</f>
        <v>1.5226268799311706</v>
      </c>
    </row>
  </sheetData>
  <mergeCells count="36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O2:O3"/>
    <mergeCell ref="P2:P3"/>
    <mergeCell ref="Q2:T2"/>
    <mergeCell ref="U2:V2"/>
    <mergeCell ref="W2:Y2"/>
    <mergeCell ref="Z2:AA2"/>
    <mergeCell ref="AB2:AC2"/>
    <mergeCell ref="AE2:AE3"/>
    <mergeCell ref="AF2:AF3"/>
    <mergeCell ref="AG2:AJ2"/>
    <mergeCell ref="BI2:BI3"/>
    <mergeCell ref="BJ2:BM2"/>
    <mergeCell ref="BG2:BG3"/>
    <mergeCell ref="A1:F1"/>
    <mergeCell ref="H1:AC1"/>
    <mergeCell ref="AE1:AZ1"/>
    <mergeCell ref="AT2:AV2"/>
    <mergeCell ref="AW2:AX2"/>
    <mergeCell ref="AY2:AZ2"/>
    <mergeCell ref="BB2:BE2"/>
    <mergeCell ref="BF2:BF3"/>
    <mergeCell ref="AK2:AK3"/>
    <mergeCell ref="AL2:AL3"/>
    <mergeCell ref="AM2:AM3"/>
    <mergeCell ref="AN2:AQ2"/>
    <mergeCell ref="AR2:AS2"/>
  </mergeCells>
  <conditionalFormatting sqref="BB5 BB6 BB7 BB8 BB9 BB10 BB11 BB12 BB13 BB14 BB15">
    <cfRule type="cellIs" dxfId="15" priority="3" operator="greaterThanOrEqual">
      <formula>1.03</formula>
    </cfRule>
    <cfRule type="cellIs" dxfId="14" priority="4" operator="lessThanOrEqual">
      <formula>0.97</formula>
    </cfRule>
  </conditionalFormatting>
  <conditionalFormatting sqref="BC5 BC6 BC7 BC8 BC9 BC10 BC11 BC12 BC13 BC14 BC15">
    <cfRule type="cellIs" dxfId="13" priority="7" operator="greaterThanOrEqual">
      <formula>1.03</formula>
    </cfRule>
    <cfRule type="cellIs" dxfId="12" priority="8" operator="lessThanOrEqual">
      <formula>0.97</formula>
    </cfRule>
  </conditionalFormatting>
  <conditionalFormatting sqref="BD5 BD6 BD7 BD8 BD9 BD10 BD11 BD12 BD13 BD14 BD15">
    <cfRule type="cellIs" dxfId="11" priority="1" operator="greaterThanOrEqual">
      <formula>1.03</formula>
    </cfRule>
    <cfRule type="cellIs" dxfId="10" priority="2" operator="lessThanOrEqual">
      <formula>0.97</formula>
    </cfRule>
  </conditionalFormatting>
  <conditionalFormatting sqref="BE5 BE6 BE7 BE8 BE9 BE10 BE11 BE12 BE13 BE14 BE15">
    <cfRule type="cellIs" dxfId="9" priority="5" operator="greaterThanOrEqual">
      <formula>1.03</formula>
    </cfRule>
    <cfRule type="cellIs" dxfId="8" priority="6" operator="lessThanOrEqual">
      <formula>0.97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M19"/>
  <sheetViews>
    <sheetView tabSelected="1" zoomScale="85" zoomScaleNormal="85" workbookViewId="0">
      <pane xSplit="2" ySplit="4" topLeftCell="AE5" activePane="bottomRight" state="frozen"/>
      <selection pane="topRight" activeCell="C1" sqref="C1"/>
      <selection pane="bottomLeft" activeCell="A5" sqref="A5"/>
      <selection pane="bottomRight" activeCell="AS35" sqref="AS35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60" max="60" width="1.6640625" customWidth="1"/>
    <col min="63" max="63" width="10.5" customWidth="1"/>
    <col min="64" max="64" width="10.1640625" customWidth="1"/>
  </cols>
  <sheetData>
    <row r="1" spans="1:65" x14ac:dyDescent="0.2">
      <c r="A1" s="70" t="s">
        <v>431</v>
      </c>
      <c r="B1" s="70"/>
      <c r="C1" s="70"/>
      <c r="D1" s="70"/>
      <c r="E1" s="70"/>
      <c r="F1" s="70"/>
      <c r="H1" s="65" t="s">
        <v>551</v>
      </c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E1" s="66" t="s">
        <v>552</v>
      </c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</row>
    <row r="2" spans="1:65" ht="30" customHeight="1" thickBot="1" x14ac:dyDescent="0.25">
      <c r="A2" s="69" t="s">
        <v>91</v>
      </c>
      <c r="B2" s="73" t="s">
        <v>94</v>
      </c>
      <c r="C2" s="69" t="s">
        <v>98</v>
      </c>
      <c r="D2" s="73" t="s">
        <v>101</v>
      </c>
      <c r="E2" s="69" t="s">
        <v>104</v>
      </c>
      <c r="F2" s="73" t="s">
        <v>107</v>
      </c>
      <c r="H2" s="69" t="s">
        <v>294</v>
      </c>
      <c r="I2" s="73" t="s">
        <v>110</v>
      </c>
      <c r="J2" s="72" t="s">
        <v>113</v>
      </c>
      <c r="K2" s="72"/>
      <c r="L2" s="72"/>
      <c r="M2" s="72"/>
      <c r="N2" s="69" t="s">
        <v>126</v>
      </c>
      <c r="O2" s="73" t="s">
        <v>129</v>
      </c>
      <c r="P2" s="69" t="s">
        <v>22</v>
      </c>
      <c r="Q2" s="71" t="s">
        <v>136</v>
      </c>
      <c r="R2" s="71"/>
      <c r="S2" s="71"/>
      <c r="T2" s="71"/>
      <c r="U2" s="72" t="s">
        <v>147</v>
      </c>
      <c r="V2" s="72"/>
      <c r="W2" s="71" t="s">
        <v>154</v>
      </c>
      <c r="X2" s="71"/>
      <c r="Y2" s="71"/>
      <c r="Z2" s="72" t="s">
        <v>164</v>
      </c>
      <c r="AA2" s="72"/>
      <c r="AB2" s="71" t="s">
        <v>171</v>
      </c>
      <c r="AC2" s="71"/>
      <c r="AE2" s="69" t="s">
        <v>294</v>
      </c>
      <c r="AF2" s="73" t="s">
        <v>110</v>
      </c>
      <c r="AG2" s="72" t="s">
        <v>113</v>
      </c>
      <c r="AH2" s="72"/>
      <c r="AI2" s="72"/>
      <c r="AJ2" s="72"/>
      <c r="AK2" s="69" t="s">
        <v>186</v>
      </c>
      <c r="AL2" s="73" t="s">
        <v>129</v>
      </c>
      <c r="AM2" s="69" t="s">
        <v>22</v>
      </c>
      <c r="AN2" s="71" t="s">
        <v>136</v>
      </c>
      <c r="AO2" s="71"/>
      <c r="AP2" s="71"/>
      <c r="AQ2" s="71"/>
      <c r="AR2" s="72" t="s">
        <v>147</v>
      </c>
      <c r="AS2" s="72"/>
      <c r="AT2" s="71" t="s">
        <v>154</v>
      </c>
      <c r="AU2" s="71"/>
      <c r="AV2" s="71"/>
      <c r="AW2" s="72" t="s">
        <v>164</v>
      </c>
      <c r="AX2" s="72"/>
      <c r="AY2" s="71" t="s">
        <v>171</v>
      </c>
      <c r="AZ2" s="71"/>
      <c r="BB2" s="72" t="s">
        <v>341</v>
      </c>
      <c r="BC2" s="72"/>
      <c r="BD2" s="72"/>
      <c r="BE2" s="72"/>
      <c r="BF2" s="73" t="s">
        <v>224</v>
      </c>
      <c r="BG2" s="69" t="s">
        <v>224</v>
      </c>
      <c r="BI2" s="67" t="s">
        <v>547</v>
      </c>
      <c r="BJ2" s="68" t="s">
        <v>548</v>
      </c>
      <c r="BK2" s="68"/>
      <c r="BL2" s="68"/>
      <c r="BM2" s="68"/>
    </row>
    <row r="3" spans="1:65" ht="33" thickBot="1" x14ac:dyDescent="0.25">
      <c r="A3" s="69"/>
      <c r="B3" s="73"/>
      <c r="C3" s="69"/>
      <c r="D3" s="73"/>
      <c r="E3" s="69"/>
      <c r="F3" s="73"/>
      <c r="H3" s="69"/>
      <c r="I3" s="73"/>
      <c r="J3" s="11" t="s">
        <v>114</v>
      </c>
      <c r="K3" s="11" t="s">
        <v>117</v>
      </c>
      <c r="L3" s="11" t="s">
        <v>120</v>
      </c>
      <c r="M3" s="11" t="s">
        <v>123</v>
      </c>
      <c r="N3" s="69"/>
      <c r="O3" s="73"/>
      <c r="P3" s="69"/>
      <c r="Q3" s="12" t="s">
        <v>114</v>
      </c>
      <c r="R3" s="12" t="s">
        <v>120</v>
      </c>
      <c r="S3" s="12" t="s">
        <v>141</v>
      </c>
      <c r="T3" s="12" t="s">
        <v>144</v>
      </c>
      <c r="U3" s="11" t="s">
        <v>148</v>
      </c>
      <c r="V3" s="11" t="s">
        <v>151</v>
      </c>
      <c r="W3" s="12" t="s">
        <v>155</v>
      </c>
      <c r="X3" s="12" t="s">
        <v>158</v>
      </c>
      <c r="Y3" s="12" t="s">
        <v>161</v>
      </c>
      <c r="Z3" s="11" t="s">
        <v>165</v>
      </c>
      <c r="AA3" s="11" t="s">
        <v>168</v>
      </c>
      <c r="AB3" s="12" t="s">
        <v>165</v>
      </c>
      <c r="AC3" s="12" t="s">
        <v>168</v>
      </c>
      <c r="AE3" s="69"/>
      <c r="AF3" s="73"/>
      <c r="AG3" s="11" t="s">
        <v>114</v>
      </c>
      <c r="AH3" s="11" t="s">
        <v>117</v>
      </c>
      <c r="AI3" s="11" t="s">
        <v>120</v>
      </c>
      <c r="AJ3" s="11" t="s">
        <v>123</v>
      </c>
      <c r="AK3" s="69"/>
      <c r="AL3" s="73"/>
      <c r="AM3" s="69"/>
      <c r="AN3" s="12" t="s">
        <v>114</v>
      </c>
      <c r="AO3" s="12" t="s">
        <v>120</v>
      </c>
      <c r="AP3" s="12" t="s">
        <v>141</v>
      </c>
      <c r="AQ3" s="12" t="s">
        <v>144</v>
      </c>
      <c r="AR3" s="11" t="s">
        <v>148</v>
      </c>
      <c r="AS3" s="11" t="s">
        <v>151</v>
      </c>
      <c r="AT3" s="12" t="s">
        <v>155</v>
      </c>
      <c r="AU3" s="12" t="s">
        <v>158</v>
      </c>
      <c r="AV3" s="12" t="s">
        <v>161</v>
      </c>
      <c r="AW3" s="11" t="s">
        <v>165</v>
      </c>
      <c r="AX3" s="11" t="s">
        <v>168</v>
      </c>
      <c r="AY3" s="12" t="s">
        <v>165</v>
      </c>
      <c r="AZ3" s="12" t="s">
        <v>168</v>
      </c>
      <c r="BB3" s="11" t="s">
        <v>114</v>
      </c>
      <c r="BC3" s="11" t="s">
        <v>117</v>
      </c>
      <c r="BD3" s="11" t="s">
        <v>120</v>
      </c>
      <c r="BE3" s="11" t="s">
        <v>144</v>
      </c>
      <c r="BF3" s="73"/>
      <c r="BG3" s="69"/>
      <c r="BI3" s="67"/>
      <c r="BJ3" s="58" t="s">
        <v>114</v>
      </c>
      <c r="BK3" s="58" t="s">
        <v>120</v>
      </c>
      <c r="BL3" s="58" t="s">
        <v>141</v>
      </c>
      <c r="BM3" s="58" t="s">
        <v>144</v>
      </c>
    </row>
    <row r="4" spans="1:65" ht="127" hidden="1" thickBot="1" x14ac:dyDescent="0.25">
      <c r="A4" s="13" t="s">
        <v>92</v>
      </c>
      <c r="B4" s="14" t="s">
        <v>95</v>
      </c>
      <c r="C4" s="13" t="s">
        <v>99</v>
      </c>
      <c r="D4" s="14" t="s">
        <v>102</v>
      </c>
      <c r="E4" s="13" t="s">
        <v>105</v>
      </c>
      <c r="F4" s="14" t="s">
        <v>108</v>
      </c>
      <c r="H4" s="13" t="s">
        <v>295</v>
      </c>
      <c r="I4" s="14" t="s">
        <v>111</v>
      </c>
      <c r="J4" s="13" t="s">
        <v>115</v>
      </c>
      <c r="K4" s="13" t="s">
        <v>118</v>
      </c>
      <c r="L4" s="13" t="s">
        <v>121</v>
      </c>
      <c r="M4" s="13" t="s">
        <v>124</v>
      </c>
      <c r="N4" s="13" t="s">
        <v>127</v>
      </c>
      <c r="O4" s="14" t="s">
        <v>130</v>
      </c>
      <c r="P4" s="13" t="s">
        <v>132</v>
      </c>
      <c r="Q4" s="14" t="s">
        <v>137</v>
      </c>
      <c r="R4" s="14" t="s">
        <v>139</v>
      </c>
      <c r="S4" s="14" t="s">
        <v>142</v>
      </c>
      <c r="T4" s="14" t="s">
        <v>145</v>
      </c>
      <c r="U4" s="13" t="s">
        <v>149</v>
      </c>
      <c r="V4" s="13" t="s">
        <v>152</v>
      </c>
      <c r="W4" s="14" t="s">
        <v>156</v>
      </c>
      <c r="X4" s="14" t="s">
        <v>159</v>
      </c>
      <c r="Y4" s="14" t="s">
        <v>162</v>
      </c>
      <c r="Z4" s="13" t="s">
        <v>166</v>
      </c>
      <c r="AA4" s="13" t="s">
        <v>169</v>
      </c>
      <c r="AB4" s="14" t="s">
        <v>172</v>
      </c>
      <c r="AC4" s="14" t="s">
        <v>174</v>
      </c>
      <c r="AE4" s="13" t="s">
        <v>318</v>
      </c>
      <c r="AF4" s="14" t="s">
        <v>176</v>
      </c>
      <c r="AG4" s="13" t="s">
        <v>178</v>
      </c>
      <c r="AH4" s="13" t="s">
        <v>180</v>
      </c>
      <c r="AI4" s="13" t="s">
        <v>182</v>
      </c>
      <c r="AJ4" s="13" t="s">
        <v>184</v>
      </c>
      <c r="AK4" s="13" t="s">
        <v>187</v>
      </c>
      <c r="AL4" s="14" t="s">
        <v>189</v>
      </c>
      <c r="AM4" s="13" t="s">
        <v>191</v>
      </c>
      <c r="AN4" s="14" t="s">
        <v>195</v>
      </c>
      <c r="AO4" s="14" t="s">
        <v>197</v>
      </c>
      <c r="AP4" s="14" t="s">
        <v>199</v>
      </c>
      <c r="AQ4" s="14" t="s">
        <v>201</v>
      </c>
      <c r="AR4" s="13" t="s">
        <v>203</v>
      </c>
      <c r="AS4" s="13" t="s">
        <v>205</v>
      </c>
      <c r="AT4" s="14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4" t="s">
        <v>217</v>
      </c>
      <c r="AZ4" s="14" t="s">
        <v>219</v>
      </c>
      <c r="BB4" s="13" t="s">
        <v>342</v>
      </c>
      <c r="BC4" s="13" t="s">
        <v>221</v>
      </c>
      <c r="BD4" s="13" t="s">
        <v>345</v>
      </c>
      <c r="BE4" s="13" t="s">
        <v>347</v>
      </c>
      <c r="BF4" s="14" t="s">
        <v>225</v>
      </c>
      <c r="BG4" s="13" t="s">
        <v>227</v>
      </c>
      <c r="BI4" s="4"/>
      <c r="BJ4" s="4"/>
      <c r="BK4" s="4"/>
      <c r="BL4" s="4"/>
      <c r="BM4" s="4"/>
    </row>
    <row r="5" spans="1:65" collapsed="1" x14ac:dyDescent="0.2">
      <c r="A5" s="15" t="s">
        <v>248</v>
      </c>
      <c r="B5" s="15" t="s">
        <v>247</v>
      </c>
      <c r="C5" s="15">
        <v>24964341</v>
      </c>
      <c r="D5" s="16">
        <v>10</v>
      </c>
      <c r="E5" s="16">
        <v>32</v>
      </c>
      <c r="F5" s="16">
        <v>30</v>
      </c>
      <c r="H5" s="24">
        <f t="shared" ref="H5:H11" si="0">IF(ISBLANK(Q5),"·",Q5/(C5*(D5*3+IF(AND(ISNUMBER(T5),T5&gt;0),24,0))))</f>
        <v>0.16318706275809489</v>
      </c>
      <c r="I5" s="17">
        <f t="shared" ref="I5:I11" si="1">IF(OR(ISBLANK(Q5),ISBLANK(F5)),"·",Q5*F5/E5/1000000)</f>
        <v>206.239035</v>
      </c>
      <c r="J5" s="18">
        <f t="shared" ref="J5:J11" si="2">IF(ISBLANK(Q5),"·",Q5/C5)</f>
        <v>8.8121013889371245</v>
      </c>
      <c r="K5" s="18">
        <f t="shared" ref="K5:K11" si="3">IF(N5="","·",N5/C5)</f>
        <v>1.3647853952964351</v>
      </c>
      <c r="L5" s="18">
        <f t="shared" ref="L5:L11" si="4">IF(R5="","·",R5/C5)</f>
        <v>1.27838471682469</v>
      </c>
      <c r="M5" s="18">
        <f t="shared" ref="M5:M11" si="5">IF(ISBLANK(T5),"·",T5/C5)</f>
        <v>7.4473159936406894</v>
      </c>
      <c r="N5" s="15">
        <f t="shared" ref="N5:N11" si="6">IF(OR(ISBLANK(R5),ISBLANK(S5)),"",R5+S5)</f>
        <v>34070968</v>
      </c>
      <c r="O5" s="18">
        <f t="shared" ref="O5:O11" si="7">IF(ISBLANK(Q5),"·",Q5/P5)</f>
        <v>8.8121013889371245</v>
      </c>
      <c r="P5" s="19">
        <v>24964341</v>
      </c>
      <c r="Q5" s="20">
        <v>219988304</v>
      </c>
      <c r="R5" s="20">
        <v>31914032</v>
      </c>
      <c r="S5" s="20">
        <v>2156936</v>
      </c>
      <c r="T5" s="20">
        <v>185917336</v>
      </c>
      <c r="U5" s="21"/>
      <c r="V5" s="21"/>
      <c r="W5" s="21"/>
      <c r="X5" s="21"/>
      <c r="Y5" s="21"/>
      <c r="Z5" s="22">
        <v>3234.64</v>
      </c>
      <c r="AA5" s="22">
        <v>4271.8500000000004</v>
      </c>
      <c r="AB5" s="22">
        <v>4.3899999999999997</v>
      </c>
      <c r="AC5" s="22">
        <v>22.027000000000001</v>
      </c>
      <c r="AE5" s="24">
        <f t="shared" ref="AE5:AE11" si="8">IF(ISBLANK(Q5),"·",Q5/(C5*(D5*3+IF(AND(ISNUMBER(T5),T5&gt;0),24,0))))</f>
        <v>0.16318706275809489</v>
      </c>
      <c r="AF5" s="17">
        <f t="shared" ref="AF5:AF11" si="9">IF(OR(ISBLANK(AN5),ISBLANK(F5)),"·",AN5*F5/E5/1000000)</f>
        <v>206.11806000000001</v>
      </c>
      <c r="AG5" s="18">
        <f t="shared" ref="AG5:AG11" si="10">IF(ISBLANK(AN5),"·",AN5/C5)</f>
        <v>8.8069324161210591</v>
      </c>
      <c r="AH5" s="18">
        <f t="shared" ref="AH5:AH11" si="11">IF(AK5="","·",AK5/C5)</f>
        <v>1.3647148947372574</v>
      </c>
      <c r="AI5" s="18">
        <f t="shared" ref="AI5:AI11" si="12">IF(AO5="","·",AO5/C5)</f>
        <v>1.2791143976121782</v>
      </c>
      <c r="AJ5" s="18">
        <f t="shared" ref="AJ5:AJ11" si="13">IF(ISBLANK(AQ5),"·",AQ5/C5)</f>
        <v>7.4422175213838013</v>
      </c>
      <c r="AK5" s="15">
        <f t="shared" ref="AK5:AK11" si="14">IF(OR(ISBLANK(AO5),ISBLANK(AP5)),"",AO5+AP5)</f>
        <v>34069208</v>
      </c>
      <c r="AL5" s="18">
        <f t="shared" ref="AL5:AL11" si="15">IF(ISBLANK(AN5),"·",AN5/AM5)</f>
        <v>8.8069324161210591</v>
      </c>
      <c r="AM5" s="19">
        <v>24964341</v>
      </c>
      <c r="AN5" s="20">
        <v>219859264</v>
      </c>
      <c r="AO5" s="20">
        <v>31932248</v>
      </c>
      <c r="AP5" s="20">
        <v>2136960</v>
      </c>
      <c r="AQ5" s="20">
        <v>185790056</v>
      </c>
      <c r="AR5" s="21"/>
      <c r="AS5" s="21"/>
      <c r="AT5" s="21"/>
      <c r="AU5" s="21"/>
      <c r="AV5" s="21"/>
      <c r="AW5" s="22">
        <v>3173.25</v>
      </c>
      <c r="AX5" s="22">
        <v>4191.2</v>
      </c>
      <c r="AY5" s="22">
        <v>4.3239999999999998</v>
      </c>
      <c r="AZ5" s="22">
        <v>21.913</v>
      </c>
      <c r="BB5" s="23">
        <f t="shared" ref="BB5:BB15" si="16">AG5/J5</f>
        <v>0.99941342336090744</v>
      </c>
      <c r="BC5" s="23">
        <f t="shared" ref="BC5:BC15" si="17">AH5/K5</f>
        <v>0.99994834311722514</v>
      </c>
      <c r="BD5" s="23">
        <f t="shared" ref="BD5:BD15" si="18">AI5/L5</f>
        <v>1.00057078340963</v>
      </c>
      <c r="BE5" s="23">
        <f t="shared" ref="BE5:BE15" si="19">AJ5/M5</f>
        <v>0.99931539466550878</v>
      </c>
      <c r="BF5" s="24">
        <f t="shared" ref="BF5:BF11" si="20">(AK5/AN5) - (N5/Q5)</f>
        <v>8.2895000958760345E-5</v>
      </c>
      <c r="BG5" s="24">
        <f t="array" ref="BG5">AVERAGE(AK5:AK5/AN5:AN5) - AVERAGE(N5:N5/Q5:Q5)</f>
        <v>8.2895000958760345E-5</v>
      </c>
      <c r="BI5" s="4">
        <f>AM5-P5</f>
        <v>0</v>
      </c>
      <c r="BJ5" s="4">
        <f t="shared" ref="BJ5:BM11" si="21">AN5-Q5</f>
        <v>-129040</v>
      </c>
      <c r="BK5" s="4">
        <f t="shared" si="21"/>
        <v>18216</v>
      </c>
      <c r="BL5" s="4">
        <f t="shared" si="21"/>
        <v>-19976</v>
      </c>
      <c r="BM5" s="4">
        <f t="shared" si="21"/>
        <v>-127280</v>
      </c>
    </row>
    <row r="6" spans="1:65" collapsed="1" x14ac:dyDescent="0.2">
      <c r="A6" s="25"/>
      <c r="B6" s="25" t="s">
        <v>251</v>
      </c>
      <c r="C6" s="25">
        <v>22654789</v>
      </c>
      <c r="D6" s="26">
        <v>10</v>
      </c>
      <c r="E6" s="26">
        <v>32</v>
      </c>
      <c r="F6" s="26">
        <v>30</v>
      </c>
      <c r="H6" s="34">
        <f t="shared" si="0"/>
        <v>0.23519909745908144</v>
      </c>
      <c r="I6" s="27">
        <f t="shared" si="1"/>
        <v>269.74953749999997</v>
      </c>
      <c r="J6" s="28">
        <f t="shared" si="2"/>
        <v>12.700751262790398</v>
      </c>
      <c r="K6" s="28">
        <f t="shared" si="3"/>
        <v>1.701679940607701</v>
      </c>
      <c r="L6" s="28">
        <f t="shared" si="4"/>
        <v>1.5483362921632156</v>
      </c>
      <c r="M6" s="28">
        <f t="shared" si="5"/>
        <v>10.999071322182695</v>
      </c>
      <c r="N6" s="25">
        <f t="shared" si="6"/>
        <v>38551200</v>
      </c>
      <c r="O6" s="28">
        <f t="shared" si="7"/>
        <v>12.700751262790398</v>
      </c>
      <c r="P6" s="29">
        <v>22654789</v>
      </c>
      <c r="Q6" s="30">
        <v>287732840</v>
      </c>
      <c r="R6" s="30">
        <v>35077232</v>
      </c>
      <c r="S6" s="30">
        <v>3473968</v>
      </c>
      <c r="T6" s="30">
        <v>249181640</v>
      </c>
      <c r="U6" s="31"/>
      <c r="V6" s="31"/>
      <c r="W6" s="31"/>
      <c r="X6" s="31"/>
      <c r="Y6" s="31"/>
      <c r="Z6" s="32">
        <v>3228.98</v>
      </c>
      <c r="AA6" s="32">
        <v>5004.92</v>
      </c>
      <c r="AB6" s="32">
        <v>4.1769999999999996</v>
      </c>
      <c r="AC6" s="32">
        <v>23.58</v>
      </c>
      <c r="AE6" s="34">
        <f t="shared" si="8"/>
        <v>0.23519909745908144</v>
      </c>
      <c r="AF6" s="27">
        <f t="shared" si="9"/>
        <v>269.37902250000002</v>
      </c>
      <c r="AG6" s="28">
        <f t="shared" si="10"/>
        <v>12.683306121279699</v>
      </c>
      <c r="AH6" s="28">
        <f t="shared" si="11"/>
        <v>1.7023695961149758</v>
      </c>
      <c r="AI6" s="28">
        <f t="shared" si="12"/>
        <v>1.5512905461180857</v>
      </c>
      <c r="AJ6" s="28">
        <f t="shared" si="13"/>
        <v>10.980936525164724</v>
      </c>
      <c r="AK6" s="25">
        <f t="shared" si="14"/>
        <v>38566824</v>
      </c>
      <c r="AL6" s="28">
        <f t="shared" si="15"/>
        <v>12.683306121279699</v>
      </c>
      <c r="AM6" s="29">
        <v>22654789</v>
      </c>
      <c r="AN6" s="30">
        <v>287337624</v>
      </c>
      <c r="AO6" s="30">
        <v>35144160</v>
      </c>
      <c r="AP6" s="30">
        <v>3422664</v>
      </c>
      <c r="AQ6" s="30">
        <v>248770800</v>
      </c>
      <c r="AR6" s="31"/>
      <c r="AS6" s="31"/>
      <c r="AT6" s="31"/>
      <c r="AU6" s="31"/>
      <c r="AV6" s="31"/>
      <c r="AW6" s="32">
        <v>6524.1</v>
      </c>
      <c r="AX6" s="32">
        <v>6094.81</v>
      </c>
      <c r="AY6" s="32">
        <v>5.0789999999999997</v>
      </c>
      <c r="AZ6" s="32">
        <v>33.101999999999997</v>
      </c>
      <c r="BB6" s="33">
        <f t="shared" si="16"/>
        <v>0.9986264480620286</v>
      </c>
      <c r="BC6" s="33">
        <f t="shared" si="17"/>
        <v>1.0004052792130984</v>
      </c>
      <c r="BD6" s="33">
        <f t="shared" si="18"/>
        <v>1.0019080182837687</v>
      </c>
      <c r="BE6" s="33">
        <f t="shared" si="19"/>
        <v>0.9983512428925343</v>
      </c>
      <c r="BF6" s="34">
        <f t="shared" si="20"/>
        <v>2.3866027190064254E-4</v>
      </c>
      <c r="BG6" s="34">
        <f t="array" ref="BG6">AVERAGE(AK6:AK6/AN6:AN6) - AVERAGE(N6:N6/Q6:Q6)</f>
        <v>2.3866027190064254E-4</v>
      </c>
      <c r="BI6" s="4">
        <f t="shared" ref="BI6:BI11" si="22">AM6-P6</f>
        <v>0</v>
      </c>
      <c r="BJ6" s="4">
        <f t="shared" si="21"/>
        <v>-395216</v>
      </c>
      <c r="BK6" s="4">
        <f t="shared" si="21"/>
        <v>66928</v>
      </c>
      <c r="BL6" s="4">
        <f t="shared" si="21"/>
        <v>-51304</v>
      </c>
      <c r="BM6" s="4">
        <f t="shared" si="21"/>
        <v>-410840</v>
      </c>
    </row>
    <row r="7" spans="1:65" collapsed="1" x14ac:dyDescent="0.2">
      <c r="A7" s="15"/>
      <c r="B7" s="15" t="s">
        <v>254</v>
      </c>
      <c r="C7" s="15">
        <v>33947718</v>
      </c>
      <c r="D7" s="16">
        <v>10</v>
      </c>
      <c r="E7" s="16">
        <v>32</v>
      </c>
      <c r="F7" s="16">
        <v>30</v>
      </c>
      <c r="H7" s="24">
        <f t="shared" si="0"/>
        <v>0.17896661850131712</v>
      </c>
      <c r="I7" s="17">
        <f t="shared" si="1"/>
        <v>307.5726075</v>
      </c>
      <c r="J7" s="18">
        <f t="shared" si="2"/>
        <v>9.6641973990711243</v>
      </c>
      <c r="K7" s="18">
        <f t="shared" si="3"/>
        <v>1.5023308488658944</v>
      </c>
      <c r="L7" s="18">
        <f t="shared" si="4"/>
        <v>1.3829979381824722</v>
      </c>
      <c r="M7" s="18">
        <f t="shared" si="5"/>
        <v>8.1618665502052306</v>
      </c>
      <c r="N7" s="15">
        <f t="shared" si="6"/>
        <v>51000704</v>
      </c>
      <c r="O7" s="18">
        <f t="shared" si="7"/>
        <v>9.6641973990711243</v>
      </c>
      <c r="P7" s="19">
        <v>33947718</v>
      </c>
      <c r="Q7" s="20">
        <v>328077448</v>
      </c>
      <c r="R7" s="20">
        <v>46949624</v>
      </c>
      <c r="S7" s="20">
        <v>4051080</v>
      </c>
      <c r="T7" s="20">
        <v>277076744</v>
      </c>
      <c r="U7" s="21"/>
      <c r="V7" s="21"/>
      <c r="W7" s="21"/>
      <c r="X7" s="21"/>
      <c r="Y7" s="21"/>
      <c r="Z7" s="22">
        <v>4687.57</v>
      </c>
      <c r="AA7" s="22">
        <v>5752.83</v>
      </c>
      <c r="AB7" s="22">
        <v>6.2439999999999998</v>
      </c>
      <c r="AC7" s="22">
        <v>27.393000000000001</v>
      </c>
      <c r="AE7" s="24">
        <f t="shared" si="8"/>
        <v>0.17896661850131712</v>
      </c>
      <c r="AF7" s="17">
        <f t="shared" si="9"/>
        <v>306.59654999999998</v>
      </c>
      <c r="AG7" s="18">
        <f t="shared" si="10"/>
        <v>9.633528828064378</v>
      </c>
      <c r="AH7" s="18">
        <f t="shared" si="11"/>
        <v>1.4953236031947714</v>
      </c>
      <c r="AI7" s="18">
        <f t="shared" si="12"/>
        <v>1.3809816612710168</v>
      </c>
      <c r="AJ7" s="18">
        <f t="shared" si="13"/>
        <v>8.1382052248696066</v>
      </c>
      <c r="AK7" s="15">
        <f t="shared" si="14"/>
        <v>50762824</v>
      </c>
      <c r="AL7" s="18">
        <f t="shared" si="15"/>
        <v>9.633528828064378</v>
      </c>
      <c r="AM7" s="19">
        <v>33947718</v>
      </c>
      <c r="AN7" s="20">
        <v>327036320</v>
      </c>
      <c r="AO7" s="20">
        <v>46881176</v>
      </c>
      <c r="AP7" s="20">
        <v>3881648</v>
      </c>
      <c r="AQ7" s="20">
        <v>276273496</v>
      </c>
      <c r="AR7" s="21"/>
      <c r="AS7" s="21"/>
      <c r="AT7" s="21"/>
      <c r="AU7" s="21"/>
      <c r="AV7" s="21"/>
      <c r="AW7" s="22">
        <v>7831.7</v>
      </c>
      <c r="AX7" s="22">
        <v>6933.91</v>
      </c>
      <c r="AY7" s="22">
        <v>7.4039999999999999</v>
      </c>
      <c r="AZ7" s="22">
        <v>37.85</v>
      </c>
      <c r="BB7" s="23">
        <f t="shared" si="16"/>
        <v>0.99682657858274981</v>
      </c>
      <c r="BC7" s="23">
        <f t="shared" si="17"/>
        <v>0.9953357506594418</v>
      </c>
      <c r="BD7" s="23">
        <f t="shared" si="18"/>
        <v>0.99854209695055285</v>
      </c>
      <c r="BE7" s="23">
        <f t="shared" si="19"/>
        <v>0.9971009909081362</v>
      </c>
      <c r="BF7" s="24">
        <f t="shared" si="20"/>
        <v>-2.3249183341947366E-4</v>
      </c>
      <c r="BG7" s="24">
        <f t="array" ref="BG7">AVERAGE(AK7:AK7/AN7:AN7) - AVERAGE(N7:N7/Q7:Q7)</f>
        <v>-2.3249183341947366E-4</v>
      </c>
      <c r="BI7" s="4">
        <f t="shared" si="22"/>
        <v>0</v>
      </c>
      <c r="BJ7" s="4">
        <f t="shared" si="21"/>
        <v>-1041128</v>
      </c>
      <c r="BK7" s="4">
        <f t="shared" si="21"/>
        <v>-68448</v>
      </c>
      <c r="BL7" s="4">
        <f t="shared" si="21"/>
        <v>-169432</v>
      </c>
      <c r="BM7" s="4">
        <f t="shared" si="21"/>
        <v>-803248</v>
      </c>
    </row>
    <row r="8" spans="1:65" ht="16" collapsed="1" thickBot="1" x14ac:dyDescent="0.25">
      <c r="A8" s="45"/>
      <c r="B8" s="45" t="s">
        <v>257</v>
      </c>
      <c r="C8" s="45">
        <v>32209643</v>
      </c>
      <c r="D8" s="46">
        <v>10</v>
      </c>
      <c r="E8" s="46">
        <v>32</v>
      </c>
      <c r="F8" s="46">
        <v>50</v>
      </c>
      <c r="H8" s="54">
        <f t="shared" si="0"/>
        <v>0.13451106805131249</v>
      </c>
      <c r="I8" s="47">
        <f t="shared" si="1"/>
        <v>365.55919999999998</v>
      </c>
      <c r="J8" s="48">
        <f t="shared" si="2"/>
        <v>7.2635976747708755</v>
      </c>
      <c r="K8" s="48">
        <f t="shared" si="3"/>
        <v>0.91875641092948468</v>
      </c>
      <c r="L8" s="48">
        <f t="shared" si="4"/>
        <v>0.80980369760695581</v>
      </c>
      <c r="M8" s="48">
        <f t="shared" si="5"/>
        <v>6.3448412638413902</v>
      </c>
      <c r="N8" s="45">
        <f t="shared" si="6"/>
        <v>29592816</v>
      </c>
      <c r="O8" s="48">
        <f t="shared" si="7"/>
        <v>7.2635976747708755</v>
      </c>
      <c r="P8" s="49">
        <v>32209643</v>
      </c>
      <c r="Q8" s="50">
        <v>233957888</v>
      </c>
      <c r="R8" s="50">
        <v>26083488</v>
      </c>
      <c r="S8" s="50">
        <v>3509328</v>
      </c>
      <c r="T8" s="50">
        <v>204365072</v>
      </c>
      <c r="U8" s="51"/>
      <c r="V8" s="51"/>
      <c r="W8" s="51"/>
      <c r="X8" s="51"/>
      <c r="Y8" s="51"/>
      <c r="Z8" s="52">
        <v>6299.63</v>
      </c>
      <c r="AA8" s="52">
        <v>5504.43</v>
      </c>
      <c r="AB8" s="52">
        <v>7.0510000000000002</v>
      </c>
      <c r="AC8" s="52">
        <v>35.158000000000001</v>
      </c>
      <c r="AE8" s="54">
        <f t="shared" si="8"/>
        <v>0.13451106805131249</v>
      </c>
      <c r="AF8" s="47">
        <f t="shared" si="9"/>
        <v>365.38321250000001</v>
      </c>
      <c r="AG8" s="48">
        <f t="shared" si="10"/>
        <v>7.2601008337782567</v>
      </c>
      <c r="AH8" s="48">
        <f t="shared" si="11"/>
        <v>0.91724506229392233</v>
      </c>
      <c r="AI8" s="48">
        <f t="shared" si="12"/>
        <v>0.80996191109600313</v>
      </c>
      <c r="AJ8" s="48">
        <f t="shared" si="13"/>
        <v>6.3428557714843343</v>
      </c>
      <c r="AK8" s="45">
        <f t="shared" si="14"/>
        <v>29544136</v>
      </c>
      <c r="AL8" s="48">
        <f t="shared" si="15"/>
        <v>7.2601008337782567</v>
      </c>
      <c r="AM8" s="49">
        <v>32209643</v>
      </c>
      <c r="AN8" s="50">
        <v>233845256</v>
      </c>
      <c r="AO8" s="50">
        <v>26088584</v>
      </c>
      <c r="AP8" s="50">
        <v>3455552</v>
      </c>
      <c r="AQ8" s="50">
        <v>204301120</v>
      </c>
      <c r="AR8" s="51"/>
      <c r="AS8" s="51"/>
      <c r="AT8" s="51"/>
      <c r="AU8" s="51"/>
      <c r="AV8" s="51"/>
      <c r="AW8" s="52">
        <v>3913.5</v>
      </c>
      <c r="AX8" s="52">
        <v>4152.8900000000003</v>
      </c>
      <c r="AY8" s="52">
        <v>5.157</v>
      </c>
      <c r="AZ8" s="52">
        <v>23.568999999999999</v>
      </c>
      <c r="BB8" s="53">
        <f t="shared" si="16"/>
        <v>0.99951858002753036</v>
      </c>
      <c r="BC8" s="53">
        <f t="shared" si="17"/>
        <v>0.99835500616095474</v>
      </c>
      <c r="BD8" s="53">
        <f t="shared" si="18"/>
        <v>1.0001953726434132</v>
      </c>
      <c r="BE8" s="53">
        <f t="shared" si="19"/>
        <v>0.99968706981396505</v>
      </c>
      <c r="BF8" s="54">
        <f t="shared" si="20"/>
        <v>-1.4724877436034234E-4</v>
      </c>
      <c r="BG8" s="54">
        <f t="array" ref="BG8">AVERAGE(AK8:AK8/AN8:AN8) - AVERAGE(N8:N8/Q8:Q8)</f>
        <v>-1.4724877436034234E-4</v>
      </c>
      <c r="BI8" s="4">
        <f t="shared" si="22"/>
        <v>0</v>
      </c>
      <c r="BJ8" s="4">
        <f t="shared" si="21"/>
        <v>-112632</v>
      </c>
      <c r="BK8" s="4">
        <f t="shared" si="21"/>
        <v>5096</v>
      </c>
      <c r="BL8" s="4">
        <f t="shared" si="21"/>
        <v>-53776</v>
      </c>
      <c r="BM8" s="4">
        <f t="shared" si="21"/>
        <v>-63952</v>
      </c>
    </row>
    <row r="9" spans="1:65" ht="16" collapsed="1" thickBot="1" x14ac:dyDescent="0.25">
      <c r="A9" s="35" t="s">
        <v>261</v>
      </c>
      <c r="B9" s="35" t="s">
        <v>260</v>
      </c>
      <c r="C9" s="35">
        <v>25312408</v>
      </c>
      <c r="D9" s="36">
        <v>10</v>
      </c>
      <c r="E9" s="36">
        <v>32</v>
      </c>
      <c r="F9" s="36">
        <v>30</v>
      </c>
      <c r="H9" s="44">
        <f t="shared" si="0"/>
        <v>0.2748532041852535</v>
      </c>
      <c r="I9" s="37">
        <f t="shared" si="1"/>
        <v>352.20807000000002</v>
      </c>
      <c r="J9" s="38">
        <f t="shared" si="2"/>
        <v>14.842073026003689</v>
      </c>
      <c r="K9" s="38">
        <f t="shared" si="3"/>
        <v>1.5085578582646109</v>
      </c>
      <c r="L9" s="38">
        <f t="shared" si="4"/>
        <v>1.408000060681702</v>
      </c>
      <c r="M9" s="38">
        <f t="shared" si="5"/>
        <v>13.333515167739078</v>
      </c>
      <c r="N9" s="35">
        <f t="shared" si="6"/>
        <v>38185232</v>
      </c>
      <c r="O9" s="38">
        <f t="shared" si="7"/>
        <v>14.842073026003689</v>
      </c>
      <c r="P9" s="39">
        <v>25312408</v>
      </c>
      <c r="Q9" s="40">
        <v>375688608</v>
      </c>
      <c r="R9" s="40">
        <v>35639872</v>
      </c>
      <c r="S9" s="40">
        <v>2545360</v>
      </c>
      <c r="T9" s="40">
        <v>337503376</v>
      </c>
      <c r="U9" s="41"/>
      <c r="V9" s="41"/>
      <c r="W9" s="41"/>
      <c r="X9" s="41"/>
      <c r="Y9" s="41"/>
      <c r="Z9" s="42">
        <v>1881.05</v>
      </c>
      <c r="AA9" s="42">
        <v>6890.94</v>
      </c>
      <c r="AB9" s="42">
        <v>6.2709999999999999</v>
      </c>
      <c r="AC9" s="42">
        <v>38.658999999999999</v>
      </c>
      <c r="AE9" s="44">
        <f t="shared" si="8"/>
        <v>0.2748532041852535</v>
      </c>
      <c r="AF9" s="37">
        <f t="shared" si="9"/>
        <v>351.46601249999998</v>
      </c>
      <c r="AG9" s="38">
        <f t="shared" si="10"/>
        <v>14.81080267037415</v>
      </c>
      <c r="AH9" s="38">
        <f t="shared" si="11"/>
        <v>1.5045686684569877</v>
      </c>
      <c r="AI9" s="38">
        <f t="shared" si="12"/>
        <v>1.407374912730547</v>
      </c>
      <c r="AJ9" s="38">
        <f t="shared" si="13"/>
        <v>13.306234001917163</v>
      </c>
      <c r="AK9" s="35">
        <f t="shared" si="14"/>
        <v>38084256</v>
      </c>
      <c r="AL9" s="38">
        <f t="shared" si="15"/>
        <v>14.81080267037415</v>
      </c>
      <c r="AM9" s="39">
        <v>25312408</v>
      </c>
      <c r="AN9" s="40">
        <v>374897080</v>
      </c>
      <c r="AO9" s="40">
        <v>35624048</v>
      </c>
      <c r="AP9" s="40">
        <v>2460208</v>
      </c>
      <c r="AQ9" s="40">
        <v>336812824</v>
      </c>
      <c r="AR9" s="41"/>
      <c r="AS9" s="41"/>
      <c r="AT9" s="41"/>
      <c r="AU9" s="41"/>
      <c r="AV9" s="41"/>
      <c r="AW9" s="42">
        <v>2195.0500000000002</v>
      </c>
      <c r="AX9" s="42">
        <v>7011.14</v>
      </c>
      <c r="AY9" s="42">
        <v>5.3780000000000001</v>
      </c>
      <c r="AZ9" s="42">
        <v>43.673999999999999</v>
      </c>
      <c r="BB9" s="43">
        <f t="shared" si="16"/>
        <v>0.99789312749137182</v>
      </c>
      <c r="BC9" s="43">
        <f t="shared" si="17"/>
        <v>0.99735562690832935</v>
      </c>
      <c r="BD9" s="43">
        <f t="shared" si="18"/>
        <v>0.99955600289473545</v>
      </c>
      <c r="BE9" s="43">
        <f t="shared" si="19"/>
        <v>0.99795394046665786</v>
      </c>
      <c r="BF9" s="44">
        <f t="shared" si="20"/>
        <v>-5.4747250801762126E-5</v>
      </c>
      <c r="BG9" s="44">
        <f t="array" ref="BG9">AVERAGE(AK9:AK9/AN9:AN9) - AVERAGE(N9:N9/Q9:Q9)</f>
        <v>-5.4747250801762126E-5</v>
      </c>
      <c r="BI9" s="4">
        <f t="shared" si="22"/>
        <v>0</v>
      </c>
      <c r="BJ9" s="4">
        <f t="shared" si="21"/>
        <v>-791528</v>
      </c>
      <c r="BK9" s="4">
        <f t="shared" si="21"/>
        <v>-15824</v>
      </c>
      <c r="BL9" s="4">
        <f t="shared" si="21"/>
        <v>-85152</v>
      </c>
      <c r="BM9" s="4">
        <f t="shared" si="21"/>
        <v>-690552</v>
      </c>
    </row>
    <row r="10" spans="1:65" collapsed="1" x14ac:dyDescent="0.2">
      <c r="A10" s="25" t="s">
        <v>265</v>
      </c>
      <c r="B10" s="25" t="s">
        <v>264</v>
      </c>
      <c r="C10" s="25">
        <v>92854683</v>
      </c>
      <c r="D10" s="26">
        <v>11</v>
      </c>
      <c r="E10" s="26">
        <v>32</v>
      </c>
      <c r="F10" s="26">
        <v>30</v>
      </c>
      <c r="H10" s="34" t="str">
        <f t="shared" si="0"/>
        <v>·</v>
      </c>
      <c r="I10" s="27" t="str">
        <f t="shared" si="1"/>
        <v>·</v>
      </c>
      <c r="J10" s="28" t="str">
        <f t="shared" si="2"/>
        <v>·</v>
      </c>
      <c r="K10" s="28" t="str">
        <f t="shared" si="3"/>
        <v>·</v>
      </c>
      <c r="L10" s="28" t="str">
        <f t="shared" si="4"/>
        <v>·</v>
      </c>
      <c r="M10" s="28" t="str">
        <f t="shared" si="5"/>
        <v>·</v>
      </c>
      <c r="N10" s="25" t="str">
        <f t="shared" si="6"/>
        <v/>
      </c>
      <c r="O10" s="28" t="str">
        <f t="shared" si="7"/>
        <v>·</v>
      </c>
      <c r="P10" s="29"/>
      <c r="Q10" s="30"/>
      <c r="R10" s="30"/>
      <c r="S10" s="30"/>
      <c r="T10" s="30"/>
      <c r="U10" s="31"/>
      <c r="V10" s="31"/>
      <c r="W10" s="31"/>
      <c r="X10" s="31"/>
      <c r="Y10" s="31"/>
      <c r="Z10" s="32"/>
      <c r="AA10" s="32"/>
      <c r="AB10" s="32"/>
      <c r="AC10" s="32"/>
      <c r="AE10" s="34" t="str">
        <f t="shared" si="8"/>
        <v>·</v>
      </c>
      <c r="AF10" s="27">
        <f t="shared" si="9"/>
        <v>850.12029749999999</v>
      </c>
      <c r="AG10" s="28">
        <f t="shared" si="10"/>
        <v>9.7657431451249472</v>
      </c>
      <c r="AH10" s="28">
        <f t="shared" si="11"/>
        <v>1.1114306857307348</v>
      </c>
      <c r="AI10" s="28">
        <f t="shared" si="12"/>
        <v>1.0605183585624862</v>
      </c>
      <c r="AJ10" s="28">
        <f t="shared" si="13"/>
        <v>8.6543124593942125</v>
      </c>
      <c r="AK10" s="25">
        <f t="shared" si="14"/>
        <v>103201544</v>
      </c>
      <c r="AL10" s="28">
        <f t="shared" si="15"/>
        <v>9.7657431451249472</v>
      </c>
      <c r="AM10" s="29">
        <v>92854683</v>
      </c>
      <c r="AN10" s="30">
        <v>906794984</v>
      </c>
      <c r="AO10" s="30">
        <v>98474096</v>
      </c>
      <c r="AP10" s="30">
        <v>4727448</v>
      </c>
      <c r="AQ10" s="30">
        <v>803593440</v>
      </c>
      <c r="AR10" s="31"/>
      <c r="AS10" s="31"/>
      <c r="AT10" s="31"/>
      <c r="AU10" s="31"/>
      <c r="AV10" s="31"/>
      <c r="AW10" s="32">
        <v>3379.38</v>
      </c>
      <c r="AX10" s="32">
        <v>18561.2</v>
      </c>
      <c r="AY10" s="32">
        <v>18.376999999999999</v>
      </c>
      <c r="AZ10" s="32">
        <v>88</v>
      </c>
      <c r="BB10" s="33" t="e">
        <f t="shared" si="16"/>
        <v>#VALUE!</v>
      </c>
      <c r="BC10" s="33" t="e">
        <f t="shared" si="17"/>
        <v>#VALUE!</v>
      </c>
      <c r="BD10" s="33" t="e">
        <f t="shared" si="18"/>
        <v>#VALUE!</v>
      </c>
      <c r="BE10" s="33" t="e">
        <f t="shared" si="19"/>
        <v>#VALUE!</v>
      </c>
      <c r="BF10" s="34" t="e">
        <f t="shared" si="20"/>
        <v>#VALUE!</v>
      </c>
      <c r="BG10" s="34" t="e">
        <f t="array" ref="BG10">AVERAGE(AK10:AK10/AN10:AN10) - AVERAGE(N10:N10/Q10:Q10)</f>
        <v>#VALUE!</v>
      </c>
      <c r="BI10" s="4">
        <f t="shared" si="22"/>
        <v>92854683</v>
      </c>
      <c r="BJ10" s="4">
        <f t="shared" si="21"/>
        <v>906794984</v>
      </c>
      <c r="BK10" s="4">
        <f t="shared" si="21"/>
        <v>98474096</v>
      </c>
      <c r="BL10" s="4">
        <f t="shared" si="21"/>
        <v>4727448</v>
      </c>
      <c r="BM10" s="4">
        <f t="shared" si="21"/>
        <v>803593440</v>
      </c>
    </row>
    <row r="11" spans="1:65" ht="16" collapsed="1" thickBot="1" x14ac:dyDescent="0.25">
      <c r="A11" s="35"/>
      <c r="B11" s="35" t="s">
        <v>268</v>
      </c>
      <c r="C11" s="35">
        <v>83104648</v>
      </c>
      <c r="D11" s="36">
        <v>11</v>
      </c>
      <c r="E11" s="36">
        <v>32</v>
      </c>
      <c r="F11" s="36">
        <v>30</v>
      </c>
      <c r="H11" s="44" t="str">
        <f t="shared" si="0"/>
        <v>·</v>
      </c>
      <c r="I11" s="37" t="str">
        <f t="shared" si="1"/>
        <v>·</v>
      </c>
      <c r="J11" s="38" t="str">
        <f t="shared" si="2"/>
        <v>·</v>
      </c>
      <c r="K11" s="38" t="str">
        <f t="shared" si="3"/>
        <v>·</v>
      </c>
      <c r="L11" s="38" t="str">
        <f t="shared" si="4"/>
        <v>·</v>
      </c>
      <c r="M11" s="38" t="str">
        <f t="shared" si="5"/>
        <v>·</v>
      </c>
      <c r="N11" s="35" t="str">
        <f t="shared" si="6"/>
        <v/>
      </c>
      <c r="O11" s="38" t="str">
        <f t="shared" si="7"/>
        <v>·</v>
      </c>
      <c r="P11" s="39"/>
      <c r="Q11" s="40"/>
      <c r="R11" s="40"/>
      <c r="S11" s="40"/>
      <c r="T11" s="40"/>
      <c r="U11" s="41"/>
      <c r="V11" s="41"/>
      <c r="W11" s="41"/>
      <c r="X11" s="41"/>
      <c r="Y11" s="41"/>
      <c r="Z11" s="42"/>
      <c r="AA11" s="42"/>
      <c r="AB11" s="42"/>
      <c r="AC11" s="42"/>
      <c r="AE11" s="44" t="str">
        <f t="shared" si="8"/>
        <v>·</v>
      </c>
      <c r="AF11" s="37">
        <f t="shared" si="9"/>
        <v>775.58105250000006</v>
      </c>
      <c r="AG11" s="38">
        <f t="shared" si="10"/>
        <v>9.9547555510974544</v>
      </c>
      <c r="AH11" s="38">
        <f t="shared" si="11"/>
        <v>1.1856880977343169</v>
      </c>
      <c r="AI11" s="38">
        <f t="shared" si="12"/>
        <v>1.1270300067933625</v>
      </c>
      <c r="AJ11" s="38">
        <f t="shared" si="13"/>
        <v>8.7690674533631388</v>
      </c>
      <c r="AK11" s="35">
        <f t="shared" si="14"/>
        <v>98536192</v>
      </c>
      <c r="AL11" s="38">
        <f t="shared" si="15"/>
        <v>9.9547555510974544</v>
      </c>
      <c r="AM11" s="39">
        <v>83104648</v>
      </c>
      <c r="AN11" s="40">
        <v>827286456</v>
      </c>
      <c r="AO11" s="40">
        <v>93661432</v>
      </c>
      <c r="AP11" s="40">
        <v>4874760</v>
      </c>
      <c r="AQ11" s="40">
        <v>728750264</v>
      </c>
      <c r="AR11" s="41"/>
      <c r="AS11" s="41"/>
      <c r="AT11" s="41"/>
      <c r="AU11" s="41"/>
      <c r="AV11" s="41"/>
      <c r="AW11" s="42">
        <v>4365.28</v>
      </c>
      <c r="AX11" s="42">
        <v>26001</v>
      </c>
      <c r="AY11" s="42">
        <v>24.256</v>
      </c>
      <c r="AZ11" s="42">
        <v>129.154</v>
      </c>
      <c r="BB11" s="43" t="e">
        <f t="shared" si="16"/>
        <v>#VALUE!</v>
      </c>
      <c r="BC11" s="43" t="e">
        <f t="shared" si="17"/>
        <v>#VALUE!</v>
      </c>
      <c r="BD11" s="43" t="e">
        <f t="shared" si="18"/>
        <v>#VALUE!</v>
      </c>
      <c r="BE11" s="43" t="e">
        <f t="shared" si="19"/>
        <v>#VALUE!</v>
      </c>
      <c r="BF11" s="44" t="e">
        <f t="shared" si="20"/>
        <v>#VALUE!</v>
      </c>
      <c r="BG11" s="44" t="e">
        <f t="array" ref="BG11">AVERAGE(AK11:AK11/AN11:AN11) - AVERAGE(N11:N11/Q11:Q11)</f>
        <v>#VALUE!</v>
      </c>
      <c r="BI11" s="4">
        <f t="shared" si="22"/>
        <v>83104648</v>
      </c>
      <c r="BJ11" s="4">
        <f t="shared" si="21"/>
        <v>827286456</v>
      </c>
      <c r="BK11" s="4">
        <f t="shared" si="21"/>
        <v>93661432</v>
      </c>
      <c r="BL11" s="4">
        <f t="shared" si="21"/>
        <v>4874760</v>
      </c>
      <c r="BM11" s="4">
        <f t="shared" si="21"/>
        <v>728750264</v>
      </c>
    </row>
    <row r="12" spans="1:65" ht="16" x14ac:dyDescent="0.2">
      <c r="B12" s="55" t="s">
        <v>271</v>
      </c>
      <c r="J12" s="56">
        <f>AVERAGE(J5:J8)</f>
        <v>9.6101619313923798</v>
      </c>
      <c r="K12" s="56">
        <f>AVERAGE(K5:K8)</f>
        <v>1.3718881489248786</v>
      </c>
      <c r="L12" s="56">
        <f>AVERAGE(L5:L8)</f>
        <v>1.2548806611943335</v>
      </c>
      <c r="M12" s="56">
        <f>AVERAGE(M5:M8)</f>
        <v>8.2382737824675019</v>
      </c>
      <c r="AG12" s="56">
        <f>AVERAGE(AG5:AG8)</f>
        <v>9.5959670498108487</v>
      </c>
      <c r="AH12" s="56">
        <f>AVERAGE(AH5:AH8)</f>
        <v>1.3699132890852317</v>
      </c>
      <c r="AI12" s="56">
        <f>AVERAGE(AI5:AI8)</f>
        <v>1.2553371290243209</v>
      </c>
      <c r="AJ12" s="56">
        <f>AVERAGE(AJ5:AJ8)</f>
        <v>8.2260537607256161</v>
      </c>
      <c r="BB12" s="5">
        <f t="shared" si="16"/>
        <v>0.99852293003147408</v>
      </c>
      <c r="BC12" s="5">
        <f t="shared" si="17"/>
        <v>0.99856048042896606</v>
      </c>
      <c r="BD12" s="5">
        <f t="shared" si="18"/>
        <v>1.0003637539760577</v>
      </c>
      <c r="BE12" s="5">
        <f t="shared" si="19"/>
        <v>0.99851667690774104</v>
      </c>
      <c r="BG12" s="8">
        <f>AVERAGE(BG5:BG8)</f>
        <v>-1.4546333730103278E-5</v>
      </c>
    </row>
    <row r="13" spans="1:65" ht="16" x14ac:dyDescent="0.2">
      <c r="B13" s="55" t="s">
        <v>272</v>
      </c>
      <c r="J13" s="56">
        <f>AVERAGE(J9:J9)</f>
        <v>14.842073026003689</v>
      </c>
      <c r="K13" s="56">
        <f>AVERAGE(K9:K9)</f>
        <v>1.5085578582646109</v>
      </c>
      <c r="L13" s="56">
        <f>AVERAGE(L9:L9)</f>
        <v>1.408000060681702</v>
      </c>
      <c r="M13" s="56">
        <f>AVERAGE(M9:M9)</f>
        <v>13.333515167739078</v>
      </c>
      <c r="AG13" s="56">
        <f>AVERAGE(AG9:AG9)</f>
        <v>14.81080267037415</v>
      </c>
      <c r="AH13" s="56">
        <f>AVERAGE(AH9:AH9)</f>
        <v>1.5045686684569877</v>
      </c>
      <c r="AI13" s="56">
        <f>AVERAGE(AI9:AI9)</f>
        <v>1.407374912730547</v>
      </c>
      <c r="AJ13" s="56">
        <f>AVERAGE(AJ9:AJ9)</f>
        <v>13.306234001917163</v>
      </c>
      <c r="BB13" s="5">
        <f t="shared" si="16"/>
        <v>0.99789312749137182</v>
      </c>
      <c r="BC13" s="5">
        <f t="shared" si="17"/>
        <v>0.99735562690832935</v>
      </c>
      <c r="BD13" s="5">
        <f t="shared" si="18"/>
        <v>0.99955600289473545</v>
      </c>
      <c r="BE13" s="5">
        <f t="shared" si="19"/>
        <v>0.99795394046665786</v>
      </c>
      <c r="BG13" s="8">
        <f>AVERAGE(BG9:BG9)</f>
        <v>-5.4747250801762126E-5</v>
      </c>
    </row>
    <row r="14" spans="1:65" ht="16" x14ac:dyDescent="0.2">
      <c r="B14" s="55" t="s">
        <v>273</v>
      </c>
      <c r="J14" s="56" t="e">
        <f>AVERAGE(J10:J11)</f>
        <v>#DIV/0!</v>
      </c>
      <c r="K14" s="56" t="e">
        <f>AVERAGE(K10:K11)</f>
        <v>#DIV/0!</v>
      </c>
      <c r="L14" s="56" t="e">
        <f>AVERAGE(L10:L11)</f>
        <v>#DIV/0!</v>
      </c>
      <c r="M14" s="56" t="e">
        <f>AVERAGE(M10:M11)</f>
        <v>#DIV/0!</v>
      </c>
      <c r="AG14" s="56">
        <f>AVERAGE(AG10:AG11)</f>
        <v>9.8602493481111999</v>
      </c>
      <c r="AH14" s="56">
        <f>AVERAGE(AH10:AH11)</f>
        <v>1.1485593917325259</v>
      </c>
      <c r="AI14" s="56">
        <f>AVERAGE(AI10:AI11)</f>
        <v>1.0937741826779244</v>
      </c>
      <c r="AJ14" s="56">
        <f>AVERAGE(AJ10:AJ11)</f>
        <v>8.7116899563786756</v>
      </c>
      <c r="BB14" s="5" t="e">
        <f t="shared" si="16"/>
        <v>#DIV/0!</v>
      </c>
      <c r="BC14" s="5" t="e">
        <f t="shared" si="17"/>
        <v>#DIV/0!</v>
      </c>
      <c r="BD14" s="5" t="e">
        <f t="shared" si="18"/>
        <v>#DIV/0!</v>
      </c>
      <c r="BE14" s="5" t="e">
        <f t="shared" si="19"/>
        <v>#DIV/0!</v>
      </c>
      <c r="BG14" s="8" t="e">
        <f>AVERAGE(BG10:BG11)</f>
        <v>#VALUE!</v>
      </c>
    </row>
    <row r="15" spans="1:65" ht="16" x14ac:dyDescent="0.2">
      <c r="B15" s="55" t="s">
        <v>274</v>
      </c>
      <c r="J15" s="56">
        <f>AVERAGE(J5:J11)</f>
        <v>10.656544150314641</v>
      </c>
      <c r="K15" s="56">
        <f>AVERAGE(K5:K11)</f>
        <v>1.3992220907928252</v>
      </c>
      <c r="L15" s="56">
        <f>AVERAGE(L5:L11)</f>
        <v>1.2855045410918071</v>
      </c>
      <c r="M15" s="56">
        <f>AVERAGE(M5:M11)</f>
        <v>9.2573220595218171</v>
      </c>
      <c r="AG15" s="56">
        <f>AVERAGE(AG5:AG11)</f>
        <v>10.416452795119993</v>
      </c>
      <c r="AH15" s="56">
        <f>AVERAGE(AH5:AH11)</f>
        <v>1.3259058011804237</v>
      </c>
      <c r="AI15" s="56">
        <f>AVERAGE(AI5:AI11)</f>
        <v>1.2308959705976685</v>
      </c>
      <c r="AJ15" s="56">
        <f>AVERAGE(AJ5:AJ11)</f>
        <v>9.0905469939395687</v>
      </c>
      <c r="BB15" s="5">
        <f t="shared" si="16"/>
        <v>0.97747005485004634</v>
      </c>
      <c r="BC15" s="5">
        <f t="shared" si="17"/>
        <v>0.9476021068457694</v>
      </c>
      <c r="BD15" s="5">
        <f t="shared" si="18"/>
        <v>0.95751973738828</v>
      </c>
      <c r="BE15" s="5">
        <f t="shared" si="19"/>
        <v>0.98198452376292689</v>
      </c>
      <c r="BG15" s="8" t="e">
        <f>AVERAGE(BG5:BG11)</f>
        <v>#VALUE!</v>
      </c>
    </row>
    <row r="16" spans="1:65" ht="16" hidden="1" outlineLevel="2" x14ac:dyDescent="0.2">
      <c r="A16" s="55" t="s">
        <v>275</v>
      </c>
      <c r="B16" s="55" t="s">
        <v>276</v>
      </c>
      <c r="Z16" s="57">
        <f>SUM(Z5:Z8,Z9:Z9,Z10:Z11)</f>
        <v>19331.87</v>
      </c>
      <c r="AA16" s="57">
        <f>SUM(AA5:AA8,AA9:AA9,AA10:AA11)</f>
        <v>27424.969999999998</v>
      </c>
      <c r="AB16" s="57">
        <f>SUM(AB5:AB8,AB9:AB9,AB10:AB11)</f>
        <v>28.133000000000003</v>
      </c>
      <c r="AC16" s="57">
        <f>SUM(AC5:AC8,AC9:AC9,AC10:AC11)</f>
        <v>146.81700000000001</v>
      </c>
      <c r="AW16" s="57">
        <f>SUM(AW5:AW8,AW9:AW9,AW10:AW11)</f>
        <v>31382.26</v>
      </c>
      <c r="AX16" s="57">
        <f>SUM(AX5:AX8,AX9:AX9,AX10:AX11)</f>
        <v>72946.149999999994</v>
      </c>
      <c r="AY16" s="57">
        <f>SUM(AY5:AY8,AY9:AY9,AY10:AY11)</f>
        <v>69.974999999999994</v>
      </c>
      <c r="AZ16" s="57">
        <f>SUM(AZ5:AZ8,AZ9:AZ9,AZ10:AZ11)</f>
        <v>377.262</v>
      </c>
    </row>
    <row r="17" spans="2:52" ht="16" hidden="1" outlineLevel="2" x14ac:dyDescent="0.2">
      <c r="B17" s="55" t="s">
        <v>277</v>
      </c>
      <c r="AW17" s="8">
        <f>AW16/Z16</f>
        <v>1.6233432151157647</v>
      </c>
      <c r="AX17" s="8">
        <f>AX16/AA16</f>
        <v>2.6598442951806329</v>
      </c>
      <c r="AY17" s="8">
        <f>AY16/AB16</f>
        <v>2.4872925034656803</v>
      </c>
      <c r="AZ17" s="8">
        <f>AZ16/AC16</f>
        <v>2.5696070618525102</v>
      </c>
    </row>
    <row r="18" spans="2:52" ht="16" hidden="1" outlineLevel="2" x14ac:dyDescent="0.2">
      <c r="B18" s="55" t="s">
        <v>278</v>
      </c>
      <c r="Z18" s="57">
        <f>GEOMEAN(Z5:Z8,Z9:Z9,Z10:Z11)</f>
        <v>3570.3508164680961</v>
      </c>
      <c r="AA18" s="57">
        <f>GEOMEAN(AA5:AA8,AA9:AA9,AA10:AA11)</f>
        <v>5417.227810743082</v>
      </c>
      <c r="AB18" s="57">
        <f>GEOMEAN(AB5:AB8,AB9:AB9,AB10:AB11)</f>
        <v>5.5065030114382552</v>
      </c>
      <c r="AC18" s="57">
        <f>GEOMEAN(AC5:AC8,AC9:AC9,AC10:AC11)</f>
        <v>28.660430237451063</v>
      </c>
      <c r="AW18" s="57">
        <f>GEOMEAN(AW5:AW8,AW9:AW9,AW10:AW11)</f>
        <v>4131.4803376959371</v>
      </c>
      <c r="AX18" s="57">
        <f>GEOMEAN(AX5:AX8,AX9:AX9,AX10:AX11)</f>
        <v>8198.1524383982742</v>
      </c>
      <c r="AY18" s="57">
        <f>GEOMEAN(AY5:AY8,AY9:AY9,AY10:AY11)</f>
        <v>7.95175788336672</v>
      </c>
      <c r="AZ18" s="57">
        <f>GEOMEAN(AZ5:AZ8,AZ9:AZ9,AZ10:AZ11)</f>
        <v>44.037761077852224</v>
      </c>
    </row>
    <row r="19" spans="2:52" ht="16" outlineLevel="2" collapsed="1" x14ac:dyDescent="0.2">
      <c r="B19" s="55" t="s">
        <v>279</v>
      </c>
      <c r="AW19" s="8">
        <f>AW18/Z18</f>
        <v>1.1571636934498577</v>
      </c>
      <c r="AX19" s="8">
        <f>AX18/AA18</f>
        <v>1.5133482889791434</v>
      </c>
      <c r="AY19" s="8">
        <f>AY18/AB18</f>
        <v>1.4440667456004503</v>
      </c>
      <c r="AZ19" s="8">
        <f>AZ18/AC18</f>
        <v>1.5365352408529913</v>
      </c>
    </row>
  </sheetData>
  <mergeCells count="36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O2:O3"/>
    <mergeCell ref="P2:P3"/>
    <mergeCell ref="Q2:T2"/>
    <mergeCell ref="U2:V2"/>
    <mergeCell ref="W2:Y2"/>
    <mergeCell ref="Z2:AA2"/>
    <mergeCell ref="AB2:AC2"/>
    <mergeCell ref="AE2:AE3"/>
    <mergeCell ref="AF2:AF3"/>
    <mergeCell ref="AG2:AJ2"/>
    <mergeCell ref="BI2:BI3"/>
    <mergeCell ref="BJ2:BM2"/>
    <mergeCell ref="BG2:BG3"/>
    <mergeCell ref="A1:F1"/>
    <mergeCell ref="H1:AC1"/>
    <mergeCell ref="AE1:AZ1"/>
    <mergeCell ref="AT2:AV2"/>
    <mergeCell ref="AW2:AX2"/>
    <mergeCell ref="AY2:AZ2"/>
    <mergeCell ref="BB2:BE2"/>
    <mergeCell ref="BF2:BF3"/>
    <mergeCell ref="AK2:AK3"/>
    <mergeCell ref="AL2:AL3"/>
    <mergeCell ref="AM2:AM3"/>
    <mergeCell ref="AN2:AQ2"/>
    <mergeCell ref="AR2:AS2"/>
  </mergeCells>
  <conditionalFormatting sqref="BB5 BB6 BB7 BB8 BB9 BB10 BB11 BB12 BB13 BB14 BB15">
    <cfRule type="cellIs" dxfId="7" priority="3" operator="greaterThanOrEqual">
      <formula>1.03</formula>
    </cfRule>
    <cfRule type="cellIs" dxfId="6" priority="4" operator="lessThanOrEqual">
      <formula>0.97</formula>
    </cfRule>
  </conditionalFormatting>
  <conditionalFormatting sqref="BC5 BC6 BC7 BC8 BC9 BC10 BC11 BC12 BC13 BC14 BC15">
    <cfRule type="cellIs" dxfId="5" priority="7" operator="greaterThanOrEqual">
      <formula>1.03</formula>
    </cfRule>
    <cfRule type="cellIs" dxfId="4" priority="8" operator="lessThanOrEqual">
      <formula>0.97</formula>
    </cfRule>
  </conditionalFormatting>
  <conditionalFormatting sqref="BD5 BD6 BD7 BD8 BD9 BD10 BD11 BD12 BD13 BD14 BD15">
    <cfRule type="cellIs" dxfId="3" priority="1" operator="greaterThanOrEqual">
      <formula>1.03</formula>
    </cfRule>
    <cfRule type="cellIs" dxfId="2" priority="2" operator="lessThanOrEqual">
      <formula>0.97</formula>
    </cfRule>
  </conditionalFormatting>
  <conditionalFormatting sqref="BE5 BE6 BE7 BE8 BE9 BE10 BE11 BE12 BE13 BE14 BE15">
    <cfRule type="cellIs" dxfId="1" priority="5" operator="greaterThanOrEqual">
      <formula>1.03</formula>
    </cfRule>
    <cfRule type="cellIs" dxfId="0" priority="6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Summary</vt:lpstr>
      <vt:lpstr>Graphs</vt:lpstr>
      <vt:lpstr>names</vt:lpstr>
      <vt:lpstr>CW losslG,losslA,intra</vt:lpstr>
      <vt:lpstr>CW losslG,losslA,interLD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N18175</dc:title>
  <dc:creator/>
  <cp:lastModifiedBy>Jungsun Kim</cp:lastModifiedBy>
  <dcterms:created xsi:type="dcterms:W3CDTF">2019-04-23T13:57:55Z</dcterms:created>
  <dcterms:modified xsi:type="dcterms:W3CDTF">2019-08-02T17:35:24Z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2019-04-23T13:57:55Z</vt:filetime>
  </property>
</Properties>
</file>