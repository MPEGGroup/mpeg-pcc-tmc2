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89817A94-2350-7F4D-B75E-0E42C6486E09}" xr6:coauthVersionLast="36" xr6:coauthVersionMax="41" xr10:uidLastSave="{00000000-0000-0000-0000-000000000000}"/>
  <bookViews>
    <workbookView xWindow="0" yWindow="460" windowWidth="41160" windowHeight="24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K36" i="7" s="1"/>
  <c r="M36" i="7"/>
  <c r="L36" i="7"/>
  <c r="J36" i="7"/>
  <c r="I36" i="7"/>
  <c r="BF35" i="7"/>
  <c r="AL35" i="7"/>
  <c r="AK35" i="7"/>
  <c r="AJ35" i="7"/>
  <c r="AH35" i="7"/>
  <c r="AG35" i="7"/>
  <c r="N35" i="7"/>
  <c r="M35" i="7"/>
  <c r="L35" i="7"/>
  <c r="J35" i="7"/>
  <c r="I35" i="7"/>
  <c r="BF34" i="7"/>
  <c r="AL34" i="7"/>
  <c r="AI34" i="7" s="1"/>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G25" i="7"/>
  <c r="N25" i="7"/>
  <c r="M25" i="7"/>
  <c r="L25" i="7"/>
  <c r="J25" i="7"/>
  <c r="I25" i="7"/>
  <c r="BF24" i="7"/>
  <c r="AL24" i="7"/>
  <c r="AK24" i="7"/>
  <c r="AJ24" i="7"/>
  <c r="AI24" i="7"/>
  <c r="AH24" i="7"/>
  <c r="AG24" i="7"/>
  <c r="N24" i="7"/>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BC45" i="3" s="1"/>
  <c r="AD44" i="3"/>
  <c r="BB45" i="3" s="1"/>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K30" i="3" s="1"/>
  <c r="M30" i="3"/>
  <c r="L30" i="3"/>
  <c r="J30" i="3"/>
  <c r="I30" i="3"/>
  <c r="BF29" i="3"/>
  <c r="AL29" i="3"/>
  <c r="AI29" i="3" s="1"/>
  <c r="AK29" i="3"/>
  <c r="AJ29" i="3"/>
  <c r="AH29" i="3"/>
  <c r="AG29" i="3"/>
  <c r="N29" i="3"/>
  <c r="M29" i="3"/>
  <c r="L29" i="3"/>
  <c r="J29" i="3"/>
  <c r="I29" i="3"/>
  <c r="BF28" i="3"/>
  <c r="AL28" i="3"/>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M25" i="3"/>
  <c r="L25" i="3"/>
  <c r="K25" i="3"/>
  <c r="J25" i="3"/>
  <c r="I25" i="3"/>
  <c r="BF24" i="3"/>
  <c r="AL24" i="3"/>
  <c r="AI24" i="3" s="1"/>
  <c r="AK24" i="3"/>
  <c r="AJ24" i="3"/>
  <c r="AH24" i="3"/>
  <c r="AG24" i="3"/>
  <c r="N24" i="3"/>
  <c r="K24" i="3" s="1"/>
  <c r="M24" i="3"/>
  <c r="L24" i="3"/>
  <c r="J24" i="3"/>
  <c r="I24" i="3"/>
  <c r="BF23" i="3"/>
  <c r="AL23" i="3"/>
  <c r="AI23" i="3" s="1"/>
  <c r="AK23" i="3"/>
  <c r="AJ23" i="3"/>
  <c r="AH23" i="3"/>
  <c r="AG23" i="3"/>
  <c r="N23" i="3"/>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J5" i="3"/>
  <c r="I5" i="3"/>
  <c r="B1" i="2"/>
  <c r="B2" i="2" s="1"/>
  <c r="BM15" i="7"/>
  <c r="BN20" i="7"/>
  <c r="BT15" i="7"/>
  <c r="BL25" i="7"/>
  <c r="BR15" i="7"/>
  <c r="BT5" i="7"/>
  <c r="BM10" i="7"/>
  <c r="BN25" i="7"/>
  <c r="BT10" i="7"/>
  <c r="BS30" i="7"/>
  <c r="BN5" i="7"/>
  <c r="BS35" i="7"/>
  <c r="BQ10" i="7"/>
  <c r="BS10" i="7"/>
  <c r="BR35" i="7"/>
  <c r="BP25" i="7"/>
  <c r="BQ30" i="7"/>
  <c r="BT30" i="7"/>
  <c r="BR20" i="7"/>
  <c r="BK20" i="7"/>
  <c r="BL15" i="7"/>
  <c r="BN10" i="7"/>
  <c r="BR10" i="7"/>
  <c r="BM20" i="7"/>
  <c r="BR5" i="7"/>
  <c r="BQ35" i="7"/>
  <c r="BS20" i="7"/>
  <c r="BN30" i="7"/>
  <c r="BM35" i="7"/>
  <c r="BN35" i="7"/>
  <c r="BL20" i="7"/>
  <c r="BJ5" i="7"/>
  <c r="BL10" i="7"/>
  <c r="BM25" i="7"/>
  <c r="BR30" i="7"/>
  <c r="BP10" i="7"/>
  <c r="BS15" i="7"/>
  <c r="BQ5" i="7"/>
  <c r="BP35" i="7"/>
  <c r="BM5" i="7"/>
  <c r="BN15" i="7"/>
  <c r="BL5" i="7"/>
  <c r="BT25" i="7"/>
  <c r="BS25" i="7"/>
  <c r="BP20" i="7"/>
  <c r="BR25" i="7"/>
  <c r="BS5" i="7"/>
  <c r="BK15" i="7"/>
  <c r="BM30" i="7"/>
  <c r="BL35" i="7"/>
  <c r="BT20" i="7"/>
  <c r="BP5" i="7"/>
  <c r="BL30" i="7"/>
  <c r="BP15" i="7"/>
  <c r="BQ20" i="7"/>
  <c r="BT35" i="7"/>
  <c r="BQ25" i="7"/>
  <c r="BQ15" i="7"/>
  <c r="BJ25" i="7"/>
  <c r="BP30" i="7"/>
  <c r="BK35" i="7"/>
  <c r="BM5" i="3"/>
  <c r="BQ10" i="3"/>
  <c r="BN35" i="3"/>
  <c r="BK25" i="3"/>
  <c r="BJ25" i="3"/>
  <c r="BQ35" i="3"/>
  <c r="BP5" i="3"/>
  <c r="BR30" i="3"/>
  <c r="BK5" i="3"/>
  <c r="BR15" i="3"/>
  <c r="BJ5" i="3"/>
  <c r="BM10" i="3"/>
  <c r="BT10" i="3"/>
  <c r="BL35" i="3"/>
  <c r="BP30" i="3"/>
  <c r="BJ35" i="3"/>
  <c r="BP35" i="3"/>
  <c r="BN10" i="3"/>
  <c r="BK10" i="3"/>
  <c r="BT30" i="3"/>
  <c r="BT20" i="3"/>
  <c r="BN30" i="3"/>
  <c r="BS35" i="3"/>
  <c r="BM35" i="3"/>
  <c r="BM15" i="3"/>
  <c r="BQ20" i="3"/>
  <c r="BL25" i="3"/>
  <c r="BP25" i="3"/>
  <c r="BQ30" i="3"/>
  <c r="BQ5" i="3"/>
  <c r="BL10" i="3"/>
  <c r="BT5" i="3"/>
  <c r="BT35" i="3"/>
  <c r="BL30" i="3"/>
  <c r="BM25" i="3"/>
  <c r="BN20" i="3"/>
  <c r="BL20" i="3"/>
  <c r="BL5" i="3"/>
  <c r="BN25" i="3"/>
  <c r="BP15" i="3"/>
  <c r="BM30" i="3"/>
  <c r="BP20" i="3"/>
  <c r="BR35" i="3"/>
  <c r="BM20" i="3"/>
  <c r="BS20" i="3"/>
  <c r="BQ25" i="3"/>
  <c r="BN5" i="3"/>
  <c r="BR10" i="3"/>
  <c r="BL15" i="3"/>
  <c r="BT15" i="3"/>
  <c r="BT25" i="3"/>
  <c r="BN15" i="3"/>
  <c r="BS10" i="3"/>
  <c r="BR20" i="3"/>
  <c r="BS15" i="3"/>
  <c r="BS5" i="3"/>
  <c r="BR5" i="3"/>
  <c r="BQ15" i="3"/>
  <c r="BS30" i="3"/>
  <c r="BK30" i="3"/>
  <c r="BP10" i="3"/>
  <c r="BR25" i="3"/>
  <c r="BS25" i="3"/>
  <c r="BG24" i="7" l="1"/>
  <c r="BG10" i="7"/>
  <c r="BG13" i="3"/>
  <c r="BG23" i="3"/>
  <c r="AK41" i="7"/>
  <c r="BG22" i="7"/>
  <c r="AH41" i="7"/>
  <c r="BG5" i="3"/>
  <c r="BG9" i="3"/>
  <c r="BG11" i="3"/>
  <c r="AK42" i="3"/>
  <c r="BG25" i="3"/>
  <c r="M41" i="3"/>
  <c r="BG28" i="3"/>
  <c r="K35" i="3"/>
  <c r="K5" i="3"/>
  <c r="BG27" i="3"/>
  <c r="BE32" i="3"/>
  <c r="J43" i="7"/>
  <c r="M41" i="7"/>
  <c r="J42" i="7"/>
  <c r="BG18" i="7"/>
  <c r="AH42" i="7"/>
  <c r="BG6" i="7"/>
  <c r="BG8" i="7"/>
  <c r="BG14" i="7"/>
  <c r="BG16" i="7"/>
  <c r="BG26" i="7"/>
  <c r="BG28" i="7"/>
  <c r="BG36" i="7"/>
  <c r="BG38" i="7"/>
  <c r="BG12" i="7"/>
  <c r="AJ41" i="7"/>
  <c r="BG32" i="7"/>
  <c r="BG34" i="7"/>
  <c r="BH30" i="3"/>
  <c r="AK41" i="3"/>
  <c r="AI28" i="3"/>
  <c r="BE28" i="3" s="1"/>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BE25" i="3"/>
  <c r="BE26" i="3"/>
  <c r="L42" i="3"/>
  <c r="BG33" i="3"/>
  <c r="K33" i="3"/>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20" i="7"/>
  <c r="BJ35" i="7"/>
  <c r="BK10" i="7"/>
  <c r="BJ10" i="7"/>
  <c r="BJ30" i="7"/>
  <c r="BK30" i="7"/>
  <c r="BK5" i="7"/>
  <c r="BJ15" i="7"/>
  <c r="BK25" i="7"/>
  <c r="BJ20" i="3"/>
  <c r="BJ15" i="3"/>
  <c r="BJ10" i="3"/>
  <c r="BK15" i="3"/>
  <c r="BK35" i="3"/>
  <c r="BJ30" i="3"/>
  <c r="BK20" i="3"/>
  <c r="AI41" i="3" l="1"/>
  <c r="BJ42" i="3"/>
  <c r="C11" i="1" s="1"/>
  <c r="BE35" i="3"/>
  <c r="K42" i="3"/>
  <c r="BE10" i="7"/>
  <c r="BH42" i="7"/>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<sst xmlns="http://schemas.openxmlformats.org/spreadsheetml/2006/main" count="1520" uniqueCount="594">
  <si>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</si>
  <si>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</si>
  <si>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</si>
  <si>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</si>
  <si>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</si>
  <si>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</si>
  <si>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</si>
  <si>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</si>
  <si>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</si>
  <si>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</si>
  <si>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</si>
  <si>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</si>
  <si>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</si>
  <si>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</si>
  <si>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</si>
  <si>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</si>
  <si>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</si>
  <si>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</si>
  <si>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</si>
  <si>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</si>
  <si>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</si>
  <si>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</si>
  <si>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</si>
  <si>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</si>
  <si>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</si>
  <si>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</si>
  <si>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</si>
  <si>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</si>
  <si>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</si>
  <si>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</si>
  <si>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</si>
  <si>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</si>
  <si>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</si>
  <si>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</si>
  <si>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</si>
  <si>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</si>
  <si>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</si>
  <si>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</si>
  <si>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</si>
  <si>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</si>
  <si>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</si>
  <si>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</si>
  <si>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</si>
  <si>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</si>
  <si>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</si>
  <si>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</si>
  <si>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</si>
  <si>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</si>
  <si>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</si>
  <si>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</si>
  <si>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</si>
  <si>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</si>
  <si>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</si>
  <si>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</si>
  <si>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</si>
  <si>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</si>
  <si>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</si>
  <si>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</si>
  <si>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</si>
  <si>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</si>
  <si>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</si>
  <si>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</si>
  <si>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</si>
  <si>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</si>
  <si>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</si>
  <si>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</si>
  <si>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</si>
  <si>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</si>
  <si>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</si>
  <si>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</si>
  <si>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</si>
  <si>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</si>
  <si>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</si>
  <si>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</si>
  <si>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</si>
  <si>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</si>
  <si>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</si>
  <si>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</si>
  <si>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</si>
  <si>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</si>
  <si>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</si>
  <si>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</si>
  <si>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</si>
  <si>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</si>
  <si>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</si>
  <si>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</si>
  <si>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</si>
  <si>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</si>
  <si>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</si>
  <si>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</si>
  <si>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</si>
  <si>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</si>
  <si>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</si>
  <si>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</si>
  <si>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</si>
  <si>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</si>
  <si>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</si>
  <si>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</si>
  <si>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</si>
  <si>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</si>
  <si>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</si>
  <si>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</si>
  <si>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</si>
  <si>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</si>
  <si>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</si>
  <si>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</si>
  <si>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</si>
  <si>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</si>
  <si>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</si>
  <si>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</si>
  <si>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</si>
  <si>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</si>
  <si>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</si>
  <si>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</si>
  <si>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</si>
  <si>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</si>
  <si>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</si>
  <si>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</si>
  <si>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</si>
  <si>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</si>
  <si>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</si>
  <si>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</si>
  <si>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</si>
  <si>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</si>
  <si>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</si>
  <si>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</si>
  <si>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</si>
  <si>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</si>
  <si>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</si>
  <si>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</si>
  <si>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</si>
  <si>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</si>
  <si>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</si>
  <si>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</si>
  <si>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</si>
  <si>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</si>
  <si>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</si>
  <si>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</si>
  <si>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</si>
  <si>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</si>
  <si>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</si>
  <si>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</si>
  <si>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</si>
  <si>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</si>
  <si>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</si>
  <si>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</si>
  <si>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</si>
  <si>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</si>
  <si>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</si>
  <si>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</si>
  <si>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</si>
  <si>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</si>
  <si>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</si>
  <si>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</si>
  <si>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</si>
  <si>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</si>
  <si>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</si>
  <si>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</si>
  <si>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</si>
  <si>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</si>
  <si>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</si>
  <si>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</si>
  <si>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</si>
  <si>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</si>
  <si>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</si>
  <si>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</si>
  <si>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</si>
  <si>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</si>
  <si>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</si>
  <si>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</si>
  <si>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</si>
  <si>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</si>
  <si>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</si>
  <si>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</si>
  <si>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</si>
  <si>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</si>
  <si>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</si>
  <si>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</si>
  <si>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</si>
  <si>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</si>
  <si>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</si>
  <si>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</si>
  <si>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</si>
  <si>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</si>
  <si>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</si>
  <si>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</si>
  <si>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</si>
  <si>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</si>
  <si>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</si>
  <si>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</si>
  <si>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</si>
  <si>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</si>
  <si>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</si>
  <si>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</si>
  <si>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</si>
  <si>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</si>
  <si>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</si>
  <si>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</si>
  <si>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</si>
  <si>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</si>
  <si>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</si>
  <si>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</si>
  <si>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</si>
  <si>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</si>
  <si>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</si>
  <si>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</si>
  <si>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</si>
  <si>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</si>
  <si>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</si>
  <si>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</si>
  <si>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</si>
  <si>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</si>
  <si>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</si>
  <si>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</si>
  <si>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</si>
  <si>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</si>
  <si>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</si>
  <si>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</si>
  <si>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</si>
  <si>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</si>
  <si>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</si>
  <si>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</si>
  <si>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</si>
  <si>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</si>
  <si>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</si>
  <si>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</si>
  <si>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</si>
  <si>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</si>
  <si>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</si>
  <si>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</si>
  <si>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</si>
  <si>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</si>
  <si>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</si>
  <si>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</si>
  <si>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</si>
  <si>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</si>
  <si>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</si>
  <si>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</si>
  <si>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</si>
  <si>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</si>
  <si>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</si>
  <si>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</si>
  <si>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</si>
  <si>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</si>
  <si>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</si>
  <si>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</si>
  <si>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</si>
  <si>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</si>
  <si>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</si>
  <si>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</si>
  <si>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</si>
  <si>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</si>
  <si>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</si>
  <si>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</si>
  <si>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</si>
  <si>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</si>
  <si>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</si>
  <si>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</si>
  <si>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</si>
  <si>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</si>
  <si>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</si>
  <si>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</si>
  <si>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</si>
  <si>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</si>
  <si>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</si>
  <si>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</si>
  <si>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</si>
  <si>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</si>
  <si>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</si>
  <si>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</si>
  <si>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</si>
  <si>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</si>
  <si>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</si>
  <si>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</si>
  <si>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</si>
  <si>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</si>
  <si>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</si>
  <si>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</si>
  <si>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</si>
  <si>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</si>
  <si>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</si>
  <si>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</si>
  <si>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</si>
  <si>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</si>
  <si>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</si>
  <si>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</si>
  <si>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</si>
  <si>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</si>
  <si>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</si>
  <si>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</si>
  <si>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</si>
  <si>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</si>
  <si>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</si>
  <si>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</si>
  <si>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</si>
  <si>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</si>
  <si>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</si>
  <si>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</si>
  <si>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</si>
  <si>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</si>
  <si>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</si>
  <si>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</si>
  <si>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</si>
  <si>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</si>
  <si>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</si>
  <si>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</si>
  <si>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</si>
  <si>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</si>
  <si>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</si>
  <si>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</si>
  <si>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</si>
  <si>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</si>
  <si>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</si>
  <si>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</si>
  <si>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</si>
  <si>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</si>
  <si>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</si>
  <si>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</si>
  <si>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</si>
  <si>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</si>
  <si>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</si>
  <si>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</si>
  <si>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</si>
  <si>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</si>
  <si>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</si>
  <si>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</si>
  <si>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</si>
  <si>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</si>
  <si>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</si>
  <si>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</si>
  <si>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</si>
  <si>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</si>
  <si>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</si>
  <si>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</si>
  <si>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</si>
  <si>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</si>
  <si>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</si>
  <si>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</si>
  <si>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</si>
  <si>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</si>
  <si>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</si>
  <si>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</si>
  <si>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</si>
  <si>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</si>
  <si>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</si>
  <si>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</si>
  <si>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</si>
  <si>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</si>
  <si>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</si>
  <si>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</si>
  <si>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</si>
  <si>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</si>
  <si>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</si>
  <si>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</si>
  <si>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</si>
  <si>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</si>
  <si>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</si>
  <si>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</si>
  <si>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</si>
  <si>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</si>
  <si>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</si>
  <si>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</si>
  <si>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</si>
  <si>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</si>
  <si>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</si>
  <si>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</si>
  <si>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</si>
  <si>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</si>
  <si>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</si>
  <si>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</si>
  <si>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</si>
  <si>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</si>
  <si>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</si>
  <si>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</si>
  <si>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</si>
  <si>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</si>
  <si>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</si>
  <si>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</si>
  <si>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</si>
  <si>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</si>
  <si>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</si>
  <si>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</si>
  <si>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</si>
  <si>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</si>
  <si>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</si>
  <si>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</si>
  <si>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</si>
  <si>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</si>
  <si>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</si>
  <si>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</si>
  <si>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</si>
  <si>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</si>
  <si>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</si>
  <si>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</si>
  <si>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</si>
  <si>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</si>
  <si>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</si>
  <si>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</si>
  <si>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</si>
  <si>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</si>
  <si>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</si>
  <si>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</si>
  <si>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</si>
  <si>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</si>
  <si>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</si>
  <si>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</si>
  <si>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</si>
  <si>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</si>
  <si>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</si>
  <si>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</si>
  <si>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</si>
  <si>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</si>
  <si>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</si>
  <si>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</si>
  <si>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</si>
  <si>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</si>
  <si>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</si>
  <si>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</si>
  <si>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</si>
  <si>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</si>
  <si>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</si>
  <si>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</si>
  <si>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</si>
  <si>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</si>
  <si>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</si>
  <si>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</si>
  <si>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</si>
  <si>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</si>
  <si>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</si>
  <si>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</si>
  <si>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</si>
  <si>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</si>
  <si>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</si>
  <si>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</si>
  <si>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</si>
  <si>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</si>
  <si>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</si>
  <si>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</si>
  <si>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</si>
  <si>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</si>
  <si>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</si>
  <si>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</si>
  <si>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</si>
  <si>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</si>
  <si>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</si>
  <si>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</si>
  <si>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</si>
  <si>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</si>
  <si>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</si>
  <si>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</si>
  <si>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</si>
  <si>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</si>
  <si>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</si>
  <si>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</si>
  <si>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</si>
  <si>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</si>
  <si>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</si>
  <si>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</si>
  <si>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</si>
  <si>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</si>
  <si>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</si>
  <si>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</si>
  <si>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</si>
  <si>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</si>
  <si>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</si>
  <si>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</si>
  <si>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</si>
  <si>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</si>
  <si>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</si>
  <si>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</si>
  <si>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</si>
  <si>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</si>
  <si>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</si>
  <si>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</si>
  <si>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</si>
  <si>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</si>
  <si>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</si>
  <si>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</si>
  <si>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</si>
  <si>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</si>
  <si>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</si>
  <si>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</si>
  <si>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</si>
  <si>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</si>
  <si>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</si>
  <si>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</si>
  <si>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</si>
  <si>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</si>
  <si>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</si>
  <si>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</si>
  <si>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</si>
  <si>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</si>
  <si>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</si>
  <si>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</si>
  <si>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</si>
  <si>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</si>
  <si>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</si>
  <si>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</si>
  <si>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</si>
  <si>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</si>
  <si>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</si>
  <si>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</si>
  <si>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</si>
  <si>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</si>
  <si>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</si>
  <si>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</si>
  <si>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</si>
  <si>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</si>
  <si>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</si>
  <si>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</si>
  <si>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</si>
  <si>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</si>
  <si>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</si>
  <si>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</si>
  <si>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</si>
  <si>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</si>
  <si>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</si>
  <si>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</si>
  <si>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</si>
  <si>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</si>
  <si>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</si>
  <si>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</si>
  <si>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</si>
  <si>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</si>
  <si>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</si>
  <si>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</si>
  <si>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</si>
  <si>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</si>
  <si>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</si>
  <si>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</si>
  <si>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</si>
  <si>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</si>
  <si>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</si>
  <si>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</si>
  <si>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</si>
  <si>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</si>
  <si>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</si>
  <si>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</si>
  <si>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</si>
  <si>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</si>
  <si>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</si>
  <si>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</si>
  <si>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</si>
  <si>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</si>
  <si>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</si>
  <si>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</si>
  <si>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</si>
  <si>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</si>
  <si>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</si>
  <si>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</si>
  <si>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</si>
  <si>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</si>
  <si>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</si>
  <si>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</si>
  <si>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</si>
  <si>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</si>
  <si>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</si>
  <si>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</si>
  <si>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</si>
  <si>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</si>
  <si>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</si>
  <si>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</si>
  <si>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</si>
  <si>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</si>
  <si>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</si>
  <si>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</si>
  <si>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</si>
  <si>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</si>
  <si>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</si>
  <si>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</si>
  <si>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</si>
  <si>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</si>
  <si>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</si>
  <si>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</si>
  <si>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</si>
  <si>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</si>
  <si>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</si>
  <si>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</si>
  <si>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</si>
  <si>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</si>
  <si>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</si>
  <si>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</si>
  <si>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</si>
  <si>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</si>
  <si>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</si>
  <si>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</si>
  <si>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</si>
  <si>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</si>
  <si>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</si>
  <si>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</si>
  <si>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vpcc80rc3</t>
  </si>
  <si>
    <t>vpcc8.0rc3</t>
  </si>
  <si>
    <t>vpcc8.0rc3_postprocessing_smoothing</t>
  </si>
  <si>
    <t>vpcc8.0_rc4_postprocessing_smoothing0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</si>
</sst>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vpcc8.0rc3</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vpcc8.0_rc4_postprocessing_smoothing0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vpcc8.0rc3</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vpcc8.0_rc4_postprocessing_smoothing0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vpcc8.0rc3</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vpcc8.0_rc4_postprocessing_smoothing0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32.099536999999998</c:v>
                </c:pt>
                <c:pt idx="1">
                  <c:v>34.346656000000003</c:v>
                </c:pt>
                <c:pt idx="2">
                  <c:v>36.883930999999997</c:v>
                </c:pt>
                <c:pt idx="3">
                  <c:v>39.505450000000003</c:v>
                </c:pt>
                <c:pt idx="4">
                  <c:v>42.096138000000003</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vpcc8.0rc3</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vpcc8.0_rc4_postprocessing_smoothing0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44.151012999999999</c:v>
                </c:pt>
                <c:pt idx="1">
                  <c:v>45.448653</c:v>
                </c:pt>
                <c:pt idx="2">
                  <c:v>46.582050000000002</c:v>
                </c:pt>
                <c:pt idx="3">
                  <c:v>47.898865999999998</c:v>
                </c:pt>
                <c:pt idx="4">
                  <c:v>49.407738000000002</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vpcc8.0rc3</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vpcc8.0_rc4_postprocessing_smoothing0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43.826774999999998</c:v>
                </c:pt>
                <c:pt idx="1">
                  <c:v>45.237481000000002</c:v>
                </c:pt>
                <c:pt idx="2">
                  <c:v>46.463928000000003</c:v>
                </c:pt>
                <c:pt idx="3">
                  <c:v>47.919578000000001</c:v>
                </c:pt>
                <c:pt idx="4">
                  <c:v>49.539183999999999</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vpcc8.0rc3</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vpcc8.0_rc4_postprocessing_smoothing0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8" t="s">
        <v>1</v>
      </c>
      <c r="D1" s="59"/>
      <c r="E1" s="59"/>
    </row>
    <row r="2" spans="2:12" x14ac:dyDescent="0.2">
      <c r="B2" t="s">
        <v>2</v>
      </c>
      <c r="C2" s="60" t="s">
        <v>3</v>
      </c>
      <c r="D2" s="59"/>
      <c r="E2" s="59"/>
    </row>
    <row r="4" spans="2:12" s="1" customFormat="1" x14ac:dyDescent="0.2">
      <c r="B4" s="1" t="s">
        <v>4</v>
      </c>
    </row>
    <row r="6" spans="2:12" x14ac:dyDescent="0.2">
      <c r="B6" s="61"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2"/>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v>
      </c>
      <c r="D9" s="51">
        <f>'C2 lossyG,lossyA,intra'!$BK$40:$BK$40</f>
        <v>0</v>
      </c>
      <c r="E9" s="51">
        <f>'C2 lossyG,lossyA,intra'!$BL$40:$BL$40</f>
        <v>1.8551279146474642E-2</v>
      </c>
      <c r="F9" s="51">
        <f>'C2 lossyG,lossyA,intra'!$BM$40:$BM$40</f>
        <v>-1.2378524085504716E-2</v>
      </c>
      <c r="G9" s="51">
        <f>'C2 lossyG,lossyA,intra'!$BN$40:$BN$40</f>
        <v>-4.8275343057634645E-3</v>
      </c>
      <c r="H9" s="51">
        <f>'C2 lossyG,lossyA,intra'!$BP$40:$BP$40</f>
        <v>-6.6402161812406102E-3</v>
      </c>
      <c r="I9" s="51">
        <f>'C2 lossyG,lossyA,intra'!$BQ$40:$BQ$40</f>
        <v>-7.0766293071789776E-3</v>
      </c>
      <c r="J9" s="51">
        <f>'C2 lossyG,lossyA,intra'!$BR$40:$BR$40</f>
        <v>1.8184070306340339E-2</v>
      </c>
      <c r="K9" s="51">
        <f>'C2 lossyG,lossyA,intra'!$BS$40:$BS$40</f>
        <v>-9.0892988069646574E-3</v>
      </c>
      <c r="L9" s="51">
        <f>'C2 lossyG,lossyA,intra'!$BT$40:$BT$40</f>
        <v>-2.6295304860921853E-3</v>
      </c>
    </row>
    <row r="10" spans="2:12" x14ac:dyDescent="0.2">
      <c r="B10" t="s">
        <v>17</v>
      </c>
      <c r="C10" s="51">
        <f>'C2 lossyG,lossyA,intra'!$BJ$41:$BJ$41</f>
        <v>0</v>
      </c>
      <c r="D10" s="51">
        <f>'C2 lossyG,lossyA,intra'!$BK$41:$BK$41</f>
        <v>0</v>
      </c>
      <c r="E10" s="51">
        <f>'C2 lossyG,lossyA,intra'!$BL$41:$BL$41</f>
        <v>4.142618457100955E-3</v>
      </c>
      <c r="F10" s="51">
        <f>'C2 lossyG,lossyA,intra'!$BM$41:$BM$41</f>
        <v>-2.503621987056337E-3</v>
      </c>
      <c r="G10" s="51">
        <f>'C2 lossyG,lossyA,intra'!$BN$41:$BN$41</f>
        <v>-2.1079154969260161E-3</v>
      </c>
      <c r="H10" s="51">
        <f>'C2 lossyG,lossyA,intra'!$BP$41:$BP$41</f>
        <v>-2.2743796144636397E-3</v>
      </c>
      <c r="I10" s="51">
        <f>'C2 lossyG,lossyA,intra'!$BQ$41:$BQ$41</f>
        <v>-2.5788020210669726E-3</v>
      </c>
      <c r="J10" s="51">
        <f>'C2 lossyG,lossyA,intra'!$BR$41:$BR$41</f>
        <v>4.1117727276589466E-3</v>
      </c>
      <c r="K10" s="51">
        <f>'C2 lossyG,lossyA,intra'!$BS$41:$BS$41</f>
        <v>-2.0692117547743694E-3</v>
      </c>
      <c r="L10" s="51">
        <f>'C2 lossyG,lossyA,intra'!$BT$41:$BT$41</f>
        <v>-1.6817246392167862E-3</v>
      </c>
    </row>
    <row r="11" spans="2:12" x14ac:dyDescent="0.2">
      <c r="B11" t="s">
        <v>18</v>
      </c>
      <c r="C11" s="51">
        <f>'C2 lossyG,lossyA,intra'!$BJ$42:$BJ$42</f>
        <v>0</v>
      </c>
      <c r="D11" s="51">
        <f>'C2 lossyG,lossyA,intra'!$BK$42:$BK$42</f>
        <v>0</v>
      </c>
      <c r="E11" s="51">
        <f>'C2 lossyG,lossyA,intra'!$BL$42:$BL$42</f>
        <v>2.3346644341966094E-3</v>
      </c>
      <c r="F11" s="51">
        <f>'C2 lossyG,lossyA,intra'!$BM$42:$BM$42</f>
        <v>6.4638792942101064E-3</v>
      </c>
      <c r="G11" s="51">
        <f>'C2 lossyG,lossyA,intra'!$BN$42:$BN$42</f>
        <v>4.6557263580843111E-3</v>
      </c>
      <c r="H11" s="51">
        <f>'C2 lossyG,lossyA,intra'!$BP$42:$BP$42</f>
        <v>-9.8140352066183878E-4</v>
      </c>
      <c r="I11" s="51">
        <f>'C2 lossyG,lossyA,intra'!$BQ$42:$BQ$42</f>
        <v>-1.0660690431836262E-3</v>
      </c>
      <c r="J11" s="51">
        <f>'C2 lossyG,lossyA,intra'!$BR$42:$BR$42</f>
        <v>2.3269479729122189E-3</v>
      </c>
      <c r="K11" s="51">
        <f>'C2 lossyG,lossyA,intra'!$BS$42:$BS$42</f>
        <v>4.9506625468687115E-3</v>
      </c>
      <c r="L11" s="51">
        <f>'C2 lossyG,lossyA,intra'!$BT$42:$BT$42</f>
        <v>3.7771166064530792E-3</v>
      </c>
    </row>
    <row r="12" spans="2:12" x14ac:dyDescent="0.2">
      <c r="B12" s="4" t="s">
        <v>19</v>
      </c>
      <c r="C12" s="5">
        <f>'C2 lossyG,lossyA,intra'!$BJ$43:$BJ$43</f>
        <v>0</v>
      </c>
      <c r="D12" s="5">
        <f>'C2 lossyG,lossyA,intra'!$BK$43:$BK$43</f>
        <v>0</v>
      </c>
      <c r="E12" s="5">
        <f>'C2 lossyG,lossyA,intra'!$BL$43:$BL$43</f>
        <v>1.1859580558770391E-2</v>
      </c>
      <c r="F12" s="5">
        <f>'C2 lossyG,lossyA,intra'!$BM$43:$BM$43</f>
        <v>-5.5842799629507124E-3</v>
      </c>
      <c r="G12" s="5">
        <f>'C2 lossyG,lossyA,intra'!$BN$43:$BN$43</f>
        <v>-1.7295142862587503E-3</v>
      </c>
      <c r="H12" s="5">
        <f>'C2 lossyG,lossyA,intra'!$BP$43:$BP$43</f>
        <v>-4.3997216258213944E-3</v>
      </c>
      <c r="I12" s="5">
        <f>'C2 lossyG,lossyA,intra'!$BQ$43:$BQ$43</f>
        <v>-4.716779619450019E-3</v>
      </c>
      <c r="J12" s="5">
        <f>'C2 lossyG,lossyA,intra'!$BR$43:$BR$43</f>
        <v>1.1643135699834963E-2</v>
      </c>
      <c r="K12" s="5">
        <f>'C2 lossyG,lossyA,intra'!$BS$43:$BS$43</f>
        <v>-4.0750116984136541E-3</v>
      </c>
      <c r="L12" s="5">
        <f>'C2 lossyG,lossyA,intra'!$BT$43:$BT$43</f>
        <v>-6.6365905295419554E-4</v>
      </c>
    </row>
    <row r="13" spans="2:12" x14ac:dyDescent="0.2">
      <c r="B13" t="s">
        <v>20</v>
      </c>
      <c r="C13" s="67">
        <f>'C2 lossyG,lossyA,intra'!AZ47</f>
        <v>1.0284641486592303</v>
      </c>
      <c r="D13" s="59"/>
      <c r="E13" s="59"/>
      <c r="F13" s="59"/>
      <c r="G13" s="59"/>
      <c r="H13" s="59"/>
      <c r="I13" s="59"/>
      <c r="J13" s="59"/>
      <c r="K13" s="59"/>
      <c r="L13" s="59"/>
    </row>
    <row r="14" spans="2:12" x14ac:dyDescent="0.2">
      <c r="B14" s="54" t="s">
        <v>21</v>
      </c>
      <c r="C14" s="68">
        <f>'C2 lossyG,lossyA,intra'!BB47</f>
        <v>4.1424302846293442</v>
      </c>
      <c r="D14" s="62"/>
      <c r="E14" s="62"/>
      <c r="F14" s="62"/>
      <c r="G14" s="62"/>
      <c r="H14" s="62"/>
      <c r="I14" s="62"/>
      <c r="J14" s="62"/>
      <c r="K14" s="62"/>
      <c r="L14" s="62"/>
    </row>
    <row r="16" spans="2:12" x14ac:dyDescent="0.2">
      <c r="B16" s="61" t="s">
        <v>22</v>
      </c>
      <c r="C16" s="63" t="s">
        <v>23</v>
      </c>
      <c r="D16" s="64"/>
      <c r="E16" s="64"/>
    </row>
    <row r="17" spans="2:5" x14ac:dyDescent="0.2">
      <c r="B17" s="59"/>
      <c r="C17" s="65" t="s">
        <v>24</v>
      </c>
      <c r="D17" s="59"/>
      <c r="E17" s="59"/>
    </row>
    <row r="18" spans="2:5" ht="16" x14ac:dyDescent="0.2">
      <c r="B18" s="62"/>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67" t="e">
        <f>'CW losslG,losslA,intra'!AW19</f>
        <v>#NUM!</v>
      </c>
      <c r="D23" s="59"/>
      <c r="E23" s="59"/>
    </row>
    <row r="24" spans="2:5" x14ac:dyDescent="0.2">
      <c r="B24" s="54" t="s">
        <v>21</v>
      </c>
      <c r="C24" s="68" t="e">
        <f>'CW losslG,losslA,intra'!AY19</f>
        <v>#NUM!</v>
      </c>
      <c r="D24" s="62"/>
      <c r="E24" s="62"/>
    </row>
    <row r="26" spans="2:5" s="1" customFormat="1" x14ac:dyDescent="0.2">
      <c r="B26" s="1" t="s">
        <v>28</v>
      </c>
    </row>
    <row r="28" spans="2:5" x14ac:dyDescent="0.2">
      <c r="B28" s="61" t="s">
        <v>29</v>
      </c>
      <c r="C28" s="63" t="s">
        <v>30</v>
      </c>
      <c r="D28" s="64"/>
      <c r="E28" s="64"/>
    </row>
    <row r="29" spans="2:5" x14ac:dyDescent="0.2">
      <c r="B29" s="59"/>
      <c r="C29" s="65" t="s">
        <v>24</v>
      </c>
      <c r="D29" s="59"/>
      <c r="E29" s="59"/>
    </row>
    <row r="30" spans="2:5" ht="16" x14ac:dyDescent="0.2">
      <c r="B30" s="62"/>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67" t="e">
        <f>'CW losslG,losslA,interLD'!AW19</f>
        <v>#NUM!</v>
      </c>
      <c r="D35" s="59"/>
      <c r="E35" s="59"/>
    </row>
    <row r="36" spans="2:12" x14ac:dyDescent="0.2">
      <c r="B36" s="54" t="s">
        <v>21</v>
      </c>
      <c r="C36" s="68" t="e">
        <f>'CW losslG,losslA,interLD'!AY19</f>
        <v>#NUM!</v>
      </c>
      <c r="D36" s="62"/>
      <c r="E36" s="62"/>
    </row>
    <row r="38" spans="2:12" s="1" customFormat="1" x14ac:dyDescent="0.2">
      <c r="B38" s="1" t="s">
        <v>31</v>
      </c>
    </row>
    <row r="40" spans="2:12" x14ac:dyDescent="0.2">
      <c r="B40" s="61"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2"/>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v>
      </c>
      <c r="D43" s="51">
        <f>'C2 lossyG,lossyA,interRA'!$BK$40:$BK$40</f>
        <v>0</v>
      </c>
      <c r="E43" s="51">
        <f>'C2 lossyG,lossyA,interRA'!$BL$40:$BL$40</f>
        <v>-4.7664351939374627E-3</v>
      </c>
      <c r="F43" s="51">
        <f>'C2 lossyG,lossyA,interRA'!$BM$40:$BM$40</f>
        <v>-2.2129799405056966E-2</v>
      </c>
      <c r="G43" s="51">
        <f>'C2 lossyG,lossyA,interRA'!$BN$40:$BN$40</f>
        <v>-1.7272905861679538E-2</v>
      </c>
      <c r="H43" s="51">
        <f>'C2 lossyG,lossyA,interRA'!$BP$40:$BP$40</f>
        <v>-8.5569260754819187E-3</v>
      </c>
      <c r="I43" s="51">
        <f>'C2 lossyG,lossyA,interRA'!$BQ$40:$BQ$40</f>
        <v>-1.023661804787071E-2</v>
      </c>
      <c r="J43" s="51">
        <f>'C2 lossyG,lossyA,interRA'!$BR$40:$BR$40</f>
        <v>4.4991487996479673E-3</v>
      </c>
      <c r="K43" s="51">
        <f>'C2 lossyG,lossyA,interRA'!$BS$40:$BS$40</f>
        <v>-1.144626692659706E-2</v>
      </c>
      <c r="L43" s="51">
        <f>'C2 lossyG,lossyA,interRA'!$BT$40:$BT$40</f>
        <v>-9.0659160117061155E-3</v>
      </c>
    </row>
    <row r="44" spans="2:12" x14ac:dyDescent="0.2">
      <c r="B44" t="s">
        <v>17</v>
      </c>
      <c r="C44" s="51">
        <f>'C2 lossyG,lossyA,interRA'!$BJ$41:$BJ$41</f>
        <v>0</v>
      </c>
      <c r="D44" s="51">
        <f>'C2 lossyG,lossyA,interRA'!$BK$41:$BK$41</f>
        <v>0</v>
      </c>
      <c r="E44" s="51">
        <f>'C2 lossyG,lossyA,interRA'!$BL$41:$BL$41</f>
        <v>-1.6959913863897613E-3</v>
      </c>
      <c r="F44" s="51">
        <f>'C2 lossyG,lossyA,interRA'!$BM$41:$BM$41</f>
        <v>-3.2582404322996084E-3</v>
      </c>
      <c r="G44" s="51">
        <f>'C2 lossyG,lossyA,interRA'!$BN$41:$BN$41</f>
        <v>-6.1033729046862106E-3</v>
      </c>
      <c r="H44" s="51">
        <f>'C2 lossyG,lossyA,interRA'!$BP$41:$BP$41</f>
        <v>-2.8352836117674363E-3</v>
      </c>
      <c r="I44" s="51">
        <f>'C2 lossyG,lossyA,interRA'!$BQ$41:$BQ$41</f>
        <v>-3.1542199096560308E-3</v>
      </c>
      <c r="J44" s="51">
        <f>'C2 lossyG,lossyA,interRA'!$BR$41:$BR$41</f>
        <v>-1.7566143450786775E-4</v>
      </c>
      <c r="K44" s="51">
        <f>'C2 lossyG,lossyA,interRA'!$BS$41:$BS$41</f>
        <v>-1.5650931281827596E-3</v>
      </c>
      <c r="L44" s="51">
        <f>'C2 lossyG,lossyA,interRA'!$BT$41:$BT$41</f>
        <v>-3.6029566510759059E-3</v>
      </c>
    </row>
    <row r="45" spans="2:12" x14ac:dyDescent="0.2">
      <c r="B45" t="s">
        <v>18</v>
      </c>
      <c r="C45" s="51">
        <f>'C2 lossyG,lossyA,interRA'!$BJ$42:$BJ$42</f>
        <v>0</v>
      </c>
      <c r="D45" s="51">
        <f>'C2 lossyG,lossyA,interRA'!$BK$42:$BK$42</f>
        <v>0</v>
      </c>
      <c r="E45" s="51">
        <f>'C2 lossyG,lossyA,interRA'!$BL$42:$BL$42</f>
        <v>7.3423171289965783E-4</v>
      </c>
      <c r="F45" s="51">
        <f>'C2 lossyG,lossyA,interRA'!$BM$42:$BM$42</f>
        <v>-3.6172401445550006E-4</v>
      </c>
      <c r="G45" s="51">
        <f>'C2 lossyG,lossyA,interRA'!$BN$42:$BN$42</f>
        <v>2.6817523444198299E-2</v>
      </c>
      <c r="H45" s="51">
        <f>'C2 lossyG,lossyA,interRA'!$BP$42:$BP$42</f>
        <v>-8.3133976609833793E-4</v>
      </c>
      <c r="I45" s="51">
        <f>'C2 lossyG,lossyA,interRA'!$BQ$42:$BQ$42</f>
        <v>-8.7037755672408901E-4</v>
      </c>
      <c r="J45" s="51">
        <f>'C2 lossyG,lossyA,interRA'!$BR$42:$BR$42</f>
        <v>1.1390882705405447E-3</v>
      </c>
      <c r="K45" s="51">
        <f>'C2 lossyG,lossyA,interRA'!$BS$42:$BS$42</f>
        <v>7.8150248800362698E-4</v>
      </c>
      <c r="L45" s="51">
        <f>'C2 lossyG,lossyA,interRA'!$BT$42:$BT$42</f>
        <v>1.7410377350564055E-2</v>
      </c>
    </row>
    <row r="46" spans="2:12" x14ac:dyDescent="0.2">
      <c r="B46" s="4" t="s">
        <v>19</v>
      </c>
      <c r="C46" s="5">
        <f>'C2 lossyG,lossyA,interRA'!$BJ$43:$BJ$43</f>
        <v>0</v>
      </c>
      <c r="D46" s="5">
        <f>'C2 lossyG,lossyA,interRA'!$BK$43:$BK$43</f>
        <v>0</v>
      </c>
      <c r="E46" s="5">
        <f>'C2 lossyG,lossyA,interRA'!$BL$43:$BL$43</f>
        <v>-2.7561812480486137E-3</v>
      </c>
      <c r="F46" s="5">
        <f>'C2 lossyG,lossyA,interRA'!$BM$43:$BM$43</f>
        <v>-1.3214412297348353E-2</v>
      </c>
      <c r="G46" s="5">
        <f>'C2 lossyG,lossyA,interRA'!$BN$43:$BN$43</f>
        <v>-3.0799927804296807E-3</v>
      </c>
      <c r="H46" s="5">
        <f>'C2 lossyG,lossyA,interRA'!$BP$43:$BP$43</f>
        <v>-5.5322382065559695E-3</v>
      </c>
      <c r="I46" s="5">
        <f>'C2 lossyG,lossyA,interRA'!$BQ$43:$BQ$43</f>
        <v>-6.5487781735124361E-3</v>
      </c>
      <c r="J46" s="5">
        <f>'C2 lossyG,lossyA,interRA'!$BR$43:$BR$43</f>
        <v>2.8713014721664415E-3</v>
      </c>
      <c r="K46" s="5">
        <f>'C2 lossyG,lossyA,interRA'!$BS$43:$BS$43</f>
        <v>-6.5410222655091065E-3</v>
      </c>
      <c r="L46" s="5">
        <f>'C2 lossyG,lossyA,interRA'!$BT$43:$BT$43</f>
        <v>-7.2083799953889403E-4</v>
      </c>
    </row>
    <row r="47" spans="2:12" x14ac:dyDescent="0.2">
      <c r="B47" t="s">
        <v>20</v>
      </c>
      <c r="C47" s="67">
        <f>'C2 lossyG,lossyA,interRA'!AZ47</f>
        <v>1.0402607135514503</v>
      </c>
      <c r="D47" s="59"/>
      <c r="E47" s="59"/>
      <c r="F47" s="59"/>
      <c r="G47" s="59"/>
      <c r="H47" s="59"/>
      <c r="I47" s="59"/>
      <c r="J47" s="59"/>
      <c r="K47" s="59"/>
      <c r="L47" s="59"/>
    </row>
    <row r="48" spans="2:12" x14ac:dyDescent="0.2">
      <c r="B48" s="54" t="s">
        <v>21</v>
      </c>
      <c r="C48" s="68">
        <f>'C2 lossyG,lossyA,interRA'!BB47</f>
        <v>4.106052207298311</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AA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138</v>
      </c>
      <c r="B1" s="59"/>
      <c r="C1" s="59"/>
      <c r="D1" s="59"/>
      <c r="E1" s="59"/>
      <c r="F1" s="59"/>
      <c r="G1" s="59"/>
      <c r="I1" s="58" t="s">
        <v>591</v>
      </c>
      <c r="J1" s="59"/>
      <c r="K1" s="59"/>
      <c r="L1" s="59"/>
      <c r="M1" s="59"/>
      <c r="N1" s="59"/>
      <c r="O1" s="59"/>
      <c r="P1" s="59"/>
      <c r="Q1" s="59"/>
      <c r="R1" s="59"/>
      <c r="S1" s="59"/>
      <c r="T1" s="59"/>
      <c r="U1" s="59"/>
      <c r="V1" s="59"/>
      <c r="W1" s="59"/>
      <c r="X1" s="59"/>
      <c r="Y1" s="59"/>
      <c r="Z1" s="59"/>
      <c r="AA1" s="59"/>
      <c r="AB1" s="59"/>
      <c r="AC1" s="59"/>
      <c r="AD1" s="59"/>
      <c r="AE1" s="59"/>
      <c r="AG1" s="60"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66.354628000000005</v>
      </c>
      <c r="X5" s="14">
        <v>68.478525000000005</v>
      </c>
      <c r="Y5" s="14">
        <v>32.109447000000003</v>
      </c>
      <c r="Z5" s="14">
        <v>44.148172000000002</v>
      </c>
      <c r="AA5" s="14">
        <v>43.839812000000002</v>
      </c>
      <c r="AB5" s="15">
        <v>3322.63</v>
      </c>
      <c r="AC5" s="15">
        <v>974.76700000000005</v>
      </c>
      <c r="AD5" s="15">
        <v>11.305999999999999</v>
      </c>
      <c r="AE5" s="15">
        <v>15.023</v>
      </c>
      <c r="AG5" s="10">
        <f t="shared" ref="AG5:AG39" si="6">IF(OR(ISBLANK(AQ5),ISBLANK(G5)),"·",AQ5*G5/F5/1000000)</f>
        <v>2.1856575</v>
      </c>
      <c r="AH5" s="11">
        <f t="shared" ref="AH5:AH39" si="7">IF(ISBLANK(AQ5),"·",AQ5/D5)</f>
        <v>9.7896423716956511E-3</v>
      </c>
      <c r="AI5" s="11">
        <f t="shared" ref="AI5:AI39" si="8">IF(AL5="","·",AL5/D5)</f>
        <v>6.211103992753768E-3</v>
      </c>
      <c r="AJ5" s="11">
        <f t="shared" ref="AJ5:AJ39" si="9">IF(AR5="","·",AR5/D5)</f>
        <v>3.5272086067430685E-3</v>
      </c>
      <c r="AK5" s="11">
        <f t="shared" ref="AK5:AK39" si="10">IF(ISBLANK(AT5),"·",AT5/D5)</f>
        <v>3.5785383789418835E-3</v>
      </c>
      <c r="AL5" s="52">
        <f t="shared" ref="AL5:AL39" si="11">IF(OR(ISBLANK(AR5),ISBLANK(AS5)),"",AR5+AS5)</f>
        <v>1479152</v>
      </c>
      <c r="AM5" s="11">
        <v>16</v>
      </c>
      <c r="AN5" s="12">
        <v>21785839</v>
      </c>
      <c r="AO5" s="12">
        <v>680807.46875</v>
      </c>
      <c r="AP5" s="12">
        <v>13493.8125</v>
      </c>
      <c r="AQ5" s="13">
        <v>2331368</v>
      </c>
      <c r="AR5" s="13">
        <v>839992</v>
      </c>
      <c r="AS5" s="13">
        <v>639160</v>
      </c>
      <c r="AT5" s="13">
        <v>852216</v>
      </c>
      <c r="AU5" s="14">
        <v>66.354628000000005</v>
      </c>
      <c r="AV5" s="14">
        <v>68.478525000000005</v>
      </c>
      <c r="AW5" s="14">
        <v>32.099536999999998</v>
      </c>
      <c r="AX5" s="14">
        <v>44.151012999999999</v>
      </c>
      <c r="AY5" s="14">
        <v>43.826774999999998</v>
      </c>
      <c r="AZ5" s="15">
        <v>3359.12</v>
      </c>
      <c r="BA5" s="15">
        <v>997.19899999999996</v>
      </c>
      <c r="BB5" s="15">
        <v>41.124000000000002</v>
      </c>
      <c r="BC5" s="15">
        <v>15.021000000000001</v>
      </c>
      <c r="BE5" s="50">
        <f t="shared" ref="BE5:BE43" si="12">AI5/K5</f>
        <v>1</v>
      </c>
      <c r="BF5" s="16">
        <f t="shared" ref="BF5:BF39" si="13">(AP5/AO5) - (R5/Q5)</f>
        <v>0</v>
      </c>
      <c r="BG5" s="16">
        <f t="shared" ref="BG5:BG39" si="14">(AL5/AQ5) - (N5/S5)</f>
        <v>6.9659992329440534E-5</v>
      </c>
      <c r="BH5" s="16">
        <f t="array" ref="BH5">AVERAGE(AL5:AL9/AQ5:AQ9) - AVERAGE(N5:N9/S5:S9)</f>
        <v>7.7872151854074811E-4</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4.6444136967407346E-3</v>
      </c>
      <c r="BM5" s="50">
        <f>IF( OR(ISBLANK(V5:V9),ISBLANK(AT5:AT9), ISBLANK(Z5:Z9),ISBLANK(AX5:AX9)), "·", bdRateExtend( V5:V9,Z5:Z9, AT5:AT9,AX5:AX9))</f>
        <v>3.2844905605200481E-3</v>
      </c>
      <c r="BN5" s="50">
        <f>IF( OR(ISBLANK(V5:V9),ISBLANK(AT5:AT9), ISBLANK(AA5:AA9),ISBLANK(AY5:AY9)), "·", bdRateExtend( V5:V9,AA5:AA9, AT5:AT9,AY5:AY9))</f>
        <v>-5.446565897698763E-4</v>
      </c>
      <c r="BP5" s="50">
        <f>IF( OR(ISBLANK(S5:S9),ISBLANK(AQ5:AQ9), ISBLANK(W5:W9),ISBLANK(AU5:AU9)), "·", bdRateExtend( S5:S9,W5:W9, AQ5:AQ9,AU5:AU9))</f>
        <v>-2.0797137819559275E-3</v>
      </c>
      <c r="BQ5" s="50">
        <f>IF( OR(ISBLANK(S5:S9),ISBLANK(AQ5:AQ9), ISBLANK(X5:X9),ISBLANK(AV5:AV9)), "·", bdRateExtend( S5:S9,X5:X9, AQ5:AQ9,AV5:AV9))</f>
        <v>-2.2879596107205913E-3</v>
      </c>
      <c r="BR5" s="50">
        <f>IF( OR(ISBLANK(S5:S9),ISBLANK(AQ5:AQ9), ISBLANK(Y5:Y9),ISBLANK(AW5:AW9)), "·", bdRateExtend( S5:S9,Y5:Y9, AQ5:AQ9,AW5:AW9))</f>
        <v>4.3877266454610542E-3</v>
      </c>
      <c r="BS5" s="50">
        <f>IF( OR(ISBLANK(S5:S9),ISBLANK(AQ5:AQ9), ISBLANK(Z5:Z9),ISBLANK(AX5:AX9)), "·", bdRateExtend( S5:S9,Z5:Z9, AQ5:AQ9,AX5:AX9))</f>
        <v>1.8956079453105179E-3</v>
      </c>
      <c r="BT5" s="50">
        <f>IF( OR(ISBLANK(S5:S9),ISBLANK(AQ5:AQ9), ISBLANK(AA5:AA9),ISBLANK(AY5:AY9)), "·", bdRateExtend( S5:S9,AA5:AA9, AQ5:AQ9,AY5:AY9))</f>
        <v>5.2245611903622979E-4</v>
      </c>
      <c r="BV5" s="53">
        <f>AN5-P5</f>
        <v>0</v>
      </c>
      <c r="BW5" s="53">
        <f t="shared" ref="BW5:CG20" si="15">AO5-Q5</f>
        <v>0</v>
      </c>
      <c r="BX5" s="53">
        <f t="shared" si="15"/>
        <v>0</v>
      </c>
      <c r="BY5" s="53">
        <f t="shared" si="15"/>
        <v>-256</v>
      </c>
      <c r="BZ5" s="53">
        <f t="shared" si="15"/>
        <v>0</v>
      </c>
      <c r="CA5" s="53">
        <f t="shared" si="15"/>
        <v>0</v>
      </c>
      <c r="CB5" s="53">
        <f t="shared" si="15"/>
        <v>-256</v>
      </c>
      <c r="CC5" s="53">
        <f t="shared" si="15"/>
        <v>0</v>
      </c>
      <c r="CD5" s="53">
        <f t="shared" si="15"/>
        <v>0</v>
      </c>
      <c r="CE5" s="53">
        <f t="shared" si="15"/>
        <v>-9.9100000000049704E-3</v>
      </c>
      <c r="CF5" s="53">
        <f t="shared" si="15"/>
        <v>2.8409999999965407E-3</v>
      </c>
      <c r="CG5" s="53">
        <f t="shared" si="15"/>
        <v>-1.3037000000004184E-2</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68.255977999999999</v>
      </c>
      <c r="X6" s="23">
        <v>70.438458999999995</v>
      </c>
      <c r="Y6" s="23">
        <v>34.365983999999997</v>
      </c>
      <c r="Z6" s="23">
        <v>45.499918999999998</v>
      </c>
      <c r="AA6" s="23">
        <v>45.231668999999997</v>
      </c>
      <c r="AB6" s="24">
        <v>3891.48</v>
      </c>
      <c r="AC6" s="24">
        <v>1372.28</v>
      </c>
      <c r="AD6" s="24">
        <v>13.711</v>
      </c>
      <c r="AE6" s="24">
        <v>22.059000000000001</v>
      </c>
      <c r="AG6" s="19">
        <f t="shared" si="6"/>
        <v>3.4014674999999999</v>
      </c>
      <c r="AH6" s="20">
        <f t="shared" si="7"/>
        <v>1.5235301214369442E-2</v>
      </c>
      <c r="AI6" s="20">
        <f t="shared" si="8"/>
        <v>7.5753069043989841E-3</v>
      </c>
      <c r="AJ6" s="20">
        <f t="shared" si="9"/>
        <v>4.8914115183882837E-3</v>
      </c>
      <c r="AK6" s="20">
        <f t="shared" si="10"/>
        <v>7.6599943099704589E-3</v>
      </c>
      <c r="AL6" s="17">
        <f t="shared" si="11"/>
        <v>1804032</v>
      </c>
      <c r="AM6" s="20">
        <v>16</v>
      </c>
      <c r="AN6" s="21">
        <v>24191962</v>
      </c>
      <c r="AO6" s="21">
        <v>755998.8125</v>
      </c>
      <c r="AP6" s="21">
        <v>19085.96875</v>
      </c>
      <c r="AQ6" s="22">
        <v>3628232</v>
      </c>
      <c r="AR6" s="22">
        <v>1164872</v>
      </c>
      <c r="AS6" s="22">
        <v>639160</v>
      </c>
      <c r="AT6" s="22">
        <v>1824200</v>
      </c>
      <c r="AU6" s="23">
        <v>68.255977999999999</v>
      </c>
      <c r="AV6" s="23">
        <v>70.438458999999995</v>
      </c>
      <c r="AW6" s="23">
        <v>34.346656000000003</v>
      </c>
      <c r="AX6" s="23">
        <v>45.448653</v>
      </c>
      <c r="AY6" s="23">
        <v>45.237481000000002</v>
      </c>
      <c r="AZ6" s="24">
        <v>3265.15</v>
      </c>
      <c r="BA6" s="24">
        <v>991.21</v>
      </c>
      <c r="BB6" s="24">
        <v>43.768000000000001</v>
      </c>
      <c r="BC6" s="24">
        <v>14.961</v>
      </c>
      <c r="BE6" s="49">
        <f t="shared" si="12"/>
        <v>1</v>
      </c>
      <c r="BF6" s="25">
        <f t="shared" si="13"/>
        <v>0</v>
      </c>
      <c r="BG6" s="25">
        <f t="shared" si="14"/>
        <v>8.4602662859567523E-4</v>
      </c>
      <c r="BH6" s="25"/>
      <c r="BJ6" s="49"/>
      <c r="BK6" s="49"/>
      <c r="BL6" s="49"/>
      <c r="BM6" s="49"/>
      <c r="BN6" s="49"/>
      <c r="BP6" s="49"/>
      <c r="BQ6" s="49"/>
      <c r="BR6" s="49"/>
      <c r="BS6" s="49"/>
      <c r="BT6" s="49"/>
      <c r="BV6" s="53">
        <f t="shared" ref="BV6:CG39" si="16">AN6-P6</f>
        <v>0</v>
      </c>
      <c r="BW6" s="53">
        <f t="shared" si="15"/>
        <v>0</v>
      </c>
      <c r="BX6" s="53">
        <f t="shared" si="15"/>
        <v>0</v>
      </c>
      <c r="BY6" s="53">
        <f t="shared" si="15"/>
        <v>-6184</v>
      </c>
      <c r="BZ6" s="53">
        <f t="shared" si="15"/>
        <v>0</v>
      </c>
      <c r="CA6" s="53">
        <f t="shared" si="15"/>
        <v>0</v>
      </c>
      <c r="CB6" s="53">
        <f t="shared" si="15"/>
        <v>-6184</v>
      </c>
      <c r="CC6" s="53">
        <f t="shared" si="15"/>
        <v>0</v>
      </c>
      <c r="CD6" s="53">
        <f t="shared" si="15"/>
        <v>0</v>
      </c>
      <c r="CE6" s="53">
        <f t="shared" si="15"/>
        <v>-1.9327999999994461E-2</v>
      </c>
      <c r="CF6" s="53">
        <f t="shared" si="15"/>
        <v>-5.1265999999998257E-2</v>
      </c>
      <c r="CG6" s="53">
        <f t="shared" si="15"/>
        <v>5.8120000000059235E-3</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72.129402999999996</v>
      </c>
      <c r="Y7" s="14">
        <v>36.915784000000002</v>
      </c>
      <c r="Z7" s="14">
        <v>46.579394000000001</v>
      </c>
      <c r="AA7" s="14">
        <v>46.454928000000002</v>
      </c>
      <c r="AB7" s="15">
        <v>3367.4</v>
      </c>
      <c r="AC7" s="15">
        <v>1080.75</v>
      </c>
      <c r="AD7" s="15">
        <v>10.677</v>
      </c>
      <c r="AE7" s="15">
        <v>15.754</v>
      </c>
      <c r="AG7" s="10">
        <f t="shared" si="6"/>
        <v>5.5771199999999999</v>
      </c>
      <c r="AH7" s="11">
        <f t="shared" si="7"/>
        <v>2.498013081373969E-2</v>
      </c>
      <c r="AI7" s="11">
        <f t="shared" si="8"/>
        <v>9.522613340800113E-3</v>
      </c>
      <c r="AJ7" s="11">
        <f t="shared" si="9"/>
        <v>6.8387179547894136E-3</v>
      </c>
      <c r="AK7" s="11">
        <f t="shared" si="10"/>
        <v>1.5457517472939575E-2</v>
      </c>
      <c r="AL7" s="52">
        <f t="shared" si="11"/>
        <v>2267776</v>
      </c>
      <c r="AM7" s="11">
        <v>16</v>
      </c>
      <c r="AN7" s="12">
        <v>24808216</v>
      </c>
      <c r="AO7" s="12">
        <v>775256.75</v>
      </c>
      <c r="AP7" s="12">
        <v>20954.78125</v>
      </c>
      <c r="AQ7" s="13">
        <v>5948928</v>
      </c>
      <c r="AR7" s="13">
        <v>1628616</v>
      </c>
      <c r="AS7" s="13">
        <v>639160</v>
      </c>
      <c r="AT7" s="13">
        <v>3681152</v>
      </c>
      <c r="AU7" s="14">
        <v>69.683724999999995</v>
      </c>
      <c r="AV7" s="14">
        <v>72.129402999999996</v>
      </c>
      <c r="AW7" s="14">
        <v>36.883930999999997</v>
      </c>
      <c r="AX7" s="14">
        <v>46.582050000000002</v>
      </c>
      <c r="AY7" s="14">
        <v>46.463928000000003</v>
      </c>
      <c r="AZ7" s="15">
        <v>3577.3</v>
      </c>
      <c r="BA7" s="15">
        <v>1156.46</v>
      </c>
      <c r="BB7" s="15">
        <v>47.503999999999998</v>
      </c>
      <c r="BC7" s="15">
        <v>16.518000000000001</v>
      </c>
      <c r="BE7" s="50">
        <f t="shared" si="12"/>
        <v>1</v>
      </c>
      <c r="BF7" s="16">
        <f t="shared" si="13"/>
        <v>0</v>
      </c>
      <c r="BG7" s="16">
        <f t="shared" si="14"/>
        <v>7.9345011276077404E-4</v>
      </c>
      <c r="BH7" s="16"/>
      <c r="BJ7" s="50"/>
      <c r="BK7" s="50"/>
      <c r="BL7" s="50"/>
      <c r="BM7" s="50"/>
      <c r="BN7" s="50"/>
      <c r="BP7" s="50"/>
      <c r="BQ7" s="50"/>
      <c r="BR7" s="50"/>
      <c r="BS7" s="50"/>
      <c r="BT7" s="50"/>
      <c r="BV7" s="53">
        <f t="shared" si="16"/>
        <v>0</v>
      </c>
      <c r="BW7" s="53">
        <f t="shared" si="15"/>
        <v>0</v>
      </c>
      <c r="BX7" s="53">
        <f t="shared" si="15"/>
        <v>0</v>
      </c>
      <c r="BY7" s="53">
        <f t="shared" si="15"/>
        <v>-12408</v>
      </c>
      <c r="BZ7" s="53">
        <f t="shared" si="15"/>
        <v>0</v>
      </c>
      <c r="CA7" s="53">
        <f t="shared" si="15"/>
        <v>0</v>
      </c>
      <c r="CB7" s="53">
        <f t="shared" si="15"/>
        <v>-12408</v>
      </c>
      <c r="CC7" s="53">
        <f t="shared" si="15"/>
        <v>0</v>
      </c>
      <c r="CD7" s="53">
        <f t="shared" si="15"/>
        <v>0</v>
      </c>
      <c r="CE7" s="53">
        <f t="shared" si="15"/>
        <v>-3.1853000000005238E-2</v>
      </c>
      <c r="CF7" s="53">
        <f t="shared" si="15"/>
        <v>2.6560000000017681E-3</v>
      </c>
      <c r="CG7" s="53">
        <f t="shared" si="15"/>
        <v>9.0000000000003411E-3</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70.836841000000007</v>
      </c>
      <c r="X8" s="23">
        <v>73.406981000000002</v>
      </c>
      <c r="Y8" s="23">
        <v>39.549353000000004</v>
      </c>
      <c r="Z8" s="23">
        <v>47.886119000000001</v>
      </c>
      <c r="AA8" s="23">
        <v>47.95035</v>
      </c>
      <c r="AB8" s="24">
        <v>3196.25</v>
      </c>
      <c r="AC8" s="24">
        <v>1114.82</v>
      </c>
      <c r="AD8" s="24">
        <v>10.359</v>
      </c>
      <c r="AE8" s="24">
        <v>15.717000000000001</v>
      </c>
      <c r="AG8" s="19">
        <f t="shared" si="6"/>
        <v>9.4412924999999994</v>
      </c>
      <c r="AH8" s="20">
        <f t="shared" si="7"/>
        <v>4.2287905173419155E-2</v>
      </c>
      <c r="AI8" s="20">
        <f t="shared" si="8"/>
        <v>1.2784640519704538E-2</v>
      </c>
      <c r="AJ8" s="20">
        <f t="shared" si="9"/>
        <v>1.0100745133693839E-2</v>
      </c>
      <c r="AK8" s="20">
        <f t="shared" si="10"/>
        <v>2.9503264653714615E-2</v>
      </c>
      <c r="AL8" s="17">
        <f t="shared" si="11"/>
        <v>3044616</v>
      </c>
      <c r="AM8" s="20">
        <v>16</v>
      </c>
      <c r="AN8" s="21">
        <v>25797809</v>
      </c>
      <c r="AO8" s="21">
        <v>806181.53125</v>
      </c>
      <c r="AP8" s="21">
        <v>24199.8125</v>
      </c>
      <c r="AQ8" s="22">
        <v>10070712</v>
      </c>
      <c r="AR8" s="22">
        <v>2405456</v>
      </c>
      <c r="AS8" s="22">
        <v>639160</v>
      </c>
      <c r="AT8" s="22">
        <v>7026096</v>
      </c>
      <c r="AU8" s="23">
        <v>70.836841000000007</v>
      </c>
      <c r="AV8" s="23">
        <v>73.406981000000002</v>
      </c>
      <c r="AW8" s="23">
        <v>39.505450000000003</v>
      </c>
      <c r="AX8" s="23">
        <v>47.898865999999998</v>
      </c>
      <c r="AY8" s="23">
        <v>47.919578000000001</v>
      </c>
      <c r="AZ8" s="24">
        <v>3879.26</v>
      </c>
      <c r="BA8" s="24">
        <v>1534.16</v>
      </c>
      <c r="BB8" s="24">
        <v>52.357999999999997</v>
      </c>
      <c r="BC8" s="24">
        <v>21.574000000000002</v>
      </c>
      <c r="BE8" s="49">
        <f t="shared" si="12"/>
        <v>1</v>
      </c>
      <c r="BF8" s="25">
        <f t="shared" si="13"/>
        <v>0</v>
      </c>
      <c r="BG8" s="25">
        <f t="shared" si="14"/>
        <v>9.0461267843461313E-4</v>
      </c>
      <c r="BH8" s="25"/>
      <c r="BJ8" s="49"/>
      <c r="BK8" s="49"/>
      <c r="BL8" s="49"/>
      <c r="BM8" s="49"/>
      <c r="BN8" s="49"/>
      <c r="BP8" s="49"/>
      <c r="BQ8" s="49"/>
      <c r="BR8" s="49"/>
      <c r="BS8" s="49"/>
      <c r="BT8" s="49"/>
      <c r="BV8" s="53">
        <f t="shared" si="16"/>
        <v>0</v>
      </c>
      <c r="BW8" s="53">
        <f t="shared" si="15"/>
        <v>0</v>
      </c>
      <c r="BX8" s="53">
        <f t="shared" si="15"/>
        <v>0</v>
      </c>
      <c r="BY8" s="53">
        <f t="shared" si="15"/>
        <v>-30224</v>
      </c>
      <c r="BZ8" s="53">
        <f t="shared" si="15"/>
        <v>0</v>
      </c>
      <c r="CA8" s="53">
        <f t="shared" si="15"/>
        <v>0</v>
      </c>
      <c r="CB8" s="53">
        <f t="shared" si="15"/>
        <v>-30224</v>
      </c>
      <c r="CC8" s="53">
        <f t="shared" si="15"/>
        <v>0</v>
      </c>
      <c r="CD8" s="53">
        <f t="shared" si="15"/>
        <v>0</v>
      </c>
      <c r="CE8" s="53">
        <f t="shared" si="15"/>
        <v>-4.3903000000000247E-2</v>
      </c>
      <c r="CF8" s="53">
        <f t="shared" si="15"/>
        <v>1.2746999999997399E-2</v>
      </c>
      <c r="CG8" s="53">
        <f t="shared" si="15"/>
        <v>-3.0771999999998911E-2</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71.945244000000002</v>
      </c>
      <c r="X9" s="32">
        <v>75.319241000000005</v>
      </c>
      <c r="Y9" s="32">
        <v>42.149681000000001</v>
      </c>
      <c r="Z9" s="32">
        <v>49.421931000000001</v>
      </c>
      <c r="AA9" s="32">
        <v>49.547406000000002</v>
      </c>
      <c r="AB9" s="33">
        <v>3342.2</v>
      </c>
      <c r="AC9" s="33">
        <v>1300.3499999999999</v>
      </c>
      <c r="AD9" s="33">
        <v>10.727</v>
      </c>
      <c r="AE9" s="33">
        <v>17.917000000000002</v>
      </c>
      <c r="AG9" s="28">
        <f t="shared" si="6"/>
        <v>16.818832499999999</v>
      </c>
      <c r="AH9" s="29">
        <f t="shared" si="7"/>
        <v>7.5332185067629259E-2</v>
      </c>
      <c r="AI9" s="29">
        <f t="shared" si="8"/>
        <v>2.068986214449918E-2</v>
      </c>
      <c r="AJ9" s="29">
        <f t="shared" si="9"/>
        <v>1.5547781280464586E-2</v>
      </c>
      <c r="AK9" s="29">
        <f t="shared" si="10"/>
        <v>5.4642322923130086E-2</v>
      </c>
      <c r="AL9" s="26">
        <f t="shared" si="11"/>
        <v>4927216</v>
      </c>
      <c r="AM9" s="29">
        <v>16</v>
      </c>
      <c r="AN9" s="30">
        <v>24868389</v>
      </c>
      <c r="AO9" s="30">
        <v>777137.15625</v>
      </c>
      <c r="AP9" s="30">
        <v>10635.96875</v>
      </c>
      <c r="AQ9" s="31">
        <v>17940088</v>
      </c>
      <c r="AR9" s="31">
        <v>3702648</v>
      </c>
      <c r="AS9" s="31">
        <v>1224568</v>
      </c>
      <c r="AT9" s="31">
        <v>13012872</v>
      </c>
      <c r="AU9" s="32">
        <v>71.945244000000002</v>
      </c>
      <c r="AV9" s="32">
        <v>75.319241000000005</v>
      </c>
      <c r="AW9" s="32">
        <v>42.096138000000003</v>
      </c>
      <c r="AX9" s="32">
        <v>49.407738000000002</v>
      </c>
      <c r="AY9" s="32">
        <v>49.539183999999999</v>
      </c>
      <c r="AZ9" s="33">
        <v>3946.5</v>
      </c>
      <c r="BA9" s="33">
        <v>1721.97</v>
      </c>
      <c r="BB9" s="33">
        <v>50.585999999999999</v>
      </c>
      <c r="BC9" s="33">
        <v>24.47</v>
      </c>
      <c r="BE9" s="34">
        <f t="shared" si="12"/>
        <v>1</v>
      </c>
      <c r="BF9" s="35">
        <f t="shared" si="13"/>
        <v>0</v>
      </c>
      <c r="BG9" s="35">
        <f t="shared" si="14"/>
        <v>1.2798581805830156E-3</v>
      </c>
      <c r="BH9" s="35"/>
      <c r="BJ9" s="34"/>
      <c r="BK9" s="34"/>
      <c r="BL9" s="34"/>
      <c r="BM9" s="34"/>
      <c r="BN9" s="34"/>
      <c r="BP9" s="34"/>
      <c r="BQ9" s="34"/>
      <c r="BR9" s="34"/>
      <c r="BS9" s="34"/>
      <c r="BT9" s="34"/>
      <c r="BV9" s="53">
        <f t="shared" si="16"/>
        <v>0</v>
      </c>
      <c r="BW9" s="53">
        <f t="shared" si="15"/>
        <v>0</v>
      </c>
      <c r="BX9" s="53">
        <f t="shared" si="15"/>
        <v>0</v>
      </c>
      <c r="BY9" s="53">
        <f t="shared" si="15"/>
        <v>-83992</v>
      </c>
      <c r="BZ9" s="53">
        <f t="shared" si="15"/>
        <v>0</v>
      </c>
      <c r="CA9" s="53">
        <f t="shared" si="15"/>
        <v>0</v>
      </c>
      <c r="CB9" s="53">
        <f t="shared" si="15"/>
        <v>-83992</v>
      </c>
      <c r="CC9" s="53">
        <f t="shared" si="15"/>
        <v>0</v>
      </c>
      <c r="CD9" s="53">
        <f t="shared" si="15"/>
        <v>0</v>
      </c>
      <c r="CE9" s="53">
        <f t="shared" si="15"/>
        <v>-5.3542999999997676E-2</v>
      </c>
      <c r="CF9" s="53">
        <f t="shared" si="15"/>
        <v>-1.419299999999879E-2</v>
      </c>
      <c r="CG9" s="53">
        <f t="shared" si="15"/>
        <v>-8.2220000000035043E-3</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65.904411999999994</v>
      </c>
      <c r="X10" s="23">
        <v>67.822759000000005</v>
      </c>
      <c r="Y10" s="23">
        <v>32.384371999999999</v>
      </c>
      <c r="Z10" s="23">
        <v>39.164465999999997</v>
      </c>
      <c r="AA10" s="23">
        <v>32.081006000000002</v>
      </c>
      <c r="AB10" s="24">
        <v>3288.7</v>
      </c>
      <c r="AC10" s="24">
        <v>1028.52</v>
      </c>
      <c r="AD10" s="24">
        <v>9.5920000000000005</v>
      </c>
      <c r="AE10" s="24">
        <v>15.241</v>
      </c>
      <c r="AG10" s="19">
        <f t="shared" si="6"/>
        <v>3.2118150000000001</v>
      </c>
      <c r="AH10" s="20">
        <f t="shared" si="7"/>
        <v>1.5706567451142607E-2</v>
      </c>
      <c r="AI10" s="20">
        <f t="shared" si="8"/>
        <v>8.1856126603203558E-3</v>
      </c>
      <c r="AJ10" s="20">
        <f t="shared" si="9"/>
        <v>4.2806284772576161E-3</v>
      </c>
      <c r="AK10" s="20">
        <f t="shared" si="10"/>
        <v>7.520954790822253E-3</v>
      </c>
      <c r="AL10" s="17">
        <f t="shared" si="11"/>
        <v>1785456</v>
      </c>
      <c r="AM10" s="20">
        <v>16</v>
      </c>
      <c r="AN10" s="21">
        <v>20666971</v>
      </c>
      <c r="AO10" s="21">
        <v>645842.84375</v>
      </c>
      <c r="AP10" s="21">
        <v>18163.46875</v>
      </c>
      <c r="AQ10" s="22">
        <v>3425936</v>
      </c>
      <c r="AR10" s="22">
        <v>933696</v>
      </c>
      <c r="AS10" s="22">
        <v>851760</v>
      </c>
      <c r="AT10" s="22">
        <v>1640480</v>
      </c>
      <c r="AU10" s="23">
        <v>65.904411999999994</v>
      </c>
      <c r="AV10" s="23">
        <v>67.822759000000005</v>
      </c>
      <c r="AW10" s="23">
        <v>32.377887000000001</v>
      </c>
      <c r="AX10" s="23">
        <v>39.168916000000003</v>
      </c>
      <c r="AY10" s="23">
        <v>32.079768999999999</v>
      </c>
      <c r="AZ10" s="24">
        <v>3797.73</v>
      </c>
      <c r="BA10" s="24">
        <v>1102.75</v>
      </c>
      <c r="BB10" s="24">
        <v>39.914999999999999</v>
      </c>
      <c r="BC10" s="24">
        <v>16.396000000000001</v>
      </c>
      <c r="BE10" s="49">
        <f t="shared" si="12"/>
        <v>1</v>
      </c>
      <c r="BF10" s="25">
        <f t="shared" si="13"/>
        <v>0</v>
      </c>
      <c r="BG10" s="25">
        <f t="shared" si="14"/>
        <v>2.8583160905215621E-4</v>
      </c>
      <c r="BH10" s="25">
        <f t="array" ref="BH10">AVERAGE(AL10:AL14/AQ10:AQ14) - AVERAGE(N10:N14/S10:S14)</f>
        <v>5.5379266554872464E-4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3.8224601095224742E-3</v>
      </c>
      <c r="BM10" s="49">
        <f>IF( OR(ISBLANK(V10:V14),ISBLANK(AT10:AT14), ISBLANK(Z10:Z14),ISBLANK(AX10:AX14)), "·", bdRateExtend( V10:V14,Z10:Z14, AT10:AT14,AX10:AX14))</f>
        <v>-1.0792572733157035E-3</v>
      </c>
      <c r="BN10" s="49">
        <f>IF( OR(ISBLANK(V10:V14),ISBLANK(AT10:AT14), ISBLANK(AA10:AA14),ISBLANK(AY10:AY14)), "·", bdRateExtend( V10:V14,AA10:AA14, AT10:AT14,AY10:AY14))</f>
        <v>-3.7116322413066616E-4</v>
      </c>
      <c r="BP10" s="49">
        <f>IF( OR(ISBLANK(S10:S14),ISBLANK(AQ10:AQ14), ISBLANK(W10:W14),ISBLANK(AU10:AU14)), "·", bdRateExtend( S10:S14,W10:W14, AQ10:AQ14,AU10:AU14))</f>
        <v>-1.6976641934373093E-3</v>
      </c>
      <c r="BQ10" s="49">
        <f>IF( OR(ISBLANK(S10:S14),ISBLANK(AQ10:AQ14), ISBLANK(X10:X14),ISBLANK(AV10:AV14)), "·", bdRateExtend( S10:S14,X10:X14, AQ10:AQ14,AV10:AV14))</f>
        <v>-1.9561930909535175E-3</v>
      </c>
      <c r="BR10" s="49">
        <f>IF( OR(ISBLANK(S10:S14),ISBLANK(AQ10:AQ14), ISBLANK(Y10:Y14),ISBLANK(AW10:AW14)), "·", bdRateExtend( S10:S14,Y10:Y14, AQ10:AQ14,AW10:AW14))</f>
        <v>3.9046401661519958E-3</v>
      </c>
      <c r="BS10" s="49">
        <f>IF( OR(ISBLANK(S10:S14),ISBLANK(AQ10:AQ14), ISBLANK(Z10:Z14),ISBLANK(AX10:AX14)), "·", bdRateExtend( S10:S14,Z10:Z14, AQ10:AQ14,AX10:AX14))</f>
        <v>-3.2126598386195138E-4</v>
      </c>
      <c r="BT10" s="49">
        <f>IF( OR(ISBLANK(S10:S14),ISBLANK(AQ10:AQ14), ISBLANK(AA10:AA14),ISBLANK(AY10:AY14)), "·", bdRateExtend( S10:S14,AA10:AA14, AQ10:AQ14,AY10:AY14))</f>
        <v>1.3196083188682373E-4</v>
      </c>
      <c r="BV10" s="53">
        <f t="shared" si="16"/>
        <v>0</v>
      </c>
      <c r="BW10" s="53">
        <f t="shared" si="15"/>
        <v>0</v>
      </c>
      <c r="BX10" s="53">
        <f t="shared" si="15"/>
        <v>0</v>
      </c>
      <c r="BY10" s="53">
        <f t="shared" si="15"/>
        <v>-1880</v>
      </c>
      <c r="BZ10" s="53">
        <f t="shared" si="15"/>
        <v>0</v>
      </c>
      <c r="CA10" s="53">
        <f t="shared" si="15"/>
        <v>0</v>
      </c>
      <c r="CB10" s="53">
        <f t="shared" si="15"/>
        <v>-1880</v>
      </c>
      <c r="CC10" s="53">
        <f t="shared" si="15"/>
        <v>0</v>
      </c>
      <c r="CD10" s="53">
        <f t="shared" si="15"/>
        <v>0</v>
      </c>
      <c r="CE10" s="53">
        <f t="shared" si="15"/>
        <v>-6.4849999999978536E-3</v>
      </c>
      <c r="CF10" s="53">
        <f t="shared" si="15"/>
        <v>4.4500000000056161E-3</v>
      </c>
      <c r="CG10" s="53">
        <f t="shared" si="15"/>
        <v>-1.2370000000032633E-3</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67.607918999999995</v>
      </c>
      <c r="X11" s="14">
        <v>69.699944000000002</v>
      </c>
      <c r="Y11" s="14">
        <v>34.252084000000004</v>
      </c>
      <c r="Z11" s="14">
        <v>40.021503000000003</v>
      </c>
      <c r="AA11" s="14">
        <v>33.864341000000003</v>
      </c>
      <c r="AB11" s="15">
        <v>3363.34</v>
      </c>
      <c r="AC11" s="15">
        <v>1106.56</v>
      </c>
      <c r="AD11" s="15">
        <v>10.273999999999999</v>
      </c>
      <c r="AE11" s="15">
        <v>16.774000000000001</v>
      </c>
      <c r="AG11" s="10">
        <f t="shared" si="6"/>
        <v>4.6275075000000001</v>
      </c>
      <c r="AH11" s="11">
        <f t="shared" si="7"/>
        <v>2.2629652915693556E-2</v>
      </c>
      <c r="AI11" s="11">
        <f t="shared" si="8"/>
        <v>9.9355385111918621E-3</v>
      </c>
      <c r="AJ11" s="11">
        <f t="shared" si="9"/>
        <v>6.0305543281291233E-3</v>
      </c>
      <c r="AK11" s="11">
        <f t="shared" si="10"/>
        <v>1.2694114404501694E-2</v>
      </c>
      <c r="AL11" s="52">
        <f t="shared" si="11"/>
        <v>2167152</v>
      </c>
      <c r="AM11" s="11">
        <v>16</v>
      </c>
      <c r="AN11" s="12">
        <v>22097663</v>
      </c>
      <c r="AO11" s="12">
        <v>690551.96875</v>
      </c>
      <c r="AP11" s="12">
        <v>22957.28125</v>
      </c>
      <c r="AQ11" s="13">
        <v>4936008</v>
      </c>
      <c r="AR11" s="13">
        <v>1315392</v>
      </c>
      <c r="AS11" s="13">
        <v>851760</v>
      </c>
      <c r="AT11" s="13">
        <v>2768856</v>
      </c>
      <c r="AU11" s="14">
        <v>67.607918999999995</v>
      </c>
      <c r="AV11" s="14">
        <v>69.699944000000002</v>
      </c>
      <c r="AW11" s="14">
        <v>34.237215999999997</v>
      </c>
      <c r="AX11" s="14">
        <v>40.021222000000002</v>
      </c>
      <c r="AY11" s="14">
        <v>33.852893999999999</v>
      </c>
      <c r="AZ11" s="15">
        <v>3918.36</v>
      </c>
      <c r="BA11" s="15">
        <v>1454.7</v>
      </c>
      <c r="BB11" s="15">
        <v>46.761000000000003</v>
      </c>
      <c r="BC11" s="15">
        <v>23.295000000000002</v>
      </c>
      <c r="BE11" s="50">
        <f t="shared" si="12"/>
        <v>1</v>
      </c>
      <c r="BF11" s="16">
        <f t="shared" si="13"/>
        <v>0</v>
      </c>
      <c r="BG11" s="16">
        <f t="shared" si="14"/>
        <v>6.9412081384645496E-4</v>
      </c>
      <c r="BH11" s="16"/>
      <c r="BJ11" s="50"/>
      <c r="BK11" s="50"/>
      <c r="BL11" s="50"/>
      <c r="BM11" s="50"/>
      <c r="BN11" s="50"/>
      <c r="BP11" s="50"/>
      <c r="BQ11" s="50"/>
      <c r="BR11" s="50"/>
      <c r="BS11" s="50"/>
      <c r="BT11" s="50"/>
      <c r="BV11" s="53">
        <f t="shared" si="16"/>
        <v>0</v>
      </c>
      <c r="BW11" s="53">
        <f t="shared" si="15"/>
        <v>0</v>
      </c>
      <c r="BX11" s="53">
        <f t="shared" si="15"/>
        <v>0</v>
      </c>
      <c r="BY11" s="53">
        <f t="shared" si="15"/>
        <v>-7816</v>
      </c>
      <c r="BZ11" s="53">
        <f t="shared" si="15"/>
        <v>0</v>
      </c>
      <c r="CA11" s="53">
        <f t="shared" si="15"/>
        <v>0</v>
      </c>
      <c r="CB11" s="53">
        <f t="shared" si="15"/>
        <v>-7816</v>
      </c>
      <c r="CC11" s="53">
        <f t="shared" si="15"/>
        <v>0</v>
      </c>
      <c r="CD11" s="53">
        <f t="shared" si="15"/>
        <v>0</v>
      </c>
      <c r="CE11" s="53">
        <f t="shared" si="15"/>
        <v>-1.4868000000006987E-2</v>
      </c>
      <c r="CF11" s="53">
        <f t="shared" si="15"/>
        <v>-2.8100000000108594E-4</v>
      </c>
      <c r="CG11" s="53">
        <f t="shared" si="15"/>
        <v>-1.1447000000003982E-2</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68.956063</v>
      </c>
      <c r="X12" s="23">
        <v>71.331965999999994</v>
      </c>
      <c r="Y12" s="23">
        <v>36.354258999999999</v>
      </c>
      <c r="Z12" s="23">
        <v>40.927830999999998</v>
      </c>
      <c r="AA12" s="23">
        <v>35.635178000000003</v>
      </c>
      <c r="AB12" s="24">
        <v>3302.75</v>
      </c>
      <c r="AC12" s="24">
        <v>1194.21</v>
      </c>
      <c r="AD12" s="24">
        <v>10.542</v>
      </c>
      <c r="AE12" s="24">
        <v>17.289000000000001</v>
      </c>
      <c r="AG12" s="19">
        <f t="shared" si="6"/>
        <v>7.1472224999999998</v>
      </c>
      <c r="AH12" s="20">
        <f t="shared" si="7"/>
        <v>3.495168068041718E-2</v>
      </c>
      <c r="AI12" s="20">
        <f t="shared" si="8"/>
        <v>1.2619110246951556E-2</v>
      </c>
      <c r="AJ12" s="20">
        <f t="shared" si="9"/>
        <v>8.714126063888817E-3</v>
      </c>
      <c r="AK12" s="20">
        <f t="shared" si="10"/>
        <v>2.2332570433465624E-2</v>
      </c>
      <c r="AL12" s="17">
        <f t="shared" si="11"/>
        <v>2752496</v>
      </c>
      <c r="AM12" s="20">
        <v>16</v>
      </c>
      <c r="AN12" s="21">
        <v>22510846</v>
      </c>
      <c r="AO12" s="21">
        <v>703463.9375</v>
      </c>
      <c r="AP12" s="21">
        <v>24709.6875</v>
      </c>
      <c r="AQ12" s="22">
        <v>7623704</v>
      </c>
      <c r="AR12" s="22">
        <v>1900736</v>
      </c>
      <c r="AS12" s="22">
        <v>851760</v>
      </c>
      <c r="AT12" s="22">
        <v>4871208</v>
      </c>
      <c r="AU12" s="23">
        <v>68.956063</v>
      </c>
      <c r="AV12" s="23">
        <v>71.331965999999994</v>
      </c>
      <c r="AW12" s="23">
        <v>36.339463000000002</v>
      </c>
      <c r="AX12" s="23">
        <v>40.923541</v>
      </c>
      <c r="AY12" s="23">
        <v>35.631549999999997</v>
      </c>
      <c r="AZ12" s="24">
        <v>3333.04</v>
      </c>
      <c r="BA12" s="24">
        <v>1105.04</v>
      </c>
      <c r="BB12" s="24">
        <v>40.673999999999999</v>
      </c>
      <c r="BC12" s="24">
        <v>16.459</v>
      </c>
      <c r="BE12" s="49">
        <f t="shared" si="12"/>
        <v>1</v>
      </c>
      <c r="BF12" s="25">
        <f t="shared" si="13"/>
        <v>0</v>
      </c>
      <c r="BG12" s="25">
        <f t="shared" si="14"/>
        <v>2.9754257763942027E-4</v>
      </c>
      <c r="BH12" s="25"/>
      <c r="BJ12" s="49"/>
      <c r="BK12" s="49"/>
      <c r="BL12" s="49"/>
      <c r="BM12" s="49"/>
      <c r="BN12" s="49"/>
      <c r="BP12" s="49"/>
      <c r="BQ12" s="49"/>
      <c r="BR12" s="49"/>
      <c r="BS12" s="49"/>
      <c r="BT12" s="49"/>
      <c r="BV12" s="53">
        <f t="shared" si="16"/>
        <v>0</v>
      </c>
      <c r="BW12" s="53">
        <f t="shared" si="15"/>
        <v>0</v>
      </c>
      <c r="BX12" s="53">
        <f t="shared" si="15"/>
        <v>0</v>
      </c>
      <c r="BY12" s="53">
        <f t="shared" si="15"/>
        <v>-6288</v>
      </c>
      <c r="BZ12" s="53">
        <f t="shared" si="15"/>
        <v>0</v>
      </c>
      <c r="CA12" s="53">
        <f t="shared" si="15"/>
        <v>0</v>
      </c>
      <c r="CB12" s="53">
        <f t="shared" si="15"/>
        <v>-6288</v>
      </c>
      <c r="CC12" s="53">
        <f t="shared" si="15"/>
        <v>0</v>
      </c>
      <c r="CD12" s="53">
        <f t="shared" si="15"/>
        <v>0</v>
      </c>
      <c r="CE12" s="53">
        <f t="shared" si="15"/>
        <v>-1.4795999999996923E-2</v>
      </c>
      <c r="CF12" s="53">
        <f t="shared" si="15"/>
        <v>-4.2899999999974625E-3</v>
      </c>
      <c r="CG12" s="53">
        <f t="shared" si="15"/>
        <v>-3.6280000000061818E-3</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72.590205999999995</v>
      </c>
      <c r="Y13" s="14">
        <v>38.689725000000003</v>
      </c>
      <c r="Z13" s="14">
        <v>42.113683999999999</v>
      </c>
      <c r="AA13" s="14">
        <v>37.693637000000003</v>
      </c>
      <c r="AB13" s="15">
        <v>4083.44</v>
      </c>
      <c r="AC13" s="15">
        <v>1668.19</v>
      </c>
      <c r="AD13" s="15">
        <v>12.718</v>
      </c>
      <c r="AE13" s="15">
        <v>24.706</v>
      </c>
      <c r="AG13" s="10">
        <f t="shared" si="6"/>
        <v>12.03003</v>
      </c>
      <c r="AH13" s="11">
        <f t="shared" si="7"/>
        <v>5.8829813558461216E-2</v>
      </c>
      <c r="AI13" s="11">
        <f t="shared" si="8"/>
        <v>1.730054333726928E-2</v>
      </c>
      <c r="AJ13" s="11">
        <f t="shared" si="9"/>
        <v>1.3395559154206539E-2</v>
      </c>
      <c r="AK13" s="11">
        <f t="shared" si="10"/>
        <v>4.152927022119194E-2</v>
      </c>
      <c r="AL13" s="52">
        <f t="shared" si="11"/>
        <v>3773616</v>
      </c>
      <c r="AM13" s="11">
        <v>16</v>
      </c>
      <c r="AN13" s="12">
        <v>23291739</v>
      </c>
      <c r="AO13" s="12">
        <v>727866.84375</v>
      </c>
      <c r="AP13" s="12">
        <v>28062.03125</v>
      </c>
      <c r="AQ13" s="13">
        <v>12832032</v>
      </c>
      <c r="AR13" s="13">
        <v>2921856</v>
      </c>
      <c r="AS13" s="13">
        <v>851760</v>
      </c>
      <c r="AT13" s="13">
        <v>9058416</v>
      </c>
      <c r="AU13" s="14">
        <v>70.072275000000005</v>
      </c>
      <c r="AV13" s="14">
        <v>72.590205999999995</v>
      </c>
      <c r="AW13" s="14">
        <v>38.648319000000001</v>
      </c>
      <c r="AX13" s="14">
        <v>42.102997000000002</v>
      </c>
      <c r="AY13" s="14">
        <v>37.677087999999998</v>
      </c>
      <c r="AZ13" s="15">
        <v>3258.18</v>
      </c>
      <c r="BA13" s="15">
        <v>1189.3399999999999</v>
      </c>
      <c r="BB13" s="15">
        <v>40.622</v>
      </c>
      <c r="BC13" s="15">
        <v>17.279</v>
      </c>
      <c r="BE13" s="50">
        <f t="shared" si="12"/>
        <v>1</v>
      </c>
      <c r="BF13" s="16">
        <f t="shared" si="13"/>
        <v>0</v>
      </c>
      <c r="BG13" s="16">
        <f t="shared" si="14"/>
        <v>1.0229489604621222E-3</v>
      </c>
      <c r="BH13" s="16"/>
      <c r="BJ13" s="50"/>
      <c r="BK13" s="50"/>
      <c r="BL13" s="50"/>
      <c r="BM13" s="50"/>
      <c r="BN13" s="50"/>
      <c r="BP13" s="50"/>
      <c r="BQ13" s="50"/>
      <c r="BR13" s="50"/>
      <c r="BS13" s="50"/>
      <c r="BT13" s="50"/>
      <c r="BV13" s="53">
        <f t="shared" si="16"/>
        <v>0</v>
      </c>
      <c r="BW13" s="53">
        <f t="shared" si="15"/>
        <v>0</v>
      </c>
      <c r="BX13" s="53">
        <f t="shared" si="15"/>
        <v>0</v>
      </c>
      <c r="BY13" s="53">
        <f t="shared" si="15"/>
        <v>-44792</v>
      </c>
      <c r="BZ13" s="53">
        <f t="shared" si="15"/>
        <v>0</v>
      </c>
      <c r="CA13" s="53">
        <f t="shared" si="15"/>
        <v>0</v>
      </c>
      <c r="CB13" s="53">
        <f t="shared" si="15"/>
        <v>-44792</v>
      </c>
      <c r="CC13" s="53">
        <f t="shared" si="15"/>
        <v>0</v>
      </c>
      <c r="CD13" s="53">
        <f t="shared" si="15"/>
        <v>0</v>
      </c>
      <c r="CE13" s="53">
        <f t="shared" si="15"/>
        <v>-4.1406000000002052E-2</v>
      </c>
      <c r="CF13" s="53">
        <f t="shared" si="15"/>
        <v>-1.0686999999997226E-2</v>
      </c>
      <c r="CG13" s="53">
        <f t="shared" si="15"/>
        <v>-1.654900000000481E-2</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70.923046999999997</v>
      </c>
      <c r="X14" s="42">
        <v>74.675602999999995</v>
      </c>
      <c r="Y14" s="42">
        <v>40.970319000000003</v>
      </c>
      <c r="Z14" s="42">
        <v>43.413924999999999</v>
      </c>
      <c r="AA14" s="42">
        <v>39.478603</v>
      </c>
      <c r="AB14" s="43">
        <v>3394.9</v>
      </c>
      <c r="AC14" s="43">
        <v>1416.57</v>
      </c>
      <c r="AD14" s="43">
        <v>10.085000000000001</v>
      </c>
      <c r="AE14" s="43">
        <v>19.734999999999999</v>
      </c>
      <c r="AG14" s="38">
        <f t="shared" si="6"/>
        <v>21.587354999999999</v>
      </c>
      <c r="AH14" s="39">
        <f t="shared" si="7"/>
        <v>0.10556748984585371</v>
      </c>
      <c r="AI14" s="39">
        <f t="shared" si="8"/>
        <v>2.838032620408424E-2</v>
      </c>
      <c r="AJ14" s="39">
        <f t="shared" si="9"/>
        <v>2.1154363315059429E-2</v>
      </c>
      <c r="AK14" s="39">
        <f t="shared" si="10"/>
        <v>7.7187163641769474E-2</v>
      </c>
      <c r="AL14" s="36">
        <f t="shared" si="11"/>
        <v>6190352</v>
      </c>
      <c r="AM14" s="39">
        <v>16</v>
      </c>
      <c r="AN14" s="40">
        <v>22124056</v>
      </c>
      <c r="AO14" s="40">
        <v>691376.75</v>
      </c>
      <c r="AP14" s="40">
        <v>13278.71875</v>
      </c>
      <c r="AQ14" s="41">
        <v>23026512</v>
      </c>
      <c r="AR14" s="41">
        <v>4614216</v>
      </c>
      <c r="AS14" s="41">
        <v>1576136</v>
      </c>
      <c r="AT14" s="41">
        <v>16836160</v>
      </c>
      <c r="AU14" s="42">
        <v>70.923046999999997</v>
      </c>
      <c r="AV14" s="42">
        <v>74.675602999999995</v>
      </c>
      <c r="AW14" s="42">
        <v>40.930824999999999</v>
      </c>
      <c r="AX14" s="42">
        <v>43.419600000000003</v>
      </c>
      <c r="AY14" s="42">
        <v>39.489528</v>
      </c>
      <c r="AZ14" s="43">
        <v>3470.79</v>
      </c>
      <c r="BA14" s="43">
        <v>1443.6</v>
      </c>
      <c r="BB14" s="43">
        <v>40.722999999999999</v>
      </c>
      <c r="BC14" s="43">
        <v>19.413</v>
      </c>
      <c r="BE14" s="44">
        <f t="shared" si="12"/>
        <v>1</v>
      </c>
      <c r="BF14" s="45">
        <f t="shared" si="13"/>
        <v>0</v>
      </c>
      <c r="BG14" s="45">
        <f t="shared" si="14"/>
        <v>4.685193667434695E-4</v>
      </c>
      <c r="BH14" s="45"/>
      <c r="BJ14" s="44"/>
      <c r="BK14" s="44"/>
      <c r="BL14" s="44"/>
      <c r="BM14" s="44"/>
      <c r="BN14" s="44"/>
      <c r="BP14" s="44"/>
      <c r="BQ14" s="44"/>
      <c r="BR14" s="44"/>
      <c r="BS14" s="44"/>
      <c r="BT14" s="44"/>
      <c r="BV14" s="53">
        <f t="shared" si="16"/>
        <v>0</v>
      </c>
      <c r="BW14" s="53">
        <f t="shared" si="15"/>
        <v>0</v>
      </c>
      <c r="BX14" s="53">
        <f t="shared" si="15"/>
        <v>0</v>
      </c>
      <c r="BY14" s="53">
        <f t="shared" si="15"/>
        <v>-40200</v>
      </c>
      <c r="BZ14" s="53">
        <f t="shared" si="15"/>
        <v>0</v>
      </c>
      <c r="CA14" s="53">
        <f t="shared" si="15"/>
        <v>0</v>
      </c>
      <c r="CB14" s="53">
        <f t="shared" si="15"/>
        <v>-40200</v>
      </c>
      <c r="CC14" s="53">
        <f t="shared" si="15"/>
        <v>0</v>
      </c>
      <c r="CD14" s="53">
        <f t="shared" si="15"/>
        <v>0</v>
      </c>
      <c r="CE14" s="53">
        <f t="shared" si="15"/>
        <v>-3.9494000000004803E-2</v>
      </c>
      <c r="CF14" s="53">
        <f t="shared" si="15"/>
        <v>5.6750000000036493E-3</v>
      </c>
      <c r="CG14" s="53">
        <f t="shared" si="15"/>
        <v>1.0925000000000296E-2</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65.923106000000004</v>
      </c>
      <c r="X15" s="14">
        <v>67.661794</v>
      </c>
      <c r="Y15" s="14">
        <v>29.416059000000001</v>
      </c>
      <c r="Z15" s="14">
        <v>43.123156000000002</v>
      </c>
      <c r="AA15" s="14">
        <v>43.328384</v>
      </c>
      <c r="AB15" s="15">
        <v>4588.3999999999996</v>
      </c>
      <c r="AC15" s="15">
        <v>1016.31</v>
      </c>
      <c r="AD15" s="15">
        <v>13.121</v>
      </c>
      <c r="AE15" s="15">
        <v>15.282999999999999</v>
      </c>
      <c r="AG15" s="10">
        <f t="shared" si="6"/>
        <v>4.4272425000000002</v>
      </c>
      <c r="AH15" s="11">
        <f t="shared" si="7"/>
        <v>1.4639004101631216E-2</v>
      </c>
      <c r="AI15" s="11">
        <f t="shared" si="8"/>
        <v>8.3179096131350792E-3</v>
      </c>
      <c r="AJ15" s="11">
        <f t="shared" si="9"/>
        <v>4.3923534521734149E-3</v>
      </c>
      <c r="AK15" s="11">
        <f t="shared" si="10"/>
        <v>6.3210944884961361E-3</v>
      </c>
      <c r="AL15" s="52">
        <f t="shared" si="11"/>
        <v>2683272</v>
      </c>
      <c r="AM15" s="11">
        <v>16</v>
      </c>
      <c r="AN15" s="12">
        <v>31086837</v>
      </c>
      <c r="AO15" s="12">
        <v>971463.65625</v>
      </c>
      <c r="AP15" s="12">
        <v>27944.21875</v>
      </c>
      <c r="AQ15" s="13">
        <v>4722392</v>
      </c>
      <c r="AR15" s="13">
        <v>1416928</v>
      </c>
      <c r="AS15" s="13">
        <v>1266344</v>
      </c>
      <c r="AT15" s="13">
        <v>2039120</v>
      </c>
      <c r="AU15" s="14">
        <v>65.923106000000004</v>
      </c>
      <c r="AV15" s="14">
        <v>67.661794</v>
      </c>
      <c r="AW15" s="14">
        <v>29.406877999999999</v>
      </c>
      <c r="AX15" s="14">
        <v>43.119777999999997</v>
      </c>
      <c r="AY15" s="14">
        <v>43.257396999999997</v>
      </c>
      <c r="AZ15" s="15">
        <v>4837.01</v>
      </c>
      <c r="BA15" s="15">
        <v>1041.24</v>
      </c>
      <c r="BB15" s="15">
        <v>55.334000000000003</v>
      </c>
      <c r="BC15" s="15">
        <v>15.2</v>
      </c>
      <c r="BE15" s="50">
        <f t="shared" si="12"/>
        <v>1</v>
      </c>
      <c r="BF15" s="16">
        <f t="shared" si="13"/>
        <v>0</v>
      </c>
      <c r="BG15" s="16">
        <f t="shared" si="14"/>
        <v>5.4621203475047064E-4</v>
      </c>
      <c r="BH15" s="16">
        <f t="array" ref="BH15">AVERAGE(AL15:AL19/AQ15:AQ19) - AVERAGE(N15:N19/S15:S19)</f>
        <v>1.0206881508047494E-3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3.6764186300026758E-3</v>
      </c>
      <c r="BM15" s="50">
        <f>IF( OR(ISBLANK(V15:V19),ISBLANK(AT15:AT19), ISBLANK(Z15:Z19),ISBLANK(AX15:AX19)), "·", bdRateExtend( V15:V19,Z15:Z19, AT15:AT19,AX15:AX19))</f>
        <v>-1.0977430409378708E-2</v>
      </c>
      <c r="BN15" s="50">
        <f>IF( OR(ISBLANK(V15:V19),ISBLANK(AT15:AT19), ISBLANK(AA15:AA19),ISBLANK(AY15:AY19)), "·", bdRateExtend( V15:V19,AA15:AA19, AT15:AT19,AY15:AY19))</f>
        <v>-1.7691975162644757E-3</v>
      </c>
      <c r="BP15" s="50">
        <f>IF( OR(ISBLANK(S15:S19),ISBLANK(AQ15:AQ19), ISBLANK(W15:W19),ISBLANK(AU15:AU19)), "·", bdRateExtend( S15:S19,W15:W19, AQ15:AQ19,AU15:AU19))</f>
        <v>-2.7826038664244823E-3</v>
      </c>
      <c r="BQ15" s="50">
        <f>IF( OR(ISBLANK(S15:S19),ISBLANK(AQ15:AQ19), ISBLANK(X15:X19),ISBLANK(AV15:AV19)), "·", bdRateExtend( S15:S19,X15:X19, AQ15:AQ19,AV15:AV19))</f>
        <v>-3.4413699135176223E-3</v>
      </c>
      <c r="BR15" s="50">
        <f>IF( OR(ISBLANK(S15:S19),ISBLANK(AQ15:AQ19), ISBLANK(Y15:Y19),ISBLANK(AW15:AW19)), "·", bdRateExtend( S15:S19,Y15:Y19, AQ15:AQ19,AW15:AW19))</f>
        <v>3.8821548029290831E-3</v>
      </c>
      <c r="BS15" s="50">
        <f>IF( OR(ISBLANK(S15:S19),ISBLANK(AQ15:AQ19), ISBLANK(Z15:Z19),ISBLANK(AX15:AX19)), "·", bdRateExtend( S15:S19,Z15:Z19, AQ15:AQ19,AX15:AX19))</f>
        <v>-8.2803048937644119E-3</v>
      </c>
      <c r="BT15" s="50">
        <f>IF( OR(ISBLANK(S15:S19),ISBLANK(AQ15:AQ19), ISBLANK(AA15:AA19),ISBLANK(AY15:AY19)), "·", bdRateExtend( S15:S19,AA15:AA19, AQ15:AQ19,AY15:AY19))</f>
        <v>-1.5485669380589373E-3</v>
      </c>
      <c r="BV15" s="53">
        <f t="shared" si="16"/>
        <v>0</v>
      </c>
      <c r="BW15" s="53">
        <f t="shared" si="15"/>
        <v>0</v>
      </c>
      <c r="BX15" s="53">
        <f t="shared" si="15"/>
        <v>0</v>
      </c>
      <c r="BY15" s="53">
        <f t="shared" si="15"/>
        <v>-4544</v>
      </c>
      <c r="BZ15" s="53">
        <f t="shared" si="15"/>
        <v>0</v>
      </c>
      <c r="CA15" s="53">
        <f t="shared" si="15"/>
        <v>0</v>
      </c>
      <c r="CB15" s="53">
        <f t="shared" si="15"/>
        <v>-4544</v>
      </c>
      <c r="CC15" s="53">
        <f t="shared" si="15"/>
        <v>0</v>
      </c>
      <c r="CD15" s="53">
        <f t="shared" si="15"/>
        <v>0</v>
      </c>
      <c r="CE15" s="53">
        <f t="shared" si="15"/>
        <v>-9.1810000000016601E-3</v>
      </c>
      <c r="CF15" s="53">
        <f t="shared" si="15"/>
        <v>-3.3780000000049881E-3</v>
      </c>
      <c r="CG15" s="53">
        <f t="shared" si="15"/>
        <v>-7.0987000000002354E-2</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69.741403000000005</v>
      </c>
      <c r="Y16" s="23">
        <v>31.814990999999999</v>
      </c>
      <c r="Z16" s="23">
        <v>43.952409000000003</v>
      </c>
      <c r="AA16" s="23">
        <v>44.252958999999997</v>
      </c>
      <c r="AB16" s="24">
        <v>4726.47</v>
      </c>
      <c r="AC16" s="24">
        <v>1100.26</v>
      </c>
      <c r="AD16" s="24">
        <v>13.351000000000001</v>
      </c>
      <c r="AE16" s="24">
        <v>15.984999999999999</v>
      </c>
      <c r="AG16" s="19">
        <f t="shared" si="6"/>
        <v>7.0232849999999996</v>
      </c>
      <c r="AH16" s="20">
        <f t="shared" si="7"/>
        <v>2.3223010242137177E-2</v>
      </c>
      <c r="AI16" s="20">
        <f t="shared" si="8"/>
        <v>1.0123298913470592E-2</v>
      </c>
      <c r="AJ16" s="20">
        <f t="shared" si="9"/>
        <v>6.1977427525089267E-3</v>
      </c>
      <c r="AK16" s="20">
        <f t="shared" si="10"/>
        <v>1.3099711328666584E-2</v>
      </c>
      <c r="AL16" s="17">
        <f t="shared" si="11"/>
        <v>3265672</v>
      </c>
      <c r="AM16" s="20">
        <v>16</v>
      </c>
      <c r="AN16" s="21">
        <v>33185472</v>
      </c>
      <c r="AO16" s="21">
        <v>1037046</v>
      </c>
      <c r="AP16" s="21">
        <v>34748.59375</v>
      </c>
      <c r="AQ16" s="22">
        <v>7491504</v>
      </c>
      <c r="AR16" s="22">
        <v>1999328</v>
      </c>
      <c r="AS16" s="22">
        <v>1266344</v>
      </c>
      <c r="AT16" s="22">
        <v>4225832</v>
      </c>
      <c r="AU16" s="23">
        <v>67.712850000000003</v>
      </c>
      <c r="AV16" s="23">
        <v>69.741403000000005</v>
      </c>
      <c r="AW16" s="23">
        <v>31.797930999999998</v>
      </c>
      <c r="AX16" s="23">
        <v>43.971153000000001</v>
      </c>
      <c r="AY16" s="23">
        <v>44.257328000000001</v>
      </c>
      <c r="AZ16" s="24">
        <v>4861.37</v>
      </c>
      <c r="BA16" s="24">
        <v>1110.03</v>
      </c>
      <c r="BB16" s="24">
        <v>58.427999999999997</v>
      </c>
      <c r="BC16" s="24">
        <v>15.417999999999999</v>
      </c>
      <c r="BE16" s="49">
        <f t="shared" si="12"/>
        <v>1</v>
      </c>
      <c r="BF16" s="25">
        <f t="shared" si="13"/>
        <v>0</v>
      </c>
      <c r="BG16" s="25">
        <f t="shared" si="14"/>
        <v>6.1499448876295437E-4</v>
      </c>
      <c r="BH16" s="25"/>
      <c r="BJ16" s="49"/>
      <c r="BK16" s="49"/>
      <c r="BL16" s="49"/>
      <c r="BM16" s="49"/>
      <c r="BN16" s="49"/>
      <c r="BP16" s="49"/>
      <c r="BQ16" s="49"/>
      <c r="BR16" s="49"/>
      <c r="BS16" s="49"/>
      <c r="BT16" s="49"/>
      <c r="BV16" s="53">
        <f t="shared" si="16"/>
        <v>0</v>
      </c>
      <c r="BW16" s="53">
        <f t="shared" si="15"/>
        <v>0</v>
      </c>
      <c r="BX16" s="53">
        <f t="shared" si="15"/>
        <v>0</v>
      </c>
      <c r="BY16" s="53">
        <f t="shared" si="15"/>
        <v>-10584</v>
      </c>
      <c r="BZ16" s="53">
        <f t="shared" si="15"/>
        <v>0</v>
      </c>
      <c r="CA16" s="53">
        <f t="shared" si="15"/>
        <v>0</v>
      </c>
      <c r="CB16" s="53">
        <f t="shared" si="15"/>
        <v>-10584</v>
      </c>
      <c r="CC16" s="53">
        <f t="shared" si="15"/>
        <v>0</v>
      </c>
      <c r="CD16" s="53">
        <f t="shared" si="15"/>
        <v>0</v>
      </c>
      <c r="CE16" s="53">
        <f t="shared" si="15"/>
        <v>-1.7060000000000741E-2</v>
      </c>
      <c r="CF16" s="53">
        <f t="shared" si="15"/>
        <v>1.8743999999998096E-2</v>
      </c>
      <c r="CG16" s="53">
        <f t="shared" si="15"/>
        <v>4.3690000000040641E-3</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69.134438000000003</v>
      </c>
      <c r="X17" s="14">
        <v>71.597097000000005</v>
      </c>
      <c r="Y17" s="14">
        <v>34.361643999999998</v>
      </c>
      <c r="Z17" s="14">
        <v>44.795583999999998</v>
      </c>
      <c r="AA17" s="14">
        <v>45.197471999999998</v>
      </c>
      <c r="AB17" s="15">
        <v>4783.51</v>
      </c>
      <c r="AC17" s="15">
        <v>1216.53</v>
      </c>
      <c r="AD17" s="15">
        <v>14.316000000000001</v>
      </c>
      <c r="AE17" s="15">
        <v>17.263000000000002</v>
      </c>
      <c r="AG17" s="10">
        <f t="shared" si="6"/>
        <v>11.709877499999999</v>
      </c>
      <c r="AH17" s="11">
        <f t="shared" si="7"/>
        <v>3.8719574261427761E-2</v>
      </c>
      <c r="AI17" s="11">
        <f t="shared" si="8"/>
        <v>1.2882643024465529E-2</v>
      </c>
      <c r="AJ17" s="11">
        <f t="shared" si="9"/>
        <v>8.9570868635038652E-3</v>
      </c>
      <c r="AK17" s="11">
        <f t="shared" si="10"/>
        <v>2.5836931236962232E-2</v>
      </c>
      <c r="AL17" s="52">
        <f t="shared" si="11"/>
        <v>4155808</v>
      </c>
      <c r="AM17" s="11">
        <v>16</v>
      </c>
      <c r="AN17" s="12">
        <v>33604345</v>
      </c>
      <c r="AO17" s="12">
        <v>1050135.78125</v>
      </c>
      <c r="AP17" s="12">
        <v>36572.96875</v>
      </c>
      <c r="AQ17" s="13">
        <v>12490536</v>
      </c>
      <c r="AR17" s="13">
        <v>2889464</v>
      </c>
      <c r="AS17" s="13">
        <v>1266344</v>
      </c>
      <c r="AT17" s="13">
        <v>8334728</v>
      </c>
      <c r="AU17" s="14">
        <v>69.134438000000003</v>
      </c>
      <c r="AV17" s="14">
        <v>71.597097000000005</v>
      </c>
      <c r="AW17" s="14">
        <v>34.336441000000001</v>
      </c>
      <c r="AX17" s="14">
        <v>44.791181000000002</v>
      </c>
      <c r="AY17" s="14">
        <v>45.201425</v>
      </c>
      <c r="AZ17" s="15">
        <v>5455.06</v>
      </c>
      <c r="BA17" s="15">
        <v>1261.06</v>
      </c>
      <c r="BB17" s="15">
        <v>63.567</v>
      </c>
      <c r="BC17" s="15">
        <v>17.298999999999999</v>
      </c>
      <c r="BE17" s="50">
        <f t="shared" si="12"/>
        <v>1</v>
      </c>
      <c r="BF17" s="16">
        <f t="shared" si="13"/>
        <v>0</v>
      </c>
      <c r="BG17" s="16">
        <f t="shared" si="14"/>
        <v>7.1723658414374336E-4</v>
      </c>
      <c r="BH17" s="16"/>
      <c r="BJ17" s="50"/>
      <c r="BK17" s="50"/>
      <c r="BL17" s="50"/>
      <c r="BM17" s="50"/>
      <c r="BN17" s="50"/>
      <c r="BP17" s="50"/>
      <c r="BQ17" s="50"/>
      <c r="BR17" s="50"/>
      <c r="BS17" s="50"/>
      <c r="BT17" s="50"/>
      <c r="BV17" s="53">
        <f t="shared" si="16"/>
        <v>0</v>
      </c>
      <c r="BW17" s="53">
        <f t="shared" si="15"/>
        <v>0</v>
      </c>
      <c r="BX17" s="53">
        <f t="shared" si="15"/>
        <v>0</v>
      </c>
      <c r="BY17" s="53">
        <f t="shared" si="15"/>
        <v>-26984</v>
      </c>
      <c r="BZ17" s="53">
        <f t="shared" si="15"/>
        <v>0</v>
      </c>
      <c r="CA17" s="53">
        <f t="shared" si="15"/>
        <v>0</v>
      </c>
      <c r="CB17" s="53">
        <f t="shared" si="15"/>
        <v>-26984</v>
      </c>
      <c r="CC17" s="53">
        <f t="shared" si="15"/>
        <v>0</v>
      </c>
      <c r="CD17" s="53">
        <f t="shared" si="15"/>
        <v>0</v>
      </c>
      <c r="CE17" s="53">
        <f t="shared" si="15"/>
        <v>-2.5202999999997644E-2</v>
      </c>
      <c r="CF17" s="53">
        <f t="shared" si="15"/>
        <v>-4.402999999996382E-3</v>
      </c>
      <c r="CG17" s="53">
        <f t="shared" si="15"/>
        <v>3.9530000000027599E-3</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72.951280999999994</v>
      </c>
      <c r="Y18" s="23">
        <v>37.068994000000004</v>
      </c>
      <c r="Z18" s="23">
        <v>46.119855999999999</v>
      </c>
      <c r="AA18" s="23">
        <v>46.648406000000001</v>
      </c>
      <c r="AB18" s="24">
        <v>4866.6099999999997</v>
      </c>
      <c r="AC18" s="24">
        <v>1432.92</v>
      </c>
      <c r="AD18" s="24">
        <v>14.622</v>
      </c>
      <c r="AE18" s="24">
        <v>18.068000000000001</v>
      </c>
      <c r="AG18" s="19">
        <f t="shared" si="6"/>
        <v>20.196885000000002</v>
      </c>
      <c r="AH18" s="20">
        <f t="shared" si="7"/>
        <v>6.6782490987375098E-2</v>
      </c>
      <c r="AI18" s="20">
        <f t="shared" si="8"/>
        <v>1.7385626169891647E-2</v>
      </c>
      <c r="AJ18" s="20">
        <f t="shared" si="9"/>
        <v>1.3460070008929981E-2</v>
      </c>
      <c r="AK18" s="20">
        <f t="shared" si="10"/>
        <v>4.9396864817483448E-2</v>
      </c>
      <c r="AL18" s="17">
        <f t="shared" si="11"/>
        <v>5608424</v>
      </c>
      <c r="AM18" s="20">
        <v>16</v>
      </c>
      <c r="AN18" s="21">
        <v>34799418</v>
      </c>
      <c r="AO18" s="21">
        <v>1087481.8125</v>
      </c>
      <c r="AP18" s="21">
        <v>40860.15625</v>
      </c>
      <c r="AQ18" s="22">
        <v>21543344</v>
      </c>
      <c r="AR18" s="22">
        <v>4342080</v>
      </c>
      <c r="AS18" s="22">
        <v>1266344</v>
      </c>
      <c r="AT18" s="22">
        <v>15934920</v>
      </c>
      <c r="AU18" s="23">
        <v>70.372874999999993</v>
      </c>
      <c r="AV18" s="23">
        <v>72.951280999999994</v>
      </c>
      <c r="AW18" s="23">
        <v>37.009065999999997</v>
      </c>
      <c r="AX18" s="23">
        <v>46.133516</v>
      </c>
      <c r="AY18" s="23">
        <v>46.633884000000002</v>
      </c>
      <c r="AZ18" s="24">
        <v>5092.0200000000004</v>
      </c>
      <c r="BA18" s="24">
        <v>1446.84</v>
      </c>
      <c r="BB18" s="24">
        <v>66.081999999999994</v>
      </c>
      <c r="BC18" s="24">
        <v>18.995999999999999</v>
      </c>
      <c r="BE18" s="49">
        <f t="shared" si="12"/>
        <v>1</v>
      </c>
      <c r="BF18" s="25">
        <f t="shared" si="13"/>
        <v>0</v>
      </c>
      <c r="BG18" s="25">
        <f t="shared" si="14"/>
        <v>1.5877757769242051E-3</v>
      </c>
      <c r="BH18" s="25"/>
      <c r="BJ18" s="49"/>
      <c r="BK18" s="49"/>
      <c r="BL18" s="49"/>
      <c r="BM18" s="49"/>
      <c r="BN18" s="49"/>
      <c r="BP18" s="49"/>
      <c r="BQ18" s="49"/>
      <c r="BR18" s="49"/>
      <c r="BS18" s="49"/>
      <c r="BT18" s="49"/>
      <c r="BV18" s="53">
        <f t="shared" si="16"/>
        <v>0</v>
      </c>
      <c r="BW18" s="53">
        <f t="shared" si="15"/>
        <v>0</v>
      </c>
      <c r="BX18" s="53">
        <f t="shared" si="15"/>
        <v>0</v>
      </c>
      <c r="BY18" s="53">
        <f t="shared" si="15"/>
        <v>-132200</v>
      </c>
      <c r="BZ18" s="53">
        <f t="shared" si="15"/>
        <v>0</v>
      </c>
      <c r="CA18" s="53">
        <f t="shared" si="15"/>
        <v>0</v>
      </c>
      <c r="CB18" s="53">
        <f t="shared" si="15"/>
        <v>-132200</v>
      </c>
      <c r="CC18" s="53">
        <f t="shared" si="15"/>
        <v>0</v>
      </c>
      <c r="CD18" s="53">
        <f t="shared" si="15"/>
        <v>0</v>
      </c>
      <c r="CE18" s="53">
        <f t="shared" si="15"/>
        <v>-5.9928000000006421E-2</v>
      </c>
      <c r="CF18" s="53">
        <f t="shared" si="15"/>
        <v>1.366000000000156E-2</v>
      </c>
      <c r="CG18" s="53">
        <f t="shared" si="15"/>
        <v>-1.452199999999948E-2</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71.149227999999994</v>
      </c>
      <c r="X19" s="32">
        <v>75.004366000000005</v>
      </c>
      <c r="Y19" s="32">
        <v>39.554530999999997</v>
      </c>
      <c r="Z19" s="32">
        <v>47.858969000000002</v>
      </c>
      <c r="AA19" s="32">
        <v>48.457106000000003</v>
      </c>
      <c r="AB19" s="33">
        <v>4693.1499999999996</v>
      </c>
      <c r="AC19" s="33">
        <v>1645.55</v>
      </c>
      <c r="AD19" s="33">
        <v>13.948</v>
      </c>
      <c r="AE19" s="33">
        <v>21.472000000000001</v>
      </c>
      <c r="AG19" s="28">
        <f t="shared" si="6"/>
        <v>35.713687499999999</v>
      </c>
      <c r="AH19" s="29">
        <f t="shared" si="7"/>
        <v>0.11808994375096361</v>
      </c>
      <c r="AI19" s="29">
        <f t="shared" si="8"/>
        <v>2.7855396153623056E-2</v>
      </c>
      <c r="AJ19" s="29">
        <f t="shared" si="9"/>
        <v>2.0647974555319349E-2</v>
      </c>
      <c r="AK19" s="29">
        <f t="shared" si="10"/>
        <v>9.023454759734055E-2</v>
      </c>
      <c r="AL19" s="26">
        <f t="shared" si="11"/>
        <v>8985864</v>
      </c>
      <c r="AM19" s="29">
        <v>16</v>
      </c>
      <c r="AN19" s="30">
        <v>33039030</v>
      </c>
      <c r="AO19" s="30">
        <v>1032469.6875</v>
      </c>
      <c r="AP19" s="30">
        <v>17754.53125</v>
      </c>
      <c r="AQ19" s="31">
        <v>38094600</v>
      </c>
      <c r="AR19" s="31">
        <v>6660824</v>
      </c>
      <c r="AS19" s="31">
        <v>2325040</v>
      </c>
      <c r="AT19" s="31">
        <v>29108736</v>
      </c>
      <c r="AU19" s="32">
        <v>71.149227999999994</v>
      </c>
      <c r="AV19" s="32">
        <v>75.004366000000005</v>
      </c>
      <c r="AW19" s="32">
        <v>39.500565999999999</v>
      </c>
      <c r="AX19" s="32">
        <v>47.869031</v>
      </c>
      <c r="AY19" s="32">
        <v>48.472016000000004</v>
      </c>
      <c r="AZ19" s="33">
        <v>4695.18</v>
      </c>
      <c r="BA19" s="33">
        <v>1547.28</v>
      </c>
      <c r="BB19" s="33">
        <v>57.475999999999999</v>
      </c>
      <c r="BC19" s="33">
        <v>19.318000000000001</v>
      </c>
      <c r="BE19" s="34">
        <f t="shared" si="12"/>
        <v>1</v>
      </c>
      <c r="BF19" s="35">
        <f t="shared" si="13"/>
        <v>0</v>
      </c>
      <c r="BG19" s="35">
        <f t="shared" si="14"/>
        <v>1.6372218694421792E-3</v>
      </c>
      <c r="BH19" s="35"/>
      <c r="BJ19" s="34"/>
      <c r="BK19" s="34"/>
      <c r="BL19" s="34"/>
      <c r="BM19" s="34"/>
      <c r="BN19" s="34"/>
      <c r="BP19" s="34"/>
      <c r="BQ19" s="34"/>
      <c r="BR19" s="34"/>
      <c r="BS19" s="34"/>
      <c r="BT19" s="34"/>
      <c r="BV19" s="53">
        <f t="shared" si="16"/>
        <v>0</v>
      </c>
      <c r="BW19" s="53">
        <f t="shared" si="15"/>
        <v>0</v>
      </c>
      <c r="BX19" s="53">
        <f t="shared" si="15"/>
        <v>0</v>
      </c>
      <c r="BY19" s="53">
        <f t="shared" si="15"/>
        <v>-266256</v>
      </c>
      <c r="BZ19" s="53">
        <f t="shared" si="15"/>
        <v>0</v>
      </c>
      <c r="CA19" s="53">
        <f t="shared" si="15"/>
        <v>0</v>
      </c>
      <c r="CB19" s="53">
        <f t="shared" si="15"/>
        <v>-266256</v>
      </c>
      <c r="CC19" s="53">
        <f t="shared" si="15"/>
        <v>0</v>
      </c>
      <c r="CD19" s="53">
        <f t="shared" si="15"/>
        <v>0</v>
      </c>
      <c r="CE19" s="53">
        <f t="shared" si="15"/>
        <v>-5.3964999999998042E-2</v>
      </c>
      <c r="CF19" s="53">
        <f t="shared" si="15"/>
        <v>1.0061999999997795E-2</v>
      </c>
      <c r="CG19" s="53">
        <f t="shared" si="15"/>
        <v>1.4910000000000423E-2</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30.704668999999999</v>
      </c>
      <c r="Z20" s="23">
        <v>39.516744000000003</v>
      </c>
      <c r="AA20" s="23">
        <v>38.250819</v>
      </c>
      <c r="AB20" s="24">
        <v>3936.93</v>
      </c>
      <c r="AC20" s="24">
        <v>1084.56</v>
      </c>
      <c r="AD20" s="24">
        <v>11.523</v>
      </c>
      <c r="AE20" s="24">
        <v>15.794</v>
      </c>
      <c r="AG20" s="19">
        <f t="shared" si="6"/>
        <v>5.1414875000000002</v>
      </c>
      <c r="AH20" s="20">
        <f t="shared" si="7"/>
        <v>1.3130542855549101E-2</v>
      </c>
      <c r="AI20" s="20">
        <f t="shared" si="8"/>
        <v>7.7059286598573197E-3</v>
      </c>
      <c r="AJ20" s="20">
        <f t="shared" si="9"/>
        <v>3.7835477324960308E-3</v>
      </c>
      <c r="AK20" s="20">
        <f t="shared" si="10"/>
        <v>5.4246141956917808E-3</v>
      </c>
      <c r="AL20" s="17">
        <f t="shared" si="11"/>
        <v>1931128</v>
      </c>
      <c r="AM20" s="20">
        <v>16</v>
      </c>
      <c r="AN20" s="21">
        <v>30274532</v>
      </c>
      <c r="AO20" s="21">
        <v>946079.125</v>
      </c>
      <c r="AP20" s="21">
        <v>27842.25</v>
      </c>
      <c r="AQ20" s="22">
        <v>3290552</v>
      </c>
      <c r="AR20" s="22">
        <v>948168</v>
      </c>
      <c r="AS20" s="22">
        <v>982960</v>
      </c>
      <c r="AT20" s="22">
        <v>1359424</v>
      </c>
      <c r="AU20" s="23">
        <v>67.105800000000002</v>
      </c>
      <c r="AV20" s="23">
        <v>68.817099999999996</v>
      </c>
      <c r="AW20" s="23">
        <v>30.681450000000002</v>
      </c>
      <c r="AX20" s="23">
        <v>39.490116</v>
      </c>
      <c r="AY20" s="23">
        <v>38.231090999999999</v>
      </c>
      <c r="AZ20" s="24">
        <v>4286.6899999999996</v>
      </c>
      <c r="BA20" s="24">
        <v>1107.1199999999999</v>
      </c>
      <c r="BB20" s="24">
        <v>52.79</v>
      </c>
      <c r="BC20" s="24">
        <v>16.283999999999999</v>
      </c>
      <c r="BE20" s="49">
        <f t="shared" si="12"/>
        <v>1</v>
      </c>
      <c r="BF20" s="25">
        <f t="shared" si="13"/>
        <v>0</v>
      </c>
      <c r="BG20" s="25">
        <f t="shared" si="14"/>
        <v>5.0919189338684001E-3</v>
      </c>
      <c r="BH20" s="25">
        <f t="array" ref="BH20">AVERAGE(AL20:AL24/AQ20:AQ24) - AVERAGE(N20:N24/S20:S24)</f>
        <v>7.0999582830663654E-3</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6.2061824149632683E-2</v>
      </c>
      <c r="BM20" s="49">
        <f>IF( OR(ISBLANK(V20:V24),ISBLANK(AT20:AT24), ISBLANK(Z20:Z24),ISBLANK(AX20:AX24)), "·", bdRateExtend( V20:V24,Z20:Z24, AT20:AT24,AX20:AX24))</f>
        <v>-4.0741899219844502E-2</v>
      </c>
      <c r="BN20" s="49">
        <f>IF( OR(ISBLANK(V20:V24),ISBLANK(AT20:AT24), ISBLANK(AA20:AA24),ISBLANK(AY20:AY24)), "·", bdRateExtend( V20:V24,AA20:AA24, AT20:AT24,AY20:AY24))</f>
        <v>-1.662511989288884E-2</v>
      </c>
      <c r="BP20" s="49">
        <f>IF( OR(ISBLANK(S20:S24),ISBLANK(AQ20:AQ24), ISBLANK(W20:W24),ISBLANK(AU20:AU24)), "·", bdRateExtend( S20:S24,W20:W24, AQ20:AQ24,AU20:AU24))</f>
        <v>-2.0000882883144722E-2</v>
      </c>
      <c r="BQ20" s="49">
        <f>IF( OR(ISBLANK(S20:S24),ISBLANK(AQ20:AQ24), ISBLANK(X20:X24),ISBLANK(AV20:AV24)), "·", bdRateExtend( S20:S24,X20:X24, AQ20:AQ24,AV20:AV24))</f>
        <v>-2.062099461352418E-2</v>
      </c>
      <c r="BR20" s="49">
        <f>IF( OR(ISBLANK(S20:S24),ISBLANK(AQ20:AQ24), ISBLANK(Y20:Y24),ISBLANK(AW20:AW24)), "·", bdRateExtend( S20:S24,Y20:Y24, AQ20:AQ24,AW20:AW24))</f>
        <v>6.0561759610819221E-2</v>
      </c>
      <c r="BS20" s="49">
        <f>IF( OR(ISBLANK(S20:S24),ISBLANK(AQ20:AQ24), ISBLANK(Z20:Z24),ISBLANK(AX20:AX24)), "·", bdRateExtend( S20:S24,Z20:Z24, AQ20:AQ24,AX20:AX24))</f>
        <v>-2.9651232295542784E-2</v>
      </c>
      <c r="BT20" s="49">
        <f>IF( OR(ISBLANK(S20:S24),ISBLANK(AQ20:AQ24), ISBLANK(AA20:AA24),ISBLANK(AY20:AY24)), "·", bdRateExtend( S20:S24,AA20:AA24, AQ20:AQ24,AY20:AY24))</f>
        <v>-9.6239719572328575E-3</v>
      </c>
      <c r="BV20" s="53">
        <f t="shared" si="16"/>
        <v>0</v>
      </c>
      <c r="BW20" s="53">
        <f t="shared" si="15"/>
        <v>0</v>
      </c>
      <c r="BX20" s="53">
        <f t="shared" si="15"/>
        <v>0</v>
      </c>
      <c r="BY20" s="53">
        <f t="shared" si="15"/>
        <v>-28800</v>
      </c>
      <c r="BZ20" s="53">
        <f t="shared" si="15"/>
        <v>0</v>
      </c>
      <c r="CA20" s="53">
        <f t="shared" si="15"/>
        <v>0</v>
      </c>
      <c r="CB20" s="53">
        <f t="shared" si="15"/>
        <v>-28800</v>
      </c>
      <c r="CC20" s="53">
        <f t="shared" si="15"/>
        <v>0</v>
      </c>
      <c r="CD20" s="53">
        <f t="shared" si="15"/>
        <v>0</v>
      </c>
      <c r="CE20" s="53">
        <f t="shared" si="15"/>
        <v>-2.3218999999997436E-2</v>
      </c>
      <c r="CF20" s="53">
        <f t="shared" si="15"/>
        <v>-2.6628000000002316E-2</v>
      </c>
      <c r="CG20" s="53">
        <f t="shared" si="15"/>
        <v>-1.9728000000000634E-2</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68.686527999999996</v>
      </c>
      <c r="X21" s="14">
        <v>70.761815999999996</v>
      </c>
      <c r="Y21" s="14">
        <v>32.563856000000001</v>
      </c>
      <c r="Z21" s="14">
        <v>40.663400000000003</v>
      </c>
      <c r="AA21" s="14">
        <v>39.598672000000001</v>
      </c>
      <c r="AB21" s="15">
        <v>5136.07</v>
      </c>
      <c r="AC21" s="15">
        <v>1654.12</v>
      </c>
      <c r="AD21" s="15">
        <v>15.616</v>
      </c>
      <c r="AE21" s="15">
        <v>22.712</v>
      </c>
      <c r="AG21" s="10">
        <f t="shared" si="6"/>
        <v>7.6273375000000003</v>
      </c>
      <c r="AH21" s="11">
        <f t="shared" si="7"/>
        <v>1.9479009122843678E-2</v>
      </c>
      <c r="AI21" s="11">
        <f t="shared" si="8"/>
        <v>9.149295887412567E-3</v>
      </c>
      <c r="AJ21" s="11">
        <f t="shared" si="9"/>
        <v>5.226914960051279E-3</v>
      </c>
      <c r="AK21" s="11">
        <f t="shared" si="10"/>
        <v>1.0329713235431111E-2</v>
      </c>
      <c r="AL21" s="52">
        <f t="shared" si="11"/>
        <v>2292840</v>
      </c>
      <c r="AM21" s="11">
        <v>16</v>
      </c>
      <c r="AN21" s="12">
        <v>31505484</v>
      </c>
      <c r="AO21" s="12">
        <v>984546.375</v>
      </c>
      <c r="AP21" s="12">
        <v>33029.375</v>
      </c>
      <c r="AQ21" s="13">
        <v>4881496</v>
      </c>
      <c r="AR21" s="13">
        <v>1309880</v>
      </c>
      <c r="AS21" s="13">
        <v>982960</v>
      </c>
      <c r="AT21" s="13">
        <v>2588656</v>
      </c>
      <c r="AU21" s="14">
        <v>68.686527999999996</v>
      </c>
      <c r="AV21" s="14">
        <v>70.761815999999996</v>
      </c>
      <c r="AW21" s="14">
        <v>32.495522000000001</v>
      </c>
      <c r="AX21" s="14">
        <v>40.640155999999998</v>
      </c>
      <c r="AY21" s="14">
        <v>39.548316</v>
      </c>
      <c r="AZ21" s="15">
        <v>4240.6000000000004</v>
      </c>
      <c r="BA21" s="15">
        <v>1171.74</v>
      </c>
      <c r="BB21" s="15">
        <v>53.529000000000003</v>
      </c>
      <c r="BC21" s="15">
        <v>16.306000000000001</v>
      </c>
      <c r="BE21" s="50">
        <f t="shared" si="12"/>
        <v>1</v>
      </c>
      <c r="BF21" s="16">
        <f t="shared" si="13"/>
        <v>0</v>
      </c>
      <c r="BG21" s="16">
        <f t="shared" si="14"/>
        <v>8.4102922981600381E-3</v>
      </c>
      <c r="BH21" s="16"/>
      <c r="BJ21" s="50"/>
      <c r="BK21" s="50"/>
      <c r="BL21" s="50"/>
      <c r="BM21" s="50"/>
      <c r="BN21" s="50"/>
      <c r="BP21" s="50"/>
      <c r="BQ21" s="50"/>
      <c r="BR21" s="50"/>
      <c r="BS21" s="50"/>
      <c r="BT21" s="50"/>
      <c r="BV21" s="53">
        <f t="shared" si="16"/>
        <v>0</v>
      </c>
      <c r="BW21" s="53">
        <f t="shared" si="16"/>
        <v>0</v>
      </c>
      <c r="BX21" s="53">
        <f t="shared" si="16"/>
        <v>0</v>
      </c>
      <c r="BY21" s="53">
        <f t="shared" si="16"/>
        <v>-89000</v>
      </c>
      <c r="BZ21" s="53">
        <f t="shared" si="16"/>
        <v>0</v>
      </c>
      <c r="CA21" s="53">
        <f t="shared" si="16"/>
        <v>0</v>
      </c>
      <c r="CB21" s="53">
        <f t="shared" si="16"/>
        <v>-89000</v>
      </c>
      <c r="CC21" s="53">
        <f t="shared" si="16"/>
        <v>0</v>
      </c>
      <c r="CD21" s="53">
        <f t="shared" si="16"/>
        <v>0</v>
      </c>
      <c r="CE21" s="53">
        <f t="shared" si="16"/>
        <v>-6.8334000000000117E-2</v>
      </c>
      <c r="CF21" s="53">
        <f t="shared" si="16"/>
        <v>-2.3244000000005371E-2</v>
      </c>
      <c r="CG21" s="53">
        <f t="shared" si="16"/>
        <v>-5.0356000000000734E-2</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69.861822000000004</v>
      </c>
      <c r="X22" s="23">
        <v>72.258756000000005</v>
      </c>
      <c r="Y22" s="23">
        <v>34.406353000000003</v>
      </c>
      <c r="Z22" s="23">
        <v>41.679394000000002</v>
      </c>
      <c r="AA22" s="23">
        <v>40.627628000000001</v>
      </c>
      <c r="AB22" s="24">
        <v>4420.43</v>
      </c>
      <c r="AC22" s="24">
        <v>1321.74</v>
      </c>
      <c r="AD22" s="24">
        <v>13.09</v>
      </c>
      <c r="AE22" s="24">
        <v>18.495000000000001</v>
      </c>
      <c r="AG22" s="19">
        <f t="shared" si="6"/>
        <v>12.386075</v>
      </c>
      <c r="AH22" s="20">
        <f t="shared" si="7"/>
        <v>3.1632069240573928E-2</v>
      </c>
      <c r="AI22" s="20">
        <f t="shared" si="8"/>
        <v>1.1394345805851058E-2</v>
      </c>
      <c r="AJ22" s="20">
        <f t="shared" si="9"/>
        <v>7.4719648784897699E-3</v>
      </c>
      <c r="AK22" s="20">
        <f t="shared" si="10"/>
        <v>2.0237723434722864E-2</v>
      </c>
      <c r="AL22" s="17">
        <f t="shared" si="11"/>
        <v>2855456</v>
      </c>
      <c r="AM22" s="20">
        <v>16</v>
      </c>
      <c r="AN22" s="21">
        <v>32735750</v>
      </c>
      <c r="AO22" s="21">
        <v>1022992.1875</v>
      </c>
      <c r="AP22" s="21">
        <v>35066.4375</v>
      </c>
      <c r="AQ22" s="22">
        <v>7927088</v>
      </c>
      <c r="AR22" s="22">
        <v>1872496</v>
      </c>
      <c r="AS22" s="22">
        <v>982960</v>
      </c>
      <c r="AT22" s="22">
        <v>5071632</v>
      </c>
      <c r="AU22" s="23">
        <v>69.861822000000004</v>
      </c>
      <c r="AV22" s="23">
        <v>72.258756000000005</v>
      </c>
      <c r="AW22" s="23">
        <v>34.1663</v>
      </c>
      <c r="AX22" s="23">
        <v>41.703302999999998</v>
      </c>
      <c r="AY22" s="23">
        <v>40.598765999999998</v>
      </c>
      <c r="AZ22" s="24">
        <v>5178.49</v>
      </c>
      <c r="BA22" s="24">
        <v>1693.49</v>
      </c>
      <c r="BB22" s="24">
        <v>65.138999999999996</v>
      </c>
      <c r="BC22" s="24">
        <v>23.263999999999999</v>
      </c>
      <c r="BE22" s="49">
        <f t="shared" si="12"/>
        <v>1</v>
      </c>
      <c r="BF22" s="25">
        <f t="shared" si="13"/>
        <v>0</v>
      </c>
      <c r="BG22" s="25">
        <f t="shared" si="14"/>
        <v>9.236300203060932E-3</v>
      </c>
      <c r="BH22" s="25"/>
      <c r="BJ22" s="49"/>
      <c r="BK22" s="49"/>
      <c r="BL22" s="49"/>
      <c r="BM22" s="49"/>
      <c r="BN22" s="49"/>
      <c r="BP22" s="49"/>
      <c r="BQ22" s="49"/>
      <c r="BR22" s="49"/>
      <c r="BS22" s="49"/>
      <c r="BT22" s="49"/>
      <c r="BV22" s="53">
        <f t="shared" si="16"/>
        <v>0</v>
      </c>
      <c r="BW22" s="53">
        <f t="shared" si="16"/>
        <v>0</v>
      </c>
      <c r="BX22" s="53">
        <f t="shared" si="16"/>
        <v>0</v>
      </c>
      <c r="BY22" s="53">
        <f t="shared" si="16"/>
        <v>-208608</v>
      </c>
      <c r="BZ22" s="53">
        <f t="shared" si="16"/>
        <v>0</v>
      </c>
      <c r="CA22" s="53">
        <f t="shared" si="16"/>
        <v>0</v>
      </c>
      <c r="CB22" s="53">
        <f t="shared" si="16"/>
        <v>-208608</v>
      </c>
      <c r="CC22" s="53">
        <f t="shared" si="16"/>
        <v>0</v>
      </c>
      <c r="CD22" s="53">
        <f t="shared" si="16"/>
        <v>0</v>
      </c>
      <c r="CE22" s="53">
        <f t="shared" si="16"/>
        <v>-0.24005300000000318</v>
      </c>
      <c r="CF22" s="53">
        <f t="shared" si="16"/>
        <v>2.3908999999996183E-2</v>
      </c>
      <c r="CG22" s="53">
        <f t="shared" si="16"/>
        <v>-2.8862000000003718E-2</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70.888133999999994</v>
      </c>
      <c r="X23" s="14">
        <v>73.610840999999994</v>
      </c>
      <c r="Y23" s="14">
        <v>35.937866</v>
      </c>
      <c r="Z23" s="14">
        <v>42.840609000000001</v>
      </c>
      <c r="AA23" s="14">
        <v>41.690131000000001</v>
      </c>
      <c r="AB23" s="15">
        <v>4087.38</v>
      </c>
      <c r="AC23" s="15">
        <v>1331.96</v>
      </c>
      <c r="AD23" s="15">
        <v>12.115</v>
      </c>
      <c r="AE23" s="15">
        <v>17.745000000000001</v>
      </c>
      <c r="AG23" s="10">
        <f t="shared" si="6"/>
        <v>22.036375</v>
      </c>
      <c r="AH23" s="11">
        <f t="shared" si="7"/>
        <v>5.6277403439850979E-2</v>
      </c>
      <c r="AI23" s="11">
        <f t="shared" si="8"/>
        <v>1.532240902999E-2</v>
      </c>
      <c r="AJ23" s="11">
        <f t="shared" si="9"/>
        <v>1.1400028102628712E-2</v>
      </c>
      <c r="AK23" s="11">
        <f t="shared" si="10"/>
        <v>4.095499440986098E-2</v>
      </c>
      <c r="AL23" s="52">
        <f t="shared" si="11"/>
        <v>3839840</v>
      </c>
      <c r="AM23" s="11">
        <v>16</v>
      </c>
      <c r="AN23" s="12">
        <v>32798890</v>
      </c>
      <c r="AO23" s="12">
        <v>1024965.3125</v>
      </c>
      <c r="AP23" s="12">
        <v>36962.65625</v>
      </c>
      <c r="AQ23" s="13">
        <v>14103280</v>
      </c>
      <c r="AR23" s="13">
        <v>2856880</v>
      </c>
      <c r="AS23" s="13">
        <v>982960</v>
      </c>
      <c r="AT23" s="13">
        <v>10263440</v>
      </c>
      <c r="AU23" s="14">
        <v>70.888133999999994</v>
      </c>
      <c r="AV23" s="14">
        <v>73.610840999999994</v>
      </c>
      <c r="AW23" s="14">
        <v>35.517209000000001</v>
      </c>
      <c r="AX23" s="14">
        <v>42.860975000000003</v>
      </c>
      <c r="AY23" s="14">
        <v>41.657024999999997</v>
      </c>
      <c r="AZ23" s="15">
        <v>4629.24</v>
      </c>
      <c r="BA23" s="15">
        <v>1445.06</v>
      </c>
      <c r="BB23" s="15">
        <v>60.953000000000003</v>
      </c>
      <c r="BC23" s="15">
        <v>19.477</v>
      </c>
      <c r="BE23" s="50">
        <f t="shared" si="12"/>
        <v>1</v>
      </c>
      <c r="BF23" s="16">
        <f t="shared" si="13"/>
        <v>0</v>
      </c>
      <c r="BG23" s="16">
        <f t="shared" si="14"/>
        <v>6.4036375635432852E-3</v>
      </c>
      <c r="BH23" s="16"/>
      <c r="BJ23" s="50"/>
      <c r="BK23" s="50"/>
      <c r="BL23" s="50"/>
      <c r="BM23" s="50"/>
      <c r="BN23" s="50"/>
      <c r="BP23" s="50"/>
      <c r="BQ23" s="50"/>
      <c r="BR23" s="50"/>
      <c r="BS23" s="50"/>
      <c r="BT23" s="50"/>
      <c r="BV23" s="53">
        <f t="shared" si="16"/>
        <v>0</v>
      </c>
      <c r="BW23" s="53">
        <f t="shared" si="16"/>
        <v>0</v>
      </c>
      <c r="BX23" s="53">
        <f t="shared" si="16"/>
        <v>0</v>
      </c>
      <c r="BY23" s="53">
        <f t="shared" si="16"/>
        <v>-339696</v>
      </c>
      <c r="BZ23" s="53">
        <f t="shared" si="16"/>
        <v>0</v>
      </c>
      <c r="CA23" s="53">
        <f t="shared" si="16"/>
        <v>0</v>
      </c>
      <c r="CB23" s="53">
        <f t="shared" si="16"/>
        <v>-339696</v>
      </c>
      <c r="CC23" s="53">
        <f t="shared" si="16"/>
        <v>0</v>
      </c>
      <c r="CD23" s="53">
        <f t="shared" si="16"/>
        <v>0</v>
      </c>
      <c r="CE23" s="53">
        <f t="shared" si="16"/>
        <v>-0.4206569999999985</v>
      </c>
      <c r="CF23" s="53">
        <f t="shared" si="16"/>
        <v>2.0366000000002771E-2</v>
      </c>
      <c r="CG23" s="53">
        <f t="shared" si="16"/>
        <v>-3.3106000000003633E-2</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71.730802999999995</v>
      </c>
      <c r="X24" s="42">
        <v>75.625753000000003</v>
      </c>
      <c r="Y24" s="42">
        <v>37.229371999999998</v>
      </c>
      <c r="Z24" s="42">
        <v>43.646538</v>
      </c>
      <c r="AA24" s="42">
        <v>42.206933999999997</v>
      </c>
      <c r="AB24" s="43">
        <v>4961.3900000000003</v>
      </c>
      <c r="AC24" s="43">
        <v>2080.69</v>
      </c>
      <c r="AD24" s="43">
        <v>15.781000000000001</v>
      </c>
      <c r="AE24" s="43">
        <v>27.533999999999999</v>
      </c>
      <c r="AG24" s="38">
        <f t="shared" si="6"/>
        <v>38.637037499999998</v>
      </c>
      <c r="AH24" s="39">
        <f t="shared" si="7"/>
        <v>9.8672860082847175E-2</v>
      </c>
      <c r="AI24" s="39">
        <f t="shared" si="8"/>
        <v>2.5344895163240556E-2</v>
      </c>
      <c r="AJ24" s="39">
        <f t="shared" si="9"/>
        <v>1.7906609066213844E-2</v>
      </c>
      <c r="AK24" s="39">
        <f t="shared" si="10"/>
        <v>7.3327964919606609E-2</v>
      </c>
      <c r="AL24" s="36">
        <f t="shared" si="11"/>
        <v>6351504</v>
      </c>
      <c r="AM24" s="39">
        <v>16</v>
      </c>
      <c r="AN24" s="40">
        <v>31426902</v>
      </c>
      <c r="AO24" s="40">
        <v>982090.6875</v>
      </c>
      <c r="AP24" s="40">
        <v>18270.09375</v>
      </c>
      <c r="AQ24" s="41">
        <v>24727704</v>
      </c>
      <c r="AR24" s="41">
        <v>4487448</v>
      </c>
      <c r="AS24" s="41">
        <v>1864056</v>
      </c>
      <c r="AT24" s="41">
        <v>18376200</v>
      </c>
      <c r="AU24" s="42">
        <v>71.730802999999995</v>
      </c>
      <c r="AV24" s="42">
        <v>75.625753000000003</v>
      </c>
      <c r="AW24" s="42">
        <v>36.809741000000002</v>
      </c>
      <c r="AX24" s="42">
        <v>43.808306000000002</v>
      </c>
      <c r="AY24" s="42">
        <v>42.353028000000002</v>
      </c>
      <c r="AZ24" s="43">
        <v>4645.46</v>
      </c>
      <c r="BA24" s="43">
        <v>1645.7</v>
      </c>
      <c r="BB24" s="43">
        <v>56.866</v>
      </c>
      <c r="BC24" s="43">
        <v>20.928000000000001</v>
      </c>
      <c r="BE24" s="44">
        <f t="shared" si="12"/>
        <v>1</v>
      </c>
      <c r="BF24" s="45">
        <f t="shared" si="13"/>
        <v>0</v>
      </c>
      <c r="BG24" s="45">
        <f t="shared" si="14"/>
        <v>6.3576424166990608E-3</v>
      </c>
      <c r="BH24" s="45"/>
      <c r="BJ24" s="44"/>
      <c r="BK24" s="44"/>
      <c r="BL24" s="44"/>
      <c r="BM24" s="44"/>
      <c r="BN24" s="44"/>
      <c r="BP24" s="44"/>
      <c r="BQ24" s="44"/>
      <c r="BR24" s="44"/>
      <c r="BS24" s="44"/>
      <c r="BT24" s="44"/>
      <c r="BV24" s="53">
        <f t="shared" si="16"/>
        <v>0</v>
      </c>
      <c r="BW24" s="53">
        <f t="shared" si="16"/>
        <v>0</v>
      </c>
      <c r="BX24" s="53">
        <f t="shared" si="16"/>
        <v>0</v>
      </c>
      <c r="BY24" s="53">
        <f t="shared" si="16"/>
        <v>-627584</v>
      </c>
      <c r="BZ24" s="53">
        <f t="shared" si="16"/>
        <v>0</v>
      </c>
      <c r="CA24" s="53">
        <f t="shared" si="16"/>
        <v>0</v>
      </c>
      <c r="CB24" s="53">
        <f t="shared" si="16"/>
        <v>-627584</v>
      </c>
      <c r="CC24" s="53">
        <f t="shared" si="16"/>
        <v>0</v>
      </c>
      <c r="CD24" s="53">
        <f t="shared" si="16"/>
        <v>0</v>
      </c>
      <c r="CE24" s="53">
        <f t="shared" si="16"/>
        <v>-0.41963099999999542</v>
      </c>
      <c r="CF24" s="53">
        <f t="shared" si="16"/>
        <v>0.16176800000000213</v>
      </c>
      <c r="CG24" s="53">
        <f t="shared" si="16"/>
        <v>0.14609400000000505</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66.208680999999999</v>
      </c>
      <c r="X25" s="14">
        <v>67.982928000000001</v>
      </c>
      <c r="Y25" s="14">
        <v>27.338422000000001</v>
      </c>
      <c r="Z25" s="14">
        <v>33.158383999999998</v>
      </c>
      <c r="AA25" s="14">
        <v>32.589131000000002</v>
      </c>
      <c r="AB25" s="15">
        <v>1713.3</v>
      </c>
      <c r="AC25" s="15">
        <v>1387.44</v>
      </c>
      <c r="AD25" s="15">
        <v>13.183999999999999</v>
      </c>
      <c r="AE25" s="15">
        <v>21.474</v>
      </c>
      <c r="AG25" s="10">
        <f t="shared" si="6"/>
        <v>4.3893674999999996</v>
      </c>
      <c r="AH25" s="11">
        <f t="shared" si="7"/>
        <v>1.8705926283294459E-2</v>
      </c>
      <c r="AI25" s="11">
        <f t="shared" si="8"/>
        <v>6.5750684127872973E-3</v>
      </c>
      <c r="AJ25" s="11">
        <f t="shared" si="9"/>
        <v>3.7261054256460093E-3</v>
      </c>
      <c r="AK25" s="11">
        <f t="shared" si="10"/>
        <v>1.2130857870507161E-2</v>
      </c>
      <c r="AL25" s="52">
        <f t="shared" si="11"/>
        <v>1645704</v>
      </c>
      <c r="AM25" s="11">
        <v>16</v>
      </c>
      <c r="AN25" s="12">
        <v>23156910</v>
      </c>
      <c r="AO25" s="12">
        <v>723653.4375</v>
      </c>
      <c r="AP25" s="12">
        <v>14060.625</v>
      </c>
      <c r="AQ25" s="13">
        <v>4681992</v>
      </c>
      <c r="AR25" s="13">
        <v>932624</v>
      </c>
      <c r="AS25" s="13">
        <v>713080</v>
      </c>
      <c r="AT25" s="13">
        <v>3036288</v>
      </c>
      <c r="AU25" s="14">
        <v>66.208680999999999</v>
      </c>
      <c r="AV25" s="14">
        <v>67.982928000000001</v>
      </c>
      <c r="AW25" s="14">
        <v>27.331696999999998</v>
      </c>
      <c r="AX25" s="14">
        <v>33.163077999999999</v>
      </c>
      <c r="AY25" s="14">
        <v>32.590305999999998</v>
      </c>
      <c r="AZ25" s="15">
        <v>1516.78</v>
      </c>
      <c r="BA25" s="15">
        <v>1044.95</v>
      </c>
      <c r="BB25" s="15">
        <v>41.116999999999997</v>
      </c>
      <c r="BC25" s="15">
        <v>15.255000000000001</v>
      </c>
      <c r="BE25" s="50">
        <f t="shared" si="12"/>
        <v>1</v>
      </c>
      <c r="BF25" s="16">
        <f t="shared" si="13"/>
        <v>0</v>
      </c>
      <c r="BG25" s="16">
        <f t="shared" si="14"/>
        <v>2.9944067193765633E-4</v>
      </c>
      <c r="BH25" s="16">
        <f t="array" ref="BH25">AVERAGE(AL25:AL29/AQ25:AQ29) - AVERAGE(N25:N29/S25:S29)</f>
        <v>4.0377224585136373E-4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4.142618457100955E-3</v>
      </c>
      <c r="BM25" s="50">
        <f>IF( OR(ISBLANK(V25:V29),ISBLANK(AT25:AT29), ISBLANK(Z25:Z29),ISBLANK(AX25:AX29)), "·", bdRateExtend( V25:V29,Z25:Z29, AT25:AT29,AX25:AX29))</f>
        <v>-2.503621987056337E-3</v>
      </c>
      <c r="BN25" s="50">
        <f>IF( OR(ISBLANK(V25:V29),ISBLANK(AT25:AT29), ISBLANK(AA25:AA29),ISBLANK(AY25:AY29)), "·", bdRateExtend( V25:V29,AA25:AA29, AT25:AT29,AY25:AY29))</f>
        <v>-2.1079154969260161E-3</v>
      </c>
      <c r="BP25" s="50">
        <f>IF( OR(ISBLANK(S25:S29),ISBLANK(AQ25:AQ29), ISBLANK(W25:W29),ISBLANK(AU25:AU29)), "·", bdRateExtend( S25:S29,W25:W29, AQ25:AQ29,AU25:AU29))</f>
        <v>-2.2743796144636397E-3</v>
      </c>
      <c r="BQ25" s="50">
        <f>IF( OR(ISBLANK(S25:S29),ISBLANK(AQ25:AQ29), ISBLANK(X25:X29),ISBLANK(AV25:AV29)), "·", bdRateExtend( S25:S29,X25:X29, AQ25:AQ29,AV25:AV29))</f>
        <v>-2.5788020210669726E-3</v>
      </c>
      <c r="BR25" s="50">
        <f>IF( OR(ISBLANK(S25:S29),ISBLANK(AQ25:AQ29), ISBLANK(Y25:Y29),ISBLANK(AW25:AW29)), "·", bdRateExtend( S25:S29,Y25:Y29, AQ25:AQ29,AW25:AW29))</f>
        <v>4.1117727276589466E-3</v>
      </c>
      <c r="BS25" s="50">
        <f>IF( OR(ISBLANK(S25:S29),ISBLANK(AQ25:AQ29), ISBLANK(Z25:Z29),ISBLANK(AX25:AX29)), "·", bdRateExtend( S25:S29,Z25:Z29, AQ25:AQ29,AX25:AX29))</f>
        <v>-2.0692117547743694E-3</v>
      </c>
      <c r="BT25" s="50">
        <f>IF( OR(ISBLANK(S25:S29),ISBLANK(AQ25:AQ29), ISBLANK(AA25:AA29),ISBLANK(AY25:AY29)), "·", bdRateExtend( S25:S29,AA25:AA29, AQ25:AQ29,AY25:AY29))</f>
        <v>-1.6817246392167862E-3</v>
      </c>
      <c r="BV25" s="53">
        <f t="shared" si="16"/>
        <v>0</v>
      </c>
      <c r="BW25" s="53">
        <f t="shared" si="16"/>
        <v>0</v>
      </c>
      <c r="BX25" s="53">
        <f t="shared" si="16"/>
        <v>0</v>
      </c>
      <c r="BY25" s="53">
        <f t="shared" si="16"/>
        <v>-3992</v>
      </c>
      <c r="BZ25" s="53">
        <f t="shared" si="16"/>
        <v>0</v>
      </c>
      <c r="CA25" s="53">
        <f t="shared" si="16"/>
        <v>0</v>
      </c>
      <c r="CB25" s="53">
        <f t="shared" si="16"/>
        <v>-3992</v>
      </c>
      <c r="CC25" s="53">
        <f t="shared" si="16"/>
        <v>0</v>
      </c>
      <c r="CD25" s="53">
        <f t="shared" si="16"/>
        <v>0</v>
      </c>
      <c r="CE25" s="53">
        <f t="shared" si="16"/>
        <v>-6.7250000000029786E-3</v>
      </c>
      <c r="CF25" s="53">
        <f t="shared" si="16"/>
        <v>4.6940000000006421E-3</v>
      </c>
      <c r="CG25" s="53">
        <f t="shared" si="16"/>
        <v>1.1749999999963734E-3</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67.941556000000006</v>
      </c>
      <c r="X26" s="23">
        <v>69.941896999999997</v>
      </c>
      <c r="Y26" s="23">
        <v>29.720369000000002</v>
      </c>
      <c r="Z26" s="23">
        <v>34.340333999999999</v>
      </c>
      <c r="AA26" s="23">
        <v>33.888184000000003</v>
      </c>
      <c r="AB26" s="24">
        <v>1476.91</v>
      </c>
      <c r="AC26" s="24">
        <v>1103.25</v>
      </c>
      <c r="AD26" s="24">
        <v>10.814</v>
      </c>
      <c r="AE26" s="24">
        <v>16.491</v>
      </c>
      <c r="AG26" s="19">
        <f t="shared" si="6"/>
        <v>7.5169949999999996</v>
      </c>
      <c r="AH26" s="20">
        <f t="shared" si="7"/>
        <v>3.2034764539969146E-2</v>
      </c>
      <c r="AI26" s="20">
        <f t="shared" si="8"/>
        <v>8.1015577077093899E-3</v>
      </c>
      <c r="AJ26" s="20">
        <f t="shared" si="9"/>
        <v>5.2525947205681028E-3</v>
      </c>
      <c r="AK26" s="20">
        <f t="shared" si="10"/>
        <v>2.3933206832259756E-2</v>
      </c>
      <c r="AL26" s="17">
        <f t="shared" si="11"/>
        <v>2027776</v>
      </c>
      <c r="AM26" s="20">
        <v>16</v>
      </c>
      <c r="AN26" s="21">
        <v>24564301</v>
      </c>
      <c r="AO26" s="21">
        <v>767634.40625</v>
      </c>
      <c r="AP26" s="21">
        <v>17714.59375</v>
      </c>
      <c r="AQ26" s="22">
        <v>8018128</v>
      </c>
      <c r="AR26" s="22">
        <v>1314696</v>
      </c>
      <c r="AS26" s="22">
        <v>713080</v>
      </c>
      <c r="AT26" s="22">
        <v>5990352</v>
      </c>
      <c r="AU26" s="23">
        <v>67.941556000000006</v>
      </c>
      <c r="AV26" s="23">
        <v>69.941896999999997</v>
      </c>
      <c r="AW26" s="23">
        <v>29.707630999999999</v>
      </c>
      <c r="AX26" s="23">
        <v>34.335746999999998</v>
      </c>
      <c r="AY26" s="23">
        <v>33.887134000000003</v>
      </c>
      <c r="AZ26" s="24">
        <v>1493.8</v>
      </c>
      <c r="BA26" s="24">
        <v>1119.29</v>
      </c>
      <c r="BB26" s="24">
        <v>43.856000000000002</v>
      </c>
      <c r="BC26" s="24">
        <v>16.677</v>
      </c>
      <c r="BE26" s="49">
        <f t="shared" si="12"/>
        <v>1</v>
      </c>
      <c r="BF26" s="25">
        <f t="shared" si="13"/>
        <v>0</v>
      </c>
      <c r="BG26" s="25">
        <f t="shared" si="14"/>
        <v>3.4169333719891171E-4</v>
      </c>
      <c r="BH26" s="25"/>
      <c r="BJ26" s="49"/>
      <c r="BK26" s="49"/>
      <c r="BL26" s="49"/>
      <c r="BM26" s="49"/>
      <c r="BN26" s="49"/>
      <c r="BP26" s="49"/>
      <c r="BQ26" s="49"/>
      <c r="BR26" s="49"/>
      <c r="BS26" s="49"/>
      <c r="BT26" s="49"/>
      <c r="BV26" s="53">
        <f t="shared" si="16"/>
        <v>0</v>
      </c>
      <c r="BW26" s="53">
        <f t="shared" si="16"/>
        <v>0</v>
      </c>
      <c r="BX26" s="53">
        <f t="shared" si="16"/>
        <v>0</v>
      </c>
      <c r="BY26" s="53">
        <f t="shared" si="16"/>
        <v>-10848</v>
      </c>
      <c r="BZ26" s="53">
        <f t="shared" si="16"/>
        <v>0</v>
      </c>
      <c r="CA26" s="53">
        <f t="shared" si="16"/>
        <v>0</v>
      </c>
      <c r="CB26" s="53">
        <f t="shared" si="16"/>
        <v>-10848</v>
      </c>
      <c r="CC26" s="53">
        <f t="shared" si="16"/>
        <v>0</v>
      </c>
      <c r="CD26" s="53">
        <f t="shared" si="16"/>
        <v>0</v>
      </c>
      <c r="CE26" s="53">
        <f t="shared" si="16"/>
        <v>-1.2738000000002359E-2</v>
      </c>
      <c r="CF26" s="53">
        <f t="shared" si="16"/>
        <v>-4.5870000000007849E-3</v>
      </c>
      <c r="CG26" s="53">
        <f t="shared" si="16"/>
        <v>-1.0499999999993292E-3</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69.263744000000003</v>
      </c>
      <c r="X27" s="14">
        <v>71.649234000000007</v>
      </c>
      <c r="Y27" s="14">
        <v>32.231909000000002</v>
      </c>
      <c r="Z27" s="14">
        <v>35.582794</v>
      </c>
      <c r="AA27" s="14">
        <v>35.206625000000003</v>
      </c>
      <c r="AB27" s="15">
        <v>1411.24</v>
      </c>
      <c r="AC27" s="15">
        <v>1133.8800000000001</v>
      </c>
      <c r="AD27" s="15">
        <v>10.419</v>
      </c>
      <c r="AE27" s="15">
        <v>16.617000000000001</v>
      </c>
      <c r="AG27" s="10">
        <f t="shared" si="6"/>
        <v>13.216447499999999</v>
      </c>
      <c r="AH27" s="11">
        <f t="shared" si="7"/>
        <v>5.6323808079872861E-2</v>
      </c>
      <c r="AI27" s="11">
        <f t="shared" si="8"/>
        <v>1.0397987759878878E-2</v>
      </c>
      <c r="AJ27" s="11">
        <f t="shared" si="9"/>
        <v>7.5490247727375897E-3</v>
      </c>
      <c r="AK27" s="11">
        <f t="shared" si="10"/>
        <v>4.5925820319993982E-2</v>
      </c>
      <c r="AL27" s="52">
        <f t="shared" si="11"/>
        <v>2602560</v>
      </c>
      <c r="AM27" s="11">
        <v>16</v>
      </c>
      <c r="AN27" s="12">
        <v>24852477</v>
      </c>
      <c r="AO27" s="12">
        <v>776639.90625</v>
      </c>
      <c r="AP27" s="12">
        <v>18688.75</v>
      </c>
      <c r="AQ27" s="13">
        <v>14097544</v>
      </c>
      <c r="AR27" s="13">
        <v>1889480</v>
      </c>
      <c r="AS27" s="13">
        <v>713080</v>
      </c>
      <c r="AT27" s="13">
        <v>11494984</v>
      </c>
      <c r="AU27" s="14">
        <v>69.263744000000003</v>
      </c>
      <c r="AV27" s="14">
        <v>71.649234000000007</v>
      </c>
      <c r="AW27" s="14">
        <v>32.203890999999999</v>
      </c>
      <c r="AX27" s="14">
        <v>35.5762</v>
      </c>
      <c r="AY27" s="14">
        <v>35.199905999999999</v>
      </c>
      <c r="AZ27" s="15">
        <v>1406.56</v>
      </c>
      <c r="BA27" s="15">
        <v>1105.31</v>
      </c>
      <c r="BB27" s="15">
        <v>42.183</v>
      </c>
      <c r="BC27" s="15">
        <v>15.965999999999999</v>
      </c>
      <c r="BE27" s="50">
        <f t="shared" si="12"/>
        <v>1</v>
      </c>
      <c r="BF27" s="16">
        <f t="shared" si="13"/>
        <v>0</v>
      </c>
      <c r="BG27" s="16">
        <f t="shared" si="14"/>
        <v>4.2383465818041088E-4</v>
      </c>
      <c r="BH27" s="16"/>
      <c r="BJ27" s="50"/>
      <c r="BK27" s="50"/>
      <c r="BL27" s="50"/>
      <c r="BM27" s="50"/>
      <c r="BN27" s="50"/>
      <c r="BP27" s="50"/>
      <c r="BQ27" s="50"/>
      <c r="BR27" s="50"/>
      <c r="BS27" s="50"/>
      <c r="BT27" s="50"/>
      <c r="BV27" s="53">
        <f t="shared" si="16"/>
        <v>0</v>
      </c>
      <c r="BW27" s="53">
        <f t="shared" si="16"/>
        <v>0</v>
      </c>
      <c r="BX27" s="53">
        <f t="shared" si="16"/>
        <v>0</v>
      </c>
      <c r="BY27" s="53">
        <f t="shared" si="16"/>
        <v>-32440</v>
      </c>
      <c r="BZ27" s="53">
        <f t="shared" si="16"/>
        <v>0</v>
      </c>
      <c r="CA27" s="53">
        <f t="shared" si="16"/>
        <v>0</v>
      </c>
      <c r="CB27" s="53">
        <f t="shared" si="16"/>
        <v>-32440</v>
      </c>
      <c r="CC27" s="53">
        <f t="shared" si="16"/>
        <v>0</v>
      </c>
      <c r="CD27" s="53">
        <f t="shared" si="16"/>
        <v>0</v>
      </c>
      <c r="CE27" s="53">
        <f t="shared" si="16"/>
        <v>-2.8018000000002985E-2</v>
      </c>
      <c r="CF27" s="53">
        <f t="shared" si="16"/>
        <v>-6.5939999999997667E-3</v>
      </c>
      <c r="CG27" s="53">
        <f t="shared" si="16"/>
        <v>-6.7190000000039163E-3</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70.432472000000004</v>
      </c>
      <c r="X28" s="23">
        <v>72.970200000000006</v>
      </c>
      <c r="Y28" s="23">
        <v>34.942619000000001</v>
      </c>
      <c r="Z28" s="23">
        <v>37.370328000000001</v>
      </c>
      <c r="AA28" s="23">
        <v>36.938166000000002</v>
      </c>
      <c r="AB28" s="24">
        <v>1459.43</v>
      </c>
      <c r="AC28" s="24">
        <v>1313.33</v>
      </c>
      <c r="AD28" s="24">
        <v>10.568</v>
      </c>
      <c r="AE28" s="24">
        <v>18.643999999999998</v>
      </c>
      <c r="AG28" s="19">
        <f t="shared" si="6"/>
        <v>24.485197500000002</v>
      </c>
      <c r="AH28" s="20">
        <f t="shared" si="7"/>
        <v>0.10434722074807037</v>
      </c>
      <c r="AI28" s="20">
        <f t="shared" si="8"/>
        <v>1.4255106808504548E-2</v>
      </c>
      <c r="AJ28" s="20">
        <f t="shared" si="9"/>
        <v>1.1406143821363261E-2</v>
      </c>
      <c r="AK28" s="20">
        <f t="shared" si="10"/>
        <v>9.0092113939565815E-2</v>
      </c>
      <c r="AL28" s="17">
        <f t="shared" si="11"/>
        <v>3567976</v>
      </c>
      <c r="AM28" s="20">
        <v>16</v>
      </c>
      <c r="AN28" s="21">
        <v>25521142</v>
      </c>
      <c r="AO28" s="21">
        <v>797535.6875</v>
      </c>
      <c r="AP28" s="21">
        <v>20922.53125</v>
      </c>
      <c r="AQ28" s="22">
        <v>26117544</v>
      </c>
      <c r="AR28" s="22">
        <v>2854896</v>
      </c>
      <c r="AS28" s="22">
        <v>713080</v>
      </c>
      <c r="AT28" s="22">
        <v>22549568</v>
      </c>
      <c r="AU28" s="23">
        <v>70.432472000000004</v>
      </c>
      <c r="AV28" s="23">
        <v>72.970200000000006</v>
      </c>
      <c r="AW28" s="23">
        <v>34.896993999999999</v>
      </c>
      <c r="AX28" s="23">
        <v>37.368250000000003</v>
      </c>
      <c r="AY28" s="23">
        <v>36.930740999999998</v>
      </c>
      <c r="AZ28" s="24">
        <v>1415</v>
      </c>
      <c r="BA28" s="24">
        <v>1295.6500000000001</v>
      </c>
      <c r="BB28" s="24">
        <v>44.112000000000002</v>
      </c>
      <c r="BC28" s="24">
        <v>18.186</v>
      </c>
      <c r="BE28" s="49">
        <f t="shared" si="12"/>
        <v>1</v>
      </c>
      <c r="BF28" s="25">
        <f t="shared" si="13"/>
        <v>0</v>
      </c>
      <c r="BG28" s="25">
        <f t="shared" si="14"/>
        <v>6.628623512646703E-4</v>
      </c>
      <c r="BH28" s="25"/>
      <c r="BJ28" s="49"/>
      <c r="BK28" s="49"/>
      <c r="BL28" s="49"/>
      <c r="BM28" s="49"/>
      <c r="BN28" s="49"/>
      <c r="BP28" s="49"/>
      <c r="BQ28" s="49"/>
      <c r="BR28" s="49"/>
      <c r="BS28" s="49"/>
      <c r="BT28" s="49"/>
      <c r="BV28" s="53">
        <f t="shared" si="16"/>
        <v>0</v>
      </c>
      <c r="BW28" s="53">
        <f t="shared" si="16"/>
        <v>0</v>
      </c>
      <c r="BX28" s="53">
        <f t="shared" si="16"/>
        <v>0</v>
      </c>
      <c r="BY28" s="53">
        <f t="shared" si="16"/>
        <v>-127344</v>
      </c>
      <c r="BZ28" s="53">
        <f t="shared" si="16"/>
        <v>0</v>
      </c>
      <c r="CA28" s="53">
        <f t="shared" si="16"/>
        <v>0</v>
      </c>
      <c r="CB28" s="53">
        <f t="shared" si="16"/>
        <v>-127344</v>
      </c>
      <c r="CC28" s="53">
        <f t="shared" si="16"/>
        <v>0</v>
      </c>
      <c r="CD28" s="53">
        <f t="shared" si="16"/>
        <v>0</v>
      </c>
      <c r="CE28" s="53">
        <f t="shared" si="16"/>
        <v>-4.5625000000001137E-2</v>
      </c>
      <c r="CF28" s="53">
        <f t="shared" si="16"/>
        <v>-2.0779999999973597E-3</v>
      </c>
      <c r="CG28" s="53">
        <f t="shared" si="16"/>
        <v>-7.4250000000048999E-3</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71.152737999999999</v>
      </c>
      <c r="X29" s="32">
        <v>74.905512999999999</v>
      </c>
      <c r="Y29" s="32">
        <v>37.394255999999999</v>
      </c>
      <c r="Z29" s="32">
        <v>39.396478000000002</v>
      </c>
      <c r="AA29" s="32">
        <v>38.749352999999999</v>
      </c>
      <c r="AB29" s="33">
        <v>1412.97</v>
      </c>
      <c r="AC29" s="33">
        <v>1539.63</v>
      </c>
      <c r="AD29" s="33">
        <v>9.9049999999999994</v>
      </c>
      <c r="AE29" s="33">
        <v>19.007999999999999</v>
      </c>
      <c r="AG29" s="28">
        <f t="shared" si="6"/>
        <v>44.199554999999997</v>
      </c>
      <c r="AH29" s="29">
        <f t="shared" si="7"/>
        <v>0.18836281482113743</v>
      </c>
      <c r="AI29" s="29">
        <f t="shared" si="8"/>
        <v>2.2993258399816262E-2</v>
      </c>
      <c r="AJ29" s="29">
        <f t="shared" si="9"/>
        <v>1.7641772205840237E-2</v>
      </c>
      <c r="AK29" s="29">
        <f t="shared" si="10"/>
        <v>0.16536955642132117</v>
      </c>
      <c r="AL29" s="26">
        <f t="shared" si="11"/>
        <v>5755088</v>
      </c>
      <c r="AM29" s="29">
        <v>16</v>
      </c>
      <c r="AN29" s="30">
        <v>24571358</v>
      </c>
      <c r="AO29" s="30">
        <v>767854.9375</v>
      </c>
      <c r="AP29" s="30">
        <v>9744.125</v>
      </c>
      <c r="AQ29" s="31">
        <v>47146192</v>
      </c>
      <c r="AR29" s="31">
        <v>4415640</v>
      </c>
      <c r="AS29" s="31">
        <v>1339448</v>
      </c>
      <c r="AT29" s="31">
        <v>41391104</v>
      </c>
      <c r="AU29" s="32">
        <v>71.152737999999999</v>
      </c>
      <c r="AV29" s="32">
        <v>74.905512999999999</v>
      </c>
      <c r="AW29" s="32">
        <v>37.343286999999997</v>
      </c>
      <c r="AX29" s="32">
        <v>39.404102999999999</v>
      </c>
      <c r="AY29" s="32">
        <v>38.760081</v>
      </c>
      <c r="AZ29" s="33">
        <v>1476.94</v>
      </c>
      <c r="BA29" s="33">
        <v>1518.18</v>
      </c>
      <c r="BB29" s="33">
        <v>41.762999999999998</v>
      </c>
      <c r="BC29" s="33">
        <v>19.202999999999999</v>
      </c>
      <c r="BE29" s="34">
        <f t="shared" si="12"/>
        <v>1</v>
      </c>
      <c r="BF29" s="35">
        <f t="shared" si="13"/>
        <v>0</v>
      </c>
      <c r="BG29" s="35">
        <f t="shared" si="14"/>
        <v>2.9103021067534984E-4</v>
      </c>
      <c r="BH29" s="35"/>
      <c r="BJ29" s="34"/>
      <c r="BK29" s="34"/>
      <c r="BL29" s="34"/>
      <c r="BM29" s="34"/>
      <c r="BN29" s="34"/>
      <c r="BP29" s="34"/>
      <c r="BQ29" s="34"/>
      <c r="BR29" s="34"/>
      <c r="BS29" s="34"/>
      <c r="BT29" s="34"/>
      <c r="BV29" s="53">
        <f t="shared" si="16"/>
        <v>0</v>
      </c>
      <c r="BW29" s="53">
        <f t="shared" si="16"/>
        <v>0</v>
      </c>
      <c r="BX29" s="53">
        <f t="shared" si="16"/>
        <v>0</v>
      </c>
      <c r="BY29" s="53">
        <f t="shared" si="16"/>
        <v>-112672</v>
      </c>
      <c r="BZ29" s="53">
        <f t="shared" si="16"/>
        <v>0</v>
      </c>
      <c r="CA29" s="53">
        <f t="shared" si="16"/>
        <v>0</v>
      </c>
      <c r="CB29" s="53">
        <f t="shared" si="16"/>
        <v>-112672</v>
      </c>
      <c r="CC29" s="53">
        <f t="shared" si="16"/>
        <v>0</v>
      </c>
      <c r="CD29" s="53">
        <f t="shared" si="16"/>
        <v>0</v>
      </c>
      <c r="CE29" s="53">
        <f t="shared" si="16"/>
        <v>-5.096900000000204E-2</v>
      </c>
      <c r="CF29" s="53">
        <f t="shared" si="16"/>
        <v>7.6249999999973284E-3</v>
      </c>
      <c r="CG29" s="53">
        <f t="shared" si="16"/>
        <v>1.0728000000000293E-2</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73.460730999999996</v>
      </c>
      <c r="X30" s="23">
        <v>75.713605999999999</v>
      </c>
      <c r="Y30" s="23">
        <v>34.736618999999997</v>
      </c>
      <c r="Z30" s="23">
        <v>42.165666000000002</v>
      </c>
      <c r="AA30" s="23">
        <v>43.775818999999998</v>
      </c>
      <c r="AB30" s="24">
        <v>4176.57</v>
      </c>
      <c r="AC30" s="24">
        <v>4195.4399999999996</v>
      </c>
      <c r="AD30" s="24">
        <v>46.389000000000003</v>
      </c>
      <c r="AE30" s="24">
        <v>65.203999999999994</v>
      </c>
      <c r="AG30" s="19">
        <f t="shared" si="6"/>
        <v>5.7329774999999996</v>
      </c>
      <c r="AH30" s="20">
        <f t="shared" si="7"/>
        <v>1.6288782277933504E-2</v>
      </c>
      <c r="AI30" s="20">
        <f t="shared" si="8"/>
        <v>9.9774936528251434E-3</v>
      </c>
      <c r="AJ30" s="20">
        <f t="shared" si="9"/>
        <v>6.1752286002199775E-3</v>
      </c>
      <c r="AK30" s="20">
        <f t="shared" si="10"/>
        <v>6.3112886251083609E-3</v>
      </c>
      <c r="AL30" s="17">
        <f t="shared" si="11"/>
        <v>3745776</v>
      </c>
      <c r="AM30" s="20">
        <v>16</v>
      </c>
      <c r="AN30" s="21">
        <v>84258322</v>
      </c>
      <c r="AO30" s="21">
        <v>2633072.5625</v>
      </c>
      <c r="AP30" s="21">
        <v>32425.28125</v>
      </c>
      <c r="AQ30" s="22">
        <v>6115176</v>
      </c>
      <c r="AR30" s="22">
        <v>2318320</v>
      </c>
      <c r="AS30" s="22">
        <v>1427456</v>
      </c>
      <c r="AT30" s="22">
        <v>2369400</v>
      </c>
      <c r="AU30" s="23">
        <v>73.460730999999996</v>
      </c>
      <c r="AV30" s="23">
        <v>75.713605999999999</v>
      </c>
      <c r="AW30" s="23">
        <v>34.739905999999998</v>
      </c>
      <c r="AX30" s="23">
        <v>42.165605999999997</v>
      </c>
      <c r="AY30" s="23">
        <v>43.790844</v>
      </c>
      <c r="AZ30" s="24">
        <v>3650.73</v>
      </c>
      <c r="BA30" s="24">
        <v>3064.77</v>
      </c>
      <c r="BB30" s="24">
        <v>154.32400000000001</v>
      </c>
      <c r="BC30" s="24">
        <v>44.12</v>
      </c>
      <c r="BE30" s="49">
        <f t="shared" si="12"/>
        <v>1</v>
      </c>
      <c r="BF30" s="25">
        <f t="shared" si="13"/>
        <v>0</v>
      </c>
      <c r="BG30" s="25">
        <f t="shared" si="14"/>
        <v>-8.8159486998584669E-5</v>
      </c>
      <c r="BH30" s="25">
        <f t="array" ref="BH30">AVERAGE(AL30:AL34/AQ30:AQ34) - AVERAGE(N30:N34/S30:S34)</f>
        <v>3.537100365816892E-4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2.0375864756116968E-3</v>
      </c>
      <c r="BM30" s="49">
        <f>IF( OR(ISBLANK(V30:V34),ISBLANK(AT30:AT34), ISBLANK(Z30:Z34),ISBLANK(AX30:AX34)), "·", bdRateExtend( V30:V34,Z30:Z34, AT30:AT34,AX30:AX34))</f>
        <v>4.4254656617572774E-3</v>
      </c>
      <c r="BN30" s="49">
        <f>IF( OR(ISBLANK(V30:V34),ISBLANK(AT30:AT34), ISBLANK(AA30:AA34),ISBLANK(AY30:AY34)), "·", bdRateExtend( V30:V34,AA30:AA34, AT30:AT34,AY30:AY34))</f>
        <v>-5.500642684060475E-3</v>
      </c>
      <c r="BP30" s="49">
        <f>IF( OR(ISBLANK(S30:S34),ISBLANK(AQ30:AQ34), ISBLANK(W30:W34),ISBLANK(AU30:AU34)), "·", bdRateExtend( S30:S34,W30:W34, AQ30:AQ34,AU30:AU34))</f>
        <v>-1.0340296821899075E-3</v>
      </c>
      <c r="BQ30" s="49">
        <f>IF( OR(ISBLANK(S30:S34),ISBLANK(AQ30:AQ34), ISBLANK(X30:X34),ISBLANK(AV30:AV34)), "·", bdRateExtend( S30:S34,X30:X34, AQ30:AQ34,AV30:AV34))</f>
        <v>-1.1054011717515078E-3</v>
      </c>
      <c r="BR30" s="49">
        <f>IF( OR(ISBLANK(S30:S34),ISBLANK(AQ30:AQ34), ISBLANK(Y30:Y34),ISBLANK(AW30:AW34)), "·", bdRateExtend( S30:S34,Y30:Y34, AQ30:AQ34,AW30:AW34))</f>
        <v>2.1143380420238778E-3</v>
      </c>
      <c r="BS30" s="49">
        <f>IF( OR(ISBLANK(S30:S34),ISBLANK(AQ30:AQ34), ISBLANK(Z30:Z34),ISBLANK(AX30:AX34)), "·", bdRateExtend( S30:S34,Z30:Z34, AQ30:AQ34,AX30:AX34))</f>
        <v>3.4085857001437958E-3</v>
      </c>
      <c r="BT30" s="49">
        <f>IF( OR(ISBLANK(S30:S34),ISBLANK(AQ30:AQ34), ISBLANK(AA30:AA34),ISBLANK(AY30:AY34)), "·", bdRateExtend( S30:S34,AA30:AA34, AQ30:AQ34,AY30:AY34))</f>
        <v>-3.2592684539887173E-3</v>
      </c>
      <c r="BV30" s="53">
        <f t="shared" si="16"/>
        <v>0</v>
      </c>
      <c r="BW30" s="53">
        <f t="shared" si="16"/>
        <v>0</v>
      </c>
      <c r="BX30" s="53">
        <f t="shared" si="16"/>
        <v>0</v>
      </c>
      <c r="BY30" s="53">
        <f t="shared" si="16"/>
        <v>880</v>
      </c>
      <c r="BZ30" s="53">
        <f t="shared" si="16"/>
        <v>0</v>
      </c>
      <c r="CA30" s="53">
        <f t="shared" si="16"/>
        <v>0</v>
      </c>
      <c r="CB30" s="53">
        <f t="shared" si="16"/>
        <v>880</v>
      </c>
      <c r="CC30" s="53">
        <f t="shared" si="16"/>
        <v>0</v>
      </c>
      <c r="CD30" s="53">
        <f t="shared" si="16"/>
        <v>0</v>
      </c>
      <c r="CE30" s="53">
        <f t="shared" si="16"/>
        <v>3.2870000000002619E-3</v>
      </c>
      <c r="CF30" s="53">
        <f t="shared" si="16"/>
        <v>-6.0000000004833964E-5</v>
      </c>
      <c r="CG30" s="53">
        <f t="shared" si="16"/>
        <v>1.5025000000001398E-2</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75.170683999999994</v>
      </c>
      <c r="X31" s="14">
        <v>77.575241000000005</v>
      </c>
      <c r="Y31" s="14">
        <v>36.653584000000002</v>
      </c>
      <c r="Z31" s="14">
        <v>42.688836999999999</v>
      </c>
      <c r="AA31" s="14">
        <v>45.004958999999999</v>
      </c>
      <c r="AB31" s="15">
        <v>3642.34</v>
      </c>
      <c r="AC31" s="15">
        <v>3325.22</v>
      </c>
      <c r="AD31" s="15">
        <v>39.814</v>
      </c>
      <c r="AE31" s="15">
        <v>48.320999999999998</v>
      </c>
      <c r="AG31" s="10">
        <f t="shared" si="6"/>
        <v>8.1752775</v>
      </c>
      <c r="AH31" s="11">
        <f t="shared" si="7"/>
        <v>2.3227950093854116E-2</v>
      </c>
      <c r="AI31" s="11">
        <f t="shared" si="8"/>
        <v>1.2273274833933185E-2</v>
      </c>
      <c r="AJ31" s="11">
        <f t="shared" si="9"/>
        <v>8.4710097813280195E-3</v>
      </c>
      <c r="AK31" s="11">
        <f t="shared" si="10"/>
        <v>1.0954675259920929E-2</v>
      </c>
      <c r="AL31" s="52">
        <f t="shared" si="11"/>
        <v>4607664</v>
      </c>
      <c r="AM31" s="11">
        <v>16</v>
      </c>
      <c r="AN31" s="12">
        <v>89857639</v>
      </c>
      <c r="AO31" s="12">
        <v>2808051.21875</v>
      </c>
      <c r="AP31" s="12">
        <v>41097.03125</v>
      </c>
      <c r="AQ31" s="13">
        <v>8720296</v>
      </c>
      <c r="AR31" s="13">
        <v>3180208</v>
      </c>
      <c r="AS31" s="13">
        <v>1427456</v>
      </c>
      <c r="AT31" s="13">
        <v>4112632</v>
      </c>
      <c r="AU31" s="14">
        <v>75.170683999999994</v>
      </c>
      <c r="AV31" s="14">
        <v>77.575241000000005</v>
      </c>
      <c r="AW31" s="14">
        <v>36.645422000000003</v>
      </c>
      <c r="AX31" s="14">
        <v>42.677112999999999</v>
      </c>
      <c r="AY31" s="14">
        <v>45.049897000000001</v>
      </c>
      <c r="AZ31" s="15">
        <v>3722.14</v>
      </c>
      <c r="BA31" s="15">
        <v>3420.92</v>
      </c>
      <c r="BB31" s="15">
        <v>180.41800000000001</v>
      </c>
      <c r="BC31" s="15">
        <v>48.33</v>
      </c>
      <c r="BE31" s="50">
        <f t="shared" si="12"/>
        <v>1</v>
      </c>
      <c r="BF31" s="16">
        <f t="shared" si="13"/>
        <v>0</v>
      </c>
      <c r="BG31" s="16">
        <f t="shared" si="14"/>
        <v>6.6084176315595045E-4</v>
      </c>
      <c r="BH31" s="16"/>
      <c r="BJ31" s="50"/>
      <c r="BK31" s="50"/>
      <c r="BL31" s="50"/>
      <c r="BM31" s="50"/>
      <c r="BN31" s="50"/>
      <c r="BP31" s="50"/>
      <c r="BQ31" s="50"/>
      <c r="BR31" s="50"/>
      <c r="BS31" s="50"/>
      <c r="BT31" s="50"/>
      <c r="BV31" s="53">
        <f t="shared" si="16"/>
        <v>0</v>
      </c>
      <c r="BW31" s="53">
        <f t="shared" si="16"/>
        <v>0</v>
      </c>
      <c r="BX31" s="53">
        <f t="shared" si="16"/>
        <v>0</v>
      </c>
      <c r="BY31" s="53">
        <f t="shared" si="16"/>
        <v>-10920</v>
      </c>
      <c r="BZ31" s="53">
        <f t="shared" si="16"/>
        <v>0</v>
      </c>
      <c r="CA31" s="53">
        <f t="shared" si="16"/>
        <v>0</v>
      </c>
      <c r="CB31" s="53">
        <f t="shared" si="16"/>
        <v>-10920</v>
      </c>
      <c r="CC31" s="53">
        <f t="shared" si="16"/>
        <v>0</v>
      </c>
      <c r="CD31" s="53">
        <f t="shared" si="16"/>
        <v>0</v>
      </c>
      <c r="CE31" s="53">
        <f t="shared" si="16"/>
        <v>-8.1619999999986703E-3</v>
      </c>
      <c r="CF31" s="53">
        <f t="shared" si="16"/>
        <v>-1.1724000000000956E-2</v>
      </c>
      <c r="CG31" s="53">
        <f t="shared" si="16"/>
        <v>4.4938000000001921E-2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76.466316000000006</v>
      </c>
      <c r="X32" s="23">
        <v>79.123750000000001</v>
      </c>
      <c r="Y32" s="23">
        <v>38.407431000000003</v>
      </c>
      <c r="Z32" s="23">
        <v>43.216706000000002</v>
      </c>
      <c r="AA32" s="23">
        <v>46.245334</v>
      </c>
      <c r="AB32" s="24">
        <v>3595.54</v>
      </c>
      <c r="AC32" s="24">
        <v>3437.87</v>
      </c>
      <c r="AD32" s="24">
        <v>37.869999999999997</v>
      </c>
      <c r="AE32" s="24">
        <v>48.539000000000001</v>
      </c>
      <c r="AG32" s="19">
        <f t="shared" si="6"/>
        <v>12.6639</v>
      </c>
      <c r="AH32" s="20">
        <f t="shared" si="7"/>
        <v>3.5981217419660573E-2</v>
      </c>
      <c r="AI32" s="20">
        <f t="shared" si="8"/>
        <v>1.5579735877285728E-2</v>
      </c>
      <c r="AJ32" s="20">
        <f t="shared" si="9"/>
        <v>1.1777470824680562E-2</v>
      </c>
      <c r="AK32" s="20">
        <f t="shared" si="10"/>
        <v>2.0401481542374846E-2</v>
      </c>
      <c r="AL32" s="17">
        <f t="shared" si="11"/>
        <v>5848984</v>
      </c>
      <c r="AM32" s="20">
        <v>16</v>
      </c>
      <c r="AN32" s="21">
        <v>91814344</v>
      </c>
      <c r="AO32" s="21">
        <v>2869198.25</v>
      </c>
      <c r="AP32" s="21">
        <v>44687.40625</v>
      </c>
      <c r="AQ32" s="22">
        <v>13508160</v>
      </c>
      <c r="AR32" s="22">
        <v>4421528</v>
      </c>
      <c r="AS32" s="22">
        <v>1427456</v>
      </c>
      <c r="AT32" s="22">
        <v>7659176</v>
      </c>
      <c r="AU32" s="23">
        <v>76.466316000000006</v>
      </c>
      <c r="AV32" s="23">
        <v>79.123750000000001</v>
      </c>
      <c r="AW32" s="23">
        <v>38.400827999999997</v>
      </c>
      <c r="AX32" s="23">
        <v>43.204090999999998</v>
      </c>
      <c r="AY32" s="23">
        <v>46.223984000000002</v>
      </c>
      <c r="AZ32" s="24">
        <v>4106.07</v>
      </c>
      <c r="BA32" s="24">
        <v>4485.2700000000004</v>
      </c>
      <c r="BB32" s="24">
        <v>203.28899999999999</v>
      </c>
      <c r="BC32" s="24">
        <v>66.262</v>
      </c>
      <c r="BE32" s="49">
        <f t="shared" si="12"/>
        <v>1</v>
      </c>
      <c r="BF32" s="25">
        <f t="shared" si="13"/>
        <v>0</v>
      </c>
      <c r="BG32" s="25">
        <f t="shared" si="14"/>
        <v>2.5116094986565862E-4</v>
      </c>
      <c r="BH32" s="25"/>
      <c r="BJ32" s="49"/>
      <c r="BK32" s="49"/>
      <c r="BL32" s="49"/>
      <c r="BM32" s="49"/>
      <c r="BN32" s="49"/>
      <c r="BP32" s="49"/>
      <c r="BQ32" s="49"/>
      <c r="BR32" s="49"/>
      <c r="BS32" s="49"/>
      <c r="BT32" s="49"/>
      <c r="BV32" s="53">
        <f t="shared" si="16"/>
        <v>0</v>
      </c>
      <c r="BW32" s="53">
        <f t="shared" si="16"/>
        <v>0</v>
      </c>
      <c r="BX32" s="53">
        <f t="shared" si="16"/>
        <v>0</v>
      </c>
      <c r="BY32" s="53">
        <f t="shared" si="16"/>
        <v>-7840</v>
      </c>
      <c r="BZ32" s="53">
        <f t="shared" si="16"/>
        <v>0</v>
      </c>
      <c r="CA32" s="53">
        <f t="shared" si="16"/>
        <v>0</v>
      </c>
      <c r="CB32" s="53">
        <f t="shared" si="16"/>
        <v>-7840</v>
      </c>
      <c r="CC32" s="53">
        <f t="shared" si="16"/>
        <v>0</v>
      </c>
      <c r="CD32" s="53">
        <f t="shared" si="16"/>
        <v>0</v>
      </c>
      <c r="CE32" s="53">
        <f t="shared" si="16"/>
        <v>-6.6030000000054656E-3</v>
      </c>
      <c r="CF32" s="53">
        <f t="shared" si="16"/>
        <v>-1.2615000000003818E-2</v>
      </c>
      <c r="CG32" s="53">
        <f t="shared" si="16"/>
        <v>-2.1349999999998204E-2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77.598421999999999</v>
      </c>
      <c r="X33" s="14">
        <v>80.328506000000004</v>
      </c>
      <c r="Y33" s="14">
        <v>40.010033999999997</v>
      </c>
      <c r="Z33" s="14">
        <v>43.908102999999997</v>
      </c>
      <c r="AA33" s="14">
        <v>47.816249999999997</v>
      </c>
      <c r="AB33" s="15">
        <v>3712.93</v>
      </c>
      <c r="AC33" s="15">
        <v>3718.48</v>
      </c>
      <c r="AD33" s="15">
        <v>42.139000000000003</v>
      </c>
      <c r="AE33" s="15">
        <v>52.631</v>
      </c>
      <c r="AG33" s="10">
        <f t="shared" si="6"/>
        <v>21.163305000000001</v>
      </c>
      <c r="AH33" s="11">
        <f t="shared" si="7"/>
        <v>6.0130092508910341E-2</v>
      </c>
      <c r="AI33" s="11">
        <f t="shared" si="8"/>
        <v>2.1049370187121344E-2</v>
      </c>
      <c r="AJ33" s="11">
        <f t="shared" si="9"/>
        <v>1.7247105134516178E-2</v>
      </c>
      <c r="AK33" s="11">
        <f t="shared" si="10"/>
        <v>3.9080722321788997E-2</v>
      </c>
      <c r="AL33" s="52">
        <f t="shared" si="11"/>
        <v>7902408</v>
      </c>
      <c r="AM33" s="11">
        <v>16</v>
      </c>
      <c r="AN33" s="12">
        <v>93918250</v>
      </c>
      <c r="AO33" s="12">
        <v>2934945.3125</v>
      </c>
      <c r="AP33" s="12">
        <v>49412.375</v>
      </c>
      <c r="AQ33" s="13">
        <v>22574192</v>
      </c>
      <c r="AR33" s="13">
        <v>6474952</v>
      </c>
      <c r="AS33" s="13">
        <v>1427456</v>
      </c>
      <c r="AT33" s="13">
        <v>14671784</v>
      </c>
      <c r="AU33" s="14">
        <v>77.598421999999999</v>
      </c>
      <c r="AV33" s="14">
        <v>80.328506000000004</v>
      </c>
      <c r="AW33" s="14">
        <v>39.993018999999997</v>
      </c>
      <c r="AX33" s="14">
        <v>43.907452999999997</v>
      </c>
      <c r="AY33" s="14">
        <v>47.814318999999998</v>
      </c>
      <c r="AZ33" s="15">
        <v>4163.01</v>
      </c>
      <c r="BA33" s="15">
        <v>4793.76</v>
      </c>
      <c r="BB33" s="15">
        <v>204.88</v>
      </c>
      <c r="BC33" s="15">
        <v>72.751999999999995</v>
      </c>
      <c r="BE33" s="50">
        <f t="shared" si="12"/>
        <v>1</v>
      </c>
      <c r="BF33" s="16">
        <f t="shared" si="13"/>
        <v>0</v>
      </c>
      <c r="BG33" s="16">
        <f t="shared" si="14"/>
        <v>6.2549764508462724E-4</v>
      </c>
      <c r="BH33" s="16"/>
      <c r="BJ33" s="50"/>
      <c r="BK33" s="50"/>
      <c r="BL33" s="50"/>
      <c r="BM33" s="50"/>
      <c r="BN33" s="50"/>
      <c r="BP33" s="50"/>
      <c r="BQ33" s="50"/>
      <c r="BR33" s="50"/>
      <c r="BS33" s="50"/>
      <c r="BT33" s="50"/>
      <c r="BV33" s="53">
        <f t="shared" si="16"/>
        <v>0</v>
      </c>
      <c r="BW33" s="53">
        <f t="shared" si="16"/>
        <v>0</v>
      </c>
      <c r="BX33" s="53">
        <f t="shared" si="16"/>
        <v>0</v>
      </c>
      <c r="BY33" s="53">
        <f t="shared" si="16"/>
        <v>-40408</v>
      </c>
      <c r="BZ33" s="53">
        <f t="shared" si="16"/>
        <v>0</v>
      </c>
      <c r="CA33" s="53">
        <f t="shared" si="16"/>
        <v>0</v>
      </c>
      <c r="CB33" s="53">
        <f t="shared" si="16"/>
        <v>-40408</v>
      </c>
      <c r="CC33" s="53">
        <f t="shared" si="16"/>
        <v>0</v>
      </c>
      <c r="CD33" s="53">
        <f t="shared" si="16"/>
        <v>0</v>
      </c>
      <c r="CE33" s="53">
        <f t="shared" si="16"/>
        <v>-1.7015000000000668E-2</v>
      </c>
      <c r="CF33" s="53">
        <f t="shared" si="16"/>
        <v>-6.5000000000026148E-4</v>
      </c>
      <c r="CG33" s="53">
        <f t="shared" si="16"/>
        <v>-1.9309999999990168E-3</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78.535988000000003</v>
      </c>
      <c r="X34" s="42">
        <v>81.998384000000001</v>
      </c>
      <c r="Y34" s="42">
        <v>41.522762</v>
      </c>
      <c r="Z34" s="42">
        <v>44.701211999999998</v>
      </c>
      <c r="AA34" s="42">
        <v>49.230083999999998</v>
      </c>
      <c r="AB34" s="43">
        <v>3605.48</v>
      </c>
      <c r="AC34" s="43">
        <v>4207.32</v>
      </c>
      <c r="AD34" s="43">
        <v>39.780999999999999</v>
      </c>
      <c r="AE34" s="43">
        <v>56.883000000000003</v>
      </c>
      <c r="AG34" s="38">
        <f t="shared" si="6"/>
        <v>39.830572500000002</v>
      </c>
      <c r="AH34" s="39">
        <f t="shared" si="7"/>
        <v>0.11316833590537301</v>
      </c>
      <c r="AI34" s="39">
        <f t="shared" si="8"/>
        <v>3.3717187129246921E-2</v>
      </c>
      <c r="AJ34" s="39">
        <f t="shared" si="9"/>
        <v>2.6181230424207429E-2</v>
      </c>
      <c r="AK34" s="39">
        <f t="shared" si="10"/>
        <v>7.9451148776126093E-2</v>
      </c>
      <c r="AL34" s="36">
        <f t="shared" si="11"/>
        <v>12658192</v>
      </c>
      <c r="AM34" s="39">
        <v>16</v>
      </c>
      <c r="AN34" s="40">
        <v>92079625</v>
      </c>
      <c r="AO34" s="40">
        <v>2877488.28125</v>
      </c>
      <c r="AP34" s="40">
        <v>21318.28125</v>
      </c>
      <c r="AQ34" s="41">
        <v>42485944</v>
      </c>
      <c r="AR34" s="41">
        <v>9829024</v>
      </c>
      <c r="AS34" s="41">
        <v>2829168</v>
      </c>
      <c r="AT34" s="41">
        <v>29827752</v>
      </c>
      <c r="AU34" s="42">
        <v>78.535988000000003</v>
      </c>
      <c r="AV34" s="42">
        <v>81.998384000000001</v>
      </c>
      <c r="AW34" s="42">
        <v>41.507103000000001</v>
      </c>
      <c r="AX34" s="42">
        <v>44.699803000000003</v>
      </c>
      <c r="AY34" s="42">
        <v>49.229534000000001</v>
      </c>
      <c r="AZ34" s="43">
        <v>3900.34</v>
      </c>
      <c r="BA34" s="43">
        <v>4043.1</v>
      </c>
      <c r="BB34" s="43">
        <v>178.77099999999999</v>
      </c>
      <c r="BC34" s="43">
        <v>56.509</v>
      </c>
      <c r="BE34" s="44">
        <f t="shared" si="12"/>
        <v>1</v>
      </c>
      <c r="BF34" s="45">
        <f t="shared" si="13"/>
        <v>0</v>
      </c>
      <c r="BG34" s="45">
        <f t="shared" si="14"/>
        <v>3.1920931180068335E-4</v>
      </c>
      <c r="BH34" s="45"/>
      <c r="BJ34" s="44"/>
      <c r="BK34" s="44"/>
      <c r="BL34" s="44"/>
      <c r="BM34" s="44"/>
      <c r="BN34" s="44"/>
      <c r="BP34" s="44"/>
      <c r="BQ34" s="44"/>
      <c r="BR34" s="44"/>
      <c r="BS34" s="44"/>
      <c r="BT34" s="44"/>
      <c r="BV34" s="53">
        <f t="shared" si="16"/>
        <v>0</v>
      </c>
      <c r="BW34" s="53">
        <f t="shared" si="16"/>
        <v>0</v>
      </c>
      <c r="BX34" s="53">
        <f t="shared" si="16"/>
        <v>0</v>
      </c>
      <c r="BY34" s="53">
        <f t="shared" si="16"/>
        <v>-45568</v>
      </c>
      <c r="BZ34" s="53">
        <f t="shared" si="16"/>
        <v>0</v>
      </c>
      <c r="CA34" s="53">
        <f t="shared" si="16"/>
        <v>0</v>
      </c>
      <c r="CB34" s="53">
        <f t="shared" si="16"/>
        <v>-45568</v>
      </c>
      <c r="CC34" s="53">
        <f t="shared" si="16"/>
        <v>0</v>
      </c>
      <c r="CD34" s="53">
        <f t="shared" si="16"/>
        <v>0</v>
      </c>
      <c r="CE34" s="53">
        <f t="shared" si="16"/>
        <v>-1.5658999999999423E-2</v>
      </c>
      <c r="CF34" s="53">
        <f t="shared" si="16"/>
        <v>-1.4089999999953307E-3</v>
      </c>
      <c r="CG34" s="53">
        <f t="shared" si="16"/>
        <v>-5.4999999999694182E-4</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73.191281000000004</v>
      </c>
      <c r="X35" s="14">
        <v>75.430569000000006</v>
      </c>
      <c r="Y35" s="14">
        <v>33.985152999999997</v>
      </c>
      <c r="Z35" s="14">
        <v>42.563105999999998</v>
      </c>
      <c r="AA35" s="14">
        <v>44.055872000000001</v>
      </c>
      <c r="AB35" s="15">
        <v>3337.63</v>
      </c>
      <c r="AC35" s="15">
        <v>4807.1499999999996</v>
      </c>
      <c r="AD35" s="15">
        <v>39.442</v>
      </c>
      <c r="AE35" s="15">
        <v>68.034999999999997</v>
      </c>
      <c r="AG35" s="10">
        <f t="shared" si="6"/>
        <v>6.3759674999999998</v>
      </c>
      <c r="AH35" s="11">
        <f t="shared" si="7"/>
        <v>2.0411830896030832E-2</v>
      </c>
      <c r="AI35" s="11">
        <f t="shared" si="8"/>
        <v>1.1829190100807409E-2</v>
      </c>
      <c r="AJ35" s="11">
        <f t="shared" si="9"/>
        <v>7.2102134882886838E-3</v>
      </c>
      <c r="AK35" s="11">
        <f t="shared" si="10"/>
        <v>8.5826407952234226E-3</v>
      </c>
      <c r="AL35" s="52">
        <f t="shared" si="11"/>
        <v>3941376</v>
      </c>
      <c r="AM35" s="11">
        <v>16</v>
      </c>
      <c r="AN35" s="12">
        <v>74688855</v>
      </c>
      <c r="AO35" s="12">
        <v>2334026.71875</v>
      </c>
      <c r="AP35" s="12">
        <v>31011.90625</v>
      </c>
      <c r="AQ35" s="13">
        <v>6801032</v>
      </c>
      <c r="AR35" s="13">
        <v>2402376</v>
      </c>
      <c r="AS35" s="13">
        <v>1539000</v>
      </c>
      <c r="AT35" s="13">
        <v>2859656</v>
      </c>
      <c r="AU35" s="14">
        <v>73.191281000000004</v>
      </c>
      <c r="AV35" s="14">
        <v>75.430569000000006</v>
      </c>
      <c r="AW35" s="14">
        <v>33.989308999999999</v>
      </c>
      <c r="AX35" s="14">
        <v>42.560665999999998</v>
      </c>
      <c r="AY35" s="14">
        <v>44.045278000000003</v>
      </c>
      <c r="AZ35" s="15">
        <v>3707.39</v>
      </c>
      <c r="BA35" s="15">
        <v>6182.17</v>
      </c>
      <c r="BB35" s="15">
        <v>168.04599999999999</v>
      </c>
      <c r="BC35" s="15">
        <v>87.894000000000005</v>
      </c>
      <c r="BE35" s="50">
        <f t="shared" si="12"/>
        <v>1</v>
      </c>
      <c r="BF35" s="16">
        <f t="shared" si="13"/>
        <v>0</v>
      </c>
      <c r="BG35" s="16">
        <f t="shared" si="14"/>
        <v>9.2013812667435246E-5</v>
      </c>
      <c r="BH35" s="16">
        <f t="array" ref="BH35">AVERAGE(AL35:AL39/AQ35:AQ39) - AVERAGE(N35:N39/S35:S39)</f>
        <v>3.5186964921307684E-4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2.631742392781522E-3</v>
      </c>
      <c r="BM35" s="50">
        <f>IF( OR(ISBLANK(V35:V39),ISBLANK(AT35:AT39), ISBLANK(Z35:Z39),ISBLANK(AX35:AX39)), "·", bdRateExtend( V35:V39,Z35:Z39, AT35:AT39,AX35:AX39))</f>
        <v>8.5022929266629355E-3</v>
      </c>
      <c r="BN35" s="50">
        <f>IF( OR(ISBLANK(V35:V39),ISBLANK(AT35:AT39), ISBLANK(AA35:AA39),ISBLANK(AY35:AY39)), "·", bdRateExtend( V35:V39,AA35:AA39, AT35:AT39,AY35:AY39))</f>
        <v>1.4812095400229097E-2</v>
      </c>
      <c r="BP35" s="50">
        <f>IF( OR(ISBLANK(S35:S39),ISBLANK(AQ35:AQ39), ISBLANK(W35:W39),ISBLANK(AU35:AU39)), "·", bdRateExtend( S35:S39,W35:W39, AQ35:AQ39,AU35:AU39))</f>
        <v>-9.2877735913377002E-4</v>
      </c>
      <c r="BQ35" s="50">
        <f>IF( OR(ISBLANK(S35:S39),ISBLANK(AQ35:AQ39), ISBLANK(X35:X39),ISBLANK(AV35:AV39)), "·", bdRateExtend( S35:S39,X35:X39, AQ35:AQ39,AV35:AV39))</f>
        <v>-1.0267369146157446E-3</v>
      </c>
      <c r="BR35" s="50">
        <f>IF( OR(ISBLANK(S35:S39),ISBLANK(AQ35:AQ39), ISBLANK(Y35:Y39),ISBLANK(AW35:AW39)), "·", bdRateExtend( S35:S39,Y35:Y39, AQ35:AQ39,AW35:AW39))</f>
        <v>2.53955790380056E-3</v>
      </c>
      <c r="BS35" s="50">
        <f>IF( OR(ISBLANK(S35:S39),ISBLANK(AQ35:AQ39), ISBLANK(Z35:Z39),ISBLANK(AX35:AX39)), "·", bdRateExtend( S35:S39,Z35:Z39, AQ35:AQ39,AX35:AX39))</f>
        <v>6.4927393935936273E-3</v>
      </c>
      <c r="BT35" s="50">
        <f>IF( OR(ISBLANK(S35:S39),ISBLANK(AQ35:AQ39), ISBLANK(AA35:AA39),ISBLANK(AY35:AY39)), "·", bdRateExtend( S35:S39,AA35:AA39, AQ35:AQ39,AY35:AY39))</f>
        <v>1.0813501666894876E-2</v>
      </c>
      <c r="BV35" s="53">
        <f t="shared" si="16"/>
        <v>0</v>
      </c>
      <c r="BW35" s="53">
        <f t="shared" si="16"/>
        <v>0</v>
      </c>
      <c r="BX35" s="53">
        <f t="shared" si="16"/>
        <v>0</v>
      </c>
      <c r="BY35" s="53">
        <f t="shared" si="16"/>
        <v>-1080</v>
      </c>
      <c r="BZ35" s="53">
        <f t="shared" si="16"/>
        <v>0</v>
      </c>
      <c r="CA35" s="53">
        <f t="shared" si="16"/>
        <v>0</v>
      </c>
      <c r="CB35" s="53">
        <f t="shared" si="16"/>
        <v>-1080</v>
      </c>
      <c r="CC35" s="53">
        <f t="shared" si="16"/>
        <v>0</v>
      </c>
      <c r="CD35" s="53">
        <f t="shared" si="16"/>
        <v>0</v>
      </c>
      <c r="CE35" s="53">
        <f t="shared" si="16"/>
        <v>4.1560000000018249E-3</v>
      </c>
      <c r="CF35" s="53">
        <f t="shared" si="16"/>
        <v>-2.4399999999999977E-3</v>
      </c>
      <c r="CG35" s="53">
        <f t="shared" si="16"/>
        <v>-1.059399999999755E-2</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74.930581000000004</v>
      </c>
      <c r="X36" s="23">
        <v>77.358816000000004</v>
      </c>
      <c r="Y36" s="23">
        <v>36.095069000000002</v>
      </c>
      <c r="Z36" s="23">
        <v>43.189968999999998</v>
      </c>
      <c r="AA36" s="23">
        <v>45.416677999999997</v>
      </c>
      <c r="AB36" s="24">
        <v>3782.67</v>
      </c>
      <c r="AC36" s="24">
        <v>6569.15</v>
      </c>
      <c r="AD36" s="24">
        <v>47.572000000000003</v>
      </c>
      <c r="AE36" s="24">
        <v>95.745999999999995</v>
      </c>
      <c r="AG36" s="19">
        <f t="shared" si="6"/>
        <v>9.0721050000000005</v>
      </c>
      <c r="AH36" s="20">
        <f t="shared" si="7"/>
        <v>2.9043164528526184E-2</v>
      </c>
      <c r="AI36" s="20">
        <f t="shared" si="8"/>
        <v>1.4424772836314163E-2</v>
      </c>
      <c r="AJ36" s="20">
        <f t="shared" si="9"/>
        <v>9.8057962237954373E-3</v>
      </c>
      <c r="AK36" s="20">
        <f t="shared" si="10"/>
        <v>1.4618391692212023E-2</v>
      </c>
      <c r="AL36" s="17">
        <f t="shared" si="11"/>
        <v>4806200</v>
      </c>
      <c r="AM36" s="20">
        <v>16</v>
      </c>
      <c r="AN36" s="21">
        <v>79945808</v>
      </c>
      <c r="AO36" s="21">
        <v>2498306.5</v>
      </c>
      <c r="AP36" s="21">
        <v>39523.15625</v>
      </c>
      <c r="AQ36" s="22">
        <v>9676912</v>
      </c>
      <c r="AR36" s="22">
        <v>3267200</v>
      </c>
      <c r="AS36" s="22">
        <v>1539000</v>
      </c>
      <c r="AT36" s="22">
        <v>4870712</v>
      </c>
      <c r="AU36" s="23">
        <v>74.930581000000004</v>
      </c>
      <c r="AV36" s="23">
        <v>77.358816000000004</v>
      </c>
      <c r="AW36" s="23">
        <v>36.091313</v>
      </c>
      <c r="AX36" s="23">
        <v>43.166609000000001</v>
      </c>
      <c r="AY36" s="23">
        <v>45.332194000000001</v>
      </c>
      <c r="AZ36" s="24">
        <v>3523.6</v>
      </c>
      <c r="BA36" s="24">
        <v>4941.5200000000004</v>
      </c>
      <c r="BB36" s="24">
        <v>165.38800000000001</v>
      </c>
      <c r="BC36" s="24">
        <v>75.144000000000005</v>
      </c>
      <c r="BE36" s="49">
        <f t="shared" si="12"/>
        <v>1</v>
      </c>
      <c r="BF36" s="25">
        <f t="shared" si="13"/>
        <v>0</v>
      </c>
      <c r="BG36" s="25">
        <f t="shared" si="14"/>
        <v>9.3188561216706045E-5</v>
      </c>
      <c r="BH36" s="25"/>
      <c r="BJ36" s="49"/>
      <c r="BK36" s="49"/>
      <c r="BL36" s="49"/>
      <c r="BM36" s="49"/>
      <c r="BN36" s="49"/>
      <c r="BP36" s="49"/>
      <c r="BQ36" s="49"/>
      <c r="BR36" s="49"/>
      <c r="BS36" s="49"/>
      <c r="BT36" s="49"/>
      <c r="BV36" s="53">
        <f t="shared" si="16"/>
        <v>0</v>
      </c>
      <c r="BW36" s="53">
        <f t="shared" si="16"/>
        <v>0</v>
      </c>
      <c r="BX36" s="53">
        <f t="shared" si="16"/>
        <v>0</v>
      </c>
      <c r="BY36" s="53">
        <f t="shared" si="16"/>
        <v>-1816</v>
      </c>
      <c r="BZ36" s="53">
        <f t="shared" si="16"/>
        <v>0</v>
      </c>
      <c r="CA36" s="53">
        <f t="shared" si="16"/>
        <v>0</v>
      </c>
      <c r="CB36" s="53">
        <f t="shared" si="16"/>
        <v>-1816</v>
      </c>
      <c r="CC36" s="53">
        <f t="shared" si="16"/>
        <v>0</v>
      </c>
      <c r="CD36" s="53">
        <f t="shared" si="16"/>
        <v>0</v>
      </c>
      <c r="CE36" s="53">
        <f t="shared" si="16"/>
        <v>-3.7560000000027571E-3</v>
      </c>
      <c r="CF36" s="53">
        <f t="shared" si="16"/>
        <v>-2.3359999999996717E-2</v>
      </c>
      <c r="CG36" s="53">
        <f t="shared" si="16"/>
        <v>-8.4483999999996229E-2</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76.238812999999993</v>
      </c>
      <c r="X37" s="14">
        <v>78.941209000000001</v>
      </c>
      <c r="Y37" s="14">
        <v>37.935644000000003</v>
      </c>
      <c r="Z37" s="14">
        <v>43.761018999999997</v>
      </c>
      <c r="AA37" s="14">
        <v>46.521678000000001</v>
      </c>
      <c r="AB37" s="15">
        <v>3666.29</v>
      </c>
      <c r="AC37" s="15">
        <v>6597.6</v>
      </c>
      <c r="AD37" s="15">
        <v>50.889000000000003</v>
      </c>
      <c r="AE37" s="15">
        <v>96.025999999999996</v>
      </c>
      <c r="AG37" s="10">
        <f t="shared" si="6"/>
        <v>13.780492499999999</v>
      </c>
      <c r="AH37" s="11">
        <f t="shared" si="7"/>
        <v>4.411645488688911E-2</v>
      </c>
      <c r="AI37" s="11">
        <f t="shared" si="8"/>
        <v>1.8223870595615595E-2</v>
      </c>
      <c r="AJ37" s="11">
        <f t="shared" si="9"/>
        <v>1.3604893983096869E-2</v>
      </c>
      <c r="AK37" s="11">
        <f t="shared" si="10"/>
        <v>2.5892584291273519E-2</v>
      </c>
      <c r="AL37" s="52">
        <f t="shared" si="11"/>
        <v>6072024</v>
      </c>
      <c r="AM37" s="11">
        <v>16</v>
      </c>
      <c r="AN37" s="12">
        <v>81780101</v>
      </c>
      <c r="AO37" s="12">
        <v>2555628.15625</v>
      </c>
      <c r="AP37" s="12">
        <v>43014.71875</v>
      </c>
      <c r="AQ37" s="13">
        <v>14699192</v>
      </c>
      <c r="AR37" s="13">
        <v>4533024</v>
      </c>
      <c r="AS37" s="13">
        <v>1539000</v>
      </c>
      <c r="AT37" s="13">
        <v>8627168</v>
      </c>
      <c r="AU37" s="14">
        <v>76.238812999999993</v>
      </c>
      <c r="AV37" s="14">
        <v>78.941209000000001</v>
      </c>
      <c r="AW37" s="14">
        <v>37.919322000000001</v>
      </c>
      <c r="AX37" s="14">
        <v>43.743772</v>
      </c>
      <c r="AY37" s="14">
        <v>46.489502999999999</v>
      </c>
      <c r="AZ37" s="15">
        <v>3469.21</v>
      </c>
      <c r="BA37" s="15">
        <v>5187.3999999999996</v>
      </c>
      <c r="BB37" s="15">
        <v>164.05600000000001</v>
      </c>
      <c r="BC37" s="15">
        <v>70.03</v>
      </c>
      <c r="BE37" s="50">
        <f t="shared" si="12"/>
        <v>1</v>
      </c>
      <c r="BF37" s="16">
        <f t="shared" si="13"/>
        <v>0</v>
      </c>
      <c r="BG37" s="16">
        <f t="shared" si="14"/>
        <v>5.1913252744023586E-4</v>
      </c>
      <c r="BH37" s="16"/>
      <c r="BJ37" s="50"/>
      <c r="BK37" s="50"/>
      <c r="BL37" s="50"/>
      <c r="BM37" s="50"/>
      <c r="BN37" s="50"/>
      <c r="BP37" s="50"/>
      <c r="BQ37" s="50"/>
      <c r="BR37" s="50"/>
      <c r="BS37" s="50"/>
      <c r="BT37" s="50"/>
      <c r="BV37" s="53">
        <f t="shared" si="16"/>
        <v>0</v>
      </c>
      <c r="BW37" s="53">
        <f t="shared" si="16"/>
        <v>0</v>
      </c>
      <c r="BX37" s="53">
        <f t="shared" si="16"/>
        <v>0</v>
      </c>
      <c r="BY37" s="53">
        <f t="shared" si="16"/>
        <v>-18496</v>
      </c>
      <c r="BZ37" s="53">
        <f t="shared" si="16"/>
        <v>0</v>
      </c>
      <c r="CA37" s="53">
        <f t="shared" si="16"/>
        <v>0</v>
      </c>
      <c r="CB37" s="53">
        <f t="shared" si="16"/>
        <v>-18496</v>
      </c>
      <c r="CC37" s="53">
        <f t="shared" si="16"/>
        <v>0</v>
      </c>
      <c r="CD37" s="53">
        <f t="shared" si="16"/>
        <v>0</v>
      </c>
      <c r="CE37" s="53">
        <f t="shared" si="16"/>
        <v>-1.632200000000239E-2</v>
      </c>
      <c r="CF37" s="53">
        <f t="shared" si="16"/>
        <v>-1.724699999999757E-2</v>
      </c>
      <c r="CG37" s="53">
        <f t="shared" si="16"/>
        <v>-3.2175000000002285E-2</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77.418415999999993</v>
      </c>
      <c r="X38" s="23">
        <v>80.140518999999998</v>
      </c>
      <c r="Y38" s="23">
        <v>39.708219</v>
      </c>
      <c r="Z38" s="23">
        <v>44.538234000000003</v>
      </c>
      <c r="AA38" s="23">
        <v>47.814163000000001</v>
      </c>
      <c r="AB38" s="24">
        <v>3564.74</v>
      </c>
      <c r="AC38" s="24">
        <v>5411.8</v>
      </c>
      <c r="AD38" s="24">
        <v>39.677</v>
      </c>
      <c r="AE38" s="24">
        <v>73.272000000000006</v>
      </c>
      <c r="AG38" s="19">
        <f t="shared" si="6"/>
        <v>23.020612499999999</v>
      </c>
      <c r="AH38" s="20">
        <f t="shared" si="7"/>
        <v>7.3697497591236713E-2</v>
      </c>
      <c r="AI38" s="20">
        <f t="shared" si="8"/>
        <v>2.4418401439783331E-2</v>
      </c>
      <c r="AJ38" s="20">
        <f t="shared" si="9"/>
        <v>1.9799424827264607E-2</v>
      </c>
      <c r="AK38" s="20">
        <f t="shared" si="10"/>
        <v>4.9279096151453379E-2</v>
      </c>
      <c r="AL38" s="17">
        <f t="shared" si="11"/>
        <v>8135984</v>
      </c>
      <c r="AM38" s="20">
        <v>16</v>
      </c>
      <c r="AN38" s="21">
        <v>83963908</v>
      </c>
      <c r="AO38" s="21">
        <v>2623872.125</v>
      </c>
      <c r="AP38" s="21">
        <v>48278.125</v>
      </c>
      <c r="AQ38" s="22">
        <v>24555320</v>
      </c>
      <c r="AR38" s="22">
        <v>6596984</v>
      </c>
      <c r="AS38" s="22">
        <v>1539000</v>
      </c>
      <c r="AT38" s="22">
        <v>16419336</v>
      </c>
      <c r="AU38" s="23">
        <v>77.418415999999993</v>
      </c>
      <c r="AV38" s="23">
        <v>80.140518999999998</v>
      </c>
      <c r="AW38" s="23">
        <v>39.687421999999998</v>
      </c>
      <c r="AX38" s="23">
        <v>44.530106000000004</v>
      </c>
      <c r="AY38" s="23">
        <v>47.802455999999999</v>
      </c>
      <c r="AZ38" s="24">
        <v>3806.74</v>
      </c>
      <c r="BA38" s="24">
        <v>6811.12</v>
      </c>
      <c r="BB38" s="24">
        <v>188.542</v>
      </c>
      <c r="BC38" s="24">
        <v>95.522999999999996</v>
      </c>
      <c r="BE38" s="49">
        <f t="shared" si="12"/>
        <v>1</v>
      </c>
      <c r="BF38" s="25">
        <f t="shared" si="13"/>
        <v>0</v>
      </c>
      <c r="BG38" s="25">
        <f t="shared" si="14"/>
        <v>7.3499338784094315E-4</v>
      </c>
      <c r="BH38" s="25"/>
      <c r="BJ38" s="49"/>
      <c r="BK38" s="49"/>
      <c r="BL38" s="49"/>
      <c r="BM38" s="49"/>
      <c r="BN38" s="49"/>
      <c r="BP38" s="49"/>
      <c r="BQ38" s="49"/>
      <c r="BR38" s="49"/>
      <c r="BS38" s="49"/>
      <c r="BT38" s="49"/>
      <c r="BV38" s="53">
        <f t="shared" si="16"/>
        <v>0</v>
      </c>
      <c r="BW38" s="53">
        <f t="shared" si="16"/>
        <v>0</v>
      </c>
      <c r="BX38" s="53">
        <f t="shared" si="16"/>
        <v>0</v>
      </c>
      <c r="BY38" s="53">
        <f t="shared" si="16"/>
        <v>-54592</v>
      </c>
      <c r="BZ38" s="53">
        <f t="shared" si="16"/>
        <v>0</v>
      </c>
      <c r="CA38" s="53">
        <f t="shared" si="16"/>
        <v>0</v>
      </c>
      <c r="CB38" s="53">
        <f t="shared" si="16"/>
        <v>-54592</v>
      </c>
      <c r="CC38" s="53">
        <f t="shared" si="16"/>
        <v>0</v>
      </c>
      <c r="CD38" s="53">
        <f t="shared" si="16"/>
        <v>0</v>
      </c>
      <c r="CE38" s="53">
        <f t="shared" si="16"/>
        <v>-2.0797000000001731E-2</v>
      </c>
      <c r="CF38" s="53">
        <f t="shared" si="16"/>
        <v>-8.1279999999992469E-3</v>
      </c>
      <c r="CG38" s="53">
        <f t="shared" si="16"/>
        <v>-1.1707000000001244E-2</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78.318230999999997</v>
      </c>
      <c r="X39" s="32">
        <v>81.877509000000003</v>
      </c>
      <c r="Y39" s="32">
        <v>41.303936999999998</v>
      </c>
      <c r="Z39" s="32">
        <v>45.534306000000001</v>
      </c>
      <c r="AA39" s="32">
        <v>49.130744</v>
      </c>
      <c r="AB39" s="33">
        <v>3043.99</v>
      </c>
      <c r="AC39" s="33">
        <v>5311.51</v>
      </c>
      <c r="AD39" s="33">
        <v>36.405999999999999</v>
      </c>
      <c r="AE39" s="33">
        <v>74.064999999999998</v>
      </c>
      <c r="AG39" s="28">
        <f t="shared" si="6"/>
        <v>42.391522500000001</v>
      </c>
      <c r="AH39" s="29">
        <f t="shared" si="7"/>
        <v>0.13571094719276505</v>
      </c>
      <c r="AI39" s="29">
        <f t="shared" si="8"/>
        <v>3.9490059099460607E-2</v>
      </c>
      <c r="AJ39" s="29">
        <f t="shared" si="9"/>
        <v>3.0117168130109423E-2</v>
      </c>
      <c r="AK39" s="29">
        <f t="shared" si="10"/>
        <v>9.6220888093304438E-2</v>
      </c>
      <c r="AL39" s="26">
        <f t="shared" si="11"/>
        <v>13157720</v>
      </c>
      <c r="AM39" s="29">
        <v>16</v>
      </c>
      <c r="AN39" s="30">
        <v>82025858</v>
      </c>
      <c r="AO39" s="30">
        <v>2563308.0625</v>
      </c>
      <c r="AP39" s="30">
        <v>19366.5625</v>
      </c>
      <c r="AQ39" s="31">
        <v>45217624</v>
      </c>
      <c r="AR39" s="31">
        <v>10034760</v>
      </c>
      <c r="AS39" s="31">
        <v>3122960</v>
      </c>
      <c r="AT39" s="31">
        <v>32059904</v>
      </c>
      <c r="AU39" s="32">
        <v>78.318230999999997</v>
      </c>
      <c r="AV39" s="32">
        <v>81.877509000000003</v>
      </c>
      <c r="AW39" s="32">
        <v>41.285856000000003</v>
      </c>
      <c r="AX39" s="32">
        <v>45.536405999999999</v>
      </c>
      <c r="AY39" s="32">
        <v>49.135997000000003</v>
      </c>
      <c r="AZ39" s="33">
        <v>3360.5</v>
      </c>
      <c r="BA39" s="33">
        <v>5466.61</v>
      </c>
      <c r="BB39" s="33">
        <v>161.19999999999999</v>
      </c>
      <c r="BC39" s="33">
        <v>79.384</v>
      </c>
      <c r="BE39" s="34">
        <f t="shared" si="12"/>
        <v>1</v>
      </c>
      <c r="BF39" s="35">
        <f t="shared" si="13"/>
        <v>0</v>
      </c>
      <c r="BG39" s="35">
        <f t="shared" si="14"/>
        <v>3.2001995690023044E-4</v>
      </c>
      <c r="BH39" s="35"/>
      <c r="BJ39" s="34"/>
      <c r="BK39" s="34"/>
      <c r="BL39" s="34"/>
      <c r="BM39" s="34"/>
      <c r="BN39" s="34"/>
      <c r="BP39" s="34"/>
      <c r="BQ39" s="34"/>
      <c r="BR39" s="34"/>
      <c r="BS39" s="34"/>
      <c r="BT39" s="34"/>
      <c r="BV39" s="53">
        <f t="shared" si="16"/>
        <v>0</v>
      </c>
      <c r="BW39" s="53">
        <f t="shared" si="16"/>
        <v>0</v>
      </c>
      <c r="BX39" s="53">
        <f t="shared" si="16"/>
        <v>0</v>
      </c>
      <c r="BY39" s="53">
        <f t="shared" si="16"/>
        <v>-49784</v>
      </c>
      <c r="BZ39" s="53">
        <f t="shared" si="16"/>
        <v>0</v>
      </c>
      <c r="CA39" s="53">
        <f t="shared" si="16"/>
        <v>0</v>
      </c>
      <c r="CB39" s="53">
        <f t="shared" si="16"/>
        <v>-49784</v>
      </c>
      <c r="CC39" s="53">
        <f t="shared" si="16"/>
        <v>0</v>
      </c>
      <c r="CD39" s="53">
        <f t="shared" si="16"/>
        <v>0</v>
      </c>
      <c r="CE39" s="53">
        <f t="shared" si="16"/>
        <v>-1.8080999999995129E-2</v>
      </c>
      <c r="CF39" s="53">
        <f t="shared" si="16"/>
        <v>2.0999999999986585E-3</v>
      </c>
      <c r="CG39" s="53">
        <f t="shared" si="16"/>
        <v>5.2530000000032828E-3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4.4297813858881062E-2</v>
      </c>
      <c r="AI40" s="47">
        <f>AVERAGE(AI5:AI24)</f>
        <v>1.3934320314145566E-2</v>
      </c>
      <c r="AJ40" s="47">
        <f>AVERAGE(AJ5:AJ24)</f>
        <v>9.696269410246797E-3</v>
      </c>
      <c r="AK40" s="47">
        <f>AVERAGE(AK5:AK24)</f>
        <v>3.0363493544735498E-2</v>
      </c>
      <c r="BE40" s="51">
        <f t="shared" si="12"/>
        <v>1</v>
      </c>
      <c r="BH40" s="55">
        <f>AVERAGE(BH5:BH24)</f>
        <v>2.3632901544901469E-3</v>
      </c>
      <c r="BJ40" s="51">
        <f>AVERAGE(BJ5:BJ24)</f>
        <v>0</v>
      </c>
      <c r="BK40" s="51">
        <f>AVERAGE(BK5:BK24)</f>
        <v>0</v>
      </c>
      <c r="BL40" s="51">
        <f>AVERAGE(BL5:BL24)</f>
        <v>1.8551279146474642E-2</v>
      </c>
      <c r="BM40" s="51">
        <f>AVERAGE(BM5:BM24)</f>
        <v>-1.2378524085504716E-2</v>
      </c>
      <c r="BN40" s="51">
        <f>AVERAGE(BN5:BN24)</f>
        <v>-4.8275343057634645E-3</v>
      </c>
      <c r="BP40" s="51">
        <f>AVERAGE(BP5:BP24)</f>
        <v>-6.6402161812406102E-3</v>
      </c>
      <c r="BQ40" s="51">
        <f>AVERAGE(BQ5:BQ24)</f>
        <v>-7.0766293071789776E-3</v>
      </c>
      <c r="BR40" s="51">
        <f>AVERAGE(BR5:BR24)</f>
        <v>1.8184070306340339E-2</v>
      </c>
      <c r="BS40" s="51">
        <f>AVERAGE(BS5:BS24)</f>
        <v>-9.0892988069646574E-3</v>
      </c>
      <c r="BT40" s="51">
        <f>AVERAGE(BT5:BT24)</f>
        <v>-2.6295304860921853E-3</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7.9954906894468852E-2</v>
      </c>
      <c r="AI41" s="47">
        <f>AVERAGE(AI25:AI29)</f>
        <v>1.2464595817739278E-2</v>
      </c>
      <c r="AJ41" s="47">
        <f>AVERAGE(AJ25:AJ29)</f>
        <v>9.1151281892310389E-3</v>
      </c>
      <c r="AK41" s="47">
        <f>AVERAGE(AK25:AK29)</f>
        <v>6.7490311076729578E-2</v>
      </c>
      <c r="BE41" s="51">
        <f t="shared" si="12"/>
        <v>1</v>
      </c>
      <c r="BH41" s="55">
        <f>AVERAGE(BH25:BH29)</f>
        <v>4.0377224585136373E-4</v>
      </c>
      <c r="BJ41" s="51">
        <f>AVERAGE(BJ25:BJ29)</f>
        <v>0</v>
      </c>
      <c r="BK41" s="51">
        <f>AVERAGE(BK25:BK29)</f>
        <v>0</v>
      </c>
      <c r="BL41" s="51">
        <f>AVERAGE(BL25:BL29)</f>
        <v>4.142618457100955E-3</v>
      </c>
      <c r="BM41" s="51">
        <f>AVERAGE(BM25:BM29)</f>
        <v>-2.503621987056337E-3</v>
      </c>
      <c r="BN41" s="51">
        <f>AVERAGE(BN25:BN29)</f>
        <v>-2.1079154969260161E-3</v>
      </c>
      <c r="BP41" s="51">
        <f>AVERAGE(BP25:BP29)</f>
        <v>-2.2743796144636397E-3</v>
      </c>
      <c r="BQ41" s="51">
        <f>AVERAGE(BQ25:BQ29)</f>
        <v>-2.5788020210669726E-3</v>
      </c>
      <c r="BR41" s="51">
        <f>AVERAGE(BR25:BR29)</f>
        <v>4.1117727276589466E-3</v>
      </c>
      <c r="BS41" s="51">
        <f>AVERAGE(BS25:BS29)</f>
        <v>-2.0692117547743694E-3</v>
      </c>
      <c r="BT41" s="51">
        <f>AVERAGE(BT25:BT29)</f>
        <v>-1.6817246392167862E-3</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5.517762733011794E-2</v>
      </c>
      <c r="AI42" s="47">
        <f>AVERAGE(AI30:AI39)</f>
        <v>2.0098335575239341E-2</v>
      </c>
      <c r="AJ42" s="47">
        <f>AVERAGE(AJ30:AJ39)</f>
        <v>1.5038954141750719E-2</v>
      </c>
      <c r="AK42" s="47">
        <f>AVERAGE(AK30:AK39)</f>
        <v>3.5079291754878603E-2</v>
      </c>
      <c r="BE42" s="51">
        <f t="shared" si="12"/>
        <v>1</v>
      </c>
      <c r="BH42" s="55">
        <f>AVERAGE(BH30:BH39)</f>
        <v>3.5278984289738302E-4</v>
      </c>
      <c r="BJ42" s="51">
        <f>AVERAGE(BJ30:BJ39)</f>
        <v>0</v>
      </c>
      <c r="BK42" s="51">
        <f>AVERAGE(BK30:BK39)</f>
        <v>0</v>
      </c>
      <c r="BL42" s="51">
        <f>AVERAGE(BL30:BL39)</f>
        <v>2.3346644341966094E-3</v>
      </c>
      <c r="BM42" s="51">
        <f>AVERAGE(BM30:BM39)</f>
        <v>6.4638792942101064E-3</v>
      </c>
      <c r="BN42" s="51">
        <f>AVERAGE(BN30:BN39)</f>
        <v>4.6557263580843111E-3</v>
      </c>
      <c r="BP42" s="51">
        <f>AVERAGE(BP30:BP39)</f>
        <v>-9.8140352066183878E-4</v>
      </c>
      <c r="BQ42" s="51">
        <f>AVERAGE(BQ30:BQ39)</f>
        <v>-1.0660690431836262E-3</v>
      </c>
      <c r="BR42" s="51">
        <f>AVERAGE(BR30:BR39)</f>
        <v>2.3269479729122189E-3</v>
      </c>
      <c r="BS42" s="51">
        <f>AVERAGE(BS30:BS39)</f>
        <v>4.9506625468687115E-3</v>
      </c>
      <c r="BT42" s="51">
        <f>AVERAGE(BT30:BT39)</f>
        <v>3.7771166064530792E-3</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5.2500202427175569E-2</v>
      </c>
      <c r="AI43" s="47">
        <f>AVERAGE(AI5:AI39)</f>
        <v>1.5485506889257174E-2</v>
      </c>
      <c r="AJ43" s="47">
        <f>AVERAGE(AJ5:AJ39)</f>
        <v>1.1139730587674238E-2</v>
      </c>
      <c r="AK43" s="47">
        <f>AVERAGE(AK5:AK39)</f>
        <v>3.7014695537918391E-2</v>
      </c>
      <c r="BE43" s="51">
        <f t="shared" si="12"/>
        <v>1</v>
      </c>
      <c r="BH43" s="55">
        <f>AVERAGE(BH5:BH39)</f>
        <v>1.508930364229531E-3</v>
      </c>
      <c r="BJ43" s="51">
        <f>AVERAGE(BJ5:BJ39)</f>
        <v>0</v>
      </c>
      <c r="BK43" s="51">
        <f>AVERAGE(BK5:BK39)</f>
        <v>0</v>
      </c>
      <c r="BL43" s="51">
        <f>AVERAGE(BL5:BL39)</f>
        <v>1.1859580558770391E-2</v>
      </c>
      <c r="BM43" s="51">
        <f>AVERAGE(BM5:BM39)</f>
        <v>-5.5842799629507124E-3</v>
      </c>
      <c r="BN43" s="51">
        <f>AVERAGE(BN5:BN39)</f>
        <v>-1.7295142862587503E-3</v>
      </c>
      <c r="BP43" s="51">
        <f>AVERAGE(BP5:BP39)</f>
        <v>-4.3997216258213944E-3</v>
      </c>
      <c r="BQ43" s="51">
        <f>AVERAGE(BQ5:BQ39)</f>
        <v>-4.716779619450019E-3</v>
      </c>
      <c r="BR43" s="51">
        <f>AVERAGE(BR5:BR39)</f>
        <v>1.1643135699834963E-2</v>
      </c>
      <c r="BS43" s="51">
        <f>AVERAGE(BS5:BS39)</f>
        <v>-4.0750116984136541E-3</v>
      </c>
      <c r="BT43" s="51">
        <f>AVERAGE(BT5:BT39)</f>
        <v>-6.6365905295419554E-4</v>
      </c>
    </row>
    <row r="44" spans="1:88" ht="16" hidden="1" outlineLevel="2" x14ac:dyDescent="0.2">
      <c r="A44" s="46" t="s">
        <v>245</v>
      </c>
      <c r="B44" s="46" t="s">
        <v>246</v>
      </c>
      <c r="AB44" s="48">
        <f>SUM(AB5:AB24,AB25:AB29,AB30:AB39)</f>
        <v>124355.45999999999</v>
      </c>
      <c r="AC44" s="48">
        <f>SUM(AC5:AC24,AC25:AC29,AC30:AC39)</f>
        <v>80200.727000000014</v>
      </c>
      <c r="AD44" s="48">
        <f>SUM(AD5:AD24,AD25:AD29,AD30:AD39)</f>
        <v>722.34299999999996</v>
      </c>
      <c r="AE44" s="48">
        <f>SUM(AE5:AE24,AE25:AE29,AE30:AE39)</f>
        <v>1141.5219999999999</v>
      </c>
      <c r="AZ44" s="48">
        <f>SUM(AZ5:AZ24,AZ25:AZ29,AZ30:AZ39)</f>
        <v>128445.36000000002</v>
      </c>
      <c r="BA44" s="48">
        <f>SUM(BA5:BA24,BA25:BA29,BA30:BA39)</f>
        <v>80646.009000000005</v>
      </c>
      <c r="BB44" s="48">
        <f>SUM(BB5:BB24,BB25:BB29,BB30:BB39)</f>
        <v>3016.1439999999998</v>
      </c>
      <c r="BC44" s="48">
        <f>SUM(BC5:BC24,BC25:BC29,BC30:BC39)</f>
        <v>1149.1109999999999</v>
      </c>
    </row>
    <row r="45" spans="1:88" ht="16" hidden="1" outlineLevel="2" x14ac:dyDescent="0.2">
      <c r="B45" s="46" t="s">
        <v>247</v>
      </c>
      <c r="AZ45" s="55">
        <f>AZ44/AB44</f>
        <v>1.032888785100389</v>
      </c>
      <c r="BA45" s="55">
        <f>BA44/AC44</f>
        <v>1.005552094309569</v>
      </c>
      <c r="BB45" s="55">
        <f>BB44/AD44</f>
        <v>4.1755011123524417</v>
      </c>
      <c r="BC45" s="55">
        <f>BC44/AE44</f>
        <v>1.0066481416915312</v>
      </c>
    </row>
    <row r="46" spans="1:88" ht="16" hidden="1" outlineLevel="2" x14ac:dyDescent="0.2">
      <c r="B46" s="46" t="s">
        <v>248</v>
      </c>
      <c r="AB46" s="48">
        <f>GEOMEAN(AB5:AB24,AB25:AB29,AB30:AB39)</f>
        <v>3363.5020165572082</v>
      </c>
      <c r="AC46" s="48">
        <f>GEOMEAN(AC5:AC24,AC25:AC29,AC30:AC39)</f>
        <v>1849.8496038693597</v>
      </c>
      <c r="AD46" s="48">
        <f>GEOMEAN(AD5:AD24,AD25:AD29,AD30:AD39)</f>
        <v>17.0968943736775</v>
      </c>
      <c r="AE46" s="48">
        <f>GEOMEAN(AE5:AE24,AE25:AE29,AE30:AE39)</f>
        <v>26.365223832612134</v>
      </c>
      <c r="AZ46" s="48">
        <f>GEOMEAN(AZ5:AZ24,AZ25:AZ29,AZ30:AZ39)</f>
        <v>3459.2412379721131</v>
      </c>
      <c r="BA46" s="48">
        <f>GEOMEAN(BA5:BA24,BA25:BA29,BA30:BA39)</f>
        <v>1847.5604338216242</v>
      </c>
      <c r="BB46" s="48">
        <f>GEOMEAN(BB5:BB24,BB25:BB29,BB30:BB39)</f>
        <v>70.822693026630716</v>
      </c>
      <c r="BC46" s="48">
        <f>GEOMEAN(BC5:BC24,BC25:BC29,BC30:BC39)</f>
        <v>26.217417918966156</v>
      </c>
    </row>
    <row r="47" spans="1:88" ht="16" outlineLevel="2" collapsed="1" x14ac:dyDescent="0.2">
      <c r="B47" s="46" t="s">
        <v>249</v>
      </c>
      <c r="AZ47" s="55">
        <f>AZ46/AB46</f>
        <v>1.0284641486592303</v>
      </c>
      <c r="BA47" s="55">
        <f>BA46/AC46</f>
        <v>0.99876251018301854</v>
      </c>
      <c r="BB47" s="55">
        <f>BB46/AD46</f>
        <v>4.1424302846293442</v>
      </c>
      <c r="BC47" s="55">
        <f>BC46/AE46</f>
        <v>0.99439390635996983</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572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582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B5" activePane="bottomRight" state="frozen"/>
      <selection pane="topRight" activeCell="C1" sqref="C1"/>
      <selection pane="bottomLeft" activeCell="A5" sqref="A5"/>
      <selection pane="bottomRight" activeCell="AV52" sqref="AV52"/>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586</v>
      </c>
      <c r="B1" s="59"/>
      <c r="C1" s="59"/>
      <c r="D1" s="59"/>
      <c r="E1" s="59"/>
      <c r="F1" s="59"/>
      <c r="G1" s="59"/>
      <c r="I1" s="58" t="s">
        <v>590</v>
      </c>
      <c r="J1" s="59"/>
      <c r="K1" s="59"/>
      <c r="L1" s="59"/>
      <c r="M1" s="59"/>
      <c r="N1" s="59"/>
      <c r="O1" s="59"/>
      <c r="P1" s="59"/>
      <c r="Q1" s="59"/>
      <c r="R1" s="59"/>
      <c r="S1" s="59"/>
      <c r="T1" s="59"/>
      <c r="U1" s="59"/>
      <c r="V1" s="59"/>
      <c r="W1" s="59"/>
      <c r="X1" s="59"/>
      <c r="Y1" s="59"/>
      <c r="Z1" s="59"/>
      <c r="AA1" s="59"/>
      <c r="AB1" s="59"/>
      <c r="AC1" s="59"/>
      <c r="AD1" s="59"/>
      <c r="AE1" s="59"/>
      <c r="AG1" s="60"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66.845706000000007</v>
      </c>
      <c r="X5" s="14">
        <v>68.619974999999997</v>
      </c>
      <c r="Y5" s="14">
        <v>31.713699999999999</v>
      </c>
      <c r="Z5" s="14">
        <v>44.621000000000002</v>
      </c>
      <c r="AA5" s="14">
        <v>44.121777999999999</v>
      </c>
      <c r="AB5" s="15">
        <v>3155.32</v>
      </c>
      <c r="AC5" s="15">
        <v>2702.61</v>
      </c>
      <c r="AD5" s="15">
        <v>10.093</v>
      </c>
      <c r="AE5" s="15">
        <v>13.109</v>
      </c>
      <c r="AG5" s="10">
        <f t="shared" ref="AG5:AG39" si="6">IF(OR(ISBLANK(AQ5),ISBLANK(G5)),"·",AQ5*G5/F5/1000000)</f>
        <v>1.0426424999999999</v>
      </c>
      <c r="AH5" s="11">
        <f t="shared" ref="AH5:AH39" si="7">IF(ISBLANK(AQ5),"·",AQ5/D5)</f>
        <v>4.6700350793894667E-3</v>
      </c>
      <c r="AI5" s="11">
        <f t="shared" ref="AI5:AI39" si="8">IF(AL5="","·",AL5/D5)</f>
        <v>4.0576386479860621E-3</v>
      </c>
      <c r="AJ5" s="11">
        <f t="shared" ref="AJ5:AJ39" si="9">IF(AR5="","·",AR5/D5)</f>
        <v>2.5510359298285567E-3</v>
      </c>
      <c r="AK5" s="11">
        <f t="shared" ref="AK5:AK39" si="10">IF(ISBLANK(AT5),"·",AT5/D5)</f>
        <v>6.1239643140340516E-4</v>
      </c>
      <c r="AL5" s="52">
        <f t="shared" ref="AL5:AL39" si="11">IF(OR(ISBLANK(AR5),ISBLANK(AS5)),"",AR5+AS5)</f>
        <v>966312</v>
      </c>
      <c r="AM5" s="11">
        <v>16</v>
      </c>
      <c r="AN5" s="12">
        <v>23582209</v>
      </c>
      <c r="AO5" s="12">
        <v>736944.03125</v>
      </c>
      <c r="AP5" s="12">
        <v>16984.9375</v>
      </c>
      <c r="AQ5" s="13">
        <v>1112152</v>
      </c>
      <c r="AR5" s="13">
        <v>607520</v>
      </c>
      <c r="AS5" s="13">
        <v>358792</v>
      </c>
      <c r="AT5" s="13">
        <v>145840</v>
      </c>
      <c r="AU5" s="14">
        <v>66.845706000000007</v>
      </c>
      <c r="AV5" s="14">
        <v>68.619974999999997</v>
      </c>
      <c r="AW5" s="14">
        <v>31.713412000000002</v>
      </c>
      <c r="AX5" s="14">
        <v>44.559722000000001</v>
      </c>
      <c r="AY5" s="14">
        <v>44.219906000000002</v>
      </c>
      <c r="AZ5" s="15">
        <v>4068.67</v>
      </c>
      <c r="BA5" s="15">
        <v>3799.66</v>
      </c>
      <c r="BB5" s="15">
        <v>51.774000000000001</v>
      </c>
      <c r="BC5" s="15">
        <v>19.658999999999999</v>
      </c>
      <c r="BE5" s="50">
        <f t="shared" ref="BE5:BE43" si="12">AI5/K5</f>
        <v>1</v>
      </c>
      <c r="BF5" s="16">
        <f t="shared" ref="BF5:BF39" si="13">(AP5/AO5) - (R5/Q5)</f>
        <v>0</v>
      </c>
      <c r="BG5" s="16">
        <f t="shared" ref="BG5:BG39" si="14">(AL5/AQ5) - (N5/S5)</f>
        <v>1.3915148199193927E-3</v>
      </c>
      <c r="BH5" s="16">
        <f t="array" ref="BH5">AVERAGE(AL5:AL9/AQ5:AQ9) - AVERAGE(N5:N9/S5:S9)</f>
        <v>2.6262977062566639E-3</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-5.6266624821759148E-3</v>
      </c>
      <c r="BM5" s="50">
        <f>IF( OR(ISBLANK(V5:V9),ISBLANK(AT5:AT9), ISBLANK(Z5:Z9),ISBLANK(AX5:AX9)), "·", bdRateExtend( V5:V9,Z5:Z9, AT5:AT9,AX5:AX9))</f>
        <v>1.5035670540811008E-2</v>
      </c>
      <c r="BN5" s="50">
        <f>IF( OR(ISBLANK(V5:V9),ISBLANK(AT5:AT9), ISBLANK(AA5:AA9),ISBLANK(AY5:AY9)), "·", bdRateExtend( V5:V9,AA5:AA9, AT5:AT9,AY5:AY9))</f>
        <v>-2.7556631782697294E-2</v>
      </c>
      <c r="BP5" s="50">
        <f>IF( OR(ISBLANK(S5:S9),ISBLANK(AQ5:AQ9), ISBLANK(W5:W9),ISBLANK(AU5:AU9)), "·", bdRateExtend( S5:S9,W5:W9, AQ5:AQ9,AU5:AU9))</f>
        <v>-3.0062694948979063E-3</v>
      </c>
      <c r="BQ5" s="50">
        <f>IF( OR(ISBLANK(S5:S9),ISBLANK(AQ5:AQ9), ISBLANK(X5:X9),ISBLANK(AV5:AV9)), "·", bdRateExtend( S5:S9,X5:X9, AQ5:AQ9,AV5:AV9))</f>
        <v>-3.466833168182526E-3</v>
      </c>
      <c r="BR5" s="50">
        <f>IF( OR(ISBLANK(S5:S9),ISBLANK(AQ5:AQ9), ISBLANK(Y5:Y9),ISBLANK(AW5:AW9)), "·", bdRateExtend( S5:S9,Y5:Y9, AQ5:AQ9,AW5:AW9))</f>
        <v>8.0709254780320094E-5</v>
      </c>
      <c r="BS5" s="50">
        <f>IF( OR(ISBLANK(S5:S9),ISBLANK(AQ5:AQ9), ISBLANK(Z5:Z9),ISBLANK(AX5:AX9)), "·", bdRateExtend( S5:S9,Z5:Z9, AQ5:AQ9,AX5:AX9))</f>
        <v>8.3101694281648708E-3</v>
      </c>
      <c r="BT5" s="50">
        <f>IF( OR(ISBLANK(S5:S9),ISBLANK(AQ5:AQ9), ISBLANK(AA5:AA9),ISBLANK(AY5:AY9)), "·", bdRateExtend( S5:S9,AA5:AA9, AQ5:AQ9,AY5:AY9))</f>
        <v>-1.6826273339191733E-2</v>
      </c>
      <c r="BV5" s="53">
        <f>AN5-P5</f>
        <v>0</v>
      </c>
      <c r="BW5" s="53">
        <f t="shared" ref="BW5:CG20" si="15">AO5-Q5</f>
        <v>0</v>
      </c>
      <c r="BX5" s="53">
        <f t="shared" si="15"/>
        <v>0</v>
      </c>
      <c r="BY5" s="53">
        <f t="shared" si="15"/>
        <v>-1784</v>
      </c>
      <c r="BZ5" s="53">
        <f t="shared" si="15"/>
        <v>0</v>
      </c>
      <c r="CA5" s="53">
        <f t="shared" si="15"/>
        <v>0</v>
      </c>
      <c r="CB5" s="53">
        <f t="shared" si="15"/>
        <v>-1784</v>
      </c>
      <c r="CC5" s="53">
        <f t="shared" si="15"/>
        <v>0</v>
      </c>
      <c r="CD5" s="53">
        <f t="shared" si="15"/>
        <v>0</v>
      </c>
      <c r="CE5" s="53">
        <f t="shared" si="15"/>
        <v>-2.8799999999762349E-4</v>
      </c>
      <c r="CF5" s="53">
        <f t="shared" si="15"/>
        <v>-6.1278000000001498E-2</v>
      </c>
      <c r="CG5" s="53">
        <f t="shared" si="15"/>
        <v>9.8128000000002658E-2</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68.552897000000002</v>
      </c>
      <c r="X6" s="23">
        <v>70.622062</v>
      </c>
      <c r="Y6" s="23">
        <v>33.784087</v>
      </c>
      <c r="Z6" s="23">
        <v>45.602719</v>
      </c>
      <c r="AA6" s="23">
        <v>45.241318999999997</v>
      </c>
      <c r="AB6" s="24">
        <v>3279.37</v>
      </c>
      <c r="AC6" s="24">
        <v>3066.82</v>
      </c>
      <c r="AD6" s="24">
        <v>11.939</v>
      </c>
      <c r="AE6" s="24">
        <v>14.454000000000001</v>
      </c>
      <c r="AG6" s="19">
        <f t="shared" si="6"/>
        <v>1.3552575</v>
      </c>
      <c r="AH6" s="20">
        <f t="shared" si="7"/>
        <v>6.0702494542526995E-3</v>
      </c>
      <c r="AI6" s="20">
        <f t="shared" si="8"/>
        <v>4.9478809863635516E-3</v>
      </c>
      <c r="AJ6" s="20">
        <f t="shared" si="9"/>
        <v>3.4412782682060462E-3</v>
      </c>
      <c r="AK6" s="20">
        <f t="shared" si="10"/>
        <v>1.1223684678891481E-3</v>
      </c>
      <c r="AL6" s="17">
        <f t="shared" si="11"/>
        <v>1178320</v>
      </c>
      <c r="AM6" s="20">
        <v>16</v>
      </c>
      <c r="AN6" s="21">
        <v>24777501</v>
      </c>
      <c r="AO6" s="21">
        <v>774296.90625</v>
      </c>
      <c r="AP6" s="21">
        <v>19924.3125</v>
      </c>
      <c r="AQ6" s="22">
        <v>1445608</v>
      </c>
      <c r="AR6" s="22">
        <v>819528</v>
      </c>
      <c r="AS6" s="22">
        <v>358792</v>
      </c>
      <c r="AT6" s="22">
        <v>267288</v>
      </c>
      <c r="AU6" s="23">
        <v>68.552897000000002</v>
      </c>
      <c r="AV6" s="23">
        <v>70.622062</v>
      </c>
      <c r="AW6" s="23">
        <v>33.789327999999998</v>
      </c>
      <c r="AX6" s="23">
        <v>45.485981000000002</v>
      </c>
      <c r="AY6" s="23">
        <v>45.138883999999997</v>
      </c>
      <c r="AZ6" s="24">
        <v>3303.9</v>
      </c>
      <c r="BA6" s="24">
        <v>2998.17</v>
      </c>
      <c r="BB6" s="24">
        <v>45.167000000000002</v>
      </c>
      <c r="BC6" s="24">
        <v>14.156000000000001</v>
      </c>
      <c r="BE6" s="49">
        <f t="shared" si="12"/>
        <v>1</v>
      </c>
      <c r="BF6" s="25">
        <f t="shared" si="13"/>
        <v>0</v>
      </c>
      <c r="BG6" s="25">
        <f t="shared" si="14"/>
        <v>2.2547687228802182E-4</v>
      </c>
      <c r="BH6" s="25"/>
      <c r="BJ6" s="49"/>
      <c r="BK6" s="49"/>
      <c r="BL6" s="49"/>
      <c r="BM6" s="49"/>
      <c r="BN6" s="49"/>
      <c r="BP6" s="49"/>
      <c r="BQ6" s="49"/>
      <c r="BR6" s="49"/>
      <c r="BS6" s="49"/>
      <c r="BT6" s="49"/>
      <c r="BV6" s="53">
        <f t="shared" ref="BV6:CG39" si="16">AN6-P6</f>
        <v>0</v>
      </c>
      <c r="BW6" s="53">
        <f t="shared" si="15"/>
        <v>0</v>
      </c>
      <c r="BX6" s="53">
        <f t="shared" si="15"/>
        <v>0</v>
      </c>
      <c r="BY6" s="53">
        <f t="shared" si="15"/>
        <v>-400</v>
      </c>
      <c r="BZ6" s="53">
        <f t="shared" si="15"/>
        <v>0</v>
      </c>
      <c r="CA6" s="53">
        <f t="shared" si="15"/>
        <v>0</v>
      </c>
      <c r="CB6" s="53">
        <f t="shared" si="15"/>
        <v>-400</v>
      </c>
      <c r="CC6" s="53">
        <f t="shared" si="15"/>
        <v>0</v>
      </c>
      <c r="CD6" s="53">
        <f t="shared" si="15"/>
        <v>0</v>
      </c>
      <c r="CE6" s="53">
        <f t="shared" si="15"/>
        <v>5.2409999999980528E-3</v>
      </c>
      <c r="CF6" s="53">
        <f t="shared" si="15"/>
        <v>-0.11673799999999801</v>
      </c>
      <c r="CG6" s="53">
        <f t="shared" si="15"/>
        <v>-0.10243499999999983</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69.837434000000002</v>
      </c>
      <c r="X7" s="14">
        <v>72.274171999999993</v>
      </c>
      <c r="Y7" s="14">
        <v>36.196365999999998</v>
      </c>
      <c r="Z7" s="14">
        <v>46.918016000000001</v>
      </c>
      <c r="AA7" s="14">
        <v>46.584558999999999</v>
      </c>
      <c r="AB7" s="15">
        <v>3387</v>
      </c>
      <c r="AC7" s="15">
        <v>3256.21</v>
      </c>
      <c r="AD7" s="15">
        <v>10.999000000000001</v>
      </c>
      <c r="AE7" s="15">
        <v>14.794</v>
      </c>
      <c r="AG7" s="10">
        <f t="shared" si="6"/>
        <v>1.8754875</v>
      </c>
      <c r="AH7" s="11">
        <f t="shared" si="7"/>
        <v>8.4003792440423761E-3</v>
      </c>
      <c r="AI7" s="11">
        <f t="shared" si="8"/>
        <v>6.1465050713281648E-3</v>
      </c>
      <c r="AJ7" s="11">
        <f t="shared" si="9"/>
        <v>4.6399023531706598E-3</v>
      </c>
      <c r="AK7" s="11">
        <f t="shared" si="10"/>
        <v>2.2538741727142109E-3</v>
      </c>
      <c r="AL7" s="52">
        <f t="shared" si="11"/>
        <v>1463768</v>
      </c>
      <c r="AM7" s="11">
        <v>16</v>
      </c>
      <c r="AN7" s="12">
        <v>24923704</v>
      </c>
      <c r="AO7" s="12">
        <v>778865.75</v>
      </c>
      <c r="AP7" s="12">
        <v>21104.875</v>
      </c>
      <c r="AQ7" s="13">
        <v>2000520</v>
      </c>
      <c r="AR7" s="13">
        <v>1104976</v>
      </c>
      <c r="AS7" s="13">
        <v>358792</v>
      </c>
      <c r="AT7" s="13">
        <v>536752</v>
      </c>
      <c r="AU7" s="14">
        <v>69.837434000000002</v>
      </c>
      <c r="AV7" s="14">
        <v>72.274171999999993</v>
      </c>
      <c r="AW7" s="14">
        <v>36.177309000000001</v>
      </c>
      <c r="AX7" s="14">
        <v>46.875453</v>
      </c>
      <c r="AY7" s="14">
        <v>46.644421999999999</v>
      </c>
      <c r="AZ7" s="15">
        <v>3707.57</v>
      </c>
      <c r="BA7" s="15">
        <v>3574.18</v>
      </c>
      <c r="BB7" s="15">
        <v>49.021999999999998</v>
      </c>
      <c r="BC7" s="15">
        <v>16.138000000000002</v>
      </c>
      <c r="BE7" s="50">
        <f t="shared" si="12"/>
        <v>1</v>
      </c>
      <c r="BF7" s="16">
        <f t="shared" si="13"/>
        <v>0</v>
      </c>
      <c r="BG7" s="16">
        <f t="shared" si="14"/>
        <v>1.7543182941968105E-3</v>
      </c>
      <c r="BH7" s="16"/>
      <c r="BJ7" s="50"/>
      <c r="BK7" s="50"/>
      <c r="BL7" s="50"/>
      <c r="BM7" s="50"/>
      <c r="BN7" s="50"/>
      <c r="BP7" s="50"/>
      <c r="BQ7" s="50"/>
      <c r="BR7" s="50"/>
      <c r="BS7" s="50"/>
      <c r="BT7" s="50"/>
      <c r="BV7" s="53">
        <f t="shared" si="16"/>
        <v>0</v>
      </c>
      <c r="BW7" s="53">
        <f t="shared" si="15"/>
        <v>0</v>
      </c>
      <c r="BX7" s="53">
        <f t="shared" si="15"/>
        <v>0</v>
      </c>
      <c r="BY7" s="53">
        <f t="shared" si="15"/>
        <v>-4808</v>
      </c>
      <c r="BZ7" s="53">
        <f t="shared" si="15"/>
        <v>0</v>
      </c>
      <c r="CA7" s="53">
        <f t="shared" si="15"/>
        <v>0</v>
      </c>
      <c r="CB7" s="53">
        <f t="shared" si="15"/>
        <v>-4808</v>
      </c>
      <c r="CC7" s="53">
        <f t="shared" si="15"/>
        <v>0</v>
      </c>
      <c r="CD7" s="53">
        <f t="shared" si="15"/>
        <v>0</v>
      </c>
      <c r="CE7" s="53">
        <f t="shared" si="15"/>
        <v>-1.9056999999996549E-2</v>
      </c>
      <c r="CF7" s="53">
        <f t="shared" si="15"/>
        <v>-4.2563000000001239E-2</v>
      </c>
      <c r="CG7" s="53">
        <f t="shared" si="15"/>
        <v>5.9863E-2</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70.899381000000005</v>
      </c>
      <c r="X8" s="23">
        <v>73.460274999999996</v>
      </c>
      <c r="Y8" s="23">
        <v>38.677993999999998</v>
      </c>
      <c r="Z8" s="23">
        <v>48.119691000000003</v>
      </c>
      <c r="AA8" s="23">
        <v>48.028525000000002</v>
      </c>
      <c r="AB8" s="24">
        <v>3242.82</v>
      </c>
      <c r="AC8" s="24">
        <v>3477.76</v>
      </c>
      <c r="AD8" s="24">
        <v>10.881</v>
      </c>
      <c r="AE8" s="24">
        <v>15.278</v>
      </c>
      <c r="AG8" s="19">
        <f t="shared" si="6"/>
        <v>3.0929700000000002</v>
      </c>
      <c r="AH8" s="20">
        <f t="shared" si="7"/>
        <v>1.3853529277292302E-2</v>
      </c>
      <c r="AI8" s="20">
        <f t="shared" si="8"/>
        <v>8.8610034825176084E-3</v>
      </c>
      <c r="AJ8" s="20">
        <f t="shared" si="9"/>
        <v>7.3544007643601035E-3</v>
      </c>
      <c r="AK8" s="20">
        <f t="shared" si="10"/>
        <v>4.9925257947746942E-3</v>
      </c>
      <c r="AL8" s="17">
        <f t="shared" si="11"/>
        <v>2110216</v>
      </c>
      <c r="AM8" s="20">
        <v>16</v>
      </c>
      <c r="AN8" s="21">
        <v>25894561</v>
      </c>
      <c r="AO8" s="21">
        <v>809205.03125</v>
      </c>
      <c r="AP8" s="21">
        <v>24362.65625</v>
      </c>
      <c r="AQ8" s="22">
        <v>3299168</v>
      </c>
      <c r="AR8" s="22">
        <v>1751424</v>
      </c>
      <c r="AS8" s="22">
        <v>358792</v>
      </c>
      <c r="AT8" s="22">
        <v>1188952</v>
      </c>
      <c r="AU8" s="23">
        <v>70.899381000000005</v>
      </c>
      <c r="AV8" s="23">
        <v>73.460274999999996</v>
      </c>
      <c r="AW8" s="23">
        <v>38.652211999999999</v>
      </c>
      <c r="AX8" s="23">
        <v>48.116709</v>
      </c>
      <c r="AY8" s="23">
        <v>48.120505999999999</v>
      </c>
      <c r="AZ8" s="24">
        <v>3439.16</v>
      </c>
      <c r="BA8" s="24">
        <v>3554.05</v>
      </c>
      <c r="BB8" s="24">
        <v>47.991</v>
      </c>
      <c r="BC8" s="24">
        <v>15.834</v>
      </c>
      <c r="BE8" s="49">
        <f t="shared" si="12"/>
        <v>1</v>
      </c>
      <c r="BF8" s="25">
        <f t="shared" si="13"/>
        <v>0</v>
      </c>
      <c r="BG8" s="25">
        <f t="shared" si="14"/>
        <v>3.7820736433256119E-3</v>
      </c>
      <c r="BH8" s="25"/>
      <c r="BJ8" s="49"/>
      <c r="BK8" s="49"/>
      <c r="BL8" s="49"/>
      <c r="BM8" s="49"/>
      <c r="BN8" s="49"/>
      <c r="BP8" s="49"/>
      <c r="BQ8" s="49"/>
      <c r="BR8" s="49"/>
      <c r="BS8" s="49"/>
      <c r="BT8" s="49"/>
      <c r="BV8" s="53">
        <f t="shared" si="16"/>
        <v>0</v>
      </c>
      <c r="BW8" s="53">
        <f t="shared" si="15"/>
        <v>0</v>
      </c>
      <c r="BX8" s="53">
        <f t="shared" si="15"/>
        <v>0</v>
      </c>
      <c r="BY8" s="53">
        <f t="shared" si="15"/>
        <v>-19624</v>
      </c>
      <c r="BZ8" s="53">
        <f t="shared" si="15"/>
        <v>0</v>
      </c>
      <c r="CA8" s="53">
        <f t="shared" si="15"/>
        <v>0</v>
      </c>
      <c r="CB8" s="53">
        <f t="shared" si="15"/>
        <v>-19624</v>
      </c>
      <c r="CC8" s="53">
        <f t="shared" si="15"/>
        <v>0</v>
      </c>
      <c r="CD8" s="53">
        <f t="shared" si="15"/>
        <v>0</v>
      </c>
      <c r="CE8" s="53">
        <f t="shared" si="15"/>
        <v>-2.5781999999999528E-2</v>
      </c>
      <c r="CF8" s="53">
        <f t="shared" si="15"/>
        <v>-2.9820000000029268E-3</v>
      </c>
      <c r="CG8" s="53">
        <f t="shared" si="15"/>
        <v>9.1980999999996982E-2</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71.932044000000005</v>
      </c>
      <c r="X9" s="32">
        <v>75.246166000000002</v>
      </c>
      <c r="Y9" s="32">
        <v>41.146813000000002</v>
      </c>
      <c r="Z9" s="32">
        <v>49.540605999999997</v>
      </c>
      <c r="AA9" s="32">
        <v>49.645291</v>
      </c>
      <c r="AB9" s="33">
        <v>3895.69</v>
      </c>
      <c r="AC9" s="33">
        <v>5064.04</v>
      </c>
      <c r="AD9" s="33">
        <v>13.759</v>
      </c>
      <c r="AE9" s="33">
        <v>23.318999999999999</v>
      </c>
      <c r="AG9" s="28">
        <f t="shared" si="6"/>
        <v>6.3083549999999997</v>
      </c>
      <c r="AH9" s="29">
        <f t="shared" si="7"/>
        <v>2.8255359956305195E-2</v>
      </c>
      <c r="AI9" s="29">
        <f t="shared" si="8"/>
        <v>1.5570053295495878E-2</v>
      </c>
      <c r="AJ9" s="29">
        <f t="shared" si="9"/>
        <v>1.2147654171253009E-2</v>
      </c>
      <c r="AK9" s="29">
        <f t="shared" si="10"/>
        <v>1.2685306660809317E-2</v>
      </c>
      <c r="AL9" s="26">
        <f t="shared" si="11"/>
        <v>3707952</v>
      </c>
      <c r="AM9" s="29">
        <v>16</v>
      </c>
      <c r="AN9" s="30">
        <v>24903158</v>
      </c>
      <c r="AO9" s="30">
        <v>778223.6875</v>
      </c>
      <c r="AP9" s="30">
        <v>10582.96875</v>
      </c>
      <c r="AQ9" s="31">
        <v>6728912</v>
      </c>
      <c r="AR9" s="31">
        <v>2892920</v>
      </c>
      <c r="AS9" s="31">
        <v>815032</v>
      </c>
      <c r="AT9" s="31">
        <v>3020960</v>
      </c>
      <c r="AU9" s="32">
        <v>71.932044000000005</v>
      </c>
      <c r="AV9" s="32">
        <v>75.246166000000002</v>
      </c>
      <c r="AW9" s="32">
        <v>41.108831000000002</v>
      </c>
      <c r="AX9" s="32">
        <v>49.542203000000001</v>
      </c>
      <c r="AY9" s="32">
        <v>49.670471999999997</v>
      </c>
      <c r="AZ9" s="33">
        <v>4785.79</v>
      </c>
      <c r="BA9" s="33">
        <v>5154.2</v>
      </c>
      <c r="BB9" s="33">
        <v>47.213999999999999</v>
      </c>
      <c r="BC9" s="33">
        <v>17.893000000000001</v>
      </c>
      <c r="BE9" s="34">
        <f t="shared" si="12"/>
        <v>1</v>
      </c>
      <c r="BF9" s="35">
        <f t="shared" si="13"/>
        <v>0</v>
      </c>
      <c r="BG9" s="35">
        <f t="shared" si="14"/>
        <v>5.9781049015539267E-3</v>
      </c>
      <c r="BH9" s="35"/>
      <c r="BJ9" s="34"/>
      <c r="BK9" s="34"/>
      <c r="BL9" s="34"/>
      <c r="BM9" s="34"/>
      <c r="BN9" s="34"/>
      <c r="BP9" s="34"/>
      <c r="BQ9" s="34"/>
      <c r="BR9" s="34"/>
      <c r="BS9" s="34"/>
      <c r="BT9" s="34"/>
      <c r="BV9" s="53">
        <f t="shared" si="16"/>
        <v>0</v>
      </c>
      <c r="BW9" s="53">
        <f t="shared" si="15"/>
        <v>0</v>
      </c>
      <c r="BX9" s="53">
        <f t="shared" si="15"/>
        <v>0</v>
      </c>
      <c r="BY9" s="53">
        <f t="shared" si="15"/>
        <v>-73800</v>
      </c>
      <c r="BZ9" s="53">
        <f t="shared" si="15"/>
        <v>0</v>
      </c>
      <c r="CA9" s="53">
        <f t="shared" si="15"/>
        <v>0</v>
      </c>
      <c r="CB9" s="53">
        <f t="shared" si="15"/>
        <v>-73800</v>
      </c>
      <c r="CC9" s="53">
        <f t="shared" si="15"/>
        <v>0</v>
      </c>
      <c r="CD9" s="53">
        <f t="shared" si="15"/>
        <v>0</v>
      </c>
      <c r="CE9" s="53">
        <f t="shared" si="15"/>
        <v>-3.7981999999999516E-2</v>
      </c>
      <c r="CF9" s="53">
        <f t="shared" si="15"/>
        <v>1.5970000000038453E-3</v>
      </c>
      <c r="CG9" s="53">
        <f t="shared" si="15"/>
        <v>2.5180999999996345E-2</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65.984049999999996</v>
      </c>
      <c r="X10" s="23">
        <v>67.859694000000005</v>
      </c>
      <c r="Y10" s="23">
        <v>31.013375</v>
      </c>
      <c r="Z10" s="23">
        <v>38.767166000000003</v>
      </c>
      <c r="AA10" s="23">
        <v>30.131440999999999</v>
      </c>
      <c r="AB10" s="24">
        <v>3834.54</v>
      </c>
      <c r="AC10" s="24">
        <v>4475.8500000000004</v>
      </c>
      <c r="AD10" s="24">
        <v>12.202</v>
      </c>
      <c r="AE10" s="24">
        <v>21.44</v>
      </c>
      <c r="AG10" s="19">
        <f t="shared" si="6"/>
        <v>1.9765725000000001</v>
      </c>
      <c r="AH10" s="20">
        <f t="shared" si="7"/>
        <v>9.6659269893575976E-3</v>
      </c>
      <c r="AI10" s="20">
        <f t="shared" si="8"/>
        <v>7.2509765004914106E-3</v>
      </c>
      <c r="AJ10" s="20">
        <f t="shared" si="9"/>
        <v>4.1104845716952226E-3</v>
      </c>
      <c r="AK10" s="20">
        <f t="shared" si="10"/>
        <v>2.4149504888661875E-3</v>
      </c>
      <c r="AL10" s="17">
        <f t="shared" si="11"/>
        <v>1581592</v>
      </c>
      <c r="AM10" s="20">
        <v>16</v>
      </c>
      <c r="AN10" s="21">
        <v>20942558</v>
      </c>
      <c r="AO10" s="21">
        <v>654454.9375</v>
      </c>
      <c r="AP10" s="21">
        <v>18943.59375</v>
      </c>
      <c r="AQ10" s="22">
        <v>2108344</v>
      </c>
      <c r="AR10" s="22">
        <v>896584</v>
      </c>
      <c r="AS10" s="22">
        <v>685008</v>
      </c>
      <c r="AT10" s="22">
        <v>526752</v>
      </c>
      <c r="AU10" s="23">
        <v>65.984049999999996</v>
      </c>
      <c r="AV10" s="23">
        <v>67.859694000000005</v>
      </c>
      <c r="AW10" s="23">
        <v>31.003003</v>
      </c>
      <c r="AX10" s="23">
        <v>38.761778</v>
      </c>
      <c r="AY10" s="23">
        <v>30.060734</v>
      </c>
      <c r="AZ10" s="24">
        <v>4008.38</v>
      </c>
      <c r="BA10" s="24">
        <v>4566.95</v>
      </c>
      <c r="BB10" s="24">
        <v>44.89</v>
      </c>
      <c r="BC10" s="24">
        <v>21.733000000000001</v>
      </c>
      <c r="BE10" s="49">
        <f t="shared" si="12"/>
        <v>1</v>
      </c>
      <c r="BF10" s="25">
        <f t="shared" si="13"/>
        <v>0</v>
      </c>
      <c r="BG10" s="25">
        <f t="shared" si="14"/>
        <v>3.8975919026629224E-4</v>
      </c>
      <c r="BH10" s="25">
        <f t="array" ref="BH10">AVERAGE(AL10:AL14/AQ10:AQ14) - AVERAGE(N10:N14/S10:S14)</f>
        <v>8.8057166070698578E-4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-8.4662108999522534E-4</v>
      </c>
      <c r="BM10" s="49">
        <f>IF( OR(ISBLANK(V10:V14),ISBLANK(AT10:AT14), ISBLANK(Z10:Z14),ISBLANK(AX10:AX14)), "·", bdRateExtend( V10:V14,Z10:Z14, AT10:AT14,AX10:AX14))</f>
        <v>-6.8899797544161867E-3</v>
      </c>
      <c r="BN10" s="49">
        <f>IF( OR(ISBLANK(V10:V14),ISBLANK(AT10:AT14), ISBLANK(AA10:AA14),ISBLANK(AY10:AY14)), "·", bdRateExtend( V10:V14,AA10:AA14, AT10:AT14,AY10:AY14))</f>
        <v>-1.6925477445023374E-3</v>
      </c>
      <c r="BP10" s="49">
        <f>IF( OR(ISBLANK(S10:S14),ISBLANK(AQ10:AQ14), ISBLANK(W10:W14),ISBLANK(AU10:AU14)), "·", bdRateExtend( S10:S14,W10:W14, AQ10:AQ14,AU10:AU14))</f>
        <v>-1.5023772042769279E-3</v>
      </c>
      <c r="BQ10" s="49">
        <f>IF( OR(ISBLANK(S10:S14),ISBLANK(AQ10:AQ14), ISBLANK(X10:X14),ISBLANK(AV10:AV14)), "·", bdRateExtend( S10:S14,X10:X14, AQ10:AQ14,AV10:AV14))</f>
        <v>-1.7836469254417509E-3</v>
      </c>
      <c r="BR10" s="49">
        <f>IF( OR(ISBLANK(S10:S14),ISBLANK(AQ10:AQ14), ISBLANK(Y10:Y14),ISBLANK(AW10:AW14)), "·", bdRateExtend( S10:S14,Y10:Y14, AQ10:AQ14,AW10:AW14))</f>
        <v>8.1832485262567367E-4</v>
      </c>
      <c r="BS10" s="49">
        <f>IF( OR(ISBLANK(S10:S14),ISBLANK(AQ10:AQ14), ISBLANK(Z10:Z14),ISBLANK(AX10:AX14)), "·", bdRateExtend( S10:S14,Z10:Z14, AQ10:AQ14,AX10:AX14))</f>
        <v>-3.1624078557120905E-3</v>
      </c>
      <c r="BT10" s="49">
        <f>IF( OR(ISBLANK(S10:S14),ISBLANK(AQ10:AQ14), ISBLANK(AA10:AA14),ISBLANK(AY10:AY14)), "·", bdRateExtend( S10:S14,AA10:AA14, AQ10:AQ14,AY10:AY14))</f>
        <v>-3.4715707669097373E-4</v>
      </c>
      <c r="BV10" s="53">
        <f t="shared" si="16"/>
        <v>0</v>
      </c>
      <c r="BW10" s="53">
        <f t="shared" si="15"/>
        <v>0</v>
      </c>
      <c r="BX10" s="53">
        <f t="shared" si="15"/>
        <v>0</v>
      </c>
      <c r="BY10" s="53">
        <f t="shared" si="15"/>
        <v>-1096</v>
      </c>
      <c r="BZ10" s="53">
        <f t="shared" si="15"/>
        <v>0</v>
      </c>
      <c r="CA10" s="53">
        <f t="shared" si="15"/>
        <v>0</v>
      </c>
      <c r="CB10" s="53">
        <f t="shared" si="15"/>
        <v>-1096</v>
      </c>
      <c r="CC10" s="53">
        <f t="shared" si="15"/>
        <v>0</v>
      </c>
      <c r="CD10" s="53">
        <f t="shared" si="15"/>
        <v>0</v>
      </c>
      <c r="CE10" s="53">
        <f t="shared" si="15"/>
        <v>-1.037200000000027E-2</v>
      </c>
      <c r="CF10" s="53">
        <f t="shared" si="15"/>
        <v>-5.3880000000035011E-3</v>
      </c>
      <c r="CG10" s="53">
        <f t="shared" si="15"/>
        <v>-7.0706999999998743E-2</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67.674730999999994</v>
      </c>
      <c r="X11" s="14">
        <v>69.753456</v>
      </c>
      <c r="Y11" s="14">
        <v>32.828747</v>
      </c>
      <c r="Z11" s="14">
        <v>39.653337999999998</v>
      </c>
      <c r="AA11" s="14">
        <v>32.228321999999999</v>
      </c>
      <c r="AB11" s="15">
        <v>3960.78</v>
      </c>
      <c r="AC11" s="15">
        <v>4870.26</v>
      </c>
      <c r="AD11" s="15">
        <v>12.545</v>
      </c>
      <c r="AE11" s="15">
        <v>22.222999999999999</v>
      </c>
      <c r="AG11" s="10">
        <f t="shared" si="6"/>
        <v>2.6997675000000001</v>
      </c>
      <c r="AH11" s="11">
        <f t="shared" si="7"/>
        <v>1.3202528894457699E-2</v>
      </c>
      <c r="AI11" s="11">
        <f t="shared" si="8"/>
        <v>8.8998576305557627E-3</v>
      </c>
      <c r="AJ11" s="11">
        <f t="shared" si="9"/>
        <v>5.7593657017595747E-3</v>
      </c>
      <c r="AK11" s="11">
        <f t="shared" si="10"/>
        <v>4.302671263901936E-3</v>
      </c>
      <c r="AL11" s="52">
        <f t="shared" si="11"/>
        <v>1941248</v>
      </c>
      <c r="AM11" s="11">
        <v>16</v>
      </c>
      <c r="AN11" s="12">
        <v>22233167</v>
      </c>
      <c r="AO11" s="12">
        <v>694786.46875</v>
      </c>
      <c r="AP11" s="12">
        <v>23204.09375</v>
      </c>
      <c r="AQ11" s="13">
        <v>2879752</v>
      </c>
      <c r="AR11" s="13">
        <v>1256240</v>
      </c>
      <c r="AS11" s="13">
        <v>685008</v>
      </c>
      <c r="AT11" s="13">
        <v>938504</v>
      </c>
      <c r="AU11" s="14">
        <v>67.674730999999994</v>
      </c>
      <c r="AV11" s="14">
        <v>69.753456</v>
      </c>
      <c r="AW11" s="14">
        <v>32.851916000000003</v>
      </c>
      <c r="AX11" s="14">
        <v>39.679741</v>
      </c>
      <c r="AY11" s="14">
        <v>32.234712999999999</v>
      </c>
      <c r="AZ11" s="15">
        <v>3415.75</v>
      </c>
      <c r="BA11" s="15">
        <v>3747.56</v>
      </c>
      <c r="BB11" s="15">
        <v>39.875</v>
      </c>
      <c r="BC11" s="15">
        <v>15.537000000000001</v>
      </c>
      <c r="BE11" s="50">
        <f t="shared" si="12"/>
        <v>1</v>
      </c>
      <c r="BF11" s="16">
        <f t="shared" si="13"/>
        <v>0</v>
      </c>
      <c r="BG11" s="16">
        <f t="shared" si="14"/>
        <v>6.5479719985805929E-4</v>
      </c>
      <c r="BH11" s="16"/>
      <c r="BJ11" s="50"/>
      <c r="BK11" s="50"/>
      <c r="BL11" s="50"/>
      <c r="BM11" s="50"/>
      <c r="BN11" s="50"/>
      <c r="BP11" s="50"/>
      <c r="BQ11" s="50"/>
      <c r="BR11" s="50"/>
      <c r="BS11" s="50"/>
      <c r="BT11" s="50"/>
      <c r="BV11" s="53">
        <f t="shared" si="16"/>
        <v>0</v>
      </c>
      <c r="BW11" s="53">
        <f t="shared" si="15"/>
        <v>0</v>
      </c>
      <c r="BX11" s="53">
        <f t="shared" si="15"/>
        <v>0</v>
      </c>
      <c r="BY11" s="53">
        <f t="shared" si="15"/>
        <v>-2800</v>
      </c>
      <c r="BZ11" s="53">
        <f t="shared" si="15"/>
        <v>0</v>
      </c>
      <c r="CA11" s="53">
        <f t="shared" si="15"/>
        <v>0</v>
      </c>
      <c r="CB11" s="53">
        <f t="shared" si="15"/>
        <v>-2800</v>
      </c>
      <c r="CC11" s="53">
        <f t="shared" si="15"/>
        <v>0</v>
      </c>
      <c r="CD11" s="53">
        <f t="shared" si="15"/>
        <v>0</v>
      </c>
      <c r="CE11" s="53">
        <f t="shared" si="15"/>
        <v>2.3169000000002882E-2</v>
      </c>
      <c r="CF11" s="53">
        <f t="shared" si="15"/>
        <v>2.6403000000001953E-2</v>
      </c>
      <c r="CG11" s="53">
        <f t="shared" si="15"/>
        <v>6.3910000000007017E-3</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69.009450000000001</v>
      </c>
      <c r="X12" s="23">
        <v>71.379971999999995</v>
      </c>
      <c r="Y12" s="23">
        <v>34.879441</v>
      </c>
      <c r="Z12" s="23">
        <v>40.634481000000001</v>
      </c>
      <c r="AA12" s="23">
        <v>34.126809000000002</v>
      </c>
      <c r="AB12" s="24">
        <v>3246.07</v>
      </c>
      <c r="AC12" s="24">
        <v>3982.28</v>
      </c>
      <c r="AD12" s="24">
        <v>9.6479999999999997</v>
      </c>
      <c r="AE12" s="24">
        <v>15.545999999999999</v>
      </c>
      <c r="AG12" s="19">
        <f t="shared" si="6"/>
        <v>3.8493075000000001</v>
      </c>
      <c r="AH12" s="20">
        <f t="shared" si="7"/>
        <v>1.8824062995203374E-2</v>
      </c>
      <c r="AI12" s="20">
        <f t="shared" si="8"/>
        <v>1.141757665216302E-2</v>
      </c>
      <c r="AJ12" s="20">
        <f t="shared" si="9"/>
        <v>8.2770847233668322E-3</v>
      </c>
      <c r="AK12" s="20">
        <f t="shared" si="10"/>
        <v>7.4064863430403534E-3</v>
      </c>
      <c r="AL12" s="17">
        <f t="shared" si="11"/>
        <v>2490416</v>
      </c>
      <c r="AM12" s="20">
        <v>16</v>
      </c>
      <c r="AN12" s="21">
        <v>22569901</v>
      </c>
      <c r="AO12" s="21">
        <v>705309.40625</v>
      </c>
      <c r="AP12" s="21">
        <v>24721.9375</v>
      </c>
      <c r="AQ12" s="22">
        <v>4105928</v>
      </c>
      <c r="AR12" s="22">
        <v>1805408</v>
      </c>
      <c r="AS12" s="22">
        <v>685008</v>
      </c>
      <c r="AT12" s="22">
        <v>1615512</v>
      </c>
      <c r="AU12" s="23">
        <v>69.009450000000001</v>
      </c>
      <c r="AV12" s="23">
        <v>71.379971999999995</v>
      </c>
      <c r="AW12" s="23">
        <v>34.848041000000002</v>
      </c>
      <c r="AX12" s="23">
        <v>40.651003000000003</v>
      </c>
      <c r="AY12" s="23">
        <v>34.131613000000002</v>
      </c>
      <c r="AZ12" s="24">
        <v>3370.84</v>
      </c>
      <c r="BA12" s="24">
        <v>3997.95</v>
      </c>
      <c r="BB12" s="24">
        <v>40.709000000000003</v>
      </c>
      <c r="BC12" s="24">
        <v>16.25</v>
      </c>
      <c r="BE12" s="49">
        <f t="shared" si="12"/>
        <v>1</v>
      </c>
      <c r="BF12" s="25">
        <f t="shared" si="13"/>
        <v>0</v>
      </c>
      <c r="BG12" s="25">
        <f t="shared" si="14"/>
        <v>6.988118848257896E-4</v>
      </c>
      <c r="BH12" s="25"/>
      <c r="BJ12" s="49"/>
      <c r="BK12" s="49"/>
      <c r="BL12" s="49"/>
      <c r="BM12" s="49"/>
      <c r="BN12" s="49"/>
      <c r="BP12" s="49"/>
      <c r="BQ12" s="49"/>
      <c r="BR12" s="49"/>
      <c r="BS12" s="49"/>
      <c r="BT12" s="49"/>
      <c r="BV12" s="53">
        <f t="shared" si="16"/>
        <v>0</v>
      </c>
      <c r="BW12" s="53">
        <f t="shared" si="15"/>
        <v>0</v>
      </c>
      <c r="BX12" s="53">
        <f t="shared" si="15"/>
        <v>0</v>
      </c>
      <c r="BY12" s="53">
        <f t="shared" si="15"/>
        <v>-4736</v>
      </c>
      <c r="BZ12" s="53">
        <f t="shared" si="15"/>
        <v>0</v>
      </c>
      <c r="CA12" s="53">
        <f t="shared" si="15"/>
        <v>0</v>
      </c>
      <c r="CB12" s="53">
        <f t="shared" si="15"/>
        <v>-4736</v>
      </c>
      <c r="CC12" s="53">
        <f t="shared" si="15"/>
        <v>0</v>
      </c>
      <c r="CD12" s="53">
        <f t="shared" si="15"/>
        <v>0</v>
      </c>
      <c r="CE12" s="53">
        <f t="shared" si="15"/>
        <v>-3.1399999999997874E-2</v>
      </c>
      <c r="CF12" s="53">
        <f t="shared" si="15"/>
        <v>1.6522000000001924E-2</v>
      </c>
      <c r="CG12" s="53">
        <f t="shared" si="15"/>
        <v>4.8040000000000305E-3</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70.060288</v>
      </c>
      <c r="X13" s="14">
        <v>72.567171999999999</v>
      </c>
      <c r="Y13" s="14">
        <v>37.06</v>
      </c>
      <c r="Z13" s="14">
        <v>41.690990999999997</v>
      </c>
      <c r="AA13" s="14">
        <v>36.083269000000001</v>
      </c>
      <c r="AB13" s="15">
        <v>3925.26</v>
      </c>
      <c r="AC13" s="15">
        <v>5525.18</v>
      </c>
      <c r="AD13" s="15">
        <v>12.226000000000001</v>
      </c>
      <c r="AE13" s="15">
        <v>22.338999999999999</v>
      </c>
      <c r="AG13" s="10">
        <f t="shared" si="6"/>
        <v>6.2049824999999998</v>
      </c>
      <c r="AH13" s="11">
        <f t="shared" si="7"/>
        <v>3.0343894704212258E-2</v>
      </c>
      <c r="AI13" s="11">
        <f t="shared" si="8"/>
        <v>1.5919990039301168E-2</v>
      </c>
      <c r="AJ13" s="11">
        <f t="shared" si="9"/>
        <v>1.2779498110504982E-2</v>
      </c>
      <c r="AK13" s="11">
        <f t="shared" si="10"/>
        <v>1.4423904664911086E-2</v>
      </c>
      <c r="AL13" s="52">
        <f t="shared" si="11"/>
        <v>3472488</v>
      </c>
      <c r="AM13" s="11">
        <v>16</v>
      </c>
      <c r="AN13" s="12">
        <v>23308443</v>
      </c>
      <c r="AO13" s="12">
        <v>728388.84375</v>
      </c>
      <c r="AP13" s="12">
        <v>27991.21875</v>
      </c>
      <c r="AQ13" s="13">
        <v>6618648</v>
      </c>
      <c r="AR13" s="13">
        <v>2787480</v>
      </c>
      <c r="AS13" s="13">
        <v>685008</v>
      </c>
      <c r="AT13" s="13">
        <v>3146160</v>
      </c>
      <c r="AU13" s="14">
        <v>70.060288</v>
      </c>
      <c r="AV13" s="14">
        <v>72.567171999999999</v>
      </c>
      <c r="AW13" s="14">
        <v>37.035387</v>
      </c>
      <c r="AX13" s="14">
        <v>41.675713000000002</v>
      </c>
      <c r="AY13" s="14">
        <v>36.066484000000003</v>
      </c>
      <c r="AZ13" s="15">
        <v>3564.26</v>
      </c>
      <c r="BA13" s="15">
        <v>4504.8999999999996</v>
      </c>
      <c r="BB13" s="15">
        <v>44.606000000000002</v>
      </c>
      <c r="BC13" s="15">
        <v>17.518999999999998</v>
      </c>
      <c r="BE13" s="50">
        <f t="shared" si="12"/>
        <v>1</v>
      </c>
      <c r="BF13" s="16">
        <f t="shared" si="13"/>
        <v>0</v>
      </c>
      <c r="BG13" s="16">
        <f t="shared" si="14"/>
        <v>1.6688314586578157E-3</v>
      </c>
      <c r="BH13" s="16"/>
      <c r="BJ13" s="50"/>
      <c r="BK13" s="50"/>
      <c r="BL13" s="50"/>
      <c r="BM13" s="50"/>
      <c r="BN13" s="50"/>
      <c r="BP13" s="50"/>
      <c r="BQ13" s="50"/>
      <c r="BR13" s="50"/>
      <c r="BS13" s="50"/>
      <c r="BT13" s="50"/>
      <c r="BV13" s="53">
        <f t="shared" si="16"/>
        <v>0</v>
      </c>
      <c r="BW13" s="53">
        <f t="shared" si="15"/>
        <v>0</v>
      </c>
      <c r="BX13" s="53">
        <f t="shared" si="15"/>
        <v>0</v>
      </c>
      <c r="BY13" s="53">
        <f t="shared" si="15"/>
        <v>-21120</v>
      </c>
      <c r="BZ13" s="53">
        <f t="shared" si="15"/>
        <v>0</v>
      </c>
      <c r="CA13" s="53">
        <f t="shared" si="15"/>
        <v>0</v>
      </c>
      <c r="CB13" s="53">
        <f t="shared" si="15"/>
        <v>-21120</v>
      </c>
      <c r="CC13" s="53">
        <f t="shared" si="15"/>
        <v>0</v>
      </c>
      <c r="CD13" s="53">
        <f t="shared" si="15"/>
        <v>0</v>
      </c>
      <c r="CE13" s="53">
        <f t="shared" si="15"/>
        <v>-2.4613000000002216E-2</v>
      </c>
      <c r="CF13" s="53">
        <f t="shared" si="15"/>
        <v>-1.5277999999995018E-2</v>
      </c>
      <c r="CG13" s="53">
        <f t="shared" si="15"/>
        <v>-1.6784999999998718E-2</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70.920671999999996</v>
      </c>
      <c r="X14" s="42">
        <v>74.632659000000004</v>
      </c>
      <c r="Y14" s="42">
        <v>39.462553</v>
      </c>
      <c r="Z14" s="42">
        <v>42.973531000000001</v>
      </c>
      <c r="AA14" s="42">
        <v>38.239547000000002</v>
      </c>
      <c r="AB14" s="43">
        <v>3272.42</v>
      </c>
      <c r="AC14" s="43">
        <v>4689.78</v>
      </c>
      <c r="AD14" s="43">
        <v>10.207000000000001</v>
      </c>
      <c r="AE14" s="43">
        <v>19.795999999999999</v>
      </c>
      <c r="AG14" s="38">
        <f t="shared" si="6"/>
        <v>12.240539999999999</v>
      </c>
      <c r="AH14" s="39">
        <f t="shared" si="7"/>
        <v>5.9859259374655492E-2</v>
      </c>
      <c r="AI14" s="39">
        <f t="shared" si="8"/>
        <v>2.6824237503654046E-2</v>
      </c>
      <c r="AJ14" s="39">
        <f t="shared" si="9"/>
        <v>2.0741492018461916E-2</v>
      </c>
      <c r="AK14" s="39">
        <f t="shared" si="10"/>
        <v>3.3035021871001449E-2</v>
      </c>
      <c r="AL14" s="36">
        <f t="shared" si="11"/>
        <v>5850936</v>
      </c>
      <c r="AM14" s="39">
        <v>16</v>
      </c>
      <c r="AN14" s="40">
        <v>22150010</v>
      </c>
      <c r="AO14" s="40">
        <v>692187.8125</v>
      </c>
      <c r="AP14" s="40">
        <v>13331.5625</v>
      </c>
      <c r="AQ14" s="41">
        <v>13056576</v>
      </c>
      <c r="AR14" s="41">
        <v>4524160</v>
      </c>
      <c r="AS14" s="41">
        <v>1326776</v>
      </c>
      <c r="AT14" s="41">
        <v>7205640</v>
      </c>
      <c r="AU14" s="42">
        <v>70.920671999999996</v>
      </c>
      <c r="AV14" s="42">
        <v>74.632659000000004</v>
      </c>
      <c r="AW14" s="42">
        <v>39.457016000000003</v>
      </c>
      <c r="AX14" s="42">
        <v>42.976953000000002</v>
      </c>
      <c r="AY14" s="42">
        <v>38.249144000000001</v>
      </c>
      <c r="AZ14" s="43">
        <v>3232.98</v>
      </c>
      <c r="BA14" s="43">
        <v>4594.49</v>
      </c>
      <c r="BB14" s="43">
        <v>38.383000000000003</v>
      </c>
      <c r="BC14" s="43">
        <v>17.977</v>
      </c>
      <c r="BE14" s="44">
        <f t="shared" si="12"/>
        <v>1</v>
      </c>
      <c r="BF14" s="45">
        <f t="shared" si="13"/>
        <v>0</v>
      </c>
      <c r="BG14" s="45">
        <f t="shared" si="14"/>
        <v>9.9065856992680557E-4</v>
      </c>
      <c r="BH14" s="45"/>
      <c r="BJ14" s="44"/>
      <c r="BK14" s="44"/>
      <c r="BL14" s="44"/>
      <c r="BM14" s="44"/>
      <c r="BN14" s="44"/>
      <c r="BP14" s="44"/>
      <c r="BQ14" s="44"/>
      <c r="BR14" s="44"/>
      <c r="BS14" s="44"/>
      <c r="BT14" s="44"/>
      <c r="BV14" s="53">
        <f t="shared" si="16"/>
        <v>0</v>
      </c>
      <c r="BW14" s="53">
        <f t="shared" si="15"/>
        <v>0</v>
      </c>
      <c r="BX14" s="53">
        <f t="shared" si="15"/>
        <v>0</v>
      </c>
      <c r="BY14" s="53">
        <f t="shared" si="15"/>
        <v>-28928</v>
      </c>
      <c r="BZ14" s="53">
        <f t="shared" si="15"/>
        <v>0</v>
      </c>
      <c r="CA14" s="53">
        <f t="shared" si="15"/>
        <v>0</v>
      </c>
      <c r="CB14" s="53">
        <f t="shared" si="15"/>
        <v>-28928</v>
      </c>
      <c r="CC14" s="53">
        <f t="shared" si="15"/>
        <v>0</v>
      </c>
      <c r="CD14" s="53">
        <f t="shared" si="15"/>
        <v>0</v>
      </c>
      <c r="CE14" s="53">
        <f t="shared" si="15"/>
        <v>-5.5369999999967945E-3</v>
      </c>
      <c r="CF14" s="53">
        <f t="shared" si="15"/>
        <v>3.4220000000004802E-3</v>
      </c>
      <c r="CG14" s="53">
        <f t="shared" si="15"/>
        <v>9.5969999999994116E-3</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66.298768999999993</v>
      </c>
      <c r="X15" s="14">
        <v>67.850190999999995</v>
      </c>
      <c r="Y15" s="14">
        <v>29.241637000000001</v>
      </c>
      <c r="Z15" s="14">
        <v>43.356130999999998</v>
      </c>
      <c r="AA15" s="14">
        <v>43.670805999999999</v>
      </c>
      <c r="AB15" s="15">
        <v>4805.3599999999997</v>
      </c>
      <c r="AC15" s="15">
        <v>2847.24</v>
      </c>
      <c r="AD15" s="15">
        <v>13.701000000000001</v>
      </c>
      <c r="AE15" s="15">
        <v>14.425000000000001</v>
      </c>
      <c r="AG15" s="10">
        <f t="shared" si="6"/>
        <v>1.6267125</v>
      </c>
      <c r="AH15" s="11">
        <f t="shared" si="7"/>
        <v>5.3788449491246008E-3</v>
      </c>
      <c r="AI15" s="11">
        <f t="shared" si="8"/>
        <v>4.5265920824305046E-3</v>
      </c>
      <c r="AJ15" s="11">
        <f t="shared" si="9"/>
        <v>2.3656551667253461E-3</v>
      </c>
      <c r="AK15" s="11">
        <f t="shared" si="10"/>
        <v>8.5225286669409633E-4</v>
      </c>
      <c r="AL15" s="52">
        <f t="shared" si="11"/>
        <v>1460232</v>
      </c>
      <c r="AM15" s="11">
        <v>16</v>
      </c>
      <c r="AN15" s="12">
        <v>32415907</v>
      </c>
      <c r="AO15" s="12">
        <v>1012997.09375</v>
      </c>
      <c r="AP15" s="12">
        <v>32038.09375</v>
      </c>
      <c r="AQ15" s="13">
        <v>1735160</v>
      </c>
      <c r="AR15" s="13">
        <v>763136</v>
      </c>
      <c r="AS15" s="13">
        <v>697096</v>
      </c>
      <c r="AT15" s="13">
        <v>274928</v>
      </c>
      <c r="AU15" s="14">
        <v>66.298768999999993</v>
      </c>
      <c r="AV15" s="14">
        <v>67.850190999999995</v>
      </c>
      <c r="AW15" s="14">
        <v>29.242113</v>
      </c>
      <c r="AX15" s="14">
        <v>43.482081000000001</v>
      </c>
      <c r="AY15" s="14">
        <v>43.710503000000003</v>
      </c>
      <c r="AZ15" s="15">
        <v>5086.22</v>
      </c>
      <c r="BA15" s="15">
        <v>2985.08</v>
      </c>
      <c r="BB15" s="15">
        <v>62.219000000000001</v>
      </c>
      <c r="BC15" s="15">
        <v>14.5</v>
      </c>
      <c r="BE15" s="50">
        <f t="shared" si="12"/>
        <v>1</v>
      </c>
      <c r="BF15" s="16">
        <f t="shared" si="13"/>
        <v>0</v>
      </c>
      <c r="BG15" s="16">
        <f t="shared" si="14"/>
        <v>6.9394900267427673E-4</v>
      </c>
      <c r="BH15" s="16">
        <f t="array" ref="BH15">AVERAGE(AL15:AL19/AQ15:AQ19) - AVERAGE(N15:N19/S15:S19)</f>
        <v>4.4296917400113989E-3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-1.6196988517385602E-2</v>
      </c>
      <c r="BM15" s="50">
        <f>IF( OR(ISBLANK(V15:V19),ISBLANK(AT15:AT19), ISBLANK(Z15:Z19),ISBLANK(AX15:AX19)), "·", bdRateExtend( V15:V19,Z15:Z19, AT15:AT19,AX15:AX19))</f>
        <v>-1.7465124903025875E-2</v>
      </c>
      <c r="BN15" s="50">
        <f>IF( OR(ISBLANK(V15:V19),ISBLANK(AT15:AT19), ISBLANK(AA15:AA19),ISBLANK(AY15:AY19)), "·", bdRateExtend( V15:V19,AA15:AA19, AT15:AT19,AY15:AY19))</f>
        <v>1.6005560123975915E-2</v>
      </c>
      <c r="BP15" s="50">
        <f>IF( OR(ISBLANK(S15:S19),ISBLANK(AQ15:AQ19), ISBLANK(W15:W19),ISBLANK(AU15:AU19)), "·", bdRateExtend( S15:S19,W15:W19, AQ15:AQ19,AU15:AU19))</f>
        <v>-5.7072347178613869E-3</v>
      </c>
      <c r="BQ15" s="50">
        <f>IF( OR(ISBLANK(S15:S19),ISBLANK(AQ15:AQ19), ISBLANK(X15:X19),ISBLANK(AV15:AV19)), "·", bdRateExtend( S15:S19,X15:X19, AQ15:AQ19,AV15:AV19))</f>
        <v>-7.3835379987359229E-3</v>
      </c>
      <c r="BR15" s="50">
        <f>IF( OR(ISBLANK(S15:S19),ISBLANK(AQ15:AQ19), ISBLANK(Y15:Y19),ISBLANK(AW15:AW19)), "·", bdRateExtend( S15:S19,Y15:Y19, AQ15:AQ19,AW15:AW19))</f>
        <v>-4.9234000959068602E-3</v>
      </c>
      <c r="BS15" s="50">
        <f>IF( OR(ISBLANK(S15:S19),ISBLANK(AQ15:AQ19), ISBLANK(Z15:Z19),ISBLANK(AX15:AX19)), "·", bdRateExtend( S15:S19,Z15:Z19, AQ15:AQ19,AX15:AX19))</f>
        <v>-6.1849739953174776E-3</v>
      </c>
      <c r="BT15" s="50">
        <f>IF( OR(ISBLANK(S15:S19),ISBLANK(AQ15:AQ19), ISBLANK(AA15:AA19),ISBLANK(AY15:AY19)), "·", bdRateExtend( S15:S19,AA15:AA19, AQ15:AQ19,AY15:AY19))</f>
        <v>8.8386957453630011E-3</v>
      </c>
      <c r="BV15" s="53">
        <f t="shared" si="16"/>
        <v>0</v>
      </c>
      <c r="BW15" s="53">
        <f t="shared" si="15"/>
        <v>0</v>
      </c>
      <c r="BX15" s="53">
        <f t="shared" si="15"/>
        <v>0</v>
      </c>
      <c r="BY15" s="53">
        <f t="shared" si="15"/>
        <v>-1432</v>
      </c>
      <c r="BZ15" s="53">
        <f t="shared" si="15"/>
        <v>0</v>
      </c>
      <c r="CA15" s="53">
        <f t="shared" si="15"/>
        <v>0</v>
      </c>
      <c r="CB15" s="53">
        <f t="shared" si="15"/>
        <v>-1432</v>
      </c>
      <c r="CC15" s="53">
        <f t="shared" si="15"/>
        <v>0</v>
      </c>
      <c r="CD15" s="53">
        <f t="shared" si="15"/>
        <v>0</v>
      </c>
      <c r="CE15" s="53">
        <f t="shared" si="15"/>
        <v>4.7599999999903275E-4</v>
      </c>
      <c r="CF15" s="53">
        <f t="shared" si="15"/>
        <v>0.12595000000000312</v>
      </c>
      <c r="CG15" s="53">
        <f t="shared" si="15"/>
        <v>3.9697000000003868E-2</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68.029634000000001</v>
      </c>
      <c r="X16" s="23">
        <v>70.006816000000001</v>
      </c>
      <c r="Y16" s="23">
        <v>31.530702999999999</v>
      </c>
      <c r="Z16" s="23">
        <v>44.119391</v>
      </c>
      <c r="AA16" s="23">
        <v>44.541440999999999</v>
      </c>
      <c r="AB16" s="24">
        <v>4580.8599999999997</v>
      </c>
      <c r="AC16" s="24">
        <v>2856.82</v>
      </c>
      <c r="AD16" s="24">
        <v>13.321999999999999</v>
      </c>
      <c r="AE16" s="24">
        <v>13.099</v>
      </c>
      <c r="AG16" s="19">
        <f t="shared" si="6"/>
        <v>2.1293625</v>
      </c>
      <c r="AH16" s="20">
        <f t="shared" si="7"/>
        <v>7.040894274790618E-3</v>
      </c>
      <c r="AI16" s="20">
        <f t="shared" si="8"/>
        <v>5.4569131567819657E-3</v>
      </c>
      <c r="AJ16" s="20">
        <f t="shared" si="9"/>
        <v>3.2959762410768078E-3</v>
      </c>
      <c r="AK16" s="20">
        <f t="shared" si="10"/>
        <v>1.5839811180086516E-3</v>
      </c>
      <c r="AL16" s="17">
        <f t="shared" si="11"/>
        <v>1760344</v>
      </c>
      <c r="AM16" s="20">
        <v>16</v>
      </c>
      <c r="AN16" s="21">
        <v>33874164</v>
      </c>
      <c r="AO16" s="21">
        <v>1058567.625</v>
      </c>
      <c r="AP16" s="21">
        <v>36864.21875</v>
      </c>
      <c r="AQ16" s="22">
        <v>2271320</v>
      </c>
      <c r="AR16" s="22">
        <v>1063248</v>
      </c>
      <c r="AS16" s="22">
        <v>697096</v>
      </c>
      <c r="AT16" s="22">
        <v>510976</v>
      </c>
      <c r="AU16" s="23">
        <v>68.029634000000001</v>
      </c>
      <c r="AV16" s="23">
        <v>70.006816000000001</v>
      </c>
      <c r="AW16" s="23">
        <v>31.556605999999999</v>
      </c>
      <c r="AX16" s="23">
        <v>44.064906000000001</v>
      </c>
      <c r="AY16" s="23">
        <v>44.417740999999999</v>
      </c>
      <c r="AZ16" s="24">
        <v>5741.06</v>
      </c>
      <c r="BA16" s="24">
        <v>3892.72</v>
      </c>
      <c r="BB16" s="24">
        <v>69.850999999999999</v>
      </c>
      <c r="BC16" s="24">
        <v>19.443000000000001</v>
      </c>
      <c r="BE16" s="49">
        <f t="shared" si="12"/>
        <v>1</v>
      </c>
      <c r="BF16" s="25">
        <f t="shared" si="13"/>
        <v>0</v>
      </c>
      <c r="BG16" s="25">
        <f t="shared" si="14"/>
        <v>1.4794520591095983E-3</v>
      </c>
      <c r="BH16" s="25"/>
      <c r="BJ16" s="49"/>
      <c r="BK16" s="49"/>
      <c r="BL16" s="49"/>
      <c r="BM16" s="49"/>
      <c r="BN16" s="49"/>
      <c r="BP16" s="49"/>
      <c r="BQ16" s="49"/>
      <c r="BR16" s="49"/>
      <c r="BS16" s="49"/>
      <c r="BT16" s="49"/>
      <c r="BV16" s="53">
        <f t="shared" si="16"/>
        <v>0</v>
      </c>
      <c r="BW16" s="53">
        <f t="shared" si="15"/>
        <v>0</v>
      </c>
      <c r="BX16" s="53">
        <f t="shared" si="15"/>
        <v>0</v>
      </c>
      <c r="BY16" s="53">
        <f t="shared" si="15"/>
        <v>-4344</v>
      </c>
      <c r="BZ16" s="53">
        <f t="shared" si="15"/>
        <v>0</v>
      </c>
      <c r="CA16" s="53">
        <f t="shared" si="15"/>
        <v>0</v>
      </c>
      <c r="CB16" s="53">
        <f t="shared" si="15"/>
        <v>-4344</v>
      </c>
      <c r="CC16" s="53">
        <f t="shared" si="15"/>
        <v>0</v>
      </c>
      <c r="CD16" s="53">
        <f t="shared" si="15"/>
        <v>0</v>
      </c>
      <c r="CE16" s="53">
        <f t="shared" si="15"/>
        <v>2.5902999999999565E-2</v>
      </c>
      <c r="CF16" s="53">
        <f t="shared" si="15"/>
        <v>-5.4484999999999673E-2</v>
      </c>
      <c r="CG16" s="53">
        <f t="shared" si="15"/>
        <v>-0.12369999999999948</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69.351502999999994</v>
      </c>
      <c r="X17" s="14">
        <v>71.840316000000001</v>
      </c>
      <c r="Y17" s="14">
        <v>33.946488000000002</v>
      </c>
      <c r="Z17" s="14">
        <v>45.134740999999998</v>
      </c>
      <c r="AA17" s="14">
        <v>45.742221999999998</v>
      </c>
      <c r="AB17" s="15">
        <v>5638.11</v>
      </c>
      <c r="AC17" s="15">
        <v>4163.45</v>
      </c>
      <c r="AD17" s="15">
        <v>16.890999999999998</v>
      </c>
      <c r="AE17" s="15">
        <v>20.012</v>
      </c>
      <c r="AG17" s="10">
        <f t="shared" si="6"/>
        <v>2.9996174999999998</v>
      </c>
      <c r="AH17" s="11">
        <f t="shared" si="7"/>
        <v>9.9184566659325252E-3</v>
      </c>
      <c r="AI17" s="11">
        <f t="shared" si="8"/>
        <v>6.6616633245058562E-3</v>
      </c>
      <c r="AJ17" s="11">
        <f t="shared" si="9"/>
        <v>4.5007264088006973E-3</v>
      </c>
      <c r="AK17" s="11">
        <f t="shared" si="10"/>
        <v>3.2567933414266686E-3</v>
      </c>
      <c r="AL17" s="52">
        <f t="shared" si="11"/>
        <v>2148984</v>
      </c>
      <c r="AM17" s="11">
        <v>16</v>
      </c>
      <c r="AN17" s="12">
        <v>33778649</v>
      </c>
      <c r="AO17" s="12">
        <v>1055582.78125</v>
      </c>
      <c r="AP17" s="12">
        <v>37421.1875</v>
      </c>
      <c r="AQ17" s="13">
        <v>3199592</v>
      </c>
      <c r="AR17" s="13">
        <v>1451888</v>
      </c>
      <c r="AS17" s="13">
        <v>697096</v>
      </c>
      <c r="AT17" s="13">
        <v>1050608</v>
      </c>
      <c r="AU17" s="14">
        <v>69.351502999999994</v>
      </c>
      <c r="AV17" s="14">
        <v>71.840316000000001</v>
      </c>
      <c r="AW17" s="14">
        <v>33.934677999999998</v>
      </c>
      <c r="AX17" s="14">
        <v>45.155256000000001</v>
      </c>
      <c r="AY17" s="14">
        <v>45.533925000000004</v>
      </c>
      <c r="AZ17" s="15">
        <v>4736.1000000000004</v>
      </c>
      <c r="BA17" s="15">
        <v>3130.55</v>
      </c>
      <c r="BB17" s="15">
        <v>61.116999999999997</v>
      </c>
      <c r="BC17" s="15">
        <v>14.241</v>
      </c>
      <c r="BE17" s="50">
        <f t="shared" si="12"/>
        <v>1</v>
      </c>
      <c r="BF17" s="16">
        <f t="shared" si="13"/>
        <v>0</v>
      </c>
      <c r="BG17" s="16">
        <f t="shared" si="14"/>
        <v>3.7955279540097253E-3</v>
      </c>
      <c r="BH17" s="16"/>
      <c r="BJ17" s="50"/>
      <c r="BK17" s="50"/>
      <c r="BL17" s="50"/>
      <c r="BM17" s="50"/>
      <c r="BN17" s="50"/>
      <c r="BP17" s="50"/>
      <c r="BQ17" s="50"/>
      <c r="BR17" s="50"/>
      <c r="BS17" s="50"/>
      <c r="BT17" s="50"/>
      <c r="BV17" s="53">
        <f t="shared" si="16"/>
        <v>0</v>
      </c>
      <c r="BW17" s="53">
        <f t="shared" si="15"/>
        <v>0</v>
      </c>
      <c r="BX17" s="53">
        <f t="shared" si="15"/>
        <v>0</v>
      </c>
      <c r="BY17" s="53">
        <f t="shared" si="15"/>
        <v>-18184</v>
      </c>
      <c r="BZ17" s="53">
        <f t="shared" si="15"/>
        <v>0</v>
      </c>
      <c r="CA17" s="53">
        <f t="shared" si="15"/>
        <v>0</v>
      </c>
      <c r="CB17" s="53">
        <f t="shared" si="15"/>
        <v>-18184</v>
      </c>
      <c r="CC17" s="53">
        <f t="shared" si="15"/>
        <v>0</v>
      </c>
      <c r="CD17" s="53">
        <f t="shared" si="15"/>
        <v>0</v>
      </c>
      <c r="CE17" s="53">
        <f t="shared" si="15"/>
        <v>-1.1810000000004095E-2</v>
      </c>
      <c r="CF17" s="53">
        <f t="shared" si="15"/>
        <v>2.051500000000317E-2</v>
      </c>
      <c r="CG17" s="53">
        <f t="shared" si="15"/>
        <v>-0.20829699999999463</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70.529849999999996</v>
      </c>
      <c r="X18" s="23">
        <v>73.133384000000007</v>
      </c>
      <c r="Y18" s="23">
        <v>36.289247000000003</v>
      </c>
      <c r="Z18" s="23">
        <v>46.428246999999999</v>
      </c>
      <c r="AA18" s="23">
        <v>46.981940999999999</v>
      </c>
      <c r="AB18" s="24">
        <v>5679.62</v>
      </c>
      <c r="AC18" s="24">
        <v>4620.1499999999996</v>
      </c>
      <c r="AD18" s="24">
        <v>19.501999999999999</v>
      </c>
      <c r="AE18" s="24">
        <v>21.597000000000001</v>
      </c>
      <c r="AG18" s="19">
        <f t="shared" si="6"/>
        <v>5.2765500000000003</v>
      </c>
      <c r="AH18" s="20">
        <f t="shared" si="7"/>
        <v>1.7447302037885252E-2</v>
      </c>
      <c r="AI18" s="20">
        <f t="shared" si="8"/>
        <v>9.9237637168977967E-3</v>
      </c>
      <c r="AJ18" s="20">
        <f t="shared" si="9"/>
        <v>7.7628268011926379E-3</v>
      </c>
      <c r="AK18" s="20">
        <f t="shared" si="10"/>
        <v>7.5235383209874551E-3</v>
      </c>
      <c r="AL18" s="17">
        <f t="shared" si="11"/>
        <v>3201304</v>
      </c>
      <c r="AM18" s="20">
        <v>16</v>
      </c>
      <c r="AN18" s="21">
        <v>34914325</v>
      </c>
      <c r="AO18" s="21">
        <v>1091072.65625</v>
      </c>
      <c r="AP18" s="21">
        <v>41603.21875</v>
      </c>
      <c r="AQ18" s="22">
        <v>5628320</v>
      </c>
      <c r="AR18" s="22">
        <v>2504208</v>
      </c>
      <c r="AS18" s="22">
        <v>697096</v>
      </c>
      <c r="AT18" s="22">
        <v>2427016</v>
      </c>
      <c r="AU18" s="23">
        <v>70.529849999999996</v>
      </c>
      <c r="AV18" s="23">
        <v>73.133384000000007</v>
      </c>
      <c r="AW18" s="23">
        <v>36.259728000000003</v>
      </c>
      <c r="AX18" s="23">
        <v>46.408219000000003</v>
      </c>
      <c r="AY18" s="23">
        <v>47.001905999999998</v>
      </c>
      <c r="AZ18" s="24">
        <v>4713.9399999999996</v>
      </c>
      <c r="BA18" s="24">
        <v>3540.7</v>
      </c>
      <c r="BB18" s="24">
        <v>61.633000000000003</v>
      </c>
      <c r="BC18" s="24">
        <v>15.393000000000001</v>
      </c>
      <c r="BE18" s="49">
        <f t="shared" si="12"/>
        <v>1</v>
      </c>
      <c r="BF18" s="25">
        <f t="shared" si="13"/>
        <v>0</v>
      </c>
      <c r="BG18" s="25">
        <f t="shared" si="14"/>
        <v>7.7275586629145243E-3</v>
      </c>
      <c r="BH18" s="25"/>
      <c r="BJ18" s="49"/>
      <c r="BK18" s="49"/>
      <c r="BL18" s="49"/>
      <c r="BM18" s="49"/>
      <c r="BN18" s="49"/>
      <c r="BP18" s="49"/>
      <c r="BQ18" s="49"/>
      <c r="BR18" s="49"/>
      <c r="BS18" s="49"/>
      <c r="BT18" s="49"/>
      <c r="BV18" s="53">
        <f t="shared" si="16"/>
        <v>0</v>
      </c>
      <c r="BW18" s="53">
        <f t="shared" si="15"/>
        <v>0</v>
      </c>
      <c r="BX18" s="53">
        <f t="shared" si="15"/>
        <v>0</v>
      </c>
      <c r="BY18" s="53">
        <f t="shared" si="15"/>
        <v>-77520</v>
      </c>
      <c r="BZ18" s="53">
        <f t="shared" si="15"/>
        <v>0</v>
      </c>
      <c r="CA18" s="53">
        <f t="shared" si="15"/>
        <v>0</v>
      </c>
      <c r="CB18" s="53">
        <f t="shared" si="15"/>
        <v>-77520</v>
      </c>
      <c r="CC18" s="53">
        <f t="shared" si="15"/>
        <v>0</v>
      </c>
      <c r="CD18" s="53">
        <f t="shared" si="15"/>
        <v>0</v>
      </c>
      <c r="CE18" s="53">
        <f t="shared" si="15"/>
        <v>-2.9519000000000517E-2</v>
      </c>
      <c r="CF18" s="53">
        <f t="shared" si="15"/>
        <v>-2.0027999999996382E-2</v>
      </c>
      <c r="CG18" s="53">
        <f t="shared" si="15"/>
        <v>1.9964999999999122E-2</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71.185569000000001</v>
      </c>
      <c r="X19" s="32">
        <v>75.071019000000007</v>
      </c>
      <c r="Y19" s="32">
        <v>38.695608999999997</v>
      </c>
      <c r="Z19" s="32">
        <v>48.186309000000001</v>
      </c>
      <c r="AA19" s="32">
        <v>48.786537000000003</v>
      </c>
      <c r="AB19" s="33">
        <v>4711.4399999999996</v>
      </c>
      <c r="AC19" s="33">
        <v>4057.35</v>
      </c>
      <c r="AD19" s="33">
        <v>12.885999999999999</v>
      </c>
      <c r="AE19" s="33">
        <v>16.975999999999999</v>
      </c>
      <c r="AG19" s="28">
        <f t="shared" si="6"/>
        <v>11.4147675</v>
      </c>
      <c r="AH19" s="29">
        <f t="shared" si="7"/>
        <v>3.7743771264317848E-2</v>
      </c>
      <c r="AI19" s="29">
        <f t="shared" si="8"/>
        <v>1.7450451549439409E-2</v>
      </c>
      <c r="AJ19" s="29">
        <f t="shared" si="9"/>
        <v>1.2811841012755943E-2</v>
      </c>
      <c r="AK19" s="29">
        <f t="shared" si="10"/>
        <v>2.0293319714878438E-2</v>
      </c>
      <c r="AL19" s="26">
        <f t="shared" si="11"/>
        <v>5629336</v>
      </c>
      <c r="AM19" s="29">
        <v>16</v>
      </c>
      <c r="AN19" s="30">
        <v>33019287</v>
      </c>
      <c r="AO19" s="30">
        <v>1031852.71875</v>
      </c>
      <c r="AP19" s="30">
        <v>17790.15625</v>
      </c>
      <c r="AQ19" s="31">
        <v>12175752</v>
      </c>
      <c r="AR19" s="31">
        <v>4132968</v>
      </c>
      <c r="AS19" s="31">
        <v>1496368</v>
      </c>
      <c r="AT19" s="31">
        <v>6546416</v>
      </c>
      <c r="AU19" s="32">
        <v>71.185569000000001</v>
      </c>
      <c r="AV19" s="32">
        <v>75.071019000000007</v>
      </c>
      <c r="AW19" s="32">
        <v>38.6736</v>
      </c>
      <c r="AX19" s="32">
        <v>48.189158999999997</v>
      </c>
      <c r="AY19" s="32">
        <v>48.810709000000003</v>
      </c>
      <c r="AZ19" s="33">
        <v>4922.47</v>
      </c>
      <c r="BA19" s="33">
        <v>3964.31</v>
      </c>
      <c r="BB19" s="33">
        <v>56.48</v>
      </c>
      <c r="BC19" s="33">
        <v>16.995999999999999</v>
      </c>
      <c r="BE19" s="34">
        <f t="shared" si="12"/>
        <v>1</v>
      </c>
      <c r="BF19" s="35">
        <f t="shared" si="13"/>
        <v>0</v>
      </c>
      <c r="BG19" s="35">
        <f t="shared" si="14"/>
        <v>8.4519710213487032E-3</v>
      </c>
      <c r="BH19" s="35"/>
      <c r="BJ19" s="34"/>
      <c r="BK19" s="34"/>
      <c r="BL19" s="34"/>
      <c r="BM19" s="34"/>
      <c r="BN19" s="34"/>
      <c r="BP19" s="34"/>
      <c r="BQ19" s="34"/>
      <c r="BR19" s="34"/>
      <c r="BS19" s="34"/>
      <c r="BT19" s="34"/>
      <c r="BV19" s="53">
        <f t="shared" si="16"/>
        <v>0</v>
      </c>
      <c r="BW19" s="53">
        <f t="shared" si="15"/>
        <v>0</v>
      </c>
      <c r="BX19" s="53">
        <f t="shared" si="15"/>
        <v>0</v>
      </c>
      <c r="BY19" s="53">
        <f t="shared" si="15"/>
        <v>-226728</v>
      </c>
      <c r="BZ19" s="53">
        <f t="shared" si="15"/>
        <v>0</v>
      </c>
      <c r="CA19" s="53">
        <f t="shared" si="15"/>
        <v>0</v>
      </c>
      <c r="CB19" s="53">
        <f t="shared" si="15"/>
        <v>-226728</v>
      </c>
      <c r="CC19" s="53">
        <f t="shared" si="15"/>
        <v>0</v>
      </c>
      <c r="CD19" s="53">
        <f t="shared" si="15"/>
        <v>0</v>
      </c>
      <c r="CE19" s="53">
        <f t="shared" si="15"/>
        <v>-2.2008999999997059E-2</v>
      </c>
      <c r="CF19" s="53">
        <f t="shared" si="15"/>
        <v>2.8499999999951342E-3</v>
      </c>
      <c r="CG19" s="53">
        <f t="shared" si="15"/>
        <v>2.4172000000000082E-2</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67.248238000000001</v>
      </c>
      <c r="X20" s="23">
        <v>68.985433999999998</v>
      </c>
      <c r="Y20" s="23">
        <v>30.072700000000001</v>
      </c>
      <c r="Z20" s="23">
        <v>39.540097000000003</v>
      </c>
      <c r="AA20" s="23">
        <v>38.074331000000001</v>
      </c>
      <c r="AB20" s="24">
        <v>4725.93</v>
      </c>
      <c r="AC20" s="24">
        <v>3154.62</v>
      </c>
      <c r="AD20" s="24">
        <v>12.993</v>
      </c>
      <c r="AE20" s="24">
        <v>16.734000000000002</v>
      </c>
      <c r="AG20" s="19">
        <f t="shared" si="6"/>
        <v>1.9836125</v>
      </c>
      <c r="AH20" s="20">
        <f t="shared" si="7"/>
        <v>5.0658314233094784E-3</v>
      </c>
      <c r="AI20" s="20">
        <f t="shared" si="8"/>
        <v>3.9497708747502037E-3</v>
      </c>
      <c r="AJ20" s="20">
        <f t="shared" si="9"/>
        <v>2.2980102013268476E-3</v>
      </c>
      <c r="AK20" s="20">
        <f t="shared" si="10"/>
        <v>1.1160605485592743E-3</v>
      </c>
      <c r="AL20" s="17">
        <f t="shared" si="11"/>
        <v>989824</v>
      </c>
      <c r="AM20" s="20">
        <v>16</v>
      </c>
      <c r="AN20" s="21">
        <v>30379563</v>
      </c>
      <c r="AO20" s="21">
        <v>949361.34375</v>
      </c>
      <c r="AP20" s="21">
        <v>28806.71875</v>
      </c>
      <c r="AQ20" s="22">
        <v>1269512</v>
      </c>
      <c r="AR20" s="22">
        <v>575888</v>
      </c>
      <c r="AS20" s="22">
        <v>413936</v>
      </c>
      <c r="AT20" s="22">
        <v>279688</v>
      </c>
      <c r="AU20" s="23">
        <v>67.248238000000001</v>
      </c>
      <c r="AV20" s="23">
        <v>68.985433999999998</v>
      </c>
      <c r="AW20" s="23">
        <v>30.053259000000001</v>
      </c>
      <c r="AX20" s="23">
        <v>39.527693999999997</v>
      </c>
      <c r="AY20" s="23">
        <v>38.060431000000001</v>
      </c>
      <c r="AZ20" s="24">
        <v>4471.75</v>
      </c>
      <c r="BA20" s="24">
        <v>3061.51</v>
      </c>
      <c r="BB20" s="24">
        <v>56.935000000000002</v>
      </c>
      <c r="BC20" s="24">
        <v>15.903</v>
      </c>
      <c r="BE20" s="49">
        <f t="shared" si="12"/>
        <v>1</v>
      </c>
      <c r="BF20" s="25">
        <f t="shared" si="13"/>
        <v>0</v>
      </c>
      <c r="BG20" s="25">
        <f t="shared" si="14"/>
        <v>2.4977617469708058E-3</v>
      </c>
      <c r="BH20" s="25">
        <f t="array" ref="BH20">AVERAGE(AL20:AL24/AQ20:AQ24) - AVERAGE(N20:N24/S20:S24)</f>
        <v>1.314017162663883E-2</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3.6045313138068913E-3</v>
      </c>
      <c r="BM20" s="49">
        <f>IF( OR(ISBLANK(V20:V24),ISBLANK(AT20:AT24), ISBLANK(Z20:Z24),ISBLANK(AX20:AX24)), "·", bdRateExtend( V20:V24,Z20:Z24, AT20:AT24,AX20:AX24))</f>
        <v>-7.9199763503596809E-2</v>
      </c>
      <c r="BN20" s="49">
        <f>IF( OR(ISBLANK(V20:V24),ISBLANK(AT20:AT24), ISBLANK(AA20:AA24),ISBLANK(AY20:AY24)), "·", bdRateExtend( V20:V24,AA20:AA24, AT20:AT24,AY20:AY24))</f>
        <v>-5.5848004043494437E-2</v>
      </c>
      <c r="BP20" s="49">
        <f>IF( OR(ISBLANK(S20:S24),ISBLANK(AQ20:AQ24), ISBLANK(W20:W24),ISBLANK(AU20:AU24)), "·", bdRateExtend( S20:S24,W20:W24, AQ20:AQ24,AU20:AU24))</f>
        <v>-2.4011822884891454E-2</v>
      </c>
      <c r="BQ20" s="49">
        <f>IF( OR(ISBLANK(S20:S24),ISBLANK(AQ20:AQ24), ISBLANK(X20:X24),ISBLANK(AV20:AV24)), "·", bdRateExtend( S20:S24,X20:X24, AQ20:AQ24,AV20:AV24))</f>
        <v>-2.8312454099122641E-2</v>
      </c>
      <c r="BR20" s="49">
        <f>IF( OR(ISBLANK(S20:S24),ISBLANK(AQ20:AQ24), ISBLANK(Y20:Y24),ISBLANK(AW20:AW24)), "·", bdRateExtend( S20:S24,Y20:Y24, AQ20:AQ24,AW20:AW24))</f>
        <v>2.2020961187092736E-2</v>
      </c>
      <c r="BS20" s="49">
        <f>IF( OR(ISBLANK(S20:S24),ISBLANK(AQ20:AQ24), ISBLANK(Z20:Z24),ISBLANK(AX20:AX24)), "·", bdRateExtend( S20:S24,Z20:Z24, AQ20:AQ24,AX20:AX24))</f>
        <v>-4.4747855283523541E-2</v>
      </c>
      <c r="BT20" s="49">
        <f>IF( OR(ISBLANK(S20:S24),ISBLANK(AQ20:AQ24), ISBLANK(AA20:AA24),ISBLANK(AY20:AY24)), "·", bdRateExtend( S20:S24,AA20:AA24, AQ20:AQ24,AY20:AY24))</f>
        <v>-2.7928929376304756E-2</v>
      </c>
      <c r="BV20" s="53">
        <f t="shared" si="16"/>
        <v>0</v>
      </c>
      <c r="BW20" s="53">
        <f t="shared" si="15"/>
        <v>0</v>
      </c>
      <c r="BX20" s="53">
        <f t="shared" si="15"/>
        <v>0</v>
      </c>
      <c r="BY20" s="53">
        <f t="shared" si="15"/>
        <v>-4080</v>
      </c>
      <c r="BZ20" s="53">
        <f t="shared" si="15"/>
        <v>0</v>
      </c>
      <c r="CA20" s="53">
        <f t="shared" si="15"/>
        <v>0</v>
      </c>
      <c r="CB20" s="53">
        <f t="shared" si="15"/>
        <v>-4080</v>
      </c>
      <c r="CC20" s="53">
        <f t="shared" si="15"/>
        <v>0</v>
      </c>
      <c r="CD20" s="53">
        <f t="shared" si="15"/>
        <v>0</v>
      </c>
      <c r="CE20" s="53">
        <f t="shared" si="15"/>
        <v>-1.9441000000000486E-2</v>
      </c>
      <c r="CF20" s="53">
        <f t="shared" si="15"/>
        <v>-1.2403000000006159E-2</v>
      </c>
      <c r="CG20" s="53">
        <f t="shared" si="15"/>
        <v>-1.3899999999999579E-2</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68.873231000000004</v>
      </c>
      <c r="X21" s="14">
        <v>70.998266000000001</v>
      </c>
      <c r="Y21" s="14">
        <v>31.541346999999998</v>
      </c>
      <c r="Z21" s="14">
        <v>40.515546999999998</v>
      </c>
      <c r="AA21" s="14">
        <v>39.215978</v>
      </c>
      <c r="AB21" s="15">
        <v>4723.09</v>
      </c>
      <c r="AC21" s="15">
        <v>3207.84</v>
      </c>
      <c r="AD21" s="15">
        <v>12.606</v>
      </c>
      <c r="AE21" s="15">
        <v>15.537000000000001</v>
      </c>
      <c r="AG21" s="10">
        <f t="shared" si="6"/>
        <v>2.6581250000000001</v>
      </c>
      <c r="AH21" s="11">
        <f t="shared" si="7"/>
        <v>6.7884292683598772E-3</v>
      </c>
      <c r="AI21" s="11">
        <f t="shared" si="8"/>
        <v>4.6939921375448142E-3</v>
      </c>
      <c r="AJ21" s="11">
        <f t="shared" si="9"/>
        <v>3.0422314641214573E-3</v>
      </c>
      <c r="AK21" s="11">
        <f t="shared" si="10"/>
        <v>2.094437130815063E-3</v>
      </c>
      <c r="AL21" s="52">
        <f t="shared" si="11"/>
        <v>1176328</v>
      </c>
      <c r="AM21" s="11">
        <v>16</v>
      </c>
      <c r="AN21" s="12">
        <v>31696812</v>
      </c>
      <c r="AO21" s="12">
        <v>990525.375</v>
      </c>
      <c r="AP21" s="12">
        <v>33593.15625</v>
      </c>
      <c r="AQ21" s="13">
        <v>1701200</v>
      </c>
      <c r="AR21" s="13">
        <v>762392</v>
      </c>
      <c r="AS21" s="13">
        <v>413936</v>
      </c>
      <c r="AT21" s="13">
        <v>524872</v>
      </c>
      <c r="AU21" s="14">
        <v>68.873231000000004</v>
      </c>
      <c r="AV21" s="14">
        <v>70.998266000000001</v>
      </c>
      <c r="AW21" s="14">
        <v>31.538506000000002</v>
      </c>
      <c r="AX21" s="14">
        <v>40.524084000000002</v>
      </c>
      <c r="AY21" s="14">
        <v>39.229709</v>
      </c>
      <c r="AZ21" s="15">
        <v>4516.92</v>
      </c>
      <c r="BA21" s="15">
        <v>3723.91</v>
      </c>
      <c r="BB21" s="15">
        <v>58.768999999999998</v>
      </c>
      <c r="BC21" s="15">
        <v>16.044</v>
      </c>
      <c r="BE21" s="50">
        <f t="shared" si="12"/>
        <v>1</v>
      </c>
      <c r="BF21" s="16">
        <f t="shared" si="13"/>
        <v>0</v>
      </c>
      <c r="BG21" s="16">
        <f t="shared" si="14"/>
        <v>9.3124944040580138E-3</v>
      </c>
      <c r="BH21" s="16"/>
      <c r="BJ21" s="50"/>
      <c r="BK21" s="50"/>
      <c r="BL21" s="50"/>
      <c r="BM21" s="50"/>
      <c r="BN21" s="50"/>
      <c r="BP21" s="50"/>
      <c r="BQ21" s="50"/>
      <c r="BR21" s="50"/>
      <c r="BS21" s="50"/>
      <c r="BT21" s="50"/>
      <c r="BV21" s="53">
        <f t="shared" si="16"/>
        <v>0</v>
      </c>
      <c r="BW21" s="53">
        <f t="shared" si="16"/>
        <v>0</v>
      </c>
      <c r="BX21" s="53">
        <f t="shared" si="16"/>
        <v>0</v>
      </c>
      <c r="BY21" s="53">
        <f t="shared" si="16"/>
        <v>-23224</v>
      </c>
      <c r="BZ21" s="53">
        <f t="shared" si="16"/>
        <v>0</v>
      </c>
      <c r="CA21" s="53">
        <f t="shared" si="16"/>
        <v>0</v>
      </c>
      <c r="CB21" s="53">
        <f t="shared" si="16"/>
        <v>-23224</v>
      </c>
      <c r="CC21" s="53">
        <f t="shared" si="16"/>
        <v>0</v>
      </c>
      <c r="CD21" s="53">
        <f t="shared" si="16"/>
        <v>0</v>
      </c>
      <c r="CE21" s="53">
        <f t="shared" si="16"/>
        <v>-2.8409999999965407E-3</v>
      </c>
      <c r="CF21" s="53">
        <f t="shared" si="16"/>
        <v>8.5370000000040136E-3</v>
      </c>
      <c r="CG21" s="53">
        <f t="shared" si="16"/>
        <v>1.3730999999999938E-2</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70.092033999999998</v>
      </c>
      <c r="X22" s="23">
        <v>72.552463000000003</v>
      </c>
      <c r="Y22" s="23">
        <v>33.405968999999999</v>
      </c>
      <c r="Z22" s="23">
        <v>41.661025000000002</v>
      </c>
      <c r="AA22" s="23">
        <v>40.480747000000001</v>
      </c>
      <c r="AB22" s="24">
        <v>4380.0200000000004</v>
      </c>
      <c r="AC22" s="24">
        <v>3329.39</v>
      </c>
      <c r="AD22" s="24">
        <v>13.407999999999999</v>
      </c>
      <c r="AE22" s="24">
        <v>18.420000000000002</v>
      </c>
      <c r="AG22" s="19">
        <f t="shared" si="6"/>
        <v>4.0633625000000002</v>
      </c>
      <c r="AH22" s="20">
        <f t="shared" si="7"/>
        <v>1.0377182759635442E-2</v>
      </c>
      <c r="AI22" s="20">
        <f t="shared" si="8"/>
        <v>5.5723219888951722E-3</v>
      </c>
      <c r="AJ22" s="20">
        <f t="shared" si="9"/>
        <v>3.9205613154718157E-3</v>
      </c>
      <c r="AK22" s="20">
        <f t="shared" si="10"/>
        <v>4.8048607707402704E-3</v>
      </c>
      <c r="AL22" s="17">
        <f t="shared" si="11"/>
        <v>1396440</v>
      </c>
      <c r="AM22" s="20">
        <v>16</v>
      </c>
      <c r="AN22" s="21">
        <v>32604849</v>
      </c>
      <c r="AO22" s="21">
        <v>1018901.53125</v>
      </c>
      <c r="AP22" s="21">
        <v>35090.5625</v>
      </c>
      <c r="AQ22" s="22">
        <v>2600552</v>
      </c>
      <c r="AR22" s="22">
        <v>982504</v>
      </c>
      <c r="AS22" s="22">
        <v>413936</v>
      </c>
      <c r="AT22" s="22">
        <v>1204112</v>
      </c>
      <c r="AU22" s="23">
        <v>70.092033999999998</v>
      </c>
      <c r="AV22" s="23">
        <v>72.552463000000003</v>
      </c>
      <c r="AW22" s="23">
        <v>33.340021999999998</v>
      </c>
      <c r="AX22" s="23">
        <v>41.731096999999998</v>
      </c>
      <c r="AY22" s="23">
        <v>40.462724999999999</v>
      </c>
      <c r="AZ22" s="24">
        <v>4596.96</v>
      </c>
      <c r="BA22" s="24">
        <v>3350.47</v>
      </c>
      <c r="BB22" s="24">
        <v>58.963000000000001</v>
      </c>
      <c r="BC22" s="24">
        <v>16.332999999999998</v>
      </c>
      <c r="BE22" s="49">
        <f t="shared" si="12"/>
        <v>1</v>
      </c>
      <c r="BF22" s="25">
        <f t="shared" si="13"/>
        <v>0</v>
      </c>
      <c r="BG22" s="25">
        <f t="shared" si="14"/>
        <v>1.6933852532591276E-2</v>
      </c>
      <c r="BH22" s="25"/>
      <c r="BJ22" s="49"/>
      <c r="BK22" s="49"/>
      <c r="BL22" s="49"/>
      <c r="BM22" s="49"/>
      <c r="BN22" s="49"/>
      <c r="BP22" s="49"/>
      <c r="BQ22" s="49"/>
      <c r="BR22" s="49"/>
      <c r="BS22" s="49"/>
      <c r="BT22" s="49"/>
      <c r="BV22" s="53">
        <f t="shared" si="16"/>
        <v>0</v>
      </c>
      <c r="BW22" s="53">
        <f t="shared" si="16"/>
        <v>0</v>
      </c>
      <c r="BX22" s="53">
        <f t="shared" si="16"/>
        <v>0</v>
      </c>
      <c r="BY22" s="53">
        <f t="shared" si="16"/>
        <v>-84680</v>
      </c>
      <c r="BZ22" s="53">
        <f t="shared" si="16"/>
        <v>0</v>
      </c>
      <c r="CA22" s="53">
        <f t="shared" si="16"/>
        <v>0</v>
      </c>
      <c r="CB22" s="53">
        <f t="shared" si="16"/>
        <v>-84680</v>
      </c>
      <c r="CC22" s="53">
        <f t="shared" si="16"/>
        <v>0</v>
      </c>
      <c r="CD22" s="53">
        <f t="shared" si="16"/>
        <v>0</v>
      </c>
      <c r="CE22" s="53">
        <f t="shared" si="16"/>
        <v>-6.594700000000131E-2</v>
      </c>
      <c r="CF22" s="53">
        <f t="shared" si="16"/>
        <v>7.0071999999996137E-2</v>
      </c>
      <c r="CG22" s="53">
        <f t="shared" si="16"/>
        <v>-1.8022000000001981E-2</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71.045558999999997</v>
      </c>
      <c r="X23" s="14">
        <v>73.797391000000005</v>
      </c>
      <c r="Y23" s="14">
        <v>35.29325</v>
      </c>
      <c r="Z23" s="14">
        <v>42.754381000000002</v>
      </c>
      <c r="AA23" s="14">
        <v>41.481662999999998</v>
      </c>
      <c r="AB23" s="15">
        <v>4191.1400000000003</v>
      </c>
      <c r="AC23" s="15">
        <v>3556.66</v>
      </c>
      <c r="AD23" s="15">
        <v>12.077999999999999</v>
      </c>
      <c r="AE23" s="15">
        <v>15.776999999999999</v>
      </c>
      <c r="AG23" s="10">
        <f t="shared" si="6"/>
        <v>7.6368124999999996</v>
      </c>
      <c r="AH23" s="11">
        <f t="shared" si="7"/>
        <v>1.9503206768672114E-2</v>
      </c>
      <c r="AI23" s="11">
        <f t="shared" si="8"/>
        <v>8.2705829598749524E-3</v>
      </c>
      <c r="AJ23" s="11">
        <f t="shared" si="9"/>
        <v>6.6188222864515959E-3</v>
      </c>
      <c r="AK23" s="11">
        <f t="shared" si="10"/>
        <v>1.1232623808797162E-2</v>
      </c>
      <c r="AL23" s="52">
        <f t="shared" si="11"/>
        <v>2072632</v>
      </c>
      <c r="AM23" s="11">
        <v>16</v>
      </c>
      <c r="AN23" s="12">
        <v>32813316</v>
      </c>
      <c r="AO23" s="12">
        <v>1025416.125</v>
      </c>
      <c r="AP23" s="12">
        <v>37028.40625</v>
      </c>
      <c r="AQ23" s="13">
        <v>4887560</v>
      </c>
      <c r="AR23" s="13">
        <v>1658696</v>
      </c>
      <c r="AS23" s="13">
        <v>413936</v>
      </c>
      <c r="AT23" s="13">
        <v>2814928</v>
      </c>
      <c r="AU23" s="14">
        <v>71.045558999999997</v>
      </c>
      <c r="AV23" s="14">
        <v>73.797391000000005</v>
      </c>
      <c r="AW23" s="14">
        <v>35.017519</v>
      </c>
      <c r="AX23" s="14">
        <v>42.752825000000001</v>
      </c>
      <c r="AY23" s="14">
        <v>41.463721999999997</v>
      </c>
      <c r="AZ23" s="15">
        <v>4486.21</v>
      </c>
      <c r="BA23" s="15">
        <v>3661.31</v>
      </c>
      <c r="BB23" s="15">
        <v>59.753999999999998</v>
      </c>
      <c r="BC23" s="15">
        <v>16.617999999999999</v>
      </c>
      <c r="BE23" s="50">
        <f t="shared" si="12"/>
        <v>1</v>
      </c>
      <c r="BF23" s="16">
        <f t="shared" si="13"/>
        <v>0</v>
      </c>
      <c r="BG23" s="16">
        <f t="shared" si="14"/>
        <v>1.7795571183147896E-2</v>
      </c>
      <c r="BH23" s="16"/>
      <c r="BJ23" s="50"/>
      <c r="BK23" s="50"/>
      <c r="BL23" s="50"/>
      <c r="BM23" s="50"/>
      <c r="BN23" s="50"/>
      <c r="BP23" s="50"/>
      <c r="BQ23" s="50"/>
      <c r="BR23" s="50"/>
      <c r="BS23" s="50"/>
      <c r="BT23" s="50"/>
      <c r="BV23" s="53">
        <f t="shared" si="16"/>
        <v>0</v>
      </c>
      <c r="BW23" s="53">
        <f t="shared" si="16"/>
        <v>0</v>
      </c>
      <c r="BX23" s="53">
        <f t="shared" si="16"/>
        <v>0</v>
      </c>
      <c r="BY23" s="53">
        <f t="shared" si="16"/>
        <v>-214088</v>
      </c>
      <c r="BZ23" s="53">
        <f t="shared" si="16"/>
        <v>0</v>
      </c>
      <c r="CA23" s="53">
        <f t="shared" si="16"/>
        <v>0</v>
      </c>
      <c r="CB23" s="53">
        <f t="shared" si="16"/>
        <v>-214088</v>
      </c>
      <c r="CC23" s="53">
        <f t="shared" si="16"/>
        <v>0</v>
      </c>
      <c r="CD23" s="53">
        <f t="shared" si="16"/>
        <v>0</v>
      </c>
      <c r="CE23" s="53">
        <f t="shared" si="16"/>
        <v>-0.27573100000000039</v>
      </c>
      <c r="CF23" s="53">
        <f t="shared" si="16"/>
        <v>-1.556000000000779E-3</v>
      </c>
      <c r="CG23" s="53">
        <f t="shared" si="16"/>
        <v>-1.7941000000000429E-2</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71.767975000000007</v>
      </c>
      <c r="X24" s="42">
        <v>75.810796999999994</v>
      </c>
      <c r="Y24" s="42">
        <v>36.874640999999997</v>
      </c>
      <c r="Z24" s="42">
        <v>43.507331000000001</v>
      </c>
      <c r="AA24" s="42">
        <v>42.057256000000002</v>
      </c>
      <c r="AB24" s="43">
        <v>4268.18</v>
      </c>
      <c r="AC24" s="43">
        <v>3813.26</v>
      </c>
      <c r="AD24" s="43">
        <v>11.391</v>
      </c>
      <c r="AE24" s="43">
        <v>17.236999999999998</v>
      </c>
      <c r="AG24" s="38">
        <f t="shared" si="6"/>
        <v>15.560762499999999</v>
      </c>
      <c r="AH24" s="39">
        <f t="shared" si="7"/>
        <v>3.9739717128801998E-2</v>
      </c>
      <c r="AI24" s="39">
        <f t="shared" si="8"/>
        <v>1.4241814951767656E-2</v>
      </c>
      <c r="AJ24" s="39">
        <f t="shared" si="9"/>
        <v>1.0614817687797545E-2</v>
      </c>
      <c r="AK24" s="39">
        <f t="shared" si="10"/>
        <v>2.5497902177034341E-2</v>
      </c>
      <c r="AL24" s="36">
        <f t="shared" si="11"/>
        <v>3569040</v>
      </c>
      <c r="AM24" s="39">
        <v>16</v>
      </c>
      <c r="AN24" s="40">
        <v>31274990</v>
      </c>
      <c r="AO24" s="40">
        <v>977343.4375</v>
      </c>
      <c r="AP24" s="40">
        <v>17914.71875</v>
      </c>
      <c r="AQ24" s="41">
        <v>9958888</v>
      </c>
      <c r="AR24" s="41">
        <v>2660104</v>
      </c>
      <c r="AS24" s="41">
        <v>908936</v>
      </c>
      <c r="AT24" s="41">
        <v>6389848</v>
      </c>
      <c r="AU24" s="42">
        <v>71.767975000000007</v>
      </c>
      <c r="AV24" s="42">
        <v>75.810796999999994</v>
      </c>
      <c r="AW24" s="42">
        <v>36.512725000000003</v>
      </c>
      <c r="AX24" s="42">
        <v>43.652734000000002</v>
      </c>
      <c r="AY24" s="42">
        <v>42.178894</v>
      </c>
      <c r="AZ24" s="43">
        <v>4811.0200000000004</v>
      </c>
      <c r="BA24" s="43">
        <v>4049.65</v>
      </c>
      <c r="BB24" s="43">
        <v>53.29</v>
      </c>
      <c r="BC24" s="43">
        <v>17.048999999999999</v>
      </c>
      <c r="BE24" s="44">
        <f t="shared" si="12"/>
        <v>1</v>
      </c>
      <c r="BF24" s="45">
        <f t="shared" si="13"/>
        <v>0</v>
      </c>
      <c r="BG24" s="45">
        <f t="shared" si="14"/>
        <v>1.9161178266426104E-2</v>
      </c>
      <c r="BH24" s="45"/>
      <c r="BJ24" s="44"/>
      <c r="BK24" s="44"/>
      <c r="BL24" s="44"/>
      <c r="BM24" s="44"/>
      <c r="BN24" s="44"/>
      <c r="BP24" s="44"/>
      <c r="BQ24" s="44"/>
      <c r="BR24" s="44"/>
      <c r="BS24" s="44"/>
      <c r="BT24" s="44"/>
      <c r="BV24" s="53">
        <f t="shared" si="16"/>
        <v>0</v>
      </c>
      <c r="BW24" s="53">
        <f t="shared" si="16"/>
        <v>0</v>
      </c>
      <c r="BX24" s="53">
        <f t="shared" si="16"/>
        <v>0</v>
      </c>
      <c r="BY24" s="53">
        <f t="shared" si="16"/>
        <v>-562544</v>
      </c>
      <c r="BZ24" s="53">
        <f t="shared" si="16"/>
        <v>0</v>
      </c>
      <c r="CA24" s="53">
        <f t="shared" si="16"/>
        <v>0</v>
      </c>
      <c r="CB24" s="53">
        <f t="shared" si="16"/>
        <v>-562544</v>
      </c>
      <c r="CC24" s="53">
        <f t="shared" si="16"/>
        <v>0</v>
      </c>
      <c r="CD24" s="53">
        <f t="shared" si="16"/>
        <v>0</v>
      </c>
      <c r="CE24" s="53">
        <f t="shared" si="16"/>
        <v>-0.36191599999999369</v>
      </c>
      <c r="CF24" s="53">
        <f t="shared" si="16"/>
        <v>0.14540300000000173</v>
      </c>
      <c r="CG24" s="53">
        <f t="shared" si="16"/>
        <v>0.12163799999999725</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66.249555999999998</v>
      </c>
      <c r="X25" s="14">
        <v>68.002122</v>
      </c>
      <c r="Y25" s="14">
        <v>25.895033999999999</v>
      </c>
      <c r="Z25" s="14">
        <v>32.454721999999997</v>
      </c>
      <c r="AA25" s="14">
        <v>31.646274999999999</v>
      </c>
      <c r="AB25" s="15">
        <v>1709.61</v>
      </c>
      <c r="AC25" s="15">
        <v>4869.9399999999996</v>
      </c>
      <c r="AD25" s="15">
        <v>14.27</v>
      </c>
      <c r="AE25" s="15">
        <v>23.29</v>
      </c>
      <c r="AG25" s="10">
        <f t="shared" si="6"/>
        <v>2.0607825000000002</v>
      </c>
      <c r="AH25" s="11">
        <f t="shared" si="7"/>
        <v>8.7823235422650903E-3</v>
      </c>
      <c r="AI25" s="11">
        <f t="shared" si="8"/>
        <v>5.7151217120632678E-3</v>
      </c>
      <c r="AJ25" s="11">
        <f t="shared" si="9"/>
        <v>3.5055013695821828E-3</v>
      </c>
      <c r="AK25" s="11">
        <f t="shared" si="10"/>
        <v>3.0672018302018221E-3</v>
      </c>
      <c r="AL25" s="52">
        <f t="shared" si="11"/>
        <v>1430464</v>
      </c>
      <c r="AM25" s="11">
        <v>16</v>
      </c>
      <c r="AN25" s="12">
        <v>23423729</v>
      </c>
      <c r="AO25" s="12">
        <v>731991.53125</v>
      </c>
      <c r="AP25" s="12">
        <v>14601.28125</v>
      </c>
      <c r="AQ25" s="13">
        <v>2198168</v>
      </c>
      <c r="AR25" s="13">
        <v>877408</v>
      </c>
      <c r="AS25" s="13">
        <v>553056</v>
      </c>
      <c r="AT25" s="13">
        <v>767704</v>
      </c>
      <c r="AU25" s="14">
        <v>66.249555999999998</v>
      </c>
      <c r="AV25" s="14">
        <v>68.002122</v>
      </c>
      <c r="AW25" s="14">
        <v>25.910399999999999</v>
      </c>
      <c r="AX25" s="14">
        <v>32.453240999999998</v>
      </c>
      <c r="AY25" s="14">
        <v>31.658072000000001</v>
      </c>
      <c r="AZ25" s="15">
        <v>1748.21</v>
      </c>
      <c r="BA25" s="15">
        <v>4840.8500000000004</v>
      </c>
      <c r="BB25" s="15">
        <v>48.505000000000003</v>
      </c>
      <c r="BC25" s="15">
        <v>21.652000000000001</v>
      </c>
      <c r="BE25" s="50">
        <f t="shared" si="12"/>
        <v>1</v>
      </c>
      <c r="BF25" s="16">
        <f t="shared" si="13"/>
        <v>0</v>
      </c>
      <c r="BG25" s="16">
        <f t="shared" si="14"/>
        <v>-3.7678505157723308E-4</v>
      </c>
      <c r="BH25" s="16">
        <f t="array" ref="BH25">AVERAGE(AL25:AL29/AQ25:AQ29) - AVERAGE(N25:N29/S25:S29)</f>
        <v>9.2041497457912014E-4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-1.6959913863897613E-3</v>
      </c>
      <c r="BM25" s="50">
        <f>IF( OR(ISBLANK(V25:V29),ISBLANK(AT25:AT29), ISBLANK(Z25:Z29),ISBLANK(AX25:AX29)), "·", bdRateExtend( V25:V29,Z25:Z29, AT25:AT29,AX25:AX29))</f>
        <v>-3.2582404322996084E-3</v>
      </c>
      <c r="BN25" s="50">
        <f>IF( OR(ISBLANK(V25:V29),ISBLANK(AT25:AT29), ISBLANK(AA25:AA29),ISBLANK(AY25:AY29)), "·", bdRateExtend( V25:V29,AA25:AA29, AT25:AT29,AY25:AY29))</f>
        <v>-6.1033729046862106E-3</v>
      </c>
      <c r="BP25" s="50">
        <f>IF( OR(ISBLANK(S25:S29),ISBLANK(AQ25:AQ29), ISBLANK(W25:W29),ISBLANK(AU25:AU29)), "·", bdRateExtend( S25:S29,W25:W29, AQ25:AQ29,AU25:AU29))</f>
        <v>-2.8352836117674363E-3</v>
      </c>
      <c r="BQ25" s="50">
        <f>IF( OR(ISBLANK(S25:S29),ISBLANK(AQ25:AQ29), ISBLANK(X25:X29),ISBLANK(AV25:AV29)), "·", bdRateExtend( S25:S29,X25:X29, AQ25:AQ29,AV25:AV29))</f>
        <v>-3.1542199096560308E-3</v>
      </c>
      <c r="BR25" s="50">
        <f>IF( OR(ISBLANK(S25:S29),ISBLANK(AQ25:AQ29), ISBLANK(Y25:Y29),ISBLANK(AW25:AW29)), "·", bdRateExtend( S25:S29,Y25:Y29, AQ25:AQ29,AW25:AW29))</f>
        <v>-1.7566143450786775E-4</v>
      </c>
      <c r="BS25" s="50">
        <f>IF( OR(ISBLANK(S25:S29),ISBLANK(AQ25:AQ29), ISBLANK(Z25:Z29),ISBLANK(AX25:AX29)), "·", bdRateExtend( S25:S29,Z25:Z29, AQ25:AQ29,AX25:AX29))</f>
        <v>-1.5650931281827596E-3</v>
      </c>
      <c r="BT25" s="50">
        <f>IF( OR(ISBLANK(S25:S29),ISBLANK(AQ25:AQ29), ISBLANK(AA25:AA29),ISBLANK(AY25:AY29)), "·", bdRateExtend( S25:S29,AA25:AA29, AQ25:AQ29,AY25:AY29))</f>
        <v>-3.6029566510759059E-3</v>
      </c>
      <c r="BV25" s="53">
        <f t="shared" si="16"/>
        <v>0</v>
      </c>
      <c r="BW25" s="53">
        <f t="shared" si="16"/>
        <v>0</v>
      </c>
      <c r="BX25" s="53">
        <f t="shared" si="16"/>
        <v>0</v>
      </c>
      <c r="BY25" s="53">
        <f t="shared" si="16"/>
        <v>1272</v>
      </c>
      <c r="BZ25" s="53">
        <f t="shared" si="16"/>
        <v>0</v>
      </c>
      <c r="CA25" s="53">
        <f t="shared" si="16"/>
        <v>0</v>
      </c>
      <c r="CB25" s="53">
        <f t="shared" si="16"/>
        <v>1272</v>
      </c>
      <c r="CC25" s="53">
        <f t="shared" si="16"/>
        <v>0</v>
      </c>
      <c r="CD25" s="53">
        <f t="shared" si="16"/>
        <v>0</v>
      </c>
      <c r="CE25" s="53">
        <f t="shared" si="16"/>
        <v>1.5366000000000213E-2</v>
      </c>
      <c r="CF25" s="53">
        <f t="shared" si="16"/>
        <v>-1.4809999999982892E-3</v>
      </c>
      <c r="CG25" s="53">
        <f t="shared" si="16"/>
        <v>1.179700000000139E-2</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68.005358999999999</v>
      </c>
      <c r="X26" s="23">
        <v>70.016609000000003</v>
      </c>
      <c r="Y26" s="23">
        <v>27.912872</v>
      </c>
      <c r="Z26" s="23">
        <v>33.647858999999997</v>
      </c>
      <c r="AA26" s="23">
        <v>33.01885</v>
      </c>
      <c r="AB26" s="24">
        <v>1549.41</v>
      </c>
      <c r="AC26" s="24">
        <v>4131.9399999999996</v>
      </c>
      <c r="AD26" s="24">
        <v>11.217000000000001</v>
      </c>
      <c r="AE26" s="24">
        <v>18.038</v>
      </c>
      <c r="AG26" s="19">
        <f t="shared" si="6"/>
        <v>3.1715550000000001</v>
      </c>
      <c r="AH26" s="20">
        <f t="shared" si="7"/>
        <v>1.3516041669651483E-2</v>
      </c>
      <c r="AI26" s="20">
        <f t="shared" si="8"/>
        <v>7.1894484715614021E-3</v>
      </c>
      <c r="AJ26" s="20">
        <f t="shared" si="9"/>
        <v>4.9798281290803171E-3</v>
      </c>
      <c r="AK26" s="20">
        <f t="shared" si="10"/>
        <v>6.3265931980900809E-3</v>
      </c>
      <c r="AL26" s="17">
        <f t="shared" si="11"/>
        <v>1799480</v>
      </c>
      <c r="AM26" s="20">
        <v>16</v>
      </c>
      <c r="AN26" s="21">
        <v>24642332</v>
      </c>
      <c r="AO26" s="21">
        <v>770072.875</v>
      </c>
      <c r="AP26" s="21">
        <v>17838.375</v>
      </c>
      <c r="AQ26" s="22">
        <v>3382992</v>
      </c>
      <c r="AR26" s="22">
        <v>1246424</v>
      </c>
      <c r="AS26" s="22">
        <v>553056</v>
      </c>
      <c r="AT26" s="22">
        <v>1583512</v>
      </c>
      <c r="AU26" s="23">
        <v>68.005358999999999</v>
      </c>
      <c r="AV26" s="23">
        <v>70.016609000000003</v>
      </c>
      <c r="AW26" s="23">
        <v>27.913450000000001</v>
      </c>
      <c r="AX26" s="23">
        <v>33.664003000000001</v>
      </c>
      <c r="AY26" s="23">
        <v>33.035862999999999</v>
      </c>
      <c r="AZ26" s="24">
        <v>1600.95</v>
      </c>
      <c r="BA26" s="24">
        <v>4387.1000000000004</v>
      </c>
      <c r="BB26" s="24">
        <v>49.173000000000002</v>
      </c>
      <c r="BC26" s="24">
        <v>18.443000000000001</v>
      </c>
      <c r="BE26" s="49">
        <f t="shared" si="12"/>
        <v>1</v>
      </c>
      <c r="BF26" s="25">
        <f t="shared" si="13"/>
        <v>0</v>
      </c>
      <c r="BG26" s="25">
        <f t="shared" si="14"/>
        <v>1.4226073793839333E-3</v>
      </c>
      <c r="BH26" s="25"/>
      <c r="BJ26" s="49"/>
      <c r="BK26" s="49"/>
      <c r="BL26" s="49"/>
      <c r="BM26" s="49"/>
      <c r="BN26" s="49"/>
      <c r="BP26" s="49"/>
      <c r="BQ26" s="49"/>
      <c r="BR26" s="49"/>
      <c r="BS26" s="49"/>
      <c r="BT26" s="49"/>
      <c r="BV26" s="53">
        <f t="shared" si="16"/>
        <v>0</v>
      </c>
      <c r="BW26" s="53">
        <f t="shared" si="16"/>
        <v>0</v>
      </c>
      <c r="BX26" s="53">
        <f t="shared" si="16"/>
        <v>0</v>
      </c>
      <c r="BY26" s="53">
        <f t="shared" si="16"/>
        <v>-9072</v>
      </c>
      <c r="BZ26" s="53">
        <f t="shared" si="16"/>
        <v>0</v>
      </c>
      <c r="CA26" s="53">
        <f t="shared" si="16"/>
        <v>0</v>
      </c>
      <c r="CB26" s="53">
        <f t="shared" si="16"/>
        <v>-9072</v>
      </c>
      <c r="CC26" s="53">
        <f t="shared" si="16"/>
        <v>0</v>
      </c>
      <c r="CD26" s="53">
        <f t="shared" si="16"/>
        <v>0</v>
      </c>
      <c r="CE26" s="53">
        <f t="shared" si="16"/>
        <v>5.7800000000085561E-4</v>
      </c>
      <c r="CF26" s="53">
        <f t="shared" si="16"/>
        <v>1.6144000000004155E-2</v>
      </c>
      <c r="CG26" s="53">
        <f t="shared" si="16"/>
        <v>1.7012999999998613E-2</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69.301755999999997</v>
      </c>
      <c r="X27" s="14">
        <v>71.690518999999995</v>
      </c>
      <c r="Y27" s="14">
        <v>30.208674999999999</v>
      </c>
      <c r="Z27" s="14">
        <v>34.935647000000003</v>
      </c>
      <c r="AA27" s="14">
        <v>34.363497000000002</v>
      </c>
      <c r="AB27" s="15">
        <v>1394.83</v>
      </c>
      <c r="AC27" s="15">
        <v>4202.59</v>
      </c>
      <c r="AD27" s="15">
        <v>10.446999999999999</v>
      </c>
      <c r="AE27" s="15">
        <v>17.289000000000001</v>
      </c>
      <c r="AG27" s="10">
        <f t="shared" si="6"/>
        <v>5.3551425000000004</v>
      </c>
      <c r="AH27" s="11">
        <f t="shared" si="7"/>
        <v>2.2821716532401809E-2</v>
      </c>
      <c r="AI27" s="11">
        <f t="shared" si="8"/>
        <v>9.3524357630721706E-3</v>
      </c>
      <c r="AJ27" s="11">
        <f t="shared" si="9"/>
        <v>7.1428154205910857E-3</v>
      </c>
      <c r="AK27" s="11">
        <f t="shared" si="10"/>
        <v>1.3469280769329637E-2</v>
      </c>
      <c r="AL27" s="52">
        <f t="shared" si="11"/>
        <v>2340864</v>
      </c>
      <c r="AM27" s="11">
        <v>16</v>
      </c>
      <c r="AN27" s="12">
        <v>24875407</v>
      </c>
      <c r="AO27" s="12">
        <v>777356.46875</v>
      </c>
      <c r="AP27" s="12">
        <v>18687.4375</v>
      </c>
      <c r="AQ27" s="13">
        <v>5712152</v>
      </c>
      <c r="AR27" s="13">
        <v>1787808</v>
      </c>
      <c r="AS27" s="13">
        <v>553056</v>
      </c>
      <c r="AT27" s="13">
        <v>3371288</v>
      </c>
      <c r="AU27" s="14">
        <v>69.301755999999997</v>
      </c>
      <c r="AV27" s="14">
        <v>71.690518999999995</v>
      </c>
      <c r="AW27" s="14">
        <v>30.198983999999999</v>
      </c>
      <c r="AX27" s="14">
        <v>34.905937000000002</v>
      </c>
      <c r="AY27" s="14">
        <v>34.346003000000003</v>
      </c>
      <c r="AZ27" s="15">
        <v>1446.21</v>
      </c>
      <c r="BA27" s="15">
        <v>4252.93</v>
      </c>
      <c r="BB27" s="15">
        <v>45.600999999999999</v>
      </c>
      <c r="BC27" s="15">
        <v>18.204000000000001</v>
      </c>
      <c r="BE27" s="50">
        <f t="shared" si="12"/>
        <v>1</v>
      </c>
      <c r="BF27" s="16">
        <f t="shared" si="13"/>
        <v>0</v>
      </c>
      <c r="BG27" s="16">
        <f t="shared" si="14"/>
        <v>1.2975748170667711E-3</v>
      </c>
      <c r="BH27" s="16"/>
      <c r="BJ27" s="50"/>
      <c r="BK27" s="50"/>
      <c r="BL27" s="50"/>
      <c r="BM27" s="50"/>
      <c r="BN27" s="50"/>
      <c r="BP27" s="50"/>
      <c r="BQ27" s="50"/>
      <c r="BR27" s="50"/>
      <c r="BS27" s="50"/>
      <c r="BT27" s="50"/>
      <c r="BV27" s="53">
        <f t="shared" si="16"/>
        <v>0</v>
      </c>
      <c r="BW27" s="53">
        <f t="shared" si="16"/>
        <v>0</v>
      </c>
      <c r="BX27" s="53">
        <f t="shared" si="16"/>
        <v>0</v>
      </c>
      <c r="BY27" s="53">
        <f t="shared" si="16"/>
        <v>-18144</v>
      </c>
      <c r="BZ27" s="53">
        <f t="shared" si="16"/>
        <v>0</v>
      </c>
      <c r="CA27" s="53">
        <f t="shared" si="16"/>
        <v>0</v>
      </c>
      <c r="CB27" s="53">
        <f t="shared" si="16"/>
        <v>-18144</v>
      </c>
      <c r="CC27" s="53">
        <f t="shared" si="16"/>
        <v>0</v>
      </c>
      <c r="CD27" s="53">
        <f t="shared" si="16"/>
        <v>0</v>
      </c>
      <c r="CE27" s="53">
        <f t="shared" si="16"/>
        <v>-9.6910000000001162E-3</v>
      </c>
      <c r="CF27" s="53">
        <f t="shared" si="16"/>
        <v>-2.9710000000001457E-2</v>
      </c>
      <c r="CG27" s="53">
        <f t="shared" si="16"/>
        <v>-1.7493999999999232E-2</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70.462115999999995</v>
      </c>
      <c r="X28" s="23">
        <v>72.993594000000002</v>
      </c>
      <c r="Y28" s="23">
        <v>32.718547000000001</v>
      </c>
      <c r="Z28" s="23">
        <v>36.415940999999997</v>
      </c>
      <c r="AA28" s="23">
        <v>35.862046999999997</v>
      </c>
      <c r="AB28" s="24">
        <v>1480.38</v>
      </c>
      <c r="AC28" s="24">
        <v>4779.6099999999997</v>
      </c>
      <c r="AD28" s="24">
        <v>11.058999999999999</v>
      </c>
      <c r="AE28" s="24">
        <v>18.353000000000002</v>
      </c>
      <c r="AG28" s="19">
        <f t="shared" si="6"/>
        <v>10.3389975</v>
      </c>
      <c r="AH28" s="20">
        <f t="shared" si="7"/>
        <v>4.4061137527938977E-2</v>
      </c>
      <c r="AI28" s="20">
        <f t="shared" si="8"/>
        <v>1.318660585309833E-2</v>
      </c>
      <c r="AJ28" s="20">
        <f t="shared" si="9"/>
        <v>1.0976985510617245E-2</v>
      </c>
      <c r="AK28" s="20">
        <f t="shared" si="10"/>
        <v>3.0874531674840649E-2</v>
      </c>
      <c r="AL28" s="17">
        <f t="shared" si="11"/>
        <v>3300536</v>
      </c>
      <c r="AM28" s="20">
        <v>16</v>
      </c>
      <c r="AN28" s="21">
        <v>25558634</v>
      </c>
      <c r="AO28" s="21">
        <v>798707.3125</v>
      </c>
      <c r="AP28" s="21">
        <v>21108.9375</v>
      </c>
      <c r="AQ28" s="22">
        <v>11028264</v>
      </c>
      <c r="AR28" s="22">
        <v>2747480</v>
      </c>
      <c r="AS28" s="22">
        <v>553056</v>
      </c>
      <c r="AT28" s="22">
        <v>7727728</v>
      </c>
      <c r="AU28" s="23">
        <v>70.462115999999995</v>
      </c>
      <c r="AV28" s="23">
        <v>72.993594000000002</v>
      </c>
      <c r="AW28" s="23">
        <v>32.694094</v>
      </c>
      <c r="AX28" s="23">
        <v>36.409543999999997</v>
      </c>
      <c r="AY28" s="23">
        <v>35.860109000000001</v>
      </c>
      <c r="AZ28" s="24">
        <v>1687.25</v>
      </c>
      <c r="BA28" s="24">
        <v>5197.62</v>
      </c>
      <c r="BB28" s="24">
        <v>49.331000000000003</v>
      </c>
      <c r="BC28" s="24">
        <v>20.073</v>
      </c>
      <c r="BE28" s="49">
        <f t="shared" si="12"/>
        <v>1</v>
      </c>
      <c r="BF28" s="25">
        <f t="shared" si="13"/>
        <v>0</v>
      </c>
      <c r="BG28" s="25">
        <f t="shared" si="14"/>
        <v>1.5128829544276412E-3</v>
      </c>
      <c r="BH28" s="25"/>
      <c r="BJ28" s="49"/>
      <c r="BK28" s="49"/>
      <c r="BL28" s="49"/>
      <c r="BM28" s="49"/>
      <c r="BN28" s="49"/>
      <c r="BP28" s="49"/>
      <c r="BQ28" s="49"/>
      <c r="BR28" s="49"/>
      <c r="BS28" s="49"/>
      <c r="BT28" s="49"/>
      <c r="BV28" s="53">
        <f t="shared" si="16"/>
        <v>0</v>
      </c>
      <c r="BW28" s="53">
        <f t="shared" si="16"/>
        <v>0</v>
      </c>
      <c r="BX28" s="53">
        <f t="shared" si="16"/>
        <v>0</v>
      </c>
      <c r="BY28" s="53">
        <f t="shared" si="16"/>
        <v>-56032</v>
      </c>
      <c r="BZ28" s="53">
        <f t="shared" si="16"/>
        <v>0</v>
      </c>
      <c r="CA28" s="53">
        <f t="shared" si="16"/>
        <v>0</v>
      </c>
      <c r="CB28" s="53">
        <f t="shared" si="16"/>
        <v>-56032</v>
      </c>
      <c r="CC28" s="53">
        <f t="shared" si="16"/>
        <v>0</v>
      </c>
      <c r="CD28" s="53">
        <f t="shared" si="16"/>
        <v>0</v>
      </c>
      <c r="CE28" s="53">
        <f t="shared" si="16"/>
        <v>-2.4453000000001168E-2</v>
      </c>
      <c r="CF28" s="53">
        <f t="shared" si="16"/>
        <v>-6.396999999999764E-3</v>
      </c>
      <c r="CG28" s="53">
        <f t="shared" si="16"/>
        <v>-1.9379999999955544E-3</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71.138030999999998</v>
      </c>
      <c r="X29" s="32">
        <v>74.865933999999996</v>
      </c>
      <c r="Y29" s="32">
        <v>35.763162000000001</v>
      </c>
      <c r="Z29" s="32">
        <v>38.359853000000001</v>
      </c>
      <c r="AA29" s="32">
        <v>37.754874999999998</v>
      </c>
      <c r="AB29" s="33">
        <v>1395.92</v>
      </c>
      <c r="AC29" s="33">
        <v>5522.18</v>
      </c>
      <c r="AD29" s="33">
        <v>10.428000000000001</v>
      </c>
      <c r="AE29" s="33">
        <v>20.838000000000001</v>
      </c>
      <c r="AG29" s="28">
        <f t="shared" si="6"/>
        <v>23.8660575</v>
      </c>
      <c r="AH29" s="29">
        <f t="shared" si="7"/>
        <v>0.10170866583120844</v>
      </c>
      <c r="AI29" s="29">
        <f t="shared" si="8"/>
        <v>2.1642817661950031E-2</v>
      </c>
      <c r="AJ29" s="29">
        <f t="shared" si="9"/>
        <v>1.7231247938079619E-2</v>
      </c>
      <c r="AK29" s="29">
        <f t="shared" si="10"/>
        <v>8.0065848169258408E-2</v>
      </c>
      <c r="AL29" s="26">
        <f t="shared" si="11"/>
        <v>5417080</v>
      </c>
      <c r="AM29" s="29">
        <v>16</v>
      </c>
      <c r="AN29" s="30">
        <v>24591050</v>
      </c>
      <c r="AO29" s="30">
        <v>768470.3125</v>
      </c>
      <c r="AP29" s="30">
        <v>9839.84375</v>
      </c>
      <c r="AQ29" s="31">
        <v>25457128</v>
      </c>
      <c r="AR29" s="31">
        <v>4312888</v>
      </c>
      <c r="AS29" s="31">
        <v>1104192</v>
      </c>
      <c r="AT29" s="31">
        <v>20040048</v>
      </c>
      <c r="AU29" s="32">
        <v>71.138030999999998</v>
      </c>
      <c r="AV29" s="32">
        <v>74.865933999999996</v>
      </c>
      <c r="AW29" s="32">
        <v>35.739600000000003</v>
      </c>
      <c r="AX29" s="32">
        <v>38.363168999999999</v>
      </c>
      <c r="AY29" s="32">
        <v>37.757016</v>
      </c>
      <c r="AZ29" s="33">
        <v>1790.73</v>
      </c>
      <c r="BA29" s="33">
        <v>6808.3</v>
      </c>
      <c r="BB29" s="33">
        <v>52.917999999999999</v>
      </c>
      <c r="BC29" s="33">
        <v>28.32</v>
      </c>
      <c r="BE29" s="34">
        <f t="shared" si="12"/>
        <v>1</v>
      </c>
      <c r="BF29" s="35">
        <f t="shared" si="13"/>
        <v>0</v>
      </c>
      <c r="BG29" s="35">
        <f t="shared" si="14"/>
        <v>7.4579477359468238E-4</v>
      </c>
      <c r="BH29" s="35"/>
      <c r="BJ29" s="34"/>
      <c r="BK29" s="34"/>
      <c r="BL29" s="34"/>
      <c r="BM29" s="34"/>
      <c r="BN29" s="34"/>
      <c r="BP29" s="34"/>
      <c r="BQ29" s="34"/>
      <c r="BR29" s="34"/>
      <c r="BS29" s="34"/>
      <c r="BT29" s="34"/>
      <c r="BV29" s="53">
        <f t="shared" si="16"/>
        <v>0</v>
      </c>
      <c r="BW29" s="53">
        <f t="shared" si="16"/>
        <v>0</v>
      </c>
      <c r="BX29" s="53">
        <f t="shared" si="16"/>
        <v>0</v>
      </c>
      <c r="BY29" s="53">
        <f t="shared" si="16"/>
        <v>-89536</v>
      </c>
      <c r="BZ29" s="53">
        <f t="shared" si="16"/>
        <v>0</v>
      </c>
      <c r="CA29" s="53">
        <f t="shared" si="16"/>
        <v>0</v>
      </c>
      <c r="CB29" s="53">
        <f t="shared" si="16"/>
        <v>-89536</v>
      </c>
      <c r="CC29" s="53">
        <f t="shared" si="16"/>
        <v>0</v>
      </c>
      <c r="CD29" s="53">
        <f t="shared" si="16"/>
        <v>0</v>
      </c>
      <c r="CE29" s="53">
        <f t="shared" si="16"/>
        <v>-2.3561999999998307E-2</v>
      </c>
      <c r="CF29" s="53">
        <f t="shared" si="16"/>
        <v>3.3159999999980982E-3</v>
      </c>
      <c r="CG29" s="53">
        <f t="shared" si="16"/>
        <v>2.1410000000017249E-3</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75.742599999999996</v>
      </c>
      <c r="Y30" s="23">
        <v>33.214593999999998</v>
      </c>
      <c r="Z30" s="23">
        <v>41.966721999999997</v>
      </c>
      <c r="AA30" s="23">
        <v>43.243724999999998</v>
      </c>
      <c r="AB30" s="24">
        <v>3911.42</v>
      </c>
      <c r="AC30" s="24">
        <v>17827.5</v>
      </c>
      <c r="AD30" s="24">
        <v>45.649000000000001</v>
      </c>
      <c r="AE30" s="24">
        <v>79.721000000000004</v>
      </c>
      <c r="AG30" s="19">
        <f t="shared" si="6"/>
        <v>3.7191225000000001</v>
      </c>
      <c r="AH30" s="20">
        <f t="shared" si="7"/>
        <v>1.0566930825642303E-2</v>
      </c>
      <c r="AI30" s="20">
        <f t="shared" si="8"/>
        <v>8.3820433594158812E-3</v>
      </c>
      <c r="AJ30" s="20">
        <f t="shared" si="9"/>
        <v>5.2756768554058494E-3</v>
      </c>
      <c r="AK30" s="20">
        <f t="shared" si="10"/>
        <v>2.1848874662264216E-3</v>
      </c>
      <c r="AL30" s="17">
        <f t="shared" si="11"/>
        <v>3146808</v>
      </c>
      <c r="AM30" s="20">
        <v>16</v>
      </c>
      <c r="AN30" s="21">
        <v>86243398</v>
      </c>
      <c r="AO30" s="21">
        <v>2695106.1875</v>
      </c>
      <c r="AP30" s="21">
        <v>33846.0625</v>
      </c>
      <c r="AQ30" s="22">
        <v>3967064</v>
      </c>
      <c r="AR30" s="22">
        <v>1980608</v>
      </c>
      <c r="AS30" s="22">
        <v>1166200</v>
      </c>
      <c r="AT30" s="22">
        <v>820256</v>
      </c>
      <c r="AU30" s="23">
        <v>73.637074999999996</v>
      </c>
      <c r="AV30" s="23">
        <v>75.742599999999996</v>
      </c>
      <c r="AW30" s="23">
        <v>33.225253000000002</v>
      </c>
      <c r="AX30" s="23">
        <v>41.927109000000002</v>
      </c>
      <c r="AY30" s="23">
        <v>43.312927999999999</v>
      </c>
      <c r="AZ30" s="24">
        <v>3644.86</v>
      </c>
      <c r="BA30" s="24">
        <v>16239.1</v>
      </c>
      <c r="BB30" s="24">
        <v>163.047</v>
      </c>
      <c r="BC30" s="24">
        <v>72.341999999999999</v>
      </c>
      <c r="BE30" s="49">
        <f t="shared" si="12"/>
        <v>1</v>
      </c>
      <c r="BF30" s="25">
        <f t="shared" si="13"/>
        <v>0</v>
      </c>
      <c r="BG30" s="25">
        <f t="shared" si="14"/>
        <v>-2.0960800253144729E-4</v>
      </c>
      <c r="BH30" s="25">
        <f t="array" ref="BH30">AVERAGE(AL30:AL34/AQ30:AQ34) - AVERAGE(N30:N34/S30:S34)</f>
        <v>4.6687151166724394E-4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7.064985134386248E-5</v>
      </c>
      <c r="BM30" s="49">
        <f>IF( OR(ISBLANK(V30:V34),ISBLANK(AT30:AT34), ISBLANK(Z30:Z34),ISBLANK(AX30:AX34)), "·", bdRateExtend( V30:V34,Z30:Z34, AT30:AT34,AX30:AX34))</f>
        <v>4.8296623101840019E-4</v>
      </c>
      <c r="BN30" s="49">
        <f>IF( OR(ISBLANK(V30:V34),ISBLANK(AT30:AT34), ISBLANK(AA30:AA34),ISBLANK(AY30:AY34)), "·", bdRateExtend( V30:V34,AA30:AA34, AT30:AT34,AY30:AY34))</f>
        <v>2.4616263176243658E-2</v>
      </c>
      <c r="BP30" s="49">
        <f>IF( OR(ISBLANK(S30:S34),ISBLANK(AQ30:AQ34), ISBLANK(W30:W34),ISBLANK(AU30:AU34)), "·", bdRateExtend( S30:S34,W30:W34, AQ30:AQ34,AU30:AU34))</f>
        <v>-9.4264186985426601E-4</v>
      </c>
      <c r="BQ30" s="49">
        <f>IF( OR(ISBLANK(S30:S34),ISBLANK(AQ30:AQ34), ISBLANK(X30:X34),ISBLANK(AV30:AV34)), "·", bdRateExtend( S30:S34,X30:X34, AQ30:AQ34,AV30:AV34))</f>
        <v>-9.2975183950005924E-4</v>
      </c>
      <c r="BR30" s="49">
        <f>IF( OR(ISBLANK(S30:S34),ISBLANK(AQ30:AQ34), ISBLANK(Y30:Y34),ISBLANK(AW30:AW34)), "·", bdRateExtend( S30:S34,Y30:Y34, AQ30:AQ34,AW30:AW34))</f>
        <v>9.2232303150541206E-4</v>
      </c>
      <c r="BS30" s="49">
        <f>IF( OR(ISBLANK(S30:S34),ISBLANK(AQ30:AQ34), ISBLANK(Z30:Z34),ISBLANK(AX30:AX34)), "·", bdRateExtend( S30:S34,Z30:Z34, AQ30:AQ34,AX30:AX34))</f>
        <v>1.6487278613201983E-3</v>
      </c>
      <c r="BT30" s="49">
        <f>IF( OR(ISBLANK(S30:S34),ISBLANK(AQ30:AQ34), ISBLANK(AA30:AA34),ISBLANK(AY30:AY34)), "·", bdRateExtend( S30:S34,AA30:AA34, AQ30:AQ34,AY30:AY34))</f>
        <v>1.6921225325394973E-2</v>
      </c>
      <c r="BV30" s="53">
        <f t="shared" si="16"/>
        <v>0</v>
      </c>
      <c r="BW30" s="53">
        <f t="shared" si="16"/>
        <v>0</v>
      </c>
      <c r="BX30" s="53">
        <f t="shared" si="16"/>
        <v>0</v>
      </c>
      <c r="BY30" s="53">
        <f t="shared" si="16"/>
        <v>1048</v>
      </c>
      <c r="BZ30" s="53">
        <f t="shared" si="16"/>
        <v>0</v>
      </c>
      <c r="CA30" s="53">
        <f t="shared" si="16"/>
        <v>0</v>
      </c>
      <c r="CB30" s="53">
        <f t="shared" si="16"/>
        <v>1048</v>
      </c>
      <c r="CC30" s="53">
        <f t="shared" si="16"/>
        <v>0</v>
      </c>
      <c r="CD30" s="53">
        <f t="shared" si="16"/>
        <v>0</v>
      </c>
      <c r="CE30" s="53">
        <f t="shared" si="16"/>
        <v>1.0659000000003971E-2</v>
      </c>
      <c r="CF30" s="53">
        <f t="shared" si="16"/>
        <v>-3.9612999999995679E-2</v>
      </c>
      <c r="CG30" s="53">
        <f t="shared" si="16"/>
        <v>6.920300000000168E-2</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75.252650000000003</v>
      </c>
      <c r="X31" s="14">
        <v>77.584663000000006</v>
      </c>
      <c r="Y31" s="14">
        <v>35.170788000000002</v>
      </c>
      <c r="Z31" s="14">
        <v>42.536019000000003</v>
      </c>
      <c r="AA31" s="14">
        <v>44.678147000000003</v>
      </c>
      <c r="AB31" s="15">
        <v>4269.9799999999996</v>
      </c>
      <c r="AC31" s="15">
        <v>23026.1</v>
      </c>
      <c r="AD31" s="15">
        <v>54.454000000000001</v>
      </c>
      <c r="AE31" s="15">
        <v>107.867</v>
      </c>
      <c r="AG31" s="10">
        <f t="shared" si="6"/>
        <v>4.9565625000000004</v>
      </c>
      <c r="AH31" s="11">
        <f t="shared" si="7"/>
        <v>1.4082798582319533E-2</v>
      </c>
      <c r="AI31" s="11">
        <f t="shared" si="8"/>
        <v>1.0321894924907532E-2</v>
      </c>
      <c r="AJ31" s="11">
        <f t="shared" si="9"/>
        <v>7.2155284208974997E-3</v>
      </c>
      <c r="AK31" s="11">
        <f t="shared" si="10"/>
        <v>3.7609036574120019E-3</v>
      </c>
      <c r="AL31" s="52">
        <f t="shared" si="11"/>
        <v>3875072</v>
      </c>
      <c r="AM31" s="11">
        <v>16</v>
      </c>
      <c r="AN31" s="12">
        <v>90541792</v>
      </c>
      <c r="AO31" s="12">
        <v>2829431</v>
      </c>
      <c r="AP31" s="12">
        <v>41460.6875</v>
      </c>
      <c r="AQ31" s="13">
        <v>5287000</v>
      </c>
      <c r="AR31" s="13">
        <v>2708872</v>
      </c>
      <c r="AS31" s="13">
        <v>1166200</v>
      </c>
      <c r="AT31" s="13">
        <v>1411928</v>
      </c>
      <c r="AU31" s="14">
        <v>75.252650000000003</v>
      </c>
      <c r="AV31" s="14">
        <v>77.584663000000006</v>
      </c>
      <c r="AW31" s="14">
        <v>35.162888000000002</v>
      </c>
      <c r="AX31" s="14">
        <v>42.576143999999999</v>
      </c>
      <c r="AY31" s="14">
        <v>44.699987</v>
      </c>
      <c r="AZ31" s="15">
        <v>3723.2</v>
      </c>
      <c r="BA31" s="15">
        <v>17827.599999999999</v>
      </c>
      <c r="BB31" s="15">
        <v>179.31299999999999</v>
      </c>
      <c r="BC31" s="15">
        <v>79.402000000000001</v>
      </c>
      <c r="BE31" s="50">
        <f t="shared" si="12"/>
        <v>1</v>
      </c>
      <c r="BF31" s="16">
        <f t="shared" si="13"/>
        <v>0</v>
      </c>
      <c r="BG31" s="16">
        <f t="shared" si="14"/>
        <v>6.858595742227358E-4</v>
      </c>
      <c r="BH31" s="16"/>
      <c r="BJ31" s="50"/>
      <c r="BK31" s="50"/>
      <c r="BL31" s="50"/>
      <c r="BM31" s="50"/>
      <c r="BN31" s="50"/>
      <c r="BP31" s="50"/>
      <c r="BQ31" s="50"/>
      <c r="BR31" s="50"/>
      <c r="BS31" s="50"/>
      <c r="BT31" s="50"/>
      <c r="BV31" s="53">
        <f t="shared" si="16"/>
        <v>0</v>
      </c>
      <c r="BW31" s="53">
        <f t="shared" si="16"/>
        <v>0</v>
      </c>
      <c r="BX31" s="53">
        <f t="shared" si="16"/>
        <v>0</v>
      </c>
      <c r="BY31" s="53">
        <f t="shared" si="16"/>
        <v>-4952</v>
      </c>
      <c r="BZ31" s="53">
        <f t="shared" si="16"/>
        <v>0</v>
      </c>
      <c r="CA31" s="53">
        <f t="shared" si="16"/>
        <v>0</v>
      </c>
      <c r="CB31" s="53">
        <f t="shared" si="16"/>
        <v>-4952</v>
      </c>
      <c r="CC31" s="53">
        <f t="shared" si="16"/>
        <v>0</v>
      </c>
      <c r="CD31" s="53">
        <f t="shared" si="16"/>
        <v>0</v>
      </c>
      <c r="CE31" s="53">
        <f t="shared" si="16"/>
        <v>-7.899999999999352E-3</v>
      </c>
      <c r="CF31" s="53">
        <f t="shared" si="16"/>
        <v>4.0124999999996191E-2</v>
      </c>
      <c r="CG31" s="53">
        <f t="shared" si="16"/>
        <v>2.1839999999997417E-2</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76.469399999999993</v>
      </c>
      <c r="X32" s="23">
        <v>79.114191000000005</v>
      </c>
      <c r="Y32" s="23">
        <v>36.955216</v>
      </c>
      <c r="Z32" s="23">
        <v>43.140441000000003</v>
      </c>
      <c r="AA32" s="23">
        <v>45.958556000000002</v>
      </c>
      <c r="AB32" s="24">
        <v>3498.53</v>
      </c>
      <c r="AC32" s="24">
        <v>18946.599999999999</v>
      </c>
      <c r="AD32" s="24">
        <v>45.225000000000001</v>
      </c>
      <c r="AE32" s="24">
        <v>79.510999999999996</v>
      </c>
      <c r="AG32" s="19">
        <f t="shared" si="6"/>
        <v>7.1605800000000004</v>
      </c>
      <c r="AH32" s="20">
        <f t="shared" si="7"/>
        <v>2.0344947909480736E-2</v>
      </c>
      <c r="AI32" s="20">
        <f t="shared" si="8"/>
        <v>1.3213229054422862E-2</v>
      </c>
      <c r="AJ32" s="20">
        <f t="shared" si="9"/>
        <v>1.0106862550412829E-2</v>
      </c>
      <c r="AK32" s="20">
        <f t="shared" si="10"/>
        <v>7.1317188550578739E-3</v>
      </c>
      <c r="AL32" s="17">
        <f t="shared" si="11"/>
        <v>4960544</v>
      </c>
      <c r="AM32" s="20">
        <v>16</v>
      </c>
      <c r="AN32" s="21">
        <v>91787366</v>
      </c>
      <c r="AO32" s="21">
        <v>2868355.1875</v>
      </c>
      <c r="AP32" s="21">
        <v>44534.90625</v>
      </c>
      <c r="AQ32" s="22">
        <v>7637952</v>
      </c>
      <c r="AR32" s="22">
        <v>3794344</v>
      </c>
      <c r="AS32" s="22">
        <v>1166200</v>
      </c>
      <c r="AT32" s="22">
        <v>2677408</v>
      </c>
      <c r="AU32" s="23">
        <v>76.469399999999993</v>
      </c>
      <c r="AV32" s="23">
        <v>79.114191000000005</v>
      </c>
      <c r="AW32" s="23">
        <v>36.945777999999997</v>
      </c>
      <c r="AX32" s="23">
        <v>43.103608999999999</v>
      </c>
      <c r="AY32" s="23">
        <v>45.733063000000001</v>
      </c>
      <c r="AZ32" s="24">
        <v>3594.56</v>
      </c>
      <c r="BA32" s="24">
        <v>17875.2</v>
      </c>
      <c r="BB32" s="24">
        <v>189.376</v>
      </c>
      <c r="BC32" s="24">
        <v>82.376000000000005</v>
      </c>
      <c r="BE32" s="49">
        <f t="shared" si="12"/>
        <v>1</v>
      </c>
      <c r="BF32" s="25">
        <f t="shared" si="13"/>
        <v>0</v>
      </c>
      <c r="BG32" s="25">
        <f t="shared" si="14"/>
        <v>1.025548169754642E-3</v>
      </c>
      <c r="BH32" s="25"/>
      <c r="BJ32" s="49"/>
      <c r="BK32" s="49"/>
      <c r="BL32" s="49"/>
      <c r="BM32" s="49"/>
      <c r="BN32" s="49"/>
      <c r="BP32" s="49"/>
      <c r="BQ32" s="49"/>
      <c r="BR32" s="49"/>
      <c r="BS32" s="49"/>
      <c r="BT32" s="49"/>
      <c r="BV32" s="53">
        <f t="shared" si="16"/>
        <v>0</v>
      </c>
      <c r="BW32" s="53">
        <f t="shared" si="16"/>
        <v>0</v>
      </c>
      <c r="BX32" s="53">
        <f t="shared" si="16"/>
        <v>0</v>
      </c>
      <c r="BY32" s="53">
        <f t="shared" si="16"/>
        <v>-12080</v>
      </c>
      <c r="BZ32" s="53">
        <f t="shared" si="16"/>
        <v>0</v>
      </c>
      <c r="CA32" s="53">
        <f t="shared" si="16"/>
        <v>0</v>
      </c>
      <c r="CB32" s="53">
        <f t="shared" si="16"/>
        <v>-12080</v>
      </c>
      <c r="CC32" s="53">
        <f t="shared" si="16"/>
        <v>0</v>
      </c>
      <c r="CD32" s="53">
        <f t="shared" si="16"/>
        <v>0</v>
      </c>
      <c r="CE32" s="53">
        <f t="shared" si="16"/>
        <v>-9.438000000002944E-3</v>
      </c>
      <c r="CF32" s="53">
        <f t="shared" si="16"/>
        <v>-3.6832000000003973E-2</v>
      </c>
      <c r="CG32" s="53">
        <f t="shared" si="16"/>
        <v>-0.22549300000000017</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77.566353000000007</v>
      </c>
      <c r="X33" s="14">
        <v>80.266603000000003</v>
      </c>
      <c r="Y33" s="14">
        <v>38.719509000000002</v>
      </c>
      <c r="Z33" s="14">
        <v>43.700431000000002</v>
      </c>
      <c r="AA33" s="14">
        <v>47.378552999999997</v>
      </c>
      <c r="AB33" s="15">
        <v>3578.9</v>
      </c>
      <c r="AC33" s="15">
        <v>19697.900000000001</v>
      </c>
      <c r="AD33" s="15">
        <v>44.302999999999997</v>
      </c>
      <c r="AE33" s="15">
        <v>80.478999999999999</v>
      </c>
      <c r="AG33" s="10">
        <f t="shared" si="6"/>
        <v>11.997142500000001</v>
      </c>
      <c r="AH33" s="11">
        <f t="shared" si="7"/>
        <v>3.4086797329981301E-2</v>
      </c>
      <c r="AI33" s="11">
        <f t="shared" si="8"/>
        <v>1.8543265991816223E-2</v>
      </c>
      <c r="AJ33" s="11">
        <f t="shared" si="9"/>
        <v>1.5436899487806192E-2</v>
      </c>
      <c r="AK33" s="11">
        <f t="shared" si="10"/>
        <v>1.5543531338165075E-2</v>
      </c>
      <c r="AL33" s="52">
        <f t="shared" si="11"/>
        <v>6961560</v>
      </c>
      <c r="AM33" s="11">
        <v>16</v>
      </c>
      <c r="AN33" s="12">
        <v>94114766</v>
      </c>
      <c r="AO33" s="12">
        <v>2941086.4375</v>
      </c>
      <c r="AP33" s="12">
        <v>49715.25</v>
      </c>
      <c r="AQ33" s="13">
        <v>12796952</v>
      </c>
      <c r="AR33" s="13">
        <v>5795360</v>
      </c>
      <c r="AS33" s="13">
        <v>1166200</v>
      </c>
      <c r="AT33" s="13">
        <v>5835392</v>
      </c>
      <c r="AU33" s="14">
        <v>77.566353000000007</v>
      </c>
      <c r="AV33" s="14">
        <v>80.266603000000003</v>
      </c>
      <c r="AW33" s="14">
        <v>38.711084</v>
      </c>
      <c r="AX33" s="14">
        <v>43.693449999999999</v>
      </c>
      <c r="AY33" s="14">
        <v>47.346178000000002</v>
      </c>
      <c r="AZ33" s="15">
        <v>3782.87</v>
      </c>
      <c r="BA33" s="15">
        <v>19745.900000000001</v>
      </c>
      <c r="BB33" s="15">
        <v>189.178</v>
      </c>
      <c r="BC33" s="15">
        <v>80.441000000000003</v>
      </c>
      <c r="BE33" s="50">
        <f t="shared" si="12"/>
        <v>1</v>
      </c>
      <c r="BF33" s="16">
        <f t="shared" si="13"/>
        <v>0</v>
      </c>
      <c r="BG33" s="16">
        <f t="shared" si="14"/>
        <v>6.7626127330377983E-4</v>
      </c>
      <c r="BH33" s="16"/>
      <c r="BJ33" s="50"/>
      <c r="BK33" s="50"/>
      <c r="BL33" s="50"/>
      <c r="BM33" s="50"/>
      <c r="BN33" s="50"/>
      <c r="BP33" s="50"/>
      <c r="BQ33" s="50"/>
      <c r="BR33" s="50"/>
      <c r="BS33" s="50"/>
      <c r="BT33" s="50"/>
      <c r="BV33" s="53">
        <f t="shared" si="16"/>
        <v>0</v>
      </c>
      <c r="BW33" s="53">
        <f t="shared" si="16"/>
        <v>0</v>
      </c>
      <c r="BX33" s="53">
        <f t="shared" si="16"/>
        <v>0</v>
      </c>
      <c r="BY33" s="53">
        <f t="shared" si="16"/>
        <v>-15928</v>
      </c>
      <c r="BZ33" s="53">
        <f t="shared" si="16"/>
        <v>0</v>
      </c>
      <c r="CA33" s="53">
        <f t="shared" si="16"/>
        <v>0</v>
      </c>
      <c r="CB33" s="53">
        <f t="shared" si="16"/>
        <v>-15928</v>
      </c>
      <c r="CC33" s="53">
        <f t="shared" si="16"/>
        <v>0</v>
      </c>
      <c r="CD33" s="53">
        <f t="shared" si="16"/>
        <v>0</v>
      </c>
      <c r="CE33" s="53">
        <f t="shared" si="16"/>
        <v>-8.4250000000025693E-3</v>
      </c>
      <c r="CF33" s="53">
        <f t="shared" si="16"/>
        <v>-6.9810000000032346E-3</v>
      </c>
      <c r="CG33" s="53">
        <f t="shared" si="16"/>
        <v>-3.2374999999994714E-2</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78.500297000000003</v>
      </c>
      <c r="X34" s="42">
        <v>81.895680999999996</v>
      </c>
      <c r="Y34" s="42">
        <v>40.507658999999997</v>
      </c>
      <c r="Z34" s="42">
        <v>44.373978000000001</v>
      </c>
      <c r="AA34" s="42">
        <v>48.810296999999998</v>
      </c>
      <c r="AB34" s="43">
        <v>3611.13</v>
      </c>
      <c r="AC34" s="43">
        <v>22249</v>
      </c>
      <c r="AD34" s="43">
        <v>45.359000000000002</v>
      </c>
      <c r="AE34" s="43">
        <v>89.921000000000006</v>
      </c>
      <c r="AG34" s="38">
        <f t="shared" si="6"/>
        <v>24.630690000000001</v>
      </c>
      <c r="AH34" s="39">
        <f t="shared" si="7"/>
        <v>6.9981775921024281E-2</v>
      </c>
      <c r="AI34" s="39">
        <f t="shared" si="8"/>
        <v>3.0977404902160124E-2</v>
      </c>
      <c r="AJ34" s="39">
        <f t="shared" si="9"/>
        <v>2.459758549552615E-2</v>
      </c>
      <c r="AK34" s="39">
        <f t="shared" si="10"/>
        <v>3.9004371018864163E-2</v>
      </c>
      <c r="AL34" s="36">
        <f t="shared" si="11"/>
        <v>11629616</v>
      </c>
      <c r="AM34" s="39">
        <v>16</v>
      </c>
      <c r="AN34" s="40">
        <v>92205535</v>
      </c>
      <c r="AO34" s="40">
        <v>2881422.96875</v>
      </c>
      <c r="AP34" s="40">
        <v>21180.46875</v>
      </c>
      <c r="AQ34" s="41">
        <v>26272736</v>
      </c>
      <c r="AR34" s="41">
        <v>9234488</v>
      </c>
      <c r="AS34" s="41">
        <v>2395128</v>
      </c>
      <c r="AT34" s="41">
        <v>14643120</v>
      </c>
      <c r="AU34" s="42">
        <v>78.500297000000003</v>
      </c>
      <c r="AV34" s="42">
        <v>81.895680999999996</v>
      </c>
      <c r="AW34" s="42">
        <v>40.500866000000002</v>
      </c>
      <c r="AX34" s="42">
        <v>44.376036999999997</v>
      </c>
      <c r="AY34" s="42">
        <v>48.810671999999997</v>
      </c>
      <c r="AZ34" s="43">
        <v>3625.25</v>
      </c>
      <c r="BA34" s="43">
        <v>20430.7</v>
      </c>
      <c r="BB34" s="43">
        <v>177.15799999999999</v>
      </c>
      <c r="BC34" s="43">
        <v>85.918000000000006</v>
      </c>
      <c r="BE34" s="44">
        <f t="shared" si="12"/>
        <v>1</v>
      </c>
      <c r="BF34" s="45">
        <f t="shared" si="13"/>
        <v>0</v>
      </c>
      <c r="BG34" s="45">
        <f t="shared" si="14"/>
        <v>1.5629654358639833E-4</v>
      </c>
      <c r="BH34" s="45"/>
      <c r="BJ34" s="44"/>
      <c r="BK34" s="44"/>
      <c r="BL34" s="44"/>
      <c r="BM34" s="44"/>
      <c r="BN34" s="44"/>
      <c r="BP34" s="44"/>
      <c r="BQ34" s="44"/>
      <c r="BR34" s="44"/>
      <c r="BS34" s="44"/>
      <c r="BT34" s="44"/>
      <c r="BV34" s="53">
        <f t="shared" si="16"/>
        <v>0</v>
      </c>
      <c r="BW34" s="53">
        <f t="shared" si="16"/>
        <v>0</v>
      </c>
      <c r="BX34" s="53">
        <f t="shared" si="16"/>
        <v>0</v>
      </c>
      <c r="BY34" s="53">
        <f t="shared" si="16"/>
        <v>-9280</v>
      </c>
      <c r="BZ34" s="53">
        <f t="shared" si="16"/>
        <v>0</v>
      </c>
      <c r="CA34" s="53">
        <f t="shared" si="16"/>
        <v>0</v>
      </c>
      <c r="CB34" s="53">
        <f t="shared" si="16"/>
        <v>-9280</v>
      </c>
      <c r="CC34" s="53">
        <f t="shared" si="16"/>
        <v>0</v>
      </c>
      <c r="CD34" s="53">
        <f t="shared" si="16"/>
        <v>0</v>
      </c>
      <c r="CE34" s="53">
        <f t="shared" si="16"/>
        <v>-6.7929999999947199E-3</v>
      </c>
      <c r="CF34" s="53">
        <f t="shared" si="16"/>
        <v>2.0589999999955921E-3</v>
      </c>
      <c r="CG34" s="53">
        <f t="shared" si="16"/>
        <v>3.7499999999823785E-4</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73.186065999999997</v>
      </c>
      <c r="X35" s="14">
        <v>75.395090999999994</v>
      </c>
      <c r="Y35" s="14">
        <v>31.782212000000001</v>
      </c>
      <c r="Z35" s="14">
        <v>42.191983999999998</v>
      </c>
      <c r="AA35" s="14">
        <v>43.412916000000003</v>
      </c>
      <c r="AB35" s="15">
        <v>3181.05</v>
      </c>
      <c r="AC35" s="15">
        <v>18395.2</v>
      </c>
      <c r="AD35" s="15">
        <v>40.122999999999998</v>
      </c>
      <c r="AE35" s="15">
        <v>78.234999999999999</v>
      </c>
      <c r="AG35" s="10">
        <f t="shared" si="6"/>
        <v>4.6538174999999997</v>
      </c>
      <c r="AH35" s="11">
        <f t="shared" si="7"/>
        <v>1.4898591598998734E-2</v>
      </c>
      <c r="AI35" s="11">
        <f t="shared" si="8"/>
        <v>1.1175390318305084E-2</v>
      </c>
      <c r="AJ35" s="11">
        <f t="shared" si="9"/>
        <v>7.155662143968255E-3</v>
      </c>
      <c r="AK35" s="11">
        <f t="shared" si="10"/>
        <v>3.7232012806936512E-3</v>
      </c>
      <c r="AL35" s="52">
        <f t="shared" si="11"/>
        <v>3723536</v>
      </c>
      <c r="AM35" s="11">
        <v>16</v>
      </c>
      <c r="AN35" s="12">
        <v>74793925</v>
      </c>
      <c r="AO35" s="12">
        <v>2337310.15625</v>
      </c>
      <c r="AP35" s="12">
        <v>30824.78125</v>
      </c>
      <c r="AQ35" s="13">
        <v>4964072</v>
      </c>
      <c r="AR35" s="13">
        <v>2384200</v>
      </c>
      <c r="AS35" s="13">
        <v>1339336</v>
      </c>
      <c r="AT35" s="13">
        <v>1240536</v>
      </c>
      <c r="AU35" s="14">
        <v>73.186065999999997</v>
      </c>
      <c r="AV35" s="14">
        <v>75.395090999999994</v>
      </c>
      <c r="AW35" s="14">
        <v>31.772736999999999</v>
      </c>
      <c r="AX35" s="14">
        <v>42.166806000000001</v>
      </c>
      <c r="AY35" s="14">
        <v>43.301172000000001</v>
      </c>
      <c r="AZ35" s="15">
        <v>3259.7</v>
      </c>
      <c r="BA35" s="15">
        <v>18482.400000000001</v>
      </c>
      <c r="BB35" s="15">
        <v>145.34399999999999</v>
      </c>
      <c r="BC35" s="15">
        <v>78.052999999999997</v>
      </c>
      <c r="BE35" s="50">
        <f t="shared" si="12"/>
        <v>1</v>
      </c>
      <c r="BF35" s="16">
        <f t="shared" si="13"/>
        <v>0</v>
      </c>
      <c r="BG35" s="16">
        <f t="shared" si="14"/>
        <v>4.9771227620676317E-4</v>
      </c>
      <c r="BH35" s="16">
        <f t="array" ref="BH35">AVERAGE(AL35:AL39/AQ35:AQ39) - AVERAGE(N35:N39/S35:S39)</f>
        <v>4.481451872595521E-4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1.3978135744554532E-3</v>
      </c>
      <c r="BM35" s="50">
        <f>IF( OR(ISBLANK(V35:V39),ISBLANK(AT35:AT39), ISBLANK(Z35:Z39),ISBLANK(AX35:AX39)), "·", bdRateExtend( V35:V39,Z35:Z39, AT35:AT39,AX35:AX39))</f>
        <v>-1.2064142599294003E-3</v>
      </c>
      <c r="BN35" s="50">
        <f>IF( OR(ISBLANK(V35:V39),ISBLANK(AT35:AT39), ISBLANK(AA35:AA39),ISBLANK(AY35:AY39)), "·", bdRateExtend( V35:V39,AA35:AA39, AT35:AT39,AY35:AY39))</f>
        <v>2.901878371215294E-2</v>
      </c>
      <c r="BP35" s="50">
        <f>IF( OR(ISBLANK(S35:S39),ISBLANK(AQ35:AQ39), ISBLANK(W35:W39),ISBLANK(AU35:AU39)), "·", bdRateExtend( S35:S39,W35:W39, AQ35:AQ39,AU35:AU39))</f>
        <v>-7.2003766234240985E-4</v>
      </c>
      <c r="BQ35" s="50">
        <f>IF( OR(ISBLANK(S35:S39),ISBLANK(AQ35:AQ39), ISBLANK(X35:X39),ISBLANK(AV35:AV39)), "·", bdRateExtend( S35:S39,X35:X39, AQ35:AQ39,AV35:AV39))</f>
        <v>-8.1100327394811877E-4</v>
      </c>
      <c r="BR35" s="50">
        <f>IF( OR(ISBLANK(S35:S39),ISBLANK(AQ35:AQ39), ISBLANK(Y35:Y39),ISBLANK(AW35:AW39)), "·", bdRateExtend( S35:S39,Y35:Y39, AQ35:AQ39,AW35:AW39))</f>
        <v>1.3558535095756774E-3</v>
      </c>
      <c r="BS35" s="50">
        <f>IF( OR(ISBLANK(S35:S39),ISBLANK(AQ35:AQ39), ISBLANK(Z35:Z39),ISBLANK(AX35:AX39)), "·", bdRateExtend( S35:S39,Z35:Z39, AQ35:AQ39,AX35:AX39))</f>
        <v>-8.5722885312944364E-5</v>
      </c>
      <c r="BT35" s="50">
        <f>IF( OR(ISBLANK(S35:S39),ISBLANK(AQ35:AQ39), ISBLANK(AA35:AA39),ISBLANK(AY35:AY39)), "·", bdRateExtend( S35:S39,AA35:AA39, AQ35:AQ39,AY35:AY39))</f>
        <v>1.7899529375733136E-2</v>
      </c>
      <c r="BV35" s="53">
        <f t="shared" si="16"/>
        <v>0</v>
      </c>
      <c r="BW35" s="53">
        <f t="shared" si="16"/>
        <v>0</v>
      </c>
      <c r="BX35" s="53">
        <f t="shared" si="16"/>
        <v>0</v>
      </c>
      <c r="BY35" s="53">
        <f t="shared" si="16"/>
        <v>-3296</v>
      </c>
      <c r="BZ35" s="53">
        <f t="shared" si="16"/>
        <v>0</v>
      </c>
      <c r="CA35" s="53">
        <f t="shared" si="16"/>
        <v>0</v>
      </c>
      <c r="CB35" s="53">
        <f t="shared" si="16"/>
        <v>-3296</v>
      </c>
      <c r="CC35" s="53">
        <f t="shared" si="16"/>
        <v>0</v>
      </c>
      <c r="CD35" s="53">
        <f t="shared" si="16"/>
        <v>0</v>
      </c>
      <c r="CE35" s="53">
        <f t="shared" si="16"/>
        <v>-9.4750000000018986E-3</v>
      </c>
      <c r="CF35" s="53">
        <f t="shared" si="16"/>
        <v>-2.5177999999996814E-2</v>
      </c>
      <c r="CG35" s="53">
        <f t="shared" si="16"/>
        <v>-0.11174400000000162</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74.938500000000005</v>
      </c>
      <c r="X36" s="23">
        <v>77.355886999999996</v>
      </c>
      <c r="Y36" s="23">
        <v>34.0428</v>
      </c>
      <c r="Z36" s="23">
        <v>42.958224999999999</v>
      </c>
      <c r="AA36" s="23">
        <v>44.998649999999998</v>
      </c>
      <c r="AB36" s="24">
        <v>3293.02</v>
      </c>
      <c r="AC36" s="24">
        <v>20546.5</v>
      </c>
      <c r="AD36" s="24">
        <v>42.46</v>
      </c>
      <c r="AE36" s="24">
        <v>84.766000000000005</v>
      </c>
      <c r="AG36" s="19">
        <f t="shared" si="6"/>
        <v>6.2390774999999996</v>
      </c>
      <c r="AH36" s="20">
        <f t="shared" si="7"/>
        <v>1.9973595360583442E-2</v>
      </c>
      <c r="AI36" s="20">
        <f t="shared" si="8"/>
        <v>1.3755462416298193E-2</v>
      </c>
      <c r="AJ36" s="20">
        <f t="shared" si="9"/>
        <v>9.7357342419613652E-3</v>
      </c>
      <c r="AK36" s="20">
        <f t="shared" si="10"/>
        <v>6.2181329442852467E-3</v>
      </c>
      <c r="AL36" s="17">
        <f t="shared" si="11"/>
        <v>4583192</v>
      </c>
      <c r="AM36" s="20">
        <v>16</v>
      </c>
      <c r="AN36" s="21">
        <v>79976742</v>
      </c>
      <c r="AO36" s="21">
        <v>2499273.1875</v>
      </c>
      <c r="AP36" s="21">
        <v>39105.5</v>
      </c>
      <c r="AQ36" s="22">
        <v>6655016</v>
      </c>
      <c r="AR36" s="22">
        <v>3243856</v>
      </c>
      <c r="AS36" s="22">
        <v>1339336</v>
      </c>
      <c r="AT36" s="22">
        <v>2071824</v>
      </c>
      <c r="AU36" s="23">
        <v>74.938500000000005</v>
      </c>
      <c r="AV36" s="23">
        <v>77.355886999999996</v>
      </c>
      <c r="AW36" s="23">
        <v>34.027749999999997</v>
      </c>
      <c r="AX36" s="23">
        <v>42.970125000000003</v>
      </c>
      <c r="AY36" s="23">
        <v>44.81635</v>
      </c>
      <c r="AZ36" s="24">
        <v>3874.13</v>
      </c>
      <c r="BA36" s="24">
        <v>26128.799999999999</v>
      </c>
      <c r="BB36" s="24">
        <v>180.93799999999999</v>
      </c>
      <c r="BC36" s="24">
        <v>106.18300000000001</v>
      </c>
      <c r="BE36" s="49">
        <f t="shared" si="12"/>
        <v>1</v>
      </c>
      <c r="BF36" s="25">
        <f t="shared" si="13"/>
        <v>0</v>
      </c>
      <c r="BG36" s="25">
        <f t="shared" si="14"/>
        <v>-1.6557709828890488E-5</v>
      </c>
      <c r="BH36" s="25"/>
      <c r="BJ36" s="49"/>
      <c r="BK36" s="49"/>
      <c r="BL36" s="49"/>
      <c r="BM36" s="49"/>
      <c r="BN36" s="49"/>
      <c r="BP36" s="49"/>
      <c r="BQ36" s="49"/>
      <c r="BR36" s="49"/>
      <c r="BS36" s="49"/>
      <c r="BT36" s="49"/>
      <c r="BV36" s="53">
        <f t="shared" si="16"/>
        <v>0</v>
      </c>
      <c r="BW36" s="53">
        <f t="shared" si="16"/>
        <v>0</v>
      </c>
      <c r="BX36" s="53">
        <f t="shared" si="16"/>
        <v>0</v>
      </c>
      <c r="BY36" s="53">
        <f t="shared" si="16"/>
        <v>160</v>
      </c>
      <c r="BZ36" s="53">
        <f t="shared" si="16"/>
        <v>0</v>
      </c>
      <c r="CA36" s="53">
        <f t="shared" si="16"/>
        <v>0</v>
      </c>
      <c r="CB36" s="53">
        <f t="shared" si="16"/>
        <v>160</v>
      </c>
      <c r="CC36" s="53">
        <f t="shared" si="16"/>
        <v>0</v>
      </c>
      <c r="CD36" s="53">
        <f t="shared" si="16"/>
        <v>0</v>
      </c>
      <c r="CE36" s="53">
        <f t="shared" si="16"/>
        <v>-1.5050000000002228E-2</v>
      </c>
      <c r="CF36" s="53">
        <f t="shared" si="16"/>
        <v>1.1900000000004241E-2</v>
      </c>
      <c r="CG36" s="53">
        <f t="shared" si="16"/>
        <v>-0.18229999999999791</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76.246069000000006</v>
      </c>
      <c r="X37" s="14">
        <v>78.937634000000003</v>
      </c>
      <c r="Y37" s="14">
        <v>36.130122</v>
      </c>
      <c r="Z37" s="14">
        <v>43.529097</v>
      </c>
      <c r="AA37" s="14">
        <v>46.101627999999998</v>
      </c>
      <c r="AB37" s="15">
        <v>3261.57</v>
      </c>
      <c r="AC37" s="15">
        <v>21773</v>
      </c>
      <c r="AD37" s="15">
        <v>42.293999999999997</v>
      </c>
      <c r="AE37" s="15">
        <v>81.581000000000003</v>
      </c>
      <c r="AG37" s="10">
        <f t="shared" si="6"/>
        <v>8.9012700000000002</v>
      </c>
      <c r="AH37" s="11">
        <f t="shared" si="7"/>
        <v>2.8496258489384137E-2</v>
      </c>
      <c r="AI37" s="11">
        <f t="shared" si="8"/>
        <v>1.7446345867125956E-2</v>
      </c>
      <c r="AJ37" s="11">
        <f t="shared" si="9"/>
        <v>1.3426617692789128E-2</v>
      </c>
      <c r="AK37" s="11">
        <f t="shared" si="10"/>
        <v>1.1049912622258181E-2</v>
      </c>
      <c r="AL37" s="52">
        <f t="shared" si="11"/>
        <v>5812960</v>
      </c>
      <c r="AM37" s="11">
        <v>16</v>
      </c>
      <c r="AN37" s="12">
        <v>81787481</v>
      </c>
      <c r="AO37" s="12">
        <v>2555858.78125</v>
      </c>
      <c r="AP37" s="12">
        <v>42911.78125</v>
      </c>
      <c r="AQ37" s="13">
        <v>9494688</v>
      </c>
      <c r="AR37" s="13">
        <v>4473624</v>
      </c>
      <c r="AS37" s="13">
        <v>1339336</v>
      </c>
      <c r="AT37" s="13">
        <v>3681728</v>
      </c>
      <c r="AU37" s="14">
        <v>76.246069000000006</v>
      </c>
      <c r="AV37" s="14">
        <v>78.937634000000003</v>
      </c>
      <c r="AW37" s="14">
        <v>36.120412000000002</v>
      </c>
      <c r="AX37" s="14">
        <v>43.534740999999997</v>
      </c>
      <c r="AY37" s="14">
        <v>46.106068999999998</v>
      </c>
      <c r="AZ37" s="15">
        <v>3463.91</v>
      </c>
      <c r="BA37" s="15">
        <v>21879.1</v>
      </c>
      <c r="BB37" s="15">
        <v>173.85400000000001</v>
      </c>
      <c r="BC37" s="15">
        <v>86.185000000000002</v>
      </c>
      <c r="BE37" s="50">
        <f t="shared" si="12"/>
        <v>1</v>
      </c>
      <c r="BF37" s="16">
        <f t="shared" si="13"/>
        <v>0</v>
      </c>
      <c r="BG37" s="16">
        <f t="shared" si="14"/>
        <v>4.5979526638173507E-4</v>
      </c>
      <c r="BH37" s="16"/>
      <c r="BJ37" s="50"/>
      <c r="BK37" s="50"/>
      <c r="BL37" s="50"/>
      <c r="BM37" s="50"/>
      <c r="BN37" s="50"/>
      <c r="BP37" s="50"/>
      <c r="BQ37" s="50"/>
      <c r="BR37" s="50"/>
      <c r="BS37" s="50"/>
      <c r="BT37" s="50"/>
      <c r="BV37" s="53">
        <f t="shared" si="16"/>
        <v>0</v>
      </c>
      <c r="BW37" s="53">
        <f t="shared" si="16"/>
        <v>0</v>
      </c>
      <c r="BX37" s="53">
        <f t="shared" si="16"/>
        <v>0</v>
      </c>
      <c r="BY37" s="53">
        <f t="shared" si="16"/>
        <v>-7136</v>
      </c>
      <c r="BZ37" s="53">
        <f t="shared" si="16"/>
        <v>0</v>
      </c>
      <c r="CA37" s="53">
        <f t="shared" si="16"/>
        <v>0</v>
      </c>
      <c r="CB37" s="53">
        <f t="shared" si="16"/>
        <v>-7136</v>
      </c>
      <c r="CC37" s="53">
        <f t="shared" si="16"/>
        <v>0</v>
      </c>
      <c r="CD37" s="53">
        <f t="shared" si="16"/>
        <v>0</v>
      </c>
      <c r="CE37" s="53">
        <f t="shared" si="16"/>
        <v>-9.7099999999983311E-3</v>
      </c>
      <c r="CF37" s="53">
        <f t="shared" si="16"/>
        <v>5.6439999999966517E-3</v>
      </c>
      <c r="CG37" s="53">
        <f t="shared" si="16"/>
        <v>4.4409999999999172E-3</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77.415709000000007</v>
      </c>
      <c r="X38" s="23">
        <v>80.131399999999999</v>
      </c>
      <c r="Y38" s="23">
        <v>38.085527999999996</v>
      </c>
      <c r="Z38" s="23">
        <v>44.206916</v>
      </c>
      <c r="AA38" s="23">
        <v>47.257871999999999</v>
      </c>
      <c r="AB38" s="24">
        <v>3339.52</v>
      </c>
      <c r="AC38" s="24">
        <v>22297.7</v>
      </c>
      <c r="AD38" s="24">
        <v>41.637999999999998</v>
      </c>
      <c r="AE38" s="24">
        <v>83.885999999999996</v>
      </c>
      <c r="AG38" s="19">
        <f t="shared" si="6"/>
        <v>14.406495</v>
      </c>
      <c r="AH38" s="20">
        <f t="shared" si="7"/>
        <v>4.6120520492696E-2</v>
      </c>
      <c r="AI38" s="20">
        <f t="shared" si="8"/>
        <v>2.3715596686436816E-2</v>
      </c>
      <c r="AJ38" s="20">
        <f t="shared" si="9"/>
        <v>1.9695868512099989E-2</v>
      </c>
      <c r="AK38" s="20">
        <f t="shared" si="10"/>
        <v>2.2404923806259185E-2</v>
      </c>
      <c r="AL38" s="17">
        <f t="shared" si="11"/>
        <v>7901816</v>
      </c>
      <c r="AM38" s="20">
        <v>16</v>
      </c>
      <c r="AN38" s="21">
        <v>83859347</v>
      </c>
      <c r="AO38" s="21">
        <v>2620604.59375</v>
      </c>
      <c r="AP38" s="21">
        <v>48103.65625</v>
      </c>
      <c r="AQ38" s="22">
        <v>15366928</v>
      </c>
      <c r="AR38" s="22">
        <v>6562480</v>
      </c>
      <c r="AS38" s="22">
        <v>1339336</v>
      </c>
      <c r="AT38" s="22">
        <v>7465112</v>
      </c>
      <c r="AU38" s="23">
        <v>77.415709000000007</v>
      </c>
      <c r="AV38" s="23">
        <v>80.131399999999999</v>
      </c>
      <c r="AW38" s="23">
        <v>38.075831000000001</v>
      </c>
      <c r="AX38" s="23">
        <v>44.196578000000002</v>
      </c>
      <c r="AY38" s="23">
        <v>47.237946999999998</v>
      </c>
      <c r="AZ38" s="24">
        <v>3811.63</v>
      </c>
      <c r="BA38" s="24">
        <v>23336.2</v>
      </c>
      <c r="BB38" s="24">
        <v>180.73400000000001</v>
      </c>
      <c r="BC38" s="24">
        <v>96.921999999999997</v>
      </c>
      <c r="BE38" s="49">
        <f t="shared" si="12"/>
        <v>1</v>
      </c>
      <c r="BF38" s="25">
        <f t="shared" si="13"/>
        <v>0</v>
      </c>
      <c r="BG38" s="25">
        <f t="shared" si="14"/>
        <v>1.001106161366061E-3</v>
      </c>
      <c r="BH38" s="25"/>
      <c r="BJ38" s="49"/>
      <c r="BK38" s="49"/>
      <c r="BL38" s="49"/>
      <c r="BM38" s="49"/>
      <c r="BN38" s="49"/>
      <c r="BP38" s="49"/>
      <c r="BQ38" s="49"/>
      <c r="BR38" s="49"/>
      <c r="BS38" s="49"/>
      <c r="BT38" s="49"/>
      <c r="BV38" s="53">
        <f t="shared" si="16"/>
        <v>0</v>
      </c>
      <c r="BW38" s="53">
        <f t="shared" si="16"/>
        <v>0</v>
      </c>
      <c r="BX38" s="53">
        <f t="shared" si="16"/>
        <v>0</v>
      </c>
      <c r="BY38" s="53">
        <f t="shared" si="16"/>
        <v>-29976</v>
      </c>
      <c r="BZ38" s="53">
        <f t="shared" si="16"/>
        <v>0</v>
      </c>
      <c r="CA38" s="53">
        <f t="shared" si="16"/>
        <v>0</v>
      </c>
      <c r="CB38" s="53">
        <f t="shared" si="16"/>
        <v>-29976</v>
      </c>
      <c r="CC38" s="53">
        <f t="shared" si="16"/>
        <v>0</v>
      </c>
      <c r="CD38" s="53">
        <f t="shared" si="16"/>
        <v>0</v>
      </c>
      <c r="CE38" s="53">
        <f t="shared" si="16"/>
        <v>-9.6969999999956258E-3</v>
      </c>
      <c r="CF38" s="53">
        <f t="shared" si="16"/>
        <v>-1.0337999999997294E-2</v>
      </c>
      <c r="CG38" s="53">
        <f t="shared" si="16"/>
        <v>-1.9925000000000637E-2</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78.311515999999997</v>
      </c>
      <c r="X39" s="32">
        <v>81.848194000000007</v>
      </c>
      <c r="Y39" s="32">
        <v>40.156066000000003</v>
      </c>
      <c r="Z39" s="32">
        <v>45.115955999999997</v>
      </c>
      <c r="AA39" s="32">
        <v>48.630465999999998</v>
      </c>
      <c r="AB39" s="33">
        <v>3246.96</v>
      </c>
      <c r="AC39" s="33">
        <v>24099.599999999999</v>
      </c>
      <c r="AD39" s="33">
        <v>41.271000000000001</v>
      </c>
      <c r="AE39" s="33">
        <v>93.88</v>
      </c>
      <c r="AG39" s="28">
        <f t="shared" si="6"/>
        <v>28.640317499999998</v>
      </c>
      <c r="AH39" s="29">
        <f t="shared" si="7"/>
        <v>9.168825242892667E-2</v>
      </c>
      <c r="AI39" s="29">
        <f t="shared" si="8"/>
        <v>3.8473536095722051E-2</v>
      </c>
      <c r="AJ39" s="29">
        <f t="shared" si="9"/>
        <v>3.036807550165365E-2</v>
      </c>
      <c r="AK39" s="29">
        <f t="shared" si="10"/>
        <v>5.3214716333204619E-2</v>
      </c>
      <c r="AL39" s="26">
        <f t="shared" si="11"/>
        <v>12819024</v>
      </c>
      <c r="AM39" s="29">
        <v>16</v>
      </c>
      <c r="AN39" s="30">
        <v>82067544</v>
      </c>
      <c r="AO39" s="30">
        <v>2564610.75</v>
      </c>
      <c r="AP39" s="30">
        <v>19264.46875</v>
      </c>
      <c r="AQ39" s="31">
        <v>30549672</v>
      </c>
      <c r="AR39" s="31">
        <v>10118360</v>
      </c>
      <c r="AS39" s="31">
        <v>2700664</v>
      </c>
      <c r="AT39" s="31">
        <v>17730648</v>
      </c>
      <c r="AU39" s="32">
        <v>78.311515999999997</v>
      </c>
      <c r="AV39" s="32">
        <v>81.848194000000007</v>
      </c>
      <c r="AW39" s="32">
        <v>40.150694000000001</v>
      </c>
      <c r="AX39" s="32">
        <v>45.116987999999999</v>
      </c>
      <c r="AY39" s="32">
        <v>48.623286999999998</v>
      </c>
      <c r="AZ39" s="33">
        <v>3618.34</v>
      </c>
      <c r="BA39" s="33">
        <v>25057.8</v>
      </c>
      <c r="BB39" s="33">
        <v>166.239</v>
      </c>
      <c r="BC39" s="33">
        <v>92.957999999999998</v>
      </c>
      <c r="BE39" s="34">
        <f t="shared" si="12"/>
        <v>1</v>
      </c>
      <c r="BF39" s="35">
        <f t="shared" si="13"/>
        <v>0</v>
      </c>
      <c r="BG39" s="35">
        <f t="shared" si="14"/>
        <v>2.9866994217203624E-4</v>
      </c>
      <c r="BH39" s="35"/>
      <c r="BJ39" s="34"/>
      <c r="BK39" s="34"/>
      <c r="BL39" s="34"/>
      <c r="BM39" s="34"/>
      <c r="BN39" s="34"/>
      <c r="BP39" s="34"/>
      <c r="BQ39" s="34"/>
      <c r="BR39" s="34"/>
      <c r="BS39" s="34"/>
      <c r="BT39" s="34"/>
      <c r="BV39" s="53">
        <f t="shared" si="16"/>
        <v>0</v>
      </c>
      <c r="BW39" s="53">
        <f t="shared" si="16"/>
        <v>0</v>
      </c>
      <c r="BX39" s="53">
        <f t="shared" si="16"/>
        <v>0</v>
      </c>
      <c r="BY39" s="53">
        <f t="shared" si="16"/>
        <v>-21760</v>
      </c>
      <c r="BZ39" s="53">
        <f t="shared" si="16"/>
        <v>0</v>
      </c>
      <c r="CA39" s="53">
        <f t="shared" si="16"/>
        <v>0</v>
      </c>
      <c r="CB39" s="53">
        <f t="shared" si="16"/>
        <v>-21760</v>
      </c>
      <c r="CC39" s="53">
        <f t="shared" si="16"/>
        <v>0</v>
      </c>
      <c r="CD39" s="53">
        <f t="shared" si="16"/>
        <v>0</v>
      </c>
      <c r="CE39" s="53">
        <f t="shared" si="16"/>
        <v>-5.3720000000012647E-3</v>
      </c>
      <c r="CF39" s="53">
        <f t="shared" si="16"/>
        <v>1.0320000000021423E-3</v>
      </c>
      <c r="CG39" s="53">
        <f t="shared" si="16"/>
        <v>-7.1790000000007126E-3</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1.7607443125499909E-2</v>
      </c>
      <c r="AI40" s="47">
        <f>AVERAGE(AI5:AI24)</f>
        <v>9.5321793276372524E-3</v>
      </c>
      <c r="AJ40" s="47">
        <f>AVERAGE(AJ5:AJ24)</f>
        <v>6.9516832599163803E-3</v>
      </c>
      <c r="AK40" s="47">
        <f>AVERAGE(AK5:AK24)</f>
        <v>8.0752637978626605E-3</v>
      </c>
      <c r="BE40" s="51">
        <f t="shared" si="12"/>
        <v>1</v>
      </c>
      <c r="BH40" s="55">
        <f>AVERAGE(BH5:BH24)</f>
        <v>5.2691831834034697E-3</v>
      </c>
      <c r="BJ40" s="51">
        <f>AVERAGE(BJ5:BJ24)</f>
        <v>0</v>
      </c>
      <c r="BK40" s="51">
        <f>AVERAGE(BK5:BK24)</f>
        <v>0</v>
      </c>
      <c r="BL40" s="51">
        <f>AVERAGE(BL5:BL24)</f>
        <v>-4.7664351939374627E-3</v>
      </c>
      <c r="BM40" s="51">
        <f>AVERAGE(BM5:BM24)</f>
        <v>-2.2129799405056966E-2</v>
      </c>
      <c r="BN40" s="51">
        <f>AVERAGE(BN5:BN24)</f>
        <v>-1.7272905861679538E-2</v>
      </c>
      <c r="BP40" s="51">
        <f>AVERAGE(BP5:BP24)</f>
        <v>-8.5569260754819187E-3</v>
      </c>
      <c r="BQ40" s="51">
        <f>AVERAGE(BQ5:BQ24)</f>
        <v>-1.023661804787071E-2</v>
      </c>
      <c r="BR40" s="51">
        <f>AVERAGE(BR5:BR24)</f>
        <v>4.4991487996479673E-3</v>
      </c>
      <c r="BS40" s="51">
        <f>AVERAGE(BS5:BS24)</f>
        <v>-1.144626692659706E-2</v>
      </c>
      <c r="BT40" s="51">
        <f>AVERAGE(BT5:BT24)</f>
        <v>-9.0659160117061155E-3</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3.8177977020693157E-2</v>
      </c>
      <c r="AI41" s="47">
        <f>AVERAGE(AI25:AI29)</f>
        <v>1.1417285892349041E-2</v>
      </c>
      <c r="AJ41" s="47">
        <f>AVERAGE(AJ25:AJ29)</f>
        <v>8.7672756735900897E-3</v>
      </c>
      <c r="AK41" s="47">
        <f>AVERAGE(AK25:AK29)</f>
        <v>2.6760691128344116E-2</v>
      </c>
      <c r="BE41" s="51">
        <f t="shared" si="12"/>
        <v>1</v>
      </c>
      <c r="BH41" s="55">
        <f>AVERAGE(BH25:BH29)</f>
        <v>9.2041497457912014E-4</v>
      </c>
      <c r="BJ41" s="51">
        <f>AVERAGE(BJ25:BJ29)</f>
        <v>0</v>
      </c>
      <c r="BK41" s="51">
        <f>AVERAGE(BK25:BK29)</f>
        <v>0</v>
      </c>
      <c r="BL41" s="51">
        <f>AVERAGE(BL25:BL29)</f>
        <v>-1.6959913863897613E-3</v>
      </c>
      <c r="BM41" s="51">
        <f>AVERAGE(BM25:BM29)</f>
        <v>-3.2582404322996084E-3</v>
      </c>
      <c r="BN41" s="51">
        <f>AVERAGE(BN25:BN29)</f>
        <v>-6.1033729046862106E-3</v>
      </c>
      <c r="BP41" s="51">
        <f>AVERAGE(BP25:BP29)</f>
        <v>-2.8352836117674363E-3</v>
      </c>
      <c r="BQ41" s="51">
        <f>AVERAGE(BQ25:BQ29)</f>
        <v>-3.1542199096560308E-3</v>
      </c>
      <c r="BR41" s="51">
        <f>AVERAGE(BR25:BR29)</f>
        <v>-1.7566143450786775E-4</v>
      </c>
      <c r="BS41" s="51">
        <f>AVERAGE(BS25:BS29)</f>
        <v>-1.5650931281827596E-3</v>
      </c>
      <c r="BT41" s="51">
        <f>AVERAGE(BT25:BT29)</f>
        <v>-3.6029566510759059E-3</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3.5024046893903718E-2</v>
      </c>
      <c r="AI42" s="47">
        <f>AVERAGE(AI30:AI39)</f>
        <v>1.8600416961661072E-2</v>
      </c>
      <c r="AJ42" s="47">
        <f>AVERAGE(AJ30:AJ39)</f>
        <v>1.4301451090252094E-2</v>
      </c>
      <c r="AK42" s="47">
        <f>AVERAGE(AK30:AK39)</f>
        <v>1.6423629932242643E-2</v>
      </c>
      <c r="BE42" s="51">
        <f t="shared" si="12"/>
        <v>1</v>
      </c>
      <c r="BH42" s="55">
        <f>AVERAGE(BH30:BH39)</f>
        <v>4.5750834946339802E-4</v>
      </c>
      <c r="BJ42" s="51">
        <f>AVERAGE(BJ30:BJ39)</f>
        <v>0</v>
      </c>
      <c r="BK42" s="51">
        <f>AVERAGE(BK30:BK39)</f>
        <v>0</v>
      </c>
      <c r="BL42" s="51">
        <f>AVERAGE(BL30:BL39)</f>
        <v>7.3423171289965783E-4</v>
      </c>
      <c r="BM42" s="51">
        <f>AVERAGE(BM30:BM39)</f>
        <v>-3.6172401445550006E-4</v>
      </c>
      <c r="BN42" s="51">
        <f>AVERAGE(BN30:BN39)</f>
        <v>2.6817523444198299E-2</v>
      </c>
      <c r="BP42" s="51">
        <f>AVERAGE(BP30:BP39)</f>
        <v>-8.3133976609833793E-4</v>
      </c>
      <c r="BQ42" s="51">
        <f>AVERAGE(BQ30:BQ39)</f>
        <v>-8.7037755672408901E-4</v>
      </c>
      <c r="BR42" s="51">
        <f>AVERAGE(BR30:BR39)</f>
        <v>1.1390882705405447E-3</v>
      </c>
      <c r="BS42" s="51">
        <f>AVERAGE(BS30:BS39)</f>
        <v>7.8150248800362698E-4</v>
      </c>
      <c r="BT42" s="51">
        <f>AVERAGE(BT30:BT39)</f>
        <v>1.7410377350564055E-2</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2.552226333007146E-2</v>
      </c>
      <c r="AI43" s="47">
        <f>AVERAGE(AI5:AI39)</f>
        <v>1.2392405303745741E-2</v>
      </c>
      <c r="AJ43" s="47">
        <f>AVERAGE(AJ5:AJ39)</f>
        <v>9.3109872705371133E-3</v>
      </c>
      <c r="AK43" s="47">
        <f>AVERAGE(AK5:AK39)</f>
        <v>1.3129858026325721E-2</v>
      </c>
      <c r="BE43" s="51">
        <f t="shared" si="12"/>
        <v>1</v>
      </c>
      <c r="BH43" s="55">
        <f>AVERAGE(BH5:BH39)</f>
        <v>3.2731663438742564E-3</v>
      </c>
      <c r="BJ43" s="51">
        <f>AVERAGE(BJ5:BJ39)</f>
        <v>0</v>
      </c>
      <c r="BK43" s="51">
        <f>AVERAGE(BK5:BK39)</f>
        <v>0</v>
      </c>
      <c r="BL43" s="51">
        <f>AVERAGE(BL5:BL39)</f>
        <v>-2.7561812480486137E-3</v>
      </c>
      <c r="BM43" s="51">
        <f>AVERAGE(BM5:BM39)</f>
        <v>-1.3214412297348353E-2</v>
      </c>
      <c r="BN43" s="51">
        <f>AVERAGE(BN5:BN39)</f>
        <v>-3.0799927804296807E-3</v>
      </c>
      <c r="BP43" s="51">
        <f>AVERAGE(BP5:BP39)</f>
        <v>-5.5322382065559695E-3</v>
      </c>
      <c r="BQ43" s="51">
        <f>AVERAGE(BQ5:BQ39)</f>
        <v>-6.5487781735124361E-3</v>
      </c>
      <c r="BR43" s="51">
        <f>AVERAGE(BR5:BR39)</f>
        <v>2.8713014721664415E-3</v>
      </c>
      <c r="BS43" s="51">
        <f>AVERAGE(BS5:BS39)</f>
        <v>-6.5410222655091065E-3</v>
      </c>
      <c r="BT43" s="51">
        <f>AVERAGE(BT5:BT39)</f>
        <v>-7.2083799953889403E-4</v>
      </c>
    </row>
    <row r="44" spans="1:88" ht="16" hidden="1" outlineLevel="2" x14ac:dyDescent="0.2">
      <c r="A44" s="46" t="s">
        <v>245</v>
      </c>
      <c r="B44" s="46" t="s">
        <v>246</v>
      </c>
      <c r="AB44" s="48">
        <f>SUM(AB5:AB24,AB25:AB29,AB30:AB39)</f>
        <v>125625.25000000004</v>
      </c>
      <c r="AC44" s="48">
        <f>SUM(AC5:AC24,AC25:AC29,AC30:AC39)</f>
        <v>309082.93</v>
      </c>
      <c r="AD44" s="48">
        <f>SUM(AD5:AD24,AD25:AD29,AD30:AD39)</f>
        <v>753.47400000000005</v>
      </c>
      <c r="AE44" s="48">
        <f>SUM(AE5:AE24,AE25:AE29,AE30:AE39)</f>
        <v>1309.7669999999998</v>
      </c>
      <c r="AZ44" s="48">
        <f>SUM(AZ5:AZ24,AZ25:AZ29,AZ30:AZ39)</f>
        <v>129651.75000000001</v>
      </c>
      <c r="BA44" s="48">
        <f>SUM(BA5:BA24,BA25:BA29,BA30:BA39)</f>
        <v>308341.92</v>
      </c>
      <c r="BB44" s="48">
        <f>SUM(BB5:BB24,BB25:BB29,BB30:BB39)</f>
        <v>3039.3510000000001</v>
      </c>
      <c r="BC44" s="48">
        <f>SUM(BC5:BC24,BC25:BC29,BC30:BC39)</f>
        <v>1302.6880000000001</v>
      </c>
    </row>
    <row r="45" spans="1:88" ht="16" hidden="1" outlineLevel="2" x14ac:dyDescent="0.2">
      <c r="B45" s="46" t="s">
        <v>247</v>
      </c>
      <c r="AZ45" s="55">
        <f>AZ44/AB44</f>
        <v>1.0320516775090993</v>
      </c>
      <c r="BA45" s="55">
        <f>BA44/AC44</f>
        <v>0.99760255281648846</v>
      </c>
      <c r="BB45" s="55">
        <f>BB44/AD44</f>
        <v>4.0337835147596337</v>
      </c>
      <c r="BC45" s="55">
        <f>BC44/AE44</f>
        <v>0.99459522189824623</v>
      </c>
    </row>
    <row r="46" spans="1:88" ht="16" hidden="1" outlineLevel="2" x14ac:dyDescent="0.2">
      <c r="B46" s="46" t="s">
        <v>248</v>
      </c>
      <c r="AB46" s="48">
        <f>GEOMEAN(AB5:AB24,AB25:AB29,AB30:AB39)</f>
        <v>3386.5247953254725</v>
      </c>
      <c r="AC46" s="48">
        <f>GEOMEAN(AC5:AC24,AC25:AC29,AC30:AC39)</f>
        <v>6317.241570939038</v>
      </c>
      <c r="AD46" s="48">
        <f>GEOMEAN(AD5:AD24,AD25:AD29,AD30:AD39)</f>
        <v>17.682970703993309</v>
      </c>
      <c r="AE46" s="48">
        <f>GEOMEAN(AE5:AE24,AE25:AE29,AE30:AE39)</f>
        <v>27.795158352856831</v>
      </c>
      <c r="AZ46" s="48">
        <f>GEOMEAN(AZ5:AZ24,AZ25:AZ29,AZ30:AZ39)</f>
        <v>3522.8687000449554</v>
      </c>
      <c r="BA46" s="48">
        <f>GEOMEAN(BA5:BA24,BA25:BA29,BA30:BA39)</f>
        <v>6351.2845170768478</v>
      </c>
      <c r="BB46" s="48">
        <f>GEOMEAN(BB5:BB24,BB25:BB29,BB30:BB39)</f>
        <v>72.607200890723092</v>
      </c>
      <c r="BC46" s="48">
        <f>GEOMEAN(BC5:BC24,BC25:BC29,BC30:BC39)</f>
        <v>27.497099464994488</v>
      </c>
    </row>
    <row r="47" spans="1:88" ht="16" outlineLevel="2" collapsed="1" x14ac:dyDescent="0.2">
      <c r="B47" s="46" t="s">
        <v>249</v>
      </c>
      <c r="AZ47" s="55">
        <f>AZ46/AB46</f>
        <v>1.0402607135514503</v>
      </c>
      <c r="BA47" s="55">
        <f>BA46/AC46</f>
        <v>1.0053888941487399</v>
      </c>
      <c r="BB47" s="55">
        <f>BB46/AD46</f>
        <v>4.106052207298311</v>
      </c>
      <c r="BC47" s="55">
        <f>BC46/AE46</f>
        <v>0.98927658968232834</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2019-10-23T18:43:17Z</dcterms:modified>
</cp:coreProperties>
</file>