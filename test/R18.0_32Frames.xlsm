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1" defaultThemeVersion="124226"/>
  <mc:AlternateContent xmlns:mc="http://schemas.openxmlformats.org/markup-compatibility/2006">
    <mc:Choice Requires="x15">
      <x15ac:absPath xmlns:x15ac="http://schemas.microsoft.com/office/spreadsheetml/2010/11/ac" url="C:\Users\ricardj\Desktop\"/>
    </mc:Choice>
  </mc:AlternateContent>
  <xr:revisionPtr revIDLastSave="0" documentId="13_ncr:1_{61B7BC22-DE87-43EC-B2CA-CF44972E699C}" xr6:coauthVersionLast="47" xr6:coauthVersionMax="47" xr10:uidLastSave="{00000000-0000-0000-0000-000000000000}"/>
  <bookViews>
    <workbookView xWindow="-120" yWindow="-120" windowWidth="29040" windowHeight="1752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C46" i="7" l="1"/>
  <c r="BB46" i="7"/>
  <c r="BA46" i="7"/>
  <c r="AZ46" i="7"/>
  <c r="AE46" i="7"/>
  <c r="AD46" i="7"/>
  <c r="AC46" i="7"/>
  <c r="AB46" i="7"/>
  <c r="BC44" i="7"/>
  <c r="BC45" i="7" s="1"/>
  <c r="BB44" i="7"/>
  <c r="BA44" i="7"/>
  <c r="AZ44" i="7"/>
  <c r="AZ45" i="7" s="1"/>
  <c r="AE44" i="7"/>
  <c r="AD44" i="7"/>
  <c r="AC44" i="7"/>
  <c r="AB44" i="7"/>
  <c r="BF39" i="7"/>
  <c r="AL39" i="7"/>
  <c r="AK39" i="7"/>
  <c r="AJ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BG36" i="7" s="1"/>
  <c r="M36" i="7"/>
  <c r="L36" i="7"/>
  <c r="J36" i="7"/>
  <c r="I36" i="7"/>
  <c r="BF35" i="7"/>
  <c r="AL35" i="7"/>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I30" i="7" s="1"/>
  <c r="AK30" i="7"/>
  <c r="AJ30" i="7"/>
  <c r="AH30" i="7"/>
  <c r="AG30" i="7"/>
  <c r="N30" i="7"/>
  <c r="M30" i="7"/>
  <c r="L30" i="7"/>
  <c r="J30" i="7"/>
  <c r="I30" i="7"/>
  <c r="BF29" i="7"/>
  <c r="AL29" i="7"/>
  <c r="AI29" i="7" s="1"/>
  <c r="AK29" i="7"/>
  <c r="AJ29" i="7"/>
  <c r="AH29" i="7"/>
  <c r="AG29" i="7"/>
  <c r="N29" i="7"/>
  <c r="M29" i="7"/>
  <c r="L29" i="7"/>
  <c r="J29" i="7"/>
  <c r="I29" i="7"/>
  <c r="BF28" i="7"/>
  <c r="AL28" i="7"/>
  <c r="AI28" i="7" s="1"/>
  <c r="AK28" i="7"/>
  <c r="AJ28" i="7"/>
  <c r="AH28" i="7"/>
  <c r="AG28" i="7"/>
  <c r="N28" i="7"/>
  <c r="K28" i="7" s="1"/>
  <c r="M28" i="7"/>
  <c r="L28" i="7"/>
  <c r="J28" i="7"/>
  <c r="I28" i="7"/>
  <c r="BF27" i="7"/>
  <c r="AL27" i="7"/>
  <c r="AI27" i="7" s="1"/>
  <c r="AK27" i="7"/>
  <c r="AJ27" i="7"/>
  <c r="AH27" i="7"/>
  <c r="AG27" i="7"/>
  <c r="N27" i="7"/>
  <c r="BG27" i="7" s="1"/>
  <c r="M27" i="7"/>
  <c r="L27" i="7"/>
  <c r="J27" i="7"/>
  <c r="I27" i="7"/>
  <c r="BF26" i="7"/>
  <c r="AL26" i="7"/>
  <c r="AI26" i="7" s="1"/>
  <c r="AK26" i="7"/>
  <c r="AJ26" i="7"/>
  <c r="AH26" i="7"/>
  <c r="AG26" i="7"/>
  <c r="N26" i="7"/>
  <c r="BG26" i="7" s="1"/>
  <c r="M26" i="7"/>
  <c r="L26" i="7"/>
  <c r="J26" i="7"/>
  <c r="I26" i="7"/>
  <c r="BF25" i="7"/>
  <c r="AL25" i="7"/>
  <c r="AI25" i="7" s="1"/>
  <c r="AK25" i="7"/>
  <c r="AJ25" i="7"/>
  <c r="AH25" i="7"/>
  <c r="AG25" i="7"/>
  <c r="N25" i="7"/>
  <c r="M25" i="7"/>
  <c r="L25" i="7"/>
  <c r="J25" i="7"/>
  <c r="I25" i="7"/>
  <c r="BF24" i="7"/>
  <c r="AL24" i="7"/>
  <c r="AI24" i="7" s="1"/>
  <c r="AK24" i="7"/>
  <c r="AJ24" i="7"/>
  <c r="AH24" i="7"/>
  <c r="AG24" i="7"/>
  <c r="N24" i="7"/>
  <c r="K24" i="7" s="1"/>
  <c r="M24" i="7"/>
  <c r="L24" i="7"/>
  <c r="J24" i="7"/>
  <c r="I24" i="7"/>
  <c r="BF23" i="7"/>
  <c r="AL23" i="7"/>
  <c r="AI23" i="7" s="1"/>
  <c r="AK23" i="7"/>
  <c r="AJ23" i="7"/>
  <c r="AH23" i="7"/>
  <c r="AG23" i="7"/>
  <c r="N23" i="7"/>
  <c r="K23" i="7" s="1"/>
  <c r="M23" i="7"/>
  <c r="L23" i="7"/>
  <c r="J23" i="7"/>
  <c r="I23" i="7"/>
  <c r="BF22" i="7"/>
  <c r="AL22" i="7"/>
  <c r="AI22" i="7" s="1"/>
  <c r="AK22" i="7"/>
  <c r="AJ22" i="7"/>
  <c r="AH22" i="7"/>
  <c r="AG22" i="7"/>
  <c r="N22" i="7"/>
  <c r="M22" i="7"/>
  <c r="L22" i="7"/>
  <c r="J22" i="7"/>
  <c r="I22" i="7"/>
  <c r="BF21" i="7"/>
  <c r="AL21" i="7"/>
  <c r="AI21" i="7" s="1"/>
  <c r="AK21" i="7"/>
  <c r="AJ21" i="7"/>
  <c r="AH21" i="7"/>
  <c r="AG21" i="7"/>
  <c r="N21" i="7"/>
  <c r="M21" i="7"/>
  <c r="L21" i="7"/>
  <c r="J21" i="7"/>
  <c r="I21" i="7"/>
  <c r="BF20" i="7"/>
  <c r="AL20" i="7"/>
  <c r="AI20" i="7" s="1"/>
  <c r="AK20" i="7"/>
  <c r="AJ20" i="7"/>
  <c r="AH20" i="7"/>
  <c r="AG20" i="7"/>
  <c r="N20" i="7"/>
  <c r="M20" i="7"/>
  <c r="L20" i="7"/>
  <c r="J20" i="7"/>
  <c r="I20" i="7"/>
  <c r="BF19" i="7"/>
  <c r="AL19" i="7"/>
  <c r="AI19" i="7" s="1"/>
  <c r="AK19" i="7"/>
  <c r="AJ19" i="7"/>
  <c r="AH19" i="7"/>
  <c r="AG19" i="7"/>
  <c r="N19" i="7"/>
  <c r="K19" i="7" s="1"/>
  <c r="M19" i="7"/>
  <c r="L19" i="7"/>
  <c r="J19" i="7"/>
  <c r="I19" i="7"/>
  <c r="BF18" i="7"/>
  <c r="AL18" i="7"/>
  <c r="AI18" i="7" s="1"/>
  <c r="AK18" i="7"/>
  <c r="AJ18" i="7"/>
  <c r="AH18" i="7"/>
  <c r="AG18" i="7"/>
  <c r="N18" i="7"/>
  <c r="BG18" i="7" s="1"/>
  <c r="M18" i="7"/>
  <c r="L18" i="7"/>
  <c r="J18" i="7"/>
  <c r="I18" i="7"/>
  <c r="BF17" i="7"/>
  <c r="AL17" i="7"/>
  <c r="AI17" i="7" s="1"/>
  <c r="AK17" i="7"/>
  <c r="AJ17" i="7"/>
  <c r="AH17" i="7"/>
  <c r="AG17" i="7"/>
  <c r="N17" i="7"/>
  <c r="M17" i="7"/>
  <c r="L17" i="7"/>
  <c r="J17" i="7"/>
  <c r="I17" i="7"/>
  <c r="BF16" i="7"/>
  <c r="AL16" i="7"/>
  <c r="AI16" i="7" s="1"/>
  <c r="AK16" i="7"/>
  <c r="AJ16" i="7"/>
  <c r="AH16" i="7"/>
  <c r="AG16" i="7"/>
  <c r="N16" i="7"/>
  <c r="K16" i="7" s="1"/>
  <c r="M16" i="7"/>
  <c r="L16" i="7"/>
  <c r="J16" i="7"/>
  <c r="I16" i="7"/>
  <c r="BG15" i="7"/>
  <c r="BF15" i="7"/>
  <c r="AL15" i="7"/>
  <c r="AI15" i="7" s="1"/>
  <c r="AK15" i="7"/>
  <c r="AJ15" i="7"/>
  <c r="AH15" i="7"/>
  <c r="AG15" i="7"/>
  <c r="N15" i="7"/>
  <c r="K15" i="7" s="1"/>
  <c r="M15" i="7"/>
  <c r="L15" i="7"/>
  <c r="J15" i="7"/>
  <c r="I15" i="7"/>
  <c r="BF14" i="7"/>
  <c r="AL14" i="7"/>
  <c r="AI14" i="7" s="1"/>
  <c r="AK14" i="7"/>
  <c r="AJ14" i="7"/>
  <c r="AH14" i="7"/>
  <c r="AG14" i="7"/>
  <c r="N14" i="7"/>
  <c r="BG14" i="7" s="1"/>
  <c r="M14" i="7"/>
  <c r="L14" i="7"/>
  <c r="J14" i="7"/>
  <c r="I14" i="7"/>
  <c r="BF13" i="7"/>
  <c r="AL13" i="7"/>
  <c r="AI13" i="7" s="1"/>
  <c r="AK13" i="7"/>
  <c r="AJ13" i="7"/>
  <c r="AH13" i="7"/>
  <c r="AG13" i="7"/>
  <c r="N13" i="7"/>
  <c r="M13" i="7"/>
  <c r="L13" i="7"/>
  <c r="J13" i="7"/>
  <c r="I13" i="7"/>
  <c r="BF12" i="7"/>
  <c r="AL12" i="7"/>
  <c r="AI12" i="7" s="1"/>
  <c r="AK12" i="7"/>
  <c r="AJ12" i="7"/>
  <c r="AH12" i="7"/>
  <c r="AG12" i="7"/>
  <c r="N12" i="7"/>
  <c r="K12" i="7" s="1"/>
  <c r="M12" i="7"/>
  <c r="L12" i="7"/>
  <c r="J12" i="7"/>
  <c r="I12" i="7"/>
  <c r="BF11" i="7"/>
  <c r="AL11" i="7"/>
  <c r="AI11" i="7" s="1"/>
  <c r="AK11" i="7"/>
  <c r="AJ11" i="7"/>
  <c r="AH11" i="7"/>
  <c r="AG11" i="7"/>
  <c r="N11" i="7"/>
  <c r="M11" i="7"/>
  <c r="L11" i="7"/>
  <c r="K11" i="7"/>
  <c r="J11" i="7"/>
  <c r="I11" i="7"/>
  <c r="BF10" i="7"/>
  <c r="AL10" i="7"/>
  <c r="AI10" i="7" s="1"/>
  <c r="AK10" i="7"/>
  <c r="AJ10" i="7"/>
  <c r="AH10" i="7"/>
  <c r="AG10" i="7"/>
  <c r="N10" i="7"/>
  <c r="M10" i="7"/>
  <c r="L10" i="7"/>
  <c r="J10" i="7"/>
  <c r="I10" i="7"/>
  <c r="BF9" i="7"/>
  <c r="AL9" i="7"/>
  <c r="AI9" i="7" s="1"/>
  <c r="AK9" i="7"/>
  <c r="AJ9" i="7"/>
  <c r="AH9" i="7"/>
  <c r="AG9" i="7"/>
  <c r="N9" i="7"/>
  <c r="M9" i="7"/>
  <c r="L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I6" i="7" s="1"/>
  <c r="AK6" i="7"/>
  <c r="AJ6" i="7"/>
  <c r="AH6" i="7"/>
  <c r="AG6" i="7"/>
  <c r="N6" i="7"/>
  <c r="M6" i="7"/>
  <c r="L6" i="7"/>
  <c r="J6" i="7"/>
  <c r="I6" i="7"/>
  <c r="BF5" i="7"/>
  <c r="AL5" i="7"/>
  <c r="AK5" i="7"/>
  <c r="AJ5" i="7"/>
  <c r="AH5" i="7"/>
  <c r="AG5" i="7"/>
  <c r="N5" i="7"/>
  <c r="M5" i="7"/>
  <c r="L5" i="7"/>
  <c r="J5" i="7"/>
  <c r="I5" i="7"/>
  <c r="AG1" i="7"/>
  <c r="I1" i="7"/>
  <c r="AZ18" i="6"/>
  <c r="AZ19" i="6" s="1"/>
  <c r="AY18" i="6"/>
  <c r="AX18" i="6"/>
  <c r="AW18" i="6"/>
  <c r="AC18" i="6"/>
  <c r="AB18" i="6"/>
  <c r="AA18" i="6"/>
  <c r="AX19" i="6" s="1"/>
  <c r="Z18" i="6"/>
  <c r="AZ16" i="6"/>
  <c r="AY16" i="6"/>
  <c r="AY17" i="6" s="1"/>
  <c r="AX16" i="6"/>
  <c r="AW16" i="6"/>
  <c r="AC16" i="6"/>
  <c r="AB16" i="6"/>
  <c r="AA16" i="6"/>
  <c r="Z16" i="6"/>
  <c r="AW17" i="6" s="1"/>
  <c r="M13" i="6"/>
  <c r="J13" i="6"/>
  <c r="AK11" i="6"/>
  <c r="AH11" i="6" s="1"/>
  <c r="AJ11" i="6"/>
  <c r="AI11" i="6"/>
  <c r="BD11" i="6" s="1"/>
  <c r="AG11" i="6"/>
  <c r="BB11" i="6" s="1"/>
  <c r="AF11" i="6"/>
  <c r="AE11" i="6"/>
  <c r="N11" i="6"/>
  <c r="K11" i="6" s="1"/>
  <c r="M11" i="6"/>
  <c r="L11" i="6"/>
  <c r="J11" i="6"/>
  <c r="I11" i="6"/>
  <c r="H11" i="6"/>
  <c r="BD10" i="6"/>
  <c r="AK10" i="6"/>
  <c r="AH10" i="6" s="1"/>
  <c r="AH14" i="6" s="1"/>
  <c r="AJ10" i="6"/>
  <c r="AJ14" i="6" s="1"/>
  <c r="AI10" i="6"/>
  <c r="AG10" i="6"/>
  <c r="AF10" i="6"/>
  <c r="AE10" i="6"/>
  <c r="N10" i="6"/>
  <c r="K10" i="6" s="1"/>
  <c r="M10" i="6"/>
  <c r="L10" i="6"/>
  <c r="L14" i="6" s="1"/>
  <c r="J10" i="6"/>
  <c r="J14" i="6" s="1"/>
  <c r="I10" i="6"/>
  <c r="H10" i="6"/>
  <c r="AK9" i="6"/>
  <c r="AH9" i="6" s="1"/>
  <c r="AJ9" i="6"/>
  <c r="AJ13" i="6" s="1"/>
  <c r="AI9" i="6"/>
  <c r="AI13" i="6" s="1"/>
  <c r="AG9" i="6"/>
  <c r="AF9" i="6"/>
  <c r="AE9" i="6"/>
  <c r="N9" i="6"/>
  <c r="M9" i="6"/>
  <c r="BE9" i="6" s="1"/>
  <c r="L9" i="6"/>
  <c r="L13" i="6" s="1"/>
  <c r="K9" i="6"/>
  <c r="K13" i="6" s="1"/>
  <c r="J9" i="6"/>
  <c r="I9" i="6"/>
  <c r="H9" i="6"/>
  <c r="AK8" i="6"/>
  <c r="AJ8" i="6"/>
  <c r="AI8" i="6"/>
  <c r="AG8" i="6"/>
  <c r="AF8" i="6"/>
  <c r="AE8" i="6"/>
  <c r="N8" i="6"/>
  <c r="M8" i="6"/>
  <c r="L8" i="6"/>
  <c r="K8" i="6"/>
  <c r="J8" i="6"/>
  <c r="BB8" i="6" s="1"/>
  <c r="I8" i="6"/>
  <c r="H8" i="6"/>
  <c r="AK7" i="6"/>
  <c r="AH7" i="6" s="1"/>
  <c r="AJ7" i="6"/>
  <c r="AI7" i="6"/>
  <c r="AG7" i="6"/>
  <c r="AF7" i="6"/>
  <c r="AE7" i="6"/>
  <c r="N7" i="6"/>
  <c r="K7" i="6" s="1"/>
  <c r="K12" i="6" s="1"/>
  <c r="M7" i="6"/>
  <c r="L7" i="6"/>
  <c r="BD7" i="6" s="1"/>
  <c r="J7" i="6"/>
  <c r="I7" i="6"/>
  <c r="H7" i="6"/>
  <c r="BD6" i="6"/>
  <c r="AK6" i="6"/>
  <c r="AH6" i="6" s="1"/>
  <c r="BC6" i="6" s="1"/>
  <c r="AJ6" i="6"/>
  <c r="AI6" i="6"/>
  <c r="AG6" i="6"/>
  <c r="BB6" i="6" s="1"/>
  <c r="AF6" i="6"/>
  <c r="AE6" i="6"/>
  <c r="N6" i="6"/>
  <c r="K6" i="6" s="1"/>
  <c r="M6" i="6"/>
  <c r="BE6" i="6" s="1"/>
  <c r="L6" i="6"/>
  <c r="J6" i="6"/>
  <c r="I6" i="6"/>
  <c r="H6" i="6"/>
  <c r="AK5" i="6"/>
  <c r="AJ5" i="6"/>
  <c r="AJ15" i="6" s="1"/>
  <c r="AI5" i="6"/>
  <c r="AH5" i="6"/>
  <c r="AG5" i="6"/>
  <c r="AG15" i="6" s="1"/>
  <c r="AF5" i="6"/>
  <c r="AE5" i="6"/>
  <c r="N5" i="6"/>
  <c r="M5" i="6"/>
  <c r="L5" i="6"/>
  <c r="K5" i="6"/>
  <c r="J5" i="6"/>
  <c r="J15" i="6" s="1"/>
  <c r="I5" i="6"/>
  <c r="H5" i="6"/>
  <c r="AE1" i="6"/>
  <c r="H1" i="6"/>
  <c r="AX19" i="5"/>
  <c r="AZ18" i="5"/>
  <c r="AY18" i="5"/>
  <c r="AX18" i="5"/>
  <c r="AW18" i="5"/>
  <c r="AC18" i="5"/>
  <c r="AB18" i="5"/>
  <c r="AA18" i="5"/>
  <c r="Z18" i="5"/>
  <c r="AZ16" i="5"/>
  <c r="AY16" i="5"/>
  <c r="AX16" i="5"/>
  <c r="AW16" i="5"/>
  <c r="AC16" i="5"/>
  <c r="AB16" i="5"/>
  <c r="AA16" i="5"/>
  <c r="Z16" i="5"/>
  <c r="AG12" i="5"/>
  <c r="AK11" i="5"/>
  <c r="AH11" i="5" s="1"/>
  <c r="AJ11" i="5"/>
  <c r="AI11" i="5"/>
  <c r="AG11" i="5"/>
  <c r="AF11" i="5"/>
  <c r="AE11" i="5"/>
  <c r="N11" i="5"/>
  <c r="K11" i="5" s="1"/>
  <c r="M11" i="5"/>
  <c r="L11" i="5"/>
  <c r="J11" i="5"/>
  <c r="BB11" i="5" s="1"/>
  <c r="I11" i="5"/>
  <c r="H11" i="5"/>
  <c r="AK10" i="5"/>
  <c r="AH10" i="5" s="1"/>
  <c r="AJ10" i="5"/>
  <c r="AJ14" i="5" s="1"/>
  <c r="AI10" i="5"/>
  <c r="AI14" i="5" s="1"/>
  <c r="AG10" i="5"/>
  <c r="AG14" i="5" s="1"/>
  <c r="AF10" i="5"/>
  <c r="AE10" i="5"/>
  <c r="N10" i="5"/>
  <c r="K10" i="5" s="1"/>
  <c r="M10" i="5"/>
  <c r="L10" i="5"/>
  <c r="L14" i="5" s="1"/>
  <c r="J10" i="5"/>
  <c r="BB10" i="5" s="1"/>
  <c r="I10" i="5"/>
  <c r="H10" i="5"/>
  <c r="AK9" i="5"/>
  <c r="AJ9" i="5"/>
  <c r="AJ13" i="5" s="1"/>
  <c r="AI9" i="5"/>
  <c r="AI13" i="5" s="1"/>
  <c r="AG9" i="5"/>
  <c r="AG13" i="5" s="1"/>
  <c r="AF9" i="5"/>
  <c r="AE9" i="5"/>
  <c r="N9" i="5"/>
  <c r="K9" i="5" s="1"/>
  <c r="K13" i="5" s="1"/>
  <c r="M9" i="5"/>
  <c r="M13" i="5" s="1"/>
  <c r="L9" i="5"/>
  <c r="L13" i="5" s="1"/>
  <c r="J9" i="5"/>
  <c r="BB9" i="5" s="1"/>
  <c r="I9" i="5"/>
  <c r="H9" i="5"/>
  <c r="AK8" i="5"/>
  <c r="AH8" i="5" s="1"/>
  <c r="AJ8" i="5"/>
  <c r="AI8" i="5"/>
  <c r="AG8" i="5"/>
  <c r="AG15" i="5" s="1"/>
  <c r="AF8" i="5"/>
  <c r="AE8" i="5"/>
  <c r="N8" i="5"/>
  <c r="K8" i="5" s="1"/>
  <c r="M8" i="5"/>
  <c r="L8" i="5"/>
  <c r="J8" i="5"/>
  <c r="I8" i="5"/>
  <c r="H8" i="5"/>
  <c r="AK7" i="5"/>
  <c r="AJ7" i="5"/>
  <c r="AJ12" i="5" s="1"/>
  <c r="AI7" i="5"/>
  <c r="AH7" i="5"/>
  <c r="AG7" i="5"/>
  <c r="AF7" i="5"/>
  <c r="AE7" i="5"/>
  <c r="N7" i="5"/>
  <c r="K7" i="5" s="1"/>
  <c r="M7" i="5"/>
  <c r="L7" i="5"/>
  <c r="BD7" i="5" s="1"/>
  <c r="J7" i="5"/>
  <c r="BB7" i="5" s="1"/>
  <c r="I7" i="5"/>
  <c r="H7" i="5"/>
  <c r="AK6" i="5"/>
  <c r="AH6" i="5" s="1"/>
  <c r="AJ6" i="5"/>
  <c r="AI6" i="5"/>
  <c r="AG6" i="5"/>
  <c r="AF6" i="5"/>
  <c r="AE6" i="5"/>
  <c r="N6" i="5"/>
  <c r="K6" i="5" s="1"/>
  <c r="M6" i="5"/>
  <c r="BE6" i="5" s="1"/>
  <c r="L6" i="5"/>
  <c r="BD6" i="5" s="1"/>
  <c r="J6" i="5"/>
  <c r="BB6" i="5" s="1"/>
  <c r="I6" i="5"/>
  <c r="H6" i="5"/>
  <c r="AK5" i="5"/>
  <c r="AJ5" i="5"/>
  <c r="AJ15" i="5" s="1"/>
  <c r="AI5" i="5"/>
  <c r="AI12" i="5" s="1"/>
  <c r="AG5" i="5"/>
  <c r="AF5" i="5"/>
  <c r="AE5" i="5"/>
  <c r="N5" i="5"/>
  <c r="K5" i="5" s="1"/>
  <c r="M5" i="5"/>
  <c r="L5" i="5"/>
  <c r="BD5" i="5" s="1"/>
  <c r="J5" i="5"/>
  <c r="I5" i="5"/>
  <c r="H5" i="5"/>
  <c r="AE1" i="5"/>
  <c r="H1" i="5"/>
  <c r="BA47" i="3"/>
  <c r="BC46" i="3"/>
  <c r="BB46" i="3"/>
  <c r="BA46" i="3"/>
  <c r="AZ46" i="3"/>
  <c r="AE46" i="3"/>
  <c r="AD46" i="3"/>
  <c r="AC46" i="3"/>
  <c r="AB46" i="3"/>
  <c r="BC44" i="3"/>
  <c r="BB44" i="3"/>
  <c r="BA44" i="3"/>
  <c r="AZ44" i="3"/>
  <c r="AE44" i="3"/>
  <c r="AD44" i="3"/>
  <c r="AC44" i="3"/>
  <c r="BA45" i="3" s="1"/>
  <c r="AB44" i="3"/>
  <c r="BF39" i="3"/>
  <c r="AL39" i="3"/>
  <c r="BG39" i="3" s="1"/>
  <c r="AK39" i="3"/>
  <c r="AJ39" i="3"/>
  <c r="AH39" i="3"/>
  <c r="AG39" i="3"/>
  <c r="N39" i="3"/>
  <c r="M39" i="3"/>
  <c r="L39" i="3"/>
  <c r="K39" i="3"/>
  <c r="J39" i="3"/>
  <c r="I39" i="3"/>
  <c r="BF38" i="3"/>
  <c r="AL38" i="3"/>
  <c r="AK38" i="3"/>
  <c r="AJ38" i="3"/>
  <c r="AH38" i="3"/>
  <c r="AG38" i="3"/>
  <c r="N38" i="3"/>
  <c r="K38" i="3" s="1"/>
  <c r="M38" i="3"/>
  <c r="L38" i="3"/>
  <c r="J38" i="3"/>
  <c r="I38" i="3"/>
  <c r="BF37" i="3"/>
  <c r="AL37" i="3"/>
  <c r="AI37" i="3" s="1"/>
  <c r="AK37" i="3"/>
  <c r="AJ37" i="3"/>
  <c r="AH37" i="3"/>
  <c r="AG37" i="3"/>
  <c r="N37" i="3"/>
  <c r="M37" i="3"/>
  <c r="L37" i="3"/>
  <c r="K37" i="3"/>
  <c r="J37" i="3"/>
  <c r="I37" i="3"/>
  <c r="BF36" i="3"/>
  <c r="AL36" i="3"/>
  <c r="BG36" i="3" s="1"/>
  <c r="AK36" i="3"/>
  <c r="AJ36" i="3"/>
  <c r="AH36" i="3"/>
  <c r="AG36" i="3"/>
  <c r="N36" i="3"/>
  <c r="M36" i="3"/>
  <c r="L36" i="3"/>
  <c r="K36" i="3"/>
  <c r="J36" i="3"/>
  <c r="I36" i="3"/>
  <c r="BF35" i="3"/>
  <c r="AL35" i="3"/>
  <c r="AK35" i="3"/>
  <c r="AJ35" i="3"/>
  <c r="AI35" i="3"/>
  <c r="AH35" i="3"/>
  <c r="AG35" i="3"/>
  <c r="N35" i="3"/>
  <c r="K35" i="3" s="1"/>
  <c r="M35" i="3"/>
  <c r="L35" i="3"/>
  <c r="J35" i="3"/>
  <c r="I35" i="3"/>
  <c r="BF34" i="3"/>
  <c r="AL34" i="3"/>
  <c r="AI34" i="3" s="1"/>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BH30" i="3" s="1" a="1"/>
  <c r="AK30" i="3"/>
  <c r="AK42" i="3" s="1"/>
  <c r="AJ30" i="3"/>
  <c r="AJ42" i="3" s="1"/>
  <c r="AH30" i="3"/>
  <c r="AG30" i="3"/>
  <c r="N30" i="3"/>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BG27" i="3" s="1"/>
  <c r="AK27" i="3"/>
  <c r="AJ27" i="3"/>
  <c r="AH27" i="3"/>
  <c r="AG27" i="3"/>
  <c r="N27" i="3"/>
  <c r="M27" i="3"/>
  <c r="L27" i="3"/>
  <c r="K27" i="3"/>
  <c r="J27" i="3"/>
  <c r="I27" i="3"/>
  <c r="BF26" i="3"/>
  <c r="AL26" i="3"/>
  <c r="BG26" i="3" s="1"/>
  <c r="AK26" i="3"/>
  <c r="AJ26" i="3"/>
  <c r="AH26" i="3"/>
  <c r="AG26" i="3"/>
  <c r="N26" i="3"/>
  <c r="K26" i="3" s="1"/>
  <c r="M26" i="3"/>
  <c r="L26" i="3"/>
  <c r="J26" i="3"/>
  <c r="I26" i="3"/>
  <c r="BF25" i="3"/>
  <c r="AL25" i="3"/>
  <c r="BH25" i="3" s="1" a="1"/>
  <c r="AK25" i="3"/>
  <c r="AJ25" i="3"/>
  <c r="AH25" i="3"/>
  <c r="AG25" i="3"/>
  <c r="N25" i="3"/>
  <c r="M25" i="3"/>
  <c r="M41" i="3" s="1"/>
  <c r="L25" i="3"/>
  <c r="K25" i="3"/>
  <c r="J25" i="3"/>
  <c r="I25" i="3"/>
  <c r="BF24" i="3"/>
  <c r="AL24" i="3"/>
  <c r="AI24" i="3" s="1"/>
  <c r="BE24" i="3" s="1"/>
  <c r="AK24" i="3"/>
  <c r="AJ24" i="3"/>
  <c r="AH24" i="3"/>
  <c r="AG24" i="3"/>
  <c r="N24" i="3"/>
  <c r="M24" i="3"/>
  <c r="L24" i="3"/>
  <c r="K24" i="3"/>
  <c r="J24" i="3"/>
  <c r="I24" i="3"/>
  <c r="BF23" i="3"/>
  <c r="AL23" i="3"/>
  <c r="AI23" i="3" s="1"/>
  <c r="AK23" i="3"/>
  <c r="AJ23" i="3"/>
  <c r="AH23" i="3"/>
  <c r="AG23" i="3"/>
  <c r="N23" i="3"/>
  <c r="M23" i="3"/>
  <c r="L23" i="3"/>
  <c r="J23" i="3"/>
  <c r="I23" i="3"/>
  <c r="BF22" i="3"/>
  <c r="AL22" i="3"/>
  <c r="BG22" i="3" s="1"/>
  <c r="AK22" i="3"/>
  <c r="AJ22" i="3"/>
  <c r="AH22" i="3"/>
  <c r="AG22" i="3"/>
  <c r="N22" i="3"/>
  <c r="K22" i="3" s="1"/>
  <c r="M22" i="3"/>
  <c r="L22" i="3"/>
  <c r="J22" i="3"/>
  <c r="I22" i="3"/>
  <c r="BF21" i="3"/>
  <c r="AL21" i="3"/>
  <c r="BG21" i="3" s="1"/>
  <c r="AK21" i="3"/>
  <c r="AJ21" i="3"/>
  <c r="AH21" i="3"/>
  <c r="AG21" i="3"/>
  <c r="N21" i="3"/>
  <c r="M21" i="3"/>
  <c r="L21" i="3"/>
  <c r="K21" i="3"/>
  <c r="J21" i="3"/>
  <c r="I21" i="3"/>
  <c r="BH20" i="3" a="1"/>
  <c r="BH20" i="3" s="1"/>
  <c r="BG20" i="3"/>
  <c r="BF20" i="3"/>
  <c r="AL20" i="3"/>
  <c r="AI20" i="3" s="1"/>
  <c r="AK20" i="3"/>
  <c r="AJ20" i="3"/>
  <c r="AH20" i="3"/>
  <c r="AG20" i="3"/>
  <c r="N20" i="3"/>
  <c r="K20" i="3" s="1"/>
  <c r="M20" i="3"/>
  <c r="L20" i="3"/>
  <c r="J20" i="3"/>
  <c r="I20" i="3"/>
  <c r="BF19" i="3"/>
  <c r="AL19" i="3"/>
  <c r="AI19" i="3" s="1"/>
  <c r="AK19" i="3"/>
  <c r="AJ19" i="3"/>
  <c r="AH19" i="3"/>
  <c r="AG19" i="3"/>
  <c r="N19" i="3"/>
  <c r="M19" i="3"/>
  <c r="L19" i="3"/>
  <c r="J19" i="3"/>
  <c r="I19" i="3"/>
  <c r="BF18" i="3"/>
  <c r="AL18" i="3"/>
  <c r="BG18" i="3" s="1"/>
  <c r="AK18" i="3"/>
  <c r="AJ18" i="3"/>
  <c r="AH18" i="3"/>
  <c r="AG18" i="3"/>
  <c r="N18" i="3"/>
  <c r="K18" i="3" s="1"/>
  <c r="M18" i="3"/>
  <c r="L18" i="3"/>
  <c r="J18" i="3"/>
  <c r="I18" i="3"/>
  <c r="BF17" i="3"/>
  <c r="AL17" i="3"/>
  <c r="BG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AI15" i="3" s="1"/>
  <c r="AK15" i="3"/>
  <c r="AJ15" i="3"/>
  <c r="AH15" i="3"/>
  <c r="AG15" i="3"/>
  <c r="N15" i="3"/>
  <c r="M15" i="3"/>
  <c r="L15" i="3"/>
  <c r="J15" i="3"/>
  <c r="I15" i="3"/>
  <c r="BF14" i="3"/>
  <c r="AL14" i="3"/>
  <c r="BG14" i="3" s="1"/>
  <c r="AK14" i="3"/>
  <c r="AJ14" i="3"/>
  <c r="AH14" i="3"/>
  <c r="AG14" i="3"/>
  <c r="N14" i="3"/>
  <c r="K14" i="3" s="1"/>
  <c r="M14" i="3"/>
  <c r="L14" i="3"/>
  <c r="J14" i="3"/>
  <c r="I14" i="3"/>
  <c r="BF13" i="3"/>
  <c r="AL13" i="3"/>
  <c r="BG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AI11" i="3" s="1"/>
  <c r="AK11" i="3"/>
  <c r="AJ11" i="3"/>
  <c r="AH11" i="3"/>
  <c r="AG11" i="3"/>
  <c r="N11" i="3"/>
  <c r="M11" i="3"/>
  <c r="L11" i="3"/>
  <c r="J11" i="3"/>
  <c r="I11" i="3"/>
  <c r="BH10" i="3" a="1"/>
  <c r="BF10" i="3"/>
  <c r="AL10" i="3"/>
  <c r="AI10" i="3" s="1"/>
  <c r="AK10" i="3"/>
  <c r="AJ10" i="3"/>
  <c r="AH10" i="3"/>
  <c r="AG10" i="3"/>
  <c r="N10" i="3"/>
  <c r="K10" i="3" s="1"/>
  <c r="M10" i="3"/>
  <c r="L10" i="3"/>
  <c r="J10" i="3"/>
  <c r="I10" i="3"/>
  <c r="BF9" i="3"/>
  <c r="AL9" i="3"/>
  <c r="AK9" i="3"/>
  <c r="AJ9" i="3"/>
  <c r="AH9" i="3"/>
  <c r="AG9" i="3"/>
  <c r="N9" i="3"/>
  <c r="M9" i="3"/>
  <c r="L9" i="3"/>
  <c r="K9" i="3"/>
  <c r="J9" i="3"/>
  <c r="I9" i="3"/>
  <c r="BF8" i="3"/>
  <c r="AL8" i="3"/>
  <c r="AI8" i="3" s="1"/>
  <c r="AK8" i="3"/>
  <c r="AJ8" i="3"/>
  <c r="AH8" i="3"/>
  <c r="AG8" i="3"/>
  <c r="N8" i="3"/>
  <c r="M8" i="3"/>
  <c r="L8" i="3"/>
  <c r="K8" i="3"/>
  <c r="J8" i="3"/>
  <c r="I8" i="3"/>
  <c r="BF7" i="3"/>
  <c r="AL7" i="3"/>
  <c r="AI7" i="3" s="1"/>
  <c r="AK7" i="3"/>
  <c r="AJ7" i="3"/>
  <c r="AH7" i="3"/>
  <c r="AG7" i="3"/>
  <c r="N7" i="3"/>
  <c r="M7" i="3"/>
  <c r="L7" i="3"/>
  <c r="J7" i="3"/>
  <c r="I7" i="3"/>
  <c r="BF6" i="3"/>
  <c r="AL6" i="3"/>
  <c r="AI6" i="3" s="1"/>
  <c r="AK6" i="3"/>
  <c r="AJ6" i="3"/>
  <c r="AH6" i="3"/>
  <c r="AG6" i="3"/>
  <c r="N6" i="3"/>
  <c r="K6" i="3" s="1"/>
  <c r="M6" i="3"/>
  <c r="L6" i="3"/>
  <c r="J6" i="3"/>
  <c r="I6" i="3"/>
  <c r="BF5" i="3"/>
  <c r="AL5" i="3"/>
  <c r="BH5" i="3" s="1" a="1"/>
  <c r="AK5" i="3"/>
  <c r="AJ5" i="3"/>
  <c r="AH5" i="3"/>
  <c r="AG5" i="3"/>
  <c r="N5" i="3"/>
  <c r="M5" i="3"/>
  <c r="L5" i="3"/>
  <c r="K5" i="3"/>
  <c r="J5" i="3"/>
  <c r="I5" i="3"/>
  <c r="AG1" i="3"/>
  <c r="I1" i="3"/>
  <c r="B1" i="2"/>
  <c r="B2" i="2" s="1"/>
  <c r="BR30" i="7"/>
  <c r="BK30" i="7"/>
  <c r="BT20" i="7"/>
  <c r="BN15" i="7"/>
  <c r="BS5" i="7"/>
  <c r="BN35" i="3"/>
  <c r="BN30" i="3"/>
  <c r="BL25" i="3"/>
  <c r="BS10" i="3"/>
  <c r="BQ5" i="3"/>
  <c r="BJ5" i="3"/>
  <c r="BN20" i="7"/>
  <c r="BQ30" i="7"/>
  <c r="BS20" i="7"/>
  <c r="BM15" i="7"/>
  <c r="BR5" i="7"/>
  <c r="BM35" i="3"/>
  <c r="BM30" i="3"/>
  <c r="BK25" i="3"/>
  <c r="BR10" i="3"/>
  <c r="BP5" i="3"/>
  <c r="BM10" i="3"/>
  <c r="BP30" i="7"/>
  <c r="BR20" i="7"/>
  <c r="BL15" i="7"/>
  <c r="BQ5" i="7"/>
  <c r="BL35" i="3"/>
  <c r="BL30" i="3"/>
  <c r="BT15" i="3"/>
  <c r="BQ10" i="3"/>
  <c r="BN5" i="3"/>
  <c r="BR20" i="3"/>
  <c r="BT35" i="7"/>
  <c r="BN30" i="7"/>
  <c r="BQ20" i="7"/>
  <c r="BK20" i="7"/>
  <c r="BP5" i="7"/>
  <c r="BJ35" i="3"/>
  <c r="BT20" i="3"/>
  <c r="BS15" i="3"/>
  <c r="BP10" i="3"/>
  <c r="BM5" i="3"/>
  <c r="BQ15" i="3"/>
  <c r="BS35" i="7"/>
  <c r="BM30" i="7"/>
  <c r="BT25" i="7"/>
  <c r="BP20" i="7"/>
  <c r="BT10" i="7"/>
  <c r="BN5" i="7"/>
  <c r="BJ5" i="7"/>
  <c r="BS20" i="3"/>
  <c r="BR15" i="3"/>
  <c r="BN10" i="3"/>
  <c r="BL5" i="3"/>
  <c r="BK15" i="3"/>
  <c r="BR35" i="7"/>
  <c r="BQ35" i="7"/>
  <c r="BR25" i="7"/>
  <c r="BM20" i="7"/>
  <c r="BR10" i="7"/>
  <c r="BL5" i="7"/>
  <c r="BS25" i="3"/>
  <c r="BQ20" i="3"/>
  <c r="BP15" i="3"/>
  <c r="BL10" i="3"/>
  <c r="BS25" i="7"/>
  <c r="BP35" i="7"/>
  <c r="BQ25" i="7"/>
  <c r="BL20" i="7"/>
  <c r="BT15" i="7"/>
  <c r="BQ10" i="7"/>
  <c r="BK10" i="7"/>
  <c r="BK5" i="7"/>
  <c r="BT35" i="3"/>
  <c r="BT30" i="3"/>
  <c r="BR25" i="3"/>
  <c r="BP20" i="3"/>
  <c r="BK20" i="3"/>
  <c r="BN15" i="3"/>
  <c r="BL30" i="7"/>
  <c r="BN35" i="7"/>
  <c r="BP25" i="7"/>
  <c r="BK25" i="7"/>
  <c r="BS15" i="7"/>
  <c r="BP10" i="7"/>
  <c r="BS35" i="3"/>
  <c r="BS30" i="3"/>
  <c r="BQ25" i="3"/>
  <c r="BJ25" i="3"/>
  <c r="BN20" i="3"/>
  <c r="BM15" i="3"/>
  <c r="BS10" i="7"/>
  <c r="BM35" i="7"/>
  <c r="BN25" i="7"/>
  <c r="BR15" i="7"/>
  <c r="BN10" i="7"/>
  <c r="BR35" i="3"/>
  <c r="BR30" i="3"/>
  <c r="BK30" i="3"/>
  <c r="BP25" i="3"/>
  <c r="BM20" i="3"/>
  <c r="BL15" i="3"/>
  <c r="BT5" i="3"/>
  <c r="BK35" i="7"/>
  <c r="BK5" i="3"/>
  <c r="BL35" i="7"/>
  <c r="BT30" i="7"/>
  <c r="BM25" i="7"/>
  <c r="BQ15" i="7"/>
  <c r="BM10" i="7"/>
  <c r="BQ35" i="3"/>
  <c r="BQ30" i="3"/>
  <c r="BN25" i="3"/>
  <c r="BL20" i="3"/>
  <c r="BS5" i="3"/>
  <c r="BT25" i="3"/>
  <c r="BS30" i="7"/>
  <c r="BL25" i="7"/>
  <c r="BP15" i="7"/>
  <c r="BJ15" i="7"/>
  <c r="BL10" i="7"/>
  <c r="BT5" i="7"/>
  <c r="BP35" i="3"/>
  <c r="BP30" i="3"/>
  <c r="BM25" i="3"/>
  <c r="BT10" i="3"/>
  <c r="BR5" i="3"/>
  <c r="BM5" i="7"/>
  <c r="BG8" i="3" l="1"/>
  <c r="BG11" i="3"/>
  <c r="BG24" i="3"/>
  <c r="BG37" i="3"/>
  <c r="BG23" i="3"/>
  <c r="AI18" i="3"/>
  <c r="AH42" i="3"/>
  <c r="AI36" i="3"/>
  <c r="BG7" i="3"/>
  <c r="BG19" i="3"/>
  <c r="AI14" i="3"/>
  <c r="BE14" i="3" s="1"/>
  <c r="AI22" i="3"/>
  <c r="AH41" i="3"/>
  <c r="AI26" i="3"/>
  <c r="AI39" i="3"/>
  <c r="AJ41" i="3"/>
  <c r="AI27" i="3"/>
  <c r="BE27" i="3" s="1"/>
  <c r="BH10" i="3"/>
  <c r="BG16" i="3"/>
  <c r="BG12" i="3"/>
  <c r="BE35" i="3"/>
  <c r="BE29" i="3"/>
  <c r="BH30" i="3"/>
  <c r="BG31" i="3"/>
  <c r="BB47" i="3"/>
  <c r="C14" i="1" s="1"/>
  <c r="BE36" i="3"/>
  <c r="BG29" i="3"/>
  <c r="BE34" i="3"/>
  <c r="BH5" i="3"/>
  <c r="BG6" i="3"/>
  <c r="BE8" i="3"/>
  <c r="L41" i="3"/>
  <c r="BG32" i="3"/>
  <c r="BB45" i="3"/>
  <c r="L40" i="3"/>
  <c r="BG9" i="3"/>
  <c r="BG10" i="3"/>
  <c r="BG35" i="3"/>
  <c r="BC45" i="3"/>
  <c r="BE10" i="3"/>
  <c r="J41" i="3"/>
  <c r="BE12" i="3"/>
  <c r="BE37" i="3"/>
  <c r="BG38" i="3"/>
  <c r="BE16" i="3"/>
  <c r="M42" i="3"/>
  <c r="BE20" i="3"/>
  <c r="L43" i="3"/>
  <c r="BH25" i="3"/>
  <c r="BH41" i="3" s="1"/>
  <c r="AZ47" i="3"/>
  <c r="C13" i="1" s="1"/>
  <c r="AX17" i="6"/>
  <c r="BD8" i="6"/>
  <c r="AI15" i="6"/>
  <c r="BE10" i="6"/>
  <c r="AG12" i="6"/>
  <c r="AJ12" i="6"/>
  <c r="BE11" i="6"/>
  <c r="BD5" i="6"/>
  <c r="AW19" i="6"/>
  <c r="C35" i="1" s="1"/>
  <c r="AI14" i="6"/>
  <c r="AI15" i="5"/>
  <c r="BE7" i="5"/>
  <c r="BD8" i="5"/>
  <c r="BE8" i="5"/>
  <c r="BD11" i="5"/>
  <c r="BE10" i="5"/>
  <c r="BE11" i="5"/>
  <c r="AX17" i="5"/>
  <c r="J12" i="5"/>
  <c r="BB8" i="5"/>
  <c r="BE5" i="5"/>
  <c r="BB12" i="5"/>
  <c r="J13" i="5"/>
  <c r="BB13" i="5" s="1"/>
  <c r="AY17" i="5"/>
  <c r="BC6" i="5"/>
  <c r="AZ17" i="5"/>
  <c r="M15" i="5"/>
  <c r="BE15" i="5" s="1"/>
  <c r="BE13" i="5"/>
  <c r="D20" i="1" s="1"/>
  <c r="K15" i="5"/>
  <c r="BC11" i="5"/>
  <c r="AW19" i="5"/>
  <c r="C23" i="1" s="1"/>
  <c r="K12" i="5"/>
  <c r="BD10" i="5"/>
  <c r="AY19" i="5"/>
  <c r="C24" i="1" s="1"/>
  <c r="BC7" i="6"/>
  <c r="K14" i="6"/>
  <c r="BC14" i="6" s="1"/>
  <c r="AY19" i="6"/>
  <c r="C36" i="1" s="1"/>
  <c r="BB9" i="6"/>
  <c r="BE8" i="6"/>
  <c r="M12" i="6"/>
  <c r="BE12" i="6" s="1"/>
  <c r="AZ17" i="6"/>
  <c r="BE7" i="6"/>
  <c r="BB10" i="6"/>
  <c r="BD9" i="6"/>
  <c r="BB7" i="6"/>
  <c r="AJ42" i="7"/>
  <c r="AK42" i="7"/>
  <c r="BG21" i="7"/>
  <c r="L41" i="7"/>
  <c r="M41" i="7"/>
  <c r="BA45" i="7"/>
  <c r="BE12" i="7"/>
  <c r="BG22" i="7"/>
  <c r="AH41" i="7"/>
  <c r="BG31" i="7"/>
  <c r="AJ41" i="7"/>
  <c r="BH10" i="7" a="1"/>
  <c r="BH10" i="7" s="1"/>
  <c r="AK41" i="7"/>
  <c r="AJ43" i="7"/>
  <c r="BG17" i="7"/>
  <c r="J42" i="7"/>
  <c r="L42" i="7"/>
  <c r="BG33" i="7"/>
  <c r="BH25" i="7" a="1"/>
  <c r="BH25" i="7" s="1"/>
  <c r="BH41" i="7" s="1"/>
  <c r="M42" i="7"/>
  <c r="BG13" i="7"/>
  <c r="BG23" i="7"/>
  <c r="BH5" i="7" a="1"/>
  <c r="BH5" i="7" s="1"/>
  <c r="J41" i="7"/>
  <c r="BG29" i="7"/>
  <c r="BA47" i="7"/>
  <c r="BG9" i="7"/>
  <c r="BG19" i="7"/>
  <c r="BH20" i="7" a="1"/>
  <c r="BH20" i="7" s="1"/>
  <c r="BB47" i="7"/>
  <c r="C48" i="1" s="1"/>
  <c r="L43" i="7"/>
  <c r="BE16" i="7"/>
  <c r="AI41" i="7"/>
  <c r="K27" i="7"/>
  <c r="BE27" i="7" s="1"/>
  <c r="BB45" i="7"/>
  <c r="BG6" i="7"/>
  <c r="AH42" i="7"/>
  <c r="AI5" i="7"/>
  <c r="BG34" i="7"/>
  <c r="BH35" i="7" a="1"/>
  <c r="BH35" i="7" s="1"/>
  <c r="BE37" i="7"/>
  <c r="BG39" i="7"/>
  <c r="BE31" i="7"/>
  <c r="BH30" i="7" a="1"/>
  <c r="BH30" i="7" s="1"/>
  <c r="BH42" i="7" s="1"/>
  <c r="BG38" i="7"/>
  <c r="BE15" i="7"/>
  <c r="BE19" i="7"/>
  <c r="BE23" i="7"/>
  <c r="BG37" i="7"/>
  <c r="AZ47" i="7"/>
  <c r="C47" i="1" s="1"/>
  <c r="BE7" i="7"/>
  <c r="BE11" i="7"/>
  <c r="BG7" i="7"/>
  <c r="BG11" i="7"/>
  <c r="BH15" i="7" a="1"/>
  <c r="BH15" i="7" s="1"/>
  <c r="BH43" i="7" s="1"/>
  <c r="BC47" i="7"/>
  <c r="BM43" i="7"/>
  <c r="F46" i="1" s="1"/>
  <c r="BM41" i="3"/>
  <c r="F10" i="1" s="1"/>
  <c r="BL41" i="7"/>
  <c r="E44" i="1" s="1"/>
  <c r="BS42" i="7"/>
  <c r="BN41" i="3"/>
  <c r="G10" i="1" s="1"/>
  <c r="BM41" i="7"/>
  <c r="F44" i="1" s="1"/>
  <c r="BT42" i="7"/>
  <c r="BP41" i="3"/>
  <c r="BN41" i="7"/>
  <c r="G44" i="1" s="1"/>
  <c r="BJ41" i="3"/>
  <c r="C10" i="1" s="1"/>
  <c r="BS42" i="3"/>
  <c r="BK41" i="7"/>
  <c r="D44" i="1" s="1"/>
  <c r="BP41" i="7"/>
  <c r="BL42" i="7"/>
  <c r="E45" i="1" s="1"/>
  <c r="BQ41" i="7"/>
  <c r="BR41" i="7"/>
  <c r="BN43" i="7"/>
  <c r="G46" i="1" s="1"/>
  <c r="BM42" i="7"/>
  <c r="F45" i="1" s="1"/>
  <c r="BN42" i="7"/>
  <c r="G45" i="1" s="1"/>
  <c r="BN40" i="3"/>
  <c r="G9" i="1" s="1"/>
  <c r="BL42" i="3"/>
  <c r="E11" i="1" s="1"/>
  <c r="BP42" i="7"/>
  <c r="BK41" i="3"/>
  <c r="D10" i="1" s="1"/>
  <c r="BM42" i="3"/>
  <c r="F11" i="1" s="1"/>
  <c r="BQ42" i="7"/>
  <c r="BL41" i="3"/>
  <c r="E10" i="1" s="1"/>
  <c r="BN42" i="3"/>
  <c r="G11" i="1" s="1"/>
  <c r="BK42" i="7"/>
  <c r="D45" i="1" s="1"/>
  <c r="BR42" i="7"/>
  <c r="BC10" i="5"/>
  <c r="AH14" i="5"/>
  <c r="BC9" i="6"/>
  <c r="AH13" i="6"/>
  <c r="BC13" i="6" s="1"/>
  <c r="BE22" i="3"/>
  <c r="BE33" i="3"/>
  <c r="BE18" i="3"/>
  <c r="BE28" i="3"/>
  <c r="BE6" i="3"/>
  <c r="AI5" i="3"/>
  <c r="BM43" i="3"/>
  <c r="F12" i="1" s="1"/>
  <c r="BM40" i="3"/>
  <c r="F9" i="1" s="1"/>
  <c r="K7" i="3"/>
  <c r="BE7" i="3" s="1"/>
  <c r="AI9" i="3"/>
  <c r="BE9" i="3" s="1"/>
  <c r="K11" i="3"/>
  <c r="BE11" i="3" s="1"/>
  <c r="AI13" i="3"/>
  <c r="BE13" i="3" s="1"/>
  <c r="K15" i="3"/>
  <c r="BE15" i="3" s="1"/>
  <c r="BG15" i="3"/>
  <c r="AI17" i="3"/>
  <c r="BE17" i="3" s="1"/>
  <c r="K19" i="3"/>
  <c r="BE19" i="3" s="1"/>
  <c r="AI21" i="3"/>
  <c r="BE21" i="3" s="1"/>
  <c r="K23" i="3"/>
  <c r="BE23" i="3" s="1"/>
  <c r="AI25" i="3"/>
  <c r="BG33" i="3"/>
  <c r="BS41" i="3"/>
  <c r="BG9" i="5" a="1"/>
  <c r="BG9" i="5" s="1"/>
  <c r="BG13" i="5" s="1"/>
  <c r="BF9" i="5"/>
  <c r="AK43" i="7"/>
  <c r="AK40" i="7"/>
  <c r="AJ43" i="3"/>
  <c r="AJ40" i="3"/>
  <c r="BN43" i="3"/>
  <c r="G12" i="1" s="1"/>
  <c r="BD9" i="5"/>
  <c r="BF5" i="6"/>
  <c r="BG5" i="6" a="1"/>
  <c r="BG5" i="6" s="1"/>
  <c r="AK43" i="3"/>
  <c r="AK40" i="3"/>
  <c r="BP43" i="3"/>
  <c r="BP40" i="3"/>
  <c r="BH15" i="3" a="1"/>
  <c r="BH15" i="3" s="1"/>
  <c r="AK41" i="3"/>
  <c r="BG28" i="3"/>
  <c r="AI30" i="3"/>
  <c r="BG34" i="3"/>
  <c r="BH35" i="3" a="1"/>
  <c r="BH35" i="3" s="1"/>
  <c r="AI38" i="3"/>
  <c r="BE38" i="3" s="1"/>
  <c r="BR43" i="3"/>
  <c r="L15" i="5"/>
  <c r="BD15" i="5" s="1"/>
  <c r="L12" i="5"/>
  <c r="BD12" i="5" s="1"/>
  <c r="BD14" i="5"/>
  <c r="BE13" i="6"/>
  <c r="K15" i="6"/>
  <c r="AH43" i="3"/>
  <c r="AH40" i="3"/>
  <c r="BQ43" i="3"/>
  <c r="BQ40" i="3"/>
  <c r="BQ41" i="3"/>
  <c r="BE26" i="3"/>
  <c r="BE31" i="3"/>
  <c r="BF6" i="5"/>
  <c r="BG6" i="5" a="1"/>
  <c r="BG6" i="5" s="1"/>
  <c r="BC7" i="5"/>
  <c r="BF9" i="6"/>
  <c r="BG9" i="6" a="1"/>
  <c r="BG9" i="6" s="1"/>
  <c r="BG13" i="6" s="1"/>
  <c r="BC10" i="6"/>
  <c r="BB15" i="6"/>
  <c r="J43" i="7"/>
  <c r="J40" i="7"/>
  <c r="BR41" i="3"/>
  <c r="BE39" i="3"/>
  <c r="BR40" i="3"/>
  <c r="BF10" i="5"/>
  <c r="BG10" i="5" a="1"/>
  <c r="BG10" i="5" s="1"/>
  <c r="BD13" i="5"/>
  <c r="L12" i="6"/>
  <c r="L15" i="6"/>
  <c r="BD15" i="6" s="1"/>
  <c r="BG6" i="6" a="1"/>
  <c r="BG6" i="6" s="1"/>
  <c r="BF6" i="6"/>
  <c r="BD14" i="6"/>
  <c r="BL43" i="7"/>
  <c r="E46" i="1" s="1"/>
  <c r="BL40" i="7"/>
  <c r="E43" i="1" s="1"/>
  <c r="BE28" i="7"/>
  <c r="E19" i="1"/>
  <c r="BE32" i="3"/>
  <c r="M43" i="7"/>
  <c r="M40" i="7"/>
  <c r="BG5" i="5" a="1"/>
  <c r="BG5" i="5" s="1"/>
  <c r="BF5" i="5"/>
  <c r="BS43" i="3"/>
  <c r="BS40" i="3"/>
  <c r="K41" i="3"/>
  <c r="BG25" i="3"/>
  <c r="BT41" i="3"/>
  <c r="BQ42" i="3"/>
  <c r="BG7" i="5" a="1"/>
  <c r="BG7" i="5" s="1"/>
  <c r="BF7" i="5"/>
  <c r="BC8" i="5"/>
  <c r="K14" i="5"/>
  <c r="BG10" i="6" a="1"/>
  <c r="BG10" i="6" s="1"/>
  <c r="BF10" i="6"/>
  <c r="BC11" i="6"/>
  <c r="BD13" i="6"/>
  <c r="J42" i="3"/>
  <c r="BG30" i="3"/>
  <c r="AZ45" i="3"/>
  <c r="BC47" i="3"/>
  <c r="BG11" i="5" a="1"/>
  <c r="BG11" i="5" s="1"/>
  <c r="BF11" i="5"/>
  <c r="BG7" i="6" a="1"/>
  <c r="BG7" i="6" s="1"/>
  <c r="BF7" i="6"/>
  <c r="BP43" i="7"/>
  <c r="BP40" i="7"/>
  <c r="BL43" i="3"/>
  <c r="E12" i="1" s="1"/>
  <c r="BL40" i="3"/>
  <c r="E9" i="1" s="1"/>
  <c r="BG8" i="6" a="1"/>
  <c r="BG8" i="6" s="1"/>
  <c r="BF8" i="6"/>
  <c r="J43" i="3"/>
  <c r="J40" i="3"/>
  <c r="BG5" i="3"/>
  <c r="M43" i="3"/>
  <c r="M40" i="3"/>
  <c r="K30" i="3"/>
  <c r="K42" i="3" s="1"/>
  <c r="BT42" i="3"/>
  <c r="AH5" i="5"/>
  <c r="AW17" i="5"/>
  <c r="AZ19" i="5"/>
  <c r="AH8" i="6"/>
  <c r="BC8" i="6" s="1"/>
  <c r="AH43" i="7"/>
  <c r="AH40" i="7"/>
  <c r="BE24" i="7"/>
  <c r="BT43" i="3"/>
  <c r="BT40" i="3"/>
  <c r="L42" i="3"/>
  <c r="BG8" i="5" a="1"/>
  <c r="BG8" i="5" s="1"/>
  <c r="BF8" i="5"/>
  <c r="AH9" i="5"/>
  <c r="BG11" i="6" a="1"/>
  <c r="BG11" i="6" s="1"/>
  <c r="BF11" i="6"/>
  <c r="BE8" i="7"/>
  <c r="BC5" i="6"/>
  <c r="AH12" i="6"/>
  <c r="BC12" i="6" s="1"/>
  <c r="BS43" i="7"/>
  <c r="BS40" i="7"/>
  <c r="BE9" i="5"/>
  <c r="J14" i="5"/>
  <c r="BB14" i="5" s="1"/>
  <c r="AG13" i="6"/>
  <c r="BB13" i="6" s="1"/>
  <c r="M14" i="6"/>
  <c r="BE14" i="6" s="1"/>
  <c r="BG8" i="7"/>
  <c r="BG12" i="7"/>
  <c r="BG16" i="7"/>
  <c r="K20" i="7"/>
  <c r="BE20" i="7" s="1"/>
  <c r="BG20" i="7"/>
  <c r="BG24" i="7"/>
  <c r="BG28" i="7"/>
  <c r="BG32" i="7"/>
  <c r="AI34" i="7"/>
  <c r="BE34" i="7" s="1"/>
  <c r="K36" i="7"/>
  <c r="BE36" i="7" s="1"/>
  <c r="AI38" i="7"/>
  <c r="BE38" i="7" s="1"/>
  <c r="L40" i="7"/>
  <c r="BN40" i="7"/>
  <c r="G43" i="1" s="1"/>
  <c r="BS41" i="7"/>
  <c r="M12" i="5"/>
  <c r="BE12" i="5" s="1"/>
  <c r="J15" i="5"/>
  <c r="BB15" i="5" s="1"/>
  <c r="AI12" i="6"/>
  <c r="BD12" i="6" s="1"/>
  <c r="AG14" i="6"/>
  <c r="BB14" i="6" s="1"/>
  <c r="M15" i="6"/>
  <c r="BE15" i="6" s="1"/>
  <c r="BT41" i="7"/>
  <c r="BQ40" i="7"/>
  <c r="BQ43" i="7"/>
  <c r="M14" i="5"/>
  <c r="BE14" i="5" s="1"/>
  <c r="K5" i="7"/>
  <c r="BE5" i="7" s="1"/>
  <c r="BG5" i="7"/>
  <c r="K9" i="7"/>
  <c r="BE9" i="7" s="1"/>
  <c r="K13" i="7"/>
  <c r="BE13" i="7" s="1"/>
  <c r="K17" i="7"/>
  <c r="BE17" i="7" s="1"/>
  <c r="K21" i="7"/>
  <c r="BE21" i="7" s="1"/>
  <c r="K25" i="7"/>
  <c r="BG25" i="7"/>
  <c r="K29" i="7"/>
  <c r="BE29" i="7" s="1"/>
  <c r="K33" i="7"/>
  <c r="BE33" i="7" s="1"/>
  <c r="AI35" i="7"/>
  <c r="BE35" i="7" s="1"/>
  <c r="AI39" i="7"/>
  <c r="BE39" i="7" s="1"/>
  <c r="AI40" i="7"/>
  <c r="BR40" i="7"/>
  <c r="BR43" i="7"/>
  <c r="BP42" i="3"/>
  <c r="AJ40" i="7"/>
  <c r="BT40" i="7"/>
  <c r="BT43" i="7"/>
  <c r="BR42" i="3"/>
  <c r="BB5" i="6"/>
  <c r="K6" i="7"/>
  <c r="BE6" i="7" s="1"/>
  <c r="K10" i="7"/>
  <c r="BE10" i="7" s="1"/>
  <c r="BG10" i="7"/>
  <c r="K14" i="7"/>
  <c r="BE14" i="7" s="1"/>
  <c r="K18" i="7"/>
  <c r="BE18" i="7" s="1"/>
  <c r="K22" i="7"/>
  <c r="BE22" i="7" s="1"/>
  <c r="K26" i="7"/>
  <c r="BE26" i="7" s="1"/>
  <c r="K30" i="7"/>
  <c r="BG30" i="7"/>
  <c r="AI32" i="7"/>
  <c r="BE32" i="7" s="1"/>
  <c r="J12" i="6"/>
  <c r="BB5" i="5"/>
  <c r="BE5" i="6"/>
  <c r="BG35" i="7"/>
  <c r="BM40" i="7"/>
  <c r="F43" i="1" s="1"/>
  <c r="BK10" i="3"/>
  <c r="BJ20" i="7"/>
  <c r="BJ35" i="7"/>
  <c r="BK35" i="3"/>
  <c r="BJ30" i="3"/>
  <c r="BK15" i="7"/>
  <c r="BJ15" i="3"/>
  <c r="BJ10" i="3"/>
  <c r="BJ10" i="7"/>
  <c r="BJ30" i="7"/>
  <c r="BJ25" i="7"/>
  <c r="BJ20" i="3"/>
  <c r="BH42" i="3" l="1"/>
  <c r="K43" i="3"/>
  <c r="BH43" i="3"/>
  <c r="BB12" i="6"/>
  <c r="E31" i="1" s="1"/>
  <c r="BH40" i="7"/>
  <c r="BJ41" i="7"/>
  <c r="C44" i="1" s="1"/>
  <c r="BJ42" i="7"/>
  <c r="C45" i="1" s="1"/>
  <c r="BJ40" i="7"/>
  <c r="C43" i="1" s="1"/>
  <c r="BJ43" i="7"/>
  <c r="C46" i="1" s="1"/>
  <c r="BJ43" i="3"/>
  <c r="C12" i="1" s="1"/>
  <c r="BJ40" i="3"/>
  <c r="C9" i="1" s="1"/>
  <c r="BK43" i="7"/>
  <c r="D46" i="1" s="1"/>
  <c r="BK40" i="7"/>
  <c r="D43" i="1" s="1"/>
  <c r="BJ42" i="3"/>
  <c r="C11" i="1" s="1"/>
  <c r="BK42" i="3"/>
  <c r="D11" i="1" s="1"/>
  <c r="BK40" i="3"/>
  <c r="D9" i="1" s="1"/>
  <c r="BK43" i="3"/>
  <c r="D12" i="1" s="1"/>
  <c r="J45" i="1"/>
  <c r="H45" i="1"/>
  <c r="J44" i="1"/>
  <c r="H44" i="1"/>
  <c r="K45" i="1"/>
  <c r="I45" i="1"/>
  <c r="H10" i="1"/>
  <c r="K11" i="1"/>
  <c r="I44" i="1"/>
  <c r="L45" i="1"/>
  <c r="D33" i="1"/>
  <c r="D34" i="1"/>
  <c r="E22" i="1"/>
  <c r="D19" i="1"/>
  <c r="J46" i="1"/>
  <c r="AI42" i="7"/>
  <c r="D31" i="1"/>
  <c r="J43" i="1"/>
  <c r="E33" i="1"/>
  <c r="K43" i="1"/>
  <c r="D22" i="1"/>
  <c r="H9" i="1"/>
  <c r="K10" i="1"/>
  <c r="D32" i="1"/>
  <c r="K43" i="7"/>
  <c r="K40" i="7"/>
  <c r="BE40" i="7" s="1"/>
  <c r="K46" i="1"/>
  <c r="E34" i="1"/>
  <c r="I9" i="1"/>
  <c r="H12" i="1"/>
  <c r="I10" i="1"/>
  <c r="D21" i="1"/>
  <c r="K40" i="3"/>
  <c r="BG14" i="5"/>
  <c r="I12" i="1"/>
  <c r="AI41" i="3"/>
  <c r="BE41" i="3" s="1"/>
  <c r="BE25" i="3"/>
  <c r="C31" i="1"/>
  <c r="BG14" i="6"/>
  <c r="K42" i="7"/>
  <c r="L46" i="1"/>
  <c r="I46" i="1"/>
  <c r="K44" i="1"/>
  <c r="AH15" i="6"/>
  <c r="BC15" i="6" s="1"/>
  <c r="L9" i="1"/>
  <c r="E20" i="1"/>
  <c r="K9" i="1"/>
  <c r="J9" i="1"/>
  <c r="J12" i="1"/>
  <c r="AI43" i="3"/>
  <c r="BE43" i="3" s="1"/>
  <c r="AI40" i="3"/>
  <c r="BE5" i="3"/>
  <c r="BH40" i="3"/>
  <c r="L43" i="1"/>
  <c r="L12" i="1"/>
  <c r="BC5" i="5"/>
  <c r="AH15" i="5"/>
  <c r="BC15" i="5" s="1"/>
  <c r="AH12" i="5"/>
  <c r="BC12" i="5" s="1"/>
  <c r="K12" i="1"/>
  <c r="C33" i="1"/>
  <c r="J11" i="1"/>
  <c r="K41" i="7"/>
  <c r="BE41" i="7" s="1"/>
  <c r="L11" i="1"/>
  <c r="C32" i="1"/>
  <c r="L44" i="1"/>
  <c r="H43" i="1"/>
  <c r="J10" i="1"/>
  <c r="BC9" i="5"/>
  <c r="AH13" i="5"/>
  <c r="BC13" i="5" s="1"/>
  <c r="I43" i="1"/>
  <c r="H11" i="1"/>
  <c r="BE25" i="7"/>
  <c r="E32" i="1"/>
  <c r="AI43" i="7"/>
  <c r="H46" i="1"/>
  <c r="I11" i="1"/>
  <c r="BG12" i="5"/>
  <c r="BG15" i="5"/>
  <c r="AI42" i="3"/>
  <c r="BE42" i="3" s="1"/>
  <c r="BE30" i="3"/>
  <c r="BG15" i="6"/>
  <c r="BG12" i="6"/>
  <c r="BC14" i="5"/>
  <c r="E21" i="1"/>
  <c r="L10" i="1"/>
  <c r="BE30" i="7"/>
  <c r="C21" i="1" l="1"/>
  <c r="C22" i="1"/>
  <c r="C20" i="1"/>
  <c r="C19" i="1"/>
  <c r="BE43" i="7"/>
  <c r="BE40" i="3"/>
  <c r="C34" i="1"/>
  <c r="BE42" i="7"/>
</calcChain>
</file>

<file path=xl/sharedStrings.xml><?xml version="1.0" encoding="utf-8"?>
<sst xmlns="http://schemas.openxmlformats.org/spreadsheetml/2006/main" count="1389" uniqueCount="574">
  <si>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</si>
  <si>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</si>
  <si>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</si>
  <si>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</si>
  <si>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</si>
  <si>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</si>
  <si>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</si>
  <si>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</si>
  <si>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</si>
  <si>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</si>
  <si>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</si>
  <si>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</si>
  <si>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</si>
  <si>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</si>
  <si>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</si>
  <si>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</si>
  <si>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</si>
  <si>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</si>
  <si>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</si>
  <si>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</si>
  <si>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</si>
  <si>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</si>
  <si>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</si>
  <si>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</si>
  <si>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</si>
  <si>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</si>
  <si>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</si>
  <si>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</si>
  <si>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</si>
  <si>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</si>
  <si>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</si>
  <si>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</si>
  <si>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</si>
  <si>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</si>
  <si>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</si>
  <si>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</si>
  <si>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</si>
  <si>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</si>
  <si>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</si>
  <si>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</si>
  <si>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</si>
  <si>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</si>
  <si>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</si>
  <si>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</si>
  <si>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</si>
  <si>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</si>
  <si>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</si>
  <si>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</si>
  <si>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</si>
  <si>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</si>
  <si>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</si>
  <si>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</si>
  <si>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</si>
  <si>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</si>
  <si>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</si>
  <si>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</si>
  <si>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</si>
  <si>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</si>
  <si>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</si>
  <si>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</si>
  <si>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</si>
  <si>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</si>
  <si>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</si>
  <si>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</si>
  <si>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</si>
  <si>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</si>
  <si>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</si>
  <si>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</si>
  <si>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</si>
  <si>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</si>
  <si>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</si>
  <si>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</si>
  <si>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</si>
  <si>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</si>
  <si>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</si>
  <si>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</si>
  <si>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</si>
  <si>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</si>
  <si>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</si>
  <si>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</si>
  <si>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</si>
  <si>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</si>
  <si>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</si>
  <si>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</si>
  <si>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</si>
  <si>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</si>
  <si>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</si>
  <si>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</si>
  <si>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</si>
  <si>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</si>
  <si>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</si>
  <si>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</si>
  <si>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</si>
  <si>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</si>
  <si>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</si>
  <si>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</si>
  <si>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</si>
  <si>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</si>
  <si>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</si>
  <si>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</si>
  <si>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</si>
  <si>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</si>
  <si>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</si>
  <si>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</si>
  <si>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</si>
  <si>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</si>
  <si>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</si>
  <si>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</si>
  <si>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</si>
  <si>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</si>
  <si>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</si>
  <si>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</si>
  <si>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</si>
  <si>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</si>
  <si>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</si>
  <si>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</si>
  <si>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</si>
  <si>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</si>
  <si>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</si>
  <si>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</si>
  <si>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</si>
  <si>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</si>
  <si>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</si>
  <si>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</si>
  <si>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</si>
  <si>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</si>
  <si>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</si>
  <si>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</si>
  <si>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</si>
  <si>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</si>
  <si>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</si>
  <si>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</si>
  <si>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</si>
  <si>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</si>
  <si>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</si>
  <si>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</si>
  <si>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</si>
  <si>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</si>
  <si>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</si>
  <si>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</si>
  <si>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</si>
  <si>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</si>
  <si>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</si>
  <si>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</si>
  <si>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</si>
  <si>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</si>
  <si>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</si>
  <si>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</si>
  <si>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</si>
  <si>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</si>
  <si>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</si>
  <si>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</si>
  <si>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</si>
  <si>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</si>
  <si>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</si>
  <si>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</si>
  <si>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</si>
  <si>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</si>
  <si>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</si>
  <si>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</si>
  <si>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</si>
  <si>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</si>
  <si>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</si>
  <si>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</si>
  <si>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</si>
  <si>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</si>
  <si>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</si>
  <si>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</si>
  <si>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</si>
  <si>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</si>
  <si>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</si>
  <si>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</si>
  <si>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</si>
  <si>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</si>
  <si>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</si>
  <si>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</si>
  <si>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</si>
  <si>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</si>
  <si>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</si>
  <si>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</si>
  <si>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</si>
  <si>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</si>
  <si>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</si>
  <si>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</si>
  <si>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</si>
  <si>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</si>
  <si>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</si>
  <si>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</si>
  <si>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</si>
  <si>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</si>
  <si>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</si>
  <si>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</si>
  <si>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</si>
  <si>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</si>
  <si>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</si>
  <si>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</si>
  <si>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</si>
  <si>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</si>
  <si>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</si>
  <si>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</si>
  <si>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</si>
  <si>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</si>
  <si>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</si>
  <si>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</si>
  <si>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</si>
  <si>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</si>
  <si>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</si>
  <si>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</si>
  <si>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</si>
  <si>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</si>
  <si>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</si>
  <si>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</si>
  <si>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</si>
  <si>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</si>
  <si>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</si>
  <si>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</si>
  <si>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</si>
  <si>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</si>
  <si>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</si>
  <si>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</si>
  <si>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</si>
  <si>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</si>
  <si>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</si>
  <si>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</si>
  <si>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</si>
  <si>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</si>
  <si>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</si>
  <si>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</si>
  <si>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</si>
  <si>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</si>
  <si>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</si>
  <si>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</si>
  <si>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</si>
  <si>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</si>
  <si>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</si>
  <si>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</si>
  <si>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</si>
  <si>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</si>
  <si>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</si>
  <si>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</si>
  <si>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</si>
  <si>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</si>
  <si>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</si>
  <si>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</si>
  <si>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</si>
  <si>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</si>
  <si>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</si>
  <si>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</si>
  <si>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</si>
  <si>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</si>
  <si>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</si>
  <si>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</si>
  <si>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</si>
  <si>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</si>
  <si>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</si>
  <si>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</si>
  <si>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</si>
  <si>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</si>
  <si>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</si>
  <si>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</si>
  <si>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</si>
  <si>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</si>
  <si>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</si>
  <si>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</si>
  <si>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</si>
  <si>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</si>
  <si>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</si>
  <si>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</si>
  <si>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</si>
  <si>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</si>
  <si>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</si>
  <si>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</si>
  <si>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</si>
  <si>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</si>
  <si>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</si>
  <si>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</si>
  <si>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</si>
  <si>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</si>
  <si>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</si>
  <si>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</si>
  <si>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</si>
  <si>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</si>
  <si>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</si>
  <si>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</si>
  <si>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</si>
  <si>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</si>
  <si>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</si>
  <si>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</si>
  <si>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</si>
  <si>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</si>
  <si>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</si>
  <si>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</si>
  <si>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</si>
  <si>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</si>
  <si>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</si>
  <si>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</si>
  <si>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</si>
  <si>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</si>
  <si>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</si>
  <si>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</si>
  <si>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</si>
  <si>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</si>
  <si>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</si>
  <si>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</si>
  <si>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</si>
  <si>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</si>
  <si>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</si>
  <si>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</si>
  <si>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</si>
  <si>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</si>
  <si>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</si>
  <si>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</si>
  <si>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</si>
  <si>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</si>
  <si>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</si>
  <si>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</si>
  <si>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</si>
  <si>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</si>
  <si>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</si>
  <si>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</si>
  <si>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</si>
  <si>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</si>
  <si>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</si>
  <si>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</si>
  <si>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</si>
  <si>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</si>
  <si>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</si>
  <si>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</si>
  <si>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</si>
  <si>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</si>
  <si>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</si>
  <si>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</si>
  <si>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</si>
  <si>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</si>
  <si>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</si>
  <si>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</si>
  <si>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</si>
  <si>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</si>
  <si>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</si>
  <si>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</si>
  <si>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</si>
  <si>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</si>
  <si>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</si>
  <si>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</si>
  <si>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</si>
  <si>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</si>
  <si>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</si>
  <si>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</si>
  <si>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</si>
  <si>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</si>
  <si>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</si>
  <si>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</si>
  <si>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</si>
  <si>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</si>
  <si>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</si>
  <si>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</si>
  <si>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</si>
  <si>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</si>
  <si>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</si>
  <si>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</si>
  <si>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</si>
  <si>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</si>
  <si>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</si>
  <si>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</si>
  <si>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</si>
  <si>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</si>
  <si>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</si>
  <si>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</si>
  <si>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</si>
  <si>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</si>
  <si>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</si>
  <si>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</si>
  <si>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</si>
  <si>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</si>
  <si>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</si>
  <si>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</si>
  <si>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</si>
  <si>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</si>
  <si>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</si>
  <si>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</si>
  <si>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</si>
  <si>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</si>
  <si>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</si>
  <si>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</si>
  <si>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</si>
  <si>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</si>
  <si>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</si>
  <si>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</si>
  <si>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</si>
  <si>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</si>
  <si>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</si>
  <si>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</si>
  <si>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</si>
  <si>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</si>
  <si>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</si>
  <si>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</si>
  <si>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</si>
  <si>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</si>
  <si>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</si>
  <si>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</si>
  <si>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</si>
  <si>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</si>
  <si>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</si>
  <si>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</si>
  <si>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</si>
  <si>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</si>
  <si>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</si>
  <si>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</si>
  <si>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</si>
  <si>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</si>
  <si>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</si>
  <si>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</si>
  <si>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</si>
  <si>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</si>
  <si>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</si>
  <si>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</si>
  <si>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</si>
  <si>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</si>
  <si>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</si>
  <si>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</si>
  <si>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</si>
  <si>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</si>
  <si>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</si>
  <si>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</si>
  <si>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</si>
  <si>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</si>
  <si>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</si>
  <si>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</si>
  <si>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</si>
  <si>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</si>
  <si>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</si>
  <si>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</si>
  <si>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</si>
  <si>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</si>
  <si>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</si>
  <si>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</si>
  <si>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</si>
  <si>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</si>
  <si>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</si>
  <si>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</si>
  <si>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</si>
  <si>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</si>
  <si>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</si>
  <si>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</si>
  <si>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</si>
  <si>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</si>
  <si>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</si>
  <si>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</si>
  <si>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</si>
  <si>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</si>
  <si>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</si>
  <si>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</si>
  <si>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</si>
  <si>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</si>
  <si>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</si>
  <si>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</si>
  <si>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</si>
  <si>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</si>
  <si>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</si>
  <si>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</si>
  <si>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</si>
  <si>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</si>
  <si>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</si>
  <si>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</si>
  <si>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</si>
  <si>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</si>
  <si>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</si>
  <si>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</si>
  <si>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</si>
  <si>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</si>
  <si>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</si>
  <si>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</si>
  <si>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</si>
  <si>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</si>
  <si>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</si>
  <si>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</si>
  <si>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</si>
  <si>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</si>
  <si>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</si>
  <si>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</si>
  <si>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</si>
  <si>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</si>
  <si>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</si>
  <si>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</si>
  <si>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</si>
  <si>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</si>
  <si>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</si>
  <si>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</si>
  <si>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</si>
  <si>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</si>
  <si>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</si>
  <si>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</si>
  <si>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</si>
  <si>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</si>
  <si>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</si>
  <si>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</si>
  <si>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</si>
  <si>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</si>
  <si>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</si>
  <si>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</si>
  <si>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</si>
  <si>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</si>
  <si>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</si>
  <si>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</si>
  <si>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</si>
  <si>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</si>
  <si>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</si>
  <si>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</si>
  <si>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</si>
  <si>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</si>
  <si>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</si>
  <si>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</si>
  <si>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</si>
  <si>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</si>
  <si>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</si>
  <si>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</si>
  <si>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</si>
  <si>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</si>
  <si>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</si>
  <si>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</si>
  <si>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</si>
  <si>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</si>
  <si>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</si>
  <si>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</si>
  <si>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</si>
  <si>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</si>
  <si>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</si>
  <si>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</si>
  <si>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</si>
  <si>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</si>
  <si>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</si>
  <si>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</si>
  <si>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</si>
  <si>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</si>
  <si>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</si>
  <si>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</si>
  <si>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</si>
  <si>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</si>
  <si>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</si>
  <si>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</si>
  <si>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</si>
  <si>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</si>
  <si>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</si>
  <si>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</si>
  <si>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</si>
  <si>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</si>
  <si>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</si>
  <si>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</si>
  <si>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</si>
  <si>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</si>
  <si>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</si>
  <si>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</si>
  <si>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</si>
  <si>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</si>
  <si>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</si>
  <si>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</si>
  <si>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</si>
  <si>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</si>
  <si>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</si>
  <si>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</si>
  <si>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</si>
  <si>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</si>
  <si>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</si>
  <si>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</si>
  <si>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</si>
  <si>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</si>
  <si>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</si>
  <si>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</si>
  <si>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</si>
  <si>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</si>
  <si>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</si>
  <si>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CW_ld — lossless geometry, lossless attributes [inter, low delay]</t>
  </si>
  <si>
    <t>C2_ra — lossy geometry, lossy attributes [inter, random access]</t>
  </si>
  <si>
    <t>r180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</si>
</sst>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r180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66.355962500000004</c:v>
                </c:pt>
                <c:pt idx="1">
                  <c:v>68.241950000000003</c:v>
                </c:pt>
                <c:pt idx="2">
                  <c:v>69.679040624999999</c:v>
                </c:pt>
                <c:pt idx="3">
                  <c:v>70.829490625000005</c:v>
                </c:pt>
                <c:pt idx="4">
                  <c:v>71.945081250000001</c:v>
                </c:pt>
              </c:numCache>
            </c:numRef>
          </c:yVal>
          <c:smooth val="1"/>
          <c:extLst>
            <c:ext xmlns:c16="http://schemas.microsoft.com/office/drawing/2014/chart" uri="{C3380CC4-5D6E-409C-BE32-E72D297353CC}">
              <c16:uniqueId val="{00000000-172C-4B24-B969-ED353A2077F1}"/>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172C-4B24-B969-ED353A2077F1}"/>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r180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68.483328125</c:v>
                </c:pt>
                <c:pt idx="1">
                  <c:v>70.429959374999996</c:v>
                </c:pt>
                <c:pt idx="2">
                  <c:v>72.128625</c:v>
                </c:pt>
                <c:pt idx="3">
                  <c:v>73.399412499999997</c:v>
                </c:pt>
                <c:pt idx="4">
                  <c:v>75.324081250000006</c:v>
                </c:pt>
              </c:numCache>
            </c:numRef>
          </c:yVal>
          <c:smooth val="1"/>
          <c:extLst>
            <c:ext xmlns:c16="http://schemas.microsoft.com/office/drawing/2014/chart" uri="{C3380CC4-5D6E-409C-BE32-E72D297353CC}">
              <c16:uniqueId val="{00000000-B37D-43BE-9874-F9799E06ECBB}"/>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B37D-43BE-9874-F9799E06EC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r180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32.113043750000003</c:v>
                </c:pt>
                <c:pt idx="1">
                  <c:v>34.357659374999997</c:v>
                </c:pt>
                <c:pt idx="2">
                  <c:v>36.89405</c:v>
                </c:pt>
                <c:pt idx="3">
                  <c:v>39.521596875</c:v>
                </c:pt>
                <c:pt idx="4">
                  <c:v>42.094303125000003</c:v>
                </c:pt>
              </c:numCache>
            </c:numRef>
          </c:yVal>
          <c:smooth val="1"/>
          <c:extLst>
            <c:ext xmlns:c16="http://schemas.microsoft.com/office/drawing/2014/chart" uri="{C3380CC4-5D6E-409C-BE32-E72D297353CC}">
              <c16:uniqueId val="{00000000-837E-42ED-934D-32E20C3B49C6}"/>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837E-42ED-934D-32E20C3B49C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r180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44.188546875</c:v>
                </c:pt>
                <c:pt idx="1">
                  <c:v>45.471753124999999</c:v>
                </c:pt>
                <c:pt idx="2">
                  <c:v>46.603406249999999</c:v>
                </c:pt>
                <c:pt idx="3">
                  <c:v>47.923753124999998</c:v>
                </c:pt>
                <c:pt idx="4">
                  <c:v>49.417631249999999</c:v>
                </c:pt>
              </c:numCache>
            </c:numRef>
          </c:yVal>
          <c:smooth val="1"/>
          <c:extLst>
            <c:ext xmlns:c16="http://schemas.microsoft.com/office/drawing/2014/chart" uri="{C3380CC4-5D6E-409C-BE32-E72D297353CC}">
              <c16:uniqueId val="{00000000-ECA7-4CA8-B7A9-CFA32CCD8130}"/>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ECA7-4CA8-B7A9-CFA32CCD8130}"/>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r180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43.811181249999997</c:v>
                </c:pt>
                <c:pt idx="1">
                  <c:v>45.224109374999998</c:v>
                </c:pt>
                <c:pt idx="2">
                  <c:v>46.480725</c:v>
                </c:pt>
                <c:pt idx="3">
                  <c:v>47.942937499999999</c:v>
                </c:pt>
                <c:pt idx="4">
                  <c:v>49.554403125</c:v>
                </c:pt>
              </c:numCache>
            </c:numRef>
          </c:yVal>
          <c:smooth val="1"/>
          <c:extLst>
            <c:ext xmlns:c16="http://schemas.microsoft.com/office/drawing/2014/chart" uri="{C3380CC4-5D6E-409C-BE32-E72D297353CC}">
              <c16:uniqueId val="{00000000-7CFF-400B-B4C9-6B6B9B33547A}"/>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7CFF-400B-B4C9-6B6B9B33547A}"/>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r180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960-4473-9DCA-9E41C5BF5D12}"/>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960-4473-9DCA-9E41C5BF5D1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H22" sqref="H22"/>
    </sheetView>
  </sheetViews>
  <sheetFormatPr defaultRowHeight="15" x14ac:dyDescent="0.25"/>
  <cols>
    <col min="2" max="2" width="16.7109375" style="53" customWidth="1"/>
    <col min="3" max="12" width="24.7109375" style="53" customWidth="1"/>
  </cols>
  <sheetData>
    <row r="1" spans="2:12" x14ac:dyDescent="0.25">
      <c r="B1" t="s">
        <v>0</v>
      </c>
      <c r="C1" s="67" t="s">
        <v>573</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U5" activePane="bottomRight" state="frozen"/>
      <selection pane="topRight" activeCell="C1" sqref="C1"/>
      <selection pane="bottomLeft" activeCell="A5" sqref="A5"/>
      <selection pane="bottomRight" activeCell="AQ43" sqref="AQ4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r180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2.1789900000000002</v>
      </c>
      <c r="J5" s="12">
        <f t="shared" ref="J5:J39" si="1">IF(ISBLANK(S5),"·",S5/D5)</f>
        <v>9.7597783877396652E-3</v>
      </c>
      <c r="K5" s="12">
        <f t="shared" ref="K5:K39" si="2">IF(N5="","·",N5/D5)</f>
        <v>6.1712629522905514E-3</v>
      </c>
      <c r="L5" s="12">
        <f t="shared" ref="L5:L39" si="3">IF(T5="","·",T5/D5)</f>
        <v>3.5270742356116581E-3</v>
      </c>
      <c r="M5" s="12">
        <f t="shared" ref="M5:M39" si="4">IF(ISBLANK(V5),"·",V5/D5)</f>
        <v>3.5885154354491143E-3</v>
      </c>
      <c r="N5" s="54">
        <f t="shared" ref="N5:N39" si="5">IF(OR(ISBLANK(T5),ISBLANK(U5)),"",T5+U5)</f>
        <v>1469664</v>
      </c>
      <c r="O5" s="12">
        <v>-12</v>
      </c>
      <c r="P5" s="13">
        <v>21771728</v>
      </c>
      <c r="Q5" s="13">
        <v>680366.5</v>
      </c>
      <c r="R5" s="13">
        <v>13458.65625</v>
      </c>
      <c r="S5" s="14">
        <v>2324256</v>
      </c>
      <c r="T5" s="14">
        <v>839960</v>
      </c>
      <c r="U5" s="14">
        <v>629704</v>
      </c>
      <c r="V5" s="14">
        <v>854592</v>
      </c>
      <c r="W5" s="15">
        <v>66.355962500000004</v>
      </c>
      <c r="X5" s="15">
        <v>68.483328125</v>
      </c>
      <c r="Y5" s="15">
        <v>32.113043750000003</v>
      </c>
      <c r="Z5" s="15">
        <v>44.188546875</v>
      </c>
      <c r="AA5" s="15">
        <v>43.811181249999997</v>
      </c>
      <c r="AB5" s="16">
        <v>2224.16</v>
      </c>
      <c r="AC5" s="16">
        <v>0</v>
      </c>
      <c r="AD5" s="16">
        <v>62.134999999999998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3.388665</v>
      </c>
      <c r="J6" s="21">
        <f t="shared" si="1"/>
        <v>1.5177958334040006E-2</v>
      </c>
      <c r="K6" s="21">
        <f t="shared" si="2"/>
        <v>7.5204498900006429E-3</v>
      </c>
      <c r="L6" s="21">
        <f t="shared" si="3"/>
        <v>4.8762611733217491E-3</v>
      </c>
      <c r="M6" s="21">
        <f t="shared" si="4"/>
        <v>7.6575084440393638E-3</v>
      </c>
      <c r="N6" s="18">
        <f t="shared" si="5"/>
        <v>1790968</v>
      </c>
      <c r="O6" s="21">
        <v>-12</v>
      </c>
      <c r="P6" s="22">
        <v>24147688</v>
      </c>
      <c r="Q6" s="22">
        <v>754615.25</v>
      </c>
      <c r="R6" s="22">
        <v>19012.03125</v>
      </c>
      <c r="S6" s="23">
        <v>3614576</v>
      </c>
      <c r="T6" s="23">
        <v>1161264</v>
      </c>
      <c r="U6" s="23">
        <v>629704</v>
      </c>
      <c r="V6" s="23">
        <v>1823608</v>
      </c>
      <c r="W6" s="24">
        <v>68.241950000000003</v>
      </c>
      <c r="X6" s="24">
        <v>70.429959374999996</v>
      </c>
      <c r="Y6" s="24">
        <v>34.357659374999997</v>
      </c>
      <c r="Z6" s="24">
        <v>45.471753124999999</v>
      </c>
      <c r="AA6" s="24">
        <v>45.224109374999998</v>
      </c>
      <c r="AB6" s="25">
        <v>2263.4699999999998</v>
      </c>
      <c r="AC6" s="25">
        <v>0</v>
      </c>
      <c r="AD6" s="25">
        <v>67.459000000000003</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5.5621875000000003</v>
      </c>
      <c r="J7" s="12">
        <f t="shared" si="1"/>
        <v>2.4913247583080108E-2</v>
      </c>
      <c r="K7" s="12">
        <f t="shared" si="2"/>
        <v>9.4649681254250044E-3</v>
      </c>
      <c r="L7" s="12">
        <f t="shared" si="3"/>
        <v>6.8207794087461106E-3</v>
      </c>
      <c r="M7" s="12">
        <f t="shared" si="4"/>
        <v>1.5448279457655102E-2</v>
      </c>
      <c r="N7" s="54">
        <f t="shared" si="5"/>
        <v>2254048</v>
      </c>
      <c r="O7" s="12">
        <v>-12</v>
      </c>
      <c r="P7" s="13">
        <v>24798303</v>
      </c>
      <c r="Q7" s="13">
        <v>774946.96875</v>
      </c>
      <c r="R7" s="13">
        <v>20946</v>
      </c>
      <c r="S7" s="14">
        <v>5933000</v>
      </c>
      <c r="T7" s="14">
        <v>1624344</v>
      </c>
      <c r="U7" s="14">
        <v>629704</v>
      </c>
      <c r="V7" s="14">
        <v>3678952</v>
      </c>
      <c r="W7" s="15">
        <v>69.679040624999999</v>
      </c>
      <c r="X7" s="15">
        <v>72.128625</v>
      </c>
      <c r="Y7" s="15">
        <v>36.89405</v>
      </c>
      <c r="Z7" s="15">
        <v>46.603406249999999</v>
      </c>
      <c r="AA7" s="15">
        <v>46.480725</v>
      </c>
      <c r="AB7" s="16">
        <v>2334.73</v>
      </c>
      <c r="AC7" s="16">
        <v>0</v>
      </c>
      <c r="AD7" s="16">
        <v>69.257000000000005</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9.4267649999999996</v>
      </c>
      <c r="J8" s="21">
        <f t="shared" si="1"/>
        <v>4.2222835953033611E-2</v>
      </c>
      <c r="K8" s="21">
        <f t="shared" si="2"/>
        <v>1.2729682726957639E-2</v>
      </c>
      <c r="L8" s="21">
        <f t="shared" si="3"/>
        <v>1.0085494010278745E-2</v>
      </c>
      <c r="M8" s="21">
        <f t="shared" si="4"/>
        <v>2.9493153226075972E-2</v>
      </c>
      <c r="N8" s="18">
        <f t="shared" si="5"/>
        <v>3031528</v>
      </c>
      <c r="O8" s="21">
        <v>-12</v>
      </c>
      <c r="P8" s="22">
        <v>25806958</v>
      </c>
      <c r="Q8" s="22">
        <v>806467.4375</v>
      </c>
      <c r="R8" s="22">
        <v>24305.84375</v>
      </c>
      <c r="S8" s="23">
        <v>10055216</v>
      </c>
      <c r="T8" s="23">
        <v>2401824</v>
      </c>
      <c r="U8" s="23">
        <v>629704</v>
      </c>
      <c r="V8" s="23">
        <v>7023688</v>
      </c>
      <c r="W8" s="24">
        <v>70.829490625000005</v>
      </c>
      <c r="X8" s="24">
        <v>73.399412499999997</v>
      </c>
      <c r="Y8" s="24">
        <v>39.521596875</v>
      </c>
      <c r="Z8" s="24">
        <v>47.923753124999998</v>
      </c>
      <c r="AA8" s="24">
        <v>47.942937499999999</v>
      </c>
      <c r="AB8" s="25">
        <v>2425.54</v>
      </c>
      <c r="AC8" s="25">
        <v>0</v>
      </c>
      <c r="AD8" s="25">
        <v>69.697999999999993</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16.8055275</v>
      </c>
      <c r="J9" s="30">
        <f t="shared" si="1"/>
        <v>7.5272591470848707E-2</v>
      </c>
      <c r="K9" s="30">
        <f t="shared" si="2"/>
        <v>2.0658352114183414E-2</v>
      </c>
      <c r="L9" s="30">
        <f t="shared" si="3"/>
        <v>1.5548050022727408E-2</v>
      </c>
      <c r="M9" s="30">
        <f t="shared" si="4"/>
        <v>5.461423935666529E-2</v>
      </c>
      <c r="N9" s="27">
        <f t="shared" si="5"/>
        <v>4919712</v>
      </c>
      <c r="O9" s="30">
        <v>-12</v>
      </c>
      <c r="P9" s="31">
        <v>24863702</v>
      </c>
      <c r="Q9" s="31">
        <v>776990.6875</v>
      </c>
      <c r="R9" s="31">
        <v>10657.0625</v>
      </c>
      <c r="S9" s="32">
        <v>17925896</v>
      </c>
      <c r="T9" s="32">
        <v>3702712</v>
      </c>
      <c r="U9" s="32">
        <v>1217000</v>
      </c>
      <c r="V9" s="32">
        <v>13006184</v>
      </c>
      <c r="W9" s="33">
        <v>71.945081250000001</v>
      </c>
      <c r="X9" s="33">
        <v>75.324081250000006</v>
      </c>
      <c r="Y9" s="33">
        <v>42.094303125000003</v>
      </c>
      <c r="Z9" s="33">
        <v>49.417631249999999</v>
      </c>
      <c r="AA9" s="33">
        <v>49.554403125</v>
      </c>
      <c r="AB9" s="34">
        <v>2592.5300000000002</v>
      </c>
      <c r="AC9" s="34">
        <v>0</v>
      </c>
      <c r="AD9" s="34">
        <v>68.564999999999998</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3.1803675</v>
      </c>
      <c r="J10" s="21">
        <f t="shared" si="1"/>
        <v>1.555278142052758E-2</v>
      </c>
      <c r="K10" s="21">
        <f t="shared" si="2"/>
        <v>8.0389419385389349E-3</v>
      </c>
      <c r="L10" s="21">
        <f t="shared" si="3"/>
        <v>4.2751636266586089E-3</v>
      </c>
      <c r="M10" s="21">
        <f t="shared" si="4"/>
        <v>7.5138394819886456E-3</v>
      </c>
      <c r="N10" s="18">
        <f t="shared" si="5"/>
        <v>1753464</v>
      </c>
      <c r="O10" s="21">
        <v>-12</v>
      </c>
      <c r="P10" s="22">
        <v>20646708</v>
      </c>
      <c r="Q10" s="22">
        <v>645209.625</v>
      </c>
      <c r="R10" s="22">
        <v>18054.21875</v>
      </c>
      <c r="S10" s="23">
        <v>3392392</v>
      </c>
      <c r="T10" s="23">
        <v>932504</v>
      </c>
      <c r="U10" s="23">
        <v>820960</v>
      </c>
      <c r="V10" s="23">
        <v>1638928</v>
      </c>
      <c r="W10" s="24">
        <v>65.886574999999993</v>
      </c>
      <c r="X10" s="24">
        <v>67.829274999999996</v>
      </c>
      <c r="Y10" s="24">
        <v>32.394371874999997</v>
      </c>
      <c r="Z10" s="24">
        <v>39.164603124999999</v>
      </c>
      <c r="AA10" s="24">
        <v>32.094328124999997</v>
      </c>
      <c r="AB10" s="25">
        <v>2257.85</v>
      </c>
      <c r="AC10" s="25">
        <v>0</v>
      </c>
      <c r="AD10" s="25">
        <v>62.317999999999998</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4.5974775000000001</v>
      </c>
      <c r="J11" s="12">
        <f t="shared" si="1"/>
        <v>2.2482798809663848E-2</v>
      </c>
      <c r="K11" s="12">
        <f t="shared" si="2"/>
        <v>9.7882442829662596E-3</v>
      </c>
      <c r="L11" s="12">
        <f t="shared" si="3"/>
        <v>6.0244659710859336E-3</v>
      </c>
      <c r="M11" s="12">
        <f t="shared" si="4"/>
        <v>1.2694554526697589E-2</v>
      </c>
      <c r="N11" s="54">
        <f t="shared" si="5"/>
        <v>2135024</v>
      </c>
      <c r="O11" s="12">
        <v>-12</v>
      </c>
      <c r="P11" s="13">
        <v>22133832</v>
      </c>
      <c r="Q11" s="13">
        <v>691682.25</v>
      </c>
      <c r="R11" s="13">
        <v>23047.09375</v>
      </c>
      <c r="S11" s="14">
        <v>4903976</v>
      </c>
      <c r="T11" s="14">
        <v>1314064</v>
      </c>
      <c r="U11" s="14">
        <v>820960</v>
      </c>
      <c r="V11" s="14">
        <v>2768952</v>
      </c>
      <c r="W11" s="15">
        <v>67.609459375</v>
      </c>
      <c r="X11" s="15">
        <v>69.693121875000003</v>
      </c>
      <c r="Y11" s="15">
        <v>34.251906249999998</v>
      </c>
      <c r="Z11" s="15">
        <v>40.012206249999998</v>
      </c>
      <c r="AA11" s="15">
        <v>33.863571874999998</v>
      </c>
      <c r="AB11" s="16">
        <v>2316.61</v>
      </c>
      <c r="AC11" s="16">
        <v>0</v>
      </c>
      <c r="AD11" s="16">
        <v>65.27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7.1139150000000004</v>
      </c>
      <c r="J12" s="21">
        <f t="shared" si="1"/>
        <v>3.4788798791087025E-2</v>
      </c>
      <c r="K12" s="21">
        <f t="shared" si="2"/>
        <v>1.2487220295582215E-2</v>
      </c>
      <c r="L12" s="21">
        <f t="shared" si="3"/>
        <v>8.7234419837018892E-3</v>
      </c>
      <c r="M12" s="21">
        <f t="shared" si="4"/>
        <v>2.2301578495504806E-2</v>
      </c>
      <c r="N12" s="18">
        <f t="shared" si="5"/>
        <v>2723728</v>
      </c>
      <c r="O12" s="21">
        <v>-12</v>
      </c>
      <c r="P12" s="22">
        <v>22504730</v>
      </c>
      <c r="Q12" s="22">
        <v>703272.8125</v>
      </c>
      <c r="R12" s="22">
        <v>24737.1875</v>
      </c>
      <c r="S12" s="23">
        <v>7588176</v>
      </c>
      <c r="T12" s="23">
        <v>1902768</v>
      </c>
      <c r="U12" s="23">
        <v>820960</v>
      </c>
      <c r="V12" s="23">
        <v>4864448</v>
      </c>
      <c r="W12" s="24">
        <v>68.953246875000005</v>
      </c>
      <c r="X12" s="24">
        <v>71.331493750000007</v>
      </c>
      <c r="Y12" s="24">
        <v>36.335381249999998</v>
      </c>
      <c r="Z12" s="24">
        <v>40.939156250000003</v>
      </c>
      <c r="AA12" s="24">
        <v>35.640265624999998</v>
      </c>
      <c r="AB12" s="25">
        <v>2377.79</v>
      </c>
      <c r="AC12" s="25">
        <v>0</v>
      </c>
      <c r="AD12" s="25">
        <v>65.858000000000004</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12.0106275</v>
      </c>
      <c r="J13" s="12">
        <f t="shared" si="1"/>
        <v>5.8734930548396569E-2</v>
      </c>
      <c r="K13" s="12">
        <f t="shared" si="2"/>
        <v>1.7163445273248534E-2</v>
      </c>
      <c r="L13" s="12">
        <f t="shared" si="3"/>
        <v>1.339966696136821E-2</v>
      </c>
      <c r="M13" s="12">
        <f t="shared" si="4"/>
        <v>4.1571485275148028E-2</v>
      </c>
      <c r="N13" s="54">
        <f t="shared" si="5"/>
        <v>3743712</v>
      </c>
      <c r="O13" s="12">
        <v>-12</v>
      </c>
      <c r="P13" s="13">
        <v>23275134</v>
      </c>
      <c r="Q13" s="13">
        <v>727347.9375</v>
      </c>
      <c r="R13" s="13">
        <v>27993.34375</v>
      </c>
      <c r="S13" s="14">
        <v>12811336</v>
      </c>
      <c r="T13" s="14">
        <v>2922752</v>
      </c>
      <c r="U13" s="14">
        <v>820960</v>
      </c>
      <c r="V13" s="14">
        <v>9067624</v>
      </c>
      <c r="W13" s="15">
        <v>70.078087499999995</v>
      </c>
      <c r="X13" s="15">
        <v>72.601275000000001</v>
      </c>
      <c r="Y13" s="15">
        <v>38.662809375000002</v>
      </c>
      <c r="Z13" s="15">
        <v>42.108215625</v>
      </c>
      <c r="AA13" s="15">
        <v>37.696206250000003</v>
      </c>
      <c r="AB13" s="16">
        <v>2498.58</v>
      </c>
      <c r="AC13" s="16">
        <v>0</v>
      </c>
      <c r="AD13" s="16">
        <v>67.977000000000004</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21.562027499999999</v>
      </c>
      <c r="J14" s="40">
        <f t="shared" si="1"/>
        <v>0.10544363212455943</v>
      </c>
      <c r="K14" s="40">
        <f t="shared" si="2"/>
        <v>2.8264354005466372E-2</v>
      </c>
      <c r="L14" s="40">
        <f t="shared" si="3"/>
        <v>2.1175159088815385E-2</v>
      </c>
      <c r="M14" s="40">
        <f t="shared" si="4"/>
        <v>7.7179278119093045E-2</v>
      </c>
      <c r="N14" s="37">
        <f t="shared" si="5"/>
        <v>6165056</v>
      </c>
      <c r="O14" s="40">
        <v>-12</v>
      </c>
      <c r="P14" s="41">
        <v>22108568</v>
      </c>
      <c r="Q14" s="41">
        <v>690892.75</v>
      </c>
      <c r="R14" s="41">
        <v>13255.34375</v>
      </c>
      <c r="S14" s="42">
        <v>22999496</v>
      </c>
      <c r="T14" s="42">
        <v>4618752</v>
      </c>
      <c r="U14" s="42">
        <v>1546304</v>
      </c>
      <c r="V14" s="42">
        <v>16834440</v>
      </c>
      <c r="W14" s="43">
        <v>70.921371875000006</v>
      </c>
      <c r="X14" s="43">
        <v>74.713256250000001</v>
      </c>
      <c r="Y14" s="43">
        <v>40.916131249999999</v>
      </c>
      <c r="Z14" s="43">
        <v>43.428543750000003</v>
      </c>
      <c r="AA14" s="43">
        <v>39.494587500000002</v>
      </c>
      <c r="AB14" s="44">
        <v>2681.13</v>
      </c>
      <c r="AC14" s="44">
        <v>0</v>
      </c>
      <c r="AD14" s="44">
        <v>65.933000000000007</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4.4048550000000004</v>
      </c>
      <c r="J15" s="12">
        <f t="shared" si="1"/>
        <v>1.4564978180456744E-2</v>
      </c>
      <c r="K15" s="12">
        <f t="shared" si="2"/>
        <v>8.2289049126006829E-3</v>
      </c>
      <c r="L15" s="12">
        <f t="shared" si="3"/>
        <v>4.3908902932624288E-3</v>
      </c>
      <c r="M15" s="12">
        <f t="shared" si="4"/>
        <v>6.3360732678560631E-3</v>
      </c>
      <c r="N15" s="54">
        <f t="shared" si="5"/>
        <v>2654560</v>
      </c>
      <c r="O15" s="12">
        <v>-12</v>
      </c>
      <c r="P15" s="13">
        <v>30898742</v>
      </c>
      <c r="Q15" s="13">
        <v>965585.6875</v>
      </c>
      <c r="R15" s="13">
        <v>27935.75</v>
      </c>
      <c r="S15" s="14">
        <v>4698512</v>
      </c>
      <c r="T15" s="14">
        <v>1416456</v>
      </c>
      <c r="U15" s="14">
        <v>1238104</v>
      </c>
      <c r="V15" s="14">
        <v>2043952</v>
      </c>
      <c r="W15" s="15">
        <v>65.895415624999998</v>
      </c>
      <c r="X15" s="15">
        <v>67.664487500000007</v>
      </c>
      <c r="Y15" s="15">
        <v>29.421203125000002</v>
      </c>
      <c r="Z15" s="15">
        <v>43.104725000000002</v>
      </c>
      <c r="AA15" s="15">
        <v>43.299262499999998</v>
      </c>
      <c r="AB15" s="16">
        <v>2606.56</v>
      </c>
      <c r="AC15" s="16">
        <v>0</v>
      </c>
      <c r="AD15" s="16">
        <v>82.087999999999994</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7.0023150000000003</v>
      </c>
      <c r="J16" s="21">
        <f t="shared" si="1"/>
        <v>2.3153671389338576E-2</v>
      </c>
      <c r="K16" s="21">
        <f t="shared" si="2"/>
        <v>1.0043048367098536E-2</v>
      </c>
      <c r="L16" s="21">
        <f t="shared" si="3"/>
        <v>6.2050337477602821E-3</v>
      </c>
      <c r="M16" s="21">
        <f t="shared" si="4"/>
        <v>1.311062302224004E-2</v>
      </c>
      <c r="N16" s="18">
        <f t="shared" si="5"/>
        <v>3239784</v>
      </c>
      <c r="O16" s="21">
        <v>-12</v>
      </c>
      <c r="P16" s="22">
        <v>33174723</v>
      </c>
      <c r="Q16" s="22">
        <v>1036710.09375</v>
      </c>
      <c r="R16" s="22">
        <v>34658.125</v>
      </c>
      <c r="S16" s="23">
        <v>7469136</v>
      </c>
      <c r="T16" s="23">
        <v>2001680</v>
      </c>
      <c r="U16" s="23">
        <v>1238104</v>
      </c>
      <c r="V16" s="23">
        <v>4229352</v>
      </c>
      <c r="W16" s="24">
        <v>67.721312499999996</v>
      </c>
      <c r="X16" s="24">
        <v>69.756862499999997</v>
      </c>
      <c r="Y16" s="24">
        <v>31.811240625</v>
      </c>
      <c r="Z16" s="24">
        <v>43.961996874999997</v>
      </c>
      <c r="AA16" s="24">
        <v>44.231640624999997</v>
      </c>
      <c r="AB16" s="25">
        <v>2717.78</v>
      </c>
      <c r="AC16" s="25">
        <v>0</v>
      </c>
      <c r="AD16" s="25">
        <v>87.308000000000007</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11.682667500000001</v>
      </c>
      <c r="J17" s="12">
        <f t="shared" si="1"/>
        <v>3.8629602388053901E-2</v>
      </c>
      <c r="K17" s="12">
        <f t="shared" si="2"/>
        <v>1.2780990679107353E-2</v>
      </c>
      <c r="L17" s="12">
        <f t="shared" si="3"/>
        <v>8.9429760597690994E-3</v>
      </c>
      <c r="M17" s="12">
        <f t="shared" si="4"/>
        <v>2.5848611708946544E-2</v>
      </c>
      <c r="N17" s="54">
        <f t="shared" si="5"/>
        <v>4123016</v>
      </c>
      <c r="O17" s="12">
        <v>-12</v>
      </c>
      <c r="P17" s="13">
        <v>33536779</v>
      </c>
      <c r="Q17" s="13">
        <v>1048024.34375</v>
      </c>
      <c r="R17" s="13">
        <v>36443.15625</v>
      </c>
      <c r="S17" s="14">
        <v>12461512</v>
      </c>
      <c r="T17" s="14">
        <v>2884912</v>
      </c>
      <c r="U17" s="14">
        <v>1238104</v>
      </c>
      <c r="V17" s="14">
        <v>8338496</v>
      </c>
      <c r="W17" s="15">
        <v>69.122003125000006</v>
      </c>
      <c r="X17" s="15">
        <v>71.601190625000001</v>
      </c>
      <c r="Y17" s="15">
        <v>34.352246874999999</v>
      </c>
      <c r="Z17" s="15">
        <v>44.816187499999998</v>
      </c>
      <c r="AA17" s="15">
        <v>45.212228125000003</v>
      </c>
      <c r="AB17" s="16">
        <v>2823.83</v>
      </c>
      <c r="AC17" s="16">
        <v>0</v>
      </c>
      <c r="AD17" s="16">
        <v>91.013999999999996</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20.167642499999999</v>
      </c>
      <c r="J18" s="21">
        <f t="shared" si="1"/>
        <v>6.6685798502732124E-2</v>
      </c>
      <c r="K18" s="21">
        <f t="shared" si="2"/>
        <v>1.7280179531086338E-2</v>
      </c>
      <c r="L18" s="21">
        <f t="shared" si="3"/>
        <v>1.3442164911748083E-2</v>
      </c>
      <c r="M18" s="21">
        <f t="shared" si="4"/>
        <v>4.940561897164579E-2</v>
      </c>
      <c r="N18" s="18">
        <f t="shared" si="5"/>
        <v>5574408</v>
      </c>
      <c r="O18" s="21">
        <v>-12</v>
      </c>
      <c r="P18" s="22">
        <v>34802045</v>
      </c>
      <c r="Q18" s="22">
        <v>1087563.90625</v>
      </c>
      <c r="R18" s="22">
        <v>40924.21875</v>
      </c>
      <c r="S18" s="23">
        <v>21512152</v>
      </c>
      <c r="T18" s="23">
        <v>4336304</v>
      </c>
      <c r="U18" s="23">
        <v>1238104</v>
      </c>
      <c r="V18" s="23">
        <v>15937744</v>
      </c>
      <c r="W18" s="24">
        <v>70.369831250000004</v>
      </c>
      <c r="X18" s="24">
        <v>72.947381250000007</v>
      </c>
      <c r="Y18" s="24">
        <v>37.033359375000003</v>
      </c>
      <c r="Z18" s="24">
        <v>46.129693750000001</v>
      </c>
      <c r="AA18" s="24">
        <v>46.645259375000002</v>
      </c>
      <c r="AB18" s="25">
        <v>3056.55</v>
      </c>
      <c r="AC18" s="25">
        <v>0</v>
      </c>
      <c r="AD18" s="25">
        <v>95.501000000000005</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35.688764999999997</v>
      </c>
      <c r="J19" s="30">
        <f t="shared" si="1"/>
        <v>0.11800753566518044</v>
      </c>
      <c r="K19" s="30">
        <f t="shared" si="2"/>
        <v>2.7760638014659018E-2</v>
      </c>
      <c r="L19" s="30">
        <f t="shared" si="3"/>
        <v>2.064958651005179E-2</v>
      </c>
      <c r="M19" s="30">
        <f t="shared" si="4"/>
        <v>9.0246897650521421E-2</v>
      </c>
      <c r="N19" s="27">
        <f t="shared" si="5"/>
        <v>8955296</v>
      </c>
      <c r="O19" s="30">
        <v>-12</v>
      </c>
      <c r="P19" s="31">
        <v>33040002</v>
      </c>
      <c r="Q19" s="31">
        <v>1032500.0625</v>
      </c>
      <c r="R19" s="31">
        <v>17720.5</v>
      </c>
      <c r="S19" s="32">
        <v>38068016</v>
      </c>
      <c r="T19" s="32">
        <v>6661344</v>
      </c>
      <c r="U19" s="32">
        <v>2293952</v>
      </c>
      <c r="V19" s="32">
        <v>29112720</v>
      </c>
      <c r="W19" s="33">
        <v>71.147937499999998</v>
      </c>
      <c r="X19" s="33">
        <v>75.002496875000006</v>
      </c>
      <c r="Y19" s="33">
        <v>39.495606250000002</v>
      </c>
      <c r="Z19" s="33">
        <v>47.874012499999999</v>
      </c>
      <c r="AA19" s="33">
        <v>48.468343750000003</v>
      </c>
      <c r="AB19" s="34">
        <v>3341.01</v>
      </c>
      <c r="AC19" s="34">
        <v>0</v>
      </c>
      <c r="AD19" s="34">
        <v>82.206000000000003</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5.0936000000000003</v>
      </c>
      <c r="J20" s="21">
        <f t="shared" si="1"/>
        <v>1.3008245782767127E-2</v>
      </c>
      <c r="K20" s="21">
        <f t="shared" si="2"/>
        <v>7.583088895810065E-3</v>
      </c>
      <c r="L20" s="21">
        <f t="shared" si="3"/>
        <v>3.7914646403660202E-3</v>
      </c>
      <c r="M20" s="21">
        <f t="shared" si="4"/>
        <v>5.425156886957062E-3</v>
      </c>
      <c r="N20" s="18">
        <f t="shared" si="5"/>
        <v>1900344</v>
      </c>
      <c r="O20" s="21">
        <v>-12</v>
      </c>
      <c r="P20" s="22">
        <v>30202618</v>
      </c>
      <c r="Q20" s="22">
        <v>943831.8125</v>
      </c>
      <c r="R20" s="22">
        <v>27795.1875</v>
      </c>
      <c r="S20" s="23">
        <v>3259904</v>
      </c>
      <c r="T20" s="23">
        <v>950152</v>
      </c>
      <c r="U20" s="23">
        <v>950192</v>
      </c>
      <c r="V20" s="23">
        <v>1359560</v>
      </c>
      <c r="W20" s="24">
        <v>67.119896874999995</v>
      </c>
      <c r="X20" s="24">
        <v>68.826575000000005</v>
      </c>
      <c r="Y20" s="24">
        <v>30.701740624999999</v>
      </c>
      <c r="Z20" s="24">
        <v>39.504118750000004</v>
      </c>
      <c r="AA20" s="24">
        <v>38.223546874999997</v>
      </c>
      <c r="AB20" s="25">
        <v>2797.23</v>
      </c>
      <c r="AC20" s="25">
        <v>0</v>
      </c>
      <c r="AD20" s="25">
        <v>77.484999999999999</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7.5828249999999997</v>
      </c>
      <c r="J21" s="12">
        <f t="shared" si="1"/>
        <v>1.9365331264275001E-2</v>
      </c>
      <c r="K21" s="12">
        <f t="shared" si="2"/>
        <v>9.0187626766045567E-3</v>
      </c>
      <c r="L21" s="12">
        <f t="shared" si="3"/>
        <v>5.2271384211605128E-3</v>
      </c>
      <c r="M21" s="12">
        <f t="shared" si="4"/>
        <v>1.0346568587670442E-2</v>
      </c>
      <c r="N21" s="54">
        <f t="shared" si="5"/>
        <v>2260128</v>
      </c>
      <c r="O21" s="12">
        <v>-12</v>
      </c>
      <c r="P21" s="13">
        <v>31470210</v>
      </c>
      <c r="Q21" s="13">
        <v>983444.0625</v>
      </c>
      <c r="R21" s="13">
        <v>32994.5</v>
      </c>
      <c r="S21" s="14">
        <v>4853008</v>
      </c>
      <c r="T21" s="14">
        <v>1309936</v>
      </c>
      <c r="U21" s="14">
        <v>950192</v>
      </c>
      <c r="V21" s="14">
        <v>2592880</v>
      </c>
      <c r="W21" s="15">
        <v>68.687637499999994</v>
      </c>
      <c r="X21" s="15">
        <v>70.768968749999999</v>
      </c>
      <c r="Y21" s="15">
        <v>32.499071874999998</v>
      </c>
      <c r="Z21" s="15">
        <v>40.637934375</v>
      </c>
      <c r="AA21" s="15">
        <v>39.554534375000003</v>
      </c>
      <c r="AB21" s="16">
        <v>2880.13</v>
      </c>
      <c r="AC21" s="16">
        <v>0</v>
      </c>
      <c r="AD21" s="16">
        <v>79.706000000000003</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12.3580875</v>
      </c>
      <c r="J22" s="21">
        <f t="shared" si="1"/>
        <v>3.1560593608634786E-2</v>
      </c>
      <c r="K22" s="21">
        <f t="shared" si="2"/>
        <v>1.1265089515667239E-2</v>
      </c>
      <c r="L22" s="21">
        <f t="shared" si="3"/>
        <v>7.4734652602231949E-3</v>
      </c>
      <c r="M22" s="21">
        <f t="shared" si="4"/>
        <v>2.0295504092967546E-2</v>
      </c>
      <c r="N22" s="18">
        <f t="shared" si="5"/>
        <v>2823064</v>
      </c>
      <c r="O22" s="21">
        <v>-12</v>
      </c>
      <c r="P22" s="22">
        <v>32774469</v>
      </c>
      <c r="Q22" s="22">
        <v>1024202.15625</v>
      </c>
      <c r="R22" s="22">
        <v>35190.1875</v>
      </c>
      <c r="S22" s="23">
        <v>7909176</v>
      </c>
      <c r="T22" s="23">
        <v>1872872</v>
      </c>
      <c r="U22" s="23">
        <v>950192</v>
      </c>
      <c r="V22" s="23">
        <v>5086112</v>
      </c>
      <c r="W22" s="24">
        <v>69.849543749999995</v>
      </c>
      <c r="X22" s="24">
        <v>72.244293749999997</v>
      </c>
      <c r="Y22" s="24">
        <v>34.215484375000003</v>
      </c>
      <c r="Z22" s="24">
        <v>41.679962500000002</v>
      </c>
      <c r="AA22" s="24">
        <v>40.578524999999999</v>
      </c>
      <c r="AB22" s="25">
        <v>2998.34</v>
      </c>
      <c r="AC22" s="25">
        <v>0</v>
      </c>
      <c r="AD22" s="25">
        <v>82.44</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22.005125</v>
      </c>
      <c r="J23" s="12">
        <f t="shared" si="1"/>
        <v>5.619759590083899E-2</v>
      </c>
      <c r="K23" s="12">
        <f t="shared" si="2"/>
        <v>1.5193503892977835E-2</v>
      </c>
      <c r="L23" s="12">
        <f t="shared" si="3"/>
        <v>1.140187963753379E-2</v>
      </c>
      <c r="M23" s="12">
        <f t="shared" si="4"/>
        <v>4.1004092007861155E-2</v>
      </c>
      <c r="N23" s="54">
        <f t="shared" si="5"/>
        <v>3807536</v>
      </c>
      <c r="O23" s="12">
        <v>-12</v>
      </c>
      <c r="P23" s="13">
        <v>32769151</v>
      </c>
      <c r="Q23" s="13">
        <v>1024035.96875</v>
      </c>
      <c r="R23" s="13">
        <v>36890.875</v>
      </c>
      <c r="S23" s="14">
        <v>14083280</v>
      </c>
      <c r="T23" s="14">
        <v>2857344</v>
      </c>
      <c r="U23" s="14">
        <v>950192</v>
      </c>
      <c r="V23" s="14">
        <v>10275744</v>
      </c>
      <c r="W23" s="15">
        <v>70.891781249999994</v>
      </c>
      <c r="X23" s="15">
        <v>73.621353124999999</v>
      </c>
      <c r="Y23" s="15">
        <v>35.690490625000002</v>
      </c>
      <c r="Z23" s="15">
        <v>42.822524999999999</v>
      </c>
      <c r="AA23" s="15">
        <v>41.617903124999998</v>
      </c>
      <c r="AB23" s="16">
        <v>3112.05</v>
      </c>
      <c r="AC23" s="16">
        <v>0</v>
      </c>
      <c r="AD23" s="16">
        <v>82.387</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38.627387499999998</v>
      </c>
      <c r="J24" s="40">
        <f t="shared" si="1"/>
        <v>9.8648215514800269E-2</v>
      </c>
      <c r="K24" s="40">
        <f t="shared" si="2"/>
        <v>2.5280761824890519E-2</v>
      </c>
      <c r="L24" s="40">
        <f t="shared" si="3"/>
        <v>1.7958835119743291E-2</v>
      </c>
      <c r="M24" s="40">
        <f t="shared" si="4"/>
        <v>7.336745368990974E-2</v>
      </c>
      <c r="N24" s="37">
        <f t="shared" si="5"/>
        <v>6335432</v>
      </c>
      <c r="O24" s="40">
        <v>-12</v>
      </c>
      <c r="P24" s="41">
        <v>31405837</v>
      </c>
      <c r="Q24" s="41">
        <v>981432.40625</v>
      </c>
      <c r="R24" s="41">
        <v>18371.09375</v>
      </c>
      <c r="S24" s="42">
        <v>24721528</v>
      </c>
      <c r="T24" s="42">
        <v>4500536</v>
      </c>
      <c r="U24" s="42">
        <v>1834896</v>
      </c>
      <c r="V24" s="42">
        <v>18386096</v>
      </c>
      <c r="W24" s="43">
        <v>71.729621875000007</v>
      </c>
      <c r="X24" s="43">
        <v>75.643156250000004</v>
      </c>
      <c r="Y24" s="43">
        <v>36.543587500000001</v>
      </c>
      <c r="Z24" s="43">
        <v>43.589959374999999</v>
      </c>
      <c r="AA24" s="43">
        <v>42.051628125000001</v>
      </c>
      <c r="AB24" s="44">
        <v>3300.68</v>
      </c>
      <c r="AC24" s="44">
        <v>0</v>
      </c>
      <c r="AD24" s="44">
        <v>79.254000000000005</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4.3608675000000003</v>
      </c>
      <c r="J25" s="12">
        <f t="shared" si="1"/>
        <v>1.8584469399341611E-2</v>
      </c>
      <c r="K25" s="12">
        <f t="shared" si="2"/>
        <v>6.4496481989370427E-3</v>
      </c>
      <c r="L25" s="12">
        <f t="shared" si="3"/>
        <v>3.6966041877806209E-3</v>
      </c>
      <c r="M25" s="12">
        <f t="shared" si="4"/>
        <v>1.213482120040457E-2</v>
      </c>
      <c r="N25" s="54">
        <f t="shared" si="5"/>
        <v>1614312</v>
      </c>
      <c r="O25" s="12">
        <v>-12</v>
      </c>
      <c r="P25" s="13">
        <v>23148086</v>
      </c>
      <c r="Q25" s="13">
        <v>723377.6875</v>
      </c>
      <c r="R25" s="13">
        <v>13979.90625</v>
      </c>
      <c r="S25" s="14">
        <v>4651592</v>
      </c>
      <c r="T25" s="14">
        <v>925240</v>
      </c>
      <c r="U25" s="14">
        <v>689072</v>
      </c>
      <c r="V25" s="14">
        <v>3037280</v>
      </c>
      <c r="W25" s="15">
        <v>66.202731249999999</v>
      </c>
      <c r="X25" s="15">
        <v>67.991668750000002</v>
      </c>
      <c r="Y25" s="15">
        <v>27.334187499999999</v>
      </c>
      <c r="Z25" s="15">
        <v>33.179340625000002</v>
      </c>
      <c r="AA25" s="15">
        <v>32.601890625000003</v>
      </c>
      <c r="AB25" s="16">
        <v>2100.63</v>
      </c>
      <c r="AC25" s="16">
        <v>0</v>
      </c>
      <c r="AD25" s="16">
        <v>66.430999999999997</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7.4916749999999999</v>
      </c>
      <c r="J26" s="21">
        <f t="shared" si="1"/>
        <v>3.192685968727841E-2</v>
      </c>
      <c r="K26" s="21">
        <f t="shared" si="2"/>
        <v>7.9828495848144245E-3</v>
      </c>
      <c r="L26" s="21">
        <f t="shared" si="3"/>
        <v>5.2298055736580027E-3</v>
      </c>
      <c r="M26" s="21">
        <f t="shared" si="4"/>
        <v>2.3944010102463983E-2</v>
      </c>
      <c r="N26" s="18">
        <f t="shared" si="5"/>
        <v>1998064</v>
      </c>
      <c r="O26" s="21">
        <v>-12</v>
      </c>
      <c r="P26" s="22">
        <v>24596617</v>
      </c>
      <c r="Q26" s="22">
        <v>768644.28125</v>
      </c>
      <c r="R26" s="22">
        <v>17690.84375</v>
      </c>
      <c r="S26" s="23">
        <v>7991120</v>
      </c>
      <c r="T26" s="23">
        <v>1308992</v>
      </c>
      <c r="U26" s="23">
        <v>689072</v>
      </c>
      <c r="V26" s="23">
        <v>5993056</v>
      </c>
      <c r="W26" s="24">
        <v>67.955109375000006</v>
      </c>
      <c r="X26" s="24">
        <v>69.951062500000006</v>
      </c>
      <c r="Y26" s="24">
        <v>29.714649999999999</v>
      </c>
      <c r="Z26" s="24">
        <v>34.343318750000002</v>
      </c>
      <c r="AA26" s="24">
        <v>33.888874999999999</v>
      </c>
      <c r="AB26" s="25">
        <v>2185.5700000000002</v>
      </c>
      <c r="AC26" s="25">
        <v>0</v>
      </c>
      <c r="AD26" s="25">
        <v>68.878</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13.183875</v>
      </c>
      <c r="J27" s="12">
        <f t="shared" si="1"/>
        <v>5.6184995646449909E-2</v>
      </c>
      <c r="K27" s="12">
        <f t="shared" si="2"/>
        <v>1.028832497860461E-2</v>
      </c>
      <c r="L27" s="12">
        <f t="shared" si="3"/>
        <v>7.5352809674481885E-3</v>
      </c>
      <c r="M27" s="12">
        <f t="shared" si="4"/>
        <v>4.58966706678453E-2</v>
      </c>
      <c r="N27" s="54">
        <f t="shared" si="5"/>
        <v>2575112</v>
      </c>
      <c r="O27" s="12">
        <v>-12</v>
      </c>
      <c r="P27" s="13">
        <v>24867879</v>
      </c>
      <c r="Q27" s="13">
        <v>777121.21875</v>
      </c>
      <c r="R27" s="13">
        <v>18587.625</v>
      </c>
      <c r="S27" s="14">
        <v>14062800</v>
      </c>
      <c r="T27" s="14">
        <v>1886040</v>
      </c>
      <c r="U27" s="14">
        <v>689072</v>
      </c>
      <c r="V27" s="14">
        <v>11487688</v>
      </c>
      <c r="W27" s="15">
        <v>69.271965625000007</v>
      </c>
      <c r="X27" s="15">
        <v>71.647043749999995</v>
      </c>
      <c r="Y27" s="15">
        <v>32.215471874999999</v>
      </c>
      <c r="Z27" s="15">
        <v>35.579521874999998</v>
      </c>
      <c r="AA27" s="15">
        <v>35.207475000000002</v>
      </c>
      <c r="AB27" s="16">
        <v>2277.5700000000002</v>
      </c>
      <c r="AC27" s="16">
        <v>0</v>
      </c>
      <c r="AD27" s="16">
        <v>70.063999999999993</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24.458400000000001</v>
      </c>
      <c r="J28" s="21">
        <f t="shared" si="1"/>
        <v>0.10423301931481681</v>
      </c>
      <c r="K28" s="21">
        <f t="shared" si="2"/>
        <v>1.4138636049261346E-2</v>
      </c>
      <c r="L28" s="21">
        <f t="shared" si="3"/>
        <v>1.1385592038104924E-2</v>
      </c>
      <c r="M28" s="21">
        <f t="shared" si="4"/>
        <v>9.0094383265555467E-2</v>
      </c>
      <c r="N28" s="18">
        <f t="shared" si="5"/>
        <v>3538824</v>
      </c>
      <c r="O28" s="21">
        <v>-12</v>
      </c>
      <c r="P28" s="22">
        <v>25503045</v>
      </c>
      <c r="Q28" s="22">
        <v>796970.15625</v>
      </c>
      <c r="R28" s="22">
        <v>20905.71875</v>
      </c>
      <c r="S28" s="23">
        <v>26088960</v>
      </c>
      <c r="T28" s="23">
        <v>2849752</v>
      </c>
      <c r="U28" s="23">
        <v>689072</v>
      </c>
      <c r="V28" s="23">
        <v>22550136</v>
      </c>
      <c r="W28" s="24">
        <v>70.438775000000007</v>
      </c>
      <c r="X28" s="24">
        <v>72.973003125000005</v>
      </c>
      <c r="Y28" s="24">
        <v>34.905471875000003</v>
      </c>
      <c r="Z28" s="24">
        <v>37.372971874999998</v>
      </c>
      <c r="AA28" s="24">
        <v>36.936059374999999</v>
      </c>
      <c r="AB28" s="25">
        <v>2491.42</v>
      </c>
      <c r="AC28" s="25">
        <v>0</v>
      </c>
      <c r="AD28" s="25">
        <v>71.843000000000004</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44.156122500000002</v>
      </c>
      <c r="J29" s="30">
        <f t="shared" si="1"/>
        <v>0.18817772092246088</v>
      </c>
      <c r="K29" s="30">
        <f t="shared" si="2"/>
        <v>2.2856395669004135E-2</v>
      </c>
      <c r="L29" s="30">
        <f t="shared" si="3"/>
        <v>1.7621859669339546E-2</v>
      </c>
      <c r="M29" s="30">
        <f t="shared" si="4"/>
        <v>0.16532132525345675</v>
      </c>
      <c r="N29" s="27">
        <f t="shared" si="5"/>
        <v>5720832</v>
      </c>
      <c r="O29" s="30">
        <v>-12</v>
      </c>
      <c r="P29" s="31">
        <v>24554524</v>
      </c>
      <c r="Q29" s="31">
        <v>767328.875</v>
      </c>
      <c r="R29" s="31">
        <v>9745.3125</v>
      </c>
      <c r="S29" s="32">
        <v>47099864</v>
      </c>
      <c r="T29" s="32">
        <v>4410656</v>
      </c>
      <c r="U29" s="32">
        <v>1310176</v>
      </c>
      <c r="V29" s="32">
        <v>41379032</v>
      </c>
      <c r="W29" s="33">
        <v>71.141515624999997</v>
      </c>
      <c r="X29" s="33">
        <v>74.899956250000002</v>
      </c>
      <c r="Y29" s="33">
        <v>37.334449999999997</v>
      </c>
      <c r="Z29" s="33">
        <v>39.404759374999998</v>
      </c>
      <c r="AA29" s="33">
        <v>38.75755625</v>
      </c>
      <c r="AB29" s="34">
        <v>2753.42</v>
      </c>
      <c r="AC29" s="34">
        <v>0</v>
      </c>
      <c r="AD29" s="34">
        <v>71.298000000000002</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5.7073349999999996</v>
      </c>
      <c r="J30" s="21">
        <f t="shared" si="1"/>
        <v>1.6215925703917312E-2</v>
      </c>
      <c r="K30" s="21">
        <f t="shared" si="2"/>
        <v>9.8549650477964511E-3</v>
      </c>
      <c r="L30" s="21">
        <f t="shared" si="3"/>
        <v>6.1517883453449237E-3</v>
      </c>
      <c r="M30" s="21">
        <f t="shared" si="4"/>
        <v>6.3609606561208622E-3</v>
      </c>
      <c r="N30" s="18">
        <f t="shared" si="5"/>
        <v>3699776</v>
      </c>
      <c r="O30" s="21">
        <v>-12</v>
      </c>
      <c r="P30" s="22">
        <v>84256321</v>
      </c>
      <c r="Q30" s="22">
        <v>2633010.03125</v>
      </c>
      <c r="R30" s="22">
        <v>31474.3125</v>
      </c>
      <c r="S30" s="23">
        <v>6087824</v>
      </c>
      <c r="T30" s="23">
        <v>2309520</v>
      </c>
      <c r="U30" s="23">
        <v>1390256</v>
      </c>
      <c r="V30" s="23">
        <v>2388048</v>
      </c>
      <c r="W30" s="24">
        <v>73.455471875000001</v>
      </c>
      <c r="X30" s="24">
        <v>75.656628124999997</v>
      </c>
      <c r="Y30" s="24">
        <v>34.718565624999997</v>
      </c>
      <c r="Z30" s="24">
        <v>42.123181250000002</v>
      </c>
      <c r="AA30" s="24">
        <v>43.806659375000002</v>
      </c>
      <c r="AB30" s="25">
        <v>6945.08</v>
      </c>
      <c r="AC30" s="25">
        <v>0</v>
      </c>
      <c r="AD30" s="25">
        <v>234.953</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8.1681225000000008</v>
      </c>
      <c r="J31" s="12">
        <f t="shared" si="1"/>
        <v>2.3207621000080659E-2</v>
      </c>
      <c r="K31" s="12">
        <f t="shared" si="2"/>
        <v>1.212575039347864E-2</v>
      </c>
      <c r="L31" s="12">
        <f t="shared" si="3"/>
        <v>8.4225736910271114E-3</v>
      </c>
      <c r="M31" s="12">
        <f t="shared" si="4"/>
        <v>1.1081870606602019E-2</v>
      </c>
      <c r="N31" s="54">
        <f t="shared" si="5"/>
        <v>4552280</v>
      </c>
      <c r="O31" s="12">
        <v>-12</v>
      </c>
      <c r="P31" s="13">
        <v>89796795</v>
      </c>
      <c r="Q31" s="13">
        <v>2806149.84375</v>
      </c>
      <c r="R31" s="13">
        <v>39729</v>
      </c>
      <c r="S31" s="14">
        <v>8712664</v>
      </c>
      <c r="T31" s="14">
        <v>3162024</v>
      </c>
      <c r="U31" s="14">
        <v>1390256</v>
      </c>
      <c r="V31" s="14">
        <v>4160384</v>
      </c>
      <c r="W31" s="15">
        <v>75.159853124999998</v>
      </c>
      <c r="X31" s="15">
        <v>77.549975000000003</v>
      </c>
      <c r="Y31" s="15">
        <v>36.649956250000002</v>
      </c>
      <c r="Z31" s="15">
        <v>42.642428125000002</v>
      </c>
      <c r="AA31" s="15">
        <v>45.044059375000003</v>
      </c>
      <c r="AB31" s="16">
        <v>7089.8</v>
      </c>
      <c r="AC31" s="16">
        <v>0</v>
      </c>
      <c r="AD31" s="16">
        <v>246.59800000000001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12.648232500000001</v>
      </c>
      <c r="J32" s="21">
        <f t="shared" si="1"/>
        <v>3.5936702244720578E-2</v>
      </c>
      <c r="K32" s="21">
        <f t="shared" si="2"/>
        <v>1.5403656944528842E-2</v>
      </c>
      <c r="L32" s="21">
        <f t="shared" si="3"/>
        <v>1.1700480242077314E-2</v>
      </c>
      <c r="M32" s="21">
        <f t="shared" si="4"/>
        <v>2.0533045300191739E-2</v>
      </c>
      <c r="N32" s="18">
        <f t="shared" si="5"/>
        <v>5782880</v>
      </c>
      <c r="O32" s="21">
        <v>-12</v>
      </c>
      <c r="P32" s="22">
        <v>91551049</v>
      </c>
      <c r="Q32" s="22">
        <v>2860970.28125</v>
      </c>
      <c r="R32" s="22">
        <v>42562.1875</v>
      </c>
      <c r="S32" s="23">
        <v>13491448</v>
      </c>
      <c r="T32" s="23">
        <v>4392624</v>
      </c>
      <c r="U32" s="23">
        <v>1390256</v>
      </c>
      <c r="V32" s="23">
        <v>7708568</v>
      </c>
      <c r="W32" s="24">
        <v>76.444221874999997</v>
      </c>
      <c r="X32" s="24">
        <v>79.128053124999994</v>
      </c>
      <c r="Y32" s="24">
        <v>38.397778125000002</v>
      </c>
      <c r="Z32" s="24">
        <v>43.18509375</v>
      </c>
      <c r="AA32" s="24">
        <v>46.227168749999997</v>
      </c>
      <c r="AB32" s="25">
        <v>7248.9</v>
      </c>
      <c r="AC32" s="25">
        <v>0</v>
      </c>
      <c r="AD32" s="25">
        <v>245.619</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21.1731075</v>
      </c>
      <c r="J33" s="12">
        <f t="shared" si="1"/>
        <v>6.0157943793566426E-2</v>
      </c>
      <c r="K33" s="12">
        <f t="shared" si="2"/>
        <v>2.0888335636129723E-2</v>
      </c>
      <c r="L33" s="12">
        <f t="shared" si="3"/>
        <v>1.7185158933678193E-2</v>
      </c>
      <c r="M33" s="12">
        <f t="shared" si="4"/>
        <v>3.9269608157436707E-2</v>
      </c>
      <c r="N33" s="54">
        <f t="shared" si="5"/>
        <v>7841952</v>
      </c>
      <c r="O33" s="12">
        <v>-12</v>
      </c>
      <c r="P33" s="13">
        <v>93835548</v>
      </c>
      <c r="Q33" s="13">
        <v>2932360.875</v>
      </c>
      <c r="R33" s="13">
        <v>47386.6875</v>
      </c>
      <c r="S33" s="14">
        <v>22584648</v>
      </c>
      <c r="T33" s="14">
        <v>6451696</v>
      </c>
      <c r="U33" s="14">
        <v>1390256</v>
      </c>
      <c r="V33" s="14">
        <v>14742696</v>
      </c>
      <c r="W33" s="15">
        <v>77.592784374999994</v>
      </c>
      <c r="X33" s="15">
        <v>80.318431250000003</v>
      </c>
      <c r="Y33" s="15">
        <v>39.997946874999997</v>
      </c>
      <c r="Z33" s="15">
        <v>43.895753124999999</v>
      </c>
      <c r="AA33" s="15">
        <v>47.812168749999998</v>
      </c>
      <c r="AB33" s="16">
        <v>7629.72</v>
      </c>
      <c r="AC33" s="16">
        <v>0</v>
      </c>
      <c r="AD33" s="16">
        <v>235.07900000000001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39.874537500000002</v>
      </c>
      <c r="J34" s="40">
        <f t="shared" si="1"/>
        <v>0.11329325115453444</v>
      </c>
      <c r="K34" s="40">
        <f t="shared" si="2"/>
        <v>3.3539723090520147E-2</v>
      </c>
      <c r="L34" s="40">
        <f t="shared" si="3"/>
        <v>2.6117238528398531E-2</v>
      </c>
      <c r="M34" s="40">
        <f t="shared" si="4"/>
        <v>7.9753528064014298E-2</v>
      </c>
      <c r="N34" s="37">
        <f t="shared" si="5"/>
        <v>12591568</v>
      </c>
      <c r="O34" s="40">
        <v>-12</v>
      </c>
      <c r="P34" s="41">
        <v>91937439</v>
      </c>
      <c r="Q34" s="41">
        <v>2873044.96875</v>
      </c>
      <c r="R34" s="41">
        <v>18769.40625</v>
      </c>
      <c r="S34" s="42">
        <v>42532840</v>
      </c>
      <c r="T34" s="42">
        <v>9805000</v>
      </c>
      <c r="U34" s="42">
        <v>2786568</v>
      </c>
      <c r="V34" s="42">
        <v>29941272</v>
      </c>
      <c r="W34" s="43">
        <v>78.522456250000005</v>
      </c>
      <c r="X34" s="43">
        <v>81.994349999999997</v>
      </c>
      <c r="Y34" s="43">
        <v>41.497012499999997</v>
      </c>
      <c r="Z34" s="43">
        <v>44.695806249999997</v>
      </c>
      <c r="AA34" s="43">
        <v>49.229349999999997</v>
      </c>
      <c r="AB34" s="44">
        <v>7562.6</v>
      </c>
      <c r="AC34" s="44">
        <v>0</v>
      </c>
      <c r="AD34" s="44">
        <v>224.78899999999999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6.06663</v>
      </c>
      <c r="J35" s="12">
        <f t="shared" si="1"/>
        <v>1.9421527112361774E-2</v>
      </c>
      <c r="K35" s="12">
        <f t="shared" si="2"/>
        <v>1.1406729315896339E-2</v>
      </c>
      <c r="L35" s="12">
        <f t="shared" si="3"/>
        <v>6.982235929167877E-3</v>
      </c>
      <c r="M35" s="12">
        <f t="shared" si="4"/>
        <v>8.0147977964654341E-3</v>
      </c>
      <c r="N35" s="54">
        <f t="shared" si="5"/>
        <v>3800616</v>
      </c>
      <c r="O35" s="12">
        <v>-12</v>
      </c>
      <c r="P35" s="13">
        <v>74921620</v>
      </c>
      <c r="Q35" s="13">
        <v>2341300.625</v>
      </c>
      <c r="R35" s="13">
        <v>30932.375</v>
      </c>
      <c r="S35" s="14">
        <v>6471072</v>
      </c>
      <c r="T35" s="14">
        <v>2326416</v>
      </c>
      <c r="U35" s="14">
        <v>1474200</v>
      </c>
      <c r="V35" s="14">
        <v>2670456</v>
      </c>
      <c r="W35" s="15">
        <v>73.203850000000003</v>
      </c>
      <c r="X35" s="15">
        <v>75.398612499999999</v>
      </c>
      <c r="Y35" s="15">
        <v>34.001468750000001</v>
      </c>
      <c r="Z35" s="15">
        <v>42.592678124999999</v>
      </c>
      <c r="AA35" s="15">
        <v>44.023828125000001</v>
      </c>
      <c r="AB35" s="16">
        <v>6066.04</v>
      </c>
      <c r="AC35" s="16">
        <v>0</v>
      </c>
      <c r="AD35" s="16">
        <v>211.93100000000001</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8.6890800000000006</v>
      </c>
      <c r="J36" s="21">
        <f t="shared" si="1"/>
        <v>2.7816959795055978E-2</v>
      </c>
      <c r="K36" s="21">
        <f t="shared" si="2"/>
        <v>1.3988794266696931E-2</v>
      </c>
      <c r="L36" s="21">
        <f t="shared" si="3"/>
        <v>9.5643008799684674E-3</v>
      </c>
      <c r="M36" s="21">
        <f t="shared" si="4"/>
        <v>1.3828165528359047E-2</v>
      </c>
      <c r="N36" s="18">
        <f t="shared" si="5"/>
        <v>4660936</v>
      </c>
      <c r="O36" s="21">
        <v>-12</v>
      </c>
      <c r="P36" s="22">
        <v>79893061</v>
      </c>
      <c r="Q36" s="22">
        <v>2496658.15625</v>
      </c>
      <c r="R36" s="22">
        <v>39014.28125</v>
      </c>
      <c r="S36" s="23">
        <v>9268352</v>
      </c>
      <c r="T36" s="23">
        <v>3186736</v>
      </c>
      <c r="U36" s="23">
        <v>1474200</v>
      </c>
      <c r="V36" s="23">
        <v>4607416</v>
      </c>
      <c r="W36" s="24">
        <v>74.932321875</v>
      </c>
      <c r="X36" s="24">
        <v>77.357500000000002</v>
      </c>
      <c r="Y36" s="24">
        <v>36.099331249999999</v>
      </c>
      <c r="Z36" s="24">
        <v>43.207515624999999</v>
      </c>
      <c r="AA36" s="24">
        <v>45.354918750000003</v>
      </c>
      <c r="AB36" s="25">
        <v>6227.52</v>
      </c>
      <c r="AC36" s="25">
        <v>0</v>
      </c>
      <c r="AD36" s="25">
        <v>224.23400000000001</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13.277805000000001</v>
      </c>
      <c r="J37" s="12">
        <f t="shared" si="1"/>
        <v>4.2507166219161667E-2</v>
      </c>
      <c r="K37" s="12">
        <f t="shared" si="2"/>
        <v>1.7698093598287796E-2</v>
      </c>
      <c r="L37" s="12">
        <f t="shared" si="3"/>
        <v>1.3273600211559333E-2</v>
      </c>
      <c r="M37" s="12">
        <f t="shared" si="4"/>
        <v>2.4809072620873868E-2</v>
      </c>
      <c r="N37" s="54">
        <f t="shared" si="5"/>
        <v>5896840</v>
      </c>
      <c r="O37" s="12">
        <v>-12</v>
      </c>
      <c r="P37" s="13">
        <v>81688385</v>
      </c>
      <c r="Q37" s="13">
        <v>2552762.03125</v>
      </c>
      <c r="R37" s="13">
        <v>42067.1875</v>
      </c>
      <c r="S37" s="14">
        <v>14162992</v>
      </c>
      <c r="T37" s="14">
        <v>4422640</v>
      </c>
      <c r="U37" s="14">
        <v>1474200</v>
      </c>
      <c r="V37" s="14">
        <v>8266152</v>
      </c>
      <c r="W37" s="15">
        <v>76.246631249999993</v>
      </c>
      <c r="X37" s="15">
        <v>78.965353124999993</v>
      </c>
      <c r="Y37" s="15">
        <v>37.939921875000003</v>
      </c>
      <c r="Z37" s="15">
        <v>43.769646874999999</v>
      </c>
      <c r="AA37" s="15">
        <v>46.505328124999998</v>
      </c>
      <c r="AB37" s="16">
        <v>6449.77</v>
      </c>
      <c r="AC37" s="16">
        <v>0</v>
      </c>
      <c r="AD37" s="16">
        <v>228.75200000000001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22.3481475</v>
      </c>
      <c r="J38" s="21">
        <f t="shared" si="1"/>
        <v>7.1544688333112449E-2</v>
      </c>
      <c r="K38" s="21">
        <f t="shared" si="2"/>
        <v>2.3929408183432161E-2</v>
      </c>
      <c r="L38" s="21">
        <f t="shared" si="3"/>
        <v>1.9504914796703698E-2</v>
      </c>
      <c r="M38" s="21">
        <f t="shared" si="4"/>
        <v>4.7615280149680292E-2</v>
      </c>
      <c r="N38" s="18">
        <f t="shared" si="5"/>
        <v>7973056</v>
      </c>
      <c r="O38" s="21">
        <v>-12</v>
      </c>
      <c r="P38" s="22">
        <v>83757654</v>
      </c>
      <c r="Q38" s="22">
        <v>2617426.6875</v>
      </c>
      <c r="R38" s="22">
        <v>46922.8125</v>
      </c>
      <c r="S38" s="23">
        <v>23838024</v>
      </c>
      <c r="T38" s="23">
        <v>6498856</v>
      </c>
      <c r="U38" s="23">
        <v>1474200</v>
      </c>
      <c r="V38" s="23">
        <v>15864968</v>
      </c>
      <c r="W38" s="24">
        <v>77.429118750000001</v>
      </c>
      <c r="X38" s="24">
        <v>80.183162499999995</v>
      </c>
      <c r="Y38" s="24">
        <v>39.696946875000002</v>
      </c>
      <c r="Z38" s="24">
        <v>44.538428125000003</v>
      </c>
      <c r="AA38" s="24">
        <v>47.799215625000002</v>
      </c>
      <c r="AB38" s="25">
        <v>7221.93</v>
      </c>
      <c r="AC38" s="25">
        <v>0</v>
      </c>
      <c r="AD38" s="25">
        <v>235.75399999999999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41.256697500000001</v>
      </c>
      <c r="J39" s="30">
        <f t="shared" si="1"/>
        <v>0.13207795251445337</v>
      </c>
      <c r="K39" s="30">
        <f t="shared" si="2"/>
        <v>3.8445131940646755E-2</v>
      </c>
      <c r="L39" s="30">
        <f t="shared" si="3"/>
        <v>2.9609230766949792E-2</v>
      </c>
      <c r="M39" s="30">
        <f t="shared" si="4"/>
        <v>9.3632820573806605E-2</v>
      </c>
      <c r="N39" s="27">
        <f t="shared" si="5"/>
        <v>12809560</v>
      </c>
      <c r="O39" s="30">
        <v>-12</v>
      </c>
      <c r="P39" s="31">
        <v>81959857</v>
      </c>
      <c r="Q39" s="31">
        <v>2561245.53125</v>
      </c>
      <c r="R39" s="31">
        <v>18607.15625</v>
      </c>
      <c r="S39" s="32">
        <v>44007144</v>
      </c>
      <c r="T39" s="32">
        <v>9865520</v>
      </c>
      <c r="U39" s="32">
        <v>2944040</v>
      </c>
      <c r="V39" s="32">
        <v>31197584</v>
      </c>
      <c r="W39" s="33">
        <v>78.310249999999996</v>
      </c>
      <c r="X39" s="33">
        <v>81.8757375</v>
      </c>
      <c r="Y39" s="33">
        <v>41.294162499999999</v>
      </c>
      <c r="Z39" s="33">
        <v>45.540025</v>
      </c>
      <c r="AA39" s="33">
        <v>49.134646875000001</v>
      </c>
      <c r="AB39" s="34">
        <v>7650.8</v>
      </c>
      <c r="AC39" s="34">
        <v>0</v>
      </c>
      <c r="AD39" s="34">
        <v>236.05099999999999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4.4208546081002734E-2</v>
      </c>
      <c r="K40" s="48">
        <f>AVERAGE(K5:K24)</f>
        <v>1.3836094495758086E-2</v>
      </c>
      <c r="L40" s="48">
        <f>AVERAGE(L5:L24)</f>
        <v>9.6969495541967075E-3</v>
      </c>
      <c r="M40" s="48">
        <f>AVERAGE(M5:M24)</f>
        <v>3.0372451585244636E-2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7.9821412994069529E-2</v>
      </c>
      <c r="K41" s="48">
        <f>AVERAGE(K25:K29)</f>
        <v>1.2343170896124311E-2</v>
      </c>
      <c r="L41" s="48">
        <f>AVERAGE(L25:L29)</f>
        <v>9.0938284872662568E-3</v>
      </c>
      <c r="M41" s="48">
        <f>AVERAGE(M25:M29)</f>
        <v>6.7478242097945215E-2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5.4217973787096474E-2</v>
      </c>
      <c r="K42" s="48">
        <f>AVERAGE(K30:K39)</f>
        <v>1.9728058841741378E-2</v>
      </c>
      <c r="L42" s="48">
        <f>AVERAGE(L30:L39)</f>
        <v>1.4851152232487525E-2</v>
      </c>
      <c r="M42" s="48">
        <f>AVERAGE(M30:M39)</f>
        <v>3.4489914945355089E-2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5.2155934984610471E-2</v>
      </c>
      <c r="K43" s="48">
        <f>AVERAGE(K5:K39)</f>
        <v>1.5306238080377057E-2</v>
      </c>
      <c r="L43" s="48">
        <f>AVERAGE(L5:L39)</f>
        <v>1.1083418738432587E-2</v>
      </c>
      <c r="M43" s="48">
        <f>AVERAGE(M5:M39)</f>
        <v>3.6849696904233419E-2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135507.32</v>
      </c>
      <c r="AC44" s="49">
        <f>SUM(AC5:AC24,AC25:AC29,AC30:AC39)</f>
        <v>0</v>
      </c>
      <c r="AD44" s="49">
        <f>SUM(AD5:AD24,AD25:AD29,AD30:AD39)</f>
        <v>4176.1329999999998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3443.0318818646697</v>
      </c>
      <c r="AC46" s="49" t="e">
        <f>GEOMEAN(AC5:AC24,AC25:AC29,AC30:AC39)</f>
        <v>#NUM!</v>
      </c>
      <c r="AD46" s="49">
        <f>GEOMEAN(AD5:AD24,AD25:AD29,AD30:AD39)</f>
        <v>102.16784557266246</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O5" activePane="bottomRight" state="frozen"/>
      <selection pane="topRight" activeCell="C1" sqref="C1"/>
      <selection pane="bottomLeft" activeCell="A5" sqref="A5"/>
      <selection pane="bottomRight" activeCell="AN34" sqref="AN34"/>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r180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thickBot="1" x14ac:dyDescent="0.3">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1.7211719529643801E-2</v>
      </c>
      <c r="I5" s="11">
        <f t="shared" ref="I5:I11" si="1">IF(OR(ISBLANK(Q5),ISBLANK(F5)),"·",Q5*F5/E5/1000000)</f>
        <v>207.5072625</v>
      </c>
      <c r="J5" s="12">
        <f t="shared" ref="J5:J11" si="2">IF(ISBLANK(Q5),"·",Q5/C5)</f>
        <v>0.9294328546007653</v>
      </c>
      <c r="K5" s="12">
        <f t="shared" ref="K5:K11" si="3">IF(N5="","·",N5/C5)</f>
        <v>0.14058542671763605</v>
      </c>
      <c r="L5" s="12">
        <f t="shared" ref="L5:L11" si="4">IF(R5="","·",R5/C5)</f>
        <v>0.1316834736328211</v>
      </c>
      <c r="M5" s="12">
        <f t="shared" ref="M5:M11" si="5">IF(ISBLANK(T5),"·",T5/C5)</f>
        <v>0.78884742788312923</v>
      </c>
      <c r="N5" s="54">
        <f t="shared" ref="N5:N11" si="6">IF(OR(ISBLANK(R5),ISBLANK(S5)),"",R5+S5)</f>
        <v>33479912</v>
      </c>
      <c r="O5" s="12">
        <v>-12</v>
      </c>
      <c r="P5" s="13">
        <v>24964341</v>
      </c>
      <c r="Q5" s="14">
        <v>221341080</v>
      </c>
      <c r="R5" s="14">
        <v>31359944</v>
      </c>
      <c r="S5" s="14">
        <v>2119968</v>
      </c>
      <c r="T5" s="14">
        <v>187861168</v>
      </c>
      <c r="U5" s="15"/>
      <c r="V5" s="15"/>
      <c r="W5" s="15"/>
      <c r="X5" s="15"/>
      <c r="Y5" s="15"/>
      <c r="Z5" s="16">
        <v>5960.86</v>
      </c>
      <c r="AA5" s="16">
        <v>0</v>
      </c>
      <c r="AB5" s="16">
        <v>65.186000000000007</v>
      </c>
      <c r="AC5" s="16">
        <v>0</v>
      </c>
      <c r="AE5" s="17">
        <f t="shared" ref="AE5:AE11" si="7">IF(ISBLANK(Q5),"·",Q5/(C5*(D5*3+IF(AND(ISNUMBER(T5),T5&gt;0),24,0))))</f>
        <v>1.7211719529643801E-2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2.4578831185938257E-2</v>
      </c>
      <c r="I6" s="20">
        <f t="shared" si="1"/>
        <v>271.40898750000002</v>
      </c>
      <c r="J6" s="21">
        <f t="shared" si="2"/>
        <v>1.3272568840406658</v>
      </c>
      <c r="K6" s="21">
        <f t="shared" si="3"/>
        <v>0.17158493898544736</v>
      </c>
      <c r="L6" s="21">
        <f t="shared" si="4"/>
        <v>0.15635689439178968</v>
      </c>
      <c r="M6" s="21">
        <f t="shared" si="5"/>
        <v>1.1556719450552184</v>
      </c>
      <c r="N6" s="18">
        <f t="shared" si="6"/>
        <v>37426320</v>
      </c>
      <c r="O6" s="21">
        <v>-12</v>
      </c>
      <c r="P6" s="22">
        <v>22654789</v>
      </c>
      <c r="Q6" s="23">
        <v>289502920</v>
      </c>
      <c r="R6" s="23">
        <v>34104760</v>
      </c>
      <c r="S6" s="23">
        <v>3321560</v>
      </c>
      <c r="T6" s="23">
        <v>252076600</v>
      </c>
      <c r="U6" s="24"/>
      <c r="V6" s="24"/>
      <c r="W6" s="24"/>
      <c r="X6" s="24"/>
      <c r="Y6" s="24"/>
      <c r="Z6" s="25">
        <v>5918.34</v>
      </c>
      <c r="AA6" s="25">
        <v>0</v>
      </c>
      <c r="AB6" s="25">
        <v>64.167000000000002</v>
      </c>
      <c r="AC6" s="25">
        <v>0</v>
      </c>
      <c r="AE6" s="26">
        <f t="shared" si="7"/>
        <v>2.4578831185938257E-2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1.9413980038476598E-2</v>
      </c>
      <c r="I7" s="11">
        <f t="shared" si="1"/>
        <v>317.05172249999998</v>
      </c>
      <c r="J7" s="12">
        <f t="shared" si="2"/>
        <v>1.0483549220777362</v>
      </c>
      <c r="K7" s="12">
        <f t="shared" si="3"/>
        <v>0.16736938386601452</v>
      </c>
      <c r="L7" s="12">
        <f t="shared" si="4"/>
        <v>0.15462308741261005</v>
      </c>
      <c r="M7" s="12">
        <f t="shared" si="5"/>
        <v>0.88098553821172176</v>
      </c>
      <c r="N7" s="54">
        <f t="shared" si="6"/>
        <v>53991640</v>
      </c>
      <c r="O7" s="12">
        <v>-12</v>
      </c>
      <c r="P7" s="13">
        <v>33947718</v>
      </c>
      <c r="Q7" s="14">
        <v>338188504</v>
      </c>
      <c r="R7" s="14">
        <v>49879816</v>
      </c>
      <c r="S7" s="14">
        <v>4111824</v>
      </c>
      <c r="T7" s="14">
        <v>284196864</v>
      </c>
      <c r="U7" s="15"/>
      <c r="V7" s="15"/>
      <c r="W7" s="15"/>
      <c r="X7" s="15"/>
      <c r="Y7" s="15"/>
      <c r="Z7" s="16">
        <v>8125.99</v>
      </c>
      <c r="AA7" s="16">
        <v>0</v>
      </c>
      <c r="AB7" s="16">
        <v>81.933999999999997</v>
      </c>
      <c r="AC7" s="16">
        <v>0</v>
      </c>
      <c r="AE7" s="17">
        <f t="shared" si="7"/>
        <v>1.9413980038476598E-2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32</v>
      </c>
      <c r="F8" s="38">
        <v>50</v>
      </c>
      <c r="H8" s="46">
        <f t="shared" si="0"/>
        <v>1.9469298614430263E-2</v>
      </c>
      <c r="I8" s="39">
        <f t="shared" si="1"/>
        <v>411.67090000000002</v>
      </c>
      <c r="J8" s="40">
        <f t="shared" si="2"/>
        <v>1.0513421251792343</v>
      </c>
      <c r="K8" s="40">
        <f t="shared" si="3"/>
        <v>0.15718800307056313</v>
      </c>
      <c r="L8" s="40">
        <f t="shared" si="4"/>
        <v>0.1371094477916458</v>
      </c>
      <c r="M8" s="40">
        <f t="shared" si="5"/>
        <v>0.89415412210867118</v>
      </c>
      <c r="N8" s="37">
        <f t="shared" si="6"/>
        <v>39391768</v>
      </c>
      <c r="O8" s="40">
        <v>-12</v>
      </c>
      <c r="P8" s="41">
        <v>32209643</v>
      </c>
      <c r="Q8" s="42">
        <v>263469376</v>
      </c>
      <c r="R8" s="42">
        <v>34360024</v>
      </c>
      <c r="S8" s="42">
        <v>5031744</v>
      </c>
      <c r="T8" s="42">
        <v>224077608</v>
      </c>
      <c r="U8" s="43"/>
      <c r="V8" s="43"/>
      <c r="W8" s="43"/>
      <c r="X8" s="43"/>
      <c r="Y8" s="43"/>
      <c r="Z8" s="44">
        <v>6724.95</v>
      </c>
      <c r="AA8" s="44">
        <v>0</v>
      </c>
      <c r="AB8" s="44">
        <v>70.823999999999998</v>
      </c>
      <c r="AC8" s="44">
        <v>0</v>
      </c>
      <c r="AE8" s="46">
        <f t="shared" si="7"/>
        <v>1.9469298614430263E-2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32</v>
      </c>
      <c r="F9" s="28">
        <v>30</v>
      </c>
      <c r="H9" s="36">
        <f t="shared" si="0"/>
        <v>2.7981031537440922E-2</v>
      </c>
      <c r="I9" s="29">
        <f t="shared" si="1"/>
        <v>354.55221749999998</v>
      </c>
      <c r="J9" s="30">
        <f t="shared" si="2"/>
        <v>1.5109757030218096</v>
      </c>
      <c r="K9" s="30">
        <f t="shared" si="3"/>
        <v>0.1471592381492301</v>
      </c>
      <c r="L9" s="30">
        <f t="shared" si="4"/>
        <v>0.13754563812332143</v>
      </c>
      <c r="M9" s="30">
        <f t="shared" si="5"/>
        <v>1.3638164648725797</v>
      </c>
      <c r="N9" s="27">
        <f t="shared" si="6"/>
        <v>36833160</v>
      </c>
      <c r="O9" s="30">
        <v>-12</v>
      </c>
      <c r="P9" s="31">
        <v>25312408</v>
      </c>
      <c r="Q9" s="32">
        <v>378189032</v>
      </c>
      <c r="R9" s="32">
        <v>34426928</v>
      </c>
      <c r="S9" s="32">
        <v>2406232</v>
      </c>
      <c r="T9" s="32">
        <v>341355872</v>
      </c>
      <c r="U9" s="33"/>
      <c r="V9" s="33"/>
      <c r="W9" s="33"/>
      <c r="X9" s="33"/>
      <c r="Y9" s="33"/>
      <c r="Z9" s="34">
        <v>6188.13</v>
      </c>
      <c r="AA9" s="34">
        <v>0</v>
      </c>
      <c r="AB9" s="34">
        <v>68.031000000000006</v>
      </c>
      <c r="AC9" s="34">
        <v>0</v>
      </c>
      <c r="AE9" s="36">
        <f t="shared" si="7"/>
        <v>2.7981031537440922E-2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4.2389343831376353E-2</v>
      </c>
      <c r="I10" s="20">
        <f t="shared" si="1"/>
        <v>850.39983749999999</v>
      </c>
      <c r="J10" s="21">
        <f t="shared" si="2"/>
        <v>2.4161925983884522</v>
      </c>
      <c r="K10" s="21">
        <f t="shared" si="3"/>
        <v>0.2667798269831636</v>
      </c>
      <c r="L10" s="21">
        <f t="shared" si="4"/>
        <v>0.25450793725520032</v>
      </c>
      <c r="M10" s="21">
        <f t="shared" si="5"/>
        <v>2.1494127714052884</v>
      </c>
      <c r="N10" s="18">
        <f t="shared" si="6"/>
        <v>100155160</v>
      </c>
      <c r="O10" s="21">
        <v>-12</v>
      </c>
      <c r="P10" s="22">
        <v>92854683</v>
      </c>
      <c r="Q10" s="23">
        <v>907093160</v>
      </c>
      <c r="R10" s="23">
        <v>95548016</v>
      </c>
      <c r="S10" s="23">
        <v>4607144</v>
      </c>
      <c r="T10" s="23">
        <v>806938000</v>
      </c>
      <c r="U10" s="24"/>
      <c r="V10" s="24"/>
      <c r="W10" s="24"/>
      <c r="X10" s="24"/>
      <c r="Y10" s="24"/>
      <c r="Z10" s="25">
        <v>19595</v>
      </c>
      <c r="AA10" s="25">
        <v>0</v>
      </c>
      <c r="AB10" s="25">
        <v>223.00899999999999</v>
      </c>
      <c r="AC10" s="25">
        <v>0</v>
      </c>
      <c r="AE10" s="26">
        <f t="shared" si="7"/>
        <v>4.2389343831376353E-2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333190689</v>
      </c>
      <c r="D11" s="28">
        <v>11</v>
      </c>
      <c r="E11" s="28">
        <v>32</v>
      </c>
      <c r="F11" s="28">
        <v>30</v>
      </c>
      <c r="H11" s="36">
        <f t="shared" si="0"/>
        <v>4.3563876525636404E-2</v>
      </c>
      <c r="I11" s="29">
        <f t="shared" si="1"/>
        <v>775.64948249999998</v>
      </c>
      <c r="J11" s="30">
        <f t="shared" si="2"/>
        <v>2.4831409619612748</v>
      </c>
      <c r="K11" s="30">
        <f t="shared" si="3"/>
        <v>0.28585022074251298</v>
      </c>
      <c r="L11" s="30">
        <f t="shared" si="4"/>
        <v>0.27165426582493724</v>
      </c>
      <c r="M11" s="30">
        <f t="shared" si="5"/>
        <v>2.1972907412187621</v>
      </c>
      <c r="N11" s="27">
        <f t="shared" si="6"/>
        <v>95242632</v>
      </c>
      <c r="O11" s="30">
        <v>-12</v>
      </c>
      <c r="P11" s="31">
        <v>83104648</v>
      </c>
      <c r="Q11" s="32">
        <v>827359448</v>
      </c>
      <c r="R11" s="32">
        <v>90512672</v>
      </c>
      <c r="S11" s="32">
        <v>4729960</v>
      </c>
      <c r="T11" s="32">
        <v>732116816</v>
      </c>
      <c r="U11" s="33"/>
      <c r="V11" s="33"/>
      <c r="W11" s="33"/>
      <c r="X11" s="33"/>
      <c r="Y11" s="33"/>
      <c r="Z11" s="34">
        <v>18398.900000000001</v>
      </c>
      <c r="AA11" s="34">
        <v>0</v>
      </c>
      <c r="AB11" s="34">
        <v>205.07900000000001</v>
      </c>
      <c r="AC11" s="34">
        <v>0</v>
      </c>
      <c r="AE11" s="36">
        <f t="shared" si="7"/>
        <v>4.3563876525636404E-2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1.0890966964746005</v>
      </c>
      <c r="K12" s="48">
        <f>AVERAGE(K5:K8)</f>
        <v>0.15918193815991527</v>
      </c>
      <c r="L12" s="48">
        <f>AVERAGE(L5:L8)</f>
        <v>0.14494322580721664</v>
      </c>
      <c r="M12" s="48">
        <f>AVERAGE(M5:M8)</f>
        <v>0.92991475831468517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1.5109757030218096</v>
      </c>
      <c r="K13" s="48">
        <f>AVERAGE(K9:K9)</f>
        <v>0.1471592381492301</v>
      </c>
      <c r="L13" s="48">
        <f>AVERAGE(L9:L9)</f>
        <v>0.13754563812332143</v>
      </c>
      <c r="M13" s="48">
        <f>AVERAGE(M9:M9)</f>
        <v>1.3638164648725797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2.4496667801748635</v>
      </c>
      <c r="K14" s="48">
        <f>AVERAGE(K10:K11)</f>
        <v>0.27631502386283829</v>
      </c>
      <c r="L14" s="48">
        <f>AVERAGE(L10:L11)</f>
        <v>0.26308110154006881</v>
      </c>
      <c r="M14" s="48">
        <f>AVERAGE(M10:M11)</f>
        <v>2.1733517563120253</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1.5380994356099913</v>
      </c>
      <c r="K15" s="48">
        <f>AVERAGE(K5:K11)</f>
        <v>0.19093100550208111</v>
      </c>
      <c r="L15" s="48">
        <f>AVERAGE(L5:L11)</f>
        <v>0.17764010634747507</v>
      </c>
      <c r="M15" s="48">
        <f>AVERAGE(M5:M11)</f>
        <v>1.3471684301079101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70912.170000000013</v>
      </c>
      <c r="AA16" s="49">
        <f>SUM(AA5:AA8,AA9:AA9,AA10:AA11)</f>
        <v>0</v>
      </c>
      <c r="AB16" s="49">
        <f>SUM(AB5:AB8,AB9:AB9,AB10:AB11)</f>
        <v>778.23</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8864.4738192096429</v>
      </c>
      <c r="AA18" s="49" t="e">
        <f>GEOMEAN(AA5:AA8,AA9:AA9,AA10:AA11)</f>
        <v>#NUM!</v>
      </c>
      <c r="AB18" s="49">
        <f>GEOMEAN(AB5:AB8,AB9:AB9,AB10:AB11)</f>
        <v>96.06831179154166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P5" activePane="bottomRight" state="frozen"/>
      <selection pane="topRight" activeCell="C1" sqref="C1"/>
      <selection pane="bottomLeft" activeCell="A5" sqref="A5"/>
      <selection pane="bottomRight" activeCell="AJ35" sqref="AJ35"/>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571</v>
      </c>
      <c r="B1" s="59"/>
      <c r="C1" s="59"/>
      <c r="D1" s="59"/>
      <c r="E1" s="59"/>
      <c r="F1" s="59"/>
      <c r="H1" s="67" t="str">
        <f>Summary!$C$1</f>
        <v>r180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1.7043154677820742E-2</v>
      </c>
      <c r="I5" s="11">
        <f t="shared" ref="I5:I11" si="1">IF(OR(ISBLANK(Q5),ISBLANK(F5)),"·",Q5*F5/E5/1000000)</f>
        <v>205.47501750000001</v>
      </c>
      <c r="J5" s="12">
        <f t="shared" ref="J5:J11" si="2">IF(ISBLANK(Q5),"·",Q5/C5)</f>
        <v>0.9203303526023201</v>
      </c>
      <c r="K5" s="12">
        <f t="shared" ref="K5:K11" si="3">IF(N5="","·",N5/C5)</f>
        <v>0.1365678306668103</v>
      </c>
      <c r="L5" s="12">
        <f t="shared" ref="L5:L11" si="4">IF(R5="","·",R5/C5)</f>
        <v>0.12768962767947217</v>
      </c>
      <c r="M5" s="12">
        <f t="shared" ref="M5:M11" si="5">IF(ISBLANK(T5),"·",T5/C5)</f>
        <v>0.78376252193550988</v>
      </c>
      <c r="N5" s="54">
        <f t="shared" ref="N5:N11" si="6">IF(OR(ISBLANK(R5),ISBLANK(S5)),"",R5+S5)</f>
        <v>32523136</v>
      </c>
      <c r="O5" s="12">
        <v>-12</v>
      </c>
      <c r="P5" s="13">
        <v>24964341</v>
      </c>
      <c r="Q5" s="14">
        <v>219173352</v>
      </c>
      <c r="R5" s="14">
        <v>30408824</v>
      </c>
      <c r="S5" s="14">
        <v>2114312</v>
      </c>
      <c r="T5" s="14">
        <v>186650216</v>
      </c>
      <c r="U5" s="15"/>
      <c r="V5" s="15"/>
      <c r="W5" s="15"/>
      <c r="X5" s="15"/>
      <c r="Y5" s="15"/>
      <c r="Z5" s="16">
        <v>7718.61</v>
      </c>
      <c r="AA5" s="16">
        <v>0</v>
      </c>
      <c r="AB5" s="16">
        <v>61.246000000000002</v>
      </c>
      <c r="AC5" s="16">
        <v>0</v>
      </c>
      <c r="AE5" s="17">
        <f t="shared" ref="AE5:AE11" si="7">IF(ISBLANK(Q5),"·",Q5/(C5*(D5*3+IF(AND(ISNUMBER(T5),T5&gt;0),24,0))))</f>
        <v>1.7043154677820742E-2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2.4451362832555435E-2</v>
      </c>
      <c r="I6" s="20">
        <f t="shared" si="1"/>
        <v>270.00143250000002</v>
      </c>
      <c r="J6" s="21">
        <f t="shared" si="2"/>
        <v>1.3203735929579936</v>
      </c>
      <c r="K6" s="21">
        <f t="shared" si="3"/>
        <v>0.17095596769066629</v>
      </c>
      <c r="L6" s="21">
        <f t="shared" si="4"/>
        <v>0.15523403263951707</v>
      </c>
      <c r="M6" s="21">
        <f t="shared" si="5"/>
        <v>1.1494176252673272</v>
      </c>
      <c r="N6" s="18">
        <f t="shared" si="6"/>
        <v>37289128</v>
      </c>
      <c r="O6" s="21">
        <v>-12</v>
      </c>
      <c r="P6" s="22">
        <v>22654789</v>
      </c>
      <c r="Q6" s="23">
        <v>288001528</v>
      </c>
      <c r="R6" s="23">
        <v>33859840</v>
      </c>
      <c r="S6" s="23">
        <v>3429288</v>
      </c>
      <c r="T6" s="23">
        <v>250712400</v>
      </c>
      <c r="U6" s="24"/>
      <c r="V6" s="24"/>
      <c r="W6" s="24"/>
      <c r="X6" s="24"/>
      <c r="Y6" s="24"/>
      <c r="Z6" s="25">
        <v>9330.34</v>
      </c>
      <c r="AA6" s="25">
        <v>0</v>
      </c>
      <c r="AB6" s="25">
        <v>60.83</v>
      </c>
      <c r="AC6" s="25">
        <v>0</v>
      </c>
      <c r="AE6" s="26">
        <f t="shared" si="7"/>
        <v>2.4451362832555435E-2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1.8788160887054411E-2</v>
      </c>
      <c r="I7" s="11">
        <f t="shared" si="1"/>
        <v>306.83140500000002</v>
      </c>
      <c r="J7" s="12">
        <f t="shared" si="2"/>
        <v>1.0145606879009381</v>
      </c>
      <c r="K7" s="12">
        <f t="shared" si="3"/>
        <v>0.14888569413238309</v>
      </c>
      <c r="L7" s="12">
        <f t="shared" si="4"/>
        <v>0.13698108604234932</v>
      </c>
      <c r="M7" s="12">
        <f t="shared" si="5"/>
        <v>0.86567499376855495</v>
      </c>
      <c r="N7" s="54">
        <f t="shared" si="6"/>
        <v>48028992</v>
      </c>
      <c r="O7" s="12">
        <v>-12</v>
      </c>
      <c r="P7" s="13">
        <v>33947718</v>
      </c>
      <c r="Q7" s="14">
        <v>327286832</v>
      </c>
      <c r="R7" s="14">
        <v>44188688</v>
      </c>
      <c r="S7" s="14">
        <v>3840304</v>
      </c>
      <c r="T7" s="14">
        <v>279257840</v>
      </c>
      <c r="U7" s="15"/>
      <c r="V7" s="15"/>
      <c r="W7" s="15"/>
      <c r="X7" s="15"/>
      <c r="Y7" s="15"/>
      <c r="Z7" s="16">
        <v>10175.5</v>
      </c>
      <c r="AA7" s="16">
        <v>0</v>
      </c>
      <c r="AB7" s="16">
        <v>86.79</v>
      </c>
      <c r="AC7" s="16">
        <v>0</v>
      </c>
      <c r="AE7" s="17">
        <f t="shared" si="7"/>
        <v>1.8788160887054411E-2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1.7296374020415166E-2</v>
      </c>
      <c r="I8" s="39">
        <f t="shared" si="1"/>
        <v>365.72523749999999</v>
      </c>
      <c r="J8" s="40">
        <f t="shared" si="2"/>
        <v>0.93400419710241889</v>
      </c>
      <c r="K8" s="40">
        <f t="shared" si="3"/>
        <v>0.10940256870380638</v>
      </c>
      <c r="L8" s="40">
        <f t="shared" si="4"/>
        <v>9.6200741754411762E-2</v>
      </c>
      <c r="M8" s="40">
        <f t="shared" si="5"/>
        <v>0.82460162839861251</v>
      </c>
      <c r="N8" s="37">
        <f t="shared" si="6"/>
        <v>27416600</v>
      </c>
      <c r="O8" s="40">
        <v>-12</v>
      </c>
      <c r="P8" s="41">
        <v>32209643</v>
      </c>
      <c r="Q8" s="42">
        <v>234064152</v>
      </c>
      <c r="R8" s="42">
        <v>24108184</v>
      </c>
      <c r="S8" s="42">
        <v>3308416</v>
      </c>
      <c r="T8" s="42">
        <v>206647552</v>
      </c>
      <c r="U8" s="43"/>
      <c r="V8" s="43"/>
      <c r="W8" s="43"/>
      <c r="X8" s="43"/>
      <c r="Y8" s="43"/>
      <c r="Z8" s="44">
        <v>8202.5499999999993</v>
      </c>
      <c r="AA8" s="44">
        <v>0</v>
      </c>
      <c r="AB8" s="44">
        <v>71.650000000000006</v>
      </c>
      <c r="AC8" s="44">
        <v>0</v>
      </c>
      <c r="AE8" s="46">
        <f t="shared" si="7"/>
        <v>1.7296374020415166E-2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2.7811093113976896E-2</v>
      </c>
      <c r="I9" s="29">
        <f t="shared" si="1"/>
        <v>352.39890000000003</v>
      </c>
      <c r="J9" s="30">
        <f t="shared" si="2"/>
        <v>1.5017990281547524</v>
      </c>
      <c r="K9" s="30">
        <f t="shared" si="3"/>
        <v>0.14676833875692921</v>
      </c>
      <c r="L9" s="30">
        <f t="shared" si="4"/>
        <v>0.13691751425925791</v>
      </c>
      <c r="M9" s="30">
        <f t="shared" si="5"/>
        <v>1.3550306893978232</v>
      </c>
      <c r="N9" s="27">
        <f t="shared" si="6"/>
        <v>36735320</v>
      </c>
      <c r="O9" s="30">
        <v>-12</v>
      </c>
      <c r="P9" s="31">
        <v>25312408</v>
      </c>
      <c r="Q9" s="32">
        <v>375892160</v>
      </c>
      <c r="R9" s="32">
        <v>34269712</v>
      </c>
      <c r="S9" s="32">
        <v>2465608</v>
      </c>
      <c r="T9" s="32">
        <v>339156840</v>
      </c>
      <c r="U9" s="33"/>
      <c r="V9" s="33"/>
      <c r="W9" s="33"/>
      <c r="X9" s="33"/>
      <c r="Y9" s="33"/>
      <c r="Z9" s="34">
        <v>10107.1</v>
      </c>
      <c r="AA9" s="34">
        <v>0</v>
      </c>
      <c r="AB9" s="34">
        <v>72.825999999999993</v>
      </c>
      <c r="AC9" s="34">
        <v>0</v>
      </c>
      <c r="AE9" s="36">
        <f t="shared" si="7"/>
        <v>2.7811093113976896E-2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4.2347997390093796E-2</v>
      </c>
      <c r="I10" s="20">
        <f t="shared" si="1"/>
        <v>849.57036000000005</v>
      </c>
      <c r="J10" s="21">
        <f t="shared" si="2"/>
        <v>2.4138358512353464</v>
      </c>
      <c r="K10" s="21">
        <f t="shared" si="3"/>
        <v>0.26500814859173921</v>
      </c>
      <c r="L10" s="21">
        <f t="shared" si="4"/>
        <v>0.25245263177978772</v>
      </c>
      <c r="M10" s="21">
        <f t="shared" si="5"/>
        <v>2.1488277026436071</v>
      </c>
      <c r="N10" s="18">
        <f t="shared" si="6"/>
        <v>99490032</v>
      </c>
      <c r="O10" s="21">
        <v>-12</v>
      </c>
      <c r="P10" s="22">
        <v>92854683</v>
      </c>
      <c r="Q10" s="23">
        <v>906208384</v>
      </c>
      <c r="R10" s="23">
        <v>94776408</v>
      </c>
      <c r="S10" s="23">
        <v>4713624</v>
      </c>
      <c r="T10" s="23">
        <v>806718352</v>
      </c>
      <c r="U10" s="24"/>
      <c r="V10" s="24"/>
      <c r="W10" s="24"/>
      <c r="X10" s="24"/>
      <c r="Y10" s="24"/>
      <c r="Z10" s="25">
        <v>32601.1</v>
      </c>
      <c r="AA10" s="25">
        <v>0</v>
      </c>
      <c r="AB10" s="25">
        <v>226.06</v>
      </c>
      <c r="AC10" s="25">
        <v>0</v>
      </c>
      <c r="AE10" s="26">
        <f t="shared" si="7"/>
        <v>4.2347997390093796E-2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4.3558148600784129E-2</v>
      </c>
      <c r="I11" s="29">
        <f t="shared" si="1"/>
        <v>775.54749749999996</v>
      </c>
      <c r="J11" s="30">
        <f t="shared" si="2"/>
        <v>2.482814470244695</v>
      </c>
      <c r="K11" s="30">
        <f t="shared" si="3"/>
        <v>0.28595977962637487</v>
      </c>
      <c r="L11" s="30">
        <f t="shared" si="4"/>
        <v>0.27129295920991359</v>
      </c>
      <c r="M11" s="30">
        <f t="shared" si="5"/>
        <v>2.1968546906183204</v>
      </c>
      <c r="N11" s="27">
        <f t="shared" si="6"/>
        <v>95279136</v>
      </c>
      <c r="O11" s="30">
        <v>-12</v>
      </c>
      <c r="P11" s="31">
        <v>83104648</v>
      </c>
      <c r="Q11" s="32">
        <v>827250664</v>
      </c>
      <c r="R11" s="32">
        <v>90392288</v>
      </c>
      <c r="S11" s="32">
        <v>4886848</v>
      </c>
      <c r="T11" s="32">
        <v>731971528</v>
      </c>
      <c r="U11" s="33"/>
      <c r="V11" s="33"/>
      <c r="W11" s="33"/>
      <c r="X11" s="33"/>
      <c r="Y11" s="33"/>
      <c r="Z11" s="34">
        <v>33777.5</v>
      </c>
      <c r="AA11" s="34">
        <v>0</v>
      </c>
      <c r="AB11" s="34">
        <v>195.387</v>
      </c>
      <c r="AC11" s="34">
        <v>0</v>
      </c>
      <c r="AE11" s="36">
        <f t="shared" si="7"/>
        <v>4.3558148600784129E-2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1.0473172076409176</v>
      </c>
      <c r="K12" s="48">
        <f>AVERAGE(K5:K8)</f>
        <v>0.1414530152984165</v>
      </c>
      <c r="L12" s="48">
        <f>AVERAGE(L5:L8)</f>
        <v>0.12902637202893757</v>
      </c>
      <c r="M12" s="48">
        <f>AVERAGE(M5:M8)</f>
        <v>0.90586419234250115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1.5017990281547524</v>
      </c>
      <c r="K13" s="48">
        <f>AVERAGE(K9:K9)</f>
        <v>0.14676833875692921</v>
      </c>
      <c r="L13" s="48">
        <f>AVERAGE(L9:L9)</f>
        <v>0.13691751425925791</v>
      </c>
      <c r="M13" s="48">
        <f>AVERAGE(M9:M9)</f>
        <v>1.3550306893978232</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2.4483251607400209</v>
      </c>
      <c r="K14" s="48">
        <f>AVERAGE(K10:K11)</f>
        <v>0.27548396410905707</v>
      </c>
      <c r="L14" s="48">
        <f>AVERAGE(L10:L11)</f>
        <v>0.26187279549485065</v>
      </c>
      <c r="M14" s="48">
        <f>AVERAGE(M10:M11)</f>
        <v>2.172841196630964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1.5125311685997807</v>
      </c>
      <c r="K15" s="48">
        <f>AVERAGE(K5:K11)</f>
        <v>0.18050690402410133</v>
      </c>
      <c r="L15" s="48">
        <f>AVERAGE(L5:L11)</f>
        <v>0.16810979905210136</v>
      </c>
      <c r="M15" s="48">
        <f>AVERAGE(M5:M11)</f>
        <v>1.3320242645756792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111912.7</v>
      </c>
      <c r="AA16" s="49">
        <f>SUM(AA5:AA8,AA9:AA9,AA10:AA11)</f>
        <v>0</v>
      </c>
      <c r="AB16" s="49">
        <f>SUM(AB5:AB8,AB9:AB9,AB10:AB11)</f>
        <v>774.78899999999999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13119.528244305691</v>
      </c>
      <c r="AA18" s="49" t="e">
        <f>GEOMEAN(AA5:AA8,AA9:AA9,AA10:AA11)</f>
        <v>#NUM!</v>
      </c>
      <c r="AB18" s="49">
        <f>GEOMEAN(AB5:AB8,AB9:AB9,AB10:AB11)</f>
        <v>95.886027161475283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T5" activePane="bottomRight" state="frozen"/>
      <selection pane="topRight" activeCell="C1" sqref="C1"/>
      <selection pane="bottomLeft" activeCell="A5" sqref="A5"/>
      <selection pane="bottomRight" activeCell="AK64" sqref="AK64"/>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572</v>
      </c>
      <c r="B1" s="59"/>
      <c r="C1" s="59"/>
      <c r="D1" s="59"/>
      <c r="E1" s="59"/>
      <c r="F1" s="59"/>
      <c r="G1" s="59"/>
      <c r="I1" s="67" t="str">
        <f>Summary!$C$1</f>
        <v>r180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ht="15.75" thickBot="1" x14ac:dyDescent="0.3">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IF(OR(ISBLANK(S5),ISBLANK(G5)),"·",S5*G5/F5/1000000)</f>
        <v>1.0503225</v>
      </c>
      <c r="J5" s="12">
        <f>IF(ISBLANK(S5),"·",S5/D5)</f>
        <v>4.7044340890305576E-3</v>
      </c>
      <c r="K5" s="12">
        <f t="shared" ref="K5:K39" si="0">IF(N5="","·",N5/D5)</f>
        <v>4.1058778841624351E-3</v>
      </c>
      <c r="L5" s="12">
        <f>IF(T5="","·",T5/D5)</f>
        <v>2.6158700007341282E-3</v>
      </c>
      <c r="M5" s="12">
        <f>IF(ISBLANK(V5),"·",V5/D5)</f>
        <v>5.9855620486812245E-4</v>
      </c>
      <c r="N5" s="54">
        <f>IF(OR(ISBLANK(T5),ISBLANK(U5)),"",T5+U5)</f>
        <v>977800</v>
      </c>
      <c r="O5" s="12">
        <v>-12</v>
      </c>
      <c r="P5" s="13">
        <v>23680630</v>
      </c>
      <c r="Q5" s="13">
        <v>740019.6875</v>
      </c>
      <c r="R5" s="13">
        <v>17141.40625</v>
      </c>
      <c r="S5" s="14">
        <v>1120344</v>
      </c>
      <c r="T5" s="14">
        <v>622960</v>
      </c>
      <c r="U5" s="14">
        <v>354840</v>
      </c>
      <c r="V5" s="14">
        <v>142544</v>
      </c>
      <c r="W5" s="15">
        <v>66.890699999999995</v>
      </c>
      <c r="X5" s="15">
        <v>68.650359374999994</v>
      </c>
      <c r="Y5" s="15">
        <v>31.765556249999999</v>
      </c>
      <c r="Z5" s="15">
        <v>44.363862500000003</v>
      </c>
      <c r="AA5" s="15">
        <v>44.146759375000002</v>
      </c>
      <c r="AB5" s="16">
        <v>4910.66</v>
      </c>
      <c r="AC5" s="16">
        <v>0</v>
      </c>
      <c r="AD5" s="16">
        <v>61.948</v>
      </c>
      <c r="AE5" s="16">
        <v>0</v>
      </c>
      <c r="AG5" s="11" t="str">
        <f>IF(OR(ISBLANK(AQ5),ISBLANK(G5)),"·",AQ5*G5/F5/1000000)</f>
        <v>·</v>
      </c>
      <c r="AH5" s="12" t="str">
        <f>IF(ISBLANK(AQ5),"·",AQ5/D5)</f>
        <v>·</v>
      </c>
      <c r="AI5" s="12" t="str">
        <f t="shared" ref="AI5:AI39" si="1">IF(AL5="","·",AL5/D5)</f>
        <v>·</v>
      </c>
      <c r="AJ5" s="12" t="str">
        <f>IF(AR5="","·",AR5/D5)</f>
        <v>·</v>
      </c>
      <c r="AK5" s="12" t="str">
        <f>IF(ISBLANK(AT5),"·",AT5/D5)</f>
        <v>·</v>
      </c>
      <c r="AL5" s="54" t="str">
        <f>IF(OR(ISBLANK(AR5),ISBLANK(AS5)),"",AR5+AS5)</f>
        <v/>
      </c>
      <c r="AM5" s="12">
        <v>-12</v>
      </c>
      <c r="AN5" s="13"/>
      <c r="AO5" s="13"/>
      <c r="AP5" s="13"/>
      <c r="AQ5" s="14"/>
      <c r="AR5" s="14"/>
      <c r="AS5" s="14"/>
      <c r="AT5" s="14"/>
      <c r="AU5" s="15"/>
      <c r="AV5" s="15"/>
      <c r="AW5" s="15"/>
      <c r="AX5" s="15"/>
      <c r="AY5" s="15"/>
      <c r="AZ5" s="16"/>
      <c r="BA5" s="16"/>
      <c r="BB5" s="16"/>
      <c r="BC5" s="16"/>
      <c r="BE5" s="51" t="e">
        <f t="shared" ref="BE5:BE43" si="2">AI5/K5</f>
        <v>#VALUE!</v>
      </c>
      <c r="BF5" s="17" t="e">
        <f>(AP5/AO5) - (R5/Q5)</f>
        <v>#DIV/0!</v>
      </c>
      <c r="BG5" s="17" t="e">
        <f>(AL5/AQ5)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IF(OR(ISBLANK(S6),ISBLANK(G6)),"·",S6*G6/F6/1000000)</f>
        <v>1.3578224999999999</v>
      </c>
      <c r="J6" s="21">
        <f>IF(ISBLANK(S6),"·",S6/D6)</f>
        <v>6.0817381859882983E-3</v>
      </c>
      <c r="K6" s="21">
        <f t="shared" si="0"/>
        <v>4.9943733978315887E-3</v>
      </c>
      <c r="L6" s="21">
        <f>IF(T6="","·",T6/D6)</f>
        <v>3.5043655144032814E-3</v>
      </c>
      <c r="M6" s="21">
        <f>IF(ISBLANK(V6),"·",V6/D6)</f>
        <v>1.0873647881567098E-3</v>
      </c>
      <c r="N6" s="18">
        <f>IF(OR(ISBLANK(T6),ISBLANK(U6)),"",T6+U6)</f>
        <v>1189392</v>
      </c>
      <c r="O6" s="21">
        <v>-12</v>
      </c>
      <c r="P6" s="22">
        <v>24702414</v>
      </c>
      <c r="Q6" s="22">
        <v>771950.4375</v>
      </c>
      <c r="R6" s="22">
        <v>20119.09375</v>
      </c>
      <c r="S6" s="23">
        <v>1448344</v>
      </c>
      <c r="T6" s="23">
        <v>834552</v>
      </c>
      <c r="U6" s="23">
        <v>354840</v>
      </c>
      <c r="V6" s="23">
        <v>258952</v>
      </c>
      <c r="W6" s="24">
        <v>68.540090625000005</v>
      </c>
      <c r="X6" s="24">
        <v>70.623687500000003</v>
      </c>
      <c r="Y6" s="24">
        <v>33.861856250000002</v>
      </c>
      <c r="Z6" s="24">
        <v>45.536799999999999</v>
      </c>
      <c r="AA6" s="24">
        <v>45.219496874999997</v>
      </c>
      <c r="AB6" s="25">
        <v>5185.34</v>
      </c>
      <c r="AC6" s="25">
        <v>0</v>
      </c>
      <c r="AD6" s="25">
        <v>64.578999999999994</v>
      </c>
      <c r="AE6" s="25">
        <v>0</v>
      </c>
      <c r="AG6" s="20" t="str">
        <f>IF(OR(ISBLANK(AQ6),ISBLANK(G6)),"·",AQ6*G6/F6/1000000)</f>
        <v>·</v>
      </c>
      <c r="AH6" s="21" t="str">
        <f>IF(ISBLANK(AQ6),"·",AQ6/D6)</f>
        <v>·</v>
      </c>
      <c r="AI6" s="21" t="str">
        <f t="shared" si="1"/>
        <v>·</v>
      </c>
      <c r="AJ6" s="21" t="str">
        <f>IF(AR6="","·",AR6/D6)</f>
        <v>·</v>
      </c>
      <c r="AK6" s="21" t="str">
        <f>IF(ISBLANK(AT6),"·",AT6/D6)</f>
        <v>·</v>
      </c>
      <c r="AL6" s="18" t="str">
        <f>IF(OR(ISBLANK(AR6),ISBLANK(AS6)),"",AR6+AS6)</f>
        <v/>
      </c>
      <c r="AM6" s="21">
        <v>-12</v>
      </c>
      <c r="AN6" s="22"/>
      <c r="AO6" s="22"/>
      <c r="AP6" s="22"/>
      <c r="AQ6" s="23"/>
      <c r="AR6" s="23"/>
      <c r="AS6" s="23"/>
      <c r="AT6" s="23"/>
      <c r="AU6" s="24"/>
      <c r="AV6" s="24"/>
      <c r="AW6" s="24"/>
      <c r="AX6" s="24"/>
      <c r="AY6" s="24"/>
      <c r="AZ6" s="25"/>
      <c r="BA6" s="25"/>
      <c r="BB6" s="25"/>
      <c r="BC6" s="25"/>
      <c r="BE6" s="50" t="e">
        <f t="shared" si="2"/>
        <v>#VALUE!</v>
      </c>
      <c r="BF6" s="26" t="e">
        <f>(AP6/AO6) - (R6/Q6)</f>
        <v>#DIV/0!</v>
      </c>
      <c r="BG6" s="26" t="e">
        <f>(AL6/AQ6) - (N6/S6)</f>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IF(OR(ISBLANK(S7),ISBLANK(G7)),"·",S7*G7/F7/1000000)</f>
        <v>1.8533774999999999</v>
      </c>
      <c r="J7" s="12">
        <f>IF(ISBLANK(S7),"·",S7/D7)</f>
        <v>8.3013477201928296E-3</v>
      </c>
      <c r="K7" s="12">
        <f t="shared" si="0"/>
        <v>6.1132818090869154E-3</v>
      </c>
      <c r="L7" s="12">
        <f>IF(T7="","·",T7/D7)</f>
        <v>4.6232739256586086E-3</v>
      </c>
      <c r="M7" s="12">
        <f>IF(ISBLANK(V7),"·",V7/D7)</f>
        <v>2.1880659111059128E-3</v>
      </c>
      <c r="N7" s="54">
        <f>IF(OR(ISBLANK(T7),ISBLANK(U7)),"",T7+U7)</f>
        <v>1455856</v>
      </c>
      <c r="O7" s="12">
        <v>-12</v>
      </c>
      <c r="P7" s="13">
        <v>24905347</v>
      </c>
      <c r="Q7" s="13">
        <v>778292.09375</v>
      </c>
      <c r="R7" s="13">
        <v>21199.78125</v>
      </c>
      <c r="S7" s="14">
        <v>1976936</v>
      </c>
      <c r="T7" s="14">
        <v>1101016</v>
      </c>
      <c r="U7" s="14">
        <v>354840</v>
      </c>
      <c r="V7" s="14">
        <v>521080</v>
      </c>
      <c r="W7" s="15">
        <v>69.828953124999998</v>
      </c>
      <c r="X7" s="15">
        <v>72.273296875</v>
      </c>
      <c r="Y7" s="15">
        <v>36.232234374999997</v>
      </c>
      <c r="Z7" s="15">
        <v>46.86059375</v>
      </c>
      <c r="AA7" s="15">
        <v>46.655374999999999</v>
      </c>
      <c r="AB7" s="16">
        <v>5423.68</v>
      </c>
      <c r="AC7" s="16">
        <v>0</v>
      </c>
      <c r="AD7" s="16">
        <v>66.852000000000004</v>
      </c>
      <c r="AE7" s="16">
        <v>0</v>
      </c>
      <c r="AG7" s="11" t="str">
        <f>IF(OR(ISBLANK(AQ7),ISBLANK(G7)),"·",AQ7*G7/F7/1000000)</f>
        <v>·</v>
      </c>
      <c r="AH7" s="12" t="str">
        <f>IF(ISBLANK(AQ7),"·",AQ7/D7)</f>
        <v>·</v>
      </c>
      <c r="AI7" s="12" t="str">
        <f t="shared" si="1"/>
        <v>·</v>
      </c>
      <c r="AJ7" s="12" t="str">
        <f>IF(AR7="","·",AR7/D7)</f>
        <v>·</v>
      </c>
      <c r="AK7" s="12" t="str">
        <f>IF(ISBLANK(AT7),"·",AT7/D7)</f>
        <v>·</v>
      </c>
      <c r="AL7" s="54" t="str">
        <f>IF(OR(ISBLANK(AR7),ISBLANK(AS7)),"",AR7+AS7)</f>
        <v/>
      </c>
      <c r="AM7" s="12">
        <v>-12</v>
      </c>
      <c r="AN7" s="13"/>
      <c r="AO7" s="13"/>
      <c r="AP7" s="13"/>
      <c r="AQ7" s="14"/>
      <c r="AR7" s="14"/>
      <c r="AS7" s="14"/>
      <c r="AT7" s="14"/>
      <c r="AU7" s="15"/>
      <c r="AV7" s="15"/>
      <c r="AW7" s="15"/>
      <c r="AX7" s="15"/>
      <c r="AY7" s="15"/>
      <c r="AZ7" s="16"/>
      <c r="BA7" s="16"/>
      <c r="BB7" s="16"/>
      <c r="BC7" s="16"/>
      <c r="BE7" s="51" t="e">
        <f t="shared" si="2"/>
        <v>#VALUE!</v>
      </c>
      <c r="BF7" s="17" t="e">
        <f>(AP7/AO7) - (R7/Q7)</f>
        <v>#DIV/0!</v>
      </c>
      <c r="BG7" s="17" t="e">
        <f>(AL7/AQ7) - (N7/S7)</f>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IF(OR(ISBLANK(S8),ISBLANK(G8)),"·",S8*G8/F8/1000000)</f>
        <v>3.0700275000000001</v>
      </c>
      <c r="J8" s="21">
        <f>IF(ISBLANK(S8),"·",S8/D8)</f>
        <v>1.3750768954546114E-2</v>
      </c>
      <c r="K8" s="21">
        <f t="shared" si="0"/>
        <v>8.8775983172468056E-3</v>
      </c>
      <c r="L8" s="21">
        <f>IF(T8="","·",T8/D8)</f>
        <v>7.3875904338184997E-3</v>
      </c>
      <c r="M8" s="21">
        <f>IF(ISBLANK(V8),"·",V8/D8)</f>
        <v>4.8731706372993075E-3</v>
      </c>
      <c r="N8" s="18">
        <f>IF(OR(ISBLANK(T8),ISBLANK(U8)),"",T8+U8)</f>
        <v>2114168</v>
      </c>
      <c r="O8" s="21">
        <v>-12</v>
      </c>
      <c r="P8" s="22">
        <v>25897656</v>
      </c>
      <c r="Q8" s="22">
        <v>809301.75</v>
      </c>
      <c r="R8" s="22">
        <v>24484.625</v>
      </c>
      <c r="S8" s="23">
        <v>3274696</v>
      </c>
      <c r="T8" s="23">
        <v>1759328</v>
      </c>
      <c r="U8" s="23">
        <v>354840</v>
      </c>
      <c r="V8" s="23">
        <v>1160528</v>
      </c>
      <c r="W8" s="24">
        <v>70.899731250000002</v>
      </c>
      <c r="X8" s="24">
        <v>73.464078125</v>
      </c>
      <c r="Y8" s="24">
        <v>38.680196875</v>
      </c>
      <c r="Z8" s="24">
        <v>48.181537499999997</v>
      </c>
      <c r="AA8" s="24">
        <v>48.270240625</v>
      </c>
      <c r="AB8" s="25">
        <v>5838.69</v>
      </c>
      <c r="AC8" s="25">
        <v>0</v>
      </c>
      <c r="AD8" s="25">
        <v>72.125</v>
      </c>
      <c r="AE8" s="25">
        <v>0</v>
      </c>
      <c r="AG8" s="20" t="str">
        <f>IF(OR(ISBLANK(AQ8),ISBLANK(G8)),"·",AQ8*G8/F8/1000000)</f>
        <v>·</v>
      </c>
      <c r="AH8" s="21" t="str">
        <f>IF(ISBLANK(AQ8),"·",AQ8/D8)</f>
        <v>·</v>
      </c>
      <c r="AI8" s="21" t="str">
        <f t="shared" si="1"/>
        <v>·</v>
      </c>
      <c r="AJ8" s="21" t="str">
        <f>IF(AR8="","·",AR8/D8)</f>
        <v>·</v>
      </c>
      <c r="AK8" s="21" t="str">
        <f>IF(ISBLANK(AT8),"·",AT8/D8)</f>
        <v>·</v>
      </c>
      <c r="AL8" s="18" t="str">
        <f>IF(OR(ISBLANK(AR8),ISBLANK(AS8)),"",AR8+AS8)</f>
        <v/>
      </c>
      <c r="AM8" s="21">
        <v>-12</v>
      </c>
      <c r="AN8" s="22"/>
      <c r="AO8" s="22"/>
      <c r="AP8" s="22"/>
      <c r="AQ8" s="23"/>
      <c r="AR8" s="23"/>
      <c r="AS8" s="23"/>
      <c r="AT8" s="23"/>
      <c r="AU8" s="24"/>
      <c r="AV8" s="24"/>
      <c r="AW8" s="24"/>
      <c r="AX8" s="24"/>
      <c r="AY8" s="24"/>
      <c r="AZ8" s="25"/>
      <c r="BA8" s="25"/>
      <c r="BB8" s="25"/>
      <c r="BC8" s="25"/>
      <c r="BE8" s="50" t="e">
        <f t="shared" si="2"/>
        <v>#VALUE!</v>
      </c>
      <c r="BF8" s="26" t="e">
        <f>(AP8/AO8) - (R8/Q8)</f>
        <v>#DIV/0!</v>
      </c>
      <c r="BG8" s="26" t="e">
        <f>(AL8/AQ8) - (N8/S8)</f>
        <v>#VALUE!</v>
      </c>
      <c r="BH8" s="26"/>
      <c r="BJ8" s="50"/>
      <c r="BK8" s="50"/>
      <c r="BL8" s="50"/>
      <c r="BM8" s="50"/>
      <c r="BN8" s="50"/>
      <c r="BP8" s="50"/>
      <c r="BQ8" s="50"/>
      <c r="BR8" s="50"/>
      <c r="BS8" s="50"/>
      <c r="BT8" s="50"/>
    </row>
    <row r="9" spans="1:72" ht="15.75" outlineLevel="1" thickBot="1" x14ac:dyDescent="0.3">
      <c r="A9" s="54"/>
      <c r="B9" s="27" t="s">
        <v>49</v>
      </c>
      <c r="C9" s="28" t="s">
        <v>234</v>
      </c>
      <c r="D9" s="27">
        <v>238146391</v>
      </c>
      <c r="E9" s="28">
        <v>10</v>
      </c>
      <c r="F9" s="28">
        <v>32</v>
      </c>
      <c r="G9" s="28">
        <v>30</v>
      </c>
      <c r="I9" s="29">
        <f>IF(OR(ISBLANK(S9),ISBLANK(G9)),"·",S9*G9/F9/1000000)</f>
        <v>6.2777925000000003</v>
      </c>
      <c r="J9" s="30">
        <f>IF(ISBLANK(S9),"·",S9/D9)</f>
        <v>2.8118469366180739E-2</v>
      </c>
      <c r="K9" s="30">
        <f t="shared" si="0"/>
        <v>1.5549360141258659E-2</v>
      </c>
      <c r="L9" s="30">
        <f>IF(T9="","·",T9/D9)</f>
        <v>1.2144698006361978E-2</v>
      </c>
      <c r="M9" s="30">
        <f>IF(ISBLANK(V9),"·",V9/D9)</f>
        <v>1.2569109224922078E-2</v>
      </c>
      <c r="N9" s="27">
        <f>IF(OR(ISBLANK(T9),ISBLANK(U9)),"",T9+U9)</f>
        <v>3703024</v>
      </c>
      <c r="O9" s="30">
        <v>-12</v>
      </c>
      <c r="P9" s="31">
        <v>24922106</v>
      </c>
      <c r="Q9" s="31">
        <v>778815.8125</v>
      </c>
      <c r="R9" s="31">
        <v>10667.3125</v>
      </c>
      <c r="S9" s="32">
        <v>6696312</v>
      </c>
      <c r="T9" s="32">
        <v>2892216</v>
      </c>
      <c r="U9" s="32">
        <v>810808</v>
      </c>
      <c r="V9" s="32">
        <v>2993288</v>
      </c>
      <c r="W9" s="33">
        <v>71.947374999999994</v>
      </c>
      <c r="X9" s="33">
        <v>75.248443750000007</v>
      </c>
      <c r="Y9" s="33">
        <v>41.117606250000001</v>
      </c>
      <c r="Z9" s="33">
        <v>49.591459374999999</v>
      </c>
      <c r="AA9" s="33">
        <v>49.688175000000001</v>
      </c>
      <c r="AB9" s="34">
        <v>6478.37</v>
      </c>
      <c r="AC9" s="34">
        <v>0</v>
      </c>
      <c r="AD9" s="34">
        <v>70.873000000000005</v>
      </c>
      <c r="AE9" s="34">
        <v>0</v>
      </c>
      <c r="AG9" s="29" t="str">
        <f>IF(OR(ISBLANK(AQ9),ISBLANK(G9)),"·",AQ9*G9/F9/1000000)</f>
        <v>·</v>
      </c>
      <c r="AH9" s="30" t="str">
        <f>IF(ISBLANK(AQ9),"·",AQ9/D9)</f>
        <v>·</v>
      </c>
      <c r="AI9" s="30" t="str">
        <f t="shared" si="1"/>
        <v>·</v>
      </c>
      <c r="AJ9" s="30" t="str">
        <f>IF(AR9="","·",AR9/D9)</f>
        <v>·</v>
      </c>
      <c r="AK9" s="30" t="str">
        <f>IF(ISBLANK(AT9),"·",AT9/D9)</f>
        <v>·</v>
      </c>
      <c r="AL9" s="27" t="str">
        <f>IF(OR(ISBLANK(AR9),ISBLANK(AS9)),"",AR9+AS9)</f>
        <v/>
      </c>
      <c r="AM9" s="30">
        <v>-12</v>
      </c>
      <c r="AN9" s="31"/>
      <c r="AO9" s="31"/>
      <c r="AP9" s="31"/>
      <c r="AQ9" s="32"/>
      <c r="AR9" s="32"/>
      <c r="AS9" s="32"/>
      <c r="AT9" s="32"/>
      <c r="AU9" s="33"/>
      <c r="AV9" s="33"/>
      <c r="AW9" s="33"/>
      <c r="AX9" s="33"/>
      <c r="AY9" s="33"/>
      <c r="AZ9" s="34"/>
      <c r="BA9" s="34"/>
      <c r="BB9" s="34"/>
      <c r="BC9" s="34"/>
      <c r="BE9" s="35" t="e">
        <f t="shared" si="2"/>
        <v>#VALUE!</v>
      </c>
      <c r="BF9" s="36" t="e">
        <f>(AP9/AO9) - (R9/Q9)</f>
        <v>#DIV/0!</v>
      </c>
      <c r="BG9" s="36" t="e">
        <f>(AL9/AQ9) - (N9/S9)</f>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IF(OR(ISBLANK(S10),ISBLANK(G10)),"·",S10*G10/F10/1000000)</f>
        <v>1.9551750000000001</v>
      </c>
      <c r="J10" s="21">
        <f>IF(ISBLANK(S10),"·",S10/D10)</f>
        <v>9.5612879372839812E-3</v>
      </c>
      <c r="K10" s="21">
        <f t="shared" si="0"/>
        <v>7.150078487082886E-3</v>
      </c>
      <c r="L10" s="21">
        <f>IF(T10="","·",T10/D10)</f>
        <v>4.1387990996310207E-3</v>
      </c>
      <c r="M10" s="21">
        <f>IF(ISBLANK(V10),"·",V10/D10)</f>
        <v>2.4112094502010952E-3</v>
      </c>
      <c r="N10" s="18">
        <f>IF(OR(ISBLANK(T10),ISBLANK(U10)),"",T10+U10)</f>
        <v>1559584</v>
      </c>
      <c r="O10" s="21">
        <v>-12</v>
      </c>
      <c r="P10" s="22">
        <v>21086040</v>
      </c>
      <c r="Q10" s="22">
        <v>658938.75</v>
      </c>
      <c r="R10" s="22">
        <v>19260.5625</v>
      </c>
      <c r="S10" s="23">
        <v>2085520</v>
      </c>
      <c r="T10" s="23">
        <v>902760</v>
      </c>
      <c r="U10" s="23">
        <v>656824</v>
      </c>
      <c r="V10" s="23">
        <v>525936</v>
      </c>
      <c r="W10" s="24">
        <v>65.991465625000004</v>
      </c>
      <c r="X10" s="24">
        <v>67.831256249999996</v>
      </c>
      <c r="Y10" s="24">
        <v>31.010596875000001</v>
      </c>
      <c r="Z10" s="24">
        <v>38.7729</v>
      </c>
      <c r="AA10" s="24">
        <v>30.084299999999999</v>
      </c>
      <c r="AB10" s="25">
        <v>5894.23</v>
      </c>
      <c r="AC10" s="25">
        <v>0</v>
      </c>
      <c r="AD10" s="25">
        <v>62.723999999999997</v>
      </c>
      <c r="AE10" s="25">
        <v>0</v>
      </c>
      <c r="AG10" s="20" t="str">
        <f>IF(OR(ISBLANK(AQ10),ISBLANK(G10)),"·",AQ10*G10/F10/1000000)</f>
        <v>·</v>
      </c>
      <c r="AH10" s="21" t="str">
        <f>IF(ISBLANK(AQ10),"·",AQ10/D10)</f>
        <v>·</v>
      </c>
      <c r="AI10" s="21" t="str">
        <f t="shared" si="1"/>
        <v>·</v>
      </c>
      <c r="AJ10" s="21" t="str">
        <f>IF(AR10="","·",AR10/D10)</f>
        <v>·</v>
      </c>
      <c r="AK10" s="21" t="str">
        <f>IF(ISBLANK(AT10),"·",AT10/D10)</f>
        <v>·</v>
      </c>
      <c r="AL10" s="18" t="str">
        <f>IF(OR(ISBLANK(AR10),ISBLANK(AS10)),"",AR10+AS10)</f>
        <v/>
      </c>
      <c r="AM10" s="21">
        <v>-12</v>
      </c>
      <c r="AN10" s="22"/>
      <c r="AO10" s="22"/>
      <c r="AP10" s="22"/>
      <c r="AQ10" s="23"/>
      <c r="AR10" s="23"/>
      <c r="AS10" s="23"/>
      <c r="AT10" s="23"/>
      <c r="AU10" s="24"/>
      <c r="AV10" s="24"/>
      <c r="AW10" s="24"/>
      <c r="AX10" s="24"/>
      <c r="AY10" s="24"/>
      <c r="AZ10" s="25"/>
      <c r="BA10" s="25"/>
      <c r="BB10" s="25"/>
      <c r="BC10" s="25"/>
      <c r="BE10" s="50" t="e">
        <f t="shared" si="2"/>
        <v>#VALUE!</v>
      </c>
      <c r="BF10" s="26" t="e">
        <f>(AP10/AO10) - (R10/Q10)</f>
        <v>#DIV/0!</v>
      </c>
      <c r="BG10" s="26" t="e">
        <f>(AL10/AQ10) - (N10/S10)</f>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IF(OR(ISBLANK(S11),ISBLANK(G11)),"·",S11*G11/F11/1000000)</f>
        <v>2.67408</v>
      </c>
      <c r="J11" s="12">
        <f>IF(ISBLANK(S11),"·",S11/D11)</f>
        <v>1.3076910684379836E-2</v>
      </c>
      <c r="K11" s="12">
        <f t="shared" si="0"/>
        <v>8.8025172715640414E-3</v>
      </c>
      <c r="L11" s="12">
        <f>IF(T11="","·",T11/D11)</f>
        <v>5.7912378841121761E-3</v>
      </c>
      <c r="M11" s="12">
        <f>IF(ISBLANK(V11),"·",V11/D11)</f>
        <v>4.274393412815795E-3</v>
      </c>
      <c r="N11" s="54">
        <f>IF(OR(ISBLANK(T11),ISBLANK(U11)),"",T11+U11)</f>
        <v>1920016</v>
      </c>
      <c r="O11" s="12">
        <v>-12</v>
      </c>
      <c r="P11" s="13">
        <v>22233773</v>
      </c>
      <c r="Q11" s="13">
        <v>694805.40625</v>
      </c>
      <c r="R11" s="13">
        <v>23243.59375</v>
      </c>
      <c r="S11" s="14">
        <v>2852352</v>
      </c>
      <c r="T11" s="14">
        <v>1263192</v>
      </c>
      <c r="U11" s="14">
        <v>656824</v>
      </c>
      <c r="V11" s="14">
        <v>932336</v>
      </c>
      <c r="W11" s="15">
        <v>67.661562500000002</v>
      </c>
      <c r="X11" s="15">
        <v>69.732106250000001</v>
      </c>
      <c r="Y11" s="15">
        <v>32.853384374999997</v>
      </c>
      <c r="Z11" s="15">
        <v>39.664115625000001</v>
      </c>
      <c r="AA11" s="15">
        <v>32.264106249999998</v>
      </c>
      <c r="AB11" s="16">
        <v>6260.66</v>
      </c>
      <c r="AC11" s="16">
        <v>0</v>
      </c>
      <c r="AD11" s="16">
        <v>69.974999999999994</v>
      </c>
      <c r="AE11" s="16">
        <v>0</v>
      </c>
      <c r="AG11" s="11" t="str">
        <f>IF(OR(ISBLANK(AQ11),ISBLANK(G11)),"·",AQ11*G11/F11/1000000)</f>
        <v>·</v>
      </c>
      <c r="AH11" s="12" t="str">
        <f>IF(ISBLANK(AQ11),"·",AQ11/D11)</f>
        <v>·</v>
      </c>
      <c r="AI11" s="12" t="str">
        <f t="shared" si="1"/>
        <v>·</v>
      </c>
      <c r="AJ11" s="12" t="str">
        <f>IF(AR11="","·",AR11/D11)</f>
        <v>·</v>
      </c>
      <c r="AK11" s="12" t="str">
        <f>IF(ISBLANK(AT11),"·",AT11/D11)</f>
        <v>·</v>
      </c>
      <c r="AL11" s="54" t="str">
        <f>IF(OR(ISBLANK(AR11),ISBLANK(AS11)),"",AR11+AS11)</f>
        <v/>
      </c>
      <c r="AM11" s="12">
        <v>-12</v>
      </c>
      <c r="AN11" s="13"/>
      <c r="AO11" s="13"/>
      <c r="AP11" s="13"/>
      <c r="AQ11" s="14"/>
      <c r="AR11" s="14"/>
      <c r="AS11" s="14"/>
      <c r="AT11" s="14"/>
      <c r="AU11" s="15"/>
      <c r="AV11" s="15"/>
      <c r="AW11" s="15"/>
      <c r="AX11" s="15"/>
      <c r="AY11" s="15"/>
      <c r="AZ11" s="16"/>
      <c r="BA11" s="16"/>
      <c r="BB11" s="16"/>
      <c r="BC11" s="16"/>
      <c r="BE11" s="51" t="e">
        <f t="shared" si="2"/>
        <v>#VALUE!</v>
      </c>
      <c r="BF11" s="17" t="e">
        <f>(AP11/AO11) - (R11/Q11)</f>
        <v>#DIV/0!</v>
      </c>
      <c r="BG11" s="17" t="e">
        <f>(AL11/AQ11) - (N11/S11)</f>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IF(OR(ISBLANK(S12),ISBLANK(G12)),"·",S12*G12/F12/1000000)</f>
        <v>3.8241375</v>
      </c>
      <c r="J12" s="21">
        <f>IF(ISBLANK(S12),"·",S12/D12)</f>
        <v>1.87009754877519E-2</v>
      </c>
      <c r="K12" s="21">
        <f t="shared" si="0"/>
        <v>1.129210514948379E-2</v>
      </c>
      <c r="L12" s="21">
        <f>IF(T12="","·",T12/D12)</f>
        <v>8.2808257620319257E-3</v>
      </c>
      <c r="M12" s="21">
        <f>IF(ISBLANK(V12),"·",V12/D12)</f>
        <v>7.4088703382681085E-3</v>
      </c>
      <c r="N12" s="18">
        <f>IF(OR(ISBLANK(T12),ISBLANK(U12)),"",T12+U12)</f>
        <v>2463048</v>
      </c>
      <c r="O12" s="21">
        <v>-12</v>
      </c>
      <c r="P12" s="22">
        <v>22534858</v>
      </c>
      <c r="Q12" s="22">
        <v>704214.3125</v>
      </c>
      <c r="R12" s="22">
        <v>24785.78125</v>
      </c>
      <c r="S12" s="23">
        <v>4079080</v>
      </c>
      <c r="T12" s="23">
        <v>1806224</v>
      </c>
      <c r="U12" s="23">
        <v>656824</v>
      </c>
      <c r="V12" s="23">
        <v>1616032</v>
      </c>
      <c r="W12" s="24">
        <v>68.992715625000002</v>
      </c>
      <c r="X12" s="24">
        <v>71.376675000000006</v>
      </c>
      <c r="Y12" s="24">
        <v>34.856943749999999</v>
      </c>
      <c r="Z12" s="24">
        <v>40.641746875000003</v>
      </c>
      <c r="AA12" s="24">
        <v>34.131718749999997</v>
      </c>
      <c r="AB12" s="25">
        <v>6453.33</v>
      </c>
      <c r="AC12" s="25">
        <v>0</v>
      </c>
      <c r="AD12" s="25">
        <v>63.805999999999997</v>
      </c>
      <c r="AE12" s="25">
        <v>0</v>
      </c>
      <c r="AG12" s="20" t="str">
        <f>IF(OR(ISBLANK(AQ12),ISBLANK(G12)),"·",AQ12*G12/F12/1000000)</f>
        <v>·</v>
      </c>
      <c r="AH12" s="21" t="str">
        <f>IF(ISBLANK(AQ12),"·",AQ12/D12)</f>
        <v>·</v>
      </c>
      <c r="AI12" s="21" t="str">
        <f t="shared" si="1"/>
        <v>·</v>
      </c>
      <c r="AJ12" s="21" t="str">
        <f>IF(AR12="","·",AR12/D12)</f>
        <v>·</v>
      </c>
      <c r="AK12" s="21" t="str">
        <f>IF(ISBLANK(AT12),"·",AT12/D12)</f>
        <v>·</v>
      </c>
      <c r="AL12" s="18" t="str">
        <f>IF(OR(ISBLANK(AR12),ISBLANK(AS12)),"",AR12+AS12)</f>
        <v/>
      </c>
      <c r="AM12" s="21">
        <v>-12</v>
      </c>
      <c r="AN12" s="22"/>
      <c r="AO12" s="22"/>
      <c r="AP12" s="22"/>
      <c r="AQ12" s="23"/>
      <c r="AR12" s="23"/>
      <c r="AS12" s="23"/>
      <c r="AT12" s="23"/>
      <c r="AU12" s="24"/>
      <c r="AV12" s="24"/>
      <c r="AW12" s="24"/>
      <c r="AX12" s="24"/>
      <c r="AY12" s="24"/>
      <c r="AZ12" s="25"/>
      <c r="BA12" s="25"/>
      <c r="BB12" s="25"/>
      <c r="BC12" s="25"/>
      <c r="BE12" s="50" t="e">
        <f t="shared" si="2"/>
        <v>#VALUE!</v>
      </c>
      <c r="BF12" s="26" t="e">
        <f>(AP12/AO12) - (R12/Q12)</f>
        <v>#DIV/0!</v>
      </c>
      <c r="BG12" s="26" t="e">
        <f>(AL12/AQ12) - (N12/S12)</f>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IF(OR(ISBLANK(S13),ISBLANK(G13)),"·",S13*G13/F13/1000000)</f>
        <v>6.2072849999999997</v>
      </c>
      <c r="J13" s="12">
        <f>IF(ISBLANK(S13),"·",S13/D13)</f>
        <v>3.0355154497057193E-2</v>
      </c>
      <c r="K13" s="12">
        <f t="shared" si="0"/>
        <v>1.5894829720435939E-2</v>
      </c>
      <c r="L13" s="12">
        <f>IF(T13="","·",T13/D13)</f>
        <v>1.2883550332984075E-2</v>
      </c>
      <c r="M13" s="12">
        <f>IF(ISBLANK(V13),"·",V13/D13)</f>
        <v>1.4460324776621252E-2</v>
      </c>
      <c r="N13" s="54">
        <f>IF(OR(ISBLANK(T13),ISBLANK(U13)),"",T13+U13)</f>
        <v>3467000</v>
      </c>
      <c r="O13" s="12">
        <v>-12</v>
      </c>
      <c r="P13" s="13">
        <v>23332463</v>
      </c>
      <c r="Q13" s="13">
        <v>729139.46875</v>
      </c>
      <c r="R13" s="13">
        <v>28127.375</v>
      </c>
      <c r="S13" s="14">
        <v>6621104</v>
      </c>
      <c r="T13" s="14">
        <v>2810176</v>
      </c>
      <c r="U13" s="14">
        <v>656824</v>
      </c>
      <c r="V13" s="14">
        <v>3154104</v>
      </c>
      <c r="W13" s="15">
        <v>70.063959374999996</v>
      </c>
      <c r="X13" s="15">
        <v>72.573878124999993</v>
      </c>
      <c r="Y13" s="15">
        <v>37.055909374999999</v>
      </c>
      <c r="Z13" s="15">
        <v>41.692556250000003</v>
      </c>
      <c r="AA13" s="15">
        <v>36.091762500000002</v>
      </c>
      <c r="AB13" s="16">
        <v>6845.45</v>
      </c>
      <c r="AC13" s="16">
        <v>0</v>
      </c>
      <c r="AD13" s="16">
        <v>63.078000000000003</v>
      </c>
      <c r="AE13" s="16">
        <v>0</v>
      </c>
      <c r="AG13" s="11" t="str">
        <f>IF(OR(ISBLANK(AQ13),ISBLANK(G13)),"·",AQ13*G13/F13/1000000)</f>
        <v>·</v>
      </c>
      <c r="AH13" s="12" t="str">
        <f>IF(ISBLANK(AQ13),"·",AQ13/D13)</f>
        <v>·</v>
      </c>
      <c r="AI13" s="12" t="str">
        <f t="shared" si="1"/>
        <v>·</v>
      </c>
      <c r="AJ13" s="12" t="str">
        <f>IF(AR13="","·",AR13/D13)</f>
        <v>·</v>
      </c>
      <c r="AK13" s="12" t="str">
        <f>IF(ISBLANK(AT13),"·",AT13/D13)</f>
        <v>·</v>
      </c>
      <c r="AL13" s="54" t="str">
        <f>IF(OR(ISBLANK(AR13),ISBLANK(AS13)),"",AR13+AS13)</f>
        <v/>
      </c>
      <c r="AM13" s="12">
        <v>-12</v>
      </c>
      <c r="AN13" s="13"/>
      <c r="AO13" s="13"/>
      <c r="AP13" s="13"/>
      <c r="AQ13" s="14"/>
      <c r="AR13" s="14"/>
      <c r="AS13" s="14"/>
      <c r="AT13" s="14"/>
      <c r="AU13" s="15"/>
      <c r="AV13" s="15"/>
      <c r="AW13" s="15"/>
      <c r="AX13" s="15"/>
      <c r="AY13" s="15"/>
      <c r="AZ13" s="16"/>
      <c r="BA13" s="16"/>
      <c r="BB13" s="16"/>
      <c r="BC13" s="16"/>
      <c r="BE13" s="51" t="e">
        <f t="shared" si="2"/>
        <v>#VALUE!</v>
      </c>
      <c r="BF13" s="17" t="e">
        <f>(AP13/AO13) - (R13/Q13)</f>
        <v>#DIV/0!</v>
      </c>
      <c r="BG13" s="17" t="e">
        <f>(AL13/AQ13) - (N13/S13)</f>
        <v>#VALUE!</v>
      </c>
      <c r="BH13" s="17"/>
      <c r="BJ13" s="51"/>
      <c r="BK13" s="51"/>
      <c r="BL13" s="51"/>
      <c r="BM13" s="51"/>
      <c r="BN13" s="51"/>
      <c r="BP13" s="51"/>
      <c r="BQ13" s="51"/>
      <c r="BR13" s="51"/>
      <c r="BS13" s="51"/>
      <c r="BT13" s="51"/>
    </row>
    <row r="14" spans="1:72" ht="15.75" outlineLevel="1" thickBot="1" x14ac:dyDescent="0.3">
      <c r="A14" s="18"/>
      <c r="B14" s="37" t="s">
        <v>57</v>
      </c>
      <c r="C14" s="38" t="s">
        <v>234</v>
      </c>
      <c r="D14" s="37">
        <v>218121242</v>
      </c>
      <c r="E14" s="38">
        <v>10</v>
      </c>
      <c r="F14" s="38">
        <v>32</v>
      </c>
      <c r="G14" s="38">
        <v>30</v>
      </c>
      <c r="I14" s="39">
        <f>IF(OR(ISBLANK(S14),ISBLANK(G14)),"·",S14*G14/F14/1000000)</f>
        <v>12.2579925</v>
      </c>
      <c r="J14" s="40">
        <f>IF(ISBLANK(S14),"·",S14/D14)</f>
        <v>5.9944606403809123E-2</v>
      </c>
      <c r="K14" s="40">
        <f t="shared" si="0"/>
        <v>2.6840118579555861E-2</v>
      </c>
      <c r="L14" s="40">
        <f>IF(T14="","·",T14/D14)</f>
        <v>2.0876499502052167E-2</v>
      </c>
      <c r="M14" s="40">
        <f>IF(ISBLANK(V14),"·",V14/D14)</f>
        <v>3.3104487824253265E-2</v>
      </c>
      <c r="N14" s="37">
        <f>IF(OR(ISBLANK(T14),ISBLANK(U14)),"",T14+U14)</f>
        <v>5854400</v>
      </c>
      <c r="O14" s="40">
        <v>-12</v>
      </c>
      <c r="P14" s="41">
        <v>22139734</v>
      </c>
      <c r="Q14" s="41">
        <v>691866.6875</v>
      </c>
      <c r="R14" s="41">
        <v>13223.5625</v>
      </c>
      <c r="S14" s="42">
        <v>13075192</v>
      </c>
      <c r="T14" s="42">
        <v>4553608</v>
      </c>
      <c r="U14" s="42">
        <v>1300792</v>
      </c>
      <c r="V14" s="42">
        <v>7220792</v>
      </c>
      <c r="W14" s="43">
        <v>70.912853124999998</v>
      </c>
      <c r="X14" s="43">
        <v>74.668462500000004</v>
      </c>
      <c r="Y14" s="43">
        <v>39.450387499999998</v>
      </c>
      <c r="Z14" s="43">
        <v>42.979246875000001</v>
      </c>
      <c r="AA14" s="43">
        <v>38.255459375000001</v>
      </c>
      <c r="AB14" s="44">
        <v>7436.36</v>
      </c>
      <c r="AC14" s="44">
        <v>0</v>
      </c>
      <c r="AD14" s="44">
        <v>56.901000000000003</v>
      </c>
      <c r="AE14" s="44">
        <v>0</v>
      </c>
      <c r="AG14" s="39" t="str">
        <f>IF(OR(ISBLANK(AQ14),ISBLANK(G14)),"·",AQ14*G14/F14/1000000)</f>
        <v>·</v>
      </c>
      <c r="AH14" s="40" t="str">
        <f>IF(ISBLANK(AQ14),"·",AQ14/D14)</f>
        <v>·</v>
      </c>
      <c r="AI14" s="40" t="str">
        <f t="shared" si="1"/>
        <v>·</v>
      </c>
      <c r="AJ14" s="40" t="str">
        <f>IF(AR14="","·",AR14/D14)</f>
        <v>·</v>
      </c>
      <c r="AK14" s="40" t="str">
        <f>IF(ISBLANK(AT14),"·",AT14/D14)</f>
        <v>·</v>
      </c>
      <c r="AL14" s="37" t="str">
        <f>IF(OR(ISBLANK(AR14),ISBLANK(AS14)),"",AR14+AS14)</f>
        <v/>
      </c>
      <c r="AM14" s="40">
        <v>-12</v>
      </c>
      <c r="AN14" s="41"/>
      <c r="AO14" s="41"/>
      <c r="AP14" s="41"/>
      <c r="AQ14" s="42"/>
      <c r="AR14" s="42"/>
      <c r="AS14" s="42"/>
      <c r="AT14" s="42"/>
      <c r="AU14" s="43"/>
      <c r="AV14" s="43"/>
      <c r="AW14" s="43"/>
      <c r="AX14" s="43"/>
      <c r="AY14" s="43"/>
      <c r="AZ14" s="44"/>
      <c r="BA14" s="44"/>
      <c r="BB14" s="44"/>
      <c r="BC14" s="44"/>
      <c r="BE14" s="45" t="e">
        <f t="shared" si="2"/>
        <v>#VALUE!</v>
      </c>
      <c r="BF14" s="46" t="e">
        <f>(AP14/AO14) - (R14/Q14)</f>
        <v>#DIV/0!</v>
      </c>
      <c r="BG14" s="46" t="e">
        <f>(AL14/AQ14) - (N14/S14)</f>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IF(OR(ISBLANK(S15),ISBLANK(G15)),"·",S15*G15/F15/1000000)</f>
        <v>1.597065</v>
      </c>
      <c r="J15" s="12">
        <f>IF(ISBLANK(S15),"·",S15/D15)</f>
        <v>5.2808133020885257E-3</v>
      </c>
      <c r="K15" s="12">
        <f t="shared" si="0"/>
        <v>4.4654122005084208E-3</v>
      </c>
      <c r="L15" s="12">
        <f>IF(T15="","·",T15/D15)</f>
        <v>2.3801875586209036E-3</v>
      </c>
      <c r="M15" s="12">
        <f>IF(ISBLANK(V15),"·",V15/D15)</f>
        <v>8.15401101580105E-4</v>
      </c>
      <c r="N15" s="54">
        <f>IF(OR(ISBLANK(T15),ISBLANK(U15)),"",T15+U15)</f>
        <v>1440496</v>
      </c>
      <c r="O15" s="12">
        <v>-12</v>
      </c>
      <c r="P15" s="13">
        <v>32443800</v>
      </c>
      <c r="Q15" s="13">
        <v>1013868.75</v>
      </c>
      <c r="R15" s="13">
        <v>31882.9375</v>
      </c>
      <c r="S15" s="14">
        <v>1703536</v>
      </c>
      <c r="T15" s="14">
        <v>767824</v>
      </c>
      <c r="U15" s="14">
        <v>672672</v>
      </c>
      <c r="V15" s="14">
        <v>263040</v>
      </c>
      <c r="W15" s="15">
        <v>66.312650000000005</v>
      </c>
      <c r="X15" s="15">
        <v>67.859537500000002</v>
      </c>
      <c r="Y15" s="15">
        <v>29.260481250000002</v>
      </c>
      <c r="Z15" s="15">
        <v>43.418965624999998</v>
      </c>
      <c r="AA15" s="15">
        <v>43.737568750000001</v>
      </c>
      <c r="AB15" s="16">
        <v>5328.45</v>
      </c>
      <c r="AC15" s="16">
        <v>0</v>
      </c>
      <c r="AD15" s="16">
        <v>83.879000000000005</v>
      </c>
      <c r="AE15" s="16">
        <v>0</v>
      </c>
      <c r="AG15" s="11" t="str">
        <f>IF(OR(ISBLANK(AQ15),ISBLANK(G15)),"·",AQ15*G15/F15/1000000)</f>
        <v>·</v>
      </c>
      <c r="AH15" s="12" t="str">
        <f>IF(ISBLANK(AQ15),"·",AQ15/D15)</f>
        <v>·</v>
      </c>
      <c r="AI15" s="12" t="str">
        <f t="shared" si="1"/>
        <v>·</v>
      </c>
      <c r="AJ15" s="12" t="str">
        <f>IF(AR15="","·",AR15/D15)</f>
        <v>·</v>
      </c>
      <c r="AK15" s="12" t="str">
        <f>IF(ISBLANK(AT15),"·",AT15/D15)</f>
        <v>·</v>
      </c>
      <c r="AL15" s="54" t="str">
        <f>IF(OR(ISBLANK(AR15),ISBLANK(AS15)),"",AR15+AS15)</f>
        <v/>
      </c>
      <c r="AM15" s="12">
        <v>-12</v>
      </c>
      <c r="AN15" s="13"/>
      <c r="AO15" s="13"/>
      <c r="AP15" s="13"/>
      <c r="AQ15" s="14"/>
      <c r="AR15" s="14"/>
      <c r="AS15" s="14"/>
      <c r="AT15" s="14"/>
      <c r="AU15" s="15"/>
      <c r="AV15" s="15"/>
      <c r="AW15" s="15"/>
      <c r="AX15" s="15"/>
      <c r="AY15" s="15"/>
      <c r="AZ15" s="16"/>
      <c r="BA15" s="16"/>
      <c r="BB15" s="16"/>
      <c r="BC15" s="16"/>
      <c r="BE15" s="51" t="e">
        <f t="shared" si="2"/>
        <v>#VALUE!</v>
      </c>
      <c r="BF15" s="17" t="e">
        <f>(AP15/AO15) - (R15/Q15)</f>
        <v>#DIV/0!</v>
      </c>
      <c r="BG15" s="17" t="e">
        <f>(AL15/AQ15) - (N15/S15)</f>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IF(OR(ISBLANK(S16),ISBLANK(G16)),"·",S16*G16/F16/1000000)</f>
        <v>2.0987024999999999</v>
      </c>
      <c r="J16" s="21">
        <f>IF(ISBLANK(S16),"·",S16/D16)</f>
        <v>6.9395147217717777E-3</v>
      </c>
      <c r="K16" s="21">
        <f t="shared" si="0"/>
        <v>5.4000731529856884E-3</v>
      </c>
      <c r="L16" s="21">
        <f>IF(T16="","·",T16/D16)</f>
        <v>3.314848511098172E-3</v>
      </c>
      <c r="M16" s="21">
        <f>IF(ISBLANK(V16),"·",V16/D16)</f>
        <v>1.5394415687860887E-3</v>
      </c>
      <c r="N16" s="18">
        <f>IF(OR(ISBLANK(T16),ISBLANK(U16)),"",T16+U16)</f>
        <v>1742008</v>
      </c>
      <c r="O16" s="21">
        <v>-12</v>
      </c>
      <c r="P16" s="22">
        <v>33818275</v>
      </c>
      <c r="Q16" s="22">
        <v>1056821.09375</v>
      </c>
      <c r="R16" s="22">
        <v>36592</v>
      </c>
      <c r="S16" s="23">
        <v>2238616</v>
      </c>
      <c r="T16" s="23">
        <v>1069336</v>
      </c>
      <c r="U16" s="23">
        <v>672672</v>
      </c>
      <c r="V16" s="23">
        <v>496608</v>
      </c>
      <c r="W16" s="24">
        <v>68.049843749999994</v>
      </c>
      <c r="X16" s="24">
        <v>70.027878125000001</v>
      </c>
      <c r="Y16" s="24">
        <v>31.604271874999998</v>
      </c>
      <c r="Z16" s="24">
        <v>43.8971625</v>
      </c>
      <c r="AA16" s="24">
        <v>44.407940625000002</v>
      </c>
      <c r="AB16" s="25">
        <v>5579.14</v>
      </c>
      <c r="AC16" s="25">
        <v>0</v>
      </c>
      <c r="AD16" s="25">
        <v>87.043999999999997</v>
      </c>
      <c r="AE16" s="25">
        <v>0</v>
      </c>
      <c r="AG16" s="20" t="str">
        <f>IF(OR(ISBLANK(AQ16),ISBLANK(G16)),"·",AQ16*G16/F16/1000000)</f>
        <v>·</v>
      </c>
      <c r="AH16" s="21" t="str">
        <f>IF(ISBLANK(AQ16),"·",AQ16/D16)</f>
        <v>·</v>
      </c>
      <c r="AI16" s="21" t="str">
        <f t="shared" si="1"/>
        <v>·</v>
      </c>
      <c r="AJ16" s="21" t="str">
        <f>IF(AR16="","·",AR16/D16)</f>
        <v>·</v>
      </c>
      <c r="AK16" s="21" t="str">
        <f>IF(ISBLANK(AT16),"·",AT16/D16)</f>
        <v>·</v>
      </c>
      <c r="AL16" s="18" t="str">
        <f>IF(OR(ISBLANK(AR16),ISBLANK(AS16)),"",AR16+AS16)</f>
        <v/>
      </c>
      <c r="AM16" s="21">
        <v>-12</v>
      </c>
      <c r="AN16" s="22"/>
      <c r="AO16" s="22"/>
      <c r="AP16" s="22"/>
      <c r="AQ16" s="23"/>
      <c r="AR16" s="23"/>
      <c r="AS16" s="23"/>
      <c r="AT16" s="23"/>
      <c r="AU16" s="24"/>
      <c r="AV16" s="24"/>
      <c r="AW16" s="24"/>
      <c r="AX16" s="24"/>
      <c r="AY16" s="24"/>
      <c r="AZ16" s="25"/>
      <c r="BA16" s="25"/>
      <c r="BB16" s="25"/>
      <c r="BC16" s="25"/>
      <c r="BE16" s="50" t="e">
        <f t="shared" si="2"/>
        <v>#VALUE!</v>
      </c>
      <c r="BF16" s="26" t="e">
        <f>(AP16/AO16) - (R16/Q16)</f>
        <v>#DIV/0!</v>
      </c>
      <c r="BG16" s="26" t="e">
        <f>(AL16/AQ16) - (N16/S16)</f>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IF(OR(ISBLANK(S17),ISBLANK(G17)),"·",S17*G17/F17/1000000)</f>
        <v>2.9366175000000001</v>
      </c>
      <c r="J17" s="12">
        <f>IF(ISBLANK(S17),"·",S17/D17)</f>
        <v>9.7101425158938118E-3</v>
      </c>
      <c r="K17" s="12">
        <f t="shared" si="0"/>
        <v>6.5385347822508313E-3</v>
      </c>
      <c r="L17" s="12">
        <f>IF(T17="","·",T17/D17)</f>
        <v>4.4533101403633141E-3</v>
      </c>
      <c r="M17" s="12">
        <f>IF(ISBLANK(V17),"·",V17/D17)</f>
        <v>3.1716077336429809E-3</v>
      </c>
      <c r="N17" s="54">
        <f>IF(OR(ISBLANK(T17),ISBLANK(U17)),"",T17+U17)</f>
        <v>2109264</v>
      </c>
      <c r="O17" s="12">
        <v>-12</v>
      </c>
      <c r="P17" s="13">
        <v>33775740</v>
      </c>
      <c r="Q17" s="13">
        <v>1055491.875</v>
      </c>
      <c r="R17" s="13">
        <v>37233.5</v>
      </c>
      <c r="S17" s="14">
        <v>3132392</v>
      </c>
      <c r="T17" s="14">
        <v>1436592</v>
      </c>
      <c r="U17" s="14">
        <v>672672</v>
      </c>
      <c r="V17" s="14">
        <v>1023128</v>
      </c>
      <c r="W17" s="15">
        <v>69.344262499999999</v>
      </c>
      <c r="X17" s="15">
        <v>71.826781249999996</v>
      </c>
      <c r="Y17" s="15">
        <v>33.948215625000003</v>
      </c>
      <c r="Z17" s="15">
        <v>45.19749375</v>
      </c>
      <c r="AA17" s="15">
        <v>45.675075</v>
      </c>
      <c r="AB17" s="16">
        <v>5870.6</v>
      </c>
      <c r="AC17" s="16">
        <v>0</v>
      </c>
      <c r="AD17" s="16">
        <v>86.114999999999995</v>
      </c>
      <c r="AE17" s="16">
        <v>0</v>
      </c>
      <c r="AG17" s="11" t="str">
        <f>IF(OR(ISBLANK(AQ17),ISBLANK(G17)),"·",AQ17*G17/F17/1000000)</f>
        <v>·</v>
      </c>
      <c r="AH17" s="12" t="str">
        <f>IF(ISBLANK(AQ17),"·",AQ17/D17)</f>
        <v>·</v>
      </c>
      <c r="AI17" s="12" t="str">
        <f t="shared" si="1"/>
        <v>·</v>
      </c>
      <c r="AJ17" s="12" t="str">
        <f>IF(AR17="","·",AR17/D17)</f>
        <v>·</v>
      </c>
      <c r="AK17" s="12" t="str">
        <f>IF(ISBLANK(AT17),"·",AT17/D17)</f>
        <v>·</v>
      </c>
      <c r="AL17" s="54" t="str">
        <f>IF(OR(ISBLANK(AR17),ISBLANK(AS17)),"",AR17+AS17)</f>
        <v/>
      </c>
      <c r="AM17" s="12">
        <v>-12</v>
      </c>
      <c r="AN17" s="13"/>
      <c r="AO17" s="13"/>
      <c r="AP17" s="13"/>
      <c r="AQ17" s="14"/>
      <c r="AR17" s="14"/>
      <c r="AS17" s="14"/>
      <c r="AT17" s="14"/>
      <c r="AU17" s="15"/>
      <c r="AV17" s="15"/>
      <c r="AW17" s="15"/>
      <c r="AX17" s="15"/>
      <c r="AY17" s="15"/>
      <c r="AZ17" s="16"/>
      <c r="BA17" s="16"/>
      <c r="BB17" s="16"/>
      <c r="BC17" s="16"/>
      <c r="BE17" s="51" t="e">
        <f t="shared" si="2"/>
        <v>#VALUE!</v>
      </c>
      <c r="BF17" s="17" t="e">
        <f>(AP17/AO17) - (R17/Q17)</f>
        <v>#DIV/0!</v>
      </c>
      <c r="BG17" s="17" t="e">
        <f>(AL17/AQ17) - (N17/S17)</f>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IF(OR(ISBLANK(S18),ISBLANK(G18)),"·",S18*G18/F18/1000000)</f>
        <v>5.2256625000000003</v>
      </c>
      <c r="J18" s="21">
        <f>IF(ISBLANK(S18),"·",S18/D18)</f>
        <v>1.727903876312184E-2</v>
      </c>
      <c r="K18" s="21">
        <f t="shared" si="0"/>
        <v>9.8231529422898138E-3</v>
      </c>
      <c r="L18" s="21">
        <f>IF(T18="","·",T18/D18)</f>
        <v>7.7379283004022966E-3</v>
      </c>
      <c r="M18" s="21">
        <f>IF(ISBLANK(V18),"·",V18/D18)</f>
        <v>7.4558858208320254E-3</v>
      </c>
      <c r="N18" s="18">
        <f>IF(OR(ISBLANK(T18),ISBLANK(U18)),"",T18+U18)</f>
        <v>3168848</v>
      </c>
      <c r="O18" s="21">
        <v>-12</v>
      </c>
      <c r="P18" s="22">
        <v>34888350</v>
      </c>
      <c r="Q18" s="22">
        <v>1090260.9375</v>
      </c>
      <c r="R18" s="22">
        <v>41386.28125</v>
      </c>
      <c r="S18" s="23">
        <v>5574040</v>
      </c>
      <c r="T18" s="23">
        <v>2496176</v>
      </c>
      <c r="U18" s="23">
        <v>672672</v>
      </c>
      <c r="V18" s="23">
        <v>2405192</v>
      </c>
      <c r="W18" s="24">
        <v>70.533768749999993</v>
      </c>
      <c r="X18" s="24">
        <v>73.137540625</v>
      </c>
      <c r="Y18" s="24">
        <v>36.312578125000002</v>
      </c>
      <c r="Z18" s="24">
        <v>46.424765624999999</v>
      </c>
      <c r="AA18" s="24">
        <v>46.981949999999998</v>
      </c>
      <c r="AB18" s="25">
        <v>6357.87</v>
      </c>
      <c r="AC18" s="25">
        <v>0</v>
      </c>
      <c r="AD18" s="25">
        <v>90.224000000000004</v>
      </c>
      <c r="AE18" s="25">
        <v>0</v>
      </c>
      <c r="AG18" s="20" t="str">
        <f>IF(OR(ISBLANK(AQ18),ISBLANK(G18)),"·",AQ18*G18/F18/1000000)</f>
        <v>·</v>
      </c>
      <c r="AH18" s="21" t="str">
        <f>IF(ISBLANK(AQ18),"·",AQ18/D18)</f>
        <v>·</v>
      </c>
      <c r="AI18" s="21" t="str">
        <f t="shared" si="1"/>
        <v>·</v>
      </c>
      <c r="AJ18" s="21" t="str">
        <f>IF(AR18="","·",AR18/D18)</f>
        <v>·</v>
      </c>
      <c r="AK18" s="21" t="str">
        <f>IF(ISBLANK(AT18),"·",AT18/D18)</f>
        <v>·</v>
      </c>
      <c r="AL18" s="18" t="str">
        <f>IF(OR(ISBLANK(AR18),ISBLANK(AS18)),"",AR18+AS18)</f>
        <v/>
      </c>
      <c r="AM18" s="21">
        <v>-12</v>
      </c>
      <c r="AN18" s="22"/>
      <c r="AO18" s="22"/>
      <c r="AP18" s="22"/>
      <c r="AQ18" s="23"/>
      <c r="AR18" s="23"/>
      <c r="AS18" s="23"/>
      <c r="AT18" s="23"/>
      <c r="AU18" s="24"/>
      <c r="AV18" s="24"/>
      <c r="AW18" s="24"/>
      <c r="AX18" s="24"/>
      <c r="AY18" s="24"/>
      <c r="AZ18" s="25"/>
      <c r="BA18" s="25"/>
      <c r="BB18" s="25"/>
      <c r="BC18" s="25"/>
      <c r="BE18" s="50" t="e">
        <f t="shared" si="2"/>
        <v>#VALUE!</v>
      </c>
      <c r="BF18" s="26" t="e">
        <f>(AP18/AO18) - (R18/Q18)</f>
        <v>#DIV/0!</v>
      </c>
      <c r="BG18" s="26" t="e">
        <f>(AL18/AQ18) - (N18/S18)</f>
        <v>#VALUE!</v>
      </c>
      <c r="BH18" s="26"/>
      <c r="BJ18" s="50"/>
      <c r="BK18" s="50"/>
      <c r="BL18" s="50"/>
      <c r="BM18" s="50"/>
      <c r="BN18" s="50"/>
      <c r="BP18" s="50"/>
      <c r="BQ18" s="50"/>
      <c r="BR18" s="50"/>
      <c r="BS18" s="50"/>
      <c r="BT18" s="50"/>
    </row>
    <row r="19" spans="1:72" ht="15.75" outlineLevel="1" thickBot="1" x14ac:dyDescent="0.3">
      <c r="A19" s="54"/>
      <c r="B19" s="27" t="s">
        <v>62</v>
      </c>
      <c r="C19" s="28" t="s">
        <v>234</v>
      </c>
      <c r="D19" s="27">
        <v>322589704</v>
      </c>
      <c r="E19" s="28">
        <v>10</v>
      </c>
      <c r="F19" s="28">
        <v>32</v>
      </c>
      <c r="G19" s="28">
        <v>30</v>
      </c>
      <c r="I19" s="29">
        <f>IF(OR(ISBLANK(S19),ISBLANK(G19)),"·",S19*G19/F19/1000000)</f>
        <v>11.2945425</v>
      </c>
      <c r="J19" s="30">
        <f>IF(ISBLANK(S19),"·",S19/D19)</f>
        <v>3.734623842799397E-2</v>
      </c>
      <c r="K19" s="30">
        <f t="shared" si="0"/>
        <v>1.7294339933428254E-2</v>
      </c>
      <c r="L19" s="30">
        <f>IF(T19="","·",T19/D19)</f>
        <v>1.2755422597120458E-2</v>
      </c>
      <c r="M19" s="30">
        <f>IF(ISBLANK(V19),"·",V19/D19)</f>
        <v>2.0051898494565717E-2</v>
      </c>
      <c r="N19" s="27">
        <f>IF(OR(ISBLANK(T19),ISBLANK(U19)),"",T19+U19)</f>
        <v>5578976</v>
      </c>
      <c r="O19" s="30">
        <v>-12</v>
      </c>
      <c r="P19" s="31">
        <v>32970337</v>
      </c>
      <c r="Q19" s="31">
        <v>1030323.03125</v>
      </c>
      <c r="R19" s="31">
        <v>17661.03125</v>
      </c>
      <c r="S19" s="32">
        <v>12047512</v>
      </c>
      <c r="T19" s="32">
        <v>4114768</v>
      </c>
      <c r="U19" s="32">
        <v>1464208</v>
      </c>
      <c r="V19" s="32">
        <v>6468536</v>
      </c>
      <c r="W19" s="33">
        <v>71.173196875000002</v>
      </c>
      <c r="X19" s="33">
        <v>75.079365624999994</v>
      </c>
      <c r="Y19" s="33">
        <v>38.666471874999999</v>
      </c>
      <c r="Z19" s="33">
        <v>48.187928124999999</v>
      </c>
      <c r="AA19" s="33">
        <v>48.830125000000002</v>
      </c>
      <c r="AB19" s="34">
        <v>7002.36</v>
      </c>
      <c r="AC19" s="34">
        <v>0</v>
      </c>
      <c r="AD19" s="34">
        <v>77.408000000000001</v>
      </c>
      <c r="AE19" s="34">
        <v>0</v>
      </c>
      <c r="AG19" s="29" t="str">
        <f>IF(OR(ISBLANK(AQ19),ISBLANK(G19)),"·",AQ19*G19/F19/1000000)</f>
        <v>·</v>
      </c>
      <c r="AH19" s="30" t="str">
        <f>IF(ISBLANK(AQ19),"·",AQ19/D19)</f>
        <v>·</v>
      </c>
      <c r="AI19" s="30" t="str">
        <f t="shared" si="1"/>
        <v>·</v>
      </c>
      <c r="AJ19" s="30" t="str">
        <f>IF(AR19="","·",AR19/D19)</f>
        <v>·</v>
      </c>
      <c r="AK19" s="30" t="str">
        <f>IF(ISBLANK(AT19),"·",AT19/D19)</f>
        <v>·</v>
      </c>
      <c r="AL19" s="27" t="str">
        <f>IF(OR(ISBLANK(AR19),ISBLANK(AS19)),"",AR19+AS19)</f>
        <v/>
      </c>
      <c r="AM19" s="30">
        <v>-12</v>
      </c>
      <c r="AN19" s="31"/>
      <c r="AO19" s="31"/>
      <c r="AP19" s="31"/>
      <c r="AQ19" s="32"/>
      <c r="AR19" s="32"/>
      <c r="AS19" s="32"/>
      <c r="AT19" s="32"/>
      <c r="AU19" s="33"/>
      <c r="AV19" s="33"/>
      <c r="AW19" s="33"/>
      <c r="AX19" s="33"/>
      <c r="AY19" s="33"/>
      <c r="AZ19" s="34"/>
      <c r="BA19" s="34"/>
      <c r="BB19" s="34"/>
      <c r="BC19" s="34"/>
      <c r="BE19" s="35" t="e">
        <f t="shared" si="2"/>
        <v>#VALUE!</v>
      </c>
      <c r="BF19" s="36" t="e">
        <f>(AP19/AO19) - (R19/Q19)</f>
        <v>#DIV/0!</v>
      </c>
      <c r="BG19" s="36" t="e">
        <f>(AL19/AQ19) - (N19/S19)</f>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IF(OR(ISBLANK(S20),ISBLANK(G20)),"·",S20*G20/F20/1000000)</f>
        <v>1.9707874999999999</v>
      </c>
      <c r="J20" s="21">
        <f>IF(ISBLANK(S20),"·",S20/D20)</f>
        <v>5.0330784092989574E-3</v>
      </c>
      <c r="K20" s="21">
        <f t="shared" si="0"/>
        <v>3.9144959425069046E-3</v>
      </c>
      <c r="L20" s="21">
        <f>IF(T20="","·",T20/D20)</f>
        <v>2.3105878694751371E-3</v>
      </c>
      <c r="M20" s="21">
        <f>IF(ISBLANK(V20),"·",V20/D20)</f>
        <v>1.1185824667920531E-3</v>
      </c>
      <c r="N20" s="18">
        <f>IF(OR(ISBLANK(T20),ISBLANK(U20)),"",T20+U20)</f>
        <v>980984</v>
      </c>
      <c r="O20" s="21">
        <v>-12</v>
      </c>
      <c r="P20" s="22">
        <v>30507512</v>
      </c>
      <c r="Q20" s="22">
        <v>953359.75</v>
      </c>
      <c r="R20" s="22">
        <v>28910</v>
      </c>
      <c r="S20" s="23">
        <v>1261304</v>
      </c>
      <c r="T20" s="23">
        <v>579040</v>
      </c>
      <c r="U20" s="23">
        <v>401944</v>
      </c>
      <c r="V20" s="23">
        <v>280320</v>
      </c>
      <c r="W20" s="24">
        <v>67.312293749999995</v>
      </c>
      <c r="X20" s="24">
        <v>69.044571875000003</v>
      </c>
      <c r="Y20" s="24">
        <v>30.0128375</v>
      </c>
      <c r="Z20" s="24">
        <v>39.583578125000003</v>
      </c>
      <c r="AA20" s="24">
        <v>38.128253125000001</v>
      </c>
      <c r="AB20" s="25">
        <v>5392.49</v>
      </c>
      <c r="AC20" s="25">
        <v>0</v>
      </c>
      <c r="AD20" s="25">
        <v>75.168999999999997</v>
      </c>
      <c r="AE20" s="25">
        <v>0</v>
      </c>
      <c r="AG20" s="20" t="str">
        <f>IF(OR(ISBLANK(AQ20),ISBLANK(G20)),"·",AQ20*G20/F20/1000000)</f>
        <v>·</v>
      </c>
      <c r="AH20" s="21" t="str">
        <f>IF(ISBLANK(AQ20),"·",AQ20/D20)</f>
        <v>·</v>
      </c>
      <c r="AI20" s="21" t="str">
        <f t="shared" si="1"/>
        <v>·</v>
      </c>
      <c r="AJ20" s="21" t="str">
        <f>IF(AR20="","·",AR20/D20)</f>
        <v>·</v>
      </c>
      <c r="AK20" s="21" t="str">
        <f>IF(ISBLANK(AT20),"·",AT20/D20)</f>
        <v>·</v>
      </c>
      <c r="AL20" s="18" t="str">
        <f>IF(OR(ISBLANK(AR20),ISBLANK(AS20)),"",AR20+AS20)</f>
        <v/>
      </c>
      <c r="AM20" s="21">
        <v>-12</v>
      </c>
      <c r="AN20" s="22"/>
      <c r="AO20" s="22"/>
      <c r="AP20" s="22"/>
      <c r="AQ20" s="23"/>
      <c r="AR20" s="23"/>
      <c r="AS20" s="23"/>
      <c r="AT20" s="23"/>
      <c r="AU20" s="24"/>
      <c r="AV20" s="24"/>
      <c r="AW20" s="24"/>
      <c r="AX20" s="24"/>
      <c r="AY20" s="24"/>
      <c r="AZ20" s="25"/>
      <c r="BA20" s="25"/>
      <c r="BB20" s="25"/>
      <c r="BC20" s="25"/>
      <c r="BE20" s="50" t="e">
        <f t="shared" si="2"/>
        <v>#VALUE!</v>
      </c>
      <c r="BF20" s="26" t="e">
        <f>(AP20/AO20) - (R20/Q20)</f>
        <v>#DIV/0!</v>
      </c>
      <c r="BG20" s="26" t="e">
        <f>(AL20/AQ20) - (N20/S20)</f>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IF(OR(ISBLANK(S21),ISBLANK(G21)),"·",S21*G21/F21/1000000)</f>
        <v>2.6503749999999999</v>
      </c>
      <c r="J21" s="12">
        <f>IF(ISBLANK(S21),"·",S21/D21)</f>
        <v>6.7686369986849036E-3</v>
      </c>
      <c r="K21" s="12">
        <f t="shared" si="0"/>
        <v>4.6648464242976355E-3</v>
      </c>
      <c r="L21" s="12">
        <f>IF(T21="","·",T21/D21)</f>
        <v>3.060938351265868E-3</v>
      </c>
      <c r="M21" s="12">
        <f>IF(ISBLANK(V21),"·",V21/D21)</f>
        <v>2.1037905743872681E-3</v>
      </c>
      <c r="N21" s="54">
        <f>IF(OR(ISBLANK(T21),ISBLANK(U21)),"",T21+U21)</f>
        <v>1169024</v>
      </c>
      <c r="O21" s="12">
        <v>-12</v>
      </c>
      <c r="P21" s="13">
        <v>31613867</v>
      </c>
      <c r="Q21" s="13">
        <v>987933.34375</v>
      </c>
      <c r="R21" s="13">
        <v>33272.375</v>
      </c>
      <c r="S21" s="14">
        <v>1696240</v>
      </c>
      <c r="T21" s="14">
        <v>767080</v>
      </c>
      <c r="U21" s="14">
        <v>401944</v>
      </c>
      <c r="V21" s="14">
        <v>527216</v>
      </c>
      <c r="W21" s="15">
        <v>68.871990624999995</v>
      </c>
      <c r="X21" s="15">
        <v>70.994709374999999</v>
      </c>
      <c r="Y21" s="15">
        <v>31.528665624999999</v>
      </c>
      <c r="Z21" s="15">
        <v>40.524396875000001</v>
      </c>
      <c r="AA21" s="15">
        <v>39.261146875000001</v>
      </c>
      <c r="AB21" s="16">
        <v>5709.68</v>
      </c>
      <c r="AC21" s="16">
        <v>0</v>
      </c>
      <c r="AD21" s="16">
        <v>78.144999999999996</v>
      </c>
      <c r="AE21" s="16">
        <v>0</v>
      </c>
      <c r="AG21" s="11" t="str">
        <f>IF(OR(ISBLANK(AQ21),ISBLANK(G21)),"·",AQ21*G21/F21/1000000)</f>
        <v>·</v>
      </c>
      <c r="AH21" s="12" t="str">
        <f>IF(ISBLANK(AQ21),"·",AQ21/D21)</f>
        <v>·</v>
      </c>
      <c r="AI21" s="12" t="str">
        <f t="shared" si="1"/>
        <v>·</v>
      </c>
      <c r="AJ21" s="12" t="str">
        <f>IF(AR21="","·",AR21/D21)</f>
        <v>·</v>
      </c>
      <c r="AK21" s="12" t="str">
        <f>IF(ISBLANK(AT21),"·",AT21/D21)</f>
        <v>·</v>
      </c>
      <c r="AL21" s="54" t="str">
        <f>IF(OR(ISBLANK(AR21),ISBLANK(AS21)),"",AR21+AS21)</f>
        <v/>
      </c>
      <c r="AM21" s="12">
        <v>-12</v>
      </c>
      <c r="AN21" s="13"/>
      <c r="AO21" s="13"/>
      <c r="AP21" s="13"/>
      <c r="AQ21" s="14"/>
      <c r="AR21" s="14"/>
      <c r="AS21" s="14"/>
      <c r="AT21" s="14"/>
      <c r="AU21" s="15"/>
      <c r="AV21" s="15"/>
      <c r="AW21" s="15"/>
      <c r="AX21" s="15"/>
      <c r="AY21" s="15"/>
      <c r="AZ21" s="16"/>
      <c r="BA21" s="16"/>
      <c r="BB21" s="16"/>
      <c r="BC21" s="16"/>
      <c r="BE21" s="51" t="e">
        <f t="shared" si="2"/>
        <v>#VALUE!</v>
      </c>
      <c r="BF21" s="17" t="e">
        <f>(AP21/AO21) - (R21/Q21)</f>
        <v>#DIV/0!</v>
      </c>
      <c r="BG21" s="17" t="e">
        <f>(AL21/AQ21) - (N21/S21)</f>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IF(OR(ISBLANK(S22),ISBLANK(G22)),"·",S22*G22/F22/1000000)</f>
        <v>4.0401999999999996</v>
      </c>
      <c r="J22" s="21">
        <f>IF(ISBLANK(S22),"·",S22/D22)</f>
        <v>1.0318029411719755E-2</v>
      </c>
      <c r="K22" s="21">
        <f t="shared" si="0"/>
        <v>5.521117471865079E-3</v>
      </c>
      <c r="L22" s="21">
        <f>IF(T22="","·",T22/D22)</f>
        <v>3.9172093988333124E-3</v>
      </c>
      <c r="M22" s="21">
        <f>IF(ISBLANK(V22),"·",V22/D22)</f>
        <v>4.7969119398546759E-3</v>
      </c>
      <c r="N22" s="18">
        <f>IF(OR(ISBLANK(T22),ISBLANK(U22)),"",T22+U22)</f>
        <v>1383608</v>
      </c>
      <c r="O22" s="21">
        <v>-12</v>
      </c>
      <c r="P22" s="22">
        <v>32647714</v>
      </c>
      <c r="Q22" s="22">
        <v>1020241.0625</v>
      </c>
      <c r="R22" s="22">
        <v>35487.59375</v>
      </c>
      <c r="S22" s="23">
        <v>2585728</v>
      </c>
      <c r="T22" s="23">
        <v>981664</v>
      </c>
      <c r="U22" s="23">
        <v>401944</v>
      </c>
      <c r="V22" s="23">
        <v>1202120</v>
      </c>
      <c r="W22" s="24">
        <v>70.076762500000001</v>
      </c>
      <c r="X22" s="24">
        <v>72.524424999999994</v>
      </c>
      <c r="Y22" s="24">
        <v>33.364156250000001</v>
      </c>
      <c r="Z22" s="24">
        <v>41.679375</v>
      </c>
      <c r="AA22" s="24">
        <v>40.449253124999998</v>
      </c>
      <c r="AB22" s="25">
        <v>5893.13</v>
      </c>
      <c r="AC22" s="25">
        <v>0</v>
      </c>
      <c r="AD22" s="25">
        <v>79.164000000000001</v>
      </c>
      <c r="AE22" s="25">
        <v>0</v>
      </c>
      <c r="AG22" s="20" t="str">
        <f>IF(OR(ISBLANK(AQ22),ISBLANK(G22)),"·",AQ22*G22/F22/1000000)</f>
        <v>·</v>
      </c>
      <c r="AH22" s="21" t="str">
        <f>IF(ISBLANK(AQ22),"·",AQ22/D22)</f>
        <v>·</v>
      </c>
      <c r="AI22" s="21" t="str">
        <f t="shared" si="1"/>
        <v>·</v>
      </c>
      <c r="AJ22" s="21" t="str">
        <f>IF(AR22="","·",AR22/D22)</f>
        <v>·</v>
      </c>
      <c r="AK22" s="21" t="str">
        <f>IF(ISBLANK(AT22),"·",AT22/D22)</f>
        <v>·</v>
      </c>
      <c r="AL22" s="18" t="str">
        <f>IF(OR(ISBLANK(AR22),ISBLANK(AS22)),"",AR22+AS22)</f>
        <v/>
      </c>
      <c r="AM22" s="21">
        <v>-12</v>
      </c>
      <c r="AN22" s="22"/>
      <c r="AO22" s="22"/>
      <c r="AP22" s="22"/>
      <c r="AQ22" s="23"/>
      <c r="AR22" s="23"/>
      <c r="AS22" s="23"/>
      <c r="AT22" s="23"/>
      <c r="AU22" s="24"/>
      <c r="AV22" s="24"/>
      <c r="AW22" s="24"/>
      <c r="AX22" s="24"/>
      <c r="AY22" s="24"/>
      <c r="AZ22" s="25"/>
      <c r="BA22" s="25"/>
      <c r="BB22" s="25"/>
      <c r="BC22" s="25"/>
      <c r="BE22" s="50" t="e">
        <f t="shared" si="2"/>
        <v>#VALUE!</v>
      </c>
      <c r="BF22" s="26" t="e">
        <f>(AP22/AO22) - (R22/Q22)</f>
        <v>#DIV/0!</v>
      </c>
      <c r="BG22" s="26" t="e">
        <f>(AL22/AQ22) - (N22/S22)</f>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IF(OR(ISBLANK(S23),ISBLANK(G23)),"·",S23*G23/F23/1000000)</f>
        <v>7.5956374999999996</v>
      </c>
      <c r="J23" s="12">
        <f>IF(ISBLANK(S23),"·",S23/D23)</f>
        <v>1.9398052355269917E-2</v>
      </c>
      <c r="K23" s="12">
        <f t="shared" si="0"/>
        <v>8.2381172530048754E-3</v>
      </c>
      <c r="L23" s="12">
        <f>IF(T23="","·",T23/D23)</f>
        <v>6.634209179973107E-3</v>
      </c>
      <c r="M23" s="12">
        <f>IF(ISBLANK(V23),"·",V23/D23)</f>
        <v>1.1159935102265041E-2</v>
      </c>
      <c r="N23" s="54">
        <f>IF(OR(ISBLANK(T23),ISBLANK(U23)),"",T23+U23)</f>
        <v>2064496</v>
      </c>
      <c r="O23" s="12">
        <v>-12</v>
      </c>
      <c r="P23" s="13">
        <v>32775716</v>
      </c>
      <c r="Q23" s="13">
        <v>1024241.125</v>
      </c>
      <c r="R23" s="13">
        <v>37413.65625</v>
      </c>
      <c r="S23" s="14">
        <v>4861208</v>
      </c>
      <c r="T23" s="14">
        <v>1662552</v>
      </c>
      <c r="U23" s="14">
        <v>401944</v>
      </c>
      <c r="V23" s="14">
        <v>2796712</v>
      </c>
      <c r="W23" s="15">
        <v>71.064987500000001</v>
      </c>
      <c r="X23" s="15">
        <v>73.830865625000001</v>
      </c>
      <c r="Y23" s="15">
        <v>35.153534375</v>
      </c>
      <c r="Z23" s="15">
        <v>42.728268749999998</v>
      </c>
      <c r="AA23" s="15">
        <v>41.42759375</v>
      </c>
      <c r="AB23" s="16">
        <v>6213.04</v>
      </c>
      <c r="AC23" s="16">
        <v>0</v>
      </c>
      <c r="AD23" s="16">
        <v>79.311000000000007</v>
      </c>
      <c r="AE23" s="16">
        <v>0</v>
      </c>
      <c r="AG23" s="11" t="str">
        <f>IF(OR(ISBLANK(AQ23),ISBLANK(G23)),"·",AQ23*G23/F23/1000000)</f>
        <v>·</v>
      </c>
      <c r="AH23" s="12" t="str">
        <f>IF(ISBLANK(AQ23),"·",AQ23/D23)</f>
        <v>·</v>
      </c>
      <c r="AI23" s="12" t="str">
        <f t="shared" si="1"/>
        <v>·</v>
      </c>
      <c r="AJ23" s="12" t="str">
        <f>IF(AR23="","·",AR23/D23)</f>
        <v>·</v>
      </c>
      <c r="AK23" s="12" t="str">
        <f>IF(ISBLANK(AT23),"·",AT23/D23)</f>
        <v>·</v>
      </c>
      <c r="AL23" s="54" t="str">
        <f>IF(OR(ISBLANK(AR23),ISBLANK(AS23)),"",AR23+AS23)</f>
        <v/>
      </c>
      <c r="AM23" s="12">
        <v>-12</v>
      </c>
      <c r="AN23" s="13"/>
      <c r="AO23" s="13"/>
      <c r="AP23" s="13"/>
      <c r="AQ23" s="14"/>
      <c r="AR23" s="14"/>
      <c r="AS23" s="14"/>
      <c r="AT23" s="14"/>
      <c r="AU23" s="15"/>
      <c r="AV23" s="15"/>
      <c r="AW23" s="15"/>
      <c r="AX23" s="15"/>
      <c r="AY23" s="15"/>
      <c r="AZ23" s="16"/>
      <c r="BA23" s="16"/>
      <c r="BB23" s="16"/>
      <c r="BC23" s="16"/>
      <c r="BE23" s="51" t="e">
        <f t="shared" si="2"/>
        <v>#VALUE!</v>
      </c>
      <c r="BF23" s="17" t="e">
        <f>(AP23/AO23) - (R23/Q23)</f>
        <v>#DIV/0!</v>
      </c>
      <c r="BG23" s="17" t="e">
        <f>(AL23/AQ23) - (N23/S23)</f>
        <v>#VALUE!</v>
      </c>
      <c r="BH23" s="17"/>
      <c r="BJ23" s="51"/>
      <c r="BK23" s="51"/>
      <c r="BL23" s="51"/>
      <c r="BM23" s="51"/>
      <c r="BN23" s="51"/>
      <c r="BP23" s="51"/>
      <c r="BQ23" s="51"/>
      <c r="BR23" s="51"/>
      <c r="BS23" s="51"/>
      <c r="BT23" s="51"/>
    </row>
    <row r="24" spans="1:72" ht="15.75" outlineLevel="1" thickBot="1" x14ac:dyDescent="0.3">
      <c r="A24" s="37"/>
      <c r="B24" s="37" t="s">
        <v>68</v>
      </c>
      <c r="C24" s="38" t="s">
        <v>234</v>
      </c>
      <c r="D24" s="37">
        <v>250602891</v>
      </c>
      <c r="E24" s="38">
        <v>10</v>
      </c>
      <c r="F24" s="38">
        <v>32</v>
      </c>
      <c r="G24" s="38">
        <v>50</v>
      </c>
      <c r="I24" s="39">
        <f>IF(OR(ISBLANK(S24),ISBLANK(G24)),"·",S24*G24/F24/1000000)</f>
        <v>15.603775000000001</v>
      </c>
      <c r="J24" s="40">
        <f>IF(ISBLANK(S24),"·",S24/D24)</f>
        <v>3.9849564225498103E-2</v>
      </c>
      <c r="K24" s="40">
        <f t="shared" si="0"/>
        <v>1.4318015190016303E-2</v>
      </c>
      <c r="L24" s="40">
        <f>IF(T24="","·",T24/D24)</f>
        <v>1.0746308589073699E-2</v>
      </c>
      <c r="M24" s="40">
        <f>IF(ISBLANK(V24),"·",V24/D24)</f>
        <v>2.5531549035481799E-2</v>
      </c>
      <c r="N24" s="37">
        <f>IF(OR(ISBLANK(T24),ISBLANK(U24)),"",T24+U24)</f>
        <v>3588136</v>
      </c>
      <c r="O24" s="40">
        <v>-12</v>
      </c>
      <c r="P24" s="41">
        <v>31322261</v>
      </c>
      <c r="Q24" s="41">
        <v>978820.65625</v>
      </c>
      <c r="R24" s="41">
        <v>18052.34375</v>
      </c>
      <c r="S24" s="42">
        <v>9986416</v>
      </c>
      <c r="T24" s="42">
        <v>2693056</v>
      </c>
      <c r="U24" s="42">
        <v>895080</v>
      </c>
      <c r="V24" s="42">
        <v>6398280</v>
      </c>
      <c r="W24" s="43">
        <v>71.786190625000003</v>
      </c>
      <c r="X24" s="43">
        <v>75.799671875000001</v>
      </c>
      <c r="Y24" s="43">
        <v>36.267759374999997</v>
      </c>
      <c r="Z24" s="43">
        <v>43.44825625</v>
      </c>
      <c r="AA24" s="43">
        <v>41.930496875000003</v>
      </c>
      <c r="AB24" s="44">
        <v>6703.27</v>
      </c>
      <c r="AC24" s="44">
        <v>0</v>
      </c>
      <c r="AD24" s="44">
        <v>82.281000000000006</v>
      </c>
      <c r="AE24" s="44">
        <v>0</v>
      </c>
      <c r="AG24" s="39" t="str">
        <f>IF(OR(ISBLANK(AQ24),ISBLANK(G24)),"·",AQ24*G24/F24/1000000)</f>
        <v>·</v>
      </c>
      <c r="AH24" s="40" t="str">
        <f>IF(ISBLANK(AQ24),"·",AQ24/D24)</f>
        <v>·</v>
      </c>
      <c r="AI24" s="40" t="str">
        <f t="shared" si="1"/>
        <v>·</v>
      </c>
      <c r="AJ24" s="40" t="str">
        <f>IF(AR24="","·",AR24/D24)</f>
        <v>·</v>
      </c>
      <c r="AK24" s="40" t="str">
        <f>IF(ISBLANK(AT24),"·",AT24/D24)</f>
        <v>·</v>
      </c>
      <c r="AL24" s="37" t="str">
        <f>IF(OR(ISBLANK(AR24),ISBLANK(AS24)),"",AR24+AS24)</f>
        <v/>
      </c>
      <c r="AM24" s="40">
        <v>-12</v>
      </c>
      <c r="AN24" s="41"/>
      <c r="AO24" s="41"/>
      <c r="AP24" s="41"/>
      <c r="AQ24" s="42"/>
      <c r="AR24" s="42"/>
      <c r="AS24" s="42"/>
      <c r="AT24" s="42"/>
      <c r="AU24" s="43"/>
      <c r="AV24" s="43"/>
      <c r="AW24" s="43"/>
      <c r="AX24" s="43"/>
      <c r="AY24" s="43"/>
      <c r="AZ24" s="44"/>
      <c r="BA24" s="44"/>
      <c r="BB24" s="44"/>
      <c r="BC24" s="44"/>
      <c r="BE24" s="45" t="e">
        <f t="shared" si="2"/>
        <v>#VALUE!</v>
      </c>
      <c r="BF24" s="46" t="e">
        <f>(AP24/AO24) - (R24/Q24)</f>
        <v>#DIV/0!</v>
      </c>
      <c r="BG24" s="46" t="e">
        <f>(AL24/AQ24) - (N24/S24)</f>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IF(OR(ISBLANK(S25),ISBLANK(G25)),"·",S25*G25/F25/1000000)</f>
        <v>2.0457299999999998</v>
      </c>
      <c r="J25" s="12">
        <f>IF(ISBLANK(S25),"·",S25/D25)</f>
        <v>8.7181751301352584E-3</v>
      </c>
      <c r="K25" s="12">
        <f t="shared" si="0"/>
        <v>5.6458273635343814E-3</v>
      </c>
      <c r="L25" s="12">
        <f>IF(T25="","·",T25/D25)</f>
        <v>3.5001956214937165E-3</v>
      </c>
      <c r="M25" s="12">
        <f>IF(ISBLANK(V25),"·",V25/D25)</f>
        <v>3.0723477666008765E-3</v>
      </c>
      <c r="N25" s="54">
        <f>IF(OR(ISBLANK(T25),ISBLANK(U25)),"",T25+U25)</f>
        <v>1413120</v>
      </c>
      <c r="O25" s="12">
        <v>-12</v>
      </c>
      <c r="P25" s="13">
        <v>23447160</v>
      </c>
      <c r="Q25" s="13">
        <v>732723.75</v>
      </c>
      <c r="R25" s="13">
        <v>14606.90625</v>
      </c>
      <c r="S25" s="14">
        <v>2182112</v>
      </c>
      <c r="T25" s="14">
        <v>876080</v>
      </c>
      <c r="U25" s="14">
        <v>537040</v>
      </c>
      <c r="V25" s="14">
        <v>768992</v>
      </c>
      <c r="W25" s="15">
        <v>66.269165624999999</v>
      </c>
      <c r="X25" s="15">
        <v>68.024500000000003</v>
      </c>
      <c r="Y25" s="15">
        <v>25.926403125</v>
      </c>
      <c r="Z25" s="15">
        <v>32.491740624999998</v>
      </c>
      <c r="AA25" s="15">
        <v>31.686728124999998</v>
      </c>
      <c r="AB25" s="16">
        <v>6036.8</v>
      </c>
      <c r="AC25" s="16">
        <v>0</v>
      </c>
      <c r="AD25" s="16">
        <v>65.844999999999999</v>
      </c>
      <c r="AE25" s="16">
        <v>0</v>
      </c>
      <c r="AG25" s="11" t="str">
        <f>IF(OR(ISBLANK(AQ25),ISBLANK(G25)),"·",AQ25*G25/F25/1000000)</f>
        <v>·</v>
      </c>
      <c r="AH25" s="12" t="str">
        <f>IF(ISBLANK(AQ25),"·",AQ25/D25)</f>
        <v>·</v>
      </c>
      <c r="AI25" s="12" t="str">
        <f t="shared" si="1"/>
        <v>·</v>
      </c>
      <c r="AJ25" s="12" t="str">
        <f>IF(AR25="","·",AR25/D25)</f>
        <v>·</v>
      </c>
      <c r="AK25" s="12" t="str">
        <f>IF(ISBLANK(AT25),"·",AT25/D25)</f>
        <v>·</v>
      </c>
      <c r="AL25" s="54" t="str">
        <f>IF(OR(ISBLANK(AR25),ISBLANK(AS25)),"",AR25+AS25)</f>
        <v/>
      </c>
      <c r="AM25" s="12">
        <v>-12</v>
      </c>
      <c r="AN25" s="13"/>
      <c r="AO25" s="13"/>
      <c r="AP25" s="13"/>
      <c r="AQ25" s="14"/>
      <c r="AR25" s="14"/>
      <c r="AS25" s="14"/>
      <c r="AT25" s="14"/>
      <c r="AU25" s="15"/>
      <c r="AV25" s="15"/>
      <c r="AW25" s="15"/>
      <c r="AX25" s="15"/>
      <c r="AY25" s="15"/>
      <c r="AZ25" s="16"/>
      <c r="BA25" s="16"/>
      <c r="BB25" s="16"/>
      <c r="BC25" s="16"/>
      <c r="BE25" s="51" t="e">
        <f t="shared" si="2"/>
        <v>#VALUE!</v>
      </c>
      <c r="BF25" s="17" t="e">
        <f>(AP25/AO25) - (R25/Q25)</f>
        <v>#DIV/0!</v>
      </c>
      <c r="BG25" s="17" t="e">
        <f>(AL25/AQ25) - (N25/S25)</f>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IF(OR(ISBLANK(S26),ISBLANK(G26)),"·",S26*G26/F26/1000000)</f>
        <v>3.1667399999999999</v>
      </c>
      <c r="J26" s="21">
        <f>IF(ISBLANK(S26),"·",S26/D26)</f>
        <v>1.3495521848731028E-2</v>
      </c>
      <c r="K26" s="21">
        <f t="shared" si="0"/>
        <v>7.1354001582023853E-3</v>
      </c>
      <c r="L26" s="21">
        <f>IF(T26="","·",T26/D26)</f>
        <v>4.9897684161617209E-3</v>
      </c>
      <c r="M26" s="21">
        <f>IF(ISBLANK(V26),"·",V26/D26)</f>
        <v>6.3601216905286428E-3</v>
      </c>
      <c r="N26" s="18">
        <f>IF(OR(ISBLANK(T26),ISBLANK(U26)),"",T26+U26)</f>
        <v>1785952</v>
      </c>
      <c r="O26" s="21">
        <v>-12</v>
      </c>
      <c r="P26" s="22">
        <v>24683254</v>
      </c>
      <c r="Q26" s="22">
        <v>771351.6875</v>
      </c>
      <c r="R26" s="22">
        <v>17747.71875</v>
      </c>
      <c r="S26" s="23">
        <v>3377856</v>
      </c>
      <c r="T26" s="23">
        <v>1248912</v>
      </c>
      <c r="U26" s="23">
        <v>537040</v>
      </c>
      <c r="V26" s="23">
        <v>1591904</v>
      </c>
      <c r="W26" s="24">
        <v>67.999528124999998</v>
      </c>
      <c r="X26" s="24">
        <v>69.998353124999994</v>
      </c>
      <c r="Y26" s="24">
        <v>27.927900000000001</v>
      </c>
      <c r="Z26" s="24">
        <v>33.690649999999998</v>
      </c>
      <c r="AA26" s="24">
        <v>33.036268749999998</v>
      </c>
      <c r="AB26" s="25">
        <v>6391.01</v>
      </c>
      <c r="AC26" s="25">
        <v>0</v>
      </c>
      <c r="AD26" s="25">
        <v>69.861000000000004</v>
      </c>
      <c r="AE26" s="25">
        <v>0</v>
      </c>
      <c r="AG26" s="20" t="str">
        <f>IF(OR(ISBLANK(AQ26),ISBLANK(G26)),"·",AQ26*G26/F26/1000000)</f>
        <v>·</v>
      </c>
      <c r="AH26" s="21" t="str">
        <f>IF(ISBLANK(AQ26),"·",AQ26/D26)</f>
        <v>·</v>
      </c>
      <c r="AI26" s="21" t="str">
        <f t="shared" si="1"/>
        <v>·</v>
      </c>
      <c r="AJ26" s="21" t="str">
        <f>IF(AR26="","·",AR26/D26)</f>
        <v>·</v>
      </c>
      <c r="AK26" s="21" t="str">
        <f>IF(ISBLANK(AT26),"·",AT26/D26)</f>
        <v>·</v>
      </c>
      <c r="AL26" s="18" t="str">
        <f>IF(OR(ISBLANK(AR26),ISBLANK(AS26)),"",AR26+AS26)</f>
        <v/>
      </c>
      <c r="AM26" s="21">
        <v>-12</v>
      </c>
      <c r="AN26" s="22"/>
      <c r="AO26" s="22"/>
      <c r="AP26" s="22"/>
      <c r="AQ26" s="23"/>
      <c r="AR26" s="23"/>
      <c r="AS26" s="23"/>
      <c r="AT26" s="23"/>
      <c r="AU26" s="24"/>
      <c r="AV26" s="24"/>
      <c r="AW26" s="24"/>
      <c r="AX26" s="24"/>
      <c r="AY26" s="24"/>
      <c r="AZ26" s="25"/>
      <c r="BA26" s="25"/>
      <c r="BB26" s="25"/>
      <c r="BC26" s="25"/>
      <c r="BE26" s="50" t="e">
        <f t="shared" si="2"/>
        <v>#VALUE!</v>
      </c>
      <c r="BF26" s="26" t="e">
        <f>(AP26/AO26) - (R26/Q26)</f>
        <v>#DIV/0!</v>
      </c>
      <c r="BG26" s="26" t="e">
        <f>(AL26/AQ26) - (N26/S26)</f>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IF(OR(ISBLANK(S27),ISBLANK(G27)),"·",S27*G27/F27/1000000)</f>
        <v>5.3483850000000004</v>
      </c>
      <c r="J27" s="12">
        <f>IF(ISBLANK(S27),"·",S27/D27)</f>
        <v>2.2792918465969831E-2</v>
      </c>
      <c r="K27" s="12">
        <f t="shared" si="0"/>
        <v>9.2952871029385684E-3</v>
      </c>
      <c r="L27" s="12">
        <f>IF(T27="","·",T27/D27)</f>
        <v>7.149655360897904E-3</v>
      </c>
      <c r="M27" s="12">
        <f>IF(ISBLANK(V27),"·",V27/D27)</f>
        <v>1.3497631363031263E-2</v>
      </c>
      <c r="N27" s="54">
        <f>IF(OR(ISBLANK(T27),ISBLANK(U27)),"",T27+U27)</f>
        <v>2326560</v>
      </c>
      <c r="O27" s="12">
        <v>-12</v>
      </c>
      <c r="P27" s="13">
        <v>24877828</v>
      </c>
      <c r="Q27" s="13">
        <v>777432.125</v>
      </c>
      <c r="R27" s="13">
        <v>18548.4375</v>
      </c>
      <c r="S27" s="14">
        <v>5704944</v>
      </c>
      <c r="T27" s="14">
        <v>1789520</v>
      </c>
      <c r="U27" s="14">
        <v>537040</v>
      </c>
      <c r="V27" s="14">
        <v>3378384</v>
      </c>
      <c r="W27" s="15">
        <v>69.298346874999993</v>
      </c>
      <c r="X27" s="15">
        <v>71.685940625000001</v>
      </c>
      <c r="Y27" s="15">
        <v>30.217128124999999</v>
      </c>
      <c r="Z27" s="15">
        <v>34.933071875000003</v>
      </c>
      <c r="AA27" s="15">
        <v>34.362974999999999</v>
      </c>
      <c r="AB27" s="16">
        <v>6814.53</v>
      </c>
      <c r="AC27" s="16">
        <v>0</v>
      </c>
      <c r="AD27" s="16">
        <v>74.004999999999995</v>
      </c>
      <c r="AE27" s="16">
        <v>0</v>
      </c>
      <c r="AG27" s="11" t="str">
        <f>IF(OR(ISBLANK(AQ27),ISBLANK(G27)),"·",AQ27*G27/F27/1000000)</f>
        <v>·</v>
      </c>
      <c r="AH27" s="12" t="str">
        <f>IF(ISBLANK(AQ27),"·",AQ27/D27)</f>
        <v>·</v>
      </c>
      <c r="AI27" s="12" t="str">
        <f t="shared" si="1"/>
        <v>·</v>
      </c>
      <c r="AJ27" s="12" t="str">
        <f>IF(AR27="","·",AR27/D27)</f>
        <v>·</v>
      </c>
      <c r="AK27" s="12" t="str">
        <f>IF(ISBLANK(AT27),"·",AT27/D27)</f>
        <v>·</v>
      </c>
      <c r="AL27" s="54" t="str">
        <f>IF(OR(ISBLANK(AR27),ISBLANK(AS27)),"",AR27+AS27)</f>
        <v/>
      </c>
      <c r="AM27" s="12">
        <v>-12</v>
      </c>
      <c r="AN27" s="13"/>
      <c r="AO27" s="13"/>
      <c r="AP27" s="13"/>
      <c r="AQ27" s="14"/>
      <c r="AR27" s="14"/>
      <c r="AS27" s="14"/>
      <c r="AT27" s="14"/>
      <c r="AU27" s="15"/>
      <c r="AV27" s="15"/>
      <c r="AW27" s="15"/>
      <c r="AX27" s="15"/>
      <c r="AY27" s="15"/>
      <c r="AZ27" s="16"/>
      <c r="BA27" s="16"/>
      <c r="BB27" s="16"/>
      <c r="BC27" s="16"/>
      <c r="BE27" s="51" t="e">
        <f t="shared" si="2"/>
        <v>#VALUE!</v>
      </c>
      <c r="BF27" s="17" t="e">
        <f>(AP27/AO27) - (R27/Q27)</f>
        <v>#DIV/0!</v>
      </c>
      <c r="BG27" s="17" t="e">
        <f>(AL27/AQ27) - (N27/S27)</f>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IF(OR(ISBLANK(S28),ISBLANK(G28)),"·",S28*G28/F28/1000000)</f>
        <v>10.33356</v>
      </c>
      <c r="J28" s="21">
        <f>IF(ISBLANK(S28),"·",S28/D28)</f>
        <v>4.4037964832974293E-2</v>
      </c>
      <c r="K28" s="21">
        <f t="shared" si="0"/>
        <v>1.3195906893422088E-2</v>
      </c>
      <c r="L28" s="21">
        <f>IF(T28="","·",T28/D28)</f>
        <v>1.1050275151381423E-2</v>
      </c>
      <c r="M28" s="21">
        <f>IF(ISBLANK(V28),"·",V28/D28)</f>
        <v>3.0842057939552203E-2</v>
      </c>
      <c r="N28" s="18">
        <f>IF(OR(ISBLANK(T28),ISBLANK(U28)),"",T28+U28)</f>
        <v>3302864</v>
      </c>
      <c r="O28" s="21">
        <v>-12</v>
      </c>
      <c r="P28" s="22">
        <v>25543425</v>
      </c>
      <c r="Q28" s="22">
        <v>798232.03125</v>
      </c>
      <c r="R28" s="22">
        <v>21050.96875</v>
      </c>
      <c r="S28" s="23">
        <v>11022464</v>
      </c>
      <c r="T28" s="23">
        <v>2765824</v>
      </c>
      <c r="U28" s="23">
        <v>537040</v>
      </c>
      <c r="V28" s="23">
        <v>7719600</v>
      </c>
      <c r="W28" s="24">
        <v>70.467181249999996</v>
      </c>
      <c r="X28" s="24">
        <v>72.998196875000005</v>
      </c>
      <c r="Y28" s="24">
        <v>32.703921874999999</v>
      </c>
      <c r="Z28" s="24">
        <v>36.429737500000002</v>
      </c>
      <c r="AA28" s="24">
        <v>35.873125000000002</v>
      </c>
      <c r="AB28" s="25">
        <v>7330.72</v>
      </c>
      <c r="AC28" s="25">
        <v>0</v>
      </c>
      <c r="AD28" s="25">
        <v>73.105000000000004</v>
      </c>
      <c r="AE28" s="25">
        <v>0</v>
      </c>
      <c r="AG28" s="20" t="str">
        <f>IF(OR(ISBLANK(AQ28),ISBLANK(G28)),"·",AQ28*G28/F28/1000000)</f>
        <v>·</v>
      </c>
      <c r="AH28" s="21" t="str">
        <f>IF(ISBLANK(AQ28),"·",AQ28/D28)</f>
        <v>·</v>
      </c>
      <c r="AI28" s="21" t="str">
        <f t="shared" si="1"/>
        <v>·</v>
      </c>
      <c r="AJ28" s="21" t="str">
        <f>IF(AR28="","·",AR28/D28)</f>
        <v>·</v>
      </c>
      <c r="AK28" s="21" t="str">
        <f>IF(ISBLANK(AT28),"·",AT28/D28)</f>
        <v>·</v>
      </c>
      <c r="AL28" s="18" t="str">
        <f>IF(OR(ISBLANK(AR28),ISBLANK(AS28)),"",AR28+AS28)</f>
        <v/>
      </c>
      <c r="AM28" s="21">
        <v>-12</v>
      </c>
      <c r="AN28" s="22"/>
      <c r="AO28" s="22"/>
      <c r="AP28" s="22"/>
      <c r="AQ28" s="23"/>
      <c r="AR28" s="23"/>
      <c r="AS28" s="23"/>
      <c r="AT28" s="23"/>
      <c r="AU28" s="24"/>
      <c r="AV28" s="24"/>
      <c r="AW28" s="24"/>
      <c r="AX28" s="24"/>
      <c r="AY28" s="24"/>
      <c r="AZ28" s="25"/>
      <c r="BA28" s="25"/>
      <c r="BB28" s="25"/>
      <c r="BC28" s="25"/>
      <c r="BE28" s="50" t="e">
        <f t="shared" si="2"/>
        <v>#VALUE!</v>
      </c>
      <c r="BF28" s="26" t="e">
        <f>(AP28/AO28) - (R28/Q28)</f>
        <v>#DIV/0!</v>
      </c>
      <c r="BG28" s="26" t="e">
        <f>(AL28/AQ28) - (N28/S28)</f>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32</v>
      </c>
      <c r="G29" s="28">
        <v>30</v>
      </c>
      <c r="I29" s="29">
        <f>IF(OR(ISBLANK(S29),ISBLANK(G29)),"·",S29*G29/F29/1000000)</f>
        <v>23.872927499999999</v>
      </c>
      <c r="J29" s="30">
        <f>IF(ISBLANK(S29),"·",S29/D29)</f>
        <v>0.10173794333270865</v>
      </c>
      <c r="K29" s="30">
        <f t="shared" si="0"/>
        <v>2.1608841696781116E-2</v>
      </c>
      <c r="L29" s="30">
        <f>IF(T29="","·",T29/D29)</f>
        <v>1.7256913695399129E-2</v>
      </c>
      <c r="M29" s="30">
        <f>IF(ISBLANK(V29),"·",V29/D29)</f>
        <v>8.0129101635927541E-2</v>
      </c>
      <c r="N29" s="27">
        <f>IF(OR(ISBLANK(T29),ISBLANK(U29)),"",T29+U29)</f>
        <v>5408576</v>
      </c>
      <c r="O29" s="30">
        <v>-12</v>
      </c>
      <c r="P29" s="31">
        <v>24566853</v>
      </c>
      <c r="Q29" s="31">
        <v>767714.15625</v>
      </c>
      <c r="R29" s="31">
        <v>9764.71875</v>
      </c>
      <c r="S29" s="32">
        <v>25464456</v>
      </c>
      <c r="T29" s="32">
        <v>4319312</v>
      </c>
      <c r="U29" s="32">
        <v>1089264</v>
      </c>
      <c r="V29" s="32">
        <v>20055880</v>
      </c>
      <c r="W29" s="33">
        <v>71.132256249999998</v>
      </c>
      <c r="X29" s="33">
        <v>74.873078125000006</v>
      </c>
      <c r="Y29" s="33">
        <v>35.729353125000003</v>
      </c>
      <c r="Z29" s="33">
        <v>38.365762500000002</v>
      </c>
      <c r="AA29" s="33">
        <v>37.753331250000002</v>
      </c>
      <c r="AB29" s="34">
        <v>8162.44</v>
      </c>
      <c r="AC29" s="34">
        <v>0</v>
      </c>
      <c r="AD29" s="34">
        <v>71.942999999999998</v>
      </c>
      <c r="AE29" s="34">
        <v>0</v>
      </c>
      <c r="AG29" s="29" t="str">
        <f>IF(OR(ISBLANK(AQ29),ISBLANK(G29)),"·",AQ29*G29/F29/1000000)</f>
        <v>·</v>
      </c>
      <c r="AH29" s="30" t="str">
        <f>IF(ISBLANK(AQ29),"·",AQ29/D29)</f>
        <v>·</v>
      </c>
      <c r="AI29" s="30" t="str">
        <f t="shared" si="1"/>
        <v>·</v>
      </c>
      <c r="AJ29" s="30" t="str">
        <f>IF(AR29="","·",AR29/D29)</f>
        <v>·</v>
      </c>
      <c r="AK29" s="30" t="str">
        <f>IF(ISBLANK(AT29),"·",AT29/D29)</f>
        <v>·</v>
      </c>
      <c r="AL29" s="27" t="str">
        <f>IF(OR(ISBLANK(AR29),ISBLANK(AS29)),"",AR29+AS29)</f>
        <v/>
      </c>
      <c r="AM29" s="30">
        <v>-12</v>
      </c>
      <c r="AN29" s="31"/>
      <c r="AO29" s="31"/>
      <c r="AP29" s="31"/>
      <c r="AQ29" s="32"/>
      <c r="AR29" s="32"/>
      <c r="AS29" s="32"/>
      <c r="AT29" s="32"/>
      <c r="AU29" s="33"/>
      <c r="AV29" s="33"/>
      <c r="AW29" s="33"/>
      <c r="AX29" s="33"/>
      <c r="AY29" s="33"/>
      <c r="AZ29" s="34"/>
      <c r="BA29" s="34"/>
      <c r="BB29" s="34"/>
      <c r="BC29" s="34"/>
      <c r="BE29" s="35" t="e">
        <f t="shared" si="2"/>
        <v>#VALUE!</v>
      </c>
      <c r="BF29" s="36" t="e">
        <f>(AP29/AO29) - (R29/Q29)</f>
        <v>#DIV/0!</v>
      </c>
      <c r="BG29" s="36" t="e">
        <f>(AL29/AQ29) - (N29/S29)</f>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IF(OR(ISBLANK(S30),ISBLANK(G30)),"·",S30*G30/F30/1000000)</f>
        <v>3.6323400000000001</v>
      </c>
      <c r="J30" s="21">
        <f>IF(ISBLANK(S30),"·",S30/D30)</f>
        <v>1.0320360653679347E-2</v>
      </c>
      <c r="K30" s="21">
        <f t="shared" si="0"/>
        <v>8.1810538285235993E-3</v>
      </c>
      <c r="L30" s="21">
        <f>IF(T30="","·",T30/D30)</f>
        <v>5.1498666146946497E-3</v>
      </c>
      <c r="M30" s="21">
        <f>IF(ISBLANK(V30),"·",V30/D30)</f>
        <v>2.1393068251557481E-3</v>
      </c>
      <c r="N30" s="18">
        <f>IF(OR(ISBLANK(T30),ISBLANK(U30)),"",T30+U30)</f>
        <v>3071352</v>
      </c>
      <c r="O30" s="21">
        <v>-12</v>
      </c>
      <c r="P30" s="22">
        <v>86274361</v>
      </c>
      <c r="Q30" s="22">
        <v>2696073.78125</v>
      </c>
      <c r="R30" s="22">
        <v>32982.90625</v>
      </c>
      <c r="S30" s="23">
        <v>3874496</v>
      </c>
      <c r="T30" s="23">
        <v>1933376</v>
      </c>
      <c r="U30" s="23">
        <v>1137976</v>
      </c>
      <c r="V30" s="23">
        <v>803144</v>
      </c>
      <c r="W30" s="24">
        <v>73.642509375000003</v>
      </c>
      <c r="X30" s="24">
        <v>75.684415625</v>
      </c>
      <c r="Y30" s="24">
        <v>33.211271875000001</v>
      </c>
      <c r="Z30" s="24">
        <v>41.882462500000003</v>
      </c>
      <c r="AA30" s="24">
        <v>43.424578124999996</v>
      </c>
      <c r="AB30" s="25">
        <v>21322.5</v>
      </c>
      <c r="AC30" s="25">
        <v>0</v>
      </c>
      <c r="AD30" s="25">
        <v>257.43200000000002</v>
      </c>
      <c r="AE30" s="25">
        <v>0</v>
      </c>
      <c r="AG30" s="20" t="str">
        <f>IF(OR(ISBLANK(AQ30),ISBLANK(G30)),"·",AQ30*G30/F30/1000000)</f>
        <v>·</v>
      </c>
      <c r="AH30" s="21" t="str">
        <f>IF(ISBLANK(AQ30),"·",AQ30/D30)</f>
        <v>·</v>
      </c>
      <c r="AI30" s="21" t="str">
        <f t="shared" si="1"/>
        <v>·</v>
      </c>
      <c r="AJ30" s="21" t="str">
        <f>IF(AR30="","·",AR30/D30)</f>
        <v>·</v>
      </c>
      <c r="AK30" s="21" t="str">
        <f>IF(ISBLANK(AT30),"·",AT30/D30)</f>
        <v>·</v>
      </c>
      <c r="AL30" s="18" t="str">
        <f>IF(OR(ISBLANK(AR30),ISBLANK(AS30)),"",AR30+AS30)</f>
        <v/>
      </c>
      <c r="AM30" s="21">
        <v>-12</v>
      </c>
      <c r="AN30" s="22"/>
      <c r="AO30" s="22"/>
      <c r="AP30" s="22"/>
      <c r="AQ30" s="23"/>
      <c r="AR30" s="23"/>
      <c r="AS30" s="23"/>
      <c r="AT30" s="23"/>
      <c r="AU30" s="24"/>
      <c r="AV30" s="24"/>
      <c r="AW30" s="24"/>
      <c r="AX30" s="24"/>
      <c r="AY30" s="24"/>
      <c r="AZ30" s="25"/>
      <c r="BA30" s="25"/>
      <c r="BB30" s="25"/>
      <c r="BC30" s="25"/>
      <c r="BE30" s="50" t="e">
        <f t="shared" si="2"/>
        <v>#VALUE!</v>
      </c>
      <c r="BF30" s="26" t="e">
        <f>(AP30/AO30) - (R30/Q30)</f>
        <v>#DIV/0!</v>
      </c>
      <c r="BG30" s="26" t="e">
        <f>(AL30/AQ30) - (N30/S30)</f>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IF(OR(ISBLANK(S31),ISBLANK(G31)),"·",S31*G31/F31/1000000)</f>
        <v>4.8567900000000002</v>
      </c>
      <c r="J31" s="12">
        <f>IF(ISBLANK(S31),"·",S31/D31)</f>
        <v>1.3799320663589673E-2</v>
      </c>
      <c r="K31" s="12">
        <f t="shared" si="0"/>
        <v>1.0106926478380671E-2</v>
      </c>
      <c r="L31" s="12">
        <f>IF(T31="","·",T31/D31)</f>
        <v>7.0757392645517218E-3</v>
      </c>
      <c r="M31" s="12">
        <f>IF(ISBLANK(V31),"·",V31/D31)</f>
        <v>3.6923941852090025E-3</v>
      </c>
      <c r="N31" s="54">
        <f>IF(OR(ISBLANK(T31),ISBLANK(U31)),"",T31+U31)</f>
        <v>3794368</v>
      </c>
      <c r="O31" s="12">
        <v>-12</v>
      </c>
      <c r="P31" s="13">
        <v>90475079</v>
      </c>
      <c r="Q31" s="13">
        <v>2827346.21875</v>
      </c>
      <c r="R31" s="13">
        <v>40017.0625</v>
      </c>
      <c r="S31" s="14">
        <v>5180576</v>
      </c>
      <c r="T31" s="14">
        <v>2656392</v>
      </c>
      <c r="U31" s="14">
        <v>1137976</v>
      </c>
      <c r="V31" s="14">
        <v>1386208</v>
      </c>
      <c r="W31" s="15">
        <v>75.233768749999996</v>
      </c>
      <c r="X31" s="15">
        <v>77.555181250000004</v>
      </c>
      <c r="Y31" s="15">
        <v>35.169034375000003</v>
      </c>
      <c r="Z31" s="15">
        <v>42.4467</v>
      </c>
      <c r="AA31" s="15">
        <v>44.624909375000001</v>
      </c>
      <c r="AB31" s="16">
        <v>22653.200000000001</v>
      </c>
      <c r="AC31" s="16">
        <v>0</v>
      </c>
      <c r="AD31" s="16">
        <v>256.99799999999999</v>
      </c>
      <c r="AE31" s="16">
        <v>0</v>
      </c>
      <c r="AG31" s="11" t="str">
        <f>IF(OR(ISBLANK(AQ31),ISBLANK(G31)),"·",AQ31*G31/F31/1000000)</f>
        <v>·</v>
      </c>
      <c r="AH31" s="12" t="str">
        <f>IF(ISBLANK(AQ31),"·",AQ31/D31)</f>
        <v>·</v>
      </c>
      <c r="AI31" s="12" t="str">
        <f t="shared" si="1"/>
        <v>·</v>
      </c>
      <c r="AJ31" s="12" t="str">
        <f>IF(AR31="","·",AR31/D31)</f>
        <v>·</v>
      </c>
      <c r="AK31" s="12" t="str">
        <f>IF(ISBLANK(AT31),"·",AT31/D31)</f>
        <v>·</v>
      </c>
      <c r="AL31" s="54" t="str">
        <f>IF(OR(ISBLANK(AR31),ISBLANK(AS31)),"",AR31+AS31)</f>
        <v/>
      </c>
      <c r="AM31" s="12">
        <v>-12</v>
      </c>
      <c r="AN31" s="13"/>
      <c r="AO31" s="13"/>
      <c r="AP31" s="13"/>
      <c r="AQ31" s="14"/>
      <c r="AR31" s="14"/>
      <c r="AS31" s="14"/>
      <c r="AT31" s="14"/>
      <c r="AU31" s="15"/>
      <c r="AV31" s="15"/>
      <c r="AW31" s="15"/>
      <c r="AX31" s="15"/>
      <c r="AY31" s="15"/>
      <c r="AZ31" s="16"/>
      <c r="BA31" s="16"/>
      <c r="BB31" s="16"/>
      <c r="BC31" s="16"/>
      <c r="BE31" s="51" t="e">
        <f t="shared" si="2"/>
        <v>#VALUE!</v>
      </c>
      <c r="BF31" s="17" t="e">
        <f>(AP31/AO31) - (R31/Q31)</f>
        <v>#DIV/0!</v>
      </c>
      <c r="BG31" s="17" t="e">
        <f>(AL31/AQ31) - (N31/S31)</f>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IF(OR(ISBLANK(S32),ISBLANK(G32)),"·",S32*G32/F32/1000000)</f>
        <v>7.0407374999999996</v>
      </c>
      <c r="J32" s="21">
        <f>IF(ISBLANK(S32),"·",S32/D32)</f>
        <v>2.0004446243436651E-2</v>
      </c>
      <c r="K32" s="21">
        <f t="shared" si="0"/>
        <v>1.2977292234444134E-2</v>
      </c>
      <c r="L32" s="21">
        <f>IF(T32="","·",T32/D32)</f>
        <v>9.9461050206151851E-3</v>
      </c>
      <c r="M32" s="21">
        <f>IF(ISBLANK(V32),"·",V32/D32)</f>
        <v>7.0271540089925184E-3</v>
      </c>
      <c r="N32" s="18">
        <f>IF(OR(ISBLANK(T32),ISBLANK(U32)),"",T32+U32)</f>
        <v>4871968</v>
      </c>
      <c r="O32" s="21">
        <v>-12</v>
      </c>
      <c r="P32" s="22">
        <v>91576045</v>
      </c>
      <c r="Q32" s="22">
        <v>2861751.40625</v>
      </c>
      <c r="R32" s="22">
        <v>42569.84375</v>
      </c>
      <c r="S32" s="23">
        <v>7510120</v>
      </c>
      <c r="T32" s="23">
        <v>3733992</v>
      </c>
      <c r="U32" s="23">
        <v>1137976</v>
      </c>
      <c r="V32" s="23">
        <v>2638152</v>
      </c>
      <c r="W32" s="24">
        <v>76.447175000000001</v>
      </c>
      <c r="X32" s="24">
        <v>79.107984375000001</v>
      </c>
      <c r="Y32" s="24">
        <v>36.962496874999999</v>
      </c>
      <c r="Z32" s="24">
        <v>43.093821875000003</v>
      </c>
      <c r="AA32" s="24">
        <v>46.092771874999997</v>
      </c>
      <c r="AB32" s="25">
        <v>21796.1</v>
      </c>
      <c r="AC32" s="25">
        <v>0</v>
      </c>
      <c r="AD32" s="25">
        <v>238.28299999999999</v>
      </c>
      <c r="AE32" s="25">
        <v>0</v>
      </c>
      <c r="AG32" s="20" t="str">
        <f>IF(OR(ISBLANK(AQ32),ISBLANK(G32)),"·",AQ32*G32/F32/1000000)</f>
        <v>·</v>
      </c>
      <c r="AH32" s="21" t="str">
        <f>IF(ISBLANK(AQ32),"·",AQ32/D32)</f>
        <v>·</v>
      </c>
      <c r="AI32" s="21" t="str">
        <f t="shared" si="1"/>
        <v>·</v>
      </c>
      <c r="AJ32" s="21" t="str">
        <f>IF(AR32="","·",AR32/D32)</f>
        <v>·</v>
      </c>
      <c r="AK32" s="21" t="str">
        <f>IF(ISBLANK(AT32),"·",AT32/D32)</f>
        <v>·</v>
      </c>
      <c r="AL32" s="18" t="str">
        <f>IF(OR(ISBLANK(AR32),ISBLANK(AS32)),"",AR32+AS32)</f>
        <v/>
      </c>
      <c r="AM32" s="21">
        <v>-12</v>
      </c>
      <c r="AN32" s="22"/>
      <c r="AO32" s="22"/>
      <c r="AP32" s="22"/>
      <c r="AQ32" s="23"/>
      <c r="AR32" s="23"/>
      <c r="AS32" s="23"/>
      <c r="AT32" s="23"/>
      <c r="AU32" s="24"/>
      <c r="AV32" s="24"/>
      <c r="AW32" s="24"/>
      <c r="AX32" s="24"/>
      <c r="AY32" s="24"/>
      <c r="AZ32" s="25"/>
      <c r="BA32" s="25"/>
      <c r="BB32" s="25"/>
      <c r="BC32" s="25"/>
      <c r="BE32" s="50" t="e">
        <f t="shared" si="2"/>
        <v>#VALUE!</v>
      </c>
      <c r="BF32" s="26" t="e">
        <f>(AP32/AO32) - (R32/Q32)</f>
        <v>#DIV/0!</v>
      </c>
      <c r="BG32" s="26" t="e">
        <f>(AL32/AQ32) - (N32/S32)</f>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IF(OR(ISBLANK(S33),ISBLANK(G33)),"·",S33*G33/F33/1000000)</f>
        <v>11.812245000000001</v>
      </c>
      <c r="J33" s="12">
        <f>IF(ISBLANK(S33),"·",S33/D33)</f>
        <v>3.3561458599586105E-2</v>
      </c>
      <c r="K33" s="12">
        <f t="shared" si="0"/>
        <v>1.8224052339063213E-2</v>
      </c>
      <c r="L33" s="12">
        <f>IF(T33="","·",T33/D33)</f>
        <v>1.5192865125234264E-2</v>
      </c>
      <c r="M33" s="12">
        <f>IF(ISBLANK(V33),"·",V33/D33)</f>
        <v>1.5337406260522893E-2</v>
      </c>
      <c r="N33" s="54">
        <f>IF(OR(ISBLANK(T33),ISBLANK(U33)),"",T33+U33)</f>
        <v>6841720</v>
      </c>
      <c r="O33" s="12">
        <v>-12</v>
      </c>
      <c r="P33" s="13">
        <v>93857895</v>
      </c>
      <c r="Q33" s="13">
        <v>2933059.21875</v>
      </c>
      <c r="R33" s="13">
        <v>47472.0625</v>
      </c>
      <c r="S33" s="14">
        <v>12599728</v>
      </c>
      <c r="T33" s="14">
        <v>5703744</v>
      </c>
      <c r="U33" s="14">
        <v>1137976</v>
      </c>
      <c r="V33" s="14">
        <v>5758008</v>
      </c>
      <c r="W33" s="15">
        <v>77.563299999999998</v>
      </c>
      <c r="X33" s="15">
        <v>80.266209375000003</v>
      </c>
      <c r="Y33" s="15">
        <v>38.705725000000001</v>
      </c>
      <c r="Z33" s="15">
        <v>43.681825000000003</v>
      </c>
      <c r="AA33" s="15">
        <v>47.368153124999999</v>
      </c>
      <c r="AB33" s="16">
        <v>22684.3</v>
      </c>
      <c r="AC33" s="16">
        <v>0</v>
      </c>
      <c r="AD33" s="16">
        <v>237.80099999999999</v>
      </c>
      <c r="AE33" s="16">
        <v>0</v>
      </c>
      <c r="AG33" s="11" t="str">
        <f>IF(OR(ISBLANK(AQ33),ISBLANK(G33)),"·",AQ33*G33/F33/1000000)</f>
        <v>·</v>
      </c>
      <c r="AH33" s="12" t="str">
        <f>IF(ISBLANK(AQ33),"·",AQ33/D33)</f>
        <v>·</v>
      </c>
      <c r="AI33" s="12" t="str">
        <f t="shared" si="1"/>
        <v>·</v>
      </c>
      <c r="AJ33" s="12" t="str">
        <f>IF(AR33="","·",AR33/D33)</f>
        <v>·</v>
      </c>
      <c r="AK33" s="12" t="str">
        <f>IF(ISBLANK(AT33),"·",AT33/D33)</f>
        <v>·</v>
      </c>
      <c r="AL33" s="54" t="str">
        <f>IF(OR(ISBLANK(AR33),ISBLANK(AS33)),"",AR33+AS33)</f>
        <v/>
      </c>
      <c r="AM33" s="12">
        <v>-12</v>
      </c>
      <c r="AN33" s="13"/>
      <c r="AO33" s="13"/>
      <c r="AP33" s="13"/>
      <c r="AQ33" s="14"/>
      <c r="AR33" s="14"/>
      <c r="AS33" s="14"/>
      <c r="AT33" s="14"/>
      <c r="AU33" s="15"/>
      <c r="AV33" s="15"/>
      <c r="AW33" s="15"/>
      <c r="AX33" s="15"/>
      <c r="AY33" s="15"/>
      <c r="AZ33" s="16"/>
      <c r="BA33" s="16"/>
      <c r="BB33" s="16"/>
      <c r="BC33" s="16"/>
      <c r="BE33" s="51" t="e">
        <f t="shared" si="2"/>
        <v>#VALUE!</v>
      </c>
      <c r="BF33" s="17" t="e">
        <f>(AP33/AO33) - (R33/Q33)</f>
        <v>#DIV/0!</v>
      </c>
      <c r="BG33" s="17" t="e">
        <f>(AL33/AQ33) - (N33/S33)</f>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32</v>
      </c>
      <c r="G34" s="38">
        <v>30</v>
      </c>
      <c r="I34" s="39">
        <f>IF(OR(ISBLANK(S34),ISBLANK(G34)),"·",S34*G34/F34/1000000)</f>
        <v>24.362257499999998</v>
      </c>
      <c r="J34" s="40">
        <f>IF(ISBLANK(S34),"·",S34/D34)</f>
        <v>6.9219093955357858E-2</v>
      </c>
      <c r="K34" s="40">
        <f t="shared" si="0"/>
        <v>3.0624586447645329E-2</v>
      </c>
      <c r="L34" s="40">
        <f>IF(T34="","·",T34/D34)</f>
        <v>2.4322567377873923E-2</v>
      </c>
      <c r="M34" s="40">
        <f>IF(ISBLANK(V34),"·",V34/D34)</f>
        <v>3.8594507507712532E-2</v>
      </c>
      <c r="N34" s="37">
        <f>IF(OR(ISBLANK(T34),ISBLANK(U34)),"",T34+U34)</f>
        <v>11497160</v>
      </c>
      <c r="O34" s="40">
        <v>-12</v>
      </c>
      <c r="P34" s="41">
        <v>91982225</v>
      </c>
      <c r="Q34" s="41">
        <v>2874444.53125</v>
      </c>
      <c r="R34" s="41">
        <v>18690.34375</v>
      </c>
      <c r="S34" s="42">
        <v>25986408</v>
      </c>
      <c r="T34" s="42">
        <v>9131240</v>
      </c>
      <c r="U34" s="42">
        <v>2365920</v>
      </c>
      <c r="V34" s="42">
        <v>14489248</v>
      </c>
      <c r="W34" s="43">
        <v>78.474549999999994</v>
      </c>
      <c r="X34" s="43">
        <v>81.899309375000001</v>
      </c>
      <c r="Y34" s="43">
        <v>40.490646875000003</v>
      </c>
      <c r="Z34" s="43">
        <v>44.366059374999999</v>
      </c>
      <c r="AA34" s="43">
        <v>48.777446875000003</v>
      </c>
      <c r="AB34" s="44">
        <v>24451.7</v>
      </c>
      <c r="AC34" s="44">
        <v>0</v>
      </c>
      <c r="AD34" s="44">
        <v>236.208</v>
      </c>
      <c r="AE34" s="44">
        <v>0</v>
      </c>
      <c r="AG34" s="39" t="str">
        <f>IF(OR(ISBLANK(AQ34),ISBLANK(G34)),"·",AQ34*G34/F34/1000000)</f>
        <v>·</v>
      </c>
      <c r="AH34" s="40" t="str">
        <f>IF(ISBLANK(AQ34),"·",AQ34/D34)</f>
        <v>·</v>
      </c>
      <c r="AI34" s="40" t="str">
        <f t="shared" si="1"/>
        <v>·</v>
      </c>
      <c r="AJ34" s="40" t="str">
        <f>IF(AR34="","·",AR34/D34)</f>
        <v>·</v>
      </c>
      <c r="AK34" s="40" t="str">
        <f>IF(ISBLANK(AT34),"·",AT34/D34)</f>
        <v>·</v>
      </c>
      <c r="AL34" s="37" t="str">
        <f>IF(OR(ISBLANK(AR34),ISBLANK(AS34)),"",AR34+AS34)</f>
        <v/>
      </c>
      <c r="AM34" s="40">
        <v>-12</v>
      </c>
      <c r="AN34" s="41"/>
      <c r="AO34" s="41"/>
      <c r="AP34" s="41"/>
      <c r="AQ34" s="42"/>
      <c r="AR34" s="42"/>
      <c r="AS34" s="42"/>
      <c r="AT34" s="42"/>
      <c r="AU34" s="43"/>
      <c r="AV34" s="43"/>
      <c r="AW34" s="43"/>
      <c r="AX34" s="43"/>
      <c r="AY34" s="43"/>
      <c r="AZ34" s="44"/>
      <c r="BA34" s="44"/>
      <c r="BB34" s="44"/>
      <c r="BC34" s="44"/>
      <c r="BE34" s="45" t="e">
        <f t="shared" si="2"/>
        <v>#VALUE!</v>
      </c>
      <c r="BF34" s="46" t="e">
        <f>(AP34/AO34) - (R34/Q34)</f>
        <v>#DIV/0!</v>
      </c>
      <c r="BG34" s="46" t="e">
        <f>(AL34/AQ34) - (N34/S34)</f>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IF(OR(ISBLANK(S35),ISBLANK(G35)),"·",S35*G35/F35/1000000)</f>
        <v>4.3212374999999996</v>
      </c>
      <c r="J35" s="12">
        <f>IF(ISBLANK(S35),"·",S35/D35)</f>
        <v>1.383387997375881E-2</v>
      </c>
      <c r="K35" s="12">
        <f t="shared" si="0"/>
        <v>1.0555541064354293E-2</v>
      </c>
      <c r="L35" s="12">
        <f>IF(T35="","·",T35/D35)</f>
        <v>6.7758676173570983E-3</v>
      </c>
      <c r="M35" s="12">
        <f>IF(ISBLANK(V35),"·",V35/D35)</f>
        <v>3.2783389094045183E-3</v>
      </c>
      <c r="N35" s="54">
        <f>IF(OR(ISBLANK(T35),ISBLANK(U35)),"",T35+U35)</f>
        <v>3517008</v>
      </c>
      <c r="O35" s="12">
        <v>-12</v>
      </c>
      <c r="P35" s="13">
        <v>75026394</v>
      </c>
      <c r="Q35" s="13">
        <v>2344574.8125</v>
      </c>
      <c r="R35" s="13">
        <v>30516.15625</v>
      </c>
      <c r="S35" s="14">
        <v>4609320</v>
      </c>
      <c r="T35" s="14">
        <v>2257656</v>
      </c>
      <c r="U35" s="14">
        <v>1259352</v>
      </c>
      <c r="V35" s="14">
        <v>1092312</v>
      </c>
      <c r="W35" s="15">
        <v>73.205775000000003</v>
      </c>
      <c r="X35" s="15">
        <v>75.384728124999995</v>
      </c>
      <c r="Y35" s="15">
        <v>31.805303124999998</v>
      </c>
      <c r="Z35" s="15">
        <v>42.135787499999999</v>
      </c>
      <c r="AA35" s="15">
        <v>43.117065625000002</v>
      </c>
      <c r="AB35" s="16">
        <v>18374.900000000001</v>
      </c>
      <c r="AC35" s="16">
        <v>0</v>
      </c>
      <c r="AD35" s="16">
        <v>207.91200000000001</v>
      </c>
      <c r="AE35" s="16">
        <v>0</v>
      </c>
      <c r="AG35" s="11" t="str">
        <f>IF(OR(ISBLANK(AQ35),ISBLANK(G35)),"·",AQ35*G35/F35/1000000)</f>
        <v>·</v>
      </c>
      <c r="AH35" s="12" t="str">
        <f>IF(ISBLANK(AQ35),"·",AQ35/D35)</f>
        <v>·</v>
      </c>
      <c r="AI35" s="12" t="str">
        <f t="shared" si="1"/>
        <v>·</v>
      </c>
      <c r="AJ35" s="12" t="str">
        <f>IF(AR35="","·",AR35/D35)</f>
        <v>·</v>
      </c>
      <c r="AK35" s="12" t="str">
        <f>IF(ISBLANK(AT35),"·",AT35/D35)</f>
        <v>·</v>
      </c>
      <c r="AL35" s="54" t="str">
        <f>IF(OR(ISBLANK(AR35),ISBLANK(AS35)),"",AR35+AS35)</f>
        <v/>
      </c>
      <c r="AM35" s="12">
        <v>-12</v>
      </c>
      <c r="AN35" s="13"/>
      <c r="AO35" s="13"/>
      <c r="AP35" s="13"/>
      <c r="AQ35" s="14"/>
      <c r="AR35" s="14"/>
      <c r="AS35" s="14"/>
      <c r="AT35" s="14"/>
      <c r="AU35" s="15"/>
      <c r="AV35" s="15"/>
      <c r="AW35" s="15"/>
      <c r="AX35" s="15"/>
      <c r="AY35" s="15"/>
      <c r="AZ35" s="16"/>
      <c r="BA35" s="16"/>
      <c r="BB35" s="16"/>
      <c r="BC35" s="16"/>
      <c r="BE35" s="51" t="e">
        <f t="shared" si="2"/>
        <v>#VALUE!</v>
      </c>
      <c r="BF35" s="17" t="e">
        <f>(AP35/AO35) - (R35/Q35)</f>
        <v>#DIV/0!</v>
      </c>
      <c r="BG35" s="17" t="e">
        <f>(AL35/AQ35) - (N35/S35)</f>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IF(OR(ISBLANK(S36),ISBLANK(G36)),"·",S36*G36/F36/1000000)</f>
        <v>5.8328175</v>
      </c>
      <c r="J36" s="21">
        <f>IF(ISBLANK(S36),"·",S36/D36)</f>
        <v>1.8673006795817154E-2</v>
      </c>
      <c r="K36" s="21">
        <f t="shared" si="0"/>
        <v>1.310185471599418E-2</v>
      </c>
      <c r="L36" s="21">
        <f>IF(T36="","·",T36/D36)</f>
        <v>9.322181268996985E-3</v>
      </c>
      <c r="M36" s="21">
        <f>IF(ISBLANK(V36),"·",V36/D36)</f>
        <v>5.5711520798229748E-3</v>
      </c>
      <c r="N36" s="18">
        <f>IF(OR(ISBLANK(T36),ISBLANK(U36)),"",T36+U36)</f>
        <v>4365416</v>
      </c>
      <c r="O36" s="21">
        <v>-12</v>
      </c>
      <c r="P36" s="22">
        <v>80082017</v>
      </c>
      <c r="Q36" s="22">
        <v>2502563.03125</v>
      </c>
      <c r="R36" s="22">
        <v>38887</v>
      </c>
      <c r="S36" s="23">
        <v>6221672</v>
      </c>
      <c r="T36" s="23">
        <v>3106064</v>
      </c>
      <c r="U36" s="23">
        <v>1259352</v>
      </c>
      <c r="V36" s="23">
        <v>1856256</v>
      </c>
      <c r="W36" s="24">
        <v>74.950756249999998</v>
      </c>
      <c r="X36" s="24">
        <v>77.347009374999999</v>
      </c>
      <c r="Y36" s="24">
        <v>34.042753124999997</v>
      </c>
      <c r="Z36" s="24">
        <v>42.974150000000002</v>
      </c>
      <c r="AA36" s="24">
        <v>44.904471874999999</v>
      </c>
      <c r="AB36" s="25">
        <v>20878.099999999999</v>
      </c>
      <c r="AC36" s="25">
        <v>0</v>
      </c>
      <c r="AD36" s="25">
        <v>226.61799999999999</v>
      </c>
      <c r="AE36" s="25">
        <v>0</v>
      </c>
      <c r="AG36" s="20" t="str">
        <f>IF(OR(ISBLANK(AQ36),ISBLANK(G36)),"·",AQ36*G36/F36/1000000)</f>
        <v>·</v>
      </c>
      <c r="AH36" s="21" t="str">
        <f>IF(ISBLANK(AQ36),"·",AQ36/D36)</f>
        <v>·</v>
      </c>
      <c r="AI36" s="21" t="str">
        <f t="shared" si="1"/>
        <v>·</v>
      </c>
      <c r="AJ36" s="21" t="str">
        <f>IF(AR36="","·",AR36/D36)</f>
        <v>·</v>
      </c>
      <c r="AK36" s="21" t="str">
        <f>IF(ISBLANK(AT36),"·",AT36/D36)</f>
        <v>·</v>
      </c>
      <c r="AL36" s="18" t="str">
        <f>IF(OR(ISBLANK(AR36),ISBLANK(AS36)),"",AR36+AS36)</f>
        <v/>
      </c>
      <c r="AM36" s="21">
        <v>-12</v>
      </c>
      <c r="AN36" s="22"/>
      <c r="AO36" s="22"/>
      <c r="AP36" s="22"/>
      <c r="AQ36" s="23"/>
      <c r="AR36" s="23"/>
      <c r="AS36" s="23"/>
      <c r="AT36" s="23"/>
      <c r="AU36" s="24"/>
      <c r="AV36" s="24"/>
      <c r="AW36" s="24"/>
      <c r="AX36" s="24"/>
      <c r="AY36" s="24"/>
      <c r="AZ36" s="25"/>
      <c r="BA36" s="25"/>
      <c r="BB36" s="25"/>
      <c r="BC36" s="25"/>
      <c r="BE36" s="50" t="e">
        <f t="shared" si="2"/>
        <v>#VALUE!</v>
      </c>
      <c r="BF36" s="26" t="e">
        <f>(AP36/AO36) - (R36/Q36)</f>
        <v>#DIV/0!</v>
      </c>
      <c r="BG36" s="26" t="e">
        <f>(AL36/AQ36) - (N36/S36)</f>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IF(OR(ISBLANK(S37),ISBLANK(G37)),"·",S37*G37/F37/1000000)</f>
        <v>8.4084675000000004</v>
      </c>
      <c r="J37" s="12">
        <f>IF(ISBLANK(S37),"·",S37/D37)</f>
        <v>2.6918615363828488E-2</v>
      </c>
      <c r="K37" s="12">
        <f t="shared" si="0"/>
        <v>1.679883677661833E-2</v>
      </c>
      <c r="L37" s="12">
        <f>IF(T37="","·",T37/D37)</f>
        <v>1.3019163329621134E-2</v>
      </c>
      <c r="M37" s="12">
        <f>IF(ISBLANK(V37),"·",V37/D37)</f>
        <v>1.011977858721016E-2</v>
      </c>
      <c r="N37" s="54">
        <f>IF(OR(ISBLANK(T37),ISBLANK(U37)),"",T37+U37)</f>
        <v>5597216</v>
      </c>
      <c r="O37" s="12">
        <v>-12</v>
      </c>
      <c r="P37" s="13">
        <v>81678386</v>
      </c>
      <c r="Q37" s="13">
        <v>2552449.5625</v>
      </c>
      <c r="R37" s="13">
        <v>42018.5625</v>
      </c>
      <c r="S37" s="14">
        <v>8969032</v>
      </c>
      <c r="T37" s="14">
        <v>4337864</v>
      </c>
      <c r="U37" s="14">
        <v>1259352</v>
      </c>
      <c r="V37" s="14">
        <v>3371816</v>
      </c>
      <c r="W37" s="15">
        <v>76.249899999999997</v>
      </c>
      <c r="X37" s="15">
        <v>78.959259375000002</v>
      </c>
      <c r="Y37" s="15">
        <v>36.14314375</v>
      </c>
      <c r="Z37" s="15">
        <v>43.507246875</v>
      </c>
      <c r="AA37" s="15">
        <v>46.136931250000004</v>
      </c>
      <c r="AB37" s="16">
        <v>21844.9</v>
      </c>
      <c r="AC37" s="16">
        <v>0</v>
      </c>
      <c r="AD37" s="16">
        <v>227.21100000000001</v>
      </c>
      <c r="AE37" s="16">
        <v>0</v>
      </c>
      <c r="AG37" s="11" t="str">
        <f>IF(OR(ISBLANK(AQ37),ISBLANK(G37)),"·",AQ37*G37/F37/1000000)</f>
        <v>·</v>
      </c>
      <c r="AH37" s="12" t="str">
        <f>IF(ISBLANK(AQ37),"·",AQ37/D37)</f>
        <v>·</v>
      </c>
      <c r="AI37" s="12" t="str">
        <f t="shared" si="1"/>
        <v>·</v>
      </c>
      <c r="AJ37" s="12" t="str">
        <f>IF(AR37="","·",AR37/D37)</f>
        <v>·</v>
      </c>
      <c r="AK37" s="12" t="str">
        <f>IF(ISBLANK(AT37),"·",AT37/D37)</f>
        <v>·</v>
      </c>
      <c r="AL37" s="54" t="str">
        <f>IF(OR(ISBLANK(AR37),ISBLANK(AS37)),"",AR37+AS37)</f>
        <v/>
      </c>
      <c r="AM37" s="12">
        <v>-12</v>
      </c>
      <c r="AN37" s="13"/>
      <c r="AO37" s="13"/>
      <c r="AP37" s="13"/>
      <c r="AQ37" s="14"/>
      <c r="AR37" s="14"/>
      <c r="AS37" s="14"/>
      <c r="AT37" s="14"/>
      <c r="AU37" s="15"/>
      <c r="AV37" s="15"/>
      <c r="AW37" s="15"/>
      <c r="AX37" s="15"/>
      <c r="AY37" s="15"/>
      <c r="AZ37" s="16"/>
      <c r="BA37" s="16"/>
      <c r="BB37" s="16"/>
      <c r="BC37" s="16"/>
      <c r="BE37" s="51" t="e">
        <f t="shared" si="2"/>
        <v>#VALUE!</v>
      </c>
      <c r="BF37" s="17" t="e">
        <f>(AP37/AO37) - (R37/Q37)</f>
        <v>#DIV/0!</v>
      </c>
      <c r="BG37" s="17" t="e">
        <f>(AL37/AQ37) - (N37/S37)</f>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IF(OR(ISBLANK(S38),ISBLANK(G38)),"·",S38*G38/F38/1000000)</f>
        <v>13.7558325</v>
      </c>
      <c r="J38" s="21">
        <f>IF(ISBLANK(S38),"·",S38/D38)</f>
        <v>4.4037509103383138E-2</v>
      </c>
      <c r="K38" s="21">
        <f t="shared" si="0"/>
        <v>2.3020523241572336E-2</v>
      </c>
      <c r="L38" s="21">
        <f>IF(T38="","·",T38/D38)</f>
        <v>1.9240849794575143E-2</v>
      </c>
      <c r="M38" s="21">
        <f>IF(ISBLANK(V38),"·",V38/D38)</f>
        <v>2.1016985861810802E-2</v>
      </c>
      <c r="N38" s="18">
        <f>IF(OR(ISBLANK(T38),ISBLANK(U38)),"",T38+U38)</f>
        <v>7670224</v>
      </c>
      <c r="O38" s="21">
        <v>-12</v>
      </c>
      <c r="P38" s="22">
        <v>83831259</v>
      </c>
      <c r="Q38" s="22">
        <v>2619726.84375</v>
      </c>
      <c r="R38" s="22">
        <v>47003.0625</v>
      </c>
      <c r="S38" s="23">
        <v>14672888</v>
      </c>
      <c r="T38" s="23">
        <v>6410872</v>
      </c>
      <c r="U38" s="23">
        <v>1259352</v>
      </c>
      <c r="V38" s="23">
        <v>7002664</v>
      </c>
      <c r="W38" s="24">
        <v>77.432034375000001</v>
      </c>
      <c r="X38" s="24">
        <v>80.157456249999996</v>
      </c>
      <c r="Y38" s="24">
        <v>38.094084375000001</v>
      </c>
      <c r="Z38" s="24">
        <v>44.219112500000001</v>
      </c>
      <c r="AA38" s="24">
        <v>47.244974999999997</v>
      </c>
      <c r="AB38" s="25">
        <v>22905.8</v>
      </c>
      <c r="AC38" s="25">
        <v>0</v>
      </c>
      <c r="AD38" s="25">
        <v>230.50399999999999</v>
      </c>
      <c r="AE38" s="25">
        <v>0</v>
      </c>
      <c r="AG38" s="20" t="str">
        <f>IF(OR(ISBLANK(AQ38),ISBLANK(G38)),"·",AQ38*G38/F38/1000000)</f>
        <v>·</v>
      </c>
      <c r="AH38" s="21" t="str">
        <f>IF(ISBLANK(AQ38),"·",AQ38/D38)</f>
        <v>·</v>
      </c>
      <c r="AI38" s="21" t="str">
        <f t="shared" si="1"/>
        <v>·</v>
      </c>
      <c r="AJ38" s="21" t="str">
        <f>IF(AR38="","·",AR38/D38)</f>
        <v>·</v>
      </c>
      <c r="AK38" s="21" t="str">
        <f>IF(ISBLANK(AT38),"·",AT38/D38)</f>
        <v>·</v>
      </c>
      <c r="AL38" s="18" t="str">
        <f>IF(OR(ISBLANK(AR38),ISBLANK(AS38)),"",AR38+AS38)</f>
        <v/>
      </c>
      <c r="AM38" s="21">
        <v>-12</v>
      </c>
      <c r="AN38" s="22"/>
      <c r="AO38" s="22"/>
      <c r="AP38" s="22"/>
      <c r="AQ38" s="23"/>
      <c r="AR38" s="23"/>
      <c r="AS38" s="23"/>
      <c r="AT38" s="23"/>
      <c r="AU38" s="24"/>
      <c r="AV38" s="24"/>
      <c r="AW38" s="24"/>
      <c r="AX38" s="24"/>
      <c r="AY38" s="24"/>
      <c r="AZ38" s="25"/>
      <c r="BA38" s="25"/>
      <c r="BB38" s="25"/>
      <c r="BC38" s="25"/>
      <c r="BE38" s="50" t="e">
        <f t="shared" si="2"/>
        <v>#VALUE!</v>
      </c>
      <c r="BF38" s="26" t="e">
        <f>(AP38/AO38) - (R38/Q38)</f>
        <v>#DIV/0!</v>
      </c>
      <c r="BG38" s="26" t="e">
        <f>(AL38/AQ38) - (N38/S38)</f>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32</v>
      </c>
      <c r="G39" s="28">
        <v>30</v>
      </c>
      <c r="I39" s="29">
        <f>IF(OR(ISBLANK(S39),ISBLANK(G39)),"·",S39*G39/F39/1000000)</f>
        <v>27.5888025</v>
      </c>
      <c r="J39" s="30">
        <f>IF(ISBLANK(S39),"·",S39/D39)</f>
        <v>8.8321963882970325E-2</v>
      </c>
      <c r="K39" s="30">
        <f t="shared" si="0"/>
        <v>3.7427456443718331E-2</v>
      </c>
      <c r="L39" s="30">
        <f>IF(T39="","·",T39/D39)</f>
        <v>2.9699365338507405E-2</v>
      </c>
      <c r="M39" s="30">
        <f>IF(ISBLANK(V39),"·",V39/D39)</f>
        <v>5.0894507439252001E-2</v>
      </c>
      <c r="N39" s="27">
        <f>IF(OR(ISBLANK(T39),ISBLANK(U39)),"",T39+U39)</f>
        <v>12470480</v>
      </c>
      <c r="O39" s="30">
        <v>-12</v>
      </c>
      <c r="P39" s="31">
        <v>81982633</v>
      </c>
      <c r="Q39" s="31">
        <v>2561957.28125</v>
      </c>
      <c r="R39" s="31">
        <v>18515.375</v>
      </c>
      <c r="S39" s="32">
        <v>29428056</v>
      </c>
      <c r="T39" s="32">
        <v>9895552</v>
      </c>
      <c r="U39" s="32">
        <v>2574928</v>
      </c>
      <c r="V39" s="32">
        <v>16957576</v>
      </c>
      <c r="W39" s="33">
        <v>78.306631249999995</v>
      </c>
      <c r="X39" s="33">
        <v>81.86231875</v>
      </c>
      <c r="Y39" s="33">
        <v>40.168896875000002</v>
      </c>
      <c r="Z39" s="33">
        <v>45.123678124999998</v>
      </c>
      <c r="AA39" s="33">
        <v>48.623590624999999</v>
      </c>
      <c r="AB39" s="34">
        <v>24926.7</v>
      </c>
      <c r="AC39" s="34">
        <v>0</v>
      </c>
      <c r="AD39" s="34">
        <v>210.547</v>
      </c>
      <c r="AE39" s="34">
        <v>0</v>
      </c>
      <c r="AG39" s="29" t="str">
        <f>IF(OR(ISBLANK(AQ39),ISBLANK(G39)),"·",AQ39*G39/F39/1000000)</f>
        <v>·</v>
      </c>
      <c r="AH39" s="30" t="str">
        <f>IF(ISBLANK(AQ39),"·",AQ39/D39)</f>
        <v>·</v>
      </c>
      <c r="AI39" s="30" t="str">
        <f t="shared" si="1"/>
        <v>·</v>
      </c>
      <c r="AJ39" s="30" t="str">
        <f>IF(AR39="","·",AR39/D39)</f>
        <v>·</v>
      </c>
      <c r="AK39" s="30" t="str">
        <f>IF(ISBLANK(AT39),"·",AT39/D39)</f>
        <v>·</v>
      </c>
      <c r="AL39" s="27" t="str">
        <f>IF(OR(ISBLANK(AR39),ISBLANK(AS39)),"",AR39+AS39)</f>
        <v/>
      </c>
      <c r="AM39" s="30">
        <v>-12</v>
      </c>
      <c r="AN39" s="31"/>
      <c r="AO39" s="31"/>
      <c r="AP39" s="31"/>
      <c r="AQ39" s="32"/>
      <c r="AR39" s="32"/>
      <c r="AS39" s="32"/>
      <c r="AT39" s="32"/>
      <c r="AU39" s="33"/>
      <c r="AV39" s="33"/>
      <c r="AW39" s="33"/>
      <c r="AX39" s="33"/>
      <c r="AY39" s="33"/>
      <c r="AZ39" s="34"/>
      <c r="BA39" s="34"/>
      <c r="BB39" s="34"/>
      <c r="BC39" s="34"/>
      <c r="BE39" s="35" t="e">
        <f t="shared" si="2"/>
        <v>#VALUE!</v>
      </c>
      <c r="BF39" s="36" t="e">
        <f>(AP39/AO39) - (R39/Q39)</f>
        <v>#DIV/0!</v>
      </c>
      <c r="BG39" s="36" t="e">
        <f>(AL39/AQ39) - (N39/S39)</f>
        <v>#VALUE!</v>
      </c>
      <c r="BH39" s="36"/>
      <c r="BJ39" s="35"/>
      <c r="BK39" s="35"/>
      <c r="BL39" s="35"/>
      <c r="BM39" s="35"/>
      <c r="BN39" s="35"/>
      <c r="BP39" s="35"/>
      <c r="BQ39" s="35"/>
      <c r="BR39" s="35"/>
      <c r="BS39" s="35"/>
      <c r="BT39" s="35"/>
    </row>
    <row r="40" spans="1:72" x14ac:dyDescent="0.25">
      <c r="B40" s="47" t="s">
        <v>14</v>
      </c>
      <c r="J40" s="48">
        <f>AVERAGE(J5:J24)</f>
        <v>1.7525940122878107E-2</v>
      </c>
      <c r="K40" s="48">
        <f>AVERAGE(K5:K24)</f>
        <v>9.4899123025431326E-3</v>
      </c>
      <c r="L40" s="48">
        <f>AVERAGE(L5:L24)</f>
        <v>6.9778830479007058E-3</v>
      </c>
      <c r="M40" s="48">
        <f>AVERAGE(M5:M24)</f>
        <v>8.0360278203349712E-3</v>
      </c>
      <c r="AH40" s="48" t="e">
        <f>AVERAGE(AH5:AH24)</f>
        <v>#DIV/0!</v>
      </c>
      <c r="AI40" s="48" t="e">
        <f>AVERAGE(AI5:AI24)</f>
        <v>#DIV/0!</v>
      </c>
      <c r="AJ40" s="48" t="e">
        <f>AVERAGE(AJ5:AJ24)</f>
        <v>#DIV/0!</v>
      </c>
      <c r="AK40" s="48" t="e">
        <f>AVERAGE(AK5:AK24)</f>
        <v>#DIV/0!</v>
      </c>
      <c r="BE40" s="52" t="e">
        <f t="shared" si="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3.8156504722103815E-2</v>
      </c>
      <c r="K41" s="48">
        <f>AVERAGE(K25:K29)</f>
        <v>1.1376252642975707E-2</v>
      </c>
      <c r="L41" s="48">
        <f>AVERAGE(L25:L29)</f>
        <v>8.7893616490667785E-3</v>
      </c>
      <c r="M41" s="48">
        <f>AVERAGE(M25:M29)</f>
        <v>2.6780252079128108E-2</v>
      </c>
      <c r="AH41" s="48" t="e">
        <f>AVERAGE(AH25:AH29)</f>
        <v>#DIV/0!</v>
      </c>
      <c r="AI41" s="48" t="e">
        <f>AVERAGE(AI25:AI29)</f>
        <v>#DIV/0!</v>
      </c>
      <c r="AJ41" s="48" t="e">
        <f>AVERAGE(AJ25:AJ29)</f>
        <v>#DIV/0!</v>
      </c>
      <c r="AK41" s="48" t="e">
        <f>AVERAGE(AK25:AK29)</f>
        <v>#DIV/0!</v>
      </c>
      <c r="BE41" s="52" t="e">
        <f t="shared" si="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3.3868965523540753E-2</v>
      </c>
      <c r="K42" s="48">
        <f>AVERAGE(K30:K39)</f>
        <v>1.8101812357031441E-2</v>
      </c>
      <c r="L42" s="48">
        <f>AVERAGE(L30:L39)</f>
        <v>1.3974457075202751E-2</v>
      </c>
      <c r="M42" s="48">
        <f>AVERAGE(M30:M39)</f>
        <v>1.5767153166509316E-2</v>
      </c>
      <c r="AH42" s="48" t="e">
        <f>AVERAGE(AH30:AH39)</f>
        <v>#DIV/0!</v>
      </c>
      <c r="AI42" s="48" t="e">
        <f>AVERAGE(AI30:AI39)</f>
        <v>#DIV/0!</v>
      </c>
      <c r="AJ42" s="48" t="e">
        <f>AVERAGE(AJ30:AJ39)</f>
        <v>#DIV/0!</v>
      </c>
      <c r="AK42" s="48" t="e">
        <f>AVERAGE(AK30:AK39)</f>
        <v>#DIV/0!</v>
      </c>
      <c r="BE42" s="52" t="e">
        <f t="shared" si="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2.5142599465813969E-2</v>
      </c>
      <c r="K43" s="48">
        <f>AVERAGE(K5:K39)</f>
        <v>1.2219932366744447E-2</v>
      </c>
      <c r="L43" s="48">
        <f>AVERAGE(L5:L39)</f>
        <v>9.2356868558678713E-3</v>
      </c>
      <c r="M43" s="48">
        <f>AVERAGE(M5:M39)</f>
        <v>1.2922667099069514E-2</v>
      </c>
      <c r="AH43" s="48" t="e">
        <f>AVERAGE(AH5:AH39)</f>
        <v>#DIV/0!</v>
      </c>
      <c r="AI43" s="48" t="e">
        <f>AVERAGE(AI5:AI39)</f>
        <v>#DIV/0!</v>
      </c>
      <c r="AJ43" s="48" t="e">
        <f>AVERAGE(AJ5:AJ39)</f>
        <v>#DIV/0!</v>
      </c>
      <c r="AK43" s="48" t="e">
        <f>AVERAGE(AK5:AK39)</f>
        <v>#DIV/0!</v>
      </c>
      <c r="BE43" s="52" t="e">
        <f t="shared" si="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377350.50000000006</v>
      </c>
      <c r="AC44" s="49">
        <f>SUM(AC5:AC24,AC25:AC29,AC30:AC39)</f>
        <v>0</v>
      </c>
      <c r="AD44" s="49">
        <f>SUM(AD5:AD24,AD25:AD29,AD30:AD39)</f>
        <v>4155.8739999999989</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8891.055675827809</v>
      </c>
      <c r="AC46" s="49" t="e">
        <f>GEOMEAN(AC5:AC24,AC25:AC29,AC30:AC39)</f>
        <v>#NUM!</v>
      </c>
      <c r="AD46" s="49">
        <f>GEOMEAN(AD5:AD24,AD25:AD29,AD30:AD39)</f>
        <v>101.18119981469117</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2022-05-30T07:23:42Z</dcterms:modified>
</cp:coreProperties>
</file>