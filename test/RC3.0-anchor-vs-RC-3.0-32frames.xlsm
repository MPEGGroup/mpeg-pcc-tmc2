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\\rennsrdnas04\sgework01\PCC\ricardj\r50rc30_v03\F32_gitclones_mpeg+tm2_r5.0rc3.0+mpeg125-integration+r5.0rc3.0-DM\MacroXlsm\"/>
    </mc:Choice>
  </mc:AlternateContent>
  <xr:revisionPtr revIDLastSave="0" documentId="14_{226F2AEC-6E75-4C0D-B418-27F9CE716D31}" xr6:coauthVersionLast="40" xr6:coauthVersionMax="40" xr10:uidLastSave="{00000000-0000-0000-0000-000000000000}"/>
  <bookViews>
    <workbookView xWindow="0" yWindow="0" windowWidth="28800" windowHeight="13872" firstSheet="2" activeTab="4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  <sheet name="Results" sheetId="8" r:id="rId8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K5" i="5" l="1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I29" i="7" s="1"/>
  <c r="AK29" i="7"/>
  <c r="AJ29" i="7"/>
  <c r="AH29" i="7"/>
  <c r="AG29" i="7"/>
  <c r="O29" i="7"/>
  <c r="N29" i="7"/>
  <c r="M29" i="7"/>
  <c r="L29" i="7"/>
  <c r="J29" i="7"/>
  <c r="I29" i="7"/>
  <c r="BE28" i="7"/>
  <c r="AM28" i="7"/>
  <c r="AL28" i="7"/>
  <c r="AI28" i="7" s="1"/>
  <c r="AK28" i="7"/>
  <c r="AJ28" i="7"/>
  <c r="AH28" i="7"/>
  <c r="AG28" i="7"/>
  <c r="O28" i="7"/>
  <c r="N28" i="7"/>
  <c r="M28" i="7"/>
  <c r="L28" i="7"/>
  <c r="J28" i="7"/>
  <c r="I28" i="7"/>
  <c r="BE27" i="7"/>
  <c r="AM27" i="7"/>
  <c r="AL27" i="7"/>
  <c r="AI27" i="7" s="1"/>
  <c r="AK27" i="7"/>
  <c r="AJ27" i="7"/>
  <c r="AH27" i="7"/>
  <c r="AG27" i="7"/>
  <c r="O27" i="7"/>
  <c r="N27" i="7"/>
  <c r="M27" i="7"/>
  <c r="L27" i="7"/>
  <c r="J27" i="7"/>
  <c r="I27" i="7"/>
  <c r="BE26" i="7"/>
  <c r="AM26" i="7"/>
  <c r="AL26" i="7"/>
  <c r="AI26" i="7" s="1"/>
  <c r="AK26" i="7"/>
  <c r="AJ26" i="7"/>
  <c r="AH26" i="7"/>
  <c r="AG26" i="7"/>
  <c r="O26" i="7"/>
  <c r="N26" i="7"/>
  <c r="M26" i="7"/>
  <c r="L26" i="7"/>
  <c r="J26" i="7"/>
  <c r="I26" i="7"/>
  <c r="BE25" i="7"/>
  <c r="AM25" i="7"/>
  <c r="AL25" i="7"/>
  <c r="AI25" i="7" s="1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M23" i="7"/>
  <c r="L23" i="7"/>
  <c r="J23" i="7"/>
  <c r="I23" i="7"/>
  <c r="BE22" i="7"/>
  <c r="AM22" i="7"/>
  <c r="AL22" i="7"/>
  <c r="BF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BF21" i="7" s="1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BF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I17" i="7" s="1"/>
  <c r="AK17" i="7"/>
  <c r="AJ17" i="7"/>
  <c r="AH17" i="7"/>
  <c r="AG17" i="7"/>
  <c r="O17" i="7"/>
  <c r="N17" i="7"/>
  <c r="M17" i="7"/>
  <c r="L17" i="7"/>
  <c r="K17" i="7"/>
  <c r="J17" i="7"/>
  <c r="I17" i="7"/>
  <c r="BE16" i="7"/>
  <c r="AM16" i="7"/>
  <c r="AL16" i="7"/>
  <c r="AK16" i="7"/>
  <c r="AJ16" i="7"/>
  <c r="AI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M14" i="7"/>
  <c r="L14" i="7"/>
  <c r="J14" i="7"/>
  <c r="I14" i="7"/>
  <c r="BE13" i="7"/>
  <c r="AM13" i="7"/>
  <c r="AL13" i="7"/>
  <c r="AI13" i="7" s="1"/>
  <c r="AK13" i="7"/>
  <c r="AJ13" i="7"/>
  <c r="AH13" i="7"/>
  <c r="AG13" i="7"/>
  <c r="O13" i="7"/>
  <c r="N13" i="7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M12" i="7"/>
  <c r="L12" i="7"/>
  <c r="J12" i="7"/>
  <c r="I12" i="7"/>
  <c r="BE11" i="7"/>
  <c r="AM11" i="7"/>
  <c r="AL11" i="7"/>
  <c r="AI11" i="7" s="1"/>
  <c r="AK11" i="7"/>
  <c r="AJ11" i="7"/>
  <c r="AH11" i="7"/>
  <c r="AG11" i="7"/>
  <c r="O11" i="7"/>
  <c r="N11" i="7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H9" i="6" s="1"/>
  <c r="AH11" i="6" s="1"/>
  <c r="AJ9" i="6"/>
  <c r="AI9" i="6"/>
  <c r="AI11" i="6" s="1"/>
  <c r="AG9" i="6"/>
  <c r="AF9" i="6"/>
  <c r="AE9" i="6"/>
  <c r="O9" i="6"/>
  <c r="N9" i="6"/>
  <c r="K9" i="6" s="1"/>
  <c r="K11" i="6" s="1"/>
  <c r="M9" i="6"/>
  <c r="M11" i="6" s="1"/>
  <c r="L9" i="6"/>
  <c r="L11" i="6" s="1"/>
  <c r="J9" i="6"/>
  <c r="J11" i="6" s="1"/>
  <c r="I9" i="6"/>
  <c r="H9" i="6"/>
  <c r="AL8" i="6"/>
  <c r="AK8" i="6"/>
  <c r="AJ8" i="6"/>
  <c r="AI8" i="6"/>
  <c r="AG8" i="6"/>
  <c r="AF8" i="6"/>
  <c r="AE8" i="6"/>
  <c r="O8" i="6"/>
  <c r="N8" i="6"/>
  <c r="K8" i="6" s="1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AL6" i="6"/>
  <c r="AK6" i="6"/>
  <c r="AJ6" i="6"/>
  <c r="AI6" i="6"/>
  <c r="AG6" i="6"/>
  <c r="AF6" i="6"/>
  <c r="AE6" i="6"/>
  <c r="O6" i="6"/>
  <c r="N6" i="6"/>
  <c r="K6" i="6" s="1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AL9" i="5"/>
  <c r="AK9" i="5"/>
  <c r="BF9" i="5" s="1" a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AL6" i="5"/>
  <c r="AK6" i="5"/>
  <c r="BF6" i="5" s="1" a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AL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K29" i="3"/>
  <c r="AJ29" i="3"/>
  <c r="AH29" i="3"/>
  <c r="AG29" i="3"/>
  <c r="O29" i="3"/>
  <c r="N29" i="3"/>
  <c r="K29" i="3" s="1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K28" i="3" s="1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BF27" i="3" s="1"/>
  <c r="M27" i="3"/>
  <c r="L27" i="3"/>
  <c r="J27" i="3"/>
  <c r="I27" i="3"/>
  <c r="BE26" i="3"/>
  <c r="AM26" i="3"/>
  <c r="AL26" i="3"/>
  <c r="AK26" i="3"/>
  <c r="AJ26" i="3"/>
  <c r="AH26" i="3"/>
  <c r="AG26" i="3"/>
  <c r="O26" i="3"/>
  <c r="N26" i="3"/>
  <c r="K26" i="3" s="1"/>
  <c r="M26" i="3"/>
  <c r="L26" i="3"/>
  <c r="J26" i="3"/>
  <c r="I26" i="3"/>
  <c r="BE25" i="3"/>
  <c r="AM25" i="3"/>
  <c r="AL25" i="3"/>
  <c r="AK25" i="3"/>
  <c r="AJ25" i="3"/>
  <c r="AH25" i="3"/>
  <c r="AG25" i="3"/>
  <c r="O25" i="3"/>
  <c r="N25" i="3"/>
  <c r="K25" i="3" s="1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K24" i="3" s="1"/>
  <c r="M24" i="3"/>
  <c r="L24" i="3"/>
  <c r="J24" i="3"/>
  <c r="I24" i="3"/>
  <c r="BE23" i="3"/>
  <c r="AM23" i="3"/>
  <c r="AL23" i="3"/>
  <c r="AK23" i="3"/>
  <c r="AJ23" i="3"/>
  <c r="AH23" i="3"/>
  <c r="AG23" i="3"/>
  <c r="O23" i="3"/>
  <c r="N23" i="3"/>
  <c r="K23" i="3" s="1"/>
  <c r="M23" i="3"/>
  <c r="L23" i="3"/>
  <c r="J23" i="3"/>
  <c r="I23" i="3"/>
  <c r="BE22" i="3"/>
  <c r="AM22" i="3"/>
  <c r="AL22" i="3"/>
  <c r="AK22" i="3"/>
  <c r="AJ22" i="3"/>
  <c r="AH22" i="3"/>
  <c r="AG22" i="3"/>
  <c r="O22" i="3"/>
  <c r="N22" i="3"/>
  <c r="K22" i="3" s="1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K17" i="3" s="1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BF15" i="3" s="1"/>
  <c r="M15" i="3"/>
  <c r="L15" i="3"/>
  <c r="K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K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BF11" i="3" s="1"/>
  <c r="M11" i="3"/>
  <c r="L11" i="3"/>
  <c r="K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K10" i="3" s="1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K6" i="3"/>
  <c r="J6" i="3"/>
  <c r="I6" i="3"/>
  <c r="BE5" i="3"/>
  <c r="AM5" i="3"/>
  <c r="AL5" i="3"/>
  <c r="AK5" i="3"/>
  <c r="AJ5" i="3"/>
  <c r="AI5" i="3"/>
  <c r="AH5" i="3"/>
  <c r="AG5" i="3"/>
  <c r="O5" i="3"/>
  <c r="N5" i="3"/>
  <c r="M5" i="3"/>
  <c r="L5" i="3"/>
  <c r="J5" i="3"/>
  <c r="I5" i="3"/>
  <c r="B1" i="2"/>
  <c r="B2" i="2" s="1"/>
  <c r="BS25" i="7"/>
  <c r="BO25" i="7"/>
  <c r="BP20" i="7"/>
  <c r="BK20" i="7"/>
  <c r="BS15" i="7"/>
  <c r="BO15" i="7"/>
  <c r="BQ10" i="7"/>
  <c r="BL10" i="7"/>
  <c r="BP5" i="7"/>
  <c r="BK5" i="7"/>
  <c r="BS5" i="7"/>
  <c r="BL25" i="7"/>
  <c r="BM20" i="7"/>
  <c r="BL15" i="7"/>
  <c r="BO10" i="7"/>
  <c r="BI10" i="7"/>
  <c r="BM5" i="7"/>
  <c r="BP25" i="7"/>
  <c r="BL20" i="7"/>
  <c r="BP15" i="7"/>
  <c r="BR10" i="7"/>
  <c r="BQ5" i="7"/>
  <c r="BR25" i="7"/>
  <c r="BM25" i="7"/>
  <c r="BS20" i="7"/>
  <c r="BO20" i="7"/>
  <c r="BR15" i="7"/>
  <c r="BM15" i="7"/>
  <c r="BP10" i="7"/>
  <c r="BK10" i="7"/>
  <c r="BO5" i="7"/>
  <c r="BQ25" i="7"/>
  <c r="BR20" i="7"/>
  <c r="BQ15" i="7"/>
  <c r="BS10" i="7"/>
  <c r="BR5" i="7"/>
  <c r="BK25" i="7"/>
  <c r="BQ20" i="7"/>
  <c r="BK15" i="7"/>
  <c r="BM10" i="7"/>
  <c r="BL5" i="7"/>
  <c r="BQ25" i="3"/>
  <c r="BL25" i="3"/>
  <c r="BR20" i="3"/>
  <c r="BM20" i="3"/>
  <c r="BS15" i="3"/>
  <c r="BO15" i="3"/>
  <c r="BP10" i="3"/>
  <c r="BK10" i="3"/>
  <c r="BS5" i="3"/>
  <c r="BO5" i="3"/>
  <c r="BR5" i="3"/>
  <c r="BI5" i="3"/>
  <c r="BR25" i="3"/>
  <c r="BO20" i="3"/>
  <c r="BK15" i="3"/>
  <c r="BP5" i="3"/>
  <c r="BP25" i="3"/>
  <c r="BK25" i="3"/>
  <c r="BQ20" i="3"/>
  <c r="BL20" i="3"/>
  <c r="BR15" i="3"/>
  <c r="BM15" i="3"/>
  <c r="BS10" i="3"/>
  <c r="BO10" i="3"/>
  <c r="BI10" i="3"/>
  <c r="BM5" i="3"/>
  <c r="BP15" i="3"/>
  <c r="BL10" i="3"/>
  <c r="BK5" i="3"/>
  <c r="BS25" i="3"/>
  <c r="BO25" i="3"/>
  <c r="BP20" i="3"/>
  <c r="BK20" i="3"/>
  <c r="BQ15" i="3"/>
  <c r="BL15" i="3"/>
  <c r="BR10" i="3"/>
  <c r="BM10" i="3"/>
  <c r="BQ5" i="3"/>
  <c r="BL5" i="3"/>
  <c r="BM25" i="3"/>
  <c r="BS20" i="3"/>
  <c r="BQ10" i="3"/>
  <c r="P7" i="8" l="1"/>
  <c r="BK31" i="7"/>
  <c r="E41" i="1" s="1"/>
  <c r="Q4" i="8"/>
  <c r="R5" i="8"/>
  <c r="P6" i="8"/>
  <c r="Q7" i="8"/>
  <c r="N4" i="8"/>
  <c r="O5" i="8"/>
  <c r="Q6" i="8"/>
  <c r="N7" i="8"/>
  <c r="R7" i="8"/>
  <c r="BM31" i="7"/>
  <c r="G41" i="1" s="1"/>
  <c r="P4" i="8"/>
  <c r="Q5" i="8"/>
  <c r="O6" i="8"/>
  <c r="N5" i="8"/>
  <c r="BL31" i="7"/>
  <c r="F41" i="1" s="1"/>
  <c r="R4" i="8"/>
  <c r="BK30" i="7"/>
  <c r="E40" i="1" s="1"/>
  <c r="P5" i="8"/>
  <c r="N6" i="8"/>
  <c r="R6" i="8"/>
  <c r="O7" i="8"/>
  <c r="AH31" i="7"/>
  <c r="K5" i="8"/>
  <c r="M7" i="8"/>
  <c r="BM31" i="3"/>
  <c r="G10" i="1" s="1"/>
  <c r="K4" i="8"/>
  <c r="L5" i="8"/>
  <c r="K6" i="8"/>
  <c r="J7" i="8"/>
  <c r="J6" i="8"/>
  <c r="I5" i="8"/>
  <c r="M5" i="8"/>
  <c r="L6" i="8"/>
  <c r="K7" i="8"/>
  <c r="BK31" i="3"/>
  <c r="E10" i="1" s="1"/>
  <c r="J4" i="8"/>
  <c r="I7" i="8"/>
  <c r="L4" i="8"/>
  <c r="I4" i="8"/>
  <c r="M4" i="8"/>
  <c r="J5" i="8"/>
  <c r="I6" i="8"/>
  <c r="M6" i="8"/>
  <c r="L7" i="8"/>
  <c r="BL31" i="3"/>
  <c r="F10" i="1" s="1"/>
  <c r="BF12" i="3"/>
  <c r="BF14" i="3"/>
  <c r="BF13" i="3"/>
  <c r="BC11" i="6"/>
  <c r="BC8" i="5"/>
  <c r="D7" i="8" s="1"/>
  <c r="BQ31" i="7"/>
  <c r="P8" i="8"/>
  <c r="BR31" i="7"/>
  <c r="Q8" i="8"/>
  <c r="BP30" i="7"/>
  <c r="O4" i="8"/>
  <c r="BF19" i="7"/>
  <c r="BO31" i="7"/>
  <c r="N8" i="8"/>
  <c r="BS31" i="7"/>
  <c r="R8" i="8"/>
  <c r="BP31" i="7"/>
  <c r="O8" i="8"/>
  <c r="K13" i="3"/>
  <c r="BR31" i="3"/>
  <c r="L8" i="8"/>
  <c r="BB34" i="3"/>
  <c r="K12" i="3"/>
  <c r="BO31" i="3"/>
  <c r="I8" i="8"/>
  <c r="BS31" i="3"/>
  <c r="M8" i="8"/>
  <c r="BC34" i="3"/>
  <c r="BP31" i="3"/>
  <c r="J8" i="8"/>
  <c r="AZ36" i="3"/>
  <c r="BQ31" i="3"/>
  <c r="K8" i="8"/>
  <c r="BS30" i="7"/>
  <c r="BQ30" i="3"/>
  <c r="BK30" i="3"/>
  <c r="E9" i="1" s="1"/>
  <c r="BO30" i="7"/>
  <c r="BA34" i="3"/>
  <c r="BA34" i="7"/>
  <c r="BG15" i="3" a="1"/>
  <c r="BG15" i="3" s="1"/>
  <c r="BF18" i="3"/>
  <c r="BF21" i="3"/>
  <c r="BF16" i="7"/>
  <c r="AI22" i="7"/>
  <c r="BF24" i="7"/>
  <c r="AZ34" i="7"/>
  <c r="AZ36" i="7"/>
  <c r="AX16" i="6"/>
  <c r="BF5" i="7"/>
  <c r="BM30" i="7"/>
  <c r="G40" i="1" s="1"/>
  <c r="BK32" i="7"/>
  <c r="E42" i="1" s="1"/>
  <c r="AI21" i="7"/>
  <c r="BF25" i="7"/>
  <c r="BO32" i="3"/>
  <c r="K27" i="3"/>
  <c r="BG25" i="7" a="1"/>
  <c r="BG25" i="7" s="1"/>
  <c r="BG31" i="7" s="1"/>
  <c r="AX14" i="5"/>
  <c r="K31" i="3"/>
  <c r="AK31" i="3"/>
  <c r="J31" i="3"/>
  <c r="AH30" i="3"/>
  <c r="BF7" i="6"/>
  <c r="AZ16" i="5"/>
  <c r="BE6" i="5"/>
  <c r="BC7" i="5"/>
  <c r="D6" i="8" s="1"/>
  <c r="BB8" i="5"/>
  <c r="C7" i="8" s="1"/>
  <c r="BB5" i="6"/>
  <c r="F4" i="8" s="1"/>
  <c r="BB6" i="5"/>
  <c r="C5" i="8" s="1"/>
  <c r="BC5" i="5"/>
  <c r="D4" i="8" s="1"/>
  <c r="BC11" i="5"/>
  <c r="BB7" i="6"/>
  <c r="F6" i="8" s="1"/>
  <c r="AZ14" i="6"/>
  <c r="AI10" i="6"/>
  <c r="AJ10" i="6"/>
  <c r="BC9" i="6"/>
  <c r="G8" i="8" s="1"/>
  <c r="AY14" i="5"/>
  <c r="AX16" i="5"/>
  <c r="AZ14" i="5"/>
  <c r="AY16" i="5"/>
  <c r="BC6" i="6"/>
  <c r="G5" i="8" s="1"/>
  <c r="AY14" i="6"/>
  <c r="BB8" i="6"/>
  <c r="F7" i="8" s="1"/>
  <c r="BE7" i="6"/>
  <c r="AZ16" i="6"/>
  <c r="BF9" i="5"/>
  <c r="BF11" i="5" s="1"/>
  <c r="AW16" i="5"/>
  <c r="AH6" i="5"/>
  <c r="BF6" i="5"/>
  <c r="BG20" i="7" a="1"/>
  <c r="BG20" i="7" s="1"/>
  <c r="BF20" i="7"/>
  <c r="BF25" i="3"/>
  <c r="AI29" i="3"/>
  <c r="BF29" i="3"/>
  <c r="BC6" i="5"/>
  <c r="D5" i="8" s="1"/>
  <c r="BE5" i="6"/>
  <c r="BF6" i="6" a="1"/>
  <c r="BF6" i="6" s="1"/>
  <c r="M12" i="6"/>
  <c r="M30" i="7"/>
  <c r="BF8" i="3"/>
  <c r="AH31" i="3"/>
  <c r="L12" i="5"/>
  <c r="BL30" i="7"/>
  <c r="F40" i="1" s="1"/>
  <c r="K18" i="3"/>
  <c r="BF24" i="3"/>
  <c r="AH32" i="3"/>
  <c r="AH5" i="5"/>
  <c r="BE5" i="5"/>
  <c r="BF8" i="5" a="1"/>
  <c r="BF8" i="5" s="1"/>
  <c r="AH8" i="5"/>
  <c r="BF9" i="6" a="1"/>
  <c r="BF9" i="6" s="1"/>
  <c r="BF11" i="6" s="1"/>
  <c r="BF17" i="7"/>
  <c r="BE6" i="6"/>
  <c r="AG11" i="6"/>
  <c r="BB11" i="6" s="1"/>
  <c r="BB9" i="6"/>
  <c r="F8" i="8" s="1"/>
  <c r="AK30" i="7"/>
  <c r="K23" i="7"/>
  <c r="BF23" i="7"/>
  <c r="BF7" i="3"/>
  <c r="BF28" i="3"/>
  <c r="BB36" i="3"/>
  <c r="AW14" i="5"/>
  <c r="BP32" i="7"/>
  <c r="AH32" i="7"/>
  <c r="AI20" i="7"/>
  <c r="M32" i="7"/>
  <c r="BA36" i="7"/>
  <c r="M31" i="3"/>
  <c r="BC36" i="3"/>
  <c r="AH6" i="6"/>
  <c r="AW16" i="6"/>
  <c r="BQ30" i="7"/>
  <c r="AI19" i="7"/>
  <c r="K20" i="7"/>
  <c r="M31" i="7"/>
  <c r="BB34" i="7"/>
  <c r="BF5" i="6" a="1"/>
  <c r="BF5" i="6" s="1"/>
  <c r="BE9" i="6"/>
  <c r="AJ30" i="3"/>
  <c r="BF19" i="3"/>
  <c r="AI22" i="3"/>
  <c r="BF22" i="3"/>
  <c r="K10" i="5"/>
  <c r="BP30" i="3"/>
  <c r="BG5" i="3" a="1"/>
  <c r="BG5" i="3" s="1"/>
  <c r="BQ32" i="3"/>
  <c r="BF6" i="3"/>
  <c r="BE8" i="5"/>
  <c r="BC7" i="6"/>
  <c r="G6" i="8" s="1"/>
  <c r="BC8" i="6"/>
  <c r="G7" i="8" s="1"/>
  <c r="AI18" i="7"/>
  <c r="AI30" i="7" s="1"/>
  <c r="BL32" i="7"/>
  <c r="F42" i="1" s="1"/>
  <c r="J32" i="7"/>
  <c r="BF14" i="7"/>
  <c r="BR30" i="7"/>
  <c r="BC34" i="7"/>
  <c r="BB36" i="7"/>
  <c r="BF17" i="3"/>
  <c r="AJ31" i="3"/>
  <c r="BC9" i="5"/>
  <c r="D8" i="8" s="1"/>
  <c r="AH30" i="7"/>
  <c r="BG5" i="7" a="1"/>
  <c r="BG5" i="7" s="1"/>
  <c r="BF13" i="7"/>
  <c r="J31" i="7"/>
  <c r="AJ31" i="7"/>
  <c r="BC36" i="7"/>
  <c r="BF9" i="3"/>
  <c r="AZ34" i="3"/>
  <c r="BD6" i="6"/>
  <c r="H5" i="8" s="1"/>
  <c r="AH7" i="6"/>
  <c r="AW14" i="6"/>
  <c r="L31" i="7"/>
  <c r="AK31" i="7"/>
  <c r="J12" i="5"/>
  <c r="AI12" i="5"/>
  <c r="BF11" i="7"/>
  <c r="K14" i="7"/>
  <c r="L30" i="7"/>
  <c r="BM30" i="3"/>
  <c r="G9" i="1" s="1"/>
  <c r="BM32" i="3"/>
  <c r="G11" i="1" s="1"/>
  <c r="BR30" i="3"/>
  <c r="BR32" i="3"/>
  <c r="BF16" i="3"/>
  <c r="K16" i="3"/>
  <c r="BD8" i="5"/>
  <c r="E7" i="8" s="1"/>
  <c r="BF8" i="6" a="1"/>
  <c r="BF8" i="6" s="1"/>
  <c r="AH8" i="6"/>
  <c r="K9" i="3"/>
  <c r="AJ12" i="5"/>
  <c r="BF26" i="7"/>
  <c r="K26" i="7"/>
  <c r="BF28" i="7"/>
  <c r="K28" i="7"/>
  <c r="BF5" i="3"/>
  <c r="K5" i="3"/>
  <c r="K8" i="3"/>
  <c r="BF20" i="3"/>
  <c r="BG20" i="3" a="1"/>
  <c r="BG20" i="3" s="1"/>
  <c r="K20" i="3"/>
  <c r="BF5" i="5" a="1"/>
  <c r="BF5" i="5" s="1"/>
  <c r="AJ10" i="5"/>
  <c r="BD7" i="5"/>
  <c r="E6" i="8" s="1"/>
  <c r="K12" i="6"/>
  <c r="K10" i="6"/>
  <c r="AY16" i="6"/>
  <c r="BF6" i="7"/>
  <c r="K6" i="7"/>
  <c r="BF8" i="7"/>
  <c r="K8" i="7"/>
  <c r="BF10" i="7"/>
  <c r="K10" i="7"/>
  <c r="BG10" i="7" a="1"/>
  <c r="BG10" i="7" s="1"/>
  <c r="AJ30" i="7"/>
  <c r="AK32" i="7"/>
  <c r="J32" i="3"/>
  <c r="J30" i="3"/>
  <c r="BL32" i="3"/>
  <c r="F11" i="1" s="1"/>
  <c r="BL30" i="3"/>
  <c r="F9" i="1" s="1"/>
  <c r="K7" i="3"/>
  <c r="BG10" i="3" a="1"/>
  <c r="BG10" i="3" s="1"/>
  <c r="BF10" i="3"/>
  <c r="K12" i="5"/>
  <c r="BB5" i="5"/>
  <c r="C4" i="8" s="1"/>
  <c r="AG10" i="5"/>
  <c r="AG12" i="5"/>
  <c r="J10" i="5"/>
  <c r="L12" i="6"/>
  <c r="L10" i="6"/>
  <c r="BC10" i="6" s="1"/>
  <c r="AI12" i="6"/>
  <c r="BC5" i="6"/>
  <c r="G4" i="8" s="1"/>
  <c r="BD8" i="6"/>
  <c r="H7" i="8" s="1"/>
  <c r="BE8" i="6"/>
  <c r="BR32" i="7"/>
  <c r="BF12" i="7"/>
  <c r="K12" i="7"/>
  <c r="K13" i="7"/>
  <c r="AJ32" i="3"/>
  <c r="BO30" i="3"/>
  <c r="BS32" i="3"/>
  <c r="BS30" i="3"/>
  <c r="AI23" i="3"/>
  <c r="BF23" i="3"/>
  <c r="BA36" i="3"/>
  <c r="M10" i="5"/>
  <c r="BF7" i="5" a="1"/>
  <c r="BF7" i="5" s="1"/>
  <c r="AH7" i="5"/>
  <c r="BE7" i="5"/>
  <c r="BB11" i="5"/>
  <c r="M12" i="5"/>
  <c r="M10" i="6"/>
  <c r="BD9" i="6"/>
  <c r="H8" i="8" s="1"/>
  <c r="AJ11" i="6"/>
  <c r="BD11" i="6" s="1"/>
  <c r="AX14" i="6"/>
  <c r="BG15" i="7" a="1"/>
  <c r="BG15" i="7" s="1"/>
  <c r="BF15" i="7"/>
  <c r="BF27" i="7"/>
  <c r="K27" i="7"/>
  <c r="BF29" i="7"/>
  <c r="K29" i="7"/>
  <c r="BQ32" i="7"/>
  <c r="L32" i="3"/>
  <c r="L30" i="3"/>
  <c r="AK32" i="3"/>
  <c r="AK30" i="3"/>
  <c r="K19" i="3"/>
  <c r="K21" i="3"/>
  <c r="AI26" i="3"/>
  <c r="BF26" i="3"/>
  <c r="BB7" i="5"/>
  <c r="C6" i="8" s="1"/>
  <c r="BD11" i="5"/>
  <c r="BD9" i="5"/>
  <c r="E8" i="8" s="1"/>
  <c r="BB6" i="6"/>
  <c r="F5" i="8" s="1"/>
  <c r="L32" i="7"/>
  <c r="BM32" i="7"/>
  <c r="G42" i="1" s="1"/>
  <c r="BF7" i="7"/>
  <c r="K7" i="7"/>
  <c r="BF9" i="7"/>
  <c r="K9" i="7"/>
  <c r="K11" i="7"/>
  <c r="K15" i="7"/>
  <c r="L31" i="3"/>
  <c r="BG25" i="3" a="1"/>
  <c r="BG25" i="3" s="1"/>
  <c r="BG31" i="3" s="1"/>
  <c r="AI25" i="3"/>
  <c r="BB9" i="5"/>
  <c r="C8" i="8" s="1"/>
  <c r="BE9" i="5"/>
  <c r="BD5" i="6"/>
  <c r="H4" i="8" s="1"/>
  <c r="J30" i="7"/>
  <c r="AI31" i="7"/>
  <c r="M32" i="3"/>
  <c r="BK32" i="3"/>
  <c r="E11" i="1" s="1"/>
  <c r="BP32" i="3"/>
  <c r="M30" i="3"/>
  <c r="BD5" i="5"/>
  <c r="E4" i="8" s="1"/>
  <c r="BD6" i="5"/>
  <c r="E5" i="8" s="1"/>
  <c r="AH9" i="5"/>
  <c r="AH11" i="5" s="1"/>
  <c r="J12" i="6"/>
  <c r="AG12" i="6"/>
  <c r="BD7" i="6"/>
  <c r="H6" i="8" s="1"/>
  <c r="AJ12" i="6"/>
  <c r="K5" i="7"/>
  <c r="AJ32" i="7"/>
  <c r="BO32" i="7"/>
  <c r="BS32" i="7"/>
  <c r="K25" i="7"/>
  <c r="L10" i="5"/>
  <c r="AI10" i="5"/>
  <c r="J10" i="6"/>
  <c r="AG10" i="6"/>
  <c r="BJ20" i="7"/>
  <c r="BI15" i="7"/>
  <c r="BI5" i="7"/>
  <c r="BJ10" i="7"/>
  <c r="BI25" i="7"/>
  <c r="BJ5" i="7"/>
  <c r="BJ15" i="7"/>
  <c r="BI20" i="7"/>
  <c r="BJ25" i="7"/>
  <c r="BJ20" i="3"/>
  <c r="BJ25" i="3"/>
  <c r="BJ15" i="3"/>
  <c r="BJ5" i="3"/>
  <c r="BJ10" i="3"/>
  <c r="BI15" i="3"/>
  <c r="BI20" i="3"/>
  <c r="BI25" i="3"/>
  <c r="BJ31" i="7" l="1"/>
  <c r="D41" i="1" s="1"/>
  <c r="BI31" i="7"/>
  <c r="C41" i="1" s="1"/>
  <c r="BG32" i="7"/>
  <c r="BI31" i="3"/>
  <c r="C10" i="1" s="1"/>
  <c r="BJ31" i="3"/>
  <c r="D10" i="1" s="1"/>
  <c r="BG30" i="3"/>
  <c r="E30" i="1"/>
  <c r="H10" i="8"/>
  <c r="D29" i="1"/>
  <c r="G9" i="8"/>
  <c r="C33" i="1"/>
  <c r="W5" i="8"/>
  <c r="E53" i="1"/>
  <c r="C32" i="1"/>
  <c r="U5" i="8"/>
  <c r="C53" i="1"/>
  <c r="C30" i="1"/>
  <c r="F10" i="8"/>
  <c r="X5" i="8"/>
  <c r="F53" i="1"/>
  <c r="V5" i="8"/>
  <c r="D53" i="1"/>
  <c r="D30" i="1"/>
  <c r="G10" i="8"/>
  <c r="C21" i="1"/>
  <c r="U4" i="8"/>
  <c r="C52" i="1"/>
  <c r="D19" i="1"/>
  <c r="D10" i="8"/>
  <c r="C19" i="1"/>
  <c r="C10" i="8"/>
  <c r="V4" i="8"/>
  <c r="V8" i="8" s="1"/>
  <c r="D52" i="1"/>
  <c r="E19" i="1"/>
  <c r="E10" i="8"/>
  <c r="C22" i="1"/>
  <c r="W4" i="8"/>
  <c r="E52" i="1"/>
  <c r="X4" i="8"/>
  <c r="X8" i="8" s="1"/>
  <c r="F52" i="1"/>
  <c r="J42" i="1"/>
  <c r="P11" i="8"/>
  <c r="X7" i="8"/>
  <c r="F55" i="1"/>
  <c r="H40" i="1"/>
  <c r="N9" i="8"/>
  <c r="I41" i="1"/>
  <c r="O10" i="8"/>
  <c r="H41" i="1"/>
  <c r="N10" i="8"/>
  <c r="L42" i="1"/>
  <c r="R11" i="8"/>
  <c r="H42" i="1"/>
  <c r="N11" i="8"/>
  <c r="K42" i="1"/>
  <c r="Q11" i="8"/>
  <c r="C44" i="1"/>
  <c r="W7" i="8"/>
  <c r="E55" i="1"/>
  <c r="J40" i="1"/>
  <c r="P9" i="8"/>
  <c r="C43" i="1"/>
  <c r="U7" i="8"/>
  <c r="C55" i="1"/>
  <c r="K41" i="1"/>
  <c r="Q10" i="8"/>
  <c r="V7" i="8"/>
  <c r="D55" i="1"/>
  <c r="I42" i="1"/>
  <c r="O11" i="8"/>
  <c r="L41" i="1"/>
  <c r="R10" i="8"/>
  <c r="K40" i="1"/>
  <c r="Q9" i="8"/>
  <c r="L40" i="1"/>
  <c r="R9" i="8"/>
  <c r="I40" i="1"/>
  <c r="O9" i="8"/>
  <c r="J41" i="1"/>
  <c r="P10" i="8"/>
  <c r="L9" i="1"/>
  <c r="M9" i="8"/>
  <c r="V6" i="8"/>
  <c r="D54" i="1"/>
  <c r="L11" i="1"/>
  <c r="M11" i="8"/>
  <c r="K11" i="1"/>
  <c r="L11" i="8"/>
  <c r="J11" i="1"/>
  <c r="K11" i="8"/>
  <c r="M10" i="8"/>
  <c r="L10" i="1"/>
  <c r="I11" i="1"/>
  <c r="J11" i="8"/>
  <c r="C13" i="1"/>
  <c r="W6" i="8"/>
  <c r="E54" i="1"/>
  <c r="I10" i="1"/>
  <c r="J10" i="8"/>
  <c r="I9" i="1"/>
  <c r="J9" i="8"/>
  <c r="J10" i="1"/>
  <c r="K10" i="8"/>
  <c r="H10" i="1"/>
  <c r="I10" i="8"/>
  <c r="K10" i="1"/>
  <c r="L10" i="8"/>
  <c r="H9" i="1"/>
  <c r="I9" i="8"/>
  <c r="K9" i="1"/>
  <c r="L9" i="8"/>
  <c r="X6" i="8"/>
  <c r="F54" i="1"/>
  <c r="H11" i="1"/>
  <c r="I11" i="8"/>
  <c r="J9" i="1"/>
  <c r="K9" i="8"/>
  <c r="C12" i="1"/>
  <c r="U6" i="8"/>
  <c r="C54" i="1"/>
  <c r="BI32" i="3"/>
  <c r="C11" i="1" s="1"/>
  <c r="BI30" i="3"/>
  <c r="C9" i="1" s="1"/>
  <c r="BG30" i="7"/>
  <c r="K31" i="7"/>
  <c r="AI32" i="7"/>
  <c r="AI31" i="3"/>
  <c r="AH12" i="6"/>
  <c r="BD10" i="6"/>
  <c r="BB10" i="6"/>
  <c r="BF12" i="6"/>
  <c r="BD12" i="6"/>
  <c r="BC12" i="6"/>
  <c r="BC12" i="5"/>
  <c r="AI32" i="3"/>
  <c r="BG32" i="3"/>
  <c r="BF10" i="6"/>
  <c r="BJ32" i="7"/>
  <c r="D42" i="1" s="1"/>
  <c r="AH10" i="6"/>
  <c r="BB12" i="5"/>
  <c r="BB12" i="6"/>
  <c r="AH12" i="5"/>
  <c r="BI32" i="7"/>
  <c r="C42" i="1" s="1"/>
  <c r="BI30" i="7"/>
  <c r="C40" i="1" s="1"/>
  <c r="BF12" i="5"/>
  <c r="BF10" i="5"/>
  <c r="K32" i="7"/>
  <c r="K30" i="7"/>
  <c r="AH10" i="5"/>
  <c r="AI30" i="3"/>
  <c r="BB10" i="5"/>
  <c r="BJ30" i="7"/>
  <c r="D40" i="1" s="1"/>
  <c r="K30" i="3"/>
  <c r="K32" i="3"/>
  <c r="BD12" i="5"/>
  <c r="BC10" i="5"/>
  <c r="BD10" i="5"/>
  <c r="BJ32" i="3"/>
  <c r="D11" i="1" s="1"/>
  <c r="BJ30" i="3"/>
  <c r="D9" i="1" s="1"/>
  <c r="U8" i="8" l="1"/>
  <c r="W8" i="8"/>
  <c r="C29" i="1"/>
  <c r="F9" i="8"/>
  <c r="C31" i="1"/>
  <c r="F11" i="8"/>
  <c r="D31" i="1"/>
  <c r="G11" i="8"/>
  <c r="E29" i="1"/>
  <c r="H9" i="8"/>
  <c r="E31" i="1"/>
  <c r="H11" i="8"/>
  <c r="E18" i="1"/>
  <c r="E9" i="8"/>
  <c r="D18" i="1"/>
  <c r="D9" i="8"/>
  <c r="C20" i="1"/>
  <c r="C11" i="8"/>
  <c r="E20" i="1"/>
  <c r="E11" i="8"/>
  <c r="C18" i="1"/>
  <c r="C9" i="8"/>
  <c r="D20" i="1"/>
  <c r="D11" i="8"/>
</calcChain>
</file>

<file path=xl/sharedStrings.xml><?xml version="1.0" encoding="utf-8"?>
<sst xmlns="http://schemas.openxmlformats.org/spreadsheetml/2006/main" count="1466" uniqueCount="572">
  <si>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</si>
  <si>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</si>
  <si>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</si>
  <si>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</si>
  <si>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</si>
  <si>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</si>
  <si>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</si>
  <si>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</si>
  <si>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</si>
  <si>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</si>
  <si>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</si>
  <si>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</si>
  <si>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</si>
  <si>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</si>
  <si>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</si>
  <si>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</si>
  <si>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</si>
  <si>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</si>
  <si>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</si>
  <si>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</si>
  <si>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</si>
  <si>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</si>
  <si>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</si>
  <si>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</si>
  <si>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</si>
  <si>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</si>
  <si>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</si>
  <si>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</si>
  <si>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</si>
  <si>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</si>
  <si>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</si>
  <si>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</si>
  <si>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</si>
  <si>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</si>
  <si>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</si>
  <si>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</si>
  <si>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</si>
  <si>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</si>
  <si>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</si>
  <si>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</si>
  <si>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</si>
  <si>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</si>
  <si>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</si>
  <si>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</si>
  <si>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</si>
  <si>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</si>
  <si>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</si>
  <si>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</si>
  <si>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</si>
  <si>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</si>
  <si>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</si>
  <si>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</si>
  <si>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</si>
  <si>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</si>
  <si>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</si>
  <si>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</si>
  <si>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</si>
  <si>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</si>
  <si>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</si>
  <si>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</si>
  <si>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</si>
  <si>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</si>
  <si>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</si>
  <si>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</si>
  <si>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</si>
  <si>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</si>
  <si>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</si>
  <si>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</si>
  <si>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</si>
  <si>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</si>
  <si>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</si>
  <si>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</si>
  <si>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</si>
  <si>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</si>
  <si>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</si>
  <si>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</si>
  <si>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</si>
  <si>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</si>
  <si>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</si>
  <si>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</si>
  <si>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</si>
  <si>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</si>
  <si>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</si>
  <si>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</si>
  <si>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</si>
  <si>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</si>
  <si>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</si>
  <si>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</si>
  <si>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</si>
  <si>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</si>
  <si>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</si>
  <si>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</si>
  <si>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</si>
  <si>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</si>
  <si>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</si>
  <si>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</si>
  <si>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</si>
  <si>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</si>
  <si>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</si>
  <si>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</si>
  <si>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</si>
  <si>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</si>
  <si>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</si>
  <si>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</si>
  <si>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</si>
  <si>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</si>
  <si>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</si>
  <si>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</si>
  <si>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</si>
  <si>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</si>
  <si>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</si>
  <si>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</si>
  <si>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</si>
  <si>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</si>
  <si>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</si>
  <si>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</si>
  <si>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</si>
  <si>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</si>
  <si>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</si>
  <si>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</si>
  <si>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</si>
  <si>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</si>
  <si>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</si>
  <si>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</si>
  <si>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</si>
  <si>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</si>
  <si>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</si>
  <si>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</si>
  <si>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</si>
  <si>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</si>
  <si>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</si>
  <si>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</si>
  <si>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</si>
  <si>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</si>
  <si>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</si>
  <si>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</si>
  <si>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</si>
  <si>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</si>
  <si>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</si>
  <si>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</si>
  <si>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</si>
  <si>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</si>
  <si>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</si>
  <si>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</si>
  <si>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</si>
  <si>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</si>
  <si>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</si>
  <si>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</si>
  <si>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</si>
  <si>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</si>
  <si>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</si>
  <si>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</si>
  <si>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</si>
  <si>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</si>
  <si>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</si>
  <si>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</si>
  <si>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</si>
  <si>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</si>
  <si>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</si>
  <si>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</si>
  <si>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</si>
  <si>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</si>
  <si>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</si>
  <si>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</si>
  <si>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</si>
  <si>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</si>
  <si>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</si>
  <si>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</si>
  <si>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</si>
  <si>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</si>
  <si>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</si>
  <si>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</si>
  <si>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</si>
  <si>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</si>
  <si>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</si>
  <si>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</si>
  <si>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</si>
  <si>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</si>
  <si>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</si>
  <si>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</si>
  <si>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</si>
  <si>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</si>
  <si>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</si>
  <si>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</si>
  <si>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</si>
  <si>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</si>
  <si>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</si>
  <si>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</si>
  <si>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</si>
  <si>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</si>
  <si>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</si>
  <si>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</si>
  <si>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</si>
  <si>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</si>
  <si>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</si>
  <si>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</si>
  <si>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</si>
  <si>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</si>
  <si>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</si>
  <si>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</si>
  <si>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</si>
  <si>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</si>
  <si>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</si>
  <si>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</si>
  <si>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</si>
  <si>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</si>
  <si>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</si>
  <si>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</si>
  <si>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</si>
  <si>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</si>
  <si>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</si>
  <si>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</si>
  <si>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</si>
  <si>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</si>
  <si>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</si>
  <si>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</si>
  <si>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</si>
  <si>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</si>
  <si>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</si>
  <si>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</si>
  <si>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</si>
  <si>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</si>
  <si>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</si>
  <si>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</si>
  <si>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</si>
  <si>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</si>
  <si>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</si>
  <si>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</si>
  <si>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</si>
  <si>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</si>
  <si>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</si>
  <si>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</si>
  <si>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</si>
  <si>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</si>
  <si>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</si>
  <si>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</si>
  <si>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</si>
  <si>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</si>
  <si>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</si>
  <si>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</si>
  <si>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</si>
  <si>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</si>
  <si>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</si>
  <si>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</si>
  <si>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</si>
  <si>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</si>
  <si>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</si>
  <si>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</si>
  <si>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</si>
  <si>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</si>
  <si>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</si>
  <si>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</si>
  <si>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</si>
  <si>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</si>
  <si>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</si>
  <si>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</si>
  <si>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</si>
  <si>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</si>
  <si>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</si>
  <si>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</si>
  <si>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</si>
  <si>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</si>
  <si>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</si>
  <si>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</si>
  <si>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</si>
  <si>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</si>
  <si>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</si>
  <si>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</si>
  <si>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</si>
  <si>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</si>
  <si>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</si>
  <si>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</si>
  <si>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</si>
  <si>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</si>
  <si>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</si>
  <si>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</si>
  <si>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</si>
  <si>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</si>
  <si>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</si>
  <si>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</si>
  <si>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</si>
  <si>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</si>
  <si>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</si>
  <si>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</si>
  <si>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</si>
  <si>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</si>
  <si>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</si>
  <si>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</si>
  <si>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</si>
  <si>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</si>
  <si>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</si>
  <si>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</si>
  <si>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</si>
  <si>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</si>
  <si>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</si>
  <si>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</si>
  <si>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</si>
  <si>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</si>
  <si>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</si>
  <si>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</si>
  <si>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</si>
  <si>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</si>
  <si>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</si>
  <si>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</si>
  <si>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</si>
  <si>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</si>
  <si>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</si>
  <si>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</si>
  <si>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</si>
  <si>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</si>
  <si>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</si>
  <si>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</si>
  <si>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</si>
  <si>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</si>
  <si>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</si>
  <si>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</si>
  <si>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</si>
  <si>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</si>
  <si>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</si>
  <si>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</si>
  <si>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</si>
  <si>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</si>
  <si>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</si>
  <si>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</si>
  <si>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</si>
  <si>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</si>
  <si>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</si>
  <si>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</si>
  <si>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</si>
  <si>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</si>
  <si>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</si>
  <si>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</si>
  <si>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</si>
  <si>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</si>
  <si>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</si>
  <si>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</si>
  <si>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</si>
  <si>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</si>
  <si>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</si>
  <si>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</si>
  <si>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</si>
  <si>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</si>
  <si>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</si>
  <si>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</si>
  <si>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</si>
  <si>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</si>
  <si>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</si>
  <si>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</si>
  <si>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</si>
  <si>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</si>
  <si>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</si>
  <si>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</si>
  <si>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</si>
  <si>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</si>
  <si>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</si>
  <si>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</si>
  <si>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</si>
  <si>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</si>
  <si>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</si>
  <si>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</si>
  <si>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</si>
  <si>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</si>
  <si>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</si>
  <si>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</si>
  <si>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</si>
  <si>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</si>
  <si>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</si>
  <si>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</si>
  <si>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</si>
  <si>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</si>
  <si>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</si>
  <si>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</si>
  <si>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</si>
  <si>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</si>
  <si>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</si>
  <si>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</si>
  <si>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</si>
  <si>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</si>
  <si>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</si>
  <si>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</si>
  <si>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</si>
  <si>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</si>
  <si>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</si>
  <si>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</si>
  <si>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</si>
  <si>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</si>
  <si>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</si>
  <si>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</si>
  <si>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</si>
  <si>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</si>
  <si>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</si>
  <si>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</si>
  <si>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</si>
  <si>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</si>
  <si>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</si>
  <si>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</si>
  <si>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</si>
  <si>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</si>
  <si>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</si>
  <si>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</si>
  <si>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</si>
  <si>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</si>
  <si>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</si>
  <si>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</si>
  <si>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</si>
  <si>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</si>
  <si>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</si>
  <si>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</si>
  <si>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</si>
  <si>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</si>
  <si>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</si>
  <si>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</si>
  <si>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</si>
  <si>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</si>
  <si>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</si>
  <si>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</si>
  <si>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</si>
  <si>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</si>
  <si>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</si>
  <si>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</si>
  <si>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</si>
  <si>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</si>
  <si>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</si>
  <si>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</si>
  <si>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</si>
  <si>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</si>
  <si>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</si>
  <si>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</si>
  <si>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</si>
  <si>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</si>
  <si>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</si>
  <si>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</si>
  <si>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</si>
  <si>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</si>
  <si>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</si>
  <si>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</si>
  <si>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</si>
  <si>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</si>
  <si>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</si>
  <si>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</si>
  <si>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</si>
  <si>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</si>
  <si>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</si>
  <si>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</si>
  <si>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</si>
  <si>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</si>
  <si>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</si>
  <si>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</si>
  <si>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</si>
  <si>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</si>
  <si>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</si>
  <si>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</si>
  <si>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</si>
  <si>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</si>
  <si>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</si>
  <si>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</si>
  <si>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</si>
  <si>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</si>
  <si>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</si>
  <si>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</si>
  <si>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</si>
  <si>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</si>
  <si>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</si>
  <si>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</si>
  <si>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</si>
  <si>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</si>
  <si>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</si>
  <si>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</si>
  <si>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</si>
  <si>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</si>
  <si>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</si>
  <si>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</si>
  <si>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</si>
  <si>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</si>
  <si>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</si>
  <si>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</si>
  <si>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</si>
  <si>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</si>
  <si>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</si>
  <si>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</si>
  <si>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</si>
  <si>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</si>
  <si>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</si>
  <si>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</si>
  <si>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</si>
  <si>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</si>
  <si>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</si>
  <si>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</si>
  <si>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</si>
  <si>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</si>
  <si>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</si>
  <si>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</si>
  <si>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</si>
  <si>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</si>
  <si>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</si>
  <si>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</si>
  <si>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</si>
  <si>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</si>
  <si>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</si>
  <si>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</si>
  <si>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</si>
  <si>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</si>
  <si>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</si>
  <si>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</si>
  <si>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</si>
  <si>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</si>
  <si>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</si>
  <si>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</si>
  <si>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</si>
  <si>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</si>
  <si>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</si>
  <si>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</si>
  <si>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</si>
  <si>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</si>
  <si>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</si>
  <si>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</si>
  <si>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</si>
  <si>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</si>
  <si>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</si>
  <si>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</si>
  <si>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</si>
  <si>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</si>
  <si>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</si>
  <si>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</si>
  <si>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</si>
  <si>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</si>
  <si>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</si>
  <si>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</si>
  <si>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</si>
  <si>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</si>
  <si>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</si>
  <si>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</si>
  <si>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</si>
  <si>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</si>
  <si>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</si>
  <si>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</si>
  <si>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</si>
  <si>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</si>
  <si>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</si>
  <si>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</si>
  <si>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</si>
  <si>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</si>
  <si>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</si>
  <si>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</si>
  <si>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</si>
  <si>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</si>
  <si>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</si>
  <si>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</si>
  <si>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</si>
  <si>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Encoder runtime [%]</t>
  </si>
  <si>
    <t>Decoder runtime [%]</t>
  </si>
  <si>
    <t>Seq.</t>
  </si>
  <si>
    <t>CWAI</t>
  </si>
  <si>
    <t>CWLD</t>
  </si>
  <si>
    <t>C2AI</t>
  </si>
  <si>
    <t>C2RA</t>
  </si>
  <si>
    <t>Cond.</t>
  </si>
  <si>
    <t>Geo.</t>
  </si>
  <si>
    <t xml:space="preserve"> Cb</t>
  </si>
  <si>
    <t>Cr</t>
  </si>
  <si>
    <t>Cb</t>
  </si>
  <si>
    <t>A</t>
  </si>
  <si>
    <t>Loot</t>
  </si>
  <si>
    <t>R&amp;B</t>
  </si>
  <si>
    <t>Soldier</t>
  </si>
  <si>
    <t>Queen</t>
  </si>
  <si>
    <t>B</t>
  </si>
  <si>
    <t>Long.</t>
  </si>
  <si>
    <t>Avg.</t>
  </si>
  <si>
    <t>A avg</t>
  </si>
  <si>
    <t>B avg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</si>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</sst>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4" borderId="7" xfId="0" applyFont="1" applyFill="1" applyBorder="1" applyAlignment="1">
      <alignment horizontal="center" wrapText="1"/>
    </xf>
    <xf numFmtId="0" fontId="1" fillId="4" borderId="8" xfId="0" applyFont="1" applyFill="1" applyBorder="1" applyAlignment="1">
      <alignment horizontal="center" wrapText="1"/>
    </xf>
    <xf numFmtId="0" fontId="1" fillId="5" borderId="9" xfId="0" applyFont="1" applyFill="1" applyBorder="1" applyAlignment="1">
      <alignment horizontal="center" wrapText="1"/>
    </xf>
    <xf numFmtId="0" fontId="1" fillId="5" borderId="8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vertical="center" wrapText="1"/>
    </xf>
    <xf numFmtId="9" fontId="0" fillId="0" borderId="11" xfId="0" applyNumberFormat="1" applyBorder="1" applyAlignment="1">
      <alignment horizontal="center"/>
    </xf>
    <xf numFmtId="9" fontId="0" fillId="0" borderId="12" xfId="0" applyNumberFormat="1" applyBorder="1" applyAlignment="1">
      <alignment horizontal="center"/>
    </xf>
    <xf numFmtId="0" fontId="1" fillId="12" borderId="18" xfId="0" applyFont="1" applyFill="1" applyBorder="1" applyAlignment="1">
      <alignment horizontal="center" wrapText="1"/>
    </xf>
    <xf numFmtId="0" fontId="1" fillId="12" borderId="0" xfId="0" applyFont="1" applyFill="1" applyBorder="1" applyAlignment="1">
      <alignment horizontal="center" wrapText="1"/>
    </xf>
    <xf numFmtId="0" fontId="1" fillId="12" borderId="20" xfId="0" applyFont="1" applyFill="1" applyBorder="1" applyAlignment="1">
      <alignment horizontal="center" wrapText="1"/>
    </xf>
    <xf numFmtId="0" fontId="0" fillId="12" borderId="21" xfId="0" applyFill="1" applyBorder="1" applyAlignment="1">
      <alignment horizontal="center"/>
    </xf>
    <xf numFmtId="0" fontId="0" fillId="12" borderId="22" xfId="0" applyFill="1" applyBorder="1"/>
    <xf numFmtId="0" fontId="0" fillId="12" borderId="21" xfId="0" applyFill="1" applyBorder="1"/>
    <xf numFmtId="0" fontId="0" fillId="8" borderId="15" xfId="0" applyFill="1" applyBorder="1"/>
    <xf numFmtId="0" fontId="0" fillId="8" borderId="2" xfId="0" applyFill="1" applyBorder="1"/>
    <xf numFmtId="164" fontId="0" fillId="8" borderId="15" xfId="0" applyNumberFormat="1" applyFill="1" applyBorder="1" applyAlignment="1">
      <alignment horizontal="center"/>
    </xf>
    <xf numFmtId="164" fontId="0" fillId="8" borderId="2" xfId="0" applyNumberFormat="1" applyFill="1" applyBorder="1" applyAlignment="1">
      <alignment horizontal="center"/>
    </xf>
    <xf numFmtId="164" fontId="0" fillId="8" borderId="19" xfId="0" applyNumberFormat="1" applyFill="1" applyBorder="1" applyAlignment="1">
      <alignment horizontal="center"/>
    </xf>
    <xf numFmtId="0" fontId="0" fillId="13" borderId="5" xfId="0" applyFill="1" applyBorder="1"/>
    <xf numFmtId="9" fontId="0" fillId="0" borderId="5" xfId="0" applyNumberFormat="1" applyBorder="1"/>
    <xf numFmtId="9" fontId="0" fillId="0" borderId="6" xfId="0" applyNumberFormat="1" applyBorder="1"/>
    <xf numFmtId="0" fontId="0" fillId="10" borderId="18" xfId="0" applyFill="1" applyBorder="1"/>
    <xf numFmtId="0" fontId="0" fillId="10" borderId="0" xfId="0" applyFill="1" applyBorder="1"/>
    <xf numFmtId="164" fontId="0" fillId="10" borderId="18" xfId="0" applyNumberFormat="1" applyFill="1" applyBorder="1" applyAlignment="1">
      <alignment horizontal="center"/>
    </xf>
    <xf numFmtId="164" fontId="0" fillId="10" borderId="0" xfId="0" applyNumberFormat="1" applyFill="1" applyBorder="1" applyAlignment="1">
      <alignment horizontal="center"/>
    </xf>
    <xf numFmtId="164" fontId="0" fillId="10" borderId="20" xfId="0" applyNumberFormat="1" applyFill="1" applyBorder="1" applyAlignment="1">
      <alignment horizontal="center"/>
    </xf>
    <xf numFmtId="0" fontId="0" fillId="14" borderId="21" xfId="0" applyFill="1" applyBorder="1"/>
    <xf numFmtId="9" fontId="0" fillId="14" borderId="21" xfId="0" applyNumberFormat="1" applyFill="1" applyBorder="1"/>
    <xf numFmtId="9" fontId="0" fillId="14" borderId="22" xfId="0" applyNumberFormat="1" applyFill="1" applyBorder="1"/>
    <xf numFmtId="0" fontId="0" fillId="8" borderId="18" xfId="0" applyFill="1" applyBorder="1"/>
    <xf numFmtId="0" fontId="0" fillId="8" borderId="0" xfId="0" applyFill="1" applyBorder="1"/>
    <xf numFmtId="164" fontId="0" fillId="8" borderId="18" xfId="0" applyNumberFormat="1" applyFill="1" applyBorder="1" applyAlignment="1">
      <alignment horizontal="center"/>
    </xf>
    <xf numFmtId="164" fontId="0" fillId="8" borderId="0" xfId="0" applyNumberFormat="1" applyFill="1" applyBorder="1" applyAlignment="1">
      <alignment horizontal="center"/>
    </xf>
    <xf numFmtId="164" fontId="0" fillId="8" borderId="20" xfId="0" applyNumberFormat="1" applyFill="1" applyBorder="1" applyAlignment="1">
      <alignment horizontal="center"/>
    </xf>
    <xf numFmtId="0" fontId="0" fillId="13" borderId="21" xfId="0" applyFill="1" applyBorder="1"/>
    <xf numFmtId="9" fontId="0" fillId="13" borderId="21" xfId="0" applyNumberFormat="1" applyFill="1" applyBorder="1"/>
    <xf numFmtId="9" fontId="0" fillId="13" borderId="22" xfId="0" applyNumberFormat="1" applyFill="1" applyBorder="1"/>
    <xf numFmtId="0" fontId="0" fillId="10" borderId="23" xfId="0" applyFill="1" applyBorder="1"/>
    <xf numFmtId="164" fontId="0" fillId="10" borderId="23" xfId="0" applyNumberFormat="1" applyFill="1" applyBorder="1" applyAlignment="1">
      <alignment horizontal="center"/>
    </xf>
    <xf numFmtId="164" fontId="0" fillId="10" borderId="24" xfId="0" applyNumberFormat="1" applyFill="1" applyBorder="1" applyAlignment="1">
      <alignment horizontal="center"/>
    </xf>
    <xf numFmtId="0" fontId="0" fillId="14" borderId="7" xfId="0" applyFill="1" applyBorder="1"/>
    <xf numFmtId="9" fontId="0" fillId="14" borderId="7" xfId="0" applyNumberFormat="1" applyFill="1" applyBorder="1"/>
    <xf numFmtId="9" fontId="0" fillId="14" borderId="8" xfId="0" applyNumberFormat="1" applyFill="1" applyBorder="1"/>
    <xf numFmtId="0" fontId="0" fillId="8" borderId="23" xfId="0" applyFill="1" applyBorder="1"/>
    <xf numFmtId="164" fontId="0" fillId="8" borderId="23" xfId="0" applyNumberFormat="1" applyFill="1" applyBorder="1" applyAlignment="1">
      <alignment horizontal="center"/>
    </xf>
    <xf numFmtId="164" fontId="0" fillId="8" borderId="24" xfId="0" applyNumberFormat="1" applyFill="1" applyBorder="1" applyAlignment="1">
      <alignment horizontal="center"/>
    </xf>
    <xf numFmtId="0" fontId="0" fillId="0" borderId="10" xfId="0" applyBorder="1"/>
    <xf numFmtId="9" fontId="0" fillId="0" borderId="10" xfId="0" applyNumberFormat="1" applyBorder="1"/>
    <xf numFmtId="9" fontId="0" fillId="0" borderId="12" xfId="0" applyNumberFormat="1" applyBorder="1"/>
    <xf numFmtId="9" fontId="0" fillId="0" borderId="4" xfId="0" applyNumberFormat="1" applyBorder="1"/>
    <xf numFmtId="164" fontId="0" fillId="0" borderId="18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4" borderId="5" xfId="0" applyFont="1" applyFill="1" applyBorder="1" applyAlignment="1">
      <alignment horizontal="center" wrapText="1"/>
    </xf>
    <xf numFmtId="0" fontId="1" fillId="4" borderId="6" xfId="0" applyFont="1" applyFill="1" applyBorder="1" applyAlignment="1">
      <alignment horizontal="center" wrapText="1"/>
    </xf>
    <xf numFmtId="0" fontId="1" fillId="5" borderId="5" xfId="0" applyFont="1" applyFill="1" applyBorder="1" applyAlignment="1">
      <alignment horizontal="center" wrapText="1"/>
    </xf>
    <xf numFmtId="0" fontId="1" fillId="5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0" fillId="12" borderId="5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1" fillId="0" borderId="15" xfId="0" applyFont="1" applyBorder="1" applyAlignment="1">
      <alignment horizontal="left" wrapText="1"/>
    </xf>
    <xf numFmtId="0" fontId="1" fillId="0" borderId="19" xfId="0" applyFont="1" applyBorder="1" applyAlignment="1">
      <alignment horizontal="left" wrapText="1"/>
    </xf>
    <xf numFmtId="0" fontId="1" fillId="12" borderId="15" xfId="0" applyFont="1" applyFill="1" applyBorder="1" applyAlignment="1">
      <alignment horizontal="center" vertical="top" textRotation="180" wrapText="1"/>
    </xf>
    <xf numFmtId="0" fontId="1" fillId="12" borderId="18" xfId="0" applyFont="1" applyFill="1" applyBorder="1" applyAlignment="1">
      <alignment horizontal="center" vertical="top" textRotation="180" wrapText="1"/>
    </xf>
    <xf numFmtId="0" fontId="1" fillId="12" borderId="23" xfId="0" applyFont="1" applyFill="1" applyBorder="1" applyAlignment="1">
      <alignment horizontal="center" vertical="top" textRotation="180" wrapText="1"/>
    </xf>
    <xf numFmtId="0" fontId="1" fillId="12" borderId="19" xfId="0" applyFont="1" applyFill="1" applyBorder="1" applyAlignment="1">
      <alignment horizontal="center" vertical="top" textRotation="180"/>
    </xf>
    <xf numFmtId="0" fontId="1" fillId="12" borderId="20" xfId="0" applyFont="1" applyFill="1" applyBorder="1" applyAlignment="1">
      <alignment horizontal="center" vertical="top" textRotation="180"/>
    </xf>
    <xf numFmtId="0" fontId="1" fillId="12" borderId="24" xfId="0" applyFont="1" applyFill="1" applyBorder="1" applyAlignment="1">
      <alignment horizontal="center" vertical="top" textRotation="180"/>
    </xf>
    <xf numFmtId="0" fontId="0" fillId="12" borderId="16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1" fillId="12" borderId="15" xfId="0" applyFont="1" applyFill="1" applyBorder="1" applyAlignment="1">
      <alignment horizontal="center" wrapText="1"/>
    </xf>
    <xf numFmtId="0" fontId="1" fillId="12" borderId="2" xfId="0" applyFont="1" applyFill="1" applyBorder="1" applyAlignment="1">
      <alignment horizontal="center" wrapText="1"/>
    </xf>
    <xf numFmtId="0" fontId="1" fillId="12" borderId="19" xfId="0" applyFont="1" applyFill="1" applyBorder="1" applyAlignment="1">
      <alignment horizontal="center" wrapText="1"/>
    </xf>
    <xf numFmtId="0" fontId="1" fillId="0" borderId="18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3" xfId="0" applyFont="1" applyBorder="1" applyAlignment="1">
      <alignment horizontal="left" wrapText="1"/>
    </xf>
    <xf numFmtId="0" fontId="1" fillId="0" borderId="24" xfId="0" applyFont="1" applyBorder="1" applyAlignment="1">
      <alignment horizontal="left" wrapText="1"/>
    </xf>
    <xf numFmtId="0" fontId="0" fillId="12" borderId="13" xfId="0" applyFill="1" applyBorder="1" applyAlignment="1">
      <alignment horizontal="center" vertical="center"/>
    </xf>
    <xf numFmtId="0" fontId="0" fillId="12" borderId="14" xfId="0" applyFill="1" applyBorder="1" applyAlignment="1">
      <alignment horizontal="center" vertical="center"/>
    </xf>
  </cellXfs>
  <cellStyles count="1">
    <cellStyle name="Normal" xfId="0" builtinId="0"/>
  </cellStyles>
  <dxfs count="122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9.5667015604377459E-2</c:v>
                </c:pt>
                <c:pt idx="1">
                  <c:v>0.1480857836383504</c:v>
                </c:pt>
                <c:pt idx="2">
                  <c:v>0.24396942823365536</c:v>
                </c:pt>
                <c:pt idx="3">
                  <c:v>0.42883182856699481</c:v>
                </c:pt>
                <c:pt idx="4">
                  <c:v>0.78143909346535523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66.416709374999996</c:v>
                </c:pt>
                <c:pt idx="1">
                  <c:v>68.286290625000007</c:v>
                </c:pt>
                <c:pt idx="2">
                  <c:v>69.664112500000002</c:v>
                </c:pt>
                <c:pt idx="3">
                  <c:v>70.772203125000004</c:v>
                </c:pt>
                <c:pt idx="4">
                  <c:v>71.648624999999996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2F-47AC-8220-DA77F8D1C085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66.395740625000002</c:v>
                </c:pt>
                <c:pt idx="1">
                  <c:v>68.286643749999996</c:v>
                </c:pt>
                <c:pt idx="2">
                  <c:v>69.66915625</c:v>
                </c:pt>
                <c:pt idx="3">
                  <c:v>70.735515625000005</c:v>
                </c:pt>
                <c:pt idx="4">
                  <c:v>71.631712500000006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2F-47AC-8220-DA77F8D1C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9.5667015604377459E-2</c:v>
                </c:pt>
                <c:pt idx="1">
                  <c:v>0.1480857836383504</c:v>
                </c:pt>
                <c:pt idx="2">
                  <c:v>0.24396942823365536</c:v>
                </c:pt>
                <c:pt idx="3">
                  <c:v>0.42883182856699481</c:v>
                </c:pt>
                <c:pt idx="4">
                  <c:v>0.78143909346535523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68.698793749999993</c:v>
                </c:pt>
                <c:pt idx="1">
                  <c:v>70.637731250000002</c:v>
                </c:pt>
                <c:pt idx="2">
                  <c:v>72.339937500000005</c:v>
                </c:pt>
                <c:pt idx="3">
                  <c:v>73.601446874999993</c:v>
                </c:pt>
                <c:pt idx="4">
                  <c:v>74.759387500000003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C2-4161-A2EF-B9B45F1B13D0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68.439759374999994</c:v>
                </c:pt>
                <c:pt idx="1">
                  <c:v>70.352028125000004</c:v>
                </c:pt>
                <c:pt idx="2">
                  <c:v>72.027443750000003</c:v>
                </c:pt>
                <c:pt idx="3">
                  <c:v>73.265771874999999</c:v>
                </c:pt>
                <c:pt idx="4">
                  <c:v>74.407109375000005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C2-4161-A2EF-B9B45F1B1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9.5667015604377459E-2</c:v>
                </c:pt>
                <c:pt idx="1">
                  <c:v>0.1480857836383504</c:v>
                </c:pt>
                <c:pt idx="2">
                  <c:v>0.24396942823365536</c:v>
                </c:pt>
                <c:pt idx="3">
                  <c:v>0.42883182856699481</c:v>
                </c:pt>
                <c:pt idx="4">
                  <c:v>0.78143909346535523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32.138975000000002</c:v>
                </c:pt>
                <c:pt idx="1">
                  <c:v>34.415759375</c:v>
                </c:pt>
                <c:pt idx="2">
                  <c:v>36.965259375000002</c:v>
                </c:pt>
                <c:pt idx="3">
                  <c:v>39.627793750000002</c:v>
                </c:pt>
                <c:pt idx="4">
                  <c:v>42.201481250000001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65-444D-9EB7-4E4149A6003F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32.151171875000003</c:v>
                </c:pt>
                <c:pt idx="1">
                  <c:v>34.43336875</c:v>
                </c:pt>
                <c:pt idx="2">
                  <c:v>36.978884375</c:v>
                </c:pt>
                <c:pt idx="3">
                  <c:v>39.621790625000003</c:v>
                </c:pt>
                <c:pt idx="4">
                  <c:v>42.051034375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65-444D-9EB7-4E4149A60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9.5667015604377459E-2</c:v>
                </c:pt>
                <c:pt idx="1">
                  <c:v>0.1480857836383504</c:v>
                </c:pt>
                <c:pt idx="2">
                  <c:v>0.24396942823365536</c:v>
                </c:pt>
                <c:pt idx="3">
                  <c:v>0.42883182856699481</c:v>
                </c:pt>
                <c:pt idx="4">
                  <c:v>0.78143909346535523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44.148996875000002</c:v>
                </c:pt>
                <c:pt idx="1">
                  <c:v>45.3825875</c:v>
                </c:pt>
                <c:pt idx="2">
                  <c:v>46.468137499999997</c:v>
                </c:pt>
                <c:pt idx="3">
                  <c:v>47.792531250000003</c:v>
                </c:pt>
                <c:pt idx="4">
                  <c:v>49.403550000000003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5F-47D4-A295-66FD16F6A736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44.135159375000001</c:v>
                </c:pt>
                <c:pt idx="1">
                  <c:v>45.414081250000002</c:v>
                </c:pt>
                <c:pt idx="2">
                  <c:v>46.488531250000001</c:v>
                </c:pt>
                <c:pt idx="3">
                  <c:v>47.778500000000001</c:v>
                </c:pt>
                <c:pt idx="4">
                  <c:v>49.409953125000001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5F-47D4-A295-66FD16F6A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9.5667015604377459E-2</c:v>
                </c:pt>
                <c:pt idx="1">
                  <c:v>0.1480857836383504</c:v>
                </c:pt>
                <c:pt idx="2">
                  <c:v>0.24396942823365536</c:v>
                </c:pt>
                <c:pt idx="3">
                  <c:v>0.42883182856699481</c:v>
                </c:pt>
                <c:pt idx="4">
                  <c:v>0.78143909346535523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43.792149999999999</c:v>
                </c:pt>
                <c:pt idx="1">
                  <c:v>45.092634375000003</c:v>
                </c:pt>
                <c:pt idx="2">
                  <c:v>46.330528125000001</c:v>
                </c:pt>
                <c:pt idx="3">
                  <c:v>47.850837499999997</c:v>
                </c:pt>
                <c:pt idx="4">
                  <c:v>49.534043750000002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F4-47C7-AFCB-4DFE4FBD3AF3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43.713462499999999</c:v>
                </c:pt>
                <c:pt idx="1">
                  <c:v>45.089015625000002</c:v>
                </c:pt>
                <c:pt idx="2">
                  <c:v>46.325428125000002</c:v>
                </c:pt>
                <c:pt idx="3">
                  <c:v>47.798987500000003</c:v>
                </c:pt>
                <c:pt idx="4">
                  <c:v>49.533196875000002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F4-47C7-AFCB-4DFE4FBD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9.5667015604377459E-2</c:v>
                </c:pt>
                <c:pt idx="1">
                  <c:v>0.1480857836383504</c:v>
                </c:pt>
                <c:pt idx="2">
                  <c:v>0.24396942823365536</c:v>
                </c:pt>
                <c:pt idx="3">
                  <c:v>0.42883182856699481</c:v>
                </c:pt>
                <c:pt idx="4">
                  <c:v>0.78143909346535523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E-4170-A159-ADAA0508F252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E-4170-A159-ADAA0508F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55"/>
  <sheetViews>
    <sheetView topLeftCell="A31" workbookViewId="0">
      <selection activeCell="F55" sqref="B50:F55"/>
    </sheetView>
  </sheetViews>
  <sheetFormatPr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120" t="s">
        <v>2</v>
      </c>
      <c r="D1" s="120"/>
      <c r="E1" s="120"/>
    </row>
    <row r="2" spans="2:12" x14ac:dyDescent="0.3">
      <c r="B2" t="s">
        <v>1</v>
      </c>
      <c r="C2" s="121" t="s">
        <v>3</v>
      </c>
      <c r="D2" s="121"/>
      <c r="E2" s="121"/>
    </row>
    <row r="4" spans="2:12" s="1" customFormat="1" x14ac:dyDescent="0.3">
      <c r="B4" s="1" t="s">
        <v>296</v>
      </c>
    </row>
    <row r="6" spans="2:12" x14ac:dyDescent="0.3">
      <c r="B6" s="122" t="s">
        <v>297</v>
      </c>
      <c r="C6" s="123" t="s">
        <v>298</v>
      </c>
      <c r="D6" s="123"/>
      <c r="E6" s="123"/>
      <c r="F6" s="123"/>
      <c r="G6" s="123"/>
      <c r="H6" s="123"/>
      <c r="I6" s="123"/>
      <c r="J6" s="123"/>
      <c r="K6" s="123"/>
      <c r="L6" s="123"/>
    </row>
    <row r="7" spans="2:12" x14ac:dyDescent="0.3">
      <c r="B7" s="122"/>
      <c r="C7" s="124" t="s">
        <v>237</v>
      </c>
      <c r="D7" s="124"/>
      <c r="E7" s="125" t="s">
        <v>242</v>
      </c>
      <c r="F7" s="125"/>
      <c r="G7" s="125"/>
      <c r="H7" s="124" t="s">
        <v>249</v>
      </c>
      <c r="I7" s="124"/>
      <c r="J7" s="125" t="s">
        <v>254</v>
      </c>
      <c r="K7" s="125"/>
      <c r="L7" s="125"/>
    </row>
    <row r="8" spans="2:12" x14ac:dyDescent="0.3">
      <c r="B8" s="122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3">
      <c r="B9" s="4" t="s">
        <v>288</v>
      </c>
      <c r="C9" s="5">
        <f>'C2 lossyG,lossyA,intra'!$BI$30:$BI$30</f>
        <v>4.5463604921230916E-3</v>
      </c>
      <c r="D9" s="5">
        <f>'C2 lossyG,lossyA,intra'!$BJ$30:$BJ$30</f>
        <v>4.5520968633371017E-2</v>
      </c>
      <c r="E9" s="5">
        <f>'C2 lossyG,lossyA,intra'!$BK$30:$BK$30</f>
        <v>-8.9531075498154034E-3</v>
      </c>
      <c r="F9" s="5">
        <f>'C2 lossyG,lossyA,intra'!$BL$30:$BL$30</f>
        <v>4.0477901039670527E-5</v>
      </c>
      <c r="G9" s="5">
        <f>'C2 lossyG,lossyA,intra'!$BM$30:$BM$30</f>
        <v>6.6282904027222533E-3</v>
      </c>
      <c r="H9" s="5">
        <f>'C2 lossyG,lossyA,intra'!$BO$30:$BO$30</f>
        <v>3.5486269693239536E-3</v>
      </c>
      <c r="I9" s="5">
        <f>'C2 lossyG,lossyA,intra'!$BP$30:$BP$30</f>
        <v>8.7749158330304111E-2</v>
      </c>
      <c r="J9" s="5">
        <f>'C2 lossyG,lossyA,intra'!$BQ$30:$BQ$30</f>
        <v>-5.5762800220403308E-3</v>
      </c>
      <c r="K9" s="5">
        <f>'C2 lossyG,lossyA,intra'!$BR$30:$BR$30</f>
        <v>1.0808009848007616E-3</v>
      </c>
      <c r="L9" s="5">
        <f>'C2 lossyG,lossyA,intra'!$BS$30:$BS$30</f>
        <v>6.2434767169425309E-3</v>
      </c>
    </row>
    <row r="10" spans="2:12" x14ac:dyDescent="0.3">
      <c r="B10" s="4" t="s">
        <v>289</v>
      </c>
      <c r="C10" s="5">
        <f>'C2 lossyG,lossyA,intra'!$BI$31:$BI$31</f>
        <v>9.5946593186435614E-4</v>
      </c>
      <c r="D10" s="5">
        <f>'C2 lossyG,lossyA,intra'!$BJ$31:$BJ$31</f>
        <v>4.0309036279319921E-2</v>
      </c>
      <c r="E10" s="5">
        <f>'C2 lossyG,lossyA,intra'!$BK$31:$BK$31</f>
        <v>2.0101084245323086E-3</v>
      </c>
      <c r="F10" s="5">
        <f>'C2 lossyG,lossyA,intra'!$BL$31:$BL$31</f>
        <v>-1.6325849700583484E-2</v>
      </c>
      <c r="G10" s="5">
        <f>'C2 lossyG,lossyA,intra'!$BM$31:$BM$31</f>
        <v>-1.5270183926531677E-2</v>
      </c>
      <c r="H10" s="5">
        <f>'C2 lossyG,lossyA,intra'!$BO$31:$BO$31</f>
        <v>-4.3691908040832672E-4</v>
      </c>
      <c r="I10" s="5">
        <f>'C2 lossyG,lossyA,intra'!$BP$31:$BP$31</f>
        <v>8.7804043437782031E-2</v>
      </c>
      <c r="J10" s="5">
        <f>'C2 lossyG,lossyA,intra'!$BQ$31:$BQ$31</f>
        <v>3.1933187494650461E-3</v>
      </c>
      <c r="K10" s="5">
        <f>'C2 lossyG,lossyA,intra'!$BR$31:$BR$31</f>
        <v>-1.4610603120147836E-2</v>
      </c>
      <c r="L10" s="5">
        <f>'C2 lossyG,lossyA,intra'!$BS$31:$BS$31</f>
        <v>-1.3755199890445269E-2</v>
      </c>
    </row>
    <row r="11" spans="2:12" x14ac:dyDescent="0.3">
      <c r="B11" s="6" t="s">
        <v>290</v>
      </c>
      <c r="C11" s="7">
        <f>'C2 lossyG,lossyA,intra'!$BI$32:$BI$32</f>
        <v>3.8289815800713447E-3</v>
      </c>
      <c r="D11" s="7">
        <f>'C2 lossyG,lossyA,intra'!$BJ$32:$BJ$32</f>
        <v>4.4478582162560801E-2</v>
      </c>
      <c r="E11" s="7">
        <f>'C2 lossyG,lossyA,intra'!$BK$32:$BK$32</f>
        <v>-6.7604643549458608E-3</v>
      </c>
      <c r="F11" s="7">
        <f>'C2 lossyG,lossyA,intra'!$BL$32:$BL$32</f>
        <v>-3.2327876192849601E-3</v>
      </c>
      <c r="G11" s="7">
        <f>'C2 lossyG,lossyA,intra'!$BM$32:$BM$32</f>
        <v>2.2485955368714674E-3</v>
      </c>
      <c r="H11" s="7">
        <f>'C2 lossyG,lossyA,intra'!$BO$32:$BO$32</f>
        <v>2.7515177593774977E-3</v>
      </c>
      <c r="I11" s="7">
        <f>'C2 lossyG,lossyA,intra'!$BP$32:$BP$32</f>
        <v>8.776013535179969E-2</v>
      </c>
      <c r="J11" s="7">
        <f>'C2 lossyG,lossyA,intra'!$BQ$32:$BQ$32</f>
        <v>-3.8223602677392556E-3</v>
      </c>
      <c r="K11" s="7">
        <f>'C2 lossyG,lossyA,intra'!$BR$32:$BR$32</f>
        <v>-2.057479836188958E-3</v>
      </c>
      <c r="L11" s="7">
        <f>'C2 lossyG,lossyA,intra'!$BS$32:$BS$32</f>
        <v>2.2437413954649712E-3</v>
      </c>
    </row>
    <row r="12" spans="2:12" x14ac:dyDescent="0.3">
      <c r="B12" t="s">
        <v>299</v>
      </c>
      <c r="C12" s="126">
        <f>'C2 lossyG,lossyA,intra'!AZ36</f>
        <v>0.46276936188478535</v>
      </c>
      <c r="D12" s="126"/>
      <c r="E12" s="126"/>
      <c r="F12" s="126"/>
      <c r="G12" s="126"/>
      <c r="H12" s="126"/>
      <c r="I12" s="126"/>
      <c r="J12" s="126"/>
      <c r="K12" s="126"/>
      <c r="L12" s="126"/>
    </row>
    <row r="13" spans="2:12" x14ac:dyDescent="0.3">
      <c r="B13" s="9" t="s">
        <v>300</v>
      </c>
      <c r="C13" s="127">
        <f>'C2 lossyG,lossyA,intra'!BB36</f>
        <v>0.78419530619046918</v>
      </c>
      <c r="D13" s="127"/>
      <c r="E13" s="127"/>
      <c r="F13" s="127"/>
      <c r="G13" s="127"/>
      <c r="H13" s="127"/>
      <c r="I13" s="127"/>
      <c r="J13" s="127"/>
      <c r="K13" s="127"/>
      <c r="L13" s="127"/>
    </row>
    <row r="15" spans="2:12" x14ac:dyDescent="0.3">
      <c r="B15" s="122" t="s">
        <v>381</v>
      </c>
      <c r="C15" s="123" t="s">
        <v>382</v>
      </c>
      <c r="D15" s="123"/>
      <c r="E15" s="123"/>
    </row>
    <row r="16" spans="2:12" x14ac:dyDescent="0.3">
      <c r="B16" s="122"/>
      <c r="C16" s="124" t="s">
        <v>357</v>
      </c>
      <c r="D16" s="124"/>
      <c r="E16" s="124"/>
    </row>
    <row r="17" spans="2:5" x14ac:dyDescent="0.3">
      <c r="B17" s="122"/>
      <c r="C17" s="2" t="s">
        <v>118</v>
      </c>
      <c r="D17" s="2" t="s">
        <v>124</v>
      </c>
      <c r="E17" s="2" t="s">
        <v>150</v>
      </c>
    </row>
    <row r="18" spans="2:5" x14ac:dyDescent="0.3">
      <c r="B18" s="4" t="s">
        <v>288</v>
      </c>
      <c r="C18" s="5">
        <f>'CW losslG,losslA,intra'!BB10</f>
        <v>0.98567488055549457</v>
      </c>
      <c r="D18" s="5">
        <f>'CW losslG,losslA,intra'!BC10</f>
        <v>0.99137664388307101</v>
      </c>
      <c r="E18" s="5">
        <f>'CW losslG,losslA,intra'!BD10</f>
        <v>0.98462195983691148</v>
      </c>
    </row>
    <row r="19" spans="2:5" x14ac:dyDescent="0.3">
      <c r="B19" s="4" t="s">
        <v>289</v>
      </c>
      <c r="C19" s="5">
        <f>'CW losslG,losslA,intra'!BB11</f>
        <v>1.0010191666475756</v>
      </c>
      <c r="D19" s="5">
        <f>'CW losslG,losslA,intra'!BC11</f>
        <v>0.998158892721702</v>
      </c>
      <c r="E19" s="5">
        <f>'CW losslG,losslA,intra'!BD11</f>
        <v>1.0013820688361559</v>
      </c>
    </row>
    <row r="20" spans="2:5" x14ac:dyDescent="0.3">
      <c r="B20" s="6" t="s">
        <v>290</v>
      </c>
      <c r="C20" s="7">
        <f>'CW losslG,losslA,intra'!BB12</f>
        <v>0.9898117586533709</v>
      </c>
      <c r="D20" s="7">
        <f>'CW losslG,losslA,intra'!BC12</f>
        <v>0.99281450793871995</v>
      </c>
      <c r="E20" s="7">
        <f>'CW losslG,losslA,intra'!BD12</f>
        <v>0.98929312593340413</v>
      </c>
    </row>
    <row r="21" spans="2:5" x14ac:dyDescent="0.3">
      <c r="B21" t="s">
        <v>299</v>
      </c>
      <c r="C21" s="126">
        <f>'CW losslG,losslA,intra'!AW16</f>
        <v>0.46150824697496157</v>
      </c>
      <c r="D21" s="126"/>
      <c r="E21" s="126"/>
    </row>
    <row r="22" spans="2:5" x14ac:dyDescent="0.3">
      <c r="B22" s="9" t="s">
        <v>300</v>
      </c>
      <c r="C22" s="127">
        <f>'CW losslG,losslA,intra'!AY16</f>
        <v>0.733096869762773</v>
      </c>
      <c r="D22" s="127"/>
      <c r="E22" s="127"/>
    </row>
    <row r="24" spans="2:5" s="1" customFormat="1" x14ac:dyDescent="0.3">
      <c r="B24" s="1" t="s">
        <v>456</v>
      </c>
    </row>
    <row r="26" spans="2:5" x14ac:dyDescent="0.3">
      <c r="B26" s="122" t="s">
        <v>457</v>
      </c>
      <c r="C26" s="123" t="s">
        <v>458</v>
      </c>
      <c r="D26" s="123"/>
      <c r="E26" s="123"/>
    </row>
    <row r="27" spans="2:5" x14ac:dyDescent="0.3">
      <c r="B27" s="122"/>
      <c r="C27" s="124" t="s">
        <v>357</v>
      </c>
      <c r="D27" s="124"/>
      <c r="E27" s="124"/>
    </row>
    <row r="28" spans="2:5" x14ac:dyDescent="0.3">
      <c r="B28" s="122"/>
      <c r="C28" s="2" t="s">
        <v>118</v>
      </c>
      <c r="D28" s="2" t="s">
        <v>124</v>
      </c>
      <c r="E28" s="2" t="s">
        <v>150</v>
      </c>
    </row>
    <row r="29" spans="2:5" x14ac:dyDescent="0.3">
      <c r="B29" s="4" t="s">
        <v>288</v>
      </c>
      <c r="C29" s="5">
        <f>'CW losslG,losslA,interLD'!BB10</f>
        <v>0.99727730904710321</v>
      </c>
      <c r="D29" s="5">
        <f>'CW losslG,losslA,interLD'!BC10</f>
        <v>0.99466808734597378</v>
      </c>
      <c r="E29" s="5">
        <f>'CW losslG,losslA,interLD'!BD10</f>
        <v>0.99787176043386305</v>
      </c>
    </row>
    <row r="30" spans="2:5" x14ac:dyDescent="0.3">
      <c r="B30" s="4" t="s">
        <v>289</v>
      </c>
      <c r="C30" s="5">
        <f>'CW losslG,losslA,interLD'!BB11</f>
        <v>0.99777182348742577</v>
      </c>
      <c r="D30" s="5">
        <f>'CW losslG,losslA,interLD'!BC11</f>
        <v>0.99694803938024756</v>
      </c>
      <c r="E30" s="5">
        <f>'CW losslG,losslA,interLD'!BD11</f>
        <v>0.99785499453662396</v>
      </c>
    </row>
    <row r="31" spans="2:5" x14ac:dyDescent="0.3">
      <c r="B31" s="6" t="s">
        <v>290</v>
      </c>
      <c r="C31" s="7">
        <f>'CW losslG,losslA,interLD'!BB12</f>
        <v>0.99741508036848392</v>
      </c>
      <c r="D31" s="7">
        <f>'CW losslG,losslA,interLD'!BC12</f>
        <v>0.99516219577457976</v>
      </c>
      <c r="E31" s="7">
        <f>'CW losslG,losslA,interLD'!BD12</f>
        <v>0.99786692381992714</v>
      </c>
    </row>
    <row r="32" spans="2:5" x14ac:dyDescent="0.3">
      <c r="B32" t="s">
        <v>299</v>
      </c>
      <c r="C32" s="126">
        <f>'CW losslG,losslA,interLD'!AW16</f>
        <v>0.46239559348631898</v>
      </c>
      <c r="D32" s="126"/>
      <c r="E32" s="126"/>
    </row>
    <row r="33" spans="2:12" x14ac:dyDescent="0.3">
      <c r="B33" s="9" t="s">
        <v>300</v>
      </c>
      <c r="C33" s="127">
        <f>'CW losslG,losslA,interLD'!AY16</f>
        <v>0.76115155496617026</v>
      </c>
      <c r="D33" s="127"/>
      <c r="E33" s="127"/>
    </row>
    <row r="35" spans="2:12" s="1" customFormat="1" x14ac:dyDescent="0.3">
      <c r="B35" s="1" t="s">
        <v>543</v>
      </c>
    </row>
    <row r="37" spans="2:12" x14ac:dyDescent="0.3">
      <c r="B37" s="122" t="s">
        <v>544</v>
      </c>
      <c r="C37" s="123" t="s">
        <v>545</v>
      </c>
      <c r="D37" s="123"/>
      <c r="E37" s="123"/>
      <c r="F37" s="123"/>
      <c r="G37" s="123"/>
      <c r="H37" s="123"/>
      <c r="I37" s="123"/>
      <c r="J37" s="123"/>
      <c r="K37" s="123"/>
      <c r="L37" s="123"/>
    </row>
    <row r="38" spans="2:12" x14ac:dyDescent="0.3">
      <c r="B38" s="122"/>
      <c r="C38" s="124" t="s">
        <v>237</v>
      </c>
      <c r="D38" s="124"/>
      <c r="E38" s="125" t="s">
        <v>242</v>
      </c>
      <c r="F38" s="125"/>
      <c r="G38" s="125"/>
      <c r="H38" s="124" t="s">
        <v>249</v>
      </c>
      <c r="I38" s="124"/>
      <c r="J38" s="125" t="s">
        <v>254</v>
      </c>
      <c r="K38" s="125"/>
      <c r="L38" s="125"/>
    </row>
    <row r="39" spans="2:12" x14ac:dyDescent="0.3">
      <c r="B39" s="122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3">
      <c r="B40" s="4" t="s">
        <v>288</v>
      </c>
      <c r="C40" s="5">
        <f>'C2 lossyG,lossyA,interRA'!$BI$30:$BI$30</f>
        <v>-1.5778983084610065E-2</v>
      </c>
      <c r="D40" s="5">
        <f>'C2 lossyG,lossyA,interRA'!$BJ$30:$BJ$30</f>
        <v>2.5709486697836625E-2</v>
      </c>
      <c r="E40" s="5">
        <f>'C2 lossyG,lossyA,interRA'!$BK$30:$BK$30</f>
        <v>-1.9541471336323224E-2</v>
      </c>
      <c r="F40" s="5">
        <f>'C2 lossyG,lossyA,interRA'!$BL$30:$BL$30</f>
        <v>-3.9472024377442405E-3</v>
      </c>
      <c r="G40" s="5">
        <f>'C2 lossyG,lossyA,interRA'!$BM$30:$BM$30</f>
        <v>-4.9331772796933904E-3</v>
      </c>
      <c r="H40" s="5">
        <f>'C2 lossyG,lossyA,interRA'!$BO$30:$BO$30</f>
        <v>-1.1053478353533985E-2</v>
      </c>
      <c r="I40" s="5">
        <f>'C2 lossyG,lossyA,interRA'!$BP$30:$BP$30</f>
        <v>6.4308290506557481E-2</v>
      </c>
      <c r="J40" s="5">
        <f>'C2 lossyG,lossyA,interRA'!$BQ$30:$BQ$30</f>
        <v>-2.1831087584148173E-2</v>
      </c>
      <c r="K40" s="5">
        <f>'C2 lossyG,lossyA,interRA'!$BR$30:$BR$30</f>
        <v>-1.3868987438798441E-2</v>
      </c>
      <c r="L40" s="5">
        <f>'C2 lossyG,lossyA,interRA'!$BS$30:$BS$30</f>
        <v>-1.2586825082216896E-2</v>
      </c>
    </row>
    <row r="41" spans="2:12" x14ac:dyDescent="0.3">
      <c r="B41" s="4" t="s">
        <v>289</v>
      </c>
      <c r="C41" s="5">
        <f>'C2 lossyG,lossyA,interRA'!$BI$31:$BI$31</f>
        <v>-1.3626668120636176E-2</v>
      </c>
      <c r="D41" s="5">
        <f>'C2 lossyG,lossyA,interRA'!$BJ$31:$BJ$31</f>
        <v>2.9781979481735554E-2</v>
      </c>
      <c r="E41" s="5">
        <f>'C2 lossyG,lossyA,interRA'!$BK$31:$BK$31</f>
        <v>-4.9862274569270393E-2</v>
      </c>
      <c r="F41" s="5">
        <f>'C2 lossyG,lossyA,interRA'!$BL$31:$BL$31</f>
        <v>-7.1973342629889858E-2</v>
      </c>
      <c r="G41" s="5">
        <f>'C2 lossyG,lossyA,interRA'!$BM$31:$BM$31</f>
        <v>-6.5149946297904049E-2</v>
      </c>
      <c r="H41" s="5">
        <f>'C2 lossyG,lossyA,interRA'!$BO$31:$BO$31</f>
        <v>-2.663607921011335E-2</v>
      </c>
      <c r="I41" s="5">
        <f>'C2 lossyG,lossyA,interRA'!$BP$31:$BP$31</f>
        <v>7.3463106627437824E-2</v>
      </c>
      <c r="J41" s="5">
        <f>'C2 lossyG,lossyA,interRA'!$BQ$31:$BQ$31</f>
        <v>-3.5892507648313865E-2</v>
      </c>
      <c r="K41" s="5">
        <f>'C2 lossyG,lossyA,interRA'!$BR$31:$BR$31</f>
        <v>-5.4496442306847803E-2</v>
      </c>
      <c r="L41" s="5">
        <f>'C2 lossyG,lossyA,interRA'!$BS$31:$BS$31</f>
        <v>-4.9247839183185205E-2</v>
      </c>
    </row>
    <row r="42" spans="2:12" x14ac:dyDescent="0.3">
      <c r="B42" s="6" t="s">
        <v>290</v>
      </c>
      <c r="C42" s="7">
        <f>'C2 lossyG,lossyA,interRA'!$BI$32:$BI$32</f>
        <v>-1.5348520091815287E-2</v>
      </c>
      <c r="D42" s="7">
        <f>'C2 lossyG,lossyA,interRA'!$BJ$32:$BJ$32</f>
        <v>2.6523985254616411E-2</v>
      </c>
      <c r="E42" s="7">
        <f>'C2 lossyG,lossyA,interRA'!$BK$32:$BK$32</f>
        <v>-2.5605631982912658E-2</v>
      </c>
      <c r="F42" s="7">
        <f>'C2 lossyG,lossyA,interRA'!$BL$32:$BL$32</f>
        <v>-1.7552430476173365E-2</v>
      </c>
      <c r="G42" s="7">
        <f>'C2 lossyG,lossyA,interRA'!$BM$32:$BM$32</f>
        <v>-1.6976531083335522E-2</v>
      </c>
      <c r="H42" s="7">
        <f>'C2 lossyG,lossyA,interRA'!$BO$32:$BO$32</f>
        <v>-1.4169998524849858E-2</v>
      </c>
      <c r="I42" s="7">
        <f>'C2 lossyG,lossyA,interRA'!$BP$32:$BP$32</f>
        <v>6.6139253730733552E-2</v>
      </c>
      <c r="J42" s="7">
        <f>'C2 lossyG,lossyA,interRA'!$BQ$32:$BQ$32</f>
        <v>-2.4643371596981312E-2</v>
      </c>
      <c r="K42" s="7">
        <f>'C2 lossyG,lossyA,interRA'!$BR$32:$BR$32</f>
        <v>-2.1994478412408314E-2</v>
      </c>
      <c r="L42" s="7">
        <f>'C2 lossyG,lossyA,interRA'!$BS$32:$BS$32</f>
        <v>-1.9919027902410558E-2</v>
      </c>
    </row>
    <row r="43" spans="2:12" x14ac:dyDescent="0.3">
      <c r="B43" t="s">
        <v>299</v>
      </c>
      <c r="C43" s="126">
        <f>'C2 lossyG,lossyA,interRA'!AZ36</f>
        <v>0.46191838774455957</v>
      </c>
      <c r="D43" s="126"/>
      <c r="E43" s="126"/>
      <c r="F43" s="126"/>
      <c r="G43" s="126"/>
      <c r="H43" s="126"/>
      <c r="I43" s="126"/>
      <c r="J43" s="126"/>
      <c r="K43" s="126"/>
      <c r="L43" s="126"/>
    </row>
    <row r="44" spans="2:12" x14ac:dyDescent="0.3">
      <c r="B44" s="9" t="s">
        <v>300</v>
      </c>
      <c r="C44" s="127">
        <f>'C2 lossyG,lossyA,interRA'!BB36</f>
        <v>0.84747040759287429</v>
      </c>
      <c r="D44" s="127"/>
      <c r="E44" s="127"/>
      <c r="F44" s="127"/>
      <c r="G44" s="127"/>
      <c r="H44" s="127"/>
      <c r="I44" s="127"/>
      <c r="J44" s="127"/>
      <c r="K44" s="127"/>
      <c r="L44" s="127"/>
    </row>
    <row r="50" spans="2:6" x14ac:dyDescent="0.3">
      <c r="B50" s="114"/>
      <c r="C50" s="116" t="s">
        <v>549</v>
      </c>
      <c r="D50" s="117"/>
      <c r="E50" s="118" t="s">
        <v>550</v>
      </c>
      <c r="F50" s="119"/>
    </row>
    <row r="51" spans="2:6" x14ac:dyDescent="0.3">
      <c r="B51" s="115"/>
      <c r="C51" s="58" t="s">
        <v>171</v>
      </c>
      <c r="D51" s="59" t="s">
        <v>174</v>
      </c>
      <c r="E51" s="60" t="s">
        <v>171</v>
      </c>
      <c r="F51" s="61" t="s">
        <v>174</v>
      </c>
    </row>
    <row r="52" spans="2:6" x14ac:dyDescent="0.3">
      <c r="B52" s="62" t="s">
        <v>381</v>
      </c>
      <c r="C52" s="63">
        <f>'CW losslG,losslA,intra'!AW16</f>
        <v>0.46150824697496157</v>
      </c>
      <c r="D52" s="63">
        <f>'CW losslG,losslA,intra'!AX16</f>
        <v>0.99478081101239868</v>
      </c>
      <c r="E52" s="64">
        <f>'CW losslG,losslA,intra'!AY16</f>
        <v>0.733096869762773</v>
      </c>
      <c r="F52" s="63">
        <f>'CW losslG,losslA,intra'!AZ16</f>
        <v>1.0160254814337282</v>
      </c>
    </row>
    <row r="53" spans="2:6" x14ac:dyDescent="0.3">
      <c r="B53" s="62" t="s">
        <v>457</v>
      </c>
      <c r="C53" s="63">
        <f>'CW losslG,losslA,interLD'!AW16</f>
        <v>0.46239559348631898</v>
      </c>
      <c r="D53" s="63">
        <f>'CW losslG,losslA,interLD'!AX16</f>
        <v>0.98828545705980475</v>
      </c>
      <c r="E53" s="64">
        <f>'CW losslG,losslA,interLD'!AY16</f>
        <v>0.76115155496617026</v>
      </c>
      <c r="F53" s="63">
        <f>'CW losslG,losslA,interLD'!AZ16</f>
        <v>1.0816637943838436</v>
      </c>
    </row>
    <row r="54" spans="2:6" x14ac:dyDescent="0.3">
      <c r="B54" s="62" t="s">
        <v>297</v>
      </c>
      <c r="C54" s="63">
        <f>'C2 lossyG,lossyA,intra'!AZ36</f>
        <v>0.46276936188478535</v>
      </c>
      <c r="D54" s="63">
        <f>'C2 lossyG,lossyA,intra'!BA36</f>
        <v>0.9900390180578944</v>
      </c>
      <c r="E54" s="64">
        <f>'C2 lossyG,lossyA,intra'!BB36</f>
        <v>0.78419530619046918</v>
      </c>
      <c r="F54" s="63">
        <f>'C2 lossyG,lossyA,intra'!BC36</f>
        <v>0.99054250031818636</v>
      </c>
    </row>
    <row r="55" spans="2:6" x14ac:dyDescent="0.3">
      <c r="B55" s="62" t="s">
        <v>544</v>
      </c>
      <c r="C55" s="63">
        <f>'C2 lossyG,lossyA,interRA'!AZ36</f>
        <v>0.46191838774455957</v>
      </c>
      <c r="D55" s="63">
        <f>'C2 lossyG,lossyA,interRA'!BA36</f>
        <v>0.9702624148777037</v>
      </c>
      <c r="E55" s="64">
        <f>'C2 lossyG,lossyA,interRA'!BB36</f>
        <v>0.84747040759287429</v>
      </c>
      <c r="F55" s="63">
        <f>'C2 lossyG,lossyA,interRA'!BC36</f>
        <v>1.0219821290027544</v>
      </c>
    </row>
  </sheetData>
  <mergeCells count="31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B50:B51"/>
    <mergeCell ref="C50:D50"/>
    <mergeCell ref="E50:F50"/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</mergeCells>
  <conditionalFormatting sqref="C18 C19 C20">
    <cfRule type="cellIs" dxfId="121" priority="21" operator="greaterThanOrEqual">
      <formula>1.03</formula>
    </cfRule>
    <cfRule type="cellIs" dxfId="120" priority="22" operator="lessThanOrEqual">
      <formula>0.97</formula>
    </cfRule>
  </conditionalFormatting>
  <conditionalFormatting sqref="C29 C30 C31">
    <cfRule type="cellIs" dxfId="119" priority="29" operator="greaterThanOrEqual">
      <formula>1.03</formula>
    </cfRule>
    <cfRule type="cellIs" dxfId="118" priority="30" operator="lessThanOrEqual">
      <formula>0.97</formula>
    </cfRule>
  </conditionalFormatting>
  <conditionalFormatting sqref="C40 C41 C42">
    <cfRule type="cellIs" dxfId="117" priority="39" operator="greaterThanOrEqual">
      <formula>0.03</formula>
    </cfRule>
    <cfRule type="cellIs" dxfId="116" priority="40" operator="lessThanOrEqual">
      <formula>-0.03</formula>
    </cfRule>
  </conditionalFormatting>
  <conditionalFormatting sqref="C9 C10 C11">
    <cfRule type="cellIs" dxfId="115" priority="13" operator="greaterThanOrEqual">
      <formula>0.03</formula>
    </cfRule>
    <cfRule type="cellIs" dxfId="114" priority="14" operator="lessThanOrEqual">
      <formula>-0.03</formula>
    </cfRule>
  </conditionalFormatting>
  <conditionalFormatting sqref="D18 D19 D20">
    <cfRule type="cellIs" dxfId="113" priority="23" operator="greaterThanOrEqual">
      <formula>1.03</formula>
    </cfRule>
    <cfRule type="cellIs" dxfId="112" priority="24" operator="lessThanOrEqual">
      <formula>0.97</formula>
    </cfRule>
  </conditionalFormatting>
  <conditionalFormatting sqref="D29 D30 D31">
    <cfRule type="cellIs" dxfId="111" priority="31" operator="greaterThanOrEqual">
      <formula>1.03</formula>
    </cfRule>
    <cfRule type="cellIs" dxfId="110" priority="32" operator="lessThanOrEqual">
      <formula>0.97</formula>
    </cfRule>
  </conditionalFormatting>
  <conditionalFormatting sqref="D40 D41 D42">
    <cfRule type="cellIs" dxfId="109" priority="41" operator="greaterThanOrEqual">
      <formula>0.03</formula>
    </cfRule>
    <cfRule type="cellIs" dxfId="108" priority="42" operator="lessThanOrEqual">
      <formula>-0.03</formula>
    </cfRule>
  </conditionalFormatting>
  <conditionalFormatting sqref="D9 D10 D11">
    <cfRule type="cellIs" dxfId="107" priority="11" operator="greaterThanOrEqual">
      <formula>0.03</formula>
    </cfRule>
    <cfRule type="cellIs" dxfId="106" priority="12" operator="lessThanOrEqual">
      <formula>-0.03</formula>
    </cfRule>
  </conditionalFormatting>
  <conditionalFormatting sqref="E18 E19 E20">
    <cfRule type="cellIs" dxfId="105" priority="25" operator="greaterThanOrEqual">
      <formula>1.03</formula>
    </cfRule>
    <cfRule type="cellIs" dxfId="104" priority="26" operator="lessThanOrEqual">
      <formula>0.97</formula>
    </cfRule>
  </conditionalFormatting>
  <conditionalFormatting sqref="E29 E30 E31">
    <cfRule type="cellIs" dxfId="103" priority="27" operator="greaterThanOrEqual">
      <formula>1.03</formula>
    </cfRule>
    <cfRule type="cellIs" dxfId="102" priority="28" operator="lessThanOrEqual">
      <formula>0.97</formula>
    </cfRule>
  </conditionalFormatting>
  <conditionalFormatting sqref="E40 E41 E42">
    <cfRule type="cellIs" dxfId="101" priority="37" operator="greaterThanOrEqual">
      <formula>0.03</formula>
    </cfRule>
    <cfRule type="cellIs" dxfId="100" priority="38" operator="lessThanOrEqual">
      <formula>-0.03</formula>
    </cfRule>
  </conditionalFormatting>
  <conditionalFormatting sqref="E9 E10 E11">
    <cfRule type="cellIs" dxfId="99" priority="15" operator="greaterThanOrEqual">
      <formula>0.03</formula>
    </cfRule>
    <cfRule type="cellIs" dxfId="98" priority="16" operator="lessThanOrEqual">
      <formula>-0.03</formula>
    </cfRule>
  </conditionalFormatting>
  <conditionalFormatting sqref="F40 F41 F42">
    <cfRule type="cellIs" dxfId="97" priority="51" operator="greaterThanOrEqual">
      <formula>0.03</formula>
    </cfRule>
    <cfRule type="cellIs" dxfId="96" priority="52" operator="lessThanOrEqual">
      <formula>-0.03</formula>
    </cfRule>
  </conditionalFormatting>
  <conditionalFormatting sqref="F9 F10 F11">
    <cfRule type="cellIs" dxfId="95" priority="3" operator="greaterThanOrEqual">
      <formula>0.03</formula>
    </cfRule>
    <cfRule type="cellIs" dxfId="94" priority="4" operator="lessThanOrEqual">
      <formula>-0.03</formula>
    </cfRule>
  </conditionalFormatting>
  <conditionalFormatting sqref="G40 G41 G42">
    <cfRule type="cellIs" dxfId="93" priority="43" operator="greaterThanOrEqual">
      <formula>0.03</formula>
    </cfRule>
    <cfRule type="cellIs" dxfId="92" priority="44" operator="lessThanOrEqual">
      <formula>-0.03</formula>
    </cfRule>
  </conditionalFormatting>
  <conditionalFormatting sqref="G9 G10 G11">
    <cfRule type="cellIs" dxfId="91" priority="9" operator="greaterThanOrEqual">
      <formula>0.03</formula>
    </cfRule>
    <cfRule type="cellIs" dxfId="90" priority="10" operator="lessThanOrEqual">
      <formula>-0.03</formula>
    </cfRule>
  </conditionalFormatting>
  <conditionalFormatting sqref="H40 H41 H42">
    <cfRule type="cellIs" dxfId="89" priority="45" operator="greaterThanOrEqual">
      <formula>0.03</formula>
    </cfRule>
    <cfRule type="cellIs" dxfId="88" priority="46" operator="lessThanOrEqual">
      <formula>-0.03</formula>
    </cfRule>
  </conditionalFormatting>
  <conditionalFormatting sqref="H9 H10 H11">
    <cfRule type="cellIs" dxfId="87" priority="7" operator="greaterThanOrEqual">
      <formula>0.03</formula>
    </cfRule>
    <cfRule type="cellIs" dxfId="86" priority="8" operator="lessThanOrEqual">
      <formula>-0.03</formula>
    </cfRule>
  </conditionalFormatting>
  <conditionalFormatting sqref="I40 I41 I42">
    <cfRule type="cellIs" dxfId="85" priority="49" operator="greaterThanOrEqual">
      <formula>0.03</formula>
    </cfRule>
    <cfRule type="cellIs" dxfId="84" priority="50" operator="lessThanOrEqual">
      <formula>-0.03</formula>
    </cfRule>
  </conditionalFormatting>
  <conditionalFormatting sqref="I9 I10 I11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conditionalFormatting sqref="J40 J41 J42">
    <cfRule type="cellIs" dxfId="81" priority="35" operator="greaterThanOrEqual">
      <formula>0.03</formula>
    </cfRule>
    <cfRule type="cellIs" dxfId="80" priority="36" operator="lessThanOrEqual">
      <formula>-0.03</formula>
    </cfRule>
  </conditionalFormatting>
  <conditionalFormatting sqref="J9 J10 J11">
    <cfRule type="cellIs" dxfId="79" priority="17" operator="greaterThanOrEqual">
      <formula>0.03</formula>
    </cfRule>
    <cfRule type="cellIs" dxfId="78" priority="18" operator="lessThanOrEqual">
      <formula>-0.03</formula>
    </cfRule>
  </conditionalFormatting>
  <conditionalFormatting sqref="K40 K41 K42">
    <cfRule type="cellIs" dxfId="77" priority="47" operator="greaterThanOrEqual">
      <formula>0.03</formula>
    </cfRule>
    <cfRule type="cellIs" dxfId="76" priority="48" operator="lessThanOrEqual">
      <formula>-0.03</formula>
    </cfRule>
  </conditionalFormatting>
  <conditionalFormatting sqref="K9 K10 K11">
    <cfRule type="cellIs" dxfId="75" priority="5" operator="greaterThanOrEqual">
      <formula>0.03</formula>
    </cfRule>
    <cfRule type="cellIs" dxfId="74" priority="6" operator="lessThanOrEqual">
      <formula>-0.03</formula>
    </cfRule>
  </conditionalFormatting>
  <conditionalFormatting sqref="L40 L41 L42">
    <cfRule type="cellIs" dxfId="73" priority="33" operator="greaterThanOrEqual">
      <formula>0.03</formula>
    </cfRule>
    <cfRule type="cellIs" dxfId="72" priority="34" operator="lessThanOrEqual">
      <formula>-0.03</formula>
    </cfRule>
  </conditionalFormatting>
  <conditionalFormatting sqref="L9 L10 L11">
    <cfRule type="cellIs" dxfId="71" priority="19" operator="greaterThanOrEqual">
      <formula>0.03</formula>
    </cfRule>
    <cfRule type="cellIs" dxfId="70" priority="20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/>
  </sheetViews>
  <sheetFormatPr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3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3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3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3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3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3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3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3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3">
      <c r="I10" t="s">
        <v>21</v>
      </c>
      <c r="J10" t="s">
        <v>22</v>
      </c>
    </row>
    <row r="11" spans="1:16" x14ac:dyDescent="0.3">
      <c r="I11" t="s">
        <v>23</v>
      </c>
      <c r="J11" t="s">
        <v>24</v>
      </c>
    </row>
    <row r="12" spans="1:16" x14ac:dyDescent="0.3">
      <c r="I12" t="s">
        <v>25</v>
      </c>
      <c r="J12" t="s">
        <v>26</v>
      </c>
    </row>
    <row r="13" spans="1:16" x14ac:dyDescent="0.3">
      <c r="I13" t="s">
        <v>27</v>
      </c>
      <c r="J13" t="s">
        <v>28</v>
      </c>
    </row>
    <row r="14" spans="1:16" x14ac:dyDescent="0.3">
      <c r="I14" t="s">
        <v>29</v>
      </c>
      <c r="J14" t="s">
        <v>30</v>
      </c>
    </row>
    <row r="15" spans="1:16" x14ac:dyDescent="0.3">
      <c r="I15" t="s">
        <v>31</v>
      </c>
      <c r="J15" t="s">
        <v>32</v>
      </c>
    </row>
    <row r="16" spans="1:16" x14ac:dyDescent="0.3">
      <c r="I16" t="s">
        <v>33</v>
      </c>
      <c r="J16" t="s">
        <v>34</v>
      </c>
    </row>
    <row r="17" spans="9:10" x14ac:dyDescent="0.3">
      <c r="I17" t="s">
        <v>35</v>
      </c>
      <c r="J17" t="s">
        <v>36</v>
      </c>
    </row>
    <row r="18" spans="9:10" x14ac:dyDescent="0.3">
      <c r="I18" t="s">
        <v>37</v>
      </c>
      <c r="J18" t="s">
        <v>38</v>
      </c>
    </row>
    <row r="19" spans="9:10" x14ac:dyDescent="0.3">
      <c r="I19" t="s">
        <v>39</v>
      </c>
      <c r="J19" t="s">
        <v>40</v>
      </c>
    </row>
    <row r="20" spans="9:10" x14ac:dyDescent="0.3">
      <c r="I20" t="s">
        <v>41</v>
      </c>
      <c r="J20" t="s">
        <v>42</v>
      </c>
    </row>
    <row r="21" spans="9:10" x14ac:dyDescent="0.3">
      <c r="I21" t="s">
        <v>43</v>
      </c>
      <c r="J21" t="s">
        <v>44</v>
      </c>
    </row>
    <row r="22" spans="9:10" x14ac:dyDescent="0.3">
      <c r="I22" t="s">
        <v>45</v>
      </c>
      <c r="J22" t="s">
        <v>46</v>
      </c>
    </row>
    <row r="23" spans="9:10" x14ac:dyDescent="0.3">
      <c r="I23" t="s">
        <v>47</v>
      </c>
      <c r="J23" t="s">
        <v>48</v>
      </c>
    </row>
    <row r="24" spans="9:10" x14ac:dyDescent="0.3">
      <c r="I24" t="s">
        <v>49</v>
      </c>
      <c r="J24" t="s">
        <v>50</v>
      </c>
    </row>
    <row r="25" spans="9:10" x14ac:dyDescent="0.3">
      <c r="I25" t="s">
        <v>51</v>
      </c>
      <c r="J25" t="s">
        <v>52</v>
      </c>
    </row>
    <row r="26" spans="9:10" x14ac:dyDescent="0.3">
      <c r="I26" t="s">
        <v>53</v>
      </c>
      <c r="J26" t="s">
        <v>54</v>
      </c>
    </row>
    <row r="27" spans="9:10" x14ac:dyDescent="0.3">
      <c r="I27" t="s">
        <v>55</v>
      </c>
      <c r="J27" t="s">
        <v>56</v>
      </c>
    </row>
    <row r="28" spans="9:10" x14ac:dyDescent="0.3">
      <c r="I28" t="s">
        <v>57</v>
      </c>
      <c r="J28" t="s">
        <v>58</v>
      </c>
    </row>
    <row r="29" spans="9:10" x14ac:dyDescent="0.3">
      <c r="I29" t="s">
        <v>59</v>
      </c>
      <c r="J29" t="s">
        <v>60</v>
      </c>
    </row>
    <row r="30" spans="9:10" x14ac:dyDescent="0.3">
      <c r="I30" t="s">
        <v>61</v>
      </c>
      <c r="J30" t="s">
        <v>62</v>
      </c>
    </row>
    <row r="31" spans="9:10" x14ac:dyDescent="0.3">
      <c r="I31" t="s">
        <v>63</v>
      </c>
      <c r="J31" t="s">
        <v>64</v>
      </c>
    </row>
    <row r="32" spans="9:10" x14ac:dyDescent="0.3">
      <c r="I32" t="s">
        <v>65</v>
      </c>
      <c r="J32" t="s">
        <v>66</v>
      </c>
    </row>
    <row r="33" spans="9:10" x14ac:dyDescent="0.3">
      <c r="I33" t="s">
        <v>67</v>
      </c>
      <c r="J33" t="s">
        <v>68</v>
      </c>
    </row>
    <row r="34" spans="9:10" x14ac:dyDescent="0.3">
      <c r="I34" t="s">
        <v>69</v>
      </c>
      <c r="J34" t="s">
        <v>70</v>
      </c>
    </row>
    <row r="35" spans="9:10" x14ac:dyDescent="0.3">
      <c r="I35" t="s">
        <v>71</v>
      </c>
      <c r="J35" t="s">
        <v>72</v>
      </c>
    </row>
    <row r="36" spans="9:10" x14ac:dyDescent="0.3">
      <c r="I36" t="s">
        <v>73</v>
      </c>
      <c r="J36" t="s">
        <v>74</v>
      </c>
    </row>
    <row r="37" spans="9:10" x14ac:dyDescent="0.3">
      <c r="I37" t="s">
        <v>75</v>
      </c>
      <c r="J37" t="s">
        <v>76</v>
      </c>
    </row>
    <row r="38" spans="9:10" x14ac:dyDescent="0.3">
      <c r="I38" t="s">
        <v>77</v>
      </c>
      <c r="J38" t="s">
        <v>78</v>
      </c>
    </row>
    <row r="39" spans="9:10" x14ac:dyDescent="0.3">
      <c r="I39" t="s">
        <v>79</v>
      </c>
      <c r="J39" t="s">
        <v>80</v>
      </c>
    </row>
  </sheetData>
  <conditionalFormatting sqref="B2">
    <cfRule type="expression" dxfId="69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68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S36"/>
  <sheetViews>
    <sheetView workbookViewId="0">
      <pane xSplit="2" ySplit="4" topLeftCell="AE5" activePane="bottomRight" state="frozen"/>
      <selection pane="topRight" activeCell="C1" sqref="C1"/>
      <selection pane="bottomLeft" activeCell="A5" sqref="A5"/>
      <selection pane="bottomRight" activeCell="AN5" sqref="AN5:BC29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3">
      <c r="A1" s="132" t="s">
        <v>261</v>
      </c>
      <c r="B1" s="132"/>
      <c r="C1" s="132"/>
      <c r="D1" s="132"/>
      <c r="E1" s="132"/>
      <c r="F1" s="132"/>
      <c r="G1" s="132"/>
      <c r="I1" s="120" t="s">
        <v>2</v>
      </c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G1" s="121" t="s">
        <v>3</v>
      </c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</row>
    <row r="2" spans="1:71" ht="30" customHeight="1" x14ac:dyDescent="0.3">
      <c r="A2" s="128" t="s">
        <v>93</v>
      </c>
      <c r="B2" s="129" t="s">
        <v>96</v>
      </c>
      <c r="C2" s="128" t="s">
        <v>99</v>
      </c>
      <c r="D2" s="129" t="s">
        <v>102</v>
      </c>
      <c r="E2" s="128" t="s">
        <v>105</v>
      </c>
      <c r="F2" s="129" t="s">
        <v>108</v>
      </c>
      <c r="G2" s="128" t="s">
        <v>111</v>
      </c>
      <c r="I2" s="129" t="s">
        <v>114</v>
      </c>
      <c r="J2" s="130" t="s">
        <v>117</v>
      </c>
      <c r="K2" s="130"/>
      <c r="L2" s="130"/>
      <c r="M2" s="130"/>
      <c r="N2" s="128" t="s">
        <v>130</v>
      </c>
      <c r="O2" s="129" t="s">
        <v>133</v>
      </c>
      <c r="P2" s="128" t="s">
        <v>24</v>
      </c>
      <c r="Q2" s="129" t="s">
        <v>26</v>
      </c>
      <c r="R2" s="128" t="s">
        <v>22</v>
      </c>
      <c r="S2" s="131" t="s">
        <v>142</v>
      </c>
      <c r="T2" s="131"/>
      <c r="U2" s="131"/>
      <c r="V2" s="131"/>
      <c r="W2" s="130" t="s">
        <v>153</v>
      </c>
      <c r="X2" s="130"/>
      <c r="Y2" s="131" t="s">
        <v>160</v>
      </c>
      <c r="Z2" s="131"/>
      <c r="AA2" s="131"/>
      <c r="AB2" s="130" t="s">
        <v>170</v>
      </c>
      <c r="AC2" s="130"/>
      <c r="AD2" s="131" t="s">
        <v>177</v>
      </c>
      <c r="AE2" s="131"/>
      <c r="AG2" s="128" t="s">
        <v>114</v>
      </c>
      <c r="AH2" s="131" t="s">
        <v>117</v>
      </c>
      <c r="AI2" s="131"/>
      <c r="AJ2" s="131"/>
      <c r="AK2" s="131"/>
      <c r="AL2" s="129" t="s">
        <v>192</v>
      </c>
      <c r="AM2" s="128" t="s">
        <v>133</v>
      </c>
      <c r="AN2" s="129" t="s">
        <v>24</v>
      </c>
      <c r="AO2" s="128" t="s">
        <v>26</v>
      </c>
      <c r="AP2" s="129" t="s">
        <v>22</v>
      </c>
      <c r="AQ2" s="130" t="s">
        <v>142</v>
      </c>
      <c r="AR2" s="130"/>
      <c r="AS2" s="130"/>
      <c r="AT2" s="130"/>
      <c r="AU2" s="131" t="s">
        <v>153</v>
      </c>
      <c r="AV2" s="131"/>
      <c r="AW2" s="130" t="s">
        <v>160</v>
      </c>
      <c r="AX2" s="130"/>
      <c r="AY2" s="130"/>
      <c r="AZ2" s="131" t="s">
        <v>170</v>
      </c>
      <c r="BA2" s="131"/>
      <c r="BB2" s="130" t="s">
        <v>177</v>
      </c>
      <c r="BC2" s="130"/>
      <c r="BE2" s="129" t="s">
        <v>229</v>
      </c>
      <c r="BF2" s="128" t="s">
        <v>232</v>
      </c>
      <c r="BG2" s="129" t="s">
        <v>232</v>
      </c>
      <c r="BI2" s="130" t="s">
        <v>237</v>
      </c>
      <c r="BJ2" s="130"/>
      <c r="BK2" s="131" t="s">
        <v>242</v>
      </c>
      <c r="BL2" s="131"/>
      <c r="BM2" s="131"/>
      <c r="BO2" s="130" t="s">
        <v>249</v>
      </c>
      <c r="BP2" s="130"/>
      <c r="BQ2" s="131" t="s">
        <v>254</v>
      </c>
      <c r="BR2" s="131"/>
      <c r="BS2" s="131"/>
    </row>
    <row r="3" spans="1:71" ht="15" thickBot="1" x14ac:dyDescent="0.35">
      <c r="A3" s="128"/>
      <c r="B3" s="129"/>
      <c r="C3" s="128"/>
      <c r="D3" s="129"/>
      <c r="E3" s="128"/>
      <c r="F3" s="129"/>
      <c r="G3" s="128"/>
      <c r="I3" s="129"/>
      <c r="J3" s="11" t="s">
        <v>118</v>
      </c>
      <c r="K3" s="11" t="s">
        <v>121</v>
      </c>
      <c r="L3" s="11" t="s">
        <v>124</v>
      </c>
      <c r="M3" s="11" t="s">
        <v>127</v>
      </c>
      <c r="N3" s="128"/>
      <c r="O3" s="129"/>
      <c r="P3" s="128"/>
      <c r="Q3" s="129"/>
      <c r="R3" s="128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128"/>
      <c r="AH3" s="12" t="s">
        <v>118</v>
      </c>
      <c r="AI3" s="12" t="s">
        <v>121</v>
      </c>
      <c r="AJ3" s="12" t="s">
        <v>124</v>
      </c>
      <c r="AK3" s="12" t="s">
        <v>127</v>
      </c>
      <c r="AL3" s="129"/>
      <c r="AM3" s="128"/>
      <c r="AN3" s="129"/>
      <c r="AO3" s="128"/>
      <c r="AP3" s="129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129"/>
      <c r="BF3" s="128"/>
      <c r="BG3" s="129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1" ht="123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1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2.2389975</v>
      </c>
      <c r="J5" s="18">
        <f t="shared" ref="J5:J29" si="1">IF(ISBLANK(S5),"·",S5/D5)</f>
        <v>9.5667015604377459E-2</v>
      </c>
      <c r="K5" s="18">
        <f t="shared" ref="K5:K29" si="2">IF(N5="","·",N5/D5)</f>
        <v>6.1075916243893642E-2</v>
      </c>
      <c r="L5" s="18">
        <f t="shared" ref="L5:L29" si="3">IF(T5="","·",T5/D5)</f>
        <v>3.245333013196703E-2</v>
      </c>
      <c r="M5" s="18">
        <f t="shared" ref="M5:M29" si="4">IF(ISBLANK(V5),"·",V5/D5)</f>
        <v>3.457251284942791E-2</v>
      </c>
      <c r="N5" s="15">
        <f t="shared" ref="N5:N29" si="5">IF(OR(ISBLANK(T5),ISBLANK(U5)),"",T5+U5)</f>
        <v>1524720</v>
      </c>
      <c r="O5" s="18">
        <f t="shared" ref="O5:O29" si="6">IF(ISBLANK(S5),"·",S5/P5)</f>
        <v>6.2198417897163315E-2</v>
      </c>
      <c r="P5" s="19">
        <v>38397504</v>
      </c>
      <c r="Q5" s="19">
        <v>1199922</v>
      </c>
      <c r="R5" s="19">
        <v>531648.28125</v>
      </c>
      <c r="S5" s="20">
        <v>2388264</v>
      </c>
      <c r="T5" s="20">
        <v>810176</v>
      </c>
      <c r="U5" s="20">
        <v>714544</v>
      </c>
      <c r="V5" s="20">
        <v>863080</v>
      </c>
      <c r="W5" s="21">
        <v>66.416709374999996</v>
      </c>
      <c r="X5" s="21">
        <v>68.698793749999993</v>
      </c>
      <c r="Y5" s="21">
        <v>32.138975000000002</v>
      </c>
      <c r="Z5" s="21">
        <v>44.148996875000002</v>
      </c>
      <c r="AA5" s="21">
        <v>43.792149999999999</v>
      </c>
      <c r="AB5" s="22">
        <v>6221.69</v>
      </c>
      <c r="AC5" s="22">
        <v>1176.47</v>
      </c>
      <c r="AD5" s="22">
        <v>8.7650000000000006</v>
      </c>
      <c r="AE5" s="22">
        <v>19.216999999999999</v>
      </c>
      <c r="AG5" s="17">
        <f t="shared" ref="AG5:AG29" si="7">IF(OR(ISBLANK(AQ5),ISBLANK(G5)),"·",AQ5*G5/F5/1000000)</f>
        <v>2.2393800000000001</v>
      </c>
      <c r="AH5" s="18">
        <f t="shared" ref="AH5:AH29" si="8">IF(ISBLANK(AQ5),"·",AQ5/D5)</f>
        <v>9.5683358915823177E-2</v>
      </c>
      <c r="AI5" s="18">
        <f t="shared" ref="AI5:AI29" si="9">IF(AL5="","·",AL5/D5)</f>
        <v>6.0954783464943055E-2</v>
      </c>
      <c r="AJ5" s="18">
        <f t="shared" ref="AJ5:AJ29" si="10">IF(AR5="","·",AR5/D5)</f>
        <v>3.2430257221690732E-2</v>
      </c>
      <c r="AK5" s="18">
        <f t="shared" ref="AK5:AK29" si="11">IF(ISBLANK(AT5),"·",AT5/D5)</f>
        <v>3.4709668482737037E-2</v>
      </c>
      <c r="AL5" s="15">
        <f t="shared" ref="AL5:AL29" si="12">IF(OR(ISBLANK(AR5),ISBLANK(AS5)),"",AR5+AS5)</f>
        <v>1521696</v>
      </c>
      <c r="AM5" s="18">
        <f t="shared" ref="AM5:AM29" si="13">IF(ISBLANK(AQ5),"·",AQ5/AN5)</f>
        <v>0.10937999767289461</v>
      </c>
      <c r="AN5" s="19">
        <v>21838289</v>
      </c>
      <c r="AO5" s="19">
        <v>682446.53125</v>
      </c>
      <c r="AP5" s="19">
        <v>14074.5625</v>
      </c>
      <c r="AQ5" s="20">
        <v>2388672</v>
      </c>
      <c r="AR5" s="20">
        <v>809600</v>
      </c>
      <c r="AS5" s="20">
        <v>712096</v>
      </c>
      <c r="AT5" s="20">
        <v>866504</v>
      </c>
      <c r="AU5" s="21">
        <v>66.395740625000002</v>
      </c>
      <c r="AV5" s="21">
        <v>68.439759374999994</v>
      </c>
      <c r="AW5" s="21">
        <v>32.151171875000003</v>
      </c>
      <c r="AX5" s="21">
        <v>44.135159375000001</v>
      </c>
      <c r="AY5" s="21">
        <v>43.713462499999999</v>
      </c>
      <c r="AZ5" s="22">
        <v>2870.81</v>
      </c>
      <c r="BA5" s="22">
        <v>1155.47</v>
      </c>
      <c r="BB5" s="22">
        <v>6.218</v>
      </c>
      <c r="BC5" s="22">
        <v>19.451000000000001</v>
      </c>
      <c r="BE5" s="23">
        <f t="shared" ref="BE5:BE29" si="14">(AP5/AO5) - (R5/Q5)</f>
        <v>-0.42244534855425409</v>
      </c>
      <c r="BF5" s="23">
        <f t="shared" ref="BF5:BF29" si="15">(AL5/AQ5) - (N5/S5)</f>
        <v>-1.3750218231164402E-3</v>
      </c>
      <c r="BG5" s="23">
        <f t="array" ref="BG5">AVERAGE(AL5:AL9/AQ5:AQ9) - AVERAGE(N5:N9/S5:S9)</f>
        <v>4.928397129235762E-4</v>
      </c>
      <c r="BI5" s="24">
        <f>IF( OR(ISBLANK(N5:N9),ISBLANK(AL5:AL9), ISBLANK(W5:W9),ISBLANK(AU5:AU9)), "·", bdRateExtend( N5:N9,W5:W9, AL5:AL9,AU5:AU9))</f>
        <v>2.7045037423392149E-3</v>
      </c>
      <c r="BJ5" s="24">
        <f>IF( OR(ISBLANK(N5:N9),ISBLANK(AL5:AL9), ISBLANK(X5:X9),ISBLANK(AV5:AV9)), "·", bdRateExtend( N5:N9,X5:X9, AL5:AL9,AV5:AV9))</f>
        <v>5.4109408073410581E-2</v>
      </c>
      <c r="BK5" s="24">
        <f>IF( OR(ISBLANK(V5:V9),ISBLANK(AT5:AT9), ISBLANK(Y5:Y9),ISBLANK(AW5:AW9)), "·", bdRateExtend( V5:V9,Y5:Y9, AT5:AT9,AW5:AW9))</f>
        <v>-1.9520143292979242E-3</v>
      </c>
      <c r="BL5" s="24">
        <f>IF( OR(ISBLANK(V5:V9),ISBLANK(AT5:AT9), ISBLANK(Z5:Z9),ISBLANK(AX5:AX9)), "·", bdRateExtend( V5:V9,Z5:Z9, AT5:AT9,AX5:AX9))</f>
        <v>-8.7603630595092241E-3</v>
      </c>
      <c r="BM5" s="24">
        <f>IF( OR(ISBLANK(V5:V9),ISBLANK(AT5:AT9), ISBLANK(AA5:AA9),ISBLANK(AY5:AY9)), "·", bdRateExtend( V5:V9,AA5:AA9, AT5:AT9,AY5:AY9))</f>
        <v>8.5396191252782305E-3</v>
      </c>
      <c r="BO5" s="24">
        <f>IF( OR(ISBLANK(S5:S9),ISBLANK(AQ5:AQ9), ISBLANK(W5:W9),ISBLANK(AU5:AU9)), "·", bdRateExtend( S5:S9,W5:W9, AQ5:AQ9,AU5:AU9))</f>
        <v>3.8452130039414723E-3</v>
      </c>
      <c r="BP5" s="24">
        <f>IF( OR(ISBLANK(S5:S9),ISBLANK(AQ5:AQ9), ISBLANK(X5:X9),ISBLANK(AV5:AV9)), "·", bdRateExtend( S5:S9,X5:X9, AQ5:AQ9,AV5:AV9))</f>
        <v>0.1121908630652817</v>
      </c>
      <c r="BQ5" s="24">
        <f>IF( OR(ISBLANK(S5:S9),ISBLANK(AQ5:AQ9), ISBLANK(Y5:Y9),ISBLANK(AW5:AW9)), "·", bdRateExtend( S5:S9,Y5:Y9, AQ5:AQ9,AW5:AW9))</f>
        <v>-8.7167558018408364E-4</v>
      </c>
      <c r="BR5" s="24">
        <f>IF( OR(ISBLANK(S5:S9),ISBLANK(AQ5:AQ9), ISBLANK(Z5:Z9),ISBLANK(AX5:AX9)), "·", bdRateExtend( S5:S9,Z5:Z9, AQ5:AQ9,AX5:AX9))</f>
        <v>-6.3681687556033095E-3</v>
      </c>
      <c r="BS5" s="24">
        <f>IF( OR(ISBLANK(S5:S9),ISBLANK(AQ5:AQ9), ISBLANK(AA5:AA9),ISBLANK(AY5:AY9)), "·", bdRateExtend( S5:S9,AA5:AA9, AQ5:AQ9,AY5:AY9))</f>
        <v>5.8036150355846861E-3</v>
      </c>
    </row>
    <row r="6" spans="1:71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3.4658099999999998</v>
      </c>
      <c r="J6" s="28">
        <f t="shared" si="1"/>
        <v>0.1480857836383504</v>
      </c>
      <c r="K6" s="28">
        <f t="shared" si="2"/>
        <v>7.3539774192316956E-2</v>
      </c>
      <c r="L6" s="28">
        <f t="shared" si="3"/>
        <v>4.4917188080390344E-2</v>
      </c>
      <c r="M6" s="28">
        <f t="shared" si="4"/>
        <v>7.4527422934977536E-2</v>
      </c>
      <c r="N6" s="25">
        <f t="shared" si="5"/>
        <v>1835872</v>
      </c>
      <c r="O6" s="28">
        <f t="shared" si="6"/>
        <v>9.6278758119277746E-2</v>
      </c>
      <c r="P6" s="29">
        <v>38397504</v>
      </c>
      <c r="Q6" s="29">
        <v>1199922</v>
      </c>
      <c r="R6" s="29">
        <v>462872.53125</v>
      </c>
      <c r="S6" s="30">
        <v>3696864</v>
      </c>
      <c r="T6" s="30">
        <v>1121328</v>
      </c>
      <c r="U6" s="30">
        <v>714544</v>
      </c>
      <c r="V6" s="30">
        <v>1860528</v>
      </c>
      <c r="W6" s="31">
        <v>68.286290625000007</v>
      </c>
      <c r="X6" s="31">
        <v>70.637731250000002</v>
      </c>
      <c r="Y6" s="31">
        <v>34.415759375</v>
      </c>
      <c r="Z6" s="31">
        <v>45.3825875</v>
      </c>
      <c r="AA6" s="31">
        <v>45.092634375000003</v>
      </c>
      <c r="AB6" s="32">
        <v>6252.6</v>
      </c>
      <c r="AC6" s="32">
        <v>1253.94</v>
      </c>
      <c r="AD6" s="32">
        <v>8.7949999999999999</v>
      </c>
      <c r="AE6" s="32">
        <v>20.2</v>
      </c>
      <c r="AG6" s="27">
        <f t="shared" si="7"/>
        <v>3.4729575000000001</v>
      </c>
      <c r="AH6" s="28">
        <f t="shared" si="8"/>
        <v>0.14839117924242423</v>
      </c>
      <c r="AI6" s="28">
        <f t="shared" si="9"/>
        <v>7.3573101729382723E-2</v>
      </c>
      <c r="AJ6" s="28">
        <f t="shared" si="10"/>
        <v>4.50485754861304E-2</v>
      </c>
      <c r="AK6" s="28">
        <f t="shared" si="11"/>
        <v>7.4799170544898416E-2</v>
      </c>
      <c r="AL6" s="25">
        <f t="shared" si="12"/>
        <v>1836704</v>
      </c>
      <c r="AM6" s="28">
        <f t="shared" si="13"/>
        <v>0.15248280431294964</v>
      </c>
      <c r="AN6" s="29">
        <v>24294464</v>
      </c>
      <c r="AO6" s="29">
        <v>759202</v>
      </c>
      <c r="AP6" s="29">
        <v>19637.125</v>
      </c>
      <c r="AQ6" s="30">
        <v>3704488</v>
      </c>
      <c r="AR6" s="30">
        <v>1124608</v>
      </c>
      <c r="AS6" s="30">
        <v>712096</v>
      </c>
      <c r="AT6" s="30">
        <v>1867312</v>
      </c>
      <c r="AU6" s="31">
        <v>68.286643749999996</v>
      </c>
      <c r="AV6" s="31">
        <v>70.352028125000004</v>
      </c>
      <c r="AW6" s="31">
        <v>34.43336875</v>
      </c>
      <c r="AX6" s="31">
        <v>45.414081250000002</v>
      </c>
      <c r="AY6" s="31">
        <v>45.089015625000002</v>
      </c>
      <c r="AZ6" s="32">
        <v>2875.05</v>
      </c>
      <c r="BA6" s="32">
        <v>1243.08</v>
      </c>
      <c r="BB6" s="32">
        <v>6.4530000000000003</v>
      </c>
      <c r="BC6" s="32">
        <v>19.367999999999999</v>
      </c>
      <c r="BE6" s="33">
        <f t="shared" si="14"/>
        <v>-0.35988670214331153</v>
      </c>
      <c r="BF6" s="33">
        <f t="shared" si="15"/>
        <v>-7.974375019772495E-4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5.7098775000000002</v>
      </c>
      <c r="J7" s="18">
        <f t="shared" si="1"/>
        <v>0.24396942823365536</v>
      </c>
      <c r="K7" s="18">
        <f t="shared" si="2"/>
        <v>9.0964948764319473E-2</v>
      </c>
      <c r="L7" s="18">
        <f t="shared" si="3"/>
        <v>6.2342362652392867E-2</v>
      </c>
      <c r="M7" s="18">
        <f t="shared" si="4"/>
        <v>0.15298589295827997</v>
      </c>
      <c r="N7" s="15">
        <f t="shared" si="5"/>
        <v>2270880</v>
      </c>
      <c r="O7" s="18">
        <f t="shared" si="6"/>
        <v>0.15861801850453613</v>
      </c>
      <c r="P7" s="19">
        <v>38397504</v>
      </c>
      <c r="Q7" s="19">
        <v>1199922</v>
      </c>
      <c r="R7" s="19">
        <v>447546.0625</v>
      </c>
      <c r="S7" s="20">
        <v>6090536</v>
      </c>
      <c r="T7" s="20">
        <v>1556336</v>
      </c>
      <c r="U7" s="20">
        <v>714544</v>
      </c>
      <c r="V7" s="20">
        <v>3819192</v>
      </c>
      <c r="W7" s="21">
        <v>69.664112500000002</v>
      </c>
      <c r="X7" s="21">
        <v>72.339937500000005</v>
      </c>
      <c r="Y7" s="21">
        <v>36.965259375000002</v>
      </c>
      <c r="Z7" s="21">
        <v>46.468137499999997</v>
      </c>
      <c r="AA7" s="21">
        <v>46.330528125000001</v>
      </c>
      <c r="AB7" s="22">
        <v>6209.25</v>
      </c>
      <c r="AC7" s="22">
        <v>1341.58</v>
      </c>
      <c r="AD7" s="22">
        <v>8.8119999999999994</v>
      </c>
      <c r="AE7" s="22">
        <v>20.844000000000001</v>
      </c>
      <c r="AG7" s="17">
        <f t="shared" si="7"/>
        <v>5.6993999999999998</v>
      </c>
      <c r="AH7" s="18">
        <f t="shared" si="8"/>
        <v>0.24352174968287768</v>
      </c>
      <c r="AI7" s="18">
        <f t="shared" si="9"/>
        <v>9.1061726804645068E-2</v>
      </c>
      <c r="AJ7" s="18">
        <f t="shared" si="10"/>
        <v>6.2537200561392753E-2</v>
      </c>
      <c r="AK7" s="18">
        <f t="shared" si="11"/>
        <v>0.15244111591008952</v>
      </c>
      <c r="AL7" s="15">
        <f t="shared" si="12"/>
        <v>2273296</v>
      </c>
      <c r="AM7" s="18">
        <f t="shared" si="13"/>
        <v>0.24491098542614143</v>
      </c>
      <c r="AN7" s="19">
        <v>24822733</v>
      </c>
      <c r="AO7" s="19">
        <v>775710.40625</v>
      </c>
      <c r="AP7" s="19">
        <v>21328.78125</v>
      </c>
      <c r="AQ7" s="20">
        <v>6079360</v>
      </c>
      <c r="AR7" s="20">
        <v>1561200</v>
      </c>
      <c r="AS7" s="20">
        <v>712096</v>
      </c>
      <c r="AT7" s="20">
        <v>3805592</v>
      </c>
      <c r="AU7" s="21">
        <v>69.66915625</v>
      </c>
      <c r="AV7" s="21">
        <v>72.027443750000003</v>
      </c>
      <c r="AW7" s="21">
        <v>36.978884375</v>
      </c>
      <c r="AX7" s="21">
        <v>46.488531250000001</v>
      </c>
      <c r="AY7" s="21">
        <v>46.325428125000002</v>
      </c>
      <c r="AZ7" s="22">
        <v>2871.5</v>
      </c>
      <c r="BA7" s="22">
        <v>1324.32</v>
      </c>
      <c r="BB7" s="22">
        <v>6.5570000000000004</v>
      </c>
      <c r="BC7" s="22">
        <v>20.468</v>
      </c>
      <c r="BE7" s="23">
        <f t="shared" si="14"/>
        <v>-0.34548349179042442</v>
      </c>
      <c r="BF7" s="23">
        <f t="shared" si="15"/>
        <v>1.0828467143967901E-3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10.03641</v>
      </c>
      <c r="J8" s="28">
        <f t="shared" si="1"/>
        <v>0.42883182856699481</v>
      </c>
      <c r="K8" s="28">
        <f t="shared" si="2"/>
        <v>0.12047359872227351</v>
      </c>
      <c r="L8" s="28">
        <f t="shared" si="3"/>
        <v>9.1851012610346894E-2</v>
      </c>
      <c r="M8" s="28">
        <f t="shared" si="4"/>
        <v>0.30833964333366543</v>
      </c>
      <c r="N8" s="25">
        <f t="shared" si="5"/>
        <v>3007544</v>
      </c>
      <c r="O8" s="28">
        <f t="shared" si="6"/>
        <v>0.27880728914046082</v>
      </c>
      <c r="P8" s="29">
        <v>38397504</v>
      </c>
      <c r="Q8" s="29">
        <v>1199922</v>
      </c>
      <c r="R8" s="29">
        <v>413736.75</v>
      </c>
      <c r="S8" s="30">
        <v>10705504</v>
      </c>
      <c r="T8" s="30">
        <v>2293000</v>
      </c>
      <c r="U8" s="30">
        <v>714544</v>
      </c>
      <c r="V8" s="30">
        <v>7697496</v>
      </c>
      <c r="W8" s="31">
        <v>70.772203125000004</v>
      </c>
      <c r="X8" s="31">
        <v>73.601446874999993</v>
      </c>
      <c r="Y8" s="31">
        <v>39.627793750000002</v>
      </c>
      <c r="Z8" s="31">
        <v>47.792531250000003</v>
      </c>
      <c r="AA8" s="31">
        <v>47.850837499999997</v>
      </c>
      <c r="AB8" s="32">
        <v>6230.68</v>
      </c>
      <c r="AC8" s="32">
        <v>1478.15</v>
      </c>
      <c r="AD8" s="32">
        <v>8.7050000000000001</v>
      </c>
      <c r="AE8" s="32">
        <v>20.779</v>
      </c>
      <c r="AG8" s="27">
        <f t="shared" si="7"/>
        <v>9.9691875000000003</v>
      </c>
      <c r="AH8" s="28">
        <f t="shared" si="8"/>
        <v>0.4259595716946824</v>
      </c>
      <c r="AI8" s="28">
        <f t="shared" si="9"/>
        <v>0.12027331304279172</v>
      </c>
      <c r="AJ8" s="28">
        <f t="shared" si="10"/>
        <v>9.1748786799539392E-2</v>
      </c>
      <c r="AK8" s="28">
        <f t="shared" si="11"/>
        <v>0.30566735168374765</v>
      </c>
      <c r="AL8" s="25">
        <f t="shared" si="12"/>
        <v>3002544</v>
      </c>
      <c r="AM8" s="28">
        <f t="shared" si="13"/>
        <v>0.40949132011486611</v>
      </c>
      <c r="AN8" s="29">
        <v>25968316</v>
      </c>
      <c r="AO8" s="29">
        <v>811509.875</v>
      </c>
      <c r="AP8" s="29">
        <v>24839.96875</v>
      </c>
      <c r="AQ8" s="30">
        <v>10633800</v>
      </c>
      <c r="AR8" s="30">
        <v>2290448</v>
      </c>
      <c r="AS8" s="30">
        <v>712096</v>
      </c>
      <c r="AT8" s="30">
        <v>7630784</v>
      </c>
      <c r="AU8" s="31">
        <v>70.735515625000005</v>
      </c>
      <c r="AV8" s="31">
        <v>73.265771874999999</v>
      </c>
      <c r="AW8" s="31">
        <v>39.621790625000003</v>
      </c>
      <c r="AX8" s="31">
        <v>47.778500000000001</v>
      </c>
      <c r="AY8" s="31">
        <v>47.798987500000003</v>
      </c>
      <c r="AZ8" s="32">
        <v>2916.22</v>
      </c>
      <c r="BA8" s="32">
        <v>1466.87</v>
      </c>
      <c r="BB8" s="32">
        <v>6.5910000000000002</v>
      </c>
      <c r="BC8" s="32">
        <v>20.766999999999999</v>
      </c>
      <c r="BE8" s="33">
        <f t="shared" si="14"/>
        <v>-0.31419346667309117</v>
      </c>
      <c r="BF8" s="33">
        <f t="shared" si="15"/>
        <v>1.4241492148291957E-3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ht="15" outlineLevel="1" thickBot="1" x14ac:dyDescent="0.3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18.288855000000002</v>
      </c>
      <c r="J9" s="38">
        <f t="shared" si="1"/>
        <v>0.78143909346535523</v>
      </c>
      <c r="K9" s="38">
        <f t="shared" si="2"/>
        <v>0.17030980309073651</v>
      </c>
      <c r="L9" s="38">
        <f t="shared" si="3"/>
        <v>0.1416872169788099</v>
      </c>
      <c r="M9" s="38">
        <f t="shared" si="4"/>
        <v>0.61111070386356281</v>
      </c>
      <c r="N9" s="35">
        <f t="shared" si="5"/>
        <v>4251672</v>
      </c>
      <c r="O9" s="38">
        <f t="shared" si="6"/>
        <v>0.5080567736902899</v>
      </c>
      <c r="P9" s="39">
        <v>38397504</v>
      </c>
      <c r="Q9" s="39">
        <v>1199922</v>
      </c>
      <c r="R9" s="39">
        <v>407878.46875</v>
      </c>
      <c r="S9" s="40">
        <v>19508112</v>
      </c>
      <c r="T9" s="40">
        <v>3537128</v>
      </c>
      <c r="U9" s="40">
        <v>714544</v>
      </c>
      <c r="V9" s="40">
        <v>15255976</v>
      </c>
      <c r="W9" s="41">
        <v>71.648624999999996</v>
      </c>
      <c r="X9" s="41">
        <v>74.759387500000003</v>
      </c>
      <c r="Y9" s="41">
        <v>42.201481250000001</v>
      </c>
      <c r="Z9" s="41">
        <v>49.403550000000003</v>
      </c>
      <c r="AA9" s="41">
        <v>49.534043750000002</v>
      </c>
      <c r="AB9" s="42">
        <v>6235.8</v>
      </c>
      <c r="AC9" s="42">
        <v>1705.22</v>
      </c>
      <c r="AD9" s="42">
        <v>8.7270000000000003</v>
      </c>
      <c r="AE9" s="42">
        <v>22.068999999999999</v>
      </c>
      <c r="AG9" s="37">
        <f t="shared" si="7"/>
        <v>18.108090000000001</v>
      </c>
      <c r="AH9" s="38">
        <f t="shared" si="8"/>
        <v>0.77371543675036325</v>
      </c>
      <c r="AI9" s="38">
        <f t="shared" si="9"/>
        <v>0.17027423235406053</v>
      </c>
      <c r="AJ9" s="38">
        <f t="shared" si="10"/>
        <v>0.1417497061108082</v>
      </c>
      <c r="AK9" s="38">
        <f t="shared" si="11"/>
        <v>0.60342229742815967</v>
      </c>
      <c r="AL9" s="35">
        <f t="shared" si="12"/>
        <v>4250784</v>
      </c>
      <c r="AM9" s="38">
        <f t="shared" si="13"/>
        <v>0.7366091261020794</v>
      </c>
      <c r="AN9" s="39">
        <v>26221907</v>
      </c>
      <c r="AO9" s="39">
        <v>819434.59375</v>
      </c>
      <c r="AP9" s="39">
        <v>26544.875</v>
      </c>
      <c r="AQ9" s="40">
        <v>19315296</v>
      </c>
      <c r="AR9" s="40">
        <v>3538688</v>
      </c>
      <c r="AS9" s="40">
        <v>712096</v>
      </c>
      <c r="AT9" s="40">
        <v>15064040</v>
      </c>
      <c r="AU9" s="41">
        <v>71.631712500000006</v>
      </c>
      <c r="AV9" s="41">
        <v>74.407109375000005</v>
      </c>
      <c r="AW9" s="41">
        <v>42.051034375</v>
      </c>
      <c r="AX9" s="41">
        <v>49.409953125000001</v>
      </c>
      <c r="AY9" s="41">
        <v>49.533196875000002</v>
      </c>
      <c r="AZ9" s="42">
        <v>2876.17</v>
      </c>
      <c r="BA9" s="42">
        <v>1679.44</v>
      </c>
      <c r="BB9" s="42">
        <v>6.4119999999999999</v>
      </c>
      <c r="BC9" s="42">
        <v>20.617999999999999</v>
      </c>
      <c r="BE9" s="43">
        <f t="shared" si="14"/>
        <v>-0.30752668363290564</v>
      </c>
      <c r="BF9" s="43">
        <f t="shared" si="15"/>
        <v>2.1296619604857792E-3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3.2478975000000001</v>
      </c>
      <c r="J10" s="28">
        <f t="shared" si="1"/>
        <v>0.15292236886426089</v>
      </c>
      <c r="K10" s="28">
        <f t="shared" si="2"/>
        <v>7.8420152136486468E-2</v>
      </c>
      <c r="L10" s="28">
        <f t="shared" si="3"/>
        <v>3.8161291195428923E-2</v>
      </c>
      <c r="M10" s="28">
        <f t="shared" si="4"/>
        <v>7.4481735407025865E-2</v>
      </c>
      <c r="N10" s="25">
        <f t="shared" si="5"/>
        <v>1776592</v>
      </c>
      <c r="O10" s="28">
        <f t="shared" si="6"/>
        <v>0.10097865017628295</v>
      </c>
      <c r="P10" s="29">
        <v>34308480</v>
      </c>
      <c r="Q10" s="29">
        <v>1072140</v>
      </c>
      <c r="R10" s="29">
        <v>447339.625</v>
      </c>
      <c r="S10" s="30">
        <v>3464424</v>
      </c>
      <c r="T10" s="30">
        <v>864536</v>
      </c>
      <c r="U10" s="30">
        <v>912056</v>
      </c>
      <c r="V10" s="30">
        <v>1687368</v>
      </c>
      <c r="W10" s="31">
        <v>65.922443749999999</v>
      </c>
      <c r="X10" s="31">
        <v>68.081450000000004</v>
      </c>
      <c r="Y10" s="31">
        <v>32.486703124999998</v>
      </c>
      <c r="Z10" s="31">
        <v>39.230165624999998</v>
      </c>
      <c r="AA10" s="31">
        <v>32.191012499999999</v>
      </c>
      <c r="AB10" s="32">
        <v>5704.47</v>
      </c>
      <c r="AC10" s="32">
        <v>1317.93</v>
      </c>
      <c r="AD10" s="32">
        <v>8.3439999999999994</v>
      </c>
      <c r="AE10" s="32">
        <v>21.634</v>
      </c>
      <c r="AG10" s="27">
        <f t="shared" si="7"/>
        <v>3.2486549999999998</v>
      </c>
      <c r="AH10" s="28">
        <f t="shared" si="8"/>
        <v>0.15295803461246096</v>
      </c>
      <c r="AI10" s="28">
        <f t="shared" si="9"/>
        <v>7.8435336563937988E-2</v>
      </c>
      <c r="AJ10" s="28">
        <f t="shared" si="10"/>
        <v>3.8155994302131881E-2</v>
      </c>
      <c r="AK10" s="28">
        <f t="shared" si="11"/>
        <v>7.4501863601554627E-2</v>
      </c>
      <c r="AL10" s="25">
        <f t="shared" si="12"/>
        <v>1776936</v>
      </c>
      <c r="AM10" s="28">
        <f t="shared" si="13"/>
        <v>0.16657529273587585</v>
      </c>
      <c r="AN10" s="29">
        <v>20802797</v>
      </c>
      <c r="AO10" s="29">
        <v>650087.40625</v>
      </c>
      <c r="AP10" s="29">
        <v>19199.34375</v>
      </c>
      <c r="AQ10" s="30">
        <v>3465232</v>
      </c>
      <c r="AR10" s="30">
        <v>864416</v>
      </c>
      <c r="AS10" s="30">
        <v>912520</v>
      </c>
      <c r="AT10" s="30">
        <v>1687824</v>
      </c>
      <c r="AU10" s="31">
        <v>65.9461625</v>
      </c>
      <c r="AV10" s="31">
        <v>67.842168749999999</v>
      </c>
      <c r="AW10" s="31">
        <v>32.503250000000001</v>
      </c>
      <c r="AX10" s="31">
        <v>39.247293749999997</v>
      </c>
      <c r="AY10" s="31">
        <v>32.195581249999996</v>
      </c>
      <c r="AZ10" s="32">
        <v>2608.0500000000002</v>
      </c>
      <c r="BA10" s="32">
        <v>1308.81</v>
      </c>
      <c r="BB10" s="32">
        <v>5.9370000000000003</v>
      </c>
      <c r="BC10" s="32">
        <v>20.937000000000001</v>
      </c>
      <c r="BE10" s="33">
        <f t="shared" si="14"/>
        <v>-0.38770645549394478</v>
      </c>
      <c r="BF10" s="33">
        <f t="shared" si="15"/>
        <v>-2.030185855383948E-5</v>
      </c>
      <c r="BG10" s="33">
        <f t="array" ref="BG10">AVERAGE(AL10:AL14/AQ10:AQ14) - AVERAGE(N10:N14/S10:S14)</f>
        <v>8.3797792559769935E-4</v>
      </c>
      <c r="BI10" s="34">
        <f>IF( OR(ISBLANK(N10:N14),ISBLANK(AL10:AL14), ISBLANK(W10:W14),ISBLANK(AU10:AU14)), "·", bdRateExtend( N10:N14,W10:W14, AL10:AL14,AU10:AU14))</f>
        <v>5.0452245689827091E-3</v>
      </c>
      <c r="BJ10" s="34">
        <f>IF( OR(ISBLANK(N10:N14),ISBLANK(AL10:AL14), ISBLANK(X10:X14),ISBLANK(AV10:AV14)), "·", bdRateExtend( N10:N14,X10:X14, AL10:AL14,AV10:AV14))</f>
        <v>5.0003917535663689E-2</v>
      </c>
      <c r="BK10" s="34">
        <f>IF( OR(ISBLANK(V10:V14),ISBLANK(AT10:AT14), ISBLANK(Y10:Y14),ISBLANK(AW10:AW14)), "·", bdRateExtend( V10:V14,Y10:Y14, AT10:AT14,AW10:AW14))</f>
        <v>-1.1655488301620665E-5</v>
      </c>
      <c r="BL10" s="34">
        <f>IF( OR(ISBLANK(V10:V14),ISBLANK(AT10:AT14), ISBLANK(Z10:Z14),ISBLANK(AX10:AX14)), "·", bdRateExtend( V10:V14,Z10:Z14, AT10:AT14,AX10:AX14))</f>
        <v>-5.7786999815417905E-3</v>
      </c>
      <c r="BM10" s="34">
        <f>IF( OR(ISBLANK(V10:V14),ISBLANK(AT10:AT14), ISBLANK(AA10:AA14),ISBLANK(AY10:AY14)), "·", bdRateExtend( V10:V14,AA10:AA14, AT10:AT14,AY10:AY14))</f>
        <v>-7.9949050798565624E-3</v>
      </c>
      <c r="BO10" s="34">
        <f>IF( OR(ISBLANK(S10:S14),ISBLANK(AQ10:AQ14), ISBLANK(W10:W14),ISBLANK(AU10:AU14)), "·", bdRateExtend( S10:S14,W10:W14, AQ10:AQ14,AU10:AU14))</f>
        <v>7.0434137325294799E-3</v>
      </c>
      <c r="BP10" s="34">
        <f>IF( OR(ISBLANK(S10:S14),ISBLANK(AQ10:AQ14), ISBLANK(X10:X14),ISBLANK(AV10:AV14)), "·", bdRateExtend( S10:S14,X10:X14, AQ10:AQ14,AV10:AV14))</f>
        <v>9.2659469081449064E-2</v>
      </c>
      <c r="BQ10" s="34">
        <f>IF( OR(ISBLANK(S10:S14),ISBLANK(AQ10:AQ14), ISBLANK(Y10:Y14),ISBLANK(AW10:AW14)), "·", bdRateExtend( S10:S14,Y10:Y14, AQ10:AQ14,AW10:AW14))</f>
        <v>9.0551814379624673E-4</v>
      </c>
      <c r="BR10" s="34">
        <f>IF( OR(ISBLANK(S10:S14),ISBLANK(AQ10:AQ14), ISBLANK(Z10:Z14),ISBLANK(AX10:AX14)), "·", bdRateExtend( S10:S14,Z10:Z14, AQ10:AQ14,AX10:AX14))</f>
        <v>-4.2150331396683116E-3</v>
      </c>
      <c r="BS10" s="34">
        <f>IF( OR(ISBLANK(S10:S14),ISBLANK(AQ10:AQ14), ISBLANK(AA10:AA14),ISBLANK(AY10:AY14)), "·", bdRateExtend( S10:S14,AA10:AA14, AQ10:AQ14,AY10:AY14))</f>
        <v>-6.1929498119788207E-3</v>
      </c>
    </row>
    <row r="11" spans="1:71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4.7065950000000001</v>
      </c>
      <c r="J11" s="18">
        <f t="shared" si="1"/>
        <v>0.22160294673236638</v>
      </c>
      <c r="K11" s="18">
        <f t="shared" si="2"/>
        <v>9.4178056568966495E-2</v>
      </c>
      <c r="L11" s="18">
        <f t="shared" si="3"/>
        <v>5.3919195627908957E-2</v>
      </c>
      <c r="M11" s="18">
        <f t="shared" si="4"/>
        <v>0.12740440884265133</v>
      </c>
      <c r="N11" s="15">
        <f t="shared" si="5"/>
        <v>2133584</v>
      </c>
      <c r="O11" s="18">
        <f t="shared" si="6"/>
        <v>0.14633023672281606</v>
      </c>
      <c r="P11" s="19">
        <v>34308480</v>
      </c>
      <c r="Q11" s="19">
        <v>1072140</v>
      </c>
      <c r="R11" s="19">
        <v>396273.4375</v>
      </c>
      <c r="S11" s="20">
        <v>5020368</v>
      </c>
      <c r="T11" s="20">
        <v>1221528</v>
      </c>
      <c r="U11" s="20">
        <v>912056</v>
      </c>
      <c r="V11" s="20">
        <v>2886320</v>
      </c>
      <c r="W11" s="21">
        <v>67.684212500000001</v>
      </c>
      <c r="X11" s="21">
        <v>69.940759374999999</v>
      </c>
      <c r="Y11" s="21">
        <v>34.383265625</v>
      </c>
      <c r="Z11" s="21">
        <v>40.103784374999996</v>
      </c>
      <c r="AA11" s="21">
        <v>33.969434374999999</v>
      </c>
      <c r="AB11" s="22">
        <v>5697.55</v>
      </c>
      <c r="AC11" s="22">
        <v>1404.92</v>
      </c>
      <c r="AD11" s="22">
        <v>8.3710000000000004</v>
      </c>
      <c r="AE11" s="22">
        <v>22.846</v>
      </c>
      <c r="AG11" s="17">
        <f t="shared" si="7"/>
        <v>4.6985999999999999</v>
      </c>
      <c r="AH11" s="18">
        <f t="shared" si="8"/>
        <v>0.22122651418205661</v>
      </c>
      <c r="AI11" s="18">
        <f t="shared" si="9"/>
        <v>9.4114140723182194E-2</v>
      </c>
      <c r="AJ11" s="18">
        <f t="shared" si="10"/>
        <v>5.3834798461376093E-2</v>
      </c>
      <c r="AK11" s="18">
        <f t="shared" si="11"/>
        <v>0.12709153901190604</v>
      </c>
      <c r="AL11" s="15">
        <f t="shared" si="12"/>
        <v>2132136</v>
      </c>
      <c r="AM11" s="18">
        <f t="shared" si="13"/>
        <v>0.22302750637275165</v>
      </c>
      <c r="AN11" s="19">
        <v>22471847</v>
      </c>
      <c r="AO11" s="19">
        <v>702245.21875</v>
      </c>
      <c r="AP11" s="19">
        <v>25286.25</v>
      </c>
      <c r="AQ11" s="20">
        <v>5011840</v>
      </c>
      <c r="AR11" s="20">
        <v>1219616</v>
      </c>
      <c r="AS11" s="20">
        <v>912520</v>
      </c>
      <c r="AT11" s="20">
        <v>2879232</v>
      </c>
      <c r="AU11" s="21">
        <v>67.675600000000003</v>
      </c>
      <c r="AV11" s="21">
        <v>69.695696874999996</v>
      </c>
      <c r="AW11" s="21">
        <v>34.388628124999997</v>
      </c>
      <c r="AX11" s="21">
        <v>40.108456250000003</v>
      </c>
      <c r="AY11" s="21">
        <v>33.973350000000003</v>
      </c>
      <c r="AZ11" s="22">
        <v>2607.86</v>
      </c>
      <c r="BA11" s="22">
        <v>1389.72</v>
      </c>
      <c r="BB11" s="22">
        <v>6.1529999999999996</v>
      </c>
      <c r="BC11" s="22">
        <v>21.266999999999999</v>
      </c>
      <c r="BE11" s="23">
        <f t="shared" si="14"/>
        <v>-0.33360206630679207</v>
      </c>
      <c r="BF11" s="23">
        <f t="shared" si="15"/>
        <v>4.3422715321111971E-4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7.3535399999999997</v>
      </c>
      <c r="J12" s="28">
        <f t="shared" si="1"/>
        <v>0.34623037098248849</v>
      </c>
      <c r="K12" s="28">
        <f t="shared" si="2"/>
        <v>0.11759314995165041</v>
      </c>
      <c r="L12" s="28">
        <f t="shared" si="3"/>
        <v>7.733428901059286E-2</v>
      </c>
      <c r="M12" s="28">
        <f t="shared" si="4"/>
        <v>0.22861673971008956</v>
      </c>
      <c r="N12" s="25">
        <f t="shared" si="5"/>
        <v>2664048</v>
      </c>
      <c r="O12" s="28">
        <f t="shared" si="6"/>
        <v>0.22862499300464492</v>
      </c>
      <c r="P12" s="29">
        <v>34308480</v>
      </c>
      <c r="Q12" s="29">
        <v>1072140</v>
      </c>
      <c r="R12" s="29">
        <v>386071.75</v>
      </c>
      <c r="S12" s="30">
        <v>7843776</v>
      </c>
      <c r="T12" s="30">
        <v>1751992</v>
      </c>
      <c r="U12" s="30">
        <v>912056</v>
      </c>
      <c r="V12" s="30">
        <v>5179264</v>
      </c>
      <c r="W12" s="31">
        <v>69.053790625000005</v>
      </c>
      <c r="X12" s="31">
        <v>71.606925000000004</v>
      </c>
      <c r="Y12" s="31">
        <v>36.512599999999999</v>
      </c>
      <c r="Z12" s="31">
        <v>41.009599999999999</v>
      </c>
      <c r="AA12" s="31">
        <v>35.754884375000003</v>
      </c>
      <c r="AB12" s="32">
        <v>5690.88</v>
      </c>
      <c r="AC12" s="32">
        <v>1488.56</v>
      </c>
      <c r="AD12" s="32">
        <v>8.4</v>
      </c>
      <c r="AE12" s="32">
        <v>22.803999999999998</v>
      </c>
      <c r="AG12" s="27">
        <f t="shared" si="7"/>
        <v>7.3323</v>
      </c>
      <c r="AH12" s="28">
        <f t="shared" si="8"/>
        <v>0.34523031752800698</v>
      </c>
      <c r="AI12" s="28">
        <f t="shared" si="9"/>
        <v>0.11743989317225599</v>
      </c>
      <c r="AJ12" s="28">
        <f t="shared" si="10"/>
        <v>7.7160550910449877E-2</v>
      </c>
      <c r="AK12" s="28">
        <f t="shared" si="11"/>
        <v>0.22776958990878265</v>
      </c>
      <c r="AL12" s="25">
        <f t="shared" si="12"/>
        <v>2660576</v>
      </c>
      <c r="AM12" s="28">
        <f t="shared" si="13"/>
        <v>0.34263527916899272</v>
      </c>
      <c r="AN12" s="29">
        <v>22826371</v>
      </c>
      <c r="AO12" s="29">
        <v>713324.09375</v>
      </c>
      <c r="AP12" s="29">
        <v>26845.03125</v>
      </c>
      <c r="AQ12" s="30">
        <v>7821120</v>
      </c>
      <c r="AR12" s="30">
        <v>1748056</v>
      </c>
      <c r="AS12" s="30">
        <v>912520</v>
      </c>
      <c r="AT12" s="30">
        <v>5160072</v>
      </c>
      <c r="AU12" s="31">
        <v>69.029246874999998</v>
      </c>
      <c r="AV12" s="31">
        <v>71.329274999999996</v>
      </c>
      <c r="AW12" s="31">
        <v>36.513684374999997</v>
      </c>
      <c r="AX12" s="31">
        <v>41.002600000000001</v>
      </c>
      <c r="AY12" s="31">
        <v>35.772681249999998</v>
      </c>
      <c r="AZ12" s="32">
        <v>2619.88</v>
      </c>
      <c r="BA12" s="32">
        <v>1493.25</v>
      </c>
      <c r="BB12" s="32">
        <v>6.2549999999999999</v>
      </c>
      <c r="BC12" s="32">
        <v>22.414999999999999</v>
      </c>
      <c r="BE12" s="33">
        <f t="shared" si="14"/>
        <v>-0.32246082172888546</v>
      </c>
      <c r="BF12" s="33">
        <f t="shared" si="15"/>
        <v>5.3992892913312662E-4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12.851654999999999</v>
      </c>
      <c r="J13" s="18">
        <f t="shared" si="1"/>
        <v>0.60510084644796291</v>
      </c>
      <c r="K13" s="18">
        <f t="shared" si="2"/>
        <v>0.15833861882359621</v>
      </c>
      <c r="L13" s="18">
        <f t="shared" si="3"/>
        <v>0.11807975788253866</v>
      </c>
      <c r="M13" s="18">
        <f t="shared" si="4"/>
        <v>0.44674174630361818</v>
      </c>
      <c r="N13" s="15">
        <f t="shared" si="5"/>
        <v>3587128</v>
      </c>
      <c r="O13" s="18">
        <f t="shared" si="6"/>
        <v>0.39956395619975005</v>
      </c>
      <c r="P13" s="19">
        <v>34308480</v>
      </c>
      <c r="Q13" s="19">
        <v>1072140</v>
      </c>
      <c r="R13" s="19">
        <v>361657.96875</v>
      </c>
      <c r="S13" s="20">
        <v>13708432</v>
      </c>
      <c r="T13" s="20">
        <v>2675072</v>
      </c>
      <c r="U13" s="20">
        <v>912056</v>
      </c>
      <c r="V13" s="20">
        <v>10120840</v>
      </c>
      <c r="W13" s="21">
        <v>70.075603125000001</v>
      </c>
      <c r="X13" s="21">
        <v>72.853009374999999</v>
      </c>
      <c r="Y13" s="21">
        <v>38.88210625</v>
      </c>
      <c r="Z13" s="21">
        <v>42.183790625</v>
      </c>
      <c r="AA13" s="21">
        <v>37.857790625</v>
      </c>
      <c r="AB13" s="22">
        <v>5678.39</v>
      </c>
      <c r="AC13" s="22">
        <v>1649.41</v>
      </c>
      <c r="AD13" s="22">
        <v>8.3940000000000001</v>
      </c>
      <c r="AE13" s="22">
        <v>24.274999999999999</v>
      </c>
      <c r="AG13" s="17">
        <f t="shared" si="7"/>
        <v>12.770917499999999</v>
      </c>
      <c r="AH13" s="18">
        <f t="shared" si="8"/>
        <v>0.60129944269178581</v>
      </c>
      <c r="AI13" s="18">
        <f t="shared" si="9"/>
        <v>0.15827540923025149</v>
      </c>
      <c r="AJ13" s="18">
        <f t="shared" si="10"/>
        <v>0.11799606696844539</v>
      </c>
      <c r="AK13" s="18">
        <f t="shared" si="11"/>
        <v>0.44300319901456597</v>
      </c>
      <c r="AL13" s="15">
        <f t="shared" si="12"/>
        <v>3585696</v>
      </c>
      <c r="AM13" s="18">
        <f t="shared" si="13"/>
        <v>0.57375429474020623</v>
      </c>
      <c r="AN13" s="19">
        <v>23742414</v>
      </c>
      <c r="AO13" s="19">
        <v>741950.4375</v>
      </c>
      <c r="AP13" s="19">
        <v>30595</v>
      </c>
      <c r="AQ13" s="20">
        <v>13622312</v>
      </c>
      <c r="AR13" s="20">
        <v>2673176</v>
      </c>
      <c r="AS13" s="20">
        <v>912520</v>
      </c>
      <c r="AT13" s="20">
        <v>10036144</v>
      </c>
      <c r="AU13" s="21">
        <v>70.031556249999994</v>
      </c>
      <c r="AV13" s="21">
        <v>72.565393749999998</v>
      </c>
      <c r="AW13" s="21">
        <v>38.857306250000001</v>
      </c>
      <c r="AX13" s="21">
        <v>42.181359375</v>
      </c>
      <c r="AY13" s="21">
        <v>37.871034375000001</v>
      </c>
      <c r="AZ13" s="22">
        <v>2627.71</v>
      </c>
      <c r="BA13" s="22">
        <v>1656.97</v>
      </c>
      <c r="BB13" s="22">
        <v>6.65</v>
      </c>
      <c r="BC13" s="22">
        <v>24.265999999999998</v>
      </c>
      <c r="BE13" s="23">
        <f t="shared" si="14"/>
        <v>-0.29608754670087123</v>
      </c>
      <c r="BF13" s="23">
        <f t="shared" si="15"/>
        <v>1.5491708026827422E-3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ht="15" outlineLevel="1" thickBot="1" x14ac:dyDescent="0.3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23.5180875</v>
      </c>
      <c r="J14" s="48">
        <f t="shared" si="1"/>
        <v>1.1073137781155233</v>
      </c>
      <c r="K14" s="48">
        <f t="shared" si="2"/>
        <v>0.22781620256979662</v>
      </c>
      <c r="L14" s="48">
        <f t="shared" si="3"/>
        <v>0.18755734162873908</v>
      </c>
      <c r="M14" s="48">
        <f t="shared" si="4"/>
        <v>0.87947709422497822</v>
      </c>
      <c r="N14" s="45">
        <f t="shared" si="5"/>
        <v>5161128</v>
      </c>
      <c r="O14" s="48">
        <f t="shared" si="6"/>
        <v>0.73118832428600744</v>
      </c>
      <c r="P14" s="49">
        <v>34308480</v>
      </c>
      <c r="Q14" s="49">
        <v>1072140</v>
      </c>
      <c r="R14" s="49">
        <v>355524.84375</v>
      </c>
      <c r="S14" s="50">
        <v>25085960</v>
      </c>
      <c r="T14" s="50">
        <v>4249072</v>
      </c>
      <c r="U14" s="50">
        <v>912056</v>
      </c>
      <c r="V14" s="50">
        <v>19924368</v>
      </c>
      <c r="W14" s="51">
        <v>70.89464375</v>
      </c>
      <c r="X14" s="51">
        <v>73.923206250000007</v>
      </c>
      <c r="Y14" s="51">
        <v>41.358228124999997</v>
      </c>
      <c r="Z14" s="51">
        <v>43.567978125000003</v>
      </c>
      <c r="AA14" s="51">
        <v>39.821856250000003</v>
      </c>
      <c r="AB14" s="52">
        <v>5700.9</v>
      </c>
      <c r="AC14" s="52">
        <v>1914.77</v>
      </c>
      <c r="AD14" s="52">
        <v>8.1449999999999996</v>
      </c>
      <c r="AE14" s="52">
        <v>24.981000000000002</v>
      </c>
      <c r="AG14" s="47">
        <f t="shared" si="7"/>
        <v>23.314462500000001</v>
      </c>
      <c r="AH14" s="48">
        <f t="shared" si="8"/>
        <v>1.0977264012478773</v>
      </c>
      <c r="AI14" s="48">
        <f t="shared" si="9"/>
        <v>0.22769543340262405</v>
      </c>
      <c r="AJ14" s="48">
        <f t="shared" si="10"/>
        <v>0.18741609114081795</v>
      </c>
      <c r="AK14" s="48">
        <f t="shared" si="11"/>
        <v>0.87001013339828503</v>
      </c>
      <c r="AL14" s="45">
        <f t="shared" si="12"/>
        <v>5158392</v>
      </c>
      <c r="AM14" s="48">
        <f t="shared" si="13"/>
        <v>1.0368756723663066</v>
      </c>
      <c r="AN14" s="49">
        <v>23984322</v>
      </c>
      <c r="AO14" s="49">
        <v>749510.0625</v>
      </c>
      <c r="AP14" s="49">
        <v>32373.9375</v>
      </c>
      <c r="AQ14" s="50">
        <v>24868760</v>
      </c>
      <c r="AR14" s="50">
        <v>4245872</v>
      </c>
      <c r="AS14" s="50">
        <v>912520</v>
      </c>
      <c r="AT14" s="50">
        <v>19709896</v>
      </c>
      <c r="AU14" s="51">
        <v>70.862768750000001</v>
      </c>
      <c r="AV14" s="51">
        <v>73.619771874999998</v>
      </c>
      <c r="AW14" s="51">
        <v>41.215343750000002</v>
      </c>
      <c r="AX14" s="51">
        <v>43.568628124999996</v>
      </c>
      <c r="AY14" s="51">
        <v>39.813234375</v>
      </c>
      <c r="AZ14" s="52">
        <v>2623.89</v>
      </c>
      <c r="BA14" s="52">
        <v>1908.71</v>
      </c>
      <c r="BB14" s="52">
        <v>6.4269999999999996</v>
      </c>
      <c r="BC14" s="52">
        <v>24.297999999999998</v>
      </c>
      <c r="BE14" s="53">
        <f t="shared" si="14"/>
        <v>-0.28840953697418709</v>
      </c>
      <c r="BF14" s="53">
        <f t="shared" si="15"/>
        <v>1.6868646015152644E-3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4.4032200000000001</v>
      </c>
      <c r="J15" s="18">
        <f t="shared" si="1"/>
        <v>0.13835298148759217</v>
      </c>
      <c r="K15" s="18">
        <f t="shared" si="2"/>
        <v>7.681977327607116E-2</v>
      </c>
      <c r="L15" s="18">
        <f t="shared" si="3"/>
        <v>3.8482940149320202E-2</v>
      </c>
      <c r="M15" s="18">
        <f t="shared" si="4"/>
        <v>6.1519540135216155E-2</v>
      </c>
      <c r="N15" s="15">
        <f t="shared" si="5"/>
        <v>2607856</v>
      </c>
      <c r="O15" s="18">
        <f t="shared" si="6"/>
        <v>9.1875755464539882E-2</v>
      </c>
      <c r="P15" s="19">
        <v>51120864</v>
      </c>
      <c r="Q15" s="19">
        <v>1597527</v>
      </c>
      <c r="R15" s="19">
        <v>656460.34375</v>
      </c>
      <c r="S15" s="20">
        <v>4696768</v>
      </c>
      <c r="T15" s="20">
        <v>1306408</v>
      </c>
      <c r="U15" s="20">
        <v>1301448</v>
      </c>
      <c r="V15" s="20">
        <v>2088448</v>
      </c>
      <c r="W15" s="21">
        <v>66.024971875000006</v>
      </c>
      <c r="X15" s="21">
        <v>68.018340624999993</v>
      </c>
      <c r="Y15" s="21">
        <v>29.570159374999999</v>
      </c>
      <c r="Z15" s="21">
        <v>43.18093125</v>
      </c>
      <c r="AA15" s="21">
        <v>43.410262500000002</v>
      </c>
      <c r="AB15" s="22">
        <v>8478.57</v>
      </c>
      <c r="AC15" s="22">
        <v>1381.49</v>
      </c>
      <c r="AD15" s="22">
        <v>11.1</v>
      </c>
      <c r="AE15" s="22">
        <v>22.565999999999999</v>
      </c>
      <c r="AG15" s="17">
        <f t="shared" si="7"/>
        <v>4.4030399999999998</v>
      </c>
      <c r="AH15" s="18">
        <f t="shared" si="8"/>
        <v>0.13834732573187983</v>
      </c>
      <c r="AI15" s="18">
        <f t="shared" si="9"/>
        <v>7.6947734749063246E-2</v>
      </c>
      <c r="AJ15" s="18">
        <f t="shared" si="10"/>
        <v>3.8476341767655783E-2</v>
      </c>
      <c r="AK15" s="18">
        <f t="shared" si="11"/>
        <v>6.1385687250023697E-2</v>
      </c>
      <c r="AL15" s="15">
        <f t="shared" si="12"/>
        <v>2612200</v>
      </c>
      <c r="AM15" s="18">
        <f t="shared" si="13"/>
        <v>0.1508845017025594</v>
      </c>
      <c r="AN15" s="19">
        <v>31126961</v>
      </c>
      <c r="AO15" s="19">
        <v>972717.53125</v>
      </c>
      <c r="AP15" s="19">
        <v>30954.71875</v>
      </c>
      <c r="AQ15" s="20">
        <v>4696576</v>
      </c>
      <c r="AR15" s="20">
        <v>1306184</v>
      </c>
      <c r="AS15" s="20">
        <v>1306016</v>
      </c>
      <c r="AT15" s="20">
        <v>2083904</v>
      </c>
      <c r="AU15" s="21">
        <v>66.004115624999997</v>
      </c>
      <c r="AV15" s="21">
        <v>67.779468750000007</v>
      </c>
      <c r="AW15" s="21">
        <v>29.573128125</v>
      </c>
      <c r="AX15" s="21">
        <v>43.198421875000001</v>
      </c>
      <c r="AY15" s="21">
        <v>43.441078124999997</v>
      </c>
      <c r="AZ15" s="22">
        <v>3903.99</v>
      </c>
      <c r="BA15" s="22">
        <v>1384.02</v>
      </c>
      <c r="BB15" s="22">
        <v>8.4350000000000005</v>
      </c>
      <c r="BC15" s="22">
        <v>22.306000000000001</v>
      </c>
      <c r="BE15" s="23">
        <f t="shared" si="14"/>
        <v>-0.37909992071515147</v>
      </c>
      <c r="BF15" s="23">
        <f t="shared" si="15"/>
        <v>9.4762801692982457E-4</v>
      </c>
      <c r="BG15" s="23">
        <f t="array" ref="BG15">AVERAGE(AL15:AL19/AQ15:AQ19) - AVERAGE(N15:N19/S15:S19)</f>
        <v>1.7700710907282424E-3</v>
      </c>
      <c r="BI15" s="24">
        <f>IF( OR(ISBLANK(N15:N19),ISBLANK(AL15:AL19), ISBLANK(W15:W19),ISBLANK(AU15:AU19)), "·", bdRateExtend( N15:N19,W15:W19, AL15:AL19,AU15:AU19))</f>
        <v>3.7734838196517018E-3</v>
      </c>
      <c r="BJ15" s="24">
        <f>IF( OR(ISBLANK(N15:N19),ISBLANK(AL15:AL19), ISBLANK(X15:X19),ISBLANK(AV15:AV19)), "·", bdRateExtend( N15:N19,X15:X19, AL15:AL19,AV15:AV19))</f>
        <v>4.398159441907068E-2</v>
      </c>
      <c r="BK15" s="24">
        <f>IF( OR(ISBLANK(V15:V19),ISBLANK(AT15:AT19), ISBLANK(Y15:Y19),ISBLANK(AW15:AW19)), "·", bdRateExtend( V15:V19,Y15:Y19, AT15:AT19,AW15:AW19))</f>
        <v>-3.4481608167690192E-3</v>
      </c>
      <c r="BL15" s="24">
        <f>IF( OR(ISBLANK(V15:V19),ISBLANK(AT15:AT19), ISBLANK(Z15:Z19),ISBLANK(AX15:AX19)), "·", bdRateExtend( V15:V19,Z15:Z19, AT15:AT19,AX15:AX19))</f>
        <v>-6.2407193251284854E-3</v>
      </c>
      <c r="BM15" s="24">
        <f>IF( OR(ISBLANK(V15:V19),ISBLANK(AT15:AT19), ISBLANK(AA15:AA19),ISBLANK(AY15:AY19)), "·", bdRateExtend( V15:V19,AA15:AA19, AT15:AT19,AY15:AY19))</f>
        <v>-5.7513804721545103E-3</v>
      </c>
      <c r="BO15" s="24">
        <f>IF( OR(ISBLANK(S15:S19),ISBLANK(AQ15:AQ19), ISBLANK(W15:W19),ISBLANK(AU15:AU19)), "·", bdRateExtend( S15:S19,W15:W19, AQ15:AQ19,AU15:AU19))</f>
        <v>7.6910976834376754E-5</v>
      </c>
      <c r="BP15" s="24">
        <f>IF( OR(ISBLANK(S15:S19),ISBLANK(AQ15:AQ19), ISBLANK(X15:X19),ISBLANK(AV15:AV19)), "·", bdRateExtend( S15:S19,X15:X19, AQ15:AQ19,AV15:AV19))</f>
        <v>8.7709018926235949E-2</v>
      </c>
      <c r="BQ15" s="24">
        <f>IF( OR(ISBLANK(S15:S19),ISBLANK(AQ15:AQ19), ISBLANK(Y15:Y19),ISBLANK(AW15:AW19)), "·", bdRateExtend( S15:S19,Y15:Y19, AQ15:AQ19,AW15:AW19))</f>
        <v>-8.4554685963400544E-4</v>
      </c>
      <c r="BR15" s="24">
        <f>IF( OR(ISBLANK(S15:S19),ISBLANK(AQ15:AQ19), ISBLANK(Z15:Z19),ISBLANK(AX15:AX19)), "·", bdRateExtend( S15:S19,Z15:Z19, AQ15:AQ19,AX15:AX19))</f>
        <v>-3.5969756394919061E-3</v>
      </c>
      <c r="BS15" s="24">
        <f>IF( OR(ISBLANK(S15:S19),ISBLANK(AQ15:AQ19), ISBLANK(AA15:AA19),ISBLANK(AY15:AY19)), "·", bdRateExtend( S15:S19,AA15:AA19, AQ15:AQ19,AY15:AY19))</f>
        <v>-3.3248020998286609E-3</v>
      </c>
    </row>
    <row r="16" spans="1:71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7.1022224999999999</v>
      </c>
      <c r="J16" s="28">
        <f t="shared" si="1"/>
        <v>0.22315797486004804</v>
      </c>
      <c r="K16" s="28">
        <f t="shared" si="2"/>
        <v>9.2667672095072776E-2</v>
      </c>
      <c r="L16" s="28">
        <f t="shared" si="3"/>
        <v>5.4330838968321818E-2</v>
      </c>
      <c r="M16" s="28">
        <f t="shared" si="4"/>
        <v>0.13047663468867038</v>
      </c>
      <c r="N16" s="25">
        <f t="shared" si="5"/>
        <v>3145856</v>
      </c>
      <c r="O16" s="28">
        <f t="shared" si="6"/>
        <v>0.14819201803787979</v>
      </c>
      <c r="P16" s="29">
        <v>51120864</v>
      </c>
      <c r="Q16" s="29">
        <v>1597527</v>
      </c>
      <c r="R16" s="29">
        <v>583564.46875</v>
      </c>
      <c r="S16" s="30">
        <v>7575704</v>
      </c>
      <c r="T16" s="30">
        <v>1844408</v>
      </c>
      <c r="U16" s="30">
        <v>1301448</v>
      </c>
      <c r="V16" s="30">
        <v>4429384</v>
      </c>
      <c r="W16" s="31">
        <v>67.866721874999996</v>
      </c>
      <c r="X16" s="31">
        <v>70.061300000000003</v>
      </c>
      <c r="Y16" s="31">
        <v>32.027821875000001</v>
      </c>
      <c r="Z16" s="31">
        <v>44.032215624999999</v>
      </c>
      <c r="AA16" s="31">
        <v>44.379300000000001</v>
      </c>
      <c r="AB16" s="32">
        <v>8465.4699999999993</v>
      </c>
      <c r="AC16" s="32">
        <v>1500.96</v>
      </c>
      <c r="AD16" s="32">
        <v>11.08</v>
      </c>
      <c r="AE16" s="32">
        <v>22.789000000000001</v>
      </c>
      <c r="AG16" s="27">
        <f t="shared" si="7"/>
        <v>7.0890750000000002</v>
      </c>
      <c r="AH16" s="28">
        <f t="shared" si="8"/>
        <v>0.22274486903655791</v>
      </c>
      <c r="AI16" s="28">
        <f t="shared" si="9"/>
        <v>9.2777488018487717E-2</v>
      </c>
      <c r="AJ16" s="28">
        <f t="shared" si="10"/>
        <v>5.4306095037080254E-2</v>
      </c>
      <c r="AK16" s="28">
        <f t="shared" si="11"/>
        <v>0.12995347728527731</v>
      </c>
      <c r="AL16" s="25">
        <f t="shared" si="12"/>
        <v>3149584</v>
      </c>
      <c r="AM16" s="28">
        <f t="shared" si="13"/>
        <v>0.22390412399874393</v>
      </c>
      <c r="AN16" s="29">
        <v>33771955</v>
      </c>
      <c r="AO16" s="29">
        <v>1055373.59375</v>
      </c>
      <c r="AP16" s="29">
        <v>39996.875</v>
      </c>
      <c r="AQ16" s="30">
        <v>7561680</v>
      </c>
      <c r="AR16" s="30">
        <v>1843568</v>
      </c>
      <c r="AS16" s="30">
        <v>1306016</v>
      </c>
      <c r="AT16" s="30">
        <v>4411624</v>
      </c>
      <c r="AU16" s="31">
        <v>67.859421874999995</v>
      </c>
      <c r="AV16" s="31">
        <v>69.838587500000003</v>
      </c>
      <c r="AW16" s="31">
        <v>32.039056250000002</v>
      </c>
      <c r="AX16" s="31">
        <v>44.041056249999997</v>
      </c>
      <c r="AY16" s="31">
        <v>44.373040625000002</v>
      </c>
      <c r="AZ16" s="32">
        <v>3904.96</v>
      </c>
      <c r="BA16" s="32">
        <v>1506.85</v>
      </c>
      <c r="BB16" s="32">
        <v>9.2119999999999997</v>
      </c>
      <c r="BC16" s="32">
        <v>23.074999999999999</v>
      </c>
      <c r="BE16" s="33">
        <f t="shared" si="14"/>
        <v>-0.32739408862058672</v>
      </c>
      <c r="BF16" s="33">
        <f t="shared" si="15"/>
        <v>1.2631517260645042E-3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12.10881</v>
      </c>
      <c r="J17" s="18">
        <f t="shared" si="1"/>
        <v>0.38046928515195044</v>
      </c>
      <c r="K17" s="18">
        <f t="shared" si="2"/>
        <v>0.11556617737899201</v>
      </c>
      <c r="L17" s="18">
        <f t="shared" si="3"/>
        <v>7.7229344252241053E-2</v>
      </c>
      <c r="M17" s="18">
        <f t="shared" si="4"/>
        <v>0.26488943969665352</v>
      </c>
      <c r="N17" s="15">
        <f t="shared" si="5"/>
        <v>3923208</v>
      </c>
      <c r="O17" s="18">
        <f t="shared" si="6"/>
        <v>0.25265738857621811</v>
      </c>
      <c r="P17" s="19">
        <v>51120864</v>
      </c>
      <c r="Q17" s="19">
        <v>1597527</v>
      </c>
      <c r="R17" s="19">
        <v>575506</v>
      </c>
      <c r="S17" s="20">
        <v>12916064</v>
      </c>
      <c r="T17" s="20">
        <v>2621760</v>
      </c>
      <c r="U17" s="20">
        <v>1301448</v>
      </c>
      <c r="V17" s="20">
        <v>8992392</v>
      </c>
      <c r="W17" s="21">
        <v>69.267200000000003</v>
      </c>
      <c r="X17" s="21">
        <v>71.919771874999995</v>
      </c>
      <c r="Y17" s="21">
        <v>34.593368750000003</v>
      </c>
      <c r="Z17" s="21">
        <v>44.880912500000001</v>
      </c>
      <c r="AA17" s="21">
        <v>45.309100000000001</v>
      </c>
      <c r="AB17" s="22">
        <v>8460.24</v>
      </c>
      <c r="AC17" s="22">
        <v>1650.71</v>
      </c>
      <c r="AD17" s="22">
        <v>11.08</v>
      </c>
      <c r="AE17" s="22">
        <v>23.783999999999999</v>
      </c>
      <c r="AG17" s="17">
        <f t="shared" si="7"/>
        <v>12.060135000000001</v>
      </c>
      <c r="AH17" s="18">
        <f t="shared" si="8"/>
        <v>0.37893987454473377</v>
      </c>
      <c r="AI17" s="18">
        <f t="shared" si="9"/>
        <v>0.11565360593604554</v>
      </c>
      <c r="AJ17" s="18">
        <f t="shared" si="10"/>
        <v>7.7182212954638077E-2</v>
      </c>
      <c r="AK17" s="18">
        <f t="shared" si="11"/>
        <v>0.26327236487589534</v>
      </c>
      <c r="AL17" s="15">
        <f t="shared" si="12"/>
        <v>3926176</v>
      </c>
      <c r="AM17" s="18">
        <f t="shared" si="13"/>
        <v>0.37772142687134885</v>
      </c>
      <c r="AN17" s="19">
        <v>34057226</v>
      </c>
      <c r="AO17" s="19">
        <v>1064288.3125</v>
      </c>
      <c r="AP17" s="19">
        <v>41259.5</v>
      </c>
      <c r="AQ17" s="20">
        <v>12864144</v>
      </c>
      <c r="AR17" s="20">
        <v>2620160</v>
      </c>
      <c r="AS17" s="20">
        <v>1306016</v>
      </c>
      <c r="AT17" s="20">
        <v>8937496</v>
      </c>
      <c r="AU17" s="21">
        <v>69.260087499999997</v>
      </c>
      <c r="AV17" s="21">
        <v>71.648612499999999</v>
      </c>
      <c r="AW17" s="21">
        <v>34.605715625000002</v>
      </c>
      <c r="AX17" s="21">
        <v>44.834134374999998</v>
      </c>
      <c r="AY17" s="21">
        <v>45.275284374999998</v>
      </c>
      <c r="AZ17" s="22">
        <v>3903.71</v>
      </c>
      <c r="BA17" s="22">
        <v>1644.35</v>
      </c>
      <c r="BB17" s="22">
        <v>9.1720000000000006</v>
      </c>
      <c r="BC17" s="22">
        <v>23.669</v>
      </c>
      <c r="BE17" s="23">
        <f t="shared" si="14"/>
        <v>-0.32148083761048446</v>
      </c>
      <c r="BF17" s="23">
        <f t="shared" si="15"/>
        <v>1.4566467322246202E-3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22.181227499999999</v>
      </c>
      <c r="J18" s="28">
        <f t="shared" si="1"/>
        <v>0.69695335633458488</v>
      </c>
      <c r="K18" s="28">
        <f t="shared" si="2"/>
        <v>0.1537578461091258</v>
      </c>
      <c r="L18" s="28">
        <f t="shared" si="3"/>
        <v>0.11542101298237484</v>
      </c>
      <c r="M18" s="28">
        <f t="shared" si="4"/>
        <v>0.54318184214915421</v>
      </c>
      <c r="N18" s="25">
        <f t="shared" si="5"/>
        <v>5219728</v>
      </c>
      <c r="O18" s="28">
        <f t="shared" si="6"/>
        <v>0.4628242589953096</v>
      </c>
      <c r="P18" s="29">
        <v>51120864</v>
      </c>
      <c r="Q18" s="29">
        <v>1597527</v>
      </c>
      <c r="R18" s="29">
        <v>531387.21875</v>
      </c>
      <c r="S18" s="30">
        <v>23659976</v>
      </c>
      <c r="T18" s="30">
        <v>3918280</v>
      </c>
      <c r="U18" s="30">
        <v>1301448</v>
      </c>
      <c r="V18" s="30">
        <v>18439784</v>
      </c>
      <c r="W18" s="31">
        <v>70.374796875000001</v>
      </c>
      <c r="X18" s="31">
        <v>73.237890625000006</v>
      </c>
      <c r="Y18" s="31">
        <v>37.288118750000002</v>
      </c>
      <c r="Z18" s="31">
        <v>46.194806249999999</v>
      </c>
      <c r="AA18" s="31">
        <v>46.689296874999997</v>
      </c>
      <c r="AB18" s="32">
        <v>8468.6299999999992</v>
      </c>
      <c r="AC18" s="32">
        <v>1980.16</v>
      </c>
      <c r="AD18" s="32">
        <v>10.91</v>
      </c>
      <c r="AE18" s="32">
        <v>25.170999999999999</v>
      </c>
      <c r="AG18" s="27">
        <f t="shared" si="7"/>
        <v>21.963809999999999</v>
      </c>
      <c r="AH18" s="28">
        <f t="shared" si="8"/>
        <v>0.69012191040352111</v>
      </c>
      <c r="AI18" s="28">
        <f t="shared" si="9"/>
        <v>0.15423646443628405</v>
      </c>
      <c r="AJ18" s="28">
        <f t="shared" si="10"/>
        <v>0.11576507145487658</v>
      </c>
      <c r="AK18" s="28">
        <f t="shared" si="11"/>
        <v>0.53587154223444411</v>
      </c>
      <c r="AL18" s="25">
        <f t="shared" si="12"/>
        <v>5235976</v>
      </c>
      <c r="AM18" s="28">
        <f t="shared" si="13"/>
        <v>0.65836030009435031</v>
      </c>
      <c r="AN18" s="29">
        <v>35585475</v>
      </c>
      <c r="AO18" s="29">
        <v>1112046.09375</v>
      </c>
      <c r="AP18" s="29">
        <v>46814.3125</v>
      </c>
      <c r="AQ18" s="30">
        <v>23428064</v>
      </c>
      <c r="AR18" s="30">
        <v>3929960</v>
      </c>
      <c r="AS18" s="30">
        <v>1306016</v>
      </c>
      <c r="AT18" s="30">
        <v>18191616</v>
      </c>
      <c r="AU18" s="31">
        <v>70.364343750000003</v>
      </c>
      <c r="AV18" s="31">
        <v>72.976409375000003</v>
      </c>
      <c r="AW18" s="31">
        <v>37.267678125000003</v>
      </c>
      <c r="AX18" s="31">
        <v>46.198950000000004</v>
      </c>
      <c r="AY18" s="31">
        <v>46.691428125000002</v>
      </c>
      <c r="AZ18" s="32">
        <v>3904.4</v>
      </c>
      <c r="BA18" s="32">
        <v>1942.64</v>
      </c>
      <c r="BB18" s="32">
        <v>9.516</v>
      </c>
      <c r="BC18" s="32">
        <v>25.209</v>
      </c>
      <c r="BE18" s="33">
        <f t="shared" si="14"/>
        <v>-0.29053367781855272</v>
      </c>
      <c r="BF18" s="33">
        <f t="shared" si="15"/>
        <v>2.8773650829933273E-3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ht="15" outlineLevel="1" thickBot="1" x14ac:dyDescent="0.3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40.938299999999998</v>
      </c>
      <c r="J19" s="38">
        <f t="shared" si="1"/>
        <v>1.2863168004400178</v>
      </c>
      <c r="K19" s="38">
        <f t="shared" si="2"/>
        <v>0.21706389807998286</v>
      </c>
      <c r="L19" s="38">
        <f t="shared" si="3"/>
        <v>0.1787270649532319</v>
      </c>
      <c r="M19" s="38">
        <f t="shared" si="4"/>
        <v>1.06923923428373</v>
      </c>
      <c r="N19" s="35">
        <f t="shared" si="5"/>
        <v>7368824</v>
      </c>
      <c r="O19" s="38">
        <f t="shared" si="6"/>
        <v>0.85420152523243742</v>
      </c>
      <c r="P19" s="39">
        <v>51120864</v>
      </c>
      <c r="Q19" s="39">
        <v>1597527</v>
      </c>
      <c r="R19" s="39">
        <v>525416.09375</v>
      </c>
      <c r="S19" s="40">
        <v>43667520</v>
      </c>
      <c r="T19" s="40">
        <v>6067376</v>
      </c>
      <c r="U19" s="40">
        <v>1301448</v>
      </c>
      <c r="V19" s="40">
        <v>36298232</v>
      </c>
      <c r="W19" s="41">
        <v>71.297503125000006</v>
      </c>
      <c r="X19" s="41">
        <v>74.433740624999999</v>
      </c>
      <c r="Y19" s="41">
        <v>39.525740624999997</v>
      </c>
      <c r="Z19" s="41">
        <v>48.019846874999999</v>
      </c>
      <c r="AA19" s="41">
        <v>48.5891375</v>
      </c>
      <c r="AB19" s="42">
        <v>8452.33</v>
      </c>
      <c r="AC19" s="42">
        <v>2396.2199999999998</v>
      </c>
      <c r="AD19" s="42">
        <v>11.058</v>
      </c>
      <c r="AE19" s="42">
        <v>26.885999999999999</v>
      </c>
      <c r="AG19" s="37">
        <f t="shared" si="7"/>
        <v>40.459732500000001</v>
      </c>
      <c r="AH19" s="38">
        <f t="shared" si="8"/>
        <v>1.2712797955962754</v>
      </c>
      <c r="AI19" s="38">
        <f t="shared" si="9"/>
        <v>0.21745744441496775</v>
      </c>
      <c r="AJ19" s="38">
        <f t="shared" si="10"/>
        <v>0.17898605143356028</v>
      </c>
      <c r="AK19" s="38">
        <f t="shared" si="11"/>
        <v>1.0538084474485148</v>
      </c>
      <c r="AL19" s="35">
        <f t="shared" si="12"/>
        <v>7382184</v>
      </c>
      <c r="AM19" s="38">
        <f t="shared" si="13"/>
        <v>1.2008858558108806</v>
      </c>
      <c r="AN19" s="39">
        <v>35937677</v>
      </c>
      <c r="AO19" s="39">
        <v>1123052.40625</v>
      </c>
      <c r="AP19" s="39">
        <v>49618.46875</v>
      </c>
      <c r="AQ19" s="40">
        <v>43157048</v>
      </c>
      <c r="AR19" s="40">
        <v>6076168</v>
      </c>
      <c r="AS19" s="40">
        <v>1306016</v>
      </c>
      <c r="AT19" s="40">
        <v>35774392</v>
      </c>
      <c r="AU19" s="41">
        <v>71.276459375000002</v>
      </c>
      <c r="AV19" s="41">
        <v>74.120159375</v>
      </c>
      <c r="AW19" s="41">
        <v>39.331274999999998</v>
      </c>
      <c r="AX19" s="41">
        <v>48.002015624999999</v>
      </c>
      <c r="AY19" s="41">
        <v>48.57079375</v>
      </c>
      <c r="AZ19" s="42">
        <v>3899.73</v>
      </c>
      <c r="BA19" s="42">
        <v>2373.36</v>
      </c>
      <c r="BB19" s="42">
        <v>9.5030000000000001</v>
      </c>
      <c r="BC19" s="42">
        <v>26.89</v>
      </c>
      <c r="BE19" s="43">
        <f t="shared" si="14"/>
        <v>-0.2847116116321734</v>
      </c>
      <c r="BF19" s="43">
        <f t="shared" si="15"/>
        <v>2.3055638954290469E-3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5.2790249999999999</v>
      </c>
      <c r="J20" s="28">
        <f t="shared" si="1"/>
        <v>0.10489330788298398</v>
      </c>
      <c r="K20" s="28">
        <f t="shared" si="2"/>
        <v>5.9121673593215546E-2</v>
      </c>
      <c r="L20" s="28">
        <f t="shared" si="3"/>
        <v>2.8246944556324326E-2</v>
      </c>
      <c r="M20" s="28">
        <f t="shared" si="4"/>
        <v>4.5757228665961928E-2</v>
      </c>
      <c r="N20" s="25">
        <f t="shared" si="5"/>
        <v>1904288</v>
      </c>
      <c r="O20" s="28">
        <f t="shared" si="6"/>
        <v>8.2310306358476137E-2</v>
      </c>
      <c r="P20" s="29">
        <v>41046816</v>
      </c>
      <c r="Q20" s="29">
        <v>1282713</v>
      </c>
      <c r="R20" s="29">
        <v>355062.5625</v>
      </c>
      <c r="S20" s="30">
        <v>3378576</v>
      </c>
      <c r="T20" s="30">
        <v>909824</v>
      </c>
      <c r="U20" s="30">
        <v>994464</v>
      </c>
      <c r="V20" s="30">
        <v>1473824</v>
      </c>
      <c r="W20" s="31">
        <v>67.091581250000004</v>
      </c>
      <c r="X20" s="31">
        <v>68.824262500000003</v>
      </c>
      <c r="Y20" s="31">
        <v>30.779678125</v>
      </c>
      <c r="Z20" s="31">
        <v>39.538237500000001</v>
      </c>
      <c r="AA20" s="31">
        <v>38.352403125000002</v>
      </c>
      <c r="AB20" s="32">
        <v>8108.22</v>
      </c>
      <c r="AC20" s="32">
        <v>1370.65</v>
      </c>
      <c r="AD20" s="32">
        <v>9.4589999999999996</v>
      </c>
      <c r="AE20" s="32">
        <v>21.609000000000002</v>
      </c>
      <c r="AG20" s="27">
        <f t="shared" si="7"/>
        <v>5.2679999999999998</v>
      </c>
      <c r="AH20" s="28">
        <f t="shared" si="8"/>
        <v>0.10467424305199532</v>
      </c>
      <c r="AI20" s="28">
        <f t="shared" si="9"/>
        <v>5.9153465314719572E-2</v>
      </c>
      <c r="AJ20" s="28">
        <f t="shared" si="10"/>
        <v>2.8262592044252088E-2</v>
      </c>
      <c r="AK20" s="28">
        <f t="shared" si="11"/>
        <v>4.5506123740644999E-2</v>
      </c>
      <c r="AL20" s="25">
        <f t="shared" si="12"/>
        <v>1905312</v>
      </c>
      <c r="AM20" s="28">
        <f t="shared" si="13"/>
        <v>0.11022491077360297</v>
      </c>
      <c r="AN20" s="29">
        <v>30587641</v>
      </c>
      <c r="AO20" s="29">
        <v>955863.78125</v>
      </c>
      <c r="AP20" s="29">
        <v>27495.84375</v>
      </c>
      <c r="AQ20" s="30">
        <v>3371520</v>
      </c>
      <c r="AR20" s="30">
        <v>910328</v>
      </c>
      <c r="AS20" s="30">
        <v>994984</v>
      </c>
      <c r="AT20" s="30">
        <v>1465736</v>
      </c>
      <c r="AU20" s="31">
        <v>67.020143750000003</v>
      </c>
      <c r="AV20" s="31">
        <v>68.653321875000003</v>
      </c>
      <c r="AW20" s="31">
        <v>30.842065625</v>
      </c>
      <c r="AX20" s="31">
        <v>39.512446875000002</v>
      </c>
      <c r="AY20" s="31">
        <v>38.325375000000001</v>
      </c>
      <c r="AZ20" s="32">
        <v>3828.46</v>
      </c>
      <c r="BA20" s="32">
        <v>1373.96</v>
      </c>
      <c r="BB20" s="32">
        <v>7.61</v>
      </c>
      <c r="BC20" s="32">
        <v>22.035</v>
      </c>
      <c r="BE20" s="33">
        <f t="shared" si="14"/>
        <v>-0.24804048656660418</v>
      </c>
      <c r="BF20" s="33">
        <f t="shared" si="15"/>
        <v>1.4833124449115109E-3</v>
      </c>
      <c r="BG20" s="33">
        <f t="array" ref="BG20">AVERAGE(AL20:AL24/AQ20:AQ24) - AVERAGE(N20:N24/S20:S24)</f>
        <v>3.4842817428188955E-3</v>
      </c>
      <c r="BI20" s="34">
        <f>IF( OR(ISBLANK(N20:N24),ISBLANK(AL20:AL24), ISBLANK(W20:W24),ISBLANK(AU20:AU24)), "·", bdRateExtend( N20:N24,W20:W24, AL20:AL24,AU20:AU24))</f>
        <v>6.6622298375187405E-3</v>
      </c>
      <c r="BJ20" s="34">
        <f>IF( OR(ISBLANK(N20:N24),ISBLANK(AL20:AL24), ISBLANK(X20:X24),ISBLANK(AV20:AV24)), "·", bdRateExtend( N20:N24,X20:X24, AL20:AL24,AV20:AV24))</f>
        <v>3.398895450533912E-2</v>
      </c>
      <c r="BK20" s="34">
        <f>IF( OR(ISBLANK(V20:V24),ISBLANK(AT20:AT24), ISBLANK(Y20:Y24),ISBLANK(AW20:AW24)), "·", bdRateExtend( V20:V24,Y20:Y24, AT20:AT24,AW20:AW24))</f>
        <v>-3.0400599564893049E-2</v>
      </c>
      <c r="BL20" s="34">
        <f>IF( OR(ISBLANK(V20:V24),ISBLANK(AT20:AT24), ISBLANK(Z20:Z24),ISBLANK(AX20:AX24)), "·", bdRateExtend( V20:V24,Z20:Z24, AT20:AT24,AX20:AX24))</f>
        <v>2.0941693970338182E-2</v>
      </c>
      <c r="BM20" s="34">
        <f>IF( OR(ISBLANK(V20:V24),ISBLANK(AT20:AT24), ISBLANK(AA20:AA24),ISBLANK(AY20:AY24)), "·", bdRateExtend( V20:V24,AA20:AA24, AT20:AT24,AY20:AY24))</f>
        <v>3.1719828037621856E-2</v>
      </c>
      <c r="BO20" s="34">
        <f>IF( OR(ISBLANK(S20:S24),ISBLANK(AQ20:AQ24), ISBLANK(W20:W24),ISBLANK(AU20:AU24)), "·", bdRateExtend( S20:S24,W20:W24, AQ20:AQ24,AU20:AU24))</f>
        <v>3.2289701639904855E-3</v>
      </c>
      <c r="BP20" s="34">
        <f>IF( OR(ISBLANK(S20:S24),ISBLANK(AQ20:AQ24), ISBLANK(X20:X24),ISBLANK(AV20:AV24)), "·", bdRateExtend( S20:S24,X20:X24, AQ20:AQ24,AV20:AV24))</f>
        <v>5.8437282248249733E-2</v>
      </c>
      <c r="BQ20" s="34">
        <f>IF( OR(ISBLANK(S20:S24),ISBLANK(AQ20:AQ24), ISBLANK(Y20:Y24),ISBLANK(AW20:AW24)), "·", bdRateExtend( S20:S24,Y20:Y24, AQ20:AQ24,AW20:AW24))</f>
        <v>-2.1493415792139481E-2</v>
      </c>
      <c r="BR20" s="34">
        <f>IF( OR(ISBLANK(S20:S24),ISBLANK(AQ20:AQ24), ISBLANK(Z20:Z24),ISBLANK(AX20:AX24)), "·", bdRateExtend( S20:S24,Z20:Z24, AQ20:AQ24,AX20:AX24))</f>
        <v>1.8503381473966574E-2</v>
      </c>
      <c r="BS20" s="34">
        <f>IF( OR(ISBLANK(S20:S24),ISBLANK(AQ20:AQ24), ISBLANK(AA20:AA24),ISBLANK(AY20:AY24)), "·", bdRateExtend( S20:S24,AA20:AA24, AQ20:AQ24,AY20:AY24))</f>
        <v>2.8688043743992919E-2</v>
      </c>
    </row>
    <row r="21" spans="1:71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8.3966124999999998</v>
      </c>
      <c r="J21" s="18">
        <f t="shared" si="1"/>
        <v>0.16683922886074831</v>
      </c>
      <c r="K21" s="18">
        <f t="shared" si="2"/>
        <v>6.9723467596334424E-2</v>
      </c>
      <c r="L21" s="18">
        <f t="shared" si="3"/>
        <v>3.8848738559443208E-2</v>
      </c>
      <c r="M21" s="18">
        <f t="shared" si="4"/>
        <v>9.7101355640607373E-2</v>
      </c>
      <c r="N21" s="15">
        <f t="shared" si="5"/>
        <v>2245768</v>
      </c>
      <c r="O21" s="18">
        <f t="shared" si="6"/>
        <v>0.13091958216686039</v>
      </c>
      <c r="P21" s="19">
        <v>41046816</v>
      </c>
      <c r="Q21" s="19">
        <v>1282713</v>
      </c>
      <c r="R21" s="19">
        <v>325658.25</v>
      </c>
      <c r="S21" s="20">
        <v>5373832</v>
      </c>
      <c r="T21" s="20">
        <v>1251304</v>
      </c>
      <c r="U21" s="20">
        <v>994464</v>
      </c>
      <c r="V21" s="20">
        <v>3127600</v>
      </c>
      <c r="W21" s="21">
        <v>68.652850000000001</v>
      </c>
      <c r="X21" s="21">
        <v>70.835515624999999</v>
      </c>
      <c r="Y21" s="21">
        <v>32.724262500000002</v>
      </c>
      <c r="Z21" s="21">
        <v>40.686615625000002</v>
      </c>
      <c r="AA21" s="21">
        <v>39.66604375</v>
      </c>
      <c r="AB21" s="22">
        <v>8117.8</v>
      </c>
      <c r="AC21" s="22">
        <v>1511.27</v>
      </c>
      <c r="AD21" s="22">
        <v>9.4</v>
      </c>
      <c r="AE21" s="22">
        <v>22.096</v>
      </c>
      <c r="AG21" s="17">
        <f t="shared" si="7"/>
        <v>8.3442124999999994</v>
      </c>
      <c r="AH21" s="18">
        <f t="shared" si="8"/>
        <v>0.16579804998149156</v>
      </c>
      <c r="AI21" s="18">
        <f t="shared" si="9"/>
        <v>6.9731167153886178E-2</v>
      </c>
      <c r="AJ21" s="18">
        <f t="shared" si="10"/>
        <v>3.8840293883418704E-2</v>
      </c>
      <c r="AK21" s="18">
        <f t="shared" si="11"/>
        <v>9.6052228830974626E-2</v>
      </c>
      <c r="AL21" s="15">
        <f t="shared" si="12"/>
        <v>2246016</v>
      </c>
      <c r="AM21" s="18">
        <f t="shared" si="13"/>
        <v>0.16868797250348927</v>
      </c>
      <c r="AN21" s="19">
        <v>31657835</v>
      </c>
      <c r="AO21" s="19">
        <v>989307.34375</v>
      </c>
      <c r="AP21" s="19">
        <v>32532.3125</v>
      </c>
      <c r="AQ21" s="20">
        <v>5340296</v>
      </c>
      <c r="AR21" s="20">
        <v>1251032</v>
      </c>
      <c r="AS21" s="20">
        <v>994984</v>
      </c>
      <c r="AT21" s="20">
        <v>3093808</v>
      </c>
      <c r="AU21" s="21">
        <v>68.592931250000007</v>
      </c>
      <c r="AV21" s="21">
        <v>70.641109374999999</v>
      </c>
      <c r="AW21" s="21">
        <v>32.755375000000001</v>
      </c>
      <c r="AX21" s="21">
        <v>40.610009374999997</v>
      </c>
      <c r="AY21" s="21">
        <v>39.613965624999999</v>
      </c>
      <c r="AZ21" s="22">
        <v>3821.15</v>
      </c>
      <c r="BA21" s="22">
        <v>1504.41</v>
      </c>
      <c r="BB21" s="22">
        <v>7.7809999999999997</v>
      </c>
      <c r="BC21" s="22">
        <v>22.494</v>
      </c>
      <c r="BE21" s="23">
        <f t="shared" si="14"/>
        <v>-0.22099846709058082</v>
      </c>
      <c r="BF21" s="23">
        <f t="shared" si="15"/>
        <v>2.670819470608321E-3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14.1377375</v>
      </c>
      <c r="J22" s="28">
        <f t="shared" si="1"/>
        <v>0.28091438331061291</v>
      </c>
      <c r="K22" s="28">
        <f t="shared" si="2"/>
        <v>8.6066399431996191E-2</v>
      </c>
      <c r="L22" s="28">
        <f t="shared" si="3"/>
        <v>5.5191670395104968E-2</v>
      </c>
      <c r="M22" s="28">
        <f t="shared" si="4"/>
        <v>0.19483357825481021</v>
      </c>
      <c r="N22" s="25">
        <f t="shared" si="5"/>
        <v>2772168</v>
      </c>
      <c r="O22" s="28">
        <f t="shared" si="6"/>
        <v>0.2204349297153767</v>
      </c>
      <c r="P22" s="29">
        <v>41046816</v>
      </c>
      <c r="Q22" s="29">
        <v>1282713</v>
      </c>
      <c r="R22" s="29">
        <v>284309.125</v>
      </c>
      <c r="S22" s="30">
        <v>9048152</v>
      </c>
      <c r="T22" s="30">
        <v>1777704</v>
      </c>
      <c r="U22" s="30">
        <v>994464</v>
      </c>
      <c r="V22" s="30">
        <v>6275520</v>
      </c>
      <c r="W22" s="31">
        <v>69.814253124999993</v>
      </c>
      <c r="X22" s="31">
        <v>72.367959374999998</v>
      </c>
      <c r="Y22" s="31">
        <v>34.585431249999999</v>
      </c>
      <c r="Z22" s="31">
        <v>41.722406249999999</v>
      </c>
      <c r="AA22" s="31">
        <v>40.748062500000003</v>
      </c>
      <c r="AB22" s="32">
        <v>8143.59</v>
      </c>
      <c r="AC22" s="32">
        <v>1639.2</v>
      </c>
      <c r="AD22" s="32">
        <v>9.3469999999999995</v>
      </c>
      <c r="AE22" s="32">
        <v>22.690999999999999</v>
      </c>
      <c r="AG22" s="27">
        <f t="shared" si="7"/>
        <v>13.925675</v>
      </c>
      <c r="AH22" s="28">
        <f t="shared" si="8"/>
        <v>0.27670073834720865</v>
      </c>
      <c r="AI22" s="28">
        <f t="shared" si="9"/>
        <v>8.6265097691396328E-2</v>
      </c>
      <c r="AJ22" s="28">
        <f t="shared" si="10"/>
        <v>5.5374224420928847E-2</v>
      </c>
      <c r="AK22" s="28">
        <f t="shared" si="11"/>
        <v>0.19042098665918153</v>
      </c>
      <c r="AL22" s="25">
        <f t="shared" si="12"/>
        <v>2778568</v>
      </c>
      <c r="AM22" s="28">
        <f t="shared" si="13"/>
        <v>0.27010459529840158</v>
      </c>
      <c r="AN22" s="29">
        <v>32996225</v>
      </c>
      <c r="AO22" s="29">
        <v>1031132.03125</v>
      </c>
      <c r="AP22" s="29">
        <v>34910.03125</v>
      </c>
      <c r="AQ22" s="30">
        <v>8912432</v>
      </c>
      <c r="AR22" s="30">
        <v>1783584</v>
      </c>
      <c r="AS22" s="30">
        <v>994984</v>
      </c>
      <c r="AT22" s="30">
        <v>6133392</v>
      </c>
      <c r="AU22" s="31">
        <v>69.795837500000005</v>
      </c>
      <c r="AV22" s="31">
        <v>72.192381249999997</v>
      </c>
      <c r="AW22" s="31">
        <v>34.611943750000002</v>
      </c>
      <c r="AX22" s="31">
        <v>41.691915625</v>
      </c>
      <c r="AY22" s="31">
        <v>40.689765625</v>
      </c>
      <c r="AZ22" s="32">
        <v>3829.64</v>
      </c>
      <c r="BA22" s="32">
        <v>1622.08</v>
      </c>
      <c r="BB22" s="32">
        <v>7.94</v>
      </c>
      <c r="BC22" s="32">
        <v>22.724</v>
      </c>
      <c r="BE22" s="33">
        <f t="shared" si="14"/>
        <v>-0.18779069232445031</v>
      </c>
      <c r="BF22" s="33">
        <f t="shared" si="15"/>
        <v>5.3836956573483086E-3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24.782662500000001</v>
      </c>
      <c r="J23" s="18">
        <f t="shared" si="1"/>
        <v>0.4924271902051196</v>
      </c>
      <c r="K23" s="18">
        <f t="shared" si="2"/>
        <v>0.1141394830113454</v>
      </c>
      <c r="L23" s="18">
        <f t="shared" si="3"/>
        <v>8.3264753974454167E-2</v>
      </c>
      <c r="M23" s="18">
        <f t="shared" si="4"/>
        <v>0.37827330156996775</v>
      </c>
      <c r="N23" s="15">
        <f t="shared" si="5"/>
        <v>3676392</v>
      </c>
      <c r="O23" s="18">
        <f t="shared" si="6"/>
        <v>0.38641009329444698</v>
      </c>
      <c r="P23" s="19">
        <v>41046816</v>
      </c>
      <c r="Q23" s="19">
        <v>1282713</v>
      </c>
      <c r="R23" s="19">
        <v>288699.5</v>
      </c>
      <c r="S23" s="20">
        <v>15860904</v>
      </c>
      <c r="T23" s="20">
        <v>2681928</v>
      </c>
      <c r="U23" s="20">
        <v>994464</v>
      </c>
      <c r="V23" s="20">
        <v>12184048</v>
      </c>
      <c r="W23" s="21">
        <v>70.807821875000002</v>
      </c>
      <c r="X23" s="21">
        <v>73.704053125000002</v>
      </c>
      <c r="Y23" s="21">
        <v>36.234268749999998</v>
      </c>
      <c r="Z23" s="21">
        <v>42.97104375</v>
      </c>
      <c r="AA23" s="21">
        <v>41.927456249999999</v>
      </c>
      <c r="AB23" s="22">
        <v>8105.48</v>
      </c>
      <c r="AC23" s="22">
        <v>1870.02</v>
      </c>
      <c r="AD23" s="22">
        <v>9.4640000000000004</v>
      </c>
      <c r="AE23" s="22">
        <v>23.920999999999999</v>
      </c>
      <c r="AG23" s="17">
        <f t="shared" si="7"/>
        <v>24.380737499999999</v>
      </c>
      <c r="AH23" s="18">
        <f t="shared" si="8"/>
        <v>0.48444101041417936</v>
      </c>
      <c r="AI23" s="18">
        <f t="shared" si="9"/>
        <v>0.11453365068343042</v>
      </c>
      <c r="AJ23" s="18">
        <f t="shared" si="10"/>
        <v>8.3642777412962943E-2</v>
      </c>
      <c r="AK23" s="18">
        <f t="shared" si="11"/>
        <v>0.3698927057341182</v>
      </c>
      <c r="AL23" s="15">
        <f t="shared" si="12"/>
        <v>3689088</v>
      </c>
      <c r="AM23" s="18">
        <f t="shared" si="13"/>
        <v>0.47261329509378075</v>
      </c>
      <c r="AN23" s="19">
        <v>33015728</v>
      </c>
      <c r="AO23" s="19">
        <v>1031741.5</v>
      </c>
      <c r="AP23" s="19">
        <v>36525.53125</v>
      </c>
      <c r="AQ23" s="20">
        <v>15603672</v>
      </c>
      <c r="AR23" s="20">
        <v>2694104</v>
      </c>
      <c r="AS23" s="20">
        <v>994984</v>
      </c>
      <c r="AT23" s="20">
        <v>11914112</v>
      </c>
      <c r="AU23" s="21">
        <v>70.797381250000001</v>
      </c>
      <c r="AV23" s="21">
        <v>73.509150000000005</v>
      </c>
      <c r="AW23" s="21">
        <v>36.296262499999997</v>
      </c>
      <c r="AX23" s="21">
        <v>42.884687499999998</v>
      </c>
      <c r="AY23" s="21">
        <v>41.799809375000002</v>
      </c>
      <c r="AZ23" s="22">
        <v>3816.29</v>
      </c>
      <c r="BA23" s="22">
        <v>1824.55</v>
      </c>
      <c r="BB23" s="22">
        <v>7.85</v>
      </c>
      <c r="BC23" s="22">
        <v>23.664999999999999</v>
      </c>
      <c r="BE23" s="23">
        <f t="shared" si="14"/>
        <v>-0.18966761841216162</v>
      </c>
      <c r="BF23" s="23">
        <f t="shared" si="15"/>
        <v>4.6347867833278489E-3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ht="15" outlineLevel="1" thickBot="1" x14ac:dyDescent="0.3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42.799212500000003</v>
      </c>
      <c r="J24" s="48">
        <f t="shared" si="1"/>
        <v>0.85041290274468428</v>
      </c>
      <c r="K24" s="48">
        <f t="shared" si="2"/>
        <v>0.16068007956499239</v>
      </c>
      <c r="L24" s="48">
        <f t="shared" si="3"/>
        <v>0.12980535052810116</v>
      </c>
      <c r="M24" s="48">
        <f t="shared" si="4"/>
        <v>0.68971841755588537</v>
      </c>
      <c r="N24" s="45">
        <f t="shared" si="5"/>
        <v>5175448</v>
      </c>
      <c r="O24" s="48">
        <f t="shared" si="6"/>
        <v>0.66732328276083586</v>
      </c>
      <c r="P24" s="49">
        <v>41046816</v>
      </c>
      <c r="Q24" s="49">
        <v>1282713</v>
      </c>
      <c r="R24" s="49">
        <v>275641.375</v>
      </c>
      <c r="S24" s="50">
        <v>27391496</v>
      </c>
      <c r="T24" s="50">
        <v>4180984</v>
      </c>
      <c r="U24" s="50">
        <v>994464</v>
      </c>
      <c r="V24" s="50">
        <v>22215584</v>
      </c>
      <c r="W24" s="51">
        <v>71.486987499999998</v>
      </c>
      <c r="X24" s="51">
        <v>74.635359374999993</v>
      </c>
      <c r="Y24" s="51">
        <v>37.63425625</v>
      </c>
      <c r="Z24" s="51">
        <v>44.187540624999997</v>
      </c>
      <c r="AA24" s="51">
        <v>42.977643749999999</v>
      </c>
      <c r="AB24" s="52">
        <v>8116.74</v>
      </c>
      <c r="AC24" s="52">
        <v>2086.9</v>
      </c>
      <c r="AD24" s="52">
        <v>9.5860000000000003</v>
      </c>
      <c r="AE24" s="52">
        <v>25.123000000000001</v>
      </c>
      <c r="AG24" s="47">
        <f t="shared" si="7"/>
        <v>42.041725</v>
      </c>
      <c r="AH24" s="48">
        <f t="shared" si="8"/>
        <v>0.83536175796794765</v>
      </c>
      <c r="AI24" s="48">
        <f t="shared" si="9"/>
        <v>0.16055018057790954</v>
      </c>
      <c r="AJ24" s="48">
        <f t="shared" si="10"/>
        <v>0.12965930730744207</v>
      </c>
      <c r="AK24" s="48">
        <f t="shared" si="11"/>
        <v>0.67479692339340736</v>
      </c>
      <c r="AL24" s="45">
        <f t="shared" si="12"/>
        <v>5171264</v>
      </c>
      <c r="AM24" s="48">
        <f t="shared" si="13"/>
        <v>0.80606464945073941</v>
      </c>
      <c r="AN24" s="49">
        <v>33380330</v>
      </c>
      <c r="AO24" s="49">
        <v>1043135.3125</v>
      </c>
      <c r="AP24" s="49">
        <v>37738.625</v>
      </c>
      <c r="AQ24" s="50">
        <v>26906704</v>
      </c>
      <c r="AR24" s="50">
        <v>4176280</v>
      </c>
      <c r="AS24" s="50">
        <v>994984</v>
      </c>
      <c r="AT24" s="50">
        <v>21734968</v>
      </c>
      <c r="AU24" s="51">
        <v>71.497268750000003</v>
      </c>
      <c r="AV24" s="51">
        <v>74.44344375</v>
      </c>
      <c r="AW24" s="51">
        <v>37.58619375</v>
      </c>
      <c r="AX24" s="51">
        <v>44.082262499999999</v>
      </c>
      <c r="AY24" s="51">
        <v>42.781740624999998</v>
      </c>
      <c r="AZ24" s="52">
        <v>3822.56</v>
      </c>
      <c r="BA24" s="52">
        <v>2085.9899999999998</v>
      </c>
      <c r="BB24" s="52">
        <v>8.016</v>
      </c>
      <c r="BC24" s="52">
        <v>24.879000000000001</v>
      </c>
      <c r="BE24" s="53">
        <f t="shared" si="14"/>
        <v>-0.17871128697045244</v>
      </c>
      <c r="BF24" s="53">
        <f t="shared" si="15"/>
        <v>3.2487943578983214E-3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4.7015549999999999</v>
      </c>
      <c r="J25" s="18">
        <f t="shared" si="1"/>
        <v>0.19812386083536579</v>
      </c>
      <c r="K25" s="18">
        <f t="shared" si="2"/>
        <v>6.9244143030564295E-2</v>
      </c>
      <c r="L25" s="18">
        <f t="shared" si="3"/>
        <v>3.6696627203543809E-2</v>
      </c>
      <c r="M25" s="18">
        <f t="shared" si="4"/>
        <v>0.12886138687397897</v>
      </c>
      <c r="N25" s="15">
        <f t="shared" si="5"/>
        <v>1752736</v>
      </c>
      <c r="O25" s="18">
        <f t="shared" si="6"/>
        <v>0.13197836382990191</v>
      </c>
      <c r="P25" s="19">
        <v>37998592</v>
      </c>
      <c r="Q25" s="19">
        <v>1187456</v>
      </c>
      <c r="R25" s="19">
        <v>481455.5625</v>
      </c>
      <c r="S25" s="20">
        <v>5014992</v>
      </c>
      <c r="T25" s="20">
        <v>928880</v>
      </c>
      <c r="U25" s="20">
        <v>823856</v>
      </c>
      <c r="V25" s="20">
        <v>3261792</v>
      </c>
      <c r="W25" s="21">
        <v>66.249878124999995</v>
      </c>
      <c r="X25" s="21">
        <v>68.229446874999994</v>
      </c>
      <c r="Y25" s="21">
        <v>27.478490624999999</v>
      </c>
      <c r="Z25" s="21">
        <v>33.267524999999999</v>
      </c>
      <c r="AA25" s="21">
        <v>32.703674999999997</v>
      </c>
      <c r="AB25" s="22">
        <v>6386.26</v>
      </c>
      <c r="AC25" s="22">
        <v>1406.6</v>
      </c>
      <c r="AD25" s="22">
        <v>8.8070000000000004</v>
      </c>
      <c r="AE25" s="22">
        <v>22.849</v>
      </c>
      <c r="AG25" s="17">
        <f t="shared" si="7"/>
        <v>4.6757249999999999</v>
      </c>
      <c r="AH25" s="18">
        <f t="shared" si="8"/>
        <v>0.1970353828051444</v>
      </c>
      <c r="AI25" s="18">
        <f t="shared" si="9"/>
        <v>6.8769751182898131E-2</v>
      </c>
      <c r="AJ25" s="18">
        <f t="shared" si="10"/>
        <v>3.6444734929999549E-2</v>
      </c>
      <c r="AK25" s="18">
        <f t="shared" si="11"/>
        <v>0.12824698464089232</v>
      </c>
      <c r="AL25" s="15">
        <f t="shared" si="12"/>
        <v>1740728</v>
      </c>
      <c r="AM25" s="18">
        <f t="shared" si="13"/>
        <v>0.21627508804941201</v>
      </c>
      <c r="AN25" s="19">
        <v>23060631</v>
      </c>
      <c r="AO25" s="19">
        <v>720644.71875</v>
      </c>
      <c r="AP25" s="19">
        <v>17794.15625</v>
      </c>
      <c r="AQ25" s="20">
        <v>4987440</v>
      </c>
      <c r="AR25" s="20">
        <v>922504</v>
      </c>
      <c r="AS25" s="20">
        <v>818224</v>
      </c>
      <c r="AT25" s="20">
        <v>3246240</v>
      </c>
      <c r="AU25" s="21">
        <v>66.213971874999999</v>
      </c>
      <c r="AV25" s="21">
        <v>68.031303124999994</v>
      </c>
      <c r="AW25" s="21">
        <v>27.491409375</v>
      </c>
      <c r="AX25" s="21">
        <v>33.278868750000001</v>
      </c>
      <c r="AY25" s="21">
        <v>32.699599999999997</v>
      </c>
      <c r="AZ25" s="22">
        <v>2938.38</v>
      </c>
      <c r="BA25" s="22">
        <v>1385.23</v>
      </c>
      <c r="BB25" s="22">
        <v>6.4459999999999997</v>
      </c>
      <c r="BC25" s="22">
        <v>22.814</v>
      </c>
      <c r="BE25" s="23">
        <f t="shared" si="14"/>
        <v>-0.38075929055969343</v>
      </c>
      <c r="BF25" s="23">
        <f t="shared" si="15"/>
        <v>-4.7691728612386797E-4</v>
      </c>
      <c r="BG25" s="23">
        <f t="array" ref="BG25">AVERAGE(AL25:AL29/AQ25:AQ29) - AVERAGE(N25:N29/S25:S29)</f>
        <v>1.2277232248896208E-3</v>
      </c>
      <c r="BI25" s="24">
        <f>IF( OR(ISBLANK(N25:N29),ISBLANK(AL25:AL29), ISBLANK(W25:W29),ISBLANK(AU25:AU29)), "·", bdRateExtend( N25:N29,W25:W29, AL25:AL29,AU25:AU29))</f>
        <v>9.5946593186435614E-4</v>
      </c>
      <c r="BJ25" s="24">
        <f>IF( OR(ISBLANK(N25:N29),ISBLANK(AL25:AL29), ISBLANK(X25:X29),ISBLANK(AV25:AV29)), "·", bdRateExtend( N25:N29,X25:X29, AL25:AL29,AV25:AV29))</f>
        <v>4.0309036279319921E-2</v>
      </c>
      <c r="BK25" s="24">
        <f>IF( OR(ISBLANK(V25:V29),ISBLANK(AT25:AT29), ISBLANK(Y25:Y29),ISBLANK(AW25:AW29)), "·", bdRateExtend( V25:V29,Y25:Y29, AT25:AT29,AW25:AW29))</f>
        <v>2.0101084245323086E-3</v>
      </c>
      <c r="BL25" s="24">
        <f>IF( OR(ISBLANK(V25:V29),ISBLANK(AT25:AT29), ISBLANK(Z25:Z29),ISBLANK(AX25:AX29)), "·", bdRateExtend( V25:V29,Z25:Z29, AT25:AT29,AX25:AX29))</f>
        <v>-1.6325849700583484E-2</v>
      </c>
      <c r="BM25" s="24">
        <f>IF( OR(ISBLANK(V25:V29),ISBLANK(AT25:AT29), ISBLANK(AA25:AA29),ISBLANK(AY25:AY29)), "·", bdRateExtend( V25:V29,AA25:AA29, AT25:AT29,AY25:AY29))</f>
        <v>-1.5270183926531677E-2</v>
      </c>
      <c r="BO25" s="24">
        <f>IF( OR(ISBLANK(S25:S29),ISBLANK(AQ25:AQ29), ISBLANK(W25:W29),ISBLANK(AU25:AU29)), "·", bdRateExtend( S25:S29,W25:W29, AQ25:AQ29,AU25:AU29))</f>
        <v>-4.3691908040832672E-4</v>
      </c>
      <c r="BP25" s="24">
        <f>IF( OR(ISBLANK(S25:S29),ISBLANK(AQ25:AQ29), ISBLANK(X25:X29),ISBLANK(AV25:AV29)), "·", bdRateExtend( S25:S29,X25:X29, AQ25:AQ29,AV25:AV29))</f>
        <v>8.7804043437782031E-2</v>
      </c>
      <c r="BQ25" s="24">
        <f>IF( OR(ISBLANK(S25:S29),ISBLANK(AQ25:AQ29), ISBLANK(Y25:Y29),ISBLANK(AW25:AW29)), "·", bdRateExtend( S25:S29,Y25:Y29, AQ25:AQ29,AW25:AW29))</f>
        <v>3.1933187494650461E-3</v>
      </c>
      <c r="BR25" s="24">
        <f>IF( OR(ISBLANK(S25:S29),ISBLANK(AQ25:AQ29), ISBLANK(Z25:Z29),ISBLANK(AX25:AX29)), "·", bdRateExtend( S25:S29,Z25:Z29, AQ25:AQ29,AX25:AX29))</f>
        <v>-1.4610603120147836E-2</v>
      </c>
      <c r="BS25" s="24">
        <f>IF( OR(ISBLANK(S25:S29),ISBLANK(AQ25:AQ29), ISBLANK(AA25:AA29),ISBLANK(AY25:AY29)), "·", bdRateExtend( S25:S29,AA25:AA29, AQ25:AQ29,AY25:AY29))</f>
        <v>-1.3755199890445269E-2</v>
      </c>
    </row>
    <row r="26" spans="1:71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8.1431924999999996</v>
      </c>
      <c r="J26" s="28">
        <f t="shared" si="1"/>
        <v>0.34315470894748534</v>
      </c>
      <c r="K26" s="28">
        <f t="shared" si="2"/>
        <v>8.3544481425868289E-2</v>
      </c>
      <c r="L26" s="28">
        <f t="shared" si="3"/>
        <v>5.0996965598847803E-2</v>
      </c>
      <c r="M26" s="28">
        <f t="shared" si="4"/>
        <v>0.25959189659079451</v>
      </c>
      <c r="N26" s="25">
        <f t="shared" si="5"/>
        <v>2114712</v>
      </c>
      <c r="O26" s="28">
        <f t="shared" si="6"/>
        <v>0.22858931194082138</v>
      </c>
      <c r="P26" s="29">
        <v>37998592</v>
      </c>
      <c r="Q26" s="29">
        <v>1187456</v>
      </c>
      <c r="R26" s="29">
        <v>426048.375</v>
      </c>
      <c r="S26" s="30">
        <v>8686072</v>
      </c>
      <c r="T26" s="30">
        <v>1290856</v>
      </c>
      <c r="U26" s="30">
        <v>823856</v>
      </c>
      <c r="V26" s="30">
        <v>6570896</v>
      </c>
      <c r="W26" s="31">
        <v>68.061671875000002</v>
      </c>
      <c r="X26" s="31">
        <v>70.180903125</v>
      </c>
      <c r="Y26" s="31">
        <v>29.887959375000001</v>
      </c>
      <c r="Z26" s="31">
        <v>34.449271875000001</v>
      </c>
      <c r="AA26" s="31">
        <v>34.032112499999997</v>
      </c>
      <c r="AB26" s="32">
        <v>6393</v>
      </c>
      <c r="AC26" s="32">
        <v>1524.59</v>
      </c>
      <c r="AD26" s="32">
        <v>8.76</v>
      </c>
      <c r="AE26" s="32">
        <v>24.234999999999999</v>
      </c>
      <c r="AG26" s="27">
        <f t="shared" si="7"/>
        <v>8.0947125</v>
      </c>
      <c r="AH26" s="28">
        <f t="shared" si="8"/>
        <v>0.34111175831236601</v>
      </c>
      <c r="AI26" s="28">
        <f t="shared" si="9"/>
        <v>8.3279315030004256E-2</v>
      </c>
      <c r="AJ26" s="28">
        <f t="shared" si="10"/>
        <v>5.095429877710568E-2</v>
      </c>
      <c r="AK26" s="28">
        <f t="shared" si="11"/>
        <v>0.25781379630100781</v>
      </c>
      <c r="AL26" s="25">
        <f t="shared" si="12"/>
        <v>2108000</v>
      </c>
      <c r="AM26" s="28">
        <f t="shared" si="13"/>
        <v>0.34444189933476899</v>
      </c>
      <c r="AN26" s="29">
        <v>25067682</v>
      </c>
      <c r="AO26" s="29">
        <v>783365.0625</v>
      </c>
      <c r="AP26" s="29">
        <v>23471.96875</v>
      </c>
      <c r="AQ26" s="30">
        <v>8634360</v>
      </c>
      <c r="AR26" s="30">
        <v>1289776</v>
      </c>
      <c r="AS26" s="30">
        <v>818224</v>
      </c>
      <c r="AT26" s="30">
        <v>6525888</v>
      </c>
      <c r="AU26" s="31">
        <v>68.024268750000005</v>
      </c>
      <c r="AV26" s="31">
        <v>69.974140625000004</v>
      </c>
      <c r="AW26" s="31">
        <v>29.920506249999999</v>
      </c>
      <c r="AX26" s="31">
        <v>34.446249999999999</v>
      </c>
      <c r="AY26" s="31">
        <v>34.026671874999998</v>
      </c>
      <c r="AZ26" s="32">
        <v>2929.86</v>
      </c>
      <c r="BA26" s="32">
        <v>1478.22</v>
      </c>
      <c r="BB26" s="32">
        <v>6.7169999999999996</v>
      </c>
      <c r="BC26" s="32">
        <v>23.193000000000001</v>
      </c>
      <c r="BE26" s="33">
        <f t="shared" si="14"/>
        <v>-0.32882787132882024</v>
      </c>
      <c r="BF26" s="33">
        <f t="shared" si="15"/>
        <v>6.8074633706127763E-4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14.941252499999999</v>
      </c>
      <c r="J27" s="18">
        <f t="shared" si="1"/>
        <v>0.6296254390336945</v>
      </c>
      <c r="K27" s="18">
        <f t="shared" si="2"/>
        <v>0.10479919571460763</v>
      </c>
      <c r="L27" s="18">
        <f t="shared" si="3"/>
        <v>7.2251679887587142E-2</v>
      </c>
      <c r="M27" s="18">
        <f t="shared" si="4"/>
        <v>0.5248079123882643</v>
      </c>
      <c r="N27" s="15">
        <f t="shared" si="5"/>
        <v>2652720</v>
      </c>
      <c r="O27" s="18">
        <f t="shared" si="6"/>
        <v>0.41941911952948152</v>
      </c>
      <c r="P27" s="19">
        <v>37998592</v>
      </c>
      <c r="Q27" s="19">
        <v>1187456</v>
      </c>
      <c r="R27" s="19">
        <v>420040.90625</v>
      </c>
      <c r="S27" s="20">
        <v>15937336</v>
      </c>
      <c r="T27" s="20">
        <v>1828864</v>
      </c>
      <c r="U27" s="20">
        <v>823856</v>
      </c>
      <c r="V27" s="20">
        <v>13284152</v>
      </c>
      <c r="W27" s="21">
        <v>69.411131249999997</v>
      </c>
      <c r="X27" s="21">
        <v>71.973021875000001</v>
      </c>
      <c r="Y27" s="21">
        <v>32.409696875000002</v>
      </c>
      <c r="Z27" s="21">
        <v>35.714287499999998</v>
      </c>
      <c r="AA27" s="21">
        <v>35.3688875</v>
      </c>
      <c r="AB27" s="22">
        <v>6366.77</v>
      </c>
      <c r="AC27" s="22">
        <v>1660.76</v>
      </c>
      <c r="AD27" s="22">
        <v>8.8520000000000003</v>
      </c>
      <c r="AE27" s="22">
        <v>25.491</v>
      </c>
      <c r="AG27" s="17">
        <f t="shared" si="7"/>
        <v>14.684302499999999</v>
      </c>
      <c r="AH27" s="18">
        <f t="shared" si="8"/>
        <v>0.61879754782713681</v>
      </c>
      <c r="AI27" s="18">
        <f t="shared" si="9"/>
        <v>0.10432796437225569</v>
      </c>
      <c r="AJ27" s="18">
        <f t="shared" si="10"/>
        <v>7.2002948119357119E-2</v>
      </c>
      <c r="AK27" s="18">
        <f t="shared" si="11"/>
        <v>0.51445093647352713</v>
      </c>
      <c r="AL27" s="15">
        <f t="shared" si="12"/>
        <v>2640792</v>
      </c>
      <c r="AM27" s="18">
        <f t="shared" si="13"/>
        <v>0.61789973777068274</v>
      </c>
      <c r="AN27" s="19">
        <v>25349187</v>
      </c>
      <c r="AO27" s="19">
        <v>792162.09375</v>
      </c>
      <c r="AP27" s="19">
        <v>24713.28125</v>
      </c>
      <c r="AQ27" s="20">
        <v>15663256</v>
      </c>
      <c r="AR27" s="20">
        <v>1822568</v>
      </c>
      <c r="AS27" s="20">
        <v>818224</v>
      </c>
      <c r="AT27" s="20">
        <v>13021992</v>
      </c>
      <c r="AU27" s="21">
        <v>69.399496874999997</v>
      </c>
      <c r="AV27" s="21">
        <v>71.719665625000005</v>
      </c>
      <c r="AW27" s="21">
        <v>32.419096875000001</v>
      </c>
      <c r="AX27" s="21">
        <v>35.707549999999998</v>
      </c>
      <c r="AY27" s="21">
        <v>35.368006250000001</v>
      </c>
      <c r="AZ27" s="22">
        <v>2927.65</v>
      </c>
      <c r="BA27" s="22">
        <v>1625.64</v>
      </c>
      <c r="BB27" s="22">
        <v>6.9649999999999999</v>
      </c>
      <c r="BC27" s="22">
        <v>25.509</v>
      </c>
      <c r="BE27" s="23">
        <f t="shared" si="14"/>
        <v>-0.32253451159471935</v>
      </c>
      <c r="BF27" s="23">
        <f t="shared" si="15"/>
        <v>2.1510063682397274E-3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28.51416</v>
      </c>
      <c r="J28" s="28">
        <f t="shared" si="1"/>
        <v>1.201588722811358</v>
      </c>
      <c r="K28" s="28">
        <f t="shared" si="2"/>
        <v>0.1399440148088637</v>
      </c>
      <c r="L28" s="28">
        <f t="shared" si="3"/>
        <v>0.10739649898184321</v>
      </c>
      <c r="M28" s="28">
        <f t="shared" si="4"/>
        <v>1.0616263770716716</v>
      </c>
      <c r="N28" s="25">
        <f t="shared" si="5"/>
        <v>3542320</v>
      </c>
      <c r="O28" s="28">
        <f t="shared" si="6"/>
        <v>0.80042713161582413</v>
      </c>
      <c r="P28" s="29">
        <v>37998592</v>
      </c>
      <c r="Q28" s="29">
        <v>1187456</v>
      </c>
      <c r="R28" s="29">
        <v>395378.15625</v>
      </c>
      <c r="S28" s="30">
        <v>30415104</v>
      </c>
      <c r="T28" s="30">
        <v>2718464</v>
      </c>
      <c r="U28" s="30">
        <v>823856</v>
      </c>
      <c r="V28" s="30">
        <v>26872320</v>
      </c>
      <c r="W28" s="31">
        <v>70.484112499999995</v>
      </c>
      <c r="X28" s="31">
        <v>73.313884375000001</v>
      </c>
      <c r="Y28" s="31">
        <v>35.083621874999999</v>
      </c>
      <c r="Z28" s="31">
        <v>37.5407625</v>
      </c>
      <c r="AA28" s="31">
        <v>37.150415625000001</v>
      </c>
      <c r="AB28" s="32">
        <v>6368.23</v>
      </c>
      <c r="AC28" s="32">
        <v>1939.27</v>
      </c>
      <c r="AD28" s="32">
        <v>8.5820000000000007</v>
      </c>
      <c r="AE28" s="32">
        <v>25.53</v>
      </c>
      <c r="AG28" s="27">
        <f t="shared" si="7"/>
        <v>27.911145000000001</v>
      </c>
      <c r="AH28" s="28">
        <f t="shared" si="8"/>
        <v>1.1761776279838725</v>
      </c>
      <c r="AI28" s="28">
        <f t="shared" si="9"/>
        <v>0.13937954855974194</v>
      </c>
      <c r="AJ28" s="28">
        <f t="shared" si="10"/>
        <v>0.10705453230684335</v>
      </c>
      <c r="AK28" s="28">
        <f t="shared" si="11"/>
        <v>1.0367794324427766</v>
      </c>
      <c r="AL28" s="25">
        <f t="shared" si="12"/>
        <v>3528032</v>
      </c>
      <c r="AM28" s="28">
        <f t="shared" si="13"/>
        <v>1.1322783921434219</v>
      </c>
      <c r="AN28" s="29">
        <v>26293788</v>
      </c>
      <c r="AO28" s="29">
        <v>821680.875</v>
      </c>
      <c r="AP28" s="29">
        <v>28168.09375</v>
      </c>
      <c r="AQ28" s="30">
        <v>29771888</v>
      </c>
      <c r="AR28" s="30">
        <v>2709808</v>
      </c>
      <c r="AS28" s="30">
        <v>818224</v>
      </c>
      <c r="AT28" s="30">
        <v>26243384</v>
      </c>
      <c r="AU28" s="31">
        <v>70.456653125000003</v>
      </c>
      <c r="AV28" s="31">
        <v>73.016684374999997</v>
      </c>
      <c r="AW28" s="31">
        <v>34.892353125</v>
      </c>
      <c r="AX28" s="31">
        <v>37.535249999999998</v>
      </c>
      <c r="AY28" s="31">
        <v>37.146465624999998</v>
      </c>
      <c r="AZ28" s="32">
        <v>2924.99</v>
      </c>
      <c r="BA28" s="32">
        <v>1925.68</v>
      </c>
      <c r="BB28" s="32">
        <v>6.8639999999999999</v>
      </c>
      <c r="BC28" s="32">
        <v>25.986000000000001</v>
      </c>
      <c r="BE28" s="33">
        <f t="shared" si="14"/>
        <v>-0.29868130055925779</v>
      </c>
      <c r="BF28" s="33">
        <f t="shared" si="15"/>
        <v>2.0363061385413328E-3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ht="15" outlineLevel="1" thickBot="1" x14ac:dyDescent="0.3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50.824852499999999</v>
      </c>
      <c r="J29" s="38">
        <f t="shared" si="1"/>
        <v>2.141762885617204</v>
      </c>
      <c r="K29" s="38">
        <f t="shared" si="2"/>
        <v>0.19702874574398452</v>
      </c>
      <c r="L29" s="38">
        <f t="shared" si="3"/>
        <v>0.16448122991696404</v>
      </c>
      <c r="M29" s="38">
        <f t="shared" si="4"/>
        <v>1.944715808942397</v>
      </c>
      <c r="N29" s="35">
        <f t="shared" si="5"/>
        <v>4987272</v>
      </c>
      <c r="O29" s="38">
        <f t="shared" si="6"/>
        <v>1.4267153898754985</v>
      </c>
      <c r="P29" s="39">
        <v>37998592</v>
      </c>
      <c r="Q29" s="39">
        <v>1187456</v>
      </c>
      <c r="R29" s="39">
        <v>389193.4375</v>
      </c>
      <c r="S29" s="40">
        <v>54213176</v>
      </c>
      <c r="T29" s="40">
        <v>4163416</v>
      </c>
      <c r="U29" s="40">
        <v>823856</v>
      </c>
      <c r="V29" s="40">
        <v>49225440</v>
      </c>
      <c r="W29" s="41">
        <v>71.342468749999995</v>
      </c>
      <c r="X29" s="41">
        <v>74.434753125</v>
      </c>
      <c r="Y29" s="41">
        <v>36.875468750000003</v>
      </c>
      <c r="Z29" s="41">
        <v>39.690771875000003</v>
      </c>
      <c r="AA29" s="41">
        <v>39.109553124999998</v>
      </c>
      <c r="AB29" s="42">
        <v>6351.23</v>
      </c>
      <c r="AC29" s="42">
        <v>2371.66</v>
      </c>
      <c r="AD29" s="42">
        <v>8.6509999999999998</v>
      </c>
      <c r="AE29" s="42">
        <v>27.009</v>
      </c>
      <c r="AG29" s="37">
        <f t="shared" si="7"/>
        <v>49.775152499999997</v>
      </c>
      <c r="AH29" s="38">
        <f t="shared" si="8"/>
        <v>2.0975284532392178</v>
      </c>
      <c r="AI29" s="38">
        <f t="shared" si="9"/>
        <v>0.19662483316482574</v>
      </c>
      <c r="AJ29" s="38">
        <f t="shared" si="10"/>
        <v>0.16429981691192716</v>
      </c>
      <c r="AK29" s="38">
        <f t="shared" si="11"/>
        <v>1.9008849730930379</v>
      </c>
      <c r="AL29" s="35">
        <f t="shared" si="12"/>
        <v>4977048</v>
      </c>
      <c r="AM29" s="38">
        <f t="shared" si="13"/>
        <v>2.0027673260878593</v>
      </c>
      <c r="AN29" s="39">
        <v>26510067</v>
      </c>
      <c r="AO29" s="39">
        <v>828439.59375</v>
      </c>
      <c r="AP29" s="39">
        <v>29877.40625</v>
      </c>
      <c r="AQ29" s="40">
        <v>53093496</v>
      </c>
      <c r="AR29" s="40">
        <v>4158824</v>
      </c>
      <c r="AS29" s="40">
        <v>818224</v>
      </c>
      <c r="AT29" s="40">
        <v>48115976</v>
      </c>
      <c r="AU29" s="41">
        <v>71.332890625000005</v>
      </c>
      <c r="AV29" s="41">
        <v>74.122271874999996</v>
      </c>
      <c r="AW29" s="41">
        <v>36.561346874999998</v>
      </c>
      <c r="AX29" s="41">
        <v>39.684590624999998</v>
      </c>
      <c r="AY29" s="41">
        <v>39.094140625000001</v>
      </c>
      <c r="AZ29" s="42">
        <v>2924.66</v>
      </c>
      <c r="BA29" s="42">
        <v>2289.34</v>
      </c>
      <c r="BB29" s="42">
        <v>6.9640000000000004</v>
      </c>
      <c r="BC29" s="42">
        <v>28.109000000000002</v>
      </c>
      <c r="BE29" s="43">
        <f t="shared" si="14"/>
        <v>-0.29168930938888848</v>
      </c>
      <c r="BF29" s="43">
        <f t="shared" si="15"/>
        <v>1.7474745667297037E-3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288</v>
      </c>
      <c r="J30" s="56">
        <f>AVERAGE(J5:J24)</f>
        <v>0.43759504359648388</v>
      </c>
      <c r="K30" s="56">
        <f>AVERAGE(K5:K24)</f>
        <v>0.11691583456005825</v>
      </c>
      <c r="L30" s="56">
        <f>AVERAGE(L5:L24)</f>
        <v>8.2392582255901653E-2</v>
      </c>
      <c r="M30" s="56">
        <f>AVERAGE(M5:M24)</f>
        <v>0.32066242365344666</v>
      </c>
      <c r="AH30" s="56">
        <f>AVERAGE(AH5:AH24)</f>
        <v>0.43370607908120745</v>
      </c>
      <c r="AI30" s="56">
        <f>AVERAGE(AI5:AI24)</f>
        <v>0.11697018347321328</v>
      </c>
      <c r="AJ30" s="56">
        <f>AVERAGE(AJ5:AJ24)</f>
        <v>8.2428649783979929E-2</v>
      </c>
      <c r="AK30" s="56">
        <f>AVERAGE(AK5:AK24)</f>
        <v>0.31671882082186048</v>
      </c>
      <c r="BG30" s="8">
        <f>AVERAGE(BG5:BG24)</f>
        <v>1.6462926180171034E-3</v>
      </c>
      <c r="BI30" s="5">
        <f>AVERAGE(BI5:BI24)</f>
        <v>4.5463604921230916E-3</v>
      </c>
      <c r="BJ30" s="5">
        <f>AVERAGE(BJ5:BJ24)</f>
        <v>4.5520968633371017E-2</v>
      </c>
      <c r="BK30" s="5">
        <f>AVERAGE(BK5:BK24)</f>
        <v>-8.9531075498154034E-3</v>
      </c>
      <c r="BL30" s="5">
        <f>AVERAGE(BL5:BL24)</f>
        <v>4.0477901039670527E-5</v>
      </c>
      <c r="BM30" s="5">
        <f>AVERAGE(BM5:BM24)</f>
        <v>6.6282904027222533E-3</v>
      </c>
      <c r="BO30" s="5">
        <f>AVERAGE(BO5:BO24)</f>
        <v>3.5486269693239536E-3</v>
      </c>
      <c r="BP30" s="5">
        <f>AVERAGE(BP5:BP24)</f>
        <v>8.7749158330304111E-2</v>
      </c>
      <c r="BQ30" s="5">
        <f>AVERAGE(BQ5:BQ24)</f>
        <v>-5.5762800220403308E-3</v>
      </c>
      <c r="BR30" s="5">
        <f>AVERAGE(BR5:BR24)</f>
        <v>1.0808009848007616E-3</v>
      </c>
      <c r="BS30" s="5">
        <f>AVERAGE(BS5:BS24)</f>
        <v>6.2434767169425309E-3</v>
      </c>
    </row>
    <row r="31" spans="1:71" x14ac:dyDescent="0.3">
      <c r="B31" s="55" t="s">
        <v>289</v>
      </c>
      <c r="J31" s="56">
        <f>AVERAGE(J25:J29)</f>
        <v>0.90285112344902141</v>
      </c>
      <c r="K31" s="56">
        <f>AVERAGE(K25:K29)</f>
        <v>0.11891211614477767</v>
      </c>
      <c r="L31" s="56">
        <f>AVERAGE(L25:L29)</f>
        <v>8.6364600317757209E-2</v>
      </c>
      <c r="M31" s="56">
        <f>AVERAGE(M25:M29)</f>
        <v>0.78392067637342122</v>
      </c>
      <c r="AH31" s="56">
        <f>AVERAGE(AH25:AH29)</f>
        <v>0.88613015403354756</v>
      </c>
      <c r="AI31" s="56">
        <f>AVERAGE(AI25:AI29)</f>
        <v>0.11847628246194515</v>
      </c>
      <c r="AJ31" s="56">
        <f>AVERAGE(AJ25:AJ29)</f>
        <v>8.6151266209046562E-2</v>
      </c>
      <c r="AK31" s="56">
        <f>AVERAGE(AK25:AK29)</f>
        <v>0.76763522459024836</v>
      </c>
      <c r="BG31" s="8">
        <f>AVERAGE(BG25:BG29)</f>
        <v>1.2277232248896208E-3</v>
      </c>
      <c r="BI31" s="5">
        <f>AVERAGE(BI25:BI29)</f>
        <v>9.5946593186435614E-4</v>
      </c>
      <c r="BJ31" s="5">
        <f>AVERAGE(BJ25:BJ29)</f>
        <v>4.0309036279319921E-2</v>
      </c>
      <c r="BK31" s="5">
        <f>AVERAGE(BK25:BK29)</f>
        <v>2.0101084245323086E-3</v>
      </c>
      <c r="BL31" s="5">
        <f>AVERAGE(BL25:BL29)</f>
        <v>-1.6325849700583484E-2</v>
      </c>
      <c r="BM31" s="5">
        <f>AVERAGE(BM25:BM29)</f>
        <v>-1.5270183926531677E-2</v>
      </c>
      <c r="BO31" s="5">
        <f>AVERAGE(BO25:BO29)</f>
        <v>-4.3691908040832672E-4</v>
      </c>
      <c r="BP31" s="5">
        <f>AVERAGE(BP25:BP29)</f>
        <v>8.7804043437782031E-2</v>
      </c>
      <c r="BQ31" s="5">
        <f>AVERAGE(BQ25:BQ29)</f>
        <v>3.1933187494650461E-3</v>
      </c>
      <c r="BR31" s="5">
        <f>AVERAGE(BR25:BR29)</f>
        <v>-1.4610603120147836E-2</v>
      </c>
      <c r="BS31" s="5">
        <f>AVERAGE(BS25:BS29)</f>
        <v>-1.3755199890445269E-2</v>
      </c>
    </row>
    <row r="32" spans="1:71" x14ac:dyDescent="0.3">
      <c r="B32" s="55" t="s">
        <v>290</v>
      </c>
      <c r="J32" s="56">
        <f>AVERAGE(J5:J29)</f>
        <v>0.53064625956699141</v>
      </c>
      <c r="K32" s="56">
        <f>AVERAGE(K5:K29)</f>
        <v>0.11731509087700212</v>
      </c>
      <c r="L32" s="56">
        <f>AVERAGE(L5:L29)</f>
        <v>8.3186985868272764E-2</v>
      </c>
      <c r="M32" s="56">
        <f>AVERAGE(M5:M29)</f>
        <v>0.41331407419744165</v>
      </c>
      <c r="AH32" s="56">
        <f>AVERAGE(AH5:AH29)</f>
        <v>0.52419089407167541</v>
      </c>
      <c r="AI32" s="56">
        <f>AVERAGE(AI5:AI29)</f>
        <v>0.11727140327095968</v>
      </c>
      <c r="AJ32" s="56">
        <f>AVERAGE(AJ5:AJ29)</f>
        <v>8.3173173068993245E-2</v>
      </c>
      <c r="AK32" s="56">
        <f>AVERAGE(AK5:AK29)</f>
        <v>0.40690210157553808</v>
      </c>
      <c r="BG32" s="8">
        <f>AVERAGE(BG5:BG29)</f>
        <v>1.5625787393916068E-3</v>
      </c>
      <c r="BI32" s="5">
        <f>AVERAGE(BI5:BI29)</f>
        <v>3.8289815800713447E-3</v>
      </c>
      <c r="BJ32" s="5">
        <f>AVERAGE(BJ5:BJ29)</f>
        <v>4.4478582162560801E-2</v>
      </c>
      <c r="BK32" s="5">
        <f>AVERAGE(BK5:BK29)</f>
        <v>-6.7604643549458608E-3</v>
      </c>
      <c r="BL32" s="5">
        <f>AVERAGE(BL5:BL29)</f>
        <v>-3.2327876192849601E-3</v>
      </c>
      <c r="BM32" s="5">
        <f>AVERAGE(BM5:BM29)</f>
        <v>2.2485955368714674E-3</v>
      </c>
      <c r="BO32" s="5">
        <f>AVERAGE(BO5:BO29)</f>
        <v>2.7515177593774977E-3</v>
      </c>
      <c r="BP32" s="5">
        <f>AVERAGE(BP5:BP29)</f>
        <v>8.776013535179969E-2</v>
      </c>
      <c r="BQ32" s="5">
        <f>AVERAGE(BQ5:BQ29)</f>
        <v>-3.8223602677392556E-3</v>
      </c>
      <c r="BR32" s="5">
        <f>AVERAGE(BR5:BR29)</f>
        <v>-2.057479836188958E-3</v>
      </c>
      <c r="BS32" s="5">
        <f>AVERAGE(BS5:BS29)</f>
        <v>2.2437413954649712E-3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174404.77000000002</v>
      </c>
      <c r="AC33" s="57">
        <f>SUM(AC5:AC24,AC25:AC29)</f>
        <v>41021.410000000003</v>
      </c>
      <c r="AD33" s="57">
        <f>SUM(AD5:AD24,AD25:AD29)</f>
        <v>231.59400000000002</v>
      </c>
      <c r="AE33" s="57">
        <f>SUM(AE5:AE24,AE25:AE29)</f>
        <v>581.399</v>
      </c>
      <c r="AZ33" s="57">
        <f>SUM(AZ5:AZ24,AZ25:AZ29)</f>
        <v>80777.570000000007</v>
      </c>
      <c r="BA33" s="57">
        <f>SUM(BA5:BA24,BA25:BA29)</f>
        <v>40592.960000000006</v>
      </c>
      <c r="BB33" s="57">
        <f>SUM(BB5:BB24,BB25:BB29)</f>
        <v>182.64400000000001</v>
      </c>
      <c r="BC33" s="57">
        <f>SUM(BC5:BC24,BC25:BC29)</f>
        <v>576.41200000000003</v>
      </c>
    </row>
    <row r="34" spans="1:55" hidden="1" outlineLevel="2" x14ac:dyDescent="0.3">
      <c r="B34" s="55" t="s">
        <v>293</v>
      </c>
      <c r="AZ34" s="8">
        <f>AZ33/AB33</f>
        <v>0.46316147201707841</v>
      </c>
      <c r="BA34" s="8">
        <f>BA33/AC33</f>
        <v>0.98955545409092482</v>
      </c>
      <c r="BB34" s="8">
        <f>BB33/AD33</f>
        <v>0.78863873848199861</v>
      </c>
      <c r="BC34" s="8">
        <f>BC33/AE33</f>
        <v>0.99142241386724095</v>
      </c>
    </row>
    <row r="35" spans="1:55" hidden="1" outlineLevel="2" x14ac:dyDescent="0.3">
      <c r="B35" s="55" t="s">
        <v>294</v>
      </c>
      <c r="AB35" s="57">
        <f>GEOMEAN(AB5:AB24,AB25:AB29)</f>
        <v>6890.9138165414597</v>
      </c>
      <c r="AC35" s="57">
        <f>GEOMEAN(AC5:AC24,AC25:AC29)</f>
        <v>1612.1168579280125</v>
      </c>
      <c r="AD35" s="57">
        <f>GEOMEAN(AD5:AD24,AD25:AD29)</f>
        <v>9.2166069067884369</v>
      </c>
      <c r="AE35" s="57">
        <f>GEOMEAN(AE5:AE24,AE25:AE29)</f>
        <v>23.171711960936346</v>
      </c>
      <c r="AZ35" s="57">
        <f>GEOMEAN(AZ5:AZ24,AZ25:AZ29)</f>
        <v>3188.9037896839423</v>
      </c>
      <c r="BA35" s="57">
        <f>GEOMEAN(BA5:BA24,BA25:BA29)</f>
        <v>1596.0585910176276</v>
      </c>
      <c r="BB35" s="57">
        <f>GEOMEAN(BB5:BB24,BB25:BB29)</f>
        <v>7.2276198753061509</v>
      </c>
      <c r="BC35" s="57">
        <f>GEOMEAN(BC5:BC24,BC25:BC29)</f>
        <v>22.952565502438713</v>
      </c>
    </row>
    <row r="36" spans="1:55" outlineLevel="2" collapsed="1" x14ac:dyDescent="0.3">
      <c r="B36" s="55" t="s">
        <v>295</v>
      </c>
      <c r="AZ36" s="8">
        <f>AZ35/AB35</f>
        <v>0.46276936188478535</v>
      </c>
      <c r="BA36" s="8">
        <f>BA35/AC35</f>
        <v>0.9900390180578944</v>
      </c>
      <c r="BB36" s="8">
        <f>BB35/AD35</f>
        <v>0.78419530619046918</v>
      </c>
      <c r="BC36" s="8">
        <f>BC35/AE35</f>
        <v>0.99054250031818636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67" priority="7" operator="greaterThanOrEqual">
      <formula>0.03</formula>
    </cfRule>
    <cfRule type="cellIs" dxfId="66" priority="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65" priority="5" operator="greaterThanOrEqual">
      <formula>0.03</formula>
    </cfRule>
    <cfRule type="cellIs" dxfId="64" priority="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63" priority="17" operator="greaterThanOrEqual">
      <formula>0.03</formula>
    </cfRule>
    <cfRule type="cellIs" dxfId="62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61" priority="1" operator="greaterThanOrEqual">
      <formula>0.03</formula>
    </cfRule>
    <cfRule type="cellIs" dxfId="60" priority="2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59" priority="15" operator="greaterThanOrEqual">
      <formula>0.03</formula>
    </cfRule>
    <cfRule type="cellIs" dxfId="58" priority="1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57" priority="3" operator="greaterThanOrEqual">
      <formula>0.03</formula>
    </cfRule>
    <cfRule type="cellIs" dxfId="56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55" priority="11" operator="greaterThanOrEqual">
      <formula>0.03</formula>
    </cfRule>
    <cfRule type="cellIs" dxfId="54" priority="12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3" priority="19" operator="greaterThanOrEqual">
      <formula>0.03</formula>
    </cfRule>
    <cfRule type="cellIs" dxfId="52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49" priority="9" operator="greaterThanOrEqual">
      <formula>0.03</formula>
    </cfRule>
    <cfRule type="cellIs" dxfId="48" priority="10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defaultRowHeight="14.4" x14ac:dyDescent="0.3"/>
  <sheetData>
    <row r="1" spans="1:2" x14ac:dyDescent="0.3">
      <c r="A1" t="s">
        <v>95</v>
      </c>
      <c r="B1">
        <v>1</v>
      </c>
    </row>
    <row r="2" spans="1:2" x14ac:dyDescent="0.3">
      <c r="A2" t="s">
        <v>98</v>
      </c>
      <c r="B2">
        <v>2</v>
      </c>
    </row>
    <row r="3" spans="1:2" x14ac:dyDescent="0.3">
      <c r="A3" t="s">
        <v>101</v>
      </c>
      <c r="B3">
        <v>3</v>
      </c>
    </row>
    <row r="4" spans="1:2" x14ac:dyDescent="0.3">
      <c r="A4" t="s">
        <v>104</v>
      </c>
      <c r="B4">
        <v>4</v>
      </c>
    </row>
    <row r="5" spans="1:2" x14ac:dyDescent="0.3">
      <c r="A5" t="s">
        <v>107</v>
      </c>
      <c r="B5">
        <v>5</v>
      </c>
    </row>
    <row r="6" spans="1:2" x14ac:dyDescent="0.3">
      <c r="A6" t="s">
        <v>110</v>
      </c>
      <c r="B6">
        <v>6</v>
      </c>
    </row>
    <row r="7" spans="1:2" x14ac:dyDescent="0.3">
      <c r="A7" t="s">
        <v>113</v>
      </c>
      <c r="B7">
        <v>7</v>
      </c>
    </row>
    <row r="8" spans="1:2" x14ac:dyDescent="0.3">
      <c r="A8" t="s">
        <v>116</v>
      </c>
      <c r="B8">
        <v>9</v>
      </c>
    </row>
    <row r="9" spans="1:2" x14ac:dyDescent="0.3">
      <c r="A9" t="s">
        <v>120</v>
      </c>
      <c r="B9">
        <v>10</v>
      </c>
    </row>
    <row r="10" spans="1:2" x14ac:dyDescent="0.3">
      <c r="A10" t="s">
        <v>123</v>
      </c>
      <c r="B10">
        <v>11</v>
      </c>
    </row>
    <row r="11" spans="1:2" x14ac:dyDescent="0.3">
      <c r="A11" t="s">
        <v>126</v>
      </c>
      <c r="B11">
        <v>12</v>
      </c>
    </row>
    <row r="12" spans="1:2" x14ac:dyDescent="0.3">
      <c r="A12" t="s">
        <v>129</v>
      </c>
      <c r="B12">
        <v>13</v>
      </c>
    </row>
    <row r="13" spans="1:2" x14ac:dyDescent="0.3">
      <c r="A13" t="s">
        <v>132</v>
      </c>
      <c r="B13">
        <v>14</v>
      </c>
    </row>
    <row r="14" spans="1:2" x14ac:dyDescent="0.3">
      <c r="A14" t="s">
        <v>135</v>
      </c>
      <c r="B14">
        <v>15</v>
      </c>
    </row>
    <row r="15" spans="1:2" x14ac:dyDescent="0.3">
      <c r="A15" t="s">
        <v>137</v>
      </c>
      <c r="B15">
        <v>16</v>
      </c>
    </row>
    <row r="16" spans="1:2" x14ac:dyDescent="0.3">
      <c r="A16" t="s">
        <v>139</v>
      </c>
      <c r="B16">
        <v>17</v>
      </c>
    </row>
    <row r="17" spans="1:2" x14ac:dyDescent="0.3">
      <c r="A17" t="s">
        <v>141</v>
      </c>
      <c r="B17">
        <v>18</v>
      </c>
    </row>
    <row r="18" spans="1:2" x14ac:dyDescent="0.3">
      <c r="A18" t="s">
        <v>144</v>
      </c>
      <c r="B18">
        <v>19</v>
      </c>
    </row>
    <row r="19" spans="1:2" x14ac:dyDescent="0.3">
      <c r="A19" t="s">
        <v>146</v>
      </c>
      <c r="B19">
        <v>20</v>
      </c>
    </row>
    <row r="20" spans="1:2" x14ac:dyDescent="0.3">
      <c r="A20" t="s">
        <v>149</v>
      </c>
      <c r="B20">
        <v>21</v>
      </c>
    </row>
    <row r="21" spans="1:2" x14ac:dyDescent="0.3">
      <c r="A21" t="s">
        <v>152</v>
      </c>
      <c r="B21">
        <v>22</v>
      </c>
    </row>
    <row r="22" spans="1:2" x14ac:dyDescent="0.3">
      <c r="A22" t="s">
        <v>156</v>
      </c>
      <c r="B22">
        <v>23</v>
      </c>
    </row>
    <row r="23" spans="1:2" x14ac:dyDescent="0.3">
      <c r="A23" t="s">
        <v>159</v>
      </c>
      <c r="B23">
        <v>24</v>
      </c>
    </row>
    <row r="24" spans="1:2" x14ac:dyDescent="0.3">
      <c r="A24" t="s">
        <v>163</v>
      </c>
      <c r="B24">
        <v>25</v>
      </c>
    </row>
    <row r="25" spans="1:2" x14ac:dyDescent="0.3">
      <c r="A25" t="s">
        <v>166</v>
      </c>
      <c r="B25">
        <v>26</v>
      </c>
    </row>
    <row r="26" spans="1:2" x14ac:dyDescent="0.3">
      <c r="A26" t="s">
        <v>169</v>
      </c>
      <c r="B26">
        <v>27</v>
      </c>
    </row>
    <row r="27" spans="1:2" x14ac:dyDescent="0.3">
      <c r="A27" t="s">
        <v>173</v>
      </c>
      <c r="B27">
        <v>28</v>
      </c>
    </row>
    <row r="28" spans="1:2" x14ac:dyDescent="0.3">
      <c r="A28" t="s">
        <v>176</v>
      </c>
      <c r="B28">
        <v>29</v>
      </c>
    </row>
    <row r="29" spans="1:2" x14ac:dyDescent="0.3">
      <c r="A29" t="s">
        <v>179</v>
      </c>
      <c r="B29">
        <v>30</v>
      </c>
    </row>
    <row r="30" spans="1:2" x14ac:dyDescent="0.3">
      <c r="A30" t="s">
        <v>181</v>
      </c>
      <c r="B30">
        <v>31</v>
      </c>
    </row>
    <row r="31" spans="1:2" x14ac:dyDescent="0.3">
      <c r="A31" t="s">
        <v>183</v>
      </c>
      <c r="B31">
        <v>33</v>
      </c>
    </row>
    <row r="32" spans="1:2" x14ac:dyDescent="0.3">
      <c r="A32" t="s">
        <v>185</v>
      </c>
      <c r="B32">
        <v>34</v>
      </c>
    </row>
    <row r="33" spans="1:2" x14ac:dyDescent="0.3">
      <c r="A33" t="s">
        <v>187</v>
      </c>
      <c r="B33">
        <v>35</v>
      </c>
    </row>
    <row r="34" spans="1:2" x14ac:dyDescent="0.3">
      <c r="A34" t="s">
        <v>189</v>
      </c>
      <c r="B34">
        <v>36</v>
      </c>
    </row>
    <row r="35" spans="1:2" x14ac:dyDescent="0.3">
      <c r="A35" t="s">
        <v>191</v>
      </c>
      <c r="B35">
        <v>37</v>
      </c>
    </row>
    <row r="36" spans="1:2" x14ac:dyDescent="0.3">
      <c r="A36" t="s">
        <v>194</v>
      </c>
      <c r="B36">
        <v>38</v>
      </c>
    </row>
    <row r="37" spans="1:2" x14ac:dyDescent="0.3">
      <c r="A37" t="s">
        <v>196</v>
      </c>
      <c r="B37">
        <v>39</v>
      </c>
    </row>
    <row r="38" spans="1:2" x14ac:dyDescent="0.3">
      <c r="A38" t="s">
        <v>198</v>
      </c>
      <c r="B38">
        <v>40</v>
      </c>
    </row>
    <row r="39" spans="1:2" x14ac:dyDescent="0.3">
      <c r="A39" t="s">
        <v>200</v>
      </c>
      <c r="B39">
        <v>41</v>
      </c>
    </row>
    <row r="40" spans="1:2" x14ac:dyDescent="0.3">
      <c r="A40" t="s">
        <v>202</v>
      </c>
      <c r="B40">
        <v>42</v>
      </c>
    </row>
    <row r="41" spans="1:2" x14ac:dyDescent="0.3">
      <c r="A41" t="s">
        <v>204</v>
      </c>
      <c r="B41">
        <v>43</v>
      </c>
    </row>
    <row r="42" spans="1:2" x14ac:dyDescent="0.3">
      <c r="A42" t="s">
        <v>206</v>
      </c>
      <c r="B42">
        <v>44</v>
      </c>
    </row>
    <row r="43" spans="1:2" x14ac:dyDescent="0.3">
      <c r="A43" t="s">
        <v>208</v>
      </c>
      <c r="B43">
        <v>45</v>
      </c>
    </row>
    <row r="44" spans="1:2" x14ac:dyDescent="0.3">
      <c r="A44" t="s">
        <v>210</v>
      </c>
      <c r="B44">
        <v>46</v>
      </c>
    </row>
    <row r="45" spans="1:2" x14ac:dyDescent="0.3">
      <c r="A45" t="s">
        <v>212</v>
      </c>
      <c r="B45">
        <v>47</v>
      </c>
    </row>
    <row r="46" spans="1:2" x14ac:dyDescent="0.3">
      <c r="A46" t="s">
        <v>214</v>
      </c>
      <c r="B46">
        <v>48</v>
      </c>
    </row>
    <row r="47" spans="1:2" x14ac:dyDescent="0.3">
      <c r="A47" t="s">
        <v>216</v>
      </c>
      <c r="B47">
        <v>49</v>
      </c>
    </row>
    <row r="48" spans="1:2" x14ac:dyDescent="0.3">
      <c r="A48" t="s">
        <v>218</v>
      </c>
      <c r="B48">
        <v>50</v>
      </c>
    </row>
    <row r="49" spans="1:2" x14ac:dyDescent="0.3">
      <c r="A49" t="s">
        <v>220</v>
      </c>
      <c r="B49">
        <v>51</v>
      </c>
    </row>
    <row r="50" spans="1:2" x14ac:dyDescent="0.3">
      <c r="A50" t="s">
        <v>222</v>
      </c>
      <c r="B50">
        <v>52</v>
      </c>
    </row>
    <row r="51" spans="1:2" x14ac:dyDescent="0.3">
      <c r="A51" t="s">
        <v>224</v>
      </c>
      <c r="B51">
        <v>53</v>
      </c>
    </row>
    <row r="52" spans="1:2" x14ac:dyDescent="0.3">
      <c r="A52" t="s">
        <v>226</v>
      </c>
      <c r="B52">
        <v>54</v>
      </c>
    </row>
    <row r="53" spans="1:2" x14ac:dyDescent="0.3">
      <c r="A53" t="s">
        <v>228</v>
      </c>
      <c r="B53">
        <v>55</v>
      </c>
    </row>
    <row r="54" spans="1:2" x14ac:dyDescent="0.3">
      <c r="A54" t="s">
        <v>231</v>
      </c>
      <c r="B54">
        <v>57</v>
      </c>
    </row>
    <row r="55" spans="1:2" x14ac:dyDescent="0.3">
      <c r="A55" t="s">
        <v>234</v>
      </c>
      <c r="B55">
        <v>58</v>
      </c>
    </row>
    <row r="56" spans="1:2" x14ac:dyDescent="0.3">
      <c r="A56" t="s">
        <v>236</v>
      </c>
      <c r="B56">
        <v>59</v>
      </c>
    </row>
    <row r="57" spans="1:2" x14ac:dyDescent="0.3">
      <c r="A57" t="s">
        <v>239</v>
      </c>
      <c r="B57">
        <v>61</v>
      </c>
    </row>
    <row r="58" spans="1:2" x14ac:dyDescent="0.3">
      <c r="A58" t="s">
        <v>241</v>
      </c>
      <c r="B58">
        <v>62</v>
      </c>
    </row>
    <row r="59" spans="1:2" x14ac:dyDescent="0.3">
      <c r="A59" t="s">
        <v>244</v>
      </c>
      <c r="B59">
        <v>63</v>
      </c>
    </row>
    <row r="60" spans="1:2" x14ac:dyDescent="0.3">
      <c r="A60" t="s">
        <v>246</v>
      </c>
      <c r="B60">
        <v>64</v>
      </c>
    </row>
    <row r="61" spans="1:2" x14ac:dyDescent="0.3">
      <c r="A61" t="s">
        <v>248</v>
      </c>
      <c r="B61">
        <v>65</v>
      </c>
    </row>
    <row r="62" spans="1:2" x14ac:dyDescent="0.3">
      <c r="A62" t="s">
        <v>251</v>
      </c>
      <c r="B62">
        <v>67</v>
      </c>
    </row>
    <row r="63" spans="1:2" x14ac:dyDescent="0.3">
      <c r="A63" t="s">
        <v>253</v>
      </c>
      <c r="B63">
        <v>68</v>
      </c>
    </row>
    <row r="64" spans="1:2" x14ac:dyDescent="0.3">
      <c r="A64" t="s">
        <v>256</v>
      </c>
      <c r="B64">
        <v>69</v>
      </c>
    </row>
    <row r="65" spans="1:24" x14ac:dyDescent="0.3">
      <c r="A65" t="s">
        <v>258</v>
      </c>
      <c r="B65">
        <v>70</v>
      </c>
    </row>
    <row r="66" spans="1:24" x14ac:dyDescent="0.3">
      <c r="A66" t="s">
        <v>260</v>
      </c>
      <c r="B66">
        <v>71</v>
      </c>
    </row>
    <row r="67" spans="1:24" x14ac:dyDescent="0.3">
      <c r="A67" t="s">
        <v>262</v>
      </c>
      <c r="B67" t="s">
        <v>263</v>
      </c>
    </row>
    <row r="68" spans="1:24" x14ac:dyDescent="0.3">
      <c r="A68" t="s">
        <v>264</v>
      </c>
      <c r="B68" t="s">
        <v>265</v>
      </c>
    </row>
    <row r="69" spans="1:24" x14ac:dyDescent="0.3">
      <c r="A69" t="s">
        <v>273</v>
      </c>
      <c r="B69" t="s">
        <v>274</v>
      </c>
    </row>
    <row r="70" spans="1:24" x14ac:dyDescent="0.3">
      <c r="A70" t="s">
        <v>276</v>
      </c>
      <c r="B70" t="s">
        <v>277</v>
      </c>
    </row>
    <row r="71" spans="1:24" x14ac:dyDescent="0.3">
      <c r="A71" t="s">
        <v>279</v>
      </c>
      <c r="B71" t="s">
        <v>280</v>
      </c>
    </row>
    <row r="72" spans="1:24" x14ac:dyDescent="0.3">
      <c r="A72" t="s">
        <v>282</v>
      </c>
      <c r="B72" t="s">
        <v>283</v>
      </c>
    </row>
    <row r="73" spans="1:24" x14ac:dyDescent="0.3">
      <c r="A73" t="s">
        <v>286</v>
      </c>
      <c r="B73" t="s">
        <v>287</v>
      </c>
    </row>
    <row r="74" spans="1:24" x14ac:dyDescent="0.3">
      <c r="A74" t="s">
        <v>302</v>
      </c>
      <c r="B74" t="s">
        <v>41</v>
      </c>
      <c r="C74" t="s">
        <v>65</v>
      </c>
      <c r="D74" t="s">
        <v>63</v>
      </c>
      <c r="E74" t="s">
        <v>55</v>
      </c>
      <c r="F74" t="s">
        <v>49</v>
      </c>
      <c r="G74" t="s">
        <v>73</v>
      </c>
      <c r="H74" t="s">
        <v>23</v>
      </c>
      <c r="I74" t="s">
        <v>25</v>
      </c>
      <c r="J74" t="s">
        <v>39</v>
      </c>
      <c r="K74" t="s">
        <v>67</v>
      </c>
      <c r="L74" t="s">
        <v>69</v>
      </c>
      <c r="M74" t="s">
        <v>51</v>
      </c>
      <c r="N74" t="s">
        <v>15</v>
      </c>
      <c r="O74" t="s">
        <v>75</v>
      </c>
      <c r="P74" t="s">
        <v>21</v>
      </c>
      <c r="Q74" t="s">
        <v>19</v>
      </c>
      <c r="R74" t="s">
        <v>71</v>
      </c>
      <c r="S74" t="s">
        <v>47</v>
      </c>
      <c r="T74" t="s">
        <v>45</v>
      </c>
      <c r="U74" t="s">
        <v>7</v>
      </c>
      <c r="V74" t="s">
        <v>61</v>
      </c>
      <c r="W74" t="s">
        <v>11</v>
      </c>
      <c r="X74" t="s">
        <v>59</v>
      </c>
    </row>
    <row r="75" spans="1:24" x14ac:dyDescent="0.3">
      <c r="A75" t="s">
        <v>304</v>
      </c>
      <c r="B75">
        <v>1</v>
      </c>
    </row>
    <row r="76" spans="1:24" x14ac:dyDescent="0.3">
      <c r="A76" t="s">
        <v>305</v>
      </c>
      <c r="B76">
        <v>2</v>
      </c>
    </row>
    <row r="77" spans="1:24" x14ac:dyDescent="0.3">
      <c r="A77" t="s">
        <v>306</v>
      </c>
      <c r="B77">
        <v>3</v>
      </c>
    </row>
    <row r="78" spans="1:24" x14ac:dyDescent="0.3">
      <c r="A78" t="s">
        <v>307</v>
      </c>
      <c r="B78">
        <v>4</v>
      </c>
    </row>
    <row r="79" spans="1:24" x14ac:dyDescent="0.3">
      <c r="A79" t="s">
        <v>308</v>
      </c>
      <c r="B79">
        <v>5</v>
      </c>
    </row>
    <row r="80" spans="1:24" x14ac:dyDescent="0.3">
      <c r="A80" t="s">
        <v>309</v>
      </c>
      <c r="B80">
        <v>6</v>
      </c>
    </row>
    <row r="81" spans="1:2" x14ac:dyDescent="0.3">
      <c r="A81" t="s">
        <v>312</v>
      </c>
      <c r="B81">
        <v>8</v>
      </c>
    </row>
    <row r="82" spans="1:2" x14ac:dyDescent="0.3">
      <c r="A82" t="s">
        <v>313</v>
      </c>
      <c r="B82">
        <v>9</v>
      </c>
    </row>
    <row r="83" spans="1:2" x14ac:dyDescent="0.3">
      <c r="A83" t="s">
        <v>314</v>
      </c>
      <c r="B83">
        <v>10</v>
      </c>
    </row>
    <row r="84" spans="1:2" x14ac:dyDescent="0.3">
      <c r="A84" t="s">
        <v>315</v>
      </c>
      <c r="B84">
        <v>11</v>
      </c>
    </row>
    <row r="85" spans="1:2" x14ac:dyDescent="0.3">
      <c r="A85" t="s">
        <v>316</v>
      </c>
      <c r="B85">
        <v>12</v>
      </c>
    </row>
    <row r="86" spans="1:2" x14ac:dyDescent="0.3">
      <c r="A86" t="s">
        <v>317</v>
      </c>
      <c r="B86">
        <v>13</v>
      </c>
    </row>
    <row r="87" spans="1:2" x14ac:dyDescent="0.3">
      <c r="A87" t="s">
        <v>318</v>
      </c>
      <c r="B87">
        <v>14</v>
      </c>
    </row>
    <row r="88" spans="1:2" x14ac:dyDescent="0.3">
      <c r="A88" t="s">
        <v>319</v>
      </c>
      <c r="B88">
        <v>15</v>
      </c>
    </row>
    <row r="89" spans="1:2" x14ac:dyDescent="0.3">
      <c r="A89" t="s">
        <v>320</v>
      </c>
      <c r="B89">
        <v>16</v>
      </c>
    </row>
    <row r="90" spans="1:2" x14ac:dyDescent="0.3">
      <c r="A90" t="s">
        <v>321</v>
      </c>
      <c r="B90">
        <v>17</v>
      </c>
    </row>
    <row r="91" spans="1:2" x14ac:dyDescent="0.3">
      <c r="A91" t="s">
        <v>322</v>
      </c>
      <c r="B91">
        <v>18</v>
      </c>
    </row>
    <row r="92" spans="1:2" x14ac:dyDescent="0.3">
      <c r="A92" t="s">
        <v>323</v>
      </c>
      <c r="B92">
        <v>19</v>
      </c>
    </row>
    <row r="93" spans="1:2" x14ac:dyDescent="0.3">
      <c r="A93" t="s">
        <v>324</v>
      </c>
      <c r="B93">
        <v>20</v>
      </c>
    </row>
    <row r="94" spans="1:2" x14ac:dyDescent="0.3">
      <c r="A94" t="s">
        <v>325</v>
      </c>
      <c r="B94">
        <v>21</v>
      </c>
    </row>
    <row r="95" spans="1:2" x14ac:dyDescent="0.3">
      <c r="A95" t="s">
        <v>326</v>
      </c>
      <c r="B95">
        <v>22</v>
      </c>
    </row>
    <row r="96" spans="1:2" x14ac:dyDescent="0.3">
      <c r="A96" t="s">
        <v>327</v>
      </c>
      <c r="B96">
        <v>23</v>
      </c>
    </row>
    <row r="97" spans="1:2" x14ac:dyDescent="0.3">
      <c r="A97" t="s">
        <v>328</v>
      </c>
      <c r="B97">
        <v>24</v>
      </c>
    </row>
    <row r="98" spans="1:2" x14ac:dyDescent="0.3">
      <c r="A98" t="s">
        <v>329</v>
      </c>
      <c r="B98">
        <v>25</v>
      </c>
    </row>
    <row r="99" spans="1:2" x14ac:dyDescent="0.3">
      <c r="A99" t="s">
        <v>330</v>
      </c>
      <c r="B99">
        <v>26</v>
      </c>
    </row>
    <row r="100" spans="1:2" x14ac:dyDescent="0.3">
      <c r="A100" t="s">
        <v>331</v>
      </c>
      <c r="B100">
        <v>27</v>
      </c>
    </row>
    <row r="101" spans="1:2" x14ac:dyDescent="0.3">
      <c r="A101" t="s">
        <v>332</v>
      </c>
      <c r="B101">
        <v>28</v>
      </c>
    </row>
    <row r="102" spans="1:2" x14ac:dyDescent="0.3">
      <c r="A102" t="s">
        <v>333</v>
      </c>
      <c r="B102">
        <v>29</v>
      </c>
    </row>
    <row r="103" spans="1:2" x14ac:dyDescent="0.3">
      <c r="A103" t="s">
        <v>335</v>
      </c>
      <c r="B103">
        <v>31</v>
      </c>
    </row>
    <row r="104" spans="1:2" x14ac:dyDescent="0.3">
      <c r="A104" t="s">
        <v>336</v>
      </c>
      <c r="B104">
        <v>32</v>
      </c>
    </row>
    <row r="105" spans="1:2" x14ac:dyDescent="0.3">
      <c r="A105" t="s">
        <v>337</v>
      </c>
      <c r="B105">
        <v>33</v>
      </c>
    </row>
    <row r="106" spans="1:2" x14ac:dyDescent="0.3">
      <c r="A106" t="s">
        <v>338</v>
      </c>
      <c r="B106">
        <v>34</v>
      </c>
    </row>
    <row r="107" spans="1:2" x14ac:dyDescent="0.3">
      <c r="A107" t="s">
        <v>339</v>
      </c>
      <c r="B107">
        <v>35</v>
      </c>
    </row>
    <row r="108" spans="1:2" x14ac:dyDescent="0.3">
      <c r="A108" t="s">
        <v>340</v>
      </c>
      <c r="B108">
        <v>36</v>
      </c>
    </row>
    <row r="109" spans="1:2" x14ac:dyDescent="0.3">
      <c r="A109" t="s">
        <v>341</v>
      </c>
      <c r="B109">
        <v>37</v>
      </c>
    </row>
    <row r="110" spans="1:2" x14ac:dyDescent="0.3">
      <c r="A110" t="s">
        <v>342</v>
      </c>
      <c r="B110">
        <v>38</v>
      </c>
    </row>
    <row r="111" spans="1:2" x14ac:dyDescent="0.3">
      <c r="A111" t="s">
        <v>343</v>
      </c>
      <c r="B111">
        <v>39</v>
      </c>
    </row>
    <row r="112" spans="1:2" x14ac:dyDescent="0.3">
      <c r="A112" t="s">
        <v>344</v>
      </c>
      <c r="B112">
        <v>40</v>
      </c>
    </row>
    <row r="113" spans="1:2" x14ac:dyDescent="0.3">
      <c r="A113" t="s">
        <v>345</v>
      </c>
      <c r="B113">
        <v>41</v>
      </c>
    </row>
    <row r="114" spans="1:2" x14ac:dyDescent="0.3">
      <c r="A114" t="s">
        <v>346</v>
      </c>
      <c r="B114">
        <v>42</v>
      </c>
    </row>
    <row r="115" spans="1:2" x14ac:dyDescent="0.3">
      <c r="A115" t="s">
        <v>347</v>
      </c>
      <c r="B115">
        <v>43</v>
      </c>
    </row>
    <row r="116" spans="1:2" x14ac:dyDescent="0.3">
      <c r="A116" t="s">
        <v>348</v>
      </c>
      <c r="B116">
        <v>44</v>
      </c>
    </row>
    <row r="117" spans="1:2" x14ac:dyDescent="0.3">
      <c r="A117" t="s">
        <v>349</v>
      </c>
      <c r="B117">
        <v>45</v>
      </c>
    </row>
    <row r="118" spans="1:2" x14ac:dyDescent="0.3">
      <c r="A118" t="s">
        <v>350</v>
      </c>
      <c r="B118">
        <v>46</v>
      </c>
    </row>
    <row r="119" spans="1:2" x14ac:dyDescent="0.3">
      <c r="A119" t="s">
        <v>351</v>
      </c>
      <c r="B119">
        <v>47</v>
      </c>
    </row>
    <row r="120" spans="1:2" x14ac:dyDescent="0.3">
      <c r="A120" t="s">
        <v>352</v>
      </c>
      <c r="B120">
        <v>48</v>
      </c>
    </row>
    <row r="121" spans="1:2" x14ac:dyDescent="0.3">
      <c r="A121" t="s">
        <v>353</v>
      </c>
      <c r="B121">
        <v>49</v>
      </c>
    </row>
    <row r="122" spans="1:2" x14ac:dyDescent="0.3">
      <c r="A122" t="s">
        <v>354</v>
      </c>
      <c r="B122">
        <v>50</v>
      </c>
    </row>
    <row r="123" spans="1:2" x14ac:dyDescent="0.3">
      <c r="A123" t="s">
        <v>355</v>
      </c>
      <c r="B123">
        <v>51</v>
      </c>
    </row>
    <row r="124" spans="1:2" x14ac:dyDescent="0.3">
      <c r="A124" t="s">
        <v>356</v>
      </c>
      <c r="B124">
        <v>52</v>
      </c>
    </row>
    <row r="125" spans="1:2" x14ac:dyDescent="0.3">
      <c r="A125" t="s">
        <v>359</v>
      </c>
      <c r="B125">
        <v>54</v>
      </c>
    </row>
    <row r="126" spans="1:2" x14ac:dyDescent="0.3">
      <c r="A126" t="s">
        <v>361</v>
      </c>
      <c r="B126">
        <v>55</v>
      </c>
    </row>
    <row r="127" spans="1:2" x14ac:dyDescent="0.3">
      <c r="A127" t="s">
        <v>363</v>
      </c>
      <c r="B127">
        <v>56</v>
      </c>
    </row>
    <row r="128" spans="1:2" x14ac:dyDescent="0.3">
      <c r="A128" t="s">
        <v>364</v>
      </c>
      <c r="B128">
        <v>57</v>
      </c>
    </row>
    <row r="129" spans="1:23" x14ac:dyDescent="0.3">
      <c r="A129" t="s">
        <v>365</v>
      </c>
      <c r="B129">
        <v>58</v>
      </c>
    </row>
    <row r="130" spans="1:23" x14ac:dyDescent="0.3">
      <c r="A130" t="s">
        <v>367</v>
      </c>
      <c r="B130" t="s">
        <v>368</v>
      </c>
    </row>
    <row r="131" spans="1:23" x14ac:dyDescent="0.3">
      <c r="A131" t="s">
        <v>369</v>
      </c>
      <c r="B131" t="s">
        <v>370</v>
      </c>
    </row>
    <row r="132" spans="1:23" x14ac:dyDescent="0.3">
      <c r="A132" t="s">
        <v>371</v>
      </c>
      <c r="B132" t="s">
        <v>372</v>
      </c>
    </row>
    <row r="133" spans="1:23" x14ac:dyDescent="0.3">
      <c r="A133" t="s">
        <v>373</v>
      </c>
      <c r="B133" t="s">
        <v>374</v>
      </c>
    </row>
    <row r="134" spans="1:23" x14ac:dyDescent="0.3">
      <c r="A134" t="s">
        <v>375</v>
      </c>
      <c r="B134" t="s">
        <v>376</v>
      </c>
    </row>
    <row r="135" spans="1:23" x14ac:dyDescent="0.3">
      <c r="A135" t="s">
        <v>377</v>
      </c>
      <c r="B135" t="s">
        <v>378</v>
      </c>
    </row>
    <row r="136" spans="1:23" x14ac:dyDescent="0.3">
      <c r="A136" t="s">
        <v>379</v>
      </c>
      <c r="B136" t="s">
        <v>380</v>
      </c>
    </row>
    <row r="137" spans="1:23" x14ac:dyDescent="0.3">
      <c r="A137" t="s">
        <v>384</v>
      </c>
      <c r="B137" t="s">
        <v>75</v>
      </c>
      <c r="C137" t="s">
        <v>41</v>
      </c>
      <c r="D137" t="s">
        <v>15</v>
      </c>
      <c r="E137" t="s">
        <v>65</v>
      </c>
      <c r="F137" t="s">
        <v>79</v>
      </c>
      <c r="G137" t="s">
        <v>63</v>
      </c>
      <c r="H137" t="s">
        <v>19</v>
      </c>
      <c r="I137" t="s">
        <v>55</v>
      </c>
      <c r="J137" t="s">
        <v>71</v>
      </c>
      <c r="K137" t="s">
        <v>49</v>
      </c>
      <c r="L137" t="s">
        <v>47</v>
      </c>
      <c r="M137" t="s">
        <v>73</v>
      </c>
      <c r="N137" t="s">
        <v>23</v>
      </c>
      <c r="O137" t="s">
        <v>45</v>
      </c>
      <c r="P137" t="s">
        <v>7</v>
      </c>
      <c r="Q137" t="s">
        <v>51</v>
      </c>
      <c r="R137" t="s">
        <v>39</v>
      </c>
      <c r="S137" t="s">
        <v>67</v>
      </c>
      <c r="T137" t="s">
        <v>61</v>
      </c>
      <c r="U137" t="s">
        <v>11</v>
      </c>
      <c r="V137" t="s">
        <v>69</v>
      </c>
      <c r="W137" t="s">
        <v>59</v>
      </c>
    </row>
    <row r="138" spans="1:23" x14ac:dyDescent="0.3">
      <c r="A138" t="s">
        <v>386</v>
      </c>
      <c r="B138">
        <v>1</v>
      </c>
    </row>
    <row r="139" spans="1:23" x14ac:dyDescent="0.3">
      <c r="A139" t="s">
        <v>387</v>
      </c>
      <c r="B139">
        <v>2</v>
      </c>
    </row>
    <row r="140" spans="1:23" x14ac:dyDescent="0.3">
      <c r="A140" t="s">
        <v>388</v>
      </c>
      <c r="B140">
        <v>3</v>
      </c>
    </row>
    <row r="141" spans="1:23" x14ac:dyDescent="0.3">
      <c r="A141" t="s">
        <v>389</v>
      </c>
      <c r="B141">
        <v>4</v>
      </c>
    </row>
    <row r="142" spans="1:23" x14ac:dyDescent="0.3">
      <c r="A142" t="s">
        <v>390</v>
      </c>
      <c r="B142">
        <v>5</v>
      </c>
    </row>
    <row r="143" spans="1:23" x14ac:dyDescent="0.3">
      <c r="A143" t="s">
        <v>391</v>
      </c>
      <c r="B143">
        <v>6</v>
      </c>
    </row>
    <row r="144" spans="1:23" x14ac:dyDescent="0.3">
      <c r="A144" t="s">
        <v>392</v>
      </c>
      <c r="B144">
        <v>8</v>
      </c>
    </row>
    <row r="145" spans="1:2" x14ac:dyDescent="0.3">
      <c r="A145" t="s">
        <v>393</v>
      </c>
      <c r="B145">
        <v>9</v>
      </c>
    </row>
    <row r="146" spans="1:2" x14ac:dyDescent="0.3">
      <c r="A146" t="s">
        <v>394</v>
      </c>
      <c r="B146">
        <v>10</v>
      </c>
    </row>
    <row r="147" spans="1:2" x14ac:dyDescent="0.3">
      <c r="A147" t="s">
        <v>395</v>
      </c>
      <c r="B147">
        <v>11</v>
      </c>
    </row>
    <row r="148" spans="1:2" x14ac:dyDescent="0.3">
      <c r="A148" t="s">
        <v>396</v>
      </c>
      <c r="B148">
        <v>12</v>
      </c>
    </row>
    <row r="149" spans="1:2" x14ac:dyDescent="0.3">
      <c r="A149" t="s">
        <v>397</v>
      </c>
      <c r="B149">
        <v>13</v>
      </c>
    </row>
    <row r="150" spans="1:2" x14ac:dyDescent="0.3">
      <c r="A150" t="s">
        <v>398</v>
      </c>
      <c r="B150">
        <v>14</v>
      </c>
    </row>
    <row r="151" spans="1:2" x14ac:dyDescent="0.3">
      <c r="A151" t="s">
        <v>399</v>
      </c>
      <c r="B151">
        <v>15</v>
      </c>
    </row>
    <row r="152" spans="1:2" x14ac:dyDescent="0.3">
      <c r="A152" t="s">
        <v>400</v>
      </c>
      <c r="B152">
        <v>16</v>
      </c>
    </row>
    <row r="153" spans="1:2" x14ac:dyDescent="0.3">
      <c r="A153" t="s">
        <v>401</v>
      </c>
      <c r="B153">
        <v>17</v>
      </c>
    </row>
    <row r="154" spans="1:2" x14ac:dyDescent="0.3">
      <c r="A154" t="s">
        <v>402</v>
      </c>
      <c r="B154">
        <v>18</v>
      </c>
    </row>
    <row r="155" spans="1:2" x14ac:dyDescent="0.3">
      <c r="A155" t="s">
        <v>403</v>
      </c>
      <c r="B155">
        <v>19</v>
      </c>
    </row>
    <row r="156" spans="1:2" x14ac:dyDescent="0.3">
      <c r="A156" t="s">
        <v>404</v>
      </c>
      <c r="B156">
        <v>20</v>
      </c>
    </row>
    <row r="157" spans="1:2" x14ac:dyDescent="0.3">
      <c r="A157" t="s">
        <v>405</v>
      </c>
      <c r="B157">
        <v>21</v>
      </c>
    </row>
    <row r="158" spans="1:2" x14ac:dyDescent="0.3">
      <c r="A158" t="s">
        <v>406</v>
      </c>
      <c r="B158">
        <v>22</v>
      </c>
    </row>
    <row r="159" spans="1:2" x14ac:dyDescent="0.3">
      <c r="A159" t="s">
        <v>407</v>
      </c>
      <c r="B159">
        <v>23</v>
      </c>
    </row>
    <row r="160" spans="1:2" x14ac:dyDescent="0.3">
      <c r="A160" t="s">
        <v>408</v>
      </c>
      <c r="B160">
        <v>24</v>
      </c>
    </row>
    <row r="161" spans="1:2" x14ac:dyDescent="0.3">
      <c r="A161" t="s">
        <v>409</v>
      </c>
      <c r="B161">
        <v>25</v>
      </c>
    </row>
    <row r="162" spans="1:2" x14ac:dyDescent="0.3">
      <c r="A162" t="s">
        <v>410</v>
      </c>
      <c r="B162">
        <v>26</v>
      </c>
    </row>
    <row r="163" spans="1:2" x14ac:dyDescent="0.3">
      <c r="A163" t="s">
        <v>411</v>
      </c>
      <c r="B163">
        <v>27</v>
      </c>
    </row>
    <row r="164" spans="1:2" x14ac:dyDescent="0.3">
      <c r="A164" t="s">
        <v>412</v>
      </c>
      <c r="B164">
        <v>28</v>
      </c>
    </row>
    <row r="165" spans="1:2" x14ac:dyDescent="0.3">
      <c r="A165" t="s">
        <v>413</v>
      </c>
      <c r="B165">
        <v>29</v>
      </c>
    </row>
    <row r="166" spans="1:2" x14ac:dyDescent="0.3">
      <c r="A166" t="s">
        <v>414</v>
      </c>
      <c r="B166">
        <v>31</v>
      </c>
    </row>
    <row r="167" spans="1:2" x14ac:dyDescent="0.3">
      <c r="A167" t="s">
        <v>415</v>
      </c>
      <c r="B167">
        <v>32</v>
      </c>
    </row>
    <row r="168" spans="1:2" x14ac:dyDescent="0.3">
      <c r="A168" t="s">
        <v>416</v>
      </c>
      <c r="B168">
        <v>33</v>
      </c>
    </row>
    <row r="169" spans="1:2" x14ac:dyDescent="0.3">
      <c r="A169" t="s">
        <v>417</v>
      </c>
      <c r="B169">
        <v>34</v>
      </c>
    </row>
    <row r="170" spans="1:2" x14ac:dyDescent="0.3">
      <c r="A170" t="s">
        <v>418</v>
      </c>
      <c r="B170">
        <v>35</v>
      </c>
    </row>
    <row r="171" spans="1:2" x14ac:dyDescent="0.3">
      <c r="A171" t="s">
        <v>419</v>
      </c>
      <c r="B171">
        <v>36</v>
      </c>
    </row>
    <row r="172" spans="1:2" x14ac:dyDescent="0.3">
      <c r="A172" t="s">
        <v>420</v>
      </c>
      <c r="B172">
        <v>37</v>
      </c>
    </row>
    <row r="173" spans="1:2" x14ac:dyDescent="0.3">
      <c r="A173" t="s">
        <v>421</v>
      </c>
      <c r="B173">
        <v>38</v>
      </c>
    </row>
    <row r="174" spans="1:2" x14ac:dyDescent="0.3">
      <c r="A174" t="s">
        <v>422</v>
      </c>
      <c r="B174">
        <v>39</v>
      </c>
    </row>
    <row r="175" spans="1:2" x14ac:dyDescent="0.3">
      <c r="A175" t="s">
        <v>423</v>
      </c>
      <c r="B175">
        <v>40</v>
      </c>
    </row>
    <row r="176" spans="1:2" x14ac:dyDescent="0.3">
      <c r="A176" t="s">
        <v>424</v>
      </c>
      <c r="B176">
        <v>41</v>
      </c>
    </row>
    <row r="177" spans="1:2" x14ac:dyDescent="0.3">
      <c r="A177" t="s">
        <v>425</v>
      </c>
      <c r="B177">
        <v>42</v>
      </c>
    </row>
    <row r="178" spans="1:2" x14ac:dyDescent="0.3">
      <c r="A178" t="s">
        <v>426</v>
      </c>
      <c r="B178">
        <v>43</v>
      </c>
    </row>
    <row r="179" spans="1:2" x14ac:dyDescent="0.3">
      <c r="A179" t="s">
        <v>427</v>
      </c>
      <c r="B179">
        <v>44</v>
      </c>
    </row>
    <row r="180" spans="1:2" x14ac:dyDescent="0.3">
      <c r="A180" t="s">
        <v>428</v>
      </c>
      <c r="B180">
        <v>45</v>
      </c>
    </row>
    <row r="181" spans="1:2" x14ac:dyDescent="0.3">
      <c r="A181" t="s">
        <v>429</v>
      </c>
      <c r="B181">
        <v>46</v>
      </c>
    </row>
    <row r="182" spans="1:2" x14ac:dyDescent="0.3">
      <c r="A182" t="s">
        <v>430</v>
      </c>
      <c r="B182">
        <v>47</v>
      </c>
    </row>
    <row r="183" spans="1:2" x14ac:dyDescent="0.3">
      <c r="A183" t="s">
        <v>431</v>
      </c>
      <c r="B183">
        <v>48</v>
      </c>
    </row>
    <row r="184" spans="1:2" x14ac:dyDescent="0.3">
      <c r="A184" t="s">
        <v>432</v>
      </c>
      <c r="B184">
        <v>49</v>
      </c>
    </row>
    <row r="185" spans="1:2" x14ac:dyDescent="0.3">
      <c r="A185" t="s">
        <v>433</v>
      </c>
      <c r="B185">
        <v>50</v>
      </c>
    </row>
    <row r="186" spans="1:2" x14ac:dyDescent="0.3">
      <c r="A186" t="s">
        <v>434</v>
      </c>
      <c r="B186">
        <v>51</v>
      </c>
    </row>
    <row r="187" spans="1:2" x14ac:dyDescent="0.3">
      <c r="A187" t="s">
        <v>435</v>
      </c>
      <c r="B187">
        <v>52</v>
      </c>
    </row>
    <row r="188" spans="1:2" x14ac:dyDescent="0.3">
      <c r="A188" t="s">
        <v>436</v>
      </c>
      <c r="B188">
        <v>54</v>
      </c>
    </row>
    <row r="189" spans="1:2" x14ac:dyDescent="0.3">
      <c r="A189" t="s">
        <v>437</v>
      </c>
      <c r="B189">
        <v>55</v>
      </c>
    </row>
    <row r="190" spans="1:2" x14ac:dyDescent="0.3">
      <c r="A190" t="s">
        <v>438</v>
      </c>
      <c r="B190">
        <v>56</v>
      </c>
    </row>
    <row r="191" spans="1:2" x14ac:dyDescent="0.3">
      <c r="A191" t="s">
        <v>439</v>
      </c>
      <c r="B191">
        <v>57</v>
      </c>
    </row>
    <row r="192" spans="1:2" x14ac:dyDescent="0.3">
      <c r="A192" t="s">
        <v>440</v>
      </c>
      <c r="B192">
        <v>58</v>
      </c>
    </row>
    <row r="193" spans="1:23" x14ac:dyDescent="0.3">
      <c r="A193" t="s">
        <v>442</v>
      </c>
      <c r="B193" t="s">
        <v>443</v>
      </c>
    </row>
    <row r="194" spans="1:23" x14ac:dyDescent="0.3">
      <c r="A194" t="s">
        <v>444</v>
      </c>
      <c r="B194" t="s">
        <v>445</v>
      </c>
    </row>
    <row r="195" spans="1:23" x14ac:dyDescent="0.3">
      <c r="A195" t="s">
        <v>446</v>
      </c>
      <c r="B195" t="s">
        <v>447</v>
      </c>
    </row>
    <row r="196" spans="1:23" x14ac:dyDescent="0.3">
      <c r="A196" t="s">
        <v>448</v>
      </c>
      <c r="B196" t="s">
        <v>449</v>
      </c>
    </row>
    <row r="197" spans="1:23" x14ac:dyDescent="0.3">
      <c r="A197" t="s">
        <v>450</v>
      </c>
      <c r="B197" t="s">
        <v>451</v>
      </c>
    </row>
    <row r="198" spans="1:23" x14ac:dyDescent="0.3">
      <c r="A198" t="s">
        <v>452</v>
      </c>
      <c r="B198" t="s">
        <v>453</v>
      </c>
    </row>
    <row r="199" spans="1:23" x14ac:dyDescent="0.3">
      <c r="A199" t="s">
        <v>454</v>
      </c>
      <c r="B199" t="s">
        <v>455</v>
      </c>
    </row>
    <row r="200" spans="1:23" x14ac:dyDescent="0.3">
      <c r="A200" t="s">
        <v>460</v>
      </c>
      <c r="B200" t="s">
        <v>65</v>
      </c>
      <c r="C200" t="s">
        <v>79</v>
      </c>
      <c r="D200" t="s">
        <v>15</v>
      </c>
      <c r="E200" t="s">
        <v>41</v>
      </c>
      <c r="F200" t="s">
        <v>75</v>
      </c>
      <c r="G200" t="s">
        <v>19</v>
      </c>
      <c r="H200" t="s">
        <v>55</v>
      </c>
      <c r="I200" t="s">
        <v>63</v>
      </c>
      <c r="J200" t="s">
        <v>23</v>
      </c>
      <c r="K200" t="s">
        <v>73</v>
      </c>
      <c r="L200" t="s">
        <v>7</v>
      </c>
      <c r="M200" t="s">
        <v>45</v>
      </c>
      <c r="N200" t="s">
        <v>71</v>
      </c>
      <c r="O200" t="s">
        <v>49</v>
      </c>
      <c r="P200" t="s">
        <v>47</v>
      </c>
      <c r="Q200" t="s">
        <v>67</v>
      </c>
      <c r="R200" t="s">
        <v>51</v>
      </c>
      <c r="S200" t="s">
        <v>39</v>
      </c>
      <c r="T200" t="s">
        <v>61</v>
      </c>
      <c r="U200" t="s">
        <v>11</v>
      </c>
      <c r="V200" t="s">
        <v>69</v>
      </c>
      <c r="W200" t="s">
        <v>59</v>
      </c>
    </row>
    <row r="201" spans="1:23" x14ac:dyDescent="0.3">
      <c r="A201" t="s">
        <v>462</v>
      </c>
      <c r="B201">
        <v>1</v>
      </c>
    </row>
    <row r="202" spans="1:23" x14ac:dyDescent="0.3">
      <c r="A202" t="s">
        <v>463</v>
      </c>
      <c r="B202">
        <v>2</v>
      </c>
    </row>
    <row r="203" spans="1:23" x14ac:dyDescent="0.3">
      <c r="A203" t="s">
        <v>464</v>
      </c>
      <c r="B203">
        <v>3</v>
      </c>
    </row>
    <row r="204" spans="1:23" x14ac:dyDescent="0.3">
      <c r="A204" t="s">
        <v>465</v>
      </c>
      <c r="B204">
        <v>4</v>
      </c>
    </row>
    <row r="205" spans="1:23" x14ac:dyDescent="0.3">
      <c r="A205" t="s">
        <v>466</v>
      </c>
      <c r="B205">
        <v>5</v>
      </c>
    </row>
    <row r="206" spans="1:23" x14ac:dyDescent="0.3">
      <c r="A206" t="s">
        <v>467</v>
      </c>
      <c r="B206">
        <v>6</v>
      </c>
    </row>
    <row r="207" spans="1:23" x14ac:dyDescent="0.3">
      <c r="A207" t="s">
        <v>468</v>
      </c>
      <c r="B207">
        <v>7</v>
      </c>
    </row>
    <row r="208" spans="1:23" x14ac:dyDescent="0.3">
      <c r="A208" t="s">
        <v>469</v>
      </c>
      <c r="B208">
        <v>9</v>
      </c>
    </row>
    <row r="209" spans="1:2" x14ac:dyDescent="0.3">
      <c r="A209" t="s">
        <v>470</v>
      </c>
      <c r="B209">
        <v>10</v>
      </c>
    </row>
    <row r="210" spans="1:2" x14ac:dyDescent="0.3">
      <c r="A210" t="s">
        <v>471</v>
      </c>
      <c r="B210">
        <v>11</v>
      </c>
    </row>
    <row r="211" spans="1:2" x14ac:dyDescent="0.3">
      <c r="A211" t="s">
        <v>472</v>
      </c>
      <c r="B211">
        <v>12</v>
      </c>
    </row>
    <row r="212" spans="1:2" x14ac:dyDescent="0.3">
      <c r="A212" t="s">
        <v>473</v>
      </c>
      <c r="B212">
        <v>13</v>
      </c>
    </row>
    <row r="213" spans="1:2" x14ac:dyDescent="0.3">
      <c r="A213" t="s">
        <v>474</v>
      </c>
      <c r="B213">
        <v>14</v>
      </c>
    </row>
    <row r="214" spans="1:2" x14ac:dyDescent="0.3">
      <c r="A214" t="s">
        <v>475</v>
      </c>
      <c r="B214">
        <v>15</v>
      </c>
    </row>
    <row r="215" spans="1:2" x14ac:dyDescent="0.3">
      <c r="A215" t="s">
        <v>476</v>
      </c>
      <c r="B215">
        <v>16</v>
      </c>
    </row>
    <row r="216" spans="1:2" x14ac:dyDescent="0.3">
      <c r="A216" t="s">
        <v>477</v>
      </c>
      <c r="B216">
        <v>17</v>
      </c>
    </row>
    <row r="217" spans="1:2" x14ac:dyDescent="0.3">
      <c r="A217" t="s">
        <v>478</v>
      </c>
      <c r="B217">
        <v>18</v>
      </c>
    </row>
    <row r="218" spans="1:2" x14ac:dyDescent="0.3">
      <c r="A218" t="s">
        <v>479</v>
      </c>
      <c r="B218">
        <v>19</v>
      </c>
    </row>
    <row r="219" spans="1:2" x14ac:dyDescent="0.3">
      <c r="A219" t="s">
        <v>480</v>
      </c>
      <c r="B219">
        <v>20</v>
      </c>
    </row>
    <row r="220" spans="1:2" x14ac:dyDescent="0.3">
      <c r="A220" t="s">
        <v>481</v>
      </c>
      <c r="B220">
        <v>21</v>
      </c>
    </row>
    <row r="221" spans="1:2" x14ac:dyDescent="0.3">
      <c r="A221" t="s">
        <v>482</v>
      </c>
      <c r="B221">
        <v>22</v>
      </c>
    </row>
    <row r="222" spans="1:2" x14ac:dyDescent="0.3">
      <c r="A222" t="s">
        <v>483</v>
      </c>
      <c r="B222">
        <v>23</v>
      </c>
    </row>
    <row r="223" spans="1:2" x14ac:dyDescent="0.3">
      <c r="A223" t="s">
        <v>484</v>
      </c>
      <c r="B223">
        <v>24</v>
      </c>
    </row>
    <row r="224" spans="1:2" x14ac:dyDescent="0.3">
      <c r="A224" t="s">
        <v>485</v>
      </c>
      <c r="B224">
        <v>25</v>
      </c>
    </row>
    <row r="225" spans="1:2" x14ac:dyDescent="0.3">
      <c r="A225" t="s">
        <v>486</v>
      </c>
      <c r="B225">
        <v>26</v>
      </c>
    </row>
    <row r="226" spans="1:2" x14ac:dyDescent="0.3">
      <c r="A226" t="s">
        <v>487</v>
      </c>
      <c r="B226">
        <v>27</v>
      </c>
    </row>
    <row r="227" spans="1:2" x14ac:dyDescent="0.3">
      <c r="A227" t="s">
        <v>488</v>
      </c>
      <c r="B227">
        <v>28</v>
      </c>
    </row>
    <row r="228" spans="1:2" x14ac:dyDescent="0.3">
      <c r="A228" t="s">
        <v>489</v>
      </c>
      <c r="B228">
        <v>29</v>
      </c>
    </row>
    <row r="229" spans="1:2" x14ac:dyDescent="0.3">
      <c r="A229" t="s">
        <v>490</v>
      </c>
      <c r="B229">
        <v>30</v>
      </c>
    </row>
    <row r="230" spans="1:2" x14ac:dyDescent="0.3">
      <c r="A230" t="s">
        <v>491</v>
      </c>
      <c r="B230">
        <v>31</v>
      </c>
    </row>
    <row r="231" spans="1:2" x14ac:dyDescent="0.3">
      <c r="A231" t="s">
        <v>492</v>
      </c>
      <c r="B231">
        <v>33</v>
      </c>
    </row>
    <row r="232" spans="1:2" x14ac:dyDescent="0.3">
      <c r="A232" t="s">
        <v>493</v>
      </c>
      <c r="B232">
        <v>34</v>
      </c>
    </row>
    <row r="233" spans="1:2" x14ac:dyDescent="0.3">
      <c r="A233" t="s">
        <v>494</v>
      </c>
      <c r="B233">
        <v>35</v>
      </c>
    </row>
    <row r="234" spans="1:2" x14ac:dyDescent="0.3">
      <c r="A234" t="s">
        <v>495</v>
      </c>
      <c r="B234">
        <v>36</v>
      </c>
    </row>
    <row r="235" spans="1:2" x14ac:dyDescent="0.3">
      <c r="A235" t="s">
        <v>496</v>
      </c>
      <c r="B235">
        <v>37</v>
      </c>
    </row>
    <row r="236" spans="1:2" x14ac:dyDescent="0.3">
      <c r="A236" t="s">
        <v>497</v>
      </c>
      <c r="B236">
        <v>38</v>
      </c>
    </row>
    <row r="237" spans="1:2" x14ac:dyDescent="0.3">
      <c r="A237" t="s">
        <v>498</v>
      </c>
      <c r="B237">
        <v>39</v>
      </c>
    </row>
    <row r="238" spans="1:2" x14ac:dyDescent="0.3">
      <c r="A238" t="s">
        <v>499</v>
      </c>
      <c r="B238">
        <v>40</v>
      </c>
    </row>
    <row r="239" spans="1:2" x14ac:dyDescent="0.3">
      <c r="A239" t="s">
        <v>500</v>
      </c>
      <c r="B239">
        <v>41</v>
      </c>
    </row>
    <row r="240" spans="1:2" x14ac:dyDescent="0.3">
      <c r="A240" t="s">
        <v>501</v>
      </c>
      <c r="B240">
        <v>42</v>
      </c>
    </row>
    <row r="241" spans="1:2" x14ac:dyDescent="0.3">
      <c r="A241" t="s">
        <v>502</v>
      </c>
      <c r="B241">
        <v>43</v>
      </c>
    </row>
    <row r="242" spans="1:2" x14ac:dyDescent="0.3">
      <c r="A242" t="s">
        <v>503</v>
      </c>
      <c r="B242">
        <v>44</v>
      </c>
    </row>
    <row r="243" spans="1:2" x14ac:dyDescent="0.3">
      <c r="A243" t="s">
        <v>504</v>
      </c>
      <c r="B243">
        <v>45</v>
      </c>
    </row>
    <row r="244" spans="1:2" x14ac:dyDescent="0.3">
      <c r="A244" t="s">
        <v>505</v>
      </c>
      <c r="B244">
        <v>46</v>
      </c>
    </row>
    <row r="245" spans="1:2" x14ac:dyDescent="0.3">
      <c r="A245" t="s">
        <v>506</v>
      </c>
      <c r="B245">
        <v>47</v>
      </c>
    </row>
    <row r="246" spans="1:2" x14ac:dyDescent="0.3">
      <c r="A246" t="s">
        <v>507</v>
      </c>
      <c r="B246">
        <v>48</v>
      </c>
    </row>
    <row r="247" spans="1:2" x14ac:dyDescent="0.3">
      <c r="A247" t="s">
        <v>508</v>
      </c>
      <c r="B247">
        <v>49</v>
      </c>
    </row>
    <row r="248" spans="1:2" x14ac:dyDescent="0.3">
      <c r="A248" t="s">
        <v>509</v>
      </c>
      <c r="B248">
        <v>50</v>
      </c>
    </row>
    <row r="249" spans="1:2" x14ac:dyDescent="0.3">
      <c r="A249" t="s">
        <v>510</v>
      </c>
      <c r="B249">
        <v>51</v>
      </c>
    </row>
    <row r="250" spans="1:2" x14ac:dyDescent="0.3">
      <c r="A250" t="s">
        <v>511</v>
      </c>
      <c r="B250">
        <v>52</v>
      </c>
    </row>
    <row r="251" spans="1:2" x14ac:dyDescent="0.3">
      <c r="A251" t="s">
        <v>512</v>
      </c>
      <c r="B251">
        <v>53</v>
      </c>
    </row>
    <row r="252" spans="1:2" x14ac:dyDescent="0.3">
      <c r="A252" t="s">
        <v>513</v>
      </c>
      <c r="B252">
        <v>54</v>
      </c>
    </row>
    <row r="253" spans="1:2" x14ac:dyDescent="0.3">
      <c r="A253" t="s">
        <v>514</v>
      </c>
      <c r="B253">
        <v>55</v>
      </c>
    </row>
    <row r="254" spans="1:2" x14ac:dyDescent="0.3">
      <c r="A254" t="s">
        <v>515</v>
      </c>
      <c r="B254">
        <v>57</v>
      </c>
    </row>
    <row r="255" spans="1:2" x14ac:dyDescent="0.3">
      <c r="A255" t="s">
        <v>516</v>
      </c>
      <c r="B255">
        <v>58</v>
      </c>
    </row>
    <row r="256" spans="1:2" x14ac:dyDescent="0.3">
      <c r="A256" t="s">
        <v>517</v>
      </c>
      <c r="B256">
        <v>59</v>
      </c>
    </row>
    <row r="257" spans="1:2" x14ac:dyDescent="0.3">
      <c r="A257" t="s">
        <v>518</v>
      </c>
      <c r="B257">
        <v>61</v>
      </c>
    </row>
    <row r="258" spans="1:2" x14ac:dyDescent="0.3">
      <c r="A258" t="s">
        <v>519</v>
      </c>
      <c r="B258">
        <v>62</v>
      </c>
    </row>
    <row r="259" spans="1:2" x14ac:dyDescent="0.3">
      <c r="A259" t="s">
        <v>520</v>
      </c>
      <c r="B259">
        <v>63</v>
      </c>
    </row>
    <row r="260" spans="1:2" x14ac:dyDescent="0.3">
      <c r="A260" t="s">
        <v>521</v>
      </c>
      <c r="B260">
        <v>64</v>
      </c>
    </row>
    <row r="261" spans="1:2" x14ac:dyDescent="0.3">
      <c r="A261" t="s">
        <v>522</v>
      </c>
      <c r="B261">
        <v>65</v>
      </c>
    </row>
    <row r="262" spans="1:2" x14ac:dyDescent="0.3">
      <c r="A262" t="s">
        <v>523</v>
      </c>
      <c r="B262">
        <v>67</v>
      </c>
    </row>
    <row r="263" spans="1:2" x14ac:dyDescent="0.3">
      <c r="A263" t="s">
        <v>524</v>
      </c>
      <c r="B263">
        <v>68</v>
      </c>
    </row>
    <row r="264" spans="1:2" x14ac:dyDescent="0.3">
      <c r="A264" t="s">
        <v>525</v>
      </c>
      <c r="B264">
        <v>69</v>
      </c>
    </row>
    <row r="265" spans="1:2" x14ac:dyDescent="0.3">
      <c r="A265" t="s">
        <v>526</v>
      </c>
      <c r="B265">
        <v>70</v>
      </c>
    </row>
    <row r="266" spans="1:2" x14ac:dyDescent="0.3">
      <c r="A266" t="s">
        <v>527</v>
      </c>
      <c r="B266">
        <v>71</v>
      </c>
    </row>
    <row r="267" spans="1:2" x14ac:dyDescent="0.3">
      <c r="A267" t="s">
        <v>529</v>
      </c>
      <c r="B267" t="s">
        <v>530</v>
      </c>
    </row>
    <row r="268" spans="1:2" x14ac:dyDescent="0.3">
      <c r="A268" t="s">
        <v>531</v>
      </c>
      <c r="B268" t="s">
        <v>532</v>
      </c>
    </row>
    <row r="269" spans="1:2" x14ac:dyDescent="0.3">
      <c r="A269" t="s">
        <v>533</v>
      </c>
      <c r="B269" t="s">
        <v>534</v>
      </c>
    </row>
    <row r="270" spans="1:2" x14ac:dyDescent="0.3">
      <c r="A270" t="s">
        <v>535</v>
      </c>
      <c r="B270" t="s">
        <v>536</v>
      </c>
    </row>
    <row r="271" spans="1:2" x14ac:dyDescent="0.3">
      <c r="A271" t="s">
        <v>537</v>
      </c>
      <c r="B271" t="s">
        <v>538</v>
      </c>
    </row>
    <row r="272" spans="1:2" x14ac:dyDescent="0.3">
      <c r="A272" t="s">
        <v>539</v>
      </c>
      <c r="B272" t="s">
        <v>540</v>
      </c>
    </row>
    <row r="273" spans="1:24" x14ac:dyDescent="0.3">
      <c r="A273" t="s">
        <v>541</v>
      </c>
      <c r="B273" t="s">
        <v>542</v>
      </c>
    </row>
    <row r="274" spans="1:24" x14ac:dyDescent="0.3">
      <c r="A274" t="s">
        <v>547</v>
      </c>
      <c r="B274" t="s">
        <v>23</v>
      </c>
      <c r="C274" t="s">
        <v>25</v>
      </c>
      <c r="D274" t="s">
        <v>73</v>
      </c>
      <c r="E274" t="s">
        <v>49</v>
      </c>
      <c r="F274" t="s">
        <v>67</v>
      </c>
      <c r="G274" t="s">
        <v>39</v>
      </c>
      <c r="H274" t="s">
        <v>65</v>
      </c>
      <c r="I274" t="s">
        <v>41</v>
      </c>
      <c r="J274" t="s">
        <v>55</v>
      </c>
      <c r="K274" t="s">
        <v>63</v>
      </c>
      <c r="L274" t="s">
        <v>15</v>
      </c>
      <c r="M274" t="s">
        <v>51</v>
      </c>
      <c r="N274" t="s">
        <v>69</v>
      </c>
      <c r="O274" t="s">
        <v>7</v>
      </c>
      <c r="P274" t="s">
        <v>45</v>
      </c>
      <c r="Q274" t="s">
        <v>47</v>
      </c>
      <c r="R274" t="s">
        <v>71</v>
      </c>
      <c r="S274" t="s">
        <v>21</v>
      </c>
      <c r="T274" t="s">
        <v>75</v>
      </c>
      <c r="U274" t="s">
        <v>19</v>
      </c>
      <c r="V274" t="s">
        <v>59</v>
      </c>
      <c r="W274" t="s">
        <v>11</v>
      </c>
      <c r="X274" t="s">
        <v>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F16"/>
  <sheetViews>
    <sheetView tabSelected="1" zoomScale="80" zoomScaleNormal="8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M5" sqref="AM5:AZ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13.5546875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0.33203125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132" t="s">
        <v>366</v>
      </c>
      <c r="B1" s="132"/>
      <c r="C1" s="132"/>
      <c r="D1" s="132"/>
      <c r="E1" s="132"/>
      <c r="F1" s="132"/>
      <c r="H1" s="120" t="s">
        <v>2</v>
      </c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E1" s="121" t="s">
        <v>3</v>
      </c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</row>
    <row r="2" spans="1:58" ht="30" customHeight="1" x14ac:dyDescent="0.3">
      <c r="A2" s="128" t="s">
        <v>93</v>
      </c>
      <c r="B2" s="129" t="s">
        <v>96</v>
      </c>
      <c r="C2" s="128" t="s">
        <v>102</v>
      </c>
      <c r="D2" s="129" t="s">
        <v>105</v>
      </c>
      <c r="E2" s="128" t="s">
        <v>108</v>
      </c>
      <c r="F2" s="129" t="s">
        <v>111</v>
      </c>
      <c r="H2" s="128" t="s">
        <v>310</v>
      </c>
      <c r="I2" s="129" t="s">
        <v>114</v>
      </c>
      <c r="J2" s="130" t="s">
        <v>117</v>
      </c>
      <c r="K2" s="130"/>
      <c r="L2" s="130"/>
      <c r="M2" s="130"/>
      <c r="N2" s="128" t="s">
        <v>130</v>
      </c>
      <c r="O2" s="129" t="s">
        <v>133</v>
      </c>
      <c r="P2" s="128" t="s">
        <v>24</v>
      </c>
      <c r="Q2" s="131" t="s">
        <v>142</v>
      </c>
      <c r="R2" s="131"/>
      <c r="S2" s="131"/>
      <c r="T2" s="131"/>
      <c r="U2" s="130" t="s">
        <v>153</v>
      </c>
      <c r="V2" s="130"/>
      <c r="W2" s="131" t="s">
        <v>160</v>
      </c>
      <c r="X2" s="131"/>
      <c r="Y2" s="131"/>
      <c r="Z2" s="130" t="s">
        <v>170</v>
      </c>
      <c r="AA2" s="130"/>
      <c r="AB2" s="131" t="s">
        <v>177</v>
      </c>
      <c r="AC2" s="131"/>
      <c r="AE2" s="128" t="s">
        <v>310</v>
      </c>
      <c r="AF2" s="129" t="s">
        <v>114</v>
      </c>
      <c r="AG2" s="130" t="s">
        <v>117</v>
      </c>
      <c r="AH2" s="130"/>
      <c r="AI2" s="130"/>
      <c r="AJ2" s="130"/>
      <c r="AK2" s="128" t="s">
        <v>192</v>
      </c>
      <c r="AL2" s="129" t="s">
        <v>133</v>
      </c>
      <c r="AM2" s="128" t="s">
        <v>24</v>
      </c>
      <c r="AN2" s="131" t="s">
        <v>142</v>
      </c>
      <c r="AO2" s="131"/>
      <c r="AP2" s="131"/>
      <c r="AQ2" s="131"/>
      <c r="AR2" s="130" t="s">
        <v>153</v>
      </c>
      <c r="AS2" s="130"/>
      <c r="AT2" s="131" t="s">
        <v>160</v>
      </c>
      <c r="AU2" s="131"/>
      <c r="AV2" s="131"/>
      <c r="AW2" s="130" t="s">
        <v>170</v>
      </c>
      <c r="AX2" s="130"/>
      <c r="AY2" s="131" t="s">
        <v>177</v>
      </c>
      <c r="AZ2" s="131"/>
      <c r="BB2" s="130" t="s">
        <v>357</v>
      </c>
      <c r="BC2" s="130"/>
      <c r="BD2" s="130"/>
      <c r="BE2" s="129" t="s">
        <v>232</v>
      </c>
      <c r="BF2" s="128" t="s">
        <v>232</v>
      </c>
    </row>
    <row r="3" spans="1:58" ht="29.4" thickBot="1" x14ac:dyDescent="0.35">
      <c r="A3" s="128"/>
      <c r="B3" s="129"/>
      <c r="C3" s="128"/>
      <c r="D3" s="129"/>
      <c r="E3" s="128"/>
      <c r="F3" s="129"/>
      <c r="H3" s="128"/>
      <c r="I3" s="129"/>
      <c r="J3" s="11" t="s">
        <v>118</v>
      </c>
      <c r="K3" s="11" t="s">
        <v>121</v>
      </c>
      <c r="L3" s="11" t="s">
        <v>124</v>
      </c>
      <c r="M3" s="11" t="s">
        <v>127</v>
      </c>
      <c r="N3" s="128"/>
      <c r="O3" s="129"/>
      <c r="P3" s="128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128"/>
      <c r="AF3" s="129"/>
      <c r="AG3" s="11" t="s">
        <v>118</v>
      </c>
      <c r="AH3" s="11" t="s">
        <v>121</v>
      </c>
      <c r="AI3" s="11" t="s">
        <v>124</v>
      </c>
      <c r="AJ3" s="11" t="s">
        <v>127</v>
      </c>
      <c r="AK3" s="128"/>
      <c r="AL3" s="129"/>
      <c r="AM3" s="128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129"/>
      <c r="BF3" s="128"/>
    </row>
    <row r="4" spans="1:58" ht="123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58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0.30296254432138492</v>
      </c>
      <c r="I5" s="17">
        <f>IF(OR(ISBLANK(Q5),ISBLANK(F5)),"·",Q5*F5/E5/1000000)</f>
        <v>212.71669499999999</v>
      </c>
      <c r="J5" s="18">
        <f>IF(ISBLANK(Q5),"·",Q5/C5)</f>
        <v>9.0888763296415469</v>
      </c>
      <c r="K5" s="18">
        <f>IF(N5="","·",N5/C5)</f>
        <v>1.4042282149566856</v>
      </c>
      <c r="L5" s="18">
        <f>IF(R5="","·",R5/C5)</f>
        <v>1.3246356473018854</v>
      </c>
      <c r="M5" s="18">
        <f>IF(ISBLANK(T5),"·",T5/C5)</f>
        <v>7.6846292077167186</v>
      </c>
      <c r="N5" s="15">
        <f>IF(OR(ISBLANK(R5),ISBLANK(S5)),"",R5+S5)</f>
        <v>35055632</v>
      </c>
      <c r="O5" s="18">
        <f>IF(ISBLANK(Q5),"·",Q5/P5)</f>
        <v>6.281437124753869</v>
      </c>
      <c r="P5" s="19">
        <v>36121958</v>
      </c>
      <c r="Q5" s="20">
        <v>226897808</v>
      </c>
      <c r="R5" s="20">
        <v>33068656</v>
      </c>
      <c r="S5" s="20">
        <v>1986976</v>
      </c>
      <c r="T5" s="20">
        <v>191841704</v>
      </c>
      <c r="U5" s="21" t="s">
        <v>571</v>
      </c>
      <c r="V5" s="21" t="s">
        <v>571</v>
      </c>
      <c r="W5" s="21" t="s">
        <v>571</v>
      </c>
      <c r="X5" s="21" t="s">
        <v>571</v>
      </c>
      <c r="Y5" s="21" t="s">
        <v>571</v>
      </c>
      <c r="Z5" s="22">
        <v>6215.94</v>
      </c>
      <c r="AA5" s="22">
        <v>5808.02</v>
      </c>
      <c r="AB5" s="22">
        <v>4.7720000000000002</v>
      </c>
      <c r="AC5" s="22">
        <v>22.356999999999999</v>
      </c>
      <c r="AE5" s="23">
        <f>IF(ISBLANK(AN5),"·",AN5/(C5*D5*3))</f>
        <v>0.30160974540979607</v>
      </c>
      <c r="AF5" s="17">
        <f>IF(OR(ISBLANK(AN5),ISBLANK(F5)),"·",AN5*F5/E5/1000000)</f>
        <v>211.766865</v>
      </c>
      <c r="AG5" s="18">
        <f>IF(ISBLANK(AN5),"·",AN5/C5)</f>
        <v>9.048292362293882</v>
      </c>
      <c r="AH5" s="18">
        <f>IF(AK5="","·",AK5/C5)</f>
        <v>1.4027223871040697</v>
      </c>
      <c r="AI5" s="18">
        <f>IF(AO5="","·",AO5/C5)</f>
        <v>1.3231525719024588</v>
      </c>
      <c r="AJ5" s="18">
        <f>IF(ISBLANK(AQ5),"·",AQ5/C5)</f>
        <v>7.6455507477645819</v>
      </c>
      <c r="AK5" s="15">
        <f>IF(OR(ISBLANK(AO5),ISBLANK(AP5)),"",AO5+AP5)</f>
        <v>35018040</v>
      </c>
      <c r="AL5" s="18">
        <f>IF(ISBLANK(AN5),"·",AN5/AM5)</f>
        <v>9.048292362293882</v>
      </c>
      <c r="AM5" s="19">
        <v>24964341</v>
      </c>
      <c r="AN5" s="20">
        <v>225884656</v>
      </c>
      <c r="AO5" s="20">
        <v>33031632</v>
      </c>
      <c r="AP5" s="20">
        <v>1986408</v>
      </c>
      <c r="AQ5" s="20">
        <v>190866136</v>
      </c>
      <c r="AR5" s="21" t="s">
        <v>571</v>
      </c>
      <c r="AS5" s="21" t="s">
        <v>571</v>
      </c>
      <c r="AT5" s="21" t="s">
        <v>571</v>
      </c>
      <c r="AU5" s="21" t="s">
        <v>571</v>
      </c>
      <c r="AV5" s="21" t="s">
        <v>571</v>
      </c>
      <c r="AW5" s="22">
        <v>2865.79</v>
      </c>
      <c r="AX5" s="22">
        <v>5776.61</v>
      </c>
      <c r="AY5" s="22">
        <v>3.278</v>
      </c>
      <c r="AZ5" s="22">
        <v>23.407</v>
      </c>
      <c r="BB5" s="24">
        <f t="shared" ref="BB5:BB12" si="0">AG5/J5</f>
        <v>0.99553476514854666</v>
      </c>
      <c r="BC5" s="24">
        <f>AI5/L5</f>
        <v>0.99888038993783124</v>
      </c>
      <c r="BD5" s="24">
        <f t="shared" ref="BC5:BD12" si="1">AJ5/M5</f>
        <v>0.99491472406854775</v>
      </c>
      <c r="BE5" s="23">
        <f>(AK5/AN5) - (N5/Q5)</f>
        <v>5.2655028390299896E-4</v>
      </c>
      <c r="BF5" s="23">
        <f t="array" ref="BF5">AVERAGE(AK5:AK5/AN5:AN5) - AVERAGE(N5:N5/Q5:Q5)</f>
        <v>5.2655028390299896E-4</v>
      </c>
    </row>
    <row r="6" spans="1:58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0.43140370894648367</v>
      </c>
      <c r="I6" s="27">
        <f>IF(OR(ISBLANK(Q6),ISBLANK(F6)),"·",Q6*F6/E6/1000000)</f>
        <v>274.87574999999998</v>
      </c>
      <c r="J6" s="28">
        <f>IF(ISBLANK(Q6),"·",Q6/C6)</f>
        <v>12.942111268394511</v>
      </c>
      <c r="K6" s="28">
        <f>IF(N6="","·",N6/C6)</f>
        <v>1.7194948052705323</v>
      </c>
      <c r="L6" s="28">
        <f>IF(R6="","·",R6/C6)</f>
        <v>1.6024560634839724</v>
      </c>
      <c r="M6" s="28">
        <f>IF(ISBLANK(T6),"·",T6/C6)</f>
        <v>11.222595628677009</v>
      </c>
      <c r="N6" s="25">
        <f>IF(OR(ISBLANK(R6),ISBLANK(S6)),"",R6+S6)</f>
        <v>38954792</v>
      </c>
      <c r="O6" s="28">
        <f>IF(ISBLANK(Q6),"·",Q6/P6)</f>
        <v>9.1989747877245094</v>
      </c>
      <c r="P6" s="29">
        <v>31873204</v>
      </c>
      <c r="Q6" s="30">
        <v>293200800</v>
      </c>
      <c r="R6" s="30">
        <v>36303304</v>
      </c>
      <c r="S6" s="30">
        <v>2651488</v>
      </c>
      <c r="T6" s="30">
        <v>254245536</v>
      </c>
      <c r="U6" s="31" t="s">
        <v>571</v>
      </c>
      <c r="V6" s="31" t="s">
        <v>571</v>
      </c>
      <c r="W6" s="31" t="s">
        <v>571</v>
      </c>
      <c r="X6" s="31" t="s">
        <v>571</v>
      </c>
      <c r="Y6" s="31" t="s">
        <v>571</v>
      </c>
      <c r="Z6" s="32">
        <v>5696.52</v>
      </c>
      <c r="AA6" s="32">
        <v>6218.56</v>
      </c>
      <c r="AB6" s="32">
        <v>4.056</v>
      </c>
      <c r="AC6" s="32">
        <v>24.629000000000001</v>
      </c>
      <c r="AE6" s="33">
        <f>IF(ISBLANK(AN6),"·",AN6/(C6*D6*3))</f>
        <v>0.43134470155515464</v>
      </c>
      <c r="AF6" s="27">
        <f>IF(OR(ISBLANK(AN6),ISBLANK(F6)),"·",AN6*F6/E6/1000000)</f>
        <v>274.83815249999998</v>
      </c>
      <c r="AG6" s="28">
        <f>IF(ISBLANK(AN6),"·",AN6/C6)</f>
        <v>12.940341046654639</v>
      </c>
      <c r="AH6" s="28">
        <f>IF(AK6="","·",AK6/C6)</f>
        <v>1.7195156397175009</v>
      </c>
      <c r="AI6" s="28">
        <f>IF(AO6="","·",AO6/C6)</f>
        <v>1.6022424221209917</v>
      </c>
      <c r="AJ6" s="28">
        <f>IF(ISBLANK(AQ6),"·",AQ6/C6)</f>
        <v>11.22080421936395</v>
      </c>
      <c r="AK6" s="25">
        <f>IF(OR(ISBLANK(AO6),ISBLANK(AP6)),"",AO6+AP6)</f>
        <v>38955264</v>
      </c>
      <c r="AL6" s="28">
        <f>IF(ISBLANK(AN6),"·",AN6/AM6)</f>
        <v>12.940341046654639</v>
      </c>
      <c r="AM6" s="29">
        <v>22654789</v>
      </c>
      <c r="AN6" s="30">
        <v>293160696</v>
      </c>
      <c r="AO6" s="30">
        <v>36298464</v>
      </c>
      <c r="AP6" s="30">
        <v>2656800</v>
      </c>
      <c r="AQ6" s="30">
        <v>254204952</v>
      </c>
      <c r="AR6" s="31" t="s">
        <v>571</v>
      </c>
      <c r="AS6" s="31" t="s">
        <v>571</v>
      </c>
      <c r="AT6" s="31" t="s">
        <v>571</v>
      </c>
      <c r="AU6" s="31" t="s">
        <v>571</v>
      </c>
      <c r="AV6" s="31" t="s">
        <v>571</v>
      </c>
      <c r="AW6" s="32">
        <v>2605.5300000000002</v>
      </c>
      <c r="AX6" s="32">
        <v>6181.88</v>
      </c>
      <c r="AY6" s="32">
        <v>3.0150000000000001</v>
      </c>
      <c r="AZ6" s="32">
        <v>25.039000000000001</v>
      </c>
      <c r="BB6" s="34">
        <f t="shared" si="0"/>
        <v>0.99986322001849925</v>
      </c>
      <c r="BC6" s="34">
        <f t="shared" si="1"/>
        <v>0.99986667880146662</v>
      </c>
      <c r="BD6" s="34">
        <f t="shared" si="1"/>
        <v>0.99984037477849763</v>
      </c>
      <c r="BE6" s="33">
        <f>(AK6/AN6) - (N6/Q6)</f>
        <v>1.9785175189801496E-5</v>
      </c>
      <c r="BF6" s="33">
        <f t="array" ref="BF6">AVERAGE(AK6:AK6/AN6:AN6) - AVERAGE(N6:N6/Q6:Q6)</f>
        <v>1.9785175189801496E-5</v>
      </c>
    </row>
    <row r="7" spans="1:58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0.34571314238755801</v>
      </c>
      <c r="I7" s="17">
        <f>IF(OR(ISBLANK(Q7),ISBLANK(F7)),"·",Q7*F7/E7/1000000)</f>
        <v>330.07984499999998</v>
      </c>
      <c r="J7" s="18">
        <f>IF(ISBLANK(Q7),"·",Q7/C7)</f>
        <v>10.371394271626741</v>
      </c>
      <c r="K7" s="18">
        <f>IF(N7="","·",N7/C7)</f>
        <v>1.6171987760708981</v>
      </c>
      <c r="L7" s="18">
        <f>IF(R7="","·",R7/C7)</f>
        <v>1.5066751762224488</v>
      </c>
      <c r="M7" s="18">
        <f>IF(ISBLANK(T7),"·",T7/C7)</f>
        <v>8.7541815918230501</v>
      </c>
      <c r="N7" s="15">
        <f>IF(OR(ISBLANK(R7),ISBLANK(S7)),"",R7+S7)</f>
        <v>54900208</v>
      </c>
      <c r="O7" s="18">
        <f>IF(ISBLANK(Q7),"·",Q7/P7)</f>
        <v>7.4328752165699852</v>
      </c>
      <c r="P7" s="19">
        <v>47368637</v>
      </c>
      <c r="Q7" s="20">
        <v>352085168</v>
      </c>
      <c r="R7" s="20">
        <v>51148184</v>
      </c>
      <c r="S7" s="20">
        <v>3752024</v>
      </c>
      <c r="T7" s="20">
        <v>297184488</v>
      </c>
      <c r="U7" s="21" t="s">
        <v>571</v>
      </c>
      <c r="V7" s="21" t="s">
        <v>571</v>
      </c>
      <c r="W7" s="21" t="s">
        <v>571</v>
      </c>
      <c r="X7" s="21" t="s">
        <v>571</v>
      </c>
      <c r="Y7" s="21" t="s">
        <v>571</v>
      </c>
      <c r="Z7" s="22">
        <v>8459.8799999999992</v>
      </c>
      <c r="AA7" s="22">
        <v>8019.24</v>
      </c>
      <c r="AB7" s="22">
        <v>5.2809999999999997</v>
      </c>
      <c r="AC7" s="22">
        <v>26.850999999999999</v>
      </c>
      <c r="AE7" s="23">
        <f>IF(ISBLANK(AN7),"·",AN7/(C7*D7*3))</f>
        <v>0.34476983303168324</v>
      </c>
      <c r="AF7" s="17">
        <f>IF(OR(ISBLANK(AN7),ISBLANK(F7)),"·",AN7*F7/E7/1000000)</f>
        <v>329.1791925</v>
      </c>
      <c r="AG7" s="18">
        <f>IF(ISBLANK(AN7),"·",AN7/C7)</f>
        <v>10.343094990950496</v>
      </c>
      <c r="AH7" s="18">
        <f>IF(AK7="","·",AK7/C7)</f>
        <v>1.6132621344386093</v>
      </c>
      <c r="AI7" s="18">
        <f>IF(AO7="","·",AO7/C7)</f>
        <v>1.5027218029795111</v>
      </c>
      <c r="AJ7" s="18">
        <f>IF(ISBLANK(AQ7),"·",AQ7/C7)</f>
        <v>8.7298187171226065</v>
      </c>
      <c r="AK7" s="15">
        <f>IF(OR(ISBLANK(AO7),ISBLANK(AP7)),"",AO7+AP7)</f>
        <v>54766568</v>
      </c>
      <c r="AL7" s="18">
        <f>IF(ISBLANK(AN7),"·",AN7/AM7)</f>
        <v>10.343094990950496</v>
      </c>
      <c r="AM7" s="19">
        <v>33947718</v>
      </c>
      <c r="AN7" s="20">
        <v>351124472</v>
      </c>
      <c r="AO7" s="20">
        <v>51013976</v>
      </c>
      <c r="AP7" s="20">
        <v>3752592</v>
      </c>
      <c r="AQ7" s="20">
        <v>296357424</v>
      </c>
      <c r="AR7" s="21" t="s">
        <v>571</v>
      </c>
      <c r="AS7" s="21" t="s">
        <v>571</v>
      </c>
      <c r="AT7" s="21" t="s">
        <v>571</v>
      </c>
      <c r="AU7" s="21" t="s">
        <v>571</v>
      </c>
      <c r="AV7" s="21" t="s">
        <v>571</v>
      </c>
      <c r="AW7" s="22">
        <v>3893.46</v>
      </c>
      <c r="AX7" s="22">
        <v>8175.01</v>
      </c>
      <c r="AY7" s="22">
        <v>4.41</v>
      </c>
      <c r="AZ7" s="22">
        <v>28.829000000000001</v>
      </c>
      <c r="BB7" s="24">
        <f t="shared" si="0"/>
        <v>0.997271410194706</v>
      </c>
      <c r="BC7" s="24">
        <f t="shared" si="1"/>
        <v>0.997376094525663</v>
      </c>
      <c r="BD7" s="24">
        <f t="shared" si="1"/>
        <v>0.99721700144726266</v>
      </c>
      <c r="BE7" s="23">
        <f>(AK7/AN7) - (N7/Q7)</f>
        <v>4.6023986209980938E-5</v>
      </c>
      <c r="BF7" s="23">
        <f t="array" ref="BF7">AVERAGE(AK7:AK7/AN7:AN7) - AVERAGE(N7:N7/Q7:Q7)</f>
        <v>4.6023986209980938E-5</v>
      </c>
    </row>
    <row r="8" spans="1:58" ht="15" collapsed="1" thickBot="1" x14ac:dyDescent="0.3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0.29033210126958975</v>
      </c>
      <c r="I8" s="47">
        <f>IF(OR(ISBLANK(Q8),ISBLANK(F8)),"·",Q8*F8/E8/1000000)</f>
        <v>438.35124999999999</v>
      </c>
      <c r="J8" s="48">
        <f>IF(ISBLANK(Q8),"·",Q8/C8)</f>
        <v>8.7099630380876931</v>
      </c>
      <c r="K8" s="48">
        <f>IF(N8="","·",N8/C8)</f>
        <v>1.1550871271687178</v>
      </c>
      <c r="L8" s="48">
        <f>IF(R8="","·",R8/C8)</f>
        <v>1.0490296958584733</v>
      </c>
      <c r="M8" s="48">
        <f>IF(ISBLANK(T8),"·",T8/C8)</f>
        <v>7.5548612569223446</v>
      </c>
      <c r="N8" s="45">
        <f>IF(OR(ISBLANK(R8),ISBLANK(S8)),"",R8+S8)</f>
        <v>37204944</v>
      </c>
      <c r="O8" s="48">
        <f>IF(ISBLANK(Q8),"·",Q8/P8)</f>
        <v>7.3988736150063277</v>
      </c>
      <c r="P8" s="49">
        <v>37917231</v>
      </c>
      <c r="Q8" s="50">
        <v>280544800</v>
      </c>
      <c r="R8" s="50">
        <v>33788872</v>
      </c>
      <c r="S8" s="50">
        <v>3416072</v>
      </c>
      <c r="T8" s="50">
        <v>243339384</v>
      </c>
      <c r="U8" s="51" t="s">
        <v>571</v>
      </c>
      <c r="V8" s="51" t="s">
        <v>571</v>
      </c>
      <c r="W8" s="51" t="s">
        <v>571</v>
      </c>
      <c r="X8" s="51" t="s">
        <v>571</v>
      </c>
      <c r="Y8" s="51" t="s">
        <v>571</v>
      </c>
      <c r="Z8" s="52">
        <v>8135.03</v>
      </c>
      <c r="AA8" s="52">
        <v>6254.51</v>
      </c>
      <c r="AB8" s="52">
        <v>4.9880000000000004</v>
      </c>
      <c r="AC8" s="52">
        <v>24.433</v>
      </c>
      <c r="AE8" s="53">
        <f>IF(ISBLANK(AN8),"·",AN8/(C8*D8*3))</f>
        <v>0.27305590854680795</v>
      </c>
      <c r="AF8" s="47">
        <f>IF(OR(ISBLANK(AN8),ISBLANK(F8)),"·",AN8*F8/E8/1000000)</f>
        <v>412.26718749999998</v>
      </c>
      <c r="AG8" s="48">
        <f>IF(ISBLANK(AN8),"·",AN8/C8)</f>
        <v>8.1916772564042386</v>
      </c>
      <c r="AH8" s="48">
        <f>IF(AK8="","·",AK8/C8)</f>
        <v>1.1131255320029472</v>
      </c>
      <c r="AI8" s="48">
        <f>IF(AO8="","·",AO8/C8)</f>
        <v>1.0073996784130765</v>
      </c>
      <c r="AJ8" s="48">
        <f>IF(ISBLANK(AQ8),"·",AQ8/C8)</f>
        <v>7.078536822031837</v>
      </c>
      <c r="AK8" s="45">
        <f>IF(OR(ISBLANK(AO8),ISBLANK(AP8)),"",AO8+AP8)</f>
        <v>35853376</v>
      </c>
      <c r="AL8" s="48">
        <f>IF(ISBLANK(AN8),"·",AN8/AM8)</f>
        <v>8.1916772564042386</v>
      </c>
      <c r="AM8" s="49">
        <v>32209643</v>
      </c>
      <c r="AN8" s="50">
        <v>263851000</v>
      </c>
      <c r="AO8" s="50">
        <v>32447984</v>
      </c>
      <c r="AP8" s="50">
        <v>3405392</v>
      </c>
      <c r="AQ8" s="50">
        <v>227997144</v>
      </c>
      <c r="AR8" s="51" t="s">
        <v>571</v>
      </c>
      <c r="AS8" s="51" t="s">
        <v>571</v>
      </c>
      <c r="AT8" s="51" t="s">
        <v>571</v>
      </c>
      <c r="AU8" s="51" t="s">
        <v>571</v>
      </c>
      <c r="AV8" s="51" t="s">
        <v>571</v>
      </c>
      <c r="AW8" s="52">
        <v>3814.75</v>
      </c>
      <c r="AX8" s="52">
        <v>6079.78</v>
      </c>
      <c r="AY8" s="52">
        <v>3.6760000000000002</v>
      </c>
      <c r="AZ8" s="52">
        <v>23.852</v>
      </c>
      <c r="BB8" s="54">
        <f t="shared" si="0"/>
        <v>0.94049506531577132</v>
      </c>
      <c r="BC8" s="54">
        <f t="shared" si="1"/>
        <v>0.9603156921012338</v>
      </c>
      <c r="BD8" s="54">
        <f t="shared" si="1"/>
        <v>0.93695126638440085</v>
      </c>
      <c r="BE8" s="53">
        <f>(AK8/AN8) - (N8/Q8)</f>
        <v>3.2681693935227851E-3</v>
      </c>
      <c r="BF8" s="53">
        <f t="array" ref="BF8">AVERAGE(AK8:AK8/AN8:AN8) - AVERAGE(N8:N8/Q8:Q8)</f>
        <v>3.2681693935227851E-3</v>
      </c>
    </row>
    <row r="9" spans="1:58" ht="15" collapsed="1" thickBot="1" x14ac:dyDescent="0.3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0.50584625005517714</v>
      </c>
      <c r="I9" s="37">
        <f>IF(OR(ISBLANK(Q9),ISBLANK(F9)),"·",Q9*F9/E9/1000000)</f>
        <v>360.11775</v>
      </c>
      <c r="J9" s="38">
        <f>IF(ISBLANK(Q9),"·",Q9/C9)</f>
        <v>15.175387501655315</v>
      </c>
      <c r="K9" s="38">
        <f>IF(N9="","·",N9/C9)</f>
        <v>1.5678072192894488</v>
      </c>
      <c r="L9" s="38">
        <f>IF(R9="","·",R9/C9)</f>
        <v>1.4751026453113429</v>
      </c>
      <c r="M9" s="38">
        <f>IF(ISBLANK(T9),"·",T9/C9)</f>
        <v>13.607561635384512</v>
      </c>
      <c r="N9" s="35">
        <f>IF(OR(ISBLANK(R9),ISBLANK(S9)),"",R9+S9)</f>
        <v>39684976</v>
      </c>
      <c r="O9" s="38">
        <f>IF(ISBLANK(Q9),"·",Q9/P9)</f>
        <v>10.744084707084612</v>
      </c>
      <c r="P9" s="39">
        <v>35752287</v>
      </c>
      <c r="Q9" s="40">
        <v>384125600</v>
      </c>
      <c r="R9" s="40">
        <v>37338400</v>
      </c>
      <c r="S9" s="40">
        <v>2346576</v>
      </c>
      <c r="T9" s="40">
        <v>344440152</v>
      </c>
      <c r="U9" s="41" t="s">
        <v>571</v>
      </c>
      <c r="V9" s="41" t="s">
        <v>571</v>
      </c>
      <c r="W9" s="41" t="s">
        <v>571</v>
      </c>
      <c r="X9" s="41" t="s">
        <v>571</v>
      </c>
      <c r="Y9" s="41" t="s">
        <v>571</v>
      </c>
      <c r="Z9" s="42">
        <v>6358.24</v>
      </c>
      <c r="AA9" s="42">
        <v>6782.49</v>
      </c>
      <c r="AB9" s="42">
        <v>4.8529999999999998</v>
      </c>
      <c r="AC9" s="42">
        <v>28.763000000000002</v>
      </c>
      <c r="AE9" s="43">
        <f>IF(ISBLANK(AN9),"·",AN9/(C9*D9*3))</f>
        <v>0.50636179168203466</v>
      </c>
      <c r="AF9" s="37">
        <f>IF(OR(ISBLANK(AN9),ISBLANK(F9)),"·",AN9*F9/E9/1000000)</f>
        <v>360.48477000000003</v>
      </c>
      <c r="AG9" s="38">
        <f>IF(ISBLANK(AN9),"·",AN9/C9)</f>
        <v>15.190853750461038</v>
      </c>
      <c r="AH9" s="38">
        <f>IF(AK9="","·",AK9/C9)</f>
        <v>1.564466565172306</v>
      </c>
      <c r="AI9" s="38">
        <f>IF(AO9="","·",AO9/C9)</f>
        <v>1.4723868230948236</v>
      </c>
      <c r="AJ9" s="38">
        <f>IF(ISBLANK(AQ9),"·",AQ9/C9)</f>
        <v>13.626368222256847</v>
      </c>
      <c r="AK9" s="35">
        <f>IF(OR(ISBLANK(AO9),ISBLANK(AP9)),"",AO9+AP9)</f>
        <v>39600416</v>
      </c>
      <c r="AL9" s="38">
        <f>IF(ISBLANK(AN9),"·",AN9/AM9)</f>
        <v>15.190853750461038</v>
      </c>
      <c r="AM9" s="39">
        <v>25312408</v>
      </c>
      <c r="AN9" s="40">
        <v>384517088</v>
      </c>
      <c r="AO9" s="40">
        <v>37269656</v>
      </c>
      <c r="AP9" s="40">
        <v>2330760</v>
      </c>
      <c r="AQ9" s="40">
        <v>344916192</v>
      </c>
      <c r="AR9" s="41" t="s">
        <v>571</v>
      </c>
      <c r="AS9" s="41" t="s">
        <v>571</v>
      </c>
      <c r="AT9" s="41" t="s">
        <v>571</v>
      </c>
      <c r="AU9" s="41" t="s">
        <v>571</v>
      </c>
      <c r="AV9" s="41" t="s">
        <v>571</v>
      </c>
      <c r="AW9" s="42">
        <v>2925.04</v>
      </c>
      <c r="AX9" s="42">
        <v>6743.74</v>
      </c>
      <c r="AY9" s="42">
        <v>3.27</v>
      </c>
      <c r="AZ9" s="42">
        <v>27.914999999999999</v>
      </c>
      <c r="BB9" s="44">
        <f t="shared" si="0"/>
        <v>1.0010191666475756</v>
      </c>
      <c r="BC9" s="44">
        <f t="shared" si="1"/>
        <v>0.998158892721702</v>
      </c>
      <c r="BD9" s="44">
        <f t="shared" si="1"/>
        <v>1.0013820688361559</v>
      </c>
      <c r="BE9" s="43">
        <f>(AK9/AN9) - (N9/Q9)</f>
        <v>-3.2509765586553885E-4</v>
      </c>
      <c r="BF9" s="43">
        <f t="array" ref="BF9">AVERAGE(AK9:AK9/AN9:AN9) - AVERAGE(N9:N9/Q9:Q9)</f>
        <v>-3.2509765586553885E-4</v>
      </c>
    </row>
    <row r="10" spans="1:58" x14ac:dyDescent="0.3">
      <c r="B10" s="55" t="s">
        <v>288</v>
      </c>
      <c r="J10" s="56">
        <f>AVERAGE(J5:J8)</f>
        <v>10.278086226937623</v>
      </c>
      <c r="K10" s="56">
        <f>AVERAGE(K5:K8)</f>
        <v>1.4740022308667085</v>
      </c>
      <c r="L10" s="56">
        <f>AVERAGE(L5:L8)</f>
        <v>1.3706991457166948</v>
      </c>
      <c r="M10" s="56">
        <f>AVERAGE(M5:M8)</f>
        <v>8.8040669212847806</v>
      </c>
      <c r="AG10" s="56">
        <f>AVERAGE(AG5:AG8)</f>
        <v>10.130851414075815</v>
      </c>
      <c r="AH10" s="56">
        <f>AVERAGE(AH5:AH8)</f>
        <v>1.4621564233157818</v>
      </c>
      <c r="AI10" s="56">
        <f>AVERAGE(AI5:AI8)</f>
        <v>1.3588791188540095</v>
      </c>
      <c r="AJ10" s="56">
        <f>AVERAGE(AJ5:AJ8)</f>
        <v>8.6686776265707444</v>
      </c>
      <c r="BB10" s="5">
        <f t="shared" si="0"/>
        <v>0.98567488055549457</v>
      </c>
      <c r="BC10" s="5">
        <f t="shared" si="1"/>
        <v>0.99137664388307101</v>
      </c>
      <c r="BD10" s="5">
        <f t="shared" si="1"/>
        <v>0.98462195983691148</v>
      </c>
      <c r="BF10" s="8">
        <f>AVERAGE(BF5:BF8)</f>
        <v>9.6513220970639163E-4</v>
      </c>
    </row>
    <row r="11" spans="1:58" x14ac:dyDescent="0.3">
      <c r="B11" s="55" t="s">
        <v>289</v>
      </c>
      <c r="J11" s="56">
        <f>AVERAGE(J9:J9)</f>
        <v>15.175387501655315</v>
      </c>
      <c r="K11" s="56">
        <f>AVERAGE(K9:K9)</f>
        <v>1.5678072192894488</v>
      </c>
      <c r="L11" s="56">
        <f>AVERAGE(L9:L9)</f>
        <v>1.4751026453113429</v>
      </c>
      <c r="M11" s="56">
        <f>AVERAGE(M9:M9)</f>
        <v>13.607561635384512</v>
      </c>
      <c r="AG11" s="56">
        <f>AVERAGE(AG9:AG9)</f>
        <v>15.190853750461038</v>
      </c>
      <c r="AH11" s="56">
        <f>AVERAGE(AH9:AH9)</f>
        <v>1.564466565172306</v>
      </c>
      <c r="AI11" s="56">
        <f>AVERAGE(AI9:AI9)</f>
        <v>1.4723868230948236</v>
      </c>
      <c r="AJ11" s="56">
        <f>AVERAGE(AJ9:AJ9)</f>
        <v>13.626368222256847</v>
      </c>
      <c r="BB11" s="5">
        <f t="shared" si="0"/>
        <v>1.0010191666475756</v>
      </c>
      <c r="BC11" s="5">
        <f t="shared" si="1"/>
        <v>0.998158892721702</v>
      </c>
      <c r="BD11" s="5">
        <f t="shared" si="1"/>
        <v>1.0013820688361559</v>
      </c>
      <c r="BF11" s="8">
        <f>AVERAGE(BF9:BF9)</f>
        <v>-3.2509765586553885E-4</v>
      </c>
    </row>
    <row r="12" spans="1:58" x14ac:dyDescent="0.3">
      <c r="B12" s="55" t="s">
        <v>290</v>
      </c>
      <c r="J12" s="56">
        <f>AVERAGE(J5:J9)</f>
        <v>11.25754648188116</v>
      </c>
      <c r="K12" s="56">
        <f>AVERAGE(K5:K9)</f>
        <v>1.4927632285512566</v>
      </c>
      <c r="L12" s="56">
        <f>AVERAGE(L5:L9)</f>
        <v>1.3915798456356243</v>
      </c>
      <c r="M12" s="56">
        <f>AVERAGE(M5:M9)</f>
        <v>9.7647658641047279</v>
      </c>
      <c r="AG12" s="56">
        <f>AVERAGE(AG5:AG9)</f>
        <v>11.142851881352859</v>
      </c>
      <c r="AH12" s="56">
        <f>AVERAGE(AH5:AH9)</f>
        <v>1.4826184516870866</v>
      </c>
      <c r="AI12" s="56">
        <f>AVERAGE(AI5:AI9)</f>
        <v>1.3815806597021723</v>
      </c>
      <c r="AJ12" s="56">
        <f>AVERAGE(AJ5:AJ9)</f>
        <v>9.6602157457079638</v>
      </c>
      <c r="BB12" s="5">
        <f t="shared" si="0"/>
        <v>0.9898117586533709</v>
      </c>
      <c r="BC12" s="5">
        <f t="shared" si="1"/>
        <v>0.99281450793871995</v>
      </c>
      <c r="BD12" s="5">
        <f t="shared" si="1"/>
        <v>0.98929312593340413</v>
      </c>
      <c r="BF12" s="8">
        <f>AVERAGE(BF5:BF9)</f>
        <v>7.0708623659200553E-4</v>
      </c>
    </row>
    <row r="13" spans="1:58" hidden="1" outlineLevel="2" x14ac:dyDescent="0.3">
      <c r="A13" s="55" t="s">
        <v>291</v>
      </c>
      <c r="B13" s="55" t="s">
        <v>292</v>
      </c>
      <c r="Z13" s="57">
        <f>SUM(Z5:Z8,Z9:Z9)</f>
        <v>34865.609999999993</v>
      </c>
      <c r="AA13" s="57">
        <f>SUM(AA5:AA8,AA9:AA9)</f>
        <v>33082.82</v>
      </c>
      <c r="AB13" s="57">
        <f>SUM(AB5:AB8,AB9:AB9)</f>
        <v>23.949999999999996</v>
      </c>
      <c r="AC13" s="57">
        <f>SUM(AC5:AC8,AC9:AC9)</f>
        <v>127.03300000000002</v>
      </c>
      <c r="AW13" s="57">
        <f>SUM(AW5:AW8,AW9:AW9)</f>
        <v>16104.57</v>
      </c>
      <c r="AX13" s="57">
        <f>SUM(AX5:AX8,AX9:AX9)</f>
        <v>32957.019999999997</v>
      </c>
      <c r="AY13" s="57">
        <f>SUM(AY5:AY8,AY9:AY9)</f>
        <v>17.649000000000001</v>
      </c>
      <c r="AZ13" s="57">
        <f>SUM(AZ5:AZ8,AZ9:AZ9)</f>
        <v>129.042</v>
      </c>
    </row>
    <row r="14" spans="1:58" hidden="1" outlineLevel="2" x14ac:dyDescent="0.3">
      <c r="B14" s="55" t="s">
        <v>293</v>
      </c>
      <c r="AW14" s="8">
        <f>AW13/Z13</f>
        <v>0.46190415139732255</v>
      </c>
      <c r="AX14" s="8">
        <f>AX13/AA13</f>
        <v>0.99619742210609608</v>
      </c>
      <c r="AY14" s="8">
        <f>AY13/AB13</f>
        <v>0.73691022964509412</v>
      </c>
      <c r="AZ14" s="8">
        <f>AZ13/AC13</f>
        <v>1.0158147882833592</v>
      </c>
    </row>
    <row r="15" spans="1:58" hidden="1" outlineLevel="2" x14ac:dyDescent="0.3">
      <c r="B15" s="55" t="s">
        <v>294</v>
      </c>
      <c r="Z15" s="57">
        <f>GEOMEAN(Z5:Z8,Z9:Z9)</f>
        <v>6887.0834252472769</v>
      </c>
      <c r="AA15" s="57">
        <f>GEOMEAN(AA5:AA8,AA9:AA9)</f>
        <v>6574.8631735711733</v>
      </c>
      <c r="AB15" s="57">
        <f>GEOMEAN(AB5:AB8,AB9:AB9)</f>
        <v>4.771888165970509</v>
      </c>
      <c r="AC15" s="57">
        <f>GEOMEAN(AC5:AC8,AC9:AC9)</f>
        <v>25.311993440898778</v>
      </c>
      <c r="AW15" s="57">
        <f>GEOMEAN(AW5:AW8,AW9:AW9)</f>
        <v>3178.4457983561847</v>
      </c>
      <c r="AX15" s="57">
        <f>GEOMEAN(AX5:AX8,AX9:AX9)</f>
        <v>6540.5477201006852</v>
      </c>
      <c r="AY15" s="57">
        <f>GEOMEAN(AY5:AY8,AY9:AY9)</f>
        <v>3.498256277331</v>
      </c>
      <c r="AZ15" s="57">
        <f>GEOMEAN(AZ5:AZ8,AZ9:AZ9)</f>
        <v>25.717630321836552</v>
      </c>
    </row>
    <row r="16" spans="1:58" outlineLevel="2" collapsed="1" x14ac:dyDescent="0.3">
      <c r="B16" s="55" t="s">
        <v>295</v>
      </c>
      <c r="AW16" s="8">
        <f>AW15/Z15</f>
        <v>0.46150824697496157</v>
      </c>
      <c r="AX16" s="8">
        <f>AX15/AA15</f>
        <v>0.99478081101239868</v>
      </c>
      <c r="AY16" s="8">
        <f>AY15/AB15</f>
        <v>0.733096869762773</v>
      </c>
      <c r="AZ16" s="8">
        <f>AZ15/AC15</f>
        <v>1.0160254814337282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47" priority="5" operator="greaterThanOrEqual">
      <formula>1.03</formula>
    </cfRule>
    <cfRule type="cellIs" dxfId="46" priority="6" operator="lessThanOrEqual">
      <formula>0.97</formula>
    </cfRule>
  </conditionalFormatting>
  <conditionalFormatting sqref="BC10 BC11 BC12">
    <cfRule type="cellIs" dxfId="45" priority="3" operator="greaterThanOrEqual">
      <formula>1.03</formula>
    </cfRule>
    <cfRule type="cellIs" dxfId="44" priority="4" operator="lessThanOrEqual">
      <formula>0.97</formula>
    </cfRule>
  </conditionalFormatting>
  <conditionalFormatting sqref="BD10 BD11 BD12">
    <cfRule type="cellIs" dxfId="43" priority="1" operator="greaterThanOrEqual">
      <formula>1.03</formula>
    </cfRule>
    <cfRule type="cellIs" dxfId="42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F16"/>
  <sheetViews>
    <sheetView zoomScale="90" zoomScaleNormal="90" workbookViewId="0">
      <pane xSplit="2" ySplit="4" topLeftCell="AC5" activePane="bottomRight" state="frozen"/>
      <selection pane="topRight" activeCell="C1" sqref="C1"/>
      <selection pane="bottomLeft" activeCell="A5" sqref="A5"/>
      <selection pane="bottomRight" activeCell="AM5" sqref="AM5:AZ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132" t="s">
        <v>441</v>
      </c>
      <c r="B1" s="132"/>
      <c r="C1" s="132"/>
      <c r="D1" s="132"/>
      <c r="E1" s="132"/>
      <c r="F1" s="132"/>
      <c r="H1" s="120" t="s">
        <v>2</v>
      </c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E1" s="121" t="s">
        <v>3</v>
      </c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</row>
    <row r="2" spans="1:58" ht="30" customHeight="1" x14ac:dyDescent="0.3">
      <c r="A2" s="128" t="s">
        <v>93</v>
      </c>
      <c r="B2" s="129" t="s">
        <v>96</v>
      </c>
      <c r="C2" s="128" t="s">
        <v>102</v>
      </c>
      <c r="D2" s="129" t="s">
        <v>105</v>
      </c>
      <c r="E2" s="128" t="s">
        <v>108</v>
      </c>
      <c r="F2" s="129" t="s">
        <v>111</v>
      </c>
      <c r="H2" s="128" t="s">
        <v>310</v>
      </c>
      <c r="I2" s="129" t="s">
        <v>114</v>
      </c>
      <c r="J2" s="130" t="s">
        <v>117</v>
      </c>
      <c r="K2" s="130"/>
      <c r="L2" s="130"/>
      <c r="M2" s="130"/>
      <c r="N2" s="128" t="s">
        <v>130</v>
      </c>
      <c r="O2" s="129" t="s">
        <v>133</v>
      </c>
      <c r="P2" s="128" t="s">
        <v>24</v>
      </c>
      <c r="Q2" s="131" t="s">
        <v>142</v>
      </c>
      <c r="R2" s="131"/>
      <c r="S2" s="131"/>
      <c r="T2" s="131"/>
      <c r="U2" s="130" t="s">
        <v>153</v>
      </c>
      <c r="V2" s="130"/>
      <c r="W2" s="131" t="s">
        <v>160</v>
      </c>
      <c r="X2" s="131"/>
      <c r="Y2" s="131"/>
      <c r="Z2" s="130" t="s">
        <v>170</v>
      </c>
      <c r="AA2" s="130"/>
      <c r="AB2" s="131" t="s">
        <v>177</v>
      </c>
      <c r="AC2" s="131"/>
      <c r="AE2" s="128" t="s">
        <v>310</v>
      </c>
      <c r="AF2" s="129" t="s">
        <v>114</v>
      </c>
      <c r="AG2" s="130" t="s">
        <v>117</v>
      </c>
      <c r="AH2" s="130"/>
      <c r="AI2" s="130"/>
      <c r="AJ2" s="130"/>
      <c r="AK2" s="128" t="s">
        <v>192</v>
      </c>
      <c r="AL2" s="129" t="s">
        <v>133</v>
      </c>
      <c r="AM2" s="128" t="s">
        <v>24</v>
      </c>
      <c r="AN2" s="131" t="s">
        <v>142</v>
      </c>
      <c r="AO2" s="131"/>
      <c r="AP2" s="131"/>
      <c r="AQ2" s="131"/>
      <c r="AR2" s="130" t="s">
        <v>153</v>
      </c>
      <c r="AS2" s="130"/>
      <c r="AT2" s="131" t="s">
        <v>160</v>
      </c>
      <c r="AU2" s="131"/>
      <c r="AV2" s="131"/>
      <c r="AW2" s="130" t="s">
        <v>170</v>
      </c>
      <c r="AX2" s="130"/>
      <c r="AY2" s="131" t="s">
        <v>177</v>
      </c>
      <c r="AZ2" s="131"/>
      <c r="BB2" s="130" t="s">
        <v>357</v>
      </c>
      <c r="BC2" s="130"/>
      <c r="BD2" s="130"/>
      <c r="BE2" s="129" t="s">
        <v>232</v>
      </c>
      <c r="BF2" s="128" t="s">
        <v>232</v>
      </c>
    </row>
    <row r="3" spans="1:58" ht="28.8" x14ac:dyDescent="0.3">
      <c r="A3" s="128"/>
      <c r="B3" s="129"/>
      <c r="C3" s="128"/>
      <c r="D3" s="129"/>
      <c r="E3" s="128"/>
      <c r="F3" s="129"/>
      <c r="H3" s="128"/>
      <c r="I3" s="129"/>
      <c r="J3" s="11" t="s">
        <v>118</v>
      </c>
      <c r="K3" s="11" t="s">
        <v>121</v>
      </c>
      <c r="L3" s="11" t="s">
        <v>124</v>
      </c>
      <c r="M3" s="11" t="s">
        <v>127</v>
      </c>
      <c r="N3" s="128"/>
      <c r="O3" s="129"/>
      <c r="P3" s="128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128"/>
      <c r="AF3" s="129"/>
      <c r="AG3" s="11" t="s">
        <v>118</v>
      </c>
      <c r="AH3" s="11" t="s">
        <v>121</v>
      </c>
      <c r="AI3" s="11" t="s">
        <v>124</v>
      </c>
      <c r="AJ3" s="11" t="s">
        <v>127</v>
      </c>
      <c r="AK3" s="128"/>
      <c r="AL3" s="129"/>
      <c r="AM3" s="128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129"/>
      <c r="BF3" s="128"/>
    </row>
    <row r="4" spans="1:58" ht="123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58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0.2952317307314461</v>
      </c>
      <c r="I5" s="17">
        <f>IF(OR(ISBLANK(Q5),ISBLANK(F5)),"·",Q5*F5/E5/1000000)</f>
        <v>207.28872000000001</v>
      </c>
      <c r="J5" s="18">
        <f>IF(ISBLANK(Q5),"·",Q5/C5)</f>
        <v>8.8569519219433825</v>
      </c>
      <c r="K5" s="18">
        <f>IF(N5="","·",N5/C5)</f>
        <v>1.3983535956346695</v>
      </c>
      <c r="L5" s="18">
        <f>IF(R5="","·",R5/C5)</f>
        <v>1.3161361639788529</v>
      </c>
      <c r="M5" s="18">
        <f>IF(ISBLANK(T5),"·",T5/C5)</f>
        <v>7.4585794193405706</v>
      </c>
      <c r="N5" s="15">
        <f>IF(OR(ISBLANK(R5),ISBLANK(S5)),"",R5+S5)</f>
        <v>34908976</v>
      </c>
      <c r="O5" s="18">
        <f>IF(ISBLANK(Q5),"·",Q5/P5)</f>
        <v>6.1211512399189436</v>
      </c>
      <c r="P5" s="19">
        <v>36121958</v>
      </c>
      <c r="Q5" s="20">
        <v>221107968</v>
      </c>
      <c r="R5" s="20">
        <v>32856472</v>
      </c>
      <c r="S5" s="20">
        <v>2052504</v>
      </c>
      <c r="T5" s="20">
        <v>186198520</v>
      </c>
      <c r="U5" s="21" t="s">
        <v>571</v>
      </c>
      <c r="V5" s="21" t="s">
        <v>571</v>
      </c>
      <c r="W5" s="21" t="s">
        <v>571</v>
      </c>
      <c r="X5" s="21" t="s">
        <v>571</v>
      </c>
      <c r="Y5" s="21" t="s">
        <v>571</v>
      </c>
      <c r="Z5" s="22">
        <v>6190.4</v>
      </c>
      <c r="AA5" s="22">
        <v>7977.82</v>
      </c>
      <c r="AB5" s="22">
        <v>4.8659999999999997</v>
      </c>
      <c r="AC5" s="22">
        <v>23.35</v>
      </c>
      <c r="AE5" s="23">
        <f>IF(ISBLANK(AN5),"·",AN5/(C5*D5*3))</f>
        <v>0.29540352777587842</v>
      </c>
      <c r="AF5" s="17">
        <f>IF(OR(ISBLANK(AN5),ISBLANK(F5)),"·",AN5*F5/E5/1000000)</f>
        <v>207.40934250000001</v>
      </c>
      <c r="AG5" s="18">
        <f>IF(ISBLANK(AN5),"·",AN5/C5)</f>
        <v>8.8621058332763525</v>
      </c>
      <c r="AH5" s="18">
        <f>IF(AK5="","·",AK5/C5)</f>
        <v>1.4000683615081206</v>
      </c>
      <c r="AI5" s="18">
        <f>IF(AO5="","·",AO5/C5)</f>
        <v>1.3180047492541462</v>
      </c>
      <c r="AJ5" s="18">
        <f>IF(ISBLANK(AQ5),"·",AQ5/C5)</f>
        <v>7.4620182443430014</v>
      </c>
      <c r="AK5" s="15">
        <f>IF(OR(ISBLANK(AO5),ISBLANK(AP5)),"",AO5+AP5)</f>
        <v>34951784</v>
      </c>
      <c r="AL5" s="18">
        <f>IF(ISBLANK(AN5),"·",AN5/AM5)</f>
        <v>8.8621058332763525</v>
      </c>
      <c r="AM5" s="19">
        <v>24964341</v>
      </c>
      <c r="AN5" s="20">
        <v>221236632</v>
      </c>
      <c r="AO5" s="20">
        <v>32903120</v>
      </c>
      <c r="AP5" s="20">
        <v>2048664</v>
      </c>
      <c r="AQ5" s="20">
        <v>186284368</v>
      </c>
      <c r="AR5" s="21" t="s">
        <v>571</v>
      </c>
      <c r="AS5" s="21" t="s">
        <v>571</v>
      </c>
      <c r="AT5" s="21" t="s">
        <v>571</v>
      </c>
      <c r="AU5" s="21" t="s">
        <v>571</v>
      </c>
      <c r="AV5" s="21" t="s">
        <v>571</v>
      </c>
      <c r="AW5" s="22">
        <v>2871.27</v>
      </c>
      <c r="AX5" s="22">
        <v>7988.3</v>
      </c>
      <c r="AY5" s="22">
        <v>3.3170000000000002</v>
      </c>
      <c r="AZ5" s="22">
        <v>24.431000000000001</v>
      </c>
      <c r="BB5" s="24">
        <f t="shared" ref="BB5:BB12" si="0">AG5/J5</f>
        <v>1.0005819057592715</v>
      </c>
      <c r="BC5" s="24">
        <f t="shared" ref="BC5:BD12" si="1">AI5/L5</f>
        <v>1.0014197507267366</v>
      </c>
      <c r="BD5" s="24">
        <f t="shared" si="1"/>
        <v>1.0004610562962584</v>
      </c>
      <c r="BE5" s="23">
        <f>(AK5/AN5) - (N5/Q5)</f>
        <v>1.0167514128189836E-4</v>
      </c>
      <c r="BF5" s="23">
        <f t="array" ref="BF5">AVERAGE(AK5:AK5/AN5:AN5) - AVERAGE(N5:N5/Q5:Q5)</f>
        <v>1.0167514128189836E-4</v>
      </c>
    </row>
    <row r="6" spans="1:58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0.42533570569413232</v>
      </c>
      <c r="I6" s="27">
        <f>IF(OR(ISBLANK(Q6),ISBLANK(F6)),"·",Q6*F6/E6/1000000)</f>
        <v>271.00942500000002</v>
      </c>
      <c r="J6" s="28">
        <f>IF(ISBLANK(Q6),"·",Q6/C6)</f>
        <v>12.76007117082397</v>
      </c>
      <c r="K6" s="28">
        <f>IF(N6="","·",N6/C6)</f>
        <v>1.7246105448168156</v>
      </c>
      <c r="L6" s="28">
        <f>IF(R6="","·",R6/C6)</f>
        <v>1.6009520989138324</v>
      </c>
      <c r="M6" s="28">
        <f>IF(ISBLANK(T6),"·",T6/C6)</f>
        <v>11.035439791560187</v>
      </c>
      <c r="N6" s="25">
        <f>IF(OR(ISBLANK(R6),ISBLANK(S6)),"",R6+S6)</f>
        <v>39070688</v>
      </c>
      <c r="O6" s="28">
        <f>IF(ISBLANK(Q6),"·",Q6/P6)</f>
        <v>9.0695845952606451</v>
      </c>
      <c r="P6" s="29">
        <v>31873204</v>
      </c>
      <c r="Q6" s="30">
        <v>289076720</v>
      </c>
      <c r="R6" s="30">
        <v>36269232</v>
      </c>
      <c r="S6" s="30">
        <v>2801456</v>
      </c>
      <c r="T6" s="30">
        <v>250005560</v>
      </c>
      <c r="U6" s="31" t="s">
        <v>571</v>
      </c>
      <c r="V6" s="31" t="s">
        <v>571</v>
      </c>
      <c r="W6" s="31" t="s">
        <v>571</v>
      </c>
      <c r="X6" s="31" t="s">
        <v>571</v>
      </c>
      <c r="Y6" s="31" t="s">
        <v>571</v>
      </c>
      <c r="Z6" s="32">
        <v>5687.87</v>
      </c>
      <c r="AA6" s="32">
        <v>9894.82</v>
      </c>
      <c r="AB6" s="32">
        <v>3.9820000000000002</v>
      </c>
      <c r="AC6" s="32">
        <v>23.766999999999999</v>
      </c>
      <c r="AE6" s="33">
        <f>IF(ISBLANK(AN6),"·",AN6/(C6*D6*3))</f>
        <v>0.42543406311722143</v>
      </c>
      <c r="AF6" s="27">
        <f>IF(OR(ISBLANK(AN6),ISBLANK(F6)),"·",AN6*F6/E6/1000000)</f>
        <v>271.07209499999999</v>
      </c>
      <c r="AG6" s="28">
        <f>IF(ISBLANK(AN6),"·",AN6/C6)</f>
        <v>12.763021893516642</v>
      </c>
      <c r="AH6" s="28">
        <f>IF(AK6="","·",AK6/C6)</f>
        <v>1.7259079305483711</v>
      </c>
      <c r="AI6" s="28">
        <f>IF(AO6="","·",AO6/C6)</f>
        <v>1.6016615294894161</v>
      </c>
      <c r="AJ6" s="28">
        <f>IF(ISBLANK(AQ6),"·",AQ6/C6)</f>
        <v>11.037092775395083</v>
      </c>
      <c r="AK6" s="25">
        <f>IF(OR(ISBLANK(AO6),ISBLANK(AP6)),"",AO6+AP6)</f>
        <v>39100080</v>
      </c>
      <c r="AL6" s="28">
        <f>IF(ISBLANK(AN6),"·",AN6/AM6)</f>
        <v>12.763021893516642</v>
      </c>
      <c r="AM6" s="29">
        <v>22654789</v>
      </c>
      <c r="AN6" s="30">
        <v>289143568</v>
      </c>
      <c r="AO6" s="30">
        <v>36285304</v>
      </c>
      <c r="AP6" s="30">
        <v>2814776</v>
      </c>
      <c r="AQ6" s="30">
        <v>250043008</v>
      </c>
      <c r="AR6" s="31" t="s">
        <v>571</v>
      </c>
      <c r="AS6" s="31" t="s">
        <v>571</v>
      </c>
      <c r="AT6" s="31" t="s">
        <v>571</v>
      </c>
      <c r="AU6" s="31" t="s">
        <v>571</v>
      </c>
      <c r="AV6" s="31" t="s">
        <v>571</v>
      </c>
      <c r="AW6" s="32">
        <v>2596.0500000000002</v>
      </c>
      <c r="AX6" s="32">
        <v>9736.26</v>
      </c>
      <c r="AY6" s="32">
        <v>3.149</v>
      </c>
      <c r="AZ6" s="32">
        <v>27.727</v>
      </c>
      <c r="BB6" s="34">
        <f t="shared" si="0"/>
        <v>1.0002312465701146</v>
      </c>
      <c r="BC6" s="34">
        <f t="shared" si="1"/>
        <v>1.0004431304197452</v>
      </c>
      <c r="BD6" s="34">
        <f t="shared" si="1"/>
        <v>1.0001497886686999</v>
      </c>
      <c r="BE6" s="33">
        <f>(AK6/AN6) - (N6/Q6)</f>
        <v>7.0404600554629937E-5</v>
      </c>
      <c r="BF6" s="33">
        <f t="array" ref="BF6">AVERAGE(AK6:AK6/AN6:AN6) - AVERAGE(N6:N6/Q6:Q6)</f>
        <v>7.0404600554629937E-5</v>
      </c>
    </row>
    <row r="7" spans="1:58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0.32629063314358864</v>
      </c>
      <c r="I7" s="17">
        <f>IF(OR(ISBLANK(Q7),ISBLANK(F7)),"·",Q7*F7/E7/1000000)</f>
        <v>311.53563000000003</v>
      </c>
      <c r="J7" s="18">
        <f>IF(ISBLANK(Q7),"·",Q7/C7)</f>
        <v>9.7887189943076578</v>
      </c>
      <c r="K7" s="18">
        <f>IF(N7="","·",N7/C7)</f>
        <v>1.5783013161591597</v>
      </c>
      <c r="L7" s="18">
        <f>IF(R7="","·",R7/C7)</f>
        <v>1.4656945129566588</v>
      </c>
      <c r="M7" s="18">
        <f>IF(ISBLANK(T7),"·",T7/C7)</f>
        <v>8.2104037744157061</v>
      </c>
      <c r="N7" s="15">
        <f>IF(OR(ISBLANK(R7),ISBLANK(S7)),"",R7+S7)</f>
        <v>53579728</v>
      </c>
      <c r="O7" s="18">
        <f>IF(ISBLANK(Q7),"·",Q7/P7)</f>
        <v>7.0152888714108448</v>
      </c>
      <c r="P7" s="19">
        <v>47368637</v>
      </c>
      <c r="Q7" s="20">
        <v>332304672</v>
      </c>
      <c r="R7" s="20">
        <v>49756984</v>
      </c>
      <c r="S7" s="20">
        <v>3822744</v>
      </c>
      <c r="T7" s="20">
        <v>278724472</v>
      </c>
      <c r="U7" s="21" t="s">
        <v>571</v>
      </c>
      <c r="V7" s="21" t="s">
        <v>571</v>
      </c>
      <c r="W7" s="21" t="s">
        <v>571</v>
      </c>
      <c r="X7" s="21" t="s">
        <v>571</v>
      </c>
      <c r="Y7" s="21" t="s">
        <v>571</v>
      </c>
      <c r="Z7" s="22">
        <v>8429.7199999999993</v>
      </c>
      <c r="AA7" s="22">
        <v>10471.299999999999</v>
      </c>
      <c r="AB7" s="22">
        <v>5.4969999999999999</v>
      </c>
      <c r="AC7" s="22">
        <v>26.184000000000001</v>
      </c>
      <c r="AE7" s="23">
        <f>IF(ISBLANK(AN7),"·",AN7/(C7*D7*3))</f>
        <v>0.32612594067933126</v>
      </c>
      <c r="AF7" s="17">
        <f>IF(OR(ISBLANK(AN7),ISBLANK(F7)),"·",AN7*F7/E7/1000000)</f>
        <v>311.37838499999998</v>
      </c>
      <c r="AG7" s="18">
        <f>IF(ISBLANK(AN7),"·",AN7/C7)</f>
        <v>9.7837782203799382</v>
      </c>
      <c r="AH7" s="18">
        <f>IF(AK7="","·",AK7/C7)</f>
        <v>1.5758844232180791</v>
      </c>
      <c r="AI7" s="18">
        <f>IF(AO7="","·",AO7/C7)</f>
        <v>1.4628517887417352</v>
      </c>
      <c r="AJ7" s="18">
        <f>IF(ISBLANK(AQ7),"·",AQ7/C7)</f>
        <v>8.2078796577725779</v>
      </c>
      <c r="AK7" s="15">
        <f>IF(OR(ISBLANK(AO7),ISBLANK(AP7)),"",AO7+AP7)</f>
        <v>53497680</v>
      </c>
      <c r="AL7" s="18">
        <f>IF(ISBLANK(AN7),"·",AN7/AM7)</f>
        <v>9.7837782203799382</v>
      </c>
      <c r="AM7" s="19">
        <v>33947718</v>
      </c>
      <c r="AN7" s="20">
        <v>332136944</v>
      </c>
      <c r="AO7" s="20">
        <v>49660480</v>
      </c>
      <c r="AP7" s="20">
        <v>3837200</v>
      </c>
      <c r="AQ7" s="20">
        <v>278638784</v>
      </c>
      <c r="AR7" s="21" t="s">
        <v>571</v>
      </c>
      <c r="AS7" s="21" t="s">
        <v>571</v>
      </c>
      <c r="AT7" s="21" t="s">
        <v>571</v>
      </c>
      <c r="AU7" s="21" t="s">
        <v>571</v>
      </c>
      <c r="AV7" s="21" t="s">
        <v>571</v>
      </c>
      <c r="AW7" s="22">
        <v>3879.24</v>
      </c>
      <c r="AX7" s="22">
        <v>11120.1</v>
      </c>
      <c r="AY7" s="22">
        <v>4.5940000000000003</v>
      </c>
      <c r="AZ7" s="22">
        <v>29.899000000000001</v>
      </c>
      <c r="BB7" s="24">
        <f t="shared" si="0"/>
        <v>0.99949525837542252</v>
      </c>
      <c r="BC7" s="24">
        <f t="shared" si="1"/>
        <v>0.99806049337717095</v>
      </c>
      <c r="BD7" s="24">
        <f t="shared" si="1"/>
        <v>0.99969257094870367</v>
      </c>
      <c r="BE7" s="23">
        <f>(AK7/AN7) - (N7/Q7)</f>
        <v>-1.6560663316289581E-4</v>
      </c>
      <c r="BF7" s="23">
        <f t="array" ref="BF7">AVERAGE(AK7:AK7/AN7:AN7) - AVERAGE(N7:N7/Q7:Q7)</f>
        <v>-1.6560663316289581E-4</v>
      </c>
    </row>
    <row r="8" spans="1:58" collapsed="1" x14ac:dyDescent="0.3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0.2494146820151551</v>
      </c>
      <c r="I8" s="47">
        <f>IF(OR(ISBLANK(Q8),ISBLANK(F8)),"·",Q8*F8/E8/1000000)</f>
        <v>376.57302499999997</v>
      </c>
      <c r="J8" s="48">
        <f>IF(ISBLANK(Q8),"·",Q8/C8)</f>
        <v>7.4824404604546535</v>
      </c>
      <c r="K8" s="48">
        <f>IF(N8="","·",N8/C8)</f>
        <v>1.0311818730806797</v>
      </c>
      <c r="L8" s="48">
        <f>IF(R8="","·",R8/C8)</f>
        <v>0.95260490779112328</v>
      </c>
      <c r="M8" s="48">
        <f>IF(ISBLANK(T8),"·",T8/C8)</f>
        <v>6.4512439333773433</v>
      </c>
      <c r="N8" s="45">
        <f>IF(OR(ISBLANK(R8),ISBLANK(S8)),"",R8+S8)</f>
        <v>33214000</v>
      </c>
      <c r="O8" s="48">
        <f>IF(ISBLANK(Q8),"·",Q8/P8)</f>
        <v>6.3561270072701248</v>
      </c>
      <c r="P8" s="49">
        <v>37917231</v>
      </c>
      <c r="Q8" s="50">
        <v>241006736</v>
      </c>
      <c r="R8" s="50">
        <v>30683064</v>
      </c>
      <c r="S8" s="50">
        <v>2530936</v>
      </c>
      <c r="T8" s="50">
        <v>207792264</v>
      </c>
      <c r="U8" s="51" t="s">
        <v>571</v>
      </c>
      <c r="V8" s="51" t="s">
        <v>571</v>
      </c>
      <c r="W8" s="51" t="s">
        <v>571</v>
      </c>
      <c r="X8" s="51" t="s">
        <v>571</v>
      </c>
      <c r="Y8" s="51" t="s">
        <v>571</v>
      </c>
      <c r="Z8" s="52">
        <v>8106.51</v>
      </c>
      <c r="AA8" s="52">
        <v>7912.77</v>
      </c>
      <c r="AB8" s="52">
        <v>5.0369999999999999</v>
      </c>
      <c r="AC8" s="52">
        <v>24.433</v>
      </c>
      <c r="AE8" s="53">
        <f>IF(ISBLANK(AN8),"·",AN8/(C8*D8*3))</f>
        <v>0.24577986991866588</v>
      </c>
      <c r="AF8" s="47">
        <f>IF(OR(ISBLANK(AN8),ISBLANK(F8)),"·",AN8*F8/E8/1000000)</f>
        <v>371.08508749999999</v>
      </c>
      <c r="AG8" s="48">
        <f>IF(ISBLANK(AN8),"·",AN8/C8)</f>
        <v>7.3733960975599757</v>
      </c>
      <c r="AH8" s="48">
        <f>IF(AK8="","·",AK8/C8)</f>
        <v>0.99526815618540077</v>
      </c>
      <c r="AI8" s="48">
        <f>IF(AO8="","·",AO8/C8)</f>
        <v>0.92442179505063127</v>
      </c>
      <c r="AJ8" s="48">
        <f>IF(ISBLANK(AQ8),"·",AQ8/C8)</f>
        <v>6.3781130390051199</v>
      </c>
      <c r="AK8" s="45">
        <f>IF(OR(ISBLANK(AO8),ISBLANK(AP8)),"",AO8+AP8)</f>
        <v>32057232</v>
      </c>
      <c r="AL8" s="48">
        <f>IF(ISBLANK(AN8),"·",AN8/AM8)</f>
        <v>7.3733960975599757</v>
      </c>
      <c r="AM8" s="49">
        <v>32209643</v>
      </c>
      <c r="AN8" s="50">
        <v>237494456</v>
      </c>
      <c r="AO8" s="50">
        <v>29775296</v>
      </c>
      <c r="AP8" s="50">
        <v>2281936</v>
      </c>
      <c r="AQ8" s="50">
        <v>205436744</v>
      </c>
      <c r="AR8" s="51" t="s">
        <v>571</v>
      </c>
      <c r="AS8" s="51" t="s">
        <v>571</v>
      </c>
      <c r="AT8" s="51" t="s">
        <v>571</v>
      </c>
      <c r="AU8" s="51" t="s">
        <v>571</v>
      </c>
      <c r="AV8" s="51" t="s">
        <v>571</v>
      </c>
      <c r="AW8" s="52">
        <v>3813.05</v>
      </c>
      <c r="AX8" s="52">
        <v>7117.52</v>
      </c>
      <c r="AY8" s="52">
        <v>3.6890000000000001</v>
      </c>
      <c r="AZ8" s="52">
        <v>22.495999999999999</v>
      </c>
      <c r="BB8" s="54">
        <f t="shared" si="0"/>
        <v>0.98542663139506603</v>
      </c>
      <c r="BC8" s="54">
        <f t="shared" si="1"/>
        <v>0.97041468870253633</v>
      </c>
      <c r="BD8" s="54">
        <f t="shared" si="1"/>
        <v>0.98866406306637089</v>
      </c>
      <c r="BE8" s="53">
        <f>(AK8/AN8) - (N8/Q8)</f>
        <v>-2.832605638405844E-3</v>
      </c>
      <c r="BF8" s="53">
        <f t="array" ref="BF8">AVERAGE(AK8:AK8/AN8:AN8) - AVERAGE(N8:N8/Q8:Q8)</f>
        <v>-2.832605638405844E-3</v>
      </c>
    </row>
    <row r="9" spans="1:58" collapsed="1" x14ac:dyDescent="0.3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0.50061010394585925</v>
      </c>
      <c r="I9" s="37">
        <f>IF(OR(ISBLANK(Q9),ISBLANK(F9)),"·",Q9*F9/E9/1000000)</f>
        <v>356.39007750000002</v>
      </c>
      <c r="J9" s="38">
        <f>IF(ISBLANK(Q9),"·",Q9/C9)</f>
        <v>15.018303118375778</v>
      </c>
      <c r="K9" s="38">
        <f>IF(N9="","·",N9/C9)</f>
        <v>1.5756361070033322</v>
      </c>
      <c r="L9" s="38">
        <f>IF(R9="","·",R9/C9)</f>
        <v>1.4761987085543185</v>
      </c>
      <c r="M9" s="38">
        <f>IF(ISBLANK(T9),"·",T9/C9)</f>
        <v>13.442648364391092</v>
      </c>
      <c r="N9" s="35">
        <f>IF(OR(ISBLANK(R9),ISBLANK(S9)),"",R9+S9)</f>
        <v>39883144</v>
      </c>
      <c r="O9" s="38">
        <f>IF(ISBLANK(Q9),"·",Q9/P9)</f>
        <v>10.632869891651966</v>
      </c>
      <c r="P9" s="39">
        <v>35752287</v>
      </c>
      <c r="Q9" s="40">
        <v>380149416</v>
      </c>
      <c r="R9" s="40">
        <v>37366144</v>
      </c>
      <c r="S9" s="40">
        <v>2517000</v>
      </c>
      <c r="T9" s="40">
        <v>340265800</v>
      </c>
      <c r="U9" s="41" t="s">
        <v>571</v>
      </c>
      <c r="V9" s="41" t="s">
        <v>571</v>
      </c>
      <c r="W9" s="41" t="s">
        <v>571</v>
      </c>
      <c r="X9" s="41" t="s">
        <v>571</v>
      </c>
      <c r="Y9" s="41" t="s">
        <v>571</v>
      </c>
      <c r="Z9" s="42">
        <v>6348.6</v>
      </c>
      <c r="AA9" s="42">
        <v>10712.2</v>
      </c>
      <c r="AB9" s="42">
        <v>4.5679999999999996</v>
      </c>
      <c r="AC9" s="42">
        <v>26.613</v>
      </c>
      <c r="AE9" s="43">
        <f>IF(ISBLANK(AN9),"·",AN9/(C9*D9*3))</f>
        <v>0.49949465627028977</v>
      </c>
      <c r="AF9" s="37">
        <f>IF(OR(ISBLANK(AN9),ISBLANK(F9)),"·",AN9*F9/E9/1000000)</f>
        <v>355.5959775</v>
      </c>
      <c r="AG9" s="38">
        <f>IF(ISBLANK(AN9),"·",AN9/C9)</f>
        <v>14.984839688108693</v>
      </c>
      <c r="AH9" s="38">
        <f>IF(AK9="","·",AK9/C9)</f>
        <v>1.5710069148695771</v>
      </c>
      <c r="AI9" s="38">
        <f>IF(AO9="","·",AO9/C9)</f>
        <v>1.4716934082288813</v>
      </c>
      <c r="AJ9" s="38">
        <f>IF(ISBLANK(AQ9),"·",AQ9/C9)</f>
        <v>13.41381381020723</v>
      </c>
      <c r="AK9" s="35">
        <f>IF(OR(ISBLANK(AO9),ISBLANK(AP9)),"",AO9+AP9)</f>
        <v>39765968</v>
      </c>
      <c r="AL9" s="38">
        <f>IF(ISBLANK(AN9),"·",AN9/AM9)</f>
        <v>14.984839688108693</v>
      </c>
      <c r="AM9" s="39">
        <v>25312408</v>
      </c>
      <c r="AN9" s="40">
        <v>379302376</v>
      </c>
      <c r="AO9" s="40">
        <v>37252104</v>
      </c>
      <c r="AP9" s="40">
        <v>2513864</v>
      </c>
      <c r="AQ9" s="40">
        <v>339535928</v>
      </c>
      <c r="AR9" s="41" t="s">
        <v>571</v>
      </c>
      <c r="AS9" s="41" t="s">
        <v>571</v>
      </c>
      <c r="AT9" s="41" t="s">
        <v>571</v>
      </c>
      <c r="AU9" s="41" t="s">
        <v>571</v>
      </c>
      <c r="AV9" s="41" t="s">
        <v>571</v>
      </c>
      <c r="AW9" s="42">
        <v>2928.57</v>
      </c>
      <c r="AX9" s="42">
        <v>10730.7</v>
      </c>
      <c r="AY9" s="42">
        <v>3.5369999999999999</v>
      </c>
      <c r="AZ9" s="42">
        <v>30.706</v>
      </c>
      <c r="BB9" s="44">
        <f t="shared" si="0"/>
        <v>0.99777182348742577</v>
      </c>
      <c r="BC9" s="44">
        <f t="shared" si="1"/>
        <v>0.99694803938024756</v>
      </c>
      <c r="BD9" s="44">
        <f t="shared" si="1"/>
        <v>0.99785499453662396</v>
      </c>
      <c r="BE9" s="43">
        <f>(AK9/AN9) - (N9/Q9)</f>
        <v>-7.4635217396021303E-5</v>
      </c>
      <c r="BF9" s="43">
        <f t="array" ref="BF9">AVERAGE(AK9:AK9/AN9:AN9) - AVERAGE(N9:N9/Q9:Q9)</f>
        <v>-7.4635217396021303E-5</v>
      </c>
    </row>
    <row r="10" spans="1:58" x14ac:dyDescent="0.3">
      <c r="B10" s="55" t="s">
        <v>288</v>
      </c>
      <c r="J10" s="56">
        <f>AVERAGE(J5:J8)</f>
        <v>9.7220456368824166</v>
      </c>
      <c r="K10" s="56">
        <f>AVERAGE(K5:K8)</f>
        <v>1.4331118324228311</v>
      </c>
      <c r="L10" s="56">
        <f>AVERAGE(L5:L8)</f>
        <v>1.3338469209101167</v>
      </c>
      <c r="M10" s="56">
        <f>AVERAGE(M5:M8)</f>
        <v>8.2889167296734509</v>
      </c>
      <c r="AG10" s="56">
        <f>AVERAGE(AG5:AG8)</f>
        <v>9.6955755111832271</v>
      </c>
      <c r="AH10" s="56">
        <f>AVERAGE(AH5:AH8)</f>
        <v>1.4242822178649928</v>
      </c>
      <c r="AI10" s="56">
        <f>AVERAGE(AI5:AI8)</f>
        <v>1.3267349656339822</v>
      </c>
      <c r="AJ10" s="56">
        <f>AVERAGE(AJ5:AJ8)</f>
        <v>8.2712759291289455</v>
      </c>
      <c r="BB10" s="5">
        <f t="shared" si="0"/>
        <v>0.99727730904710321</v>
      </c>
      <c r="BC10" s="5">
        <f t="shared" si="1"/>
        <v>0.99466808734597378</v>
      </c>
      <c r="BD10" s="5">
        <f t="shared" si="1"/>
        <v>0.99787176043386305</v>
      </c>
      <c r="BF10" s="8">
        <f>AVERAGE(BF5:BF8)</f>
        <v>-7.0653313243305288E-4</v>
      </c>
    </row>
    <row r="11" spans="1:58" x14ac:dyDescent="0.3">
      <c r="B11" s="55" t="s">
        <v>289</v>
      </c>
      <c r="J11" s="56">
        <f>AVERAGE(J9:J9)</f>
        <v>15.018303118375778</v>
      </c>
      <c r="K11" s="56">
        <f>AVERAGE(K9:K9)</f>
        <v>1.5756361070033322</v>
      </c>
      <c r="L11" s="56">
        <f>AVERAGE(L9:L9)</f>
        <v>1.4761987085543185</v>
      </c>
      <c r="M11" s="56">
        <f>AVERAGE(M9:M9)</f>
        <v>13.442648364391092</v>
      </c>
      <c r="AG11" s="56">
        <f>AVERAGE(AG9:AG9)</f>
        <v>14.984839688108693</v>
      </c>
      <c r="AH11" s="56">
        <f>AVERAGE(AH9:AH9)</f>
        <v>1.5710069148695771</v>
      </c>
      <c r="AI11" s="56">
        <f>AVERAGE(AI9:AI9)</f>
        <v>1.4716934082288813</v>
      </c>
      <c r="AJ11" s="56">
        <f>AVERAGE(AJ9:AJ9)</f>
        <v>13.41381381020723</v>
      </c>
      <c r="BB11" s="5">
        <f t="shared" si="0"/>
        <v>0.99777182348742577</v>
      </c>
      <c r="BC11" s="5">
        <f t="shared" si="1"/>
        <v>0.99694803938024756</v>
      </c>
      <c r="BD11" s="5">
        <f t="shared" si="1"/>
        <v>0.99785499453662396</v>
      </c>
      <c r="BF11" s="8">
        <f>AVERAGE(BF9:BF9)</f>
        <v>-7.4635217396021303E-5</v>
      </c>
    </row>
    <row r="12" spans="1:58" x14ac:dyDescent="0.3">
      <c r="B12" s="55" t="s">
        <v>290</v>
      </c>
      <c r="J12" s="56">
        <f>AVERAGE(J5:J9)</f>
        <v>10.781297133181088</v>
      </c>
      <c r="K12" s="56">
        <f>AVERAGE(K5:K9)</f>
        <v>1.4616166873389314</v>
      </c>
      <c r="L12" s="56">
        <f>AVERAGE(L5:L9)</f>
        <v>1.362317278438957</v>
      </c>
      <c r="M12" s="56">
        <f>AVERAGE(M5:M9)</f>
        <v>9.319663056616978</v>
      </c>
      <c r="AG12" s="56">
        <f>AVERAGE(AG5:AG9)</f>
        <v>10.75342834656832</v>
      </c>
      <c r="AH12" s="56">
        <f>AVERAGE(AH5:AH9)</f>
        <v>1.4536271572659096</v>
      </c>
      <c r="AI12" s="56">
        <f>AVERAGE(AI5:AI9)</f>
        <v>1.355726654152962</v>
      </c>
      <c r="AJ12" s="56">
        <f>AVERAGE(AJ5:AJ9)</f>
        <v>9.2997835053446032</v>
      </c>
      <c r="BB12" s="5">
        <f t="shared" si="0"/>
        <v>0.99741508036848392</v>
      </c>
      <c r="BC12" s="5">
        <f t="shared" si="1"/>
        <v>0.99516219577457976</v>
      </c>
      <c r="BD12" s="5">
        <f t="shared" si="1"/>
        <v>0.99786692381992714</v>
      </c>
      <c r="BF12" s="8">
        <f>AVERAGE(BF5:BF9)</f>
        <v>-5.8015354942564661E-4</v>
      </c>
    </row>
    <row r="13" spans="1:58" hidden="1" outlineLevel="2" x14ac:dyDescent="0.3">
      <c r="A13" s="55" t="s">
        <v>291</v>
      </c>
      <c r="B13" s="55" t="s">
        <v>292</v>
      </c>
      <c r="Z13" s="57">
        <f>SUM(Z5:Z8,Z9:Z9)</f>
        <v>34763.1</v>
      </c>
      <c r="AA13" s="57">
        <f>SUM(AA5:AA8,AA9:AA9)</f>
        <v>46968.91</v>
      </c>
      <c r="AB13" s="57">
        <f>SUM(AB5:AB8,AB9:AB9)</f>
        <v>23.949999999999996</v>
      </c>
      <c r="AC13" s="57">
        <f>SUM(AC5:AC8,AC9:AC9)</f>
        <v>124.34700000000001</v>
      </c>
      <c r="AW13" s="57">
        <f>SUM(AW5:AW8,AW9:AW9)</f>
        <v>16088.18</v>
      </c>
      <c r="AX13" s="57">
        <f>SUM(AX5:AX8,AX9:AX9)</f>
        <v>46692.880000000005</v>
      </c>
      <c r="AY13" s="57">
        <f>SUM(AY5:AY8,AY9:AY9)</f>
        <v>18.286000000000001</v>
      </c>
      <c r="AZ13" s="57">
        <f>SUM(AZ5:AZ8,AZ9:AZ9)</f>
        <v>135.25899999999999</v>
      </c>
    </row>
    <row r="14" spans="1:58" hidden="1" outlineLevel="2" x14ac:dyDescent="0.3">
      <c r="B14" s="55" t="s">
        <v>293</v>
      </c>
      <c r="AW14" s="8">
        <f>AW13/Z13</f>
        <v>0.46279474500260337</v>
      </c>
      <c r="AX14" s="8">
        <f>AX13/AA13</f>
        <v>0.99412313379211914</v>
      </c>
      <c r="AY14" s="8">
        <f>AY13/AB13</f>
        <v>0.76350730688935298</v>
      </c>
      <c r="AZ14" s="8">
        <f>AZ13/AC13</f>
        <v>1.0877544291378158</v>
      </c>
    </row>
    <row r="15" spans="1:58" hidden="1" outlineLevel="2" x14ac:dyDescent="0.3">
      <c r="B15" s="55" t="s">
        <v>294</v>
      </c>
      <c r="Z15" s="57">
        <f>GEOMEAN(Z5:Z8,Z9:Z9)</f>
        <v>6867.500223369314</v>
      </c>
      <c r="AA15" s="57">
        <f>GEOMEAN(AA5:AA8,AA9:AA9)</f>
        <v>9313.2227357199699</v>
      </c>
      <c r="AB15" s="57">
        <f>GEOMEAN(AB5:AB8,AB9:AB9)</f>
        <v>4.7627680179288756</v>
      </c>
      <c r="AC15" s="57">
        <f>GEOMEAN(AC5:AC8,AC9:AC9)</f>
        <v>24.835538121617827</v>
      </c>
      <c r="AW15" s="57">
        <f>GEOMEAN(AW5:AW8,AW9:AW9)</f>
        <v>3175.5018415522823</v>
      </c>
      <c r="AX15" s="57">
        <f>GEOMEAN(AX5:AX8,AX9:AX9)</f>
        <v>9204.1225880707752</v>
      </c>
      <c r="AY15" s="57">
        <f>GEOMEAN(AY5:AY8,AY9:AY9)</f>
        <v>3.6251882827897082</v>
      </c>
      <c r="AZ15" s="57">
        <f>GEOMEAN(AZ5:AZ8,AZ9:AZ9)</f>
        <v>26.863702400193734</v>
      </c>
    </row>
    <row r="16" spans="1:58" outlineLevel="2" collapsed="1" x14ac:dyDescent="0.3">
      <c r="B16" s="55" t="s">
        <v>295</v>
      </c>
      <c r="AW16" s="8">
        <f>AW15/Z15</f>
        <v>0.46239559348631898</v>
      </c>
      <c r="AX16" s="8">
        <f>AX15/AA15</f>
        <v>0.98828545705980475</v>
      </c>
      <c r="AY16" s="8">
        <f>AY15/AB15</f>
        <v>0.76115155496617026</v>
      </c>
      <c r="AZ16" s="8">
        <f>AZ15/AC15</f>
        <v>1.0816637943838436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41" priority="5" operator="greaterThanOrEqual">
      <formula>1.03</formula>
    </cfRule>
    <cfRule type="cellIs" dxfId="40" priority="6" operator="lessThanOrEqual">
      <formula>0.97</formula>
    </cfRule>
  </conditionalFormatting>
  <conditionalFormatting sqref="BC10 BC11 BC12">
    <cfRule type="cellIs" dxfId="39" priority="3" operator="greaterThanOrEqual">
      <formula>1.03</formula>
    </cfRule>
    <cfRule type="cellIs" dxfId="38" priority="4" operator="lessThanOrEqual">
      <formula>0.97</formula>
    </cfRule>
  </conditionalFormatting>
  <conditionalFormatting sqref="BD10 BD11 BD12">
    <cfRule type="cellIs" dxfId="37" priority="1" operator="greaterThanOrEqual">
      <formula>1.03</formula>
    </cfRule>
    <cfRule type="cellIs" dxfId="36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S36"/>
  <sheetViews>
    <sheetView workbookViewId="0">
      <pane xSplit="2" ySplit="4" topLeftCell="AE5" activePane="bottomRight" state="frozen"/>
      <selection pane="topRight" activeCell="C1" sqref="C1"/>
      <selection pane="bottomLeft" activeCell="A5" sqref="A5"/>
      <selection pane="bottomRight" activeCell="AN5" sqref="AN5:BC29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3">
      <c r="A1" s="132" t="s">
        <v>528</v>
      </c>
      <c r="B1" s="132"/>
      <c r="C1" s="132"/>
      <c r="D1" s="132"/>
      <c r="E1" s="132"/>
      <c r="F1" s="132"/>
      <c r="G1" s="132"/>
      <c r="I1" s="120" t="s">
        <v>2</v>
      </c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G1" s="121" t="s">
        <v>3</v>
      </c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</row>
    <row r="2" spans="1:71" ht="30" customHeight="1" x14ac:dyDescent="0.3">
      <c r="A2" s="128" t="s">
        <v>93</v>
      </c>
      <c r="B2" s="129" t="s">
        <v>96</v>
      </c>
      <c r="C2" s="128" t="s">
        <v>99</v>
      </c>
      <c r="D2" s="129" t="s">
        <v>102</v>
      </c>
      <c r="E2" s="128" t="s">
        <v>105</v>
      </c>
      <c r="F2" s="129" t="s">
        <v>108</v>
      </c>
      <c r="G2" s="128" t="s">
        <v>111</v>
      </c>
      <c r="I2" s="129" t="s">
        <v>114</v>
      </c>
      <c r="J2" s="130" t="s">
        <v>117</v>
      </c>
      <c r="K2" s="130"/>
      <c r="L2" s="130"/>
      <c r="M2" s="130"/>
      <c r="N2" s="128" t="s">
        <v>130</v>
      </c>
      <c r="O2" s="129" t="s">
        <v>133</v>
      </c>
      <c r="P2" s="128" t="s">
        <v>24</v>
      </c>
      <c r="Q2" s="129" t="s">
        <v>26</v>
      </c>
      <c r="R2" s="128" t="s">
        <v>22</v>
      </c>
      <c r="S2" s="131" t="s">
        <v>142</v>
      </c>
      <c r="T2" s="131"/>
      <c r="U2" s="131"/>
      <c r="V2" s="131"/>
      <c r="W2" s="130" t="s">
        <v>153</v>
      </c>
      <c r="X2" s="130"/>
      <c r="Y2" s="131" t="s">
        <v>160</v>
      </c>
      <c r="Z2" s="131"/>
      <c r="AA2" s="131"/>
      <c r="AB2" s="130" t="s">
        <v>170</v>
      </c>
      <c r="AC2" s="130"/>
      <c r="AD2" s="131" t="s">
        <v>177</v>
      </c>
      <c r="AE2" s="131"/>
      <c r="AG2" s="128" t="s">
        <v>114</v>
      </c>
      <c r="AH2" s="131" t="s">
        <v>117</v>
      </c>
      <c r="AI2" s="131"/>
      <c r="AJ2" s="131"/>
      <c r="AK2" s="131"/>
      <c r="AL2" s="129" t="s">
        <v>192</v>
      </c>
      <c r="AM2" s="128" t="s">
        <v>133</v>
      </c>
      <c r="AN2" s="129" t="s">
        <v>24</v>
      </c>
      <c r="AO2" s="128" t="s">
        <v>26</v>
      </c>
      <c r="AP2" s="129" t="s">
        <v>22</v>
      </c>
      <c r="AQ2" s="130" t="s">
        <v>142</v>
      </c>
      <c r="AR2" s="130"/>
      <c r="AS2" s="130"/>
      <c r="AT2" s="130"/>
      <c r="AU2" s="131" t="s">
        <v>153</v>
      </c>
      <c r="AV2" s="131"/>
      <c r="AW2" s="130" t="s">
        <v>160</v>
      </c>
      <c r="AX2" s="130"/>
      <c r="AY2" s="130"/>
      <c r="AZ2" s="131" t="s">
        <v>170</v>
      </c>
      <c r="BA2" s="131"/>
      <c r="BB2" s="130" t="s">
        <v>177</v>
      </c>
      <c r="BC2" s="130"/>
      <c r="BE2" s="129" t="s">
        <v>229</v>
      </c>
      <c r="BF2" s="128" t="s">
        <v>232</v>
      </c>
      <c r="BG2" s="129" t="s">
        <v>232</v>
      </c>
      <c r="BI2" s="130" t="s">
        <v>237</v>
      </c>
      <c r="BJ2" s="130"/>
      <c r="BK2" s="131" t="s">
        <v>242</v>
      </c>
      <c r="BL2" s="131"/>
      <c r="BM2" s="131"/>
      <c r="BO2" s="130" t="s">
        <v>249</v>
      </c>
      <c r="BP2" s="130"/>
      <c r="BQ2" s="131" t="s">
        <v>254</v>
      </c>
      <c r="BR2" s="131"/>
      <c r="BS2" s="131"/>
    </row>
    <row r="3" spans="1:71" x14ac:dyDescent="0.3">
      <c r="A3" s="128"/>
      <c r="B3" s="129"/>
      <c r="C3" s="128"/>
      <c r="D3" s="129"/>
      <c r="E3" s="128"/>
      <c r="F3" s="129"/>
      <c r="G3" s="128"/>
      <c r="I3" s="129"/>
      <c r="J3" s="11" t="s">
        <v>118</v>
      </c>
      <c r="K3" s="11" t="s">
        <v>121</v>
      </c>
      <c r="L3" s="11" t="s">
        <v>124</v>
      </c>
      <c r="M3" s="11" t="s">
        <v>127</v>
      </c>
      <c r="N3" s="128"/>
      <c r="O3" s="129"/>
      <c r="P3" s="128"/>
      <c r="Q3" s="129"/>
      <c r="R3" s="128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128"/>
      <c r="AH3" s="12" t="s">
        <v>118</v>
      </c>
      <c r="AI3" s="12" t="s">
        <v>121</v>
      </c>
      <c r="AJ3" s="12" t="s">
        <v>124</v>
      </c>
      <c r="AK3" s="12" t="s">
        <v>127</v>
      </c>
      <c r="AL3" s="129"/>
      <c r="AM3" s="128"/>
      <c r="AN3" s="129"/>
      <c r="AO3" s="128"/>
      <c r="AP3" s="129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129"/>
      <c r="BF3" s="128"/>
      <c r="BG3" s="129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1" ht="123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1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1.3480425</v>
      </c>
      <c r="J5" s="18">
        <f t="shared" ref="J5:J29" si="1">IF(ISBLANK(S5),"·",S5/D5)</f>
        <v>5.7598636391002669E-2</v>
      </c>
      <c r="K5" s="18">
        <f t="shared" ref="K5:K29" si="2">IF(N5="","·",N5/D5)</f>
        <v>4.7206213054051781E-2</v>
      </c>
      <c r="L5" s="18">
        <f t="shared" ref="L5:L29" si="3">IF(T5="","·",T5/D5)</f>
        <v>2.7496499907608215E-2</v>
      </c>
      <c r="M5" s="18">
        <f t="shared" ref="M5:M29" si="4">IF(ISBLANK(V5),"·",V5/D5)</f>
        <v>1.0373836825894983E-2</v>
      </c>
      <c r="N5" s="15">
        <f t="shared" ref="N5:N29" si="5">IF(OR(ISBLANK(T5),ISBLANK(U5)),"",T5+U5)</f>
        <v>1178472</v>
      </c>
      <c r="O5" s="18">
        <f t="shared" ref="O5:O29" si="6">IF(ISBLANK(S5),"·",S5/P5)</f>
        <v>3.7448059123843053E-2</v>
      </c>
      <c r="P5" s="19">
        <v>38397504</v>
      </c>
      <c r="Q5" s="19">
        <v>1199922</v>
      </c>
      <c r="R5" s="19">
        <v>493705.125</v>
      </c>
      <c r="S5" s="20">
        <v>1437912</v>
      </c>
      <c r="T5" s="20">
        <v>686432</v>
      </c>
      <c r="U5" s="20">
        <v>492040</v>
      </c>
      <c r="V5" s="20">
        <v>258976</v>
      </c>
      <c r="W5" s="21">
        <v>66.750818749999993</v>
      </c>
      <c r="X5" s="21">
        <v>68.760862500000002</v>
      </c>
      <c r="Y5" s="21">
        <v>31.406503125</v>
      </c>
      <c r="Z5" s="21">
        <v>43.581578125</v>
      </c>
      <c r="AA5" s="21">
        <v>42.975778124999998</v>
      </c>
      <c r="AB5" s="22">
        <v>6220.44</v>
      </c>
      <c r="AC5" s="22">
        <v>4121</v>
      </c>
      <c r="AD5" s="22">
        <v>8.6120000000000001</v>
      </c>
      <c r="AE5" s="22">
        <v>21.184000000000001</v>
      </c>
      <c r="AG5" s="17">
        <f t="shared" ref="AG5:AG29" si="7">IF(OR(ISBLANK(AQ5),ISBLANK(G5)),"·",AQ5*G5/F5/1000000)</f>
        <v>1.3665375</v>
      </c>
      <c r="AH5" s="18">
        <f t="shared" ref="AH5:AH29" si="8">IF(ISBLANK(AQ5),"·",AQ5/D5)</f>
        <v>5.8388883567966003E-2</v>
      </c>
      <c r="AI5" s="18">
        <f t="shared" ref="AI5:AI29" si="9">IF(AL5="","·",AL5/D5)</f>
        <v>4.7467065123008856E-2</v>
      </c>
      <c r="AJ5" s="18">
        <f t="shared" ref="AJ5:AJ29" si="10">IF(AR5="","·",AR5/D5)</f>
        <v>2.747150425480889E-2</v>
      </c>
      <c r="AK5" s="18">
        <f t="shared" ref="AK5:AK29" si="11">IF(ISBLANK(AT5),"·",AT5/D5)</f>
        <v>1.0902911476814069E-2</v>
      </c>
      <c r="AL5" s="15">
        <f t="shared" ref="AL5:AL29" si="12">IF(OR(ISBLANK(AR5),ISBLANK(AS5)),"",AR5+AS5)</f>
        <v>1184984</v>
      </c>
      <c r="AM5" s="18">
        <f t="shared" ref="AM5:AM29" si="13">IF(ISBLANK(AQ5),"·",AQ5/AN5)</f>
        <v>6.3163830893883652E-2</v>
      </c>
      <c r="AN5" s="19">
        <v>23077131</v>
      </c>
      <c r="AO5" s="19">
        <v>721160.34375</v>
      </c>
      <c r="AP5" s="19">
        <v>15865.875</v>
      </c>
      <c r="AQ5" s="20">
        <v>1457640</v>
      </c>
      <c r="AR5" s="20">
        <v>685808</v>
      </c>
      <c r="AS5" s="20">
        <v>499176</v>
      </c>
      <c r="AT5" s="20">
        <v>272184</v>
      </c>
      <c r="AU5" s="21">
        <v>66.697140625000003</v>
      </c>
      <c r="AV5" s="21">
        <v>68.476271874999995</v>
      </c>
      <c r="AW5" s="21">
        <v>31.336321874999999</v>
      </c>
      <c r="AX5" s="21">
        <v>43.356965625000001</v>
      </c>
      <c r="AY5" s="21">
        <v>42.911453125000001</v>
      </c>
      <c r="AZ5" s="22">
        <v>2877.4</v>
      </c>
      <c r="BA5" s="22">
        <v>4142.49</v>
      </c>
      <c r="BB5" s="22">
        <v>6.4909999999999997</v>
      </c>
      <c r="BC5" s="22">
        <v>20.92</v>
      </c>
      <c r="BE5" s="23">
        <f t="shared" ref="BE5:BE29" si="14">(AP5/AO5) - (R5/Q5)</f>
        <v>-0.38944719982364473</v>
      </c>
      <c r="BF5" s="23">
        <f t="shared" ref="BF5:BF29" si="15">(AL5/AQ5) - (N5/S5)</f>
        <v>-6.6247569637042369E-3</v>
      </c>
      <c r="BG5" s="23">
        <f t="array" ref="BG5">AVERAGE(AL5:AL9/AQ5:AQ9) - AVERAGE(N5:N9/S5:S9)</f>
        <v>-7.9042063023436748E-3</v>
      </c>
      <c r="BI5" s="24">
        <f>IF( OR(ISBLANK(N5:N9),ISBLANK(AL5:AL9), ISBLANK(W5:W9),ISBLANK(AU5:AU9)), "·", bdRateExtend( N5:N9,W5:W9, AL5:AL9,AU5:AU9))</f>
        <v>9.1898926401186021E-3</v>
      </c>
      <c r="BJ5" s="24">
        <f>IF( OR(ISBLANK(N5:N9),ISBLANK(AL5:AL9), ISBLANK(X5:X9),ISBLANK(AV5:AV9)), "·", bdRateExtend( N5:N9,X5:X9, AL5:AL9,AV5:AV9))</f>
        <v>6.1860311059596995E-2</v>
      </c>
      <c r="BK5" s="24">
        <f>IF( OR(ISBLANK(V5:V9),ISBLANK(AT5:AT9), ISBLANK(Y5:Y9),ISBLANK(AW5:AW9)), "·", bdRateExtend( V5:V9,Y5:Y9, AT5:AT9,AW5:AW9))</f>
        <v>5.8215433622988977E-2</v>
      </c>
      <c r="BL5" s="24">
        <f>IF( OR(ISBLANK(V5:V9),ISBLANK(AT5:AT9), ISBLANK(Z5:Z9),ISBLANK(AX5:AX9)), "·", bdRateExtend( V5:V9,Z5:Z9, AT5:AT9,AX5:AX9))</f>
        <v>0.11952368432652971</v>
      </c>
      <c r="BM5" s="24">
        <f>IF( OR(ISBLANK(V5:V9),ISBLANK(AT5:AT9), ISBLANK(AA5:AA9),ISBLANK(AY5:AY9)), "·", bdRateExtend( V5:V9,AA5:AA9, AT5:AT9,AY5:AY9))</f>
        <v>8.8048804918047896E-2</v>
      </c>
      <c r="BO5" s="24">
        <f>IF( OR(ISBLANK(S5:S9),ISBLANK(AQ5:AQ9), ISBLANK(W5:W9),ISBLANK(AU5:AU9)), "·", bdRateExtend( S5:S9,W5:W9, AQ5:AQ9,AU5:AU9))</f>
        <v>2.6597320655793677E-2</v>
      </c>
      <c r="BP5" s="24">
        <f>IF( OR(ISBLANK(S5:S9),ISBLANK(AQ5:AQ9), ISBLANK(X5:X9),ISBLANK(AV5:AV9)), "·", bdRateExtend( S5:S9,X5:X9, AQ5:AQ9,AV5:AV9))</f>
        <v>0.11661327393559451</v>
      </c>
      <c r="BQ5" s="24">
        <f>IF( OR(ISBLANK(S5:S9),ISBLANK(AQ5:AQ9), ISBLANK(Y5:Y9),ISBLANK(AW5:AW9)), "·", bdRateExtend( S5:S9,Y5:Y9, AQ5:AQ9,AW5:AW9))</f>
        <v>2.4572715485275287E-2</v>
      </c>
      <c r="BR5" s="24">
        <f>IF( OR(ISBLANK(S5:S9),ISBLANK(AQ5:AQ9), ISBLANK(Z5:Z9),ISBLANK(AX5:AX9)), "·", bdRateExtend( S5:S9,Z5:Z9, AQ5:AQ9,AX5:AX9))</f>
        <v>5.5335378814477032E-2</v>
      </c>
      <c r="BS5" s="24">
        <f>IF( OR(ISBLANK(S5:S9),ISBLANK(AQ5:AQ9), ISBLANK(AA5:AA9),ISBLANK(AY5:AY9)), "·", bdRateExtend( S5:S9,AA5:AA9, AQ5:AQ9,AY5:AY9))</f>
        <v>4.1398090285907907E-2</v>
      </c>
    </row>
    <row r="6" spans="1:71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1.757385</v>
      </c>
      <c r="J6" s="28">
        <f t="shared" si="1"/>
        <v>7.5088863751700874E-2</v>
      </c>
      <c r="K6" s="28">
        <f t="shared" si="2"/>
        <v>5.6830500753054125E-2</v>
      </c>
      <c r="L6" s="28">
        <f t="shared" si="3"/>
        <v>3.7120787606610563E-2</v>
      </c>
      <c r="M6" s="28">
        <f t="shared" si="4"/>
        <v>1.8239776487590838E-2</v>
      </c>
      <c r="N6" s="25">
        <f t="shared" si="5"/>
        <v>1418736</v>
      </c>
      <c r="O6" s="28">
        <f t="shared" si="6"/>
        <v>4.8819423262512061E-2</v>
      </c>
      <c r="P6" s="29">
        <v>38397504</v>
      </c>
      <c r="Q6" s="29">
        <v>1199922</v>
      </c>
      <c r="R6" s="29">
        <v>447392.5</v>
      </c>
      <c r="S6" s="30">
        <v>1874544</v>
      </c>
      <c r="T6" s="30">
        <v>926696</v>
      </c>
      <c r="U6" s="30">
        <v>492040</v>
      </c>
      <c r="V6" s="30">
        <v>455344</v>
      </c>
      <c r="W6" s="31">
        <v>68.493931250000003</v>
      </c>
      <c r="X6" s="31">
        <v>70.728893749999997</v>
      </c>
      <c r="Y6" s="31">
        <v>33.457825</v>
      </c>
      <c r="Z6" s="31">
        <v>45.121915625</v>
      </c>
      <c r="AA6" s="31">
        <v>44.546796874999998</v>
      </c>
      <c r="AB6" s="32">
        <v>6243.7</v>
      </c>
      <c r="AC6" s="32">
        <v>4458.21</v>
      </c>
      <c r="AD6" s="32">
        <v>8.6929999999999996</v>
      </c>
      <c r="AE6" s="32">
        <v>21.294</v>
      </c>
      <c r="AG6" s="27">
        <f t="shared" si="7"/>
        <v>1.7868075000000001</v>
      </c>
      <c r="AH6" s="28">
        <f t="shared" si="8"/>
        <v>7.6346016904672145E-2</v>
      </c>
      <c r="AI6" s="28">
        <f t="shared" si="9"/>
        <v>5.7033350089233277E-2</v>
      </c>
      <c r="AJ6" s="28">
        <f t="shared" si="10"/>
        <v>3.7037789221033311E-2</v>
      </c>
      <c r="AK6" s="28">
        <f t="shared" si="11"/>
        <v>1.929375984729579E-2</v>
      </c>
      <c r="AL6" s="25">
        <f t="shared" si="12"/>
        <v>1423800</v>
      </c>
      <c r="AM6" s="28">
        <f t="shared" si="13"/>
        <v>7.7184801163469166E-2</v>
      </c>
      <c r="AN6" s="29">
        <v>24693048</v>
      </c>
      <c r="AO6" s="29">
        <v>771657.75</v>
      </c>
      <c r="AP6" s="29">
        <v>19943.125</v>
      </c>
      <c r="AQ6" s="30">
        <v>1905928</v>
      </c>
      <c r="AR6" s="30">
        <v>924624</v>
      </c>
      <c r="AS6" s="30">
        <v>499176</v>
      </c>
      <c r="AT6" s="30">
        <v>481656</v>
      </c>
      <c r="AU6" s="31">
        <v>68.437731249999999</v>
      </c>
      <c r="AV6" s="31">
        <v>70.442346874999998</v>
      </c>
      <c r="AW6" s="31">
        <v>33.412203124999998</v>
      </c>
      <c r="AX6" s="31">
        <v>44.839784375000001</v>
      </c>
      <c r="AY6" s="31">
        <v>44.466918749999998</v>
      </c>
      <c r="AZ6" s="32">
        <v>2869.31</v>
      </c>
      <c r="BA6" s="32">
        <v>4470.34</v>
      </c>
      <c r="BB6" s="32">
        <v>6.7240000000000002</v>
      </c>
      <c r="BC6" s="32">
        <v>21.864999999999998</v>
      </c>
      <c r="BE6" s="33">
        <f t="shared" si="14"/>
        <v>-0.34700679757144881</v>
      </c>
      <c r="BF6" s="33">
        <f t="shared" si="15"/>
        <v>-9.8056007394939915E-3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2.4439350000000002</v>
      </c>
      <c r="J7" s="18">
        <f t="shared" si="1"/>
        <v>0.10442350551132112</v>
      </c>
      <c r="K7" s="18">
        <f t="shared" si="2"/>
        <v>6.9048568115617395E-2</v>
      </c>
      <c r="L7" s="18">
        <f t="shared" si="3"/>
        <v>4.9338854969173833E-2</v>
      </c>
      <c r="M7" s="18">
        <f t="shared" si="4"/>
        <v>3.5356350884647829E-2</v>
      </c>
      <c r="N7" s="15">
        <f t="shared" si="5"/>
        <v>1723752</v>
      </c>
      <c r="O7" s="18">
        <f t="shared" si="6"/>
        <v>6.7891496280591573E-2</v>
      </c>
      <c r="P7" s="19">
        <v>38397504</v>
      </c>
      <c r="Q7" s="19">
        <v>1199922</v>
      </c>
      <c r="R7" s="19">
        <v>444743.4375</v>
      </c>
      <c r="S7" s="20">
        <v>2606864</v>
      </c>
      <c r="T7" s="20">
        <v>1231712</v>
      </c>
      <c r="U7" s="20">
        <v>492040</v>
      </c>
      <c r="V7" s="20">
        <v>882648</v>
      </c>
      <c r="W7" s="21">
        <v>69.763634374999995</v>
      </c>
      <c r="X7" s="21">
        <v>72.427296874999996</v>
      </c>
      <c r="Y7" s="21">
        <v>35.883809374999998</v>
      </c>
      <c r="Z7" s="21">
        <v>46.23154375</v>
      </c>
      <c r="AA7" s="21">
        <v>46.073384375000003</v>
      </c>
      <c r="AB7" s="22">
        <v>6217.11</v>
      </c>
      <c r="AC7" s="22">
        <v>4716.82</v>
      </c>
      <c r="AD7" s="22">
        <v>8.5129999999999999</v>
      </c>
      <c r="AE7" s="22">
        <v>21.916</v>
      </c>
      <c r="AG7" s="17">
        <f t="shared" si="7"/>
        <v>2.4900224999999998</v>
      </c>
      <c r="AH7" s="18">
        <f t="shared" si="8"/>
        <v>0.10639271431198605</v>
      </c>
      <c r="AI7" s="18">
        <f t="shared" si="9"/>
        <v>6.9324161210584323E-2</v>
      </c>
      <c r="AJ7" s="18">
        <f t="shared" si="10"/>
        <v>4.9328600342384364E-2</v>
      </c>
      <c r="AK7" s="18">
        <f t="shared" si="11"/>
        <v>3.7049646133258632E-2</v>
      </c>
      <c r="AL7" s="15">
        <f t="shared" si="12"/>
        <v>1730632</v>
      </c>
      <c r="AM7" s="18">
        <f t="shared" si="13"/>
        <v>0.1067705204272149</v>
      </c>
      <c r="AN7" s="19">
        <v>24876005</v>
      </c>
      <c r="AO7" s="19">
        <v>777375.15625</v>
      </c>
      <c r="AP7" s="19">
        <v>21136.9375</v>
      </c>
      <c r="AQ7" s="20">
        <v>2656024</v>
      </c>
      <c r="AR7" s="20">
        <v>1231456</v>
      </c>
      <c r="AS7" s="20">
        <v>499176</v>
      </c>
      <c r="AT7" s="20">
        <v>924920</v>
      </c>
      <c r="AU7" s="21">
        <v>69.746521874999999</v>
      </c>
      <c r="AV7" s="21">
        <v>72.101209374999996</v>
      </c>
      <c r="AW7" s="21">
        <v>35.850993750000001</v>
      </c>
      <c r="AX7" s="21">
        <v>46.146181249999998</v>
      </c>
      <c r="AY7" s="21">
        <v>45.917096874999999</v>
      </c>
      <c r="AZ7" s="22">
        <v>2881.14</v>
      </c>
      <c r="BA7" s="22">
        <v>4742.04</v>
      </c>
      <c r="BB7" s="22">
        <v>6.7389999999999999</v>
      </c>
      <c r="BC7" s="22">
        <v>21.835000000000001</v>
      </c>
      <c r="BE7" s="23">
        <f t="shared" si="14"/>
        <v>-0.34345348544081045</v>
      </c>
      <c r="BF7" s="23">
        <f t="shared" si="15"/>
        <v>-9.6483900943095113E-3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4.0550625</v>
      </c>
      <c r="J8" s="28">
        <f t="shared" si="1"/>
        <v>0.17326313560610312</v>
      </c>
      <c r="K8" s="28">
        <f t="shared" si="2"/>
        <v>9.5791673411286929E-2</v>
      </c>
      <c r="L8" s="28">
        <f t="shared" si="3"/>
        <v>7.608196026484336E-2</v>
      </c>
      <c r="M8" s="28">
        <f t="shared" si="4"/>
        <v>7.7452875683760289E-2</v>
      </c>
      <c r="N8" s="25">
        <f t="shared" si="5"/>
        <v>2391376</v>
      </c>
      <c r="O8" s="28">
        <f t="shared" si="6"/>
        <v>0.11264794711656258</v>
      </c>
      <c r="P8" s="29">
        <v>38397504</v>
      </c>
      <c r="Q8" s="29">
        <v>1199922</v>
      </c>
      <c r="R8" s="29">
        <v>411215.1875</v>
      </c>
      <c r="S8" s="30">
        <v>4325400</v>
      </c>
      <c r="T8" s="30">
        <v>1899336</v>
      </c>
      <c r="U8" s="30">
        <v>492040</v>
      </c>
      <c r="V8" s="30">
        <v>1933560</v>
      </c>
      <c r="W8" s="31">
        <v>70.786365625000002</v>
      </c>
      <c r="X8" s="31">
        <v>73.612215625000005</v>
      </c>
      <c r="Y8" s="31">
        <v>38.450990625000003</v>
      </c>
      <c r="Z8" s="31">
        <v>47.599978125</v>
      </c>
      <c r="AA8" s="31">
        <v>47.384306250000002</v>
      </c>
      <c r="AB8" s="32">
        <v>6238.08</v>
      </c>
      <c r="AC8" s="32">
        <v>5169</v>
      </c>
      <c r="AD8" s="32">
        <v>8.6120000000000001</v>
      </c>
      <c r="AE8" s="32">
        <v>22.346</v>
      </c>
      <c r="AG8" s="27">
        <f t="shared" si="7"/>
        <v>4.1190600000000002</v>
      </c>
      <c r="AH8" s="28">
        <f t="shared" si="8"/>
        <v>0.17599759593093203</v>
      </c>
      <c r="AI8" s="28">
        <f t="shared" si="9"/>
        <v>9.5772445986056678E-2</v>
      </c>
      <c r="AJ8" s="28">
        <f t="shared" si="10"/>
        <v>7.5776885117856713E-2</v>
      </c>
      <c r="AK8" s="28">
        <f t="shared" si="11"/>
        <v>8.0206242976732289E-2</v>
      </c>
      <c r="AL8" s="25">
        <f t="shared" si="12"/>
        <v>2390896</v>
      </c>
      <c r="AM8" s="28">
        <f t="shared" si="13"/>
        <v>0.16871227059001973</v>
      </c>
      <c r="AN8" s="29">
        <v>26042350</v>
      </c>
      <c r="AO8" s="29">
        <v>813823.4375</v>
      </c>
      <c r="AP8" s="29">
        <v>24959.15625</v>
      </c>
      <c r="AQ8" s="30">
        <v>4393664</v>
      </c>
      <c r="AR8" s="30">
        <v>1891720</v>
      </c>
      <c r="AS8" s="30">
        <v>499176</v>
      </c>
      <c r="AT8" s="30">
        <v>2002296</v>
      </c>
      <c r="AU8" s="31">
        <v>70.765909375000007</v>
      </c>
      <c r="AV8" s="31">
        <v>73.298596875000001</v>
      </c>
      <c r="AW8" s="31">
        <v>38.416184375</v>
      </c>
      <c r="AX8" s="31">
        <v>47.510184375000001</v>
      </c>
      <c r="AY8" s="31">
        <v>47.331428125000002</v>
      </c>
      <c r="AZ8" s="32">
        <v>2868.66</v>
      </c>
      <c r="BA8" s="32">
        <v>5122.1499999999996</v>
      </c>
      <c r="BB8" s="32">
        <v>6.8479999999999999</v>
      </c>
      <c r="BC8" s="32">
        <v>22.390999999999998</v>
      </c>
      <c r="BE8" s="33">
        <f t="shared" si="14"/>
        <v>-0.31203259207529965</v>
      </c>
      <c r="BF8" s="33">
        <f t="shared" si="15"/>
        <v>-8.6991160527484235E-3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outlineLevel="1" x14ac:dyDescent="0.3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8.3790449999999996</v>
      </c>
      <c r="J9" s="38">
        <f t="shared" si="1"/>
        <v>0.35801658052980451</v>
      </c>
      <c r="K9" s="38">
        <f t="shared" si="2"/>
        <v>0.14335231200374968</v>
      </c>
      <c r="L9" s="38">
        <f t="shared" si="3"/>
        <v>0.12364259885730611</v>
      </c>
      <c r="M9" s="38">
        <f t="shared" si="4"/>
        <v>0.21464568201499892</v>
      </c>
      <c r="N9" s="35">
        <f t="shared" si="5"/>
        <v>3578696</v>
      </c>
      <c r="O9" s="38">
        <f t="shared" si="6"/>
        <v>0.23276637981468795</v>
      </c>
      <c r="P9" s="39">
        <v>38397504</v>
      </c>
      <c r="Q9" s="39">
        <v>1199922</v>
      </c>
      <c r="R9" s="39">
        <v>405252.71875</v>
      </c>
      <c r="S9" s="40">
        <v>8937648</v>
      </c>
      <c r="T9" s="40">
        <v>3086656</v>
      </c>
      <c r="U9" s="40">
        <v>492040</v>
      </c>
      <c r="V9" s="40">
        <v>5358488</v>
      </c>
      <c r="W9" s="41">
        <v>71.592465625000003</v>
      </c>
      <c r="X9" s="41">
        <v>74.695543749999999</v>
      </c>
      <c r="Y9" s="41">
        <v>41.154290625000002</v>
      </c>
      <c r="Z9" s="41">
        <v>49.258656250000001</v>
      </c>
      <c r="AA9" s="41">
        <v>49.373762499999998</v>
      </c>
      <c r="AB9" s="42">
        <v>6218.89</v>
      </c>
      <c r="AC9" s="42">
        <v>5588.61</v>
      </c>
      <c r="AD9" s="42">
        <v>8.1530000000000005</v>
      </c>
      <c r="AE9" s="42">
        <v>22.79</v>
      </c>
      <c r="AG9" s="37">
        <f t="shared" si="7"/>
        <v>8.4549824999999998</v>
      </c>
      <c r="AH9" s="38">
        <f t="shared" si="8"/>
        <v>0.3612612085374094</v>
      </c>
      <c r="AI9" s="38">
        <f t="shared" si="9"/>
        <v>0.14293796099003775</v>
      </c>
      <c r="AJ9" s="38">
        <f t="shared" si="10"/>
        <v>0.12294240012183778</v>
      </c>
      <c r="AK9" s="38">
        <f t="shared" si="11"/>
        <v>0.2183043405792286</v>
      </c>
      <c r="AL9" s="35">
        <f t="shared" si="12"/>
        <v>3568352</v>
      </c>
      <c r="AM9" s="38">
        <f t="shared" si="13"/>
        <v>0.34309870664353131</v>
      </c>
      <c r="AN9" s="39">
        <v>26285870</v>
      </c>
      <c r="AO9" s="39">
        <v>821433.4375</v>
      </c>
      <c r="AP9" s="39">
        <v>26542.1875</v>
      </c>
      <c r="AQ9" s="40">
        <v>9018648</v>
      </c>
      <c r="AR9" s="40">
        <v>3069176</v>
      </c>
      <c r="AS9" s="40">
        <v>499176</v>
      </c>
      <c r="AT9" s="40">
        <v>5449824</v>
      </c>
      <c r="AU9" s="41">
        <v>71.578540625000002</v>
      </c>
      <c r="AV9" s="41">
        <v>74.345293749999996</v>
      </c>
      <c r="AW9" s="41">
        <v>41.076818750000001</v>
      </c>
      <c r="AX9" s="41">
        <v>49.243762500000003</v>
      </c>
      <c r="AY9" s="41">
        <v>49.251246875</v>
      </c>
      <c r="AZ9" s="42">
        <v>2878.38</v>
      </c>
      <c r="BA9" s="42">
        <v>5686.98</v>
      </c>
      <c r="BB9" s="42">
        <v>6.9029999999999996</v>
      </c>
      <c r="BC9" s="42">
        <v>23.722000000000001</v>
      </c>
      <c r="BE9" s="43">
        <f t="shared" si="14"/>
        <v>-0.30542051472701259</v>
      </c>
      <c r="BF9" s="43">
        <f t="shared" si="15"/>
        <v>-4.7431676614630991E-3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2.1251699999999998</v>
      </c>
      <c r="J10" s="28">
        <f t="shared" si="1"/>
        <v>0.1000604331384415</v>
      </c>
      <c r="K10" s="28">
        <f t="shared" si="2"/>
        <v>7.1930398468950649E-2</v>
      </c>
      <c r="L10" s="28">
        <f t="shared" si="3"/>
        <v>3.8202960089365655E-2</v>
      </c>
      <c r="M10" s="28">
        <f t="shared" si="4"/>
        <v>2.8109553348742291E-2</v>
      </c>
      <c r="N10" s="25">
        <f t="shared" si="5"/>
        <v>1629568</v>
      </c>
      <c r="O10" s="28">
        <f t="shared" si="6"/>
        <v>6.607252784151324E-2</v>
      </c>
      <c r="P10" s="29">
        <v>34308480</v>
      </c>
      <c r="Q10" s="29">
        <v>1072140</v>
      </c>
      <c r="R10" s="29">
        <v>438708.59375</v>
      </c>
      <c r="S10" s="30">
        <v>2266848</v>
      </c>
      <c r="T10" s="30">
        <v>865480</v>
      </c>
      <c r="U10" s="30">
        <v>764088</v>
      </c>
      <c r="V10" s="30">
        <v>636816</v>
      </c>
      <c r="W10" s="31">
        <v>65.978640624999997</v>
      </c>
      <c r="X10" s="31">
        <v>68.100650000000002</v>
      </c>
      <c r="Y10" s="31">
        <v>30.762599999999999</v>
      </c>
      <c r="Z10" s="31">
        <v>38.336424999999998</v>
      </c>
      <c r="AA10" s="31">
        <v>29.873790625000002</v>
      </c>
      <c r="AB10" s="32">
        <v>5699.89</v>
      </c>
      <c r="AC10" s="32">
        <v>4863.51</v>
      </c>
      <c r="AD10" s="32">
        <v>8.0839999999999996</v>
      </c>
      <c r="AE10" s="32">
        <v>21.949000000000002</v>
      </c>
      <c r="AG10" s="27">
        <f t="shared" si="7"/>
        <v>2.1041625000000002</v>
      </c>
      <c r="AH10" s="28">
        <f t="shared" si="8"/>
        <v>9.9071326596773868E-2</v>
      </c>
      <c r="AI10" s="28">
        <f t="shared" si="9"/>
        <v>7.1505234500308087E-2</v>
      </c>
      <c r="AJ10" s="28">
        <f t="shared" si="10"/>
        <v>3.8061709601444532E-2</v>
      </c>
      <c r="AK10" s="28">
        <f t="shared" si="11"/>
        <v>2.7545257649497421E-2</v>
      </c>
      <c r="AL10" s="25">
        <f t="shared" si="12"/>
        <v>1619936</v>
      </c>
      <c r="AM10" s="28">
        <f t="shared" si="13"/>
        <v>0.10691072337267121</v>
      </c>
      <c r="AN10" s="29">
        <v>20993591</v>
      </c>
      <c r="AO10" s="29">
        <v>656049.71875</v>
      </c>
      <c r="AP10" s="29">
        <v>19815.4375</v>
      </c>
      <c r="AQ10" s="30">
        <v>2244440</v>
      </c>
      <c r="AR10" s="30">
        <v>862280</v>
      </c>
      <c r="AS10" s="30">
        <v>757656</v>
      </c>
      <c r="AT10" s="30">
        <v>624032</v>
      </c>
      <c r="AU10" s="31">
        <v>65.961984375</v>
      </c>
      <c r="AV10" s="31">
        <v>67.819225000000003</v>
      </c>
      <c r="AW10" s="31">
        <v>30.780918750000001</v>
      </c>
      <c r="AX10" s="31">
        <v>38.347728125000003</v>
      </c>
      <c r="AY10" s="31">
        <v>29.883928125000001</v>
      </c>
      <c r="AZ10" s="32">
        <v>2618.6999999999998</v>
      </c>
      <c r="BA10" s="32">
        <v>4838.09</v>
      </c>
      <c r="BB10" s="32">
        <v>6.3449999999999998</v>
      </c>
      <c r="BC10" s="32">
        <v>23.026</v>
      </c>
      <c r="BE10" s="33">
        <f t="shared" si="14"/>
        <v>-0.37898548183147934</v>
      </c>
      <c r="BF10" s="33">
        <f t="shared" si="15"/>
        <v>2.8855433247531037E-3</v>
      </c>
      <c r="BG10" s="33">
        <f t="array" ref="BG10">AVERAGE(AL10:AL14/AQ10:AQ14) - AVERAGE(N10:N14/S10:S14)</f>
        <v>3.0099700106088756E-3</v>
      </c>
      <c r="BI10" s="34">
        <f>IF( OR(ISBLANK(N10:N14),ISBLANK(AL10:AL14), ISBLANK(W10:W14),ISBLANK(AU10:AU14)), "·", bdRateExtend( N10:N14,W10:W14, AL10:AL14,AU10:AU14))</f>
        <v>2.1996234390118108E-3</v>
      </c>
      <c r="BJ10" s="34">
        <f>IF( OR(ISBLANK(N10:N14),ISBLANK(AL10:AL14), ISBLANK(X10:X14),ISBLANK(AV10:AV14)), "·", bdRateExtend( N10:N14,X10:X14, AL10:AL14,AV10:AV14))</f>
        <v>4.8751189180608723E-2</v>
      </c>
      <c r="BK10" s="34">
        <f>IF( OR(ISBLANK(V10:V14),ISBLANK(AT10:AT14), ISBLANK(Y10:Y14),ISBLANK(AW10:AW14)), "·", bdRateExtend( V10:V14,Y10:Y14, AT10:AT14,AW10:AW14))</f>
        <v>-1.6192969481194197E-2</v>
      </c>
      <c r="BL10" s="34">
        <f>IF( OR(ISBLANK(V10:V14),ISBLANK(AT10:AT14), ISBLANK(Z10:Z14),ISBLANK(AX10:AX14)), "·", bdRateExtend( V10:V14,Z10:Z14, AT10:AT14,AX10:AX14))</f>
        <v>-2.3678455437532331E-2</v>
      </c>
      <c r="BM10" s="34">
        <f>IF( OR(ISBLANK(V10:V14),ISBLANK(AT10:AT14), ISBLANK(AA10:AA14),ISBLANK(AY10:AY14)), "·", bdRateExtend( V10:V14,AA10:AA14, AT10:AT14,AY10:AY14))</f>
        <v>-1.7579384729686232E-2</v>
      </c>
      <c r="BO10" s="34">
        <f>IF( OR(ISBLANK(S10:S14),ISBLANK(AQ10:AQ14), ISBLANK(W10:W14),ISBLANK(AU10:AU14)), "·", bdRateExtend( S10:S14,W10:W14, AQ10:AQ14,AU10:AU14))</f>
        <v>1.1479731554013828E-3</v>
      </c>
      <c r="BP10" s="34">
        <f>IF( OR(ISBLANK(S10:S14),ISBLANK(AQ10:AQ14), ISBLANK(X10:X14),ISBLANK(AV10:AV14)), "·", bdRateExtend( S10:S14,X10:X14, AQ10:AQ14,AV10:AV14))</f>
        <v>7.9051468063209507E-2</v>
      </c>
      <c r="BQ10" s="34">
        <f>IF( OR(ISBLANK(S10:S14),ISBLANK(AQ10:AQ14), ISBLANK(Y10:Y14),ISBLANK(AW10:AW14)), "·", bdRateExtend( S10:S14,Y10:Y14, AQ10:AQ14,AW10:AW14))</f>
        <v>-9.1251280861333051E-3</v>
      </c>
      <c r="BR10" s="34">
        <f>IF( OR(ISBLANK(S10:S14),ISBLANK(AQ10:AQ14), ISBLANK(Z10:Z14),ISBLANK(AX10:AX14)), "·", bdRateExtend( S10:S14,Z10:Z14, AQ10:AQ14,AX10:AX14))</f>
        <v>-1.4199046375473423E-2</v>
      </c>
      <c r="BS10" s="34">
        <f>IF( OR(ISBLANK(S10:S14),ISBLANK(AQ10:AQ14), ISBLANK(AA10:AA14),ISBLANK(AY10:AY14)), "·", bdRateExtend( S10:S14,AA10:AA14, AQ10:AQ14,AY10:AY14))</f>
        <v>-1.0481874501868549E-2</v>
      </c>
    </row>
    <row r="11" spans="1:71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2.9279475000000001</v>
      </c>
      <c r="J11" s="18">
        <f t="shared" si="1"/>
        <v>0.13785800432747355</v>
      </c>
      <c r="K11" s="18">
        <f t="shared" si="2"/>
        <v>8.7392030003016138E-2</v>
      </c>
      <c r="L11" s="18">
        <f t="shared" si="3"/>
        <v>5.3664591623431145E-2</v>
      </c>
      <c r="M11" s="18">
        <f t="shared" si="4"/>
        <v>5.044549300370884E-2</v>
      </c>
      <c r="N11" s="15">
        <f t="shared" si="5"/>
        <v>1979848</v>
      </c>
      <c r="O11" s="18">
        <f t="shared" si="6"/>
        <v>9.1031255246516313E-2</v>
      </c>
      <c r="P11" s="19">
        <v>34308480</v>
      </c>
      <c r="Q11" s="19">
        <v>1072140</v>
      </c>
      <c r="R11" s="19">
        <v>395187.53125</v>
      </c>
      <c r="S11" s="20">
        <v>3123144</v>
      </c>
      <c r="T11" s="20">
        <v>1215760</v>
      </c>
      <c r="U11" s="20">
        <v>764088</v>
      </c>
      <c r="V11" s="20">
        <v>1142832</v>
      </c>
      <c r="W11" s="21">
        <v>67.702078125</v>
      </c>
      <c r="X11" s="21">
        <v>69.947428125000002</v>
      </c>
      <c r="Y11" s="21">
        <v>32.676840624999997</v>
      </c>
      <c r="Z11" s="21">
        <v>39.478581249999998</v>
      </c>
      <c r="AA11" s="21">
        <v>32.16026875</v>
      </c>
      <c r="AB11" s="22">
        <v>5697.63</v>
      </c>
      <c r="AC11" s="22">
        <v>5237.55</v>
      </c>
      <c r="AD11" s="22">
        <v>7.9569999999999999</v>
      </c>
      <c r="AE11" s="22">
        <v>22.059000000000001</v>
      </c>
      <c r="AG11" s="17">
        <f t="shared" si="7"/>
        <v>2.9042625000000002</v>
      </c>
      <c r="AH11" s="18">
        <f t="shared" si="8"/>
        <v>0.1367428317253363</v>
      </c>
      <c r="AI11" s="18">
        <f t="shared" si="9"/>
        <v>8.6959097257537907E-2</v>
      </c>
      <c r="AJ11" s="18">
        <f t="shared" si="10"/>
        <v>5.3515572358674365E-2</v>
      </c>
      <c r="AK11" s="18">
        <f t="shared" si="11"/>
        <v>4.9762900020830031E-2</v>
      </c>
      <c r="AL11" s="15">
        <f t="shared" si="12"/>
        <v>1970040</v>
      </c>
      <c r="AM11" s="18">
        <f t="shared" si="13"/>
        <v>0.13786759960986142</v>
      </c>
      <c r="AN11" s="19">
        <v>22469964</v>
      </c>
      <c r="AO11" s="19">
        <v>702186.375</v>
      </c>
      <c r="AP11" s="19">
        <v>25184.25</v>
      </c>
      <c r="AQ11" s="20">
        <v>3097880</v>
      </c>
      <c r="AR11" s="20">
        <v>1212384</v>
      </c>
      <c r="AS11" s="20">
        <v>757656</v>
      </c>
      <c r="AT11" s="20">
        <v>1127368</v>
      </c>
      <c r="AU11" s="21">
        <v>67.681240625000001</v>
      </c>
      <c r="AV11" s="21">
        <v>69.702296875000002</v>
      </c>
      <c r="AW11" s="21">
        <v>32.694362499999997</v>
      </c>
      <c r="AX11" s="21">
        <v>39.520256250000003</v>
      </c>
      <c r="AY11" s="21">
        <v>32.160274999999999</v>
      </c>
      <c r="AZ11" s="22">
        <v>2625.67</v>
      </c>
      <c r="BA11" s="22">
        <v>5245.78</v>
      </c>
      <c r="BB11" s="22">
        <v>6.3209999999999997</v>
      </c>
      <c r="BC11" s="22">
        <v>23.027000000000001</v>
      </c>
      <c r="BE11" s="23">
        <f t="shared" si="14"/>
        <v>-0.33273146943809206</v>
      </c>
      <c r="BF11" s="23">
        <f t="shared" si="15"/>
        <v>2.0038069636605371E-3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4.2119625000000003</v>
      </c>
      <c r="J12" s="28">
        <f t="shared" si="1"/>
        <v>0.19831391941015208</v>
      </c>
      <c r="K12" s="28">
        <f t="shared" si="2"/>
        <v>0.10998327991490012</v>
      </c>
      <c r="L12" s="28">
        <f t="shared" si="3"/>
        <v>7.6255841535315116E-2</v>
      </c>
      <c r="M12" s="28">
        <f t="shared" si="4"/>
        <v>8.8310158174503411E-2</v>
      </c>
      <c r="N12" s="25">
        <f t="shared" si="5"/>
        <v>2491648</v>
      </c>
      <c r="O12" s="28">
        <f t="shared" si="6"/>
        <v>0.13095188128416066</v>
      </c>
      <c r="P12" s="29">
        <v>34308480</v>
      </c>
      <c r="Q12" s="29">
        <v>1072140</v>
      </c>
      <c r="R12" s="29">
        <v>387576.71875</v>
      </c>
      <c r="S12" s="30">
        <v>4492760</v>
      </c>
      <c r="T12" s="30">
        <v>1727560</v>
      </c>
      <c r="U12" s="30">
        <v>764088</v>
      </c>
      <c r="V12" s="30">
        <v>2000648</v>
      </c>
      <c r="W12" s="31">
        <v>69.048775000000006</v>
      </c>
      <c r="X12" s="31">
        <v>71.616512499999999</v>
      </c>
      <c r="Y12" s="31">
        <v>34.753162500000002</v>
      </c>
      <c r="Z12" s="31">
        <v>40.447934375000003</v>
      </c>
      <c r="AA12" s="31">
        <v>34.064371874999999</v>
      </c>
      <c r="AB12" s="32">
        <v>5691.03</v>
      </c>
      <c r="AC12" s="32">
        <v>5586.45</v>
      </c>
      <c r="AD12" s="32">
        <v>7.867</v>
      </c>
      <c r="AE12" s="32">
        <v>22.995999999999999</v>
      </c>
      <c r="AG12" s="27">
        <f t="shared" si="7"/>
        <v>4.1676525</v>
      </c>
      <c r="AH12" s="28">
        <f t="shared" si="8"/>
        <v>0.19622764970355716</v>
      </c>
      <c r="AI12" s="28">
        <f t="shared" si="9"/>
        <v>0.10953198460599213</v>
      </c>
      <c r="AJ12" s="28">
        <f t="shared" si="10"/>
        <v>7.6088459707128589E-2</v>
      </c>
      <c r="AK12" s="28">
        <f t="shared" si="11"/>
        <v>8.6674830650596654E-2</v>
      </c>
      <c r="AL12" s="25">
        <f t="shared" si="12"/>
        <v>2481424</v>
      </c>
      <c r="AM12" s="28">
        <f t="shared" si="13"/>
        <v>0.19492934194154007</v>
      </c>
      <c r="AN12" s="29">
        <v>22805679</v>
      </c>
      <c r="AO12" s="29">
        <v>712677.46875</v>
      </c>
      <c r="AP12" s="29">
        <v>26777.15625</v>
      </c>
      <c r="AQ12" s="30">
        <v>4445496</v>
      </c>
      <c r="AR12" s="30">
        <v>1723768</v>
      </c>
      <c r="AS12" s="30">
        <v>757656</v>
      </c>
      <c r="AT12" s="30">
        <v>1963600</v>
      </c>
      <c r="AU12" s="31">
        <v>69.028450000000007</v>
      </c>
      <c r="AV12" s="31">
        <v>71.349162500000006</v>
      </c>
      <c r="AW12" s="31">
        <v>34.763062499999997</v>
      </c>
      <c r="AX12" s="31">
        <v>40.446318750000003</v>
      </c>
      <c r="AY12" s="31">
        <v>34.07218125</v>
      </c>
      <c r="AZ12" s="32">
        <v>2615.41</v>
      </c>
      <c r="BA12" s="32">
        <v>5561.1</v>
      </c>
      <c r="BB12" s="32">
        <v>6.5279999999999996</v>
      </c>
      <c r="BC12" s="32">
        <v>23.629000000000001</v>
      </c>
      <c r="BE12" s="33">
        <f t="shared" si="14"/>
        <v>-0.32392562086784388</v>
      </c>
      <c r="BF12" s="33">
        <f t="shared" si="15"/>
        <v>3.596500448259099E-3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6.9183824999999999</v>
      </c>
      <c r="J13" s="18">
        <f t="shared" si="1"/>
        <v>0.3257416345833104</v>
      </c>
      <c r="K13" s="18">
        <f t="shared" si="2"/>
        <v>0.15037597569326291</v>
      </c>
      <c r="L13" s="18">
        <f t="shared" si="3"/>
        <v>0.11664853731367791</v>
      </c>
      <c r="M13" s="18">
        <f t="shared" si="4"/>
        <v>0.17534517756929893</v>
      </c>
      <c r="N13" s="15">
        <f t="shared" si="5"/>
        <v>3406736</v>
      </c>
      <c r="O13" s="18">
        <f t="shared" si="6"/>
        <v>0.21509574309325274</v>
      </c>
      <c r="P13" s="19">
        <v>34308480</v>
      </c>
      <c r="Q13" s="19">
        <v>1072140</v>
      </c>
      <c r="R13" s="19">
        <v>360032.21875</v>
      </c>
      <c r="S13" s="20">
        <v>7379608</v>
      </c>
      <c r="T13" s="20">
        <v>2642648</v>
      </c>
      <c r="U13" s="20">
        <v>764088</v>
      </c>
      <c r="V13" s="20">
        <v>3972408</v>
      </c>
      <c r="W13" s="21">
        <v>70.040359374999994</v>
      </c>
      <c r="X13" s="21">
        <v>72.801649999999995</v>
      </c>
      <c r="Y13" s="21">
        <v>37.028540624999998</v>
      </c>
      <c r="Z13" s="21">
        <v>41.521828124999999</v>
      </c>
      <c r="AA13" s="21">
        <v>36.086593749999999</v>
      </c>
      <c r="AB13" s="22">
        <v>5728.05</v>
      </c>
      <c r="AC13" s="22">
        <v>6054.2</v>
      </c>
      <c r="AD13" s="22">
        <v>7.9969999999999999</v>
      </c>
      <c r="AE13" s="22">
        <v>24.064</v>
      </c>
      <c r="AG13" s="17">
        <f t="shared" si="7"/>
        <v>6.8598074999999996</v>
      </c>
      <c r="AH13" s="18">
        <f t="shared" si="8"/>
        <v>0.32298371880665055</v>
      </c>
      <c r="AI13" s="18">
        <f t="shared" si="9"/>
        <v>0.15014856240770991</v>
      </c>
      <c r="AJ13" s="18">
        <f t="shared" si="10"/>
        <v>0.11670503750884637</v>
      </c>
      <c r="AK13" s="18">
        <f t="shared" si="11"/>
        <v>0.17281432195197227</v>
      </c>
      <c r="AL13" s="15">
        <f t="shared" si="12"/>
        <v>3401584</v>
      </c>
      <c r="AM13" s="18">
        <f t="shared" si="13"/>
        <v>0.30741504725168528</v>
      </c>
      <c r="AN13" s="19">
        <v>23802114</v>
      </c>
      <c r="AO13" s="19">
        <v>743816.0625</v>
      </c>
      <c r="AP13" s="19">
        <v>30639.71875</v>
      </c>
      <c r="AQ13" s="20">
        <v>7317128</v>
      </c>
      <c r="AR13" s="20">
        <v>2643928</v>
      </c>
      <c r="AS13" s="20">
        <v>757656</v>
      </c>
      <c r="AT13" s="20">
        <v>3915072</v>
      </c>
      <c r="AU13" s="21">
        <v>70.005984374999997</v>
      </c>
      <c r="AV13" s="21">
        <v>72.529562499999997</v>
      </c>
      <c r="AW13" s="21">
        <v>37.030693749999998</v>
      </c>
      <c r="AX13" s="21">
        <v>41.526387499999998</v>
      </c>
      <c r="AY13" s="21">
        <v>36.097665624999998</v>
      </c>
      <c r="AZ13" s="22">
        <v>2617.96</v>
      </c>
      <c r="BA13" s="22">
        <v>5987.28</v>
      </c>
      <c r="BB13" s="22">
        <v>6.4820000000000002</v>
      </c>
      <c r="BC13" s="22">
        <v>23.963000000000001</v>
      </c>
      <c r="BE13" s="23">
        <f t="shared" si="14"/>
        <v>-0.29461449329036582</v>
      </c>
      <c r="BF13" s="23">
        <f t="shared" si="15"/>
        <v>3.2377981804400657E-3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outlineLevel="1" x14ac:dyDescent="0.3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13.882574999999999</v>
      </c>
      <c r="J14" s="48">
        <f t="shared" si="1"/>
        <v>0.65364016411717629</v>
      </c>
      <c r="K14" s="48">
        <f t="shared" si="2"/>
        <v>0.22195713233082859</v>
      </c>
      <c r="L14" s="48">
        <f t="shared" si="3"/>
        <v>0.18822969395124359</v>
      </c>
      <c r="M14" s="48">
        <f t="shared" si="4"/>
        <v>0.43166255046559915</v>
      </c>
      <c r="N14" s="45">
        <f t="shared" si="5"/>
        <v>5028392</v>
      </c>
      <c r="O14" s="48">
        <f t="shared" si="6"/>
        <v>0.43161574048165352</v>
      </c>
      <c r="P14" s="49">
        <v>34308480</v>
      </c>
      <c r="Q14" s="49">
        <v>1072140</v>
      </c>
      <c r="R14" s="49">
        <v>355691.5</v>
      </c>
      <c r="S14" s="50">
        <v>14808080</v>
      </c>
      <c r="T14" s="50">
        <v>4264304</v>
      </c>
      <c r="U14" s="50">
        <v>764088</v>
      </c>
      <c r="V14" s="50">
        <v>9779224</v>
      </c>
      <c r="W14" s="51">
        <v>70.889271875000006</v>
      </c>
      <c r="X14" s="51">
        <v>73.918015624999995</v>
      </c>
      <c r="Y14" s="51">
        <v>39.771796875</v>
      </c>
      <c r="Z14" s="51">
        <v>42.946290625000003</v>
      </c>
      <c r="AA14" s="51">
        <v>38.522521875000002</v>
      </c>
      <c r="AB14" s="52">
        <v>5719.64</v>
      </c>
      <c r="AC14" s="52">
        <v>6612.35</v>
      </c>
      <c r="AD14" s="52">
        <v>8.0709999999999997</v>
      </c>
      <c r="AE14" s="52">
        <v>25.46</v>
      </c>
      <c r="AG14" s="47">
        <f t="shared" si="7"/>
        <v>13.7423325</v>
      </c>
      <c r="AH14" s="48">
        <f t="shared" si="8"/>
        <v>0.64703705693308378</v>
      </c>
      <c r="AI14" s="48">
        <f t="shared" si="9"/>
        <v>0.22186708514477887</v>
      </c>
      <c r="AJ14" s="48">
        <f t="shared" si="10"/>
        <v>0.18842356024591533</v>
      </c>
      <c r="AK14" s="48">
        <f t="shared" si="11"/>
        <v>0.42514913734133652</v>
      </c>
      <c r="AL14" s="45">
        <f t="shared" si="12"/>
        <v>5026352</v>
      </c>
      <c r="AM14" s="48">
        <f t="shared" si="13"/>
        <v>0.61120469613738826</v>
      </c>
      <c r="AN14" s="49">
        <v>23982944</v>
      </c>
      <c r="AO14" s="49">
        <v>749467</v>
      </c>
      <c r="AP14" s="49">
        <v>32391.4375</v>
      </c>
      <c r="AQ14" s="50">
        <v>14658488</v>
      </c>
      <c r="AR14" s="50">
        <v>4268696</v>
      </c>
      <c r="AS14" s="50">
        <v>757656</v>
      </c>
      <c r="AT14" s="50">
        <v>9631664</v>
      </c>
      <c r="AU14" s="51">
        <v>70.859481250000002</v>
      </c>
      <c r="AV14" s="51">
        <v>73.617706249999998</v>
      </c>
      <c r="AW14" s="51">
        <v>39.721912500000002</v>
      </c>
      <c r="AX14" s="51">
        <v>42.956209375</v>
      </c>
      <c r="AY14" s="51">
        <v>38.524393750000002</v>
      </c>
      <c r="AZ14" s="52">
        <v>2606.13</v>
      </c>
      <c r="BA14" s="52">
        <v>6593.75</v>
      </c>
      <c r="BB14" s="52">
        <v>6.5810000000000004</v>
      </c>
      <c r="BC14" s="52">
        <v>25.512</v>
      </c>
      <c r="BE14" s="53">
        <f t="shared" si="14"/>
        <v>-0.28853914787770124</v>
      </c>
      <c r="BF14" s="53">
        <f t="shared" si="15"/>
        <v>3.3262011359310728E-3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2.1590025000000002</v>
      </c>
      <c r="J15" s="18">
        <f t="shared" si="1"/>
        <v>6.7837726235383478E-2</v>
      </c>
      <c r="K15" s="18">
        <f t="shared" si="2"/>
        <v>5.3821113984745601E-2</v>
      </c>
      <c r="L15" s="18">
        <f t="shared" si="3"/>
        <v>2.7602680097672545E-2</v>
      </c>
      <c r="M15" s="18">
        <f t="shared" si="4"/>
        <v>1.4002944174333015E-2</v>
      </c>
      <c r="N15" s="15">
        <f t="shared" si="5"/>
        <v>1827104</v>
      </c>
      <c r="O15" s="18">
        <f t="shared" si="6"/>
        <v>4.5048847374723554E-2</v>
      </c>
      <c r="P15" s="19">
        <v>51120864</v>
      </c>
      <c r="Q15" s="19">
        <v>1597527</v>
      </c>
      <c r="R15" s="19">
        <v>606958.90625</v>
      </c>
      <c r="S15" s="20">
        <v>2302936</v>
      </c>
      <c r="T15" s="20">
        <v>937048</v>
      </c>
      <c r="U15" s="20">
        <v>890056</v>
      </c>
      <c r="V15" s="20">
        <v>475368</v>
      </c>
      <c r="W15" s="21">
        <v>66.425537500000004</v>
      </c>
      <c r="X15" s="21">
        <v>68.164009375000006</v>
      </c>
      <c r="Y15" s="21">
        <v>28.628343749999999</v>
      </c>
      <c r="Z15" s="21">
        <v>42.734821875000002</v>
      </c>
      <c r="AA15" s="21">
        <v>42.949824999999997</v>
      </c>
      <c r="AB15" s="22">
        <v>8502.92</v>
      </c>
      <c r="AC15" s="22">
        <v>4867.05</v>
      </c>
      <c r="AD15" s="22">
        <v>10.573</v>
      </c>
      <c r="AE15" s="22">
        <v>23.460999999999999</v>
      </c>
      <c r="AG15" s="17">
        <f t="shared" si="7"/>
        <v>2.1970049999999999</v>
      </c>
      <c r="AH15" s="18">
        <f t="shared" si="8"/>
        <v>6.903179766015495E-2</v>
      </c>
      <c r="AI15" s="18">
        <f t="shared" si="9"/>
        <v>5.4727684494138902E-2</v>
      </c>
      <c r="AJ15" s="18">
        <f t="shared" si="10"/>
        <v>2.8180509806285066E-2</v>
      </c>
      <c r="AK15" s="18">
        <f t="shared" si="11"/>
        <v>1.4290209433223169E-2</v>
      </c>
      <c r="AL15" s="15">
        <f t="shared" si="12"/>
        <v>1857880</v>
      </c>
      <c r="AM15" s="18">
        <f t="shared" si="13"/>
        <v>7.1497912745510248E-2</v>
      </c>
      <c r="AN15" s="19">
        <v>32776789</v>
      </c>
      <c r="AO15" s="19">
        <v>1024274.65625</v>
      </c>
      <c r="AP15" s="19">
        <v>34476.84375</v>
      </c>
      <c r="AQ15" s="20">
        <v>2343472</v>
      </c>
      <c r="AR15" s="20">
        <v>956664</v>
      </c>
      <c r="AS15" s="20">
        <v>901216</v>
      </c>
      <c r="AT15" s="20">
        <v>485120</v>
      </c>
      <c r="AU15" s="21">
        <v>66.346265625000001</v>
      </c>
      <c r="AV15" s="21">
        <v>67.896418749999995</v>
      </c>
      <c r="AW15" s="21">
        <v>28.651700000000002</v>
      </c>
      <c r="AX15" s="21">
        <v>42.734606249999999</v>
      </c>
      <c r="AY15" s="21">
        <v>42.747812500000002</v>
      </c>
      <c r="AZ15" s="22">
        <v>3876.51</v>
      </c>
      <c r="BA15" s="22">
        <v>5002.24</v>
      </c>
      <c r="BB15" s="22">
        <v>9.2279999999999998</v>
      </c>
      <c r="BC15" s="22">
        <v>26.518000000000001</v>
      </c>
      <c r="BE15" s="23">
        <f t="shared" si="14"/>
        <v>-0.34627679130895611</v>
      </c>
      <c r="BF15" s="23">
        <f t="shared" si="15"/>
        <v>-5.9077423601705537E-4</v>
      </c>
      <c r="BG15" s="23">
        <f t="array" ref="BG15">AVERAGE(AL15:AL19/AQ15:AQ19) - AVERAGE(N15:N19/S15:S19)</f>
        <v>4.3487011937148878E-4</v>
      </c>
      <c r="BI15" s="24">
        <f>IF( OR(ISBLANK(N15:N19),ISBLANK(AL15:AL19), ISBLANK(W15:W19),ISBLANK(AU15:AU19)), "·", bdRateExtend( N15:N19,W15:W19, AL15:AL19,AU15:AU19))</f>
        <v>1.7206561280760146E-2</v>
      </c>
      <c r="BJ15" s="24">
        <f>IF( OR(ISBLANK(N15:N19),ISBLANK(AL15:AL19), ISBLANK(X15:X19),ISBLANK(AV15:AV19)), "·", bdRateExtend( N15:N19,X15:X19, AL15:AL19,AV15:AV19))</f>
        <v>5.7075986085888042E-2</v>
      </c>
      <c r="BK15" s="24">
        <f>IF( OR(ISBLANK(V15:V19),ISBLANK(AT15:AT19), ISBLANK(Y15:Y19),ISBLANK(AW15:AW19)), "·", bdRateExtend( V15:V19,Y15:Y19, AT15:AT19,AW15:AW19))</f>
        <v>1.6667849970811277E-2</v>
      </c>
      <c r="BL15" s="24">
        <f>IF( OR(ISBLANK(V15:V19),ISBLANK(AT15:AT19), ISBLANK(Z15:Z19),ISBLANK(AX15:AX19)), "·", bdRateExtend( V15:V19,Z15:Z19, AT15:AT19,AX15:AX19))</f>
        <v>9.5633981082945407E-3</v>
      </c>
      <c r="BM15" s="24">
        <f>IF( OR(ISBLANK(V15:V19),ISBLANK(AT15:AT19), ISBLANK(AA15:AA19),ISBLANK(AY15:AY19)), "·", bdRateExtend( V15:V19,AA15:AA19, AT15:AT19,AY15:AY19))</f>
        <v>1.619530345585618E-2</v>
      </c>
      <c r="BO15" s="24">
        <f>IF( OR(ISBLANK(S15:S19),ISBLANK(AQ15:AQ19), ISBLANK(W15:W19),ISBLANK(AU15:AU19)), "·", bdRateExtend( S15:S19,W15:W19, AQ15:AQ19,AU15:AU19))</f>
        <v>2.3760801018390287E-2</v>
      </c>
      <c r="BP15" s="24">
        <f>IF( OR(ISBLANK(S15:S19),ISBLANK(AQ15:AQ19), ISBLANK(X15:X19),ISBLANK(AV15:AV19)), "·", bdRateExtend( S15:S19,X15:X19, AQ15:AQ19,AV15:AV19))</f>
        <v>0.10378557738561733</v>
      </c>
      <c r="BQ15" s="24">
        <f>IF( OR(ISBLANK(S15:S19),ISBLANK(AQ15:AQ19), ISBLANK(Y15:Y19),ISBLANK(AW15:AW19)), "·", bdRateExtend( S15:S19,Y15:Y19, AQ15:AQ19,AW15:AW19))</f>
        <v>1.4752128807305365E-2</v>
      </c>
      <c r="BR15" s="24">
        <f>IF( OR(ISBLANK(S15:S19),ISBLANK(AQ15:AQ19), ISBLANK(Z15:Z19),ISBLANK(AX15:AX19)), "·", bdRateExtend( S15:S19,Z15:Z19, AQ15:AQ19,AX15:AX19))</f>
        <v>1.019646596545809E-2</v>
      </c>
      <c r="BS15" s="24">
        <f>IF( OR(ISBLANK(S15:S19),ISBLANK(AQ15:AQ19), ISBLANK(AA15:AA19),ISBLANK(AY15:AY19)), "·", bdRateExtend( S15:S19,AA15:AA19, AQ15:AQ19,AY15:AY19))</f>
        <v>1.0220384443200947E-2</v>
      </c>
    </row>
    <row r="16" spans="1:71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2.8798050000000002</v>
      </c>
      <c r="J16" s="28">
        <f t="shared" si="1"/>
        <v>9.0485964329030888E-2</v>
      </c>
      <c r="K16" s="28">
        <f t="shared" si="2"/>
        <v>6.3376041947797487E-2</v>
      </c>
      <c r="L16" s="28">
        <f t="shared" si="3"/>
        <v>3.7157608060724434E-2</v>
      </c>
      <c r="M16" s="28">
        <f t="shared" si="4"/>
        <v>2.7096254304928537E-2</v>
      </c>
      <c r="N16" s="25">
        <f t="shared" si="5"/>
        <v>2151472</v>
      </c>
      <c r="O16" s="28">
        <f t="shared" si="6"/>
        <v>6.0088812270465537E-2</v>
      </c>
      <c r="P16" s="29">
        <v>51120864</v>
      </c>
      <c r="Q16" s="29">
        <v>1597527</v>
      </c>
      <c r="R16" s="29">
        <v>566602.0625</v>
      </c>
      <c r="S16" s="30">
        <v>3071792</v>
      </c>
      <c r="T16" s="30">
        <v>1261416</v>
      </c>
      <c r="U16" s="30">
        <v>890056</v>
      </c>
      <c r="V16" s="30">
        <v>919856</v>
      </c>
      <c r="W16" s="31">
        <v>68.084424999999996</v>
      </c>
      <c r="X16" s="31">
        <v>70.249306250000004</v>
      </c>
      <c r="Y16" s="31">
        <v>31.034953125000001</v>
      </c>
      <c r="Z16" s="31">
        <v>43.757487500000003</v>
      </c>
      <c r="AA16" s="31">
        <v>44.112868749999997</v>
      </c>
      <c r="AB16" s="32">
        <v>8444.42</v>
      </c>
      <c r="AC16" s="32">
        <v>5245.49</v>
      </c>
      <c r="AD16" s="32">
        <v>10.38</v>
      </c>
      <c r="AE16" s="32">
        <v>23.681000000000001</v>
      </c>
      <c r="AG16" s="27">
        <f t="shared" si="7"/>
        <v>2.9151150000000001</v>
      </c>
      <c r="AH16" s="28">
        <f t="shared" si="8"/>
        <v>9.1595435074605019E-2</v>
      </c>
      <c r="AI16" s="28">
        <f t="shared" si="9"/>
        <v>6.3980265183067681E-2</v>
      </c>
      <c r="AJ16" s="28">
        <f t="shared" si="10"/>
        <v>3.7433090495213844E-2</v>
      </c>
      <c r="AK16" s="28">
        <f t="shared" si="11"/>
        <v>2.7601266158744454E-2</v>
      </c>
      <c r="AL16" s="25">
        <f t="shared" si="12"/>
        <v>2171984</v>
      </c>
      <c r="AM16" s="28">
        <f t="shared" si="13"/>
        <v>9.051247582006279E-2</v>
      </c>
      <c r="AN16" s="29">
        <v>34353894</v>
      </c>
      <c r="AO16" s="29">
        <v>1073559.1875</v>
      </c>
      <c r="AP16" s="29">
        <v>40795</v>
      </c>
      <c r="AQ16" s="30">
        <v>3109456</v>
      </c>
      <c r="AR16" s="30">
        <v>1270768</v>
      </c>
      <c r="AS16" s="30">
        <v>901216</v>
      </c>
      <c r="AT16" s="30">
        <v>937000</v>
      </c>
      <c r="AU16" s="31">
        <v>68.030228124999994</v>
      </c>
      <c r="AV16" s="31">
        <v>70.012031250000007</v>
      </c>
      <c r="AW16" s="31">
        <v>31.046575000000001</v>
      </c>
      <c r="AX16" s="31">
        <v>43.784453124999999</v>
      </c>
      <c r="AY16" s="31">
        <v>44.093853125000003</v>
      </c>
      <c r="AZ16" s="32">
        <v>3889.44</v>
      </c>
      <c r="BA16" s="32">
        <v>5350.5</v>
      </c>
      <c r="BB16" s="32">
        <v>9.9879999999999995</v>
      </c>
      <c r="BC16" s="32">
        <v>26.917999999999999</v>
      </c>
      <c r="BE16" s="33">
        <f t="shared" si="14"/>
        <v>-0.31667471486520066</v>
      </c>
      <c r="BF16" s="33">
        <f t="shared" si="15"/>
        <v>-1.8870597603475314E-3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4.2141525</v>
      </c>
      <c r="J17" s="18">
        <f t="shared" si="1"/>
        <v>0.13241231708122472</v>
      </c>
      <c r="K17" s="18">
        <f t="shared" si="2"/>
        <v>7.557409308042444E-2</v>
      </c>
      <c r="L17" s="18">
        <f t="shared" si="3"/>
        <v>4.935565919335138E-2</v>
      </c>
      <c r="M17" s="18">
        <f t="shared" si="4"/>
        <v>5.6824555924495423E-2</v>
      </c>
      <c r="N17" s="15">
        <f t="shared" si="5"/>
        <v>2565568</v>
      </c>
      <c r="O17" s="18">
        <f t="shared" si="6"/>
        <v>8.7930751718124325E-2</v>
      </c>
      <c r="P17" s="19">
        <v>51120864</v>
      </c>
      <c r="Q17" s="19">
        <v>1597527</v>
      </c>
      <c r="R17" s="19">
        <v>566627.625</v>
      </c>
      <c r="S17" s="20">
        <v>4495096</v>
      </c>
      <c r="T17" s="20">
        <v>1675512</v>
      </c>
      <c r="U17" s="20">
        <v>890056</v>
      </c>
      <c r="V17" s="20">
        <v>1929064</v>
      </c>
      <c r="W17" s="21">
        <v>69.439965624999999</v>
      </c>
      <c r="X17" s="21">
        <v>72.068056249999998</v>
      </c>
      <c r="Y17" s="21">
        <v>33.56994375</v>
      </c>
      <c r="Z17" s="21">
        <v>44.740665624999998</v>
      </c>
      <c r="AA17" s="21">
        <v>45.127359374999997</v>
      </c>
      <c r="AB17" s="22">
        <v>8487.36</v>
      </c>
      <c r="AC17" s="22">
        <v>5526.94</v>
      </c>
      <c r="AD17" s="22">
        <v>10.898999999999999</v>
      </c>
      <c r="AE17" s="22">
        <v>25.085000000000001</v>
      </c>
      <c r="AG17" s="17">
        <f t="shared" si="7"/>
        <v>4.2557475</v>
      </c>
      <c r="AH17" s="18">
        <f t="shared" si="8"/>
        <v>0.13371926796375533</v>
      </c>
      <c r="AI17" s="18">
        <f t="shared" si="9"/>
        <v>7.6386165338123757E-2</v>
      </c>
      <c r="AJ17" s="18">
        <f t="shared" si="10"/>
        <v>4.9838990650269921E-2</v>
      </c>
      <c r="AK17" s="18">
        <f t="shared" si="11"/>
        <v>5.7319198892838687E-2</v>
      </c>
      <c r="AL17" s="15">
        <f t="shared" si="12"/>
        <v>2593136</v>
      </c>
      <c r="AM17" s="18">
        <f t="shared" si="13"/>
        <v>0.13242777436345407</v>
      </c>
      <c r="AN17" s="19">
        <v>34278791</v>
      </c>
      <c r="AO17" s="19">
        <v>1071212.21875</v>
      </c>
      <c r="AP17" s="19">
        <v>41638.15625</v>
      </c>
      <c r="AQ17" s="20">
        <v>4539464</v>
      </c>
      <c r="AR17" s="20">
        <v>1691920</v>
      </c>
      <c r="AS17" s="20">
        <v>901216</v>
      </c>
      <c r="AT17" s="20">
        <v>1945856</v>
      </c>
      <c r="AU17" s="21">
        <v>69.417018749999997</v>
      </c>
      <c r="AV17" s="21">
        <v>71.795984375000003</v>
      </c>
      <c r="AW17" s="21">
        <v>33.567862499999997</v>
      </c>
      <c r="AX17" s="21">
        <v>44.754265625000002</v>
      </c>
      <c r="AY17" s="21">
        <v>45.117028124999997</v>
      </c>
      <c r="AZ17" s="22">
        <v>3916.41</v>
      </c>
      <c r="BA17" s="22">
        <v>5699.64</v>
      </c>
      <c r="BB17" s="22">
        <v>9.5220000000000002</v>
      </c>
      <c r="BC17" s="22">
        <v>26.571999999999999</v>
      </c>
      <c r="BE17" s="23">
        <f t="shared" si="14"/>
        <v>-0.31582035592523588</v>
      </c>
      <c r="BF17" s="23">
        <f t="shared" si="15"/>
        <v>4.9456133522562951E-4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7.5921750000000001</v>
      </c>
      <c r="J18" s="28">
        <f t="shared" si="1"/>
        <v>0.238552706252597</v>
      </c>
      <c r="K18" s="28">
        <f t="shared" si="2"/>
        <v>0.10534481286783401</v>
      </c>
      <c r="L18" s="28">
        <f t="shared" si="3"/>
        <v>7.9126378980760942E-2</v>
      </c>
      <c r="M18" s="28">
        <f t="shared" si="4"/>
        <v>0.13319422530845815</v>
      </c>
      <c r="N18" s="25">
        <f t="shared" si="5"/>
        <v>3576216</v>
      </c>
      <c r="O18" s="28">
        <f t="shared" si="6"/>
        <v>0.15841516293621327</v>
      </c>
      <c r="P18" s="29">
        <v>51120864</v>
      </c>
      <c r="Q18" s="29">
        <v>1597527</v>
      </c>
      <c r="R18" s="29">
        <v>529089.5</v>
      </c>
      <c r="S18" s="30">
        <v>8098320</v>
      </c>
      <c r="T18" s="30">
        <v>2686160</v>
      </c>
      <c r="U18" s="30">
        <v>890056</v>
      </c>
      <c r="V18" s="30">
        <v>4521640</v>
      </c>
      <c r="W18" s="31">
        <v>70.4699375</v>
      </c>
      <c r="X18" s="31">
        <v>73.352843750000005</v>
      </c>
      <c r="Y18" s="31">
        <v>36.140324999999997</v>
      </c>
      <c r="Z18" s="31">
        <v>46.032003125000003</v>
      </c>
      <c r="AA18" s="31">
        <v>46.388118749999997</v>
      </c>
      <c r="AB18" s="32">
        <v>8449.98</v>
      </c>
      <c r="AC18" s="32">
        <v>6062.68</v>
      </c>
      <c r="AD18" s="32">
        <v>9.9809999999999999</v>
      </c>
      <c r="AE18" s="32">
        <v>24.384</v>
      </c>
      <c r="AG18" s="27">
        <f t="shared" si="7"/>
        <v>7.6114949999999997</v>
      </c>
      <c r="AH18" s="28">
        <f t="shared" si="8"/>
        <v>0.23915975736572337</v>
      </c>
      <c r="AI18" s="28">
        <f t="shared" si="9"/>
        <v>0.10603151587390941</v>
      </c>
      <c r="AJ18" s="28">
        <f t="shared" si="10"/>
        <v>7.9484341186055574E-2</v>
      </c>
      <c r="AK18" s="28">
        <f t="shared" si="11"/>
        <v>0.1331143377590211</v>
      </c>
      <c r="AL18" s="25">
        <f t="shared" si="12"/>
        <v>3599528</v>
      </c>
      <c r="AM18" s="28">
        <f t="shared" si="13"/>
        <v>0.22736191470730149</v>
      </c>
      <c r="AN18" s="29">
        <v>35709270</v>
      </c>
      <c r="AO18" s="29">
        <v>1115914.6875</v>
      </c>
      <c r="AP18" s="29">
        <v>47065.3125</v>
      </c>
      <c r="AQ18" s="30">
        <v>8118928</v>
      </c>
      <c r="AR18" s="30">
        <v>2698312</v>
      </c>
      <c r="AS18" s="30">
        <v>901216</v>
      </c>
      <c r="AT18" s="30">
        <v>4518928</v>
      </c>
      <c r="AU18" s="31">
        <v>70.436640624999995</v>
      </c>
      <c r="AV18" s="31">
        <v>73.058621875</v>
      </c>
      <c r="AW18" s="31">
        <v>36.109034375</v>
      </c>
      <c r="AX18" s="31">
        <v>45.990868749999997</v>
      </c>
      <c r="AY18" s="31">
        <v>46.386809374999999</v>
      </c>
      <c r="AZ18" s="32">
        <v>3899.14</v>
      </c>
      <c r="BA18" s="32">
        <v>6247.05</v>
      </c>
      <c r="BB18" s="32">
        <v>9.8439999999999994</v>
      </c>
      <c r="BC18" s="32">
        <v>28.425999999999998</v>
      </c>
      <c r="BE18" s="33">
        <f t="shared" si="14"/>
        <v>-0.28901639416966035</v>
      </c>
      <c r="BF18" s="33">
        <f t="shared" si="15"/>
        <v>1.750417367226309E-3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outlineLevel="1" x14ac:dyDescent="0.3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17.283194999999999</v>
      </c>
      <c r="J19" s="38">
        <f t="shared" si="1"/>
        <v>0.54305293805021004</v>
      </c>
      <c r="K19" s="38">
        <f t="shared" si="2"/>
        <v>0.15583963552424937</v>
      </c>
      <c r="L19" s="38">
        <f t="shared" si="3"/>
        <v>0.12962120163717633</v>
      </c>
      <c r="M19" s="38">
        <f t="shared" si="4"/>
        <v>0.38719963444965577</v>
      </c>
      <c r="N19" s="35">
        <f t="shared" si="5"/>
        <v>5290400</v>
      </c>
      <c r="O19" s="38">
        <f t="shared" si="6"/>
        <v>0.36062395189564872</v>
      </c>
      <c r="P19" s="39">
        <v>51120864</v>
      </c>
      <c r="Q19" s="39">
        <v>1597527</v>
      </c>
      <c r="R19" s="39">
        <v>526070.71875</v>
      </c>
      <c r="S19" s="40">
        <v>18435408</v>
      </c>
      <c r="T19" s="40">
        <v>4400344</v>
      </c>
      <c r="U19" s="40">
        <v>890056</v>
      </c>
      <c r="V19" s="40">
        <v>13144544</v>
      </c>
      <c r="W19" s="41">
        <v>71.324031250000004</v>
      </c>
      <c r="X19" s="41">
        <v>74.469003125</v>
      </c>
      <c r="Y19" s="41">
        <v>38.806540624999997</v>
      </c>
      <c r="Z19" s="41">
        <v>47.894512499999998</v>
      </c>
      <c r="AA19" s="41">
        <v>48.341228125000001</v>
      </c>
      <c r="AB19" s="42">
        <v>8481.14</v>
      </c>
      <c r="AC19" s="42">
        <v>6839.43</v>
      </c>
      <c r="AD19" s="42">
        <v>10.417999999999999</v>
      </c>
      <c r="AE19" s="42">
        <v>27.588000000000001</v>
      </c>
      <c r="AG19" s="37">
        <f t="shared" si="7"/>
        <v>17.1970125</v>
      </c>
      <c r="AH19" s="38">
        <f t="shared" si="8"/>
        <v>0.54034500934643093</v>
      </c>
      <c r="AI19" s="38">
        <f t="shared" si="9"/>
        <v>0.15636326424061847</v>
      </c>
      <c r="AJ19" s="38">
        <f t="shared" si="10"/>
        <v>0.12981608955276464</v>
      </c>
      <c r="AK19" s="38">
        <f t="shared" si="11"/>
        <v>0.38396784137301954</v>
      </c>
      <c r="AL19" s="35">
        <f t="shared" si="12"/>
        <v>5308176</v>
      </c>
      <c r="AM19" s="38">
        <f t="shared" si="13"/>
        <v>0.51121133795441276</v>
      </c>
      <c r="AN19" s="39">
        <v>35882381</v>
      </c>
      <c r="AO19" s="39">
        <v>1121324.40625</v>
      </c>
      <c r="AP19" s="39">
        <v>49290.5</v>
      </c>
      <c r="AQ19" s="40">
        <v>18343480</v>
      </c>
      <c r="AR19" s="40">
        <v>4406960</v>
      </c>
      <c r="AS19" s="40">
        <v>901216</v>
      </c>
      <c r="AT19" s="40">
        <v>13034832</v>
      </c>
      <c r="AU19" s="41">
        <v>71.307787500000003</v>
      </c>
      <c r="AV19" s="41">
        <v>74.159878125000006</v>
      </c>
      <c r="AW19" s="41">
        <v>38.652468749999997</v>
      </c>
      <c r="AX19" s="41">
        <v>47.897134375</v>
      </c>
      <c r="AY19" s="41">
        <v>48.353803124999999</v>
      </c>
      <c r="AZ19" s="42">
        <v>3909.9</v>
      </c>
      <c r="BA19" s="42">
        <v>7078.67</v>
      </c>
      <c r="BB19" s="42">
        <v>9.6370000000000005</v>
      </c>
      <c r="BC19" s="42">
        <v>30.027000000000001</v>
      </c>
      <c r="BE19" s="43">
        <f t="shared" si="14"/>
        <v>-0.28534578330897747</v>
      </c>
      <c r="BF19" s="43">
        <f t="shared" si="15"/>
        <v>2.4072058907707583E-3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2.7141625</v>
      </c>
      <c r="J20" s="28">
        <f t="shared" si="1"/>
        <v>5.3929936447914058E-2</v>
      </c>
      <c r="K20" s="28">
        <f t="shared" si="2"/>
        <v>3.9823601894625159E-2</v>
      </c>
      <c r="L20" s="28">
        <f t="shared" si="3"/>
        <v>2.1211287563789514E-2</v>
      </c>
      <c r="M20" s="28">
        <f t="shared" si="4"/>
        <v>1.4091928929482392E-2</v>
      </c>
      <c r="N20" s="25">
        <f t="shared" si="5"/>
        <v>1282704</v>
      </c>
      <c r="O20" s="28">
        <f t="shared" si="6"/>
        <v>4.2319092423636462E-2</v>
      </c>
      <c r="P20" s="29">
        <v>41046816</v>
      </c>
      <c r="Q20" s="29">
        <v>1282713</v>
      </c>
      <c r="R20" s="29">
        <v>345533.03125</v>
      </c>
      <c r="S20" s="30">
        <v>1737064</v>
      </c>
      <c r="T20" s="30">
        <v>683208</v>
      </c>
      <c r="U20" s="30">
        <v>599496</v>
      </c>
      <c r="V20" s="30">
        <v>453896</v>
      </c>
      <c r="W20" s="31">
        <v>67.154799999999994</v>
      </c>
      <c r="X20" s="31">
        <v>68.903968750000004</v>
      </c>
      <c r="Y20" s="31">
        <v>29.709675000000001</v>
      </c>
      <c r="Z20" s="31">
        <v>38.940715625000003</v>
      </c>
      <c r="AA20" s="31">
        <v>37.535378125000001</v>
      </c>
      <c r="AB20" s="32">
        <v>8118.94</v>
      </c>
      <c r="AC20" s="32">
        <v>4282.8100000000004</v>
      </c>
      <c r="AD20" s="32">
        <v>9.0429999999999993</v>
      </c>
      <c r="AE20" s="32">
        <v>21.675999999999998</v>
      </c>
      <c r="AG20" s="27">
        <f t="shared" si="7"/>
        <v>2.4330500000000002</v>
      </c>
      <c r="AH20" s="28">
        <f t="shared" si="8"/>
        <v>4.8344280003351794E-2</v>
      </c>
      <c r="AI20" s="28">
        <f t="shared" si="9"/>
        <v>3.6082610415768969E-2</v>
      </c>
      <c r="AJ20" s="28">
        <f t="shared" si="10"/>
        <v>1.9892924612669567E-2</v>
      </c>
      <c r="AK20" s="28">
        <f t="shared" si="11"/>
        <v>1.2247015590952063E-2</v>
      </c>
      <c r="AL20" s="25">
        <f t="shared" si="12"/>
        <v>1162208</v>
      </c>
      <c r="AM20" s="28">
        <f t="shared" si="13"/>
        <v>5.0538777763836161E-2</v>
      </c>
      <c r="AN20" s="29">
        <v>30811034</v>
      </c>
      <c r="AO20" s="29">
        <v>962844.8125</v>
      </c>
      <c r="AP20" s="29">
        <v>28036.625</v>
      </c>
      <c r="AQ20" s="30">
        <v>1557152</v>
      </c>
      <c r="AR20" s="30">
        <v>640744</v>
      </c>
      <c r="AS20" s="30">
        <v>521464</v>
      </c>
      <c r="AT20" s="30">
        <v>394472</v>
      </c>
      <c r="AU20" s="31">
        <v>67.068512499999997</v>
      </c>
      <c r="AV20" s="31">
        <v>68.702746875000003</v>
      </c>
      <c r="AW20" s="31">
        <v>29.861671874999999</v>
      </c>
      <c r="AX20" s="31">
        <v>39.039371875000001</v>
      </c>
      <c r="AY20" s="31">
        <v>37.703818750000003</v>
      </c>
      <c r="AZ20" s="32">
        <v>3815.02</v>
      </c>
      <c r="BA20" s="32">
        <v>3780.54</v>
      </c>
      <c r="BB20" s="32">
        <v>7.8460000000000001</v>
      </c>
      <c r="BC20" s="32">
        <v>21.119</v>
      </c>
      <c r="BE20" s="33">
        <f t="shared" si="14"/>
        <v>-0.24025819885013361</v>
      </c>
      <c r="BF20" s="33">
        <f t="shared" si="15"/>
        <v>7.9355226029668158E-3</v>
      </c>
      <c r="BG20" s="33">
        <f t="array" ref="BG20">AVERAGE(AL20:AL24/AQ20:AQ24) - AVERAGE(N20:N24/S20:S24)</f>
        <v>2.9508916125206008E-3</v>
      </c>
      <c r="BI20" s="34">
        <f>IF( OR(ISBLANK(N20:N24),ISBLANK(AL20:AL24), ISBLANK(W20:W24),ISBLANK(AU20:AU24)), "·", bdRateExtend( N20:N24,W20:W24, AL20:AL24,AU20:AU24))</f>
        <v>-9.1712009698330821E-2</v>
      </c>
      <c r="BJ20" s="34">
        <f>IF( OR(ISBLANK(N20:N24),ISBLANK(AL20:AL24), ISBLANK(X20:X24),ISBLANK(AV20:AV24)), "·", bdRateExtend( N20:N24,X20:X24, AL20:AL24,AV20:AV24))</f>
        <v>-6.4849539534747258E-2</v>
      </c>
      <c r="BK20" s="34">
        <f>IF( OR(ISBLANK(V20:V24),ISBLANK(AT20:AT24), ISBLANK(Y20:Y24),ISBLANK(AW20:AW24)), "·", bdRateExtend( V20:V24,Y20:Y24, AT20:AT24,AW20:AW24))</f>
        <v>-0.13685619945789895</v>
      </c>
      <c r="BL20" s="34">
        <f>IF( OR(ISBLANK(V20:V24),ISBLANK(AT20:AT24), ISBLANK(Z20:Z24),ISBLANK(AX20:AX24)), "·", bdRateExtend( V20:V24,Z20:Z24, AT20:AT24,AX20:AX24))</f>
        <v>-0.12119743674826888</v>
      </c>
      <c r="BM20" s="34">
        <f>IF( OR(ISBLANK(V20:V24),ISBLANK(AT20:AT24), ISBLANK(AA20:AA24),ISBLANK(AY20:AY24)), "·", bdRateExtend( V20:V24,AA20:AA24, AT20:AT24,AY20:AY24))</f>
        <v>-0.10639743276299141</v>
      </c>
      <c r="BO20" s="34">
        <f>IF( OR(ISBLANK(S20:S24),ISBLANK(AQ20:AQ24), ISBLANK(W20:W24),ISBLANK(AU20:AU24)), "·", bdRateExtend( S20:S24,W20:W24, AQ20:AQ24,AU20:AU24))</f>
        <v>-9.5720008243721288E-2</v>
      </c>
      <c r="BP20" s="34">
        <f>IF( OR(ISBLANK(S20:S24),ISBLANK(AQ20:AQ24), ISBLANK(X20:X24),ISBLANK(AV20:AV24)), "·", bdRateExtend( S20:S24,X20:X24, AQ20:AQ24,AV20:AV24))</f>
        <v>-4.2217157358191426E-2</v>
      </c>
      <c r="BQ20" s="34">
        <f>IF( OR(ISBLANK(S20:S24),ISBLANK(AQ20:AQ24), ISBLANK(Y20:Y24),ISBLANK(AW20:AW24)), "·", bdRateExtend( S20:S24,Y20:Y24, AQ20:AQ24,AW20:AW24))</f>
        <v>-0.11752406654304004</v>
      </c>
      <c r="BR20" s="34">
        <f>IF( OR(ISBLANK(S20:S24),ISBLANK(AQ20:AQ24), ISBLANK(Z20:Z24),ISBLANK(AX20:AX24)), "·", bdRateExtend( S20:S24,Z20:Z24, AQ20:AQ24,AX20:AX24))</f>
        <v>-0.10680874815965546</v>
      </c>
      <c r="BS20" s="34">
        <f>IF( OR(ISBLANK(S20:S24),ISBLANK(AQ20:AQ24), ISBLANK(AA20:AA24),ISBLANK(AY20:AY24)), "·", bdRateExtend( S20:S24,AA20:AA24, AQ20:AQ24,AY20:AY24))</f>
        <v>-9.1483900556107889E-2</v>
      </c>
    </row>
    <row r="21" spans="1:71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3.75285</v>
      </c>
      <c r="J21" s="18">
        <f t="shared" si="1"/>
        <v>7.4568476278982665E-2</v>
      </c>
      <c r="K21" s="18">
        <f t="shared" si="2"/>
        <v>4.6838395569922961E-2</v>
      </c>
      <c r="L21" s="18">
        <f t="shared" si="3"/>
        <v>2.8226081239087313E-2</v>
      </c>
      <c r="M21" s="18">
        <f t="shared" si="4"/>
        <v>2.7715675085253196E-2</v>
      </c>
      <c r="N21" s="15">
        <f t="shared" si="5"/>
        <v>1508648</v>
      </c>
      <c r="O21" s="18">
        <f t="shared" si="6"/>
        <v>5.8514258450643286E-2</v>
      </c>
      <c r="P21" s="19">
        <v>41046816</v>
      </c>
      <c r="Q21" s="19">
        <v>1282713</v>
      </c>
      <c r="R21" s="19">
        <v>324984.78125</v>
      </c>
      <c r="S21" s="20">
        <v>2401824</v>
      </c>
      <c r="T21" s="20">
        <v>909152</v>
      </c>
      <c r="U21" s="20">
        <v>599496</v>
      </c>
      <c r="V21" s="20">
        <v>892712</v>
      </c>
      <c r="W21" s="21">
        <v>68.735328124999995</v>
      </c>
      <c r="X21" s="21">
        <v>70.927406250000004</v>
      </c>
      <c r="Y21" s="21">
        <v>31.288103124999999</v>
      </c>
      <c r="Z21" s="21">
        <v>40.322678125000003</v>
      </c>
      <c r="AA21" s="21">
        <v>39.042246874999996</v>
      </c>
      <c r="AB21" s="22">
        <v>8128.12</v>
      </c>
      <c r="AC21" s="22">
        <v>4592.6000000000004</v>
      </c>
      <c r="AD21" s="22">
        <v>8.8970000000000002</v>
      </c>
      <c r="AE21" s="22">
        <v>21.588000000000001</v>
      </c>
      <c r="AG21" s="17">
        <f t="shared" si="7"/>
        <v>3.3669750000000001</v>
      </c>
      <c r="AH21" s="18">
        <f t="shared" si="8"/>
        <v>6.6901207194379642E-2</v>
      </c>
      <c r="AI21" s="18">
        <f t="shared" si="9"/>
        <v>4.2489139044478076E-2</v>
      </c>
      <c r="AJ21" s="18">
        <f t="shared" si="10"/>
        <v>2.6299453241378678E-2</v>
      </c>
      <c r="AK21" s="18">
        <f t="shared" si="11"/>
        <v>2.4397414153270808E-2</v>
      </c>
      <c r="AL21" s="15">
        <f t="shared" si="12"/>
        <v>1368560</v>
      </c>
      <c r="AM21" s="18">
        <f t="shared" si="13"/>
        <v>6.7660447331918963E-2</v>
      </c>
      <c r="AN21" s="19">
        <v>31848208</v>
      </c>
      <c r="AO21" s="19">
        <v>995256.5</v>
      </c>
      <c r="AP21" s="19">
        <v>32402.28125</v>
      </c>
      <c r="AQ21" s="20">
        <v>2154864</v>
      </c>
      <c r="AR21" s="20">
        <v>847096</v>
      </c>
      <c r="AS21" s="20">
        <v>521464</v>
      </c>
      <c r="AT21" s="20">
        <v>785832</v>
      </c>
      <c r="AU21" s="21">
        <v>68.705831250000003</v>
      </c>
      <c r="AV21" s="21">
        <v>70.773571875000002</v>
      </c>
      <c r="AW21" s="21">
        <v>31.418203125000002</v>
      </c>
      <c r="AX21" s="21">
        <v>40.323431249999999</v>
      </c>
      <c r="AY21" s="21">
        <v>39.086153125000003</v>
      </c>
      <c r="AZ21" s="22">
        <v>3820.72</v>
      </c>
      <c r="BA21" s="22">
        <v>4034.41</v>
      </c>
      <c r="BB21" s="22">
        <v>7.7690000000000001</v>
      </c>
      <c r="BC21" s="22">
        <v>20.754000000000001</v>
      </c>
      <c r="BE21" s="23">
        <f t="shared" si="14"/>
        <v>-0.22080064748346412</v>
      </c>
      <c r="BF21" s="23">
        <f t="shared" si="15"/>
        <v>6.9767681349112154E-3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6.0911749999999998</v>
      </c>
      <c r="J22" s="28">
        <f t="shared" si="1"/>
        <v>0.1210305870201666</v>
      </c>
      <c r="K22" s="28">
        <f t="shared" si="2"/>
        <v>5.6166036984638422E-2</v>
      </c>
      <c r="L22" s="28">
        <f t="shared" si="3"/>
        <v>3.7553722653802774E-2</v>
      </c>
      <c r="M22" s="28">
        <f t="shared" si="4"/>
        <v>6.4850144411721669E-2</v>
      </c>
      <c r="N22" s="25">
        <f t="shared" si="5"/>
        <v>1809088</v>
      </c>
      <c r="O22" s="28">
        <f t="shared" si="6"/>
        <v>9.4973310475531161E-2</v>
      </c>
      <c r="P22" s="29">
        <v>41046816</v>
      </c>
      <c r="Q22" s="29">
        <v>1282713</v>
      </c>
      <c r="R22" s="29">
        <v>296825.9375</v>
      </c>
      <c r="S22" s="30">
        <v>3898352</v>
      </c>
      <c r="T22" s="30">
        <v>1209592</v>
      </c>
      <c r="U22" s="30">
        <v>599496</v>
      </c>
      <c r="V22" s="30">
        <v>2088800</v>
      </c>
      <c r="W22" s="31">
        <v>69.972490625000006</v>
      </c>
      <c r="X22" s="31">
        <v>72.571284375000005</v>
      </c>
      <c r="Y22" s="31">
        <v>33.362584374999997</v>
      </c>
      <c r="Z22" s="31">
        <v>41.465003125000003</v>
      </c>
      <c r="AA22" s="31">
        <v>40.3470625</v>
      </c>
      <c r="AB22" s="32">
        <v>8096.99</v>
      </c>
      <c r="AC22" s="32">
        <v>4838.5600000000004</v>
      </c>
      <c r="AD22" s="32">
        <v>9.1620000000000008</v>
      </c>
      <c r="AE22" s="32">
        <v>23.302</v>
      </c>
      <c r="AG22" s="27">
        <f t="shared" si="7"/>
        <v>5.5168999999999997</v>
      </c>
      <c r="AH22" s="28">
        <f t="shared" si="8"/>
        <v>0.10961984272846489</v>
      </c>
      <c r="AI22" s="28">
        <f t="shared" si="9"/>
        <v>5.0538653905602124E-2</v>
      </c>
      <c r="AJ22" s="28">
        <f t="shared" si="10"/>
        <v>3.4348968102502722E-2</v>
      </c>
      <c r="AK22" s="28">
        <f t="shared" si="11"/>
        <v>5.906653482623201E-2</v>
      </c>
      <c r="AL22" s="25">
        <f t="shared" si="12"/>
        <v>1627832</v>
      </c>
      <c r="AM22" s="28">
        <f t="shared" si="13"/>
        <v>0.10815885593028754</v>
      </c>
      <c r="AN22" s="29">
        <v>32644724</v>
      </c>
      <c r="AO22" s="29">
        <v>1020147.625</v>
      </c>
      <c r="AP22" s="29">
        <v>34408.53125</v>
      </c>
      <c r="AQ22" s="30">
        <v>3530816</v>
      </c>
      <c r="AR22" s="30">
        <v>1106368</v>
      </c>
      <c r="AS22" s="30">
        <v>521464</v>
      </c>
      <c r="AT22" s="30">
        <v>1902512</v>
      </c>
      <c r="AU22" s="31">
        <v>69.971634374999994</v>
      </c>
      <c r="AV22" s="31">
        <v>72.413656250000003</v>
      </c>
      <c r="AW22" s="31">
        <v>33.451215625000003</v>
      </c>
      <c r="AX22" s="31">
        <v>41.544906249999997</v>
      </c>
      <c r="AY22" s="31">
        <v>40.409721875000002</v>
      </c>
      <c r="AZ22" s="32">
        <v>3812.15</v>
      </c>
      <c r="BA22" s="32">
        <v>4286.0600000000004</v>
      </c>
      <c r="BB22" s="32">
        <v>8.0299999999999994</v>
      </c>
      <c r="BC22" s="32">
        <v>21.925000000000001</v>
      </c>
      <c r="BE22" s="33">
        <f t="shared" si="14"/>
        <v>-0.19767582142039422</v>
      </c>
      <c r="BF22" s="33">
        <f t="shared" si="15"/>
        <v>-3.0291791258594269E-3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11.1282625</v>
      </c>
      <c r="J23" s="18">
        <f t="shared" si="1"/>
        <v>0.22111663888978839</v>
      </c>
      <c r="K23" s="18">
        <f t="shared" si="2"/>
        <v>7.7792603910574229E-2</v>
      </c>
      <c r="L23" s="18">
        <f t="shared" si="3"/>
        <v>5.9180289579738588E-2</v>
      </c>
      <c r="M23" s="18">
        <f t="shared" si="4"/>
        <v>0.14330962935540764</v>
      </c>
      <c r="N23" s="15">
        <f t="shared" si="5"/>
        <v>2505672</v>
      </c>
      <c r="O23" s="18">
        <f t="shared" si="6"/>
        <v>0.17351133885756206</v>
      </c>
      <c r="P23" s="19">
        <v>41046816</v>
      </c>
      <c r="Q23" s="19">
        <v>1282713</v>
      </c>
      <c r="R23" s="19">
        <v>286773.90625</v>
      </c>
      <c r="S23" s="20">
        <v>7122088</v>
      </c>
      <c r="T23" s="20">
        <v>1906176</v>
      </c>
      <c r="U23" s="20">
        <v>599496</v>
      </c>
      <c r="V23" s="20">
        <v>4615952</v>
      </c>
      <c r="W23" s="21">
        <v>70.874521874999999</v>
      </c>
      <c r="X23" s="21">
        <v>73.780212500000005</v>
      </c>
      <c r="Y23" s="21">
        <v>35.328709375000003</v>
      </c>
      <c r="Z23" s="21">
        <v>42.573974999999997</v>
      </c>
      <c r="AA23" s="21">
        <v>41.526400000000002</v>
      </c>
      <c r="AB23" s="22">
        <v>8103.67</v>
      </c>
      <c r="AC23" s="22">
        <v>5260.08</v>
      </c>
      <c r="AD23" s="22">
        <v>9.1690000000000005</v>
      </c>
      <c r="AE23" s="22">
        <v>23.559000000000001</v>
      </c>
      <c r="AG23" s="17">
        <f t="shared" si="7"/>
        <v>10.180350000000001</v>
      </c>
      <c r="AH23" s="18">
        <f t="shared" si="8"/>
        <v>0.20228178250842457</v>
      </c>
      <c r="AI23" s="18">
        <f t="shared" si="9"/>
        <v>7.1333420243124085E-2</v>
      </c>
      <c r="AJ23" s="18">
        <f t="shared" si="10"/>
        <v>5.5143734440024683E-2</v>
      </c>
      <c r="AK23" s="18">
        <f t="shared" si="11"/>
        <v>0.13093370826866974</v>
      </c>
      <c r="AL23" s="15">
        <f t="shared" si="12"/>
        <v>2297624</v>
      </c>
      <c r="AM23" s="18">
        <f t="shared" si="13"/>
        <v>0.19766271990897732</v>
      </c>
      <c r="AN23" s="19">
        <v>32962331</v>
      </c>
      <c r="AO23" s="19">
        <v>1030072.84375</v>
      </c>
      <c r="AP23" s="19">
        <v>36672.65625</v>
      </c>
      <c r="AQ23" s="20">
        <v>6515424</v>
      </c>
      <c r="AR23" s="20">
        <v>1776160</v>
      </c>
      <c r="AS23" s="20">
        <v>521464</v>
      </c>
      <c r="AT23" s="20">
        <v>4217328</v>
      </c>
      <c r="AU23" s="21">
        <v>70.896387500000003</v>
      </c>
      <c r="AV23" s="21">
        <v>73.619406249999997</v>
      </c>
      <c r="AW23" s="21">
        <v>35.412228124999999</v>
      </c>
      <c r="AX23" s="21">
        <v>42.618421875000003</v>
      </c>
      <c r="AY23" s="21">
        <v>41.45553125</v>
      </c>
      <c r="AZ23" s="22">
        <v>3812.17</v>
      </c>
      <c r="BA23" s="22">
        <v>4644.0200000000004</v>
      </c>
      <c r="BB23" s="22">
        <v>8.0009999999999994</v>
      </c>
      <c r="BC23" s="22">
        <v>22.347000000000001</v>
      </c>
      <c r="BE23" s="23">
        <f t="shared" si="14"/>
        <v>-0.18796625157308031</v>
      </c>
      <c r="BF23" s="23">
        <f t="shared" si="15"/>
        <v>8.2676732519204599E-4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outlineLevel="1" x14ac:dyDescent="0.3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21.935062500000001</v>
      </c>
      <c r="J24" s="48">
        <f t="shared" si="1"/>
        <v>0.4358458738583349</v>
      </c>
      <c r="K24" s="48">
        <f t="shared" si="2"/>
        <v>0.11350190997149519</v>
      </c>
      <c r="L24" s="48">
        <f t="shared" si="3"/>
        <v>9.4889595640659533E-2</v>
      </c>
      <c r="M24" s="48">
        <f t="shared" si="4"/>
        <v>0.32232955826303322</v>
      </c>
      <c r="N24" s="45">
        <f t="shared" si="5"/>
        <v>3655856</v>
      </c>
      <c r="O24" s="48">
        <f t="shared" si="6"/>
        <v>0.34201044972647815</v>
      </c>
      <c r="P24" s="49">
        <v>41046816</v>
      </c>
      <c r="Q24" s="49">
        <v>1282713</v>
      </c>
      <c r="R24" s="49">
        <v>277395.5</v>
      </c>
      <c r="S24" s="50">
        <v>14038440</v>
      </c>
      <c r="T24" s="50">
        <v>3056360</v>
      </c>
      <c r="U24" s="50">
        <v>599496</v>
      </c>
      <c r="V24" s="50">
        <v>10382120</v>
      </c>
      <c r="W24" s="51">
        <v>71.576503125000002</v>
      </c>
      <c r="X24" s="51">
        <v>74.740099999999998</v>
      </c>
      <c r="Y24" s="51">
        <v>37.174565625</v>
      </c>
      <c r="Z24" s="51">
        <v>43.912390625</v>
      </c>
      <c r="AA24" s="51">
        <v>42.686559375000002</v>
      </c>
      <c r="AB24" s="52">
        <v>8123.2</v>
      </c>
      <c r="AC24" s="52">
        <v>5689.26</v>
      </c>
      <c r="AD24" s="52">
        <v>8.6530000000000005</v>
      </c>
      <c r="AE24" s="52">
        <v>23.503</v>
      </c>
      <c r="AG24" s="47">
        <f t="shared" si="7"/>
        <v>20.0088875</v>
      </c>
      <c r="AH24" s="48">
        <f t="shared" si="8"/>
        <v>0.39757311187832789</v>
      </c>
      <c r="AI24" s="48">
        <f t="shared" si="9"/>
        <v>0.10434788116093059</v>
      </c>
      <c r="AJ24" s="48">
        <f t="shared" si="10"/>
        <v>8.815819535783119E-2</v>
      </c>
      <c r="AK24" s="48">
        <f t="shared" si="11"/>
        <v>0.2932105767207665</v>
      </c>
      <c r="AL24" s="45">
        <f t="shared" si="12"/>
        <v>3361008</v>
      </c>
      <c r="AM24" s="48">
        <f t="shared" si="13"/>
        <v>0.38443318095226775</v>
      </c>
      <c r="AN24" s="49">
        <v>33310569</v>
      </c>
      <c r="AO24" s="49">
        <v>1040955.28125</v>
      </c>
      <c r="AP24" s="49">
        <v>37580.75</v>
      </c>
      <c r="AQ24" s="50">
        <v>12805688</v>
      </c>
      <c r="AR24" s="50">
        <v>2839544</v>
      </c>
      <c r="AS24" s="50">
        <v>521464</v>
      </c>
      <c r="AT24" s="50">
        <v>9444208</v>
      </c>
      <c r="AU24" s="51">
        <v>71.579103125000003</v>
      </c>
      <c r="AV24" s="51">
        <v>74.533715624999999</v>
      </c>
      <c r="AW24" s="51">
        <v>37.215793750000003</v>
      </c>
      <c r="AX24" s="51">
        <v>43.842628124999997</v>
      </c>
      <c r="AY24" s="51">
        <v>42.542721874999998</v>
      </c>
      <c r="AZ24" s="52">
        <v>3809.36</v>
      </c>
      <c r="BA24" s="52">
        <v>5154.3100000000004</v>
      </c>
      <c r="BB24" s="52">
        <v>8.0399999999999991</v>
      </c>
      <c r="BC24" s="52">
        <v>23.771000000000001</v>
      </c>
      <c r="BE24" s="53">
        <f t="shared" si="14"/>
        <v>-0.18015469591996058</v>
      </c>
      <c r="BF24" s="53">
        <f t="shared" si="15"/>
        <v>2.0445791253925205E-3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2.3987775</v>
      </c>
      <c r="J25" s="18">
        <f t="shared" si="1"/>
        <v>0.10108465381879117</v>
      </c>
      <c r="K25" s="18">
        <f t="shared" si="2"/>
        <v>6.3010362348773774E-2</v>
      </c>
      <c r="L25" s="18">
        <f t="shared" si="3"/>
        <v>3.5814846220873178E-2</v>
      </c>
      <c r="M25" s="18">
        <f t="shared" si="4"/>
        <v>3.8055960539194848E-2</v>
      </c>
      <c r="N25" s="15">
        <f t="shared" si="5"/>
        <v>1594944</v>
      </c>
      <c r="O25" s="18">
        <f t="shared" si="6"/>
        <v>6.7336600261399163E-2</v>
      </c>
      <c r="P25" s="19">
        <v>37998592</v>
      </c>
      <c r="Q25" s="19">
        <v>1187456</v>
      </c>
      <c r="R25" s="19">
        <v>476124.75</v>
      </c>
      <c r="S25" s="20">
        <v>2558696</v>
      </c>
      <c r="T25" s="20">
        <v>906560</v>
      </c>
      <c r="U25" s="20">
        <v>688384</v>
      </c>
      <c r="V25" s="20">
        <v>963288</v>
      </c>
      <c r="W25" s="21">
        <v>66.261456249999995</v>
      </c>
      <c r="X25" s="21">
        <v>68.19055625</v>
      </c>
      <c r="Y25" s="21">
        <v>25.717503125</v>
      </c>
      <c r="Z25" s="21">
        <v>32.209056250000003</v>
      </c>
      <c r="AA25" s="21">
        <v>31.386693749999999</v>
      </c>
      <c r="AB25" s="22">
        <v>6389.22</v>
      </c>
      <c r="AC25" s="22">
        <v>5822.62</v>
      </c>
      <c r="AD25" s="22">
        <v>8.734</v>
      </c>
      <c r="AE25" s="22">
        <v>26.606999999999999</v>
      </c>
      <c r="AG25" s="17">
        <f t="shared" si="7"/>
        <v>2.32863</v>
      </c>
      <c r="AH25" s="18">
        <f t="shared" si="8"/>
        <v>9.8128633198390297E-2</v>
      </c>
      <c r="AI25" s="18">
        <f t="shared" si="9"/>
        <v>6.188206195159307E-2</v>
      </c>
      <c r="AJ25" s="18">
        <f t="shared" si="10"/>
        <v>3.5299683854653416E-2</v>
      </c>
      <c r="AK25" s="18">
        <f t="shared" si="11"/>
        <v>3.6227924265443259E-2</v>
      </c>
      <c r="AL25" s="15">
        <f t="shared" si="12"/>
        <v>1566384</v>
      </c>
      <c r="AM25" s="18">
        <f t="shared" si="13"/>
        <v>0.10530626794517212</v>
      </c>
      <c r="AN25" s="19">
        <v>23587124</v>
      </c>
      <c r="AO25" s="19">
        <v>737097.625</v>
      </c>
      <c r="AP25" s="19">
        <v>19103.28125</v>
      </c>
      <c r="AQ25" s="20">
        <v>2483872</v>
      </c>
      <c r="AR25" s="20">
        <v>893520</v>
      </c>
      <c r="AS25" s="20">
        <v>672864</v>
      </c>
      <c r="AT25" s="20">
        <v>917016</v>
      </c>
      <c r="AU25" s="21">
        <v>66.302324999999996</v>
      </c>
      <c r="AV25" s="21">
        <v>68.016093749999996</v>
      </c>
      <c r="AW25" s="21">
        <v>25.817106249999998</v>
      </c>
      <c r="AX25" s="21">
        <v>32.337265625000001</v>
      </c>
      <c r="AY25" s="21">
        <v>31.505771875000001</v>
      </c>
      <c r="AZ25" s="22">
        <v>2953.82</v>
      </c>
      <c r="BA25" s="22">
        <v>5436.16</v>
      </c>
      <c r="BB25" s="22">
        <v>6.6740000000000004</v>
      </c>
      <c r="BC25" s="22">
        <v>25.420999999999999</v>
      </c>
      <c r="BE25" s="23">
        <f t="shared" si="14"/>
        <v>-0.37504512027341985</v>
      </c>
      <c r="BF25" s="23">
        <f t="shared" si="15"/>
        <v>7.2793526998836677E-3</v>
      </c>
      <c r="BG25" s="23">
        <f t="array" ref="BG25">AVERAGE(AL25:AL29/AQ25:AQ29) - AVERAGE(N25:N29/S25:S29)</f>
        <v>5.7399158468092737E-3</v>
      </c>
      <c r="BI25" s="24">
        <f>IF( OR(ISBLANK(N25:N29),ISBLANK(AL25:AL29), ISBLANK(W25:W29),ISBLANK(AU25:AU29)), "·", bdRateExtend( N25:N29,W25:W29, AL25:AL29,AU25:AU29))</f>
        <v>-1.3626668120636176E-2</v>
      </c>
      <c r="BJ25" s="24">
        <f>IF( OR(ISBLANK(N25:N29),ISBLANK(AL25:AL29), ISBLANK(X25:X29),ISBLANK(AV25:AV29)), "·", bdRateExtend( N25:N29,X25:X29, AL25:AL29,AV25:AV29))</f>
        <v>2.9781979481735554E-2</v>
      </c>
      <c r="BK25" s="24">
        <f>IF( OR(ISBLANK(V25:V29),ISBLANK(AT25:AT29), ISBLANK(Y25:Y29),ISBLANK(AW25:AW29)), "·", bdRateExtend( V25:V29,Y25:Y29, AT25:AT29,AW25:AW29))</f>
        <v>-4.9862274569270393E-2</v>
      </c>
      <c r="BL25" s="24">
        <f>IF( OR(ISBLANK(V25:V29),ISBLANK(AT25:AT29), ISBLANK(Z25:Z29),ISBLANK(AX25:AX29)), "·", bdRateExtend( V25:V29,Z25:Z29, AT25:AT29,AX25:AX29))</f>
        <v>-7.1973342629889858E-2</v>
      </c>
      <c r="BM25" s="24">
        <f>IF( OR(ISBLANK(V25:V29),ISBLANK(AT25:AT29), ISBLANK(AA25:AA29),ISBLANK(AY25:AY29)), "·", bdRateExtend( V25:V29,AA25:AA29, AT25:AT29,AY25:AY29))</f>
        <v>-6.5149946297904049E-2</v>
      </c>
      <c r="BO25" s="24">
        <f>IF( OR(ISBLANK(S25:S29),ISBLANK(AQ25:AQ29), ISBLANK(W25:W29),ISBLANK(AU25:AU29)), "·", bdRateExtend( S25:S29,W25:W29, AQ25:AQ29,AU25:AU29))</f>
        <v>-2.663607921011335E-2</v>
      </c>
      <c r="BP25" s="24">
        <f>IF( OR(ISBLANK(S25:S29),ISBLANK(AQ25:AQ29), ISBLANK(X25:X29),ISBLANK(AV25:AV29)), "·", bdRateExtend( S25:S29,X25:X29, AQ25:AQ29,AV25:AV29))</f>
        <v>7.3463106627437824E-2</v>
      </c>
      <c r="BQ25" s="24">
        <f>IF( OR(ISBLANK(S25:S29),ISBLANK(AQ25:AQ29), ISBLANK(Y25:Y29),ISBLANK(AW25:AW29)), "·", bdRateExtend( S25:S29,Y25:Y29, AQ25:AQ29,AW25:AW29))</f>
        <v>-3.5892507648313865E-2</v>
      </c>
      <c r="BR25" s="24">
        <f>IF( OR(ISBLANK(S25:S29),ISBLANK(AQ25:AQ29), ISBLANK(Z25:Z29),ISBLANK(AX25:AX29)), "·", bdRateExtend( S25:S29,Z25:Z29, AQ25:AQ29,AX25:AX29))</f>
        <v>-5.4496442306847803E-2</v>
      </c>
      <c r="BS25" s="24">
        <f>IF( OR(ISBLANK(S25:S29),ISBLANK(AQ25:AQ29), ISBLANK(AA25:AA29),ISBLANK(AY25:AY29)), "·", bdRateExtend( S25:S29,AA25:AA29, AQ25:AQ29,AY25:AY29))</f>
        <v>-4.9247839183185205E-2</v>
      </c>
    </row>
    <row r="26" spans="1:71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3.7162875</v>
      </c>
      <c r="J26" s="28">
        <f t="shared" si="1"/>
        <v>0.15660461857283589</v>
      </c>
      <c r="K26" s="28">
        <f t="shared" si="2"/>
        <v>7.6947558683472542E-2</v>
      </c>
      <c r="L26" s="28">
        <f t="shared" si="3"/>
        <v>4.9752042555571953E-2</v>
      </c>
      <c r="M26" s="28">
        <f t="shared" si="4"/>
        <v>7.9638728958540808E-2</v>
      </c>
      <c r="N26" s="25">
        <f t="shared" si="5"/>
        <v>1947728</v>
      </c>
      <c r="O26" s="28">
        <f t="shared" si="6"/>
        <v>0.1043207074620028</v>
      </c>
      <c r="P26" s="29">
        <v>37998592</v>
      </c>
      <c r="Q26" s="29">
        <v>1187456</v>
      </c>
      <c r="R26" s="29">
        <v>427502.71875</v>
      </c>
      <c r="S26" s="30">
        <v>3964040</v>
      </c>
      <c r="T26" s="30">
        <v>1259344</v>
      </c>
      <c r="U26" s="30">
        <v>688384</v>
      </c>
      <c r="V26" s="30">
        <v>2015848</v>
      </c>
      <c r="W26" s="31">
        <v>68.061565625</v>
      </c>
      <c r="X26" s="31">
        <v>70.199990624999998</v>
      </c>
      <c r="Y26" s="31">
        <v>27.793040625</v>
      </c>
      <c r="Z26" s="31">
        <v>33.562824999999997</v>
      </c>
      <c r="AA26" s="31">
        <v>32.940281249999998</v>
      </c>
      <c r="AB26" s="32">
        <v>6398.72</v>
      </c>
      <c r="AC26" s="32">
        <v>6279.35</v>
      </c>
      <c r="AD26" s="32">
        <v>8.6229999999999993</v>
      </c>
      <c r="AE26" s="32">
        <v>27.242000000000001</v>
      </c>
      <c r="AG26" s="27">
        <f t="shared" si="7"/>
        <v>3.5969324999999999</v>
      </c>
      <c r="AH26" s="28">
        <f t="shared" si="8"/>
        <v>0.15157499041576764</v>
      </c>
      <c r="AI26" s="28">
        <f t="shared" si="9"/>
        <v>7.5654912009951794E-2</v>
      </c>
      <c r="AJ26" s="28">
        <f t="shared" si="10"/>
        <v>4.9072533913012147E-2</v>
      </c>
      <c r="AK26" s="28">
        <f t="shared" si="11"/>
        <v>7.5901431424461874E-2</v>
      </c>
      <c r="AL26" s="25">
        <f t="shared" si="12"/>
        <v>1915008</v>
      </c>
      <c r="AM26" s="28">
        <f t="shared" si="13"/>
        <v>0.15250992408346942</v>
      </c>
      <c r="AN26" s="29">
        <v>25157235</v>
      </c>
      <c r="AO26" s="29">
        <v>786163.59375</v>
      </c>
      <c r="AP26" s="29">
        <v>23660.5</v>
      </c>
      <c r="AQ26" s="30">
        <v>3836728</v>
      </c>
      <c r="AR26" s="30">
        <v>1242144</v>
      </c>
      <c r="AS26" s="30">
        <v>672864</v>
      </c>
      <c r="AT26" s="30">
        <v>1921248</v>
      </c>
      <c r="AU26" s="31">
        <v>68.050475000000006</v>
      </c>
      <c r="AV26" s="31">
        <v>69.994981249999995</v>
      </c>
      <c r="AW26" s="31">
        <v>27.873328125</v>
      </c>
      <c r="AX26" s="31">
        <v>33.63060625</v>
      </c>
      <c r="AY26" s="31">
        <v>32.988174999999998</v>
      </c>
      <c r="AZ26" s="32">
        <v>2943.09</v>
      </c>
      <c r="BA26" s="32">
        <v>5848.1</v>
      </c>
      <c r="BB26" s="32">
        <v>6.8620000000000001</v>
      </c>
      <c r="BC26" s="32">
        <v>25.884</v>
      </c>
      <c r="BE26" s="33">
        <f t="shared" si="14"/>
        <v>-0.32991947574642222</v>
      </c>
      <c r="BF26" s="33">
        <f t="shared" si="15"/>
        <v>7.7760667723926757E-3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6.3624824999999996</v>
      </c>
      <c r="J27" s="18">
        <f t="shared" si="1"/>
        <v>0.26811546337274589</v>
      </c>
      <c r="K27" s="18">
        <f t="shared" si="2"/>
        <v>9.717795319986941E-2</v>
      </c>
      <c r="L27" s="18">
        <f t="shared" si="3"/>
        <v>6.9982437071968814E-2</v>
      </c>
      <c r="M27" s="18">
        <f t="shared" si="4"/>
        <v>0.17091917924205394</v>
      </c>
      <c r="N27" s="15">
        <f t="shared" si="5"/>
        <v>2459808</v>
      </c>
      <c r="O27" s="18">
        <f t="shared" si="6"/>
        <v>0.17860261769699257</v>
      </c>
      <c r="P27" s="19">
        <v>37998592</v>
      </c>
      <c r="Q27" s="19">
        <v>1187456</v>
      </c>
      <c r="R27" s="19">
        <v>422039.4375</v>
      </c>
      <c r="S27" s="20">
        <v>6786648</v>
      </c>
      <c r="T27" s="20">
        <v>1771424</v>
      </c>
      <c r="U27" s="20">
        <v>688384</v>
      </c>
      <c r="V27" s="20">
        <v>4326376</v>
      </c>
      <c r="W27" s="21">
        <v>69.41819375</v>
      </c>
      <c r="X27" s="21">
        <v>72.005674999999997</v>
      </c>
      <c r="Y27" s="21">
        <v>30.158537500000001</v>
      </c>
      <c r="Z27" s="21">
        <v>34.834140625000003</v>
      </c>
      <c r="AA27" s="21">
        <v>34.338146875</v>
      </c>
      <c r="AB27" s="22">
        <v>6392.17</v>
      </c>
      <c r="AC27" s="22">
        <v>6654.26</v>
      </c>
      <c r="AD27" s="22">
        <v>8.4649999999999999</v>
      </c>
      <c r="AE27" s="22">
        <v>27.148</v>
      </c>
      <c r="AG27" s="17">
        <f t="shared" si="7"/>
        <v>6.1634025000000001</v>
      </c>
      <c r="AH27" s="18">
        <f t="shared" si="8"/>
        <v>0.25972621806664936</v>
      </c>
      <c r="AI27" s="18">
        <f t="shared" si="9"/>
        <v>9.5606866008164856E-2</v>
      </c>
      <c r="AJ27" s="18">
        <f t="shared" si="10"/>
        <v>6.9024487911225202E-2</v>
      </c>
      <c r="AK27" s="18">
        <f t="shared" si="11"/>
        <v>0.16410070507713057</v>
      </c>
      <c r="AL27" s="15">
        <f t="shared" si="12"/>
        <v>2420040</v>
      </c>
      <c r="AM27" s="18">
        <f t="shared" si="13"/>
        <v>0.25975777394054594</v>
      </c>
      <c r="AN27" s="19">
        <v>25309333</v>
      </c>
      <c r="AO27" s="19">
        <v>790916.65625</v>
      </c>
      <c r="AP27" s="19">
        <v>24590.8125</v>
      </c>
      <c r="AQ27" s="20">
        <v>6574296</v>
      </c>
      <c r="AR27" s="20">
        <v>1747176</v>
      </c>
      <c r="AS27" s="20">
        <v>672864</v>
      </c>
      <c r="AT27" s="20">
        <v>4153784</v>
      </c>
      <c r="AU27" s="21">
        <v>69.417628124999993</v>
      </c>
      <c r="AV27" s="21">
        <v>71.751234374999996</v>
      </c>
      <c r="AW27" s="21">
        <v>30.219646874999999</v>
      </c>
      <c r="AX27" s="21">
        <v>34.888071875000001</v>
      </c>
      <c r="AY27" s="21">
        <v>34.375062499999999</v>
      </c>
      <c r="AZ27" s="22">
        <v>2926.22</v>
      </c>
      <c r="BA27" s="22">
        <v>6268.93</v>
      </c>
      <c r="BB27" s="22">
        <v>6.8949999999999996</v>
      </c>
      <c r="BC27" s="22">
        <v>26.484000000000002</v>
      </c>
      <c r="BE27" s="23">
        <f t="shared" si="14"/>
        <v>-0.32432326613820328</v>
      </c>
      <c r="BF27" s="23">
        <f t="shared" si="15"/>
        <v>5.6581859356347186E-3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12.807135000000001</v>
      </c>
      <c r="J28" s="28">
        <f t="shared" si="1"/>
        <v>0.53969357636776394</v>
      </c>
      <c r="K28" s="28">
        <f t="shared" si="2"/>
        <v>0.13170868611157027</v>
      </c>
      <c r="L28" s="28">
        <f t="shared" si="3"/>
        <v>0.10451316998366966</v>
      </c>
      <c r="M28" s="28">
        <f t="shared" si="4"/>
        <v>0.40796655932537118</v>
      </c>
      <c r="N28" s="25">
        <f t="shared" si="5"/>
        <v>3333864</v>
      </c>
      <c r="O28" s="28">
        <f t="shared" si="6"/>
        <v>0.35951184717581114</v>
      </c>
      <c r="P28" s="29">
        <v>37998592</v>
      </c>
      <c r="Q28" s="29">
        <v>1187456</v>
      </c>
      <c r="R28" s="29">
        <v>393007.71875</v>
      </c>
      <c r="S28" s="30">
        <v>13660944</v>
      </c>
      <c r="T28" s="30">
        <v>2645480</v>
      </c>
      <c r="U28" s="30">
        <v>688384</v>
      </c>
      <c r="V28" s="30">
        <v>10326616</v>
      </c>
      <c r="W28" s="31">
        <v>70.447346874999994</v>
      </c>
      <c r="X28" s="31">
        <v>73.256937500000006</v>
      </c>
      <c r="Y28" s="31">
        <v>32.760350000000003</v>
      </c>
      <c r="Z28" s="31">
        <v>36.359243749999997</v>
      </c>
      <c r="AA28" s="31">
        <v>35.864890625000001</v>
      </c>
      <c r="AB28" s="32">
        <v>6387.69</v>
      </c>
      <c r="AC28" s="32">
        <v>7206.17</v>
      </c>
      <c r="AD28" s="32">
        <v>8.4269999999999996</v>
      </c>
      <c r="AE28" s="32">
        <v>28.818999999999999</v>
      </c>
      <c r="AG28" s="27">
        <f t="shared" si="7"/>
        <v>12.3744525</v>
      </c>
      <c r="AH28" s="28">
        <f t="shared" si="8"/>
        <v>0.52146030515943009</v>
      </c>
      <c r="AI28" s="28">
        <f t="shared" si="9"/>
        <v>0.12987022017028171</v>
      </c>
      <c r="AJ28" s="28">
        <f t="shared" si="10"/>
        <v>0.10328784207334206</v>
      </c>
      <c r="AK28" s="28">
        <f t="shared" si="11"/>
        <v>0.39157143800779443</v>
      </c>
      <c r="AL28" s="25">
        <f t="shared" si="12"/>
        <v>3287328</v>
      </c>
      <c r="AM28" s="28">
        <f t="shared" si="13"/>
        <v>0.50133573904107553</v>
      </c>
      <c r="AN28" s="29">
        <v>26328496</v>
      </c>
      <c r="AO28" s="29">
        <v>822765.5</v>
      </c>
      <c r="AP28" s="29">
        <v>28125.34375</v>
      </c>
      <c r="AQ28" s="30">
        <v>13199416</v>
      </c>
      <c r="AR28" s="30">
        <v>2614464</v>
      </c>
      <c r="AS28" s="30">
        <v>672864</v>
      </c>
      <c r="AT28" s="30">
        <v>9911616</v>
      </c>
      <c r="AU28" s="31">
        <v>70.424096875000004</v>
      </c>
      <c r="AV28" s="31">
        <v>72.966525000000004</v>
      </c>
      <c r="AW28" s="31">
        <v>32.775624999999998</v>
      </c>
      <c r="AX28" s="31">
        <v>36.4147125</v>
      </c>
      <c r="AY28" s="31">
        <v>35.915243750000002</v>
      </c>
      <c r="AZ28" s="32">
        <v>2924.19</v>
      </c>
      <c r="BA28" s="32">
        <v>6803.23</v>
      </c>
      <c r="BB28" s="32">
        <v>7.7270000000000003</v>
      </c>
      <c r="BC28" s="32">
        <v>29.62</v>
      </c>
      <c r="BE28" s="33">
        <f t="shared" si="14"/>
        <v>-0.29678221922090969</v>
      </c>
      <c r="BF28" s="33">
        <f t="shared" si="15"/>
        <v>5.0075615947207941E-3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outlineLevel="1" x14ac:dyDescent="0.3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29.737057499999999</v>
      </c>
      <c r="J29" s="38">
        <f t="shared" si="1"/>
        <v>1.2531217101114995</v>
      </c>
      <c r="K29" s="38">
        <f t="shared" si="2"/>
        <v>0.19025957546196315</v>
      </c>
      <c r="L29" s="38">
        <f t="shared" si="3"/>
        <v>0.16306405933406257</v>
      </c>
      <c r="M29" s="38">
        <f t="shared" si="4"/>
        <v>1.0628438037187138</v>
      </c>
      <c r="N29" s="35">
        <f t="shared" si="5"/>
        <v>4815928</v>
      </c>
      <c r="O29" s="38">
        <f t="shared" si="6"/>
        <v>0.83475535093510833</v>
      </c>
      <c r="P29" s="39">
        <v>37998592</v>
      </c>
      <c r="Q29" s="39">
        <v>1187456</v>
      </c>
      <c r="R29" s="39">
        <v>389633.875</v>
      </c>
      <c r="S29" s="40">
        <v>31719528</v>
      </c>
      <c r="T29" s="40">
        <v>4127544</v>
      </c>
      <c r="U29" s="40">
        <v>688384</v>
      </c>
      <c r="V29" s="40">
        <v>26903136</v>
      </c>
      <c r="W29" s="41">
        <v>71.337231250000002</v>
      </c>
      <c r="X29" s="41">
        <v>74.429903124999996</v>
      </c>
      <c r="Y29" s="41">
        <v>35.761165624999997</v>
      </c>
      <c r="Z29" s="41">
        <v>38.510306249999999</v>
      </c>
      <c r="AA29" s="41">
        <v>37.982206249999997</v>
      </c>
      <c r="AB29" s="42">
        <v>6364.46</v>
      </c>
      <c r="AC29" s="42">
        <v>7970.11</v>
      </c>
      <c r="AD29" s="42">
        <v>7.992</v>
      </c>
      <c r="AE29" s="42">
        <v>28.949000000000002</v>
      </c>
      <c r="AG29" s="37">
        <f t="shared" si="7"/>
        <v>28.815915</v>
      </c>
      <c r="AH29" s="38">
        <f t="shared" si="8"/>
        <v>1.2143046998926377</v>
      </c>
      <c r="AI29" s="38">
        <f t="shared" si="9"/>
        <v>0.18798274743359067</v>
      </c>
      <c r="AJ29" s="38">
        <f t="shared" si="10"/>
        <v>0.16140036933665103</v>
      </c>
      <c r="AK29" s="38">
        <f t="shared" si="11"/>
        <v>1.0263033054776931</v>
      </c>
      <c r="AL29" s="35">
        <f t="shared" si="12"/>
        <v>4758296</v>
      </c>
      <c r="AM29" s="38">
        <f t="shared" si="13"/>
        <v>1.1597409410567252</v>
      </c>
      <c r="AN29" s="39">
        <v>26503312</v>
      </c>
      <c r="AO29" s="39">
        <v>828228.5</v>
      </c>
      <c r="AP29" s="39">
        <v>29829.40625</v>
      </c>
      <c r="AQ29" s="40">
        <v>30736976</v>
      </c>
      <c r="AR29" s="40">
        <v>4085432</v>
      </c>
      <c r="AS29" s="40">
        <v>672864</v>
      </c>
      <c r="AT29" s="40">
        <v>25978208</v>
      </c>
      <c r="AU29" s="41">
        <v>71.324937500000004</v>
      </c>
      <c r="AV29" s="41">
        <v>74.115281249999995</v>
      </c>
      <c r="AW29" s="41">
        <v>35.531715624999997</v>
      </c>
      <c r="AX29" s="41">
        <v>38.532499999999999</v>
      </c>
      <c r="AY29" s="41">
        <v>37.996524999999998</v>
      </c>
      <c r="AZ29" s="42">
        <v>2923.68</v>
      </c>
      <c r="BA29" s="42">
        <v>7653.16</v>
      </c>
      <c r="BB29" s="42">
        <v>7.3360000000000003</v>
      </c>
      <c r="BC29" s="42">
        <v>31.709</v>
      </c>
      <c r="BE29" s="43">
        <f t="shared" si="14"/>
        <v>-0.29210898094827964</v>
      </c>
      <c r="BF29" s="43">
        <f t="shared" si="15"/>
        <v>2.9784122314143735E-3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288</v>
      </c>
      <c r="J30" s="56">
        <f>AVERAGE(J5:J24)</f>
        <v>0.20814190209050593</v>
      </c>
      <c r="K30" s="56">
        <f>AVERAGE(K5:K24)</f>
        <v>9.2097316474251262E-2</v>
      </c>
      <c r="L30" s="56">
        <f>AVERAGE(L5:L24)</f>
        <v>6.7530341538266939E-2</v>
      </c>
      <c r="M30" s="56">
        <f>AVERAGE(M5:M24)</f>
        <v>0.11602780023327572</v>
      </c>
      <c r="AH30" s="56">
        <f>AVERAGE(AH5:AH24)</f>
        <v>0.20395102473709931</v>
      </c>
      <c r="AI30" s="56">
        <f>AVERAGE(AI5:AI24)</f>
        <v>9.0741377360750497E-2</v>
      </c>
      <c r="AJ30" s="56">
        <f>AVERAGE(AJ5:AJ24)</f>
        <v>6.6697390796246314E-2</v>
      </c>
      <c r="AK30" s="56">
        <f>AVERAGE(AK5:AK24)</f>
        <v>0.11319257259021502</v>
      </c>
      <c r="BG30" s="8">
        <f>AVERAGE(BG5:BG24)</f>
        <v>-3.771186399606774E-4</v>
      </c>
      <c r="BI30" s="5">
        <f>AVERAGE(BI5:BI24)</f>
        <v>-1.5778983084610065E-2</v>
      </c>
      <c r="BJ30" s="5">
        <f>AVERAGE(BJ5:BJ24)</f>
        <v>2.5709486697836625E-2</v>
      </c>
      <c r="BK30" s="5">
        <f>AVERAGE(BK5:BK24)</f>
        <v>-1.9541471336323224E-2</v>
      </c>
      <c r="BL30" s="5">
        <f>AVERAGE(BL5:BL24)</f>
        <v>-3.9472024377442405E-3</v>
      </c>
      <c r="BM30" s="5">
        <f>AVERAGE(BM5:BM24)</f>
        <v>-4.9331772796933904E-3</v>
      </c>
      <c r="BO30" s="5">
        <f>AVERAGE(BO5:BO24)</f>
        <v>-1.1053478353533985E-2</v>
      </c>
      <c r="BP30" s="5">
        <f>AVERAGE(BP5:BP24)</f>
        <v>6.4308290506557481E-2</v>
      </c>
      <c r="BQ30" s="5">
        <f>AVERAGE(BQ5:BQ24)</f>
        <v>-2.1831087584148173E-2</v>
      </c>
      <c r="BR30" s="5">
        <f>AVERAGE(BR5:BR24)</f>
        <v>-1.3868987438798441E-2</v>
      </c>
      <c r="BS30" s="5">
        <f>AVERAGE(BS5:BS24)</f>
        <v>-1.2586825082216896E-2</v>
      </c>
    </row>
    <row r="31" spans="1:71" x14ac:dyDescent="0.3">
      <c r="B31" s="55" t="s">
        <v>289</v>
      </c>
      <c r="J31" s="56">
        <f>AVERAGE(J25:J29)</f>
        <v>0.4637240044487273</v>
      </c>
      <c r="K31" s="56">
        <f>AVERAGE(K25:K29)</f>
        <v>0.11182082716112982</v>
      </c>
      <c r="L31" s="56">
        <f>AVERAGE(L25:L29)</f>
        <v>8.4625311033229234E-2</v>
      </c>
      <c r="M31" s="56">
        <f>AVERAGE(M25:M29)</f>
        <v>0.35188484635677486</v>
      </c>
      <c r="AH31" s="56">
        <f>AVERAGE(AH25:AH29)</f>
        <v>0.449038969346575</v>
      </c>
      <c r="AI31" s="56">
        <f>AVERAGE(AI25:AI29)</f>
        <v>0.1101993615147164</v>
      </c>
      <c r="AJ31" s="56">
        <f>AVERAGE(AJ25:AJ29)</f>
        <v>8.3616983417776763E-2</v>
      </c>
      <c r="AK31" s="56">
        <f>AVERAGE(AK25:AK29)</f>
        <v>0.33882096085050467</v>
      </c>
      <c r="BG31" s="8">
        <f>AVERAGE(BG25:BG29)</f>
        <v>5.7399158468092737E-3</v>
      </c>
      <c r="BI31" s="5">
        <f>AVERAGE(BI25:BI29)</f>
        <v>-1.3626668120636176E-2</v>
      </c>
      <c r="BJ31" s="5">
        <f>AVERAGE(BJ25:BJ29)</f>
        <v>2.9781979481735554E-2</v>
      </c>
      <c r="BK31" s="5">
        <f>AVERAGE(BK25:BK29)</f>
        <v>-4.9862274569270393E-2</v>
      </c>
      <c r="BL31" s="5">
        <f>AVERAGE(BL25:BL29)</f>
        <v>-7.1973342629889858E-2</v>
      </c>
      <c r="BM31" s="5">
        <f>AVERAGE(BM25:BM29)</f>
        <v>-6.5149946297904049E-2</v>
      </c>
      <c r="BO31" s="5">
        <f>AVERAGE(BO25:BO29)</f>
        <v>-2.663607921011335E-2</v>
      </c>
      <c r="BP31" s="5">
        <f>AVERAGE(BP25:BP29)</f>
        <v>7.3463106627437824E-2</v>
      </c>
      <c r="BQ31" s="5">
        <f>AVERAGE(BQ25:BQ29)</f>
        <v>-3.5892507648313865E-2</v>
      </c>
      <c r="BR31" s="5">
        <f>AVERAGE(BR25:BR29)</f>
        <v>-5.4496442306847803E-2</v>
      </c>
      <c r="BS31" s="5">
        <f>AVERAGE(BS25:BS29)</f>
        <v>-4.9247839183185205E-2</v>
      </c>
    </row>
    <row r="32" spans="1:71" x14ac:dyDescent="0.3">
      <c r="B32" s="55" t="s">
        <v>290</v>
      </c>
      <c r="J32" s="56">
        <f>AVERAGE(J5:J29)</f>
        <v>0.25925832256215026</v>
      </c>
      <c r="K32" s="56">
        <f>AVERAGE(K5:K29)</f>
        <v>9.6042018611626978E-2</v>
      </c>
      <c r="L32" s="56">
        <f>AVERAGE(L5:L29)</f>
        <v>7.0949335437259398E-2</v>
      </c>
      <c r="M32" s="56">
        <f>AVERAGE(M5:M29)</f>
        <v>0.16319920945797556</v>
      </c>
      <c r="AH32" s="56">
        <f>AVERAGE(AH5:AH29)</f>
        <v>0.25296861365899448</v>
      </c>
      <c r="AI32" s="56">
        <f>AVERAGE(AI5:AI29)</f>
        <v>9.4632974191543692E-2</v>
      </c>
      <c r="AJ32" s="56">
        <f>AVERAGE(AJ5:AJ29)</f>
        <v>7.0081309320552398E-2</v>
      </c>
      <c r="AK32" s="56">
        <f>AVERAGE(AK5:AK29)</f>
        <v>0.15831825024227292</v>
      </c>
      <c r="BG32" s="8">
        <f>AVERAGE(BG5:BG29)</f>
        <v>8.4628825739331277E-4</v>
      </c>
      <c r="BI32" s="5">
        <f>AVERAGE(BI5:BI29)</f>
        <v>-1.5348520091815287E-2</v>
      </c>
      <c r="BJ32" s="5">
        <f>AVERAGE(BJ5:BJ29)</f>
        <v>2.6523985254616411E-2</v>
      </c>
      <c r="BK32" s="5">
        <f>AVERAGE(BK5:BK29)</f>
        <v>-2.5605631982912658E-2</v>
      </c>
      <c r="BL32" s="5">
        <f>AVERAGE(BL5:BL29)</f>
        <v>-1.7552430476173365E-2</v>
      </c>
      <c r="BM32" s="5">
        <f>AVERAGE(BM5:BM29)</f>
        <v>-1.6976531083335522E-2</v>
      </c>
      <c r="BO32" s="5">
        <f>AVERAGE(BO5:BO29)</f>
        <v>-1.4169998524849858E-2</v>
      </c>
      <c r="BP32" s="5">
        <f>AVERAGE(BP5:BP29)</f>
        <v>6.6139253730733552E-2</v>
      </c>
      <c r="BQ32" s="5">
        <f>AVERAGE(BQ5:BQ29)</f>
        <v>-2.4643371596981312E-2</v>
      </c>
      <c r="BR32" s="5">
        <f>AVERAGE(BR5:BR29)</f>
        <v>-2.1994478412408314E-2</v>
      </c>
      <c r="BS32" s="5">
        <f>AVERAGE(BS5:BS29)</f>
        <v>-1.9919027902410558E-2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174543.46000000002</v>
      </c>
      <c r="AC33" s="57">
        <f>SUM(AC5:AC24,AC25:AC29)</f>
        <v>139545.10999999996</v>
      </c>
      <c r="AD33" s="57">
        <f>SUM(AD5:AD24,AD25:AD29)</f>
        <v>221.97499999999999</v>
      </c>
      <c r="AE33" s="57">
        <f>SUM(AE5:AE24,AE25:AE29)</f>
        <v>602.65</v>
      </c>
      <c r="AZ33" s="57">
        <f>SUM(AZ5:AZ24,AZ25:AZ29)</f>
        <v>80690.58</v>
      </c>
      <c r="BA33" s="57">
        <f>SUM(BA5:BA24,BA25:BA29)</f>
        <v>135677.01999999999</v>
      </c>
      <c r="BB33" s="57">
        <f>SUM(BB5:BB24,BB25:BB29)</f>
        <v>189.36100000000002</v>
      </c>
      <c r="BC33" s="57">
        <f>SUM(BC5:BC24,BC25:BC29)</f>
        <v>617.38499999999999</v>
      </c>
    </row>
    <row r="34" spans="1:55" hidden="1" outlineLevel="2" x14ac:dyDescent="0.3">
      <c r="B34" s="55" t="s">
        <v>293</v>
      </c>
      <c r="AZ34" s="8">
        <f>AZ33/AB33</f>
        <v>0.4622950639342201</v>
      </c>
      <c r="BA34" s="8">
        <f>BA33/AC33</f>
        <v>0.97228071983317821</v>
      </c>
      <c r="BB34" s="8">
        <f>BB33/AD33</f>
        <v>0.85307354431805393</v>
      </c>
      <c r="BC34" s="8">
        <f>BC33/AE33</f>
        <v>1.0244503443126194</v>
      </c>
    </row>
    <row r="35" spans="1:55" hidden="1" outlineLevel="2" x14ac:dyDescent="0.3">
      <c r="B35" s="55" t="s">
        <v>294</v>
      </c>
      <c r="AB35" s="57">
        <f>GEOMEAN(AB5:AB24,AB25:AB29)</f>
        <v>6896.983474906714</v>
      </c>
      <c r="AC35" s="57">
        <f>GEOMEAN(AC5:AC24,AC25:AC29)</f>
        <v>5506.1616206065064</v>
      </c>
      <c r="AD35" s="57">
        <f>GEOMEAN(AD5:AD24,AD25:AD29)</f>
        <v>8.8384638846088937</v>
      </c>
      <c r="AE35" s="57">
        <f>GEOMEAN(AE5:AE24,AE25:AE29)</f>
        <v>23.99713672951216</v>
      </c>
      <c r="AZ35" s="57">
        <f>GEOMEAN(AZ5:AZ24,AZ25:AZ29)</f>
        <v>3185.8434870297792</v>
      </c>
      <c r="BA35" s="57">
        <f>GEOMEAN(BA5:BA24,BA25:BA29)</f>
        <v>5342.4216707165997</v>
      </c>
      <c r="BB35" s="57">
        <f>GEOMEAN(BB5:BB24,BB25:BB29)</f>
        <v>7.4903365907843984</v>
      </c>
      <c r="BC35" s="57">
        <f>GEOMEAN(BC5:BC24,BC25:BC29)</f>
        <v>24.524644884797031</v>
      </c>
    </row>
    <row r="36" spans="1:55" outlineLevel="2" collapsed="1" x14ac:dyDescent="0.3">
      <c r="B36" s="55" t="s">
        <v>295</v>
      </c>
      <c r="AZ36" s="8">
        <f>AZ35/AB35</f>
        <v>0.46191838774455957</v>
      </c>
      <c r="BA36" s="8">
        <f>BA35/AC35</f>
        <v>0.9702624148777037</v>
      </c>
      <c r="BB36" s="8">
        <f>BB35/AD35</f>
        <v>0.84747040759287429</v>
      </c>
      <c r="BC36" s="8">
        <f>BC35/AE35</f>
        <v>1.0219821290027544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35" priority="17" operator="greaterThanOrEqual">
      <formula>0.03</formula>
    </cfRule>
    <cfRule type="cellIs" dxfId="34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33" priority="11" operator="greaterThanOrEqual">
      <formula>0.03</formula>
    </cfRule>
    <cfRule type="cellIs" dxfId="32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31" priority="5" operator="greaterThanOrEqual">
      <formula>0.03</formula>
    </cfRule>
    <cfRule type="cellIs" dxfId="30" priority="6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27" priority="1" operator="greaterThanOrEqual">
      <formula>0.03</formula>
    </cfRule>
    <cfRule type="cellIs" dxfId="26" priority="2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23" priority="9" operator="greaterThanOrEqual">
      <formula>0.03</formula>
    </cfRule>
    <cfRule type="cellIs" dxfId="22" priority="1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21" priority="3" operator="greaterThanOrEqual">
      <formula>0.03</formula>
    </cfRule>
    <cfRule type="cellIs" dxfId="20" priority="4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19" priority="7" operator="greaterThanOrEqual">
      <formula>0.03</formula>
    </cfRule>
    <cfRule type="cellIs" dxfId="18" priority="8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7C0BC-1361-46B8-9E2C-9EAC58991103}">
  <dimension ref="A1:X11"/>
  <sheetViews>
    <sheetView workbookViewId="0">
      <selection activeCell="X11" sqref="A1:X11"/>
    </sheetView>
  </sheetViews>
  <sheetFormatPr defaultRowHeight="14.4" x14ac:dyDescent="0.3"/>
  <cols>
    <col min="1" max="1" width="2.5546875" customWidth="1"/>
    <col min="2" max="18" width="6.88671875" customWidth="1"/>
  </cols>
  <sheetData>
    <row r="1" spans="1:24" ht="15" customHeight="1" thickBot="1" x14ac:dyDescent="0.35">
      <c r="A1" s="137" t="s">
        <v>93</v>
      </c>
      <c r="B1" s="140" t="s">
        <v>551</v>
      </c>
      <c r="C1" s="143" t="s">
        <v>552</v>
      </c>
      <c r="D1" s="144"/>
      <c r="E1" s="145"/>
      <c r="F1" s="143" t="s">
        <v>553</v>
      </c>
      <c r="G1" s="144"/>
      <c r="H1" s="145"/>
      <c r="I1" s="143" t="s">
        <v>554</v>
      </c>
      <c r="J1" s="144"/>
      <c r="K1" s="144"/>
      <c r="L1" s="144"/>
      <c r="M1" s="145"/>
      <c r="N1" s="143" t="s">
        <v>555</v>
      </c>
      <c r="O1" s="144"/>
      <c r="P1" s="144"/>
      <c r="Q1" s="144"/>
      <c r="R1" s="145"/>
      <c r="S1" s="4"/>
      <c r="T1" s="4"/>
      <c r="U1" s="4"/>
      <c r="V1" s="4"/>
      <c r="W1" s="4"/>
      <c r="X1" s="4"/>
    </row>
    <row r="2" spans="1:24" ht="14.4" customHeight="1" x14ac:dyDescent="0.3">
      <c r="A2" s="138"/>
      <c r="B2" s="141"/>
      <c r="C2" s="146" t="s">
        <v>357</v>
      </c>
      <c r="D2" s="147"/>
      <c r="E2" s="148"/>
      <c r="F2" s="146" t="s">
        <v>357</v>
      </c>
      <c r="G2" s="147"/>
      <c r="H2" s="148"/>
      <c r="I2" s="146" t="s">
        <v>249</v>
      </c>
      <c r="J2" s="147"/>
      <c r="K2" s="147" t="s">
        <v>254</v>
      </c>
      <c r="L2" s="147"/>
      <c r="M2" s="148"/>
      <c r="N2" s="146" t="s">
        <v>249</v>
      </c>
      <c r="O2" s="147"/>
      <c r="P2" s="147" t="s">
        <v>254</v>
      </c>
      <c r="Q2" s="147"/>
      <c r="R2" s="148"/>
      <c r="S2" s="4"/>
      <c r="T2" s="153" t="s">
        <v>556</v>
      </c>
      <c r="U2" s="133" t="s">
        <v>549</v>
      </c>
      <c r="V2" s="134"/>
      <c r="W2" s="133" t="s">
        <v>550</v>
      </c>
      <c r="X2" s="134"/>
    </row>
    <row r="3" spans="1:24" ht="15" thickBot="1" x14ac:dyDescent="0.35">
      <c r="A3" s="139"/>
      <c r="B3" s="142"/>
      <c r="C3" s="65" t="s">
        <v>118</v>
      </c>
      <c r="D3" s="66" t="s">
        <v>557</v>
      </c>
      <c r="E3" s="67" t="s">
        <v>150</v>
      </c>
      <c r="F3" s="65" t="s">
        <v>118</v>
      </c>
      <c r="G3" s="66" t="s">
        <v>557</v>
      </c>
      <c r="H3" s="67" t="s">
        <v>150</v>
      </c>
      <c r="I3" s="65" t="s">
        <v>154</v>
      </c>
      <c r="J3" s="66" t="s">
        <v>157</v>
      </c>
      <c r="K3" s="66" t="s">
        <v>161</v>
      </c>
      <c r="L3" s="66" t="s">
        <v>558</v>
      </c>
      <c r="M3" s="67" t="s">
        <v>559</v>
      </c>
      <c r="N3" s="65" t="s">
        <v>154</v>
      </c>
      <c r="O3" s="66" t="s">
        <v>157</v>
      </c>
      <c r="P3" s="66" t="s">
        <v>161</v>
      </c>
      <c r="Q3" s="66" t="s">
        <v>560</v>
      </c>
      <c r="R3" s="67" t="s">
        <v>559</v>
      </c>
      <c r="S3" s="4"/>
      <c r="T3" s="154"/>
      <c r="U3" s="68" t="s">
        <v>171</v>
      </c>
      <c r="V3" s="69" t="s">
        <v>174</v>
      </c>
      <c r="W3" s="70" t="s">
        <v>171</v>
      </c>
      <c r="X3" s="69" t="s">
        <v>174</v>
      </c>
    </row>
    <row r="4" spans="1:24" x14ac:dyDescent="0.3">
      <c r="A4" s="71" t="s">
        <v>561</v>
      </c>
      <c r="B4" s="72" t="s">
        <v>562</v>
      </c>
      <c r="C4" s="73">
        <f>'CW losslG,losslA,intra'!BB5</f>
        <v>0.99553476514854666</v>
      </c>
      <c r="D4" s="74">
        <f>'CW losslG,losslA,intra'!BC5</f>
        <v>0.99888038993783124</v>
      </c>
      <c r="E4" s="75">
        <f>'CW losslG,losslA,intra'!BD5</f>
        <v>0.99491472406854775</v>
      </c>
      <c r="F4" s="73">
        <f>'CW losslG,losslA,interLD'!BB5</f>
        <v>1.0005819057592715</v>
      </c>
      <c r="G4" s="74">
        <f>'CW losslG,losslA,interLD'!BC5</f>
        <v>1.0014197507267366</v>
      </c>
      <c r="H4" s="75">
        <f>'CW losslG,losslA,interLD'!BD5</f>
        <v>1.0004610562962584</v>
      </c>
      <c r="I4" s="73">
        <f>'C2 lossyG,lossyA,intra'!BO5</f>
        <v>3.8452130039414723E-3</v>
      </c>
      <c r="J4" s="74">
        <f>'C2 lossyG,lossyA,intra'!BP5</f>
        <v>0.1121908630652817</v>
      </c>
      <c r="K4" s="74">
        <f>'C2 lossyG,lossyA,intra'!BQ5</f>
        <v>-8.7167558018408364E-4</v>
      </c>
      <c r="L4" s="74">
        <f>'C2 lossyG,lossyA,intra'!BR5</f>
        <v>-6.3681687556033095E-3</v>
      </c>
      <c r="M4" s="75">
        <f>'C2 lossyG,lossyA,intra'!BS5</f>
        <v>5.8036150355846861E-3</v>
      </c>
      <c r="N4" s="73">
        <f>'C2 lossyG,lossyA,interRA'!BO5</f>
        <v>2.6597320655793677E-2</v>
      </c>
      <c r="O4" s="74">
        <f>'C2 lossyG,lossyA,interRA'!BP5</f>
        <v>0.11661327393559451</v>
      </c>
      <c r="P4" s="74">
        <f>'C2 lossyG,lossyA,interRA'!BQ5</f>
        <v>2.4572715485275287E-2</v>
      </c>
      <c r="Q4" s="74">
        <f>'C2 lossyG,lossyA,interRA'!BR5</f>
        <v>5.5335378814477032E-2</v>
      </c>
      <c r="R4" s="75">
        <f>'C2 lossyG,lossyA,interRA'!BS5</f>
        <v>4.1398090285907907E-2</v>
      </c>
      <c r="S4" s="4"/>
      <c r="T4" s="76" t="s">
        <v>552</v>
      </c>
      <c r="U4" s="77">
        <f>'CW losslG,losslA,intra'!AW16</f>
        <v>0.46150824697496157</v>
      </c>
      <c r="V4" s="78">
        <f>'CW losslG,losslA,intra'!AX16</f>
        <v>0.99478081101239868</v>
      </c>
      <c r="W4" s="77">
        <f>'CW losslG,losslA,intra'!AY16</f>
        <v>0.733096869762773</v>
      </c>
      <c r="X4" s="78">
        <f>'CW losslG,losslA,intra'!AZ16</f>
        <v>1.0160254814337282</v>
      </c>
    </row>
    <row r="5" spans="1:24" x14ac:dyDescent="0.3">
      <c r="A5" s="79"/>
      <c r="B5" s="80" t="s">
        <v>563</v>
      </c>
      <c r="C5" s="81">
        <f>'CW losslG,losslA,intra'!BB6</f>
        <v>0.99986322001849925</v>
      </c>
      <c r="D5" s="82">
        <f>'CW losslG,losslA,intra'!BC6</f>
        <v>0.99986667880146662</v>
      </c>
      <c r="E5" s="83">
        <f>'CW losslG,losslA,intra'!BD6</f>
        <v>0.99984037477849763</v>
      </c>
      <c r="F5" s="81">
        <f>'CW losslG,losslA,interLD'!BB6</f>
        <v>1.0002312465701146</v>
      </c>
      <c r="G5" s="82">
        <f>'CW losslG,losslA,interLD'!BC6</f>
        <v>1.0004431304197452</v>
      </c>
      <c r="H5" s="83">
        <f>'CW losslG,losslA,interLD'!BD6</f>
        <v>1.0001497886686999</v>
      </c>
      <c r="I5" s="81">
        <f>'C2 lossyG,lossyA,intra'!BO10</f>
        <v>7.0434137325294799E-3</v>
      </c>
      <c r="J5" s="82">
        <f>'C2 lossyG,lossyA,intra'!BP10</f>
        <v>9.2659469081449064E-2</v>
      </c>
      <c r="K5" s="82">
        <f>'C2 lossyG,lossyA,intra'!BQ10</f>
        <v>9.0551814379624673E-4</v>
      </c>
      <c r="L5" s="82">
        <f>'C2 lossyG,lossyA,intra'!BR10</f>
        <v>-4.2150331396683116E-3</v>
      </c>
      <c r="M5" s="83">
        <f>'C2 lossyG,lossyA,intra'!BS10</f>
        <v>-6.1929498119788207E-3</v>
      </c>
      <c r="N5" s="81">
        <f>'C2 lossyG,lossyA,interRA'!BO10</f>
        <v>1.1479731554013828E-3</v>
      </c>
      <c r="O5" s="82">
        <f>'C2 lossyG,lossyA,interRA'!BP10</f>
        <v>7.9051468063209507E-2</v>
      </c>
      <c r="P5" s="82">
        <f>'C2 lossyG,lossyA,interRA'!BQ10</f>
        <v>-9.1251280861333051E-3</v>
      </c>
      <c r="Q5" s="82">
        <f>'C2 lossyG,lossyA,interRA'!BR10</f>
        <v>-1.4199046375473423E-2</v>
      </c>
      <c r="R5" s="83">
        <f>'C2 lossyG,lossyA,interRA'!BS10</f>
        <v>-1.0481874501868549E-2</v>
      </c>
      <c r="S5" s="4"/>
      <c r="T5" s="84" t="s">
        <v>553</v>
      </c>
      <c r="U5" s="85">
        <f>'CW losslG,losslA,interLD'!AW16</f>
        <v>0.46239559348631898</v>
      </c>
      <c r="V5" s="86">
        <f>'CW losslG,losslA,interLD'!AX16</f>
        <v>0.98828545705980475</v>
      </c>
      <c r="W5" s="85">
        <f>'CW losslG,losslA,interLD'!AY16</f>
        <v>0.76115155496617026</v>
      </c>
      <c r="X5" s="86">
        <f>'CW losslG,losslA,interLD'!AZ16</f>
        <v>1.0816637943838436</v>
      </c>
    </row>
    <row r="6" spans="1:24" x14ac:dyDescent="0.3">
      <c r="A6" s="87"/>
      <c r="B6" s="88" t="s">
        <v>564</v>
      </c>
      <c r="C6" s="89">
        <f>'CW losslG,losslA,intra'!BB7</f>
        <v>0.997271410194706</v>
      </c>
      <c r="D6" s="90">
        <f>'CW losslG,losslA,intra'!BC7</f>
        <v>0.997376094525663</v>
      </c>
      <c r="E6" s="91">
        <f>'CW losslG,losslA,intra'!BD7</f>
        <v>0.99721700144726266</v>
      </c>
      <c r="F6" s="89">
        <f>'CW losslG,losslA,interLD'!BB7</f>
        <v>0.99949525837542252</v>
      </c>
      <c r="G6" s="90">
        <f>'CW losslG,losslA,interLD'!BC7</f>
        <v>0.99806049337717095</v>
      </c>
      <c r="H6" s="91">
        <f>'CW losslG,losslA,interLD'!BD7</f>
        <v>0.99969257094870367</v>
      </c>
      <c r="I6" s="89">
        <f>'C2 lossyG,lossyA,intra'!BO15</f>
        <v>7.6910976834376754E-5</v>
      </c>
      <c r="J6" s="90">
        <f>'C2 lossyG,lossyA,intra'!BP15</f>
        <v>8.7709018926235949E-2</v>
      </c>
      <c r="K6" s="90">
        <f>'C2 lossyG,lossyA,intra'!BQ15</f>
        <v>-8.4554685963400544E-4</v>
      </c>
      <c r="L6" s="90">
        <f>'C2 lossyG,lossyA,intra'!BR15</f>
        <v>-3.5969756394919061E-3</v>
      </c>
      <c r="M6" s="91">
        <f>'C2 lossyG,lossyA,intra'!BS15</f>
        <v>-3.3248020998286609E-3</v>
      </c>
      <c r="N6" s="89">
        <f>'C2 lossyG,lossyA,interRA'!BO15</f>
        <v>2.3760801018390287E-2</v>
      </c>
      <c r="O6" s="90">
        <f>'C2 lossyG,lossyA,interRA'!BP15</f>
        <v>0.10378557738561733</v>
      </c>
      <c r="P6" s="90">
        <f>'C2 lossyG,lossyA,interRA'!BQ15</f>
        <v>1.4752128807305365E-2</v>
      </c>
      <c r="Q6" s="90">
        <f>'C2 lossyG,lossyA,interRA'!BR15</f>
        <v>1.019646596545809E-2</v>
      </c>
      <c r="R6" s="91">
        <f>'C2 lossyG,lossyA,interRA'!BS15</f>
        <v>1.0220384443200947E-2</v>
      </c>
      <c r="S6" s="4"/>
      <c r="T6" s="92" t="s">
        <v>554</v>
      </c>
      <c r="U6" s="93">
        <f>'C2 lossyG,lossyA,intra'!AZ36</f>
        <v>0.46276936188478535</v>
      </c>
      <c r="V6" s="94">
        <f>'C2 lossyG,lossyA,intra'!BA36</f>
        <v>0.9900390180578944</v>
      </c>
      <c r="W6" s="93">
        <f>'C2 lossyG,lossyA,intra'!BB36</f>
        <v>0.78419530619046918</v>
      </c>
      <c r="X6" s="94">
        <f>'C2 lossyG,lossyA,intra'!BC36</f>
        <v>0.99054250031818636</v>
      </c>
    </row>
    <row r="7" spans="1:24" ht="15" thickBot="1" x14ac:dyDescent="0.35">
      <c r="A7" s="95"/>
      <c r="B7" s="45" t="s">
        <v>565</v>
      </c>
      <c r="C7" s="96">
        <f>'CW losslG,losslA,intra'!BB8</f>
        <v>0.94049506531577132</v>
      </c>
      <c r="D7" s="54">
        <f>'CW losslG,losslA,intra'!BC8</f>
        <v>0.9603156921012338</v>
      </c>
      <c r="E7" s="97">
        <f>'CW losslG,losslA,intra'!BD8</f>
        <v>0.93695126638440085</v>
      </c>
      <c r="F7" s="96">
        <f>'CW losslG,losslA,interLD'!BB8</f>
        <v>0.98542663139506603</v>
      </c>
      <c r="G7" s="54">
        <f>'CW losslG,losslA,interLD'!BC8</f>
        <v>0.97041468870253633</v>
      </c>
      <c r="H7" s="97">
        <f>'CW losslG,losslA,interLD'!BD8</f>
        <v>0.98866406306637089</v>
      </c>
      <c r="I7" s="96">
        <f>'C2 lossyG,lossyA,intra'!BO20</f>
        <v>3.2289701639904855E-3</v>
      </c>
      <c r="J7" s="54">
        <f>'C2 lossyG,lossyA,intra'!BP20</f>
        <v>5.8437282248249733E-2</v>
      </c>
      <c r="K7" s="54">
        <f>'C2 lossyG,lossyA,intra'!BQ20</f>
        <v>-2.1493415792139481E-2</v>
      </c>
      <c r="L7" s="54">
        <f>'C2 lossyG,lossyA,intra'!BR20</f>
        <v>1.8503381473966574E-2</v>
      </c>
      <c r="M7" s="97">
        <f>'C2 lossyG,lossyA,intra'!BS20</f>
        <v>2.8688043743992919E-2</v>
      </c>
      <c r="N7" s="96">
        <f>'C2 lossyG,lossyA,interRA'!BO20</f>
        <v>-9.5720008243721288E-2</v>
      </c>
      <c r="O7" s="54">
        <f>'C2 lossyG,lossyA,interRA'!BP20</f>
        <v>-4.2217157358191426E-2</v>
      </c>
      <c r="P7" s="54">
        <f>'C2 lossyG,lossyA,interRA'!BQ20</f>
        <v>-0.11752406654304004</v>
      </c>
      <c r="Q7" s="54">
        <f>'C2 lossyG,lossyA,interRA'!BR20</f>
        <v>-0.10680874815965546</v>
      </c>
      <c r="R7" s="97">
        <f>'C2 lossyG,lossyA,interRA'!BS20</f>
        <v>-9.1483900556107889E-2</v>
      </c>
      <c r="S7" s="4"/>
      <c r="T7" s="98" t="s">
        <v>555</v>
      </c>
      <c r="U7" s="99">
        <f>'C2 lossyG,lossyA,interRA'!AZ36</f>
        <v>0.46191838774455957</v>
      </c>
      <c r="V7" s="100">
        <f>'C2 lossyG,lossyA,interRA'!BA36</f>
        <v>0.9702624148777037</v>
      </c>
      <c r="W7" s="99">
        <f>'C2 lossyG,lossyA,interRA'!BB36</f>
        <v>0.84747040759287429</v>
      </c>
      <c r="X7" s="100">
        <f>'C2 lossyG,lossyA,interRA'!BC36</f>
        <v>1.0219821290027544</v>
      </c>
    </row>
    <row r="8" spans="1:24" ht="15" thickBot="1" x14ac:dyDescent="0.35">
      <c r="A8" s="101" t="s">
        <v>566</v>
      </c>
      <c r="B8" s="35" t="s">
        <v>567</v>
      </c>
      <c r="C8" s="102">
        <f>'CW losslG,losslA,intra'!BB9</f>
        <v>1.0010191666475756</v>
      </c>
      <c r="D8" s="44">
        <f>'CW losslG,losslA,intra'!BC9</f>
        <v>0.998158892721702</v>
      </c>
      <c r="E8" s="103">
        <f>'CW losslG,losslA,intra'!BD9</f>
        <v>1.0013820688361559</v>
      </c>
      <c r="F8" s="102">
        <f>'CW losslG,losslA,interLD'!BB9</f>
        <v>0.99777182348742577</v>
      </c>
      <c r="G8" s="44">
        <f>'CW losslG,losslA,interLD'!BC9</f>
        <v>0.99694803938024756</v>
      </c>
      <c r="H8" s="103">
        <f>'CW losslG,losslA,interLD'!BD9</f>
        <v>0.99785499453662396</v>
      </c>
      <c r="I8" s="102">
        <f>'C2 lossyG,lossyA,intra'!BO25</f>
        <v>-4.3691908040832672E-4</v>
      </c>
      <c r="J8" s="44">
        <f>'C2 lossyG,lossyA,intra'!BP25</f>
        <v>8.7804043437782031E-2</v>
      </c>
      <c r="K8" s="44">
        <f>'C2 lossyG,lossyA,intra'!BQ25</f>
        <v>3.1933187494650461E-3</v>
      </c>
      <c r="L8" s="44">
        <f>'C2 lossyG,lossyA,intra'!BR25</f>
        <v>-1.4610603120147836E-2</v>
      </c>
      <c r="M8" s="103">
        <f>'C2 lossyG,lossyA,intra'!BS25</f>
        <v>-1.3755199890445269E-2</v>
      </c>
      <c r="N8" s="102">
        <f>'C2 lossyG,lossyA,interRA'!BO25</f>
        <v>-2.663607921011335E-2</v>
      </c>
      <c r="O8" s="44">
        <f>'C2 lossyG,lossyA,interRA'!BP25</f>
        <v>7.3463106627437824E-2</v>
      </c>
      <c r="P8" s="44">
        <f>'C2 lossyG,lossyA,interRA'!BQ25</f>
        <v>-3.5892507648313865E-2</v>
      </c>
      <c r="Q8" s="44">
        <f>'C2 lossyG,lossyA,interRA'!BR25</f>
        <v>-5.4496442306847803E-2</v>
      </c>
      <c r="R8" s="103">
        <f>'C2 lossyG,lossyA,interRA'!BS25</f>
        <v>-4.9247839183185205E-2</v>
      </c>
      <c r="S8" s="4"/>
      <c r="T8" s="104" t="s">
        <v>568</v>
      </c>
      <c r="U8" s="105">
        <f>AVERAGE(U4:U7)</f>
        <v>0.46214789752265634</v>
      </c>
      <c r="V8" s="106">
        <f t="shared" ref="V8:X8" si="0">AVERAGE(V4:V7)</f>
        <v>0.98584192525195036</v>
      </c>
      <c r="W8" s="107">
        <f t="shared" si="0"/>
        <v>0.78147853462807171</v>
      </c>
      <c r="X8" s="106">
        <f t="shared" si="0"/>
        <v>1.0275534762846281</v>
      </c>
    </row>
    <row r="9" spans="1:24" x14ac:dyDescent="0.3">
      <c r="A9" s="135" t="s">
        <v>569</v>
      </c>
      <c r="B9" s="136"/>
      <c r="C9" s="108">
        <f>'CW losslG,losslA,intra'!BB10</f>
        <v>0.98567488055549457</v>
      </c>
      <c r="D9" s="109">
        <f>'CW losslG,losslA,intra'!BC10</f>
        <v>0.99137664388307101</v>
      </c>
      <c r="E9" s="110">
        <f>'CW losslG,losslA,intra'!BD10</f>
        <v>0.98462195983691148</v>
      </c>
      <c r="F9" s="108">
        <f>'CW losslG,losslA,interLD'!BB10</f>
        <v>0.99727730904710321</v>
      </c>
      <c r="G9" s="109">
        <f>'CW losslG,losslA,interLD'!BC10</f>
        <v>0.99466808734597378</v>
      </c>
      <c r="H9" s="110">
        <f>'CW losslG,losslA,interLD'!BD10</f>
        <v>0.99787176043386305</v>
      </c>
      <c r="I9" s="108">
        <f>'C2 lossyG,lossyA,intra'!BO30</f>
        <v>3.5486269693239536E-3</v>
      </c>
      <c r="J9" s="109">
        <f>'C2 lossyG,lossyA,intra'!BP30</f>
        <v>8.7749158330304111E-2</v>
      </c>
      <c r="K9" s="109">
        <f>'C2 lossyG,lossyA,intra'!BQ30</f>
        <v>-5.5762800220403308E-3</v>
      </c>
      <c r="L9" s="109">
        <f>'C2 lossyG,lossyA,intra'!BR30</f>
        <v>1.0808009848007616E-3</v>
      </c>
      <c r="M9" s="110">
        <f>'C2 lossyG,lossyA,intra'!BS30</f>
        <v>6.2434767169425309E-3</v>
      </c>
      <c r="N9" s="108">
        <f>'C2 lossyG,lossyA,interRA'!BO30</f>
        <v>-1.1053478353533985E-2</v>
      </c>
      <c r="O9" s="109">
        <f>'C2 lossyG,lossyA,interRA'!BP30</f>
        <v>6.4308290506557481E-2</v>
      </c>
      <c r="P9" s="109">
        <f>'C2 lossyG,lossyA,interRA'!BQ30</f>
        <v>-2.1831087584148173E-2</v>
      </c>
      <c r="Q9" s="109">
        <f>'C2 lossyG,lossyA,interRA'!BR30</f>
        <v>-1.3868987438798441E-2</v>
      </c>
      <c r="R9" s="110">
        <f>'C2 lossyG,lossyA,interRA'!BS30</f>
        <v>-1.2586825082216896E-2</v>
      </c>
      <c r="S9" s="4"/>
      <c r="T9" s="4"/>
      <c r="U9" s="4"/>
      <c r="V9" s="4"/>
      <c r="W9" s="4"/>
      <c r="X9" s="4"/>
    </row>
    <row r="10" spans="1:24" x14ac:dyDescent="0.3">
      <c r="A10" s="149" t="s">
        <v>570</v>
      </c>
      <c r="B10" s="150"/>
      <c r="C10" s="108">
        <f>'CW losslG,losslA,intra'!BB11</f>
        <v>1.0010191666475756</v>
      </c>
      <c r="D10" s="109">
        <f>'CW losslG,losslA,intra'!BC11</f>
        <v>0.998158892721702</v>
      </c>
      <c r="E10" s="110">
        <f>'CW losslG,losslA,intra'!BD11</f>
        <v>1.0013820688361559</v>
      </c>
      <c r="F10" s="108">
        <f>'CW losslG,losslA,interLD'!BB11</f>
        <v>0.99777182348742577</v>
      </c>
      <c r="G10" s="109">
        <f>'CW losslG,losslA,interLD'!BC11</f>
        <v>0.99694803938024756</v>
      </c>
      <c r="H10" s="110">
        <f>'CW losslG,losslA,interLD'!BD11</f>
        <v>0.99785499453662396</v>
      </c>
      <c r="I10" s="108">
        <f>'C2 lossyG,lossyA,intra'!BO31</f>
        <v>-4.3691908040832672E-4</v>
      </c>
      <c r="J10" s="109">
        <f>'C2 lossyG,lossyA,intra'!BP31</f>
        <v>8.7804043437782031E-2</v>
      </c>
      <c r="K10" s="109">
        <f>'C2 lossyG,lossyA,intra'!BQ31</f>
        <v>3.1933187494650461E-3</v>
      </c>
      <c r="L10" s="109">
        <f>'C2 lossyG,lossyA,intra'!BR31</f>
        <v>-1.4610603120147836E-2</v>
      </c>
      <c r="M10" s="110">
        <f>'C2 lossyG,lossyA,intra'!BS31</f>
        <v>-1.3755199890445269E-2</v>
      </c>
      <c r="N10" s="108">
        <f>'C2 lossyG,lossyA,interRA'!BO31</f>
        <v>-2.663607921011335E-2</v>
      </c>
      <c r="O10" s="109">
        <f>'C2 lossyG,lossyA,interRA'!BP31</f>
        <v>7.3463106627437824E-2</v>
      </c>
      <c r="P10" s="109">
        <f>'C2 lossyG,lossyA,interRA'!BQ31</f>
        <v>-3.5892507648313865E-2</v>
      </c>
      <c r="Q10" s="109">
        <f>'C2 lossyG,lossyA,interRA'!BR31</f>
        <v>-5.4496442306847803E-2</v>
      </c>
      <c r="R10" s="110">
        <f>'C2 lossyG,lossyA,interRA'!BS31</f>
        <v>-4.9247839183185205E-2</v>
      </c>
      <c r="S10" s="4"/>
      <c r="T10" s="4"/>
      <c r="U10" s="4"/>
      <c r="V10" s="4"/>
      <c r="W10" s="4"/>
      <c r="X10" s="4"/>
    </row>
    <row r="11" spans="1:24" ht="15" customHeight="1" thickBot="1" x14ac:dyDescent="0.35">
      <c r="A11" s="151" t="s">
        <v>290</v>
      </c>
      <c r="B11" s="152"/>
      <c r="C11" s="111">
        <f>'CW losslG,losslA,intra'!BB12</f>
        <v>0.9898117586533709</v>
      </c>
      <c r="D11" s="112">
        <f>'CW losslG,losslA,intra'!BC12</f>
        <v>0.99281450793871995</v>
      </c>
      <c r="E11" s="113">
        <f>'CW losslG,losslA,intra'!BD12</f>
        <v>0.98929312593340413</v>
      </c>
      <c r="F11" s="111">
        <f>'CW losslG,losslA,interLD'!BB12</f>
        <v>0.99741508036848392</v>
      </c>
      <c r="G11" s="112">
        <f>'CW losslG,losslA,interLD'!BC12</f>
        <v>0.99516219577457976</v>
      </c>
      <c r="H11" s="113">
        <f>'CW losslG,losslA,interLD'!BD12</f>
        <v>0.99786692381992714</v>
      </c>
      <c r="I11" s="111">
        <f>'C2 lossyG,lossyA,intra'!BO32</f>
        <v>2.7515177593774977E-3</v>
      </c>
      <c r="J11" s="112">
        <f>'C2 lossyG,lossyA,intra'!BP32</f>
        <v>8.776013535179969E-2</v>
      </c>
      <c r="K11" s="112">
        <f>'C2 lossyG,lossyA,intra'!BQ32</f>
        <v>-3.8223602677392556E-3</v>
      </c>
      <c r="L11" s="112">
        <f>'C2 lossyG,lossyA,intra'!BR32</f>
        <v>-2.057479836188958E-3</v>
      </c>
      <c r="M11" s="113">
        <f>'C2 lossyG,lossyA,intra'!BS32</f>
        <v>2.2437413954649712E-3</v>
      </c>
      <c r="N11" s="111">
        <f>'C2 lossyG,lossyA,interRA'!BO32</f>
        <v>-1.4169998524849858E-2</v>
      </c>
      <c r="O11" s="112">
        <f>'C2 lossyG,lossyA,interRA'!BP32</f>
        <v>6.6139253730733552E-2</v>
      </c>
      <c r="P11" s="112">
        <f>'C2 lossyG,lossyA,interRA'!BQ32</f>
        <v>-2.4643371596981312E-2</v>
      </c>
      <c r="Q11" s="112">
        <f>'C2 lossyG,lossyA,interRA'!BR32</f>
        <v>-2.1994478412408314E-2</v>
      </c>
      <c r="R11" s="113">
        <f>'C2 lossyG,lossyA,interRA'!BS32</f>
        <v>-1.9919027902410558E-2</v>
      </c>
      <c r="S11" s="4"/>
      <c r="T11" s="4"/>
      <c r="U11" s="4"/>
      <c r="V11" s="4"/>
      <c r="W11" s="4"/>
      <c r="X11" s="4"/>
    </row>
  </sheetData>
  <mergeCells count="18">
    <mergeCell ref="A10:B10"/>
    <mergeCell ref="A11:B11"/>
    <mergeCell ref="N2:O2"/>
    <mergeCell ref="P2:R2"/>
    <mergeCell ref="T2:T3"/>
    <mergeCell ref="U2:V2"/>
    <mergeCell ref="W2:X2"/>
    <mergeCell ref="A9:B9"/>
    <mergeCell ref="A1:A3"/>
    <mergeCell ref="B1:B3"/>
    <mergeCell ref="C1:E1"/>
    <mergeCell ref="F1:H1"/>
    <mergeCell ref="I1:M1"/>
    <mergeCell ref="N1:R1"/>
    <mergeCell ref="C2:E2"/>
    <mergeCell ref="F2:H2"/>
    <mergeCell ref="I2:J2"/>
    <mergeCell ref="K2:M2"/>
  </mergeCells>
  <conditionalFormatting sqref="C9:C11">
    <cfRule type="cellIs" dxfId="15" priority="15" operator="greaterThanOrEqual">
      <formula>1.03</formula>
    </cfRule>
    <cfRule type="cellIs" dxfId="14" priority="16" operator="lessThanOrEqual">
      <formula>0.97</formula>
    </cfRule>
  </conditionalFormatting>
  <conditionalFormatting sqref="D9:D11">
    <cfRule type="cellIs" dxfId="13" priority="13" operator="greaterThanOrEqual">
      <formula>1.03</formula>
    </cfRule>
    <cfRule type="cellIs" dxfId="12" priority="14" operator="lessThanOrEqual">
      <formula>0.97</formula>
    </cfRule>
  </conditionalFormatting>
  <conditionalFormatting sqref="E9:E11">
    <cfRule type="cellIs" dxfId="11" priority="11" operator="greaterThanOrEqual">
      <formula>1.03</formula>
    </cfRule>
    <cfRule type="cellIs" dxfId="10" priority="12" operator="lessThanOrEqual">
      <formula>0.97</formula>
    </cfRule>
  </conditionalFormatting>
  <conditionalFormatting sqref="F9:F11">
    <cfRule type="cellIs" dxfId="9" priority="9" operator="greaterThanOrEqual">
      <formula>1.03</formula>
    </cfRule>
    <cfRule type="cellIs" dxfId="8" priority="10" operator="lessThanOrEqual">
      <formula>0.97</formula>
    </cfRule>
  </conditionalFormatting>
  <conditionalFormatting sqref="G9:G11">
    <cfRule type="cellIs" dxfId="7" priority="7" operator="greaterThanOrEqual">
      <formula>1.03</formula>
    </cfRule>
    <cfRule type="cellIs" dxfId="6" priority="8" operator="lessThanOrEqual">
      <formula>0.97</formula>
    </cfRule>
  </conditionalFormatting>
  <conditionalFormatting sqref="H9:H11">
    <cfRule type="cellIs" dxfId="5" priority="5" operator="greaterThanOrEqual">
      <formula>1.03</formula>
    </cfRule>
    <cfRule type="cellIs" dxfId="4" priority="6" operator="lessThanOrEqual">
      <formula>0.97</formula>
    </cfRule>
  </conditionalFormatting>
  <conditionalFormatting sqref="N4:R8 I4:M11">
    <cfRule type="cellIs" dxfId="3" priority="3" operator="greaterThanOrEqual">
      <formula>0.03</formula>
    </cfRule>
    <cfRule type="cellIs" dxfId="2" priority="4" operator="lessThanOrEqual">
      <formula>-0.03</formula>
    </cfRule>
  </conditionalFormatting>
  <conditionalFormatting sqref="N9:R11">
    <cfRule type="cellIs" dxfId="1" priority="1" operator="greaterThanOrEqual">
      <formula>0.03</formula>
    </cfRule>
    <cfRule type="cellIs" dxfId="0" priority="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Results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N17766</dc:title>
  <dc:creator>Chevet Jean-Claude</dc:creator>
  <cp:lastModifiedBy>Ricard Julien</cp:lastModifiedBy>
  <dcterms:created xsi:type="dcterms:W3CDTF">2018-09-05T00:41:43Z</dcterms:created>
  <dcterms:modified xsi:type="dcterms:W3CDTF">2019-01-26T13:02:33Z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2018-09-05T00:41:43Z</vt:filetime>
  </property>
</Properties>
</file>