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1" defaultThemeVersion="124226"/>
  <mc:AlternateContent xmlns:mc="http://schemas.openxmlformats.org/markup-compatibility/2006">
    <mc:Choice Requires="x15">
      <x15ac:absPath xmlns:x15ac="http://schemas.microsoft.com/office/spreadsheetml/2010/11/ac" url="X:\pcc\gitint21\tm2v21\test\"/>
    </mc:Choice>
  </mc:AlternateContent>
  <xr:revisionPtr revIDLastSave="0" documentId="13_ncr:1_{C6C8B8D3-C66F-4A2A-AFB3-AD527B28FD4E}" xr6:coauthVersionLast="47" xr6:coauthVersionMax="47" xr10:uidLastSave="{00000000-0000-0000-0000-000000000000}"/>
  <bookViews>
    <workbookView xWindow="28680" yWindow="-120" windowWidth="29040" windowHeight="17520"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BB47" i="7" s="1"/>
  <c r="C48" i="1" s="1"/>
  <c r="AC46" i="7"/>
  <c r="AB46" i="7"/>
  <c r="AZ47" i="7" s="1"/>
  <c r="C47" i="1" s="1"/>
  <c r="AZ45" i="7"/>
  <c r="BC44" i="7"/>
  <c r="BB44" i="7"/>
  <c r="BA44" i="7"/>
  <c r="AZ44" i="7"/>
  <c r="AE44" i="7"/>
  <c r="AD44" i="7"/>
  <c r="AC44" i="7"/>
  <c r="AB44" i="7"/>
  <c r="BF39" i="7"/>
  <c r="AL39" i="7"/>
  <c r="BG39" i="7" s="1"/>
  <c r="AK39" i="7"/>
  <c r="AJ39" i="7"/>
  <c r="AH39" i="7"/>
  <c r="AG39" i="7"/>
  <c r="N39" i="7"/>
  <c r="K39" i="7" s="1"/>
  <c r="M39" i="7"/>
  <c r="L39" i="7"/>
  <c r="J39" i="7"/>
  <c r="I39" i="7"/>
  <c r="BF38" i="7"/>
  <c r="AL38" i="7"/>
  <c r="BG38" i="7" s="1"/>
  <c r="AK38" i="7"/>
  <c r="AJ38" i="7"/>
  <c r="AI38" i="7"/>
  <c r="AH38" i="7"/>
  <c r="AG38" i="7"/>
  <c r="N38" i="7"/>
  <c r="M38" i="7"/>
  <c r="L38" i="7"/>
  <c r="K38" i="7"/>
  <c r="J38" i="7"/>
  <c r="I38" i="7"/>
  <c r="BF37" i="7"/>
  <c r="AL37" i="7"/>
  <c r="AI37" i="7" s="1"/>
  <c r="AK37" i="7"/>
  <c r="AJ37" i="7"/>
  <c r="AH37" i="7"/>
  <c r="AG37" i="7"/>
  <c r="N37" i="7"/>
  <c r="K37" i="7" s="1"/>
  <c r="M37" i="7"/>
  <c r="L37" i="7"/>
  <c r="J37" i="7"/>
  <c r="I37" i="7"/>
  <c r="BF36" i="7"/>
  <c r="AL36" i="7"/>
  <c r="BG36" i="7" s="1"/>
  <c r="AK36" i="7"/>
  <c r="AJ36" i="7"/>
  <c r="AI36" i="7"/>
  <c r="AH36" i="7"/>
  <c r="AG36" i="7"/>
  <c r="N36" i="7"/>
  <c r="M36" i="7"/>
  <c r="L36" i="7"/>
  <c r="K36" i="7"/>
  <c r="J36" i="7"/>
  <c r="I36" i="7"/>
  <c r="BH35" i="7" a="1"/>
  <c r="BG35" i="7"/>
  <c r="BF35" i="7"/>
  <c r="AL35" i="7"/>
  <c r="AI35" i="7" s="1"/>
  <c r="AK35" i="7"/>
  <c r="AJ35" i="7"/>
  <c r="AH35" i="7"/>
  <c r="AG35" i="7"/>
  <c r="N35" i="7"/>
  <c r="M35" i="7"/>
  <c r="L35" i="7"/>
  <c r="K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K31" i="7"/>
  <c r="AJ31" i="7"/>
  <c r="AI31" i="7"/>
  <c r="AH31" i="7"/>
  <c r="AG31" i="7"/>
  <c r="N31" i="7"/>
  <c r="K31" i="7" s="1"/>
  <c r="M31" i="7"/>
  <c r="L31" i="7"/>
  <c r="J31" i="7"/>
  <c r="I31" i="7"/>
  <c r="BH30" i="7" a="1"/>
  <c r="BF30" i="7"/>
  <c r="AL30" i="7"/>
  <c r="AK30" i="7"/>
  <c r="AJ30" i="7"/>
  <c r="AJ42" i="7" s="1"/>
  <c r="AH30" i="7"/>
  <c r="AG30" i="7"/>
  <c r="N30" i="7"/>
  <c r="M30" i="7"/>
  <c r="L30" i="7"/>
  <c r="J30" i="7"/>
  <c r="I30" i="7"/>
  <c r="BF29" i="7"/>
  <c r="AL29" i="7"/>
  <c r="AI29" i="7" s="1"/>
  <c r="BE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M27" i="7"/>
  <c r="L27" i="7"/>
  <c r="K27" i="7"/>
  <c r="J27" i="7"/>
  <c r="I27" i="7"/>
  <c r="BF26" i="7"/>
  <c r="AL26" i="7"/>
  <c r="BG26" i="7" s="1"/>
  <c r="AK26" i="7"/>
  <c r="AJ26" i="7"/>
  <c r="AH26" i="7"/>
  <c r="AG26" i="7"/>
  <c r="N26" i="7"/>
  <c r="K26" i="7" s="1"/>
  <c r="M26" i="7"/>
  <c r="L26" i="7"/>
  <c r="J26" i="7"/>
  <c r="I26" i="7"/>
  <c r="BH25" i="7" a="1"/>
  <c r="BH25" i="7"/>
  <c r="BH41" i="7" s="1"/>
  <c r="BG25" i="7"/>
  <c r="BF25" i="7"/>
  <c r="AL25" i="7"/>
  <c r="AK25" i="7"/>
  <c r="AJ25" i="7"/>
  <c r="AJ41" i="7" s="1"/>
  <c r="AI25" i="7"/>
  <c r="AH25" i="7"/>
  <c r="AG25" i="7"/>
  <c r="N25" i="7"/>
  <c r="M25" i="7"/>
  <c r="M41" i="7" s="1"/>
  <c r="L25" i="7"/>
  <c r="K25" i="7"/>
  <c r="BE25" i="7" s="1"/>
  <c r="J25" i="7"/>
  <c r="I25" i="7"/>
  <c r="BF24" i="7"/>
  <c r="AL24" i="7"/>
  <c r="AI24" i="7" s="1"/>
  <c r="AK24" i="7"/>
  <c r="AJ24" i="7"/>
  <c r="AH24" i="7"/>
  <c r="AG24" i="7"/>
  <c r="N24" i="7"/>
  <c r="K24" i="7" s="1"/>
  <c r="M24" i="7"/>
  <c r="L24" i="7"/>
  <c r="J24" i="7"/>
  <c r="I24" i="7"/>
  <c r="BF23" i="7"/>
  <c r="AL23" i="7"/>
  <c r="AK23" i="7"/>
  <c r="AJ23" i="7"/>
  <c r="AI23" i="7"/>
  <c r="AH23" i="7"/>
  <c r="AG23" i="7"/>
  <c r="N23" i="7"/>
  <c r="BG23" i="7" s="1"/>
  <c r="M23" i="7"/>
  <c r="L23" i="7"/>
  <c r="J23" i="7"/>
  <c r="I23" i="7"/>
  <c r="BF22" i="7"/>
  <c r="AL22" i="7"/>
  <c r="AK22" i="7"/>
  <c r="AJ22" i="7"/>
  <c r="AH22" i="7"/>
  <c r="AG22" i="7"/>
  <c r="N22" i="7"/>
  <c r="K22" i="7" s="1"/>
  <c r="M22" i="7"/>
  <c r="L22" i="7"/>
  <c r="J22" i="7"/>
  <c r="I22" i="7"/>
  <c r="BF21" i="7"/>
  <c r="AL21" i="7"/>
  <c r="AK21" i="7"/>
  <c r="AJ21" i="7"/>
  <c r="AI21" i="7"/>
  <c r="AH21" i="7"/>
  <c r="AG21" i="7"/>
  <c r="N21" i="7"/>
  <c r="BG21" i="7" s="1"/>
  <c r="M21" i="7"/>
  <c r="L21" i="7"/>
  <c r="J21" i="7"/>
  <c r="I21" i="7"/>
  <c r="BH20" i="7" a="1"/>
  <c r="BF20" i="7"/>
  <c r="AL20" i="7"/>
  <c r="AI20" i="7" s="1"/>
  <c r="AK20" i="7"/>
  <c r="AJ20" i="7"/>
  <c r="AH20" i="7"/>
  <c r="AG20" i="7"/>
  <c r="N20" i="7"/>
  <c r="M20" i="7"/>
  <c r="L20" i="7"/>
  <c r="J20" i="7"/>
  <c r="I20" i="7"/>
  <c r="BG19" i="7"/>
  <c r="BF19" i="7"/>
  <c r="AL19" i="7"/>
  <c r="AK19" i="7"/>
  <c r="AJ19" i="7"/>
  <c r="AI19" i="7"/>
  <c r="AH19" i="7"/>
  <c r="AG19" i="7"/>
  <c r="N19" i="7"/>
  <c r="M19" i="7"/>
  <c r="L19" i="7"/>
  <c r="K19" i="7"/>
  <c r="BE19" i="7" s="1"/>
  <c r="J19" i="7"/>
  <c r="I19" i="7"/>
  <c r="BF18" i="7"/>
  <c r="AL18" i="7"/>
  <c r="BG18" i="7" s="1"/>
  <c r="AK18" i="7"/>
  <c r="AJ18" i="7"/>
  <c r="AH18" i="7"/>
  <c r="AG18" i="7"/>
  <c r="N18" i="7"/>
  <c r="K18" i="7" s="1"/>
  <c r="M18" i="7"/>
  <c r="L18" i="7"/>
  <c r="J18" i="7"/>
  <c r="I18" i="7"/>
  <c r="BF17" i="7"/>
  <c r="AL17" i="7"/>
  <c r="BG17" i="7" s="1"/>
  <c r="AK17" i="7"/>
  <c r="AJ17" i="7"/>
  <c r="AI17" i="7"/>
  <c r="BE17" i="7" s="1"/>
  <c r="AH17" i="7"/>
  <c r="AG17" i="7"/>
  <c r="N17" i="7"/>
  <c r="M17" i="7"/>
  <c r="L17" i="7"/>
  <c r="K17" i="7"/>
  <c r="J17" i="7"/>
  <c r="I17" i="7"/>
  <c r="BF16" i="7"/>
  <c r="AL16" i="7"/>
  <c r="AI16" i="7" s="1"/>
  <c r="AK16" i="7"/>
  <c r="AJ16" i="7"/>
  <c r="AH16" i="7"/>
  <c r="AG16" i="7"/>
  <c r="N16" i="7"/>
  <c r="K16" i="7" s="1"/>
  <c r="M16" i="7"/>
  <c r="L16" i="7"/>
  <c r="J16" i="7"/>
  <c r="I16" i="7"/>
  <c r="BH15" i="7" a="1"/>
  <c r="BF15" i="7"/>
  <c r="AL15" i="7"/>
  <c r="BG15" i="7" s="1"/>
  <c r="AK15" i="7"/>
  <c r="AJ15" i="7"/>
  <c r="AI15" i="7"/>
  <c r="AH15" i="7"/>
  <c r="AG15" i="7"/>
  <c r="N15" i="7"/>
  <c r="M15" i="7"/>
  <c r="L15" i="7"/>
  <c r="K15" i="7"/>
  <c r="J15" i="7"/>
  <c r="I15" i="7"/>
  <c r="BF14" i="7"/>
  <c r="AL14" i="7"/>
  <c r="AK14" i="7"/>
  <c r="AJ14" i="7"/>
  <c r="AH14" i="7"/>
  <c r="AG14" i="7"/>
  <c r="N14" i="7"/>
  <c r="K14" i="7" s="1"/>
  <c r="M14" i="7"/>
  <c r="L14" i="7"/>
  <c r="J14" i="7"/>
  <c r="I14" i="7"/>
  <c r="BF13" i="7"/>
  <c r="AL13" i="7"/>
  <c r="AK13" i="7"/>
  <c r="AJ13" i="7"/>
  <c r="AI13" i="7"/>
  <c r="AH13" i="7"/>
  <c r="AG13" i="7"/>
  <c r="N13" i="7"/>
  <c r="M13" i="7"/>
  <c r="L13" i="7"/>
  <c r="J13" i="7"/>
  <c r="I13" i="7"/>
  <c r="BF12" i="7"/>
  <c r="AL12" i="7"/>
  <c r="AI12" i="7" s="1"/>
  <c r="AK12" i="7"/>
  <c r="AJ12" i="7"/>
  <c r="AH12" i="7"/>
  <c r="AG12" i="7"/>
  <c r="N12" i="7"/>
  <c r="K12" i="7" s="1"/>
  <c r="M12" i="7"/>
  <c r="L12" i="7"/>
  <c r="J12" i="7"/>
  <c r="I12" i="7"/>
  <c r="BF11" i="7"/>
  <c r="AL11" i="7"/>
  <c r="AK11" i="7"/>
  <c r="AJ11" i="7"/>
  <c r="AI11" i="7"/>
  <c r="AH11" i="7"/>
  <c r="AG11" i="7"/>
  <c r="N11" i="7"/>
  <c r="BG11" i="7" s="1"/>
  <c r="M11" i="7"/>
  <c r="L11" i="7"/>
  <c r="J11" i="7"/>
  <c r="I11" i="7"/>
  <c r="BH10" i="7" a="1"/>
  <c r="BF10" i="7"/>
  <c r="AL10" i="7"/>
  <c r="BG10" i="7" s="1"/>
  <c r="AK10" i="7"/>
  <c r="AJ10" i="7"/>
  <c r="AH10" i="7"/>
  <c r="AG10" i="7"/>
  <c r="N10" i="7"/>
  <c r="M10" i="7"/>
  <c r="L10" i="7"/>
  <c r="J10" i="7"/>
  <c r="I10" i="7"/>
  <c r="BF9" i="7"/>
  <c r="AL9" i="7"/>
  <c r="BG9" i="7" s="1"/>
  <c r="AK9" i="7"/>
  <c r="AJ9" i="7"/>
  <c r="AI9" i="7"/>
  <c r="AH9" i="7"/>
  <c r="AG9" i="7"/>
  <c r="N9" i="7"/>
  <c r="M9" i="7"/>
  <c r="L9" i="7"/>
  <c r="K9" i="7"/>
  <c r="J9" i="7"/>
  <c r="I9" i="7"/>
  <c r="BF8" i="7"/>
  <c r="AL8" i="7"/>
  <c r="AI8" i="7" s="1"/>
  <c r="BE8" i="7" s="1"/>
  <c r="AK8" i="7"/>
  <c r="AJ8" i="7"/>
  <c r="AH8" i="7"/>
  <c r="AG8" i="7"/>
  <c r="N8" i="7"/>
  <c r="K8" i="7" s="1"/>
  <c r="M8" i="7"/>
  <c r="L8" i="7"/>
  <c r="J8" i="7"/>
  <c r="I8" i="7"/>
  <c r="BF7" i="7"/>
  <c r="AL7" i="7"/>
  <c r="BG7" i="7" s="1"/>
  <c r="AK7" i="7"/>
  <c r="AJ7" i="7"/>
  <c r="AI7" i="7"/>
  <c r="BE7" i="7" s="1"/>
  <c r="AH7" i="7"/>
  <c r="AG7" i="7"/>
  <c r="N7" i="7"/>
  <c r="M7" i="7"/>
  <c r="L7" i="7"/>
  <c r="K7" i="7"/>
  <c r="J7" i="7"/>
  <c r="I7" i="7"/>
  <c r="BF6" i="7"/>
  <c r="AL6" i="7"/>
  <c r="BG6" i="7" s="1"/>
  <c r="AK6" i="7"/>
  <c r="AJ6" i="7"/>
  <c r="AJ43" i="7" s="1"/>
  <c r="AH6" i="7"/>
  <c r="AG6" i="7"/>
  <c r="N6" i="7"/>
  <c r="K6" i="7" s="1"/>
  <c r="M6" i="7"/>
  <c r="L6" i="7"/>
  <c r="J6" i="7"/>
  <c r="I6" i="7"/>
  <c r="BH5" i="7" a="1"/>
  <c r="BF5" i="7"/>
  <c r="AL5" i="7"/>
  <c r="AI5" i="7" s="1"/>
  <c r="AK5" i="7"/>
  <c r="AJ5" i="7"/>
  <c r="AH5" i="7"/>
  <c r="AG5" i="7"/>
  <c r="N5" i="7"/>
  <c r="M5" i="7"/>
  <c r="L5" i="7"/>
  <c r="K5" i="7"/>
  <c r="J5" i="7"/>
  <c r="I5" i="7"/>
  <c r="AG1" i="7"/>
  <c r="I1" i="7"/>
  <c r="AX19" i="6"/>
  <c r="AZ18" i="6"/>
  <c r="AY18" i="6"/>
  <c r="AX18" i="6"/>
  <c r="AW18" i="6"/>
  <c r="AC18" i="6"/>
  <c r="AZ19" i="6" s="1"/>
  <c r="AB18" i="6"/>
  <c r="AA18" i="6"/>
  <c r="Z18" i="6"/>
  <c r="AW19" i="6" s="1"/>
  <c r="AZ16" i="6"/>
  <c r="AY16" i="6"/>
  <c r="AY17" i="6" s="1"/>
  <c r="AX16" i="6"/>
  <c r="AX17" i="6" s="1"/>
  <c r="AW16" i="6"/>
  <c r="AC16" i="6"/>
  <c r="AB16" i="6"/>
  <c r="AA16" i="6"/>
  <c r="Z16" i="6"/>
  <c r="AW17" i="6" s="1"/>
  <c r="AJ14" i="6"/>
  <c r="BE14" i="6" s="1"/>
  <c r="AG14" i="6"/>
  <c r="AI13" i="6"/>
  <c r="AH13" i="6"/>
  <c r="M13" i="6"/>
  <c r="J13" i="6"/>
  <c r="AL11" i="6"/>
  <c r="AK11" i="6"/>
  <c r="BG11" i="6" s="1" a="1"/>
  <c r="BG11" i="6" s="1"/>
  <c r="AJ11" i="6"/>
  <c r="BE11" i="6" s="1"/>
  <c r="AI11" i="6"/>
  <c r="BD11" i="6" s="1"/>
  <c r="AH11" i="6"/>
  <c r="AG11" i="6"/>
  <c r="BB11" i="6" s="1"/>
  <c r="AF11" i="6"/>
  <c r="AE11" i="6"/>
  <c r="O11" i="6"/>
  <c r="N11" i="6"/>
  <c r="BF11" i="6" s="1"/>
  <c r="M11" i="6"/>
  <c r="L11" i="6"/>
  <c r="K11" i="6"/>
  <c r="BC11" i="6" s="1"/>
  <c r="J11" i="6"/>
  <c r="I11" i="6"/>
  <c r="H11" i="6"/>
  <c r="BE10" i="6"/>
  <c r="BB10" i="6"/>
  <c r="AL10" i="6"/>
  <c r="AK10" i="6"/>
  <c r="BG10" i="6" s="1" a="1"/>
  <c r="BG10" i="6" s="1"/>
  <c r="BG14" i="6" s="1"/>
  <c r="AJ10" i="6"/>
  <c r="AI10" i="6"/>
  <c r="AH10" i="6"/>
  <c r="AH14" i="6" s="1"/>
  <c r="AG10" i="6"/>
  <c r="AF10" i="6"/>
  <c r="AE10" i="6"/>
  <c r="O10" i="6"/>
  <c r="N10" i="6"/>
  <c r="K10" i="6" s="1"/>
  <c r="K14" i="6" s="1"/>
  <c r="M10" i="6"/>
  <c r="M14" i="6" s="1"/>
  <c r="L10" i="6"/>
  <c r="L14" i="6" s="1"/>
  <c r="J10" i="6"/>
  <c r="J14" i="6" s="1"/>
  <c r="BB14" i="6" s="1"/>
  <c r="I10" i="6"/>
  <c r="H10" i="6"/>
  <c r="BG9" i="6" a="1"/>
  <c r="BG9" i="6" s="1"/>
  <c r="BG13" i="6" s="1"/>
  <c r="BD9" i="6"/>
  <c r="BB9" i="6"/>
  <c r="AL9" i="6"/>
  <c r="AK9" i="6"/>
  <c r="AJ9" i="6"/>
  <c r="AI9" i="6"/>
  <c r="AH9" i="6"/>
  <c r="AG9" i="6"/>
  <c r="AG13" i="6" s="1"/>
  <c r="BB13" i="6" s="1"/>
  <c r="AF9" i="6"/>
  <c r="AE9" i="6"/>
  <c r="O9" i="6"/>
  <c r="N9" i="6"/>
  <c r="BF9" i="6" s="1"/>
  <c r="M9" i="6"/>
  <c r="L9" i="6"/>
  <c r="L13" i="6" s="1"/>
  <c r="J9" i="6"/>
  <c r="I9" i="6"/>
  <c r="H9" i="6"/>
  <c r="AL8" i="6"/>
  <c r="AK8" i="6"/>
  <c r="AJ8" i="6"/>
  <c r="AI8" i="6"/>
  <c r="BD8" i="6" s="1"/>
  <c r="AG8" i="6"/>
  <c r="BB8" i="6" s="1"/>
  <c r="AF8" i="6"/>
  <c r="AE8" i="6"/>
  <c r="O8" i="6"/>
  <c r="N8" i="6"/>
  <c r="M8" i="6"/>
  <c r="BE8" i="6" s="1"/>
  <c r="L8" i="6"/>
  <c r="K8" i="6"/>
  <c r="J8" i="6"/>
  <c r="I8" i="6"/>
  <c r="H8" i="6"/>
  <c r="BF7" i="6"/>
  <c r="AL7" i="6"/>
  <c r="AK7" i="6"/>
  <c r="AJ7" i="6"/>
  <c r="AI7" i="6"/>
  <c r="AG7" i="6"/>
  <c r="AF7" i="6"/>
  <c r="AE7" i="6"/>
  <c r="O7" i="6"/>
  <c r="N7" i="6"/>
  <c r="M7" i="6"/>
  <c r="L7" i="6"/>
  <c r="BD7" i="6" s="1"/>
  <c r="K7" i="6"/>
  <c r="J7" i="6"/>
  <c r="BB7" i="6" s="1"/>
  <c r="I7" i="6"/>
  <c r="H7" i="6"/>
  <c r="BG6" i="6" a="1"/>
  <c r="BG6" i="6" s="1"/>
  <c r="AL6" i="6"/>
  <c r="AK6" i="6"/>
  <c r="AH6" i="6" s="1"/>
  <c r="BC6" i="6" s="1"/>
  <c r="AJ6" i="6"/>
  <c r="AI6" i="6"/>
  <c r="BD6" i="6" s="1"/>
  <c r="AG6" i="6"/>
  <c r="AG15" i="6" s="1"/>
  <c r="AF6" i="6"/>
  <c r="AE6" i="6"/>
  <c r="O6" i="6"/>
  <c r="N6" i="6"/>
  <c r="BF6" i="6" s="1"/>
  <c r="M6" i="6"/>
  <c r="L6" i="6"/>
  <c r="K6" i="6"/>
  <c r="J6" i="6"/>
  <c r="I6" i="6"/>
  <c r="H6" i="6"/>
  <c r="AL5" i="6"/>
  <c r="AK5" i="6"/>
  <c r="AJ5" i="6"/>
  <c r="AI5" i="6"/>
  <c r="AG5" i="6"/>
  <c r="AF5" i="6"/>
  <c r="AE5" i="6"/>
  <c r="O5" i="6"/>
  <c r="N5" i="6"/>
  <c r="K5" i="6" s="1"/>
  <c r="M5" i="6"/>
  <c r="L5" i="6"/>
  <c r="L12" i="6" s="1"/>
  <c r="J5" i="6"/>
  <c r="I5" i="6"/>
  <c r="H5" i="6"/>
  <c r="AE1" i="6"/>
  <c r="H1" i="6"/>
  <c r="AZ19" i="5"/>
  <c r="AW19" i="5"/>
  <c r="AZ18" i="5"/>
  <c r="AY18" i="5"/>
  <c r="AX18" i="5"/>
  <c r="AX19" i="5" s="1"/>
  <c r="AW18" i="5"/>
  <c r="AC18" i="5"/>
  <c r="AB18" i="5"/>
  <c r="AY19" i="5" s="1"/>
  <c r="AA18" i="5"/>
  <c r="Z18" i="5"/>
  <c r="AZ17" i="5"/>
  <c r="AZ16" i="5"/>
  <c r="AY16" i="5"/>
  <c r="AX16" i="5"/>
  <c r="AX17" i="5" s="1"/>
  <c r="AW16" i="5"/>
  <c r="AW17" i="5" s="1"/>
  <c r="AC16" i="5"/>
  <c r="AB16" i="5"/>
  <c r="AY17" i="5" s="1"/>
  <c r="AA16" i="5"/>
  <c r="Z16" i="5"/>
  <c r="AJ14" i="5"/>
  <c r="AI14" i="5"/>
  <c r="M14" i="5"/>
  <c r="AJ13" i="5"/>
  <c r="AG13" i="5"/>
  <c r="BB13" i="5" s="1"/>
  <c r="L13" i="5"/>
  <c r="J12" i="5"/>
  <c r="BE11" i="5"/>
  <c r="AL11" i="5"/>
  <c r="AK11" i="5"/>
  <c r="AJ11" i="5"/>
  <c r="AI11" i="5"/>
  <c r="AG11" i="5"/>
  <c r="AF11" i="5"/>
  <c r="AE11" i="5"/>
  <c r="O11" i="5"/>
  <c r="N11" i="5"/>
  <c r="K11" i="5" s="1"/>
  <c r="M11" i="5"/>
  <c r="L11" i="5"/>
  <c r="J11" i="5"/>
  <c r="J15" i="5" s="1"/>
  <c r="I11" i="5"/>
  <c r="H11" i="5"/>
  <c r="BG10" i="5" a="1"/>
  <c r="BG10" i="5" s="1"/>
  <c r="BG14" i="5" s="1"/>
  <c r="BD10" i="5"/>
  <c r="AL10" i="5"/>
  <c r="AK10" i="5"/>
  <c r="AJ10" i="5"/>
  <c r="BE10" i="5" s="1"/>
  <c r="AI10" i="5"/>
  <c r="AH10" i="5"/>
  <c r="AG10" i="5"/>
  <c r="AG14" i="5" s="1"/>
  <c r="AF10" i="5"/>
  <c r="AE10" i="5"/>
  <c r="O10" i="5"/>
  <c r="N10" i="5"/>
  <c r="BF10" i="5" s="1"/>
  <c r="M10" i="5"/>
  <c r="L10" i="5"/>
  <c r="K10" i="5"/>
  <c r="K14" i="5" s="1"/>
  <c r="J10" i="5"/>
  <c r="I10" i="5"/>
  <c r="H10" i="5"/>
  <c r="AL9" i="5"/>
  <c r="AK9" i="5"/>
  <c r="AJ9" i="5"/>
  <c r="AI9" i="5"/>
  <c r="AG9" i="5"/>
  <c r="AF9" i="5"/>
  <c r="AE9" i="5"/>
  <c r="O9" i="5"/>
  <c r="N9" i="5"/>
  <c r="M9" i="5"/>
  <c r="L9" i="5"/>
  <c r="K9" i="5"/>
  <c r="K13" i="5" s="1"/>
  <c r="J9" i="5"/>
  <c r="J13" i="5" s="1"/>
  <c r="I9" i="5"/>
  <c r="H9" i="5"/>
  <c r="BF8" i="5"/>
  <c r="BB8" i="5"/>
  <c r="AL8" i="5"/>
  <c r="AK8" i="5"/>
  <c r="BG8" i="5" s="1" a="1"/>
  <c r="BG8" i="5" s="1"/>
  <c r="AJ8" i="5"/>
  <c r="AI8" i="5"/>
  <c r="AH8" i="5"/>
  <c r="BC8" i="5" s="1"/>
  <c r="AG8" i="5"/>
  <c r="AF8" i="5"/>
  <c r="AE8" i="5"/>
  <c r="O8" i="5"/>
  <c r="N8" i="5"/>
  <c r="M8" i="5"/>
  <c r="L8" i="5"/>
  <c r="K8" i="5"/>
  <c r="J8" i="5"/>
  <c r="I8" i="5"/>
  <c r="H8" i="5"/>
  <c r="BG7" i="5" a="1"/>
  <c r="BG7" i="5" s="1"/>
  <c r="BE7" i="5"/>
  <c r="AL7" i="5"/>
  <c r="AK7" i="5"/>
  <c r="BF7" i="5" s="1"/>
  <c r="AJ7" i="5"/>
  <c r="AI7" i="5"/>
  <c r="AG7" i="5"/>
  <c r="BB7" i="5" s="1"/>
  <c r="AF7" i="5"/>
  <c r="AE7" i="5"/>
  <c r="O7" i="5"/>
  <c r="N7" i="5"/>
  <c r="M7" i="5"/>
  <c r="L7" i="5"/>
  <c r="K7" i="5"/>
  <c r="J7" i="5"/>
  <c r="I7" i="5"/>
  <c r="H7" i="5"/>
  <c r="BD6" i="5"/>
  <c r="AL6" i="5"/>
  <c r="AK6" i="5"/>
  <c r="AJ6" i="5"/>
  <c r="BE6" i="5" s="1"/>
  <c r="AI6" i="5"/>
  <c r="AI12" i="5" s="1"/>
  <c r="AH6" i="5"/>
  <c r="AG6" i="5"/>
  <c r="AF6" i="5"/>
  <c r="AE6" i="5"/>
  <c r="O6" i="5"/>
  <c r="N6" i="5"/>
  <c r="K6" i="5" s="1"/>
  <c r="M6" i="5"/>
  <c r="L6" i="5"/>
  <c r="J6" i="5"/>
  <c r="BB6" i="5" s="1"/>
  <c r="I6" i="5"/>
  <c r="H6" i="5"/>
  <c r="AL5" i="5"/>
  <c r="AK5" i="5"/>
  <c r="BG5" i="5" s="1" a="1"/>
  <c r="BG5" i="5" s="1"/>
  <c r="BG15" i="5" s="1"/>
  <c r="AJ5" i="5"/>
  <c r="AI5" i="5"/>
  <c r="BD5" i="5" s="1"/>
  <c r="AG5" i="5"/>
  <c r="AF5" i="5"/>
  <c r="AE5" i="5"/>
  <c r="O5" i="5"/>
  <c r="N5" i="5"/>
  <c r="K5" i="5" s="1"/>
  <c r="M5" i="5"/>
  <c r="L5" i="5"/>
  <c r="J5" i="5"/>
  <c r="I5" i="5"/>
  <c r="H5" i="5"/>
  <c r="AE1" i="5"/>
  <c r="H1" i="5"/>
  <c r="BC46" i="3"/>
  <c r="BB46" i="3"/>
  <c r="BA46" i="3"/>
  <c r="AZ46" i="3"/>
  <c r="AE46" i="3"/>
  <c r="AD46" i="3"/>
  <c r="BB47" i="3" s="1"/>
  <c r="C14" i="1" s="1"/>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I37" i="3"/>
  <c r="AH37" i="3"/>
  <c r="AG37" i="3"/>
  <c r="N37" i="3"/>
  <c r="K37" i="3" s="1"/>
  <c r="M37" i="3"/>
  <c r="L37" i="3"/>
  <c r="J37" i="3"/>
  <c r="I37" i="3"/>
  <c r="BF36" i="3"/>
  <c r="AL36" i="3"/>
  <c r="AK36" i="3"/>
  <c r="AJ36" i="3"/>
  <c r="AH36" i="3"/>
  <c r="AG36" i="3"/>
  <c r="N36" i="3"/>
  <c r="K36" i="3" s="1"/>
  <c r="M36" i="3"/>
  <c r="L36" i="3"/>
  <c r="J36" i="3"/>
  <c r="I36" i="3"/>
  <c r="BF35" i="3"/>
  <c r="AL35" i="3"/>
  <c r="AK35" i="3"/>
  <c r="AJ35" i="3"/>
  <c r="AH35" i="3"/>
  <c r="AG35" i="3"/>
  <c r="N35" i="3"/>
  <c r="K35" i="3" s="1"/>
  <c r="M35" i="3"/>
  <c r="L35" i="3"/>
  <c r="J35" i="3"/>
  <c r="I35" i="3"/>
  <c r="BF34" i="3"/>
  <c r="AL34" i="3"/>
  <c r="AK34" i="3"/>
  <c r="AJ34" i="3"/>
  <c r="AI34" i="3"/>
  <c r="AH34" i="3"/>
  <c r="AG34" i="3"/>
  <c r="N34" i="3"/>
  <c r="K34" i="3" s="1"/>
  <c r="M34" i="3"/>
  <c r="L34" i="3"/>
  <c r="J34" i="3"/>
  <c r="I34" i="3"/>
  <c r="BF33" i="3"/>
  <c r="AL33" i="3"/>
  <c r="AI33" i="3" s="1"/>
  <c r="BE33" i="3" s="1"/>
  <c r="AK33" i="3"/>
  <c r="AJ33" i="3"/>
  <c r="AH33" i="3"/>
  <c r="AG33" i="3"/>
  <c r="N33" i="3"/>
  <c r="K33" i="3" s="1"/>
  <c r="M33" i="3"/>
  <c r="L33" i="3"/>
  <c r="J33" i="3"/>
  <c r="I33" i="3"/>
  <c r="BF32" i="3"/>
  <c r="AL32" i="3"/>
  <c r="AK32" i="3"/>
  <c r="AJ32" i="3"/>
  <c r="AH32" i="3"/>
  <c r="AG32" i="3"/>
  <c r="N32" i="3"/>
  <c r="M32" i="3"/>
  <c r="L32" i="3"/>
  <c r="K32" i="3"/>
  <c r="J32" i="3"/>
  <c r="I32" i="3"/>
  <c r="BF31" i="3"/>
  <c r="AL31" i="3"/>
  <c r="BG31" i="3" s="1"/>
  <c r="AK31" i="3"/>
  <c r="AJ31" i="3"/>
  <c r="AH31" i="3"/>
  <c r="AH42" i="3" s="1"/>
  <c r="AG31" i="3"/>
  <c r="N31" i="3"/>
  <c r="M31" i="3"/>
  <c r="L31" i="3"/>
  <c r="K31" i="3"/>
  <c r="J31" i="3"/>
  <c r="I31" i="3"/>
  <c r="BF30" i="3"/>
  <c r="AL30" i="3"/>
  <c r="AK30" i="3"/>
  <c r="AK42" i="3" s="1"/>
  <c r="AJ30" i="3"/>
  <c r="AI30" i="3"/>
  <c r="AH30" i="3"/>
  <c r="AG30" i="3"/>
  <c r="N30" i="3"/>
  <c r="M30" i="3"/>
  <c r="L30" i="3"/>
  <c r="J30" i="3"/>
  <c r="I30" i="3"/>
  <c r="BF29" i="3"/>
  <c r="AL29" i="3"/>
  <c r="AK29" i="3"/>
  <c r="AJ29" i="3"/>
  <c r="AI29" i="3"/>
  <c r="AH29" i="3"/>
  <c r="AG29" i="3"/>
  <c r="N29" i="3"/>
  <c r="K29" i="3" s="1"/>
  <c r="M29" i="3"/>
  <c r="L29" i="3"/>
  <c r="J29" i="3"/>
  <c r="I29" i="3"/>
  <c r="BF28" i="3"/>
  <c r="AL28" i="3"/>
  <c r="BG28" i="3" s="1"/>
  <c r="AK28" i="3"/>
  <c r="AJ28" i="3"/>
  <c r="AI28" i="3"/>
  <c r="AH28" i="3"/>
  <c r="AG28" i="3"/>
  <c r="N28" i="3"/>
  <c r="M28" i="3"/>
  <c r="L28" i="3"/>
  <c r="K28" i="3"/>
  <c r="J28" i="3"/>
  <c r="I28" i="3"/>
  <c r="BF27" i="3"/>
  <c r="AL27" i="3"/>
  <c r="AK27" i="3"/>
  <c r="AJ27" i="3"/>
  <c r="AH27" i="3"/>
  <c r="AG27" i="3"/>
  <c r="N27" i="3"/>
  <c r="M27" i="3"/>
  <c r="L27" i="3"/>
  <c r="K27" i="3"/>
  <c r="J27" i="3"/>
  <c r="I27" i="3"/>
  <c r="BG26" i="3"/>
  <c r="BF26" i="3"/>
  <c r="AL26" i="3"/>
  <c r="AK26" i="3"/>
  <c r="AJ26" i="3"/>
  <c r="AI26" i="3"/>
  <c r="AH26" i="3"/>
  <c r="AG26" i="3"/>
  <c r="N26" i="3"/>
  <c r="K26" i="3" s="1"/>
  <c r="K41" i="3" s="1"/>
  <c r="M26" i="3"/>
  <c r="L26" i="3"/>
  <c r="J26" i="3"/>
  <c r="I26" i="3"/>
  <c r="BF25" i="3"/>
  <c r="AL25" i="3"/>
  <c r="AK25" i="3"/>
  <c r="AK41" i="3" s="1"/>
  <c r="AJ25" i="3"/>
  <c r="AI25" i="3"/>
  <c r="AH25" i="3"/>
  <c r="AG25" i="3"/>
  <c r="N25" i="3"/>
  <c r="K25" i="3" s="1"/>
  <c r="M25" i="3"/>
  <c r="M41" i="3" s="1"/>
  <c r="L25" i="3"/>
  <c r="L41" i="3" s="1"/>
  <c r="J25" i="3"/>
  <c r="J41" i="3" s="1"/>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K20" i="3"/>
  <c r="AJ20" i="3"/>
  <c r="AH20" i="3"/>
  <c r="AG20" i="3"/>
  <c r="N20" i="3"/>
  <c r="K20" i="3" s="1"/>
  <c r="M20" i="3"/>
  <c r="L20" i="3"/>
  <c r="J20" i="3"/>
  <c r="I20" i="3"/>
  <c r="BF19" i="3"/>
  <c r="AL19" i="3"/>
  <c r="AI19" i="3" s="1"/>
  <c r="AK19" i="3"/>
  <c r="AJ19" i="3"/>
  <c r="AH19" i="3"/>
  <c r="AG19" i="3"/>
  <c r="N19" i="3"/>
  <c r="BG19" i="3" s="1"/>
  <c r="M19" i="3"/>
  <c r="L19" i="3"/>
  <c r="J19" i="3"/>
  <c r="I19" i="3"/>
  <c r="BF18" i="3"/>
  <c r="AL18" i="3"/>
  <c r="AI18" i="3" s="1"/>
  <c r="BE18" i="3" s="1"/>
  <c r="AK18" i="3"/>
  <c r="AJ18" i="3"/>
  <c r="AH18" i="3"/>
  <c r="AG18" i="3"/>
  <c r="N18" i="3"/>
  <c r="K18" i="3" s="1"/>
  <c r="M18" i="3"/>
  <c r="L18" i="3"/>
  <c r="J18" i="3"/>
  <c r="I18" i="3"/>
  <c r="BF17" i="3"/>
  <c r="AL17" i="3"/>
  <c r="AK17" i="3"/>
  <c r="AJ17" i="3"/>
  <c r="AI17" i="3"/>
  <c r="AH17" i="3"/>
  <c r="AG17" i="3"/>
  <c r="N17" i="3"/>
  <c r="K17" i="3" s="1"/>
  <c r="M17" i="3"/>
  <c r="L17" i="3"/>
  <c r="J17" i="3"/>
  <c r="I17" i="3"/>
  <c r="BF16" i="3"/>
  <c r="AL16" i="3"/>
  <c r="AK16" i="3"/>
  <c r="AJ16" i="3"/>
  <c r="AH16" i="3"/>
  <c r="AG16" i="3"/>
  <c r="N16" i="3"/>
  <c r="K16" i="3" s="1"/>
  <c r="M16" i="3"/>
  <c r="L16" i="3"/>
  <c r="J16" i="3"/>
  <c r="I16" i="3"/>
  <c r="BF15" i="3"/>
  <c r="AL15" i="3"/>
  <c r="BG15" i="3" s="1"/>
  <c r="AK15" i="3"/>
  <c r="AJ15" i="3"/>
  <c r="AI15" i="3"/>
  <c r="AH15" i="3"/>
  <c r="AG15" i="3"/>
  <c r="N15" i="3"/>
  <c r="M15" i="3"/>
  <c r="L15" i="3"/>
  <c r="K15" i="3"/>
  <c r="J15" i="3"/>
  <c r="I15" i="3"/>
  <c r="BF14" i="3"/>
  <c r="AL14" i="3"/>
  <c r="AI14" i="3" s="1"/>
  <c r="BE14" i="3" s="1"/>
  <c r="AK14" i="3"/>
  <c r="AJ14" i="3"/>
  <c r="AH14" i="3"/>
  <c r="AG14" i="3"/>
  <c r="N14" i="3"/>
  <c r="K14" i="3" s="1"/>
  <c r="M14" i="3"/>
  <c r="L14" i="3"/>
  <c r="J14" i="3"/>
  <c r="I14" i="3"/>
  <c r="BF13" i="3"/>
  <c r="AL13" i="3"/>
  <c r="BG13" i="3" s="1"/>
  <c r="AK13" i="3"/>
  <c r="AJ13" i="3"/>
  <c r="AI13" i="3"/>
  <c r="BE13" i="3" s="1"/>
  <c r="AH13" i="3"/>
  <c r="AG13" i="3"/>
  <c r="N13" i="3"/>
  <c r="M13" i="3"/>
  <c r="L13" i="3"/>
  <c r="K13" i="3"/>
  <c r="J13" i="3"/>
  <c r="I13" i="3"/>
  <c r="BF12" i="3"/>
  <c r="AL12" i="3"/>
  <c r="AK12" i="3"/>
  <c r="AJ12" i="3"/>
  <c r="AH12" i="3"/>
  <c r="AG12" i="3"/>
  <c r="N12" i="3"/>
  <c r="K12" i="3" s="1"/>
  <c r="M12" i="3"/>
  <c r="L12" i="3"/>
  <c r="J12" i="3"/>
  <c r="I12" i="3"/>
  <c r="BF11" i="3"/>
  <c r="AL11" i="3"/>
  <c r="AI11" i="3" s="1"/>
  <c r="AK11" i="3"/>
  <c r="AJ11" i="3"/>
  <c r="AH11" i="3"/>
  <c r="AG11" i="3"/>
  <c r="N11" i="3"/>
  <c r="M11" i="3"/>
  <c r="L11" i="3"/>
  <c r="K11" i="3"/>
  <c r="J11" i="3"/>
  <c r="I11" i="3"/>
  <c r="BF10" i="3"/>
  <c r="AL10" i="3"/>
  <c r="AI10" i="3" s="1"/>
  <c r="AK10" i="3"/>
  <c r="AJ10" i="3"/>
  <c r="AH10" i="3"/>
  <c r="AG10" i="3"/>
  <c r="N10" i="3"/>
  <c r="K10" i="3" s="1"/>
  <c r="M10" i="3"/>
  <c r="L10" i="3"/>
  <c r="J10" i="3"/>
  <c r="I10" i="3"/>
  <c r="BF9" i="3"/>
  <c r="AL9" i="3"/>
  <c r="AI9" i="3" s="1"/>
  <c r="AK9" i="3"/>
  <c r="AJ9" i="3"/>
  <c r="AH9" i="3"/>
  <c r="AG9" i="3"/>
  <c r="N9" i="3"/>
  <c r="M9" i="3"/>
  <c r="L9" i="3"/>
  <c r="K9" i="3"/>
  <c r="J9" i="3"/>
  <c r="I9" i="3"/>
  <c r="BF8" i="3"/>
  <c r="AL8" i="3"/>
  <c r="AK8" i="3"/>
  <c r="AJ8" i="3"/>
  <c r="AH8" i="3"/>
  <c r="AG8" i="3"/>
  <c r="N8" i="3"/>
  <c r="K8" i="3" s="1"/>
  <c r="M8" i="3"/>
  <c r="L8" i="3"/>
  <c r="J8" i="3"/>
  <c r="I8" i="3"/>
  <c r="BF7" i="3"/>
  <c r="AL7" i="3"/>
  <c r="AI7" i="3" s="1"/>
  <c r="AK7" i="3"/>
  <c r="AJ7" i="3"/>
  <c r="AH7" i="3"/>
  <c r="AG7" i="3"/>
  <c r="N7" i="3"/>
  <c r="M7" i="3"/>
  <c r="L7" i="3"/>
  <c r="K7" i="3"/>
  <c r="J7" i="3"/>
  <c r="I7" i="3"/>
  <c r="BF6" i="3"/>
  <c r="AL6" i="3"/>
  <c r="AI6" i="3" s="1"/>
  <c r="AK6" i="3"/>
  <c r="AJ6" i="3"/>
  <c r="AH6" i="3"/>
  <c r="AG6" i="3"/>
  <c r="N6" i="3"/>
  <c r="K6" i="3" s="1"/>
  <c r="M6" i="3"/>
  <c r="L6" i="3"/>
  <c r="J6" i="3"/>
  <c r="I6" i="3"/>
  <c r="BF5" i="3"/>
  <c r="AL5" i="3"/>
  <c r="AI5" i="3" s="1"/>
  <c r="AK5" i="3"/>
  <c r="AJ5" i="3"/>
  <c r="AH5" i="3"/>
  <c r="AG5" i="3"/>
  <c r="N5" i="3"/>
  <c r="K5" i="3" s="1"/>
  <c r="M5" i="3"/>
  <c r="L5" i="3"/>
  <c r="J5" i="3"/>
  <c r="I5" i="3"/>
  <c r="AG1" i="3"/>
  <c r="I1" i="3"/>
  <c r="B1" i="2"/>
  <c r="B2" i="2" s="1"/>
  <c r="C35" i="1"/>
  <c r="E33" i="1"/>
  <c r="D33" i="1"/>
  <c r="C23" i="1"/>
  <c r="BT35" i="7"/>
  <c r="BQ20" i="7"/>
  <c r="BR15" i="7"/>
  <c r="BL30" i="3"/>
  <c r="BN25" i="3"/>
  <c r="BP20" i="3"/>
  <c r="BM15" i="3"/>
  <c r="BP10" i="3"/>
  <c r="BP5" i="3"/>
  <c r="BL10" i="7"/>
  <c r="BS35" i="7"/>
  <c r="BP20" i="7"/>
  <c r="BJ20" i="7"/>
  <c r="BQ15" i="7"/>
  <c r="BK30" i="3"/>
  <c r="BM25" i="3"/>
  <c r="BN20" i="3"/>
  <c r="BL15" i="3"/>
  <c r="BN10" i="3"/>
  <c r="BN5" i="3"/>
  <c r="BJ5" i="3"/>
  <c r="BP15" i="3"/>
  <c r="BR35" i="7"/>
  <c r="BN20" i="7"/>
  <c r="BP15" i="7"/>
  <c r="BK35" i="3"/>
  <c r="BJ30" i="3"/>
  <c r="BL25" i="3"/>
  <c r="BM20" i="3"/>
  <c r="BK15" i="3"/>
  <c r="BM10" i="3"/>
  <c r="BM5" i="3"/>
  <c r="BN30" i="3"/>
  <c r="BQ35" i="7"/>
  <c r="BT30" i="7"/>
  <c r="BT25" i="7"/>
  <c r="BM20" i="7"/>
  <c r="BN15" i="7"/>
  <c r="BT10" i="7"/>
  <c r="BT5" i="7"/>
  <c r="BK25" i="3"/>
  <c r="BL20" i="3"/>
  <c r="BL10" i="3"/>
  <c r="BL5" i="3"/>
  <c r="BT15" i="7"/>
  <c r="BP35" i="7"/>
  <c r="BS30" i="7"/>
  <c r="BS25" i="7"/>
  <c r="BL20" i="7"/>
  <c r="BM15" i="7"/>
  <c r="BS10" i="7"/>
  <c r="BS5" i="7"/>
  <c r="BT35" i="3"/>
  <c r="BJ25" i="3"/>
  <c r="BK10" i="3"/>
  <c r="BK5" i="3"/>
  <c r="BS20" i="7"/>
  <c r="BN35" i="7"/>
  <c r="BR30" i="7"/>
  <c r="BR25" i="7"/>
  <c r="BK20" i="7"/>
  <c r="BL15" i="7"/>
  <c r="BJ15" i="7"/>
  <c r="BR10" i="7"/>
  <c r="BR5" i="7"/>
  <c r="BS35" i="3"/>
  <c r="BT30" i="3"/>
  <c r="BJ10" i="3"/>
  <c r="BL5" i="7"/>
  <c r="BM35" i="7"/>
  <c r="BJ35" i="7"/>
  <c r="BQ30" i="7"/>
  <c r="BK30" i="7"/>
  <c r="BQ25" i="7"/>
  <c r="BK15" i="7"/>
  <c r="BQ10" i="7"/>
  <c r="BK10" i="7"/>
  <c r="BQ5" i="7"/>
  <c r="BR35" i="3"/>
  <c r="BS30" i="3"/>
  <c r="BT15" i="3"/>
  <c r="BL25" i="7"/>
  <c r="BL35" i="7"/>
  <c r="BP30" i="7"/>
  <c r="BP25" i="7"/>
  <c r="BP10" i="7"/>
  <c r="BP5" i="7"/>
  <c r="BQ35" i="3"/>
  <c r="BJ35" i="3"/>
  <c r="BR30" i="3"/>
  <c r="BT25" i="3"/>
  <c r="BS15" i="3"/>
  <c r="BQ25" i="3"/>
  <c r="BR10" i="3"/>
  <c r="BK35" i="7"/>
  <c r="BN30" i="7"/>
  <c r="BN25" i="7"/>
  <c r="BN10" i="7"/>
  <c r="BN5" i="7"/>
  <c r="BP35" i="3"/>
  <c r="BQ30" i="3"/>
  <c r="BS25" i="3"/>
  <c r="BT20" i="3"/>
  <c r="BR15" i="3"/>
  <c r="BT10" i="3"/>
  <c r="BT5" i="3"/>
  <c r="BR20" i="3"/>
  <c r="BR5" i="3"/>
  <c r="BM30" i="7"/>
  <c r="BM25" i="7"/>
  <c r="BT20" i="7"/>
  <c r="BM10" i="7"/>
  <c r="BM5" i="7"/>
  <c r="BN35" i="3"/>
  <c r="BP30" i="3"/>
  <c r="BR25" i="3"/>
  <c r="BS20" i="3"/>
  <c r="BQ15" i="3"/>
  <c r="BS10" i="3"/>
  <c r="BS5" i="3"/>
  <c r="BM35" i="3"/>
  <c r="BK25" i="7"/>
  <c r="BJ25" i="7"/>
  <c r="BR20" i="7"/>
  <c r="BS15" i="7"/>
  <c r="BK5" i="7"/>
  <c r="BJ5" i="7"/>
  <c r="BL35" i="3"/>
  <c r="BM30" i="3"/>
  <c r="BP25" i="3"/>
  <c r="BQ20" i="3"/>
  <c r="BN15" i="3"/>
  <c r="BJ15" i="3"/>
  <c r="BQ10" i="3"/>
  <c r="BQ5" i="3"/>
  <c r="BL30" i="7"/>
  <c r="BG27" i="7" l="1"/>
  <c r="BG5" i="7"/>
  <c r="BE5" i="7"/>
  <c r="BH5" i="7"/>
  <c r="BE27" i="7"/>
  <c r="BG29" i="7"/>
  <c r="BH35" i="7"/>
  <c r="AK42" i="7"/>
  <c r="BE9" i="7"/>
  <c r="BE15" i="7"/>
  <c r="BG33" i="7"/>
  <c r="BE38" i="7"/>
  <c r="BB45" i="7"/>
  <c r="BH15" i="7"/>
  <c r="BG13" i="7"/>
  <c r="BE9" i="3"/>
  <c r="BG11" i="3"/>
  <c r="BE28" i="3"/>
  <c r="BE7" i="3"/>
  <c r="BE11" i="3"/>
  <c r="BE25" i="3"/>
  <c r="BG7" i="3"/>
  <c r="BG9" i="3"/>
  <c r="BE15" i="3"/>
  <c r="AH41" i="3"/>
  <c r="BG38" i="3"/>
  <c r="BE39" i="3"/>
  <c r="BE34" i="3"/>
  <c r="BE17" i="3"/>
  <c r="BE24" i="3"/>
  <c r="J42" i="3"/>
  <c r="J40" i="3"/>
  <c r="BG17" i="3"/>
  <c r="M42" i="3"/>
  <c r="BG34" i="3"/>
  <c r="BG36" i="3"/>
  <c r="BE5" i="3"/>
  <c r="BG35" i="3"/>
  <c r="BE6" i="3"/>
  <c r="K19" i="3"/>
  <c r="BE19" i="3" s="1"/>
  <c r="BG22" i="3"/>
  <c r="BG24" i="3"/>
  <c r="BG39" i="3"/>
  <c r="BG5" i="3"/>
  <c r="BE29" i="3"/>
  <c r="K38" i="3"/>
  <c r="BE38" i="3" s="1"/>
  <c r="BC45" i="3"/>
  <c r="BE10" i="3"/>
  <c r="L42" i="7"/>
  <c r="L41" i="7"/>
  <c r="BE31" i="7"/>
  <c r="BE12" i="7"/>
  <c r="BG22" i="7"/>
  <c r="BH30" i="7"/>
  <c r="BH42" i="7" s="1"/>
  <c r="BE35" i="7"/>
  <c r="BA47" i="7"/>
  <c r="BH20" i="7"/>
  <c r="BH10" i="7"/>
  <c r="BH43" i="7" s="1"/>
  <c r="K11" i="7"/>
  <c r="BE11" i="7" s="1"/>
  <c r="BG14" i="7"/>
  <c r="K21" i="7"/>
  <c r="BE21" i="7" s="1"/>
  <c r="BE24" i="7"/>
  <c r="BG31" i="7"/>
  <c r="BG34" i="7"/>
  <c r="BA45" i="7"/>
  <c r="BC47" i="7"/>
  <c r="BG30" i="7"/>
  <c r="BE36" i="7"/>
  <c r="K13" i="7"/>
  <c r="BE13" i="7" s="1"/>
  <c r="K23" i="7"/>
  <c r="BE23" i="7" s="1"/>
  <c r="J42" i="7"/>
  <c r="K33" i="7"/>
  <c r="BE33" i="7" s="1"/>
  <c r="BC45" i="7"/>
  <c r="BL42" i="7"/>
  <c r="E45" i="1" s="1"/>
  <c r="BP41" i="3"/>
  <c r="BM42" i="3"/>
  <c r="F11" i="1" s="1"/>
  <c r="BK43" i="7"/>
  <c r="D46" i="1" s="1"/>
  <c r="BJ41" i="7"/>
  <c r="C44" i="1" s="1"/>
  <c r="BK41" i="7"/>
  <c r="D44" i="1" s="1"/>
  <c r="BR41" i="3"/>
  <c r="BM43" i="7"/>
  <c r="F46" i="1" s="1"/>
  <c r="BM41" i="7"/>
  <c r="F44" i="1" s="1"/>
  <c r="BM42" i="7"/>
  <c r="F45" i="1" s="1"/>
  <c r="BS41" i="3"/>
  <c r="BQ42" i="3"/>
  <c r="BN43" i="7"/>
  <c r="G46" i="1" s="1"/>
  <c r="BN41" i="7"/>
  <c r="G44" i="1" s="1"/>
  <c r="BN42" i="7"/>
  <c r="G45" i="1" s="1"/>
  <c r="BT41" i="3"/>
  <c r="BR42" i="3"/>
  <c r="BP42" i="7"/>
  <c r="BL41" i="7"/>
  <c r="E44" i="1" s="1"/>
  <c r="BQ43" i="7"/>
  <c r="BQ40" i="7"/>
  <c r="BQ41" i="7"/>
  <c r="BK42" i="7"/>
  <c r="D45" i="1" s="1"/>
  <c r="BQ42" i="7"/>
  <c r="BT42" i="3"/>
  <c r="BJ41" i="3"/>
  <c r="C10" i="1" s="1"/>
  <c r="BS42" i="7"/>
  <c r="BL40" i="3"/>
  <c r="E9" i="1" s="1"/>
  <c r="BK41" i="3"/>
  <c r="D10" i="1" s="1"/>
  <c r="BT41" i="7"/>
  <c r="BT42" i="7"/>
  <c r="BN42" i="3"/>
  <c r="G11" i="1" s="1"/>
  <c r="BL41" i="3"/>
  <c r="E10" i="1" s="1"/>
  <c r="BJ42" i="3"/>
  <c r="C11" i="1" s="1"/>
  <c r="BM41" i="3"/>
  <c r="F10" i="1" s="1"/>
  <c r="BK42" i="3"/>
  <c r="D11" i="1" s="1"/>
  <c r="BN41" i="3"/>
  <c r="G10" i="1" s="1"/>
  <c r="BL42" i="3"/>
  <c r="E11" i="1" s="1"/>
  <c r="BG11" i="5" a="1"/>
  <c r="BG11" i="5" s="1"/>
  <c r="AH11" i="5"/>
  <c r="BC11" i="5" s="1"/>
  <c r="BF11" i="5"/>
  <c r="BM43" i="3"/>
  <c r="F12" i="1" s="1"/>
  <c r="BM40" i="3"/>
  <c r="F9" i="1" s="1"/>
  <c r="BH10" i="3" a="1"/>
  <c r="BH10" i="3" s="1"/>
  <c r="BE26" i="3"/>
  <c r="M15" i="5"/>
  <c r="M12" i="5"/>
  <c r="M15" i="6"/>
  <c r="E32" i="1"/>
  <c r="AJ42" i="3"/>
  <c r="AJ13" i="6"/>
  <c r="BE13" i="6" s="1"/>
  <c r="BE9" i="6"/>
  <c r="AJ40" i="3"/>
  <c r="AJ43" i="3"/>
  <c r="BR43" i="3"/>
  <c r="BR40" i="3"/>
  <c r="BE22" i="3"/>
  <c r="BG29" i="3"/>
  <c r="AI13" i="5"/>
  <c r="BD13" i="5" s="1"/>
  <c r="BD9" i="5"/>
  <c r="AJ12" i="6"/>
  <c r="AJ15" i="6"/>
  <c r="BE15" i="6" s="1"/>
  <c r="BE6" i="6"/>
  <c r="AK43" i="3"/>
  <c r="AK40" i="3"/>
  <c r="BS43" i="3"/>
  <c r="BS40" i="3"/>
  <c r="BG21" i="3"/>
  <c r="AI21" i="3"/>
  <c r="BE21" i="3" s="1"/>
  <c r="BG32" i="3"/>
  <c r="AI32" i="3"/>
  <c r="BE32" i="3" s="1"/>
  <c r="AI36" i="3"/>
  <c r="BE36" i="3" s="1"/>
  <c r="BG8" i="3"/>
  <c r="AI8" i="3"/>
  <c r="BE8" i="3" s="1"/>
  <c r="BG33" i="3"/>
  <c r="BE37" i="3"/>
  <c r="AH5" i="5"/>
  <c r="BG12" i="5"/>
  <c r="K15" i="6"/>
  <c r="K12" i="6"/>
  <c r="BF5" i="6"/>
  <c r="BG5" i="6" a="1"/>
  <c r="BG5" i="6" s="1"/>
  <c r="AH5" i="6"/>
  <c r="BH20" i="3" a="1"/>
  <c r="BH20" i="3" s="1"/>
  <c r="BG20" i="3"/>
  <c r="AI20" i="3"/>
  <c r="BE20" i="3" s="1"/>
  <c r="AI23" i="3"/>
  <c r="BE23" i="3" s="1"/>
  <c r="BG23" i="3"/>
  <c r="BC14" i="6"/>
  <c r="J43" i="3"/>
  <c r="BE5" i="5"/>
  <c r="AJ15" i="5"/>
  <c r="AJ12" i="5"/>
  <c r="L15" i="5"/>
  <c r="E20" i="1"/>
  <c r="BG7" i="6" a="1"/>
  <c r="BG7" i="6" s="1"/>
  <c r="AH7" i="6"/>
  <c r="BC7" i="6" s="1"/>
  <c r="AI27" i="3"/>
  <c r="BE27" i="3" s="1"/>
  <c r="BG27" i="3"/>
  <c r="BG16" i="3"/>
  <c r="BH15" i="3" a="1"/>
  <c r="BH15" i="3" s="1"/>
  <c r="AI16" i="3"/>
  <c r="BE16" i="3" s="1"/>
  <c r="J15" i="6"/>
  <c r="BB15" i="6" s="1"/>
  <c r="J12" i="6"/>
  <c r="BB5" i="6"/>
  <c r="L42" i="3"/>
  <c r="BG37" i="3"/>
  <c r="BP43" i="3"/>
  <c r="BP40" i="3"/>
  <c r="C24" i="1"/>
  <c r="M40" i="3"/>
  <c r="BN43" i="3"/>
  <c r="G12" i="1" s="1"/>
  <c r="BN40" i="3"/>
  <c r="G9" i="1" s="1"/>
  <c r="AH43" i="3"/>
  <c r="AH40" i="3"/>
  <c r="M43" i="3"/>
  <c r="BG12" i="3"/>
  <c r="AI12" i="3"/>
  <c r="BE12" i="3" s="1"/>
  <c r="BG30" i="3"/>
  <c r="K30" i="3"/>
  <c r="BL43" i="3"/>
  <c r="E12" i="1" s="1"/>
  <c r="BF5" i="5"/>
  <c r="BD5" i="6"/>
  <c r="AI12" i="6"/>
  <c r="BD12" i="6" s="1"/>
  <c r="AI15" i="6"/>
  <c r="J43" i="7"/>
  <c r="J40" i="7"/>
  <c r="AH41" i="7"/>
  <c r="BE37" i="7"/>
  <c r="BS43" i="7"/>
  <c r="BC6" i="5"/>
  <c r="K43" i="3"/>
  <c r="K40" i="3"/>
  <c r="BT43" i="3"/>
  <c r="BT40" i="3"/>
  <c r="BA47" i="3"/>
  <c r="BE9" i="5"/>
  <c r="M13" i="5"/>
  <c r="BE13" i="5" s="1"/>
  <c r="BB11" i="5"/>
  <c r="BH5" i="3" a="1"/>
  <c r="BH5" i="3" s="1"/>
  <c r="AZ45" i="3"/>
  <c r="BC47" i="3"/>
  <c r="BF6" i="5"/>
  <c r="BG6" i="5" a="1"/>
  <c r="BG6" i="5" s="1"/>
  <c r="BG6" i="3"/>
  <c r="BG10" i="3"/>
  <c r="BG14" i="3"/>
  <c r="BG18" i="3"/>
  <c r="BG25" i="3"/>
  <c r="BH25" i="3" a="1"/>
  <c r="BH25" i="3" s="1"/>
  <c r="BH41" i="3" s="1"/>
  <c r="BA45" i="3"/>
  <c r="BB5" i="5"/>
  <c r="AG15" i="5"/>
  <c r="BB15" i="5" s="1"/>
  <c r="AG12" i="5"/>
  <c r="BB12" i="5" s="1"/>
  <c r="J14" i="5"/>
  <c r="BB14" i="5" s="1"/>
  <c r="AI15" i="5"/>
  <c r="BD15" i="5" s="1"/>
  <c r="L43" i="7"/>
  <c r="L40" i="7"/>
  <c r="BH40" i="7"/>
  <c r="BP41" i="7"/>
  <c r="BD7" i="5"/>
  <c r="BB9" i="5"/>
  <c r="L14" i="5"/>
  <c r="BD14" i="5" s="1"/>
  <c r="BB10" i="5"/>
  <c r="BE7" i="6"/>
  <c r="BC10" i="6"/>
  <c r="AG12" i="6"/>
  <c r="M43" i="7"/>
  <c r="M40" i="7"/>
  <c r="AK41" i="7"/>
  <c r="M42" i="7"/>
  <c r="AJ40" i="7"/>
  <c r="BR41" i="7"/>
  <c r="BF10" i="6"/>
  <c r="BL43" i="7"/>
  <c r="E46" i="1" s="1"/>
  <c r="BL40" i="7"/>
  <c r="E43" i="1" s="1"/>
  <c r="BS40" i="7"/>
  <c r="K9" i="6"/>
  <c r="K13" i="6" s="1"/>
  <c r="BC13" i="6" s="1"/>
  <c r="AY19" i="6"/>
  <c r="AH43" i="7"/>
  <c r="AH40" i="7"/>
  <c r="BE16" i="7"/>
  <c r="J41" i="7"/>
  <c r="AH42" i="7"/>
  <c r="BR42" i="7"/>
  <c r="AH9" i="5"/>
  <c r="BG9" i="5" a="1"/>
  <c r="BG9" i="5" s="1"/>
  <c r="BG13" i="5" s="1"/>
  <c r="BF9" i="5"/>
  <c r="BD11" i="5"/>
  <c r="BQ43" i="3"/>
  <c r="BQ40" i="3"/>
  <c r="AI35" i="3"/>
  <c r="BE35" i="3" s="1"/>
  <c r="BH35" i="3" a="1"/>
  <c r="BH35" i="3" s="1"/>
  <c r="L12" i="5"/>
  <c r="BD12" i="5" s="1"/>
  <c r="BE14" i="5"/>
  <c r="M12" i="6"/>
  <c r="K41" i="7"/>
  <c r="BE28" i="7"/>
  <c r="BP43" i="7"/>
  <c r="BP40" i="7"/>
  <c r="BE32" i="7"/>
  <c r="K12" i="5"/>
  <c r="K15" i="5"/>
  <c r="AK43" i="7"/>
  <c r="AK40" i="7"/>
  <c r="AI14" i="6"/>
  <c r="BD14" i="6" s="1"/>
  <c r="AZ17" i="6"/>
  <c r="BR43" i="7"/>
  <c r="BR40" i="7"/>
  <c r="AZ47" i="3"/>
  <c r="AI41" i="3"/>
  <c r="BE41" i="3" s="1"/>
  <c r="BD8" i="5"/>
  <c r="AH14" i="5"/>
  <c r="BC14" i="5" s="1"/>
  <c r="AH8" i="6"/>
  <c r="BC8" i="6" s="1"/>
  <c r="BG8" i="6" a="1"/>
  <c r="BG8" i="6" s="1"/>
  <c r="BF8" i="6"/>
  <c r="L43" i="3"/>
  <c r="L40" i="3"/>
  <c r="AJ41" i="3"/>
  <c r="AI31" i="3"/>
  <c r="BH30" i="3" a="1"/>
  <c r="BH30" i="3" s="1"/>
  <c r="BH42" i="3" s="1"/>
  <c r="BQ41" i="3"/>
  <c r="BE8" i="5"/>
  <c r="BB6" i="6"/>
  <c r="BD13" i="6"/>
  <c r="BP42" i="3"/>
  <c r="AH7" i="5"/>
  <c r="BC7" i="5" s="1"/>
  <c r="L15" i="6"/>
  <c r="AI6" i="7"/>
  <c r="BE6" i="7" s="1"/>
  <c r="BG8" i="7"/>
  <c r="AI10" i="7"/>
  <c r="BG12" i="7"/>
  <c r="AI14" i="7"/>
  <c r="BE14" i="7" s="1"/>
  <c r="BG16" i="7"/>
  <c r="AI18" i="7"/>
  <c r="BE18" i="7" s="1"/>
  <c r="K20" i="7"/>
  <c r="BE20" i="7" s="1"/>
  <c r="BG20" i="7"/>
  <c r="AI22" i="7"/>
  <c r="BE22" i="7" s="1"/>
  <c r="BG24" i="7"/>
  <c r="AI26" i="7"/>
  <c r="BG28" i="7"/>
  <c r="AI30" i="7"/>
  <c r="BG32" i="7"/>
  <c r="AI34" i="7"/>
  <c r="BE34" i="7" s="1"/>
  <c r="BN40" i="7"/>
  <c r="G43" i="1" s="1"/>
  <c r="BS41" i="7"/>
  <c r="BS42" i="3"/>
  <c r="BC10" i="5"/>
  <c r="BD10" i="6"/>
  <c r="BG37" i="7"/>
  <c r="AI39" i="7"/>
  <c r="BE39" i="7" s="1"/>
  <c r="BT40" i="7"/>
  <c r="BT43" i="7"/>
  <c r="K10" i="7"/>
  <c r="K30" i="7"/>
  <c r="BE5" i="6"/>
  <c r="BK40" i="7"/>
  <c r="D43" i="1" s="1"/>
  <c r="BM40" i="7"/>
  <c r="F43" i="1" s="1"/>
  <c r="BJ20" i="3"/>
  <c r="BK20" i="3"/>
  <c r="BJ30" i="7"/>
  <c r="BJ10" i="7"/>
  <c r="K42" i="7" l="1"/>
  <c r="BE10" i="7"/>
  <c r="K40" i="7"/>
  <c r="K43" i="7"/>
  <c r="BJ43" i="7"/>
  <c r="C46" i="1" s="1"/>
  <c r="BJ40" i="7"/>
  <c r="C43" i="1" s="1"/>
  <c r="BJ42" i="7"/>
  <c r="C45" i="1" s="1"/>
  <c r="BK40" i="3"/>
  <c r="D9" i="1" s="1"/>
  <c r="BK43" i="3"/>
  <c r="D12" i="1" s="1"/>
  <c r="BJ43" i="3"/>
  <c r="C12" i="1" s="1"/>
  <c r="BJ40" i="3"/>
  <c r="C9" i="1" s="1"/>
  <c r="I43" i="1"/>
  <c r="I46" i="1"/>
  <c r="L11" i="1"/>
  <c r="L10" i="1"/>
  <c r="K45" i="1"/>
  <c r="H45" i="1"/>
  <c r="H10" i="1"/>
  <c r="I45" i="1"/>
  <c r="L45" i="1"/>
  <c r="I11" i="1"/>
  <c r="J10" i="1"/>
  <c r="L44" i="1"/>
  <c r="I44" i="1"/>
  <c r="J11" i="1"/>
  <c r="K10" i="1"/>
  <c r="E21" i="1"/>
  <c r="E34" i="1"/>
  <c r="I12" i="1"/>
  <c r="H12" i="1"/>
  <c r="C33" i="1"/>
  <c r="K12" i="1"/>
  <c r="AI40" i="7"/>
  <c r="BE40" i="7" s="1"/>
  <c r="J12" i="1"/>
  <c r="K46" i="1"/>
  <c r="C32" i="1"/>
  <c r="H44" i="1"/>
  <c r="J9" i="1"/>
  <c r="AI41" i="7"/>
  <c r="BE41" i="7" s="1"/>
  <c r="BE26" i="7"/>
  <c r="AI43" i="7"/>
  <c r="BE43" i="7" s="1"/>
  <c r="AH13" i="5"/>
  <c r="BC13" i="5" s="1"/>
  <c r="BC9" i="5"/>
  <c r="K43" i="1"/>
  <c r="J43" i="1"/>
  <c r="K9" i="1"/>
  <c r="AI42" i="7"/>
  <c r="BE30" i="7"/>
  <c r="L9" i="1"/>
  <c r="BD15" i="6"/>
  <c r="H9" i="1"/>
  <c r="L43" i="1"/>
  <c r="J46" i="1"/>
  <c r="D20" i="1"/>
  <c r="BC5" i="5"/>
  <c r="AH15" i="5"/>
  <c r="BC15" i="5" s="1"/>
  <c r="AH12" i="5"/>
  <c r="BC12" i="5" s="1"/>
  <c r="H11" i="1"/>
  <c r="D21" i="1"/>
  <c r="J45" i="1"/>
  <c r="BB12" i="6"/>
  <c r="L12" i="1"/>
  <c r="D34" i="1"/>
  <c r="D32" i="1"/>
  <c r="C36" i="1"/>
  <c r="BC5" i="6"/>
  <c r="AH15" i="6"/>
  <c r="BC15" i="6" s="1"/>
  <c r="AH12" i="6"/>
  <c r="BC12" i="6" s="1"/>
  <c r="BE12" i="6"/>
  <c r="BC9" i="6"/>
  <c r="C13" i="1"/>
  <c r="BG15" i="6"/>
  <c r="BG12" i="6"/>
  <c r="BH40" i="3"/>
  <c r="BH43" i="3"/>
  <c r="J44" i="1"/>
  <c r="AI40" i="3"/>
  <c r="BE40" i="3" s="1"/>
  <c r="H46" i="1"/>
  <c r="L46" i="1"/>
  <c r="BE31" i="3"/>
  <c r="AI42" i="3"/>
  <c r="BE42" i="3" s="1"/>
  <c r="K11" i="1"/>
  <c r="C21" i="1"/>
  <c r="K44" i="1"/>
  <c r="E19" i="1"/>
  <c r="BE12" i="5"/>
  <c r="I10" i="1"/>
  <c r="H43" i="1"/>
  <c r="I9" i="1"/>
  <c r="E22" i="1"/>
  <c r="K42" i="3"/>
  <c r="BE30" i="3"/>
  <c r="AI43" i="3"/>
  <c r="BE43" i="3" s="1"/>
  <c r="BE15" i="5"/>
  <c r="BE42" i="7" l="1"/>
  <c r="D22" i="1"/>
  <c r="E31" i="1"/>
  <c r="C31" i="1"/>
  <c r="C34" i="1"/>
  <c r="D31" i="1"/>
  <c r="D19" i="1"/>
  <c r="C20" i="1"/>
  <c r="C19" i="1"/>
  <c r="C22" i="1"/>
</calcChain>
</file>

<file path=xl/sharedStrings.xml><?xml version="1.0" encoding="utf-8"?>
<sst xmlns="http://schemas.openxmlformats.org/spreadsheetml/2006/main" count="1389" uniqueCount="574">
  <si>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</si>
  <si>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</si>
  <si>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</si>
  <si>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</si>
  <si>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</si>
  <si>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</si>
  <si>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</si>
  <si>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</si>
  <si>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</si>
  <si>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</si>
  <si>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</si>
  <si>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</si>
  <si>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</si>
  <si>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</si>
  <si>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</si>
  <si>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</si>
  <si>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</si>
  <si>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</si>
  <si>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</si>
  <si>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</si>
  <si>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</si>
  <si>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</si>
  <si>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</si>
  <si>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</si>
  <si>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</si>
  <si>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</si>
  <si>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</si>
  <si>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</si>
  <si>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</si>
  <si>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</si>
  <si>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</si>
  <si>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</si>
  <si>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</si>
  <si>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</si>
  <si>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</si>
  <si>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</si>
  <si>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</si>
  <si>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</si>
  <si>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</si>
  <si>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</si>
  <si>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</si>
  <si>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</si>
  <si>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</si>
  <si>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</si>
  <si>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</si>
  <si>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</si>
  <si>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</si>
  <si>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</si>
  <si>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</si>
  <si>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</si>
  <si>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</si>
  <si>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</si>
  <si>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</si>
  <si>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</si>
  <si>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</si>
  <si>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</si>
  <si>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</si>
  <si>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</si>
  <si>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</si>
  <si>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</si>
  <si>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</si>
  <si>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</si>
  <si>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</si>
  <si>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</si>
  <si>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</si>
  <si>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</si>
  <si>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</si>
  <si>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</si>
  <si>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</si>
  <si>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</si>
  <si>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</si>
  <si>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</si>
  <si>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</si>
  <si>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</si>
  <si>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</si>
  <si>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</si>
  <si>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</si>
  <si>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</si>
  <si>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</si>
  <si>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</si>
  <si>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</si>
  <si>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</si>
  <si>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</si>
  <si>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</si>
  <si>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</si>
  <si>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</si>
  <si>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</si>
  <si>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</si>
  <si>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</si>
  <si>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</si>
  <si>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</si>
  <si>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</si>
  <si>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</si>
  <si>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</si>
  <si>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</si>
  <si>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</si>
  <si>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</si>
  <si>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</si>
  <si>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</si>
  <si>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</si>
  <si>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</si>
  <si>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</si>
  <si>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</si>
  <si>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</si>
  <si>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</si>
  <si>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</si>
  <si>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</si>
  <si>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</si>
  <si>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</si>
  <si>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</si>
  <si>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</si>
  <si>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</si>
  <si>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</si>
  <si>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</si>
  <si>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</si>
  <si>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</si>
  <si>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</si>
  <si>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</si>
  <si>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</si>
  <si>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</si>
  <si>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</si>
  <si>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</si>
  <si>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</si>
  <si>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</si>
  <si>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</si>
  <si>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</si>
  <si>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</si>
  <si>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</si>
  <si>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</si>
  <si>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</si>
  <si>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</si>
  <si>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</si>
  <si>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</si>
  <si>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</si>
  <si>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</si>
  <si>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</si>
  <si>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</si>
  <si>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</si>
  <si>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</si>
  <si>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</si>
  <si>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</si>
  <si>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</si>
  <si>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</si>
  <si>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</si>
  <si>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</si>
  <si>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</si>
  <si>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</si>
  <si>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</si>
  <si>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</si>
  <si>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</si>
  <si>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</si>
  <si>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</si>
  <si>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</si>
  <si>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</si>
  <si>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</si>
  <si>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</si>
  <si>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</si>
  <si>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</si>
  <si>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</si>
  <si>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</si>
  <si>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</si>
  <si>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</si>
  <si>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</si>
  <si>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</si>
  <si>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</si>
  <si>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</si>
  <si>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</si>
  <si>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</si>
  <si>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</si>
  <si>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</si>
  <si>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</si>
  <si>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</si>
  <si>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</si>
  <si>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</si>
  <si>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</si>
  <si>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</si>
  <si>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</si>
  <si>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</si>
  <si>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</si>
  <si>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</si>
  <si>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</si>
  <si>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</si>
  <si>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</si>
  <si>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</si>
  <si>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</si>
  <si>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</si>
  <si>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</si>
  <si>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</si>
  <si>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</si>
  <si>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</si>
  <si>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</si>
  <si>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</si>
  <si>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</si>
  <si>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</si>
  <si>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</si>
  <si>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</si>
  <si>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</si>
  <si>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</si>
  <si>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</si>
  <si>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</si>
  <si>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</si>
  <si>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</si>
  <si>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</si>
  <si>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</si>
  <si>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</si>
  <si>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</si>
  <si>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</si>
  <si>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</si>
  <si>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</si>
  <si>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</si>
  <si>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</si>
  <si>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</si>
  <si>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</si>
  <si>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</si>
  <si>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</si>
  <si>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</si>
  <si>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</si>
  <si>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</si>
  <si>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</si>
  <si>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</si>
  <si>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</si>
  <si>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</si>
  <si>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</si>
  <si>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</si>
  <si>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</si>
  <si>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</si>
  <si>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</si>
  <si>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</si>
  <si>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</si>
  <si>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</si>
  <si>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</si>
  <si>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</si>
  <si>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</si>
  <si>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</si>
  <si>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</si>
  <si>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</si>
  <si>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</si>
  <si>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</si>
  <si>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</si>
  <si>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</si>
  <si>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</si>
  <si>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</si>
  <si>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</si>
  <si>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</si>
  <si>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</si>
  <si>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</si>
  <si>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</si>
  <si>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</si>
  <si>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</si>
  <si>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</si>
  <si>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</si>
  <si>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</si>
  <si>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</si>
  <si>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</si>
  <si>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</si>
  <si>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</si>
  <si>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</si>
  <si>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</si>
  <si>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</si>
  <si>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</si>
  <si>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</si>
  <si>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</si>
  <si>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</si>
  <si>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</si>
  <si>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</si>
  <si>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</si>
  <si>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</si>
  <si>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</si>
  <si>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</si>
  <si>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</si>
  <si>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</si>
  <si>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</si>
  <si>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</si>
  <si>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</si>
  <si>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</si>
  <si>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</si>
  <si>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</si>
  <si>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</si>
  <si>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</si>
  <si>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</si>
  <si>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</si>
  <si>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</si>
  <si>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</si>
  <si>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</si>
  <si>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</si>
  <si>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</si>
  <si>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</si>
  <si>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</si>
  <si>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</si>
  <si>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</si>
  <si>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</si>
  <si>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</si>
  <si>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</si>
  <si>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</si>
  <si>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</si>
  <si>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</si>
  <si>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</si>
  <si>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</si>
  <si>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</si>
  <si>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</si>
  <si>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</si>
  <si>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</si>
  <si>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</si>
  <si>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</si>
  <si>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</si>
  <si>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</si>
  <si>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</si>
  <si>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</si>
  <si>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</si>
  <si>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</si>
  <si>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</si>
  <si>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</si>
  <si>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</si>
  <si>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</si>
  <si>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</si>
  <si>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</si>
  <si>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</si>
  <si>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</si>
  <si>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</si>
  <si>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</si>
  <si>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</si>
  <si>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</si>
  <si>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</si>
  <si>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</si>
  <si>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</si>
  <si>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</si>
  <si>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</si>
  <si>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</si>
  <si>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</si>
  <si>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</si>
  <si>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</si>
  <si>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</si>
  <si>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</si>
  <si>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</si>
  <si>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</si>
  <si>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</si>
  <si>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</si>
  <si>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</si>
  <si>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</si>
  <si>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</si>
  <si>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</si>
  <si>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</si>
  <si>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</si>
  <si>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</si>
  <si>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</si>
  <si>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</si>
  <si>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</si>
  <si>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</si>
  <si>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</si>
  <si>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</si>
  <si>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</si>
  <si>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</si>
  <si>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</si>
  <si>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</si>
  <si>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</si>
  <si>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</si>
  <si>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</si>
  <si>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</si>
  <si>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</si>
  <si>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</si>
  <si>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</si>
  <si>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</si>
  <si>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</si>
  <si>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</si>
  <si>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</si>
  <si>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</si>
  <si>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</si>
  <si>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</si>
  <si>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</si>
  <si>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</si>
  <si>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</si>
  <si>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</si>
  <si>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</si>
  <si>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</si>
  <si>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</si>
  <si>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</si>
  <si>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</si>
  <si>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</si>
  <si>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</si>
  <si>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</si>
  <si>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</si>
  <si>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</si>
  <si>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</si>
  <si>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</si>
  <si>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</si>
  <si>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</si>
  <si>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</si>
  <si>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</si>
  <si>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</si>
  <si>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</si>
  <si>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</si>
  <si>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</si>
  <si>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</si>
  <si>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</si>
  <si>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</si>
  <si>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</si>
  <si>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</si>
  <si>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</si>
  <si>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</si>
  <si>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</si>
  <si>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</si>
  <si>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</si>
  <si>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</si>
  <si>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</si>
  <si>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</si>
  <si>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</si>
  <si>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</si>
  <si>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</si>
  <si>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</si>
  <si>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</si>
  <si>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</si>
  <si>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</si>
  <si>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</si>
  <si>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</si>
  <si>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</si>
  <si>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</si>
  <si>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</si>
  <si>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</si>
  <si>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</si>
  <si>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</si>
  <si>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</si>
  <si>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</si>
  <si>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</si>
  <si>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</si>
  <si>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</si>
  <si>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</si>
  <si>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</si>
  <si>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</si>
  <si>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</si>
  <si>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</si>
  <si>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</si>
  <si>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</si>
  <si>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</si>
  <si>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</si>
  <si>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</si>
  <si>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</si>
  <si>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</si>
  <si>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</si>
  <si>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</si>
  <si>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</si>
  <si>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</si>
  <si>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</si>
  <si>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</si>
  <si>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</si>
  <si>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</si>
  <si>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</si>
  <si>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</si>
  <si>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</si>
  <si>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</si>
  <si>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</si>
  <si>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</si>
  <si>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</si>
  <si>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</si>
  <si>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</si>
  <si>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</si>
  <si>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</si>
  <si>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</si>
  <si>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</si>
  <si>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</si>
  <si>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</si>
  <si>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</si>
  <si>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</si>
  <si>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</si>
  <si>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</si>
  <si>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</si>
  <si>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</si>
  <si>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</si>
  <si>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</si>
  <si>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</si>
  <si>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</si>
  <si>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</si>
  <si>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</si>
  <si>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</si>
  <si>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</si>
  <si>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</si>
  <si>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</si>
  <si>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</si>
  <si>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</si>
  <si>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</si>
  <si>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</si>
  <si>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</si>
  <si>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</si>
  <si>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</si>
  <si>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</si>
  <si>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</si>
  <si>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</si>
  <si>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</si>
  <si>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</si>
  <si>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</si>
  <si>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</si>
  <si>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</si>
  <si>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</si>
  <si>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</si>
  <si>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</si>
  <si>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</si>
  <si>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</si>
  <si>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</si>
  <si>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</si>
  <si>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</si>
  <si>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</si>
  <si>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</si>
  <si>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</si>
  <si>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</si>
  <si>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</si>
  <si>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</si>
  <si>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</si>
  <si>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</si>
  <si>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</si>
  <si>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</si>
  <si>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</si>
  <si>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</si>
  <si>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</si>
  <si>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</si>
  <si>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</si>
  <si>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</si>
  <si>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</si>
  <si>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</si>
  <si>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</si>
  <si>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</si>
  <si>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</si>
  <si>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</si>
  <si>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</si>
  <si>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</si>
  <si>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</si>
  <si>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</si>
  <si>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</si>
  <si>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</si>
  <si>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</si>
  <si>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</si>
  <si>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</si>
  <si>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</si>
  <si>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</si>
  <si>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</si>
  <si>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</si>
  <si>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</si>
  <si>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</si>
  <si>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</si>
  <si>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</si>
  <si>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</si>
  <si>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</si>
  <si>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</si>
  <si>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</si>
  <si>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</si>
  <si>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</si>
  <si>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</si>
  <si>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</si>
  <si>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</si>
  <si>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</si>
  <si>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</si>
  <si>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</si>
  <si>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</si>
  <si>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</si>
  <si>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</si>
  <si>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</si>
  <si>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</si>
  <si>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</si>
  <si>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</si>
  <si>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</si>
  <si>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</si>
  <si>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</si>
  <si>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</si>
  <si>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</si>
  <si>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</si>
  <si>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</si>
  <si>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</si>
  <si>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</si>
  <si>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</si>
  <si>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</si>
  <si>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</si>
  <si>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</si>
  <si>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</si>
  <si>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</si>
  <si>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</si>
  <si>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ExtRec2_master+r21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</si>
</sst>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ExtRec2_master+r21</c:v>
                </c:pt>
              </c:strCache>
            </c:strRef>
          </c:tx>
          <c:spPr>
            <a:ln>
              <a:prstDash val="solid"/>
            </a:ln>
          </c:spPr>
          <c:marker>
            <c:symbol val="none"/>
          </c:marker>
          <c:xVal>
            <c:numRef>
              <c:f>Graphs!graph_a_x_range_A</c:f>
              <c:numCache>
                <c:formatCode>0.00</c:formatCode>
                <c:ptCount val="5"/>
                <c:pt idx="0">
                  <c:v>3.4344589332869629E-2</c:v>
                </c:pt>
                <c:pt idx="1">
                  <c:v>4.6587613414641252E-2</c:v>
                </c:pt>
                <c:pt idx="2">
                  <c:v>6.5768790088446064E-2</c:v>
                </c:pt>
                <c:pt idx="3">
                  <c:v>9.5752431536953245E-2</c:v>
                </c:pt>
                <c:pt idx="4">
                  <c:v>0.13937796773078118</c:v>
                </c:pt>
              </c:numCache>
            </c:numRef>
          </c:xVal>
          <c:yVal>
            <c:numRef>
              <c:f>Graphs!graph_a_y_range_A</c:f>
              <c:numCache>
                <c:formatCode>0.00</c:formatCode>
                <c:ptCount val="5"/>
                <c:pt idx="0">
                  <c:v>66.964473963000103</c:v>
                </c:pt>
                <c:pt idx="1">
                  <c:v>68.516384771000006</c:v>
                </c:pt>
                <c:pt idx="2">
                  <c:v>69.994671896666702</c:v>
                </c:pt>
                <c:pt idx="3">
                  <c:v>71.155036812333293</c:v>
                </c:pt>
                <c:pt idx="4">
                  <c:v>72.159340115000006</c:v>
                </c:pt>
              </c:numCache>
            </c:numRef>
          </c:yVal>
          <c:smooth val="1"/>
          <c:extLst>
            <c:ext xmlns:c16="http://schemas.microsoft.com/office/drawing/2014/chart" uri="{C3380CC4-5D6E-409C-BE32-E72D297353CC}">
              <c16:uniqueId val="{00000000-F030-487A-95CC-E2C2469E22B0}"/>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030-487A-95CC-E2C2469E22B0}"/>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ExtRec2_master+r21</c:v>
                </c:pt>
              </c:strCache>
            </c:strRef>
          </c:tx>
          <c:spPr>
            <a:ln>
              <a:prstDash val="solid"/>
            </a:ln>
          </c:spPr>
          <c:marker>
            <c:symbol val="none"/>
          </c:marker>
          <c:xVal>
            <c:numRef>
              <c:f>Graphs!graph_b_x_range_A</c:f>
              <c:numCache>
                <c:formatCode>0.00</c:formatCode>
                <c:ptCount val="5"/>
                <c:pt idx="0">
                  <c:v>3.4344589332869629E-2</c:v>
                </c:pt>
                <c:pt idx="1">
                  <c:v>4.6587613414641252E-2</c:v>
                </c:pt>
                <c:pt idx="2">
                  <c:v>6.5768790088446064E-2</c:v>
                </c:pt>
                <c:pt idx="3">
                  <c:v>9.5752431536953245E-2</c:v>
                </c:pt>
                <c:pt idx="4">
                  <c:v>0.13937796773078118</c:v>
                </c:pt>
              </c:numCache>
            </c:numRef>
          </c:xVal>
          <c:yVal>
            <c:numRef>
              <c:f>Graphs!graph_b_y_range_A</c:f>
              <c:numCache>
                <c:formatCode>0.00</c:formatCode>
                <c:ptCount val="5"/>
                <c:pt idx="0">
                  <c:v>68.880025395999994</c:v>
                </c:pt>
                <c:pt idx="1">
                  <c:v>70.865925038666603</c:v>
                </c:pt>
                <c:pt idx="2">
                  <c:v>72.533637693666606</c:v>
                </c:pt>
                <c:pt idx="3">
                  <c:v>73.930877009</c:v>
                </c:pt>
                <c:pt idx="4">
                  <c:v>75.737549455333294</c:v>
                </c:pt>
              </c:numCache>
            </c:numRef>
          </c:yVal>
          <c:smooth val="1"/>
          <c:extLst>
            <c:ext xmlns:c16="http://schemas.microsoft.com/office/drawing/2014/chart" uri="{C3380CC4-5D6E-409C-BE32-E72D297353CC}">
              <c16:uniqueId val="{00000000-F888-4B7B-AC0F-572685A0E10C}"/>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888-4B7B-AC0F-572685A0E10C}"/>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ExtRec2_master+r21</c:v>
                </c:pt>
              </c:strCache>
            </c:strRef>
          </c:tx>
          <c:spPr>
            <a:ln>
              <a:prstDash val="solid"/>
            </a:ln>
          </c:spPr>
          <c:marker>
            <c:symbol val="none"/>
          </c:marker>
          <c:xVal>
            <c:numRef>
              <c:f>Graphs!graph_c_x_range_A</c:f>
              <c:numCache>
                <c:formatCode>0.00</c:formatCode>
                <c:ptCount val="5"/>
                <c:pt idx="0">
                  <c:v>3.6185171498147962E-2</c:v>
                </c:pt>
                <c:pt idx="1">
                  <c:v>7.6348702676749786E-2</c:v>
                </c:pt>
                <c:pt idx="2">
                  <c:v>0.14965158132503464</c:v>
                </c:pt>
                <c:pt idx="3">
                  <c:v>0.28082810627182675</c:v>
                </c:pt>
                <c:pt idx="4">
                  <c:v>0.51576111434751915</c:v>
                </c:pt>
              </c:numCache>
            </c:numRef>
          </c:xVal>
          <c:yVal>
            <c:numRef>
              <c:f>Graphs!graph_c_y_range_A</c:f>
              <c:numCache>
                <c:formatCode>0.00</c:formatCode>
                <c:ptCount val="5"/>
                <c:pt idx="0">
                  <c:v>33.023565996000002</c:v>
                </c:pt>
                <c:pt idx="1">
                  <c:v>35.440105926000001</c:v>
                </c:pt>
                <c:pt idx="2">
                  <c:v>38.015234198333303</c:v>
                </c:pt>
                <c:pt idx="3">
                  <c:v>40.604544036666702</c:v>
                </c:pt>
                <c:pt idx="4">
                  <c:v>43.159937931000002</c:v>
                </c:pt>
              </c:numCache>
            </c:numRef>
          </c:yVal>
          <c:smooth val="1"/>
          <c:extLst>
            <c:ext xmlns:c16="http://schemas.microsoft.com/office/drawing/2014/chart" uri="{C3380CC4-5D6E-409C-BE32-E72D297353CC}">
              <c16:uniqueId val="{00000000-2A09-4273-90B0-BC5A4CC0C2E4}"/>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2A09-4273-90B0-BC5A4CC0C2E4}"/>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ExtRec2_master+r21</c:v>
                </c:pt>
              </c:strCache>
            </c:strRef>
          </c:tx>
          <c:spPr>
            <a:ln>
              <a:prstDash val="solid"/>
            </a:ln>
          </c:spPr>
          <c:marker>
            <c:symbol val="none"/>
          </c:marker>
          <c:xVal>
            <c:numRef>
              <c:f>Graphs!graph_d_x_range_A</c:f>
              <c:numCache>
                <c:formatCode>0.00</c:formatCode>
                <c:ptCount val="5"/>
                <c:pt idx="0">
                  <c:v>3.6185171498147962E-2</c:v>
                </c:pt>
                <c:pt idx="1">
                  <c:v>7.6348702676749786E-2</c:v>
                </c:pt>
                <c:pt idx="2">
                  <c:v>0.14965158132503464</c:v>
                </c:pt>
                <c:pt idx="3">
                  <c:v>0.28082810627182675</c:v>
                </c:pt>
                <c:pt idx="4">
                  <c:v>0.51576111434751915</c:v>
                </c:pt>
              </c:numCache>
            </c:numRef>
          </c:xVal>
          <c:yVal>
            <c:numRef>
              <c:f>Graphs!graph_d_y_range_A</c:f>
              <c:numCache>
                <c:formatCode>0.00</c:formatCode>
                <c:ptCount val="5"/>
                <c:pt idx="0">
                  <c:v>44.416593200000001</c:v>
                </c:pt>
                <c:pt idx="1">
                  <c:v>45.8660802063334</c:v>
                </c:pt>
                <c:pt idx="2">
                  <c:v>47.102195919000003</c:v>
                </c:pt>
                <c:pt idx="3">
                  <c:v>48.858695079999997</c:v>
                </c:pt>
                <c:pt idx="4">
                  <c:v>50.579840055666601</c:v>
                </c:pt>
              </c:numCache>
            </c:numRef>
          </c:yVal>
          <c:smooth val="1"/>
          <c:extLst>
            <c:ext xmlns:c16="http://schemas.microsoft.com/office/drawing/2014/chart" uri="{C3380CC4-5D6E-409C-BE32-E72D297353CC}">
              <c16:uniqueId val="{00000000-9501-400A-98F7-B40F13A7AA48}"/>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9501-400A-98F7-B40F13A7AA4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ExtRec2_master+r21</c:v>
                </c:pt>
              </c:strCache>
            </c:strRef>
          </c:tx>
          <c:spPr>
            <a:ln>
              <a:prstDash val="solid"/>
            </a:ln>
          </c:spPr>
          <c:marker>
            <c:symbol val="none"/>
          </c:marker>
          <c:xVal>
            <c:numRef>
              <c:f>Graphs!graph_e_x_range_A</c:f>
              <c:numCache>
                <c:formatCode>0.00</c:formatCode>
                <c:ptCount val="5"/>
                <c:pt idx="0">
                  <c:v>3.6185171498147962E-2</c:v>
                </c:pt>
                <c:pt idx="1">
                  <c:v>7.6348702676749786E-2</c:v>
                </c:pt>
                <c:pt idx="2">
                  <c:v>0.14965158132503464</c:v>
                </c:pt>
                <c:pt idx="3">
                  <c:v>0.28082810627182675</c:v>
                </c:pt>
                <c:pt idx="4">
                  <c:v>0.51576111434751915</c:v>
                </c:pt>
              </c:numCache>
            </c:numRef>
          </c:xVal>
          <c:yVal>
            <c:numRef>
              <c:f>Graphs!graph_e_y_range_A</c:f>
              <c:numCache>
                <c:formatCode>0.00</c:formatCode>
                <c:ptCount val="5"/>
                <c:pt idx="0">
                  <c:v>44.041254803333302</c:v>
                </c:pt>
                <c:pt idx="1">
                  <c:v>45.498880142333398</c:v>
                </c:pt>
                <c:pt idx="2">
                  <c:v>46.745311268666697</c:v>
                </c:pt>
                <c:pt idx="3">
                  <c:v>48.522001709333402</c:v>
                </c:pt>
                <c:pt idx="4">
                  <c:v>50.286043409333303</c:v>
                </c:pt>
              </c:numCache>
            </c:numRef>
          </c:yVal>
          <c:smooth val="1"/>
          <c:extLst>
            <c:ext xmlns:c16="http://schemas.microsoft.com/office/drawing/2014/chart" uri="{C3380CC4-5D6E-409C-BE32-E72D297353CC}">
              <c16:uniqueId val="{00000000-3C2F-4DAE-8D27-7BACB97C120E}"/>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C2F-4DAE-8D27-7BACB97C120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ExtRec2_master+r21</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48A-4D0D-92E2-9ECB49E6C71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48A-4D0D-92E2-9ECB49E6C71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F24" sqref="F24"/>
    </sheetView>
  </sheetViews>
  <sheetFormatPr defaultRowHeight="15" x14ac:dyDescent="0.25"/>
  <cols>
    <col min="2" max="2" width="16.7109375" customWidth="1"/>
    <col min="3" max="12" width="24.7109375" customWidth="1"/>
  </cols>
  <sheetData>
    <row r="1" spans="2:12" x14ac:dyDescent="0.25">
      <c r="B1" t="s">
        <v>0</v>
      </c>
      <c r="C1" s="57" t="s">
        <v>573</v>
      </c>
      <c r="D1" s="58"/>
      <c r="E1" s="58"/>
    </row>
    <row r="2" spans="2:12" x14ac:dyDescent="0.25">
      <c r="B2" t="s">
        <v>1</v>
      </c>
      <c r="C2" s="59"/>
      <c r="D2" s="58"/>
      <c r="E2" s="58"/>
    </row>
    <row r="4" spans="2:12" s="1" customFormat="1" x14ac:dyDescent="0.25">
      <c r="B4" s="1" t="s">
        <v>2</v>
      </c>
    </row>
    <row r="6" spans="2:12" x14ac:dyDescent="0.25">
      <c r="B6" s="60" t="s">
        <v>3</v>
      </c>
      <c r="C6" s="62" t="s">
        <v>4</v>
      </c>
      <c r="D6" s="63"/>
      <c r="E6" s="63"/>
      <c r="F6" s="63"/>
      <c r="G6" s="63"/>
      <c r="H6" s="63"/>
      <c r="I6" s="63"/>
      <c r="J6" s="63"/>
      <c r="K6" s="63"/>
      <c r="L6" s="63"/>
    </row>
    <row r="7" spans="2:12" x14ac:dyDescent="0.25">
      <c r="B7" s="58"/>
      <c r="C7" s="64" t="s">
        <v>5</v>
      </c>
      <c r="D7" s="58"/>
      <c r="E7" s="65" t="s">
        <v>6</v>
      </c>
      <c r="F7" s="58"/>
      <c r="G7" s="58"/>
      <c r="H7" s="64" t="s">
        <v>7</v>
      </c>
      <c r="I7" s="58"/>
      <c r="J7" s="65" t="s">
        <v>8</v>
      </c>
      <c r="K7" s="58"/>
      <c r="L7" s="58"/>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4" t="e">
        <f>'C2 lossyG,lossyA,intra'!$BJ$40:$BJ$40</f>
        <v>#DIV/0!</v>
      </c>
      <c r="D9" s="4" t="e">
        <f>'C2 lossyG,lossyA,intra'!$BK$40:$BK$40</f>
        <v>#DIV/0!</v>
      </c>
      <c r="E9" s="4" t="e">
        <f>'C2 lossyG,lossyA,intra'!$BL$40:$BL$40</f>
        <v>#DIV/0!</v>
      </c>
      <c r="F9" s="4" t="e">
        <f>'C2 lossyG,lossyA,intra'!$BM$40:$BM$40</f>
        <v>#DIV/0!</v>
      </c>
      <c r="G9" s="4" t="e">
        <f>'C2 lossyG,lossyA,intra'!$BN$40:$BN$40</f>
        <v>#DIV/0!</v>
      </c>
      <c r="H9" s="4" t="e">
        <f>'C2 lossyG,lossyA,intra'!$BP$40:$BP$40</f>
        <v>#DIV/0!</v>
      </c>
      <c r="I9" s="4" t="e">
        <f>'C2 lossyG,lossyA,intra'!$BQ$40:$BQ$40</f>
        <v>#DIV/0!</v>
      </c>
      <c r="J9" s="4" t="e">
        <f>'C2 lossyG,lossyA,intra'!$BR$40:$BR$40</f>
        <v>#DIV/0!</v>
      </c>
      <c r="K9" s="4" t="e">
        <f>'C2 lossyG,lossyA,intra'!$BS$40:$BS$40</f>
        <v>#DIV/0!</v>
      </c>
      <c r="L9" s="4" t="e">
        <f>'C2 lossyG,lossyA,intra'!$BT$40:$BT$40</f>
        <v>#DIV/0!</v>
      </c>
    </row>
    <row r="10" spans="2:12" x14ac:dyDescent="0.25">
      <c r="B10" t="s">
        <v>15</v>
      </c>
      <c r="C10" s="4" t="e">
        <f>'C2 lossyG,lossyA,intra'!$BJ$41:$BJ$41</f>
        <v>#DIV/0!</v>
      </c>
      <c r="D10" s="4" t="e">
        <f>'C2 lossyG,lossyA,intra'!$BK$41:$BK$41</f>
        <v>#DIV/0!</v>
      </c>
      <c r="E10" s="4" t="e">
        <f>'C2 lossyG,lossyA,intra'!$BL$41:$BL$41</f>
        <v>#DIV/0!</v>
      </c>
      <c r="F10" s="4" t="e">
        <f>'C2 lossyG,lossyA,intra'!$BM$41:$BM$41</f>
        <v>#DIV/0!</v>
      </c>
      <c r="G10" s="4" t="e">
        <f>'C2 lossyG,lossyA,intra'!$BN$41:$BN$41</f>
        <v>#DIV/0!</v>
      </c>
      <c r="H10" s="4" t="e">
        <f>'C2 lossyG,lossyA,intra'!$BP$41:$BP$41</f>
        <v>#DIV/0!</v>
      </c>
      <c r="I10" s="4" t="e">
        <f>'C2 lossyG,lossyA,intra'!$BQ$41:$BQ$41</f>
        <v>#DIV/0!</v>
      </c>
      <c r="J10" s="4" t="e">
        <f>'C2 lossyG,lossyA,intra'!$BR$41:$BR$41</f>
        <v>#DIV/0!</v>
      </c>
      <c r="K10" s="4" t="e">
        <f>'C2 lossyG,lossyA,intra'!$BS$41:$BS$41</f>
        <v>#DIV/0!</v>
      </c>
      <c r="L10" s="4" t="e">
        <f>'C2 lossyG,lossyA,intra'!$BT$41:$BT$41</f>
        <v>#DIV/0!</v>
      </c>
    </row>
    <row r="11" spans="2:12" x14ac:dyDescent="0.25">
      <c r="B11" t="s">
        <v>16</v>
      </c>
      <c r="C11" s="4" t="e">
        <f>'C2 lossyG,lossyA,intra'!$BJ$42:$BJ$42</f>
        <v>#DIV/0!</v>
      </c>
      <c r="D11" s="4" t="e">
        <f>'C2 lossyG,lossyA,intra'!$BK$42:$BK$42</f>
        <v>#DIV/0!</v>
      </c>
      <c r="E11" s="4" t="e">
        <f>'C2 lossyG,lossyA,intra'!$BL$42:$BL$42</f>
        <v>#DIV/0!</v>
      </c>
      <c r="F11" s="4" t="e">
        <f>'C2 lossyG,lossyA,intra'!$BM$42:$BM$42</f>
        <v>#DIV/0!</v>
      </c>
      <c r="G11" s="4" t="e">
        <f>'C2 lossyG,lossyA,intra'!$BN$42:$BN$42</f>
        <v>#DIV/0!</v>
      </c>
      <c r="H11" s="4" t="e">
        <f>'C2 lossyG,lossyA,intra'!$BP$42:$BP$42</f>
        <v>#DIV/0!</v>
      </c>
      <c r="I11" s="4" t="e">
        <f>'C2 lossyG,lossyA,intra'!$BQ$42:$BQ$42</f>
        <v>#DIV/0!</v>
      </c>
      <c r="J11" s="4" t="e">
        <f>'C2 lossyG,lossyA,intra'!$BR$42:$BR$42</f>
        <v>#DIV/0!</v>
      </c>
      <c r="K11" s="4" t="e">
        <f>'C2 lossyG,lossyA,intra'!$BS$42:$BS$42</f>
        <v>#DIV/0!</v>
      </c>
      <c r="L11" s="4" t="e">
        <f>'C2 lossyG,lossyA,intra'!$BT$42:$BT$42</f>
        <v>#DIV/0!</v>
      </c>
    </row>
    <row r="12" spans="2:12" x14ac:dyDescent="0.25">
      <c r="B12" s="5" t="s">
        <v>17</v>
      </c>
      <c r="C12" s="6" t="e">
        <f>'C2 lossyG,lossyA,intra'!$BJ$43:$BJ$43</f>
        <v>#DIV/0!</v>
      </c>
      <c r="D12" s="6" t="e">
        <f>'C2 lossyG,lossyA,intra'!$BK$43:$BK$43</f>
        <v>#DIV/0!</v>
      </c>
      <c r="E12" s="6" t="e">
        <f>'C2 lossyG,lossyA,intra'!$BL$43:$BL$43</f>
        <v>#DIV/0!</v>
      </c>
      <c r="F12" s="6" t="e">
        <f>'C2 lossyG,lossyA,intra'!$BM$43:$BM$43</f>
        <v>#DIV/0!</v>
      </c>
      <c r="G12" s="6" t="e">
        <f>'C2 lossyG,lossyA,intra'!$BN$43:$BN$43</f>
        <v>#DIV/0!</v>
      </c>
      <c r="H12" s="6" t="e">
        <f>'C2 lossyG,lossyA,intra'!$BP$43:$BP$43</f>
        <v>#DIV/0!</v>
      </c>
      <c r="I12" s="6" t="e">
        <f>'C2 lossyG,lossyA,intra'!$BQ$43:$BQ$43</f>
        <v>#DIV/0!</v>
      </c>
      <c r="J12" s="6" t="e">
        <f>'C2 lossyG,lossyA,intra'!$BR$43:$BR$43</f>
        <v>#DIV/0!</v>
      </c>
      <c r="K12" s="6" t="e">
        <f>'C2 lossyG,lossyA,intra'!$BS$43:$BS$43</f>
        <v>#DIV/0!</v>
      </c>
      <c r="L12" s="6" t="e">
        <f>'C2 lossyG,lossyA,intra'!$BT$43:$BT$43</f>
        <v>#DIV/0!</v>
      </c>
    </row>
    <row r="13" spans="2:12" x14ac:dyDescent="0.25">
      <c r="B13" t="s">
        <v>18</v>
      </c>
      <c r="C13" s="66" t="e">
        <f>'C2 lossyG,lossyA,intra'!AZ47</f>
        <v>#NUM!</v>
      </c>
      <c r="D13" s="58"/>
      <c r="E13" s="58"/>
      <c r="F13" s="58"/>
      <c r="G13" s="58"/>
      <c r="H13" s="58"/>
      <c r="I13" s="58"/>
      <c r="J13" s="58"/>
      <c r="K13" s="58"/>
      <c r="L13" s="58"/>
    </row>
    <row r="14" spans="2:12" x14ac:dyDescent="0.25">
      <c r="B14" s="8" t="s">
        <v>19</v>
      </c>
      <c r="C14" s="67" t="e">
        <f>'C2 lossyG,lossyA,intra'!BB47</f>
        <v>#NUM!</v>
      </c>
      <c r="D14" s="61"/>
      <c r="E14" s="61"/>
      <c r="F14" s="61"/>
      <c r="G14" s="61"/>
      <c r="H14" s="61"/>
      <c r="I14" s="61"/>
      <c r="J14" s="61"/>
      <c r="K14" s="61"/>
      <c r="L14" s="61"/>
    </row>
    <row r="16" spans="2:12" x14ac:dyDescent="0.25">
      <c r="B16" s="60" t="s">
        <v>20</v>
      </c>
      <c r="C16" s="62" t="s">
        <v>21</v>
      </c>
      <c r="D16" s="63"/>
      <c r="E16" s="63"/>
    </row>
    <row r="17" spans="2:5" x14ac:dyDescent="0.25">
      <c r="B17" s="58"/>
      <c r="C17" s="64" t="s">
        <v>22</v>
      </c>
      <c r="D17" s="58"/>
      <c r="E17" s="58"/>
    </row>
    <row r="18" spans="2:5" x14ac:dyDescent="0.25">
      <c r="B18" s="61"/>
      <c r="C18" s="2" t="s">
        <v>23</v>
      </c>
      <c r="D18" s="2" t="s">
        <v>24</v>
      </c>
      <c r="E18" s="2" t="s">
        <v>25</v>
      </c>
    </row>
    <row r="19" spans="2:5" x14ac:dyDescent="0.25">
      <c r="B19" t="s">
        <v>14</v>
      </c>
      <c r="C19" s="4" t="e">
        <f>'CW losslG,losslA,intra'!BC12</f>
        <v>#DIV/0!</v>
      </c>
      <c r="D19" s="4" t="e">
        <f>'CW losslG,losslA,intra'!BE12</f>
        <v>#DIV/0!</v>
      </c>
      <c r="E19" s="4" t="e">
        <f>'CW losslG,losslA,intra'!BB12</f>
        <v>#DIV/0!</v>
      </c>
    </row>
    <row r="20" spans="2:5" x14ac:dyDescent="0.25">
      <c r="B20" t="s">
        <v>15</v>
      </c>
      <c r="C20" s="4" t="e">
        <f>'CW losslG,losslA,intra'!BC13</f>
        <v>#DIV/0!</v>
      </c>
      <c r="D20" s="4" t="e">
        <f>'CW losslG,losslA,intra'!BE13</f>
        <v>#DIV/0!</v>
      </c>
      <c r="E20" s="4" t="e">
        <f>'CW losslG,losslA,intra'!BB13</f>
        <v>#DIV/0!</v>
      </c>
    </row>
    <row r="21" spans="2:5" x14ac:dyDescent="0.25">
      <c r="B21" t="s">
        <v>16</v>
      </c>
      <c r="C21" s="4" t="e">
        <f>'CW losslG,losslA,intra'!BC14</f>
        <v>#DIV/0!</v>
      </c>
      <c r="D21" s="4" t="e">
        <f>'CW losslG,losslA,intra'!BE14</f>
        <v>#DIV/0!</v>
      </c>
      <c r="E21" s="4" t="e">
        <f>'CW losslG,losslA,intra'!BB14</f>
        <v>#DIV/0!</v>
      </c>
    </row>
    <row r="22" spans="2:5" x14ac:dyDescent="0.25">
      <c r="B22" s="5" t="s">
        <v>17</v>
      </c>
      <c r="C22" s="6" t="e">
        <f>'CW losslG,losslA,intra'!BC15</f>
        <v>#DIV/0!</v>
      </c>
      <c r="D22" s="6" t="e">
        <f>'CW losslG,losslA,intra'!BE15</f>
        <v>#DIV/0!</v>
      </c>
      <c r="E22" s="6" t="e">
        <f>'CW losslG,losslA,intra'!BB15</f>
        <v>#DIV/0!</v>
      </c>
    </row>
    <row r="23" spans="2:5" x14ac:dyDescent="0.25">
      <c r="B23" t="s">
        <v>18</v>
      </c>
      <c r="C23" s="66" t="e">
        <f>'CW losslG,losslA,intra'!AW19</f>
        <v>#NUM!</v>
      </c>
      <c r="D23" s="58"/>
      <c r="E23" s="58"/>
    </row>
    <row r="24" spans="2:5" x14ac:dyDescent="0.25">
      <c r="B24" s="8" t="s">
        <v>19</v>
      </c>
      <c r="C24" s="67" t="e">
        <f>'CW losslG,losslA,intra'!AY19</f>
        <v>#NUM!</v>
      </c>
      <c r="D24" s="61"/>
      <c r="E24" s="61"/>
    </row>
    <row r="26" spans="2:5" s="1" customFormat="1" x14ac:dyDescent="0.25">
      <c r="B26" s="1" t="s">
        <v>26</v>
      </c>
    </row>
    <row r="28" spans="2:5" x14ac:dyDescent="0.25">
      <c r="B28" s="60" t="s">
        <v>27</v>
      </c>
      <c r="C28" s="62" t="s">
        <v>28</v>
      </c>
      <c r="D28" s="63"/>
      <c r="E28" s="63"/>
    </row>
    <row r="29" spans="2:5" x14ac:dyDescent="0.25">
      <c r="B29" s="58"/>
      <c r="C29" s="64" t="s">
        <v>22</v>
      </c>
      <c r="D29" s="58"/>
      <c r="E29" s="58"/>
    </row>
    <row r="30" spans="2:5" x14ac:dyDescent="0.25">
      <c r="B30" s="61"/>
      <c r="C30" s="2" t="s">
        <v>23</v>
      </c>
      <c r="D30" s="2" t="s">
        <v>24</v>
      </c>
      <c r="E30" s="2" t="s">
        <v>25</v>
      </c>
    </row>
    <row r="31" spans="2:5" x14ac:dyDescent="0.25">
      <c r="B31" t="s">
        <v>14</v>
      </c>
      <c r="C31" s="4" t="e">
        <f>'CW losslG,losslA,interLD'!BC12</f>
        <v>#DIV/0!</v>
      </c>
      <c r="D31" s="4" t="e">
        <f>'CW losslG,losslA,interLD'!BE12</f>
        <v>#DIV/0!</v>
      </c>
      <c r="E31" s="4" t="e">
        <f>'CW losslG,losslA,interLD'!BB12</f>
        <v>#DIV/0!</v>
      </c>
    </row>
    <row r="32" spans="2:5" x14ac:dyDescent="0.25">
      <c r="B32" t="s">
        <v>15</v>
      </c>
      <c r="C32" s="4" t="e">
        <f>'CW losslG,losslA,interLD'!BC13</f>
        <v>#DIV/0!</v>
      </c>
      <c r="D32" s="4" t="e">
        <f>'CW losslG,losslA,interLD'!BE13</f>
        <v>#DIV/0!</v>
      </c>
      <c r="E32" s="4" t="e">
        <f>'CW losslG,losslA,interLD'!BB13</f>
        <v>#DIV/0!</v>
      </c>
    </row>
    <row r="33" spans="2:12" x14ac:dyDescent="0.25">
      <c r="B33" t="s">
        <v>16</v>
      </c>
      <c r="C33" s="4" t="e">
        <f>'CW losslG,losslA,interLD'!BC14</f>
        <v>#DIV/0!</v>
      </c>
      <c r="D33" s="4" t="e">
        <f>'CW losslG,losslA,interLD'!BE14</f>
        <v>#DIV/0!</v>
      </c>
      <c r="E33" s="4" t="e">
        <f>'CW losslG,losslA,interLD'!BB14</f>
        <v>#DIV/0!</v>
      </c>
    </row>
    <row r="34" spans="2:12" x14ac:dyDescent="0.25">
      <c r="B34" s="5" t="s">
        <v>17</v>
      </c>
      <c r="C34" s="6" t="e">
        <f>'CW losslG,losslA,interLD'!BC15</f>
        <v>#DIV/0!</v>
      </c>
      <c r="D34" s="6" t="e">
        <f>'CW losslG,losslA,interLD'!BE15</f>
        <v>#DIV/0!</v>
      </c>
      <c r="E34" s="6" t="e">
        <f>'CW losslG,losslA,interLD'!BB15</f>
        <v>#DIV/0!</v>
      </c>
    </row>
    <row r="35" spans="2:12" x14ac:dyDescent="0.25">
      <c r="B35" t="s">
        <v>18</v>
      </c>
      <c r="C35" s="66" t="e">
        <f>'CW losslG,losslA,interLD'!AW19</f>
        <v>#NUM!</v>
      </c>
      <c r="D35" s="58"/>
      <c r="E35" s="58"/>
    </row>
    <row r="36" spans="2:12" x14ac:dyDescent="0.25">
      <c r="B36" s="8" t="s">
        <v>19</v>
      </c>
      <c r="C36" s="67" t="e">
        <f>'CW losslG,losslA,interLD'!AY19</f>
        <v>#NUM!</v>
      </c>
      <c r="D36" s="61"/>
      <c r="E36" s="61"/>
    </row>
    <row r="38" spans="2:12" s="1" customFormat="1" x14ac:dyDescent="0.25">
      <c r="B38" s="1" t="s">
        <v>29</v>
      </c>
    </row>
    <row r="40" spans="2:12" x14ac:dyDescent="0.25">
      <c r="B40" s="60" t="s">
        <v>30</v>
      </c>
      <c r="C40" s="62" t="s">
        <v>31</v>
      </c>
      <c r="D40" s="63"/>
      <c r="E40" s="63"/>
      <c r="F40" s="63"/>
      <c r="G40" s="63"/>
      <c r="H40" s="63"/>
      <c r="I40" s="63"/>
      <c r="J40" s="63"/>
      <c r="K40" s="63"/>
      <c r="L40" s="63"/>
    </row>
    <row r="41" spans="2:12" x14ac:dyDescent="0.25">
      <c r="B41" s="58"/>
      <c r="C41" s="64" t="s">
        <v>5</v>
      </c>
      <c r="D41" s="58"/>
      <c r="E41" s="65" t="s">
        <v>6</v>
      </c>
      <c r="F41" s="58"/>
      <c r="G41" s="58"/>
      <c r="H41" s="64" t="s">
        <v>7</v>
      </c>
      <c r="I41" s="58"/>
      <c r="J41" s="65" t="s">
        <v>8</v>
      </c>
      <c r="K41" s="58"/>
      <c r="L41" s="58"/>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4" t="e">
        <f>'C2 lossyG,lossyA,interRA'!$BJ$40:$BJ$40</f>
        <v>#DIV/0!</v>
      </c>
      <c r="D43" s="4" t="e">
        <f>'C2 lossyG,lossyA,interRA'!$BK$40:$BK$40</f>
        <v>#DIV/0!</v>
      </c>
      <c r="E43" s="4" t="e">
        <f>'C2 lossyG,lossyA,interRA'!$BL$40:$BL$40</f>
        <v>#DIV/0!</v>
      </c>
      <c r="F43" s="4" t="e">
        <f>'C2 lossyG,lossyA,interRA'!$BM$40:$BM$40</f>
        <v>#DIV/0!</v>
      </c>
      <c r="G43" s="4" t="e">
        <f>'C2 lossyG,lossyA,interRA'!$BN$40:$BN$40</f>
        <v>#DIV/0!</v>
      </c>
      <c r="H43" s="4" t="e">
        <f>'C2 lossyG,lossyA,interRA'!$BP$40:$BP$40</f>
        <v>#DIV/0!</v>
      </c>
      <c r="I43" s="4" t="e">
        <f>'C2 lossyG,lossyA,interRA'!$BQ$40:$BQ$40</f>
        <v>#DIV/0!</v>
      </c>
      <c r="J43" s="4" t="e">
        <f>'C2 lossyG,lossyA,interRA'!$BR$40:$BR$40</f>
        <v>#DIV/0!</v>
      </c>
      <c r="K43" s="4" t="e">
        <f>'C2 lossyG,lossyA,interRA'!$BS$40:$BS$40</f>
        <v>#DIV/0!</v>
      </c>
      <c r="L43" s="4" t="e">
        <f>'C2 lossyG,lossyA,interRA'!$BT$40:$BT$40</f>
        <v>#DIV/0!</v>
      </c>
    </row>
    <row r="44" spans="2:12" x14ac:dyDescent="0.25">
      <c r="B44" t="s">
        <v>15</v>
      </c>
      <c r="C44" s="4" t="e">
        <f>'C2 lossyG,lossyA,interRA'!$BJ$41:$BJ$41</f>
        <v>#DIV/0!</v>
      </c>
      <c r="D44" s="4" t="e">
        <f>'C2 lossyG,lossyA,interRA'!$BK$41:$BK$41</f>
        <v>#DIV/0!</v>
      </c>
      <c r="E44" s="4" t="e">
        <f>'C2 lossyG,lossyA,interRA'!$BL$41:$BL$41</f>
        <v>#DIV/0!</v>
      </c>
      <c r="F44" s="4" t="e">
        <f>'C2 lossyG,lossyA,interRA'!$BM$41:$BM$41</f>
        <v>#DIV/0!</v>
      </c>
      <c r="G44" s="4" t="e">
        <f>'C2 lossyG,lossyA,interRA'!$BN$41:$BN$41</f>
        <v>#DIV/0!</v>
      </c>
      <c r="H44" s="4" t="e">
        <f>'C2 lossyG,lossyA,interRA'!$BP$41:$BP$41</f>
        <v>#DIV/0!</v>
      </c>
      <c r="I44" s="4" t="e">
        <f>'C2 lossyG,lossyA,interRA'!$BQ$41:$BQ$41</f>
        <v>#DIV/0!</v>
      </c>
      <c r="J44" s="4" t="e">
        <f>'C2 lossyG,lossyA,interRA'!$BR$41:$BR$41</f>
        <v>#DIV/0!</v>
      </c>
      <c r="K44" s="4" t="e">
        <f>'C2 lossyG,lossyA,interRA'!$BS$41:$BS$41</f>
        <v>#DIV/0!</v>
      </c>
      <c r="L44" s="4" t="e">
        <f>'C2 lossyG,lossyA,interRA'!$BT$41:$BT$41</f>
        <v>#DIV/0!</v>
      </c>
    </row>
    <row r="45" spans="2:12" x14ac:dyDescent="0.25">
      <c r="B45" t="s">
        <v>16</v>
      </c>
      <c r="C45" s="4" t="e">
        <f>'C2 lossyG,lossyA,interRA'!$BJ$42:$BJ$42</f>
        <v>#DIV/0!</v>
      </c>
      <c r="D45" s="4" t="e">
        <f>'C2 lossyG,lossyA,interRA'!$BK$42:$BK$42</f>
        <v>#DIV/0!</v>
      </c>
      <c r="E45" s="4" t="e">
        <f>'C2 lossyG,lossyA,interRA'!$BL$42:$BL$42</f>
        <v>#DIV/0!</v>
      </c>
      <c r="F45" s="4" t="e">
        <f>'C2 lossyG,lossyA,interRA'!$BM$42:$BM$42</f>
        <v>#DIV/0!</v>
      </c>
      <c r="G45" s="4" t="e">
        <f>'C2 lossyG,lossyA,interRA'!$BN$42:$BN$42</f>
        <v>#DIV/0!</v>
      </c>
      <c r="H45" s="4" t="e">
        <f>'C2 lossyG,lossyA,interRA'!$BP$42:$BP$42</f>
        <v>#DIV/0!</v>
      </c>
      <c r="I45" s="4" t="e">
        <f>'C2 lossyG,lossyA,interRA'!$BQ$42:$BQ$42</f>
        <v>#DIV/0!</v>
      </c>
      <c r="J45" s="4" t="e">
        <f>'C2 lossyG,lossyA,interRA'!$BR$42:$BR$42</f>
        <v>#DIV/0!</v>
      </c>
      <c r="K45" s="4" t="e">
        <f>'C2 lossyG,lossyA,interRA'!$BS$42:$BS$42</f>
        <v>#DIV/0!</v>
      </c>
      <c r="L45" s="4" t="e">
        <f>'C2 lossyG,lossyA,interRA'!$BT$42:$BT$42</f>
        <v>#DIV/0!</v>
      </c>
    </row>
    <row r="46" spans="2:12" x14ac:dyDescent="0.25">
      <c r="B46" s="5" t="s">
        <v>17</v>
      </c>
      <c r="C46" s="6" t="e">
        <f>'C2 lossyG,lossyA,interRA'!$BJ$43:$BJ$43</f>
        <v>#DIV/0!</v>
      </c>
      <c r="D46" s="6" t="e">
        <f>'C2 lossyG,lossyA,interRA'!$BK$43:$BK$43</f>
        <v>#DIV/0!</v>
      </c>
      <c r="E46" s="6" t="e">
        <f>'C2 lossyG,lossyA,interRA'!$BL$43:$BL$43</f>
        <v>#DIV/0!</v>
      </c>
      <c r="F46" s="6" t="e">
        <f>'C2 lossyG,lossyA,interRA'!$BM$43:$BM$43</f>
        <v>#DIV/0!</v>
      </c>
      <c r="G46" s="6" t="e">
        <f>'C2 lossyG,lossyA,interRA'!$BN$43:$BN$43</f>
        <v>#DIV/0!</v>
      </c>
      <c r="H46" s="6" t="e">
        <f>'C2 lossyG,lossyA,interRA'!$BP$43:$BP$43</f>
        <v>#DIV/0!</v>
      </c>
      <c r="I46" s="6" t="e">
        <f>'C2 lossyG,lossyA,interRA'!$BQ$43:$BQ$43</f>
        <v>#DIV/0!</v>
      </c>
      <c r="J46" s="6" t="e">
        <f>'C2 lossyG,lossyA,interRA'!$BR$43:$BR$43</f>
        <v>#DIV/0!</v>
      </c>
      <c r="K46" s="6" t="e">
        <f>'C2 lossyG,lossyA,interRA'!$BS$43:$BS$43</f>
        <v>#DIV/0!</v>
      </c>
      <c r="L46" s="6" t="e">
        <f>'C2 lossyG,lossyA,interRA'!$BT$43:$BT$43</f>
        <v>#DIV/0!</v>
      </c>
    </row>
    <row r="47" spans="2:12" x14ac:dyDescent="0.25">
      <c r="B47" t="s">
        <v>18</v>
      </c>
      <c r="C47" s="66" t="e">
        <f>'C2 lossyG,lossyA,interRA'!AZ47</f>
        <v>#NUM!</v>
      </c>
      <c r="D47" s="58"/>
      <c r="E47" s="58"/>
      <c r="F47" s="58"/>
      <c r="G47" s="58"/>
      <c r="H47" s="58"/>
      <c r="I47" s="58"/>
      <c r="J47" s="58"/>
      <c r="K47" s="58"/>
      <c r="L47" s="58"/>
    </row>
    <row r="48" spans="2:12" x14ac:dyDescent="0.25">
      <c r="B48" s="8" t="s">
        <v>19</v>
      </c>
      <c r="C48" s="67" t="e">
        <f>'C2 lossyG,lossyA,interRA'!BB47</f>
        <v>#NUM!</v>
      </c>
      <c r="D48" s="61"/>
      <c r="E48" s="61"/>
      <c r="F48" s="61"/>
      <c r="G48" s="61"/>
      <c r="H48" s="61"/>
      <c r="I48" s="61"/>
      <c r="J48" s="61"/>
      <c r="K48" s="61"/>
      <c r="L48" s="61"/>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32</v>
      </c>
      <c r="B1" s="9" t="str">
        <f>M1</f>
        <v>C2 lossyG,lossyA,intra</v>
      </c>
      <c r="C1" t="s">
        <v>33</v>
      </c>
      <c r="I1" t="s">
        <v>34</v>
      </c>
      <c r="M1" t="s">
        <v>35</v>
      </c>
      <c r="N1" t="s">
        <v>36</v>
      </c>
      <c r="O1" t="s">
        <v>37</v>
      </c>
      <c r="P1" t="s">
        <v>38</v>
      </c>
    </row>
    <row r="2" spans="1:16" x14ac:dyDescent="0.25">
      <c r="A2" t="s">
        <v>39</v>
      </c>
      <c r="B2" s="9"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9" t="s">
        <v>51</v>
      </c>
      <c r="C4" t="s">
        <v>52</v>
      </c>
      <c r="D4" s="9" t="s">
        <v>53</v>
      </c>
      <c r="E4" t="s">
        <v>54</v>
      </c>
      <c r="I4" t="s">
        <v>55</v>
      </c>
      <c r="J4" t="s">
        <v>56</v>
      </c>
      <c r="M4" t="s">
        <v>57</v>
      </c>
      <c r="N4" t="s">
        <v>57</v>
      </c>
      <c r="O4" t="s">
        <v>57</v>
      </c>
      <c r="P4" t="s">
        <v>57</v>
      </c>
    </row>
    <row r="5" spans="1:16" x14ac:dyDescent="0.25">
      <c r="A5" t="s">
        <v>50</v>
      </c>
      <c r="B5" s="9" t="s">
        <v>51</v>
      </c>
      <c r="C5" t="s">
        <v>52</v>
      </c>
      <c r="D5" s="9" t="s">
        <v>58</v>
      </c>
      <c r="E5" t="s">
        <v>59</v>
      </c>
      <c r="I5" t="s">
        <v>60</v>
      </c>
      <c r="J5" t="s">
        <v>61</v>
      </c>
      <c r="M5" t="s">
        <v>62</v>
      </c>
      <c r="N5" t="s">
        <v>62</v>
      </c>
      <c r="O5" t="s">
        <v>62</v>
      </c>
      <c r="P5" t="s">
        <v>62</v>
      </c>
    </row>
    <row r="6" spans="1:16" x14ac:dyDescent="0.25">
      <c r="A6" t="s">
        <v>50</v>
      </c>
      <c r="B6" s="9" t="s">
        <v>63</v>
      </c>
      <c r="C6" t="s">
        <v>52</v>
      </c>
      <c r="D6" s="9" t="s">
        <v>64</v>
      </c>
      <c r="E6" t="s">
        <v>65</v>
      </c>
      <c r="I6" t="s">
        <v>66</v>
      </c>
      <c r="J6" t="s">
        <v>67</v>
      </c>
      <c r="M6" t="s">
        <v>68</v>
      </c>
      <c r="N6" t="s">
        <v>68</v>
      </c>
      <c r="O6" t="s">
        <v>68</v>
      </c>
      <c r="P6" t="s">
        <v>68</v>
      </c>
    </row>
    <row r="7" spans="1:16" x14ac:dyDescent="0.25">
      <c r="A7" t="s">
        <v>50</v>
      </c>
      <c r="B7" s="9" t="s">
        <v>63</v>
      </c>
      <c r="C7" t="s">
        <v>52</v>
      </c>
      <c r="D7" s="9" t="s">
        <v>47</v>
      </c>
      <c r="E7" t="s">
        <v>69</v>
      </c>
      <c r="I7" t="s">
        <v>53</v>
      </c>
      <c r="J7" t="s">
        <v>70</v>
      </c>
      <c r="M7" t="s">
        <v>71</v>
      </c>
      <c r="N7" t="s">
        <v>71</v>
      </c>
      <c r="O7" t="s">
        <v>71</v>
      </c>
      <c r="P7" t="s">
        <v>71</v>
      </c>
    </row>
    <row r="8" spans="1:16" x14ac:dyDescent="0.25">
      <c r="A8" t="s">
        <v>50</v>
      </c>
      <c r="B8" s="9" t="s">
        <v>63</v>
      </c>
      <c r="C8" t="s">
        <v>52</v>
      </c>
      <c r="D8" s="9" t="s">
        <v>60</v>
      </c>
      <c r="E8" t="s">
        <v>72</v>
      </c>
      <c r="I8" t="s">
        <v>73</v>
      </c>
      <c r="J8" t="s">
        <v>74</v>
      </c>
      <c r="M8" t="s">
        <v>75</v>
      </c>
      <c r="N8" t="s">
        <v>75</v>
      </c>
      <c r="O8" t="s">
        <v>75</v>
      </c>
      <c r="P8" t="s">
        <v>75</v>
      </c>
    </row>
    <row r="9" spans="1:16" x14ac:dyDescent="0.25">
      <c r="A9" t="s">
        <v>50</v>
      </c>
      <c r="B9" s="9" t="s">
        <v>76</v>
      </c>
      <c r="C9" t="s">
        <v>52</v>
      </c>
      <c r="D9" s="9"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tabSelected="1" zoomScale="55" zoomScaleNormal="55" workbookViewId="0">
      <pane xSplit="2" ySplit="4" topLeftCell="C5" activePane="bottomRight" state="frozen"/>
      <selection pane="topRight" activeCell="C1" sqref="C1"/>
      <selection pane="bottomLeft" activeCell="A5" sqref="A5"/>
      <selection pane="bottomRight" activeCell="G52" sqref="G52"/>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2" t="s">
        <v>136</v>
      </c>
      <c r="B1" s="58"/>
      <c r="C1" s="58"/>
      <c r="D1" s="58"/>
      <c r="E1" s="58"/>
      <c r="F1" s="58"/>
      <c r="G1" s="58"/>
      <c r="I1" s="57" t="str">
        <f>Summary!$C$1</f>
        <v>ExtRec2_master+r21</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x14ac:dyDescent="0.25">
      <c r="A3" s="61"/>
      <c r="B3" s="61"/>
      <c r="C3" s="61"/>
      <c r="D3" s="61"/>
      <c r="E3" s="61"/>
      <c r="F3" s="61"/>
      <c r="G3" s="61"/>
      <c r="I3" s="61"/>
      <c r="J3" s="10" t="s">
        <v>25</v>
      </c>
      <c r="K3" s="10" t="s">
        <v>23</v>
      </c>
      <c r="L3" s="10" t="s">
        <v>157</v>
      </c>
      <c r="M3" s="10" t="s">
        <v>158</v>
      </c>
      <c r="N3" s="61"/>
      <c r="O3" s="61"/>
      <c r="P3" s="61"/>
      <c r="Q3" s="61"/>
      <c r="R3" s="61"/>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1"/>
      <c r="AH3" s="11" t="s">
        <v>25</v>
      </c>
      <c r="AI3" s="11" t="s">
        <v>23</v>
      </c>
      <c r="AJ3" s="11" t="s">
        <v>157</v>
      </c>
      <c r="AK3" s="11" t="s">
        <v>158</v>
      </c>
      <c r="AL3" s="61"/>
      <c r="AM3" s="61"/>
      <c r="AN3" s="61"/>
      <c r="AO3" s="61"/>
      <c r="AP3" s="61"/>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1"/>
      <c r="BF3" s="61"/>
      <c r="BG3" s="61"/>
      <c r="BH3" s="61"/>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300</v>
      </c>
      <c r="G5" s="15">
        <v>30</v>
      </c>
      <c r="I5" s="16">
        <f t="shared" ref="I5:I39" si="0">IF(OR(ISBLANK(S5),ISBLANK(G5)),"·",S5*G5/F5/1000000)</f>
        <v>2.1865792000000002</v>
      </c>
      <c r="J5" s="17">
        <f t="shared" ref="J5:J39" si="1">IF(ISBLANK(S5),"·",S5/D5)</f>
        <v>9.1816600319590824E-2</v>
      </c>
      <c r="K5" s="17">
        <f t="shared" ref="K5:K39" si="2">IF(N5="","·",N5/D5)</f>
        <v>5.5631428821442855E-2</v>
      </c>
      <c r="L5" s="17">
        <f t="shared" ref="L5:L39" si="3">IF(T5="","·",T5/D5)</f>
        <v>3.4344589332869629E-2</v>
      </c>
      <c r="M5" s="17">
        <f t="shared" ref="M5:M39" si="4">IF(ISBLANK(V5),"·",V5/D5)</f>
        <v>3.6185171498147962E-2</v>
      </c>
      <c r="N5" s="14">
        <f t="shared" ref="N5:N39" si="5">IF(OR(ISBLANK(T5),ISBLANK(U5)),"",T5+U5)</f>
        <v>13248424</v>
      </c>
      <c r="O5" s="17">
        <v>32</v>
      </c>
      <c r="P5" s="18">
        <v>234105841</v>
      </c>
      <c r="Q5" s="18">
        <v>780352.80333333299</v>
      </c>
      <c r="R5" s="18">
        <v>23865.2633333333</v>
      </c>
      <c r="S5" s="19">
        <v>21865792</v>
      </c>
      <c r="T5" s="19">
        <v>8179040</v>
      </c>
      <c r="U5" s="19">
        <v>5069384</v>
      </c>
      <c r="V5" s="19">
        <v>8617368</v>
      </c>
      <c r="W5" s="20">
        <v>66.964473963000103</v>
      </c>
      <c r="X5" s="20">
        <v>68.880025395999994</v>
      </c>
      <c r="Y5" s="20">
        <v>33.023565996000002</v>
      </c>
      <c r="Z5" s="20">
        <v>44.416593200000001</v>
      </c>
      <c r="AA5" s="20">
        <v>44.041254803333302</v>
      </c>
      <c r="AB5" s="21">
        <v>28707.578000000001</v>
      </c>
      <c r="AC5" s="21">
        <v>0</v>
      </c>
      <c r="AD5" s="21">
        <v>476.512</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300</v>
      </c>
      <c r="G6" s="25">
        <v>30</v>
      </c>
      <c r="I6" s="26">
        <f t="shared" si="0"/>
        <v>3.4346223999999999</v>
      </c>
      <c r="J6" s="27">
        <f t="shared" si="1"/>
        <v>0.14422315557996426</v>
      </c>
      <c r="K6" s="27">
        <f t="shared" si="2"/>
        <v>6.7874452903214477E-2</v>
      </c>
      <c r="L6" s="27">
        <f t="shared" si="3"/>
        <v>4.6587613414641252E-2</v>
      </c>
      <c r="M6" s="27">
        <f t="shared" si="4"/>
        <v>7.6348702676749786E-2</v>
      </c>
      <c r="N6" s="24">
        <f t="shared" si="5"/>
        <v>16164056</v>
      </c>
      <c r="O6" s="27">
        <v>32</v>
      </c>
      <c r="P6" s="28">
        <v>236186540</v>
      </c>
      <c r="Q6" s="28">
        <v>787288.46666666702</v>
      </c>
      <c r="R6" s="28">
        <v>27036.106666666699</v>
      </c>
      <c r="S6" s="29">
        <v>34346224</v>
      </c>
      <c r="T6" s="29">
        <v>11094672</v>
      </c>
      <c r="U6" s="29">
        <v>5069384</v>
      </c>
      <c r="V6" s="29">
        <v>18182168</v>
      </c>
      <c r="W6" s="30">
        <v>68.516384771000006</v>
      </c>
      <c r="X6" s="30">
        <v>70.865925038666603</v>
      </c>
      <c r="Y6" s="30">
        <v>35.440105926000001</v>
      </c>
      <c r="Z6" s="30">
        <v>45.8660802063334</v>
      </c>
      <c r="AA6" s="30">
        <v>45.498880142333398</v>
      </c>
      <c r="AB6" s="31">
        <v>39124.711000000003</v>
      </c>
      <c r="AC6" s="31">
        <v>0</v>
      </c>
      <c r="AD6" s="31">
        <v>476.822</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300</v>
      </c>
      <c r="G7" s="15">
        <v>30</v>
      </c>
      <c r="I7" s="16">
        <f t="shared" si="0"/>
        <v>5.6370968000000001</v>
      </c>
      <c r="J7" s="17">
        <f t="shared" si="1"/>
        <v>0.23670721090205393</v>
      </c>
      <c r="K7" s="17">
        <f t="shared" si="2"/>
        <v>8.7055629577019289E-2</v>
      </c>
      <c r="L7" s="17">
        <f t="shared" si="3"/>
        <v>6.5768790088446064E-2</v>
      </c>
      <c r="M7" s="17">
        <f t="shared" si="4"/>
        <v>0.14965158132503464</v>
      </c>
      <c r="N7" s="14">
        <f t="shared" si="5"/>
        <v>20731984</v>
      </c>
      <c r="O7" s="17">
        <v>32</v>
      </c>
      <c r="P7" s="18">
        <v>242687548</v>
      </c>
      <c r="Q7" s="18">
        <v>808958.49333333306</v>
      </c>
      <c r="R7" s="18">
        <v>30346.84</v>
      </c>
      <c r="S7" s="19">
        <v>56370968</v>
      </c>
      <c r="T7" s="19">
        <v>15662600</v>
      </c>
      <c r="U7" s="19">
        <v>5069384</v>
      </c>
      <c r="V7" s="19">
        <v>35638984</v>
      </c>
      <c r="W7" s="20">
        <v>69.994671896666702</v>
      </c>
      <c r="X7" s="20">
        <v>72.533637693666606</v>
      </c>
      <c r="Y7" s="20">
        <v>38.015234198333303</v>
      </c>
      <c r="Z7" s="20">
        <v>47.102195919000003</v>
      </c>
      <c r="AA7" s="20">
        <v>46.745311268666697</v>
      </c>
      <c r="AB7" s="21">
        <v>56056.913</v>
      </c>
      <c r="AC7" s="21">
        <v>0</v>
      </c>
      <c r="AD7" s="21">
        <v>486.06299999999999</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300</v>
      </c>
      <c r="G8" s="25">
        <v>30</v>
      </c>
      <c r="I8" s="26">
        <f t="shared" si="0"/>
        <v>9.4750680000000003</v>
      </c>
      <c r="J8" s="27">
        <f t="shared" si="1"/>
        <v>0.39786737729735322</v>
      </c>
      <c r="K8" s="27">
        <f t="shared" si="2"/>
        <v>0.11703927102552648</v>
      </c>
      <c r="L8" s="27">
        <f t="shared" si="3"/>
        <v>9.5752431536953245E-2</v>
      </c>
      <c r="M8" s="27">
        <f t="shared" si="4"/>
        <v>0.28082810627182675</v>
      </c>
      <c r="N8" s="24">
        <f t="shared" si="5"/>
        <v>27872480</v>
      </c>
      <c r="O8" s="27">
        <v>32</v>
      </c>
      <c r="P8" s="28">
        <v>245292703</v>
      </c>
      <c r="Q8" s="28">
        <v>817642.34333333303</v>
      </c>
      <c r="R8" s="28">
        <v>32551.133333333299</v>
      </c>
      <c r="S8" s="29">
        <v>94750680</v>
      </c>
      <c r="T8" s="29">
        <v>22803096</v>
      </c>
      <c r="U8" s="29">
        <v>5069384</v>
      </c>
      <c r="V8" s="29">
        <v>66878200</v>
      </c>
      <c r="W8" s="30">
        <v>71.155036812333293</v>
      </c>
      <c r="X8" s="30">
        <v>73.930877009</v>
      </c>
      <c r="Y8" s="30">
        <v>40.604544036666702</v>
      </c>
      <c r="Z8" s="30">
        <v>48.858695079999997</v>
      </c>
      <c r="AA8" s="30">
        <v>48.522001709333402</v>
      </c>
      <c r="AB8" s="31">
        <v>78329.634999999995</v>
      </c>
      <c r="AC8" s="31">
        <v>0</v>
      </c>
      <c r="AD8" s="31">
        <v>497.267</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300</v>
      </c>
      <c r="G9" s="35">
        <v>30</v>
      </c>
      <c r="I9" s="36">
        <f t="shared" si="0"/>
        <v>16.5376032</v>
      </c>
      <c r="J9" s="37">
        <f t="shared" si="1"/>
        <v>0.69443014150065374</v>
      </c>
      <c r="K9" s="37">
        <f t="shared" si="2"/>
        <v>0.17866902715313457</v>
      </c>
      <c r="L9" s="37">
        <f t="shared" si="3"/>
        <v>0.13937796773078118</v>
      </c>
      <c r="M9" s="37">
        <f t="shared" si="4"/>
        <v>0.51576111434751915</v>
      </c>
      <c r="N9" s="34">
        <f t="shared" si="5"/>
        <v>42549384</v>
      </c>
      <c r="O9" s="37">
        <v>32</v>
      </c>
      <c r="P9" s="38">
        <v>243017754</v>
      </c>
      <c r="Q9" s="38">
        <v>810059.18</v>
      </c>
      <c r="R9" s="38">
        <v>30850.8533333333</v>
      </c>
      <c r="S9" s="39">
        <v>165376032</v>
      </c>
      <c r="T9" s="39">
        <v>33192360</v>
      </c>
      <c r="U9" s="39">
        <v>9357024</v>
      </c>
      <c r="V9" s="39">
        <v>122826648</v>
      </c>
      <c r="W9" s="40">
        <v>72.159340115000006</v>
      </c>
      <c r="X9" s="40">
        <v>75.737549455333294</v>
      </c>
      <c r="Y9" s="40">
        <v>43.159937931000002</v>
      </c>
      <c r="Z9" s="40">
        <v>50.579840055666601</v>
      </c>
      <c r="AA9" s="40">
        <v>50.286043409333303</v>
      </c>
      <c r="AB9" s="41">
        <v>116894.13</v>
      </c>
      <c r="AC9" s="41">
        <v>0</v>
      </c>
      <c r="AD9" s="41">
        <v>500.666</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300</v>
      </c>
      <c r="G10" s="25">
        <v>30</v>
      </c>
      <c r="I10" s="26">
        <f t="shared" si="0"/>
        <v>3.0149935999999999</v>
      </c>
      <c r="J10" s="27">
        <f t="shared" si="1"/>
        <v>0.13822558373292226</v>
      </c>
      <c r="K10" s="27">
        <f t="shared" si="2"/>
        <v>7.8558657757872116E-2</v>
      </c>
      <c r="L10" s="27">
        <f t="shared" si="3"/>
        <v>4.4516232857320703E-2</v>
      </c>
      <c r="M10" s="27">
        <f t="shared" si="4"/>
        <v>5.9666925975050154E-2</v>
      </c>
      <c r="N10" s="24">
        <f t="shared" si="5"/>
        <v>17135312</v>
      </c>
      <c r="O10" s="27">
        <v>32</v>
      </c>
      <c r="P10" s="28">
        <v>222463578</v>
      </c>
      <c r="Q10" s="28">
        <v>741545.26</v>
      </c>
      <c r="R10" s="28">
        <v>33873.633333333302</v>
      </c>
      <c r="S10" s="29">
        <v>30149936</v>
      </c>
      <c r="T10" s="29">
        <v>9709936</v>
      </c>
      <c r="U10" s="29">
        <v>7425376</v>
      </c>
      <c r="V10" s="29">
        <v>13014624</v>
      </c>
      <c r="W10" s="30">
        <v>66.349467133000005</v>
      </c>
      <c r="X10" s="30">
        <v>68.246965693666695</v>
      </c>
      <c r="Y10" s="30">
        <v>32.826708691666703</v>
      </c>
      <c r="Z10" s="30">
        <v>39.231063044666698</v>
      </c>
      <c r="AA10" s="30">
        <v>31.260499747333299</v>
      </c>
      <c r="AB10" s="31">
        <v>33999.087</v>
      </c>
      <c r="AC10" s="31">
        <v>0</v>
      </c>
      <c r="AD10" s="31">
        <v>458.93400000000003</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300</v>
      </c>
      <c r="G11" s="15">
        <v>30</v>
      </c>
      <c r="I11" s="16">
        <f t="shared" si="0"/>
        <v>4.3622719999999999</v>
      </c>
      <c r="J11" s="17">
        <f t="shared" si="1"/>
        <v>0.19999299288787289</v>
      </c>
      <c r="K11" s="17">
        <f t="shared" si="2"/>
        <v>9.6390245201336239E-2</v>
      </c>
      <c r="L11" s="17">
        <f t="shared" si="3"/>
        <v>6.2347820300784826E-2</v>
      </c>
      <c r="M11" s="17">
        <f t="shared" si="4"/>
        <v>0.10360274768653664</v>
      </c>
      <c r="N11" s="14">
        <f t="shared" si="5"/>
        <v>21024760</v>
      </c>
      <c r="O11" s="17">
        <v>32</v>
      </c>
      <c r="P11" s="18">
        <v>222600152</v>
      </c>
      <c r="Q11" s="18">
        <v>742000.50666666694</v>
      </c>
      <c r="R11" s="18">
        <v>38074.19</v>
      </c>
      <c r="S11" s="19">
        <v>43622720</v>
      </c>
      <c r="T11" s="19">
        <v>13599384</v>
      </c>
      <c r="U11" s="19">
        <v>7425376</v>
      </c>
      <c r="V11" s="19">
        <v>22597960</v>
      </c>
      <c r="W11" s="20">
        <v>67.851424994666701</v>
      </c>
      <c r="X11" s="20">
        <v>70.089066527666603</v>
      </c>
      <c r="Y11" s="20">
        <v>34.724952127333303</v>
      </c>
      <c r="Z11" s="20">
        <v>40.183295358666697</v>
      </c>
      <c r="AA11" s="20">
        <v>33.084843511666698</v>
      </c>
      <c r="AB11" s="21">
        <v>46857.627999999997</v>
      </c>
      <c r="AC11" s="21">
        <v>0</v>
      </c>
      <c r="AD11" s="21">
        <v>467.26100000000002</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300</v>
      </c>
      <c r="G12" s="25">
        <v>30</v>
      </c>
      <c r="I12" s="26">
        <f t="shared" si="0"/>
        <v>6.9140248</v>
      </c>
      <c r="J12" s="27">
        <f t="shared" si="1"/>
        <v>0.31698081014961393</v>
      </c>
      <c r="K12" s="27">
        <f t="shared" si="2"/>
        <v>0.1256628458038947</v>
      </c>
      <c r="L12" s="27">
        <f t="shared" si="3"/>
        <v>9.1620420903343283E-2</v>
      </c>
      <c r="M12" s="27">
        <f t="shared" si="4"/>
        <v>0.19131796434571924</v>
      </c>
      <c r="N12" s="24">
        <f t="shared" si="5"/>
        <v>27409736</v>
      </c>
      <c r="O12" s="27">
        <v>32</v>
      </c>
      <c r="P12" s="28">
        <v>226686472</v>
      </c>
      <c r="Q12" s="28">
        <v>755621.57333333301</v>
      </c>
      <c r="R12" s="28">
        <v>41870.800000000003</v>
      </c>
      <c r="S12" s="29">
        <v>69140248</v>
      </c>
      <c r="T12" s="29">
        <v>19984360</v>
      </c>
      <c r="U12" s="29">
        <v>7425376</v>
      </c>
      <c r="V12" s="29">
        <v>41730512</v>
      </c>
      <c r="W12" s="30">
        <v>69.230623976666706</v>
      </c>
      <c r="X12" s="30">
        <v>71.665174293666595</v>
      </c>
      <c r="Y12" s="30">
        <v>36.899406463666701</v>
      </c>
      <c r="Z12" s="30">
        <v>41.064942567000003</v>
      </c>
      <c r="AA12" s="30">
        <v>34.9742791106667</v>
      </c>
      <c r="AB12" s="31">
        <v>68833.544999999998</v>
      </c>
      <c r="AC12" s="31">
        <v>0</v>
      </c>
      <c r="AD12" s="31">
        <v>473.23099999999999</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300</v>
      </c>
      <c r="G13" s="15">
        <v>30</v>
      </c>
      <c r="I13" s="16">
        <f t="shared" si="0"/>
        <v>12.059571999999999</v>
      </c>
      <c r="J13" s="17">
        <f t="shared" si="1"/>
        <v>0.55288388647631115</v>
      </c>
      <c r="K13" s="17">
        <f t="shared" si="2"/>
        <v>0.17244105001015902</v>
      </c>
      <c r="L13" s="17">
        <f t="shared" si="3"/>
        <v>0.13839862510960763</v>
      </c>
      <c r="M13" s="17">
        <f t="shared" si="4"/>
        <v>0.38044283646615218</v>
      </c>
      <c r="N13" s="14">
        <f t="shared" si="5"/>
        <v>37613056</v>
      </c>
      <c r="O13" s="17">
        <v>32</v>
      </c>
      <c r="P13" s="18">
        <v>228881948</v>
      </c>
      <c r="Q13" s="18">
        <v>762939.82666666701</v>
      </c>
      <c r="R13" s="18">
        <v>44535.606666666703</v>
      </c>
      <c r="S13" s="19">
        <v>120595720</v>
      </c>
      <c r="T13" s="19">
        <v>30187680</v>
      </c>
      <c r="U13" s="19">
        <v>7425376</v>
      </c>
      <c r="V13" s="19">
        <v>82982664</v>
      </c>
      <c r="W13" s="20">
        <v>70.264278999666601</v>
      </c>
      <c r="X13" s="20">
        <v>72.929353022000001</v>
      </c>
      <c r="Y13" s="20">
        <v>39.195880629000001</v>
      </c>
      <c r="Z13" s="20">
        <v>42.334240174000101</v>
      </c>
      <c r="AA13" s="20">
        <v>37.314512686333302</v>
      </c>
      <c r="AB13" s="21">
        <v>98948.442999999999</v>
      </c>
      <c r="AC13" s="21">
        <v>0</v>
      </c>
      <c r="AD13" s="21">
        <v>484.71800000000002</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300</v>
      </c>
      <c r="G14" s="45">
        <v>30</v>
      </c>
      <c r="I14" s="46">
        <f t="shared" si="0"/>
        <v>22.078374399999998</v>
      </c>
      <c r="J14" s="47">
        <f t="shared" si="1"/>
        <v>1.012206523195939</v>
      </c>
      <c r="K14" s="47">
        <f t="shared" si="2"/>
        <v>0.26926782307612201</v>
      </c>
      <c r="L14" s="47">
        <f t="shared" si="3"/>
        <v>0.20855267273785283</v>
      </c>
      <c r="M14" s="47">
        <f t="shared" si="4"/>
        <v>0.74293870011981689</v>
      </c>
      <c r="N14" s="44">
        <f t="shared" si="5"/>
        <v>58733032</v>
      </c>
      <c r="O14" s="47">
        <v>32</v>
      </c>
      <c r="P14" s="48">
        <v>224271077</v>
      </c>
      <c r="Q14" s="48">
        <v>747570.25666666694</v>
      </c>
      <c r="R14" s="48">
        <v>41917.61</v>
      </c>
      <c r="S14" s="49">
        <v>220783744</v>
      </c>
      <c r="T14" s="49">
        <v>45489768</v>
      </c>
      <c r="U14" s="49">
        <v>13243264</v>
      </c>
      <c r="V14" s="49">
        <v>162050712</v>
      </c>
      <c r="W14" s="50">
        <v>71.362037494333293</v>
      </c>
      <c r="X14" s="50">
        <v>75.181325646666707</v>
      </c>
      <c r="Y14" s="50">
        <v>41.512159234999999</v>
      </c>
      <c r="Z14" s="50">
        <v>43.681895855666603</v>
      </c>
      <c r="AA14" s="50">
        <v>39.326698095333299</v>
      </c>
      <c r="AB14" s="51">
        <v>146548.59400000001</v>
      </c>
      <c r="AC14" s="51">
        <v>0</v>
      </c>
      <c r="AD14" s="51">
        <v>492.20699999999999</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300</v>
      </c>
      <c r="G15" s="15">
        <v>30</v>
      </c>
      <c r="I15" s="16">
        <f t="shared" si="0"/>
        <v>4.3953527999999995</v>
      </c>
      <c r="J15" s="17">
        <f t="shared" si="1"/>
        <v>0.13625211051373171</v>
      </c>
      <c r="K15" s="17">
        <f t="shared" si="2"/>
        <v>7.0164322417432146E-2</v>
      </c>
      <c r="L15" s="17">
        <f t="shared" si="3"/>
        <v>4.0680232001452842E-2</v>
      </c>
      <c r="M15" s="17">
        <f t="shared" si="4"/>
        <v>6.608778809629956E-2</v>
      </c>
      <c r="N15" s="14">
        <f t="shared" si="5"/>
        <v>22634288</v>
      </c>
      <c r="O15" s="17">
        <v>32</v>
      </c>
      <c r="P15" s="18">
        <v>315672835</v>
      </c>
      <c r="Q15" s="18">
        <v>1052242.7833333299</v>
      </c>
      <c r="R15" s="18">
        <v>28310.98</v>
      </c>
      <c r="S15" s="19">
        <v>43953528</v>
      </c>
      <c r="T15" s="19">
        <v>13123024</v>
      </c>
      <c r="U15" s="19">
        <v>9511264</v>
      </c>
      <c r="V15" s="19">
        <v>21319240</v>
      </c>
      <c r="W15" s="20">
        <v>66.365250771333294</v>
      </c>
      <c r="X15" s="20">
        <v>68.258223763666706</v>
      </c>
      <c r="Y15" s="20">
        <v>30.3567555513334</v>
      </c>
      <c r="Z15" s="20">
        <v>43.593150897999998</v>
      </c>
      <c r="AA15" s="20">
        <v>43.829420358666702</v>
      </c>
      <c r="AB15" s="21">
        <v>45354.940999999999</v>
      </c>
      <c r="AC15" s="21">
        <v>0</v>
      </c>
      <c r="AD15" s="21">
        <v>595.18100000000004</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300</v>
      </c>
      <c r="G16" s="25">
        <v>30</v>
      </c>
      <c r="I16" s="26">
        <f t="shared" si="0"/>
        <v>7.0785624</v>
      </c>
      <c r="J16" s="27">
        <f t="shared" si="1"/>
        <v>0.21942927229940357</v>
      </c>
      <c r="K16" s="27">
        <f t="shared" si="2"/>
        <v>8.6117168823218238E-2</v>
      </c>
      <c r="L16" s="27">
        <f t="shared" si="3"/>
        <v>5.6633078407238933E-2</v>
      </c>
      <c r="M16" s="27">
        <f t="shared" si="4"/>
        <v>0.13331210347618533</v>
      </c>
      <c r="N16" s="24">
        <f t="shared" si="5"/>
        <v>27780512</v>
      </c>
      <c r="O16" s="27">
        <v>32</v>
      </c>
      <c r="P16" s="28">
        <v>313439406</v>
      </c>
      <c r="Q16" s="28">
        <v>1044798.02</v>
      </c>
      <c r="R16" s="28">
        <v>30980.6033333333</v>
      </c>
      <c r="S16" s="29">
        <v>70785624</v>
      </c>
      <c r="T16" s="29">
        <v>18269248</v>
      </c>
      <c r="U16" s="29">
        <v>9511264</v>
      </c>
      <c r="V16" s="29">
        <v>43005112</v>
      </c>
      <c r="W16" s="30">
        <v>67.952626739666698</v>
      </c>
      <c r="X16" s="30">
        <v>70.368070872333305</v>
      </c>
      <c r="Y16" s="30">
        <v>32.841058861666703</v>
      </c>
      <c r="Z16" s="30">
        <v>44.670738382333298</v>
      </c>
      <c r="AA16" s="30">
        <v>45.076624742666702</v>
      </c>
      <c r="AB16" s="31">
        <v>67025.835000000006</v>
      </c>
      <c r="AC16" s="31">
        <v>0</v>
      </c>
      <c r="AD16" s="31">
        <v>597.45299999999997</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300</v>
      </c>
      <c r="G17" s="15">
        <v>30</v>
      </c>
      <c r="I17" s="16">
        <f t="shared" si="0"/>
        <v>11.8577432</v>
      </c>
      <c r="J17" s="17">
        <f t="shared" si="1"/>
        <v>0.36757971667936434</v>
      </c>
      <c r="K17" s="17">
        <f t="shared" si="2"/>
        <v>0.11157658026184246</v>
      </c>
      <c r="L17" s="17">
        <f t="shared" si="3"/>
        <v>8.2092489845863148E-2</v>
      </c>
      <c r="M17" s="17">
        <f t="shared" si="4"/>
        <v>0.25600313641752187</v>
      </c>
      <c r="N17" s="14">
        <f t="shared" si="5"/>
        <v>35993456</v>
      </c>
      <c r="O17" s="17">
        <v>32</v>
      </c>
      <c r="P17" s="18">
        <v>320601496</v>
      </c>
      <c r="Q17" s="18">
        <v>1068671.6533333301</v>
      </c>
      <c r="R17" s="18">
        <v>33847.506666666697</v>
      </c>
      <c r="S17" s="19">
        <v>118577432</v>
      </c>
      <c r="T17" s="19">
        <v>26482192</v>
      </c>
      <c r="U17" s="19">
        <v>9511264</v>
      </c>
      <c r="V17" s="19">
        <v>82583976</v>
      </c>
      <c r="W17" s="20">
        <v>69.455331376000004</v>
      </c>
      <c r="X17" s="20">
        <v>72.107348246000001</v>
      </c>
      <c r="Y17" s="20">
        <v>35.412472657000002</v>
      </c>
      <c r="Z17" s="20">
        <v>45.654426197333301</v>
      </c>
      <c r="AA17" s="20">
        <v>46.186884609666599</v>
      </c>
      <c r="AB17" s="21">
        <v>100791.493</v>
      </c>
      <c r="AC17" s="21">
        <v>0</v>
      </c>
      <c r="AD17" s="21">
        <v>611.42999999999995</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300</v>
      </c>
      <c r="G18" s="25">
        <v>30</v>
      </c>
      <c r="I18" s="26">
        <f t="shared" si="0"/>
        <v>20.3883288</v>
      </c>
      <c r="J18" s="27">
        <f t="shared" si="1"/>
        <v>0.63202044414907921</v>
      </c>
      <c r="K18" s="27">
        <f t="shared" si="2"/>
        <v>0.15007494473537197</v>
      </c>
      <c r="L18" s="27">
        <f t="shared" si="3"/>
        <v>0.12059085431939266</v>
      </c>
      <c r="M18" s="27">
        <f t="shared" si="4"/>
        <v>0.48194549941370729</v>
      </c>
      <c r="N18" s="24">
        <f t="shared" si="5"/>
        <v>48412632</v>
      </c>
      <c r="O18" s="27">
        <v>32</v>
      </c>
      <c r="P18" s="28">
        <v>323933821</v>
      </c>
      <c r="Q18" s="28">
        <v>1079779.4033333301</v>
      </c>
      <c r="R18" s="28">
        <v>36160.07</v>
      </c>
      <c r="S18" s="29">
        <v>203883288</v>
      </c>
      <c r="T18" s="29">
        <v>38901368</v>
      </c>
      <c r="U18" s="29">
        <v>9511264</v>
      </c>
      <c r="V18" s="29">
        <v>155470656</v>
      </c>
      <c r="W18" s="30">
        <v>70.616301584666701</v>
      </c>
      <c r="X18" s="30">
        <v>73.486154510000006</v>
      </c>
      <c r="Y18" s="30">
        <v>38.049552087666697</v>
      </c>
      <c r="Z18" s="30">
        <v>47.161985512999998</v>
      </c>
      <c r="AA18" s="30">
        <v>47.8231175463333</v>
      </c>
      <c r="AB18" s="31">
        <v>146407.823</v>
      </c>
      <c r="AC18" s="31">
        <v>0</v>
      </c>
      <c r="AD18" s="31">
        <v>633.53800000000001</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300</v>
      </c>
      <c r="G19" s="35">
        <v>30</v>
      </c>
      <c r="I19" s="36">
        <f t="shared" si="0"/>
        <v>35.602593599999999</v>
      </c>
      <c r="J19" s="37">
        <f t="shared" si="1"/>
        <v>1.1036494084758515</v>
      </c>
      <c r="K19" s="37">
        <f t="shared" si="2"/>
        <v>0.22804690629555865</v>
      </c>
      <c r="L19" s="37">
        <f t="shared" si="3"/>
        <v>0.17634013514578878</v>
      </c>
      <c r="M19" s="37">
        <f t="shared" si="4"/>
        <v>0.87560250218029279</v>
      </c>
      <c r="N19" s="34">
        <f t="shared" si="5"/>
        <v>73565584</v>
      </c>
      <c r="O19" s="37">
        <v>32</v>
      </c>
      <c r="P19" s="38">
        <v>319582449</v>
      </c>
      <c r="Q19" s="38">
        <v>1065274.83</v>
      </c>
      <c r="R19" s="38">
        <v>33273.616666666698</v>
      </c>
      <c r="S19" s="39">
        <v>356025936</v>
      </c>
      <c r="T19" s="39">
        <v>56885512</v>
      </c>
      <c r="U19" s="39">
        <v>16680072</v>
      </c>
      <c r="V19" s="39">
        <v>282460352</v>
      </c>
      <c r="W19" s="40">
        <v>71.540912525666698</v>
      </c>
      <c r="X19" s="40">
        <v>75.665802565000007</v>
      </c>
      <c r="Y19" s="40">
        <v>40.610106048666601</v>
      </c>
      <c r="Z19" s="40">
        <v>49.093729802666701</v>
      </c>
      <c r="AA19" s="40">
        <v>49.758290518666698</v>
      </c>
      <c r="AB19" s="41">
        <v>210452.08100000001</v>
      </c>
      <c r="AC19" s="41">
        <v>0</v>
      </c>
      <c r="AD19" s="41">
        <v>648.65200000000004</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250</v>
      </c>
      <c r="G20" s="25">
        <v>50</v>
      </c>
      <c r="I20" s="26">
        <f t="shared" si="0"/>
        <v>4.3922688000000001</v>
      </c>
      <c r="J20" s="27">
        <f t="shared" si="1"/>
        <v>8.7634040901786725E-2</v>
      </c>
      <c r="K20" s="27">
        <f t="shared" si="2"/>
        <v>5.4028203529383867E-2</v>
      </c>
      <c r="L20" s="27">
        <f t="shared" si="3"/>
        <v>2.8935436343389988E-2</v>
      </c>
      <c r="M20" s="27">
        <f t="shared" si="4"/>
        <v>3.3605837372402858E-2</v>
      </c>
      <c r="N20" s="24">
        <f t="shared" si="5"/>
        <v>13539624</v>
      </c>
      <c r="O20" s="27">
        <v>32</v>
      </c>
      <c r="P20" s="28">
        <v>246140883</v>
      </c>
      <c r="Q20" s="28">
        <v>984563.53200000001</v>
      </c>
      <c r="R20" s="28">
        <v>36973.923999999999</v>
      </c>
      <c r="S20" s="29">
        <v>21961344</v>
      </c>
      <c r="T20" s="29">
        <v>7251304</v>
      </c>
      <c r="U20" s="29">
        <v>6288320</v>
      </c>
      <c r="V20" s="29">
        <v>8421720</v>
      </c>
      <c r="W20" s="30">
        <v>67.845762428800001</v>
      </c>
      <c r="X20" s="30">
        <v>69.839217406800003</v>
      </c>
      <c r="Y20" s="30">
        <v>31.4358434856</v>
      </c>
      <c r="Z20" s="30">
        <v>40.506168100399996</v>
      </c>
      <c r="AA20" s="30">
        <v>39.211367102399997</v>
      </c>
      <c r="AB20" s="31">
        <v>31426.924999999999</v>
      </c>
      <c r="AC20" s="31">
        <v>0</v>
      </c>
      <c r="AD20" s="31">
        <v>421.971</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250</v>
      </c>
      <c r="G21" s="15">
        <v>50</v>
      </c>
      <c r="I21" s="16">
        <f t="shared" si="0"/>
        <v>6.5285472000000002</v>
      </c>
      <c r="J21" s="17">
        <f t="shared" si="1"/>
        <v>0.13025682133890468</v>
      </c>
      <c r="K21" s="17">
        <f t="shared" si="2"/>
        <v>6.4995451309458357E-2</v>
      </c>
      <c r="L21" s="17">
        <f t="shared" si="3"/>
        <v>3.9902684123464482E-2</v>
      </c>
      <c r="M21" s="17">
        <f t="shared" si="4"/>
        <v>6.5261370029446306E-2</v>
      </c>
      <c r="N21" s="14">
        <f t="shared" si="5"/>
        <v>16288048</v>
      </c>
      <c r="O21" s="17">
        <v>32</v>
      </c>
      <c r="P21" s="18">
        <v>247880538</v>
      </c>
      <c r="Q21" s="18">
        <v>991522.152</v>
      </c>
      <c r="R21" s="18">
        <v>39787.627999999997</v>
      </c>
      <c r="S21" s="19">
        <v>32642736</v>
      </c>
      <c r="T21" s="19">
        <v>9999728</v>
      </c>
      <c r="U21" s="19">
        <v>6288320</v>
      </c>
      <c r="V21" s="19">
        <v>16354688</v>
      </c>
      <c r="W21" s="20">
        <v>69.306147675999995</v>
      </c>
      <c r="X21" s="20">
        <v>71.718883436400006</v>
      </c>
      <c r="Y21" s="20">
        <v>33.341460751600003</v>
      </c>
      <c r="Z21" s="20">
        <v>41.902684105600002</v>
      </c>
      <c r="AA21" s="20">
        <v>40.6928325624</v>
      </c>
      <c r="AB21" s="21">
        <v>43670.188999999998</v>
      </c>
      <c r="AC21" s="21">
        <v>0</v>
      </c>
      <c r="AD21" s="21">
        <v>425.01799999999997</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250</v>
      </c>
      <c r="G22" s="25">
        <v>50</v>
      </c>
      <c r="I22" s="26">
        <f t="shared" si="0"/>
        <v>10.682464</v>
      </c>
      <c r="J22" s="27">
        <f t="shared" si="1"/>
        <v>0.21313529060604491</v>
      </c>
      <c r="K22" s="27">
        <f t="shared" si="2"/>
        <v>8.2020059377527293E-2</v>
      </c>
      <c r="L22" s="27">
        <f t="shared" si="3"/>
        <v>5.6927292191533418E-2</v>
      </c>
      <c r="M22" s="27">
        <f t="shared" si="4"/>
        <v>0.13111523122851762</v>
      </c>
      <c r="N22" s="24">
        <f t="shared" si="5"/>
        <v>20554464</v>
      </c>
      <c r="O22" s="27">
        <v>32</v>
      </c>
      <c r="P22" s="28">
        <v>254140871</v>
      </c>
      <c r="Q22" s="28">
        <v>1016563.4840000001</v>
      </c>
      <c r="R22" s="28">
        <v>43971.688000000002</v>
      </c>
      <c r="S22" s="29">
        <v>53412320</v>
      </c>
      <c r="T22" s="29">
        <v>14266144</v>
      </c>
      <c r="U22" s="29">
        <v>6288320</v>
      </c>
      <c r="V22" s="29">
        <v>32857856</v>
      </c>
      <c r="W22" s="30">
        <v>70.588903950000002</v>
      </c>
      <c r="X22" s="30">
        <v>73.312129167199998</v>
      </c>
      <c r="Y22" s="30">
        <v>35.251958883199997</v>
      </c>
      <c r="Z22" s="30">
        <v>43.041570763999999</v>
      </c>
      <c r="AA22" s="30">
        <v>41.904545894400002</v>
      </c>
      <c r="AB22" s="31">
        <v>65199.824000000001</v>
      </c>
      <c r="AC22" s="31">
        <v>0</v>
      </c>
      <c r="AD22" s="31">
        <v>435.61900000000003</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250</v>
      </c>
      <c r="G23" s="15">
        <v>50</v>
      </c>
      <c r="I23" s="16">
        <f t="shared" si="0"/>
        <v>18.580595199999998</v>
      </c>
      <c r="J23" s="17">
        <f t="shared" si="1"/>
        <v>0.37071789407249894</v>
      </c>
      <c r="K23" s="17">
        <f t="shared" si="2"/>
        <v>0.10975270033895977</v>
      </c>
      <c r="L23" s="17">
        <f t="shared" si="3"/>
        <v>8.4659933152965897E-2</v>
      </c>
      <c r="M23" s="17">
        <f t="shared" si="4"/>
        <v>0.26096519373353916</v>
      </c>
      <c r="N23" s="14">
        <f t="shared" si="5"/>
        <v>27504344</v>
      </c>
      <c r="O23" s="17">
        <v>32</v>
      </c>
      <c r="P23" s="18">
        <v>258414407</v>
      </c>
      <c r="Q23" s="18">
        <v>1033657.628</v>
      </c>
      <c r="R23" s="18">
        <v>46955.839999999997</v>
      </c>
      <c r="S23" s="19">
        <v>92902976</v>
      </c>
      <c r="T23" s="19">
        <v>21216024</v>
      </c>
      <c r="U23" s="19">
        <v>6288320</v>
      </c>
      <c r="V23" s="19">
        <v>65398632</v>
      </c>
      <c r="W23" s="20">
        <v>71.516103853199994</v>
      </c>
      <c r="X23" s="20">
        <v>74.533077265200006</v>
      </c>
      <c r="Y23" s="20">
        <v>36.901858498800003</v>
      </c>
      <c r="Z23" s="20">
        <v>44.469731966399998</v>
      </c>
      <c r="AA23" s="20">
        <v>43.310214615600003</v>
      </c>
      <c r="AB23" s="21">
        <v>94220.607999999993</v>
      </c>
      <c r="AC23" s="21">
        <v>0</v>
      </c>
      <c r="AD23" s="21">
        <v>451.18200000000002</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250</v>
      </c>
      <c r="G24" s="45">
        <v>50</v>
      </c>
      <c r="I24" s="46">
        <f t="shared" si="0"/>
        <v>32.248977600000003</v>
      </c>
      <c r="J24" s="47">
        <f t="shared" si="1"/>
        <v>0.64342788447719867</v>
      </c>
      <c r="K24" s="47">
        <f t="shared" si="2"/>
        <v>0.17216293007569494</v>
      </c>
      <c r="L24" s="47">
        <f t="shared" si="3"/>
        <v>0.12628585358179287</v>
      </c>
      <c r="M24" s="47">
        <f t="shared" si="4"/>
        <v>0.47126495440150368</v>
      </c>
      <c r="N24" s="44">
        <f t="shared" si="5"/>
        <v>43144528</v>
      </c>
      <c r="O24" s="47">
        <v>32</v>
      </c>
      <c r="P24" s="48">
        <v>254406560</v>
      </c>
      <c r="Q24" s="48">
        <v>1017626.24</v>
      </c>
      <c r="R24" s="48">
        <v>43848.616000000002</v>
      </c>
      <c r="S24" s="49">
        <v>161244888</v>
      </c>
      <c r="T24" s="49">
        <v>31647600</v>
      </c>
      <c r="U24" s="49">
        <v>11496928</v>
      </c>
      <c r="V24" s="49">
        <v>118100360</v>
      </c>
      <c r="W24" s="50">
        <v>72.641287149199997</v>
      </c>
      <c r="X24" s="50">
        <v>76.664645278400002</v>
      </c>
      <c r="Y24" s="50">
        <v>38.235585030400003</v>
      </c>
      <c r="Z24" s="50">
        <v>45.644450360800001</v>
      </c>
      <c r="AA24" s="50">
        <v>44.347466020799999</v>
      </c>
      <c r="AB24" s="51">
        <v>137985.136</v>
      </c>
      <c r="AC24" s="51">
        <v>0</v>
      </c>
      <c r="AD24" s="51">
        <v>469.54199999999997</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300</v>
      </c>
      <c r="G25" s="15">
        <v>30</v>
      </c>
      <c r="I25" s="16">
        <f t="shared" si="0"/>
        <v>4.4253832000000006</v>
      </c>
      <c r="J25" s="17">
        <f t="shared" si="1"/>
        <v>0.17680699137147124</v>
      </c>
      <c r="K25" s="17">
        <f t="shared" si="2"/>
        <v>5.9860728427593372E-2</v>
      </c>
      <c r="L25" s="17">
        <f t="shared" si="3"/>
        <v>3.648782137841082E-2</v>
      </c>
      <c r="M25" s="17">
        <f t="shared" si="4"/>
        <v>0.11694626294387786</v>
      </c>
      <c r="N25" s="14">
        <f t="shared" si="5"/>
        <v>14982816</v>
      </c>
      <c r="O25" s="17">
        <v>32</v>
      </c>
      <c r="P25" s="18">
        <v>251919893</v>
      </c>
      <c r="Q25" s="18">
        <v>839732.97666666703</v>
      </c>
      <c r="R25" s="18">
        <v>28185.133333333299</v>
      </c>
      <c r="S25" s="19">
        <v>44253832</v>
      </c>
      <c r="T25" s="19">
        <v>9132704</v>
      </c>
      <c r="U25" s="19">
        <v>5850112</v>
      </c>
      <c r="V25" s="19">
        <v>29271016</v>
      </c>
      <c r="W25" s="20">
        <v>66.900023056999999</v>
      </c>
      <c r="X25" s="20">
        <v>68.696418320000006</v>
      </c>
      <c r="Y25" s="20">
        <v>28.133947588000002</v>
      </c>
      <c r="Z25" s="20">
        <v>33.286591014999999</v>
      </c>
      <c r="AA25" s="20">
        <v>32.471933652333298</v>
      </c>
      <c r="AB25" s="21">
        <v>44884.877999999997</v>
      </c>
      <c r="AC25" s="21">
        <v>0</v>
      </c>
      <c r="AD25" s="21">
        <v>498.15100000000001</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300</v>
      </c>
      <c r="G26" s="25">
        <v>30</v>
      </c>
      <c r="I26" s="26">
        <f t="shared" si="0"/>
        <v>7.6796647999999994</v>
      </c>
      <c r="J26" s="27">
        <f t="shared" si="1"/>
        <v>0.3068250514507741</v>
      </c>
      <c r="K26" s="27">
        <f t="shared" si="2"/>
        <v>7.4550363219608159E-2</v>
      </c>
      <c r="L26" s="27">
        <f t="shared" si="3"/>
        <v>5.1177456170425614E-2</v>
      </c>
      <c r="M26" s="27">
        <f t="shared" si="4"/>
        <v>0.23227468823116595</v>
      </c>
      <c r="N26" s="24">
        <f t="shared" si="5"/>
        <v>18659552</v>
      </c>
      <c r="O26" s="27">
        <v>32</v>
      </c>
      <c r="P26" s="28">
        <v>250672145</v>
      </c>
      <c r="Q26" s="28">
        <v>835573.816666667</v>
      </c>
      <c r="R26" s="28">
        <v>31459.4666666667</v>
      </c>
      <c r="S26" s="29">
        <v>76796648</v>
      </c>
      <c r="T26" s="29">
        <v>12809440</v>
      </c>
      <c r="U26" s="29">
        <v>5850112</v>
      </c>
      <c r="V26" s="29">
        <v>58137096</v>
      </c>
      <c r="W26" s="30">
        <v>68.405481013666602</v>
      </c>
      <c r="X26" s="30">
        <v>70.631781235666594</v>
      </c>
      <c r="Y26" s="30">
        <v>30.5400278486667</v>
      </c>
      <c r="Z26" s="30">
        <v>34.663387810666698</v>
      </c>
      <c r="AA26" s="30">
        <v>33.9183208633333</v>
      </c>
      <c r="AB26" s="31">
        <v>65026.273000000001</v>
      </c>
      <c r="AC26" s="31">
        <v>0</v>
      </c>
      <c r="AD26" s="31">
        <v>489.74</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300</v>
      </c>
      <c r="G27" s="15">
        <v>30</v>
      </c>
      <c r="I27" s="16">
        <f t="shared" si="0"/>
        <v>13.7547648</v>
      </c>
      <c r="J27" s="17">
        <f t="shared" si="1"/>
        <v>0.54954305003693604</v>
      </c>
      <c r="K27" s="17">
        <f t="shared" si="2"/>
        <v>9.7576702639132637E-2</v>
      </c>
      <c r="L27" s="17">
        <f t="shared" si="3"/>
        <v>7.4203795589950092E-2</v>
      </c>
      <c r="M27" s="17">
        <f t="shared" si="4"/>
        <v>0.45196634739780345</v>
      </c>
      <c r="N27" s="14">
        <f t="shared" si="5"/>
        <v>24422920</v>
      </c>
      <c r="O27" s="17">
        <v>32</v>
      </c>
      <c r="P27" s="18">
        <v>254658451</v>
      </c>
      <c r="Q27" s="18">
        <v>848861.50333333295</v>
      </c>
      <c r="R27" s="18">
        <v>34564.886666666702</v>
      </c>
      <c r="S27" s="19">
        <v>137547648</v>
      </c>
      <c r="T27" s="19">
        <v>18572808</v>
      </c>
      <c r="U27" s="19">
        <v>5850112</v>
      </c>
      <c r="V27" s="19">
        <v>113124728</v>
      </c>
      <c r="W27" s="20">
        <v>69.747238907333397</v>
      </c>
      <c r="X27" s="20">
        <v>72.216263527333297</v>
      </c>
      <c r="Y27" s="20">
        <v>33.075678222666603</v>
      </c>
      <c r="Z27" s="20">
        <v>36.0881708703333</v>
      </c>
      <c r="AA27" s="20">
        <v>35.3453542403333</v>
      </c>
      <c r="AB27" s="21">
        <v>98997.35</v>
      </c>
      <c r="AC27" s="21">
        <v>0</v>
      </c>
      <c r="AD27" s="21">
        <v>518.59400000000005</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300</v>
      </c>
      <c r="G28" s="25">
        <v>30</v>
      </c>
      <c r="I28" s="26">
        <f t="shared" si="0"/>
        <v>25.567540000000001</v>
      </c>
      <c r="J28" s="27">
        <f t="shared" si="1"/>
        <v>1.0214979403749138</v>
      </c>
      <c r="K28" s="27">
        <f t="shared" si="2"/>
        <v>0.13272562168365273</v>
      </c>
      <c r="L28" s="27">
        <f t="shared" si="3"/>
        <v>0.10935271463447019</v>
      </c>
      <c r="M28" s="27">
        <f t="shared" si="4"/>
        <v>0.88877231869126117</v>
      </c>
      <c r="N28" s="24">
        <f t="shared" si="5"/>
        <v>33220504</v>
      </c>
      <c r="O28" s="27">
        <v>32</v>
      </c>
      <c r="P28" s="28">
        <v>256166055</v>
      </c>
      <c r="Q28" s="28">
        <v>853886.85</v>
      </c>
      <c r="R28" s="28">
        <v>36652.023333333302</v>
      </c>
      <c r="S28" s="29">
        <v>255675400</v>
      </c>
      <c r="T28" s="29">
        <v>27370392</v>
      </c>
      <c r="U28" s="29">
        <v>5850112</v>
      </c>
      <c r="V28" s="29">
        <v>222454896</v>
      </c>
      <c r="W28" s="30">
        <v>70.778986204000006</v>
      </c>
      <c r="X28" s="30">
        <v>73.473029950333299</v>
      </c>
      <c r="Y28" s="30">
        <v>35.686523290333298</v>
      </c>
      <c r="Z28" s="30">
        <v>38.004737148333398</v>
      </c>
      <c r="AA28" s="30">
        <v>37.266667449333298</v>
      </c>
      <c r="AB28" s="31">
        <v>147901.59599999999</v>
      </c>
      <c r="AC28" s="31">
        <v>0</v>
      </c>
      <c r="AD28" s="31">
        <v>533.31700000000001</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300</v>
      </c>
      <c r="G29" s="35">
        <v>30</v>
      </c>
      <c r="I29" s="36">
        <f t="shared" si="0"/>
        <v>45.756823199999999</v>
      </c>
      <c r="J29" s="37">
        <f t="shared" si="1"/>
        <v>1.8281188044254191</v>
      </c>
      <c r="K29" s="37">
        <f t="shared" si="2"/>
        <v>0.20356637204396219</v>
      </c>
      <c r="L29" s="37">
        <f t="shared" si="3"/>
        <v>0.16101836355371049</v>
      </c>
      <c r="M29" s="37">
        <f t="shared" si="4"/>
        <v>1.6245524323814569</v>
      </c>
      <c r="N29" s="34">
        <f t="shared" si="5"/>
        <v>50951560</v>
      </c>
      <c r="O29" s="37">
        <v>32</v>
      </c>
      <c r="P29" s="38">
        <v>252583313</v>
      </c>
      <c r="Q29" s="38">
        <v>841944.37666666706</v>
      </c>
      <c r="R29" s="38">
        <v>35227.629999999997</v>
      </c>
      <c r="S29" s="39">
        <v>457568232</v>
      </c>
      <c r="T29" s="39">
        <v>40302024</v>
      </c>
      <c r="U29" s="39">
        <v>10649536</v>
      </c>
      <c r="V29" s="39">
        <v>406616672</v>
      </c>
      <c r="W29" s="40">
        <v>71.649852928333303</v>
      </c>
      <c r="X29" s="40">
        <v>75.582397032000003</v>
      </c>
      <c r="Y29" s="40">
        <v>38.022378104333299</v>
      </c>
      <c r="Z29" s="40">
        <v>39.839680514666703</v>
      </c>
      <c r="AA29" s="40">
        <v>39.034026439999998</v>
      </c>
      <c r="AB29" s="41">
        <v>209664.894</v>
      </c>
      <c r="AC29" s="41">
        <v>0</v>
      </c>
      <c r="AD29" s="41">
        <v>544.96900000000005</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64</v>
      </c>
      <c r="G30" s="25">
        <v>30</v>
      </c>
      <c r="I30" s="26">
        <f t="shared" si="0"/>
        <v>5.1368324999999997</v>
      </c>
      <c r="J30" s="27">
        <f t="shared" si="1"/>
        <v>2.9189978921324168E-2</v>
      </c>
      <c r="K30" s="27">
        <f t="shared" si="2"/>
        <v>1.7939231933008688E-2</v>
      </c>
      <c r="L30" s="27">
        <f t="shared" si="3"/>
        <v>1.1926082040588405E-2</v>
      </c>
      <c r="M30" s="27">
        <f t="shared" si="4"/>
        <v>1.1250746988315477E-2</v>
      </c>
      <c r="N30" s="24">
        <f t="shared" si="5"/>
        <v>6734792</v>
      </c>
      <c r="O30" s="27">
        <v>32</v>
      </c>
      <c r="P30" s="28">
        <v>185312210</v>
      </c>
      <c r="Q30" s="28">
        <v>2895503.28125</v>
      </c>
      <c r="R30" s="28">
        <v>80861.53125</v>
      </c>
      <c r="S30" s="29">
        <v>10958576</v>
      </c>
      <c r="T30" s="29">
        <v>4477320</v>
      </c>
      <c r="U30" s="29">
        <v>2257472</v>
      </c>
      <c r="V30" s="29">
        <v>4223784</v>
      </c>
      <c r="W30" s="30">
        <v>74.240803773437506</v>
      </c>
      <c r="X30" s="30">
        <v>76.304638557812495</v>
      </c>
      <c r="Y30" s="30">
        <v>35.199397001562502</v>
      </c>
      <c r="Z30" s="30">
        <v>42.237393704687499</v>
      </c>
      <c r="AA30" s="30">
        <v>44.083063359374997</v>
      </c>
      <c r="AB30" s="31">
        <v>15535.463</v>
      </c>
      <c r="AC30" s="31">
        <v>0</v>
      </c>
      <c r="AD30" s="31">
        <v>370.447</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64</v>
      </c>
      <c r="G31" s="15">
        <v>30</v>
      </c>
      <c r="I31" s="16">
        <f t="shared" si="0"/>
        <v>7.3755600000000001</v>
      </c>
      <c r="J31" s="17">
        <f t="shared" si="1"/>
        <v>4.1911516665758847E-2</v>
      </c>
      <c r="K31" s="17">
        <f t="shared" si="2"/>
        <v>2.2376088613049416E-2</v>
      </c>
      <c r="L31" s="17">
        <f t="shared" si="3"/>
        <v>1.636293872062913E-2</v>
      </c>
      <c r="M31" s="17">
        <f t="shared" si="4"/>
        <v>1.9535428052709431E-2</v>
      </c>
      <c r="N31" s="14">
        <f t="shared" si="5"/>
        <v>8400488</v>
      </c>
      <c r="O31" s="17">
        <v>32</v>
      </c>
      <c r="P31" s="18">
        <v>186585857</v>
      </c>
      <c r="Q31" s="18">
        <v>2915404.015625</v>
      </c>
      <c r="R31" s="18">
        <v>91271.1875</v>
      </c>
      <c r="S31" s="19">
        <v>15734528</v>
      </c>
      <c r="T31" s="19">
        <v>6143016</v>
      </c>
      <c r="U31" s="19">
        <v>2257472</v>
      </c>
      <c r="V31" s="19">
        <v>7334040</v>
      </c>
      <c r="W31" s="20">
        <v>75.657893585937501</v>
      </c>
      <c r="X31" s="20">
        <v>78.1637036421875</v>
      </c>
      <c r="Y31" s="20">
        <v>37.091588873437502</v>
      </c>
      <c r="Z31" s="20">
        <v>42.826516809375001</v>
      </c>
      <c r="AA31" s="20">
        <v>45.369214540625002</v>
      </c>
      <c r="AB31" s="21">
        <v>19466.417000000001</v>
      </c>
      <c r="AC31" s="21">
        <v>0</v>
      </c>
      <c r="AD31" s="21">
        <v>373.57299999999998</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64</v>
      </c>
      <c r="G32" s="25">
        <v>30</v>
      </c>
      <c r="I32" s="26">
        <f t="shared" si="0"/>
        <v>11.459808750000001</v>
      </c>
      <c r="J32" s="27">
        <f t="shared" si="1"/>
        <v>6.5120203131970186E-2</v>
      </c>
      <c r="K32" s="27">
        <f t="shared" si="2"/>
        <v>2.8887514396145512E-2</v>
      </c>
      <c r="L32" s="27">
        <f t="shared" si="3"/>
        <v>2.2874364503725229E-2</v>
      </c>
      <c r="M32" s="27">
        <f t="shared" si="4"/>
        <v>3.6232688735824678E-2</v>
      </c>
      <c r="N32" s="24">
        <f t="shared" si="5"/>
        <v>10845024</v>
      </c>
      <c r="O32" s="27">
        <v>32</v>
      </c>
      <c r="P32" s="28">
        <v>190780141</v>
      </c>
      <c r="Q32" s="28">
        <v>2980939.703125</v>
      </c>
      <c r="R32" s="28">
        <v>100266.890625</v>
      </c>
      <c r="S32" s="29">
        <v>24447592</v>
      </c>
      <c r="T32" s="29">
        <v>8587552</v>
      </c>
      <c r="U32" s="29">
        <v>2257472</v>
      </c>
      <c r="V32" s="29">
        <v>13602568</v>
      </c>
      <c r="W32" s="30">
        <v>76.963328573437494</v>
      </c>
      <c r="X32" s="30">
        <v>79.632710615625001</v>
      </c>
      <c r="Y32" s="30">
        <v>38.795278090624997</v>
      </c>
      <c r="Z32" s="30">
        <v>43.560215898437498</v>
      </c>
      <c r="AA32" s="30">
        <v>46.603069189062502</v>
      </c>
      <c r="AB32" s="31">
        <v>27262.581999999999</v>
      </c>
      <c r="AC32" s="31">
        <v>0</v>
      </c>
      <c r="AD32" s="31">
        <v>376.25400000000002</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64</v>
      </c>
      <c r="G33" s="15">
        <v>30</v>
      </c>
      <c r="I33" s="16">
        <f t="shared" si="0"/>
        <v>19.139032499999999</v>
      </c>
      <c r="J33" s="17">
        <f t="shared" si="1"/>
        <v>0.10875728481501747</v>
      </c>
      <c r="K33" s="17">
        <f t="shared" si="2"/>
        <v>3.8860106904769508E-2</v>
      </c>
      <c r="L33" s="17">
        <f t="shared" si="3"/>
        <v>3.2846957012349222E-2</v>
      </c>
      <c r="M33" s="17">
        <f t="shared" si="4"/>
        <v>6.9897177910247951E-2</v>
      </c>
      <c r="N33" s="14">
        <f t="shared" si="5"/>
        <v>14588960</v>
      </c>
      <c r="O33" s="17">
        <v>32</v>
      </c>
      <c r="P33" s="18">
        <v>192225461</v>
      </c>
      <c r="Q33" s="18">
        <v>3003522.828125</v>
      </c>
      <c r="R33" s="18">
        <v>105934.328125</v>
      </c>
      <c r="S33" s="19">
        <v>40829936</v>
      </c>
      <c r="T33" s="19">
        <v>12331488</v>
      </c>
      <c r="U33" s="19">
        <v>2257472</v>
      </c>
      <c r="V33" s="19">
        <v>26240976</v>
      </c>
      <c r="W33" s="20">
        <v>77.988003531250001</v>
      </c>
      <c r="X33" s="20">
        <v>80.877758742187495</v>
      </c>
      <c r="Y33" s="20">
        <v>40.303911528124999</v>
      </c>
      <c r="Z33" s="20">
        <v>44.201200195312502</v>
      </c>
      <c r="AA33" s="20">
        <v>48.176469931249997</v>
      </c>
      <c r="AB33" s="21">
        <v>40694.682000000001</v>
      </c>
      <c r="AC33" s="21">
        <v>0</v>
      </c>
      <c r="AD33" s="21">
        <v>380.87400000000002</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64</v>
      </c>
      <c r="G34" s="45">
        <v>30</v>
      </c>
      <c r="I34" s="46">
        <f t="shared" si="0"/>
        <v>36.387003749999998</v>
      </c>
      <c r="J34" s="47">
        <f t="shared" si="1"/>
        <v>0.20676864049443766</v>
      </c>
      <c r="K34" s="47">
        <f t="shared" si="2"/>
        <v>5.9151461867876821E-2</v>
      </c>
      <c r="L34" s="47">
        <f t="shared" si="3"/>
        <v>4.7343284309309945E-2</v>
      </c>
      <c r="M34" s="47">
        <f t="shared" si="4"/>
        <v>0.14761717862656082</v>
      </c>
      <c r="N34" s="44">
        <f t="shared" si="5"/>
        <v>22206792</v>
      </c>
      <c r="O34" s="47">
        <v>32</v>
      </c>
      <c r="P34" s="48">
        <v>191333332</v>
      </c>
      <c r="Q34" s="48">
        <v>2989583.3125</v>
      </c>
      <c r="R34" s="48">
        <v>102968.640625</v>
      </c>
      <c r="S34" s="49">
        <v>77625608</v>
      </c>
      <c r="T34" s="49">
        <v>17773736</v>
      </c>
      <c r="U34" s="49">
        <v>4433056</v>
      </c>
      <c r="V34" s="49">
        <v>55418816</v>
      </c>
      <c r="W34" s="50">
        <v>78.865685676562507</v>
      </c>
      <c r="X34" s="50">
        <v>82.374121784375006</v>
      </c>
      <c r="Y34" s="50">
        <v>41.783447081250003</v>
      </c>
      <c r="Z34" s="50">
        <v>44.889813120312503</v>
      </c>
      <c r="AA34" s="50">
        <v>49.529726206249997</v>
      </c>
      <c r="AB34" s="51">
        <v>68419.849000000002</v>
      </c>
      <c r="AC34" s="51">
        <v>0</v>
      </c>
      <c r="AD34" s="51">
        <v>393.98200000000003</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64</v>
      </c>
      <c r="G35" s="15">
        <v>30</v>
      </c>
      <c r="I35" s="16">
        <f t="shared" si="0"/>
        <v>5.2913174999999999</v>
      </c>
      <c r="J35" s="17">
        <f t="shared" si="1"/>
        <v>3.3878929912114081E-2</v>
      </c>
      <c r="K35" s="17">
        <f t="shared" si="2"/>
        <v>2.0296437515395276E-2</v>
      </c>
      <c r="L35" s="17">
        <f t="shared" si="3"/>
        <v>1.3380830098766656E-2</v>
      </c>
      <c r="M35" s="17">
        <f t="shared" si="4"/>
        <v>1.3582492396718805E-2</v>
      </c>
      <c r="N35" s="14">
        <f t="shared" si="5"/>
        <v>6762584</v>
      </c>
      <c r="O35" s="17">
        <v>32</v>
      </c>
      <c r="P35" s="18">
        <v>163931351</v>
      </c>
      <c r="Q35" s="18">
        <v>2561427.359375</v>
      </c>
      <c r="R35" s="18">
        <v>77948.171875</v>
      </c>
      <c r="S35" s="19">
        <v>11288144</v>
      </c>
      <c r="T35" s="19">
        <v>4458368</v>
      </c>
      <c r="U35" s="19">
        <v>2304216</v>
      </c>
      <c r="V35" s="19">
        <v>4525560</v>
      </c>
      <c r="W35" s="20">
        <v>73.953354017187493</v>
      </c>
      <c r="X35" s="20">
        <v>76.054210156249994</v>
      </c>
      <c r="Y35" s="20">
        <v>34.56570396875</v>
      </c>
      <c r="Z35" s="20">
        <v>42.445185554687498</v>
      </c>
      <c r="AA35" s="20">
        <v>44.002760934374997</v>
      </c>
      <c r="AB35" s="21">
        <v>15089.196</v>
      </c>
      <c r="AC35" s="21">
        <v>0</v>
      </c>
      <c r="AD35" s="21">
        <v>337.88400000000001</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64</v>
      </c>
      <c r="G36" s="25">
        <v>30</v>
      </c>
      <c r="I36" s="26">
        <f t="shared" si="0"/>
        <v>7.6033087500000001</v>
      </c>
      <c r="J36" s="27">
        <f t="shared" si="1"/>
        <v>4.8682008638002483E-2</v>
      </c>
      <c r="K36" s="27">
        <f t="shared" si="2"/>
        <v>2.5282147065039985E-2</v>
      </c>
      <c r="L36" s="27">
        <f t="shared" si="3"/>
        <v>1.8366539648411364E-2</v>
      </c>
      <c r="M36" s="27">
        <f t="shared" si="4"/>
        <v>2.3399861572962501E-2</v>
      </c>
      <c r="N36" s="24">
        <f t="shared" si="5"/>
        <v>8423776</v>
      </c>
      <c r="O36" s="27">
        <v>32</v>
      </c>
      <c r="P36" s="28">
        <v>165164511</v>
      </c>
      <c r="Q36" s="28">
        <v>2580695.484375</v>
      </c>
      <c r="R36" s="28">
        <v>87897.875</v>
      </c>
      <c r="S36" s="29">
        <v>16220392</v>
      </c>
      <c r="T36" s="29">
        <v>6119560</v>
      </c>
      <c r="U36" s="29">
        <v>2304216</v>
      </c>
      <c r="V36" s="29">
        <v>7796616</v>
      </c>
      <c r="W36" s="30">
        <v>75.397101656250001</v>
      </c>
      <c r="X36" s="30">
        <v>77.969445503125002</v>
      </c>
      <c r="Y36" s="30">
        <v>36.589505046874997</v>
      </c>
      <c r="Z36" s="30">
        <v>43.151255634374998</v>
      </c>
      <c r="AA36" s="30">
        <v>45.456062156249999</v>
      </c>
      <c r="AB36" s="31">
        <v>18322.892</v>
      </c>
      <c r="AC36" s="31">
        <v>0</v>
      </c>
      <c r="AD36" s="31">
        <v>326.80200000000002</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64</v>
      </c>
      <c r="G37" s="15">
        <v>30</v>
      </c>
      <c r="I37" s="16">
        <f t="shared" si="0"/>
        <v>11.760615</v>
      </c>
      <c r="J37" s="17">
        <f t="shared" si="1"/>
        <v>7.5300159423122418E-2</v>
      </c>
      <c r="K37" s="17">
        <f t="shared" si="2"/>
        <v>3.25987020603688E-2</v>
      </c>
      <c r="L37" s="17">
        <f t="shared" si="3"/>
        <v>2.5683094643740179E-2</v>
      </c>
      <c r="M37" s="17">
        <f t="shared" si="4"/>
        <v>4.2701457362753617E-2</v>
      </c>
      <c r="N37" s="14">
        <f t="shared" si="5"/>
        <v>10861584</v>
      </c>
      <c r="O37" s="17">
        <v>32</v>
      </c>
      <c r="P37" s="18">
        <v>168785838</v>
      </c>
      <c r="Q37" s="18">
        <v>2637278.71875</v>
      </c>
      <c r="R37" s="18">
        <v>96492.234375</v>
      </c>
      <c r="S37" s="19">
        <v>25089312</v>
      </c>
      <c r="T37" s="19">
        <v>8557368</v>
      </c>
      <c r="U37" s="19">
        <v>2304216</v>
      </c>
      <c r="V37" s="19">
        <v>14227728</v>
      </c>
      <c r="W37" s="20">
        <v>76.717667485937497</v>
      </c>
      <c r="X37" s="20">
        <v>79.490609826562505</v>
      </c>
      <c r="Y37" s="20">
        <v>38.395638870312503</v>
      </c>
      <c r="Z37" s="20">
        <v>44.138283389062501</v>
      </c>
      <c r="AA37" s="20">
        <v>46.704691828125</v>
      </c>
      <c r="AB37" s="21">
        <v>26233.567999999999</v>
      </c>
      <c r="AC37" s="21">
        <v>0</v>
      </c>
      <c r="AD37" s="21">
        <v>331.10399999999998</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64</v>
      </c>
      <c r="G38" s="25">
        <v>30</v>
      </c>
      <c r="I38" s="26">
        <f t="shared" si="0"/>
        <v>19.77016875</v>
      </c>
      <c r="J38" s="27">
        <f t="shared" si="1"/>
        <v>0.12658324914955832</v>
      </c>
      <c r="K38" s="27">
        <f t="shared" si="2"/>
        <v>4.3815726195157875E-2</v>
      </c>
      <c r="L38" s="27">
        <f t="shared" si="3"/>
        <v>3.6900118778529251E-2</v>
      </c>
      <c r="M38" s="27">
        <f t="shared" si="4"/>
        <v>8.2767522954400444E-2</v>
      </c>
      <c r="N38" s="24">
        <f t="shared" si="5"/>
        <v>14598992</v>
      </c>
      <c r="O38" s="27">
        <v>32</v>
      </c>
      <c r="P38" s="28">
        <v>170446011</v>
      </c>
      <c r="Q38" s="28">
        <v>2663218.921875</v>
      </c>
      <c r="R38" s="28">
        <v>102102.765625</v>
      </c>
      <c r="S38" s="29">
        <v>42176360</v>
      </c>
      <c r="T38" s="29">
        <v>12294776</v>
      </c>
      <c r="U38" s="29">
        <v>2304216</v>
      </c>
      <c r="V38" s="29">
        <v>27577368</v>
      </c>
      <c r="W38" s="30">
        <v>77.767015029687499</v>
      </c>
      <c r="X38" s="30">
        <v>80.748472500000005</v>
      </c>
      <c r="Y38" s="30">
        <v>40.069469856250002</v>
      </c>
      <c r="Z38" s="30">
        <v>44.9419961890625</v>
      </c>
      <c r="AA38" s="30">
        <v>48.404962790625</v>
      </c>
      <c r="AB38" s="31">
        <v>41167.19</v>
      </c>
      <c r="AC38" s="31">
        <v>0</v>
      </c>
      <c r="AD38" s="31">
        <v>347.923</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64</v>
      </c>
      <c r="G39" s="35">
        <v>30</v>
      </c>
      <c r="I39" s="36">
        <f t="shared" si="0"/>
        <v>36.673001249999999</v>
      </c>
      <c r="J39" s="37">
        <f t="shared" si="1"/>
        <v>0.2348076899591873</v>
      </c>
      <c r="K39" s="37">
        <f t="shared" si="2"/>
        <v>6.6736030549761252E-2</v>
      </c>
      <c r="L39" s="37">
        <f t="shared" si="3"/>
        <v>5.3150800981716512E-2</v>
      </c>
      <c r="M39" s="37">
        <f t="shared" si="4"/>
        <v>0.16807165940942606</v>
      </c>
      <c r="N39" s="34">
        <f t="shared" si="5"/>
        <v>22235824</v>
      </c>
      <c r="O39" s="37">
        <v>32</v>
      </c>
      <c r="P39" s="38">
        <v>169750465</v>
      </c>
      <c r="Q39" s="38">
        <v>2652351.015625</v>
      </c>
      <c r="R39" s="38">
        <v>99475.90625</v>
      </c>
      <c r="S39" s="39">
        <v>78235736</v>
      </c>
      <c r="T39" s="39">
        <v>17709352</v>
      </c>
      <c r="U39" s="39">
        <v>4526472</v>
      </c>
      <c r="V39" s="39">
        <v>55999912</v>
      </c>
      <c r="W39" s="40">
        <v>78.643087398437501</v>
      </c>
      <c r="X39" s="40">
        <v>82.273273615625001</v>
      </c>
      <c r="Y39" s="40">
        <v>41.643555896875</v>
      </c>
      <c r="Z39" s="40">
        <v>45.745946054687501</v>
      </c>
      <c r="AA39" s="40">
        <v>49.660969025</v>
      </c>
      <c r="AB39" s="41">
        <v>64827.612999999998</v>
      </c>
      <c r="AC39" s="41">
        <v>0</v>
      </c>
      <c r="AD39" s="41">
        <v>349.14600000000002</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0.38447185827780694</v>
      </c>
      <c r="K40" s="55">
        <f>AVERAGE(K5:K24)</f>
        <v>0.11887648492470845</v>
      </c>
      <c r="L40" s="55">
        <f>AVERAGE(L5:L24)</f>
        <v>8.7015757656274173E-2</v>
      </c>
      <c r="M40" s="55">
        <f>AVERAGE(M5:M24)</f>
        <v>0.26559537335309852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0.77655836753190288</v>
      </c>
      <c r="K41" s="55">
        <f>AVERAGE(K25:K29)</f>
        <v>0.11365595760278982</v>
      </c>
      <c r="L41" s="55">
        <f>AVERAGE(L25:L29)</f>
        <v>8.6448030265393425E-2</v>
      </c>
      <c r="M41" s="55">
        <f>AVERAGE(M25:M29)</f>
        <v>0.66290240992911298</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9.7099966111049291E-2</v>
      </c>
      <c r="K42" s="55">
        <f>AVERAGE(K30:K39)</f>
        <v>3.5594344710057312E-2</v>
      </c>
      <c r="L42" s="55">
        <f>AVERAGE(L30:L39)</f>
        <v>2.7883501073776591E-2</v>
      </c>
      <c r="M42" s="55">
        <f>AVERAGE(M30:M39)</f>
        <v>6.1505621400991972E-2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0.35837796183788984</v>
      </c>
      <c r="K43" s="55">
        <f>AVERAGE(K5:K39)</f>
        <v>9.4335798103105439E-2</v>
      </c>
      <c r="L43" s="55">
        <f>AVERAGE(L5:L39)</f>
        <v>7.0039723291149061E-2</v>
      </c>
      <c r="M43" s="55">
        <f>AVERAGE(M5:M39)</f>
        <v>0.26404216373478434</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2560329.5619999999</v>
      </c>
      <c r="AC44" s="56">
        <f>SUM(AC5:AC24,AC25:AC29,AC30:AC39)</f>
        <v>0</v>
      </c>
      <c r="AD44" s="56">
        <f>SUM(AD5:AD24,AD25:AD29,AD30:AD39)</f>
        <v>16276.027000000002</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57555.316355990464</v>
      </c>
      <c r="AC46" s="56" t="e">
        <f>GEOMEAN(AC5:AC24,AC25:AC29,AC30:AC39)</f>
        <v>#NUM!</v>
      </c>
      <c r="AD46" s="56">
        <f>GEOMEAN(AD5:AD24,AD25:AD29,AD30:AD39)</f>
        <v>457.05950011686525</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F25" sqref="F25"/>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2" t="s">
        <v>564</v>
      </c>
      <c r="B1" s="58"/>
      <c r="C1" s="58"/>
      <c r="D1" s="58"/>
      <c r="E1" s="58"/>
      <c r="F1" s="58"/>
      <c r="H1" s="57" t="str">
        <f>Summary!$C$1</f>
        <v>ExtRec2_master+r21</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8.9" customHeight="1" x14ac:dyDescent="0.25">
      <c r="A3" s="61"/>
      <c r="B3" s="61"/>
      <c r="C3" s="61"/>
      <c r="D3" s="61"/>
      <c r="E3" s="61"/>
      <c r="F3" s="61"/>
      <c r="H3" s="61"/>
      <c r="I3" s="61"/>
      <c r="J3" s="10" t="s">
        <v>25</v>
      </c>
      <c r="K3" s="10" t="s">
        <v>23</v>
      </c>
      <c r="L3" s="10" t="s">
        <v>157</v>
      </c>
      <c r="M3" s="10" t="s">
        <v>158</v>
      </c>
      <c r="N3" s="61"/>
      <c r="O3" s="61"/>
      <c r="P3" s="61"/>
      <c r="Q3" s="11" t="s">
        <v>25</v>
      </c>
      <c r="R3" s="11" t="s">
        <v>157</v>
      </c>
      <c r="S3" s="11" t="s">
        <v>159</v>
      </c>
      <c r="T3" s="11" t="s">
        <v>24</v>
      </c>
      <c r="U3" s="10" t="s">
        <v>9</v>
      </c>
      <c r="V3" s="10" t="s">
        <v>10</v>
      </c>
      <c r="W3" s="11" t="s">
        <v>11</v>
      </c>
      <c r="X3" s="11" t="s">
        <v>12</v>
      </c>
      <c r="Y3" s="11" t="s">
        <v>13</v>
      </c>
      <c r="Z3" s="10" t="s">
        <v>160</v>
      </c>
      <c r="AA3" s="10" t="s">
        <v>161</v>
      </c>
      <c r="AB3" s="11" t="s">
        <v>160</v>
      </c>
      <c r="AC3" s="11" t="s">
        <v>161</v>
      </c>
      <c r="AE3" s="61"/>
      <c r="AF3" s="61"/>
      <c r="AG3" s="10" t="s">
        <v>25</v>
      </c>
      <c r="AH3" s="10" t="s">
        <v>23</v>
      </c>
      <c r="AI3" s="10" t="s">
        <v>157</v>
      </c>
      <c r="AJ3" s="10" t="s">
        <v>158</v>
      </c>
      <c r="AK3" s="61"/>
      <c r="AL3" s="61"/>
      <c r="AM3" s="61"/>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1"/>
      <c r="BG3" s="61"/>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300</v>
      </c>
      <c r="F5" s="15">
        <v>30</v>
      </c>
      <c r="H5" s="23" t="str">
        <f t="shared" ref="H5:H11" si="0">IF(ISBLANK(Q5),"·",Q5/(C5*(D5*3+IF(AND(ISNUMBER(T5),T5&gt;0),24,0))))</f>
        <v>·</v>
      </c>
      <c r="I5" s="16" t="str">
        <f t="shared" ref="I5:I11" si="1">IF(OR(ISBLANK(Q5),ISBLANK(F5)),"·",Q5*F5/E5/1000000)</f>
        <v>·</v>
      </c>
      <c r="J5" s="17" t="str">
        <f t="shared" ref="J5:J11" si="2">IF(ISBLANK(Q5),"·",Q5/C5)</f>
        <v>·</v>
      </c>
      <c r="K5" s="17" t="str">
        <f t="shared" ref="K5:K11" si="3">IF(N5="","·",N5/C5)</f>
        <v>·</v>
      </c>
      <c r="L5" s="17" t="str">
        <f t="shared" ref="L5:L11" si="4">IF(R5="","·",R5/C5)</f>
        <v>·</v>
      </c>
      <c r="M5" s="17" t="str">
        <f t="shared" ref="M5:M11" si="5">IF(ISBLANK(T5),"·",T5/C5)</f>
        <v>·</v>
      </c>
      <c r="N5" s="14" t="str">
        <f t="shared" ref="N5:N11" si="6">IF(OR(ISBLANK(R5),ISBLANK(S5)),"",R5+S5)</f>
        <v/>
      </c>
      <c r="O5" s="17" t="str">
        <f t="shared" ref="O5:O11" si="7">IF(ISBLANK(Q5),"·",Q5/P5)</f>
        <v>·</v>
      </c>
      <c r="P5" s="18"/>
      <c r="Q5" s="19"/>
      <c r="R5" s="19"/>
      <c r="S5" s="19"/>
      <c r="T5" s="19"/>
      <c r="U5" s="20"/>
      <c r="V5" s="20"/>
      <c r="W5" s="20"/>
      <c r="X5" s="20"/>
      <c r="Y5" s="20"/>
      <c r="Z5" s="21"/>
      <c r="AA5" s="21"/>
      <c r="AB5" s="21"/>
      <c r="AC5" s="21"/>
      <c r="AE5" s="23" t="str">
        <f t="shared" ref="AE5:AE11" si="8">IF(ISBLANK(Q5),"·",Q5/(C5*(D5*3+IF(AND(ISNUMBER(T5),T5&gt;0),24,0))))</f>
        <v>·</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300</v>
      </c>
      <c r="F6" s="25">
        <v>30</v>
      </c>
      <c r="H6" s="33" t="str">
        <f t="shared" si="0"/>
        <v>·</v>
      </c>
      <c r="I6" s="26" t="str">
        <f t="shared" si="1"/>
        <v>·</v>
      </c>
      <c r="J6" s="27" t="str">
        <f t="shared" si="2"/>
        <v>·</v>
      </c>
      <c r="K6" s="27" t="str">
        <f t="shared" si="3"/>
        <v>·</v>
      </c>
      <c r="L6" s="27" t="str">
        <f t="shared" si="4"/>
        <v>·</v>
      </c>
      <c r="M6" s="27" t="str">
        <f t="shared" si="5"/>
        <v>·</v>
      </c>
      <c r="N6" s="24" t="str">
        <f t="shared" si="6"/>
        <v/>
      </c>
      <c r="O6" s="27" t="str">
        <f t="shared" si="7"/>
        <v>·</v>
      </c>
      <c r="P6" s="28"/>
      <c r="Q6" s="29"/>
      <c r="R6" s="29"/>
      <c r="S6" s="29"/>
      <c r="T6" s="29"/>
      <c r="U6" s="30"/>
      <c r="V6" s="30"/>
      <c r="W6" s="30"/>
      <c r="X6" s="30"/>
      <c r="Y6" s="30"/>
      <c r="Z6" s="31"/>
      <c r="AA6" s="31"/>
      <c r="AB6" s="31"/>
      <c r="AC6" s="31"/>
      <c r="AE6" s="33" t="str">
        <f t="shared" si="8"/>
        <v>·</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300</v>
      </c>
      <c r="F7" s="15">
        <v>30</v>
      </c>
      <c r="H7" s="23" t="str">
        <f t="shared" si="0"/>
        <v>·</v>
      </c>
      <c r="I7" s="16" t="str">
        <f t="shared" si="1"/>
        <v>·</v>
      </c>
      <c r="J7" s="17" t="str">
        <f t="shared" si="2"/>
        <v>·</v>
      </c>
      <c r="K7" s="17" t="str">
        <f t="shared" si="3"/>
        <v>·</v>
      </c>
      <c r="L7" s="17" t="str">
        <f t="shared" si="4"/>
        <v>·</v>
      </c>
      <c r="M7" s="17" t="str">
        <f t="shared" si="5"/>
        <v>·</v>
      </c>
      <c r="N7" s="14" t="str">
        <f t="shared" si="6"/>
        <v/>
      </c>
      <c r="O7" s="17" t="str">
        <f t="shared" si="7"/>
        <v>·</v>
      </c>
      <c r="P7" s="18"/>
      <c r="Q7" s="19"/>
      <c r="R7" s="19"/>
      <c r="S7" s="19"/>
      <c r="T7" s="19"/>
      <c r="U7" s="20"/>
      <c r="V7" s="20"/>
      <c r="W7" s="20"/>
      <c r="X7" s="20"/>
      <c r="Y7" s="20"/>
      <c r="Z7" s="21"/>
      <c r="AA7" s="21"/>
      <c r="AB7" s="21"/>
      <c r="AC7" s="21"/>
      <c r="AE7" s="23" t="str">
        <f t="shared" si="8"/>
        <v>·</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250</v>
      </c>
      <c r="F8" s="45">
        <v>50</v>
      </c>
      <c r="H8" s="53" t="str">
        <f t="shared" si="0"/>
        <v>·</v>
      </c>
      <c r="I8" s="46" t="str">
        <f t="shared" si="1"/>
        <v>·</v>
      </c>
      <c r="J8" s="47" t="str">
        <f t="shared" si="2"/>
        <v>·</v>
      </c>
      <c r="K8" s="47" t="str">
        <f t="shared" si="3"/>
        <v>·</v>
      </c>
      <c r="L8" s="47" t="str">
        <f t="shared" si="4"/>
        <v>·</v>
      </c>
      <c r="M8" s="47" t="str">
        <f t="shared" si="5"/>
        <v>·</v>
      </c>
      <c r="N8" s="44" t="str">
        <f t="shared" si="6"/>
        <v/>
      </c>
      <c r="O8" s="47" t="str">
        <f t="shared" si="7"/>
        <v>·</v>
      </c>
      <c r="P8" s="48"/>
      <c r="Q8" s="49"/>
      <c r="R8" s="49"/>
      <c r="S8" s="49"/>
      <c r="T8" s="49"/>
      <c r="U8" s="50"/>
      <c r="V8" s="50"/>
      <c r="W8" s="50"/>
      <c r="X8" s="50"/>
      <c r="Y8" s="50"/>
      <c r="Z8" s="51"/>
      <c r="AA8" s="51"/>
      <c r="AB8" s="51"/>
      <c r="AC8" s="51"/>
      <c r="AE8" s="53" t="str">
        <f t="shared" si="8"/>
        <v>·</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300</v>
      </c>
      <c r="F9" s="35">
        <v>30</v>
      </c>
      <c r="H9" s="43" t="str">
        <f t="shared" si="0"/>
        <v>·</v>
      </c>
      <c r="I9" s="36" t="str">
        <f t="shared" si="1"/>
        <v>·</v>
      </c>
      <c r="J9" s="37" t="str">
        <f t="shared" si="2"/>
        <v>·</v>
      </c>
      <c r="K9" s="37" t="str">
        <f t="shared" si="3"/>
        <v>·</v>
      </c>
      <c r="L9" s="37" t="str">
        <f t="shared" si="4"/>
        <v>·</v>
      </c>
      <c r="M9" s="37" t="str">
        <f t="shared" si="5"/>
        <v>·</v>
      </c>
      <c r="N9" s="34" t="str">
        <f t="shared" si="6"/>
        <v/>
      </c>
      <c r="O9" s="37" t="str">
        <f t="shared" si="7"/>
        <v>·</v>
      </c>
      <c r="P9" s="38"/>
      <c r="Q9" s="39"/>
      <c r="R9" s="39"/>
      <c r="S9" s="39"/>
      <c r="T9" s="39"/>
      <c r="U9" s="40"/>
      <c r="V9" s="40"/>
      <c r="W9" s="40"/>
      <c r="X9" s="40"/>
      <c r="Y9" s="40"/>
      <c r="Z9" s="41"/>
      <c r="AA9" s="41"/>
      <c r="AB9" s="41"/>
      <c r="AC9" s="41"/>
      <c r="AE9" s="43" t="str">
        <f t="shared" si="8"/>
        <v>·</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64</v>
      </c>
      <c r="F10" s="25">
        <v>30</v>
      </c>
      <c r="H10" s="33" t="str">
        <f t="shared" si="0"/>
        <v>·</v>
      </c>
      <c r="I10" s="26" t="str">
        <f t="shared" si="1"/>
        <v>·</v>
      </c>
      <c r="J10" s="27" t="str">
        <f t="shared" si="2"/>
        <v>·</v>
      </c>
      <c r="K10" s="27" t="str">
        <f t="shared" si="3"/>
        <v>·</v>
      </c>
      <c r="L10" s="27" t="str">
        <f t="shared" si="4"/>
        <v>·</v>
      </c>
      <c r="M10" s="27" t="str">
        <f t="shared" si="5"/>
        <v>·</v>
      </c>
      <c r="N10" s="24" t="str">
        <f t="shared" si="6"/>
        <v/>
      </c>
      <c r="O10" s="27" t="str">
        <f t="shared" si="7"/>
        <v>·</v>
      </c>
      <c r="P10" s="28"/>
      <c r="Q10" s="29"/>
      <c r="R10" s="29"/>
      <c r="S10" s="29"/>
      <c r="T10" s="29"/>
      <c r="U10" s="30"/>
      <c r="V10" s="30"/>
      <c r="W10" s="30"/>
      <c r="X10" s="30"/>
      <c r="Y10" s="30"/>
      <c r="Z10" s="31"/>
      <c r="AA10" s="31"/>
      <c r="AB10" s="31"/>
      <c r="AC10" s="31"/>
      <c r="AE10" s="33" t="str">
        <f t="shared" si="8"/>
        <v>·</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64</v>
      </c>
      <c r="F11" s="35">
        <v>30</v>
      </c>
      <c r="H11" s="43" t="str">
        <f t="shared" si="0"/>
        <v>·</v>
      </c>
      <c r="I11" s="36" t="str">
        <f t="shared" si="1"/>
        <v>·</v>
      </c>
      <c r="J11" s="37" t="str">
        <f t="shared" si="2"/>
        <v>·</v>
      </c>
      <c r="K11" s="37" t="str">
        <f t="shared" si="3"/>
        <v>·</v>
      </c>
      <c r="L11" s="37" t="str">
        <f t="shared" si="4"/>
        <v>·</v>
      </c>
      <c r="M11" s="37" t="str">
        <f t="shared" si="5"/>
        <v>·</v>
      </c>
      <c r="N11" s="34" t="str">
        <f t="shared" si="6"/>
        <v/>
      </c>
      <c r="O11" s="37" t="str">
        <f t="shared" si="7"/>
        <v>·</v>
      </c>
      <c r="P11" s="38"/>
      <c r="Q11" s="39"/>
      <c r="R11" s="39"/>
      <c r="S11" s="39"/>
      <c r="T11" s="39"/>
      <c r="U11" s="40"/>
      <c r="V11" s="40"/>
      <c r="W11" s="40"/>
      <c r="X11" s="40"/>
      <c r="Y11" s="40"/>
      <c r="Z11" s="41"/>
      <c r="AA11" s="41"/>
      <c r="AB11" s="41"/>
      <c r="AC11" s="41"/>
      <c r="AE11" s="43" t="str">
        <f t="shared" si="8"/>
        <v>·</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t="e">
        <f>AVERAGE(J5:J8)</f>
        <v>#DIV/0!</v>
      </c>
      <c r="K12" s="55" t="e">
        <f>AVERAGE(K5:K8)</f>
        <v>#DIV/0!</v>
      </c>
      <c r="L12" s="55" t="e">
        <f>AVERAGE(L5:L8)</f>
        <v>#DIV/0!</v>
      </c>
      <c r="M12" s="55" t="e">
        <f>AVERAGE(M5:M8)</f>
        <v>#DIV/0!</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t="e">
        <f>AVERAGE(J9:J9)</f>
        <v>#DIV/0!</v>
      </c>
      <c r="K13" s="55" t="e">
        <f>AVERAGE(K9:K9)</f>
        <v>#DIV/0!</v>
      </c>
      <c r="L13" s="55" t="e">
        <f>AVERAGE(L9:L9)</f>
        <v>#DIV/0!</v>
      </c>
      <c r="M13" s="55" t="e">
        <f>AVERAGE(M9:M9)</f>
        <v>#DIV/0!</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t="e">
        <f>AVERAGE(J10:J11)</f>
        <v>#DIV/0!</v>
      </c>
      <c r="K14" s="55" t="e">
        <f>AVERAGE(K10:K11)</f>
        <v>#DIV/0!</v>
      </c>
      <c r="L14" s="55" t="e">
        <f>AVERAGE(L10:L11)</f>
        <v>#DIV/0!</v>
      </c>
      <c r="M14" s="55" t="e">
        <f>AVERAGE(M10:M11)</f>
        <v>#DIV/0!</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t="e">
        <f>AVERAGE(J5:J11)</f>
        <v>#DIV/0!</v>
      </c>
      <c r="K15" s="55" t="e">
        <f>AVERAGE(K5:K11)</f>
        <v>#DIV/0!</v>
      </c>
      <c r="L15" s="55" t="e">
        <f>AVERAGE(L5:L11)</f>
        <v>#DIV/0!</v>
      </c>
      <c r="M15" s="55" t="e">
        <f>AVERAGE(M5:M11)</f>
        <v>#DIV/0!</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0</v>
      </c>
      <c r="AA16" s="56">
        <f>SUM(AA5:AA8,AA9:AA9,AA10:AA11)</f>
        <v>0</v>
      </c>
      <c r="AB16" s="56">
        <f>SUM(AB5:AB8,AB9:AB9,AB10:AB11)</f>
        <v>0</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t="e">
        <f>AW16/Z16</f>
        <v>#DIV/0!</v>
      </c>
      <c r="AX17" s="7" t="e">
        <f>AX16/AA16</f>
        <v>#DIV/0!</v>
      </c>
      <c r="AY17" s="7" t="e">
        <f>AY16/AB16</f>
        <v>#DIV/0!</v>
      </c>
      <c r="AZ17" s="7" t="e">
        <f>AZ16/AC16</f>
        <v>#DIV/0!</v>
      </c>
    </row>
    <row r="18" spans="2:52" hidden="1" outlineLevel="2" x14ac:dyDescent="0.25">
      <c r="B18" s="54" t="s">
        <v>240</v>
      </c>
      <c r="Z18" s="56" t="e">
        <f>GEOMEAN(Z5:Z8,Z9:Z9,Z10:Z11)</f>
        <v>#NUM!</v>
      </c>
      <c r="AA18" s="56" t="e">
        <f>GEOMEAN(AA5:AA8,AA9:AA9,AA10:AA11)</f>
        <v>#NUM!</v>
      </c>
      <c r="AB18" s="56" t="e">
        <f>GEOMEAN(AB5:AB8,AB9:AB9,AB10:AB11)</f>
        <v>#NUM!</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G34" sqref="G34"/>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2" t="s">
        <v>571</v>
      </c>
      <c r="B1" s="58"/>
      <c r="C1" s="58"/>
      <c r="D1" s="58"/>
      <c r="E1" s="58"/>
      <c r="F1" s="58"/>
      <c r="H1" s="57" t="str">
        <f>Summary!$C$1</f>
        <v>ExtRec2_master+r21</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8.9" customHeight="1" x14ac:dyDescent="0.25">
      <c r="A3" s="61"/>
      <c r="B3" s="61"/>
      <c r="C3" s="61"/>
      <c r="D3" s="61"/>
      <c r="E3" s="61"/>
      <c r="F3" s="61"/>
      <c r="H3" s="61"/>
      <c r="I3" s="61"/>
      <c r="J3" s="10" t="s">
        <v>25</v>
      </c>
      <c r="K3" s="10" t="s">
        <v>23</v>
      </c>
      <c r="L3" s="10" t="s">
        <v>157</v>
      </c>
      <c r="M3" s="10" t="s">
        <v>158</v>
      </c>
      <c r="N3" s="61"/>
      <c r="O3" s="61"/>
      <c r="P3" s="61"/>
      <c r="Q3" s="11" t="s">
        <v>25</v>
      </c>
      <c r="R3" s="11" t="s">
        <v>157</v>
      </c>
      <c r="S3" s="11" t="s">
        <v>159</v>
      </c>
      <c r="T3" s="11" t="s">
        <v>24</v>
      </c>
      <c r="U3" s="10" t="s">
        <v>9</v>
      </c>
      <c r="V3" s="10" t="s">
        <v>10</v>
      </c>
      <c r="W3" s="11" t="s">
        <v>11</v>
      </c>
      <c r="X3" s="11" t="s">
        <v>12</v>
      </c>
      <c r="Y3" s="11" t="s">
        <v>13</v>
      </c>
      <c r="Z3" s="10" t="s">
        <v>160</v>
      </c>
      <c r="AA3" s="10" t="s">
        <v>161</v>
      </c>
      <c r="AB3" s="11" t="s">
        <v>160</v>
      </c>
      <c r="AC3" s="11" t="s">
        <v>161</v>
      </c>
      <c r="AE3" s="61"/>
      <c r="AF3" s="61"/>
      <c r="AG3" s="10" t="s">
        <v>25</v>
      </c>
      <c r="AH3" s="10" t="s">
        <v>23</v>
      </c>
      <c r="AI3" s="10" t="s">
        <v>157</v>
      </c>
      <c r="AJ3" s="10" t="s">
        <v>158</v>
      </c>
      <c r="AK3" s="61"/>
      <c r="AL3" s="61"/>
      <c r="AM3" s="61"/>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1"/>
      <c r="BG3" s="61"/>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300</v>
      </c>
      <c r="F5" s="15">
        <v>30</v>
      </c>
      <c r="H5" s="23" t="str">
        <f t="shared" ref="H5:H11" si="0">IF(ISBLANK(Q5),"·",Q5/(C5*(D5*3+IF(AND(ISNUMBER(T5),T5&gt;0),24,0))))</f>
        <v>·</v>
      </c>
      <c r="I5" s="16" t="str">
        <f t="shared" ref="I5:I11" si="1">IF(OR(ISBLANK(Q5),ISBLANK(F5)),"·",Q5*F5/E5/1000000)</f>
        <v>·</v>
      </c>
      <c r="J5" s="17" t="str">
        <f t="shared" ref="J5:J11" si="2">IF(ISBLANK(Q5),"·",Q5/C5)</f>
        <v>·</v>
      </c>
      <c r="K5" s="17" t="str">
        <f t="shared" ref="K5:K11" si="3">IF(N5="","·",N5/C5)</f>
        <v>·</v>
      </c>
      <c r="L5" s="17" t="str">
        <f t="shared" ref="L5:L11" si="4">IF(R5="","·",R5/C5)</f>
        <v>·</v>
      </c>
      <c r="M5" s="17" t="str">
        <f t="shared" ref="M5:M11" si="5">IF(ISBLANK(T5),"·",T5/C5)</f>
        <v>·</v>
      </c>
      <c r="N5" s="14" t="str">
        <f t="shared" ref="N5:N11" si="6">IF(OR(ISBLANK(R5),ISBLANK(S5)),"",R5+S5)</f>
        <v/>
      </c>
      <c r="O5" s="17" t="str">
        <f t="shared" ref="O5:O11" si="7">IF(ISBLANK(Q5),"·",Q5/P5)</f>
        <v>·</v>
      </c>
      <c r="P5" s="18"/>
      <c r="Q5" s="19"/>
      <c r="R5" s="19"/>
      <c r="S5" s="19"/>
      <c r="T5" s="19"/>
      <c r="U5" s="20"/>
      <c r="V5" s="20"/>
      <c r="W5" s="20"/>
      <c r="X5" s="20"/>
      <c r="Y5" s="20"/>
      <c r="Z5" s="21"/>
      <c r="AA5" s="21"/>
      <c r="AB5" s="21"/>
      <c r="AC5" s="21"/>
      <c r="AE5" s="23" t="str">
        <f t="shared" ref="AE5:AE11" si="8">IF(ISBLANK(Q5),"·",Q5/(C5*(D5*3+IF(AND(ISNUMBER(T5),T5&gt;0),24,0))))</f>
        <v>·</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300</v>
      </c>
      <c r="F6" s="25">
        <v>30</v>
      </c>
      <c r="H6" s="33" t="str">
        <f t="shared" si="0"/>
        <v>·</v>
      </c>
      <c r="I6" s="26" t="str">
        <f t="shared" si="1"/>
        <v>·</v>
      </c>
      <c r="J6" s="27" t="str">
        <f t="shared" si="2"/>
        <v>·</v>
      </c>
      <c r="K6" s="27" t="str">
        <f t="shared" si="3"/>
        <v>·</v>
      </c>
      <c r="L6" s="27" t="str">
        <f t="shared" si="4"/>
        <v>·</v>
      </c>
      <c r="M6" s="27" t="str">
        <f t="shared" si="5"/>
        <v>·</v>
      </c>
      <c r="N6" s="24" t="str">
        <f t="shared" si="6"/>
        <v/>
      </c>
      <c r="O6" s="27" t="str">
        <f t="shared" si="7"/>
        <v>·</v>
      </c>
      <c r="P6" s="28"/>
      <c r="Q6" s="29"/>
      <c r="R6" s="29"/>
      <c r="S6" s="29"/>
      <c r="T6" s="29"/>
      <c r="U6" s="30"/>
      <c r="V6" s="30"/>
      <c r="W6" s="30"/>
      <c r="X6" s="30"/>
      <c r="Y6" s="30"/>
      <c r="Z6" s="31"/>
      <c r="AA6" s="31"/>
      <c r="AB6" s="31"/>
      <c r="AC6" s="31"/>
      <c r="AE6" s="33" t="str">
        <f t="shared" si="8"/>
        <v>·</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300</v>
      </c>
      <c r="F7" s="15">
        <v>30</v>
      </c>
      <c r="H7" s="23" t="str">
        <f t="shared" si="0"/>
        <v>·</v>
      </c>
      <c r="I7" s="16" t="str">
        <f t="shared" si="1"/>
        <v>·</v>
      </c>
      <c r="J7" s="17" t="str">
        <f t="shared" si="2"/>
        <v>·</v>
      </c>
      <c r="K7" s="17" t="str">
        <f t="shared" si="3"/>
        <v>·</v>
      </c>
      <c r="L7" s="17" t="str">
        <f t="shared" si="4"/>
        <v>·</v>
      </c>
      <c r="M7" s="17" t="str">
        <f t="shared" si="5"/>
        <v>·</v>
      </c>
      <c r="N7" s="14" t="str">
        <f t="shared" si="6"/>
        <v/>
      </c>
      <c r="O7" s="17" t="str">
        <f t="shared" si="7"/>
        <v>·</v>
      </c>
      <c r="P7" s="18"/>
      <c r="Q7" s="19"/>
      <c r="R7" s="19"/>
      <c r="S7" s="19"/>
      <c r="T7" s="19"/>
      <c r="U7" s="20"/>
      <c r="V7" s="20"/>
      <c r="W7" s="20"/>
      <c r="X7" s="20"/>
      <c r="Y7" s="20"/>
      <c r="Z7" s="21"/>
      <c r="AA7" s="21"/>
      <c r="AB7" s="21"/>
      <c r="AC7" s="21"/>
      <c r="AE7" s="23" t="str">
        <f t="shared" si="8"/>
        <v>·</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250</v>
      </c>
      <c r="F8" s="45">
        <v>50</v>
      </c>
      <c r="H8" s="53" t="str">
        <f t="shared" si="0"/>
        <v>·</v>
      </c>
      <c r="I8" s="46" t="str">
        <f t="shared" si="1"/>
        <v>·</v>
      </c>
      <c r="J8" s="47" t="str">
        <f t="shared" si="2"/>
        <v>·</v>
      </c>
      <c r="K8" s="47" t="str">
        <f t="shared" si="3"/>
        <v>·</v>
      </c>
      <c r="L8" s="47" t="str">
        <f t="shared" si="4"/>
        <v>·</v>
      </c>
      <c r="M8" s="47" t="str">
        <f t="shared" si="5"/>
        <v>·</v>
      </c>
      <c r="N8" s="44" t="str">
        <f t="shared" si="6"/>
        <v/>
      </c>
      <c r="O8" s="47" t="str">
        <f t="shared" si="7"/>
        <v>·</v>
      </c>
      <c r="P8" s="48"/>
      <c r="Q8" s="49"/>
      <c r="R8" s="49"/>
      <c r="S8" s="49"/>
      <c r="T8" s="49"/>
      <c r="U8" s="50"/>
      <c r="V8" s="50"/>
      <c r="W8" s="50"/>
      <c r="X8" s="50"/>
      <c r="Y8" s="50"/>
      <c r="Z8" s="51"/>
      <c r="AA8" s="51"/>
      <c r="AB8" s="51"/>
      <c r="AC8" s="51"/>
      <c r="AE8" s="53" t="str">
        <f t="shared" si="8"/>
        <v>·</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300</v>
      </c>
      <c r="F9" s="35">
        <v>30</v>
      </c>
      <c r="H9" s="43" t="str">
        <f t="shared" si="0"/>
        <v>·</v>
      </c>
      <c r="I9" s="36" t="str">
        <f t="shared" si="1"/>
        <v>·</v>
      </c>
      <c r="J9" s="37" t="str">
        <f t="shared" si="2"/>
        <v>·</v>
      </c>
      <c r="K9" s="37" t="str">
        <f t="shared" si="3"/>
        <v>·</v>
      </c>
      <c r="L9" s="37" t="str">
        <f t="shared" si="4"/>
        <v>·</v>
      </c>
      <c r="M9" s="37" t="str">
        <f t="shared" si="5"/>
        <v>·</v>
      </c>
      <c r="N9" s="34" t="str">
        <f t="shared" si="6"/>
        <v/>
      </c>
      <c r="O9" s="37" t="str">
        <f t="shared" si="7"/>
        <v>·</v>
      </c>
      <c r="P9" s="38"/>
      <c r="Q9" s="39"/>
      <c r="R9" s="39"/>
      <c r="S9" s="39"/>
      <c r="T9" s="39"/>
      <c r="U9" s="40"/>
      <c r="V9" s="40"/>
      <c r="W9" s="40"/>
      <c r="X9" s="40"/>
      <c r="Y9" s="40"/>
      <c r="Z9" s="41"/>
      <c r="AA9" s="41"/>
      <c r="AB9" s="41"/>
      <c r="AC9" s="41"/>
      <c r="AE9" s="43" t="str">
        <f t="shared" si="8"/>
        <v>·</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64</v>
      </c>
      <c r="F10" s="25">
        <v>30</v>
      </c>
      <c r="H10" s="33" t="str">
        <f t="shared" si="0"/>
        <v>·</v>
      </c>
      <c r="I10" s="26" t="str">
        <f t="shared" si="1"/>
        <v>·</v>
      </c>
      <c r="J10" s="27" t="str">
        <f t="shared" si="2"/>
        <v>·</v>
      </c>
      <c r="K10" s="27" t="str">
        <f t="shared" si="3"/>
        <v>·</v>
      </c>
      <c r="L10" s="27" t="str">
        <f t="shared" si="4"/>
        <v>·</v>
      </c>
      <c r="M10" s="27" t="str">
        <f t="shared" si="5"/>
        <v>·</v>
      </c>
      <c r="N10" s="24" t="str">
        <f t="shared" si="6"/>
        <v/>
      </c>
      <c r="O10" s="27" t="str">
        <f t="shared" si="7"/>
        <v>·</v>
      </c>
      <c r="P10" s="28"/>
      <c r="Q10" s="29"/>
      <c r="R10" s="29"/>
      <c r="S10" s="29"/>
      <c r="T10" s="29"/>
      <c r="U10" s="30"/>
      <c r="V10" s="30"/>
      <c r="W10" s="30"/>
      <c r="X10" s="30"/>
      <c r="Y10" s="30"/>
      <c r="Z10" s="31"/>
      <c r="AA10" s="31"/>
      <c r="AB10" s="31"/>
      <c r="AC10" s="31"/>
      <c r="AE10" s="33" t="str">
        <f t="shared" si="8"/>
        <v>·</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64</v>
      </c>
      <c r="F11" s="35">
        <v>30</v>
      </c>
      <c r="H11" s="43" t="str">
        <f t="shared" si="0"/>
        <v>·</v>
      </c>
      <c r="I11" s="36" t="str">
        <f t="shared" si="1"/>
        <v>·</v>
      </c>
      <c r="J11" s="37" t="str">
        <f t="shared" si="2"/>
        <v>·</v>
      </c>
      <c r="K11" s="37" t="str">
        <f t="shared" si="3"/>
        <v>·</v>
      </c>
      <c r="L11" s="37" t="str">
        <f t="shared" si="4"/>
        <v>·</v>
      </c>
      <c r="M11" s="37" t="str">
        <f t="shared" si="5"/>
        <v>·</v>
      </c>
      <c r="N11" s="34" t="str">
        <f t="shared" si="6"/>
        <v/>
      </c>
      <c r="O11" s="37" t="str">
        <f t="shared" si="7"/>
        <v>·</v>
      </c>
      <c r="P11" s="38"/>
      <c r="Q11" s="39"/>
      <c r="R11" s="39"/>
      <c r="S11" s="39"/>
      <c r="T11" s="39"/>
      <c r="U11" s="40"/>
      <c r="V11" s="40"/>
      <c r="W11" s="40"/>
      <c r="X11" s="40"/>
      <c r="Y11" s="40"/>
      <c r="Z11" s="41"/>
      <c r="AA11" s="41"/>
      <c r="AB11" s="41"/>
      <c r="AC11" s="41"/>
      <c r="AE11" s="43" t="str">
        <f t="shared" si="8"/>
        <v>·</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t="e">
        <f>AVERAGE(J5:J8)</f>
        <v>#DIV/0!</v>
      </c>
      <c r="K12" s="55" t="e">
        <f>AVERAGE(K5:K8)</f>
        <v>#DIV/0!</v>
      </c>
      <c r="L12" s="55" t="e">
        <f>AVERAGE(L5:L8)</f>
        <v>#DIV/0!</v>
      </c>
      <c r="M12" s="55" t="e">
        <f>AVERAGE(M5:M8)</f>
        <v>#DIV/0!</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t="e">
        <f>AVERAGE(J9:J9)</f>
        <v>#DIV/0!</v>
      </c>
      <c r="K13" s="55" t="e">
        <f>AVERAGE(K9:K9)</f>
        <v>#DIV/0!</v>
      </c>
      <c r="L13" s="55" t="e">
        <f>AVERAGE(L9:L9)</f>
        <v>#DIV/0!</v>
      </c>
      <c r="M13" s="55" t="e">
        <f>AVERAGE(M9:M9)</f>
        <v>#DIV/0!</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t="e">
        <f>AVERAGE(J10:J11)</f>
        <v>#DIV/0!</v>
      </c>
      <c r="K14" s="55" t="e">
        <f>AVERAGE(K10:K11)</f>
        <v>#DIV/0!</v>
      </c>
      <c r="L14" s="55" t="e">
        <f>AVERAGE(L10:L11)</f>
        <v>#DIV/0!</v>
      </c>
      <c r="M14" s="55" t="e">
        <f>AVERAGE(M10:M11)</f>
        <v>#DIV/0!</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t="e">
        <f>AVERAGE(J5:J11)</f>
        <v>#DIV/0!</v>
      </c>
      <c r="K15" s="55" t="e">
        <f>AVERAGE(K5:K11)</f>
        <v>#DIV/0!</v>
      </c>
      <c r="L15" s="55" t="e">
        <f>AVERAGE(L5:L11)</f>
        <v>#DIV/0!</v>
      </c>
      <c r="M15" s="55" t="e">
        <f>AVERAGE(M5:M11)</f>
        <v>#DIV/0!</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0</v>
      </c>
      <c r="AA16" s="56">
        <f>SUM(AA5:AA8,AA9:AA9,AA10:AA11)</f>
        <v>0</v>
      </c>
      <c r="AB16" s="56">
        <f>SUM(AB5:AB8,AB9:AB9,AB10:AB11)</f>
        <v>0</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t="e">
        <f>AW16/Z16</f>
        <v>#DIV/0!</v>
      </c>
      <c r="AX17" s="7" t="e">
        <f>AX16/AA16</f>
        <v>#DIV/0!</v>
      </c>
      <c r="AY17" s="7" t="e">
        <f>AY16/AB16</f>
        <v>#DIV/0!</v>
      </c>
      <c r="AZ17" s="7" t="e">
        <f>AZ16/AC16</f>
        <v>#DIV/0!</v>
      </c>
    </row>
    <row r="18" spans="2:52" hidden="1" outlineLevel="2" x14ac:dyDescent="0.25">
      <c r="B18" s="54" t="s">
        <v>240</v>
      </c>
      <c r="Z18" s="56" t="e">
        <f>GEOMEAN(Z5:Z8,Z9:Z9,Z10:Z11)</f>
        <v>#NUM!</v>
      </c>
      <c r="AA18" s="56" t="e">
        <f>GEOMEAN(AA5:AA8,AA9:AA9,AA10:AA11)</f>
        <v>#NUM!</v>
      </c>
      <c r="AB18" s="56" t="e">
        <f>GEOMEAN(AB5:AB8,AB9:AB9,AB10:AB11)</f>
        <v>#NUM!</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F49" sqref="F49"/>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2" t="s">
        <v>572</v>
      </c>
      <c r="B1" s="58"/>
      <c r="C1" s="58"/>
      <c r="D1" s="58"/>
      <c r="E1" s="58"/>
      <c r="F1" s="58"/>
      <c r="G1" s="58"/>
      <c r="I1" s="57" t="str">
        <f>Summary!$C$1</f>
        <v>ExtRec2_master+r21</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x14ac:dyDescent="0.25">
      <c r="A3" s="61"/>
      <c r="B3" s="61"/>
      <c r="C3" s="61"/>
      <c r="D3" s="61"/>
      <c r="E3" s="61"/>
      <c r="F3" s="61"/>
      <c r="G3" s="61"/>
      <c r="I3" s="61"/>
      <c r="J3" s="10" t="s">
        <v>25</v>
      </c>
      <c r="K3" s="10" t="s">
        <v>23</v>
      </c>
      <c r="L3" s="10" t="s">
        <v>157</v>
      </c>
      <c r="M3" s="10" t="s">
        <v>158</v>
      </c>
      <c r="N3" s="61"/>
      <c r="O3" s="61"/>
      <c r="P3" s="61"/>
      <c r="Q3" s="61"/>
      <c r="R3" s="61"/>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1"/>
      <c r="AH3" s="11" t="s">
        <v>25</v>
      </c>
      <c r="AI3" s="11" t="s">
        <v>23</v>
      </c>
      <c r="AJ3" s="11" t="s">
        <v>157</v>
      </c>
      <c r="AK3" s="11" t="s">
        <v>158</v>
      </c>
      <c r="AL3" s="61"/>
      <c r="AM3" s="61"/>
      <c r="AN3" s="61"/>
      <c r="AO3" s="61"/>
      <c r="AP3" s="61"/>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1"/>
      <c r="BF3" s="61"/>
      <c r="BG3" s="61"/>
      <c r="BH3" s="61"/>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300</v>
      </c>
      <c r="G5" s="15">
        <v>30</v>
      </c>
      <c r="I5" s="16">
        <f t="shared" ref="I5:I39" si="0">IF(OR(ISBLANK(S5),ISBLANK(G5)),"·",S5*G5/F5/1000000)</f>
        <v>1.0367839999999999</v>
      </c>
      <c r="J5" s="17">
        <f t="shared" ref="J5:J39" si="1">IF(ISBLANK(S5),"·",S5/D5)</f>
        <v>4.3535574721348599E-2</v>
      </c>
      <c r="K5" s="17">
        <f t="shared" ref="K5:K39" si="2">IF(N5="","·",N5/D5)</f>
        <v>3.6844765789459305E-2</v>
      </c>
      <c r="L5" s="17">
        <f t="shared" ref="L5:L39" si="3">IF(T5="","·",T5/D5)</f>
        <v>2.2069551329039455E-2</v>
      </c>
      <c r="M5" s="17">
        <f t="shared" ref="M5:M39" si="4">IF(ISBLANK(V5),"·",V5/D5)</f>
        <v>6.6908089318892935E-3</v>
      </c>
      <c r="N5" s="14">
        <f t="shared" ref="N5:N39" si="5">IF(OR(ISBLANK(T5),ISBLANK(U5)),"",T5+U5)</f>
        <v>8774448</v>
      </c>
      <c r="O5" s="17">
        <v>32</v>
      </c>
      <c r="P5" s="18">
        <v>232146411</v>
      </c>
      <c r="Q5" s="18">
        <v>773821.37</v>
      </c>
      <c r="R5" s="18">
        <v>23344.8266666667</v>
      </c>
      <c r="S5" s="19">
        <v>10367840</v>
      </c>
      <c r="T5" s="19">
        <v>5255784</v>
      </c>
      <c r="U5" s="19">
        <v>3518664</v>
      </c>
      <c r="V5" s="19">
        <v>1593392</v>
      </c>
      <c r="W5" s="20">
        <v>67.019785357999993</v>
      </c>
      <c r="X5" s="20">
        <v>69.023823503000003</v>
      </c>
      <c r="Y5" s="20">
        <v>32.226160203333301</v>
      </c>
      <c r="Z5" s="20">
        <v>44.336514596666703</v>
      </c>
      <c r="AA5" s="20">
        <v>43.782871751999998</v>
      </c>
      <c r="AB5" s="21">
        <v>80696.012000000002</v>
      </c>
      <c r="AC5" s="21">
        <v>0</v>
      </c>
      <c r="AD5" s="21">
        <v>458.959</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300</v>
      </c>
      <c r="G6" s="25">
        <v>30</v>
      </c>
      <c r="I6" s="26">
        <f t="shared" si="0"/>
        <v>1.4283216000000001</v>
      </c>
      <c r="J6" s="27">
        <f t="shared" si="1"/>
        <v>5.9976621690647415E-2</v>
      </c>
      <c r="K6" s="27">
        <f t="shared" si="2"/>
        <v>4.6487406143391863E-2</v>
      </c>
      <c r="L6" s="27">
        <f t="shared" si="3"/>
        <v>3.1712191682972006E-2</v>
      </c>
      <c r="M6" s="27">
        <f t="shared" si="4"/>
        <v>1.3489215547255554E-2</v>
      </c>
      <c r="N6" s="24">
        <f t="shared" si="5"/>
        <v>11070808</v>
      </c>
      <c r="O6" s="27">
        <v>32</v>
      </c>
      <c r="P6" s="28">
        <v>236231276</v>
      </c>
      <c r="Q6" s="28">
        <v>787437.58666666702</v>
      </c>
      <c r="R6" s="28">
        <v>26807.393333333301</v>
      </c>
      <c r="S6" s="29">
        <v>14283216</v>
      </c>
      <c r="T6" s="29">
        <v>7552144</v>
      </c>
      <c r="U6" s="29">
        <v>3518664</v>
      </c>
      <c r="V6" s="29">
        <v>3212408</v>
      </c>
      <c r="W6" s="30">
        <v>68.615262819666697</v>
      </c>
      <c r="X6" s="30">
        <v>70.997713886</v>
      </c>
      <c r="Y6" s="30">
        <v>34.384242377666702</v>
      </c>
      <c r="Z6" s="30">
        <v>45.806982271999999</v>
      </c>
      <c r="AA6" s="30">
        <v>45.342388267666699</v>
      </c>
      <c r="AB6" s="31">
        <v>106505.55100000001</v>
      </c>
      <c r="AC6" s="31">
        <v>0</v>
      </c>
      <c r="AD6" s="31">
        <v>451.90800000000002</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300</v>
      </c>
      <c r="G7" s="15">
        <v>30</v>
      </c>
      <c r="I7" s="16">
        <f t="shared" si="0"/>
        <v>2.1647159999999999</v>
      </c>
      <c r="J7" s="17">
        <f t="shared" si="1"/>
        <v>9.0898543157011347E-2</v>
      </c>
      <c r="K7" s="17">
        <f t="shared" si="2"/>
        <v>6.237057776785708E-2</v>
      </c>
      <c r="L7" s="17">
        <f t="shared" si="3"/>
        <v>4.759536330743723E-2</v>
      </c>
      <c r="M7" s="17">
        <f t="shared" si="4"/>
        <v>2.852796538915427E-2</v>
      </c>
      <c r="N7" s="14">
        <f t="shared" si="5"/>
        <v>14853328</v>
      </c>
      <c r="O7" s="17">
        <v>32</v>
      </c>
      <c r="P7" s="18">
        <v>242697778</v>
      </c>
      <c r="Q7" s="18">
        <v>808992.59333333303</v>
      </c>
      <c r="R7" s="18">
        <v>30112.8266666667</v>
      </c>
      <c r="S7" s="19">
        <v>21647160</v>
      </c>
      <c r="T7" s="19">
        <v>11334664</v>
      </c>
      <c r="U7" s="19">
        <v>3518664</v>
      </c>
      <c r="V7" s="19">
        <v>6793832</v>
      </c>
      <c r="W7" s="20">
        <v>70.066724659666704</v>
      </c>
      <c r="X7" s="20">
        <v>72.616070324999995</v>
      </c>
      <c r="Y7" s="20">
        <v>36.7926116603333</v>
      </c>
      <c r="Z7" s="20">
        <v>47.058410735666698</v>
      </c>
      <c r="AA7" s="20">
        <v>46.655275717666697</v>
      </c>
      <c r="AB7" s="21">
        <v>154360.93700000001</v>
      </c>
      <c r="AC7" s="21">
        <v>0</v>
      </c>
      <c r="AD7" s="21">
        <v>461.75799999999998</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300</v>
      </c>
      <c r="G8" s="25">
        <v>30</v>
      </c>
      <c r="I8" s="26">
        <f t="shared" si="0"/>
        <v>3.6703304000000001</v>
      </c>
      <c r="J8" s="27">
        <f t="shared" si="1"/>
        <v>0.15412076515574827</v>
      </c>
      <c r="K8" s="27">
        <f t="shared" si="2"/>
        <v>8.9640090325786209E-2</v>
      </c>
      <c r="L8" s="27">
        <f t="shared" si="3"/>
        <v>7.4864875865366359E-2</v>
      </c>
      <c r="M8" s="27">
        <f t="shared" si="4"/>
        <v>6.4480674829962045E-2</v>
      </c>
      <c r="N8" s="24">
        <f t="shared" si="5"/>
        <v>21347464</v>
      </c>
      <c r="O8" s="27">
        <v>32</v>
      </c>
      <c r="P8" s="28">
        <v>245795397</v>
      </c>
      <c r="Q8" s="28">
        <v>819317.99</v>
      </c>
      <c r="R8" s="28">
        <v>32554.366666666701</v>
      </c>
      <c r="S8" s="29">
        <v>36703304</v>
      </c>
      <c r="T8" s="29">
        <v>17828800</v>
      </c>
      <c r="U8" s="29">
        <v>3518664</v>
      </c>
      <c r="V8" s="29">
        <v>15355840</v>
      </c>
      <c r="W8" s="30">
        <v>71.222609398333304</v>
      </c>
      <c r="X8" s="30">
        <v>73.994586113666699</v>
      </c>
      <c r="Y8" s="30">
        <v>39.281053071999999</v>
      </c>
      <c r="Z8" s="30">
        <v>48.617133754666597</v>
      </c>
      <c r="AA8" s="30">
        <v>48.365229282999998</v>
      </c>
      <c r="AB8" s="31">
        <v>219341.86799999999</v>
      </c>
      <c r="AC8" s="31">
        <v>0</v>
      </c>
      <c r="AD8" s="31">
        <v>476.678</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300</v>
      </c>
      <c r="G9" s="35">
        <v>30</v>
      </c>
      <c r="I9" s="36">
        <f t="shared" si="0"/>
        <v>7.2985167999999998</v>
      </c>
      <c r="J9" s="37">
        <f t="shared" si="1"/>
        <v>0.30647186251082009</v>
      </c>
      <c r="K9" s="37">
        <f t="shared" si="2"/>
        <v>0.14573315116918989</v>
      </c>
      <c r="L9" s="37">
        <f t="shared" si="3"/>
        <v>0.11426108069804845</v>
      </c>
      <c r="M9" s="37">
        <f t="shared" si="4"/>
        <v>0.1607387113416302</v>
      </c>
      <c r="N9" s="34">
        <f t="shared" si="5"/>
        <v>34705824</v>
      </c>
      <c r="O9" s="37">
        <v>32</v>
      </c>
      <c r="P9" s="38">
        <v>243441266</v>
      </c>
      <c r="Q9" s="38">
        <v>811470.88666666695</v>
      </c>
      <c r="R9" s="38">
        <v>30896.21</v>
      </c>
      <c r="S9" s="39">
        <v>72985168</v>
      </c>
      <c r="T9" s="39">
        <v>27210864</v>
      </c>
      <c r="U9" s="39">
        <v>7494960</v>
      </c>
      <c r="V9" s="39">
        <v>38279344</v>
      </c>
      <c r="W9" s="40">
        <v>72.191604205666593</v>
      </c>
      <c r="X9" s="40">
        <v>75.736220432333297</v>
      </c>
      <c r="Y9" s="40">
        <v>41.900769558333302</v>
      </c>
      <c r="Z9" s="40">
        <v>50.028762460333297</v>
      </c>
      <c r="AA9" s="40">
        <v>49.8526108466667</v>
      </c>
      <c r="AB9" s="41">
        <v>313825.97399999999</v>
      </c>
      <c r="AC9" s="41">
        <v>0</v>
      </c>
      <c r="AD9" s="41">
        <v>481.43299999999999</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300</v>
      </c>
      <c r="G10" s="25">
        <v>30</v>
      </c>
      <c r="I10" s="26">
        <f t="shared" si="0"/>
        <v>1.8670328</v>
      </c>
      <c r="J10" s="27">
        <f t="shared" si="1"/>
        <v>8.5596101639655989E-2</v>
      </c>
      <c r="K10" s="27">
        <f t="shared" si="2"/>
        <v>6.7848467505058491E-2</v>
      </c>
      <c r="L10" s="27">
        <f t="shared" si="3"/>
        <v>3.798525959246097E-2</v>
      </c>
      <c r="M10" s="27">
        <f t="shared" si="4"/>
        <v>1.7747634134597491E-2</v>
      </c>
      <c r="N10" s="24">
        <f t="shared" si="5"/>
        <v>14799192</v>
      </c>
      <c r="O10" s="27">
        <v>32</v>
      </c>
      <c r="P10" s="28">
        <v>219987077</v>
      </c>
      <c r="Q10" s="28">
        <v>733290.25666666694</v>
      </c>
      <c r="R10" s="28">
        <v>33300.346666666701</v>
      </c>
      <c r="S10" s="29">
        <v>18670328</v>
      </c>
      <c r="T10" s="29">
        <v>8285392</v>
      </c>
      <c r="U10" s="29">
        <v>6513800</v>
      </c>
      <c r="V10" s="29">
        <v>3871136</v>
      </c>
      <c r="W10" s="30">
        <v>66.3825800106667</v>
      </c>
      <c r="X10" s="30">
        <v>68.351823445999997</v>
      </c>
      <c r="Y10" s="30">
        <v>31.4574265223333</v>
      </c>
      <c r="Z10" s="30">
        <v>38.725692051333297</v>
      </c>
      <c r="AA10" s="30">
        <v>29.6062156043333</v>
      </c>
      <c r="AB10" s="31">
        <v>113601.274</v>
      </c>
      <c r="AC10" s="31">
        <v>0</v>
      </c>
      <c r="AD10" s="31">
        <v>442.77800000000002</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300</v>
      </c>
      <c r="G11" s="15">
        <v>30</v>
      </c>
      <c r="I11" s="16">
        <f t="shared" si="0"/>
        <v>2.5645487999999999</v>
      </c>
      <c r="J11" s="17">
        <f t="shared" si="1"/>
        <v>0.1175744634720171</v>
      </c>
      <c r="K11" s="17">
        <f t="shared" si="2"/>
        <v>8.4994381244170622E-2</v>
      </c>
      <c r="L11" s="17">
        <f t="shared" si="3"/>
        <v>5.5131173331573087E-2</v>
      </c>
      <c r="M11" s="17">
        <f t="shared" si="4"/>
        <v>3.2580082227846474E-2</v>
      </c>
      <c r="N11" s="14">
        <f t="shared" si="5"/>
        <v>18539080</v>
      </c>
      <c r="O11" s="17">
        <v>32</v>
      </c>
      <c r="P11" s="18">
        <v>221891841</v>
      </c>
      <c r="Q11" s="18">
        <v>739639.47</v>
      </c>
      <c r="R11" s="18">
        <v>37757.5</v>
      </c>
      <c r="S11" s="19">
        <v>25645488</v>
      </c>
      <c r="T11" s="19">
        <v>12025280</v>
      </c>
      <c r="U11" s="19">
        <v>6513800</v>
      </c>
      <c r="V11" s="19">
        <v>7106408</v>
      </c>
      <c r="W11" s="20">
        <v>67.902142550666696</v>
      </c>
      <c r="X11" s="20">
        <v>70.174847391</v>
      </c>
      <c r="Y11" s="20">
        <v>33.290698521333397</v>
      </c>
      <c r="Z11" s="20">
        <v>39.822384214666698</v>
      </c>
      <c r="AA11" s="20">
        <v>31.838022295333399</v>
      </c>
      <c r="AB11" s="21">
        <v>145271.37</v>
      </c>
      <c r="AC11" s="21">
        <v>0</v>
      </c>
      <c r="AD11" s="21">
        <v>443.89499999999998</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300</v>
      </c>
      <c r="G12" s="25">
        <v>30</v>
      </c>
      <c r="I12" s="26">
        <f t="shared" si="0"/>
        <v>3.8219560000000001</v>
      </c>
      <c r="J12" s="27">
        <f t="shared" si="1"/>
        <v>0.17522163201326352</v>
      </c>
      <c r="K12" s="27">
        <f t="shared" si="2"/>
        <v>0.11326852796849561</v>
      </c>
      <c r="L12" s="27">
        <f t="shared" si="3"/>
        <v>8.3405320055898083E-2</v>
      </c>
      <c r="M12" s="27">
        <f t="shared" si="4"/>
        <v>6.1953104044767907E-2</v>
      </c>
      <c r="N12" s="24">
        <f t="shared" si="5"/>
        <v>24706272</v>
      </c>
      <c r="O12" s="27">
        <v>32</v>
      </c>
      <c r="P12" s="28">
        <v>226940583</v>
      </c>
      <c r="Q12" s="28">
        <v>756468.61</v>
      </c>
      <c r="R12" s="28">
        <v>41924.196666666699</v>
      </c>
      <c r="S12" s="29">
        <v>38219560</v>
      </c>
      <c r="T12" s="29">
        <v>18192472</v>
      </c>
      <c r="U12" s="29">
        <v>6513800</v>
      </c>
      <c r="V12" s="29">
        <v>13513288</v>
      </c>
      <c r="W12" s="30">
        <v>69.266747049999907</v>
      </c>
      <c r="X12" s="30">
        <v>71.703826341333297</v>
      </c>
      <c r="Y12" s="30">
        <v>35.265902817333298</v>
      </c>
      <c r="Z12" s="30">
        <v>40.747398780333299</v>
      </c>
      <c r="AA12" s="30">
        <v>33.9259371256666</v>
      </c>
      <c r="AB12" s="31">
        <v>194357.79699999999</v>
      </c>
      <c r="AC12" s="31">
        <v>0</v>
      </c>
      <c r="AD12" s="31">
        <v>457.13900000000001</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300</v>
      </c>
      <c r="G13" s="15">
        <v>30</v>
      </c>
      <c r="I13" s="16">
        <f t="shared" si="0"/>
        <v>6.3036712000000001</v>
      </c>
      <c r="J13" s="17">
        <f t="shared" si="1"/>
        <v>0.28899850111801584</v>
      </c>
      <c r="K13" s="17">
        <f t="shared" si="2"/>
        <v>0.15946943856114665</v>
      </c>
      <c r="L13" s="17">
        <f t="shared" si="3"/>
        <v>0.12960623064854912</v>
      </c>
      <c r="M13" s="17">
        <f t="shared" si="4"/>
        <v>0.12952906255686916</v>
      </c>
      <c r="N13" s="14">
        <f t="shared" si="5"/>
        <v>34783672</v>
      </c>
      <c r="O13" s="17">
        <v>32</v>
      </c>
      <c r="P13" s="18">
        <v>229307376</v>
      </c>
      <c r="Q13" s="18">
        <v>764357.92</v>
      </c>
      <c r="R13" s="18">
        <v>44535.426666666703</v>
      </c>
      <c r="S13" s="19">
        <v>63036712</v>
      </c>
      <c r="T13" s="19">
        <v>28269872</v>
      </c>
      <c r="U13" s="19">
        <v>6513800</v>
      </c>
      <c r="V13" s="19">
        <v>28253040</v>
      </c>
      <c r="W13" s="20">
        <v>70.284788017999901</v>
      </c>
      <c r="X13" s="20">
        <v>72.957394499999893</v>
      </c>
      <c r="Y13" s="20">
        <v>37.372646686333297</v>
      </c>
      <c r="Z13" s="20">
        <v>41.907505274333303</v>
      </c>
      <c r="AA13" s="20">
        <v>36.104189210333303</v>
      </c>
      <c r="AB13" s="21">
        <v>268926.27100000001</v>
      </c>
      <c r="AC13" s="21">
        <v>0</v>
      </c>
      <c r="AD13" s="21">
        <v>503.29199999999997</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300</v>
      </c>
      <c r="G14" s="45">
        <v>30</v>
      </c>
      <c r="I14" s="46">
        <f t="shared" si="0"/>
        <v>12.2118968</v>
      </c>
      <c r="J14" s="47">
        <f t="shared" si="1"/>
        <v>0.55986737871224845</v>
      </c>
      <c r="K14" s="47">
        <f t="shared" si="2"/>
        <v>0.25551319756376595</v>
      </c>
      <c r="L14" s="47">
        <f t="shared" si="3"/>
        <v>0.19901885576096251</v>
      </c>
      <c r="M14" s="47">
        <f t="shared" si="4"/>
        <v>0.30435418114848256</v>
      </c>
      <c r="N14" s="44">
        <f t="shared" si="5"/>
        <v>55732856</v>
      </c>
      <c r="O14" s="47">
        <v>32</v>
      </c>
      <c r="P14" s="48">
        <v>224713456</v>
      </c>
      <c r="Q14" s="48">
        <v>749044.85333333304</v>
      </c>
      <c r="R14" s="48">
        <v>41981.086666666699</v>
      </c>
      <c r="S14" s="49">
        <v>122118968</v>
      </c>
      <c r="T14" s="49">
        <v>43410240</v>
      </c>
      <c r="U14" s="49">
        <v>12322616</v>
      </c>
      <c r="V14" s="49">
        <v>66386112</v>
      </c>
      <c r="W14" s="50">
        <v>71.386093165333307</v>
      </c>
      <c r="X14" s="50">
        <v>75.178258126333304</v>
      </c>
      <c r="Y14" s="50">
        <v>39.772027987999998</v>
      </c>
      <c r="Z14" s="50">
        <v>43.112027699333296</v>
      </c>
      <c r="AA14" s="50">
        <v>38.276301590333297</v>
      </c>
      <c r="AB14" s="51">
        <v>372792.17099999997</v>
      </c>
      <c r="AC14" s="51">
        <v>0</v>
      </c>
      <c r="AD14" s="51">
        <v>521.24900000000002</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300</v>
      </c>
      <c r="G15" s="15">
        <v>30</v>
      </c>
      <c r="I15" s="16">
        <f t="shared" si="0"/>
        <v>1.5721263999999999</v>
      </c>
      <c r="J15" s="17">
        <f t="shared" si="1"/>
        <v>4.873454981687822E-2</v>
      </c>
      <c r="K15" s="17">
        <f t="shared" si="2"/>
        <v>3.9042733986327099E-2</v>
      </c>
      <c r="L15" s="17">
        <f t="shared" si="3"/>
        <v>1.957838059208486E-2</v>
      </c>
      <c r="M15" s="17">
        <f t="shared" si="4"/>
        <v>9.6918158305511204E-3</v>
      </c>
      <c r="N15" s="14">
        <f t="shared" si="5"/>
        <v>12594784</v>
      </c>
      <c r="O15" s="17">
        <v>32</v>
      </c>
      <c r="P15" s="18">
        <v>313500117</v>
      </c>
      <c r="Q15" s="18">
        <v>1045000.39</v>
      </c>
      <c r="R15" s="18">
        <v>28043.39</v>
      </c>
      <c r="S15" s="19">
        <v>15721264</v>
      </c>
      <c r="T15" s="19">
        <v>6315784</v>
      </c>
      <c r="U15" s="19">
        <v>6279000</v>
      </c>
      <c r="V15" s="19">
        <v>3126480</v>
      </c>
      <c r="W15" s="20">
        <v>66.480032329333298</v>
      </c>
      <c r="X15" s="20">
        <v>68.461058010000002</v>
      </c>
      <c r="Y15" s="20">
        <v>29.6557070686667</v>
      </c>
      <c r="Z15" s="20">
        <v>43.414271245666697</v>
      </c>
      <c r="AA15" s="20">
        <v>43.564666056666702</v>
      </c>
      <c r="AB15" s="21">
        <v>104353.179</v>
      </c>
      <c r="AC15" s="21">
        <v>0</v>
      </c>
      <c r="AD15" s="21">
        <v>570.30100000000004</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300</v>
      </c>
      <c r="G16" s="25">
        <v>30</v>
      </c>
      <c r="I16" s="26">
        <f t="shared" si="0"/>
        <v>2.207004</v>
      </c>
      <c r="J16" s="27">
        <f t="shared" si="1"/>
        <v>6.8415202736910666E-2</v>
      </c>
      <c r="K16" s="27">
        <f t="shared" si="2"/>
        <v>4.9219425800396906E-2</v>
      </c>
      <c r="L16" s="27">
        <f t="shared" si="3"/>
        <v>2.9755072406154662E-2</v>
      </c>
      <c r="M16" s="27">
        <f t="shared" si="4"/>
        <v>1.9195776936513757E-2</v>
      </c>
      <c r="N16" s="24">
        <f t="shared" si="5"/>
        <v>15877680</v>
      </c>
      <c r="O16" s="27">
        <v>32</v>
      </c>
      <c r="P16" s="28">
        <v>315159567</v>
      </c>
      <c r="Q16" s="28">
        <v>1050531.8899999999</v>
      </c>
      <c r="R16" s="28">
        <v>31158.343333333301</v>
      </c>
      <c r="S16" s="29">
        <v>22070040</v>
      </c>
      <c r="T16" s="29">
        <v>9598680</v>
      </c>
      <c r="U16" s="29">
        <v>6279000</v>
      </c>
      <c r="V16" s="29">
        <v>6192360</v>
      </c>
      <c r="W16" s="30">
        <v>68.138789178666698</v>
      </c>
      <c r="X16" s="30">
        <v>70.560290954333297</v>
      </c>
      <c r="Y16" s="30">
        <v>32.001305371000001</v>
      </c>
      <c r="Z16" s="30">
        <v>44.515934711666603</v>
      </c>
      <c r="AA16" s="30">
        <v>44.799686831666698</v>
      </c>
      <c r="AB16" s="31">
        <v>137698.139</v>
      </c>
      <c r="AC16" s="31">
        <v>0</v>
      </c>
      <c r="AD16" s="31">
        <v>580.57399999999996</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300</v>
      </c>
      <c r="G17" s="15">
        <v>30</v>
      </c>
      <c r="I17" s="16">
        <f t="shared" si="0"/>
        <v>3.4578903999999997</v>
      </c>
      <c r="J17" s="17">
        <f t="shared" si="1"/>
        <v>0.10719159220283113</v>
      </c>
      <c r="K17" s="17">
        <f t="shared" si="2"/>
        <v>6.6561628389726915E-2</v>
      </c>
      <c r="L17" s="17">
        <f t="shared" si="3"/>
        <v>4.7097274995484668E-2</v>
      </c>
      <c r="M17" s="17">
        <f t="shared" si="4"/>
        <v>4.0629963813104214E-2</v>
      </c>
      <c r="N17" s="14">
        <f t="shared" si="5"/>
        <v>21472096</v>
      </c>
      <c r="O17" s="17">
        <v>32</v>
      </c>
      <c r="P17" s="18">
        <v>321475074</v>
      </c>
      <c r="Q17" s="18">
        <v>1071583.58</v>
      </c>
      <c r="R17" s="18">
        <v>34018.826666666697</v>
      </c>
      <c r="S17" s="19">
        <v>34578904</v>
      </c>
      <c r="T17" s="19">
        <v>15193096</v>
      </c>
      <c r="U17" s="19">
        <v>6279000</v>
      </c>
      <c r="V17" s="19">
        <v>13106808</v>
      </c>
      <c r="W17" s="20">
        <v>69.5795839813334</v>
      </c>
      <c r="X17" s="20">
        <v>72.2399608373333</v>
      </c>
      <c r="Y17" s="20">
        <v>34.383621718000001</v>
      </c>
      <c r="Z17" s="20">
        <v>45.640505586666599</v>
      </c>
      <c r="AA17" s="20">
        <v>46.080591337333303</v>
      </c>
      <c r="AB17" s="21">
        <v>194355.31899999999</v>
      </c>
      <c r="AC17" s="21">
        <v>0</v>
      </c>
      <c r="AD17" s="21">
        <v>598.25599999999997</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300</v>
      </c>
      <c r="G18" s="25">
        <v>30</v>
      </c>
      <c r="I18" s="26">
        <f t="shared" si="0"/>
        <v>6.1244719999999999</v>
      </c>
      <c r="J18" s="27">
        <f t="shared" si="1"/>
        <v>0.18985330046367505</v>
      </c>
      <c r="K18" s="27">
        <f t="shared" si="2"/>
        <v>9.540287125840817E-2</v>
      </c>
      <c r="L18" s="27">
        <f t="shared" si="3"/>
        <v>7.593851786416593E-2</v>
      </c>
      <c r="M18" s="27">
        <f t="shared" si="4"/>
        <v>9.4450429205266889E-2</v>
      </c>
      <c r="N18" s="24">
        <f t="shared" si="5"/>
        <v>30775984</v>
      </c>
      <c r="O18" s="27">
        <v>32</v>
      </c>
      <c r="P18" s="28">
        <v>324620179</v>
      </c>
      <c r="Q18" s="28">
        <v>1082067.2633333299</v>
      </c>
      <c r="R18" s="28">
        <v>36371.146666666697</v>
      </c>
      <c r="S18" s="29">
        <v>61244720</v>
      </c>
      <c r="T18" s="29">
        <v>24496984</v>
      </c>
      <c r="U18" s="29">
        <v>6279000</v>
      </c>
      <c r="V18" s="29">
        <v>30468736</v>
      </c>
      <c r="W18" s="30">
        <v>70.719886969000001</v>
      </c>
      <c r="X18" s="30">
        <v>73.599342296333305</v>
      </c>
      <c r="Y18" s="30">
        <v>36.835614445333299</v>
      </c>
      <c r="Z18" s="30">
        <v>47.173286439000002</v>
      </c>
      <c r="AA18" s="30">
        <v>47.702561068666597</v>
      </c>
      <c r="AB18" s="31">
        <v>280820.42099999997</v>
      </c>
      <c r="AC18" s="31">
        <v>0</v>
      </c>
      <c r="AD18" s="31">
        <v>734.49599999999998</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300</v>
      </c>
      <c r="G19" s="35">
        <v>30</v>
      </c>
      <c r="I19" s="36">
        <f t="shared" si="0"/>
        <v>13.052379999999999</v>
      </c>
      <c r="J19" s="37">
        <f t="shared" si="1"/>
        <v>0.40461241751224647</v>
      </c>
      <c r="K19" s="37">
        <f t="shared" si="2"/>
        <v>0.15710958958566143</v>
      </c>
      <c r="L19" s="37">
        <f t="shared" si="3"/>
        <v>0.11798752262719457</v>
      </c>
      <c r="M19" s="37">
        <f t="shared" si="4"/>
        <v>0.24750282792658504</v>
      </c>
      <c r="N19" s="34">
        <f t="shared" si="5"/>
        <v>50681936</v>
      </c>
      <c r="O19" s="37">
        <v>32</v>
      </c>
      <c r="P19" s="38">
        <v>320229442</v>
      </c>
      <c r="Q19" s="38">
        <v>1067431.4733333299</v>
      </c>
      <c r="R19" s="38">
        <v>33477.933333333298</v>
      </c>
      <c r="S19" s="39">
        <v>130523800</v>
      </c>
      <c r="T19" s="39">
        <v>38061560</v>
      </c>
      <c r="U19" s="39">
        <v>12620376</v>
      </c>
      <c r="V19" s="39">
        <v>79841864</v>
      </c>
      <c r="W19" s="40">
        <v>71.589030429000005</v>
      </c>
      <c r="X19" s="40">
        <v>75.690734080333399</v>
      </c>
      <c r="Y19" s="40">
        <v>39.500484643333301</v>
      </c>
      <c r="Z19" s="40">
        <v>48.839797988333302</v>
      </c>
      <c r="AA19" s="40">
        <v>49.372916055333398</v>
      </c>
      <c r="AB19" s="41">
        <v>406994.36099999998</v>
      </c>
      <c r="AC19" s="41">
        <v>0</v>
      </c>
      <c r="AD19" s="41">
        <v>643.00699999999995</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250</v>
      </c>
      <c r="G20" s="25">
        <v>50</v>
      </c>
      <c r="I20" s="26">
        <f t="shared" si="0"/>
        <v>1.7345552</v>
      </c>
      <c r="J20" s="27">
        <f t="shared" si="1"/>
        <v>3.4607645448112567E-2</v>
      </c>
      <c r="K20" s="27">
        <f t="shared" si="2"/>
        <v>2.7749304775578187E-2</v>
      </c>
      <c r="L20" s="27">
        <f t="shared" si="3"/>
        <v>1.4113803659192424E-2</v>
      </c>
      <c r="M20" s="27">
        <f t="shared" si="4"/>
        <v>6.8583406725343807E-3</v>
      </c>
      <c r="N20" s="24">
        <f t="shared" si="5"/>
        <v>6954056</v>
      </c>
      <c r="O20" s="27">
        <v>32</v>
      </c>
      <c r="P20" s="28">
        <v>242602961</v>
      </c>
      <c r="Q20" s="28">
        <v>970411.84400000004</v>
      </c>
      <c r="R20" s="28">
        <v>35494.76</v>
      </c>
      <c r="S20" s="29">
        <v>8672776</v>
      </c>
      <c r="T20" s="29">
        <v>3536960</v>
      </c>
      <c r="U20" s="29">
        <v>3417096</v>
      </c>
      <c r="V20" s="29">
        <v>1718720</v>
      </c>
      <c r="W20" s="30">
        <v>67.9938660328</v>
      </c>
      <c r="X20" s="30">
        <v>70.10876098</v>
      </c>
      <c r="Y20" s="30">
        <v>30.71271484</v>
      </c>
      <c r="Z20" s="30">
        <v>40.534425562800003</v>
      </c>
      <c r="AA20" s="30">
        <v>38.999864504800001</v>
      </c>
      <c r="AB20" s="31">
        <v>65422.167999999998</v>
      </c>
      <c r="AC20" s="31">
        <v>0</v>
      </c>
      <c r="AD20" s="31">
        <v>440.721</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250</v>
      </c>
      <c r="G21" s="15">
        <v>50</v>
      </c>
      <c r="I21" s="16">
        <f t="shared" si="0"/>
        <v>2.4232816000000001</v>
      </c>
      <c r="J21" s="17">
        <f t="shared" si="1"/>
        <v>4.8349035207259437E-2</v>
      </c>
      <c r="K21" s="17">
        <f t="shared" si="2"/>
        <v>3.4598260081524758E-2</v>
      </c>
      <c r="L21" s="17">
        <f t="shared" si="3"/>
        <v>2.0962758965138995E-2</v>
      </c>
      <c r="M21" s="17">
        <f t="shared" si="4"/>
        <v>1.3750775125734683E-2</v>
      </c>
      <c r="N21" s="14">
        <f t="shared" si="5"/>
        <v>8670424</v>
      </c>
      <c r="O21" s="17">
        <v>32</v>
      </c>
      <c r="P21" s="18">
        <v>246960665</v>
      </c>
      <c r="Q21" s="18">
        <v>987842.66</v>
      </c>
      <c r="R21" s="18">
        <v>39767.735999999997</v>
      </c>
      <c r="S21" s="19">
        <v>12116408</v>
      </c>
      <c r="T21" s="19">
        <v>5253328</v>
      </c>
      <c r="U21" s="19">
        <v>3417096</v>
      </c>
      <c r="V21" s="19">
        <v>3445984</v>
      </c>
      <c r="W21" s="20">
        <v>69.4717041424</v>
      </c>
      <c r="X21" s="20">
        <v>71.973307227600102</v>
      </c>
      <c r="Y21" s="20">
        <v>32.268600022800001</v>
      </c>
      <c r="Z21" s="20">
        <v>41.992766381199999</v>
      </c>
      <c r="AA21" s="20">
        <v>40.599341015199997</v>
      </c>
      <c r="AB21" s="21">
        <v>93846.403000000006</v>
      </c>
      <c r="AC21" s="21">
        <v>0</v>
      </c>
      <c r="AD21" s="21">
        <v>435.43900000000002</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250</v>
      </c>
      <c r="G22" s="25">
        <v>50</v>
      </c>
      <c r="I22" s="26">
        <f t="shared" si="0"/>
        <v>3.9205023999999997</v>
      </c>
      <c r="J22" s="27">
        <f t="shared" si="1"/>
        <v>7.82214120586502E-2</v>
      </c>
      <c r="K22" s="27">
        <f t="shared" si="2"/>
        <v>4.5893740308047763E-2</v>
      </c>
      <c r="L22" s="27">
        <f t="shared" si="3"/>
        <v>3.2258239191662E-2</v>
      </c>
      <c r="M22" s="27">
        <f t="shared" si="4"/>
        <v>3.232767175060243E-2</v>
      </c>
      <c r="N22" s="24">
        <f t="shared" si="5"/>
        <v>11501104</v>
      </c>
      <c r="O22" s="27">
        <v>32</v>
      </c>
      <c r="P22" s="28">
        <v>254114973</v>
      </c>
      <c r="Q22" s="28">
        <v>1016459.892</v>
      </c>
      <c r="R22" s="28">
        <v>44170.5</v>
      </c>
      <c r="S22" s="29">
        <v>19602512</v>
      </c>
      <c r="T22" s="29">
        <v>8084008</v>
      </c>
      <c r="U22" s="29">
        <v>3417096</v>
      </c>
      <c r="V22" s="29">
        <v>8101408</v>
      </c>
      <c r="W22" s="30">
        <v>70.740107011999996</v>
      </c>
      <c r="X22" s="30">
        <v>73.486491942000001</v>
      </c>
      <c r="Y22" s="30">
        <v>34.204035727600001</v>
      </c>
      <c r="Z22" s="30">
        <v>43.138643937600001</v>
      </c>
      <c r="AA22" s="30">
        <v>41.861590206000002</v>
      </c>
      <c r="AB22" s="31">
        <v>132417.28099999999</v>
      </c>
      <c r="AC22" s="31">
        <v>0</v>
      </c>
      <c r="AD22" s="31">
        <v>435.72899999999998</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250</v>
      </c>
      <c r="G23" s="15">
        <v>50</v>
      </c>
      <c r="I23" s="16">
        <f t="shared" si="0"/>
        <v>7.1730992000000002</v>
      </c>
      <c r="J23" s="17">
        <f t="shared" si="1"/>
        <v>0.14311684856021872</v>
      </c>
      <c r="K23" s="17">
        <f t="shared" si="2"/>
        <v>6.6248397748931001E-2</v>
      </c>
      <c r="L23" s="17">
        <f t="shared" si="3"/>
        <v>5.2612896632545231E-2</v>
      </c>
      <c r="M23" s="17">
        <f t="shared" si="4"/>
        <v>7.6868450811287722E-2</v>
      </c>
      <c r="N23" s="14">
        <f t="shared" si="5"/>
        <v>16602040</v>
      </c>
      <c r="O23" s="17">
        <v>32</v>
      </c>
      <c r="P23" s="18">
        <v>258123399</v>
      </c>
      <c r="Q23" s="18">
        <v>1032493.596</v>
      </c>
      <c r="R23" s="18">
        <v>47183.252</v>
      </c>
      <c r="S23" s="19">
        <v>35865496</v>
      </c>
      <c r="T23" s="19">
        <v>13184944</v>
      </c>
      <c r="U23" s="19">
        <v>3417096</v>
      </c>
      <c r="V23" s="19">
        <v>19263456</v>
      </c>
      <c r="W23" s="20">
        <v>71.666342744000005</v>
      </c>
      <c r="X23" s="20">
        <v>74.719782980000005</v>
      </c>
      <c r="Y23" s="20">
        <v>36.122737721999997</v>
      </c>
      <c r="Z23" s="20">
        <v>44.404191442399998</v>
      </c>
      <c r="AA23" s="20">
        <v>43.141195361199998</v>
      </c>
      <c r="AB23" s="21">
        <v>171469.03899999999</v>
      </c>
      <c r="AC23" s="21">
        <v>0</v>
      </c>
      <c r="AD23" s="21">
        <v>433.62</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250</v>
      </c>
      <c r="G24" s="45">
        <v>50</v>
      </c>
      <c r="I24" s="46">
        <f t="shared" si="0"/>
        <v>14.3026976</v>
      </c>
      <c r="J24" s="47">
        <f t="shared" si="1"/>
        <v>0.28536577417217424</v>
      </c>
      <c r="K24" s="47">
        <f t="shared" si="2"/>
        <v>0.11091476195300556</v>
      </c>
      <c r="L24" s="47">
        <f t="shared" si="3"/>
        <v>8.1723015717324668E-2</v>
      </c>
      <c r="M24" s="47">
        <f t="shared" si="4"/>
        <v>0.1744510122191687</v>
      </c>
      <c r="N24" s="44">
        <f t="shared" si="5"/>
        <v>27795560</v>
      </c>
      <c r="O24" s="47">
        <v>32</v>
      </c>
      <c r="P24" s="48">
        <v>253882840</v>
      </c>
      <c r="Q24" s="48">
        <v>1015531.36</v>
      </c>
      <c r="R24" s="48">
        <v>44002.892</v>
      </c>
      <c r="S24" s="49">
        <v>71513488</v>
      </c>
      <c r="T24" s="49">
        <v>20480024</v>
      </c>
      <c r="U24" s="49">
        <v>7315536</v>
      </c>
      <c r="V24" s="49">
        <v>43717928</v>
      </c>
      <c r="W24" s="50">
        <v>72.735302763199996</v>
      </c>
      <c r="X24" s="50">
        <v>76.887953648000007</v>
      </c>
      <c r="Y24" s="50">
        <v>37.83552495</v>
      </c>
      <c r="Z24" s="50">
        <v>45.4006936412</v>
      </c>
      <c r="AA24" s="50">
        <v>44.0990740692</v>
      </c>
      <c r="AB24" s="51">
        <v>251904.06</v>
      </c>
      <c r="AC24" s="51">
        <v>0</v>
      </c>
      <c r="AD24" s="51">
        <v>465.04</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300</v>
      </c>
      <c r="G25" s="15">
        <v>30</v>
      </c>
      <c r="I25" s="16">
        <f t="shared" si="0"/>
        <v>1.91144</v>
      </c>
      <c r="J25" s="17">
        <f t="shared" si="1"/>
        <v>7.6367613902245793E-2</v>
      </c>
      <c r="K25" s="17">
        <f t="shared" si="2"/>
        <v>5.0236804566548707E-2</v>
      </c>
      <c r="L25" s="17">
        <f t="shared" si="3"/>
        <v>3.0471774255185435E-2</v>
      </c>
      <c r="M25" s="17">
        <f t="shared" si="4"/>
        <v>2.6130809335697086E-2</v>
      </c>
      <c r="N25" s="14">
        <f t="shared" si="5"/>
        <v>12574000</v>
      </c>
      <c r="O25" s="17">
        <v>32</v>
      </c>
      <c r="P25" s="18">
        <v>248696550</v>
      </c>
      <c r="Q25" s="18">
        <v>828988.5</v>
      </c>
      <c r="R25" s="18">
        <v>27852.9</v>
      </c>
      <c r="S25" s="19">
        <v>19114400</v>
      </c>
      <c r="T25" s="19">
        <v>7626920</v>
      </c>
      <c r="U25" s="19">
        <v>4947080</v>
      </c>
      <c r="V25" s="19">
        <v>6540400</v>
      </c>
      <c r="W25" s="20">
        <v>66.953992309333401</v>
      </c>
      <c r="X25" s="20">
        <v>68.862503044333295</v>
      </c>
      <c r="Y25" s="20">
        <v>26.663115360666701</v>
      </c>
      <c r="Z25" s="20">
        <v>32.529894392666698</v>
      </c>
      <c r="AA25" s="20">
        <v>31.508729959666599</v>
      </c>
      <c r="AB25" s="21">
        <v>129268.409</v>
      </c>
      <c r="AC25" s="21">
        <v>0</v>
      </c>
      <c r="AD25" s="21">
        <v>478.93</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300</v>
      </c>
      <c r="G26" s="25">
        <v>30</v>
      </c>
      <c r="I26" s="26">
        <f t="shared" si="0"/>
        <v>3.0115463999999998</v>
      </c>
      <c r="J26" s="27">
        <f t="shared" si="1"/>
        <v>0.12032007948138486</v>
      </c>
      <c r="K26" s="27">
        <f t="shared" si="2"/>
        <v>6.4104911387974028E-2</v>
      </c>
      <c r="L26" s="27">
        <f t="shared" si="3"/>
        <v>4.4339881076610757E-2</v>
      </c>
      <c r="M26" s="27">
        <f t="shared" si="4"/>
        <v>5.6215168093410831E-2</v>
      </c>
      <c r="N26" s="24">
        <f t="shared" si="5"/>
        <v>16045112</v>
      </c>
      <c r="O26" s="27">
        <v>32</v>
      </c>
      <c r="P26" s="28">
        <v>249854753</v>
      </c>
      <c r="Q26" s="28">
        <v>832849.17666666699</v>
      </c>
      <c r="R26" s="28">
        <v>31506.983333333301</v>
      </c>
      <c r="S26" s="29">
        <v>30115464</v>
      </c>
      <c r="T26" s="29">
        <v>11098032</v>
      </c>
      <c r="U26" s="29">
        <v>4947080</v>
      </c>
      <c r="V26" s="29">
        <v>14070352</v>
      </c>
      <c r="W26" s="30">
        <v>68.468947948333295</v>
      </c>
      <c r="X26" s="30">
        <v>70.753854470666695</v>
      </c>
      <c r="Y26" s="30">
        <v>28.765611901</v>
      </c>
      <c r="Z26" s="30">
        <v>34.009914915666698</v>
      </c>
      <c r="AA26" s="30">
        <v>33.109386364999999</v>
      </c>
      <c r="AB26" s="31">
        <v>178171.91699999999</v>
      </c>
      <c r="AC26" s="31">
        <v>0</v>
      </c>
      <c r="AD26" s="31">
        <v>485.46600000000001</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300</v>
      </c>
      <c r="G27" s="15">
        <v>30</v>
      </c>
      <c r="I27" s="16">
        <f t="shared" si="0"/>
        <v>5.3106840000000002</v>
      </c>
      <c r="J27" s="17">
        <f t="shared" si="1"/>
        <v>0.21217734549284012</v>
      </c>
      <c r="K27" s="17">
        <f t="shared" si="2"/>
        <v>8.615854097872562E-2</v>
      </c>
      <c r="L27" s="17">
        <f t="shared" si="3"/>
        <v>6.6393510667362349E-2</v>
      </c>
      <c r="M27" s="17">
        <f t="shared" si="4"/>
        <v>0.12601880451411449</v>
      </c>
      <c r="N27" s="14">
        <f t="shared" si="5"/>
        <v>21565016</v>
      </c>
      <c r="O27" s="17">
        <v>32</v>
      </c>
      <c r="P27" s="18">
        <v>254178956</v>
      </c>
      <c r="Q27" s="18">
        <v>847263.186666667</v>
      </c>
      <c r="R27" s="18">
        <v>34429.67</v>
      </c>
      <c r="S27" s="19">
        <v>53106840</v>
      </c>
      <c r="T27" s="19">
        <v>16617936</v>
      </c>
      <c r="U27" s="19">
        <v>4947080</v>
      </c>
      <c r="V27" s="19">
        <v>31541824</v>
      </c>
      <c r="W27" s="20">
        <v>69.797762246000005</v>
      </c>
      <c r="X27" s="20">
        <v>72.295702993999996</v>
      </c>
      <c r="Y27" s="20">
        <v>31.051967468000001</v>
      </c>
      <c r="Z27" s="20">
        <v>35.502673752333401</v>
      </c>
      <c r="AA27" s="20">
        <v>34.627069451333298</v>
      </c>
      <c r="AB27" s="21">
        <v>247324.158</v>
      </c>
      <c r="AC27" s="21">
        <v>0</v>
      </c>
      <c r="AD27" s="21">
        <v>505.96600000000001</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300</v>
      </c>
      <c r="G28" s="25">
        <v>30</v>
      </c>
      <c r="I28" s="26">
        <f t="shared" si="0"/>
        <v>10.6859088</v>
      </c>
      <c r="J28" s="27">
        <f t="shared" si="1"/>
        <v>0.4269332845566749</v>
      </c>
      <c r="K28" s="27">
        <f t="shared" si="2"/>
        <v>0.12074159879337699</v>
      </c>
      <c r="L28" s="27">
        <f t="shared" si="3"/>
        <v>0.10097656848201372</v>
      </c>
      <c r="M28" s="27">
        <f t="shared" si="4"/>
        <v>0.30619168576329792</v>
      </c>
      <c r="N28" s="24">
        <f t="shared" si="5"/>
        <v>30220968</v>
      </c>
      <c r="O28" s="27">
        <v>32</v>
      </c>
      <c r="P28" s="28">
        <v>256355735</v>
      </c>
      <c r="Q28" s="28">
        <v>854519.11666666705</v>
      </c>
      <c r="R28" s="28">
        <v>36744.086666666699</v>
      </c>
      <c r="S28" s="29">
        <v>106859088</v>
      </c>
      <c r="T28" s="29">
        <v>25273888</v>
      </c>
      <c r="U28" s="29">
        <v>4947080</v>
      </c>
      <c r="V28" s="29">
        <v>76638120</v>
      </c>
      <c r="W28" s="30">
        <v>70.821818650333299</v>
      </c>
      <c r="X28" s="30">
        <v>73.526445988666694</v>
      </c>
      <c r="Y28" s="30">
        <v>33.548636355333301</v>
      </c>
      <c r="Z28" s="30">
        <v>37.200721532000003</v>
      </c>
      <c r="AA28" s="30">
        <v>36.374621911666601</v>
      </c>
      <c r="AB28" s="31">
        <v>337711.34899999999</v>
      </c>
      <c r="AC28" s="31">
        <v>0</v>
      </c>
      <c r="AD28" s="31">
        <v>511.32900000000001</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300</v>
      </c>
      <c r="G29" s="35">
        <v>30</v>
      </c>
      <c r="I29" s="36">
        <f t="shared" si="0"/>
        <v>25.324540800000001</v>
      </c>
      <c r="J29" s="37">
        <f t="shared" si="1"/>
        <v>1.0117894122054947</v>
      </c>
      <c r="K29" s="37">
        <f t="shared" si="2"/>
        <v>0.1900930000953836</v>
      </c>
      <c r="L29" s="37">
        <f t="shared" si="3"/>
        <v>0.15149205267255844</v>
      </c>
      <c r="M29" s="37">
        <f t="shared" si="4"/>
        <v>0.82169641211011113</v>
      </c>
      <c r="N29" s="34">
        <f t="shared" si="5"/>
        <v>47579248</v>
      </c>
      <c r="O29" s="37">
        <v>32</v>
      </c>
      <c r="P29" s="38">
        <v>252805627</v>
      </c>
      <c r="Q29" s="38">
        <v>842685.42333333299</v>
      </c>
      <c r="R29" s="38">
        <v>35272.296666666698</v>
      </c>
      <c r="S29" s="39">
        <v>253245408</v>
      </c>
      <c r="T29" s="39">
        <v>37917640</v>
      </c>
      <c r="U29" s="39">
        <v>9661608</v>
      </c>
      <c r="V29" s="39">
        <v>205666160</v>
      </c>
      <c r="W29" s="40">
        <v>71.669108297666696</v>
      </c>
      <c r="X29" s="40">
        <v>75.597586933666605</v>
      </c>
      <c r="Y29" s="40">
        <v>36.617929621333303</v>
      </c>
      <c r="Z29" s="40">
        <v>38.967233964000002</v>
      </c>
      <c r="AA29" s="40">
        <v>38.185419315333299</v>
      </c>
      <c r="AB29" s="41">
        <v>453092.56199999998</v>
      </c>
      <c r="AC29" s="41">
        <v>0</v>
      </c>
      <c r="AD29" s="41">
        <v>533.02099999999996</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64</v>
      </c>
      <c r="G30" s="25">
        <v>30</v>
      </c>
      <c r="I30" s="26">
        <f t="shared" si="0"/>
        <v>3.34920375</v>
      </c>
      <c r="J30" s="27">
        <f t="shared" si="1"/>
        <v>1.9031803522057581E-2</v>
      </c>
      <c r="K30" s="27">
        <f t="shared" si="2"/>
        <v>1.5144706056127333E-2</v>
      </c>
      <c r="L30" s="27">
        <f t="shared" si="3"/>
        <v>9.4943473812050486E-3</v>
      </c>
      <c r="M30" s="27">
        <f t="shared" si="4"/>
        <v>3.8870974659302488E-3</v>
      </c>
      <c r="N30" s="24">
        <f t="shared" si="5"/>
        <v>5685664</v>
      </c>
      <c r="O30" s="27">
        <v>32</v>
      </c>
      <c r="P30" s="28">
        <v>184757252</v>
      </c>
      <c r="Q30" s="28">
        <v>2886832.0625</v>
      </c>
      <c r="R30" s="28">
        <v>80466.15625</v>
      </c>
      <c r="S30" s="29">
        <v>7144968</v>
      </c>
      <c r="T30" s="29">
        <v>3564392</v>
      </c>
      <c r="U30" s="29">
        <v>2121272</v>
      </c>
      <c r="V30" s="29">
        <v>1459304</v>
      </c>
      <c r="W30" s="30">
        <v>74.323564687499996</v>
      </c>
      <c r="X30" s="30">
        <v>76.445605904687497</v>
      </c>
      <c r="Y30" s="30">
        <v>33.550762854687498</v>
      </c>
      <c r="Z30" s="30">
        <v>41.779758217187499</v>
      </c>
      <c r="AA30" s="30">
        <v>43.074459978124999</v>
      </c>
      <c r="AB30" s="31">
        <v>56044.267999999996</v>
      </c>
      <c r="AC30" s="31">
        <v>0</v>
      </c>
      <c r="AD30" s="31">
        <v>378.91</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64</v>
      </c>
      <c r="G31" s="15">
        <v>30</v>
      </c>
      <c r="I31" s="16">
        <f t="shared" si="0"/>
        <v>4.5571687499999998</v>
      </c>
      <c r="J31" s="17">
        <f t="shared" si="1"/>
        <v>2.5896047759668472E-2</v>
      </c>
      <c r="K31" s="17">
        <f t="shared" si="2"/>
        <v>1.9155823779669234E-2</v>
      </c>
      <c r="L31" s="17">
        <f t="shared" si="3"/>
        <v>1.3505465104746947E-2</v>
      </c>
      <c r="M31" s="17">
        <f t="shared" si="4"/>
        <v>6.7402239799992407E-3</v>
      </c>
      <c r="N31" s="14">
        <f t="shared" si="5"/>
        <v>7191528</v>
      </c>
      <c r="O31" s="17">
        <v>32</v>
      </c>
      <c r="P31" s="18">
        <v>186573314</v>
      </c>
      <c r="Q31" s="18">
        <v>2915208.03125</v>
      </c>
      <c r="R31" s="18">
        <v>91270.625</v>
      </c>
      <c r="S31" s="19">
        <v>9721960</v>
      </c>
      <c r="T31" s="19">
        <v>5070256</v>
      </c>
      <c r="U31" s="19">
        <v>2121272</v>
      </c>
      <c r="V31" s="19">
        <v>2530432</v>
      </c>
      <c r="W31" s="20">
        <v>75.726086989062495</v>
      </c>
      <c r="X31" s="20">
        <v>78.267020656249997</v>
      </c>
      <c r="Y31" s="20">
        <v>35.494017540625002</v>
      </c>
      <c r="Z31" s="20">
        <v>42.569493367187498</v>
      </c>
      <c r="AA31" s="20">
        <v>44.646659426562501</v>
      </c>
      <c r="AB31" s="21">
        <v>71047.562000000005</v>
      </c>
      <c r="AC31" s="21">
        <v>0</v>
      </c>
      <c r="AD31" s="21">
        <v>382.68400000000003</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64</v>
      </c>
      <c r="G32" s="25">
        <v>30</v>
      </c>
      <c r="I32" s="26">
        <f t="shared" si="0"/>
        <v>6.7105050000000004</v>
      </c>
      <c r="J32" s="27">
        <f t="shared" si="1"/>
        <v>3.8132350918866915E-2</v>
      </c>
      <c r="K32" s="27">
        <f t="shared" si="2"/>
        <v>2.5253827394737215E-2</v>
      </c>
      <c r="L32" s="27">
        <f t="shared" si="3"/>
        <v>1.9603468719814929E-2</v>
      </c>
      <c r="M32" s="27">
        <f t="shared" si="4"/>
        <v>1.2878523524129701E-2</v>
      </c>
      <c r="N32" s="24">
        <f t="shared" si="5"/>
        <v>9480856</v>
      </c>
      <c r="O32" s="27">
        <v>32</v>
      </c>
      <c r="P32" s="28">
        <v>190664384</v>
      </c>
      <c r="Q32" s="28">
        <v>2979131</v>
      </c>
      <c r="R32" s="28">
        <v>99515.265625</v>
      </c>
      <c r="S32" s="29">
        <v>14315744</v>
      </c>
      <c r="T32" s="29">
        <v>7359584</v>
      </c>
      <c r="U32" s="29">
        <v>2121272</v>
      </c>
      <c r="V32" s="29">
        <v>4834888</v>
      </c>
      <c r="W32" s="30">
        <v>76.996236579687505</v>
      </c>
      <c r="X32" s="30">
        <v>79.682948601562501</v>
      </c>
      <c r="Y32" s="30">
        <v>37.286806356249997</v>
      </c>
      <c r="Z32" s="30">
        <v>43.336243525</v>
      </c>
      <c r="AA32" s="30">
        <v>45.959609835937499</v>
      </c>
      <c r="AB32" s="31">
        <v>100308.973</v>
      </c>
      <c r="AC32" s="31">
        <v>0</v>
      </c>
      <c r="AD32" s="31">
        <v>388.29300000000001</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64</v>
      </c>
      <c r="G33" s="15">
        <v>30</v>
      </c>
      <c r="I33" s="16">
        <f t="shared" si="0"/>
        <v>11.117711249999999</v>
      </c>
      <c r="J33" s="17">
        <f t="shared" si="1"/>
        <v>6.3176238867214102E-2</v>
      </c>
      <c r="K33" s="17">
        <f t="shared" si="2"/>
        <v>3.5136750273802822E-2</v>
      </c>
      <c r="L33" s="17">
        <f t="shared" si="3"/>
        <v>2.9486391598880536E-2</v>
      </c>
      <c r="M33" s="17">
        <f t="shared" si="4"/>
        <v>2.8039488593411276E-2</v>
      </c>
      <c r="N33" s="14">
        <f t="shared" si="5"/>
        <v>13191128</v>
      </c>
      <c r="O33" s="17">
        <v>32</v>
      </c>
      <c r="P33" s="18">
        <v>192623169</v>
      </c>
      <c r="Q33" s="18">
        <v>3009737.015625</v>
      </c>
      <c r="R33" s="18">
        <v>105882.90625</v>
      </c>
      <c r="S33" s="19">
        <v>23717784</v>
      </c>
      <c r="T33" s="19">
        <v>11069856</v>
      </c>
      <c r="U33" s="19">
        <v>2121272</v>
      </c>
      <c r="V33" s="19">
        <v>10526656</v>
      </c>
      <c r="W33" s="20">
        <v>78.012565035937499</v>
      </c>
      <c r="X33" s="20">
        <v>80.893636025000006</v>
      </c>
      <c r="Y33" s="20">
        <v>39.017185103125001</v>
      </c>
      <c r="Z33" s="20">
        <v>43.914978753124998</v>
      </c>
      <c r="AA33" s="20">
        <v>47.419705117187497</v>
      </c>
      <c r="AB33" s="21">
        <v>143801.495</v>
      </c>
      <c r="AC33" s="21">
        <v>0</v>
      </c>
      <c r="AD33" s="21">
        <v>398.41699999999997</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ht="15.75" outlineLevel="1" thickBot="1" x14ac:dyDescent="0.3">
      <c r="A34" s="24"/>
      <c r="B34" s="44" t="s">
        <v>75</v>
      </c>
      <c r="C34" s="45" t="s">
        <v>234</v>
      </c>
      <c r="D34" s="44">
        <v>375422539</v>
      </c>
      <c r="E34" s="45">
        <v>11</v>
      </c>
      <c r="F34" s="45">
        <v>64</v>
      </c>
      <c r="G34" s="45">
        <v>30</v>
      </c>
      <c r="I34" s="46">
        <f t="shared" si="0"/>
        <v>22.341194999999999</v>
      </c>
      <c r="J34" s="47">
        <f t="shared" si="1"/>
        <v>0.12695352848806982</v>
      </c>
      <c r="K34" s="47">
        <f t="shared" si="2"/>
        <v>5.5325990962945354E-2</v>
      </c>
      <c r="L34" s="47">
        <f t="shared" si="3"/>
        <v>4.3958127937545062E-2</v>
      </c>
      <c r="M34" s="47">
        <f t="shared" si="4"/>
        <v>7.1627537525124463E-2</v>
      </c>
      <c r="N34" s="44">
        <f t="shared" si="5"/>
        <v>20770624</v>
      </c>
      <c r="O34" s="47">
        <v>32</v>
      </c>
      <c r="P34" s="48">
        <v>191452076</v>
      </c>
      <c r="Q34" s="48">
        <v>2991438.6875</v>
      </c>
      <c r="R34" s="48">
        <v>102874.046875</v>
      </c>
      <c r="S34" s="49">
        <v>47661216</v>
      </c>
      <c r="T34" s="49">
        <v>16502872</v>
      </c>
      <c r="U34" s="49">
        <v>4267752</v>
      </c>
      <c r="V34" s="49">
        <v>26890592</v>
      </c>
      <c r="W34" s="50">
        <v>78.875014656250002</v>
      </c>
      <c r="X34" s="50">
        <v>82.368005670312499</v>
      </c>
      <c r="Y34" s="50">
        <v>40.791306024999997</v>
      </c>
      <c r="Z34" s="50">
        <v>44.54058520625</v>
      </c>
      <c r="AA34" s="50">
        <v>48.869338925000001</v>
      </c>
      <c r="AB34" s="51">
        <v>206469.76300000001</v>
      </c>
      <c r="AC34" s="51">
        <v>0</v>
      </c>
      <c r="AD34" s="51">
        <v>402.04500000000002</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64</v>
      </c>
      <c r="G35" s="15">
        <v>30</v>
      </c>
      <c r="I35" s="16">
        <f t="shared" si="0"/>
        <v>3.6943312499999998</v>
      </c>
      <c r="J35" s="17">
        <f t="shared" si="1"/>
        <v>2.3653842259679713E-2</v>
      </c>
      <c r="K35" s="17">
        <f t="shared" si="2"/>
        <v>1.8650365106691203E-2</v>
      </c>
      <c r="L35" s="17">
        <f t="shared" si="3"/>
        <v>1.1956348516089536E-2</v>
      </c>
      <c r="M35" s="17">
        <f t="shared" si="4"/>
        <v>5.00347715298851E-3</v>
      </c>
      <c r="N35" s="14">
        <f t="shared" si="5"/>
        <v>6214128</v>
      </c>
      <c r="O35" s="17">
        <v>32</v>
      </c>
      <c r="P35" s="18">
        <v>163213218</v>
      </c>
      <c r="Q35" s="18">
        <v>2550206.53125</v>
      </c>
      <c r="R35" s="18">
        <v>77520.328125</v>
      </c>
      <c r="S35" s="19">
        <v>7881240</v>
      </c>
      <c r="T35" s="19">
        <v>3983744</v>
      </c>
      <c r="U35" s="19">
        <v>2230384</v>
      </c>
      <c r="V35" s="19">
        <v>1667112</v>
      </c>
      <c r="W35" s="20">
        <v>74.021642370312506</v>
      </c>
      <c r="X35" s="20">
        <v>76.194083810937499</v>
      </c>
      <c r="Y35" s="20">
        <v>32.588570317187497</v>
      </c>
      <c r="Z35" s="20">
        <v>41.995218145312499</v>
      </c>
      <c r="AA35" s="20">
        <v>42.910565787499998</v>
      </c>
      <c r="AB35" s="21">
        <v>58390.542999999998</v>
      </c>
      <c r="AC35" s="21">
        <v>0</v>
      </c>
      <c r="AD35" s="21">
        <v>325.988</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64</v>
      </c>
      <c r="G36" s="25">
        <v>30</v>
      </c>
      <c r="I36" s="26">
        <f t="shared" si="0"/>
        <v>5.0125237499999997</v>
      </c>
      <c r="J36" s="27">
        <f t="shared" si="1"/>
        <v>3.2093886032931729E-2</v>
      </c>
      <c r="K36" s="27">
        <f t="shared" si="2"/>
        <v>2.3468074763637829E-2</v>
      </c>
      <c r="L36" s="27">
        <f t="shared" si="3"/>
        <v>1.6774058173036163E-2</v>
      </c>
      <c r="M36" s="27">
        <f t="shared" si="4"/>
        <v>8.625811269293902E-3</v>
      </c>
      <c r="N36" s="24">
        <f t="shared" si="5"/>
        <v>7819344</v>
      </c>
      <c r="O36" s="27">
        <v>32</v>
      </c>
      <c r="P36" s="28">
        <v>165153620</v>
      </c>
      <c r="Q36" s="28">
        <v>2580525.3125</v>
      </c>
      <c r="R36" s="28">
        <v>88225.4375</v>
      </c>
      <c r="S36" s="29">
        <v>10693384</v>
      </c>
      <c r="T36" s="29">
        <v>5588960</v>
      </c>
      <c r="U36" s="29">
        <v>2230384</v>
      </c>
      <c r="V36" s="29">
        <v>2874040</v>
      </c>
      <c r="W36" s="30">
        <v>75.475212754687504</v>
      </c>
      <c r="X36" s="30">
        <v>78.082099587499997</v>
      </c>
      <c r="Y36" s="30">
        <v>34.702861495312497</v>
      </c>
      <c r="Z36" s="30">
        <v>42.8787002890625</v>
      </c>
      <c r="AA36" s="30">
        <v>44.546249973437497</v>
      </c>
      <c r="AB36" s="31">
        <v>73023.701000000001</v>
      </c>
      <c r="AC36" s="31">
        <v>0</v>
      </c>
      <c r="AD36" s="31">
        <v>330.94099999999997</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64</v>
      </c>
      <c r="G37" s="15">
        <v>30</v>
      </c>
      <c r="I37" s="16">
        <f t="shared" si="0"/>
        <v>7.3293524999999997</v>
      </c>
      <c r="J37" s="17">
        <f t="shared" si="1"/>
        <v>4.6927938013297844E-2</v>
      </c>
      <c r="K37" s="17">
        <f t="shared" si="2"/>
        <v>3.07197059759374E-2</v>
      </c>
      <c r="L37" s="17">
        <f t="shared" si="3"/>
        <v>2.4025689385335735E-2</v>
      </c>
      <c r="M37" s="17">
        <f t="shared" si="4"/>
        <v>1.6208232037360444E-2</v>
      </c>
      <c r="N37" s="14">
        <f t="shared" si="5"/>
        <v>10235520</v>
      </c>
      <c r="O37" s="17">
        <v>32</v>
      </c>
      <c r="P37" s="18">
        <v>169084260</v>
      </c>
      <c r="Q37" s="18">
        <v>2641941.5625</v>
      </c>
      <c r="R37" s="18">
        <v>96363.34375</v>
      </c>
      <c r="S37" s="19">
        <v>15635952</v>
      </c>
      <c r="T37" s="19">
        <v>8005136</v>
      </c>
      <c r="U37" s="19">
        <v>2230384</v>
      </c>
      <c r="V37" s="19">
        <v>5400432</v>
      </c>
      <c r="W37" s="20">
        <v>76.780171904687506</v>
      </c>
      <c r="X37" s="20">
        <v>79.550366573437501</v>
      </c>
      <c r="Y37" s="20">
        <v>36.663833754687502</v>
      </c>
      <c r="Z37" s="20">
        <v>43.746469576562497</v>
      </c>
      <c r="AA37" s="20">
        <v>45.956128464062502</v>
      </c>
      <c r="AB37" s="21">
        <v>103339.43799999999</v>
      </c>
      <c r="AC37" s="21">
        <v>0</v>
      </c>
      <c r="AD37" s="21">
        <v>337.995</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64</v>
      </c>
      <c r="G38" s="25">
        <v>30</v>
      </c>
      <c r="I38" s="26">
        <f t="shared" si="0"/>
        <v>12.001357499999999</v>
      </c>
      <c r="J38" s="27">
        <f t="shared" si="1"/>
        <v>7.6841571044021575E-2</v>
      </c>
      <c r="K38" s="27">
        <f t="shared" si="2"/>
        <v>4.1922251915028755E-2</v>
      </c>
      <c r="L38" s="27">
        <f t="shared" si="3"/>
        <v>3.5228235324427086E-2</v>
      </c>
      <c r="M38" s="27">
        <f t="shared" si="4"/>
        <v>3.4919319128992828E-2</v>
      </c>
      <c r="N38" s="24">
        <f t="shared" si="5"/>
        <v>13968104</v>
      </c>
      <c r="O38" s="27">
        <v>32</v>
      </c>
      <c r="P38" s="28">
        <v>170757381</v>
      </c>
      <c r="Q38" s="28">
        <v>2668084.078125</v>
      </c>
      <c r="R38" s="28">
        <v>102365.46875</v>
      </c>
      <c r="S38" s="29">
        <v>25602896</v>
      </c>
      <c r="T38" s="29">
        <v>11737720</v>
      </c>
      <c r="U38" s="29">
        <v>2230384</v>
      </c>
      <c r="V38" s="29">
        <v>11634792</v>
      </c>
      <c r="W38" s="30">
        <v>77.811741326562498</v>
      </c>
      <c r="X38" s="30">
        <v>80.778624268749994</v>
      </c>
      <c r="Y38" s="30">
        <v>38.551543106250001</v>
      </c>
      <c r="Z38" s="30">
        <v>44.519171937499998</v>
      </c>
      <c r="AA38" s="30">
        <v>47.473184432812502</v>
      </c>
      <c r="AB38" s="31">
        <v>146908.36799999999</v>
      </c>
      <c r="AC38" s="31">
        <v>0</v>
      </c>
      <c r="AD38" s="31">
        <v>341.11200000000002</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64</v>
      </c>
      <c r="G39" s="35">
        <v>30</v>
      </c>
      <c r="I39" s="36">
        <f t="shared" si="0"/>
        <v>23.827713750000001</v>
      </c>
      <c r="J39" s="37">
        <f t="shared" si="1"/>
        <v>0.15256265459446858</v>
      </c>
      <c r="K39" s="37">
        <f t="shared" si="2"/>
        <v>6.4896411315983685E-2</v>
      </c>
      <c r="L39" s="37">
        <f t="shared" si="3"/>
        <v>5.1594262887700325E-2</v>
      </c>
      <c r="M39" s="37">
        <f t="shared" si="4"/>
        <v>8.7666243278484893E-2</v>
      </c>
      <c r="N39" s="34">
        <f t="shared" si="5"/>
        <v>21622880</v>
      </c>
      <c r="O39" s="37">
        <v>32</v>
      </c>
      <c r="P39" s="38">
        <v>169948414</v>
      </c>
      <c r="Q39" s="38">
        <v>2655443.96875</v>
      </c>
      <c r="R39" s="38">
        <v>99609.6875</v>
      </c>
      <c r="S39" s="39">
        <v>50832456</v>
      </c>
      <c r="T39" s="39">
        <v>17190728</v>
      </c>
      <c r="U39" s="39">
        <v>4432152</v>
      </c>
      <c r="V39" s="39">
        <v>29209576</v>
      </c>
      <c r="W39" s="40">
        <v>78.668940879687497</v>
      </c>
      <c r="X39" s="40">
        <v>82.280166807812506</v>
      </c>
      <c r="Y39" s="40">
        <v>40.566833424999999</v>
      </c>
      <c r="Z39" s="40">
        <v>45.321459531249999</v>
      </c>
      <c r="AA39" s="40">
        <v>48.940049232812498</v>
      </c>
      <c r="AB39" s="41">
        <v>204209.253</v>
      </c>
      <c r="AC39" s="41">
        <v>0</v>
      </c>
      <c r="AD39" s="41">
        <v>349.47300000000001</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0.16453646111848666</v>
      </c>
      <c r="K40" s="55">
        <f>AVERAGE(K5:K24)</f>
        <v>8.7745535896296439E-2</v>
      </c>
      <c r="L40" s="55">
        <f>AVERAGE(L5:L24)</f>
        <v>6.4383869246162767E-2</v>
      </c>
      <c r="M40" s="55">
        <f>AVERAGE(M5:M24)</f>
        <v>7.6790925222190193E-2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0.36951754712772805</v>
      </c>
      <c r="K41" s="55">
        <f>AVERAGE(K25:K29)</f>
        <v>0.1022669711644018</v>
      </c>
      <c r="L41" s="55">
        <f>AVERAGE(L25:L29)</f>
        <v>7.8734757430746136E-2</v>
      </c>
      <c r="M41" s="55">
        <f>AVERAGE(M25:M29)</f>
        <v>0.2672505759633263</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6.0526986150027627E-2</v>
      </c>
      <c r="K42" s="55">
        <f>AVERAGE(K30:K39)</f>
        <v>3.296739075445608E-2</v>
      </c>
      <c r="L42" s="55">
        <f>AVERAGE(L30:L39)</f>
        <v>2.5562639502878133E-2</v>
      </c>
      <c r="M42" s="55">
        <f>AVERAGE(M30:M39)</f>
        <v>2.755959539557155E-2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0.16410248055739005</v>
      </c>
      <c r="K43" s="55">
        <f>AVERAGE(K5:K39)</f>
        <v>7.4169128036928517E-2</v>
      </c>
      <c r="L43" s="55">
        <f>AVERAGE(L5:L39)</f>
        <v>5.5342216203021932E-2</v>
      </c>
      <c r="M43" s="55">
        <f>AVERAGE(M5:M39)</f>
        <v>8.993335252046146E-2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6318071.3540000003</v>
      </c>
      <c r="AC44" s="56">
        <f>SUM(AC5:AC24,AC25:AC29,AC30:AC39)</f>
        <v>0</v>
      </c>
      <c r="AD44" s="56">
        <f>SUM(AD5:AD24,AD25:AD29,AD30:AD39)</f>
        <v>16186.842000000001</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154911.80442699092</v>
      </c>
      <c r="AC46" s="56" t="e">
        <f>GEOMEAN(AC5:AC24,AC25:AC29,AC30:AC39)</f>
        <v>#NUM!</v>
      </c>
      <c r="AD46" s="56">
        <f>GEOMEAN(AD5:AD24,AD25:AD29,AD30:AD39)</f>
        <v>454.43938407013815</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2023-02-09T16:49:18Z</dcterms:modified>
</cp:coreProperties>
</file>