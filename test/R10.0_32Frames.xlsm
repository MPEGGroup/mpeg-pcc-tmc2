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1" defaultThemeVersion="124226"/>
  <mc:AlternateContent xmlns:mc="http://schemas.openxmlformats.org/markup-compatibility/2006">
    <mc:Choice Requires="x15">
      <x15ac:absPath xmlns:x15ac="http://schemas.microsoft.com/office/spreadsheetml/2010/11/ac" url="C:\Users\ricardj\Desktop\"/>
    </mc:Choice>
  </mc:AlternateContent>
  <xr:revisionPtr revIDLastSave="0" documentId="13_ncr:1_{10B343F8-BB12-4868-8E1F-62261F64DFA6}" xr6:coauthVersionLast="45" xr6:coauthVersionMax="45" xr10:uidLastSave="{00000000-0000-0000-0000-000000000000}"/>
  <bookViews>
    <workbookView xWindow="28680" yWindow="-135" windowWidth="29040" windowHeight="1764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Z47" i="7" l="1"/>
  <c r="BC46" i="7"/>
  <c r="BC47" i="7" s="1"/>
  <c r="BB46" i="7"/>
  <c r="BA46" i="7"/>
  <c r="AZ46" i="7"/>
  <c r="AE46" i="7"/>
  <c r="AD46" i="7"/>
  <c r="AC46" i="7"/>
  <c r="AB46" i="7"/>
  <c r="BC44" i="7"/>
  <c r="BC45" i="7" s="1"/>
  <c r="BB44" i="7"/>
  <c r="BA44" i="7"/>
  <c r="BA45" i="7" s="1"/>
  <c r="AZ44" i="7"/>
  <c r="AE44" i="7"/>
  <c r="AD44" i="7"/>
  <c r="AC44" i="7"/>
  <c r="AB44" i="7"/>
  <c r="BF39" i="7"/>
  <c r="AL39" i="7"/>
  <c r="BG39" i="7" s="1"/>
  <c r="AK39" i="7"/>
  <c r="AJ39" i="7"/>
  <c r="AH39" i="7"/>
  <c r="AG39" i="7"/>
  <c r="N39" i="7"/>
  <c r="K39" i="7" s="1"/>
  <c r="M39" i="7"/>
  <c r="L39" i="7"/>
  <c r="J39" i="7"/>
  <c r="I39" i="7"/>
  <c r="BF38" i="7"/>
  <c r="AL38" i="7"/>
  <c r="AK38" i="7"/>
  <c r="AJ38" i="7"/>
  <c r="AI38" i="7"/>
  <c r="AH38" i="7"/>
  <c r="AG38" i="7"/>
  <c r="N38" i="7"/>
  <c r="BG38" i="7" s="1"/>
  <c r="M38" i="7"/>
  <c r="L38" i="7"/>
  <c r="K38" i="7"/>
  <c r="J38" i="7"/>
  <c r="I38" i="7"/>
  <c r="BF37" i="7"/>
  <c r="AL37" i="7"/>
  <c r="AI37" i="7" s="1"/>
  <c r="AK37" i="7"/>
  <c r="AJ37" i="7"/>
  <c r="AH37" i="7"/>
  <c r="AG37" i="7"/>
  <c r="N37" i="7"/>
  <c r="K37" i="7" s="1"/>
  <c r="M37" i="7"/>
  <c r="L37" i="7"/>
  <c r="J37" i="7"/>
  <c r="I37" i="7"/>
  <c r="BF36" i="7"/>
  <c r="AL36" i="7"/>
  <c r="BG36" i="7" s="1"/>
  <c r="AK36" i="7"/>
  <c r="AJ36" i="7"/>
  <c r="AI36" i="7"/>
  <c r="AH36" i="7"/>
  <c r="AG36" i="7"/>
  <c r="N36" i="7"/>
  <c r="K36" i="7" s="1"/>
  <c r="M36" i="7"/>
  <c r="L36" i="7"/>
  <c r="J36" i="7"/>
  <c r="I36" i="7"/>
  <c r="BF35" i="7"/>
  <c r="AL35" i="7"/>
  <c r="BH35" i="7" s="1" a="1"/>
  <c r="AK35" i="7"/>
  <c r="AJ35" i="7"/>
  <c r="AI35" i="7"/>
  <c r="AH35" i="7"/>
  <c r="AG35" i="7"/>
  <c r="N35" i="7"/>
  <c r="K35" i="7" s="1"/>
  <c r="M35" i="7"/>
  <c r="L35" i="7"/>
  <c r="J35" i="7"/>
  <c r="I35" i="7"/>
  <c r="BF34" i="7"/>
  <c r="AL34" i="7"/>
  <c r="AK34" i="7"/>
  <c r="AJ34" i="7"/>
  <c r="AH34" i="7"/>
  <c r="AG34" i="7"/>
  <c r="N34" i="7"/>
  <c r="K34" i="7" s="1"/>
  <c r="M34" i="7"/>
  <c r="L34" i="7"/>
  <c r="J34" i="7"/>
  <c r="I34" i="7"/>
  <c r="BF33" i="7"/>
  <c r="AL33" i="7"/>
  <c r="BG33" i="7" s="1"/>
  <c r="AK33" i="7"/>
  <c r="AJ33" i="7"/>
  <c r="AI33" i="7"/>
  <c r="AH33" i="7"/>
  <c r="AG33" i="7"/>
  <c r="N33" i="7"/>
  <c r="M33" i="7"/>
  <c r="L33" i="7"/>
  <c r="K33" i="7"/>
  <c r="J33" i="7"/>
  <c r="I33" i="7"/>
  <c r="BF32" i="7"/>
  <c r="AL32" i="7"/>
  <c r="AI32" i="7" s="1"/>
  <c r="AK32" i="7"/>
  <c r="AJ32" i="7"/>
  <c r="AH32" i="7"/>
  <c r="AG32" i="7"/>
  <c r="N32" i="7"/>
  <c r="K32" i="7" s="1"/>
  <c r="M32" i="7"/>
  <c r="L32" i="7"/>
  <c r="J32" i="7"/>
  <c r="I32" i="7"/>
  <c r="BF31" i="7"/>
  <c r="AL31" i="7"/>
  <c r="AK31" i="7"/>
  <c r="AJ31" i="7"/>
  <c r="AI31" i="7"/>
  <c r="AH31" i="7"/>
  <c r="AG31" i="7"/>
  <c r="N31" i="7"/>
  <c r="BG31" i="7" s="1"/>
  <c r="M31" i="7"/>
  <c r="L31" i="7"/>
  <c r="K31" i="7"/>
  <c r="J31" i="7"/>
  <c r="I31" i="7"/>
  <c r="BF30" i="7"/>
  <c r="AL30" i="7"/>
  <c r="AK30" i="7"/>
  <c r="AJ30" i="7"/>
  <c r="AJ42" i="7" s="1"/>
  <c r="AH30" i="7"/>
  <c r="AG30" i="7"/>
  <c r="N30" i="7"/>
  <c r="M30" i="7"/>
  <c r="L30" i="7"/>
  <c r="L42" i="7" s="1"/>
  <c r="J30" i="7"/>
  <c r="J42" i="7" s="1"/>
  <c r="I30" i="7"/>
  <c r="BF29" i="7"/>
  <c r="AL29" i="7"/>
  <c r="AI29" i="7" s="1"/>
  <c r="AK29" i="7"/>
  <c r="AJ29" i="7"/>
  <c r="AH29" i="7"/>
  <c r="AG29" i="7"/>
  <c r="N29" i="7"/>
  <c r="M29" i="7"/>
  <c r="L29" i="7"/>
  <c r="K29" i="7"/>
  <c r="J29" i="7"/>
  <c r="I29" i="7"/>
  <c r="BF28" i="7"/>
  <c r="AL28" i="7"/>
  <c r="AI28" i="7" s="1"/>
  <c r="AK28" i="7"/>
  <c r="AJ28" i="7"/>
  <c r="AH28" i="7"/>
  <c r="AG28" i="7"/>
  <c r="N28" i="7"/>
  <c r="M28" i="7"/>
  <c r="L28" i="7"/>
  <c r="J28" i="7"/>
  <c r="I28" i="7"/>
  <c r="BF27" i="7"/>
  <c r="AL27" i="7"/>
  <c r="AK27" i="7"/>
  <c r="AJ27" i="7"/>
  <c r="AI27" i="7"/>
  <c r="AH27" i="7"/>
  <c r="AG27" i="7"/>
  <c r="N27" i="7"/>
  <c r="K27" i="7" s="1"/>
  <c r="M27" i="7"/>
  <c r="L27" i="7"/>
  <c r="J27" i="7"/>
  <c r="I27" i="7"/>
  <c r="BF26" i="7"/>
  <c r="AL26" i="7"/>
  <c r="AK26" i="7"/>
  <c r="AJ26" i="7"/>
  <c r="AH26" i="7"/>
  <c r="AG26" i="7"/>
  <c r="N26" i="7"/>
  <c r="K26" i="7" s="1"/>
  <c r="M26" i="7"/>
  <c r="L26" i="7"/>
  <c r="J26" i="7"/>
  <c r="I26" i="7"/>
  <c r="BF25" i="7"/>
  <c r="AL25" i="7"/>
  <c r="AI25" i="7" s="1"/>
  <c r="AK25" i="7"/>
  <c r="AK41" i="7" s="1"/>
  <c r="AJ25" i="7"/>
  <c r="AH25" i="7"/>
  <c r="AG25" i="7"/>
  <c r="N25" i="7"/>
  <c r="M25" i="7"/>
  <c r="M41" i="7" s="1"/>
  <c r="L25" i="7"/>
  <c r="K25" i="7"/>
  <c r="J25" i="7"/>
  <c r="J41" i="7" s="1"/>
  <c r="I25" i="7"/>
  <c r="BF24" i="7"/>
  <c r="AL24" i="7"/>
  <c r="AI24" i="7" s="1"/>
  <c r="AK24" i="7"/>
  <c r="AJ24" i="7"/>
  <c r="AH24" i="7"/>
  <c r="AG24" i="7"/>
  <c r="N24" i="7"/>
  <c r="M24" i="7"/>
  <c r="L24" i="7"/>
  <c r="J24" i="7"/>
  <c r="I24" i="7"/>
  <c r="BF23" i="7"/>
  <c r="AL23" i="7"/>
  <c r="AK23" i="7"/>
  <c r="AJ23" i="7"/>
  <c r="AI23" i="7"/>
  <c r="AH23" i="7"/>
  <c r="AG23" i="7"/>
  <c r="N23" i="7"/>
  <c r="BG23" i="7" s="1"/>
  <c r="M23" i="7"/>
  <c r="L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F20" i="7"/>
  <c r="AL20" i="7"/>
  <c r="AI20" i="7" s="1"/>
  <c r="AK20" i="7"/>
  <c r="AJ20" i="7"/>
  <c r="AH20" i="7"/>
  <c r="AG20" i="7"/>
  <c r="N20" i="7"/>
  <c r="M20" i="7"/>
  <c r="L20" i="7"/>
  <c r="J20" i="7"/>
  <c r="I20" i="7"/>
  <c r="BF19" i="7"/>
  <c r="AL19" i="7"/>
  <c r="AK19" i="7"/>
  <c r="AJ19" i="7"/>
  <c r="AI19" i="7"/>
  <c r="AH19" i="7"/>
  <c r="AG19" i="7"/>
  <c r="N19" i="7"/>
  <c r="BG19" i="7" s="1"/>
  <c r="M19" i="7"/>
  <c r="L19" i="7"/>
  <c r="J19" i="7"/>
  <c r="I19" i="7"/>
  <c r="BF18" i="7"/>
  <c r="AL18" i="7"/>
  <c r="AK18" i="7"/>
  <c r="AJ18" i="7"/>
  <c r="AH18" i="7"/>
  <c r="AG18" i="7"/>
  <c r="N18" i="7"/>
  <c r="K18" i="7" s="1"/>
  <c r="M18" i="7"/>
  <c r="L18" i="7"/>
  <c r="J18" i="7"/>
  <c r="I18" i="7"/>
  <c r="BG17" i="7"/>
  <c r="BF17" i="7"/>
  <c r="AL17" i="7"/>
  <c r="AI17" i="7" s="1"/>
  <c r="AK17" i="7"/>
  <c r="AJ17" i="7"/>
  <c r="AH17" i="7"/>
  <c r="AG17" i="7"/>
  <c r="N17" i="7"/>
  <c r="M17" i="7"/>
  <c r="L17" i="7"/>
  <c r="K17" i="7"/>
  <c r="J17" i="7"/>
  <c r="I17" i="7"/>
  <c r="BF16" i="7"/>
  <c r="AL16" i="7"/>
  <c r="AI16" i="7" s="1"/>
  <c r="AK16" i="7"/>
  <c r="AJ16" i="7"/>
  <c r="AH16" i="7"/>
  <c r="AG16" i="7"/>
  <c r="N16" i="7"/>
  <c r="M16" i="7"/>
  <c r="L16" i="7"/>
  <c r="J16" i="7"/>
  <c r="I16" i="7"/>
  <c r="BF15" i="7"/>
  <c r="AL15" i="7"/>
  <c r="BH15" i="7" s="1" a="1"/>
  <c r="BH15" i="7" s="1"/>
  <c r="AK15" i="7"/>
  <c r="AJ15" i="7"/>
  <c r="AI15" i="7"/>
  <c r="AH15" i="7"/>
  <c r="AG15" i="7"/>
  <c r="N15" i="7"/>
  <c r="BG15" i="7" s="1"/>
  <c r="M15" i="7"/>
  <c r="L15" i="7"/>
  <c r="J15" i="7"/>
  <c r="I15" i="7"/>
  <c r="BF14" i="7"/>
  <c r="AL14" i="7"/>
  <c r="AK14" i="7"/>
  <c r="AJ14" i="7"/>
  <c r="AH14" i="7"/>
  <c r="AG14" i="7"/>
  <c r="N14" i="7"/>
  <c r="K14" i="7" s="1"/>
  <c r="M14" i="7"/>
  <c r="L14" i="7"/>
  <c r="J14" i="7"/>
  <c r="I14" i="7"/>
  <c r="BF13" i="7"/>
  <c r="AL13" i="7"/>
  <c r="AI13" i="7" s="1"/>
  <c r="AK13" i="7"/>
  <c r="AJ13" i="7"/>
  <c r="AH13" i="7"/>
  <c r="AG13" i="7"/>
  <c r="N13" i="7"/>
  <c r="K13" i="7" s="1"/>
  <c r="M13" i="7"/>
  <c r="L13" i="7"/>
  <c r="J13" i="7"/>
  <c r="I13" i="7"/>
  <c r="BF12" i="7"/>
  <c r="AL12" i="7"/>
  <c r="AI12" i="7" s="1"/>
  <c r="AK12" i="7"/>
  <c r="AJ12" i="7"/>
  <c r="AH12" i="7"/>
  <c r="AG12" i="7"/>
  <c r="N12" i="7"/>
  <c r="M12" i="7"/>
  <c r="L12" i="7"/>
  <c r="J12" i="7"/>
  <c r="I12" i="7"/>
  <c r="BF11" i="7"/>
  <c r="AL11" i="7"/>
  <c r="AI11" i="7" s="1"/>
  <c r="AK11" i="7"/>
  <c r="AJ11" i="7"/>
  <c r="AH11" i="7"/>
  <c r="AG11" i="7"/>
  <c r="N11" i="7"/>
  <c r="M11" i="7"/>
  <c r="L11" i="7"/>
  <c r="J11" i="7"/>
  <c r="I11" i="7"/>
  <c r="BF10" i="7"/>
  <c r="AL10" i="7"/>
  <c r="AK10" i="7"/>
  <c r="AJ10" i="7"/>
  <c r="AH10" i="7"/>
  <c r="AG10" i="7"/>
  <c r="N10" i="7"/>
  <c r="M10" i="7"/>
  <c r="L10" i="7"/>
  <c r="J10" i="7"/>
  <c r="I10" i="7"/>
  <c r="BG9" i="7"/>
  <c r="BF9" i="7"/>
  <c r="AL9" i="7"/>
  <c r="AI9" i="7" s="1"/>
  <c r="BE9" i="7" s="1"/>
  <c r="AK9" i="7"/>
  <c r="AJ9" i="7"/>
  <c r="AH9" i="7"/>
  <c r="AG9" i="7"/>
  <c r="N9" i="7"/>
  <c r="M9" i="7"/>
  <c r="L9" i="7"/>
  <c r="K9" i="7"/>
  <c r="J9" i="7"/>
  <c r="I9" i="7"/>
  <c r="BF8" i="7"/>
  <c r="AL8" i="7"/>
  <c r="AI8" i="7" s="1"/>
  <c r="AK8" i="7"/>
  <c r="AJ8" i="7"/>
  <c r="AH8" i="7"/>
  <c r="AG8" i="7"/>
  <c r="N8" i="7"/>
  <c r="M8" i="7"/>
  <c r="L8" i="7"/>
  <c r="J8" i="7"/>
  <c r="I8" i="7"/>
  <c r="BF7" i="7"/>
  <c r="AL7" i="7"/>
  <c r="AI7" i="7" s="1"/>
  <c r="AK7" i="7"/>
  <c r="AJ7" i="7"/>
  <c r="AH7" i="7"/>
  <c r="AG7" i="7"/>
  <c r="N7" i="7"/>
  <c r="M7" i="7"/>
  <c r="M40" i="7" s="1"/>
  <c r="L7" i="7"/>
  <c r="J7" i="7"/>
  <c r="I7" i="7"/>
  <c r="BF6" i="7"/>
  <c r="AL6" i="7"/>
  <c r="AK6" i="7"/>
  <c r="AJ6" i="7"/>
  <c r="AH6" i="7"/>
  <c r="AG6" i="7"/>
  <c r="N6" i="7"/>
  <c r="K6" i="7" s="1"/>
  <c r="M6" i="7"/>
  <c r="L6" i="7"/>
  <c r="J6" i="7"/>
  <c r="I6" i="7"/>
  <c r="BF5" i="7"/>
  <c r="AL5" i="7"/>
  <c r="AI5" i="7" s="1"/>
  <c r="AK5" i="7"/>
  <c r="AK43" i="7" s="1"/>
  <c r="AJ5" i="7"/>
  <c r="AH5" i="7"/>
  <c r="AG5" i="7"/>
  <c r="N5" i="7"/>
  <c r="K5" i="7" s="1"/>
  <c r="M5" i="7"/>
  <c r="L5" i="7"/>
  <c r="J5" i="7"/>
  <c r="I5" i="7"/>
  <c r="AG1" i="7"/>
  <c r="I1" i="7"/>
  <c r="AZ18" i="6"/>
  <c r="AZ19" i="6" s="1"/>
  <c r="AY18" i="6"/>
  <c r="AX18" i="6"/>
  <c r="AW18" i="6"/>
  <c r="AW19" i="6" s="1"/>
  <c r="AC18" i="6"/>
  <c r="AB18" i="6"/>
  <c r="AA18" i="6"/>
  <c r="AX19" i="6" s="1"/>
  <c r="Z18" i="6"/>
  <c r="AZ16" i="6"/>
  <c r="AY16" i="6"/>
  <c r="AX16" i="6"/>
  <c r="AW16" i="6"/>
  <c r="AW17" i="6" s="1"/>
  <c r="AC16" i="6"/>
  <c r="AZ17" i="6" s="1"/>
  <c r="AB16" i="6"/>
  <c r="AA16" i="6"/>
  <c r="Z16" i="6"/>
  <c r="AJ13" i="6"/>
  <c r="AH13" i="6"/>
  <c r="BG11" i="6" a="1"/>
  <c r="AK11" i="6"/>
  <c r="AJ11" i="6"/>
  <c r="AI11" i="6"/>
  <c r="AH11" i="6"/>
  <c r="AG11" i="6"/>
  <c r="AF11" i="6"/>
  <c r="AE11" i="6"/>
  <c r="N11" i="6"/>
  <c r="BF11" i="6" s="1"/>
  <c r="M11" i="6"/>
  <c r="M14" i="6" s="1"/>
  <c r="L11" i="6"/>
  <c r="J11" i="6"/>
  <c r="I11" i="6"/>
  <c r="H11" i="6"/>
  <c r="AK10" i="6"/>
  <c r="AH10" i="6" s="1"/>
  <c r="AJ10" i="6"/>
  <c r="AI10" i="6"/>
  <c r="AI14" i="6" s="1"/>
  <c r="AG10" i="6"/>
  <c r="AF10" i="6"/>
  <c r="AE10" i="6"/>
  <c r="N10" i="6"/>
  <c r="BF10" i="6" s="1"/>
  <c r="M10" i="6"/>
  <c r="L10" i="6"/>
  <c r="L14" i="6" s="1"/>
  <c r="J10" i="6"/>
  <c r="I10" i="6"/>
  <c r="H10" i="6"/>
  <c r="BG9" i="6" a="1"/>
  <c r="AK9" i="6"/>
  <c r="AH9" i="6" s="1"/>
  <c r="AJ9" i="6"/>
  <c r="AI9" i="6"/>
  <c r="AG9" i="6"/>
  <c r="AF9" i="6"/>
  <c r="AE9" i="6"/>
  <c r="N9" i="6"/>
  <c r="M9" i="6"/>
  <c r="M13" i="6" s="1"/>
  <c r="L9" i="6"/>
  <c r="L13" i="6" s="1"/>
  <c r="J9" i="6"/>
  <c r="J13" i="6" s="1"/>
  <c r="I9" i="6"/>
  <c r="H9" i="6"/>
  <c r="AK8" i="6"/>
  <c r="AH8" i="6" s="1"/>
  <c r="AJ8" i="6"/>
  <c r="BE8" i="6" s="1"/>
  <c r="AI8" i="6"/>
  <c r="BD8" i="6" s="1"/>
  <c r="AG8" i="6"/>
  <c r="AF8" i="6"/>
  <c r="AE8" i="6"/>
  <c r="N8" i="6"/>
  <c r="K8" i="6" s="1"/>
  <c r="M8" i="6"/>
  <c r="L8" i="6"/>
  <c r="J8" i="6"/>
  <c r="I8" i="6"/>
  <c r="H8" i="6"/>
  <c r="BG7" i="6" a="1"/>
  <c r="BG7" i="6"/>
  <c r="AK7" i="6"/>
  <c r="AH7" i="6" s="1"/>
  <c r="AJ7" i="6"/>
  <c r="AI7" i="6"/>
  <c r="AG7" i="6"/>
  <c r="AF7" i="6"/>
  <c r="AE7" i="6"/>
  <c r="N7" i="6"/>
  <c r="M7" i="6"/>
  <c r="L7" i="6"/>
  <c r="K7" i="6"/>
  <c r="J7" i="6"/>
  <c r="I7" i="6"/>
  <c r="H7" i="6"/>
  <c r="AK6" i="6"/>
  <c r="AH6" i="6" s="1"/>
  <c r="AJ6" i="6"/>
  <c r="AI6" i="6"/>
  <c r="AG6" i="6"/>
  <c r="AF6" i="6"/>
  <c r="AE6" i="6"/>
  <c r="N6" i="6"/>
  <c r="M6" i="6"/>
  <c r="L6" i="6"/>
  <c r="J6" i="6"/>
  <c r="I6" i="6"/>
  <c r="H6" i="6"/>
  <c r="BG5" i="6" a="1"/>
  <c r="AK5" i="6"/>
  <c r="AH5" i="6" s="1"/>
  <c r="AJ5" i="6"/>
  <c r="AJ12" i="6" s="1"/>
  <c r="AI5" i="6"/>
  <c r="AG5" i="6"/>
  <c r="AF5" i="6"/>
  <c r="AE5" i="6"/>
  <c r="N5" i="6"/>
  <c r="BF5" i="6" s="1"/>
  <c r="M5" i="6"/>
  <c r="L5" i="6"/>
  <c r="L12" i="6" s="1"/>
  <c r="J5" i="6"/>
  <c r="I5" i="6"/>
  <c r="H5" i="6"/>
  <c r="AE1" i="6"/>
  <c r="H1" i="6"/>
  <c r="AZ18" i="5"/>
  <c r="AY18" i="5"/>
  <c r="AX18" i="5"/>
  <c r="AX19" i="5" s="1"/>
  <c r="AW18" i="5"/>
  <c r="AC18" i="5"/>
  <c r="AB18" i="5"/>
  <c r="AY19" i="5" s="1"/>
  <c r="C24" i="1" s="1"/>
  <c r="AA18" i="5"/>
  <c r="Z18" i="5"/>
  <c r="AW19" i="5" s="1"/>
  <c r="C23" i="1" s="1"/>
  <c r="AZ16" i="5"/>
  <c r="AY16" i="5"/>
  <c r="AX16" i="5"/>
  <c r="AW16" i="5"/>
  <c r="AW17" i="5" s="1"/>
  <c r="AC16" i="5"/>
  <c r="AZ17" i="5" s="1"/>
  <c r="AB16" i="5"/>
  <c r="AY17" i="5" s="1"/>
  <c r="AA16" i="5"/>
  <c r="Z16" i="5"/>
  <c r="AJ14" i="5"/>
  <c r="AK11" i="5"/>
  <c r="AH11" i="5" s="1"/>
  <c r="AJ11" i="5"/>
  <c r="BE11" i="5" s="1"/>
  <c r="AI11" i="5"/>
  <c r="BD11" i="5" s="1"/>
  <c r="AG11" i="5"/>
  <c r="AF11" i="5"/>
  <c r="AE11" i="5"/>
  <c r="N11" i="5"/>
  <c r="M11" i="5"/>
  <c r="L11" i="5"/>
  <c r="J11" i="5"/>
  <c r="I11" i="5"/>
  <c r="H11" i="5"/>
  <c r="BG10" i="5" a="1"/>
  <c r="BG10" i="5" s="1"/>
  <c r="AK10" i="5"/>
  <c r="AH10" i="5" s="1"/>
  <c r="BC10" i="5" s="1"/>
  <c r="AJ10" i="5"/>
  <c r="AI10" i="5"/>
  <c r="AG10" i="5"/>
  <c r="AF10" i="5"/>
  <c r="AE10" i="5"/>
  <c r="N10" i="5"/>
  <c r="BF10" i="5" s="1"/>
  <c r="M10" i="5"/>
  <c r="M14" i="5" s="1"/>
  <c r="L10" i="5"/>
  <c r="L14" i="5" s="1"/>
  <c r="K10" i="5"/>
  <c r="J10" i="5"/>
  <c r="I10" i="5"/>
  <c r="H10" i="5"/>
  <c r="BG9" i="5" a="1"/>
  <c r="AK9" i="5"/>
  <c r="AH9" i="5" s="1"/>
  <c r="AH13" i="5" s="1"/>
  <c r="AJ9" i="5"/>
  <c r="AI9" i="5"/>
  <c r="AG9" i="5"/>
  <c r="AG13" i="5" s="1"/>
  <c r="AF9" i="5"/>
  <c r="AE9" i="5"/>
  <c r="N9" i="5"/>
  <c r="K9" i="5" s="1"/>
  <c r="M9" i="5"/>
  <c r="M13" i="5" s="1"/>
  <c r="L9" i="5"/>
  <c r="L13" i="5" s="1"/>
  <c r="J9" i="5"/>
  <c r="J13" i="5" s="1"/>
  <c r="I9" i="5"/>
  <c r="H9" i="5"/>
  <c r="BG8" i="5" a="1"/>
  <c r="BG8" i="5"/>
  <c r="AK8" i="5"/>
  <c r="AJ8" i="5"/>
  <c r="BE8" i="5" s="1"/>
  <c r="AI8" i="5"/>
  <c r="BD8" i="5" s="1"/>
  <c r="AH8" i="5"/>
  <c r="AG8" i="5"/>
  <c r="BB8" i="5" s="1"/>
  <c r="AF8" i="5"/>
  <c r="AE8" i="5"/>
  <c r="N8" i="5"/>
  <c r="BF8" i="5" s="1"/>
  <c r="M8" i="5"/>
  <c r="L8" i="5"/>
  <c r="K8" i="5"/>
  <c r="BC8" i="5" s="1"/>
  <c r="J8" i="5"/>
  <c r="I8" i="5"/>
  <c r="H8" i="5"/>
  <c r="AK7" i="5"/>
  <c r="AH7" i="5" s="1"/>
  <c r="AJ7" i="5"/>
  <c r="BE7" i="5" s="1"/>
  <c r="AI7" i="5"/>
  <c r="BD7" i="5" s="1"/>
  <c r="AG7" i="5"/>
  <c r="BB7" i="5" s="1"/>
  <c r="AF7" i="5"/>
  <c r="AE7" i="5"/>
  <c r="N7" i="5"/>
  <c r="M7" i="5"/>
  <c r="L7" i="5"/>
  <c r="J7" i="5"/>
  <c r="I7" i="5"/>
  <c r="H7" i="5"/>
  <c r="BG6" i="5" a="1"/>
  <c r="AK6" i="5"/>
  <c r="AH6" i="5" s="1"/>
  <c r="AH12" i="5" s="1"/>
  <c r="AJ6" i="5"/>
  <c r="BE6" i="5" s="1"/>
  <c r="AI6" i="5"/>
  <c r="AG6" i="5"/>
  <c r="AF6" i="5"/>
  <c r="AE6" i="5"/>
  <c r="N6" i="5"/>
  <c r="BF6" i="5" s="1"/>
  <c r="M6" i="5"/>
  <c r="L6" i="5"/>
  <c r="J6" i="5"/>
  <c r="I6" i="5"/>
  <c r="H6" i="5"/>
  <c r="BF5" i="5"/>
  <c r="AK5" i="5"/>
  <c r="AJ5" i="5"/>
  <c r="AI5" i="5"/>
  <c r="AH5" i="5"/>
  <c r="AG5" i="5"/>
  <c r="AF5" i="5"/>
  <c r="AE5" i="5"/>
  <c r="N5" i="5"/>
  <c r="K5" i="5" s="1"/>
  <c r="M5" i="5"/>
  <c r="M15" i="5" s="1"/>
  <c r="L5" i="5"/>
  <c r="L12" i="5" s="1"/>
  <c r="J5" i="5"/>
  <c r="I5" i="5"/>
  <c r="H5" i="5"/>
  <c r="AE1" i="5"/>
  <c r="H1" i="5"/>
  <c r="BC46" i="3"/>
  <c r="BB46" i="3"/>
  <c r="BB47" i="3" s="1"/>
  <c r="C14" i="1" s="1"/>
  <c r="BA46" i="3"/>
  <c r="AZ46" i="3"/>
  <c r="AE46" i="3"/>
  <c r="AD46" i="3"/>
  <c r="AC46" i="3"/>
  <c r="AB46" i="3"/>
  <c r="BC44" i="3"/>
  <c r="BB44" i="3"/>
  <c r="BA44" i="3"/>
  <c r="AZ44" i="3"/>
  <c r="AE44" i="3"/>
  <c r="AD44" i="3"/>
  <c r="AC44" i="3"/>
  <c r="AB44" i="3"/>
  <c r="BF39" i="3"/>
  <c r="AL39" i="3"/>
  <c r="AK39" i="3"/>
  <c r="AJ39" i="3"/>
  <c r="AH39" i="3"/>
  <c r="AG39" i="3"/>
  <c r="N39" i="3"/>
  <c r="K39" i="3" s="1"/>
  <c r="M39" i="3"/>
  <c r="L39" i="3"/>
  <c r="J39" i="3"/>
  <c r="I39" i="3"/>
  <c r="BF38" i="3"/>
  <c r="AL38" i="3"/>
  <c r="AI38" i="3" s="1"/>
  <c r="AK38" i="3"/>
  <c r="AJ38" i="3"/>
  <c r="AH38" i="3"/>
  <c r="AG38" i="3"/>
  <c r="N38" i="3"/>
  <c r="M38" i="3"/>
  <c r="L38" i="3"/>
  <c r="K38" i="3"/>
  <c r="J38" i="3"/>
  <c r="I38" i="3"/>
  <c r="BF37" i="3"/>
  <c r="AL37" i="3"/>
  <c r="AI37" i="3" s="1"/>
  <c r="AK37" i="3"/>
  <c r="AJ37" i="3"/>
  <c r="AH37" i="3"/>
  <c r="AG37" i="3"/>
  <c r="N37" i="3"/>
  <c r="K37" i="3" s="1"/>
  <c r="M37" i="3"/>
  <c r="L37" i="3"/>
  <c r="J37" i="3"/>
  <c r="I37" i="3"/>
  <c r="BF36" i="3"/>
  <c r="AL36" i="3"/>
  <c r="AI36" i="3" s="1"/>
  <c r="AK36" i="3"/>
  <c r="AJ36" i="3"/>
  <c r="AH36" i="3"/>
  <c r="AG36" i="3"/>
  <c r="N36" i="3"/>
  <c r="K36" i="3" s="1"/>
  <c r="M36" i="3"/>
  <c r="L36" i="3"/>
  <c r="J36" i="3"/>
  <c r="I36" i="3"/>
  <c r="BF35" i="3"/>
  <c r="AL35" i="3"/>
  <c r="AK35" i="3"/>
  <c r="AJ35" i="3"/>
  <c r="AH35" i="3"/>
  <c r="AG35" i="3"/>
  <c r="N35" i="3"/>
  <c r="K35" i="3" s="1"/>
  <c r="M35" i="3"/>
  <c r="L35" i="3"/>
  <c r="J35" i="3"/>
  <c r="I35" i="3"/>
  <c r="BF34" i="3"/>
  <c r="AL34" i="3"/>
  <c r="AI34" i="3" s="1"/>
  <c r="AK34" i="3"/>
  <c r="AJ34" i="3"/>
  <c r="AH34" i="3"/>
  <c r="AG34" i="3"/>
  <c r="N34" i="3"/>
  <c r="K34" i="3" s="1"/>
  <c r="M34" i="3"/>
  <c r="L34" i="3"/>
  <c r="J34" i="3"/>
  <c r="I34" i="3"/>
  <c r="BF33" i="3"/>
  <c r="AL33" i="3"/>
  <c r="AI33" i="3" s="1"/>
  <c r="AK33" i="3"/>
  <c r="AJ33" i="3"/>
  <c r="AH33" i="3"/>
  <c r="AG33" i="3"/>
  <c r="N33" i="3"/>
  <c r="M33" i="3"/>
  <c r="L33" i="3"/>
  <c r="J33" i="3"/>
  <c r="I33" i="3"/>
  <c r="BF32" i="3"/>
  <c r="AL32" i="3"/>
  <c r="AK32" i="3"/>
  <c r="AJ32" i="3"/>
  <c r="AH32" i="3"/>
  <c r="AG32" i="3"/>
  <c r="N32" i="3"/>
  <c r="K32" i="3" s="1"/>
  <c r="M32" i="3"/>
  <c r="L32" i="3"/>
  <c r="J32" i="3"/>
  <c r="I32" i="3"/>
  <c r="BF31" i="3"/>
  <c r="AL31" i="3"/>
  <c r="BH30" i="3" s="1" a="1"/>
  <c r="AK31" i="3"/>
  <c r="AJ31" i="3"/>
  <c r="AH31" i="3"/>
  <c r="AG31" i="3"/>
  <c r="N31" i="3"/>
  <c r="K31" i="3" s="1"/>
  <c r="M31" i="3"/>
  <c r="L31" i="3"/>
  <c r="J31" i="3"/>
  <c r="I31" i="3"/>
  <c r="BF30" i="3"/>
  <c r="AL30" i="3"/>
  <c r="AI30" i="3" s="1"/>
  <c r="AK30" i="3"/>
  <c r="AJ30" i="3"/>
  <c r="AH30" i="3"/>
  <c r="AG30" i="3"/>
  <c r="N30" i="3"/>
  <c r="K30" i="3" s="1"/>
  <c r="M30" i="3"/>
  <c r="L30" i="3"/>
  <c r="J30" i="3"/>
  <c r="I30" i="3"/>
  <c r="BF29" i="3"/>
  <c r="AL29" i="3"/>
  <c r="AI29" i="3" s="1"/>
  <c r="AK29" i="3"/>
  <c r="AJ29" i="3"/>
  <c r="AH29" i="3"/>
  <c r="AG29" i="3"/>
  <c r="N29" i="3"/>
  <c r="M29" i="3"/>
  <c r="L29" i="3"/>
  <c r="J29" i="3"/>
  <c r="I29" i="3"/>
  <c r="BF28" i="3"/>
  <c r="AL28" i="3"/>
  <c r="AK28" i="3"/>
  <c r="AJ28" i="3"/>
  <c r="AH28" i="3"/>
  <c r="AG28" i="3"/>
  <c r="N28" i="3"/>
  <c r="K28" i="3" s="1"/>
  <c r="M28" i="3"/>
  <c r="L28" i="3"/>
  <c r="J28" i="3"/>
  <c r="I28" i="3"/>
  <c r="BF27" i="3"/>
  <c r="AL27" i="3"/>
  <c r="AK27" i="3"/>
  <c r="AJ27" i="3"/>
  <c r="AH27" i="3"/>
  <c r="AG27" i="3"/>
  <c r="N27" i="3"/>
  <c r="M27" i="3"/>
  <c r="L27" i="3"/>
  <c r="K27" i="3"/>
  <c r="J27" i="3"/>
  <c r="I27" i="3"/>
  <c r="BF26" i="3"/>
  <c r="AL26" i="3"/>
  <c r="AI26" i="3" s="1"/>
  <c r="AK26" i="3"/>
  <c r="AJ26" i="3"/>
  <c r="AH26" i="3"/>
  <c r="AG26" i="3"/>
  <c r="N26" i="3"/>
  <c r="M26" i="3"/>
  <c r="L26" i="3"/>
  <c r="K26" i="3"/>
  <c r="J26" i="3"/>
  <c r="I26" i="3"/>
  <c r="BF25" i="3"/>
  <c r="AL25" i="3"/>
  <c r="AI25" i="3" s="1"/>
  <c r="AK25" i="3"/>
  <c r="AJ25" i="3"/>
  <c r="AH25" i="3"/>
  <c r="AG25" i="3"/>
  <c r="N25" i="3"/>
  <c r="M25" i="3"/>
  <c r="L25" i="3"/>
  <c r="J25" i="3"/>
  <c r="I25" i="3"/>
  <c r="BF24" i="3"/>
  <c r="AL24" i="3"/>
  <c r="BG24" i="3" s="1"/>
  <c r="AK24" i="3"/>
  <c r="AJ24" i="3"/>
  <c r="AH24" i="3"/>
  <c r="AG24" i="3"/>
  <c r="N24" i="3"/>
  <c r="K24" i="3" s="1"/>
  <c r="M24" i="3"/>
  <c r="L24" i="3"/>
  <c r="J24" i="3"/>
  <c r="I24" i="3"/>
  <c r="BF23" i="3"/>
  <c r="AL23" i="3"/>
  <c r="AK23" i="3"/>
  <c r="AJ23" i="3"/>
  <c r="AH23" i="3"/>
  <c r="AG23" i="3"/>
  <c r="N23" i="3"/>
  <c r="M23" i="3"/>
  <c r="L23" i="3"/>
  <c r="K23" i="3"/>
  <c r="J23" i="3"/>
  <c r="I23" i="3"/>
  <c r="BF22" i="3"/>
  <c r="AL22" i="3"/>
  <c r="AI22" i="3" s="1"/>
  <c r="AK22" i="3"/>
  <c r="AJ22" i="3"/>
  <c r="AH22" i="3"/>
  <c r="AG22" i="3"/>
  <c r="N22" i="3"/>
  <c r="K22" i="3" s="1"/>
  <c r="M22" i="3"/>
  <c r="L22" i="3"/>
  <c r="J22" i="3"/>
  <c r="I22" i="3"/>
  <c r="BF21" i="3"/>
  <c r="AL21" i="3"/>
  <c r="AI21" i="3" s="1"/>
  <c r="AK21" i="3"/>
  <c r="AJ21" i="3"/>
  <c r="AH21" i="3"/>
  <c r="AG21" i="3"/>
  <c r="N21" i="3"/>
  <c r="M21" i="3"/>
  <c r="L21" i="3"/>
  <c r="J21" i="3"/>
  <c r="I21" i="3"/>
  <c r="BF20" i="3"/>
  <c r="AL20" i="3"/>
  <c r="AK20" i="3"/>
  <c r="AJ20" i="3"/>
  <c r="AH20" i="3"/>
  <c r="AG20" i="3"/>
  <c r="N20" i="3"/>
  <c r="K20" i="3" s="1"/>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M17" i="3"/>
  <c r="L17" i="3"/>
  <c r="J17" i="3"/>
  <c r="I17" i="3"/>
  <c r="BF16" i="3"/>
  <c r="AL16" i="3"/>
  <c r="AK16" i="3"/>
  <c r="AJ16" i="3"/>
  <c r="AH16" i="3"/>
  <c r="AG16" i="3"/>
  <c r="N16" i="3"/>
  <c r="K16" i="3" s="1"/>
  <c r="M16" i="3"/>
  <c r="L16" i="3"/>
  <c r="J16" i="3"/>
  <c r="I16" i="3"/>
  <c r="BF15" i="3"/>
  <c r="AL15" i="3"/>
  <c r="AK15" i="3"/>
  <c r="AJ15" i="3"/>
  <c r="AH15" i="3"/>
  <c r="AG15" i="3"/>
  <c r="N15" i="3"/>
  <c r="K15" i="3" s="1"/>
  <c r="M15" i="3"/>
  <c r="L15" i="3"/>
  <c r="J15" i="3"/>
  <c r="I15" i="3"/>
  <c r="BF14" i="3"/>
  <c r="AL14" i="3"/>
  <c r="AI14" i="3" s="1"/>
  <c r="AK14" i="3"/>
  <c r="AJ14" i="3"/>
  <c r="AH14" i="3"/>
  <c r="AG14" i="3"/>
  <c r="N14" i="3"/>
  <c r="K14" i="3" s="1"/>
  <c r="M14" i="3"/>
  <c r="L14" i="3"/>
  <c r="J14" i="3"/>
  <c r="I14" i="3"/>
  <c r="BF13" i="3"/>
  <c r="AL13" i="3"/>
  <c r="AI13" i="3" s="1"/>
  <c r="AK13" i="3"/>
  <c r="AJ13" i="3"/>
  <c r="AH13" i="3"/>
  <c r="AG13" i="3"/>
  <c r="N13" i="3"/>
  <c r="M13" i="3"/>
  <c r="L13" i="3"/>
  <c r="J13" i="3"/>
  <c r="I13" i="3"/>
  <c r="BF12" i="3"/>
  <c r="AL12" i="3"/>
  <c r="AI12" i="3" s="1"/>
  <c r="AK12" i="3"/>
  <c r="AJ12" i="3"/>
  <c r="AH12" i="3"/>
  <c r="AG12" i="3"/>
  <c r="N12" i="3"/>
  <c r="K12" i="3" s="1"/>
  <c r="M12" i="3"/>
  <c r="L12" i="3"/>
  <c r="J12" i="3"/>
  <c r="I12" i="3"/>
  <c r="BF11" i="3"/>
  <c r="AL11" i="3"/>
  <c r="AK11" i="3"/>
  <c r="AJ11" i="3"/>
  <c r="AH11" i="3"/>
  <c r="AG11" i="3"/>
  <c r="N11" i="3"/>
  <c r="K11" i="3" s="1"/>
  <c r="M11" i="3"/>
  <c r="L11" i="3"/>
  <c r="J11" i="3"/>
  <c r="I11" i="3"/>
  <c r="BF10" i="3"/>
  <c r="AL10" i="3"/>
  <c r="AK10" i="3"/>
  <c r="AJ10" i="3"/>
  <c r="AH10" i="3"/>
  <c r="AG10" i="3"/>
  <c r="N10" i="3"/>
  <c r="K10" i="3" s="1"/>
  <c r="M10" i="3"/>
  <c r="L10" i="3"/>
  <c r="J10" i="3"/>
  <c r="I10" i="3"/>
  <c r="BF9" i="3"/>
  <c r="AL9" i="3"/>
  <c r="AI9" i="3" s="1"/>
  <c r="AK9" i="3"/>
  <c r="AJ9" i="3"/>
  <c r="AH9" i="3"/>
  <c r="AG9" i="3"/>
  <c r="N9" i="3"/>
  <c r="BG9" i="3" s="1"/>
  <c r="M9" i="3"/>
  <c r="L9" i="3"/>
  <c r="J9" i="3"/>
  <c r="I9" i="3"/>
  <c r="BF8" i="3"/>
  <c r="AL8" i="3"/>
  <c r="AI8" i="3" s="1"/>
  <c r="AK8" i="3"/>
  <c r="AJ8" i="3"/>
  <c r="AH8" i="3"/>
  <c r="AG8" i="3"/>
  <c r="N8" i="3"/>
  <c r="K8" i="3" s="1"/>
  <c r="M8" i="3"/>
  <c r="L8" i="3"/>
  <c r="J8" i="3"/>
  <c r="I8" i="3"/>
  <c r="BF7" i="3"/>
  <c r="AL7" i="3"/>
  <c r="AK7" i="3"/>
  <c r="AJ7" i="3"/>
  <c r="AH7" i="3"/>
  <c r="AG7" i="3"/>
  <c r="N7" i="3"/>
  <c r="K7" i="3" s="1"/>
  <c r="M7" i="3"/>
  <c r="L7" i="3"/>
  <c r="J7" i="3"/>
  <c r="I7" i="3"/>
  <c r="BF6" i="3"/>
  <c r="AL6" i="3"/>
  <c r="AK6" i="3"/>
  <c r="AJ6" i="3"/>
  <c r="AH6" i="3"/>
  <c r="AG6" i="3"/>
  <c r="N6" i="3"/>
  <c r="M6" i="3"/>
  <c r="L6" i="3"/>
  <c r="J6" i="3"/>
  <c r="I6" i="3"/>
  <c r="BF5" i="3"/>
  <c r="AL5" i="3"/>
  <c r="AI5" i="3" s="1"/>
  <c r="AK5" i="3"/>
  <c r="AJ5" i="3"/>
  <c r="AH5" i="3"/>
  <c r="AG5" i="3"/>
  <c r="N5" i="3"/>
  <c r="M5" i="3"/>
  <c r="L5" i="3"/>
  <c r="J5" i="3"/>
  <c r="I5" i="3"/>
  <c r="AG1" i="3"/>
  <c r="I1" i="3"/>
  <c r="B1" i="2"/>
  <c r="B2" i="2" s="1"/>
  <c r="C47" i="1"/>
  <c r="BQ25" i="7"/>
  <c r="BN10" i="3"/>
  <c r="BT35" i="7"/>
  <c r="BS15" i="7"/>
  <c r="BK10" i="3"/>
  <c r="BS20" i="3"/>
  <c r="BS25" i="3"/>
  <c r="BR30" i="3"/>
  <c r="BQ25" i="3"/>
  <c r="BK15" i="7"/>
  <c r="BT15" i="3"/>
  <c r="BK30" i="3"/>
  <c r="BN20" i="7"/>
  <c r="BM20" i="3"/>
  <c r="BR15" i="3"/>
  <c r="BT5" i="3"/>
  <c r="BR5" i="3"/>
  <c r="BL30" i="3"/>
  <c r="BL10" i="7"/>
  <c r="BN20" i="3"/>
  <c r="BN25" i="7"/>
  <c r="BM10" i="3"/>
  <c r="BM5" i="3"/>
  <c r="BM15" i="3"/>
  <c r="BR20" i="3"/>
  <c r="BR25" i="3"/>
  <c r="BP20" i="3"/>
  <c r="BT10" i="7"/>
  <c r="BM20" i="7"/>
  <c r="BN25" i="3"/>
  <c r="BQ10" i="7"/>
  <c r="BM5" i="7"/>
  <c r="BT30" i="7"/>
  <c r="BS5" i="3"/>
  <c r="BL20" i="7"/>
  <c r="BP5" i="3"/>
  <c r="BS30" i="7"/>
  <c r="BP10" i="7"/>
  <c r="BR15" i="7"/>
  <c r="BS35" i="7"/>
  <c r="BL35" i="3"/>
  <c r="BK5" i="7"/>
  <c r="BL15" i="3"/>
  <c r="BQ20" i="3"/>
  <c r="BT10" i="3"/>
  <c r="BL5" i="3"/>
  <c r="BM35" i="3"/>
  <c r="BJ25" i="3"/>
  <c r="BQ35" i="3"/>
  <c r="BR10" i="3"/>
  <c r="BP10" i="3"/>
  <c r="BP30" i="7"/>
  <c r="BP25" i="7"/>
  <c r="BM10" i="7"/>
  <c r="BT5" i="7"/>
  <c r="BM25" i="7"/>
  <c r="BN10" i="7"/>
  <c r="BQ35" i="7"/>
  <c r="BT15" i="7"/>
  <c r="BN35" i="7"/>
  <c r="BP20" i="7"/>
  <c r="BP30" i="3"/>
  <c r="BL35" i="7"/>
  <c r="BL25" i="3"/>
  <c r="BQ30" i="7"/>
  <c r="BM30" i="3"/>
  <c r="BP15" i="3"/>
  <c r="BQ15" i="7"/>
  <c r="BR35" i="7"/>
  <c r="BR30" i="7"/>
  <c r="BP35" i="7"/>
  <c r="BJ35" i="7"/>
  <c r="BL20" i="3"/>
  <c r="BP25" i="3"/>
  <c r="BM30" i="7"/>
  <c r="BS25" i="7"/>
  <c r="BK30" i="7"/>
  <c r="BT25" i="7"/>
  <c r="BL10" i="3"/>
  <c r="BK35" i="7"/>
  <c r="BS5" i="7"/>
  <c r="BL25" i="7"/>
  <c r="BK25" i="7"/>
  <c r="BT20" i="7"/>
  <c r="BS20" i="7"/>
  <c r="BJ25" i="7"/>
  <c r="BS10" i="3"/>
  <c r="BQ20" i="7"/>
  <c r="BN5" i="3"/>
  <c r="BK25" i="3"/>
  <c r="BT35" i="3"/>
  <c r="BN30" i="7"/>
  <c r="BQ15" i="3"/>
  <c r="BN35" i="3"/>
  <c r="BS35" i="3"/>
  <c r="BN30" i="3"/>
  <c r="BM25" i="3"/>
  <c r="BT20" i="3"/>
  <c r="BP15" i="7"/>
  <c r="BN15" i="7"/>
  <c r="BM15" i="7"/>
  <c r="BL15" i="7"/>
  <c r="BK35" i="3"/>
  <c r="BQ5" i="3"/>
  <c r="BS10" i="7"/>
  <c r="BS15" i="3"/>
  <c r="BL5" i="7"/>
  <c r="BR10" i="7"/>
  <c r="BJ5" i="7"/>
  <c r="BL30" i="7"/>
  <c r="BT25" i="3"/>
  <c r="BQ30" i="3"/>
  <c r="BJ10" i="7"/>
  <c r="BQ10" i="3"/>
  <c r="BN15" i="3"/>
  <c r="BR5" i="7"/>
  <c r="BQ5" i="7"/>
  <c r="BP5" i="7"/>
  <c r="BN5" i="7"/>
  <c r="BM35" i="7"/>
  <c r="BK5" i="3"/>
  <c r="BT30" i="3"/>
  <c r="BR35" i="3"/>
  <c r="BP35" i="3"/>
  <c r="BS30" i="3"/>
  <c r="BR20" i="7"/>
  <c r="BR25" i="7"/>
  <c r="AH42" i="7" l="1"/>
  <c r="AH41" i="7"/>
  <c r="AK42" i="7"/>
  <c r="BG11" i="7"/>
  <c r="BG7" i="7"/>
  <c r="BG25" i="7"/>
  <c r="BE33" i="7"/>
  <c r="AZ45" i="7"/>
  <c r="BG21" i="7"/>
  <c r="BE35" i="7"/>
  <c r="AH43" i="7"/>
  <c r="BG29" i="7"/>
  <c r="BH35" i="7"/>
  <c r="BE38" i="7"/>
  <c r="BB45" i="7"/>
  <c r="BE13" i="7"/>
  <c r="BG13" i="7"/>
  <c r="M42" i="7"/>
  <c r="BG5" i="7"/>
  <c r="BE27" i="7"/>
  <c r="BE31" i="7"/>
  <c r="BA47" i="7"/>
  <c r="J43" i="7"/>
  <c r="M43" i="7"/>
  <c r="BE29" i="7"/>
  <c r="BB47" i="7"/>
  <c r="C48" i="1" s="1"/>
  <c r="BG27" i="7"/>
  <c r="BE36" i="7"/>
  <c r="AX17" i="6"/>
  <c r="BB6" i="6"/>
  <c r="BE5" i="6"/>
  <c r="BC7" i="6"/>
  <c r="BF7" i="6"/>
  <c r="BB8" i="6"/>
  <c r="BF6" i="6"/>
  <c r="BC8" i="6"/>
  <c r="BD14" i="6"/>
  <c r="AH12" i="6"/>
  <c r="BF9" i="6"/>
  <c r="BG11" i="6"/>
  <c r="M12" i="6"/>
  <c r="BE12" i="6" s="1"/>
  <c r="D31" i="1" s="1"/>
  <c r="BD10" i="6"/>
  <c r="J12" i="6"/>
  <c r="BD6" i="6"/>
  <c r="BB11" i="6"/>
  <c r="BE13" i="6"/>
  <c r="BG9" i="6"/>
  <c r="BG13" i="6" s="1"/>
  <c r="BG5" i="6"/>
  <c r="BB7" i="6"/>
  <c r="K9" i="6"/>
  <c r="BD11" i="6"/>
  <c r="L15" i="6"/>
  <c r="K5" i="6"/>
  <c r="BC5" i="6" s="1"/>
  <c r="BD7" i="6"/>
  <c r="J14" i="6"/>
  <c r="K11" i="6"/>
  <c r="BC11" i="6" s="1"/>
  <c r="BE11" i="6"/>
  <c r="BB13" i="5"/>
  <c r="E20" i="1" s="1"/>
  <c r="BF11" i="5"/>
  <c r="AZ19" i="5"/>
  <c r="J14" i="5"/>
  <c r="M12" i="5"/>
  <c r="J15" i="5"/>
  <c r="BB9" i="5"/>
  <c r="BB5" i="5"/>
  <c r="BD5" i="5"/>
  <c r="BE14" i="5"/>
  <c r="D21" i="1" s="1"/>
  <c r="BD9" i="5"/>
  <c r="L15" i="5"/>
  <c r="BD6" i="5"/>
  <c r="BG9" i="5"/>
  <c r="BG13" i="5" s="1"/>
  <c r="BE10" i="5"/>
  <c r="J12" i="5"/>
  <c r="BG6" i="5"/>
  <c r="K6" i="5"/>
  <c r="BC6" i="5" s="1"/>
  <c r="L41" i="3"/>
  <c r="BG20" i="3"/>
  <c r="AZ47" i="3"/>
  <c r="C13" i="1" s="1"/>
  <c r="BC47" i="3"/>
  <c r="M41" i="3"/>
  <c r="AZ45" i="3"/>
  <c r="BH30" i="3"/>
  <c r="BA45" i="3"/>
  <c r="BE30" i="3"/>
  <c r="BG28" i="3"/>
  <c r="BE37" i="3"/>
  <c r="AK41" i="3"/>
  <c r="BG13" i="3"/>
  <c r="BG30" i="3"/>
  <c r="BB45" i="3"/>
  <c r="BG22" i="3"/>
  <c r="L42" i="3"/>
  <c r="BG16" i="3"/>
  <c r="BH15" i="3" a="1"/>
  <c r="BH15" i="3" s="1"/>
  <c r="BE12" i="3"/>
  <c r="BG11" i="3"/>
  <c r="M40" i="3"/>
  <c r="BG10" i="3"/>
  <c r="BG38" i="3"/>
  <c r="BG6" i="3"/>
  <c r="BG32" i="3"/>
  <c r="BE34" i="3"/>
  <c r="K6" i="3"/>
  <c r="BG26" i="3"/>
  <c r="AH43" i="3"/>
  <c r="BC45" i="3"/>
  <c r="BG36" i="3"/>
  <c r="BG37" i="3"/>
  <c r="AJ40" i="3"/>
  <c r="BG18" i="3"/>
  <c r="J42" i="3"/>
  <c r="BG34" i="3"/>
  <c r="BE38" i="3"/>
  <c r="BG39" i="3"/>
  <c r="BH5" i="3" a="1"/>
  <c r="BH5" i="3" s="1"/>
  <c r="AI16" i="3"/>
  <c r="BE16" i="3" s="1"/>
  <c r="AI24" i="3"/>
  <c r="BE24" i="3" s="1"/>
  <c r="BG7" i="3"/>
  <c r="BG8" i="3"/>
  <c r="BH10" i="3" a="1"/>
  <c r="BH10" i="3" s="1"/>
  <c r="AJ41" i="3"/>
  <c r="AI28" i="3"/>
  <c r="BG12" i="3"/>
  <c r="BE14" i="3"/>
  <c r="BE22" i="3"/>
  <c r="AJ42" i="3"/>
  <c r="BE18" i="3"/>
  <c r="BE19" i="3"/>
  <c r="BE26" i="3"/>
  <c r="BG14" i="3"/>
  <c r="AI32" i="3"/>
  <c r="BE32" i="3" s="1"/>
  <c r="BA47" i="3"/>
  <c r="BP41" i="7"/>
  <c r="BL41" i="3"/>
  <c r="E10" i="1" s="1"/>
  <c r="BL42" i="3"/>
  <c r="E11" i="1" s="1"/>
  <c r="BR41" i="7"/>
  <c r="BK41" i="3"/>
  <c r="D10" i="1" s="1"/>
  <c r="BM42" i="3"/>
  <c r="F11" i="1" s="1"/>
  <c r="BN41" i="3"/>
  <c r="G10" i="1" s="1"/>
  <c r="BK42" i="3"/>
  <c r="D11" i="1" s="1"/>
  <c r="BN42" i="3"/>
  <c r="G11" i="1" s="1"/>
  <c r="BL43" i="7"/>
  <c r="E46" i="1" s="1"/>
  <c r="BM42" i="7"/>
  <c r="F45" i="1" s="1"/>
  <c r="BL42" i="7"/>
  <c r="E45" i="1" s="1"/>
  <c r="BM43" i="7"/>
  <c r="F46" i="1" s="1"/>
  <c r="BN42" i="7"/>
  <c r="G45" i="1" s="1"/>
  <c r="BJ41" i="7"/>
  <c r="C44" i="1" s="1"/>
  <c r="BQ41" i="3"/>
  <c r="BQ42" i="3"/>
  <c r="BN43" i="7"/>
  <c r="G46" i="1" s="1"/>
  <c r="BP42" i="7"/>
  <c r="BP43" i="7"/>
  <c r="BP40" i="7"/>
  <c r="BS42" i="3"/>
  <c r="BK41" i="7"/>
  <c r="D44" i="1" s="1"/>
  <c r="BK42" i="7"/>
  <c r="D45" i="1" s="1"/>
  <c r="BR42" i="7"/>
  <c r="BJ41" i="3"/>
  <c r="C10" i="1" s="1"/>
  <c r="BT41" i="3"/>
  <c r="BL41" i="7"/>
  <c r="E44" i="1" s="1"/>
  <c r="BS42" i="7"/>
  <c r="BM41" i="7"/>
  <c r="F44" i="1" s="1"/>
  <c r="BT42" i="7"/>
  <c r="BQ41" i="7"/>
  <c r="BM41" i="3"/>
  <c r="F10" i="1" s="1"/>
  <c r="BN41" i="7"/>
  <c r="G44" i="1" s="1"/>
  <c r="D32" i="1"/>
  <c r="BE8" i="3"/>
  <c r="C35" i="1"/>
  <c r="BB9" i="6"/>
  <c r="AG13" i="6"/>
  <c r="BB13" i="6" s="1"/>
  <c r="BP43" i="3"/>
  <c r="AI6" i="3"/>
  <c r="BE6" i="3" s="1"/>
  <c r="AI10" i="3"/>
  <c r="BE10" i="3" s="1"/>
  <c r="AH41" i="3"/>
  <c r="BH35" i="3" a="1"/>
  <c r="BH35" i="3" s="1"/>
  <c r="BH42" i="3" s="1"/>
  <c r="BG35" i="3"/>
  <c r="AI35" i="3"/>
  <c r="BE35" i="3" s="1"/>
  <c r="AJ43" i="3"/>
  <c r="AI15" i="5"/>
  <c r="BD15" i="5" s="1"/>
  <c r="BD5" i="6"/>
  <c r="AI15" i="6"/>
  <c r="BG10" i="6" a="1"/>
  <c r="BG10" i="6" s="1"/>
  <c r="BG14" i="6" s="1"/>
  <c r="K10" i="6"/>
  <c r="AY17" i="6"/>
  <c r="AJ43" i="7"/>
  <c r="BG16" i="7"/>
  <c r="K16" i="7"/>
  <c r="BG20" i="7"/>
  <c r="K20" i="7"/>
  <c r="AJ41" i="7"/>
  <c r="BG29" i="3"/>
  <c r="K29" i="3"/>
  <c r="BE29" i="3" s="1"/>
  <c r="BT41" i="7"/>
  <c r="J43" i="3"/>
  <c r="J40" i="3"/>
  <c r="BG17" i="3"/>
  <c r="K17" i="3"/>
  <c r="BE17" i="3" s="1"/>
  <c r="BG19" i="3"/>
  <c r="M42" i="3"/>
  <c r="BQ43" i="3"/>
  <c r="BB6" i="5"/>
  <c r="AG15" i="5"/>
  <c r="BF8" i="6"/>
  <c r="BD9" i="6"/>
  <c r="AI13" i="6"/>
  <c r="BD13" i="6" s="1"/>
  <c r="BE5" i="7"/>
  <c r="BE21" i="7"/>
  <c r="BG22" i="7"/>
  <c r="AI22" i="7"/>
  <c r="BE22" i="7" s="1"/>
  <c r="BE25" i="7"/>
  <c r="BT43" i="7"/>
  <c r="BT40" i="7"/>
  <c r="BT43" i="3"/>
  <c r="BT40" i="3"/>
  <c r="AI7" i="3"/>
  <c r="BE7" i="3" s="1"/>
  <c r="AI11" i="3"/>
  <c r="BE11" i="3" s="1"/>
  <c r="K13" i="3"/>
  <c r="BE13" i="3" s="1"/>
  <c r="AI15" i="3"/>
  <c r="BE15" i="3" s="1"/>
  <c r="BG23" i="3"/>
  <c r="AI23" i="3"/>
  <c r="BE23" i="3" s="1"/>
  <c r="BR41" i="3"/>
  <c r="BG33" i="3"/>
  <c r="K33" i="3"/>
  <c r="BE33" i="3" s="1"/>
  <c r="BS43" i="3"/>
  <c r="AJ13" i="5"/>
  <c r="BE13" i="5" s="1"/>
  <c r="BE9" i="5"/>
  <c r="BG11" i="5" a="1"/>
  <c r="BG11" i="5" s="1"/>
  <c r="BG14" i="5" s="1"/>
  <c r="K11" i="5"/>
  <c r="K14" i="5" s="1"/>
  <c r="BE6" i="6"/>
  <c r="AJ15" i="6"/>
  <c r="BG8" i="6" a="1"/>
  <c r="BG8" i="6" s="1"/>
  <c r="M15" i="6"/>
  <c r="BG12" i="7"/>
  <c r="K12" i="7"/>
  <c r="BE12" i="7" s="1"/>
  <c r="BP41" i="3"/>
  <c r="AJ15" i="5"/>
  <c r="BE15" i="5" s="1"/>
  <c r="AJ12" i="5"/>
  <c r="BE12" i="5" s="1"/>
  <c r="BE5" i="5"/>
  <c r="K5" i="3"/>
  <c r="K9" i="3"/>
  <c r="BE9" i="3" s="1"/>
  <c r="L43" i="3"/>
  <c r="L40" i="3"/>
  <c r="BH20" i="3" a="1"/>
  <c r="BH20" i="3" s="1"/>
  <c r="BS41" i="3"/>
  <c r="BE28" i="3"/>
  <c r="AH40" i="3"/>
  <c r="BG5" i="5" a="1"/>
  <c r="BG5" i="5" s="1"/>
  <c r="BB10" i="5"/>
  <c r="AG14" i="5"/>
  <c r="BB14" i="5" s="1"/>
  <c r="J15" i="6"/>
  <c r="AI12" i="6"/>
  <c r="BD12" i="6" s="1"/>
  <c r="AH15" i="6"/>
  <c r="BG5" i="3"/>
  <c r="M43" i="3"/>
  <c r="AH42" i="3"/>
  <c r="BP42" i="3"/>
  <c r="BF9" i="5"/>
  <c r="BD10" i="5"/>
  <c r="AI14" i="5"/>
  <c r="BD14" i="5" s="1"/>
  <c r="K12" i="6"/>
  <c r="BC12" i="6" s="1"/>
  <c r="BE10" i="6"/>
  <c r="AJ14" i="6"/>
  <c r="BE14" i="6" s="1"/>
  <c r="BE16" i="7"/>
  <c r="BE17" i="7"/>
  <c r="BG18" i="7"/>
  <c r="AI18" i="7"/>
  <c r="BE18" i="7" s="1"/>
  <c r="BE20" i="7"/>
  <c r="BG21" i="3"/>
  <c r="K21" i="3"/>
  <c r="BE21" i="3" s="1"/>
  <c r="BC10" i="6"/>
  <c r="AH14" i="6"/>
  <c r="BG8" i="7"/>
  <c r="K8" i="7"/>
  <c r="BG28" i="7"/>
  <c r="K28" i="7"/>
  <c r="K41" i="7" s="1"/>
  <c r="BQ42" i="7"/>
  <c r="BG27" i="3"/>
  <c r="BH25" i="3" a="1"/>
  <c r="BH25" i="3" s="1"/>
  <c r="BH41" i="3" s="1"/>
  <c r="AI27" i="3"/>
  <c r="BE27" i="3" s="1"/>
  <c r="J41" i="3"/>
  <c r="AK42" i="3"/>
  <c r="BR42" i="3"/>
  <c r="BE36" i="3"/>
  <c r="BP40" i="3"/>
  <c r="BC5" i="5"/>
  <c r="BC7" i="5"/>
  <c r="AH14" i="5"/>
  <c r="AX17" i="5"/>
  <c r="BB10" i="6"/>
  <c r="L43" i="7"/>
  <c r="L41" i="7"/>
  <c r="BG7" i="5" a="1"/>
  <c r="BG7" i="5" s="1"/>
  <c r="K7" i="5"/>
  <c r="BL43" i="3"/>
  <c r="E12" i="1" s="1"/>
  <c r="BL40" i="3"/>
  <c r="E9" i="1" s="1"/>
  <c r="BG31" i="3"/>
  <c r="AI31" i="3"/>
  <c r="BE31" i="3" s="1"/>
  <c r="BQ40" i="3"/>
  <c r="BG14" i="7"/>
  <c r="AI14" i="7"/>
  <c r="BE14" i="7" s="1"/>
  <c r="BM43" i="3"/>
  <c r="F12" i="1" s="1"/>
  <c r="BM40" i="3"/>
  <c r="F9" i="1" s="1"/>
  <c r="BT42" i="3"/>
  <c r="BS40" i="3"/>
  <c r="BF7" i="5"/>
  <c r="BC9" i="5"/>
  <c r="K13" i="5"/>
  <c r="BC13" i="5" s="1"/>
  <c r="BC11" i="5"/>
  <c r="BG24" i="7"/>
  <c r="K24" i="7"/>
  <c r="BE24" i="7" s="1"/>
  <c r="BG15" i="3"/>
  <c r="BN43" i="3"/>
  <c r="G12" i="1" s="1"/>
  <c r="BN40" i="3"/>
  <c r="G9" i="1" s="1"/>
  <c r="AI20" i="3"/>
  <c r="BE20" i="3" s="1"/>
  <c r="BG25" i="3"/>
  <c r="K25" i="3"/>
  <c r="BB11" i="5"/>
  <c r="BG6" i="6" a="1"/>
  <c r="BG6" i="6" s="1"/>
  <c r="K6" i="6"/>
  <c r="BC6" i="6" s="1"/>
  <c r="BE7" i="6"/>
  <c r="AY19" i="6"/>
  <c r="BE32" i="7"/>
  <c r="BR43" i="3"/>
  <c r="BR40" i="3"/>
  <c r="AK43" i="3"/>
  <c r="AK40" i="3"/>
  <c r="AH15" i="5"/>
  <c r="AG12" i="6"/>
  <c r="BB12" i="6" s="1"/>
  <c r="BB5" i="6"/>
  <c r="AG15" i="6"/>
  <c r="AG14" i="6"/>
  <c r="BB14" i="6" s="1"/>
  <c r="BG6" i="7"/>
  <c r="AI6" i="7"/>
  <c r="BE6" i="7" s="1"/>
  <c r="BE8" i="7"/>
  <c r="BH10" i="7" a="1"/>
  <c r="BH10" i="7" s="1"/>
  <c r="BG10" i="7"/>
  <c r="AI10" i="7"/>
  <c r="BG26" i="7"/>
  <c r="AI26" i="7"/>
  <c r="BE26" i="7" s="1"/>
  <c r="BH30" i="7" a="1"/>
  <c r="BH30" i="7" s="1"/>
  <c r="BH42" i="7" s="1"/>
  <c r="BG30" i="7"/>
  <c r="AI30" i="7"/>
  <c r="BG34" i="7"/>
  <c r="AI34" i="7"/>
  <c r="BE34" i="7" s="1"/>
  <c r="BE37" i="7"/>
  <c r="BG32" i="7"/>
  <c r="L40" i="7"/>
  <c r="BN40" i="7"/>
  <c r="G43" i="1" s="1"/>
  <c r="BS41" i="7"/>
  <c r="AI39" i="3"/>
  <c r="BE39" i="3" s="1"/>
  <c r="AG12" i="5"/>
  <c r="BB12" i="5" s="1"/>
  <c r="BH20" i="7" a="1"/>
  <c r="BH20" i="7" s="1"/>
  <c r="AH40" i="7"/>
  <c r="BQ40" i="7"/>
  <c r="BQ43" i="7"/>
  <c r="BG37" i="7"/>
  <c r="AI39" i="7"/>
  <c r="BE39" i="7" s="1"/>
  <c r="BR40" i="7"/>
  <c r="BR43" i="7"/>
  <c r="AI12" i="5"/>
  <c r="BD12" i="5" s="1"/>
  <c r="AJ40" i="7"/>
  <c r="BS40" i="7"/>
  <c r="BS43" i="7"/>
  <c r="AI13" i="5"/>
  <c r="BD13" i="5" s="1"/>
  <c r="BH5" i="7" a="1"/>
  <c r="BH5" i="7" s="1"/>
  <c r="BH25" i="7" a="1"/>
  <c r="BH25" i="7" s="1"/>
  <c r="BH41" i="7" s="1"/>
  <c r="AK40" i="7"/>
  <c r="K10" i="7"/>
  <c r="K30" i="7"/>
  <c r="K42" i="7" s="1"/>
  <c r="BE9" i="6"/>
  <c r="K7" i="7"/>
  <c r="BE7" i="7" s="1"/>
  <c r="K11" i="7"/>
  <c r="BE11" i="7" s="1"/>
  <c r="K15" i="7"/>
  <c r="BE15" i="7" s="1"/>
  <c r="K19" i="7"/>
  <c r="BE19" i="7" s="1"/>
  <c r="K23" i="7"/>
  <c r="BE23" i="7" s="1"/>
  <c r="BG35" i="7"/>
  <c r="J40" i="7"/>
  <c r="BL40" i="7"/>
  <c r="E43" i="1" s="1"/>
  <c r="BM40" i="7"/>
  <c r="F43" i="1" s="1"/>
  <c r="BJ15" i="7"/>
  <c r="BJ30" i="3"/>
  <c r="BJ15" i="3"/>
  <c r="BK15" i="3"/>
  <c r="BJ30" i="7"/>
  <c r="BJ5" i="3"/>
  <c r="BJ20" i="7"/>
  <c r="BJ20" i="3"/>
  <c r="BJ10" i="3"/>
  <c r="BJ35" i="3"/>
  <c r="BK20" i="3"/>
  <c r="BK20" i="7"/>
  <c r="BK10" i="7"/>
  <c r="AI40" i="7" l="1"/>
  <c r="BE28" i="7"/>
  <c r="BG12" i="6"/>
  <c r="K13" i="6"/>
  <c r="BC13" i="6" s="1"/>
  <c r="C32" i="1" s="1"/>
  <c r="BC9" i="6"/>
  <c r="BD15" i="6"/>
  <c r="BB15" i="6"/>
  <c r="BE15" i="6"/>
  <c r="BG15" i="6"/>
  <c r="K14" i="6"/>
  <c r="BC14" i="6" s="1"/>
  <c r="C33" i="1" s="1"/>
  <c r="BB15" i="5"/>
  <c r="E22" i="1" s="1"/>
  <c r="K15" i="5"/>
  <c r="BH40" i="3"/>
  <c r="AI42" i="3"/>
  <c r="BJ42" i="7"/>
  <c r="C45" i="1" s="1"/>
  <c r="BK43" i="3"/>
  <c r="D12" i="1" s="1"/>
  <c r="BK40" i="3"/>
  <c r="D9" i="1" s="1"/>
  <c r="BJ40" i="7"/>
  <c r="C43" i="1" s="1"/>
  <c r="BJ43" i="7"/>
  <c r="C46" i="1" s="1"/>
  <c r="BK43" i="7"/>
  <c r="D46" i="1" s="1"/>
  <c r="BK40" i="7"/>
  <c r="D43" i="1" s="1"/>
  <c r="BJ42" i="3"/>
  <c r="C11" i="1" s="1"/>
  <c r="H43" i="1"/>
  <c r="K45" i="1"/>
  <c r="H46" i="1"/>
  <c r="I44" i="1"/>
  <c r="I10" i="1"/>
  <c r="K11" i="1"/>
  <c r="J44" i="1"/>
  <c r="J45" i="1"/>
  <c r="H45" i="1"/>
  <c r="L45" i="1"/>
  <c r="L10" i="1"/>
  <c r="I11" i="1"/>
  <c r="H44" i="1"/>
  <c r="C31" i="1"/>
  <c r="J12" i="1"/>
  <c r="AI42" i="7"/>
  <c r="BE42" i="7" s="1"/>
  <c r="BE30" i="7"/>
  <c r="E19" i="1"/>
  <c r="E33" i="1"/>
  <c r="C36" i="1"/>
  <c r="L11" i="1"/>
  <c r="K12" i="5"/>
  <c r="BC12" i="5" s="1"/>
  <c r="K15" i="6"/>
  <c r="BC15" i="6" s="1"/>
  <c r="D34" i="1"/>
  <c r="AI41" i="7"/>
  <c r="BE41" i="7" s="1"/>
  <c r="K41" i="3"/>
  <c r="BE25" i="3"/>
  <c r="E34" i="1"/>
  <c r="BJ40" i="3"/>
  <c r="C9" i="1" s="1"/>
  <c r="BJ43" i="3"/>
  <c r="C12" i="1" s="1"/>
  <c r="H12" i="1"/>
  <c r="K43" i="3"/>
  <c r="K40" i="3"/>
  <c r="BE5" i="3"/>
  <c r="I12" i="1"/>
  <c r="E21" i="1"/>
  <c r="I45" i="1"/>
  <c r="J46" i="1"/>
  <c r="BC15" i="5"/>
  <c r="J11" i="1"/>
  <c r="H11" i="1"/>
  <c r="D19" i="1"/>
  <c r="AI40" i="3"/>
  <c r="I43" i="1"/>
  <c r="H9" i="1"/>
  <c r="K44" i="1"/>
  <c r="E31" i="1"/>
  <c r="J43" i="1"/>
  <c r="BE10" i="7"/>
  <c r="BG12" i="5"/>
  <c r="BG15" i="5"/>
  <c r="D22" i="1"/>
  <c r="D20" i="1"/>
  <c r="L9" i="1"/>
  <c r="AI43" i="3"/>
  <c r="I9" i="1"/>
  <c r="K12" i="1"/>
  <c r="L12" i="1"/>
  <c r="E32" i="1"/>
  <c r="BH43" i="7"/>
  <c r="BH40" i="7"/>
  <c r="C20" i="1"/>
  <c r="K40" i="7"/>
  <c r="BE40" i="7" s="1"/>
  <c r="H10" i="1"/>
  <c r="AI43" i="7"/>
  <c r="K42" i="3"/>
  <c r="I46" i="1"/>
  <c r="J9" i="1"/>
  <c r="BC14" i="5"/>
  <c r="K43" i="7"/>
  <c r="L43" i="1"/>
  <c r="D33" i="1"/>
  <c r="K10" i="1"/>
  <c r="L46" i="1"/>
  <c r="K46" i="1"/>
  <c r="K9" i="1"/>
  <c r="J10" i="1"/>
  <c r="L44" i="1"/>
  <c r="K43" i="1"/>
  <c r="AI41" i="3"/>
  <c r="BH43" i="3"/>
  <c r="BE41" i="3" l="1"/>
  <c r="BE42" i="3"/>
  <c r="BE40" i="3"/>
  <c r="C34" i="1"/>
  <c r="BE43" i="3"/>
  <c r="C21" i="1"/>
  <c r="C22" i="1"/>
  <c r="C19" i="1"/>
  <c r="BE43" i="7"/>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<sst xmlns="http://schemas.openxmlformats.org/spreadsheetml/2006/main" count="1459" uniqueCount="575">
  <si>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</si>
  <si>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</si>
  <si>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</si>
  <si>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</si>
  <si>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</si>
  <si>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</si>
  <si>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</si>
  <si>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</si>
  <si>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</si>
  <si>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</si>
  <si>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</si>
  <si>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</si>
  <si>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</si>
  <si>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</si>
  <si>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</si>
  <si>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</si>
  <si>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</si>
  <si>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</si>
  <si>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</si>
  <si>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</si>
  <si>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</si>
  <si>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</si>
  <si>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</si>
  <si>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</si>
  <si>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</si>
  <si>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</si>
  <si>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</si>
  <si>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</si>
  <si>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</si>
  <si>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</si>
  <si>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</si>
  <si>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</si>
  <si>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</si>
  <si>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</si>
  <si>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</si>
  <si>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</si>
  <si>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</si>
  <si>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</si>
  <si>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</si>
  <si>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</si>
  <si>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</si>
  <si>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</si>
  <si>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</si>
  <si>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</si>
  <si>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</si>
  <si>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</si>
  <si>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</si>
  <si>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</si>
  <si>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</si>
  <si>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</si>
  <si>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</si>
  <si>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</si>
  <si>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</si>
  <si>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</si>
  <si>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</si>
  <si>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</si>
  <si>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</si>
  <si>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</si>
  <si>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</si>
  <si>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</si>
  <si>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</si>
  <si>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</si>
  <si>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</si>
  <si>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</si>
  <si>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</si>
  <si>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</si>
  <si>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</si>
  <si>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</si>
  <si>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</si>
  <si>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</si>
  <si>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</si>
  <si>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</si>
  <si>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</si>
  <si>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</si>
  <si>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</si>
  <si>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</si>
  <si>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</si>
  <si>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</si>
  <si>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</si>
  <si>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</si>
  <si>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</si>
  <si>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</si>
  <si>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</si>
  <si>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</si>
  <si>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</si>
  <si>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</si>
  <si>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</si>
  <si>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</si>
  <si>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</si>
  <si>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</si>
  <si>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</si>
  <si>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</si>
  <si>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</si>
  <si>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</si>
  <si>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</si>
  <si>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</si>
  <si>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</si>
  <si>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</si>
  <si>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</si>
  <si>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</si>
  <si>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</si>
  <si>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</si>
  <si>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</si>
  <si>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</si>
  <si>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</si>
  <si>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</si>
  <si>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</si>
  <si>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</si>
  <si>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</si>
  <si>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</si>
  <si>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</si>
  <si>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</si>
  <si>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</si>
  <si>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</si>
  <si>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</si>
  <si>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</si>
  <si>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</si>
  <si>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</si>
  <si>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</si>
  <si>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</si>
  <si>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</si>
  <si>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</si>
  <si>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</si>
  <si>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</si>
  <si>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</si>
  <si>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</si>
  <si>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</si>
  <si>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</si>
  <si>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</si>
  <si>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</si>
  <si>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</si>
  <si>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</si>
  <si>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</si>
  <si>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</si>
  <si>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</si>
  <si>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</si>
  <si>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</si>
  <si>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</si>
  <si>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</si>
  <si>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</si>
  <si>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</si>
  <si>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</si>
  <si>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</si>
  <si>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</si>
  <si>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</si>
  <si>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</si>
  <si>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</si>
  <si>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</si>
  <si>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</si>
  <si>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</si>
  <si>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</si>
  <si>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</si>
  <si>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</si>
  <si>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</si>
  <si>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</si>
  <si>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</si>
  <si>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</si>
  <si>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</si>
  <si>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</si>
  <si>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</si>
  <si>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</si>
  <si>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</si>
  <si>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</si>
  <si>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</si>
  <si>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</si>
  <si>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</si>
  <si>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</si>
  <si>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</si>
  <si>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</si>
  <si>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</si>
  <si>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</si>
  <si>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</si>
  <si>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</si>
  <si>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</si>
  <si>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</si>
  <si>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</si>
  <si>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</si>
  <si>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</si>
  <si>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</si>
  <si>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</si>
  <si>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</si>
  <si>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</si>
  <si>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</si>
  <si>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</si>
  <si>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</si>
  <si>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</si>
  <si>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</si>
  <si>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</si>
  <si>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</si>
  <si>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</si>
  <si>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</si>
  <si>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</si>
  <si>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</si>
  <si>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</si>
  <si>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</si>
  <si>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</si>
  <si>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</si>
  <si>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</si>
  <si>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</si>
  <si>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</si>
  <si>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</si>
  <si>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</si>
  <si>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</si>
  <si>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</si>
  <si>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</si>
  <si>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</si>
  <si>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</si>
  <si>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</si>
  <si>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</si>
  <si>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</si>
  <si>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</si>
  <si>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</si>
  <si>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</si>
  <si>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</si>
  <si>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</si>
  <si>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</si>
  <si>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</si>
  <si>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</si>
  <si>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</si>
  <si>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</si>
  <si>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</si>
  <si>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</si>
  <si>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</si>
  <si>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</si>
  <si>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</si>
  <si>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</si>
  <si>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</si>
  <si>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</si>
  <si>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</si>
  <si>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</si>
  <si>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</si>
  <si>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</si>
  <si>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</si>
  <si>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</si>
  <si>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</si>
  <si>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</si>
  <si>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</si>
  <si>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</si>
  <si>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</si>
  <si>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</si>
  <si>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</si>
  <si>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</si>
  <si>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</si>
  <si>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</si>
  <si>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</si>
  <si>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</si>
  <si>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</si>
  <si>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</si>
  <si>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</si>
  <si>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</si>
  <si>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</si>
  <si>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</si>
  <si>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</si>
  <si>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</si>
  <si>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</si>
  <si>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</si>
  <si>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</si>
  <si>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</si>
  <si>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</si>
  <si>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</si>
  <si>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</si>
  <si>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</si>
  <si>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</si>
  <si>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</si>
  <si>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</si>
  <si>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</si>
  <si>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</si>
  <si>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</si>
  <si>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</si>
  <si>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</si>
  <si>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</si>
  <si>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</si>
  <si>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</si>
  <si>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</si>
  <si>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</si>
  <si>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</si>
  <si>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</si>
  <si>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</si>
  <si>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</si>
  <si>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</si>
  <si>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</si>
  <si>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</si>
  <si>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</si>
  <si>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</si>
  <si>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</si>
  <si>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</si>
  <si>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</si>
  <si>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</si>
  <si>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</si>
  <si>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</si>
  <si>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</si>
  <si>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</si>
  <si>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</si>
  <si>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</si>
  <si>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</si>
  <si>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</si>
  <si>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</si>
  <si>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</si>
  <si>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</si>
  <si>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</si>
  <si>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</si>
  <si>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</si>
  <si>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</si>
  <si>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</si>
  <si>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</si>
  <si>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</si>
  <si>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</si>
  <si>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</si>
  <si>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</si>
  <si>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</si>
  <si>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</si>
  <si>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</si>
  <si>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</si>
  <si>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</si>
  <si>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</si>
  <si>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</si>
  <si>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</si>
  <si>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</si>
  <si>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</si>
  <si>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</si>
  <si>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</si>
  <si>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</si>
  <si>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</si>
  <si>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</si>
  <si>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</si>
  <si>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</si>
  <si>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</si>
  <si>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</si>
  <si>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</si>
  <si>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</si>
  <si>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</si>
  <si>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</si>
  <si>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</si>
  <si>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</si>
  <si>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</si>
  <si>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</si>
  <si>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</si>
  <si>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</si>
  <si>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</si>
  <si>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</si>
  <si>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</si>
  <si>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</si>
  <si>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</si>
  <si>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</si>
  <si>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</si>
  <si>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</si>
  <si>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</si>
  <si>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</si>
  <si>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</si>
  <si>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</si>
  <si>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</si>
  <si>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</si>
  <si>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</si>
  <si>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</si>
  <si>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</si>
  <si>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</si>
  <si>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</si>
  <si>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</si>
  <si>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</si>
  <si>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</si>
  <si>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</si>
  <si>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</si>
  <si>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</si>
  <si>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</si>
  <si>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</si>
  <si>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</si>
  <si>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</si>
  <si>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</si>
  <si>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</si>
  <si>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</si>
  <si>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</si>
  <si>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</si>
  <si>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</si>
  <si>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</si>
  <si>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</si>
  <si>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</si>
  <si>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</si>
  <si>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</si>
  <si>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</si>
  <si>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</si>
  <si>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</si>
  <si>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</si>
  <si>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</si>
  <si>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</si>
  <si>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</si>
  <si>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</si>
  <si>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</si>
  <si>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</si>
  <si>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</si>
  <si>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</si>
  <si>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</si>
  <si>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</si>
  <si>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</si>
  <si>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</si>
  <si>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</si>
  <si>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</si>
  <si>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</si>
  <si>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</si>
  <si>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</si>
  <si>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</si>
  <si>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</si>
  <si>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</si>
  <si>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</si>
  <si>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</si>
  <si>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</si>
  <si>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</si>
  <si>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</si>
  <si>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</si>
  <si>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</si>
  <si>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</si>
  <si>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</si>
  <si>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</si>
  <si>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</si>
  <si>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</si>
  <si>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</si>
  <si>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</si>
  <si>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</si>
  <si>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</si>
  <si>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</si>
  <si>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</si>
  <si>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</si>
  <si>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</si>
  <si>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</si>
  <si>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</si>
  <si>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</si>
  <si>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</si>
  <si>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</si>
  <si>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</si>
  <si>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</si>
  <si>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</si>
  <si>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</si>
  <si>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</si>
  <si>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</si>
  <si>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</si>
  <si>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</si>
  <si>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</si>
  <si>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</si>
  <si>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</si>
  <si>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</si>
  <si>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</si>
  <si>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</si>
  <si>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</si>
  <si>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</si>
  <si>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</si>
  <si>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</si>
  <si>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</si>
  <si>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</si>
  <si>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</si>
  <si>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</si>
  <si>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</si>
  <si>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</si>
  <si>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</si>
  <si>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</si>
  <si>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</si>
  <si>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</si>
  <si>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</si>
  <si>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</si>
  <si>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</si>
  <si>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</si>
  <si>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</si>
  <si>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</si>
  <si>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</si>
  <si>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</si>
  <si>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</si>
  <si>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</si>
  <si>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</si>
  <si>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</si>
  <si>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</si>
  <si>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</si>
  <si>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</si>
  <si>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</si>
  <si>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</si>
  <si>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</si>
  <si>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</si>
  <si>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</si>
  <si>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</si>
  <si>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</si>
  <si>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</si>
  <si>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</si>
  <si>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</si>
  <si>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</si>
  <si>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</si>
  <si>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</si>
  <si>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</si>
  <si>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</si>
  <si>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</si>
  <si>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</si>
  <si>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</si>
  <si>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</si>
  <si>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</si>
  <si>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</si>
  <si>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</si>
  <si>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</si>
  <si>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</si>
  <si>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</si>
  <si>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</si>
  <si>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</si>
  <si>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</si>
  <si>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</si>
  <si>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</si>
  <si>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</si>
  <si>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</si>
  <si>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</si>
  <si>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</si>
  <si>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</si>
  <si>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</si>
  <si>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</si>
  <si>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</si>
  <si>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</si>
  <si>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</si>
  <si>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</si>
  <si>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</si>
  <si>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</si>
  <si>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</si>
  <si>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</si>
  <si>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</si>
  <si>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</si>
  <si>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</si>
  <si>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</si>
  <si>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</si>
  <si>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</si>
  <si>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</si>
  <si>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</si>
  <si>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</si>
  <si>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</si>
  <si>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</si>
  <si>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</si>
  <si>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</si>
  <si>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</si>
  <si>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</si>
  <si>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</si>
  <si>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</si>
  <si>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</si>
  <si>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</si>
  <si>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</si>
  <si>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</si>
  <si>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</si>
  <si>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</si>
  <si>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</si>
  <si>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</si>
  <si>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</si>
  <si>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</si>
  <si>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</si>
  <si>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</si>
  <si>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</si>
  <si>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</si>
  <si>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</si>
  <si>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</si>
  <si>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</si>
  <si>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</si>
  <si>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</si>
  <si>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</si>
  <si>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</si>
  <si>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</si>
  <si>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</si>
  <si>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</si>
  <si>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</si>
  <si>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</si>
  <si>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</si>
  <si>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</si>
  <si>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</si>
  <si>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</si>
  <si>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</si>
  <si>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</si>
  <si>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</si>
  <si>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</si>
  <si>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</si>
  <si>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</si>
  <si>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</si>
  <si>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</si>
  <si>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</si>
  <si>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</si>
  <si>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</si>
  <si>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</si>
  <si>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R10.0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</si>
</sst>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R10.0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66.354631249999997</c:v>
                </c:pt>
                <c:pt idx="1">
                  <c:v>68.255984374999997</c:v>
                </c:pt>
                <c:pt idx="2">
                  <c:v>69.683721875000003</c:v>
                </c:pt>
                <c:pt idx="3">
                  <c:v>70.836840624999994</c:v>
                </c:pt>
                <c:pt idx="4">
                  <c:v>71.945243750000003</c:v>
                </c:pt>
              </c:numCache>
            </c:numRef>
          </c:yVal>
          <c:smooth val="1"/>
          <c:extLst>
            <c:ext xmlns:c16="http://schemas.microsoft.com/office/drawing/2014/chart" uri="{C3380CC4-5D6E-409C-BE32-E72D297353CC}">
              <c16:uniqueId val="{00000000-1B1C-4825-A003-8D632F3FCDD5}"/>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1B1C-4825-A003-8D632F3FCDD5}"/>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R10.0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68.478521874999998</c:v>
                </c:pt>
                <c:pt idx="1">
                  <c:v>70.4384625</c:v>
                </c:pt>
                <c:pt idx="2">
                  <c:v>72.129403124999996</c:v>
                </c:pt>
                <c:pt idx="3">
                  <c:v>73.406981250000001</c:v>
                </c:pt>
                <c:pt idx="4">
                  <c:v>75.319246875000005</c:v>
                </c:pt>
              </c:numCache>
            </c:numRef>
          </c:yVal>
          <c:smooth val="1"/>
          <c:extLst>
            <c:ext xmlns:c16="http://schemas.microsoft.com/office/drawing/2014/chart" uri="{C3380CC4-5D6E-409C-BE32-E72D297353CC}">
              <c16:uniqueId val="{00000000-03AA-41B2-874B-C1C104D89B86}"/>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03AA-41B2-874B-C1C104D89B86}"/>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R10.0</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32.105368749999997</c:v>
                </c:pt>
                <c:pt idx="1">
                  <c:v>34.355712500000003</c:v>
                </c:pt>
                <c:pt idx="2">
                  <c:v>36.896806249999997</c:v>
                </c:pt>
                <c:pt idx="3">
                  <c:v>39.524643750000003</c:v>
                </c:pt>
                <c:pt idx="4">
                  <c:v>42.092659374999997</c:v>
                </c:pt>
              </c:numCache>
            </c:numRef>
          </c:yVal>
          <c:smooth val="1"/>
          <c:extLst>
            <c:ext xmlns:c16="http://schemas.microsoft.com/office/drawing/2014/chart" uri="{C3380CC4-5D6E-409C-BE32-E72D297353CC}">
              <c16:uniqueId val="{00000000-CF10-4A70-B600-B6FF69353759}"/>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CF10-4A70-B600-B6FF69353759}"/>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R10.0</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44.165406249999997</c:v>
                </c:pt>
                <c:pt idx="1">
                  <c:v>45.462940625000002</c:v>
                </c:pt>
                <c:pt idx="2">
                  <c:v>46.595978125000002</c:v>
                </c:pt>
                <c:pt idx="3">
                  <c:v>47.911165625000002</c:v>
                </c:pt>
                <c:pt idx="4">
                  <c:v>49.412693750000003</c:v>
                </c:pt>
              </c:numCache>
            </c:numRef>
          </c:yVal>
          <c:smooth val="1"/>
          <c:extLst>
            <c:ext xmlns:c16="http://schemas.microsoft.com/office/drawing/2014/chart" uri="{C3380CC4-5D6E-409C-BE32-E72D297353CC}">
              <c16:uniqueId val="{00000000-B44F-41EE-9127-D7546B1FE7F3}"/>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B44F-41EE-9127-D7546B1FE7F3}"/>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R10.0</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43.847446875000003</c:v>
                </c:pt>
                <c:pt idx="1">
                  <c:v>45.263540624999997</c:v>
                </c:pt>
                <c:pt idx="2">
                  <c:v>46.493756249999997</c:v>
                </c:pt>
                <c:pt idx="3">
                  <c:v>47.950046874999998</c:v>
                </c:pt>
                <c:pt idx="4">
                  <c:v>49.544709374999996</c:v>
                </c:pt>
              </c:numCache>
            </c:numRef>
          </c:yVal>
          <c:smooth val="1"/>
          <c:extLst>
            <c:ext xmlns:c16="http://schemas.microsoft.com/office/drawing/2014/chart" uri="{C3380CC4-5D6E-409C-BE32-E72D297353CC}">
              <c16:uniqueId val="{00000000-7C2D-427E-9623-C31BB42FFF52}"/>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7C2D-427E-9623-C31BB42FFF52}"/>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R10.0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6A78-4897-B5AF-94E18345D521}"/>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6A78-4897-B5AF-94E18345D52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C2" sqref="C2:E2"/>
    </sheetView>
  </sheetViews>
  <sheetFormatPr defaultRowHeight="15" x14ac:dyDescent="0.25"/>
  <cols>
    <col min="2" max="2" width="16.7109375" style="53" customWidth="1"/>
    <col min="3" max="12" width="24.7109375" style="53" customWidth="1"/>
  </cols>
  <sheetData>
    <row r="1" spans="2:12" x14ac:dyDescent="0.25">
      <c r="B1" t="s">
        <v>0</v>
      </c>
      <c r="C1" s="58" t="s">
        <v>574</v>
      </c>
      <c r="D1" s="59"/>
      <c r="E1" s="59"/>
    </row>
    <row r="2" spans="2:12" x14ac:dyDescent="0.25">
      <c r="B2" t="s">
        <v>1</v>
      </c>
      <c r="C2" s="60"/>
      <c r="D2" s="59"/>
      <c r="E2" s="59"/>
    </row>
    <row r="4" spans="2:12" s="1" customFormat="1" x14ac:dyDescent="0.25">
      <c r="B4" s="1" t="s">
        <v>2</v>
      </c>
    </row>
    <row r="6" spans="2:12" x14ac:dyDescent="0.25">
      <c r="B6" s="61"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2"/>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67" t="e">
        <f>'C2 lossyG,lossyA,intra'!AZ47</f>
        <v>#NUM!</v>
      </c>
      <c r="D13" s="59"/>
      <c r="E13" s="59"/>
      <c r="F13" s="59"/>
      <c r="G13" s="59"/>
      <c r="H13" s="59"/>
      <c r="I13" s="59"/>
      <c r="J13" s="59"/>
      <c r="K13" s="59"/>
      <c r="L13" s="59"/>
    </row>
    <row r="14" spans="2:12" x14ac:dyDescent="0.25">
      <c r="B14" s="6" t="s">
        <v>19</v>
      </c>
      <c r="C14" s="68" t="e">
        <f>'C2 lossyG,lossyA,intra'!BB47</f>
        <v>#NUM!</v>
      </c>
      <c r="D14" s="62"/>
      <c r="E14" s="62"/>
      <c r="F14" s="62"/>
      <c r="G14" s="62"/>
      <c r="H14" s="62"/>
      <c r="I14" s="62"/>
      <c r="J14" s="62"/>
      <c r="K14" s="62"/>
      <c r="L14" s="62"/>
    </row>
    <row r="16" spans="2:12" x14ac:dyDescent="0.25">
      <c r="B16" s="61" t="s">
        <v>20</v>
      </c>
      <c r="C16" s="63" t="s">
        <v>21</v>
      </c>
      <c r="D16" s="64"/>
      <c r="E16" s="64"/>
    </row>
    <row r="17" spans="2:5" x14ac:dyDescent="0.25">
      <c r="B17" s="59"/>
      <c r="C17" s="65" t="s">
        <v>22</v>
      </c>
      <c r="D17" s="59"/>
      <c r="E17" s="59"/>
    </row>
    <row r="18" spans="2:5" x14ac:dyDescent="0.25">
      <c r="B18" s="62"/>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67" t="e">
        <f>'CW losslG,losslA,intra'!AW19</f>
        <v>#NUM!</v>
      </c>
      <c r="D23" s="59"/>
      <c r="E23" s="59"/>
    </row>
    <row r="24" spans="2:5" x14ac:dyDescent="0.25">
      <c r="B24" s="6" t="s">
        <v>19</v>
      </c>
      <c r="C24" s="68" t="e">
        <f>'CW losslG,losslA,intra'!AY19</f>
        <v>#NUM!</v>
      </c>
      <c r="D24" s="62"/>
      <c r="E24" s="62"/>
    </row>
    <row r="26" spans="2:5" s="1" customFormat="1" x14ac:dyDescent="0.25">
      <c r="B26" s="1" t="s">
        <v>26</v>
      </c>
    </row>
    <row r="28" spans="2:5" x14ac:dyDescent="0.25">
      <c r="B28" s="61" t="s">
        <v>27</v>
      </c>
      <c r="C28" s="63" t="s">
        <v>28</v>
      </c>
      <c r="D28" s="64"/>
      <c r="E28" s="64"/>
    </row>
    <row r="29" spans="2:5" x14ac:dyDescent="0.25">
      <c r="B29" s="59"/>
      <c r="C29" s="65" t="s">
        <v>22</v>
      </c>
      <c r="D29" s="59"/>
      <c r="E29" s="59"/>
    </row>
    <row r="30" spans="2:5" x14ac:dyDescent="0.25">
      <c r="B30" s="62"/>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67" t="e">
        <f>'CW losslG,losslA,interLD'!AW19</f>
        <v>#NUM!</v>
      </c>
      <c r="D35" s="59"/>
      <c r="E35" s="59"/>
    </row>
    <row r="36" spans="2:12" x14ac:dyDescent="0.25">
      <c r="B36" s="6" t="s">
        <v>19</v>
      </c>
      <c r="C36" s="68" t="e">
        <f>'CW losslG,losslA,interLD'!AY19</f>
        <v>#NUM!</v>
      </c>
      <c r="D36" s="62"/>
      <c r="E36" s="62"/>
    </row>
    <row r="38" spans="2:12" s="1" customFormat="1" x14ac:dyDescent="0.25">
      <c r="B38" s="1" t="s">
        <v>29</v>
      </c>
    </row>
    <row r="40" spans="2:12" x14ac:dyDescent="0.25">
      <c r="B40" s="61"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2"/>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67" t="e">
        <f>'C2 lossyG,lossyA,interRA'!AZ47</f>
        <v>#NUM!</v>
      </c>
      <c r="D47" s="59"/>
      <c r="E47" s="59"/>
      <c r="F47" s="59"/>
      <c r="G47" s="59"/>
      <c r="H47" s="59"/>
      <c r="I47" s="59"/>
      <c r="J47" s="59"/>
      <c r="K47" s="59"/>
      <c r="L47" s="59"/>
    </row>
    <row r="48" spans="2:12" x14ac:dyDescent="0.25">
      <c r="B48" s="6" t="s">
        <v>19</v>
      </c>
      <c r="C48" s="68" t="e">
        <f>'C2 lossyG,lossyA,interRA'!BB47</f>
        <v>#NUM!</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AA5" activePane="bottomRight" state="frozen"/>
      <selection pane="topRight" activeCell="C1" sqref="C1"/>
      <selection pane="bottomLeft" activeCell="A5" sqref="A5"/>
      <selection pane="bottomRight" activeCell="AN68" sqref="AN68"/>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136</v>
      </c>
      <c r="B1" s="59"/>
      <c r="C1" s="59"/>
      <c r="D1" s="59"/>
      <c r="E1" s="59"/>
      <c r="F1" s="59"/>
      <c r="G1" s="59"/>
      <c r="I1" s="58" t="str">
        <f>Summary!$C$1</f>
        <v>R10.0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ht="15.75" thickBot="1" x14ac:dyDescent="0.3">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IF(OR(ISBLANK(S5),ISBLANK(G5)),"·",S5*G5/F5/1000000)</f>
        <v>2.1803775000000001</v>
      </c>
      <c r="J5" s="12">
        <f>IF(ISBLANK(S5),"·",S5/D5)</f>
        <v>9.7659930525674024E-3</v>
      </c>
      <c r="K5" s="12">
        <f t="shared" ref="K5:K39" si="0">IF(N5="","·",N5/D5)</f>
        <v>6.1874546736255184E-3</v>
      </c>
      <c r="L5" s="12">
        <f>IF(T5="","·",T5/D5)</f>
        <v>3.5272086067430685E-3</v>
      </c>
      <c r="M5" s="12">
        <f>IF(ISBLANK(V5),"·",V5/D5)</f>
        <v>3.5785383789418835E-3</v>
      </c>
      <c r="N5" s="54">
        <f>IF(OR(ISBLANK(T5),ISBLANK(U5)),"",T5+U5)</f>
        <v>1473520</v>
      </c>
      <c r="O5" s="12">
        <v>16</v>
      </c>
      <c r="P5" s="13">
        <v>21785839</v>
      </c>
      <c r="Q5" s="13">
        <v>680807.46875</v>
      </c>
      <c r="R5" s="13">
        <v>13493.71875</v>
      </c>
      <c r="S5" s="14">
        <v>2325736</v>
      </c>
      <c r="T5" s="14">
        <v>839992</v>
      </c>
      <c r="U5" s="14">
        <v>633528</v>
      </c>
      <c r="V5" s="14">
        <v>852216</v>
      </c>
      <c r="W5" s="15">
        <v>66.354631249999997</v>
      </c>
      <c r="X5" s="15">
        <v>68.478521874999998</v>
      </c>
      <c r="Y5" s="15">
        <v>32.105368749999997</v>
      </c>
      <c r="Z5" s="15">
        <v>44.165406249999997</v>
      </c>
      <c r="AA5" s="15">
        <v>43.847446875000003</v>
      </c>
      <c r="AB5" s="16">
        <v>3406.14</v>
      </c>
      <c r="AC5" s="16">
        <v>0</v>
      </c>
      <c r="AD5" s="16">
        <v>41.822000000000003</v>
      </c>
      <c r="AE5" s="16">
        <v>0</v>
      </c>
      <c r="AG5" s="11" t="str">
        <f>IF(OR(ISBLANK(AQ5),ISBLANK(G5)),"·",AQ5*G5/F5/1000000)</f>
        <v>·</v>
      </c>
      <c r="AH5" s="12" t="str">
        <f>IF(ISBLANK(AQ5),"·",AQ5/D5)</f>
        <v>·</v>
      </c>
      <c r="AI5" s="12" t="str">
        <f t="shared" ref="AI5:AI39" si="1">IF(AL5="","·",AL5/D5)</f>
        <v>·</v>
      </c>
      <c r="AJ5" s="12" t="str">
        <f>IF(AR5="","·",AR5/D5)</f>
        <v>·</v>
      </c>
      <c r="AK5" s="12" t="str">
        <f>IF(ISBLANK(AT5),"·",AT5/D5)</f>
        <v>·</v>
      </c>
      <c r="AL5" s="54" t="str">
        <f>IF(OR(ISBLANK(AR5),ISBLANK(AS5)),"",AR5+AS5)</f>
        <v/>
      </c>
      <c r="AM5" s="12">
        <v>16</v>
      </c>
      <c r="AN5" s="13"/>
      <c r="AO5" s="13"/>
      <c r="AP5" s="13"/>
      <c r="AQ5" s="14"/>
      <c r="AR5" s="14"/>
      <c r="AS5" s="14"/>
      <c r="AT5" s="14"/>
      <c r="AU5" s="15"/>
      <c r="AV5" s="15"/>
      <c r="AW5" s="15"/>
      <c r="AX5" s="15"/>
      <c r="AY5" s="15"/>
      <c r="AZ5" s="16"/>
      <c r="BA5" s="16"/>
      <c r="BB5" s="16"/>
      <c r="BC5" s="16"/>
      <c r="BE5" s="51" t="e">
        <f t="shared" ref="BE5:BE43" si="2">AI5/K5</f>
        <v>#VALUE!</v>
      </c>
      <c r="BF5" s="17" t="e">
        <f>(AP5/AO5) - (R5/Q5)</f>
        <v>#DIV/0!</v>
      </c>
      <c r="BG5" s="17" t="e">
        <f>(AL5/AQ5)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IF(OR(ISBLANK(S6),ISBLANK(G6)),"·",S6*G6/F6/1000000)</f>
        <v>3.3961874999999999</v>
      </c>
      <c r="J6" s="21">
        <f>IF(ISBLANK(S6),"·",S6/D6)</f>
        <v>1.5211651895241192E-2</v>
      </c>
      <c r="K6" s="21">
        <f t="shared" si="0"/>
        <v>7.5516575852707336E-3</v>
      </c>
      <c r="L6" s="21">
        <f>IF(T6="","·",T6/D6)</f>
        <v>4.8914115183882837E-3</v>
      </c>
      <c r="M6" s="21">
        <f>IF(ISBLANK(V6),"·",V6/D6)</f>
        <v>7.6599943099704589E-3</v>
      </c>
      <c r="N6" s="18">
        <f>IF(OR(ISBLANK(T6),ISBLANK(U6)),"",T6+U6)</f>
        <v>1798400</v>
      </c>
      <c r="O6" s="21">
        <v>16</v>
      </c>
      <c r="P6" s="22">
        <v>24191962</v>
      </c>
      <c r="Q6" s="22">
        <v>755998.8125</v>
      </c>
      <c r="R6" s="22">
        <v>19085.96875</v>
      </c>
      <c r="S6" s="23">
        <v>3622600</v>
      </c>
      <c r="T6" s="23">
        <v>1164872</v>
      </c>
      <c r="U6" s="23">
        <v>633528</v>
      </c>
      <c r="V6" s="23">
        <v>1824200</v>
      </c>
      <c r="W6" s="24">
        <v>68.255984374999997</v>
      </c>
      <c r="X6" s="24">
        <v>70.4384625</v>
      </c>
      <c r="Y6" s="24">
        <v>34.355712500000003</v>
      </c>
      <c r="Z6" s="24">
        <v>45.462940625000002</v>
      </c>
      <c r="AA6" s="24">
        <v>45.263540624999997</v>
      </c>
      <c r="AB6" s="25">
        <v>3474.74</v>
      </c>
      <c r="AC6" s="25">
        <v>0</v>
      </c>
      <c r="AD6" s="25">
        <v>44.677999999999997</v>
      </c>
      <c r="AE6" s="25">
        <v>0</v>
      </c>
      <c r="AG6" s="20" t="str">
        <f>IF(OR(ISBLANK(AQ6),ISBLANK(G6)),"·",AQ6*G6/F6/1000000)</f>
        <v>·</v>
      </c>
      <c r="AH6" s="21" t="str">
        <f>IF(ISBLANK(AQ6),"·",AQ6/D6)</f>
        <v>·</v>
      </c>
      <c r="AI6" s="21" t="str">
        <f t="shared" si="1"/>
        <v>·</v>
      </c>
      <c r="AJ6" s="21" t="str">
        <f>IF(AR6="","·",AR6/D6)</f>
        <v>·</v>
      </c>
      <c r="AK6" s="21" t="str">
        <f>IF(ISBLANK(AT6),"·",AT6/D6)</f>
        <v>·</v>
      </c>
      <c r="AL6" s="18" t="str">
        <f>IF(OR(ISBLANK(AR6),ISBLANK(AS6)),"",AR6+AS6)</f>
        <v/>
      </c>
      <c r="AM6" s="21">
        <v>16</v>
      </c>
      <c r="AN6" s="22"/>
      <c r="AO6" s="22"/>
      <c r="AP6" s="22"/>
      <c r="AQ6" s="23"/>
      <c r="AR6" s="23"/>
      <c r="AS6" s="23"/>
      <c r="AT6" s="23"/>
      <c r="AU6" s="24"/>
      <c r="AV6" s="24"/>
      <c r="AW6" s="24"/>
      <c r="AX6" s="24"/>
      <c r="AY6" s="24"/>
      <c r="AZ6" s="25"/>
      <c r="BA6" s="25"/>
      <c r="BB6" s="25"/>
      <c r="BC6" s="25"/>
      <c r="BE6" s="50" t="e">
        <f t="shared" si="2"/>
        <v>#VALUE!</v>
      </c>
      <c r="BF6" s="26" t="e">
        <f>(AP6/AO6) - (R6/Q6)</f>
        <v>#DIV/0!</v>
      </c>
      <c r="BG6" s="26" t="e">
        <f>(AL6/AQ6) - (N6/S6)</f>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IF(OR(ISBLANK(S7),ISBLANK(G7)),"·",S7*G7/F7/1000000)</f>
        <v>5.5718399999999999</v>
      </c>
      <c r="J7" s="12">
        <f>IF(ISBLANK(S7),"·",S7/D7)</f>
        <v>2.4956481494611438E-2</v>
      </c>
      <c r="K7" s="12">
        <f t="shared" si="0"/>
        <v>9.4989640216718626E-3</v>
      </c>
      <c r="L7" s="12">
        <f>IF(T7="","·",T7/D7)</f>
        <v>6.8387179547894136E-3</v>
      </c>
      <c r="M7" s="12">
        <f>IF(ISBLANK(V7),"·",V7/D7)</f>
        <v>1.5457517472939575E-2</v>
      </c>
      <c r="N7" s="54">
        <f>IF(OR(ISBLANK(T7),ISBLANK(U7)),"",T7+U7)</f>
        <v>2262144</v>
      </c>
      <c r="O7" s="12">
        <v>16</v>
      </c>
      <c r="P7" s="13">
        <v>24808216</v>
      </c>
      <c r="Q7" s="13">
        <v>775256.75</v>
      </c>
      <c r="R7" s="13">
        <v>20954.78125</v>
      </c>
      <c r="S7" s="14">
        <v>5943296</v>
      </c>
      <c r="T7" s="14">
        <v>1628616</v>
      </c>
      <c r="U7" s="14">
        <v>633528</v>
      </c>
      <c r="V7" s="14">
        <v>3681152</v>
      </c>
      <c r="W7" s="15">
        <v>69.683721875000003</v>
      </c>
      <c r="X7" s="15">
        <v>72.129403124999996</v>
      </c>
      <c r="Y7" s="15">
        <v>36.896806249999997</v>
      </c>
      <c r="Z7" s="15">
        <v>46.595978125000002</v>
      </c>
      <c r="AA7" s="15">
        <v>46.493756249999997</v>
      </c>
      <c r="AB7" s="16">
        <v>3614.28</v>
      </c>
      <c r="AC7" s="16">
        <v>0</v>
      </c>
      <c r="AD7" s="16">
        <v>46.02</v>
      </c>
      <c r="AE7" s="16">
        <v>0</v>
      </c>
      <c r="AG7" s="11" t="str">
        <f>IF(OR(ISBLANK(AQ7),ISBLANK(G7)),"·",AQ7*G7/F7/1000000)</f>
        <v>·</v>
      </c>
      <c r="AH7" s="12" t="str">
        <f>IF(ISBLANK(AQ7),"·",AQ7/D7)</f>
        <v>·</v>
      </c>
      <c r="AI7" s="12" t="str">
        <f t="shared" si="1"/>
        <v>·</v>
      </c>
      <c r="AJ7" s="12" t="str">
        <f>IF(AR7="","·",AR7/D7)</f>
        <v>·</v>
      </c>
      <c r="AK7" s="12" t="str">
        <f>IF(ISBLANK(AT7),"·",AT7/D7)</f>
        <v>·</v>
      </c>
      <c r="AL7" s="54" t="str">
        <f>IF(OR(ISBLANK(AR7),ISBLANK(AS7)),"",AR7+AS7)</f>
        <v/>
      </c>
      <c r="AM7" s="12">
        <v>16</v>
      </c>
      <c r="AN7" s="13"/>
      <c r="AO7" s="13"/>
      <c r="AP7" s="13"/>
      <c r="AQ7" s="14"/>
      <c r="AR7" s="14"/>
      <c r="AS7" s="14"/>
      <c r="AT7" s="14"/>
      <c r="AU7" s="15"/>
      <c r="AV7" s="15"/>
      <c r="AW7" s="15"/>
      <c r="AX7" s="15"/>
      <c r="AY7" s="15"/>
      <c r="AZ7" s="16"/>
      <c r="BA7" s="16"/>
      <c r="BB7" s="16"/>
      <c r="BC7" s="16"/>
      <c r="BE7" s="51" t="e">
        <f t="shared" si="2"/>
        <v>#VALUE!</v>
      </c>
      <c r="BF7" s="17" t="e">
        <f>(AP7/AO7) - (R7/Q7)</f>
        <v>#DIV/0!</v>
      </c>
      <c r="BG7" s="17" t="e">
        <f>(AL7/AQ7) - (N7/S7)</f>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IF(OR(ISBLANK(S8),ISBLANK(G8)),"·",S8*G8/F8/1000000)</f>
        <v>9.4360125000000004</v>
      </c>
      <c r="J8" s="21">
        <f>IF(ISBLANK(S8),"·",S8/D8)</f>
        <v>4.2264255854290902E-2</v>
      </c>
      <c r="K8" s="21">
        <f t="shared" si="0"/>
        <v>1.2760991200576288E-2</v>
      </c>
      <c r="L8" s="21">
        <f>IF(T8="","·",T8/D8)</f>
        <v>1.0100745133693839E-2</v>
      </c>
      <c r="M8" s="21">
        <f>IF(ISBLANK(V8),"·",V8/D8)</f>
        <v>2.9503264653714615E-2</v>
      </c>
      <c r="N8" s="18">
        <f>IF(OR(ISBLANK(T8),ISBLANK(U8)),"",T8+U8)</f>
        <v>3038984</v>
      </c>
      <c r="O8" s="21">
        <v>16</v>
      </c>
      <c r="P8" s="22">
        <v>25797809</v>
      </c>
      <c r="Q8" s="22">
        <v>806181.53125</v>
      </c>
      <c r="R8" s="22">
        <v>24199.84375</v>
      </c>
      <c r="S8" s="23">
        <v>10065080</v>
      </c>
      <c r="T8" s="23">
        <v>2405456</v>
      </c>
      <c r="U8" s="23">
        <v>633528</v>
      </c>
      <c r="V8" s="23">
        <v>7026096</v>
      </c>
      <c r="W8" s="24">
        <v>70.836840624999994</v>
      </c>
      <c r="X8" s="24">
        <v>73.406981250000001</v>
      </c>
      <c r="Y8" s="24">
        <v>39.524643750000003</v>
      </c>
      <c r="Z8" s="24">
        <v>47.911165625000002</v>
      </c>
      <c r="AA8" s="24">
        <v>47.950046874999998</v>
      </c>
      <c r="AB8" s="25">
        <v>3758.95</v>
      </c>
      <c r="AC8" s="25">
        <v>0</v>
      </c>
      <c r="AD8" s="25">
        <v>50.292000000000002</v>
      </c>
      <c r="AE8" s="25">
        <v>0</v>
      </c>
      <c r="AG8" s="20" t="str">
        <f>IF(OR(ISBLANK(AQ8),ISBLANK(G8)),"·",AQ8*G8/F8/1000000)</f>
        <v>·</v>
      </c>
      <c r="AH8" s="21" t="str">
        <f>IF(ISBLANK(AQ8),"·",AQ8/D8)</f>
        <v>·</v>
      </c>
      <c r="AI8" s="21" t="str">
        <f t="shared" si="1"/>
        <v>·</v>
      </c>
      <c r="AJ8" s="21" t="str">
        <f>IF(AR8="","·",AR8/D8)</f>
        <v>·</v>
      </c>
      <c r="AK8" s="21" t="str">
        <f>IF(ISBLANK(AT8),"·",AT8/D8)</f>
        <v>·</v>
      </c>
      <c r="AL8" s="18" t="str">
        <f>IF(OR(ISBLANK(AR8),ISBLANK(AS8)),"",AR8+AS8)</f>
        <v/>
      </c>
      <c r="AM8" s="21">
        <v>16</v>
      </c>
      <c r="AN8" s="22"/>
      <c r="AO8" s="22"/>
      <c r="AP8" s="22"/>
      <c r="AQ8" s="23"/>
      <c r="AR8" s="23"/>
      <c r="AS8" s="23"/>
      <c r="AT8" s="23"/>
      <c r="AU8" s="24"/>
      <c r="AV8" s="24"/>
      <c r="AW8" s="24"/>
      <c r="AX8" s="24"/>
      <c r="AY8" s="24"/>
      <c r="AZ8" s="25"/>
      <c r="BA8" s="25"/>
      <c r="BB8" s="25"/>
      <c r="BC8" s="25"/>
      <c r="BE8" s="50" t="e">
        <f t="shared" si="2"/>
        <v>#VALUE!</v>
      </c>
      <c r="BF8" s="26" t="e">
        <f>(AP8/AO8) - (R8/Q8)</f>
        <v>#DIV/0!</v>
      </c>
      <c r="BG8" s="26" t="e">
        <f>(AL8/AQ8) - (N8/S8)</f>
        <v>#VALUE!</v>
      </c>
      <c r="BH8" s="26"/>
      <c r="BJ8" s="50"/>
      <c r="BK8" s="50"/>
      <c r="BL8" s="50"/>
      <c r="BM8" s="50"/>
      <c r="BN8" s="50"/>
      <c r="BP8" s="50"/>
      <c r="BQ8" s="50"/>
      <c r="BR8" s="50"/>
      <c r="BS8" s="50"/>
      <c r="BT8" s="50"/>
    </row>
    <row r="9" spans="1:72" ht="15.75" outlineLevel="1" thickBot="1" x14ac:dyDescent="0.3">
      <c r="A9" s="54"/>
      <c r="B9" s="27" t="s">
        <v>49</v>
      </c>
      <c r="C9" s="28" t="s">
        <v>234</v>
      </c>
      <c r="D9" s="27">
        <v>238146391</v>
      </c>
      <c r="E9" s="28">
        <v>10</v>
      </c>
      <c r="F9" s="28">
        <v>32</v>
      </c>
      <c r="G9" s="28">
        <v>30</v>
      </c>
      <c r="I9" s="29">
        <f>IF(OR(ISBLANK(S9),ISBLANK(G9)),"·",S9*G9/F9/1000000)</f>
        <v>16.8135525</v>
      </c>
      <c r="J9" s="30">
        <f>IF(ISBLANK(S9),"·",S9/D9)</f>
        <v>7.5308535748501007E-2</v>
      </c>
      <c r="K9" s="30">
        <f t="shared" si="0"/>
        <v>2.0666212825370928E-2</v>
      </c>
      <c r="L9" s="30">
        <f>IF(T9="","·",T9/D9)</f>
        <v>1.5547781280464586E-2</v>
      </c>
      <c r="M9" s="30">
        <f>IF(ISBLANK(V9),"·",V9/D9)</f>
        <v>5.4642322923130086E-2</v>
      </c>
      <c r="N9" s="27">
        <f>IF(OR(ISBLANK(T9),ISBLANK(U9)),"",T9+U9)</f>
        <v>4921584</v>
      </c>
      <c r="O9" s="30">
        <v>16</v>
      </c>
      <c r="P9" s="31">
        <v>24868389</v>
      </c>
      <c r="Q9" s="31">
        <v>777137.15625</v>
      </c>
      <c r="R9" s="31">
        <v>10635.96875</v>
      </c>
      <c r="S9" s="32">
        <v>17934456</v>
      </c>
      <c r="T9" s="32">
        <v>3702648</v>
      </c>
      <c r="U9" s="32">
        <v>1218936</v>
      </c>
      <c r="V9" s="32">
        <v>13012872</v>
      </c>
      <c r="W9" s="33">
        <v>71.945243750000003</v>
      </c>
      <c r="X9" s="33">
        <v>75.319246875000005</v>
      </c>
      <c r="Y9" s="33">
        <v>42.092659374999997</v>
      </c>
      <c r="Z9" s="33">
        <v>49.412693750000003</v>
      </c>
      <c r="AA9" s="33">
        <v>49.544709374999996</v>
      </c>
      <c r="AB9" s="34">
        <v>3873.69</v>
      </c>
      <c r="AC9" s="34">
        <v>0</v>
      </c>
      <c r="AD9" s="34">
        <v>46.582000000000001</v>
      </c>
      <c r="AE9" s="34">
        <v>0</v>
      </c>
      <c r="AG9" s="29" t="str">
        <f>IF(OR(ISBLANK(AQ9),ISBLANK(G9)),"·",AQ9*G9/F9/1000000)</f>
        <v>·</v>
      </c>
      <c r="AH9" s="30" t="str">
        <f>IF(ISBLANK(AQ9),"·",AQ9/D9)</f>
        <v>·</v>
      </c>
      <c r="AI9" s="30" t="str">
        <f t="shared" si="1"/>
        <v>·</v>
      </c>
      <c r="AJ9" s="30" t="str">
        <f>IF(AR9="","·",AR9/D9)</f>
        <v>·</v>
      </c>
      <c r="AK9" s="30" t="str">
        <f>IF(ISBLANK(AT9),"·",AT9/D9)</f>
        <v>·</v>
      </c>
      <c r="AL9" s="27" t="str">
        <f>IF(OR(ISBLANK(AR9),ISBLANK(AS9)),"",AR9+AS9)</f>
        <v/>
      </c>
      <c r="AM9" s="30">
        <v>16</v>
      </c>
      <c r="AN9" s="31"/>
      <c r="AO9" s="31"/>
      <c r="AP9" s="31"/>
      <c r="AQ9" s="32"/>
      <c r="AR9" s="32"/>
      <c r="AS9" s="32"/>
      <c r="AT9" s="32"/>
      <c r="AU9" s="33"/>
      <c r="AV9" s="33"/>
      <c r="AW9" s="33"/>
      <c r="AX9" s="33"/>
      <c r="AY9" s="33"/>
      <c r="AZ9" s="34"/>
      <c r="BA9" s="34"/>
      <c r="BB9" s="34"/>
      <c r="BC9" s="34"/>
      <c r="BE9" s="35" t="e">
        <f t="shared" si="2"/>
        <v>#VALUE!</v>
      </c>
      <c r="BF9" s="36" t="e">
        <f>(AP9/AO9) - (R9/Q9)</f>
        <v>#DIV/0!</v>
      </c>
      <c r="BG9" s="36" t="e">
        <f>(AL9/AQ9) - (N9/S9)</f>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IF(OR(ISBLANK(S10),ISBLANK(G10)),"·",S10*G10/F10/1000000)</f>
        <v>3.1915425000000002</v>
      </c>
      <c r="J10" s="21">
        <f>IF(ISBLANK(S10),"·",S10/D10)</f>
        <v>1.5607429926517657E-2</v>
      </c>
      <c r="K10" s="21">
        <f t="shared" si="0"/>
        <v>8.0864017819960877E-3</v>
      </c>
      <c r="L10" s="21">
        <f>IF(T10="","·",T10/D10)</f>
        <v>4.2808118615059046E-3</v>
      </c>
      <c r="M10" s="21">
        <f>IF(ISBLANK(V10),"·",V10/D10)</f>
        <v>7.5210281445215682E-3</v>
      </c>
      <c r="N10" s="18">
        <f>IF(OR(ISBLANK(T10),ISBLANK(U10)),"",T10+U10)</f>
        <v>1763816</v>
      </c>
      <c r="O10" s="21">
        <v>16</v>
      </c>
      <c r="P10" s="22">
        <v>20669095</v>
      </c>
      <c r="Q10" s="22">
        <v>645909.21875</v>
      </c>
      <c r="R10" s="22">
        <v>18184.71875</v>
      </c>
      <c r="S10" s="23">
        <v>3404312</v>
      </c>
      <c r="T10" s="23">
        <v>933736</v>
      </c>
      <c r="U10" s="23">
        <v>830080</v>
      </c>
      <c r="V10" s="23">
        <v>1640496</v>
      </c>
      <c r="W10" s="24">
        <v>65.902412499999997</v>
      </c>
      <c r="X10" s="24">
        <v>67.818875000000006</v>
      </c>
      <c r="Y10" s="24">
        <v>32.387412500000003</v>
      </c>
      <c r="Z10" s="24">
        <v>39.175156250000001</v>
      </c>
      <c r="AA10" s="24">
        <v>32.088762500000001</v>
      </c>
      <c r="AB10" s="25">
        <v>3400.53</v>
      </c>
      <c r="AC10" s="25">
        <v>0</v>
      </c>
      <c r="AD10" s="25">
        <v>42.936999999999998</v>
      </c>
      <c r="AE10" s="25">
        <v>0</v>
      </c>
      <c r="AG10" s="20" t="str">
        <f>IF(OR(ISBLANK(AQ10),ISBLANK(G10)),"·",AQ10*G10/F10/1000000)</f>
        <v>·</v>
      </c>
      <c r="AH10" s="21" t="str">
        <f>IF(ISBLANK(AQ10),"·",AQ10/D10)</f>
        <v>·</v>
      </c>
      <c r="AI10" s="21" t="str">
        <f t="shared" si="1"/>
        <v>·</v>
      </c>
      <c r="AJ10" s="21" t="str">
        <f>IF(AR10="","·",AR10/D10)</f>
        <v>·</v>
      </c>
      <c r="AK10" s="21" t="str">
        <f>IF(ISBLANK(AT10),"·",AT10/D10)</f>
        <v>·</v>
      </c>
      <c r="AL10" s="18" t="str">
        <f>IF(OR(ISBLANK(AR10),ISBLANK(AS10)),"",AR10+AS10)</f>
        <v/>
      </c>
      <c r="AM10" s="21">
        <v>16</v>
      </c>
      <c r="AN10" s="22"/>
      <c r="AO10" s="22"/>
      <c r="AP10" s="22"/>
      <c r="AQ10" s="23"/>
      <c r="AR10" s="23"/>
      <c r="AS10" s="23"/>
      <c r="AT10" s="23"/>
      <c r="AU10" s="24"/>
      <c r="AV10" s="24"/>
      <c r="AW10" s="24"/>
      <c r="AX10" s="24"/>
      <c r="AY10" s="24"/>
      <c r="AZ10" s="25"/>
      <c r="BA10" s="25"/>
      <c r="BB10" s="25"/>
      <c r="BC10" s="25"/>
      <c r="BE10" s="50" t="e">
        <f t="shared" si="2"/>
        <v>#VALUE!</v>
      </c>
      <c r="BF10" s="26" t="e">
        <f>(AP10/AO10) - (R10/Q10)</f>
        <v>#DIV/0!</v>
      </c>
      <c r="BG10" s="26" t="e">
        <f>(AL10/AQ10) - (N10/S10)</f>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IF(OR(ISBLANK(S11),ISBLANK(G11)),"·",S11*G11/F11/1000000)</f>
        <v>4.6062975000000002</v>
      </c>
      <c r="J11" s="12">
        <f>IF(ISBLANK(S11),"·",S11/D11)</f>
        <v>2.2525930784861384E-2</v>
      </c>
      <c r="K11" s="12">
        <f t="shared" si="0"/>
        <v>9.8408755622251595E-3</v>
      </c>
      <c r="L11" s="12">
        <f>IF(T11="","·",T11/D11)</f>
        <v>6.0352856417349764E-3</v>
      </c>
      <c r="M11" s="12">
        <f>IF(ISBLANK(V11),"·",V11/D11)</f>
        <v>1.2685055222636226E-2</v>
      </c>
      <c r="N11" s="54">
        <f>IF(OR(ISBLANK(T11),ISBLANK(U11)),"",T11+U11)</f>
        <v>2146504</v>
      </c>
      <c r="O11" s="12">
        <v>16</v>
      </c>
      <c r="P11" s="13">
        <v>22097416</v>
      </c>
      <c r="Q11" s="13">
        <v>690544.25</v>
      </c>
      <c r="R11" s="13">
        <v>22962.71875</v>
      </c>
      <c r="S11" s="14">
        <v>4913384</v>
      </c>
      <c r="T11" s="14">
        <v>1316424</v>
      </c>
      <c r="U11" s="14">
        <v>830080</v>
      </c>
      <c r="V11" s="14">
        <v>2766880</v>
      </c>
      <c r="W11" s="15">
        <v>67.609743750000007</v>
      </c>
      <c r="X11" s="15">
        <v>69.703928125000004</v>
      </c>
      <c r="Y11" s="15">
        <v>34.243778124999999</v>
      </c>
      <c r="Z11" s="15">
        <v>40.024018750000003</v>
      </c>
      <c r="AA11" s="15">
        <v>33.861578125000001</v>
      </c>
      <c r="AB11" s="16">
        <v>3469.13</v>
      </c>
      <c r="AC11" s="16">
        <v>0</v>
      </c>
      <c r="AD11" s="16">
        <v>45.356999999999999</v>
      </c>
      <c r="AE11" s="16">
        <v>0</v>
      </c>
      <c r="AG11" s="11" t="str">
        <f>IF(OR(ISBLANK(AQ11),ISBLANK(G11)),"·",AQ11*G11/F11/1000000)</f>
        <v>·</v>
      </c>
      <c r="AH11" s="12" t="str">
        <f>IF(ISBLANK(AQ11),"·",AQ11/D11)</f>
        <v>·</v>
      </c>
      <c r="AI11" s="12" t="str">
        <f t="shared" si="1"/>
        <v>·</v>
      </c>
      <c r="AJ11" s="12" t="str">
        <f>IF(AR11="","·",AR11/D11)</f>
        <v>·</v>
      </c>
      <c r="AK11" s="12" t="str">
        <f>IF(ISBLANK(AT11),"·",AT11/D11)</f>
        <v>·</v>
      </c>
      <c r="AL11" s="54" t="str">
        <f>IF(OR(ISBLANK(AR11),ISBLANK(AS11)),"",AR11+AS11)</f>
        <v/>
      </c>
      <c r="AM11" s="12">
        <v>16</v>
      </c>
      <c r="AN11" s="13"/>
      <c r="AO11" s="13"/>
      <c r="AP11" s="13"/>
      <c r="AQ11" s="14"/>
      <c r="AR11" s="14"/>
      <c r="AS11" s="14"/>
      <c r="AT11" s="14"/>
      <c r="AU11" s="15"/>
      <c r="AV11" s="15"/>
      <c r="AW11" s="15"/>
      <c r="AX11" s="15"/>
      <c r="AY11" s="15"/>
      <c r="AZ11" s="16"/>
      <c r="BA11" s="16"/>
      <c r="BB11" s="16"/>
      <c r="BC11" s="16"/>
      <c r="BE11" s="51" t="e">
        <f t="shared" si="2"/>
        <v>#VALUE!</v>
      </c>
      <c r="BF11" s="17" t="e">
        <f>(AP11/AO11) - (R11/Q11)</f>
        <v>#DIV/0!</v>
      </c>
      <c r="BG11" s="17" t="e">
        <f>(AL11/AQ11) - (N11/S11)</f>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IF(OR(ISBLANK(S12),ISBLANK(G12)),"·",S12*G12/F12/1000000)</f>
        <v>7.1249775</v>
      </c>
      <c r="J12" s="21">
        <f>IF(ISBLANK(S12),"·",S12/D12)</f>
        <v>3.4842897144332231E-2</v>
      </c>
      <c r="K12" s="21">
        <f t="shared" si="0"/>
        <v>1.2516231683661512E-2</v>
      </c>
      <c r="L12" s="21">
        <f>IF(T12="","·",T12/D12)</f>
        <v>8.7106417631713281E-3</v>
      </c>
      <c r="M12" s="21">
        <f>IF(ISBLANK(V12),"·",V12/D12)</f>
        <v>2.2326665460670723E-2</v>
      </c>
      <c r="N12" s="18">
        <f>IF(OR(ISBLANK(T12),ISBLANK(U12)),"",T12+U12)</f>
        <v>2730056</v>
      </c>
      <c r="O12" s="21">
        <v>16</v>
      </c>
      <c r="P12" s="22">
        <v>22514733</v>
      </c>
      <c r="Q12" s="22">
        <v>703585.40625</v>
      </c>
      <c r="R12" s="22">
        <v>24682.8125</v>
      </c>
      <c r="S12" s="23">
        <v>7599976</v>
      </c>
      <c r="T12" s="23">
        <v>1899976</v>
      </c>
      <c r="U12" s="23">
        <v>830080</v>
      </c>
      <c r="V12" s="23">
        <v>4869920</v>
      </c>
      <c r="W12" s="24">
        <v>68.954471874999996</v>
      </c>
      <c r="X12" s="24">
        <v>71.328387500000005</v>
      </c>
      <c r="Y12" s="24">
        <v>36.344050000000003</v>
      </c>
      <c r="Z12" s="24">
        <v>40.924225</v>
      </c>
      <c r="AA12" s="24">
        <v>35.641859375000003</v>
      </c>
      <c r="AB12" s="25">
        <v>3557.88</v>
      </c>
      <c r="AC12" s="25">
        <v>0</v>
      </c>
      <c r="AD12" s="25">
        <v>46.170999999999999</v>
      </c>
      <c r="AE12" s="25">
        <v>0</v>
      </c>
      <c r="AG12" s="20" t="str">
        <f>IF(OR(ISBLANK(AQ12),ISBLANK(G12)),"·",AQ12*G12/F12/1000000)</f>
        <v>·</v>
      </c>
      <c r="AH12" s="21" t="str">
        <f>IF(ISBLANK(AQ12),"·",AQ12/D12)</f>
        <v>·</v>
      </c>
      <c r="AI12" s="21" t="str">
        <f t="shared" si="1"/>
        <v>·</v>
      </c>
      <c r="AJ12" s="21" t="str">
        <f>IF(AR12="","·",AR12/D12)</f>
        <v>·</v>
      </c>
      <c r="AK12" s="21" t="str">
        <f>IF(ISBLANK(AT12),"·",AT12/D12)</f>
        <v>·</v>
      </c>
      <c r="AL12" s="18" t="str">
        <f>IF(OR(ISBLANK(AR12),ISBLANK(AS12)),"",AR12+AS12)</f>
        <v/>
      </c>
      <c r="AM12" s="21">
        <v>16</v>
      </c>
      <c r="AN12" s="22"/>
      <c r="AO12" s="22"/>
      <c r="AP12" s="22"/>
      <c r="AQ12" s="23"/>
      <c r="AR12" s="23"/>
      <c r="AS12" s="23"/>
      <c r="AT12" s="23"/>
      <c r="AU12" s="24"/>
      <c r="AV12" s="24"/>
      <c r="AW12" s="24"/>
      <c r="AX12" s="24"/>
      <c r="AY12" s="24"/>
      <c r="AZ12" s="25"/>
      <c r="BA12" s="25"/>
      <c r="BB12" s="25"/>
      <c r="BC12" s="25"/>
      <c r="BE12" s="50" t="e">
        <f t="shared" si="2"/>
        <v>#VALUE!</v>
      </c>
      <c r="BF12" s="26" t="e">
        <f>(AP12/AO12) - (R12/Q12)</f>
        <v>#DIV/0!</v>
      </c>
      <c r="BG12" s="26" t="e">
        <f>(AL12/AQ12) - (N12/S12)</f>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IF(OR(ISBLANK(S13),ISBLANK(G13)),"·",S13*G13/F13/1000000)</f>
        <v>12.0092625</v>
      </c>
      <c r="J13" s="12">
        <f>IF(ISBLANK(S13),"·",S13/D13)</f>
        <v>5.8728255361758852E-2</v>
      </c>
      <c r="K13" s="12">
        <f t="shared" si="0"/>
        <v>1.7200415537703569E-2</v>
      </c>
      <c r="L13" s="12">
        <f>IF(T13="","·",T13/D13)</f>
        <v>1.3394825617213384E-2</v>
      </c>
      <c r="M13" s="12">
        <f>IF(ISBLANK(V13),"·",V13/D13)</f>
        <v>4.1527839824055286E-2</v>
      </c>
      <c r="N13" s="54">
        <f>IF(OR(ISBLANK(T13),ISBLANK(U13)),"",T13+U13)</f>
        <v>3751776</v>
      </c>
      <c r="O13" s="12">
        <v>16</v>
      </c>
      <c r="P13" s="13">
        <v>23299291</v>
      </c>
      <c r="Q13" s="13">
        <v>728102.84375</v>
      </c>
      <c r="R13" s="13">
        <v>28059</v>
      </c>
      <c r="S13" s="14">
        <v>12809880</v>
      </c>
      <c r="T13" s="14">
        <v>2921696</v>
      </c>
      <c r="U13" s="14">
        <v>830080</v>
      </c>
      <c r="V13" s="14">
        <v>9058104</v>
      </c>
      <c r="W13" s="15">
        <v>70.067156249999996</v>
      </c>
      <c r="X13" s="15">
        <v>72.583796875000004</v>
      </c>
      <c r="Y13" s="15">
        <v>38.661590625000002</v>
      </c>
      <c r="Z13" s="15">
        <v>42.108584375</v>
      </c>
      <c r="AA13" s="15">
        <v>37.692184374999997</v>
      </c>
      <c r="AB13" s="16">
        <v>3712.77</v>
      </c>
      <c r="AC13" s="16">
        <v>0</v>
      </c>
      <c r="AD13" s="16">
        <v>48.847999999999999</v>
      </c>
      <c r="AE13" s="16">
        <v>0</v>
      </c>
      <c r="AG13" s="11" t="str">
        <f>IF(OR(ISBLANK(AQ13),ISBLANK(G13)),"·",AQ13*G13/F13/1000000)</f>
        <v>·</v>
      </c>
      <c r="AH13" s="12" t="str">
        <f>IF(ISBLANK(AQ13),"·",AQ13/D13)</f>
        <v>·</v>
      </c>
      <c r="AI13" s="12" t="str">
        <f t="shared" si="1"/>
        <v>·</v>
      </c>
      <c r="AJ13" s="12" t="str">
        <f>IF(AR13="","·",AR13/D13)</f>
        <v>·</v>
      </c>
      <c r="AK13" s="12" t="str">
        <f>IF(ISBLANK(AT13),"·",AT13/D13)</f>
        <v>·</v>
      </c>
      <c r="AL13" s="54" t="str">
        <f>IF(OR(ISBLANK(AR13),ISBLANK(AS13)),"",AR13+AS13)</f>
        <v/>
      </c>
      <c r="AM13" s="12">
        <v>16</v>
      </c>
      <c r="AN13" s="13"/>
      <c r="AO13" s="13"/>
      <c r="AP13" s="13"/>
      <c r="AQ13" s="14"/>
      <c r="AR13" s="14"/>
      <c r="AS13" s="14"/>
      <c r="AT13" s="14"/>
      <c r="AU13" s="15"/>
      <c r="AV13" s="15"/>
      <c r="AW13" s="15"/>
      <c r="AX13" s="15"/>
      <c r="AY13" s="15"/>
      <c r="AZ13" s="16"/>
      <c r="BA13" s="16"/>
      <c r="BB13" s="16"/>
      <c r="BC13" s="16"/>
      <c r="BE13" s="51" t="e">
        <f t="shared" si="2"/>
        <v>#VALUE!</v>
      </c>
      <c r="BF13" s="17" t="e">
        <f>(AP13/AO13) - (R13/Q13)</f>
        <v>#DIV/0!</v>
      </c>
      <c r="BG13" s="17" t="e">
        <f>(AL13/AQ13) - (N13/S13)</f>
        <v>#VALUE!</v>
      </c>
      <c r="BH13" s="17"/>
      <c r="BJ13" s="51"/>
      <c r="BK13" s="51"/>
      <c r="BL13" s="51"/>
      <c r="BM13" s="51"/>
      <c r="BN13" s="51"/>
      <c r="BP13" s="51"/>
      <c r="BQ13" s="51"/>
      <c r="BR13" s="51"/>
      <c r="BS13" s="51"/>
      <c r="BT13" s="51"/>
    </row>
    <row r="14" spans="1:72" ht="15.75" outlineLevel="1" thickBot="1" x14ac:dyDescent="0.3">
      <c r="A14" s="18"/>
      <c r="B14" s="37" t="s">
        <v>57</v>
      </c>
      <c r="C14" s="38" t="s">
        <v>234</v>
      </c>
      <c r="D14" s="37">
        <v>218121242</v>
      </c>
      <c r="E14" s="38">
        <v>10</v>
      </c>
      <c r="F14" s="38">
        <v>32</v>
      </c>
      <c r="G14" s="38">
        <v>30</v>
      </c>
      <c r="I14" s="39">
        <f>IF(OR(ISBLANK(S14),ISBLANK(G14)),"·",S14*G14/F14/1000000)</f>
        <v>21.5641575</v>
      </c>
      <c r="J14" s="40">
        <f>IF(ISBLANK(S14),"·",S14/D14)</f>
        <v>0.10545404834986223</v>
      </c>
      <c r="K14" s="40">
        <f t="shared" si="0"/>
        <v>2.8278804684231534E-2</v>
      </c>
      <c r="L14" s="40">
        <f>IF(T14="","·",T14/D14)</f>
        <v>2.115271285682483E-2</v>
      </c>
      <c r="M14" s="40">
        <f>IF(ISBLANK(V14),"·",V14/D14)</f>
        <v>7.7175243665630694E-2</v>
      </c>
      <c r="N14" s="37">
        <f>IF(OR(ISBLANK(T14),ISBLANK(U14)),"",T14+U14)</f>
        <v>6168208</v>
      </c>
      <c r="O14" s="40">
        <v>16</v>
      </c>
      <c r="P14" s="41">
        <v>22125335</v>
      </c>
      <c r="Q14" s="41">
        <v>691416.71875</v>
      </c>
      <c r="R14" s="41">
        <v>13294.1875</v>
      </c>
      <c r="S14" s="42">
        <v>23001768</v>
      </c>
      <c r="T14" s="42">
        <v>4613856</v>
      </c>
      <c r="U14" s="42">
        <v>1554352</v>
      </c>
      <c r="V14" s="42">
        <v>16833560</v>
      </c>
      <c r="W14" s="43">
        <v>70.921865624999995</v>
      </c>
      <c r="X14" s="43">
        <v>74.681325000000001</v>
      </c>
      <c r="Y14" s="43">
        <v>40.919334374999998</v>
      </c>
      <c r="Z14" s="43">
        <v>43.42165</v>
      </c>
      <c r="AA14" s="43">
        <v>39.491034374999998</v>
      </c>
      <c r="AB14" s="44">
        <v>3921.1</v>
      </c>
      <c r="AC14" s="44">
        <v>0</v>
      </c>
      <c r="AD14" s="44">
        <v>47.496000000000002</v>
      </c>
      <c r="AE14" s="44">
        <v>0</v>
      </c>
      <c r="AG14" s="39" t="str">
        <f>IF(OR(ISBLANK(AQ14),ISBLANK(G14)),"·",AQ14*G14/F14/1000000)</f>
        <v>·</v>
      </c>
      <c r="AH14" s="40" t="str">
        <f>IF(ISBLANK(AQ14),"·",AQ14/D14)</f>
        <v>·</v>
      </c>
      <c r="AI14" s="40" t="str">
        <f t="shared" si="1"/>
        <v>·</v>
      </c>
      <c r="AJ14" s="40" t="str">
        <f>IF(AR14="","·",AR14/D14)</f>
        <v>·</v>
      </c>
      <c r="AK14" s="40" t="str">
        <f>IF(ISBLANK(AT14),"·",AT14/D14)</f>
        <v>·</v>
      </c>
      <c r="AL14" s="37" t="str">
        <f>IF(OR(ISBLANK(AR14),ISBLANK(AS14)),"",AR14+AS14)</f>
        <v/>
      </c>
      <c r="AM14" s="40">
        <v>16</v>
      </c>
      <c r="AN14" s="41"/>
      <c r="AO14" s="41"/>
      <c r="AP14" s="41"/>
      <c r="AQ14" s="42"/>
      <c r="AR14" s="42"/>
      <c r="AS14" s="42"/>
      <c r="AT14" s="42"/>
      <c r="AU14" s="43"/>
      <c r="AV14" s="43"/>
      <c r="AW14" s="43"/>
      <c r="AX14" s="43"/>
      <c r="AY14" s="43"/>
      <c r="AZ14" s="44"/>
      <c r="BA14" s="44"/>
      <c r="BB14" s="44"/>
      <c r="BC14" s="44"/>
      <c r="BE14" s="45" t="e">
        <f t="shared" si="2"/>
        <v>#VALUE!</v>
      </c>
      <c r="BF14" s="46" t="e">
        <f>(AP14/AO14) - (R14/Q14)</f>
        <v>#DIV/0!</v>
      </c>
      <c r="BG14" s="46" t="e">
        <f>(AL14/AQ14) - (N14/S14)</f>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IF(OR(ISBLANK(S15),ISBLANK(G15)),"·",S15*G15/F15/1000000)</f>
        <v>4.4097675000000001</v>
      </c>
      <c r="J15" s="12">
        <f>IF(ISBLANK(S15),"·",S15/D15)</f>
        <v>1.458122172429905E-2</v>
      </c>
      <c r="K15" s="12">
        <f t="shared" si="0"/>
        <v>8.2601272358029127E-3</v>
      </c>
      <c r="L15" s="12">
        <f>IF(T15="","·",T15/D15)</f>
        <v>4.3923534521734149E-3</v>
      </c>
      <c r="M15" s="12">
        <f>IF(ISBLANK(V15),"·",V15/D15)</f>
        <v>6.3210944884961361E-3</v>
      </c>
      <c r="N15" s="54">
        <f>IF(OR(ISBLANK(T15),ISBLANK(U15)),"",T15+U15)</f>
        <v>2664632</v>
      </c>
      <c r="O15" s="12">
        <v>16</v>
      </c>
      <c r="P15" s="13">
        <v>31086837</v>
      </c>
      <c r="Q15" s="13">
        <v>971463.65625</v>
      </c>
      <c r="R15" s="13">
        <v>27944.34375</v>
      </c>
      <c r="S15" s="14">
        <v>4703752</v>
      </c>
      <c r="T15" s="14">
        <v>1416928</v>
      </c>
      <c r="U15" s="14">
        <v>1247704</v>
      </c>
      <c r="V15" s="14">
        <v>2039120</v>
      </c>
      <c r="W15" s="15">
        <v>65.923106250000004</v>
      </c>
      <c r="X15" s="15">
        <v>67.661796874999993</v>
      </c>
      <c r="Y15" s="15">
        <v>29.416015625</v>
      </c>
      <c r="Z15" s="15">
        <v>43.127603125</v>
      </c>
      <c r="AA15" s="15">
        <v>43.264449999999997</v>
      </c>
      <c r="AB15" s="16">
        <v>4155.38</v>
      </c>
      <c r="AC15" s="16">
        <v>0</v>
      </c>
      <c r="AD15" s="16">
        <v>54.247999999999998</v>
      </c>
      <c r="AE15" s="16">
        <v>0</v>
      </c>
      <c r="AG15" s="11" t="str">
        <f>IF(OR(ISBLANK(AQ15),ISBLANK(G15)),"·",AQ15*G15/F15/1000000)</f>
        <v>·</v>
      </c>
      <c r="AH15" s="12" t="str">
        <f>IF(ISBLANK(AQ15),"·",AQ15/D15)</f>
        <v>·</v>
      </c>
      <c r="AI15" s="12" t="str">
        <f t="shared" si="1"/>
        <v>·</v>
      </c>
      <c r="AJ15" s="12" t="str">
        <f>IF(AR15="","·",AR15/D15)</f>
        <v>·</v>
      </c>
      <c r="AK15" s="12" t="str">
        <f>IF(ISBLANK(AT15),"·",AT15/D15)</f>
        <v>·</v>
      </c>
      <c r="AL15" s="54" t="str">
        <f>IF(OR(ISBLANK(AR15),ISBLANK(AS15)),"",AR15+AS15)</f>
        <v/>
      </c>
      <c r="AM15" s="12">
        <v>16</v>
      </c>
      <c r="AN15" s="13"/>
      <c r="AO15" s="13"/>
      <c r="AP15" s="13"/>
      <c r="AQ15" s="14"/>
      <c r="AR15" s="14"/>
      <c r="AS15" s="14"/>
      <c r="AT15" s="14"/>
      <c r="AU15" s="15"/>
      <c r="AV15" s="15"/>
      <c r="AW15" s="15"/>
      <c r="AX15" s="15"/>
      <c r="AY15" s="15"/>
      <c r="AZ15" s="16"/>
      <c r="BA15" s="16"/>
      <c r="BB15" s="16"/>
      <c r="BC15" s="16"/>
      <c r="BE15" s="51" t="e">
        <f t="shared" si="2"/>
        <v>#VALUE!</v>
      </c>
      <c r="BF15" s="17" t="e">
        <f>(AP15/AO15) - (R15/Q15)</f>
        <v>#DIV/0!</v>
      </c>
      <c r="BG15" s="17" t="e">
        <f>(AL15/AQ15) - (N15/S15)</f>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IF(OR(ISBLANK(S16),ISBLANK(G16)),"·",S16*G16/F16/1000000)</f>
        <v>7.0058100000000003</v>
      </c>
      <c r="J16" s="21">
        <f>IF(ISBLANK(S16),"·",S16/D16)</f>
        <v>2.3165227864805009E-2</v>
      </c>
      <c r="K16" s="21">
        <f t="shared" si="0"/>
        <v>1.0065516536138425E-2</v>
      </c>
      <c r="L16" s="21">
        <f>IF(T16="","·",T16/D16)</f>
        <v>6.1977427525089267E-3</v>
      </c>
      <c r="M16" s="21">
        <f>IF(ISBLANK(V16),"·",V16/D16)</f>
        <v>1.3099711328666584E-2</v>
      </c>
      <c r="N16" s="18">
        <f>IF(OR(ISBLANK(T16),ISBLANK(U16)),"",T16+U16)</f>
        <v>3247032</v>
      </c>
      <c r="O16" s="21">
        <v>16</v>
      </c>
      <c r="P16" s="22">
        <v>33185472</v>
      </c>
      <c r="Q16" s="22">
        <v>1037046</v>
      </c>
      <c r="R16" s="22">
        <v>34748.53125</v>
      </c>
      <c r="S16" s="23">
        <v>7472864</v>
      </c>
      <c r="T16" s="23">
        <v>1999328</v>
      </c>
      <c r="U16" s="23">
        <v>1247704</v>
      </c>
      <c r="V16" s="23">
        <v>4225832</v>
      </c>
      <c r="W16" s="24">
        <v>67.712850000000003</v>
      </c>
      <c r="X16" s="24">
        <v>69.741403125000005</v>
      </c>
      <c r="Y16" s="24">
        <v>31.808668749999999</v>
      </c>
      <c r="Z16" s="24">
        <v>43.978478125000002</v>
      </c>
      <c r="AA16" s="24">
        <v>44.264781249999999</v>
      </c>
      <c r="AB16" s="25">
        <v>4208.6000000000004</v>
      </c>
      <c r="AC16" s="25">
        <v>0</v>
      </c>
      <c r="AD16" s="25">
        <v>56.622999999999998</v>
      </c>
      <c r="AE16" s="25">
        <v>0</v>
      </c>
      <c r="AG16" s="20" t="str">
        <f>IF(OR(ISBLANK(AQ16),ISBLANK(G16)),"·",AQ16*G16/F16/1000000)</f>
        <v>·</v>
      </c>
      <c r="AH16" s="21" t="str">
        <f>IF(ISBLANK(AQ16),"·",AQ16/D16)</f>
        <v>·</v>
      </c>
      <c r="AI16" s="21" t="str">
        <f t="shared" si="1"/>
        <v>·</v>
      </c>
      <c r="AJ16" s="21" t="str">
        <f>IF(AR16="","·",AR16/D16)</f>
        <v>·</v>
      </c>
      <c r="AK16" s="21" t="str">
        <f>IF(ISBLANK(AT16),"·",AT16/D16)</f>
        <v>·</v>
      </c>
      <c r="AL16" s="18" t="str">
        <f>IF(OR(ISBLANK(AR16),ISBLANK(AS16)),"",AR16+AS16)</f>
        <v/>
      </c>
      <c r="AM16" s="21">
        <v>16</v>
      </c>
      <c r="AN16" s="22"/>
      <c r="AO16" s="22"/>
      <c r="AP16" s="22"/>
      <c r="AQ16" s="23"/>
      <c r="AR16" s="23"/>
      <c r="AS16" s="23"/>
      <c r="AT16" s="23"/>
      <c r="AU16" s="24"/>
      <c r="AV16" s="24"/>
      <c r="AW16" s="24"/>
      <c r="AX16" s="24"/>
      <c r="AY16" s="24"/>
      <c r="AZ16" s="25"/>
      <c r="BA16" s="25"/>
      <c r="BB16" s="25"/>
      <c r="BC16" s="25"/>
      <c r="BE16" s="50" t="e">
        <f t="shared" si="2"/>
        <v>#VALUE!</v>
      </c>
      <c r="BF16" s="26" t="e">
        <f>(AP16/AO16) - (R16/Q16)</f>
        <v>#DIV/0!</v>
      </c>
      <c r="BG16" s="26" t="e">
        <f>(AL16/AQ16) - (N16/S16)</f>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IF(OR(ISBLANK(S17),ISBLANK(G17)),"·",S17*G17/F17/1000000)</f>
        <v>11.691255</v>
      </c>
      <c r="J17" s="12">
        <f>IF(ISBLANK(S17),"·",S17/D17)</f>
        <v>3.865799759064846E-2</v>
      </c>
      <c r="K17" s="12">
        <f t="shared" si="0"/>
        <v>1.2823893474293897E-2</v>
      </c>
      <c r="L17" s="12">
        <f>IF(T17="","·",T17/D17)</f>
        <v>8.9561196906643992E-3</v>
      </c>
      <c r="M17" s="12">
        <f>IF(ISBLANK(V17),"·",V17/D17)</f>
        <v>2.5834104116354561E-2</v>
      </c>
      <c r="N17" s="54">
        <f>IF(OR(ISBLANK(T17),ISBLANK(U17)),"",T17+U17)</f>
        <v>4136856</v>
      </c>
      <c r="O17" s="12">
        <v>16</v>
      </c>
      <c r="P17" s="13">
        <v>33602137</v>
      </c>
      <c r="Q17" s="13">
        <v>1050066.78125</v>
      </c>
      <c r="R17" s="13">
        <v>36579.4375</v>
      </c>
      <c r="S17" s="14">
        <v>12470672</v>
      </c>
      <c r="T17" s="14">
        <v>2889152</v>
      </c>
      <c r="U17" s="14">
        <v>1247704</v>
      </c>
      <c r="V17" s="14">
        <v>8333816</v>
      </c>
      <c r="W17" s="15">
        <v>69.134240625000004</v>
      </c>
      <c r="X17" s="15">
        <v>71.597499999999997</v>
      </c>
      <c r="Y17" s="15">
        <v>34.351259374999998</v>
      </c>
      <c r="Z17" s="15">
        <v>44.801000000000002</v>
      </c>
      <c r="AA17" s="15">
        <v>45.210156249999997</v>
      </c>
      <c r="AB17" s="16">
        <v>4327.18</v>
      </c>
      <c r="AC17" s="16">
        <v>0</v>
      </c>
      <c r="AD17" s="16">
        <v>58.091999999999999</v>
      </c>
      <c r="AE17" s="16">
        <v>0</v>
      </c>
      <c r="AG17" s="11" t="str">
        <f>IF(OR(ISBLANK(AQ17),ISBLANK(G17)),"·",AQ17*G17/F17/1000000)</f>
        <v>·</v>
      </c>
      <c r="AH17" s="12" t="str">
        <f>IF(ISBLANK(AQ17),"·",AQ17/D17)</f>
        <v>·</v>
      </c>
      <c r="AI17" s="12" t="str">
        <f t="shared" si="1"/>
        <v>·</v>
      </c>
      <c r="AJ17" s="12" t="str">
        <f>IF(AR17="","·",AR17/D17)</f>
        <v>·</v>
      </c>
      <c r="AK17" s="12" t="str">
        <f>IF(ISBLANK(AT17),"·",AT17/D17)</f>
        <v>·</v>
      </c>
      <c r="AL17" s="54" t="str">
        <f>IF(OR(ISBLANK(AR17),ISBLANK(AS17)),"",AR17+AS17)</f>
        <v/>
      </c>
      <c r="AM17" s="12">
        <v>16</v>
      </c>
      <c r="AN17" s="13"/>
      <c r="AO17" s="13"/>
      <c r="AP17" s="13"/>
      <c r="AQ17" s="14"/>
      <c r="AR17" s="14"/>
      <c r="AS17" s="14"/>
      <c r="AT17" s="14"/>
      <c r="AU17" s="15"/>
      <c r="AV17" s="15"/>
      <c r="AW17" s="15"/>
      <c r="AX17" s="15"/>
      <c r="AY17" s="15"/>
      <c r="AZ17" s="16"/>
      <c r="BA17" s="16"/>
      <c r="BB17" s="16"/>
      <c r="BC17" s="16"/>
      <c r="BE17" s="51" t="e">
        <f t="shared" si="2"/>
        <v>#VALUE!</v>
      </c>
      <c r="BF17" s="17" t="e">
        <f>(AP17/AO17) - (R17/Q17)</f>
        <v>#DIV/0!</v>
      </c>
      <c r="BG17" s="17" t="e">
        <f>(AL17/AQ17) - (N17/S17)</f>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IF(OR(ISBLANK(S18),ISBLANK(G18)),"·",S18*G18/F18/1000000)</f>
        <v>20.179739999999999</v>
      </c>
      <c r="J18" s="21">
        <f>IF(ISBLANK(S18),"·",S18/D18)</f>
        <v>6.6725799779400269E-2</v>
      </c>
      <c r="K18" s="21">
        <f t="shared" si="0"/>
        <v>1.7327843792559479E-2</v>
      </c>
      <c r="L18" s="21">
        <f>IF(T18="","·",T18/D18)</f>
        <v>1.3460070008929981E-2</v>
      </c>
      <c r="M18" s="21">
        <f>IF(ISBLANK(V18),"·",V18/D18)</f>
        <v>4.9397955986840797E-2</v>
      </c>
      <c r="N18" s="18">
        <f>IF(OR(ISBLANK(T18),ISBLANK(U18)),"",T18+U18)</f>
        <v>5589784</v>
      </c>
      <c r="O18" s="21">
        <v>16</v>
      </c>
      <c r="P18" s="22">
        <v>34802570</v>
      </c>
      <c r="Q18" s="22">
        <v>1087580.3125</v>
      </c>
      <c r="R18" s="22">
        <v>40873.28125</v>
      </c>
      <c r="S18" s="23">
        <v>21525056</v>
      </c>
      <c r="T18" s="23">
        <v>4342080</v>
      </c>
      <c r="U18" s="23">
        <v>1247704</v>
      </c>
      <c r="V18" s="23">
        <v>15935272</v>
      </c>
      <c r="W18" s="24">
        <v>70.372421875000001</v>
      </c>
      <c r="X18" s="24">
        <v>72.950706249999996</v>
      </c>
      <c r="Y18" s="24">
        <v>37.032699999999998</v>
      </c>
      <c r="Z18" s="24">
        <v>46.141668750000001</v>
      </c>
      <c r="AA18" s="24">
        <v>46.647603125000003</v>
      </c>
      <c r="AB18" s="25">
        <v>4652.6000000000004</v>
      </c>
      <c r="AC18" s="25">
        <v>0</v>
      </c>
      <c r="AD18" s="25">
        <v>62.389000000000003</v>
      </c>
      <c r="AE18" s="25">
        <v>0</v>
      </c>
      <c r="AG18" s="20" t="str">
        <f>IF(OR(ISBLANK(AQ18),ISBLANK(G18)),"·",AQ18*G18/F18/1000000)</f>
        <v>·</v>
      </c>
      <c r="AH18" s="21" t="str">
        <f>IF(ISBLANK(AQ18),"·",AQ18/D18)</f>
        <v>·</v>
      </c>
      <c r="AI18" s="21" t="str">
        <f t="shared" si="1"/>
        <v>·</v>
      </c>
      <c r="AJ18" s="21" t="str">
        <f>IF(AR18="","·",AR18/D18)</f>
        <v>·</v>
      </c>
      <c r="AK18" s="21" t="str">
        <f>IF(ISBLANK(AT18),"·",AT18/D18)</f>
        <v>·</v>
      </c>
      <c r="AL18" s="18" t="str">
        <f>IF(OR(ISBLANK(AR18),ISBLANK(AS18)),"",AR18+AS18)</f>
        <v/>
      </c>
      <c r="AM18" s="21">
        <v>16</v>
      </c>
      <c r="AN18" s="22"/>
      <c r="AO18" s="22"/>
      <c r="AP18" s="22"/>
      <c r="AQ18" s="23"/>
      <c r="AR18" s="23"/>
      <c r="AS18" s="23"/>
      <c r="AT18" s="23"/>
      <c r="AU18" s="24"/>
      <c r="AV18" s="24"/>
      <c r="AW18" s="24"/>
      <c r="AX18" s="24"/>
      <c r="AY18" s="24"/>
      <c r="AZ18" s="25"/>
      <c r="BA18" s="25"/>
      <c r="BB18" s="25"/>
      <c r="BC18" s="25"/>
      <c r="BE18" s="50" t="e">
        <f t="shared" si="2"/>
        <v>#VALUE!</v>
      </c>
      <c r="BF18" s="26" t="e">
        <f>(AP18/AO18) - (R18/Q18)</f>
        <v>#DIV/0!</v>
      </c>
      <c r="BG18" s="26" t="e">
        <f>(AL18/AQ18) - (N18/S18)</f>
        <v>#VALUE!</v>
      </c>
      <c r="BH18" s="26"/>
      <c r="BJ18" s="50"/>
      <c r="BK18" s="50"/>
      <c r="BL18" s="50"/>
      <c r="BM18" s="50"/>
      <c r="BN18" s="50"/>
      <c r="BP18" s="50"/>
      <c r="BQ18" s="50"/>
      <c r="BR18" s="50"/>
      <c r="BS18" s="50"/>
      <c r="BT18" s="50"/>
    </row>
    <row r="19" spans="1:72" ht="15.75" outlineLevel="1" thickBot="1" x14ac:dyDescent="0.3">
      <c r="A19" s="54"/>
      <c r="B19" s="27" t="s">
        <v>62</v>
      </c>
      <c r="C19" s="28" t="s">
        <v>234</v>
      </c>
      <c r="D19" s="27">
        <v>322589704</v>
      </c>
      <c r="E19" s="28">
        <v>10</v>
      </c>
      <c r="F19" s="28">
        <v>32</v>
      </c>
      <c r="G19" s="28">
        <v>30</v>
      </c>
      <c r="I19" s="29">
        <f>IF(OR(ISBLANK(S19),ISBLANK(G19)),"·",S19*G19/F19/1000000)</f>
        <v>35.694254999999998</v>
      </c>
      <c r="J19" s="30">
        <f>IF(ISBLANK(S19),"·",S19/D19)</f>
        <v>0.11802568875539809</v>
      </c>
      <c r="K19" s="30">
        <f t="shared" si="0"/>
        <v>2.7797117790219369E-2</v>
      </c>
      <c r="L19" s="30">
        <f>IF(T19="","·",T19/D19)</f>
        <v>2.0647478569247826E-2</v>
      </c>
      <c r="M19" s="30">
        <f>IF(ISBLANK(V19),"·",V19/D19)</f>
        <v>9.0228570965178723E-2</v>
      </c>
      <c r="N19" s="27">
        <f>IF(OR(ISBLANK(T19),ISBLANK(U19)),"",T19+U19)</f>
        <v>8967064</v>
      </c>
      <c r="O19" s="30">
        <v>16</v>
      </c>
      <c r="P19" s="31">
        <v>33042374</v>
      </c>
      <c r="Q19" s="31">
        <v>1032574.1875</v>
      </c>
      <c r="R19" s="31">
        <v>17761.0625</v>
      </c>
      <c r="S19" s="32">
        <v>38073872</v>
      </c>
      <c r="T19" s="32">
        <v>6660664</v>
      </c>
      <c r="U19" s="32">
        <v>2306400</v>
      </c>
      <c r="V19" s="32">
        <v>29106808</v>
      </c>
      <c r="W19" s="33">
        <v>71.149421875000002</v>
      </c>
      <c r="X19" s="33">
        <v>75.002240624999999</v>
      </c>
      <c r="Y19" s="33">
        <v>39.490021874999996</v>
      </c>
      <c r="Z19" s="33">
        <v>47.872225</v>
      </c>
      <c r="AA19" s="33">
        <v>48.471881250000003</v>
      </c>
      <c r="AB19" s="34">
        <v>4935.6899999999996</v>
      </c>
      <c r="AC19" s="34">
        <v>0</v>
      </c>
      <c r="AD19" s="34">
        <v>60.509</v>
      </c>
      <c r="AE19" s="34">
        <v>0</v>
      </c>
      <c r="AG19" s="29" t="str">
        <f>IF(OR(ISBLANK(AQ19),ISBLANK(G19)),"·",AQ19*G19/F19/1000000)</f>
        <v>·</v>
      </c>
      <c r="AH19" s="30" t="str">
        <f>IF(ISBLANK(AQ19),"·",AQ19/D19)</f>
        <v>·</v>
      </c>
      <c r="AI19" s="30" t="str">
        <f t="shared" si="1"/>
        <v>·</v>
      </c>
      <c r="AJ19" s="30" t="str">
        <f>IF(AR19="","·",AR19/D19)</f>
        <v>·</v>
      </c>
      <c r="AK19" s="30" t="str">
        <f>IF(ISBLANK(AT19),"·",AT19/D19)</f>
        <v>·</v>
      </c>
      <c r="AL19" s="27" t="str">
        <f>IF(OR(ISBLANK(AR19),ISBLANK(AS19)),"",AR19+AS19)</f>
        <v/>
      </c>
      <c r="AM19" s="30">
        <v>16</v>
      </c>
      <c r="AN19" s="31"/>
      <c r="AO19" s="31"/>
      <c r="AP19" s="31"/>
      <c r="AQ19" s="32"/>
      <c r="AR19" s="32"/>
      <c r="AS19" s="32"/>
      <c r="AT19" s="32"/>
      <c r="AU19" s="33"/>
      <c r="AV19" s="33"/>
      <c r="AW19" s="33"/>
      <c r="AX19" s="33"/>
      <c r="AY19" s="33"/>
      <c r="AZ19" s="34"/>
      <c r="BA19" s="34"/>
      <c r="BB19" s="34"/>
      <c r="BC19" s="34"/>
      <c r="BE19" s="35" t="e">
        <f t="shared" si="2"/>
        <v>#VALUE!</v>
      </c>
      <c r="BF19" s="36" t="e">
        <f>(AP19/AO19) - (R19/Q19)</f>
        <v>#DIV/0!</v>
      </c>
      <c r="BG19" s="36" t="e">
        <f>(AL19/AQ19) - (N19/S19)</f>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IF(OR(ISBLANK(S20),ISBLANK(G20)),"·",S20*G20/F20/1000000)</f>
        <v>5.1034875</v>
      </c>
      <c r="J20" s="21">
        <f>IF(ISBLANK(S20),"·",S20/D20)</f>
        <v>1.3033496888110521E-2</v>
      </c>
      <c r="K20" s="21">
        <f t="shared" si="0"/>
        <v>7.604732700390116E-3</v>
      </c>
      <c r="L20" s="21">
        <f>IF(T20="","·",T20/D20)</f>
        <v>3.776045823828904E-3</v>
      </c>
      <c r="M20" s="21">
        <f>IF(ISBLANK(V20),"·",V20/D20)</f>
        <v>5.4287641877204043E-3</v>
      </c>
      <c r="N20" s="18">
        <f>IF(OR(ISBLANK(T20),ISBLANK(U20)),"",T20+U20)</f>
        <v>1905768</v>
      </c>
      <c r="O20" s="21">
        <v>16</v>
      </c>
      <c r="P20" s="22">
        <v>30323913</v>
      </c>
      <c r="Q20" s="22">
        <v>947622.28125</v>
      </c>
      <c r="R20" s="22">
        <v>27816.5625</v>
      </c>
      <c r="S20" s="23">
        <v>3266232</v>
      </c>
      <c r="T20" s="23">
        <v>946288</v>
      </c>
      <c r="U20" s="23">
        <v>959480</v>
      </c>
      <c r="V20" s="23">
        <v>1360464</v>
      </c>
      <c r="W20" s="24">
        <v>67.129975000000002</v>
      </c>
      <c r="X20" s="24">
        <v>68.82336875</v>
      </c>
      <c r="Y20" s="24">
        <v>30.707646874999998</v>
      </c>
      <c r="Z20" s="24">
        <v>39.523800000000001</v>
      </c>
      <c r="AA20" s="24">
        <v>38.234321874999999</v>
      </c>
      <c r="AB20" s="25">
        <v>4339.6000000000004</v>
      </c>
      <c r="AC20" s="25">
        <v>0</v>
      </c>
      <c r="AD20" s="25">
        <v>54.188000000000002</v>
      </c>
      <c r="AE20" s="25">
        <v>0</v>
      </c>
      <c r="AG20" s="20" t="str">
        <f>IF(OR(ISBLANK(AQ20),ISBLANK(G20)),"·",AQ20*G20/F20/1000000)</f>
        <v>·</v>
      </c>
      <c r="AH20" s="21" t="str">
        <f>IF(ISBLANK(AQ20),"·",AQ20/D20)</f>
        <v>·</v>
      </c>
      <c r="AI20" s="21" t="str">
        <f t="shared" si="1"/>
        <v>·</v>
      </c>
      <c r="AJ20" s="21" t="str">
        <f>IF(AR20="","·",AR20/D20)</f>
        <v>·</v>
      </c>
      <c r="AK20" s="21" t="str">
        <f>IF(ISBLANK(AT20),"·",AT20/D20)</f>
        <v>·</v>
      </c>
      <c r="AL20" s="18" t="str">
        <f>IF(OR(ISBLANK(AR20),ISBLANK(AS20)),"",AR20+AS20)</f>
        <v/>
      </c>
      <c r="AM20" s="21">
        <v>16</v>
      </c>
      <c r="AN20" s="22"/>
      <c r="AO20" s="22"/>
      <c r="AP20" s="22"/>
      <c r="AQ20" s="23"/>
      <c r="AR20" s="23"/>
      <c r="AS20" s="23"/>
      <c r="AT20" s="23"/>
      <c r="AU20" s="24"/>
      <c r="AV20" s="24"/>
      <c r="AW20" s="24"/>
      <c r="AX20" s="24"/>
      <c r="AY20" s="24"/>
      <c r="AZ20" s="25"/>
      <c r="BA20" s="25"/>
      <c r="BB20" s="25"/>
      <c r="BC20" s="25"/>
      <c r="BE20" s="50" t="e">
        <f t="shared" si="2"/>
        <v>#VALUE!</v>
      </c>
      <c r="BF20" s="26" t="e">
        <f>(AP20/AO20) - (R20/Q20)</f>
        <v>#DIV/0!</v>
      </c>
      <c r="BG20" s="26" t="e">
        <f>(AL20/AQ20) - (N20/S20)</f>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IF(OR(ISBLANK(S21),ISBLANK(G21)),"·",S21*G21/F21/1000000)</f>
        <v>7.6043000000000003</v>
      </c>
      <c r="J21" s="12">
        <f>IF(ISBLANK(S21),"·",S21/D21)</f>
        <v>1.9420175005084039E-2</v>
      </c>
      <c r="K21" s="12">
        <f t="shared" si="0"/>
        <v>9.05438876201951E-3</v>
      </c>
      <c r="L21" s="12">
        <f>IF(T21="","·",T21/D21)</f>
        <v>5.2257018854582962E-3</v>
      </c>
      <c r="M21" s="12">
        <f>IF(ISBLANK(V21),"·",V21/D21)</f>
        <v>1.036578624306453E-2</v>
      </c>
      <c r="N21" s="54">
        <f>IF(OR(ISBLANK(T21),ISBLANK(U21)),"",T21+U21)</f>
        <v>2269056</v>
      </c>
      <c r="O21" s="12">
        <v>16</v>
      </c>
      <c r="P21" s="13">
        <v>31547254</v>
      </c>
      <c r="Q21" s="13">
        <v>985851.6875</v>
      </c>
      <c r="R21" s="13">
        <v>32992.53125</v>
      </c>
      <c r="S21" s="14">
        <v>4866752</v>
      </c>
      <c r="T21" s="14">
        <v>1309576</v>
      </c>
      <c r="U21" s="14">
        <v>959480</v>
      </c>
      <c r="V21" s="14">
        <v>2597696</v>
      </c>
      <c r="W21" s="15">
        <v>68.684825000000004</v>
      </c>
      <c r="X21" s="15">
        <v>70.763768749999997</v>
      </c>
      <c r="Y21" s="15">
        <v>32.498399999999997</v>
      </c>
      <c r="Z21" s="15">
        <v>40.653237500000003</v>
      </c>
      <c r="AA21" s="15">
        <v>39.544649999999997</v>
      </c>
      <c r="AB21" s="16">
        <v>4450.28</v>
      </c>
      <c r="AC21" s="16">
        <v>0</v>
      </c>
      <c r="AD21" s="16">
        <v>55.923999999999999</v>
      </c>
      <c r="AE21" s="16">
        <v>0</v>
      </c>
      <c r="AG21" s="11" t="str">
        <f>IF(OR(ISBLANK(AQ21),ISBLANK(G21)),"·",AQ21*G21/F21/1000000)</f>
        <v>·</v>
      </c>
      <c r="AH21" s="12" t="str">
        <f>IF(ISBLANK(AQ21),"·",AQ21/D21)</f>
        <v>·</v>
      </c>
      <c r="AI21" s="12" t="str">
        <f t="shared" si="1"/>
        <v>·</v>
      </c>
      <c r="AJ21" s="12" t="str">
        <f>IF(AR21="","·",AR21/D21)</f>
        <v>·</v>
      </c>
      <c r="AK21" s="12" t="str">
        <f>IF(ISBLANK(AT21),"·",AT21/D21)</f>
        <v>·</v>
      </c>
      <c r="AL21" s="54" t="str">
        <f>IF(OR(ISBLANK(AR21),ISBLANK(AS21)),"",AR21+AS21)</f>
        <v/>
      </c>
      <c r="AM21" s="12">
        <v>16</v>
      </c>
      <c r="AN21" s="13"/>
      <c r="AO21" s="13"/>
      <c r="AP21" s="13"/>
      <c r="AQ21" s="14"/>
      <c r="AR21" s="14"/>
      <c r="AS21" s="14"/>
      <c r="AT21" s="14"/>
      <c r="AU21" s="15"/>
      <c r="AV21" s="15"/>
      <c r="AW21" s="15"/>
      <c r="AX21" s="15"/>
      <c r="AY21" s="15"/>
      <c r="AZ21" s="16"/>
      <c r="BA21" s="16"/>
      <c r="BB21" s="16"/>
      <c r="BC21" s="16"/>
      <c r="BE21" s="51" t="e">
        <f t="shared" si="2"/>
        <v>#VALUE!</v>
      </c>
      <c r="BF21" s="17" t="e">
        <f>(AP21/AO21) - (R21/Q21)</f>
        <v>#DIV/0!</v>
      </c>
      <c r="BG21" s="17" t="e">
        <f>(AL21/AQ21) - (N21/S21)</f>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IF(OR(ISBLANK(S22),ISBLANK(G22)),"·",S22*G22/F22/1000000)</f>
        <v>12.370912499999999</v>
      </c>
      <c r="J22" s="21">
        <f>IF(ISBLANK(S22),"·",S22/D22)</f>
        <v>3.1593346622645305E-2</v>
      </c>
      <c r="K22" s="21">
        <f t="shared" si="0"/>
        <v>1.1314410574776649E-2</v>
      </c>
      <c r="L22" s="21">
        <f>IF(T22="","·",T22/D22)</f>
        <v>7.4857236982154365E-3</v>
      </c>
      <c r="M22" s="21">
        <f>IF(ISBLANK(V22),"·",V22/D22)</f>
        <v>2.0278936047868658E-2</v>
      </c>
      <c r="N22" s="18">
        <f>IF(OR(ISBLANK(T22),ISBLANK(U22)),"",T22+U22)</f>
        <v>2835424</v>
      </c>
      <c r="O22" s="21">
        <v>16</v>
      </c>
      <c r="P22" s="22">
        <v>32778173</v>
      </c>
      <c r="Q22" s="22">
        <v>1024317.90625</v>
      </c>
      <c r="R22" s="22">
        <v>35188.46875</v>
      </c>
      <c r="S22" s="23">
        <v>7917384</v>
      </c>
      <c r="T22" s="23">
        <v>1875944</v>
      </c>
      <c r="U22" s="23">
        <v>959480</v>
      </c>
      <c r="V22" s="23">
        <v>5081960</v>
      </c>
      <c r="W22" s="24">
        <v>69.862159375000005</v>
      </c>
      <c r="X22" s="24">
        <v>72.260553125000001</v>
      </c>
      <c r="Y22" s="24">
        <v>34.237665624999998</v>
      </c>
      <c r="Z22" s="24">
        <v>41.667446875000003</v>
      </c>
      <c r="AA22" s="24">
        <v>40.554246874999997</v>
      </c>
      <c r="AB22" s="25">
        <v>4612.01</v>
      </c>
      <c r="AC22" s="25">
        <v>0</v>
      </c>
      <c r="AD22" s="25">
        <v>57.786000000000001</v>
      </c>
      <c r="AE22" s="25">
        <v>0</v>
      </c>
      <c r="AG22" s="20" t="str">
        <f>IF(OR(ISBLANK(AQ22),ISBLANK(G22)),"·",AQ22*G22/F22/1000000)</f>
        <v>·</v>
      </c>
      <c r="AH22" s="21" t="str">
        <f>IF(ISBLANK(AQ22),"·",AQ22/D22)</f>
        <v>·</v>
      </c>
      <c r="AI22" s="21" t="str">
        <f t="shared" si="1"/>
        <v>·</v>
      </c>
      <c r="AJ22" s="21" t="str">
        <f>IF(AR22="","·",AR22/D22)</f>
        <v>·</v>
      </c>
      <c r="AK22" s="21" t="str">
        <f>IF(ISBLANK(AT22),"·",AT22/D22)</f>
        <v>·</v>
      </c>
      <c r="AL22" s="18" t="str">
        <f>IF(OR(ISBLANK(AR22),ISBLANK(AS22)),"",AR22+AS22)</f>
        <v/>
      </c>
      <c r="AM22" s="21">
        <v>16</v>
      </c>
      <c r="AN22" s="22"/>
      <c r="AO22" s="22"/>
      <c r="AP22" s="22"/>
      <c r="AQ22" s="23"/>
      <c r="AR22" s="23"/>
      <c r="AS22" s="23"/>
      <c r="AT22" s="23"/>
      <c r="AU22" s="24"/>
      <c r="AV22" s="24"/>
      <c r="AW22" s="24"/>
      <c r="AX22" s="24"/>
      <c r="AY22" s="24"/>
      <c r="AZ22" s="25"/>
      <c r="BA22" s="25"/>
      <c r="BB22" s="25"/>
      <c r="BC22" s="25"/>
      <c r="BE22" s="50" t="e">
        <f t="shared" si="2"/>
        <v>#VALUE!</v>
      </c>
      <c r="BF22" s="26" t="e">
        <f>(AP22/AO22) - (R22/Q22)</f>
        <v>#DIV/0!</v>
      </c>
      <c r="BG22" s="26" t="e">
        <f>(AL22/AQ22) - (N22/S22)</f>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IF(OR(ISBLANK(S23),ISBLANK(G23)),"·",S23*G23/F23/1000000)</f>
        <v>22.013349999999999</v>
      </c>
      <c r="J23" s="12">
        <f>IF(ISBLANK(S23),"·",S23/D23)</f>
        <v>5.6218601245106942E-2</v>
      </c>
      <c r="K23" s="12">
        <f t="shared" si="0"/>
        <v>1.5235833811669795E-2</v>
      </c>
      <c r="L23" s="12">
        <f>IF(T23="","·",T23/D23)</f>
        <v>1.1407146935108583E-2</v>
      </c>
      <c r="M23" s="12">
        <f>IF(ISBLANK(V23),"·",V23/D23)</f>
        <v>4.0982767433437151E-2</v>
      </c>
      <c r="N23" s="54">
        <f>IF(OR(ISBLANK(T23),ISBLANK(U23)),"",T23+U23)</f>
        <v>3818144</v>
      </c>
      <c r="O23" s="12">
        <v>16</v>
      </c>
      <c r="P23" s="13">
        <v>32789353</v>
      </c>
      <c r="Q23" s="13">
        <v>1024667.28125</v>
      </c>
      <c r="R23" s="13">
        <v>36955.375</v>
      </c>
      <c r="S23" s="14">
        <v>14088544</v>
      </c>
      <c r="T23" s="14">
        <v>2858664</v>
      </c>
      <c r="U23" s="14">
        <v>959480</v>
      </c>
      <c r="V23" s="14">
        <v>10270400</v>
      </c>
      <c r="W23" s="15">
        <v>70.885131250000001</v>
      </c>
      <c r="X23" s="15">
        <v>73.609525000000005</v>
      </c>
      <c r="Y23" s="15">
        <v>35.685465624999999</v>
      </c>
      <c r="Z23" s="15">
        <v>42.817409374999997</v>
      </c>
      <c r="AA23" s="15">
        <v>41.612731250000003</v>
      </c>
      <c r="AB23" s="16">
        <v>4730.68</v>
      </c>
      <c r="AC23" s="16">
        <v>0</v>
      </c>
      <c r="AD23" s="16">
        <v>58.826000000000001</v>
      </c>
      <c r="AE23" s="16">
        <v>0</v>
      </c>
      <c r="AG23" s="11" t="str">
        <f>IF(OR(ISBLANK(AQ23),ISBLANK(G23)),"·",AQ23*G23/F23/1000000)</f>
        <v>·</v>
      </c>
      <c r="AH23" s="12" t="str">
        <f>IF(ISBLANK(AQ23),"·",AQ23/D23)</f>
        <v>·</v>
      </c>
      <c r="AI23" s="12" t="str">
        <f t="shared" si="1"/>
        <v>·</v>
      </c>
      <c r="AJ23" s="12" t="str">
        <f>IF(AR23="","·",AR23/D23)</f>
        <v>·</v>
      </c>
      <c r="AK23" s="12" t="str">
        <f>IF(ISBLANK(AT23),"·",AT23/D23)</f>
        <v>·</v>
      </c>
      <c r="AL23" s="54" t="str">
        <f>IF(OR(ISBLANK(AR23),ISBLANK(AS23)),"",AR23+AS23)</f>
        <v/>
      </c>
      <c r="AM23" s="12">
        <v>16</v>
      </c>
      <c r="AN23" s="13"/>
      <c r="AO23" s="13"/>
      <c r="AP23" s="13"/>
      <c r="AQ23" s="14"/>
      <c r="AR23" s="14"/>
      <c r="AS23" s="14"/>
      <c r="AT23" s="14"/>
      <c r="AU23" s="15"/>
      <c r="AV23" s="15"/>
      <c r="AW23" s="15"/>
      <c r="AX23" s="15"/>
      <c r="AY23" s="15"/>
      <c r="AZ23" s="16"/>
      <c r="BA23" s="16"/>
      <c r="BB23" s="16"/>
      <c r="BC23" s="16"/>
      <c r="BE23" s="51" t="e">
        <f t="shared" si="2"/>
        <v>#VALUE!</v>
      </c>
      <c r="BF23" s="17" t="e">
        <f>(AP23/AO23) - (R23/Q23)</f>
        <v>#DIV/0!</v>
      </c>
      <c r="BG23" s="17" t="e">
        <f>(AL23/AQ23) - (N23/S23)</f>
        <v>#VALUE!</v>
      </c>
      <c r="BH23" s="17"/>
      <c r="BJ23" s="51"/>
      <c r="BK23" s="51"/>
      <c r="BL23" s="51"/>
      <c r="BM23" s="51"/>
      <c r="BN23" s="51"/>
      <c r="BP23" s="51"/>
      <c r="BQ23" s="51"/>
      <c r="BR23" s="51"/>
      <c r="BS23" s="51"/>
      <c r="BT23" s="51"/>
    </row>
    <row r="24" spans="1:72" ht="15.75" outlineLevel="1" thickBot="1" x14ac:dyDescent="0.3">
      <c r="A24" s="37"/>
      <c r="B24" s="37" t="s">
        <v>68</v>
      </c>
      <c r="C24" s="38" t="s">
        <v>234</v>
      </c>
      <c r="D24" s="37">
        <v>250602891</v>
      </c>
      <c r="E24" s="38">
        <v>10</v>
      </c>
      <c r="F24" s="38">
        <v>32</v>
      </c>
      <c r="G24" s="38">
        <v>50</v>
      </c>
      <c r="I24" s="39">
        <f>IF(OR(ISBLANK(S24),ISBLANK(G24)),"·",S24*G24/F24/1000000)</f>
        <v>38.644087499999998</v>
      </c>
      <c r="J24" s="40">
        <f>IF(ISBLANK(S24),"·",S24/D24)</f>
        <v>9.8690864663648278E-2</v>
      </c>
      <c r="K24" s="40">
        <f t="shared" si="0"/>
        <v>2.529554218111554E-2</v>
      </c>
      <c r="L24" s="40">
        <f>IF(T24="","·",T24/D24)</f>
        <v>1.7938755542927873E-2</v>
      </c>
      <c r="M24" s="40">
        <f>IF(ISBLANK(V24),"·",V24/D24)</f>
        <v>7.3395322482532735E-2</v>
      </c>
      <c r="N24" s="37">
        <f>IF(OR(ISBLANK(T24),ISBLANK(U24)),"",T24+U24)</f>
        <v>6339136</v>
      </c>
      <c r="O24" s="40">
        <v>16</v>
      </c>
      <c r="P24" s="41">
        <v>31420466</v>
      </c>
      <c r="Q24" s="41">
        <v>981889.5625</v>
      </c>
      <c r="R24" s="41">
        <v>18332.15625</v>
      </c>
      <c r="S24" s="42">
        <v>24732216</v>
      </c>
      <c r="T24" s="42">
        <v>4495504</v>
      </c>
      <c r="U24" s="42">
        <v>1843632</v>
      </c>
      <c r="V24" s="42">
        <v>18393080</v>
      </c>
      <c r="W24" s="43">
        <v>71.729253125</v>
      </c>
      <c r="X24" s="43">
        <v>75.633028124999996</v>
      </c>
      <c r="Y24" s="43">
        <v>36.551428125000001</v>
      </c>
      <c r="Z24" s="43">
        <v>43.594028125000001</v>
      </c>
      <c r="AA24" s="43">
        <v>42.058259374999999</v>
      </c>
      <c r="AB24" s="44">
        <v>5060.4399999999996</v>
      </c>
      <c r="AC24" s="44">
        <v>0</v>
      </c>
      <c r="AD24" s="44">
        <v>58.034999999999997</v>
      </c>
      <c r="AE24" s="44">
        <v>0</v>
      </c>
      <c r="AG24" s="39" t="str">
        <f>IF(OR(ISBLANK(AQ24),ISBLANK(G24)),"·",AQ24*G24/F24/1000000)</f>
        <v>·</v>
      </c>
      <c r="AH24" s="40" t="str">
        <f>IF(ISBLANK(AQ24),"·",AQ24/D24)</f>
        <v>·</v>
      </c>
      <c r="AI24" s="40" t="str">
        <f t="shared" si="1"/>
        <v>·</v>
      </c>
      <c r="AJ24" s="40" t="str">
        <f>IF(AR24="","·",AR24/D24)</f>
        <v>·</v>
      </c>
      <c r="AK24" s="40" t="str">
        <f>IF(ISBLANK(AT24),"·",AT24/D24)</f>
        <v>·</v>
      </c>
      <c r="AL24" s="37" t="str">
        <f>IF(OR(ISBLANK(AR24),ISBLANK(AS24)),"",AR24+AS24)</f>
        <v/>
      </c>
      <c r="AM24" s="40">
        <v>16</v>
      </c>
      <c r="AN24" s="41"/>
      <c r="AO24" s="41"/>
      <c r="AP24" s="41"/>
      <c r="AQ24" s="42"/>
      <c r="AR24" s="42"/>
      <c r="AS24" s="42"/>
      <c r="AT24" s="42"/>
      <c r="AU24" s="43"/>
      <c r="AV24" s="43"/>
      <c r="AW24" s="43"/>
      <c r="AX24" s="43"/>
      <c r="AY24" s="43"/>
      <c r="AZ24" s="44"/>
      <c r="BA24" s="44"/>
      <c r="BB24" s="44"/>
      <c r="BC24" s="44"/>
      <c r="BE24" s="45" t="e">
        <f t="shared" si="2"/>
        <v>#VALUE!</v>
      </c>
      <c r="BF24" s="46" t="e">
        <f>(AP24/AO24) - (R24/Q24)</f>
        <v>#DIV/0!</v>
      </c>
      <c r="BG24" s="46" t="e">
        <f>(AL24/AQ24) - (N24/S24)</f>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IF(OR(ISBLANK(S25),ISBLANK(G25)),"·",S25*G25/F25/1000000)</f>
        <v>4.3771199999999997</v>
      </c>
      <c r="J25" s="12">
        <f>IF(ISBLANK(S25),"·",S25/D25)</f>
        <v>1.8653731785532618E-2</v>
      </c>
      <c r="K25" s="12">
        <f t="shared" si="0"/>
        <v>6.5164814474489904E-3</v>
      </c>
      <c r="L25" s="12">
        <f>IF(T25="","·",T25/D25)</f>
        <v>3.7288222243660072E-3</v>
      </c>
      <c r="M25" s="12">
        <f>IF(ISBLANK(V25),"·",V25/D25)</f>
        <v>1.2137250338083626E-2</v>
      </c>
      <c r="N25" s="54">
        <f>IF(OR(ISBLANK(T25),ISBLANK(U25)),"",T25+U25)</f>
        <v>1631040</v>
      </c>
      <c r="O25" s="12">
        <v>16</v>
      </c>
      <c r="P25" s="13">
        <v>23138864</v>
      </c>
      <c r="Q25" s="13">
        <v>723089.5</v>
      </c>
      <c r="R25" s="13">
        <v>14043.03125</v>
      </c>
      <c r="S25" s="14">
        <v>4668928</v>
      </c>
      <c r="T25" s="14">
        <v>933304</v>
      </c>
      <c r="U25" s="14">
        <v>697736</v>
      </c>
      <c r="V25" s="14">
        <v>3037888</v>
      </c>
      <c r="W25" s="15">
        <v>66.207506249999994</v>
      </c>
      <c r="X25" s="15">
        <v>67.988171875000006</v>
      </c>
      <c r="Y25" s="15">
        <v>27.335396875000001</v>
      </c>
      <c r="Z25" s="15">
        <v>33.163115625000003</v>
      </c>
      <c r="AA25" s="15">
        <v>32.596746875000001</v>
      </c>
      <c r="AB25" s="16">
        <v>2594.41</v>
      </c>
      <c r="AC25" s="16">
        <v>0</v>
      </c>
      <c r="AD25" s="16">
        <v>44.219000000000001</v>
      </c>
      <c r="AE25" s="16">
        <v>0</v>
      </c>
      <c r="AG25" s="11" t="str">
        <f>IF(OR(ISBLANK(AQ25),ISBLANK(G25)),"·",AQ25*G25/F25/1000000)</f>
        <v>·</v>
      </c>
      <c r="AH25" s="12" t="str">
        <f>IF(ISBLANK(AQ25),"·",AQ25/D25)</f>
        <v>·</v>
      </c>
      <c r="AI25" s="12" t="str">
        <f t="shared" si="1"/>
        <v>·</v>
      </c>
      <c r="AJ25" s="12" t="str">
        <f>IF(AR25="","·",AR25/D25)</f>
        <v>·</v>
      </c>
      <c r="AK25" s="12" t="str">
        <f>IF(ISBLANK(AT25),"·",AT25/D25)</f>
        <v>·</v>
      </c>
      <c r="AL25" s="54" t="str">
        <f>IF(OR(ISBLANK(AR25),ISBLANK(AS25)),"",AR25+AS25)</f>
        <v/>
      </c>
      <c r="AM25" s="12">
        <v>16</v>
      </c>
      <c r="AN25" s="13"/>
      <c r="AO25" s="13"/>
      <c r="AP25" s="13"/>
      <c r="AQ25" s="14"/>
      <c r="AR25" s="14"/>
      <c r="AS25" s="14"/>
      <c r="AT25" s="14"/>
      <c r="AU25" s="15"/>
      <c r="AV25" s="15"/>
      <c r="AW25" s="15"/>
      <c r="AX25" s="15"/>
      <c r="AY25" s="15"/>
      <c r="AZ25" s="16"/>
      <c r="BA25" s="16"/>
      <c r="BB25" s="16"/>
      <c r="BC25" s="16"/>
      <c r="BE25" s="51" t="e">
        <f t="shared" si="2"/>
        <v>#VALUE!</v>
      </c>
      <c r="BF25" s="17" t="e">
        <f>(AP25/AO25) - (R25/Q25)</f>
        <v>#DIV/0!</v>
      </c>
      <c r="BG25" s="17" t="e">
        <f>(AL25/AQ25) - (N25/S25)</f>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IF(OR(ISBLANK(S26),ISBLANK(G26)),"·",S26*G26/F26/1000000)</f>
        <v>7.5037950000000002</v>
      </c>
      <c r="J26" s="21">
        <f>IF(ISBLANK(S26),"·",S26/D26)</f>
        <v>3.197851082529625E-2</v>
      </c>
      <c r="K26" s="21">
        <f t="shared" si="0"/>
        <v>8.0389115254600272E-3</v>
      </c>
      <c r="L26" s="21">
        <f>IF(T26="","·",T26/D26)</f>
        <v>5.2512523023770449E-3</v>
      </c>
      <c r="M26" s="21">
        <f>IF(ISBLANK(V26),"·",V26/D26)</f>
        <v>2.3939599299836224E-2</v>
      </c>
      <c r="N26" s="18">
        <f>IF(OR(ISBLANK(T26),ISBLANK(U26)),"",T26+U26)</f>
        <v>2012096</v>
      </c>
      <c r="O26" s="21">
        <v>16</v>
      </c>
      <c r="P26" s="22">
        <v>24580782</v>
      </c>
      <c r="Q26" s="22">
        <v>768149.4375</v>
      </c>
      <c r="R26" s="22">
        <v>17704.59375</v>
      </c>
      <c r="S26" s="23">
        <v>8004048</v>
      </c>
      <c r="T26" s="23">
        <v>1314360</v>
      </c>
      <c r="U26" s="23">
        <v>697736</v>
      </c>
      <c r="V26" s="23">
        <v>5991952</v>
      </c>
      <c r="W26" s="24">
        <v>67.944759375000004</v>
      </c>
      <c r="X26" s="24">
        <v>69.940765624999997</v>
      </c>
      <c r="Y26" s="24">
        <v>29.714928125</v>
      </c>
      <c r="Z26" s="24">
        <v>34.34100625</v>
      </c>
      <c r="AA26" s="24">
        <v>33.890862499999997</v>
      </c>
      <c r="AB26" s="25">
        <v>2684.78</v>
      </c>
      <c r="AC26" s="25">
        <v>0</v>
      </c>
      <c r="AD26" s="25">
        <v>46.893999999999998</v>
      </c>
      <c r="AE26" s="25">
        <v>0</v>
      </c>
      <c r="AG26" s="20" t="str">
        <f>IF(OR(ISBLANK(AQ26),ISBLANK(G26)),"·",AQ26*G26/F26/1000000)</f>
        <v>·</v>
      </c>
      <c r="AH26" s="21" t="str">
        <f>IF(ISBLANK(AQ26),"·",AQ26/D26)</f>
        <v>·</v>
      </c>
      <c r="AI26" s="21" t="str">
        <f t="shared" si="1"/>
        <v>·</v>
      </c>
      <c r="AJ26" s="21" t="str">
        <f>IF(AR26="","·",AR26/D26)</f>
        <v>·</v>
      </c>
      <c r="AK26" s="21" t="str">
        <f>IF(ISBLANK(AT26),"·",AT26/D26)</f>
        <v>·</v>
      </c>
      <c r="AL26" s="18" t="str">
        <f>IF(OR(ISBLANK(AR26),ISBLANK(AS26)),"",AR26+AS26)</f>
        <v/>
      </c>
      <c r="AM26" s="21">
        <v>16</v>
      </c>
      <c r="AN26" s="22"/>
      <c r="AO26" s="22"/>
      <c r="AP26" s="22"/>
      <c r="AQ26" s="23"/>
      <c r="AR26" s="23"/>
      <c r="AS26" s="23"/>
      <c r="AT26" s="23"/>
      <c r="AU26" s="24"/>
      <c r="AV26" s="24"/>
      <c r="AW26" s="24"/>
      <c r="AX26" s="24"/>
      <c r="AY26" s="24"/>
      <c r="AZ26" s="25"/>
      <c r="BA26" s="25"/>
      <c r="BB26" s="25"/>
      <c r="BC26" s="25"/>
      <c r="BE26" s="50" t="e">
        <f t="shared" si="2"/>
        <v>#VALUE!</v>
      </c>
      <c r="BF26" s="26" t="e">
        <f>(AP26/AO26) - (R26/Q26)</f>
        <v>#DIV/0!</v>
      </c>
      <c r="BG26" s="26" t="e">
        <f>(AL26/AQ26) - (N26/S26)</f>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IF(OR(ISBLANK(S27),ISBLANK(G27)),"·",S27*G27/F27/1000000)</f>
        <v>13.2015525</v>
      </c>
      <c r="J27" s="12">
        <f>IF(ISBLANK(S27),"·",S27/D27)</f>
        <v>5.6260330876838557E-2</v>
      </c>
      <c r="K27" s="12">
        <f t="shared" si="0"/>
        <v>1.033856977375563E-2</v>
      </c>
      <c r="L27" s="12">
        <f>IF(T27="","·",T27/D27)</f>
        <v>7.5509105506726473E-3</v>
      </c>
      <c r="M27" s="12">
        <f>IF(ISBLANK(V27),"·",V27/D27)</f>
        <v>4.592176110308293E-2</v>
      </c>
      <c r="N27" s="54">
        <f>IF(OR(ISBLANK(T27),ISBLANK(U27)),"",T27+U27)</f>
        <v>2587688</v>
      </c>
      <c r="O27" s="12">
        <v>16</v>
      </c>
      <c r="P27" s="13">
        <v>24854017</v>
      </c>
      <c r="Q27" s="13">
        <v>776688.03125</v>
      </c>
      <c r="R27" s="13">
        <v>18708.96875</v>
      </c>
      <c r="S27" s="14">
        <v>14081656</v>
      </c>
      <c r="T27" s="14">
        <v>1889952</v>
      </c>
      <c r="U27" s="14">
        <v>697736</v>
      </c>
      <c r="V27" s="14">
        <v>11493968</v>
      </c>
      <c r="W27" s="15">
        <v>69.264531250000005</v>
      </c>
      <c r="X27" s="15">
        <v>71.652259375</v>
      </c>
      <c r="Y27" s="15">
        <v>32.213559375000003</v>
      </c>
      <c r="Z27" s="15">
        <v>35.579384374999997</v>
      </c>
      <c r="AA27" s="15">
        <v>35.201921874999996</v>
      </c>
      <c r="AB27" s="16">
        <v>2820.47</v>
      </c>
      <c r="AC27" s="16">
        <v>0</v>
      </c>
      <c r="AD27" s="16">
        <v>47.588000000000001</v>
      </c>
      <c r="AE27" s="16">
        <v>0</v>
      </c>
      <c r="AG27" s="11" t="str">
        <f>IF(OR(ISBLANK(AQ27),ISBLANK(G27)),"·",AQ27*G27/F27/1000000)</f>
        <v>·</v>
      </c>
      <c r="AH27" s="12" t="str">
        <f>IF(ISBLANK(AQ27),"·",AQ27/D27)</f>
        <v>·</v>
      </c>
      <c r="AI27" s="12" t="str">
        <f t="shared" si="1"/>
        <v>·</v>
      </c>
      <c r="AJ27" s="12" t="str">
        <f>IF(AR27="","·",AR27/D27)</f>
        <v>·</v>
      </c>
      <c r="AK27" s="12" t="str">
        <f>IF(ISBLANK(AT27),"·",AT27/D27)</f>
        <v>·</v>
      </c>
      <c r="AL27" s="54" t="str">
        <f>IF(OR(ISBLANK(AR27),ISBLANK(AS27)),"",AR27+AS27)</f>
        <v/>
      </c>
      <c r="AM27" s="12">
        <v>16</v>
      </c>
      <c r="AN27" s="13"/>
      <c r="AO27" s="13"/>
      <c r="AP27" s="13"/>
      <c r="AQ27" s="14"/>
      <c r="AR27" s="14"/>
      <c r="AS27" s="14"/>
      <c r="AT27" s="14"/>
      <c r="AU27" s="15"/>
      <c r="AV27" s="15"/>
      <c r="AW27" s="15"/>
      <c r="AX27" s="15"/>
      <c r="AY27" s="15"/>
      <c r="AZ27" s="16"/>
      <c r="BA27" s="16"/>
      <c r="BB27" s="16"/>
      <c r="BC27" s="16"/>
      <c r="BE27" s="51" t="e">
        <f t="shared" si="2"/>
        <v>#VALUE!</v>
      </c>
      <c r="BF27" s="17" t="e">
        <f>(AP27/AO27) - (R27/Q27)</f>
        <v>#DIV/0!</v>
      </c>
      <c r="BG27" s="17" t="e">
        <f>(AL27/AQ27) - (N27/S27)</f>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IF(OR(ISBLANK(S28),ISBLANK(G28)),"·",S28*G28/F28/1000000)</f>
        <v>24.4649775</v>
      </c>
      <c r="J28" s="21">
        <f>IF(ISBLANK(S28),"·",S28/D28)</f>
        <v>0.10426105028513961</v>
      </c>
      <c r="K28" s="21">
        <f t="shared" si="0"/>
        <v>1.419140586910507E-2</v>
      </c>
      <c r="L28" s="21">
        <f>IF(T28="","·",T28/D28)</f>
        <v>1.1403746646022086E-2</v>
      </c>
      <c r="M28" s="21">
        <f>IF(ISBLANK(V28),"·",V28/D28)</f>
        <v>9.0069644416034544E-2</v>
      </c>
      <c r="N28" s="18">
        <f>IF(OR(ISBLANK(T28),ISBLANK(U28)),"",T28+U28)</f>
        <v>3552032</v>
      </c>
      <c r="O28" s="21">
        <v>16</v>
      </c>
      <c r="P28" s="22">
        <v>25513364</v>
      </c>
      <c r="Q28" s="22">
        <v>797292.625</v>
      </c>
      <c r="R28" s="22">
        <v>20938.9375</v>
      </c>
      <c r="S28" s="23">
        <v>26095976</v>
      </c>
      <c r="T28" s="23">
        <v>2854296</v>
      </c>
      <c r="U28" s="23">
        <v>697736</v>
      </c>
      <c r="V28" s="23">
        <v>22543944</v>
      </c>
      <c r="W28" s="24">
        <v>70.431271874999993</v>
      </c>
      <c r="X28" s="24">
        <v>72.970453125000006</v>
      </c>
      <c r="Y28" s="24">
        <v>34.907537499999997</v>
      </c>
      <c r="Z28" s="24">
        <v>37.368340625000002</v>
      </c>
      <c r="AA28" s="24">
        <v>36.934368749999997</v>
      </c>
      <c r="AB28" s="25">
        <v>3034.43</v>
      </c>
      <c r="AC28" s="25">
        <v>0</v>
      </c>
      <c r="AD28" s="25">
        <v>49.53</v>
      </c>
      <c r="AE28" s="25">
        <v>0</v>
      </c>
      <c r="AG28" s="20" t="str">
        <f>IF(OR(ISBLANK(AQ28),ISBLANK(G28)),"·",AQ28*G28/F28/1000000)</f>
        <v>·</v>
      </c>
      <c r="AH28" s="21" t="str">
        <f>IF(ISBLANK(AQ28),"·",AQ28/D28)</f>
        <v>·</v>
      </c>
      <c r="AI28" s="21" t="str">
        <f t="shared" si="1"/>
        <v>·</v>
      </c>
      <c r="AJ28" s="21" t="str">
        <f>IF(AR28="","·",AR28/D28)</f>
        <v>·</v>
      </c>
      <c r="AK28" s="21" t="str">
        <f>IF(ISBLANK(AT28),"·",AT28/D28)</f>
        <v>·</v>
      </c>
      <c r="AL28" s="18" t="str">
        <f>IF(OR(ISBLANK(AR28),ISBLANK(AS28)),"",AR28+AS28)</f>
        <v/>
      </c>
      <c r="AM28" s="21">
        <v>16</v>
      </c>
      <c r="AN28" s="22"/>
      <c r="AO28" s="22"/>
      <c r="AP28" s="22"/>
      <c r="AQ28" s="23"/>
      <c r="AR28" s="23"/>
      <c r="AS28" s="23"/>
      <c r="AT28" s="23"/>
      <c r="AU28" s="24"/>
      <c r="AV28" s="24"/>
      <c r="AW28" s="24"/>
      <c r="AX28" s="24"/>
      <c r="AY28" s="24"/>
      <c r="AZ28" s="25"/>
      <c r="BA28" s="25"/>
      <c r="BB28" s="25"/>
      <c r="BC28" s="25"/>
      <c r="BE28" s="50" t="e">
        <f t="shared" si="2"/>
        <v>#VALUE!</v>
      </c>
      <c r="BF28" s="26" t="e">
        <f>(AP28/AO28) - (R28/Q28)</f>
        <v>#DIV/0!</v>
      </c>
      <c r="BG28" s="26" t="e">
        <f>(AL28/AQ28) - (N28/S28)</f>
        <v>#VALUE!</v>
      </c>
      <c r="BH28" s="26"/>
      <c r="BJ28" s="50"/>
      <c r="BK28" s="50"/>
      <c r="BL28" s="50"/>
      <c r="BM28" s="50"/>
      <c r="BN28" s="50"/>
      <c r="BP28" s="50"/>
      <c r="BQ28" s="50"/>
      <c r="BR28" s="50"/>
      <c r="BS28" s="50"/>
      <c r="BT28" s="50"/>
    </row>
    <row r="29" spans="1:72" ht="15.75" outlineLevel="1" thickBot="1" x14ac:dyDescent="0.3">
      <c r="A29" s="27"/>
      <c r="B29" s="27" t="s">
        <v>71</v>
      </c>
      <c r="C29" s="28" t="s">
        <v>234</v>
      </c>
      <c r="D29" s="27">
        <v>250294582</v>
      </c>
      <c r="E29" s="28">
        <v>10</v>
      </c>
      <c r="F29" s="28">
        <v>32</v>
      </c>
      <c r="G29" s="28">
        <v>30</v>
      </c>
      <c r="I29" s="29">
        <f>IF(OR(ISBLANK(S29),ISBLANK(G29)),"·",S29*G29/F29/1000000)</f>
        <v>44.188012499999999</v>
      </c>
      <c r="J29" s="30">
        <f>IF(ISBLANK(S29),"·",S29/D29)</f>
        <v>0.18831362478313654</v>
      </c>
      <c r="K29" s="30">
        <f t="shared" si="0"/>
        <v>2.2931666974717015E-2</v>
      </c>
      <c r="L29" s="30">
        <f>IF(T29="","·",T29/D29)</f>
        <v>1.7641484544799295E-2</v>
      </c>
      <c r="M29" s="30">
        <f>IF(ISBLANK(V29),"·",V29/D29)</f>
        <v>0.16538195780841952</v>
      </c>
      <c r="N29" s="27">
        <f>IF(OR(ISBLANK(T29),ISBLANK(U29)),"",T29+U29)</f>
        <v>5739672</v>
      </c>
      <c r="O29" s="30">
        <v>16</v>
      </c>
      <c r="P29" s="31">
        <v>24573689</v>
      </c>
      <c r="Q29" s="31">
        <v>767927.78125</v>
      </c>
      <c r="R29" s="31">
        <v>9762.53125</v>
      </c>
      <c r="S29" s="32">
        <v>47133880</v>
      </c>
      <c r="T29" s="32">
        <v>4415568</v>
      </c>
      <c r="U29" s="32">
        <v>1324104</v>
      </c>
      <c r="V29" s="32">
        <v>41394208</v>
      </c>
      <c r="W29" s="33">
        <v>71.15160625</v>
      </c>
      <c r="X29" s="33">
        <v>74.90330625</v>
      </c>
      <c r="Y29" s="33">
        <v>37.339856249999997</v>
      </c>
      <c r="Z29" s="33">
        <v>39.402506250000002</v>
      </c>
      <c r="AA29" s="33">
        <v>38.756596875</v>
      </c>
      <c r="AB29" s="34">
        <v>3336.37</v>
      </c>
      <c r="AC29" s="34">
        <v>0</v>
      </c>
      <c r="AD29" s="34">
        <v>49.709000000000003</v>
      </c>
      <c r="AE29" s="34">
        <v>0</v>
      </c>
      <c r="AG29" s="29" t="str">
        <f>IF(OR(ISBLANK(AQ29),ISBLANK(G29)),"·",AQ29*G29/F29/1000000)</f>
        <v>·</v>
      </c>
      <c r="AH29" s="30" t="str">
        <f>IF(ISBLANK(AQ29),"·",AQ29/D29)</f>
        <v>·</v>
      </c>
      <c r="AI29" s="30" t="str">
        <f t="shared" si="1"/>
        <v>·</v>
      </c>
      <c r="AJ29" s="30" t="str">
        <f>IF(AR29="","·",AR29/D29)</f>
        <v>·</v>
      </c>
      <c r="AK29" s="30" t="str">
        <f>IF(ISBLANK(AT29),"·",AT29/D29)</f>
        <v>·</v>
      </c>
      <c r="AL29" s="27" t="str">
        <f>IF(OR(ISBLANK(AR29),ISBLANK(AS29)),"",AR29+AS29)</f>
        <v/>
      </c>
      <c r="AM29" s="30">
        <v>16</v>
      </c>
      <c r="AN29" s="31"/>
      <c r="AO29" s="31"/>
      <c r="AP29" s="31"/>
      <c r="AQ29" s="32"/>
      <c r="AR29" s="32"/>
      <c r="AS29" s="32"/>
      <c r="AT29" s="32"/>
      <c r="AU29" s="33"/>
      <c r="AV29" s="33"/>
      <c r="AW29" s="33"/>
      <c r="AX29" s="33"/>
      <c r="AY29" s="33"/>
      <c r="AZ29" s="34"/>
      <c r="BA29" s="34"/>
      <c r="BB29" s="34"/>
      <c r="BC29" s="34"/>
      <c r="BE29" s="35" t="e">
        <f t="shared" si="2"/>
        <v>#VALUE!</v>
      </c>
      <c r="BF29" s="36" t="e">
        <f>(AP29/AO29) - (R29/Q29)</f>
        <v>#DIV/0!</v>
      </c>
      <c r="BG29" s="36" t="e">
        <f>(AL29/AQ29) - (N29/S29)</f>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IF(OR(ISBLANK(S30),ISBLANK(G30)),"·",S30*G30/F30/1000000)</f>
        <v>5.7382499999999999</v>
      </c>
      <c r="J30" s="21">
        <f>IF(ISBLANK(S30),"·",S30/D30)</f>
        <v>1.6303762731730925E-2</v>
      </c>
      <c r="K30" s="21">
        <f t="shared" si="0"/>
        <v>9.935706071179707E-3</v>
      </c>
      <c r="L30" s="21">
        <f>IF(T30="","·",T30/D30)</f>
        <v>6.1526407182494712E-3</v>
      </c>
      <c r="M30" s="21">
        <f>IF(ISBLANK(V30),"·",V30/D30)</f>
        <v>6.3680566605512192E-3</v>
      </c>
      <c r="N30" s="18">
        <f>IF(OR(ISBLANK(T30),ISBLANK(U30)),"",T30+U30)</f>
        <v>3730088</v>
      </c>
      <c r="O30" s="21">
        <v>16</v>
      </c>
      <c r="P30" s="22">
        <v>84194687</v>
      </c>
      <c r="Q30" s="22">
        <v>2631083.96875</v>
      </c>
      <c r="R30" s="22">
        <v>31462.6875</v>
      </c>
      <c r="S30" s="23">
        <v>6120800</v>
      </c>
      <c r="T30" s="23">
        <v>2309840</v>
      </c>
      <c r="U30" s="23">
        <v>1420248</v>
      </c>
      <c r="V30" s="23">
        <v>2390712</v>
      </c>
      <c r="W30" s="24">
        <v>73.452546874999996</v>
      </c>
      <c r="X30" s="24">
        <v>75.663181249999994</v>
      </c>
      <c r="Y30" s="24">
        <v>34.7282625</v>
      </c>
      <c r="Z30" s="24">
        <v>42.120178125000002</v>
      </c>
      <c r="AA30" s="24">
        <v>43.745687500000003</v>
      </c>
      <c r="AB30" s="25">
        <v>7899.44</v>
      </c>
      <c r="AC30" s="25">
        <v>0</v>
      </c>
      <c r="AD30" s="25">
        <v>148.33500000000001</v>
      </c>
      <c r="AE30" s="25">
        <v>0</v>
      </c>
      <c r="AG30" s="20" t="str">
        <f>IF(OR(ISBLANK(AQ30),ISBLANK(G30)),"·",AQ30*G30/F30/1000000)</f>
        <v>·</v>
      </c>
      <c r="AH30" s="21" t="str">
        <f>IF(ISBLANK(AQ30),"·",AQ30/D30)</f>
        <v>·</v>
      </c>
      <c r="AI30" s="21" t="str">
        <f t="shared" si="1"/>
        <v>·</v>
      </c>
      <c r="AJ30" s="21" t="str">
        <f>IF(AR30="","·",AR30/D30)</f>
        <v>·</v>
      </c>
      <c r="AK30" s="21" t="str">
        <f>IF(ISBLANK(AT30),"·",AT30/D30)</f>
        <v>·</v>
      </c>
      <c r="AL30" s="18" t="str">
        <f>IF(OR(ISBLANK(AR30),ISBLANK(AS30)),"",AR30+AS30)</f>
        <v/>
      </c>
      <c r="AM30" s="21">
        <v>16</v>
      </c>
      <c r="AN30" s="22"/>
      <c r="AO30" s="22"/>
      <c r="AP30" s="22"/>
      <c r="AQ30" s="23"/>
      <c r="AR30" s="23"/>
      <c r="AS30" s="23"/>
      <c r="AT30" s="23"/>
      <c r="AU30" s="24"/>
      <c r="AV30" s="24"/>
      <c r="AW30" s="24"/>
      <c r="AX30" s="24"/>
      <c r="AY30" s="24"/>
      <c r="AZ30" s="25"/>
      <c r="BA30" s="25"/>
      <c r="BB30" s="25"/>
      <c r="BC30" s="25"/>
      <c r="BE30" s="50" t="e">
        <f t="shared" si="2"/>
        <v>#VALUE!</v>
      </c>
      <c r="BF30" s="26" t="e">
        <f>(AP30/AO30) - (R30/Q30)</f>
        <v>#DIV/0!</v>
      </c>
      <c r="BG30" s="26" t="e">
        <f>(AL30/AQ30) - (N30/S30)</f>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IF(OR(ISBLANK(S31),ISBLANK(G31)),"·",S31*G31/F31/1000000)</f>
        <v>8.1888900000000007</v>
      </c>
      <c r="J31" s="12">
        <f>IF(ISBLANK(S31),"·",S31/D31)</f>
        <v>2.3266626514397953E-2</v>
      </c>
      <c r="K31" s="12">
        <f t="shared" si="0"/>
        <v>1.219570889961937E-2</v>
      </c>
      <c r="L31" s="12">
        <f>IF(T31="","·",T31/D31)</f>
        <v>8.4126435466891341E-3</v>
      </c>
      <c r="M31" s="12">
        <f>IF(ISBLANK(V31),"·",V31/D31)</f>
        <v>1.1070917614778584E-2</v>
      </c>
      <c r="N31" s="54">
        <f>IF(OR(ISBLANK(T31),ISBLANK(U31)),"",T31+U31)</f>
        <v>4578544</v>
      </c>
      <c r="O31" s="12">
        <v>16</v>
      </c>
      <c r="P31" s="13">
        <v>89719650</v>
      </c>
      <c r="Q31" s="13">
        <v>2803739.0625</v>
      </c>
      <c r="R31" s="13">
        <v>39437.21875</v>
      </c>
      <c r="S31" s="14">
        <v>8734816</v>
      </c>
      <c r="T31" s="14">
        <v>3158296</v>
      </c>
      <c r="U31" s="14">
        <v>1420248</v>
      </c>
      <c r="V31" s="14">
        <v>4156272</v>
      </c>
      <c r="W31" s="15">
        <v>75.152659374999999</v>
      </c>
      <c r="X31" s="15">
        <v>77.552828125000005</v>
      </c>
      <c r="Y31" s="15">
        <v>36.649743749999999</v>
      </c>
      <c r="Z31" s="15">
        <v>42.65576875</v>
      </c>
      <c r="AA31" s="15">
        <v>45.032587499999998</v>
      </c>
      <c r="AB31" s="16">
        <v>8167.44</v>
      </c>
      <c r="AC31" s="16">
        <v>0</v>
      </c>
      <c r="AD31" s="16">
        <v>154.691</v>
      </c>
      <c r="AE31" s="16">
        <v>0</v>
      </c>
      <c r="AG31" s="11" t="str">
        <f>IF(OR(ISBLANK(AQ31),ISBLANK(G31)),"·",AQ31*G31/F31/1000000)</f>
        <v>·</v>
      </c>
      <c r="AH31" s="12" t="str">
        <f>IF(ISBLANK(AQ31),"·",AQ31/D31)</f>
        <v>·</v>
      </c>
      <c r="AI31" s="12" t="str">
        <f t="shared" si="1"/>
        <v>·</v>
      </c>
      <c r="AJ31" s="12" t="str">
        <f>IF(AR31="","·",AR31/D31)</f>
        <v>·</v>
      </c>
      <c r="AK31" s="12" t="str">
        <f>IF(ISBLANK(AT31),"·",AT31/D31)</f>
        <v>·</v>
      </c>
      <c r="AL31" s="54" t="str">
        <f>IF(OR(ISBLANK(AR31),ISBLANK(AS31)),"",AR31+AS31)</f>
        <v/>
      </c>
      <c r="AM31" s="12">
        <v>16</v>
      </c>
      <c r="AN31" s="13"/>
      <c r="AO31" s="13"/>
      <c r="AP31" s="13"/>
      <c r="AQ31" s="14"/>
      <c r="AR31" s="14"/>
      <c r="AS31" s="14"/>
      <c r="AT31" s="14"/>
      <c r="AU31" s="15"/>
      <c r="AV31" s="15"/>
      <c r="AW31" s="15"/>
      <c r="AX31" s="15"/>
      <c r="AY31" s="15"/>
      <c r="AZ31" s="16"/>
      <c r="BA31" s="16"/>
      <c r="BB31" s="16"/>
      <c r="BC31" s="16"/>
      <c r="BE31" s="51" t="e">
        <f t="shared" si="2"/>
        <v>#VALUE!</v>
      </c>
      <c r="BF31" s="17" t="e">
        <f>(AP31/AO31) - (R31/Q31)</f>
        <v>#DIV/0!</v>
      </c>
      <c r="BG31" s="17" t="e">
        <f>(AL31/AQ31) - (N31/S31)</f>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IF(OR(ISBLANK(S32),ISBLANK(G32)),"·",S32*G32/F32/1000000)</f>
        <v>12.660337500000001</v>
      </c>
      <c r="J32" s="21">
        <f>IF(ISBLANK(S32),"·",S32/D32)</f>
        <v>3.5971095491419067E-2</v>
      </c>
      <c r="K32" s="21">
        <f t="shared" si="0"/>
        <v>1.5484376658589483E-2</v>
      </c>
      <c r="L32" s="21">
        <f>IF(T32="","·",T32/D32)</f>
        <v>1.1701311305659249E-2</v>
      </c>
      <c r="M32" s="21">
        <f>IF(ISBLANK(V32),"·",V32/D32)</f>
        <v>2.0486718832829588E-2</v>
      </c>
      <c r="N32" s="18">
        <f>IF(OR(ISBLANK(T32),ISBLANK(U32)),"",T32+U32)</f>
        <v>5813184</v>
      </c>
      <c r="O32" s="21">
        <v>16</v>
      </c>
      <c r="P32" s="22">
        <v>91500693</v>
      </c>
      <c r="Q32" s="22">
        <v>2859396.65625</v>
      </c>
      <c r="R32" s="22">
        <v>42605.15625</v>
      </c>
      <c r="S32" s="23">
        <v>13504360</v>
      </c>
      <c r="T32" s="23">
        <v>4392936</v>
      </c>
      <c r="U32" s="23">
        <v>1420248</v>
      </c>
      <c r="V32" s="23">
        <v>7691176</v>
      </c>
      <c r="W32" s="24">
        <v>76.435393750000003</v>
      </c>
      <c r="X32" s="24">
        <v>79.124159375000005</v>
      </c>
      <c r="Y32" s="24">
        <v>38.391403124999997</v>
      </c>
      <c r="Z32" s="24">
        <v>43.175809375</v>
      </c>
      <c r="AA32" s="24">
        <v>46.199668750000001</v>
      </c>
      <c r="AB32" s="25">
        <v>8320.35</v>
      </c>
      <c r="AC32" s="25">
        <v>0</v>
      </c>
      <c r="AD32" s="25">
        <v>157.459</v>
      </c>
      <c r="AE32" s="25">
        <v>0</v>
      </c>
      <c r="AG32" s="20" t="str">
        <f>IF(OR(ISBLANK(AQ32),ISBLANK(G32)),"·",AQ32*G32/F32/1000000)</f>
        <v>·</v>
      </c>
      <c r="AH32" s="21" t="str">
        <f>IF(ISBLANK(AQ32),"·",AQ32/D32)</f>
        <v>·</v>
      </c>
      <c r="AI32" s="21" t="str">
        <f t="shared" si="1"/>
        <v>·</v>
      </c>
      <c r="AJ32" s="21" t="str">
        <f>IF(AR32="","·",AR32/D32)</f>
        <v>·</v>
      </c>
      <c r="AK32" s="21" t="str">
        <f>IF(ISBLANK(AT32),"·",AT32/D32)</f>
        <v>·</v>
      </c>
      <c r="AL32" s="18" t="str">
        <f>IF(OR(ISBLANK(AR32),ISBLANK(AS32)),"",AR32+AS32)</f>
        <v/>
      </c>
      <c r="AM32" s="21">
        <v>16</v>
      </c>
      <c r="AN32" s="22"/>
      <c r="AO32" s="22"/>
      <c r="AP32" s="22"/>
      <c r="AQ32" s="23"/>
      <c r="AR32" s="23"/>
      <c r="AS32" s="23"/>
      <c r="AT32" s="23"/>
      <c r="AU32" s="24"/>
      <c r="AV32" s="24"/>
      <c r="AW32" s="24"/>
      <c r="AX32" s="24"/>
      <c r="AY32" s="24"/>
      <c r="AZ32" s="25"/>
      <c r="BA32" s="25"/>
      <c r="BB32" s="25"/>
      <c r="BC32" s="25"/>
      <c r="BE32" s="50" t="e">
        <f t="shared" si="2"/>
        <v>#VALUE!</v>
      </c>
      <c r="BF32" s="26" t="e">
        <f>(AP32/AO32) - (R32/Q32)</f>
        <v>#DIV/0!</v>
      </c>
      <c r="BG32" s="26" t="e">
        <f>(AL32/AQ32) - (N32/S32)</f>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IF(OR(ISBLANK(S33),ISBLANK(G33)),"·",S33*G33/F33/1000000)</f>
        <v>21.18027</v>
      </c>
      <c r="J33" s="12">
        <f>IF(ISBLANK(S33),"·",S33/D33)</f>
        <v>6.0178294196662499E-2</v>
      </c>
      <c r="K33" s="12">
        <f t="shared" si="0"/>
        <v>2.0952881574326575E-2</v>
      </c>
      <c r="L33" s="12">
        <f>IF(T33="","·",T33/D33)</f>
        <v>1.716981622139634E-2</v>
      </c>
      <c r="M33" s="12">
        <f>IF(ISBLANK(V33),"·",V33/D33)</f>
        <v>3.922541262233592E-2</v>
      </c>
      <c r="N33" s="54">
        <f>IF(OR(ISBLANK(T33),ISBLANK(U33)),"",T33+U33)</f>
        <v>7866184</v>
      </c>
      <c r="O33" s="12">
        <v>16</v>
      </c>
      <c r="P33" s="13">
        <v>93793516</v>
      </c>
      <c r="Q33" s="13">
        <v>2931047.375</v>
      </c>
      <c r="R33" s="13">
        <v>47266.125</v>
      </c>
      <c r="S33" s="14">
        <v>22592288</v>
      </c>
      <c r="T33" s="14">
        <v>6445936</v>
      </c>
      <c r="U33" s="14">
        <v>1420248</v>
      </c>
      <c r="V33" s="14">
        <v>14726104</v>
      </c>
      <c r="W33" s="15">
        <v>77.585915624999998</v>
      </c>
      <c r="X33" s="15">
        <v>80.310303125000004</v>
      </c>
      <c r="Y33" s="15">
        <v>39.992906249999997</v>
      </c>
      <c r="Z33" s="15">
        <v>43.898743750000001</v>
      </c>
      <c r="AA33" s="15">
        <v>47.812806250000001</v>
      </c>
      <c r="AB33" s="16">
        <v>8757.25</v>
      </c>
      <c r="AC33" s="16">
        <v>0</v>
      </c>
      <c r="AD33" s="16">
        <v>162.88999999999999</v>
      </c>
      <c r="AE33" s="16">
        <v>0</v>
      </c>
      <c r="AG33" s="11" t="str">
        <f>IF(OR(ISBLANK(AQ33),ISBLANK(G33)),"·",AQ33*G33/F33/1000000)</f>
        <v>·</v>
      </c>
      <c r="AH33" s="12" t="str">
        <f>IF(ISBLANK(AQ33),"·",AQ33/D33)</f>
        <v>·</v>
      </c>
      <c r="AI33" s="12" t="str">
        <f t="shared" si="1"/>
        <v>·</v>
      </c>
      <c r="AJ33" s="12" t="str">
        <f>IF(AR33="","·",AR33/D33)</f>
        <v>·</v>
      </c>
      <c r="AK33" s="12" t="str">
        <f>IF(ISBLANK(AT33),"·",AT33/D33)</f>
        <v>·</v>
      </c>
      <c r="AL33" s="54" t="str">
        <f>IF(OR(ISBLANK(AR33),ISBLANK(AS33)),"",AR33+AS33)</f>
        <v/>
      </c>
      <c r="AM33" s="12">
        <v>16</v>
      </c>
      <c r="AN33" s="13"/>
      <c r="AO33" s="13"/>
      <c r="AP33" s="13"/>
      <c r="AQ33" s="14"/>
      <c r="AR33" s="14"/>
      <c r="AS33" s="14"/>
      <c r="AT33" s="14"/>
      <c r="AU33" s="15"/>
      <c r="AV33" s="15"/>
      <c r="AW33" s="15"/>
      <c r="AX33" s="15"/>
      <c r="AY33" s="15"/>
      <c r="AZ33" s="16"/>
      <c r="BA33" s="16"/>
      <c r="BB33" s="16"/>
      <c r="BC33" s="16"/>
      <c r="BE33" s="51" t="e">
        <f t="shared" si="2"/>
        <v>#VALUE!</v>
      </c>
      <c r="BF33" s="17" t="e">
        <f>(AP33/AO33) - (R33/Q33)</f>
        <v>#DIV/0!</v>
      </c>
      <c r="BG33" s="17" t="e">
        <f>(AL33/AQ33) - (N33/S33)</f>
        <v>#VALUE!</v>
      </c>
      <c r="BH33" s="17"/>
      <c r="BJ33" s="51"/>
      <c r="BK33" s="51"/>
      <c r="BL33" s="51"/>
      <c r="BM33" s="51"/>
      <c r="BN33" s="51"/>
      <c r="BP33" s="51"/>
      <c r="BQ33" s="51"/>
      <c r="BR33" s="51"/>
      <c r="BS33" s="51"/>
      <c r="BT33" s="51"/>
    </row>
    <row r="34" spans="1:72" ht="15.75" outlineLevel="1" thickBot="1" x14ac:dyDescent="0.3">
      <c r="A34" s="18"/>
      <c r="B34" s="37" t="s">
        <v>75</v>
      </c>
      <c r="C34" s="38" t="s">
        <v>234</v>
      </c>
      <c r="D34" s="37">
        <v>375422539</v>
      </c>
      <c r="E34" s="38">
        <v>11</v>
      </c>
      <c r="F34" s="38">
        <v>32</v>
      </c>
      <c r="G34" s="38">
        <v>30</v>
      </c>
      <c r="I34" s="39">
        <f>IF(OR(ISBLANK(S34),ISBLANK(G34)),"·",S34*G34/F34/1000000)</f>
        <v>39.861179999999997</v>
      </c>
      <c r="J34" s="40">
        <f>IF(ISBLANK(S34),"·",S34/D34)</f>
        <v>0.11325529925095947</v>
      </c>
      <c r="K34" s="40">
        <f t="shared" si="0"/>
        <v>3.3579656761098191E-2</v>
      </c>
      <c r="L34" s="40">
        <f>IF(T34="","·",T34/D34)</f>
        <v>2.6095993133752687E-2</v>
      </c>
      <c r="M34" s="40">
        <f>IF(ISBLANK(V34),"·",V34/D34)</f>
        <v>7.9675642489861268E-2</v>
      </c>
      <c r="N34" s="37">
        <f>IF(OR(ISBLANK(T34),ISBLANK(U34)),"",T34+U34)</f>
        <v>12606560</v>
      </c>
      <c r="O34" s="40">
        <v>16</v>
      </c>
      <c r="P34" s="41">
        <v>91942150</v>
      </c>
      <c r="Q34" s="41">
        <v>2873192.1875</v>
      </c>
      <c r="R34" s="41">
        <v>18754.625</v>
      </c>
      <c r="S34" s="42">
        <v>42518592</v>
      </c>
      <c r="T34" s="42">
        <v>9797024</v>
      </c>
      <c r="U34" s="42">
        <v>2809536</v>
      </c>
      <c r="V34" s="42">
        <v>29912032</v>
      </c>
      <c r="W34" s="43">
        <v>78.522000000000006</v>
      </c>
      <c r="X34" s="43">
        <v>81.989725000000007</v>
      </c>
      <c r="Y34" s="43">
        <v>41.503915624999998</v>
      </c>
      <c r="Z34" s="43">
        <v>44.694487500000001</v>
      </c>
      <c r="AA34" s="43">
        <v>49.213815625000002</v>
      </c>
      <c r="AB34" s="44">
        <v>9105.5</v>
      </c>
      <c r="AC34" s="44">
        <v>0</v>
      </c>
      <c r="AD34" s="44">
        <v>160.32</v>
      </c>
      <c r="AE34" s="44">
        <v>0</v>
      </c>
      <c r="AG34" s="39" t="str">
        <f>IF(OR(ISBLANK(AQ34),ISBLANK(G34)),"·",AQ34*G34/F34/1000000)</f>
        <v>·</v>
      </c>
      <c r="AH34" s="40" t="str">
        <f>IF(ISBLANK(AQ34),"·",AQ34/D34)</f>
        <v>·</v>
      </c>
      <c r="AI34" s="40" t="str">
        <f t="shared" si="1"/>
        <v>·</v>
      </c>
      <c r="AJ34" s="40" t="str">
        <f>IF(AR34="","·",AR34/D34)</f>
        <v>·</v>
      </c>
      <c r="AK34" s="40" t="str">
        <f>IF(ISBLANK(AT34),"·",AT34/D34)</f>
        <v>·</v>
      </c>
      <c r="AL34" s="37" t="str">
        <f>IF(OR(ISBLANK(AR34),ISBLANK(AS34)),"",AR34+AS34)</f>
        <v/>
      </c>
      <c r="AM34" s="40">
        <v>16</v>
      </c>
      <c r="AN34" s="41"/>
      <c r="AO34" s="41"/>
      <c r="AP34" s="41"/>
      <c r="AQ34" s="42"/>
      <c r="AR34" s="42"/>
      <c r="AS34" s="42"/>
      <c r="AT34" s="42"/>
      <c r="AU34" s="43"/>
      <c r="AV34" s="43"/>
      <c r="AW34" s="43"/>
      <c r="AX34" s="43"/>
      <c r="AY34" s="43"/>
      <c r="AZ34" s="44"/>
      <c r="BA34" s="44"/>
      <c r="BB34" s="44"/>
      <c r="BC34" s="44"/>
      <c r="BE34" s="45" t="e">
        <f t="shared" si="2"/>
        <v>#VALUE!</v>
      </c>
      <c r="BF34" s="46" t="e">
        <f>(AP34/AO34) - (R34/Q34)</f>
        <v>#DIV/0!</v>
      </c>
      <c r="BG34" s="46" t="e">
        <f>(AL34/AQ34) - (N34/S34)</f>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IF(OR(ISBLANK(S35),ISBLANK(G35)),"·",S35*G35/F35/1000000)</f>
        <v>6.0766425000000002</v>
      </c>
      <c r="J35" s="12">
        <f>IF(ISBLANK(S35),"·",S35/D35)</f>
        <v>1.9453580829204984E-2</v>
      </c>
      <c r="K35" s="12">
        <f t="shared" si="0"/>
        <v>1.1420967408846169E-2</v>
      </c>
      <c r="L35" s="12">
        <f>IF(T35="","·",T35/D35)</f>
        <v>6.9748407645328888E-3</v>
      </c>
      <c r="M35" s="12">
        <f>IF(ISBLANK(V35),"·",V35/D35)</f>
        <v>8.0326134203588147E-3</v>
      </c>
      <c r="N35" s="54">
        <f>IF(OR(ISBLANK(T35),ISBLANK(U35)),"",T35+U35)</f>
        <v>3805360</v>
      </c>
      <c r="O35" s="12">
        <v>16</v>
      </c>
      <c r="P35" s="13">
        <v>74778557</v>
      </c>
      <c r="Q35" s="13">
        <v>2336829.90625</v>
      </c>
      <c r="R35" s="13">
        <v>30441.96875</v>
      </c>
      <c r="S35" s="14">
        <v>6481752</v>
      </c>
      <c r="T35" s="14">
        <v>2323952</v>
      </c>
      <c r="U35" s="14">
        <v>1481408</v>
      </c>
      <c r="V35" s="14">
        <v>2676392</v>
      </c>
      <c r="W35" s="15">
        <v>73.193674999999999</v>
      </c>
      <c r="X35" s="15">
        <v>75.403146875000004</v>
      </c>
      <c r="Y35" s="15">
        <v>34.0176625</v>
      </c>
      <c r="Z35" s="15">
        <v>42.567028125</v>
      </c>
      <c r="AA35" s="15">
        <v>43.978003125000001</v>
      </c>
      <c r="AB35" s="16">
        <v>7576.7</v>
      </c>
      <c r="AC35" s="16">
        <v>0</v>
      </c>
      <c r="AD35" s="16">
        <v>139.55199999999999</v>
      </c>
      <c r="AE35" s="16">
        <v>0</v>
      </c>
      <c r="AG35" s="11" t="str">
        <f>IF(OR(ISBLANK(AQ35),ISBLANK(G35)),"·",AQ35*G35/F35/1000000)</f>
        <v>·</v>
      </c>
      <c r="AH35" s="12" t="str">
        <f>IF(ISBLANK(AQ35),"·",AQ35/D35)</f>
        <v>·</v>
      </c>
      <c r="AI35" s="12" t="str">
        <f t="shared" si="1"/>
        <v>·</v>
      </c>
      <c r="AJ35" s="12" t="str">
        <f>IF(AR35="","·",AR35/D35)</f>
        <v>·</v>
      </c>
      <c r="AK35" s="12" t="str">
        <f>IF(ISBLANK(AT35),"·",AT35/D35)</f>
        <v>·</v>
      </c>
      <c r="AL35" s="54" t="str">
        <f>IF(OR(ISBLANK(AR35),ISBLANK(AS35)),"",AR35+AS35)</f>
        <v/>
      </c>
      <c r="AM35" s="12">
        <v>16</v>
      </c>
      <c r="AN35" s="13"/>
      <c r="AO35" s="13"/>
      <c r="AP35" s="13"/>
      <c r="AQ35" s="14"/>
      <c r="AR35" s="14"/>
      <c r="AS35" s="14"/>
      <c r="AT35" s="14"/>
      <c r="AU35" s="15"/>
      <c r="AV35" s="15"/>
      <c r="AW35" s="15"/>
      <c r="AX35" s="15"/>
      <c r="AY35" s="15"/>
      <c r="AZ35" s="16"/>
      <c r="BA35" s="16"/>
      <c r="BB35" s="16"/>
      <c r="BC35" s="16"/>
      <c r="BE35" s="51" t="e">
        <f t="shared" si="2"/>
        <v>#VALUE!</v>
      </c>
      <c r="BF35" s="17" t="e">
        <f>(AP35/AO35) - (R35/Q35)</f>
        <v>#DIV/0!</v>
      </c>
      <c r="BG35" s="17" t="e">
        <f>(AL35/AQ35) - (N35/S35)</f>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IF(OR(ISBLANK(S36),ISBLANK(G36)),"·",S36*G36/F36/1000000)</f>
        <v>8.7023475000000001</v>
      </c>
      <c r="J36" s="21">
        <f>IF(ISBLANK(S36),"·",S36/D36)</f>
        <v>2.7859433971157581E-2</v>
      </c>
      <c r="K36" s="21">
        <f t="shared" si="0"/>
        <v>1.4010811688678371E-2</v>
      </c>
      <c r="L36" s="21">
        <f>IF(T36="","·",T36/D36)</f>
        <v>9.5646850443650896E-3</v>
      </c>
      <c r="M36" s="21">
        <f>IF(ISBLANK(V36),"·",V36/D36)</f>
        <v>1.3848622282479208E-2</v>
      </c>
      <c r="N36" s="18">
        <f>IF(OR(ISBLANK(T36),ISBLANK(U36)),"",T36+U36)</f>
        <v>4668272</v>
      </c>
      <c r="O36" s="21">
        <v>16</v>
      </c>
      <c r="P36" s="22">
        <v>79943738</v>
      </c>
      <c r="Q36" s="22">
        <v>2498241.8125</v>
      </c>
      <c r="R36" s="22">
        <v>38917.4375</v>
      </c>
      <c r="S36" s="23">
        <v>9282504</v>
      </c>
      <c r="T36" s="23">
        <v>3186864</v>
      </c>
      <c r="U36" s="23">
        <v>1481408</v>
      </c>
      <c r="V36" s="23">
        <v>4614232</v>
      </c>
      <c r="W36" s="24">
        <v>74.934209374999995</v>
      </c>
      <c r="X36" s="24">
        <v>77.349309375000004</v>
      </c>
      <c r="Y36" s="24">
        <v>36.100590625000002</v>
      </c>
      <c r="Z36" s="24">
        <v>43.206612499999999</v>
      </c>
      <c r="AA36" s="24">
        <v>45.366546874999997</v>
      </c>
      <c r="AB36" s="25">
        <v>7706.15</v>
      </c>
      <c r="AC36" s="25">
        <v>0</v>
      </c>
      <c r="AD36" s="25">
        <v>146.898</v>
      </c>
      <c r="AE36" s="25">
        <v>0</v>
      </c>
      <c r="AG36" s="20" t="str">
        <f>IF(OR(ISBLANK(AQ36),ISBLANK(G36)),"·",AQ36*G36/F36/1000000)</f>
        <v>·</v>
      </c>
      <c r="AH36" s="21" t="str">
        <f>IF(ISBLANK(AQ36),"·",AQ36/D36)</f>
        <v>·</v>
      </c>
      <c r="AI36" s="21" t="str">
        <f t="shared" si="1"/>
        <v>·</v>
      </c>
      <c r="AJ36" s="21" t="str">
        <f>IF(AR36="","·",AR36/D36)</f>
        <v>·</v>
      </c>
      <c r="AK36" s="21" t="str">
        <f>IF(ISBLANK(AT36),"·",AT36/D36)</f>
        <v>·</v>
      </c>
      <c r="AL36" s="18" t="str">
        <f>IF(OR(ISBLANK(AR36),ISBLANK(AS36)),"",AR36+AS36)</f>
        <v/>
      </c>
      <c r="AM36" s="21">
        <v>16</v>
      </c>
      <c r="AN36" s="22"/>
      <c r="AO36" s="22"/>
      <c r="AP36" s="22"/>
      <c r="AQ36" s="23"/>
      <c r="AR36" s="23"/>
      <c r="AS36" s="23"/>
      <c r="AT36" s="23"/>
      <c r="AU36" s="24"/>
      <c r="AV36" s="24"/>
      <c r="AW36" s="24"/>
      <c r="AX36" s="24"/>
      <c r="AY36" s="24"/>
      <c r="AZ36" s="25"/>
      <c r="BA36" s="25"/>
      <c r="BB36" s="25"/>
      <c r="BC36" s="25"/>
      <c r="BE36" s="50" t="e">
        <f t="shared" si="2"/>
        <v>#VALUE!</v>
      </c>
      <c r="BF36" s="26" t="e">
        <f>(AP36/AO36) - (R36/Q36)</f>
        <v>#DIV/0!</v>
      </c>
      <c r="BG36" s="26" t="e">
        <f>(AL36/AQ36) - (N36/S36)</f>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IF(OR(ISBLANK(S37),ISBLANK(G37)),"·",S37*G37/F37/1000000)</f>
        <v>13.288919999999999</v>
      </c>
      <c r="J37" s="12">
        <f>IF(ISBLANK(S37),"·",S37/D37)</f>
        <v>4.2542749446398846E-2</v>
      </c>
      <c r="K37" s="12">
        <f t="shared" si="0"/>
        <v>1.7731227777496507E-2</v>
      </c>
      <c r="L37" s="12">
        <f>IF(T37="","·",T37/D37)</f>
        <v>1.3285101133183227E-2</v>
      </c>
      <c r="M37" s="12">
        <f>IF(ISBLANK(V37),"·",V37/D37)</f>
        <v>2.4811521668902339E-2</v>
      </c>
      <c r="N37" s="54">
        <f>IF(OR(ISBLANK(T37),ISBLANK(U37)),"",T37+U37)</f>
        <v>5907880</v>
      </c>
      <c r="O37" s="12">
        <v>16</v>
      </c>
      <c r="P37" s="13">
        <v>81681853</v>
      </c>
      <c r="Q37" s="13">
        <v>2552557.90625</v>
      </c>
      <c r="R37" s="13">
        <v>42032.5625</v>
      </c>
      <c r="S37" s="14">
        <v>14174848</v>
      </c>
      <c r="T37" s="14">
        <v>4426472</v>
      </c>
      <c r="U37" s="14">
        <v>1481408</v>
      </c>
      <c r="V37" s="14">
        <v>8266968</v>
      </c>
      <c r="W37" s="15">
        <v>76.244415625000002</v>
      </c>
      <c r="X37" s="15">
        <v>78.960109375000002</v>
      </c>
      <c r="Y37" s="15">
        <v>37.932615624999997</v>
      </c>
      <c r="Z37" s="15">
        <v>43.749587499999997</v>
      </c>
      <c r="AA37" s="15">
        <v>46.4671375</v>
      </c>
      <c r="AB37" s="16">
        <v>7890.93</v>
      </c>
      <c r="AC37" s="16">
        <v>0</v>
      </c>
      <c r="AD37" s="16">
        <v>142.65799999999999</v>
      </c>
      <c r="AE37" s="16">
        <v>0</v>
      </c>
      <c r="AG37" s="11" t="str">
        <f>IF(OR(ISBLANK(AQ37),ISBLANK(G37)),"·",AQ37*G37/F37/1000000)</f>
        <v>·</v>
      </c>
      <c r="AH37" s="12" t="str">
        <f>IF(ISBLANK(AQ37),"·",AQ37/D37)</f>
        <v>·</v>
      </c>
      <c r="AI37" s="12" t="str">
        <f t="shared" si="1"/>
        <v>·</v>
      </c>
      <c r="AJ37" s="12" t="str">
        <f>IF(AR37="","·",AR37/D37)</f>
        <v>·</v>
      </c>
      <c r="AK37" s="12" t="str">
        <f>IF(ISBLANK(AT37),"·",AT37/D37)</f>
        <v>·</v>
      </c>
      <c r="AL37" s="54" t="str">
        <f>IF(OR(ISBLANK(AR37),ISBLANK(AS37)),"",AR37+AS37)</f>
        <v/>
      </c>
      <c r="AM37" s="12">
        <v>16</v>
      </c>
      <c r="AN37" s="13"/>
      <c r="AO37" s="13"/>
      <c r="AP37" s="13"/>
      <c r="AQ37" s="14"/>
      <c r="AR37" s="14"/>
      <c r="AS37" s="14"/>
      <c r="AT37" s="14"/>
      <c r="AU37" s="15"/>
      <c r="AV37" s="15"/>
      <c r="AW37" s="15"/>
      <c r="AX37" s="15"/>
      <c r="AY37" s="15"/>
      <c r="AZ37" s="16"/>
      <c r="BA37" s="16"/>
      <c r="BB37" s="16"/>
      <c r="BC37" s="16"/>
      <c r="BE37" s="51" t="e">
        <f t="shared" si="2"/>
        <v>#VALUE!</v>
      </c>
      <c r="BF37" s="17" t="e">
        <f>(AP37/AO37) - (R37/Q37)</f>
        <v>#DIV/0!</v>
      </c>
      <c r="BG37" s="17" t="e">
        <f>(AL37/AQ37) - (N37/S37)</f>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IF(OR(ISBLANK(S38),ISBLANK(G38)),"·",S38*G38/F38/1000000)</f>
        <v>22.3616025</v>
      </c>
      <c r="J38" s="21">
        <f>IF(ISBLANK(S38),"·",S38/D38)</f>
        <v>7.1587762766083779E-2</v>
      </c>
      <c r="K38" s="21">
        <f t="shared" si="0"/>
        <v>2.3937019440540247E-2</v>
      </c>
      <c r="L38" s="21">
        <f>IF(T38="","·",T38/D38)</f>
        <v>1.9490892796226969E-2</v>
      </c>
      <c r="M38" s="21">
        <f>IF(ISBLANK(V38),"·",V38/D38)</f>
        <v>4.7650743325543532E-2</v>
      </c>
      <c r="N38" s="18">
        <f>IF(OR(ISBLANK(T38),ISBLANK(U38)),"",T38+U38)</f>
        <v>7975592</v>
      </c>
      <c r="O38" s="21">
        <v>16</v>
      </c>
      <c r="P38" s="22">
        <v>83704060</v>
      </c>
      <c r="Q38" s="22">
        <v>2615751.875</v>
      </c>
      <c r="R38" s="22">
        <v>46678.40625</v>
      </c>
      <c r="S38" s="23">
        <v>23852376</v>
      </c>
      <c r="T38" s="23">
        <v>6494184</v>
      </c>
      <c r="U38" s="23">
        <v>1481408</v>
      </c>
      <c r="V38" s="23">
        <v>15876784</v>
      </c>
      <c r="W38" s="24">
        <v>77.427518750000004</v>
      </c>
      <c r="X38" s="24">
        <v>80.182268750000006</v>
      </c>
      <c r="Y38" s="24">
        <v>39.701293749999998</v>
      </c>
      <c r="Z38" s="24">
        <v>44.545281250000002</v>
      </c>
      <c r="AA38" s="24">
        <v>47.796296875000003</v>
      </c>
      <c r="AB38" s="25">
        <v>8053.51</v>
      </c>
      <c r="AC38" s="25">
        <v>0</v>
      </c>
      <c r="AD38" s="25">
        <v>149.12700000000001</v>
      </c>
      <c r="AE38" s="25">
        <v>0</v>
      </c>
      <c r="AG38" s="20" t="str">
        <f>IF(OR(ISBLANK(AQ38),ISBLANK(G38)),"·",AQ38*G38/F38/1000000)</f>
        <v>·</v>
      </c>
      <c r="AH38" s="21" t="str">
        <f>IF(ISBLANK(AQ38),"·",AQ38/D38)</f>
        <v>·</v>
      </c>
      <c r="AI38" s="21" t="str">
        <f t="shared" si="1"/>
        <v>·</v>
      </c>
      <c r="AJ38" s="21" t="str">
        <f>IF(AR38="","·",AR38/D38)</f>
        <v>·</v>
      </c>
      <c r="AK38" s="21" t="str">
        <f>IF(ISBLANK(AT38),"·",AT38/D38)</f>
        <v>·</v>
      </c>
      <c r="AL38" s="18" t="str">
        <f>IF(OR(ISBLANK(AR38),ISBLANK(AS38)),"",AR38+AS38)</f>
        <v/>
      </c>
      <c r="AM38" s="21">
        <v>16</v>
      </c>
      <c r="AN38" s="22"/>
      <c r="AO38" s="22"/>
      <c r="AP38" s="22"/>
      <c r="AQ38" s="23"/>
      <c r="AR38" s="23"/>
      <c r="AS38" s="23"/>
      <c r="AT38" s="23"/>
      <c r="AU38" s="24"/>
      <c r="AV38" s="24"/>
      <c r="AW38" s="24"/>
      <c r="AX38" s="24"/>
      <c r="AY38" s="24"/>
      <c r="AZ38" s="25"/>
      <c r="BA38" s="25"/>
      <c r="BB38" s="25"/>
      <c r="BC38" s="25"/>
      <c r="BE38" s="50" t="e">
        <f t="shared" si="2"/>
        <v>#VALUE!</v>
      </c>
      <c r="BF38" s="26" t="e">
        <f>(AP38/AO38) - (R38/Q38)</f>
        <v>#DIV/0!</v>
      </c>
      <c r="BG38" s="26" t="e">
        <f>(AL38/AQ38) - (N38/S38)</f>
        <v>#VALUE!</v>
      </c>
      <c r="BH38" s="26"/>
      <c r="BJ38" s="50"/>
      <c r="BK38" s="50"/>
      <c r="BL38" s="50"/>
      <c r="BM38" s="50"/>
      <c r="BN38" s="50"/>
      <c r="BP38" s="50"/>
      <c r="BQ38" s="50"/>
      <c r="BR38" s="50"/>
      <c r="BS38" s="50"/>
      <c r="BT38" s="50"/>
    </row>
    <row r="39" spans="1:72" ht="15.75" outlineLevel="1" thickBot="1" x14ac:dyDescent="0.3">
      <c r="A39" s="27"/>
      <c r="B39" s="27" t="s">
        <v>80</v>
      </c>
      <c r="C39" s="28" t="s">
        <v>234</v>
      </c>
      <c r="D39" s="27">
        <v>333190689</v>
      </c>
      <c r="E39" s="28">
        <v>11</v>
      </c>
      <c r="F39" s="28">
        <v>32</v>
      </c>
      <c r="G39" s="28">
        <v>30</v>
      </c>
      <c r="I39" s="29">
        <f>IF(OR(ISBLANK(S39),ISBLANK(G39)),"·",S39*G39/F39/1000000)</f>
        <v>41.261197500000002</v>
      </c>
      <c r="J39" s="30">
        <f>IF(ISBLANK(S39),"·",S39/D39)</f>
        <v>0.13209235867932673</v>
      </c>
      <c r="K39" s="30">
        <f t="shared" si="0"/>
        <v>3.8458001447933619E-2</v>
      </c>
      <c r="L39" s="30">
        <f>IF(T39="","·",T39/D39)</f>
        <v>2.959302383146727E-2</v>
      </c>
      <c r="M39" s="30">
        <f>IF(ISBLANK(V39),"·",V39/D39)</f>
        <v>9.3634357231393101E-2</v>
      </c>
      <c r="N39" s="27">
        <f>IF(OR(ISBLANK(T39),ISBLANK(U39)),"",T39+U39)</f>
        <v>12813848</v>
      </c>
      <c r="O39" s="30">
        <v>16</v>
      </c>
      <c r="P39" s="31">
        <v>82029822</v>
      </c>
      <c r="Q39" s="31">
        <v>2563431.9375</v>
      </c>
      <c r="R39" s="31">
        <v>18624.8125</v>
      </c>
      <c r="S39" s="32">
        <v>44011944</v>
      </c>
      <c r="T39" s="32">
        <v>9860120</v>
      </c>
      <c r="U39" s="32">
        <v>2953728</v>
      </c>
      <c r="V39" s="32">
        <v>31198096</v>
      </c>
      <c r="W39" s="33">
        <v>78.321349999999995</v>
      </c>
      <c r="X39" s="33">
        <v>81.871643750000004</v>
      </c>
      <c r="Y39" s="33">
        <v>41.292031250000001</v>
      </c>
      <c r="Z39" s="33">
        <v>45.5426</v>
      </c>
      <c r="AA39" s="33">
        <v>49.12885</v>
      </c>
      <c r="AB39" s="34">
        <v>8423.74</v>
      </c>
      <c r="AC39" s="34">
        <v>0</v>
      </c>
      <c r="AD39" s="34">
        <v>146.13900000000001</v>
      </c>
      <c r="AE39" s="34">
        <v>0</v>
      </c>
      <c r="AG39" s="29" t="str">
        <f>IF(OR(ISBLANK(AQ39),ISBLANK(G39)),"·",AQ39*G39/F39/1000000)</f>
        <v>·</v>
      </c>
      <c r="AH39" s="30" t="str">
        <f>IF(ISBLANK(AQ39),"·",AQ39/D39)</f>
        <v>·</v>
      </c>
      <c r="AI39" s="30" t="str">
        <f t="shared" si="1"/>
        <v>·</v>
      </c>
      <c r="AJ39" s="30" t="str">
        <f>IF(AR39="","·",AR39/D39)</f>
        <v>·</v>
      </c>
      <c r="AK39" s="30" t="str">
        <f>IF(ISBLANK(AT39),"·",AT39/D39)</f>
        <v>·</v>
      </c>
      <c r="AL39" s="27" t="str">
        <f>IF(OR(ISBLANK(AR39),ISBLANK(AS39)),"",AR39+AS39)</f>
        <v/>
      </c>
      <c r="AM39" s="30">
        <v>16</v>
      </c>
      <c r="AN39" s="31"/>
      <c r="AO39" s="31"/>
      <c r="AP39" s="31"/>
      <c r="AQ39" s="32"/>
      <c r="AR39" s="32"/>
      <c r="AS39" s="32"/>
      <c r="AT39" s="32"/>
      <c r="AU39" s="33"/>
      <c r="AV39" s="33"/>
      <c r="AW39" s="33"/>
      <c r="AX39" s="33"/>
      <c r="AY39" s="33"/>
      <c r="AZ39" s="34"/>
      <c r="BA39" s="34"/>
      <c r="BB39" s="34"/>
      <c r="BC39" s="34"/>
      <c r="BE39" s="35" t="e">
        <f t="shared" si="2"/>
        <v>#VALUE!</v>
      </c>
      <c r="BF39" s="36" t="e">
        <f>(AP39/AO39) - (R39/Q39)</f>
        <v>#DIV/0!</v>
      </c>
      <c r="BG39" s="36" t="e">
        <f>(AL39/AQ39) - (N39/S39)</f>
        <v>#VALUE!</v>
      </c>
      <c r="BH39" s="36"/>
      <c r="BJ39" s="35"/>
      <c r="BK39" s="35"/>
      <c r="BL39" s="35"/>
      <c r="BM39" s="35"/>
      <c r="BN39" s="35"/>
      <c r="BP39" s="35"/>
      <c r="BQ39" s="35"/>
      <c r="BR39" s="35"/>
      <c r="BS39" s="35"/>
      <c r="BT39" s="35"/>
    </row>
    <row r="40" spans="1:72" x14ac:dyDescent="0.25">
      <c r="B40" s="47" t="s">
        <v>14</v>
      </c>
      <c r="J40" s="48">
        <f>AVERAGE(J5:J24)</f>
        <v>4.4238894987584515E-2</v>
      </c>
      <c r="K40" s="48">
        <f>AVERAGE(K5:K24)</f>
        <v>1.3868370820765941E-2</v>
      </c>
      <c r="L40" s="48">
        <f>AVERAGE(L5:L24)</f>
        <v>9.6983640296796608E-3</v>
      </c>
      <c r="M40" s="48">
        <f>AVERAGE(M5:M24)</f>
        <v>3.0370524166818579E-2</v>
      </c>
      <c r="AH40" s="48" t="e">
        <f>AVERAGE(AH5:AH24)</f>
        <v>#DIV/0!</v>
      </c>
      <c r="AI40" s="48" t="e">
        <f>AVERAGE(AI5:AI24)</f>
        <v>#DIV/0!</v>
      </c>
      <c r="AJ40" s="48" t="e">
        <f>AVERAGE(AJ5:AJ24)</f>
        <v>#DIV/0!</v>
      </c>
      <c r="AK40" s="48" t="e">
        <f>AVERAGE(AK5:AK24)</f>
        <v>#DIV/0!</v>
      </c>
      <c r="BE40" s="52" t="e">
        <f t="shared" si="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7.9893449711188724E-2</v>
      </c>
      <c r="K41" s="48">
        <f>AVERAGE(K25:K29)</f>
        <v>1.2403407118097346E-2</v>
      </c>
      <c r="L41" s="48">
        <f>AVERAGE(L25:L29)</f>
        <v>9.1152432536474159E-3</v>
      </c>
      <c r="M41" s="48">
        <f>AVERAGE(M25:M29)</f>
        <v>6.7490042593091368E-2</v>
      </c>
      <c r="AH41" s="48" t="e">
        <f>AVERAGE(AH25:AH29)</f>
        <v>#DIV/0!</v>
      </c>
      <c r="AI41" s="48" t="e">
        <f>AVERAGE(AI25:AI29)</f>
        <v>#DIV/0!</v>
      </c>
      <c r="AJ41" s="48" t="e">
        <f>AVERAGE(AJ25:AJ29)</f>
        <v>#DIV/0!</v>
      </c>
      <c r="AK41" s="48" t="e">
        <f>AVERAGE(AK25:AK29)</f>
        <v>#DIV/0!</v>
      </c>
      <c r="BE41" s="52" t="e">
        <f t="shared" si="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5.4251096387734177E-2</v>
      </c>
      <c r="K42" s="48">
        <f>AVERAGE(K30:K39)</f>
        <v>1.9770635772830825E-2</v>
      </c>
      <c r="L42" s="48">
        <f>AVERAGE(L30:L39)</f>
        <v>1.4844094849552233E-2</v>
      </c>
      <c r="M42" s="48">
        <f>AVERAGE(M30:M39)</f>
        <v>3.4480460614903362E-2</v>
      </c>
      <c r="AH42" s="48" t="e">
        <f>AVERAGE(AH30:AH39)</f>
        <v>#DIV/0!</v>
      </c>
      <c r="AI42" s="48" t="e">
        <f>AVERAGE(AI30:AI39)</f>
        <v>#DIV/0!</v>
      </c>
      <c r="AJ42" s="48" t="e">
        <f>AVERAGE(AJ30:AJ39)</f>
        <v>#DIV/0!</v>
      </c>
      <c r="AK42" s="48" t="e">
        <f>AVERAGE(AK30:AK39)</f>
        <v>#DIV/0!</v>
      </c>
      <c r="BE42" s="52" t="e">
        <f t="shared" si="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5.2193031776713576E-2</v>
      </c>
      <c r="K43" s="48">
        <f>AVERAGE(K5:K39)</f>
        <v>1.5345451706688967E-2</v>
      </c>
      <c r="L43" s="48">
        <f>AVERAGE(L5:L39)</f>
        <v>1.1085269867352933E-2</v>
      </c>
      <c r="M43" s="48">
        <f>AVERAGE(M5:M39)</f>
        <v>3.684758007002463E-2</v>
      </c>
      <c r="AH43" s="48" t="e">
        <f>AVERAGE(AH5:AH39)</f>
        <v>#DIV/0!</v>
      </c>
      <c r="AI43" s="48" t="e">
        <f>AVERAGE(AI5:AI39)</f>
        <v>#DIV/0!</v>
      </c>
      <c r="AJ43" s="48" t="e">
        <f>AVERAGE(AJ5:AJ39)</f>
        <v>#DIV/0!</v>
      </c>
      <c r="AK43" s="48" t="e">
        <f>AVERAGE(AK5:AK39)</f>
        <v>#DIV/0!</v>
      </c>
      <c r="BE43" s="52" t="e">
        <f t="shared" si="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178033.13999999998</v>
      </c>
      <c r="AC44" s="49">
        <f>SUM(AC5:AC24,AC25:AC29,AC30:AC39)</f>
        <v>0</v>
      </c>
      <c r="AD44" s="49">
        <f>SUM(AD5:AD24,AD25:AD29,AD30:AD39)</f>
        <v>2782.8320000000008</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4715.7726145698771</v>
      </c>
      <c r="AC46" s="49" t="e">
        <f>GEOMEAN(AC5:AC24,AC25:AC29,AC30:AC39)</f>
        <v>#NUM!</v>
      </c>
      <c r="AD46" s="49">
        <f>GEOMEAN(AD5:AD24,AD25:AD29,AD30:AD39)</f>
        <v>69.152023811589984</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P5" activePane="bottomRight" state="frozen"/>
      <selection pane="topRight" activeCell="C1" sqref="C1"/>
      <selection pane="bottomLeft" activeCell="A5" sqref="A5"/>
      <selection pane="bottomRight" activeCell="AU37" sqref="AU37"/>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564</v>
      </c>
      <c r="B1" s="59"/>
      <c r="C1" s="59"/>
      <c r="D1" s="59"/>
      <c r="E1" s="59"/>
      <c r="F1" s="59"/>
      <c r="H1" s="58" t="str">
        <f>Summary!$C$1</f>
        <v>R10.0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1.73086701672222E-2</v>
      </c>
      <c r="I5" s="11">
        <f t="shared" ref="I5:I11" si="1">IF(OR(ISBLANK(Q5),ISBLANK(F5)),"·",Q5*F5/E5/1000000)</f>
        <v>208.67611500000001</v>
      </c>
      <c r="J5" s="12">
        <f t="shared" ref="J5:J11" si="2">IF(ISBLANK(Q5),"·",Q5/C5)</f>
        <v>0.93466818902999882</v>
      </c>
      <c r="K5" s="12">
        <f t="shared" ref="K5:K11" si="3">IF(N5="","·",N5/C5)</f>
        <v>0.14561477020241723</v>
      </c>
      <c r="L5" s="12">
        <f t="shared" ref="L5:L11" si="4">IF(R5="","·",R5/C5)</f>
        <v>0.13670905472592276</v>
      </c>
      <c r="M5" s="12">
        <f t="shared" ref="M5:M11" si="5">IF(ISBLANK(T5),"·",T5/C5)</f>
        <v>0.78905341882758151</v>
      </c>
      <c r="N5" s="54">
        <f t="shared" ref="N5:N11" si="6">IF(OR(ISBLANK(R5),ISBLANK(S5)),"",R5+S5)</f>
        <v>34677632</v>
      </c>
      <c r="O5" s="12">
        <v>16</v>
      </c>
      <c r="P5" s="13">
        <v>24964341</v>
      </c>
      <c r="Q5" s="14">
        <v>222587856</v>
      </c>
      <c r="R5" s="14">
        <v>32556768</v>
      </c>
      <c r="S5" s="14">
        <v>2120864</v>
      </c>
      <c r="T5" s="14">
        <v>187910224</v>
      </c>
      <c r="U5" s="15" t="s">
        <v>571</v>
      </c>
      <c r="V5" s="15" t="s">
        <v>571</v>
      </c>
      <c r="W5" s="15" t="s">
        <v>571</v>
      </c>
      <c r="X5" s="15" t="s">
        <v>571</v>
      </c>
      <c r="Y5" s="15" t="s">
        <v>571</v>
      </c>
      <c r="Z5" s="16">
        <v>7478.09</v>
      </c>
      <c r="AA5" s="16">
        <v>0</v>
      </c>
      <c r="AB5" s="16">
        <v>33.706000000000003</v>
      </c>
      <c r="AC5" s="16">
        <v>0</v>
      </c>
      <c r="AE5" s="17">
        <f t="shared" ref="AE5:AE11" si="7">IF(ISBLANK(Q5),"·",Q5/(C5*(D5*3+IF(AND(ISNUMBER(T5),T5&gt;0),24,0))))</f>
        <v>1.73086701672222E-2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2.4677551681198579E-2</v>
      </c>
      <c r="I6" s="20">
        <f t="shared" si="1"/>
        <v>272.4990975</v>
      </c>
      <c r="J6" s="21">
        <f t="shared" si="2"/>
        <v>1.3325877907847232</v>
      </c>
      <c r="K6" s="21">
        <f t="shared" si="3"/>
        <v>0.17693403744693514</v>
      </c>
      <c r="L6" s="21">
        <f t="shared" si="4"/>
        <v>0.16169106537546674</v>
      </c>
      <c r="M6" s="21">
        <f t="shared" si="5"/>
        <v>1.1556537533377882</v>
      </c>
      <c r="N6" s="18">
        <f t="shared" si="6"/>
        <v>38593072</v>
      </c>
      <c r="O6" s="21">
        <v>16</v>
      </c>
      <c r="P6" s="22">
        <v>22654789</v>
      </c>
      <c r="Q6" s="23">
        <v>290665704</v>
      </c>
      <c r="R6" s="23">
        <v>35268256</v>
      </c>
      <c r="S6" s="23">
        <v>3324816</v>
      </c>
      <c r="T6" s="23">
        <v>252072632</v>
      </c>
      <c r="U6" s="24" t="s">
        <v>571</v>
      </c>
      <c r="V6" s="24" t="s">
        <v>571</v>
      </c>
      <c r="W6" s="24" t="s">
        <v>571</v>
      </c>
      <c r="X6" s="24" t="s">
        <v>571</v>
      </c>
      <c r="Y6" s="24" t="s">
        <v>571</v>
      </c>
      <c r="Z6" s="25">
        <v>7403.54</v>
      </c>
      <c r="AA6" s="25">
        <v>0</v>
      </c>
      <c r="AB6" s="25">
        <v>34.661999999999999</v>
      </c>
      <c r="AC6" s="25">
        <v>0</v>
      </c>
      <c r="AE6" s="26">
        <f t="shared" si="7"/>
        <v>2.4677551681198579E-2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1.9522027389432855E-2</v>
      </c>
      <c r="I7" s="11">
        <f t="shared" si="1"/>
        <v>318.81625500000001</v>
      </c>
      <c r="J7" s="12">
        <f t="shared" si="2"/>
        <v>1.0541894790293742</v>
      </c>
      <c r="K7" s="12">
        <f t="shared" si="3"/>
        <v>0.17336595466791463</v>
      </c>
      <c r="L7" s="12">
        <f t="shared" si="4"/>
        <v>0.16059818201761331</v>
      </c>
      <c r="M7" s="12">
        <f t="shared" si="5"/>
        <v>0.8808235243614595</v>
      </c>
      <c r="N7" s="54">
        <f t="shared" si="6"/>
        <v>55926072</v>
      </c>
      <c r="O7" s="12">
        <v>16</v>
      </c>
      <c r="P7" s="13">
        <v>33947718</v>
      </c>
      <c r="Q7" s="14">
        <v>340070672</v>
      </c>
      <c r="R7" s="14">
        <v>51807320</v>
      </c>
      <c r="S7" s="14">
        <v>4118752</v>
      </c>
      <c r="T7" s="14">
        <v>284144600</v>
      </c>
      <c r="U7" s="15" t="s">
        <v>571</v>
      </c>
      <c r="V7" s="15" t="s">
        <v>571</v>
      </c>
      <c r="W7" s="15" t="s">
        <v>571</v>
      </c>
      <c r="X7" s="15" t="s">
        <v>571</v>
      </c>
      <c r="Y7" s="15" t="s">
        <v>571</v>
      </c>
      <c r="Z7" s="16">
        <v>10008.4</v>
      </c>
      <c r="AA7" s="16">
        <v>0</v>
      </c>
      <c r="AB7" s="16">
        <v>40.581000000000003</v>
      </c>
      <c r="AC7" s="16">
        <v>0</v>
      </c>
      <c r="AE7" s="17">
        <f t="shared" si="7"/>
        <v>1.9522027389432855E-2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1.9446596029832654E-2</v>
      </c>
      <c r="I8" s="39">
        <f t="shared" si="1"/>
        <v>411.19086249999998</v>
      </c>
      <c r="J8" s="40">
        <f t="shared" si="2"/>
        <v>1.0501161856109633</v>
      </c>
      <c r="K8" s="40">
        <f t="shared" si="3"/>
        <v>0.16356890312171218</v>
      </c>
      <c r="L8" s="40">
        <f t="shared" si="4"/>
        <v>0.14347990901669208</v>
      </c>
      <c r="M8" s="40">
        <f t="shared" si="5"/>
        <v>0.88654728248925108</v>
      </c>
      <c r="N8" s="37">
        <f t="shared" si="6"/>
        <v>40990840</v>
      </c>
      <c r="O8" s="40">
        <v>16</v>
      </c>
      <c r="P8" s="41">
        <v>32209643</v>
      </c>
      <c r="Q8" s="42">
        <v>263162152</v>
      </c>
      <c r="R8" s="42">
        <v>35956480</v>
      </c>
      <c r="S8" s="42">
        <v>5034360</v>
      </c>
      <c r="T8" s="42">
        <v>222171312</v>
      </c>
      <c r="U8" s="43" t="s">
        <v>571</v>
      </c>
      <c r="V8" s="43" t="s">
        <v>571</v>
      </c>
      <c r="W8" s="43" t="s">
        <v>571</v>
      </c>
      <c r="X8" s="43" t="s">
        <v>571</v>
      </c>
      <c r="Y8" s="43" t="s">
        <v>571</v>
      </c>
      <c r="Z8" s="44">
        <v>8458.75</v>
      </c>
      <c r="AA8" s="44">
        <v>0</v>
      </c>
      <c r="AB8" s="44">
        <v>38.003999999999998</v>
      </c>
      <c r="AC8" s="44">
        <v>0</v>
      </c>
      <c r="AE8" s="46">
        <f t="shared" si="7"/>
        <v>1.9446596029832654E-2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2.8068877655529914E-2</v>
      </c>
      <c r="I9" s="29">
        <f t="shared" si="1"/>
        <v>355.66532999999998</v>
      </c>
      <c r="J9" s="30">
        <f t="shared" si="2"/>
        <v>1.5157193933986155</v>
      </c>
      <c r="K9" s="30">
        <f t="shared" si="3"/>
        <v>0.15212938168993206</v>
      </c>
      <c r="L9" s="30">
        <f t="shared" si="4"/>
        <v>0.14250548979122529</v>
      </c>
      <c r="M9" s="30">
        <f t="shared" si="5"/>
        <v>1.3635900117086834</v>
      </c>
      <c r="N9" s="27">
        <f t="shared" si="6"/>
        <v>38077160</v>
      </c>
      <c r="O9" s="30">
        <v>16</v>
      </c>
      <c r="P9" s="31">
        <v>25312408</v>
      </c>
      <c r="Q9" s="32">
        <v>379376352</v>
      </c>
      <c r="R9" s="32">
        <v>35668352</v>
      </c>
      <c r="S9" s="32">
        <v>2408808</v>
      </c>
      <c r="T9" s="32">
        <v>341299192</v>
      </c>
      <c r="U9" s="33" t="s">
        <v>571</v>
      </c>
      <c r="V9" s="33" t="s">
        <v>571</v>
      </c>
      <c r="W9" s="33" t="s">
        <v>571</v>
      </c>
      <c r="X9" s="33" t="s">
        <v>571</v>
      </c>
      <c r="Y9" s="33" t="s">
        <v>571</v>
      </c>
      <c r="Z9" s="34">
        <v>7174.35</v>
      </c>
      <c r="AA9" s="34">
        <v>0</v>
      </c>
      <c r="AB9" s="34">
        <v>37.54</v>
      </c>
      <c r="AC9" s="34">
        <v>0</v>
      </c>
      <c r="AE9" s="36">
        <f t="shared" si="7"/>
        <v>2.8068877655529914E-2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4.2552341830830558E-2</v>
      </c>
      <c r="I10" s="20">
        <f t="shared" si="1"/>
        <v>853.66984500000001</v>
      </c>
      <c r="J10" s="21">
        <f t="shared" si="2"/>
        <v>2.4254834843573416</v>
      </c>
      <c r="K10" s="21">
        <f t="shared" si="3"/>
        <v>0.27628090811031458</v>
      </c>
      <c r="L10" s="21">
        <f t="shared" si="4"/>
        <v>0.26399395269126341</v>
      </c>
      <c r="M10" s="21">
        <f t="shared" si="5"/>
        <v>2.1492025762470273</v>
      </c>
      <c r="N10" s="18">
        <f t="shared" si="6"/>
        <v>103722080</v>
      </c>
      <c r="O10" s="21">
        <v>16</v>
      </c>
      <c r="P10" s="22">
        <v>92854683</v>
      </c>
      <c r="Q10" s="23">
        <v>910581168</v>
      </c>
      <c r="R10" s="23">
        <v>99109280</v>
      </c>
      <c r="S10" s="23">
        <v>4612800</v>
      </c>
      <c r="T10" s="23">
        <v>806859088</v>
      </c>
      <c r="U10" s="24" t="s">
        <v>571</v>
      </c>
      <c r="V10" s="24" t="s">
        <v>571</v>
      </c>
      <c r="W10" s="24" t="s">
        <v>571</v>
      </c>
      <c r="X10" s="24" t="s">
        <v>571</v>
      </c>
      <c r="Y10" s="24" t="s">
        <v>571</v>
      </c>
      <c r="Z10" s="25">
        <v>21469.8</v>
      </c>
      <c r="AA10" s="25">
        <v>0</v>
      </c>
      <c r="AB10" s="25">
        <v>108.318</v>
      </c>
      <c r="AC10" s="25">
        <v>0</v>
      </c>
      <c r="AE10" s="26">
        <f t="shared" si="7"/>
        <v>4.2552341830830558E-2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4.373233387725415E-2</v>
      </c>
      <c r="I11" s="29">
        <f t="shared" si="1"/>
        <v>778.64884500000005</v>
      </c>
      <c r="J11" s="30">
        <f t="shared" si="2"/>
        <v>2.4927430310034864</v>
      </c>
      <c r="K11" s="30">
        <f t="shared" si="3"/>
        <v>0.29579477234431362</v>
      </c>
      <c r="L11" s="30">
        <f t="shared" si="4"/>
        <v>0.28154784361336099</v>
      </c>
      <c r="M11" s="30">
        <f t="shared" si="5"/>
        <v>2.1969482586591726</v>
      </c>
      <c r="N11" s="27">
        <f t="shared" si="6"/>
        <v>98556064</v>
      </c>
      <c r="O11" s="30">
        <v>16</v>
      </c>
      <c r="P11" s="31">
        <v>83104648</v>
      </c>
      <c r="Q11" s="32">
        <v>830558768</v>
      </c>
      <c r="R11" s="32">
        <v>93809120</v>
      </c>
      <c r="S11" s="32">
        <v>4746944</v>
      </c>
      <c r="T11" s="32">
        <v>732002704</v>
      </c>
      <c r="U11" s="33" t="s">
        <v>571</v>
      </c>
      <c r="V11" s="33" t="s">
        <v>571</v>
      </c>
      <c r="W11" s="33" t="s">
        <v>571</v>
      </c>
      <c r="X11" s="33" t="s">
        <v>571</v>
      </c>
      <c r="Y11" s="33" t="s">
        <v>571</v>
      </c>
      <c r="Z11" s="34">
        <v>19930.2</v>
      </c>
      <c r="AA11" s="34">
        <v>0</v>
      </c>
      <c r="AB11" s="34">
        <v>108.73399999999999</v>
      </c>
      <c r="AC11" s="34">
        <v>0</v>
      </c>
      <c r="AE11" s="36">
        <f t="shared" si="7"/>
        <v>4.373233387725415E-2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1.0928904111137649</v>
      </c>
      <c r="K12" s="48">
        <f>AVERAGE(K5:K8)</f>
        <v>0.16487091635974477</v>
      </c>
      <c r="L12" s="48">
        <f>AVERAGE(L5:L8)</f>
        <v>0.15061955278392372</v>
      </c>
      <c r="M12" s="48">
        <f>AVERAGE(M5:M8)</f>
        <v>0.92801949475402012</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1.5157193933986155</v>
      </c>
      <c r="K13" s="48">
        <f>AVERAGE(K9:K9)</f>
        <v>0.15212938168993206</v>
      </c>
      <c r="L13" s="48">
        <f>AVERAGE(L9:L9)</f>
        <v>0.14250548979122529</v>
      </c>
      <c r="M13" s="48">
        <f>AVERAGE(M9:M9)</f>
        <v>1.3635900117086834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2.4591132576804142</v>
      </c>
      <c r="K14" s="48">
        <f>AVERAGE(K10:K11)</f>
        <v>0.2860378402273141</v>
      </c>
      <c r="L14" s="48">
        <f>AVERAGE(L10:L11)</f>
        <v>0.2727708981523122</v>
      </c>
      <c r="M14" s="48">
        <f>AVERAGE(M10:M11)</f>
        <v>2.1730754174531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1.5436439361735006</v>
      </c>
      <c r="K15" s="48">
        <f>AVERAGE(K5:K11)</f>
        <v>0.19766981822621993</v>
      </c>
      <c r="L15" s="48">
        <f>AVERAGE(L5:L11)</f>
        <v>0.18436078531879208</v>
      </c>
      <c r="M15" s="48">
        <f>AVERAGE(M5:M11)</f>
        <v>1.3459741179472806</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81923.12999999999</v>
      </c>
      <c r="AA16" s="49">
        <f>SUM(AA5:AA8,AA9:AA9,AA10:AA11)</f>
        <v>0</v>
      </c>
      <c r="AB16" s="49">
        <f>SUM(AB5:AB8,AB9:AB9,AB10:AB11)</f>
        <v>401.54499999999996</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10533.54946826342</v>
      </c>
      <c r="AA18" s="49" t="e">
        <f>GEOMEAN(AA5:AA8,AA9:AA9,AA10:AA11)</f>
        <v>#NUM!</v>
      </c>
      <c r="AB18" s="49">
        <f>GEOMEAN(AB5:AB8,AB9:AB9,AB10:AB11)</f>
        <v>50.139717090421236</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Q5" activePane="bottomRight" state="frozen"/>
      <selection pane="topRight" activeCell="C1" sqref="C1"/>
      <selection pane="bottomLeft" activeCell="A5" sqref="A5"/>
      <selection pane="bottomRight" activeCell="AM5" sqref="AM5:AZ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572</v>
      </c>
      <c r="B1" s="59"/>
      <c r="C1" s="59"/>
      <c r="D1" s="59"/>
      <c r="E1" s="59"/>
      <c r="F1" s="59"/>
      <c r="H1" s="58" t="str">
        <f>Summary!$C$1</f>
        <v>R10.0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1.7166145942995641E-2</v>
      </c>
      <c r="I5" s="11">
        <f t="shared" ref="I5:I11" si="1">IF(OR(ISBLANK(Q5),ISBLANK(F5)),"·",Q5*F5/E5/1000000)</f>
        <v>206.95782</v>
      </c>
      <c r="J5" s="12">
        <f t="shared" ref="J5:J11" si="2">IF(ISBLANK(Q5),"·",Q5/C5)</f>
        <v>0.92697188092176463</v>
      </c>
      <c r="K5" s="12">
        <f t="shared" ref="K5:K11" si="3">IF(N5="","·",N5/C5)</f>
        <v>0.14288229965240162</v>
      </c>
      <c r="L5" s="12">
        <f t="shared" ref="L5:L11" si="4">IF(R5="","·",R5/C5)</f>
        <v>0.13400974025258269</v>
      </c>
      <c r="M5" s="12">
        <f t="shared" ref="M5:M11" si="5">IF(ISBLANK(T5),"·",T5/C5)</f>
        <v>0.78408958126936301</v>
      </c>
      <c r="N5" s="54">
        <f t="shared" ref="N5:N11" si="6">IF(OR(ISBLANK(R5),ISBLANK(S5)),"",R5+S5)</f>
        <v>34026904</v>
      </c>
      <c r="O5" s="12">
        <v>16</v>
      </c>
      <c r="P5" s="13">
        <v>24964341</v>
      </c>
      <c r="Q5" s="14">
        <v>220755008</v>
      </c>
      <c r="R5" s="14">
        <v>31913936</v>
      </c>
      <c r="S5" s="14">
        <v>2112968</v>
      </c>
      <c r="T5" s="14">
        <v>186728104</v>
      </c>
      <c r="U5" s="15" t="s">
        <v>571</v>
      </c>
      <c r="V5" s="15" t="s">
        <v>571</v>
      </c>
      <c r="W5" s="15" t="s">
        <v>571</v>
      </c>
      <c r="X5" s="15" t="s">
        <v>571</v>
      </c>
      <c r="Y5" s="15" t="s">
        <v>571</v>
      </c>
      <c r="Z5" s="16">
        <v>9478.43</v>
      </c>
      <c r="AA5" s="16">
        <v>0</v>
      </c>
      <c r="AB5" s="16">
        <v>32.844999999999999</v>
      </c>
      <c r="AC5" s="16">
        <v>0</v>
      </c>
      <c r="AE5" s="17">
        <f t="shared" ref="AE5:AE11" si="7">IF(ISBLANK(Q5),"·",Q5/(C5*(D5*3+IF(AND(ISNUMBER(T5),T5&gt;0),24,0))))</f>
        <v>1.7166145942995641E-2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2.4555506067957752E-2</v>
      </c>
      <c r="I6" s="20">
        <f t="shared" si="1"/>
        <v>271.15142250000002</v>
      </c>
      <c r="J6" s="21">
        <f t="shared" si="2"/>
        <v>1.3259973276697186</v>
      </c>
      <c r="K6" s="21">
        <f t="shared" si="3"/>
        <v>0.17650231424961352</v>
      </c>
      <c r="L6" s="21">
        <f t="shared" si="4"/>
        <v>0.16081034418463472</v>
      </c>
      <c r="M6" s="21">
        <f t="shared" si="5"/>
        <v>1.1494950134201052</v>
      </c>
      <c r="N6" s="18">
        <f t="shared" si="6"/>
        <v>38498904</v>
      </c>
      <c r="O6" s="21">
        <v>16</v>
      </c>
      <c r="P6" s="22">
        <v>22654789</v>
      </c>
      <c r="Q6" s="23">
        <v>289228184</v>
      </c>
      <c r="R6" s="23">
        <v>35076152</v>
      </c>
      <c r="S6" s="23">
        <v>3422752</v>
      </c>
      <c r="T6" s="23">
        <v>250729280</v>
      </c>
      <c r="U6" s="24" t="s">
        <v>571</v>
      </c>
      <c r="V6" s="24" t="s">
        <v>571</v>
      </c>
      <c r="W6" s="24" t="s">
        <v>571</v>
      </c>
      <c r="X6" s="24" t="s">
        <v>571</v>
      </c>
      <c r="Y6" s="24" t="s">
        <v>571</v>
      </c>
      <c r="Z6" s="25">
        <v>11321.6</v>
      </c>
      <c r="AA6" s="25">
        <v>0</v>
      </c>
      <c r="AB6" s="25">
        <v>32.271999999999998</v>
      </c>
      <c r="AC6" s="25">
        <v>0</v>
      </c>
      <c r="AE6" s="26">
        <f t="shared" si="7"/>
        <v>2.4555506067957752E-2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1.8930890523308118E-2</v>
      </c>
      <c r="I7" s="11">
        <f t="shared" si="1"/>
        <v>309.16233749999998</v>
      </c>
      <c r="J7" s="12">
        <f t="shared" si="2"/>
        <v>1.0222680882586384</v>
      </c>
      <c r="K7" s="12">
        <f t="shared" si="3"/>
        <v>0.156932844949075</v>
      </c>
      <c r="L7" s="12">
        <f t="shared" si="4"/>
        <v>0.14511364566055709</v>
      </c>
      <c r="M7" s="12">
        <f t="shared" si="5"/>
        <v>0.86533524330956324</v>
      </c>
      <c r="N7" s="54">
        <f t="shared" si="6"/>
        <v>50624920</v>
      </c>
      <c r="O7" s="12">
        <v>16</v>
      </c>
      <c r="P7" s="13">
        <v>33947718</v>
      </c>
      <c r="Q7" s="14">
        <v>329773160</v>
      </c>
      <c r="R7" s="14">
        <v>46812168</v>
      </c>
      <c r="S7" s="14">
        <v>3812752</v>
      </c>
      <c r="T7" s="14">
        <v>279148240</v>
      </c>
      <c r="U7" s="15" t="s">
        <v>571</v>
      </c>
      <c r="V7" s="15" t="s">
        <v>571</v>
      </c>
      <c r="W7" s="15" t="s">
        <v>571</v>
      </c>
      <c r="X7" s="15" t="s">
        <v>571</v>
      </c>
      <c r="Y7" s="15" t="s">
        <v>571</v>
      </c>
      <c r="Z7" s="16">
        <v>12277.5</v>
      </c>
      <c r="AA7" s="16">
        <v>0</v>
      </c>
      <c r="AB7" s="16">
        <v>38.872999999999998</v>
      </c>
      <c r="AC7" s="16">
        <v>0</v>
      </c>
      <c r="AE7" s="17">
        <f t="shared" si="7"/>
        <v>1.8930890523308118E-2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1.7451269221465282E-2</v>
      </c>
      <c r="I8" s="39">
        <f t="shared" si="1"/>
        <v>369.00043749999998</v>
      </c>
      <c r="J8" s="40">
        <f t="shared" si="2"/>
        <v>0.94236853795912512</v>
      </c>
      <c r="K8" s="40">
        <f t="shared" si="3"/>
        <v>0.11764796440436914</v>
      </c>
      <c r="L8" s="40">
        <f t="shared" si="4"/>
        <v>0.10443241055826447</v>
      </c>
      <c r="M8" s="40">
        <f t="shared" si="5"/>
        <v>0.82472057355475603</v>
      </c>
      <c r="N8" s="37">
        <f t="shared" si="6"/>
        <v>29482920</v>
      </c>
      <c r="O8" s="40">
        <v>16</v>
      </c>
      <c r="P8" s="41">
        <v>32209643</v>
      </c>
      <c r="Q8" s="42">
        <v>236160280</v>
      </c>
      <c r="R8" s="42">
        <v>26171064</v>
      </c>
      <c r="S8" s="42">
        <v>3311856</v>
      </c>
      <c r="T8" s="42">
        <v>206677360</v>
      </c>
      <c r="U8" s="43" t="s">
        <v>571</v>
      </c>
      <c r="V8" s="43" t="s">
        <v>571</v>
      </c>
      <c r="W8" s="43" t="s">
        <v>571</v>
      </c>
      <c r="X8" s="43" t="s">
        <v>571</v>
      </c>
      <c r="Y8" s="43" t="s">
        <v>571</v>
      </c>
      <c r="Z8" s="44">
        <v>10219.9</v>
      </c>
      <c r="AA8" s="44">
        <v>0</v>
      </c>
      <c r="AB8" s="44">
        <v>38.936999999999998</v>
      </c>
      <c r="AC8" s="44">
        <v>0</v>
      </c>
      <c r="AE8" s="46">
        <f t="shared" si="7"/>
        <v>1.7451269221465282E-2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2.7896888907280256E-2</v>
      </c>
      <c r="I9" s="29">
        <f t="shared" si="1"/>
        <v>353.48603250000002</v>
      </c>
      <c r="J9" s="30">
        <f t="shared" si="2"/>
        <v>1.5064320009931338</v>
      </c>
      <c r="K9" s="30">
        <f t="shared" si="3"/>
        <v>0.15198814011883005</v>
      </c>
      <c r="L9" s="30">
        <f t="shared" si="4"/>
        <v>0.14215230595762557</v>
      </c>
      <c r="M9" s="30">
        <f t="shared" si="5"/>
        <v>1.3544438608743037</v>
      </c>
      <c r="N9" s="27">
        <f t="shared" si="6"/>
        <v>38041808</v>
      </c>
      <c r="O9" s="30">
        <v>16</v>
      </c>
      <c r="P9" s="31">
        <v>25312408</v>
      </c>
      <c r="Q9" s="32">
        <v>377051768</v>
      </c>
      <c r="R9" s="32">
        <v>35579952</v>
      </c>
      <c r="S9" s="32">
        <v>2461856</v>
      </c>
      <c r="T9" s="32">
        <v>339009960</v>
      </c>
      <c r="U9" s="33" t="s">
        <v>571</v>
      </c>
      <c r="V9" s="33" t="s">
        <v>571</v>
      </c>
      <c r="W9" s="33" t="s">
        <v>571</v>
      </c>
      <c r="X9" s="33" t="s">
        <v>571</v>
      </c>
      <c r="Y9" s="33" t="s">
        <v>571</v>
      </c>
      <c r="Z9" s="34">
        <v>11602.3</v>
      </c>
      <c r="AA9" s="34">
        <v>0</v>
      </c>
      <c r="AB9" s="34">
        <v>38.192</v>
      </c>
      <c r="AC9" s="34">
        <v>0</v>
      </c>
      <c r="AE9" s="36">
        <f t="shared" si="7"/>
        <v>2.7896888907280256E-2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4.252670970650841E-2</v>
      </c>
      <c r="I10" s="20">
        <f t="shared" si="1"/>
        <v>853.15562250000005</v>
      </c>
      <c r="J10" s="21">
        <f t="shared" si="2"/>
        <v>2.4240224532709798</v>
      </c>
      <c r="K10" s="21">
        <f t="shared" si="3"/>
        <v>0.27542335704037207</v>
      </c>
      <c r="L10" s="21">
        <f t="shared" si="4"/>
        <v>0.26290847710664489</v>
      </c>
      <c r="M10" s="21">
        <f t="shared" si="5"/>
        <v>2.1485990962306074</v>
      </c>
      <c r="N10" s="18">
        <f t="shared" si="6"/>
        <v>103400136</v>
      </c>
      <c r="O10" s="21">
        <v>16</v>
      </c>
      <c r="P10" s="22">
        <v>92854683</v>
      </c>
      <c r="Q10" s="23">
        <v>910032664</v>
      </c>
      <c r="R10" s="23">
        <v>98701768</v>
      </c>
      <c r="S10" s="23">
        <v>4698368</v>
      </c>
      <c r="T10" s="23">
        <v>806632528</v>
      </c>
      <c r="U10" s="24" t="s">
        <v>571</v>
      </c>
      <c r="V10" s="24" t="s">
        <v>571</v>
      </c>
      <c r="W10" s="24" t="s">
        <v>571</v>
      </c>
      <c r="X10" s="24" t="s">
        <v>571</v>
      </c>
      <c r="Y10" s="24" t="s">
        <v>571</v>
      </c>
      <c r="Z10" s="25">
        <v>35288.6</v>
      </c>
      <c r="AA10" s="25">
        <v>0</v>
      </c>
      <c r="AB10" s="25">
        <v>110.01600000000001</v>
      </c>
      <c r="AC10" s="25">
        <v>0</v>
      </c>
      <c r="AE10" s="26">
        <f t="shared" si="7"/>
        <v>4.252670970650841E-2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4.3721351072086224E-2</v>
      </c>
      <c r="I11" s="29">
        <f t="shared" si="1"/>
        <v>778.45329749999996</v>
      </c>
      <c r="J11" s="30">
        <f t="shared" si="2"/>
        <v>2.492117011108915</v>
      </c>
      <c r="K11" s="30">
        <f t="shared" si="3"/>
        <v>0.29562830910920201</v>
      </c>
      <c r="L11" s="30">
        <f t="shared" si="4"/>
        <v>0.28101527170826796</v>
      </c>
      <c r="M11" s="30">
        <f t="shared" si="5"/>
        <v>2.196488701999713</v>
      </c>
      <c r="N11" s="27">
        <f t="shared" si="6"/>
        <v>98500600</v>
      </c>
      <c r="O11" s="30">
        <v>16</v>
      </c>
      <c r="P11" s="31">
        <v>83104648</v>
      </c>
      <c r="Q11" s="32">
        <v>830350184</v>
      </c>
      <c r="R11" s="32">
        <v>93631672</v>
      </c>
      <c r="S11" s="32">
        <v>4868928</v>
      </c>
      <c r="T11" s="32">
        <v>731849584</v>
      </c>
      <c r="U11" s="33" t="s">
        <v>571</v>
      </c>
      <c r="V11" s="33" t="s">
        <v>571</v>
      </c>
      <c r="W11" s="33" t="s">
        <v>571</v>
      </c>
      <c r="X11" s="33" t="s">
        <v>571</v>
      </c>
      <c r="Y11" s="33" t="s">
        <v>571</v>
      </c>
      <c r="Z11" s="34">
        <v>37760.300000000003</v>
      </c>
      <c r="AA11" s="34">
        <v>0</v>
      </c>
      <c r="AB11" s="34">
        <v>109.95</v>
      </c>
      <c r="AC11" s="34">
        <v>0</v>
      </c>
      <c r="AE11" s="36">
        <f t="shared" si="7"/>
        <v>4.3721351072086224E-2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1.0544014587023116</v>
      </c>
      <c r="K12" s="48">
        <f>AVERAGE(K5:K8)</f>
        <v>0.1484913558138648</v>
      </c>
      <c r="L12" s="48">
        <f>AVERAGE(L5:L8)</f>
        <v>0.13609153516400974</v>
      </c>
      <c r="M12" s="48">
        <f>AVERAGE(M5:M8)</f>
        <v>0.90591010288844687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1.5064320009931338</v>
      </c>
      <c r="K13" s="48">
        <f>AVERAGE(K9:K9)</f>
        <v>0.15198814011883005</v>
      </c>
      <c r="L13" s="48">
        <f>AVERAGE(L9:L9)</f>
        <v>0.14215230595762557</v>
      </c>
      <c r="M13" s="48">
        <f>AVERAGE(M9:M9)</f>
        <v>1.3544438608743037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2.4580697321899474</v>
      </c>
      <c r="K14" s="48">
        <f>AVERAGE(K10:K11)</f>
        <v>0.28552583307478707</v>
      </c>
      <c r="L14" s="48">
        <f>AVERAGE(L10:L11)</f>
        <v>0.27196187440745645</v>
      </c>
      <c r="M14" s="48">
        <f>AVERAGE(M10:M11)</f>
        <v>2.1725438991151602</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1.5200253285974679</v>
      </c>
      <c r="K15" s="48">
        <f>AVERAGE(K5:K11)</f>
        <v>0.18814360421769477</v>
      </c>
      <c r="L15" s="48">
        <f>AVERAGE(L5:L11)</f>
        <v>0.17577745648979676</v>
      </c>
      <c r="M15" s="48">
        <f>AVERAGE(M5:M11)</f>
        <v>1.3318817243797731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127948.62999999999</v>
      </c>
      <c r="AA16" s="49">
        <f>SUM(AA5:AA8,AA9:AA9,AA10:AA11)</f>
        <v>0</v>
      </c>
      <c r="AB16" s="49">
        <f>SUM(AB5:AB8,AB9:AB9,AB10:AB11)</f>
        <v>401.08499999999998</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15429.25531473352</v>
      </c>
      <c r="AA18" s="49" t="e">
        <f>GEOMEAN(AA5:AA8,AA9:AA9,AA10:AA11)</f>
        <v>#NUM!</v>
      </c>
      <c r="AB18" s="49">
        <f>GEOMEAN(AB5:AB8,AB9:AB9,AB10:AB11)</f>
        <v>49.625416911774785</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AA5" activePane="bottomRight" state="frozen"/>
      <selection pane="topRight" activeCell="C1" sqref="C1"/>
      <selection pane="bottomLeft" activeCell="A5" sqref="A5"/>
      <selection pane="bottomRight" activeCell="BA56" sqref="BA56"/>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573</v>
      </c>
      <c r="B1" s="59"/>
      <c r="C1" s="59"/>
      <c r="D1" s="59"/>
      <c r="E1" s="59"/>
      <c r="F1" s="59"/>
      <c r="G1" s="59"/>
      <c r="I1" s="58" t="str">
        <f>Summary!$C$1</f>
        <v>R10.0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1.0418099999999999</v>
      </c>
      <c r="J5" s="12">
        <f t="shared" ref="J5:J39" si="1">IF(ISBLANK(S5),"·",S5/D5)</f>
        <v>4.6663062804928254E-3</v>
      </c>
      <c r="K5" s="12">
        <f t="shared" ref="K5:K39" si="2">IF(N5="","·",N5/D5)</f>
        <v>4.0539098490894199E-3</v>
      </c>
      <c r="L5" s="12">
        <f t="shared" ref="L5:L39" si="3">IF(T5="","·",T5/D5)</f>
        <v>2.5510359298285567E-3</v>
      </c>
      <c r="M5" s="12">
        <f t="shared" ref="M5:M39" si="4">IF(ISBLANK(V5),"·",V5/D5)</f>
        <v>6.1239643140340516E-4</v>
      </c>
      <c r="N5" s="54">
        <f t="shared" ref="N5:N39" si="5">IF(OR(ISBLANK(T5),ISBLANK(U5)),"",T5+U5)</f>
        <v>965424</v>
      </c>
      <c r="O5" s="12">
        <v>16</v>
      </c>
      <c r="P5" s="13">
        <v>23582209</v>
      </c>
      <c r="Q5" s="13">
        <v>736944.03125</v>
      </c>
      <c r="R5" s="13">
        <v>16985</v>
      </c>
      <c r="S5" s="14">
        <v>1111264</v>
      </c>
      <c r="T5" s="14">
        <v>607520</v>
      </c>
      <c r="U5" s="14">
        <v>357904</v>
      </c>
      <c r="V5" s="14">
        <v>145840</v>
      </c>
      <c r="W5" s="15">
        <v>66.845706250000006</v>
      </c>
      <c r="X5" s="15">
        <v>68.619978125000003</v>
      </c>
      <c r="Y5" s="15">
        <v>31.7209</v>
      </c>
      <c r="Z5" s="15">
        <v>44.575056250000003</v>
      </c>
      <c r="AA5" s="15">
        <v>44.244737499999999</v>
      </c>
      <c r="AB5" s="16">
        <v>6746.98</v>
      </c>
      <c r="AC5" s="16">
        <v>0</v>
      </c>
      <c r="AD5" s="16">
        <v>43.677</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1.354425</v>
      </c>
      <c r="J6" s="21">
        <f t="shared" si="1"/>
        <v>6.0665206553560582E-3</v>
      </c>
      <c r="K6" s="21">
        <f t="shared" si="2"/>
        <v>4.9441521874669095E-3</v>
      </c>
      <c r="L6" s="21">
        <f t="shared" si="3"/>
        <v>3.4412782682060462E-3</v>
      </c>
      <c r="M6" s="21">
        <f t="shared" si="4"/>
        <v>1.1223684678891481E-3</v>
      </c>
      <c r="N6" s="18">
        <f t="shared" si="5"/>
        <v>1177432</v>
      </c>
      <c r="O6" s="21">
        <v>16</v>
      </c>
      <c r="P6" s="22">
        <v>24777501</v>
      </c>
      <c r="Q6" s="22">
        <v>774296.90625</v>
      </c>
      <c r="R6" s="22">
        <v>19924.375</v>
      </c>
      <c r="S6" s="23">
        <v>1444720</v>
      </c>
      <c r="T6" s="23">
        <v>819528</v>
      </c>
      <c r="U6" s="23">
        <v>357904</v>
      </c>
      <c r="V6" s="23">
        <v>267288</v>
      </c>
      <c r="W6" s="24">
        <v>68.552899999999994</v>
      </c>
      <c r="X6" s="24">
        <v>70.622062499999998</v>
      </c>
      <c r="Y6" s="24">
        <v>33.798978124999998</v>
      </c>
      <c r="Z6" s="24">
        <v>45.497103125000002</v>
      </c>
      <c r="AA6" s="24">
        <v>45.158875000000002</v>
      </c>
      <c r="AB6" s="25">
        <v>7080.59</v>
      </c>
      <c r="AC6" s="25">
        <v>0</v>
      </c>
      <c r="AD6" s="25">
        <v>44.94</v>
      </c>
      <c r="AE6" s="25">
        <v>0</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1.874655</v>
      </c>
      <c r="J7" s="12">
        <f t="shared" si="1"/>
        <v>8.3966504451457331E-3</v>
      </c>
      <c r="K7" s="12">
        <f t="shared" si="2"/>
        <v>6.1427762724315226E-3</v>
      </c>
      <c r="L7" s="12">
        <f t="shared" si="3"/>
        <v>4.6399023531706598E-3</v>
      </c>
      <c r="M7" s="12">
        <f t="shared" si="4"/>
        <v>2.2538741727142109E-3</v>
      </c>
      <c r="N7" s="54">
        <f t="shared" si="5"/>
        <v>1462880</v>
      </c>
      <c r="O7" s="12">
        <v>16</v>
      </c>
      <c r="P7" s="13">
        <v>24923704</v>
      </c>
      <c r="Q7" s="13">
        <v>778865.75</v>
      </c>
      <c r="R7" s="13">
        <v>21104.84375</v>
      </c>
      <c r="S7" s="14">
        <v>1999632</v>
      </c>
      <c r="T7" s="14">
        <v>1104976</v>
      </c>
      <c r="U7" s="14">
        <v>357904</v>
      </c>
      <c r="V7" s="14">
        <v>536752</v>
      </c>
      <c r="W7" s="15">
        <v>69.837428125000002</v>
      </c>
      <c r="X7" s="15">
        <v>72.274171874999993</v>
      </c>
      <c r="Y7" s="15">
        <v>36.190462500000002</v>
      </c>
      <c r="Z7" s="15">
        <v>46.891187500000001</v>
      </c>
      <c r="AA7" s="15">
        <v>46.671834375000003</v>
      </c>
      <c r="AB7" s="16">
        <v>7401.71</v>
      </c>
      <c r="AC7" s="16">
        <v>0</v>
      </c>
      <c r="AD7" s="16">
        <v>45.488999999999997</v>
      </c>
      <c r="AE7" s="16">
        <v>0</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3.0921375000000002</v>
      </c>
      <c r="J8" s="21">
        <f t="shared" si="1"/>
        <v>1.3849800478395661E-2</v>
      </c>
      <c r="K8" s="21">
        <f t="shared" si="2"/>
        <v>8.8572746836209672E-3</v>
      </c>
      <c r="L8" s="21">
        <f t="shared" si="3"/>
        <v>7.3544007643601035E-3</v>
      </c>
      <c r="M8" s="21">
        <f t="shared" si="4"/>
        <v>4.9925257947746942E-3</v>
      </c>
      <c r="N8" s="18">
        <f t="shared" si="5"/>
        <v>2109328</v>
      </c>
      <c r="O8" s="21">
        <v>16</v>
      </c>
      <c r="P8" s="22">
        <v>25894561</v>
      </c>
      <c r="Q8" s="22">
        <v>809205.03125</v>
      </c>
      <c r="R8" s="22">
        <v>24362.6875</v>
      </c>
      <c r="S8" s="23">
        <v>3298280</v>
      </c>
      <c r="T8" s="23">
        <v>1751424</v>
      </c>
      <c r="U8" s="23">
        <v>357904</v>
      </c>
      <c r="V8" s="23">
        <v>1188952</v>
      </c>
      <c r="W8" s="24">
        <v>70.899375000000006</v>
      </c>
      <c r="X8" s="24">
        <v>73.460281249999994</v>
      </c>
      <c r="Y8" s="24">
        <v>38.672028124999997</v>
      </c>
      <c r="Z8" s="24">
        <v>48.127665624999999</v>
      </c>
      <c r="AA8" s="24">
        <v>48.148987499999997</v>
      </c>
      <c r="AB8" s="25">
        <v>7825.61</v>
      </c>
      <c r="AC8" s="25">
        <v>0</v>
      </c>
      <c r="AD8" s="25">
        <v>46.636000000000003</v>
      </c>
      <c r="AE8" s="25">
        <v>0</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6.3075225000000001</v>
      </c>
      <c r="J9" s="30">
        <f t="shared" si="1"/>
        <v>2.8251631157408554E-2</v>
      </c>
      <c r="K9" s="30">
        <f t="shared" si="2"/>
        <v>1.5566324496599237E-2</v>
      </c>
      <c r="L9" s="30">
        <f t="shared" si="3"/>
        <v>1.2147654171253009E-2</v>
      </c>
      <c r="M9" s="30">
        <f t="shared" si="4"/>
        <v>1.2685306660809317E-2</v>
      </c>
      <c r="N9" s="27">
        <f t="shared" si="5"/>
        <v>3707064</v>
      </c>
      <c r="O9" s="30">
        <v>16</v>
      </c>
      <c r="P9" s="31">
        <v>24903158</v>
      </c>
      <c r="Q9" s="31">
        <v>778223.6875</v>
      </c>
      <c r="R9" s="31">
        <v>10582.96875</v>
      </c>
      <c r="S9" s="32">
        <v>6728024</v>
      </c>
      <c r="T9" s="32">
        <v>2892920</v>
      </c>
      <c r="U9" s="32">
        <v>814144</v>
      </c>
      <c r="V9" s="32">
        <v>3020960</v>
      </c>
      <c r="W9" s="33">
        <v>71.932040624999999</v>
      </c>
      <c r="X9" s="33">
        <v>75.246168749999995</v>
      </c>
      <c r="Y9" s="33">
        <v>41.106162500000003</v>
      </c>
      <c r="Z9" s="33">
        <v>49.546553125000003</v>
      </c>
      <c r="AA9" s="33">
        <v>49.676209374999999</v>
      </c>
      <c r="AB9" s="34">
        <v>8552.84</v>
      </c>
      <c r="AC9" s="34">
        <v>0</v>
      </c>
      <c r="AD9" s="34">
        <v>46.536999999999999</v>
      </c>
      <c r="AE9" s="34">
        <v>0</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1.962405</v>
      </c>
      <c r="J10" s="21">
        <f t="shared" si="1"/>
        <v>9.5966444203540707E-3</v>
      </c>
      <c r="K10" s="21">
        <f t="shared" si="2"/>
        <v>7.1823541147817234E-3</v>
      </c>
      <c r="L10" s="21">
        <f t="shared" si="3"/>
        <v>4.1200939063055584E-3</v>
      </c>
      <c r="M10" s="21">
        <f t="shared" si="4"/>
        <v>2.4142903055723477E-3</v>
      </c>
      <c r="N10" s="18">
        <f t="shared" si="5"/>
        <v>1566624</v>
      </c>
      <c r="O10" s="21">
        <v>16</v>
      </c>
      <c r="P10" s="22">
        <v>21022693</v>
      </c>
      <c r="Q10" s="22">
        <v>656959.15625</v>
      </c>
      <c r="R10" s="22">
        <v>19029.53125</v>
      </c>
      <c r="S10" s="23">
        <v>2093232</v>
      </c>
      <c r="T10" s="23">
        <v>898680</v>
      </c>
      <c r="U10" s="23">
        <v>667944</v>
      </c>
      <c r="V10" s="23">
        <v>526608</v>
      </c>
      <c r="W10" s="24">
        <v>65.986409374999994</v>
      </c>
      <c r="X10" s="24">
        <v>67.859937500000001</v>
      </c>
      <c r="Y10" s="24">
        <v>31.011700000000001</v>
      </c>
      <c r="Z10" s="24">
        <v>38.738853124999999</v>
      </c>
      <c r="AA10" s="24">
        <v>30.108956249999999</v>
      </c>
      <c r="AB10" s="25">
        <v>7885.27</v>
      </c>
      <c r="AC10" s="25">
        <v>0</v>
      </c>
      <c r="AD10" s="25">
        <v>44.194000000000003</v>
      </c>
      <c r="AE10" s="25">
        <v>0</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2.6842575000000002</v>
      </c>
      <c r="J11" s="12">
        <f t="shared" si="1"/>
        <v>1.3126681169365431E-2</v>
      </c>
      <c r="K11" s="12">
        <f t="shared" si="2"/>
        <v>8.8252935952015162E-3</v>
      </c>
      <c r="L11" s="12">
        <f t="shared" si="3"/>
        <v>5.7630333867253513E-3</v>
      </c>
      <c r="M11" s="12">
        <f t="shared" si="4"/>
        <v>4.3013875741639137E-3</v>
      </c>
      <c r="N11" s="54">
        <f t="shared" si="5"/>
        <v>1924984</v>
      </c>
      <c r="O11" s="12">
        <v>16</v>
      </c>
      <c r="P11" s="13">
        <v>22225091</v>
      </c>
      <c r="Q11" s="13">
        <v>694534.09375</v>
      </c>
      <c r="R11" s="13">
        <v>23225.96875</v>
      </c>
      <c r="S11" s="14">
        <v>2863208</v>
      </c>
      <c r="T11" s="14">
        <v>1257040</v>
      </c>
      <c r="U11" s="14">
        <v>667944</v>
      </c>
      <c r="V11" s="14">
        <v>938224</v>
      </c>
      <c r="W11" s="15">
        <v>67.670468749999998</v>
      </c>
      <c r="X11" s="15">
        <v>69.746768750000001</v>
      </c>
      <c r="Y11" s="15">
        <v>32.851759375</v>
      </c>
      <c r="Z11" s="15">
        <v>39.672181250000001</v>
      </c>
      <c r="AA11" s="15">
        <v>32.236640625</v>
      </c>
      <c r="AB11" s="16">
        <v>8323.43</v>
      </c>
      <c r="AC11" s="16">
        <v>0</v>
      </c>
      <c r="AD11" s="16">
        <v>46.341999999999999</v>
      </c>
      <c r="AE11" s="16">
        <v>0</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3.8273625</v>
      </c>
      <c r="J12" s="21">
        <f t="shared" si="1"/>
        <v>1.871674653310474E-2</v>
      </c>
      <c r="K12" s="21">
        <f t="shared" si="2"/>
        <v>1.1331789500813497E-2</v>
      </c>
      <c r="L12" s="21">
        <f t="shared" si="3"/>
        <v>8.2695292923373326E-3</v>
      </c>
      <c r="M12" s="21">
        <f t="shared" si="4"/>
        <v>7.3849570322912427E-3</v>
      </c>
      <c r="N12" s="18">
        <f t="shared" si="5"/>
        <v>2471704</v>
      </c>
      <c r="O12" s="21">
        <v>16</v>
      </c>
      <c r="P12" s="22">
        <v>22547007</v>
      </c>
      <c r="Q12" s="22">
        <v>704593.96875</v>
      </c>
      <c r="R12" s="22">
        <v>24701.21875</v>
      </c>
      <c r="S12" s="23">
        <v>4082520</v>
      </c>
      <c r="T12" s="23">
        <v>1803760</v>
      </c>
      <c r="U12" s="23">
        <v>667944</v>
      </c>
      <c r="V12" s="23">
        <v>1610816</v>
      </c>
      <c r="W12" s="24">
        <v>69.008018750000005</v>
      </c>
      <c r="X12" s="24">
        <v>71.384221874999994</v>
      </c>
      <c r="Y12" s="24">
        <v>34.861624999999997</v>
      </c>
      <c r="Z12" s="24">
        <v>40.634021875000002</v>
      </c>
      <c r="AA12" s="24">
        <v>34.136196875000003</v>
      </c>
      <c r="AB12" s="25">
        <v>8717.42</v>
      </c>
      <c r="AC12" s="25">
        <v>0</v>
      </c>
      <c r="AD12" s="25">
        <v>46.444000000000003</v>
      </c>
      <c r="AE12" s="25">
        <v>0</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6.1985774999999999</v>
      </c>
      <c r="J13" s="12">
        <f t="shared" si="1"/>
        <v>3.0312572674604521E-2</v>
      </c>
      <c r="K13" s="12">
        <f t="shared" si="2"/>
        <v>1.5866001716604933E-2</v>
      </c>
      <c r="L13" s="12">
        <f t="shared" si="3"/>
        <v>1.2803741508128769E-2</v>
      </c>
      <c r="M13" s="12">
        <f t="shared" si="4"/>
        <v>1.4446570957999588E-2</v>
      </c>
      <c r="N13" s="54">
        <f t="shared" si="5"/>
        <v>3460712</v>
      </c>
      <c r="O13" s="12">
        <v>16</v>
      </c>
      <c r="P13" s="13">
        <v>23302548</v>
      </c>
      <c r="Q13" s="13">
        <v>728204.625</v>
      </c>
      <c r="R13" s="13">
        <v>28114</v>
      </c>
      <c r="S13" s="14">
        <v>6611816</v>
      </c>
      <c r="T13" s="14">
        <v>2792768</v>
      </c>
      <c r="U13" s="14">
        <v>667944</v>
      </c>
      <c r="V13" s="14">
        <v>3151104</v>
      </c>
      <c r="W13" s="15">
        <v>70.065493750000002</v>
      </c>
      <c r="X13" s="15">
        <v>72.574931250000006</v>
      </c>
      <c r="Y13" s="15">
        <v>37.046803124999997</v>
      </c>
      <c r="Z13" s="15">
        <v>41.695096874999997</v>
      </c>
      <c r="AA13" s="15">
        <v>36.089156250000002</v>
      </c>
      <c r="AB13" s="16">
        <v>9109.5300000000007</v>
      </c>
      <c r="AC13" s="16">
        <v>0</v>
      </c>
      <c r="AD13" s="16">
        <v>47.78</v>
      </c>
      <c r="AE13" s="16">
        <v>0</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12.2189175</v>
      </c>
      <c r="J14" s="40">
        <f t="shared" si="1"/>
        <v>5.9753520017092145E-2</v>
      </c>
      <c r="K14" s="40">
        <f t="shared" si="2"/>
        <v>2.6747729595267937E-2</v>
      </c>
      <c r="L14" s="40">
        <f t="shared" si="3"/>
        <v>2.0743655952591724E-2</v>
      </c>
      <c r="M14" s="40">
        <f t="shared" si="4"/>
        <v>3.3005790421824208E-2</v>
      </c>
      <c r="N14" s="37">
        <f t="shared" si="5"/>
        <v>5834248</v>
      </c>
      <c r="O14" s="40">
        <v>16</v>
      </c>
      <c r="P14" s="41">
        <v>22137685</v>
      </c>
      <c r="Q14" s="41">
        <v>691802.65625</v>
      </c>
      <c r="R14" s="41">
        <v>13319.59375</v>
      </c>
      <c r="S14" s="42">
        <v>13033512</v>
      </c>
      <c r="T14" s="42">
        <v>4524632</v>
      </c>
      <c r="U14" s="42">
        <v>1309616</v>
      </c>
      <c r="V14" s="42">
        <v>7199264</v>
      </c>
      <c r="W14" s="43">
        <v>70.915209375000003</v>
      </c>
      <c r="X14" s="43">
        <v>74.637884374999999</v>
      </c>
      <c r="Y14" s="43">
        <v>39.451509375000001</v>
      </c>
      <c r="Z14" s="43">
        <v>42.978534375000002</v>
      </c>
      <c r="AA14" s="43">
        <v>38.253678125</v>
      </c>
      <c r="AB14" s="44">
        <v>9889.5400000000009</v>
      </c>
      <c r="AC14" s="44">
        <v>0</v>
      </c>
      <c r="AD14" s="44">
        <v>47.555</v>
      </c>
      <c r="AE14" s="44">
        <v>0</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1.61961</v>
      </c>
      <c r="J15" s="12">
        <f t="shared" si="1"/>
        <v>5.3553600086380937E-3</v>
      </c>
      <c r="K15" s="12">
        <f t="shared" si="2"/>
        <v>4.5031071419439975E-3</v>
      </c>
      <c r="L15" s="12">
        <f t="shared" si="3"/>
        <v>2.3656551667253461E-3</v>
      </c>
      <c r="M15" s="12">
        <f t="shared" si="4"/>
        <v>8.5225286669409633E-4</v>
      </c>
      <c r="N15" s="54">
        <f t="shared" si="5"/>
        <v>1452656</v>
      </c>
      <c r="O15" s="12">
        <v>16</v>
      </c>
      <c r="P15" s="13">
        <v>32415907</v>
      </c>
      <c r="Q15" s="13">
        <v>1012997.09375</v>
      </c>
      <c r="R15" s="13">
        <v>32038.0625</v>
      </c>
      <c r="S15" s="14">
        <v>1727584</v>
      </c>
      <c r="T15" s="14">
        <v>763136</v>
      </c>
      <c r="U15" s="14">
        <v>689520</v>
      </c>
      <c r="V15" s="14">
        <v>274928</v>
      </c>
      <c r="W15" s="15">
        <v>66.298768749999994</v>
      </c>
      <c r="X15" s="15">
        <v>67.850187500000004</v>
      </c>
      <c r="Y15" s="15">
        <v>29.254943749999999</v>
      </c>
      <c r="Z15" s="15">
        <v>43.489890625000001</v>
      </c>
      <c r="AA15" s="15">
        <v>43.7181</v>
      </c>
      <c r="AB15" s="16">
        <v>7388.75</v>
      </c>
      <c r="AC15" s="16">
        <v>0</v>
      </c>
      <c r="AD15" s="16">
        <v>54.72</v>
      </c>
      <c r="AE15" s="16">
        <v>0</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2.1226799999999999</v>
      </c>
      <c r="J16" s="21">
        <f t="shared" si="1"/>
        <v>7.0187980953043683E-3</v>
      </c>
      <c r="K16" s="21">
        <f t="shared" si="2"/>
        <v>5.4336514100276432E-3</v>
      </c>
      <c r="L16" s="21">
        <f t="shared" si="3"/>
        <v>3.2961994348089919E-3</v>
      </c>
      <c r="M16" s="21">
        <f t="shared" si="4"/>
        <v>1.5851466852767253E-3</v>
      </c>
      <c r="N16" s="18">
        <f t="shared" si="5"/>
        <v>1752840</v>
      </c>
      <c r="O16" s="21">
        <v>16</v>
      </c>
      <c r="P16" s="22">
        <v>33875717</v>
      </c>
      <c r="Q16" s="22">
        <v>1058616.15625</v>
      </c>
      <c r="R16" s="22">
        <v>36874.3125</v>
      </c>
      <c r="S16" s="23">
        <v>2264192</v>
      </c>
      <c r="T16" s="23">
        <v>1063320</v>
      </c>
      <c r="U16" s="23">
        <v>689520</v>
      </c>
      <c r="V16" s="23">
        <v>511352</v>
      </c>
      <c r="W16" s="24">
        <v>68.029884374999995</v>
      </c>
      <c r="X16" s="24">
        <v>70.006803125000005</v>
      </c>
      <c r="Y16" s="24">
        <v>31.572084374999999</v>
      </c>
      <c r="Z16" s="24">
        <v>44.071681249999997</v>
      </c>
      <c r="AA16" s="24">
        <v>44.425503124999999</v>
      </c>
      <c r="AB16" s="25">
        <v>7742.87</v>
      </c>
      <c r="AC16" s="25">
        <v>0</v>
      </c>
      <c r="AD16" s="25">
        <v>57.844999999999999</v>
      </c>
      <c r="AE16" s="25">
        <v>0</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2.992515</v>
      </c>
      <c r="J17" s="12">
        <f t="shared" si="1"/>
        <v>9.8949717254460182E-3</v>
      </c>
      <c r="K17" s="12">
        <f t="shared" si="2"/>
        <v>6.6381783840193482E-3</v>
      </c>
      <c r="L17" s="12">
        <f t="shared" si="3"/>
        <v>4.5007264088006973E-3</v>
      </c>
      <c r="M17" s="12">
        <f t="shared" si="4"/>
        <v>3.2567933414266686E-3</v>
      </c>
      <c r="N17" s="54">
        <f t="shared" si="5"/>
        <v>2141408</v>
      </c>
      <c r="O17" s="12">
        <v>16</v>
      </c>
      <c r="P17" s="13">
        <v>33778649</v>
      </c>
      <c r="Q17" s="13">
        <v>1055582.78125</v>
      </c>
      <c r="R17" s="13">
        <v>37421.15625</v>
      </c>
      <c r="S17" s="14">
        <v>3192016</v>
      </c>
      <c r="T17" s="14">
        <v>1451888</v>
      </c>
      <c r="U17" s="14">
        <v>689520</v>
      </c>
      <c r="V17" s="14">
        <v>1050608</v>
      </c>
      <c r="W17" s="15">
        <v>69.351503124999994</v>
      </c>
      <c r="X17" s="15">
        <v>71.840318749999994</v>
      </c>
      <c r="Y17" s="15">
        <v>33.953462500000001</v>
      </c>
      <c r="Z17" s="15">
        <v>45.161953124999997</v>
      </c>
      <c r="AA17" s="15">
        <v>45.541065625000002</v>
      </c>
      <c r="AB17" s="16">
        <v>8068.59</v>
      </c>
      <c r="AC17" s="16">
        <v>0</v>
      </c>
      <c r="AD17" s="16">
        <v>57.725000000000001</v>
      </c>
      <c r="AE17" s="16">
        <v>0</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5.2693275000000002</v>
      </c>
      <c r="J18" s="21">
        <f t="shared" si="1"/>
        <v>1.7423420308541528E-2</v>
      </c>
      <c r="K18" s="21">
        <f t="shared" si="2"/>
        <v>9.8991380084467919E-3</v>
      </c>
      <c r="L18" s="21">
        <f t="shared" si="3"/>
        <v>7.7616860332281401E-3</v>
      </c>
      <c r="M18" s="21">
        <f t="shared" si="4"/>
        <v>7.5242823000947357E-3</v>
      </c>
      <c r="N18" s="18">
        <f t="shared" si="5"/>
        <v>3193360</v>
      </c>
      <c r="O18" s="21">
        <v>16</v>
      </c>
      <c r="P18" s="22">
        <v>34914211</v>
      </c>
      <c r="Q18" s="22">
        <v>1091069.09375</v>
      </c>
      <c r="R18" s="22">
        <v>41605.03125</v>
      </c>
      <c r="S18" s="23">
        <v>5620616</v>
      </c>
      <c r="T18" s="23">
        <v>2503840</v>
      </c>
      <c r="U18" s="23">
        <v>689520</v>
      </c>
      <c r="V18" s="23">
        <v>2427256</v>
      </c>
      <c r="W18" s="24">
        <v>70.529828124999995</v>
      </c>
      <c r="X18" s="24">
        <v>73.133281249999996</v>
      </c>
      <c r="Y18" s="24">
        <v>36.286499999999997</v>
      </c>
      <c r="Z18" s="24">
        <v>46.415525000000002</v>
      </c>
      <c r="AA18" s="24">
        <v>47.009934375</v>
      </c>
      <c r="AB18" s="25">
        <v>8533.85</v>
      </c>
      <c r="AC18" s="25">
        <v>0</v>
      </c>
      <c r="AD18" s="25">
        <v>60.454000000000001</v>
      </c>
      <c r="AE18" s="25">
        <v>0</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11.4073875</v>
      </c>
      <c r="J19" s="30">
        <f t="shared" si="1"/>
        <v>3.7719368749599025E-2</v>
      </c>
      <c r="K19" s="30">
        <f t="shared" si="2"/>
        <v>1.742828097204243E-2</v>
      </c>
      <c r="L19" s="30">
        <f t="shared" si="3"/>
        <v>1.2813155375845474E-2</v>
      </c>
      <c r="M19" s="30">
        <f t="shared" si="4"/>
        <v>2.0291087777556595E-2</v>
      </c>
      <c r="N19" s="27">
        <f t="shared" si="5"/>
        <v>5622184</v>
      </c>
      <c r="O19" s="30">
        <v>16</v>
      </c>
      <c r="P19" s="31">
        <v>33017129</v>
      </c>
      <c r="Q19" s="31">
        <v>1031785.28125</v>
      </c>
      <c r="R19" s="31">
        <v>17789.875</v>
      </c>
      <c r="S19" s="32">
        <v>12167880</v>
      </c>
      <c r="T19" s="32">
        <v>4133392</v>
      </c>
      <c r="U19" s="32">
        <v>1488792</v>
      </c>
      <c r="V19" s="32">
        <v>6545696</v>
      </c>
      <c r="W19" s="33">
        <v>71.1854625</v>
      </c>
      <c r="X19" s="33">
        <v>75.071728125000007</v>
      </c>
      <c r="Y19" s="33">
        <v>38.667634374999999</v>
      </c>
      <c r="Z19" s="33">
        <v>48.193178125000003</v>
      </c>
      <c r="AA19" s="33">
        <v>48.815303125</v>
      </c>
      <c r="AB19" s="34">
        <v>9418.52</v>
      </c>
      <c r="AC19" s="34">
        <v>0</v>
      </c>
      <c r="AD19" s="34">
        <v>57.252000000000002</v>
      </c>
      <c r="AE19" s="34">
        <v>0</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1.9657374999999999</v>
      </c>
      <c r="J20" s="21">
        <f t="shared" si="1"/>
        <v>5.0201815109946202E-3</v>
      </c>
      <c r="K20" s="21">
        <f t="shared" si="2"/>
        <v>3.9046636537006271E-3</v>
      </c>
      <c r="L20" s="21">
        <f t="shared" si="3"/>
        <v>2.2613625794125417E-3</v>
      </c>
      <c r="M20" s="21">
        <f t="shared" si="4"/>
        <v>1.1155178572939926E-3</v>
      </c>
      <c r="N20" s="18">
        <f t="shared" si="5"/>
        <v>978520</v>
      </c>
      <c r="O20" s="21">
        <v>16</v>
      </c>
      <c r="P20" s="22">
        <v>30601694</v>
      </c>
      <c r="Q20" s="22">
        <v>956302.9375</v>
      </c>
      <c r="R20" s="22">
        <v>28916.46875</v>
      </c>
      <c r="S20" s="23">
        <v>1258072</v>
      </c>
      <c r="T20" s="23">
        <v>566704</v>
      </c>
      <c r="U20" s="23">
        <v>411816</v>
      </c>
      <c r="V20" s="23">
        <v>279552</v>
      </c>
      <c r="W20" s="24">
        <v>67.295671874999996</v>
      </c>
      <c r="X20" s="24">
        <v>69.019293750000003</v>
      </c>
      <c r="Y20" s="24">
        <v>30.055968750000002</v>
      </c>
      <c r="Z20" s="24">
        <v>39.455378125000003</v>
      </c>
      <c r="AA20" s="24">
        <v>38.054137500000003</v>
      </c>
      <c r="AB20" s="25">
        <v>7516.11</v>
      </c>
      <c r="AC20" s="25">
        <v>0</v>
      </c>
      <c r="AD20" s="25">
        <v>52.74</v>
      </c>
      <c r="AE20" s="25">
        <v>0</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2.6321374999999998</v>
      </c>
      <c r="J21" s="12">
        <f t="shared" si="1"/>
        <v>6.7220613189175058E-3</v>
      </c>
      <c r="K21" s="12">
        <f t="shared" si="2"/>
        <v>4.6413191617969002E-3</v>
      </c>
      <c r="L21" s="12">
        <f t="shared" si="3"/>
        <v>2.9980180875088147E-3</v>
      </c>
      <c r="M21" s="12">
        <f t="shared" si="4"/>
        <v>2.0807421571206056E-3</v>
      </c>
      <c r="N21" s="54">
        <f t="shared" si="5"/>
        <v>1163128</v>
      </c>
      <c r="O21" s="12">
        <v>16</v>
      </c>
      <c r="P21" s="13">
        <v>31545436</v>
      </c>
      <c r="Q21" s="13">
        <v>985794.875</v>
      </c>
      <c r="R21" s="13">
        <v>33037.84375</v>
      </c>
      <c r="S21" s="14">
        <v>1684568</v>
      </c>
      <c r="T21" s="14">
        <v>751312</v>
      </c>
      <c r="U21" s="14">
        <v>411816</v>
      </c>
      <c r="V21" s="14">
        <v>521440</v>
      </c>
      <c r="W21" s="15">
        <v>68.839996874999997</v>
      </c>
      <c r="X21" s="15">
        <v>70.960471874999996</v>
      </c>
      <c r="Y21" s="15">
        <v>31.511981250000002</v>
      </c>
      <c r="Z21" s="15">
        <v>40.439912499999998</v>
      </c>
      <c r="AA21" s="15">
        <v>39.227078124999998</v>
      </c>
      <c r="AB21" s="16">
        <v>7984.99</v>
      </c>
      <c r="AC21" s="16">
        <v>0</v>
      </c>
      <c r="AD21" s="16">
        <v>54.408000000000001</v>
      </c>
      <c r="AE21" s="16">
        <v>0</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4.0659875000000003</v>
      </c>
      <c r="J22" s="21">
        <f t="shared" si="1"/>
        <v>1.038388659291245E-2</v>
      </c>
      <c r="K22" s="21">
        <f t="shared" si="2"/>
        <v>5.5820265856390298E-3</v>
      </c>
      <c r="L22" s="21">
        <f t="shared" si="3"/>
        <v>3.9387255113509448E-3</v>
      </c>
      <c r="M22" s="21">
        <f t="shared" si="4"/>
        <v>4.8018600072734195E-3</v>
      </c>
      <c r="N22" s="18">
        <f t="shared" si="5"/>
        <v>1398872</v>
      </c>
      <c r="O22" s="21">
        <v>16</v>
      </c>
      <c r="P22" s="22">
        <v>32600579</v>
      </c>
      <c r="Q22" s="22">
        <v>1018768.09375</v>
      </c>
      <c r="R22" s="22">
        <v>35285.59375</v>
      </c>
      <c r="S22" s="23">
        <v>2602232</v>
      </c>
      <c r="T22" s="23">
        <v>987056</v>
      </c>
      <c r="U22" s="23">
        <v>411816</v>
      </c>
      <c r="V22" s="23">
        <v>1203360</v>
      </c>
      <c r="W22" s="24">
        <v>70.051181249999999</v>
      </c>
      <c r="X22" s="24">
        <v>72.501681250000004</v>
      </c>
      <c r="Y22" s="24">
        <v>33.310659375</v>
      </c>
      <c r="Z22" s="24">
        <v>41.682621875000002</v>
      </c>
      <c r="AA22" s="24">
        <v>40.405306250000002</v>
      </c>
      <c r="AB22" s="25">
        <v>8235.5</v>
      </c>
      <c r="AC22" s="25">
        <v>0</v>
      </c>
      <c r="AD22" s="25">
        <v>55.948</v>
      </c>
      <c r="AE22" s="25">
        <v>0</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7.6340374999999998</v>
      </c>
      <c r="J23" s="12">
        <f t="shared" si="1"/>
        <v>1.949611985920785E-2</v>
      </c>
      <c r="K23" s="12">
        <f t="shared" si="2"/>
        <v>8.2543979909633202E-3</v>
      </c>
      <c r="L23" s="12">
        <f t="shared" si="3"/>
        <v>6.6110969166752352E-3</v>
      </c>
      <c r="M23" s="12">
        <f t="shared" si="4"/>
        <v>1.1241721868244528E-2</v>
      </c>
      <c r="N23" s="54">
        <f t="shared" si="5"/>
        <v>2068576</v>
      </c>
      <c r="O23" s="12">
        <v>16</v>
      </c>
      <c r="P23" s="13">
        <v>32844561</v>
      </c>
      <c r="Q23" s="13">
        <v>1026392.53125</v>
      </c>
      <c r="R23" s="13">
        <v>37184.71875</v>
      </c>
      <c r="S23" s="14">
        <v>4885784</v>
      </c>
      <c r="T23" s="14">
        <v>1656760</v>
      </c>
      <c r="U23" s="14">
        <v>411816</v>
      </c>
      <c r="V23" s="14">
        <v>2817208</v>
      </c>
      <c r="W23" s="15">
        <v>71.043290624999997</v>
      </c>
      <c r="X23" s="15">
        <v>73.804865625000005</v>
      </c>
      <c r="Y23" s="15">
        <v>35.156068750000003</v>
      </c>
      <c r="Z23" s="15">
        <v>42.6891125</v>
      </c>
      <c r="AA23" s="15">
        <v>41.408475000000003</v>
      </c>
      <c r="AB23" s="16">
        <v>8520.68</v>
      </c>
      <c r="AC23" s="16">
        <v>0</v>
      </c>
      <c r="AD23" s="16">
        <v>56.201999999999998</v>
      </c>
      <c r="AE23" s="16">
        <v>0</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15.6280625</v>
      </c>
      <c r="J24" s="40">
        <f t="shared" si="1"/>
        <v>3.9911590644818216E-2</v>
      </c>
      <c r="K24" s="40">
        <f t="shared" si="2"/>
        <v>1.4311790201973368E-2</v>
      </c>
      <c r="L24" s="40">
        <f t="shared" si="3"/>
        <v>1.0695040226012397E-2</v>
      </c>
      <c r="M24" s="40">
        <f t="shared" si="4"/>
        <v>2.559980044284485E-2</v>
      </c>
      <c r="N24" s="37">
        <f t="shared" si="5"/>
        <v>3586576</v>
      </c>
      <c r="O24" s="40">
        <v>16</v>
      </c>
      <c r="P24" s="41">
        <v>31330577</v>
      </c>
      <c r="Q24" s="41">
        <v>979080.53125</v>
      </c>
      <c r="R24" s="41">
        <v>17954.65625</v>
      </c>
      <c r="S24" s="42">
        <v>10001960</v>
      </c>
      <c r="T24" s="42">
        <v>2680208</v>
      </c>
      <c r="U24" s="42">
        <v>906368</v>
      </c>
      <c r="V24" s="42">
        <v>6415384</v>
      </c>
      <c r="W24" s="43">
        <v>71.781303124999994</v>
      </c>
      <c r="X24" s="43">
        <v>75.790837499999995</v>
      </c>
      <c r="Y24" s="43">
        <v>36.237465624999999</v>
      </c>
      <c r="Z24" s="43">
        <v>43.457821875</v>
      </c>
      <c r="AA24" s="43">
        <v>41.899443750000003</v>
      </c>
      <c r="AB24" s="44">
        <v>9139.56</v>
      </c>
      <c r="AC24" s="44">
        <v>0</v>
      </c>
      <c r="AD24" s="44">
        <v>55.948999999999998</v>
      </c>
      <c r="AE24" s="44">
        <v>0</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2.0489025000000001</v>
      </c>
      <c r="J25" s="12">
        <f t="shared" si="1"/>
        <v>8.7316951990594818E-3</v>
      </c>
      <c r="K25" s="12">
        <f t="shared" si="2"/>
        <v>5.6727716143691832E-3</v>
      </c>
      <c r="L25" s="12">
        <f t="shared" si="3"/>
        <v>3.5053415578927714E-3</v>
      </c>
      <c r="M25" s="12">
        <f t="shared" si="4"/>
        <v>3.0589235846902991E-3</v>
      </c>
      <c r="N25" s="54">
        <f t="shared" si="5"/>
        <v>1419864</v>
      </c>
      <c r="O25" s="12">
        <v>16</v>
      </c>
      <c r="P25" s="13">
        <v>23412684</v>
      </c>
      <c r="Q25" s="13">
        <v>731646.375</v>
      </c>
      <c r="R25" s="13">
        <v>14608.71875</v>
      </c>
      <c r="S25" s="14">
        <v>2185496</v>
      </c>
      <c r="T25" s="14">
        <v>877368</v>
      </c>
      <c r="U25" s="14">
        <v>542496</v>
      </c>
      <c r="V25" s="14">
        <v>765632</v>
      </c>
      <c r="W25" s="15">
        <v>66.251328125000001</v>
      </c>
      <c r="X25" s="15">
        <v>68.010481249999998</v>
      </c>
      <c r="Y25" s="15">
        <v>25.910528124999999</v>
      </c>
      <c r="Z25" s="15">
        <v>32.464300000000001</v>
      </c>
      <c r="AA25" s="15">
        <v>31.666946875000001</v>
      </c>
      <c r="AB25" s="16">
        <v>7538.78</v>
      </c>
      <c r="AC25" s="16">
        <v>0</v>
      </c>
      <c r="AD25" s="16">
        <v>47.947000000000003</v>
      </c>
      <c r="AE25" s="16">
        <v>0</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3.1637849999999998</v>
      </c>
      <c r="J26" s="21">
        <f t="shared" si="1"/>
        <v>1.3482928687605391E-2</v>
      </c>
      <c r="K26" s="21">
        <f t="shared" si="2"/>
        <v>7.144669236188261E-3</v>
      </c>
      <c r="L26" s="21">
        <f t="shared" si="3"/>
        <v>4.9772391797118483E-3</v>
      </c>
      <c r="M26" s="21">
        <f t="shared" si="4"/>
        <v>6.3382594514171308E-3</v>
      </c>
      <c r="N26" s="18">
        <f t="shared" si="5"/>
        <v>1788272</v>
      </c>
      <c r="O26" s="21">
        <v>16</v>
      </c>
      <c r="P26" s="22">
        <v>24648707</v>
      </c>
      <c r="Q26" s="22">
        <v>770272.09375</v>
      </c>
      <c r="R26" s="22">
        <v>17797.59375</v>
      </c>
      <c r="S26" s="23">
        <v>3374704</v>
      </c>
      <c r="T26" s="23">
        <v>1245776</v>
      </c>
      <c r="U26" s="23">
        <v>542496</v>
      </c>
      <c r="V26" s="23">
        <v>1586432</v>
      </c>
      <c r="W26" s="24">
        <v>68.002734375000003</v>
      </c>
      <c r="X26" s="24">
        <v>70.010190625000007</v>
      </c>
      <c r="Y26" s="24">
        <v>27.926349999999999</v>
      </c>
      <c r="Z26" s="24">
        <v>33.678340624999997</v>
      </c>
      <c r="AA26" s="24">
        <v>33.052799999999998</v>
      </c>
      <c r="AB26" s="25">
        <v>7962.87</v>
      </c>
      <c r="AC26" s="25">
        <v>0</v>
      </c>
      <c r="AD26" s="25">
        <v>48.146000000000001</v>
      </c>
      <c r="AE26" s="25">
        <v>0</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5.3403450000000001</v>
      </c>
      <c r="J27" s="12">
        <f t="shared" si="1"/>
        <v>2.2758654839759977E-2</v>
      </c>
      <c r="K27" s="12">
        <f t="shared" si="2"/>
        <v>9.3072410173065598E-3</v>
      </c>
      <c r="L27" s="12">
        <f t="shared" si="3"/>
        <v>7.1398109608301471E-3</v>
      </c>
      <c r="M27" s="12">
        <f t="shared" si="4"/>
        <v>1.3451413822453417E-2</v>
      </c>
      <c r="N27" s="54">
        <f t="shared" si="5"/>
        <v>2329552</v>
      </c>
      <c r="O27" s="12">
        <v>16</v>
      </c>
      <c r="P27" s="13">
        <v>24857847</v>
      </c>
      <c r="Q27" s="13">
        <v>776807.71875</v>
      </c>
      <c r="R27" s="13">
        <v>18658.4375</v>
      </c>
      <c r="S27" s="14">
        <v>5696368</v>
      </c>
      <c r="T27" s="14">
        <v>1787056</v>
      </c>
      <c r="U27" s="14">
        <v>542496</v>
      </c>
      <c r="V27" s="14">
        <v>3366816</v>
      </c>
      <c r="W27" s="15">
        <v>69.296153125000004</v>
      </c>
      <c r="X27" s="15">
        <v>71.689296874999997</v>
      </c>
      <c r="Y27" s="15">
        <v>30.20244375</v>
      </c>
      <c r="Z27" s="15">
        <v>34.930668750000002</v>
      </c>
      <c r="AA27" s="15">
        <v>34.361665625000001</v>
      </c>
      <c r="AB27" s="16">
        <v>8421.09</v>
      </c>
      <c r="AC27" s="16">
        <v>0</v>
      </c>
      <c r="AD27" s="16">
        <v>49.71</v>
      </c>
      <c r="AE27" s="16">
        <v>0</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10.294499999999999</v>
      </c>
      <c r="J28" s="21">
        <f t="shared" si="1"/>
        <v>4.3871504977283128E-2</v>
      </c>
      <c r="K28" s="21">
        <f t="shared" si="2"/>
        <v>1.3065148969145485E-2</v>
      </c>
      <c r="L28" s="21">
        <f t="shared" si="3"/>
        <v>1.0897718912669073E-2</v>
      </c>
      <c r="M28" s="21">
        <f t="shared" si="4"/>
        <v>3.0806356008137643E-2</v>
      </c>
      <c r="N28" s="18">
        <f t="shared" si="5"/>
        <v>3270136</v>
      </c>
      <c r="O28" s="21">
        <v>16</v>
      </c>
      <c r="P28" s="22">
        <v>25537404</v>
      </c>
      <c r="Q28" s="22">
        <v>798043.875</v>
      </c>
      <c r="R28" s="22">
        <v>21046.25</v>
      </c>
      <c r="S28" s="23">
        <v>10980800</v>
      </c>
      <c r="T28" s="23">
        <v>2727640</v>
      </c>
      <c r="U28" s="23">
        <v>542496</v>
      </c>
      <c r="V28" s="23">
        <v>7710664</v>
      </c>
      <c r="W28" s="24">
        <v>70.432884375</v>
      </c>
      <c r="X28" s="24">
        <v>72.951309374999994</v>
      </c>
      <c r="Y28" s="24">
        <v>32.697575000000001</v>
      </c>
      <c r="Z28" s="24">
        <v>36.426771875</v>
      </c>
      <c r="AA28" s="24">
        <v>35.862790625000002</v>
      </c>
      <c r="AB28" s="25">
        <v>9049.81</v>
      </c>
      <c r="AC28" s="25">
        <v>0</v>
      </c>
      <c r="AD28" s="25">
        <v>53.366999999999997</v>
      </c>
      <c r="AE28" s="25">
        <v>0</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23.850157500000002</v>
      </c>
      <c r="J29" s="30">
        <f t="shared" si="1"/>
        <v>0.10164090567489791</v>
      </c>
      <c r="K29" s="30">
        <f t="shared" si="2"/>
        <v>2.1618398435807932E-2</v>
      </c>
      <c r="L29" s="30">
        <f t="shared" si="3"/>
        <v>1.7254836143436775E-2</v>
      </c>
      <c r="M29" s="30">
        <f t="shared" si="4"/>
        <v>8.0022507239089977E-2</v>
      </c>
      <c r="N29" s="27">
        <f t="shared" si="5"/>
        <v>5410968</v>
      </c>
      <c r="O29" s="30">
        <v>16</v>
      </c>
      <c r="P29" s="31">
        <v>24583774</v>
      </c>
      <c r="Q29" s="31">
        <v>768242.9375</v>
      </c>
      <c r="R29" s="31">
        <v>9806.6875</v>
      </c>
      <c r="S29" s="32">
        <v>25440168</v>
      </c>
      <c r="T29" s="32">
        <v>4318792</v>
      </c>
      <c r="U29" s="32">
        <v>1092176</v>
      </c>
      <c r="V29" s="32">
        <v>20029200</v>
      </c>
      <c r="W29" s="33">
        <v>71.135999999999996</v>
      </c>
      <c r="X29" s="33">
        <v>74.866600000000005</v>
      </c>
      <c r="Y29" s="33">
        <v>35.733812499999999</v>
      </c>
      <c r="Z29" s="33">
        <v>38.377409374999999</v>
      </c>
      <c r="AA29" s="33">
        <v>37.76160625</v>
      </c>
      <c r="AB29" s="34">
        <v>10082.200000000001</v>
      </c>
      <c r="AC29" s="34">
        <v>0</v>
      </c>
      <c r="AD29" s="34">
        <v>52.521999999999998</v>
      </c>
      <c r="AE29" s="34">
        <v>0</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3.6546525000000001</v>
      </c>
      <c r="J30" s="21">
        <f t="shared" si="1"/>
        <v>1.0383755888455061E-2</v>
      </c>
      <c r="K30" s="21">
        <f t="shared" si="2"/>
        <v>8.2369055630940689E-3</v>
      </c>
      <c r="L30" s="21">
        <f t="shared" si="3"/>
        <v>5.1776539713828959E-3</v>
      </c>
      <c r="M30" s="21">
        <f t="shared" si="4"/>
        <v>2.146850325360993E-3</v>
      </c>
      <c r="N30" s="18">
        <f t="shared" si="5"/>
        <v>3092320</v>
      </c>
      <c r="O30" s="21">
        <v>16</v>
      </c>
      <c r="P30" s="22">
        <v>86257126</v>
      </c>
      <c r="Q30" s="22">
        <v>2695535.1875</v>
      </c>
      <c r="R30" s="22">
        <v>32930.59375</v>
      </c>
      <c r="S30" s="23">
        <v>3898296</v>
      </c>
      <c r="T30" s="23">
        <v>1943808</v>
      </c>
      <c r="U30" s="23">
        <v>1148512</v>
      </c>
      <c r="V30" s="23">
        <v>805976</v>
      </c>
      <c r="W30" s="24">
        <v>73.633009375</v>
      </c>
      <c r="X30" s="24">
        <v>75.669715624999995</v>
      </c>
      <c r="Y30" s="24">
        <v>33.194768750000001</v>
      </c>
      <c r="Z30" s="24">
        <v>41.822787499999997</v>
      </c>
      <c r="AA30" s="24">
        <v>43.457965625</v>
      </c>
      <c r="AB30" s="25">
        <v>23733.4</v>
      </c>
      <c r="AC30" s="25">
        <v>0</v>
      </c>
      <c r="AD30" s="25">
        <v>159.98099999999999</v>
      </c>
      <c r="AE30" s="25">
        <v>0</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4.8784124999999996</v>
      </c>
      <c r="J31" s="12">
        <f t="shared" si="1"/>
        <v>1.3860755440684928E-2</v>
      </c>
      <c r="K31" s="12">
        <f t="shared" si="2"/>
        <v>1.0154893763584078E-2</v>
      </c>
      <c r="L31" s="12">
        <f t="shared" si="3"/>
        <v>7.095642171872904E-3</v>
      </c>
      <c r="M31" s="12">
        <f t="shared" si="4"/>
        <v>3.7058616771008519E-3</v>
      </c>
      <c r="N31" s="54">
        <f t="shared" si="5"/>
        <v>3812376</v>
      </c>
      <c r="O31" s="12">
        <v>16</v>
      </c>
      <c r="P31" s="13">
        <v>90463055</v>
      </c>
      <c r="Q31" s="13">
        <v>2826970.46875</v>
      </c>
      <c r="R31" s="13">
        <v>39929.25</v>
      </c>
      <c r="S31" s="14">
        <v>5203640</v>
      </c>
      <c r="T31" s="14">
        <v>2663864</v>
      </c>
      <c r="U31" s="14">
        <v>1148512</v>
      </c>
      <c r="V31" s="14">
        <v>1391264</v>
      </c>
      <c r="W31" s="15">
        <v>75.236975000000001</v>
      </c>
      <c r="X31" s="15">
        <v>77.560318749999993</v>
      </c>
      <c r="Y31" s="15">
        <v>35.162234374999997</v>
      </c>
      <c r="Z31" s="15">
        <v>42.443596874999997</v>
      </c>
      <c r="AA31" s="15">
        <v>44.625512499999999</v>
      </c>
      <c r="AB31" s="16">
        <v>24825.7</v>
      </c>
      <c r="AC31" s="16">
        <v>0</v>
      </c>
      <c r="AD31" s="16">
        <v>162.751</v>
      </c>
      <c r="AE31" s="16">
        <v>0</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7.0720349999999996</v>
      </c>
      <c r="J32" s="21">
        <f t="shared" si="1"/>
        <v>2.0093370046703564E-2</v>
      </c>
      <c r="K32" s="21">
        <f t="shared" si="2"/>
        <v>1.3032099812206533E-2</v>
      </c>
      <c r="L32" s="21">
        <f t="shared" si="3"/>
        <v>9.972848220495361E-3</v>
      </c>
      <c r="M32" s="21">
        <f t="shared" si="4"/>
        <v>7.0612702344970291E-3</v>
      </c>
      <c r="N32" s="18">
        <f t="shared" si="5"/>
        <v>4892544</v>
      </c>
      <c r="O32" s="21">
        <v>16</v>
      </c>
      <c r="P32" s="22">
        <v>91578144</v>
      </c>
      <c r="Q32" s="22">
        <v>2861817</v>
      </c>
      <c r="R32" s="22">
        <v>42558.21875</v>
      </c>
      <c r="S32" s="23">
        <v>7543504</v>
      </c>
      <c r="T32" s="23">
        <v>3744032</v>
      </c>
      <c r="U32" s="23">
        <v>1148512</v>
      </c>
      <c r="V32" s="23">
        <v>2650960</v>
      </c>
      <c r="W32" s="24">
        <v>76.450556250000005</v>
      </c>
      <c r="X32" s="24">
        <v>79.112556249999997</v>
      </c>
      <c r="Y32" s="24">
        <v>36.9545125</v>
      </c>
      <c r="Z32" s="24">
        <v>43.078393749999996</v>
      </c>
      <c r="AA32" s="24">
        <v>46.069584374999998</v>
      </c>
      <c r="AB32" s="25">
        <v>25893.8</v>
      </c>
      <c r="AC32" s="25">
        <v>0</v>
      </c>
      <c r="AD32" s="25">
        <v>165.77199999999999</v>
      </c>
      <c r="AE32" s="25">
        <v>0</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11.833214999999999</v>
      </c>
      <c r="J33" s="12">
        <f t="shared" si="1"/>
        <v>3.3621039465613969E-2</v>
      </c>
      <c r="K33" s="12">
        <f t="shared" si="2"/>
        <v>1.823006156804027E-2</v>
      </c>
      <c r="L33" s="12">
        <f t="shared" si="3"/>
        <v>1.5170809976329098E-2</v>
      </c>
      <c r="M33" s="12">
        <f t="shared" si="4"/>
        <v>1.53909778975737E-2</v>
      </c>
      <c r="N33" s="54">
        <f t="shared" si="5"/>
        <v>6843976</v>
      </c>
      <c r="O33" s="12">
        <v>16</v>
      </c>
      <c r="P33" s="13">
        <v>93892836</v>
      </c>
      <c r="Q33" s="13">
        <v>2934151.125</v>
      </c>
      <c r="R33" s="13">
        <v>47454.25</v>
      </c>
      <c r="S33" s="14">
        <v>12622096</v>
      </c>
      <c r="T33" s="14">
        <v>5695464</v>
      </c>
      <c r="U33" s="14">
        <v>1148512</v>
      </c>
      <c r="V33" s="14">
        <v>5778120</v>
      </c>
      <c r="W33" s="15">
        <v>77.563806249999999</v>
      </c>
      <c r="X33" s="15">
        <v>80.260215625000001</v>
      </c>
      <c r="Y33" s="15">
        <v>38.703218749999998</v>
      </c>
      <c r="Z33" s="15">
        <v>43.68636875</v>
      </c>
      <c r="AA33" s="15">
        <v>47.341265624999998</v>
      </c>
      <c r="AB33" s="16">
        <v>27194.2</v>
      </c>
      <c r="AC33" s="16">
        <v>0</v>
      </c>
      <c r="AD33" s="16">
        <v>172.27600000000001</v>
      </c>
      <c r="AE33" s="16">
        <v>0</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24.410910000000001</v>
      </c>
      <c r="J34" s="40">
        <f t="shared" si="1"/>
        <v>6.935732753115284E-2</v>
      </c>
      <c r="K34" s="40">
        <f t="shared" si="2"/>
        <v>3.0678072847405681E-2</v>
      </c>
      <c r="L34" s="40">
        <f t="shared" si="3"/>
        <v>2.4356193488958316E-2</v>
      </c>
      <c r="M34" s="40">
        <f t="shared" si="4"/>
        <v>3.8679254683747159E-2</v>
      </c>
      <c r="N34" s="37">
        <f t="shared" si="5"/>
        <v>11517240</v>
      </c>
      <c r="O34" s="40">
        <v>16</v>
      </c>
      <c r="P34" s="41">
        <v>91994509</v>
      </c>
      <c r="Q34" s="41">
        <v>2874828.40625</v>
      </c>
      <c r="R34" s="41">
        <v>18636.9375</v>
      </c>
      <c r="S34" s="42">
        <v>26038304</v>
      </c>
      <c r="T34" s="42">
        <v>9143864</v>
      </c>
      <c r="U34" s="42">
        <v>2373376</v>
      </c>
      <c r="V34" s="42">
        <v>14521064</v>
      </c>
      <c r="W34" s="43">
        <v>78.478309374999995</v>
      </c>
      <c r="X34" s="43">
        <v>81.904306250000005</v>
      </c>
      <c r="Y34" s="43">
        <v>40.500409374999997</v>
      </c>
      <c r="Z34" s="43">
        <v>44.367156250000001</v>
      </c>
      <c r="AA34" s="43">
        <v>48.78515625</v>
      </c>
      <c r="AB34" s="44">
        <v>28896.2</v>
      </c>
      <c r="AC34" s="44">
        <v>0</v>
      </c>
      <c r="AD34" s="44">
        <v>169.81700000000001</v>
      </c>
      <c r="AE34" s="44">
        <v>0</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4.3450575000000002</v>
      </c>
      <c r="J35" s="12">
        <f t="shared" si="1"/>
        <v>1.3910136606488424E-2</v>
      </c>
      <c r="K35" s="12">
        <f t="shared" si="2"/>
        <v>1.0628484279163035E-2</v>
      </c>
      <c r="L35" s="12">
        <f t="shared" si="3"/>
        <v>6.8191101222519453E-3</v>
      </c>
      <c r="M35" s="12">
        <f t="shared" si="4"/>
        <v>3.2816523273253894E-3</v>
      </c>
      <c r="N35" s="54">
        <f t="shared" si="5"/>
        <v>3541312</v>
      </c>
      <c r="O35" s="12">
        <v>16</v>
      </c>
      <c r="P35" s="13">
        <v>75171639</v>
      </c>
      <c r="Q35" s="13">
        <v>2349113.71875</v>
      </c>
      <c r="R35" s="13">
        <v>30593.28125</v>
      </c>
      <c r="S35" s="14">
        <v>4634728</v>
      </c>
      <c r="T35" s="14">
        <v>2272064</v>
      </c>
      <c r="U35" s="14">
        <v>1269248</v>
      </c>
      <c r="V35" s="14">
        <v>1093416</v>
      </c>
      <c r="W35" s="15">
        <v>73.209165624999997</v>
      </c>
      <c r="X35" s="15">
        <v>75.382359374999993</v>
      </c>
      <c r="Y35" s="15">
        <v>31.812024999999998</v>
      </c>
      <c r="Z35" s="15">
        <v>42.256781250000003</v>
      </c>
      <c r="AA35" s="15">
        <v>43.453665624999999</v>
      </c>
      <c r="AB35" s="16">
        <v>21632.400000000001</v>
      </c>
      <c r="AC35" s="16">
        <v>0</v>
      </c>
      <c r="AD35" s="16">
        <v>137.77099999999999</v>
      </c>
      <c r="AE35" s="16">
        <v>0</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5.8540425000000003</v>
      </c>
      <c r="J36" s="21">
        <f t="shared" si="1"/>
        <v>1.87409558734698E-2</v>
      </c>
      <c r="K36" s="21">
        <f t="shared" si="2"/>
        <v>1.3164233409895797E-2</v>
      </c>
      <c r="L36" s="21">
        <f t="shared" si="3"/>
        <v>9.3548592529847079E-3</v>
      </c>
      <c r="M36" s="21">
        <f t="shared" si="4"/>
        <v>5.5767224635740048E-3</v>
      </c>
      <c r="N36" s="18">
        <f t="shared" si="5"/>
        <v>4386200</v>
      </c>
      <c r="O36" s="21">
        <v>16</v>
      </c>
      <c r="P36" s="22">
        <v>79962035</v>
      </c>
      <c r="Q36" s="22">
        <v>2498813.59375</v>
      </c>
      <c r="R36" s="22">
        <v>38421.15625</v>
      </c>
      <c r="S36" s="23">
        <v>6244312</v>
      </c>
      <c r="T36" s="23">
        <v>3116952</v>
      </c>
      <c r="U36" s="23">
        <v>1269248</v>
      </c>
      <c r="V36" s="23">
        <v>1858112</v>
      </c>
      <c r="W36" s="24">
        <v>74.936625000000006</v>
      </c>
      <c r="X36" s="24">
        <v>77.345193750000007</v>
      </c>
      <c r="Y36" s="24">
        <v>34.068940625000003</v>
      </c>
      <c r="Z36" s="24">
        <v>42.997875000000001</v>
      </c>
      <c r="AA36" s="24">
        <v>44.790540624999998</v>
      </c>
      <c r="AB36" s="25">
        <v>23170.799999999999</v>
      </c>
      <c r="AC36" s="25">
        <v>0</v>
      </c>
      <c r="AD36" s="25">
        <v>149.15</v>
      </c>
      <c r="AE36" s="25">
        <v>0</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8.4147675</v>
      </c>
      <c r="J37" s="12">
        <f t="shared" si="1"/>
        <v>2.6938783994651182E-2</v>
      </c>
      <c r="K37" s="12">
        <f t="shared" si="2"/>
        <v>1.6846064987128137E-2</v>
      </c>
      <c r="L37" s="12">
        <f t="shared" si="3"/>
        <v>1.3036690830217048E-2</v>
      </c>
      <c r="M37" s="12">
        <f t="shared" si="4"/>
        <v>1.0092719007523046E-2</v>
      </c>
      <c r="N37" s="54">
        <f t="shared" si="5"/>
        <v>5612952</v>
      </c>
      <c r="O37" s="12">
        <v>16</v>
      </c>
      <c r="P37" s="13">
        <v>81699300</v>
      </c>
      <c r="Q37" s="13">
        <v>2553103.125</v>
      </c>
      <c r="R37" s="13">
        <v>41943.78125</v>
      </c>
      <c r="S37" s="14">
        <v>8975752</v>
      </c>
      <c r="T37" s="14">
        <v>4343704</v>
      </c>
      <c r="U37" s="14">
        <v>1269248</v>
      </c>
      <c r="V37" s="14">
        <v>3362800</v>
      </c>
      <c r="W37" s="15">
        <v>76.252565625000003</v>
      </c>
      <c r="X37" s="15">
        <v>78.956403124999994</v>
      </c>
      <c r="Y37" s="15">
        <v>36.14614375</v>
      </c>
      <c r="Z37" s="15">
        <v>43.582515624999999</v>
      </c>
      <c r="AA37" s="15">
        <v>46.119703125000001</v>
      </c>
      <c r="AB37" s="16">
        <v>24204.6</v>
      </c>
      <c r="AC37" s="16">
        <v>0</v>
      </c>
      <c r="AD37" s="16">
        <v>152.37100000000001</v>
      </c>
      <c r="AE37" s="16">
        <v>0</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13.766745</v>
      </c>
      <c r="J38" s="21">
        <f t="shared" si="1"/>
        <v>4.4072444053201015E-2</v>
      </c>
      <c r="K38" s="21">
        <f t="shared" si="2"/>
        <v>2.3097164038698572E-2</v>
      </c>
      <c r="L38" s="21">
        <f t="shared" si="3"/>
        <v>1.9287789881787483E-2</v>
      </c>
      <c r="M38" s="21">
        <f t="shared" si="4"/>
        <v>2.0975280014502447E-2</v>
      </c>
      <c r="N38" s="18">
        <f t="shared" si="5"/>
        <v>7695760</v>
      </c>
      <c r="O38" s="21">
        <v>16</v>
      </c>
      <c r="P38" s="22">
        <v>83829905</v>
      </c>
      <c r="Q38" s="22">
        <v>2619684.53125</v>
      </c>
      <c r="R38" s="22">
        <v>46889.03125</v>
      </c>
      <c r="S38" s="23">
        <v>14684528</v>
      </c>
      <c r="T38" s="23">
        <v>6426512</v>
      </c>
      <c r="U38" s="23">
        <v>1269248</v>
      </c>
      <c r="V38" s="23">
        <v>6988768</v>
      </c>
      <c r="W38" s="24">
        <v>77.428778124999994</v>
      </c>
      <c r="X38" s="24">
        <v>80.151403125000002</v>
      </c>
      <c r="Y38" s="24">
        <v>38.094128124999997</v>
      </c>
      <c r="Z38" s="24">
        <v>44.192028125</v>
      </c>
      <c r="AA38" s="24">
        <v>47.263537499999998</v>
      </c>
      <c r="AB38" s="25">
        <v>24964.6</v>
      </c>
      <c r="AC38" s="25">
        <v>0</v>
      </c>
      <c r="AD38" s="25">
        <v>147.691</v>
      </c>
      <c r="AE38" s="25">
        <v>0</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27.587512499999999</v>
      </c>
      <c r="J39" s="30">
        <f t="shared" si="1"/>
        <v>8.8317834115706637E-2</v>
      </c>
      <c r="K39" s="30">
        <f t="shared" si="2"/>
        <v>3.755074920475944E-2</v>
      </c>
      <c r="L39" s="30">
        <f t="shared" si="3"/>
        <v>2.9801168903612431E-2</v>
      </c>
      <c r="M39" s="30">
        <f t="shared" si="4"/>
        <v>5.0767084910947197E-2</v>
      </c>
      <c r="N39" s="27">
        <f t="shared" si="5"/>
        <v>12511560</v>
      </c>
      <c r="O39" s="30">
        <v>16</v>
      </c>
      <c r="P39" s="31">
        <v>81969625</v>
      </c>
      <c r="Q39" s="31">
        <v>2561550.78125</v>
      </c>
      <c r="R39" s="31">
        <v>18543.34375</v>
      </c>
      <c r="S39" s="32">
        <v>29426680</v>
      </c>
      <c r="T39" s="32">
        <v>9929472</v>
      </c>
      <c r="U39" s="32">
        <v>2582088</v>
      </c>
      <c r="V39" s="32">
        <v>16915120</v>
      </c>
      <c r="W39" s="33">
        <v>78.304287500000001</v>
      </c>
      <c r="X39" s="33">
        <v>81.862468750000005</v>
      </c>
      <c r="Y39" s="33">
        <v>40.158625000000001</v>
      </c>
      <c r="Z39" s="33">
        <v>45.129540624999997</v>
      </c>
      <c r="AA39" s="33">
        <v>48.632187500000001</v>
      </c>
      <c r="AB39" s="34">
        <v>28010.5</v>
      </c>
      <c r="AC39" s="34">
        <v>0</v>
      </c>
      <c r="AD39" s="34">
        <v>157.74600000000001</v>
      </c>
      <c r="AE39" s="34">
        <v>0</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1.7584141632284965E-2</v>
      </c>
      <c r="K40" s="48">
        <f>AVERAGE(K5:K24)</f>
        <v>9.5057079761215555E-3</v>
      </c>
      <c r="L40" s="48">
        <f>AVERAGE(L5:L24)</f>
        <v>6.9537995636637859E-3</v>
      </c>
      <c r="M40" s="48">
        <f>AVERAGE(M5:M24)</f>
        <v>8.0784336561634147E-3</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3.8097137875721179E-2</v>
      </c>
      <c r="K41" s="48">
        <f>AVERAGE(K25:K29)</f>
        <v>1.1361645854563484E-2</v>
      </c>
      <c r="L41" s="48">
        <f>AVERAGE(L25:L29)</f>
        <v>8.7549893509081232E-3</v>
      </c>
      <c r="M41" s="48">
        <f>AVERAGE(M25:M29)</f>
        <v>2.6735492021157693E-2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3.3929640301612746E-2</v>
      </c>
      <c r="K42" s="48">
        <f>AVERAGE(K30:K39)</f>
        <v>1.8161872947397562E-2</v>
      </c>
      <c r="L42" s="48">
        <f>AVERAGE(L30:L39)</f>
        <v>1.4007276681989219E-2</v>
      </c>
      <c r="M42" s="48">
        <f>AVERAGE(M30:M39)</f>
        <v>1.576776735421518E-2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2.5184712144012359E-2</v>
      </c>
      <c r="K43" s="48">
        <f>AVERAGE(K5:K39)</f>
        <v>1.2244031950549262E-2</v>
      </c>
      <c r="L43" s="48">
        <f>AVERAGE(L5:L39)</f>
        <v>9.2263915670773855E-3</v>
      </c>
      <c r="M43" s="48">
        <f>AVERAGE(M5:M39)</f>
        <v>1.2940680193463103E-2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459663.29</v>
      </c>
      <c r="AC44" s="49">
        <f>SUM(AC5:AC24,AC25:AC29,AC30:AC39)</f>
        <v>0</v>
      </c>
      <c r="AD44" s="49">
        <f>SUM(AD5:AD24,AD25:AD29,AD30:AD39)</f>
        <v>2849.855</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11340.681858488553</v>
      </c>
      <c r="AC46" s="49" t="e">
        <f>GEOMEAN(AC5:AC24,AC25:AC29,AC30:AC39)</f>
        <v>#NUM!</v>
      </c>
      <c r="AD46" s="49">
        <f>GEOMEAN(AD5:AD24,AD25:AD29,AD30:AD39)</f>
        <v>70.089388600001442</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2020-06-03T18:51:28Z</dcterms:modified>
</cp:coreProperties>
</file>