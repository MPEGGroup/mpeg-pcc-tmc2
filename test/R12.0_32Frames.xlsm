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1" defaultThemeVersion="124226"/>
  <mc:AlternateContent xmlns:mc="http://schemas.openxmlformats.org/markup-compatibility/2006">
    <mc:Choice Requires="x15">
      <x15ac:absPath xmlns:x15ac="http://schemas.microsoft.com/office/spreadsheetml/2010/11/ac" url="\\renwekasmb01\wp21\PCC\ricardj\gitInt12\tm2_r120_rc13\test\"/>
    </mc:Choice>
  </mc:AlternateContent>
  <xr:revisionPtr revIDLastSave="0" documentId="13_ncr:1_{4C16B836-CC62-4533-8BF3-356EBCAA2321}" xr6:coauthVersionLast="45" xr6:coauthVersionMax="45" xr10:uidLastSave="{00000000-0000-0000-0000-000000000000}"/>
  <bookViews>
    <workbookView xWindow="28680" yWindow="-120" windowWidth="29040" windowHeight="1584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46" i="7" l="1"/>
  <c r="BC47" i="7" s="1"/>
  <c r="BB46" i="7"/>
  <c r="BB47" i="7" s="1"/>
  <c r="BA46" i="7"/>
  <c r="AZ46" i="7"/>
  <c r="AE46" i="7"/>
  <c r="AD46" i="7"/>
  <c r="AC46" i="7"/>
  <c r="AB46" i="7"/>
  <c r="BC44" i="7"/>
  <c r="BB44" i="7"/>
  <c r="BB45" i="7" s="1"/>
  <c r="BA44" i="7"/>
  <c r="AZ44" i="7"/>
  <c r="AE44" i="7"/>
  <c r="BC45" i="7" s="1"/>
  <c r="AD44" i="7"/>
  <c r="AC44" i="7"/>
  <c r="BA45" i="7" s="1"/>
  <c r="AB44" i="7"/>
  <c r="BF39" i="7"/>
  <c r="AL39" i="7"/>
  <c r="AI39" i="7" s="1"/>
  <c r="BE39" i="7" s="1"/>
  <c r="AK39" i="7"/>
  <c r="AJ39" i="7"/>
  <c r="AH39" i="7"/>
  <c r="AG39" i="7"/>
  <c r="N39" i="7"/>
  <c r="K39" i="7" s="1"/>
  <c r="M39" i="7"/>
  <c r="L39" i="7"/>
  <c r="J39" i="7"/>
  <c r="I39" i="7"/>
  <c r="BF38" i="7"/>
  <c r="AL38" i="7"/>
  <c r="BG38" i="7" s="1"/>
  <c r="AK38" i="7"/>
  <c r="AJ38" i="7"/>
  <c r="AH38" i="7"/>
  <c r="AG38" i="7"/>
  <c r="N38" i="7"/>
  <c r="K38" i="7" s="1"/>
  <c r="M38" i="7"/>
  <c r="L38" i="7"/>
  <c r="J38" i="7"/>
  <c r="I38" i="7"/>
  <c r="BF37" i="7"/>
  <c r="AL37" i="7"/>
  <c r="AI37" i="7" s="1"/>
  <c r="BE37" i="7" s="1"/>
  <c r="AK37" i="7"/>
  <c r="AJ37" i="7"/>
  <c r="AH37" i="7"/>
  <c r="AG37" i="7"/>
  <c r="N37" i="7"/>
  <c r="K37" i="7" s="1"/>
  <c r="M37" i="7"/>
  <c r="L37" i="7"/>
  <c r="J37" i="7"/>
  <c r="I37" i="7"/>
  <c r="BF36" i="7"/>
  <c r="AL36" i="7"/>
  <c r="AK36" i="7"/>
  <c r="AJ36" i="7"/>
  <c r="AI36" i="7"/>
  <c r="BE36" i="7" s="1"/>
  <c r="AH36" i="7"/>
  <c r="AG36" i="7"/>
  <c r="N36" i="7"/>
  <c r="M36" i="7"/>
  <c r="L36" i="7"/>
  <c r="K36" i="7"/>
  <c r="J36" i="7"/>
  <c r="I36" i="7"/>
  <c r="BF35" i="7"/>
  <c r="AL35" i="7"/>
  <c r="AK35" i="7"/>
  <c r="AJ35" i="7"/>
  <c r="AH35" i="7"/>
  <c r="AG35" i="7"/>
  <c r="N35" i="7"/>
  <c r="M35" i="7"/>
  <c r="L35" i="7"/>
  <c r="J35" i="7"/>
  <c r="I35" i="7"/>
  <c r="BF34" i="7"/>
  <c r="AL34" i="7"/>
  <c r="BG34" i="7" s="1"/>
  <c r="AK34" i="7"/>
  <c r="AJ34" i="7"/>
  <c r="AH34" i="7"/>
  <c r="AG34" i="7"/>
  <c r="N34" i="7"/>
  <c r="M34" i="7"/>
  <c r="L34" i="7"/>
  <c r="K34" i="7"/>
  <c r="J34" i="7"/>
  <c r="I34" i="7"/>
  <c r="BF33" i="7"/>
  <c r="AL33" i="7"/>
  <c r="BG33" i="7" s="1"/>
  <c r="AK33" i="7"/>
  <c r="AJ33" i="7"/>
  <c r="AH33" i="7"/>
  <c r="AG33" i="7"/>
  <c r="N33" i="7"/>
  <c r="K33" i="7" s="1"/>
  <c r="M33" i="7"/>
  <c r="L33" i="7"/>
  <c r="J33" i="7"/>
  <c r="I33" i="7"/>
  <c r="BF32" i="7"/>
  <c r="AL32" i="7"/>
  <c r="AI32" i="7" s="1"/>
  <c r="BE32" i="7" s="1"/>
  <c r="AK32" i="7"/>
  <c r="AK42" i="7" s="1"/>
  <c r="AJ32" i="7"/>
  <c r="AH32" i="7"/>
  <c r="AG32" i="7"/>
  <c r="N32" i="7"/>
  <c r="M32" i="7"/>
  <c r="L32" i="7"/>
  <c r="K32" i="7"/>
  <c r="J32" i="7"/>
  <c r="I32" i="7"/>
  <c r="BF31" i="7"/>
  <c r="AL31" i="7"/>
  <c r="AI31" i="7" s="1"/>
  <c r="BE31" i="7" s="1"/>
  <c r="AK31" i="7"/>
  <c r="AJ31" i="7"/>
  <c r="AH31" i="7"/>
  <c r="AG31" i="7"/>
  <c r="N31" i="7"/>
  <c r="M31" i="7"/>
  <c r="L31" i="7"/>
  <c r="K31" i="7"/>
  <c r="J31" i="7"/>
  <c r="I31" i="7"/>
  <c r="BF30" i="7"/>
  <c r="AL30" i="7"/>
  <c r="AI30" i="7" s="1"/>
  <c r="AK30" i="7"/>
  <c r="AJ30" i="7"/>
  <c r="AH30" i="7"/>
  <c r="AH42" i="7" s="1"/>
  <c r="AG30" i="7"/>
  <c r="N30" i="7"/>
  <c r="M30" i="7"/>
  <c r="L30" i="7"/>
  <c r="J30" i="7"/>
  <c r="I30" i="7"/>
  <c r="BF29" i="7"/>
  <c r="AL29" i="7"/>
  <c r="BG29" i="7" s="1"/>
  <c r="AK29" i="7"/>
  <c r="AJ29" i="7"/>
  <c r="AH29" i="7"/>
  <c r="AG29" i="7"/>
  <c r="N29" i="7"/>
  <c r="K29" i="7" s="1"/>
  <c r="M29" i="7"/>
  <c r="L29" i="7"/>
  <c r="J29" i="7"/>
  <c r="I29" i="7"/>
  <c r="BF28" i="7"/>
  <c r="AL28" i="7"/>
  <c r="BG28" i="7" s="1"/>
  <c r="AK28" i="7"/>
  <c r="AJ28" i="7"/>
  <c r="AH28" i="7"/>
  <c r="AG28" i="7"/>
  <c r="N28" i="7"/>
  <c r="M28" i="7"/>
  <c r="L28" i="7"/>
  <c r="K28" i="7"/>
  <c r="J28" i="7"/>
  <c r="I28" i="7"/>
  <c r="BF27" i="7"/>
  <c r="AL27" i="7"/>
  <c r="AK27" i="7"/>
  <c r="AJ27" i="7"/>
  <c r="AH27" i="7"/>
  <c r="AG27" i="7"/>
  <c r="N27" i="7"/>
  <c r="K27" i="7" s="1"/>
  <c r="M27" i="7"/>
  <c r="L27" i="7"/>
  <c r="J27" i="7"/>
  <c r="I27" i="7"/>
  <c r="BF26" i="7"/>
  <c r="AL26" i="7"/>
  <c r="BG26" i="7" s="1"/>
  <c r="AK26" i="7"/>
  <c r="AJ26" i="7"/>
  <c r="AH26" i="7"/>
  <c r="AG26" i="7"/>
  <c r="N26" i="7"/>
  <c r="K26" i="7" s="1"/>
  <c r="M26" i="7"/>
  <c r="L26" i="7"/>
  <c r="J26" i="7"/>
  <c r="I26" i="7"/>
  <c r="BF25" i="7"/>
  <c r="AL25" i="7"/>
  <c r="AK25" i="7"/>
  <c r="AJ25" i="7"/>
  <c r="AJ41" i="7" s="1"/>
  <c r="AH25" i="7"/>
  <c r="AG25" i="7"/>
  <c r="N25" i="7"/>
  <c r="K25" i="7" s="1"/>
  <c r="M25" i="7"/>
  <c r="L25" i="7"/>
  <c r="J25" i="7"/>
  <c r="J41" i="7" s="1"/>
  <c r="I25" i="7"/>
  <c r="BF24" i="7"/>
  <c r="AL24" i="7"/>
  <c r="BG24" i="7" s="1"/>
  <c r="AK24" i="7"/>
  <c r="AJ24" i="7"/>
  <c r="AH24" i="7"/>
  <c r="AG24" i="7"/>
  <c r="N24" i="7"/>
  <c r="M24" i="7"/>
  <c r="L24" i="7"/>
  <c r="K24" i="7"/>
  <c r="J24" i="7"/>
  <c r="I24" i="7"/>
  <c r="BF23" i="7"/>
  <c r="AL23" i="7"/>
  <c r="AK23" i="7"/>
  <c r="AJ23" i="7"/>
  <c r="AH23" i="7"/>
  <c r="AG23" i="7"/>
  <c r="N23" i="7"/>
  <c r="K23" i="7" s="1"/>
  <c r="M23" i="7"/>
  <c r="L23" i="7"/>
  <c r="J23" i="7"/>
  <c r="I23" i="7"/>
  <c r="BF22" i="7"/>
  <c r="AL22" i="7"/>
  <c r="AI22" i="7" s="1"/>
  <c r="AK22" i="7"/>
  <c r="AJ22" i="7"/>
  <c r="AH22" i="7"/>
  <c r="AG22" i="7"/>
  <c r="N22" i="7"/>
  <c r="M22" i="7"/>
  <c r="L22" i="7"/>
  <c r="J22" i="7"/>
  <c r="I22" i="7"/>
  <c r="BF21" i="7"/>
  <c r="AL21" i="7"/>
  <c r="BG21" i="7" s="1"/>
  <c r="AK21" i="7"/>
  <c r="AJ21" i="7"/>
  <c r="AH21" i="7"/>
  <c r="AG21" i="7"/>
  <c r="N21" i="7"/>
  <c r="K21" i="7" s="1"/>
  <c r="M21" i="7"/>
  <c r="L21" i="7"/>
  <c r="J21" i="7"/>
  <c r="I21" i="7"/>
  <c r="BF20" i="7"/>
  <c r="AL20" i="7"/>
  <c r="AK20" i="7"/>
  <c r="AJ20" i="7"/>
  <c r="AH20" i="7"/>
  <c r="AG20" i="7"/>
  <c r="N20" i="7"/>
  <c r="K20" i="7" s="1"/>
  <c r="M20" i="7"/>
  <c r="L20" i="7"/>
  <c r="J20" i="7"/>
  <c r="I20" i="7"/>
  <c r="BF19" i="7"/>
  <c r="BE19" i="7"/>
  <c r="AL19" i="7"/>
  <c r="AI19" i="7" s="1"/>
  <c r="AK19" i="7"/>
  <c r="AJ19" i="7"/>
  <c r="AH19" i="7"/>
  <c r="AG19" i="7"/>
  <c r="N19" i="7"/>
  <c r="K19" i="7" s="1"/>
  <c r="M19" i="7"/>
  <c r="L19" i="7"/>
  <c r="J19" i="7"/>
  <c r="I19" i="7"/>
  <c r="BG18" i="7"/>
  <c r="BF18" i="7"/>
  <c r="AL18" i="7"/>
  <c r="AK18" i="7"/>
  <c r="AJ18" i="7"/>
  <c r="AI18" i="7"/>
  <c r="AH18" i="7"/>
  <c r="AG18" i="7"/>
  <c r="N18" i="7"/>
  <c r="M18" i="7"/>
  <c r="L18" i="7"/>
  <c r="K18" i="7"/>
  <c r="J18" i="7"/>
  <c r="I18" i="7"/>
  <c r="BF17" i="7"/>
  <c r="AL17" i="7"/>
  <c r="AI17" i="7" s="1"/>
  <c r="AK17" i="7"/>
  <c r="AJ17" i="7"/>
  <c r="AH17" i="7"/>
  <c r="AG17" i="7"/>
  <c r="N17" i="7"/>
  <c r="K17" i="7" s="1"/>
  <c r="M17" i="7"/>
  <c r="L17" i="7"/>
  <c r="J17" i="7"/>
  <c r="I17" i="7"/>
  <c r="BG16" i="7"/>
  <c r="BF16" i="7"/>
  <c r="AL16" i="7"/>
  <c r="AI16" i="7" s="1"/>
  <c r="AK16" i="7"/>
  <c r="AJ16" i="7"/>
  <c r="AH16" i="7"/>
  <c r="AG16" i="7"/>
  <c r="N16" i="7"/>
  <c r="M16" i="7"/>
  <c r="L16" i="7"/>
  <c r="K16" i="7"/>
  <c r="J16" i="7"/>
  <c r="I16" i="7"/>
  <c r="BF15" i="7"/>
  <c r="AL15" i="7"/>
  <c r="AK15" i="7"/>
  <c r="AJ15" i="7"/>
  <c r="AH15" i="7"/>
  <c r="AG15" i="7"/>
  <c r="N15" i="7"/>
  <c r="M15" i="7"/>
  <c r="L15" i="7"/>
  <c r="K15" i="7"/>
  <c r="J15" i="7"/>
  <c r="I15" i="7"/>
  <c r="BF14" i="7"/>
  <c r="AL14" i="7"/>
  <c r="AK14" i="7"/>
  <c r="AJ14" i="7"/>
  <c r="AI14" i="7"/>
  <c r="AH14" i="7"/>
  <c r="AG14" i="7"/>
  <c r="N14" i="7"/>
  <c r="M14" i="7"/>
  <c r="L14" i="7"/>
  <c r="J14" i="7"/>
  <c r="I14" i="7"/>
  <c r="BF13" i="7"/>
  <c r="AL13" i="7"/>
  <c r="AK13" i="7"/>
  <c r="AJ13" i="7"/>
  <c r="AI13" i="7"/>
  <c r="AH13" i="7"/>
  <c r="AG13" i="7"/>
  <c r="N13" i="7"/>
  <c r="K13" i="7" s="1"/>
  <c r="M13" i="7"/>
  <c r="L13" i="7"/>
  <c r="J13" i="7"/>
  <c r="I13" i="7"/>
  <c r="BF12" i="7"/>
  <c r="AL12" i="7"/>
  <c r="AK12" i="7"/>
  <c r="AJ12" i="7"/>
  <c r="AH12" i="7"/>
  <c r="AG12" i="7"/>
  <c r="N12" i="7"/>
  <c r="M12" i="7"/>
  <c r="L12" i="7"/>
  <c r="K12" i="7"/>
  <c r="J12" i="7"/>
  <c r="I12" i="7"/>
  <c r="BF11" i="7"/>
  <c r="AL11" i="7"/>
  <c r="AI11" i="7" s="1"/>
  <c r="AK11" i="7"/>
  <c r="AJ11" i="7"/>
  <c r="AH11" i="7"/>
  <c r="AG11" i="7"/>
  <c r="N11" i="7"/>
  <c r="K11" i="7" s="1"/>
  <c r="M11" i="7"/>
  <c r="L11" i="7"/>
  <c r="J11" i="7"/>
  <c r="I11" i="7"/>
  <c r="BG10" i="7"/>
  <c r="BF10" i="7"/>
  <c r="AL10" i="7"/>
  <c r="AK10" i="7"/>
  <c r="AJ10" i="7"/>
  <c r="AI10" i="7"/>
  <c r="AH10" i="7"/>
  <c r="AG10" i="7"/>
  <c r="N10" i="7"/>
  <c r="M10" i="7"/>
  <c r="L10" i="7"/>
  <c r="J10" i="7"/>
  <c r="I10" i="7"/>
  <c r="BF9" i="7"/>
  <c r="AL9" i="7"/>
  <c r="AI9" i="7" s="1"/>
  <c r="AK9" i="7"/>
  <c r="AJ9" i="7"/>
  <c r="AH9" i="7"/>
  <c r="AG9" i="7"/>
  <c r="N9" i="7"/>
  <c r="K9" i="7" s="1"/>
  <c r="M9" i="7"/>
  <c r="L9" i="7"/>
  <c r="J9" i="7"/>
  <c r="I9" i="7"/>
  <c r="BF8" i="7"/>
  <c r="AL8" i="7"/>
  <c r="AK8" i="7"/>
  <c r="AJ8" i="7"/>
  <c r="AI8" i="7"/>
  <c r="AH8" i="7"/>
  <c r="AG8" i="7"/>
  <c r="N8" i="7"/>
  <c r="M8" i="7"/>
  <c r="L8" i="7"/>
  <c r="K8" i="7"/>
  <c r="J8" i="7"/>
  <c r="I8" i="7"/>
  <c r="BF7" i="7"/>
  <c r="AL7" i="7"/>
  <c r="AI7" i="7" s="1"/>
  <c r="AK7" i="7"/>
  <c r="AJ7" i="7"/>
  <c r="AH7" i="7"/>
  <c r="AG7" i="7"/>
  <c r="N7" i="7"/>
  <c r="K7" i="7" s="1"/>
  <c r="M7" i="7"/>
  <c r="L7" i="7"/>
  <c r="J7" i="7"/>
  <c r="I7" i="7"/>
  <c r="BG6" i="7"/>
  <c r="BF6" i="7"/>
  <c r="AL6" i="7"/>
  <c r="AK6" i="7"/>
  <c r="AJ6" i="7"/>
  <c r="AI6" i="7"/>
  <c r="AH6" i="7"/>
  <c r="AG6" i="7"/>
  <c r="N6" i="7"/>
  <c r="M6" i="7"/>
  <c r="L6" i="7"/>
  <c r="K6" i="7"/>
  <c r="J6" i="7"/>
  <c r="I6" i="7"/>
  <c r="BF5" i="7"/>
  <c r="AL5" i="7"/>
  <c r="AK5" i="7"/>
  <c r="AK43" i="7" s="1"/>
  <c r="AJ5" i="7"/>
  <c r="AH5" i="7"/>
  <c r="AG5" i="7"/>
  <c r="N5" i="7"/>
  <c r="M5" i="7"/>
  <c r="L5" i="7"/>
  <c r="J5" i="7"/>
  <c r="I5" i="7"/>
  <c r="AG1" i="7"/>
  <c r="I1" i="7"/>
  <c r="AZ18" i="6"/>
  <c r="AZ19" i="6" s="1"/>
  <c r="AY18" i="6"/>
  <c r="AY19" i="6" s="1"/>
  <c r="C36" i="1" s="1"/>
  <c r="AX18" i="6"/>
  <c r="AW18" i="6"/>
  <c r="AC18" i="6"/>
  <c r="AB18" i="6"/>
  <c r="AA18" i="6"/>
  <c r="Z18" i="6"/>
  <c r="AW19" i="6" s="1"/>
  <c r="AW17" i="6"/>
  <c r="AZ16" i="6"/>
  <c r="AY16" i="6"/>
  <c r="AY17" i="6" s="1"/>
  <c r="AX16" i="6"/>
  <c r="AW16" i="6"/>
  <c r="AC16" i="6"/>
  <c r="AZ17" i="6" s="1"/>
  <c r="AB16" i="6"/>
  <c r="AA16" i="6"/>
  <c r="Z16" i="6"/>
  <c r="AI13" i="6"/>
  <c r="AG13" i="6"/>
  <c r="AK11" i="6"/>
  <c r="AH11" i="6" s="1"/>
  <c r="AJ11" i="6"/>
  <c r="BE11" i="6" s="1"/>
  <c r="AI11" i="6"/>
  <c r="BD11" i="6" s="1"/>
  <c r="AG11" i="6"/>
  <c r="AF11" i="6"/>
  <c r="AE11" i="6"/>
  <c r="N11" i="6"/>
  <c r="M11" i="6"/>
  <c r="L11" i="6"/>
  <c r="J11" i="6"/>
  <c r="I11" i="6"/>
  <c r="H11" i="6"/>
  <c r="BF10" i="6"/>
  <c r="BE10" i="6"/>
  <c r="AK10" i="6"/>
  <c r="AH10" i="6" s="1"/>
  <c r="AJ10" i="6"/>
  <c r="AI10" i="6"/>
  <c r="AG10" i="6"/>
  <c r="AF10" i="6"/>
  <c r="AE10" i="6"/>
  <c r="N10" i="6"/>
  <c r="BG10" i="6" s="1" a="1"/>
  <c r="BG10" i="6" s="1"/>
  <c r="M10" i="6"/>
  <c r="L10" i="6"/>
  <c r="L14" i="6" s="1"/>
  <c r="K10" i="6"/>
  <c r="J10" i="6"/>
  <c r="J14" i="6" s="1"/>
  <c r="I10" i="6"/>
  <c r="H10" i="6"/>
  <c r="AK9" i="6"/>
  <c r="AJ9" i="6"/>
  <c r="AI9" i="6"/>
  <c r="AG9" i="6"/>
  <c r="AF9" i="6"/>
  <c r="AE9" i="6"/>
  <c r="N9" i="6"/>
  <c r="K9" i="6" s="1"/>
  <c r="K13" i="6" s="1"/>
  <c r="M9" i="6"/>
  <c r="M13" i="6" s="1"/>
  <c r="L9" i="6"/>
  <c r="L13" i="6" s="1"/>
  <c r="BD13" i="6" s="1"/>
  <c r="J9" i="6"/>
  <c r="I9" i="6"/>
  <c r="H9" i="6"/>
  <c r="AK8" i="6"/>
  <c r="AJ8" i="6"/>
  <c r="AI8" i="6"/>
  <c r="AG8" i="6"/>
  <c r="AF8" i="6"/>
  <c r="AE8" i="6"/>
  <c r="N8" i="6"/>
  <c r="K8" i="6" s="1"/>
  <c r="M8" i="6"/>
  <c r="M12" i="6" s="1"/>
  <c r="L8" i="6"/>
  <c r="J8" i="6"/>
  <c r="I8" i="6"/>
  <c r="H8" i="6"/>
  <c r="AK7" i="6"/>
  <c r="AJ7" i="6"/>
  <c r="BE7" i="6" s="1"/>
  <c r="AI7" i="6"/>
  <c r="AH7" i="6"/>
  <c r="AG7" i="6"/>
  <c r="BB7" i="6" s="1"/>
  <c r="AF7" i="6"/>
  <c r="AE7" i="6"/>
  <c r="N7" i="6"/>
  <c r="M7" i="6"/>
  <c r="L7" i="6"/>
  <c r="J7" i="6"/>
  <c r="I7" i="6"/>
  <c r="H7" i="6"/>
  <c r="AK6" i="6"/>
  <c r="AH6" i="6" s="1"/>
  <c r="AJ6" i="6"/>
  <c r="AI6" i="6"/>
  <c r="BD6" i="6" s="1"/>
  <c r="AG6" i="6"/>
  <c r="AF6" i="6"/>
  <c r="AE6" i="6"/>
  <c r="N6" i="6"/>
  <c r="BG6" i="6" s="1" a="1"/>
  <c r="M6" i="6"/>
  <c r="L6" i="6"/>
  <c r="K6" i="6"/>
  <c r="J6" i="6"/>
  <c r="I6" i="6"/>
  <c r="H6" i="6"/>
  <c r="AK5" i="6"/>
  <c r="AJ5" i="6"/>
  <c r="AJ15" i="6" s="1"/>
  <c r="AI5" i="6"/>
  <c r="AG5" i="6"/>
  <c r="AF5" i="6"/>
  <c r="AE5" i="6"/>
  <c r="N5" i="6"/>
  <c r="K5" i="6" s="1"/>
  <c r="M5" i="6"/>
  <c r="L5" i="6"/>
  <c r="J5" i="6"/>
  <c r="I5" i="6"/>
  <c r="H5" i="6"/>
  <c r="AE1" i="6"/>
  <c r="H1" i="6"/>
  <c r="AZ18" i="5"/>
  <c r="AY18" i="5"/>
  <c r="AX18" i="5"/>
  <c r="AX19" i="5" s="1"/>
  <c r="AW18" i="5"/>
  <c r="AC18" i="5"/>
  <c r="AB18" i="5"/>
  <c r="AY19" i="5" s="1"/>
  <c r="AA18" i="5"/>
  <c r="Z18" i="5"/>
  <c r="AW19" i="5" s="1"/>
  <c r="AZ16" i="5"/>
  <c r="AZ17" i="5" s="1"/>
  <c r="AY16" i="5"/>
  <c r="AX16" i="5"/>
  <c r="AW16" i="5"/>
  <c r="AW17" i="5" s="1"/>
  <c r="AC16" i="5"/>
  <c r="AB16" i="5"/>
  <c r="AY17" i="5" s="1"/>
  <c r="AA16" i="5"/>
  <c r="Z16" i="5"/>
  <c r="J14" i="5"/>
  <c r="BG11" i="5"/>
  <c r="AK11" i="5"/>
  <c r="AH11" i="5" s="1"/>
  <c r="AJ11" i="5"/>
  <c r="AI11" i="5"/>
  <c r="AG11" i="5"/>
  <c r="BB11" i="5" s="1"/>
  <c r="AF11" i="5"/>
  <c r="AE11" i="5"/>
  <c r="N11" i="5"/>
  <c r="BG11" i="5" s="1" a="1"/>
  <c r="M11" i="5"/>
  <c r="BE11" i="5" s="1"/>
  <c r="L11" i="5"/>
  <c r="BD11" i="5" s="1"/>
  <c r="K11" i="5"/>
  <c r="J11" i="5"/>
  <c r="I11" i="5"/>
  <c r="H11" i="5"/>
  <c r="AK10" i="5"/>
  <c r="BG10" i="5" s="1" a="1"/>
  <c r="AJ10" i="5"/>
  <c r="AI10" i="5"/>
  <c r="AG10" i="5"/>
  <c r="AG14" i="5" s="1"/>
  <c r="AF10" i="5"/>
  <c r="AE10" i="5"/>
  <c r="N10" i="5"/>
  <c r="K10" i="5" s="1"/>
  <c r="M10" i="5"/>
  <c r="L10" i="5"/>
  <c r="J10" i="5"/>
  <c r="BB10" i="5" s="1"/>
  <c r="I10" i="5"/>
  <c r="H10" i="5"/>
  <c r="AK9" i="5"/>
  <c r="AJ9" i="5"/>
  <c r="AJ13" i="5" s="1"/>
  <c r="AI9" i="5"/>
  <c r="BD9" i="5" s="1"/>
  <c r="AG9" i="5"/>
  <c r="AG13" i="5" s="1"/>
  <c r="AF9" i="5"/>
  <c r="AE9" i="5"/>
  <c r="N9" i="5"/>
  <c r="K9" i="5" s="1"/>
  <c r="K13" i="5" s="1"/>
  <c r="M9" i="5"/>
  <c r="M13" i="5" s="1"/>
  <c r="BE13" i="5" s="1"/>
  <c r="L9" i="5"/>
  <c r="L13" i="5" s="1"/>
  <c r="J9" i="5"/>
  <c r="J13" i="5" s="1"/>
  <c r="I9" i="5"/>
  <c r="H9" i="5"/>
  <c r="AK8" i="5"/>
  <c r="AJ8" i="5"/>
  <c r="AI8" i="5"/>
  <c r="AH8" i="5"/>
  <c r="BC8" i="5" s="1"/>
  <c r="AG8" i="5"/>
  <c r="AG15" i="5" s="1"/>
  <c r="AF8" i="5"/>
  <c r="AE8" i="5"/>
  <c r="N8" i="5"/>
  <c r="K8" i="5" s="1"/>
  <c r="M8" i="5"/>
  <c r="L8" i="5"/>
  <c r="J8" i="5"/>
  <c r="I8" i="5"/>
  <c r="H8" i="5"/>
  <c r="BG7" i="5" a="1"/>
  <c r="AK7" i="5"/>
  <c r="AH7" i="5" s="1"/>
  <c r="AJ7" i="5"/>
  <c r="BE7" i="5" s="1"/>
  <c r="AI7" i="5"/>
  <c r="AG7" i="5"/>
  <c r="AF7" i="5"/>
  <c r="AE7" i="5"/>
  <c r="N7" i="5"/>
  <c r="M7" i="5"/>
  <c r="L7" i="5"/>
  <c r="J7" i="5"/>
  <c r="I7" i="5"/>
  <c r="H7" i="5"/>
  <c r="BB6" i="5"/>
  <c r="AK6" i="5"/>
  <c r="AJ6" i="5"/>
  <c r="AI6" i="5"/>
  <c r="BD6" i="5" s="1"/>
  <c r="AH6" i="5"/>
  <c r="AG6" i="5"/>
  <c r="AF6" i="5"/>
  <c r="AE6" i="5"/>
  <c r="N6" i="5"/>
  <c r="K6" i="5" s="1"/>
  <c r="M6" i="5"/>
  <c r="L6" i="5"/>
  <c r="J6" i="5"/>
  <c r="J12" i="5" s="1"/>
  <c r="I6" i="5"/>
  <c r="H6" i="5"/>
  <c r="AK5" i="5"/>
  <c r="AH5" i="5" s="1"/>
  <c r="AJ5" i="5"/>
  <c r="AI5" i="5"/>
  <c r="BD5" i="5" s="1"/>
  <c r="AG5" i="5"/>
  <c r="AF5" i="5"/>
  <c r="AE5" i="5"/>
  <c r="N5" i="5"/>
  <c r="K5" i="5" s="1"/>
  <c r="M5" i="5"/>
  <c r="L5" i="5"/>
  <c r="J5" i="5"/>
  <c r="I5" i="5"/>
  <c r="H5" i="5"/>
  <c r="AE1" i="5"/>
  <c r="H1" i="5"/>
  <c r="BC46" i="3"/>
  <c r="BB46" i="3"/>
  <c r="BA46" i="3"/>
  <c r="AZ46" i="3"/>
  <c r="AE46" i="3"/>
  <c r="AD46" i="3"/>
  <c r="AC46" i="3"/>
  <c r="AB46" i="3"/>
  <c r="BC44" i="3"/>
  <c r="BB44" i="3"/>
  <c r="BA44" i="3"/>
  <c r="AZ44" i="3"/>
  <c r="AE44" i="3"/>
  <c r="AD44" i="3"/>
  <c r="AC44" i="3"/>
  <c r="AB44" i="3"/>
  <c r="BF39" i="3"/>
  <c r="AL39" i="3"/>
  <c r="AI39" i="3" s="1"/>
  <c r="AK39" i="3"/>
  <c r="AJ39" i="3"/>
  <c r="AH39" i="3"/>
  <c r="AG39" i="3"/>
  <c r="N39" i="3"/>
  <c r="K39" i="3" s="1"/>
  <c r="M39" i="3"/>
  <c r="L39" i="3"/>
  <c r="J39" i="3"/>
  <c r="I39" i="3"/>
  <c r="BF38" i="3"/>
  <c r="AL38" i="3"/>
  <c r="AI38" i="3" s="1"/>
  <c r="AK38" i="3"/>
  <c r="AJ38" i="3"/>
  <c r="AH38" i="3"/>
  <c r="AG38" i="3"/>
  <c r="N38" i="3"/>
  <c r="K38" i="3" s="1"/>
  <c r="M38" i="3"/>
  <c r="L38" i="3"/>
  <c r="J38" i="3"/>
  <c r="I38" i="3"/>
  <c r="BF37" i="3"/>
  <c r="AL37" i="3"/>
  <c r="AK37" i="3"/>
  <c r="AJ37" i="3"/>
  <c r="AI37" i="3"/>
  <c r="AH37" i="3"/>
  <c r="AG37" i="3"/>
  <c r="N37" i="3"/>
  <c r="M37" i="3"/>
  <c r="L37" i="3"/>
  <c r="J37" i="3"/>
  <c r="I37" i="3"/>
  <c r="BF36" i="3"/>
  <c r="AL36" i="3"/>
  <c r="AK36" i="3"/>
  <c r="AJ36" i="3"/>
  <c r="AH36" i="3"/>
  <c r="AG36" i="3"/>
  <c r="N36" i="3"/>
  <c r="K36" i="3" s="1"/>
  <c r="M36" i="3"/>
  <c r="L36" i="3"/>
  <c r="J36" i="3"/>
  <c r="I36" i="3"/>
  <c r="BF35" i="3"/>
  <c r="AL35" i="3"/>
  <c r="AI35" i="3" s="1"/>
  <c r="AK35" i="3"/>
  <c r="AJ35" i="3"/>
  <c r="AH35" i="3"/>
  <c r="AG35" i="3"/>
  <c r="N35" i="3"/>
  <c r="M35" i="3"/>
  <c r="L35" i="3"/>
  <c r="K35" i="3"/>
  <c r="J35" i="3"/>
  <c r="I35" i="3"/>
  <c r="BF34" i="3"/>
  <c r="AL34" i="3"/>
  <c r="AI34" i="3" s="1"/>
  <c r="AK34" i="3"/>
  <c r="AJ34" i="3"/>
  <c r="AH34" i="3"/>
  <c r="AG34" i="3"/>
  <c r="N34" i="3"/>
  <c r="M34" i="3"/>
  <c r="L34" i="3"/>
  <c r="K34" i="3"/>
  <c r="J34" i="3"/>
  <c r="I34" i="3"/>
  <c r="BF33" i="3"/>
  <c r="AL33" i="3"/>
  <c r="AI33" i="3" s="1"/>
  <c r="AK33" i="3"/>
  <c r="AJ33" i="3"/>
  <c r="AH33" i="3"/>
  <c r="AG33" i="3"/>
  <c r="N33" i="3"/>
  <c r="M33" i="3"/>
  <c r="L33" i="3"/>
  <c r="K33" i="3"/>
  <c r="J33" i="3"/>
  <c r="I33" i="3"/>
  <c r="BF32" i="3"/>
  <c r="AL32" i="3"/>
  <c r="AK32" i="3"/>
  <c r="AJ32" i="3"/>
  <c r="AI32" i="3"/>
  <c r="AH32" i="3"/>
  <c r="AG32" i="3"/>
  <c r="N32" i="3"/>
  <c r="K32" i="3" s="1"/>
  <c r="M32" i="3"/>
  <c r="L32" i="3"/>
  <c r="J32" i="3"/>
  <c r="I32" i="3"/>
  <c r="BF31" i="3"/>
  <c r="AL31" i="3"/>
  <c r="AK31" i="3"/>
  <c r="AJ31" i="3"/>
  <c r="AI31" i="3"/>
  <c r="AH31" i="3"/>
  <c r="AG31" i="3"/>
  <c r="N31" i="3"/>
  <c r="K31" i="3" s="1"/>
  <c r="M31" i="3"/>
  <c r="L31" i="3"/>
  <c r="J31" i="3"/>
  <c r="I31" i="3"/>
  <c r="BF30" i="3"/>
  <c r="AL30" i="3"/>
  <c r="AK30" i="3"/>
  <c r="AJ30" i="3"/>
  <c r="AI30" i="3"/>
  <c r="AH30" i="3"/>
  <c r="AG30" i="3"/>
  <c r="N30" i="3"/>
  <c r="K30" i="3" s="1"/>
  <c r="M30" i="3"/>
  <c r="L30" i="3"/>
  <c r="J30" i="3"/>
  <c r="I30" i="3"/>
  <c r="BF29" i="3"/>
  <c r="AL29" i="3"/>
  <c r="AI29" i="3" s="1"/>
  <c r="AK29" i="3"/>
  <c r="AJ29" i="3"/>
  <c r="AH29" i="3"/>
  <c r="AG29" i="3"/>
  <c r="N29" i="3"/>
  <c r="K29" i="3" s="1"/>
  <c r="M29" i="3"/>
  <c r="L29" i="3"/>
  <c r="J29" i="3"/>
  <c r="I29" i="3"/>
  <c r="BF28" i="3"/>
  <c r="AL28" i="3"/>
  <c r="AK28" i="3"/>
  <c r="AJ28" i="3"/>
  <c r="AI28" i="3"/>
  <c r="AH28" i="3"/>
  <c r="AG28" i="3"/>
  <c r="N28" i="3"/>
  <c r="BG28" i="3" s="1"/>
  <c r="M28" i="3"/>
  <c r="L28" i="3"/>
  <c r="J28" i="3"/>
  <c r="I28" i="3"/>
  <c r="BF27" i="3"/>
  <c r="AL27" i="3"/>
  <c r="AK27" i="3"/>
  <c r="AK41" i="3" s="1"/>
  <c r="AJ27" i="3"/>
  <c r="AH27" i="3"/>
  <c r="AG27" i="3"/>
  <c r="N27" i="3"/>
  <c r="K27" i="3" s="1"/>
  <c r="M27" i="3"/>
  <c r="L27" i="3"/>
  <c r="J27" i="3"/>
  <c r="I27" i="3"/>
  <c r="BF26" i="3"/>
  <c r="AL26" i="3"/>
  <c r="AK26" i="3"/>
  <c r="AJ26" i="3"/>
  <c r="AI26" i="3"/>
  <c r="AH26" i="3"/>
  <c r="AG26" i="3"/>
  <c r="N26" i="3"/>
  <c r="K26" i="3" s="1"/>
  <c r="M26" i="3"/>
  <c r="L26" i="3"/>
  <c r="J26" i="3"/>
  <c r="I26" i="3"/>
  <c r="BF25" i="3"/>
  <c r="AL25" i="3"/>
  <c r="AI25" i="3" s="1"/>
  <c r="AK25" i="3"/>
  <c r="AJ25" i="3"/>
  <c r="AH25" i="3"/>
  <c r="AG25" i="3"/>
  <c r="N25" i="3"/>
  <c r="BG25" i="3" s="1"/>
  <c r="M25" i="3"/>
  <c r="L25" i="3"/>
  <c r="J25" i="3"/>
  <c r="I25" i="3"/>
  <c r="BF24" i="3"/>
  <c r="AL24" i="3"/>
  <c r="AK24" i="3"/>
  <c r="AJ24" i="3"/>
  <c r="AI24" i="3"/>
  <c r="AH24" i="3"/>
  <c r="AG24" i="3"/>
  <c r="N24" i="3"/>
  <c r="M24" i="3"/>
  <c r="L24" i="3"/>
  <c r="J24" i="3"/>
  <c r="I24" i="3"/>
  <c r="BF23" i="3"/>
  <c r="AL23" i="3"/>
  <c r="BG23" i="3" s="1"/>
  <c r="AK23" i="3"/>
  <c r="AJ23" i="3"/>
  <c r="AI23" i="3"/>
  <c r="BE23" i="3" s="1"/>
  <c r="AH23" i="3"/>
  <c r="AG23" i="3"/>
  <c r="N23" i="3"/>
  <c r="K23" i="3" s="1"/>
  <c r="M23" i="3"/>
  <c r="L23" i="3"/>
  <c r="J23" i="3"/>
  <c r="I23" i="3"/>
  <c r="BF22" i="3"/>
  <c r="AL22" i="3"/>
  <c r="AI22" i="3" s="1"/>
  <c r="AK22" i="3"/>
  <c r="AJ22" i="3"/>
  <c r="AH22" i="3"/>
  <c r="AG22" i="3"/>
  <c r="N22" i="3"/>
  <c r="K22" i="3" s="1"/>
  <c r="M22" i="3"/>
  <c r="L22" i="3"/>
  <c r="J22" i="3"/>
  <c r="I22" i="3"/>
  <c r="BF21" i="3"/>
  <c r="AL21" i="3"/>
  <c r="AK21" i="3"/>
  <c r="AJ21" i="3"/>
  <c r="AH21" i="3"/>
  <c r="AG21" i="3"/>
  <c r="N21" i="3"/>
  <c r="K21" i="3" s="1"/>
  <c r="M21" i="3"/>
  <c r="L21" i="3"/>
  <c r="J21" i="3"/>
  <c r="I21" i="3"/>
  <c r="BF20" i="3"/>
  <c r="AL20" i="3"/>
  <c r="BG20" i="3" s="1"/>
  <c r="AK20" i="3"/>
  <c r="AJ20" i="3"/>
  <c r="AI20" i="3"/>
  <c r="AH20" i="3"/>
  <c r="AG20" i="3"/>
  <c r="N20" i="3"/>
  <c r="M20" i="3"/>
  <c r="L20" i="3"/>
  <c r="K20" i="3"/>
  <c r="BE20" i="3" s="1"/>
  <c r="J20" i="3"/>
  <c r="I20" i="3"/>
  <c r="BF19" i="3"/>
  <c r="AL19" i="3"/>
  <c r="AK19" i="3"/>
  <c r="AJ19" i="3"/>
  <c r="AI19" i="3"/>
  <c r="BE19" i="3" s="1"/>
  <c r="AH19" i="3"/>
  <c r="AG19" i="3"/>
  <c r="N19" i="3"/>
  <c r="K19" i="3" s="1"/>
  <c r="M19" i="3"/>
  <c r="L19" i="3"/>
  <c r="J19" i="3"/>
  <c r="I19" i="3"/>
  <c r="BF18" i="3"/>
  <c r="AL18" i="3"/>
  <c r="AK18" i="3"/>
  <c r="AJ18" i="3"/>
  <c r="AI18" i="3"/>
  <c r="AH18" i="3"/>
  <c r="AG18" i="3"/>
  <c r="N18" i="3"/>
  <c r="BG18" i="3" s="1"/>
  <c r="M18" i="3"/>
  <c r="L18" i="3"/>
  <c r="K18" i="3"/>
  <c r="J18" i="3"/>
  <c r="I18" i="3"/>
  <c r="BF17" i="3"/>
  <c r="AL17" i="3"/>
  <c r="AI17" i="3" s="1"/>
  <c r="AK17" i="3"/>
  <c r="AJ17" i="3"/>
  <c r="AH17" i="3"/>
  <c r="AG17" i="3"/>
  <c r="N17" i="3"/>
  <c r="K17" i="3" s="1"/>
  <c r="M17" i="3"/>
  <c r="L17" i="3"/>
  <c r="J17" i="3"/>
  <c r="I17" i="3"/>
  <c r="BF16" i="3"/>
  <c r="AL16" i="3"/>
  <c r="AK16" i="3"/>
  <c r="AJ16" i="3"/>
  <c r="AI16" i="3"/>
  <c r="AH16" i="3"/>
  <c r="AG16" i="3"/>
  <c r="N16" i="3"/>
  <c r="K16" i="3" s="1"/>
  <c r="M16" i="3"/>
  <c r="L16" i="3"/>
  <c r="J16" i="3"/>
  <c r="I16" i="3"/>
  <c r="BF15" i="3"/>
  <c r="AL15" i="3"/>
  <c r="AK15" i="3"/>
  <c r="AJ15" i="3"/>
  <c r="AI15" i="3"/>
  <c r="AH15" i="3"/>
  <c r="AG15" i="3"/>
  <c r="N15" i="3"/>
  <c r="M15" i="3"/>
  <c r="L15" i="3"/>
  <c r="J15" i="3"/>
  <c r="I15" i="3"/>
  <c r="BF14" i="3"/>
  <c r="AL14" i="3"/>
  <c r="AI14" i="3" s="1"/>
  <c r="AK14" i="3"/>
  <c r="AJ14" i="3"/>
  <c r="AH14" i="3"/>
  <c r="AG14" i="3"/>
  <c r="N14" i="3"/>
  <c r="K14" i="3" s="1"/>
  <c r="M14" i="3"/>
  <c r="L14" i="3"/>
  <c r="J14" i="3"/>
  <c r="I14" i="3"/>
  <c r="BF13" i="3"/>
  <c r="AL13" i="3"/>
  <c r="BH10" i="3" s="1" a="1"/>
  <c r="AK13" i="3"/>
  <c r="AJ13" i="3"/>
  <c r="AH13" i="3"/>
  <c r="AG13" i="3"/>
  <c r="N13" i="3"/>
  <c r="K13" i="3" s="1"/>
  <c r="M13" i="3"/>
  <c r="L13" i="3"/>
  <c r="J13" i="3"/>
  <c r="I13" i="3"/>
  <c r="BF12" i="3"/>
  <c r="AL12" i="3"/>
  <c r="AK12" i="3"/>
  <c r="AJ12" i="3"/>
  <c r="AI12" i="3"/>
  <c r="AH12" i="3"/>
  <c r="AG12" i="3"/>
  <c r="N12" i="3"/>
  <c r="BG12" i="3" s="1"/>
  <c r="M12" i="3"/>
  <c r="L12" i="3"/>
  <c r="K12" i="3"/>
  <c r="J12" i="3"/>
  <c r="I12" i="3"/>
  <c r="BF11" i="3"/>
  <c r="AL11" i="3"/>
  <c r="AK11" i="3"/>
  <c r="AJ11" i="3"/>
  <c r="AI11" i="3"/>
  <c r="BE11" i="3" s="1"/>
  <c r="AH11" i="3"/>
  <c r="AG11" i="3"/>
  <c r="N11" i="3"/>
  <c r="K11" i="3" s="1"/>
  <c r="M11" i="3"/>
  <c r="L11" i="3"/>
  <c r="J11" i="3"/>
  <c r="I11" i="3"/>
  <c r="BF10" i="3"/>
  <c r="AL10" i="3"/>
  <c r="AK10" i="3"/>
  <c r="AJ10" i="3"/>
  <c r="AI10" i="3"/>
  <c r="AH10" i="3"/>
  <c r="AG10" i="3"/>
  <c r="N10" i="3"/>
  <c r="K10" i="3" s="1"/>
  <c r="M10" i="3"/>
  <c r="L10" i="3"/>
  <c r="J10" i="3"/>
  <c r="I10" i="3"/>
  <c r="BF9" i="3"/>
  <c r="AL9" i="3"/>
  <c r="AI9" i="3" s="1"/>
  <c r="AK9" i="3"/>
  <c r="AJ9" i="3"/>
  <c r="AH9" i="3"/>
  <c r="AG9" i="3"/>
  <c r="N9" i="3"/>
  <c r="M9" i="3"/>
  <c r="L9" i="3"/>
  <c r="J9" i="3"/>
  <c r="I9" i="3"/>
  <c r="BF8" i="3"/>
  <c r="AL8" i="3"/>
  <c r="AK8" i="3"/>
  <c r="AJ8" i="3"/>
  <c r="AI8" i="3"/>
  <c r="AH8" i="3"/>
  <c r="AG8" i="3"/>
  <c r="N8" i="3"/>
  <c r="BG8" i="3" s="1"/>
  <c r="M8" i="3"/>
  <c r="L8" i="3"/>
  <c r="J8" i="3"/>
  <c r="I8" i="3"/>
  <c r="BF7" i="3"/>
  <c r="AL7" i="3"/>
  <c r="AK7" i="3"/>
  <c r="AJ7" i="3"/>
  <c r="AH7" i="3"/>
  <c r="AG7" i="3"/>
  <c r="N7" i="3"/>
  <c r="K7" i="3" s="1"/>
  <c r="M7" i="3"/>
  <c r="L7" i="3"/>
  <c r="J7" i="3"/>
  <c r="I7" i="3"/>
  <c r="BF6" i="3"/>
  <c r="AL6" i="3"/>
  <c r="AI6" i="3" s="1"/>
  <c r="AK6" i="3"/>
  <c r="AJ6" i="3"/>
  <c r="AH6" i="3"/>
  <c r="AG6" i="3"/>
  <c r="N6" i="3"/>
  <c r="BG6" i="3" s="1"/>
  <c r="M6" i="3"/>
  <c r="L6" i="3"/>
  <c r="J6" i="3"/>
  <c r="I6" i="3"/>
  <c r="BF5" i="3"/>
  <c r="AL5" i="3"/>
  <c r="AI5" i="3" s="1"/>
  <c r="AK5" i="3"/>
  <c r="AJ5" i="3"/>
  <c r="AH5" i="3"/>
  <c r="AG5" i="3"/>
  <c r="N5" i="3"/>
  <c r="M5" i="3"/>
  <c r="L5" i="3"/>
  <c r="J5" i="3"/>
  <c r="I5" i="3"/>
  <c r="AG1" i="3"/>
  <c r="I1" i="3"/>
  <c r="B2" i="2"/>
  <c r="B1" i="2"/>
  <c r="BP35" i="7"/>
  <c r="BM30" i="7"/>
  <c r="BJ25" i="7"/>
  <c r="BT15" i="7"/>
  <c r="BP10" i="7"/>
  <c r="BK10" i="7"/>
  <c r="BN5" i="7"/>
  <c r="BS35" i="3"/>
  <c r="BR30" i="3"/>
  <c r="BT25" i="3"/>
  <c r="BR20" i="3"/>
  <c r="BT10" i="3"/>
  <c r="BQ5" i="3"/>
  <c r="BJ5" i="3"/>
  <c r="BR35" i="7"/>
  <c r="BN35" i="7"/>
  <c r="BL30" i="7"/>
  <c r="BT20" i="7"/>
  <c r="BS15" i="7"/>
  <c r="BN10" i="7"/>
  <c r="BM5" i="7"/>
  <c r="BR35" i="3"/>
  <c r="BQ30" i="3"/>
  <c r="BS25" i="3"/>
  <c r="BQ20" i="3"/>
  <c r="BS10" i="3"/>
  <c r="BP5" i="3"/>
  <c r="BN20" i="7"/>
  <c r="BK20" i="3"/>
  <c r="BT20" i="3"/>
  <c r="BP5" i="7"/>
  <c r="BM35" i="7"/>
  <c r="BS20" i="7"/>
  <c r="BR15" i="7"/>
  <c r="BM10" i="7"/>
  <c r="BL5" i="7"/>
  <c r="BQ35" i="3"/>
  <c r="BP30" i="3"/>
  <c r="BR25" i="3"/>
  <c r="BP20" i="3"/>
  <c r="BT15" i="3"/>
  <c r="BR10" i="3"/>
  <c r="BN5" i="3"/>
  <c r="BL35" i="7"/>
  <c r="BT25" i="7"/>
  <c r="BR20" i="7"/>
  <c r="BQ15" i="7"/>
  <c r="BL10" i="7"/>
  <c r="BP35" i="3"/>
  <c r="BN30" i="3"/>
  <c r="BJ30" i="3"/>
  <c r="BQ25" i="3"/>
  <c r="BN20" i="3"/>
  <c r="BS15" i="3"/>
  <c r="BQ10" i="3"/>
  <c r="BM5" i="3"/>
  <c r="BT30" i="7"/>
  <c r="BM15" i="7"/>
  <c r="BK30" i="3"/>
  <c r="BP15" i="3"/>
  <c r="BT30" i="3"/>
  <c r="BQ35" i="7"/>
  <c r="BS30" i="3"/>
  <c r="BS25" i="7"/>
  <c r="BQ20" i="7"/>
  <c r="BP15" i="7"/>
  <c r="BJ5" i="7"/>
  <c r="BN35" i="3"/>
  <c r="BM30" i="3"/>
  <c r="BP25" i="3"/>
  <c r="BM20" i="3"/>
  <c r="BR15" i="3"/>
  <c r="BP10" i="3"/>
  <c r="BJ10" i="3"/>
  <c r="BL5" i="3"/>
  <c r="BQ25" i="7"/>
  <c r="BL35" i="3"/>
  <c r="BM10" i="3"/>
  <c r="BR10" i="7"/>
  <c r="BN30" i="7"/>
  <c r="BT35" i="3"/>
  <c r="BR25" i="7"/>
  <c r="BP20" i="7"/>
  <c r="BN15" i="7"/>
  <c r="BM35" i="3"/>
  <c r="BL30" i="3"/>
  <c r="BN25" i="3"/>
  <c r="BL20" i="3"/>
  <c r="BQ15" i="3"/>
  <c r="BJ15" i="3"/>
  <c r="BN10" i="3"/>
  <c r="BK5" i="3"/>
  <c r="BM25" i="3"/>
  <c r="BR5" i="3"/>
  <c r="BS30" i="7"/>
  <c r="BP25" i="7"/>
  <c r="BM20" i="7"/>
  <c r="BL15" i="7"/>
  <c r="BT5" i="7"/>
  <c r="BL25" i="3"/>
  <c r="BJ20" i="3"/>
  <c r="BN15" i="3"/>
  <c r="BL10" i="3"/>
  <c r="BQ30" i="7"/>
  <c r="BM25" i="7"/>
  <c r="BS10" i="7"/>
  <c r="BJ25" i="3"/>
  <c r="BT5" i="3"/>
  <c r="BL25" i="7"/>
  <c r="BQ10" i="7"/>
  <c r="BS20" i="3"/>
  <c r="BT35" i="7"/>
  <c r="BR30" i="7"/>
  <c r="BN25" i="7"/>
  <c r="BL20" i="7"/>
  <c r="BJ15" i="7"/>
  <c r="BT10" i="7"/>
  <c r="BS5" i="7"/>
  <c r="BK25" i="3"/>
  <c r="BM15" i="3"/>
  <c r="BK10" i="3"/>
  <c r="BS35" i="7"/>
  <c r="BK30" i="7"/>
  <c r="BR5" i="7"/>
  <c r="BL15" i="3"/>
  <c r="BP30" i="7"/>
  <c r="BQ5" i="7"/>
  <c r="BS5" i="3"/>
  <c r="BK25" i="7"/>
  <c r="AH41" i="3" l="1"/>
  <c r="AJ41" i="3"/>
  <c r="BG33" i="3"/>
  <c r="BG5" i="3"/>
  <c r="AH42" i="3"/>
  <c r="AJ42" i="3"/>
  <c r="AK43" i="3"/>
  <c r="BE5" i="5"/>
  <c r="BC5" i="5"/>
  <c r="AI14" i="5"/>
  <c r="BD7" i="5"/>
  <c r="BB9" i="5"/>
  <c r="BB8" i="5"/>
  <c r="BF11" i="5"/>
  <c r="BD5" i="6"/>
  <c r="BB5" i="6"/>
  <c r="BF6" i="6"/>
  <c r="AH14" i="6"/>
  <c r="BE6" i="6"/>
  <c r="BG6" i="6"/>
  <c r="BB8" i="6"/>
  <c r="AH41" i="7"/>
  <c r="AI26" i="7"/>
  <c r="AI28" i="7"/>
  <c r="BE28" i="7" s="1"/>
  <c r="AI33" i="7"/>
  <c r="BE33" i="7" s="1"/>
  <c r="AI21" i="7"/>
  <c r="BE21" i="7" s="1"/>
  <c r="AI24" i="7"/>
  <c r="AI34" i="7"/>
  <c r="BE34" i="7" s="1"/>
  <c r="AI38" i="7"/>
  <c r="BE6" i="7"/>
  <c r="AZ47" i="7"/>
  <c r="BE18" i="7"/>
  <c r="BA47" i="7"/>
  <c r="BG19" i="7"/>
  <c r="BG31" i="7"/>
  <c r="BE11" i="7"/>
  <c r="BG22" i="7"/>
  <c r="BE26" i="7"/>
  <c r="AZ45" i="7"/>
  <c r="K5" i="3"/>
  <c r="K6" i="3"/>
  <c r="AZ47" i="3"/>
  <c r="BG32" i="3"/>
  <c r="BE34" i="3"/>
  <c r="BE35" i="3"/>
  <c r="BA47" i="3"/>
  <c r="BG16" i="3"/>
  <c r="BB47" i="3"/>
  <c r="BG36" i="7"/>
  <c r="L41" i="7"/>
  <c r="BE13" i="7"/>
  <c r="M41" i="7"/>
  <c r="M42" i="7"/>
  <c r="L42" i="7"/>
  <c r="C48" i="1"/>
  <c r="BE8" i="7"/>
  <c r="BE7" i="7"/>
  <c r="BE9" i="7"/>
  <c r="BG12" i="7"/>
  <c r="BG13" i="7"/>
  <c r="J43" i="7"/>
  <c r="BG8" i="7"/>
  <c r="C35" i="1"/>
  <c r="BD8" i="6"/>
  <c r="BD10" i="6"/>
  <c r="M14" i="6"/>
  <c r="BC6" i="6"/>
  <c r="L12" i="6"/>
  <c r="BE8" i="6"/>
  <c r="L15" i="6"/>
  <c r="BB11" i="6"/>
  <c r="C23" i="1"/>
  <c r="K14" i="5"/>
  <c r="BG7" i="5"/>
  <c r="L12" i="5"/>
  <c r="BD8" i="5"/>
  <c r="BB13" i="5"/>
  <c r="E20" i="1" s="1"/>
  <c r="BB14" i="5"/>
  <c r="BE8" i="5"/>
  <c r="BF8" i="5"/>
  <c r="BG10" i="5"/>
  <c r="BG14" i="5" s="1"/>
  <c r="BC11" i="5"/>
  <c r="BE6" i="5"/>
  <c r="BB7" i="5"/>
  <c r="AX17" i="5"/>
  <c r="AZ19" i="5"/>
  <c r="BE10" i="5"/>
  <c r="L15" i="5"/>
  <c r="BG38" i="3"/>
  <c r="BE26" i="3"/>
  <c r="BA45" i="3"/>
  <c r="BE10" i="3"/>
  <c r="BE31" i="3"/>
  <c r="J41" i="3"/>
  <c r="BG26" i="3"/>
  <c r="BE32" i="3"/>
  <c r="BE22" i="3"/>
  <c r="M42" i="3"/>
  <c r="BE6" i="3"/>
  <c r="BG7" i="3"/>
  <c r="BG10" i="3"/>
  <c r="BE16" i="3"/>
  <c r="K25" i="3"/>
  <c r="AZ45" i="3"/>
  <c r="BE12" i="3"/>
  <c r="BE18" i="3"/>
  <c r="L41" i="3"/>
  <c r="K28" i="3"/>
  <c r="BE28" i="3" s="1"/>
  <c r="BH10" i="3"/>
  <c r="BE14" i="3"/>
  <c r="M41" i="3"/>
  <c r="BG30" i="3"/>
  <c r="J40" i="3"/>
  <c r="BG36" i="3"/>
  <c r="BE38" i="3"/>
  <c r="BE39" i="3"/>
  <c r="BK41" i="7"/>
  <c r="D44" i="1" s="1"/>
  <c r="BP42" i="7"/>
  <c r="BK41" i="3"/>
  <c r="D10" i="1" s="1"/>
  <c r="BS40" i="7"/>
  <c r="K43" i="1" s="1"/>
  <c r="BS43" i="7"/>
  <c r="BN41" i="7"/>
  <c r="G44" i="1" s="1"/>
  <c r="BR42" i="7"/>
  <c r="BL41" i="7"/>
  <c r="E44" i="1" s="1"/>
  <c r="BJ41" i="3"/>
  <c r="C10" i="1" s="1"/>
  <c r="BM41" i="7"/>
  <c r="F44" i="1" s="1"/>
  <c r="BQ42" i="7"/>
  <c r="BL41" i="3"/>
  <c r="E10" i="1" s="1"/>
  <c r="BP41" i="7"/>
  <c r="H44" i="1" s="1"/>
  <c r="BS42" i="7"/>
  <c r="BR43" i="3"/>
  <c r="BR40" i="3"/>
  <c r="BM41" i="3"/>
  <c r="F10" i="1" s="1"/>
  <c r="BN41" i="3"/>
  <c r="G10" i="1" s="1"/>
  <c r="BL42" i="3"/>
  <c r="E11" i="1" s="1"/>
  <c r="BR41" i="7"/>
  <c r="BN42" i="7"/>
  <c r="G45" i="1" s="1"/>
  <c r="BQ41" i="7"/>
  <c r="BL43" i="3"/>
  <c r="E12" i="1" s="1"/>
  <c r="BL40" i="3"/>
  <c r="E9" i="1" s="1"/>
  <c r="BM42" i="3"/>
  <c r="F11" i="1" s="1"/>
  <c r="BS41" i="7"/>
  <c r="BS42" i="3"/>
  <c r="BT42" i="7"/>
  <c r="BM43" i="3"/>
  <c r="F12" i="1" s="1"/>
  <c r="BM40" i="3"/>
  <c r="F9" i="1" s="1"/>
  <c r="BN42" i="3"/>
  <c r="G11" i="1" s="1"/>
  <c r="BN43" i="3"/>
  <c r="G12" i="1" s="1"/>
  <c r="BN40" i="3"/>
  <c r="G9" i="1" s="1"/>
  <c r="BR41" i="3"/>
  <c r="BP42" i="3"/>
  <c r="BP43" i="7"/>
  <c r="BS41" i="3"/>
  <c r="BQ42" i="3"/>
  <c r="BL42" i="7"/>
  <c r="E45" i="1" s="1"/>
  <c r="BJ40" i="3"/>
  <c r="C9" i="1" s="1"/>
  <c r="BT41" i="3"/>
  <c r="BR42" i="3"/>
  <c r="BN43" i="7"/>
  <c r="G46" i="1" s="1"/>
  <c r="BN40" i="7"/>
  <c r="G43" i="1" s="1"/>
  <c r="BJ41" i="7"/>
  <c r="C44" i="1" s="1"/>
  <c r="BM42" i="7"/>
  <c r="F45" i="1" s="1"/>
  <c r="BG27" i="3"/>
  <c r="AI27" i="3"/>
  <c r="BE27" i="3" s="1"/>
  <c r="BC6" i="5"/>
  <c r="BG35" i="7"/>
  <c r="K35" i="7"/>
  <c r="BH25" i="3" a="1"/>
  <c r="BH25" i="3" s="1"/>
  <c r="BH41" i="3" s="1"/>
  <c r="BF7" i="5"/>
  <c r="K7" i="5"/>
  <c r="BC7" i="5" s="1"/>
  <c r="C24" i="1"/>
  <c r="AI21" i="3"/>
  <c r="BE21" i="3" s="1"/>
  <c r="BG21" i="3"/>
  <c r="K11" i="6"/>
  <c r="BC11" i="6" s="1"/>
  <c r="BG11" i="6" a="1"/>
  <c r="BG11" i="6" s="1"/>
  <c r="BG14" i="6" s="1"/>
  <c r="BF11" i="6"/>
  <c r="AI13" i="3"/>
  <c r="BE13" i="3" s="1"/>
  <c r="BG13" i="3"/>
  <c r="K24" i="3"/>
  <c r="BE24" i="3" s="1"/>
  <c r="BG24" i="3"/>
  <c r="BH20" i="3" a="1"/>
  <c r="BH20" i="3" s="1"/>
  <c r="K9" i="3"/>
  <c r="BE9" i="3" s="1"/>
  <c r="BH5" i="3" a="1"/>
  <c r="BH5" i="3" s="1"/>
  <c r="BE14" i="7"/>
  <c r="K7" i="6"/>
  <c r="K12" i="6" s="1"/>
  <c r="BG7" i="6" a="1"/>
  <c r="BG7" i="6" s="1"/>
  <c r="BF7" i="6"/>
  <c r="BE38" i="7"/>
  <c r="BH20" i="7" a="1"/>
  <c r="BH20" i="7" s="1"/>
  <c r="BG20" i="7"/>
  <c r="BH15" i="3" a="1"/>
  <c r="BH15" i="3" s="1"/>
  <c r="BG15" i="3"/>
  <c r="BG22" i="3"/>
  <c r="AK42" i="3"/>
  <c r="BG35" i="3"/>
  <c r="J43" i="3"/>
  <c r="BD7" i="6"/>
  <c r="AI15" i="6"/>
  <c r="BD15" i="6" s="1"/>
  <c r="BG7" i="7"/>
  <c r="BG32" i="7"/>
  <c r="AH43" i="3"/>
  <c r="AH40" i="3"/>
  <c r="K8" i="3"/>
  <c r="BE8" i="3" s="1"/>
  <c r="BE17" i="3"/>
  <c r="BG29" i="3"/>
  <c r="BH35" i="3" a="1"/>
  <c r="BH35" i="3" s="1"/>
  <c r="BC47" i="3"/>
  <c r="AH10" i="5"/>
  <c r="AJ12" i="5"/>
  <c r="L43" i="7"/>
  <c r="L40" i="7"/>
  <c r="BL43" i="7"/>
  <c r="E46" i="1" s="1"/>
  <c r="BL40" i="7"/>
  <c r="E43" i="1" s="1"/>
  <c r="AI12" i="7"/>
  <c r="BE12" i="7" s="1"/>
  <c r="BG15" i="7"/>
  <c r="M43" i="3"/>
  <c r="M40" i="3"/>
  <c r="M12" i="5"/>
  <c r="M15" i="5"/>
  <c r="K10" i="1"/>
  <c r="BG9" i="5" a="1"/>
  <c r="BG9" i="5" s="1"/>
  <c r="BG13" i="5" s="1"/>
  <c r="BF9" i="5"/>
  <c r="AH9" i="5"/>
  <c r="AH15" i="5" s="1"/>
  <c r="AK40" i="3"/>
  <c r="BQ43" i="3"/>
  <c r="BQ40" i="3"/>
  <c r="BG11" i="3"/>
  <c r="BG17" i="3"/>
  <c r="BE25" i="3"/>
  <c r="J42" i="3"/>
  <c r="BT42" i="3"/>
  <c r="BG37" i="3"/>
  <c r="K37" i="3"/>
  <c r="BE37" i="3" s="1"/>
  <c r="BB45" i="3"/>
  <c r="AH12" i="5"/>
  <c r="BG8" i="6" a="1"/>
  <c r="BG8" i="6" s="1"/>
  <c r="BF8" i="6"/>
  <c r="AH8" i="6"/>
  <c r="BC8" i="6" s="1"/>
  <c r="J12" i="6"/>
  <c r="K5" i="7"/>
  <c r="K10" i="7"/>
  <c r="J40" i="7"/>
  <c r="BG5" i="7"/>
  <c r="AI5" i="7"/>
  <c r="K41" i="7"/>
  <c r="L43" i="3"/>
  <c r="BG34" i="3"/>
  <c r="C13" i="1"/>
  <c r="BG14" i="7"/>
  <c r="K14" i="7"/>
  <c r="BH30" i="7" a="1"/>
  <c r="BH30" i="7" s="1"/>
  <c r="BG14" i="3"/>
  <c r="H11" i="1"/>
  <c r="BE30" i="3"/>
  <c r="D20" i="1"/>
  <c r="BE5" i="3"/>
  <c r="L40" i="3"/>
  <c r="BC45" i="3"/>
  <c r="BH10" i="7" a="1"/>
  <c r="BH10" i="7" s="1"/>
  <c r="BG11" i="7"/>
  <c r="BC10" i="6"/>
  <c r="BC7" i="6"/>
  <c r="AJ43" i="3"/>
  <c r="AJ40" i="3"/>
  <c r="BQ41" i="3"/>
  <c r="BG31" i="3"/>
  <c r="BG39" i="3"/>
  <c r="BE24" i="7"/>
  <c r="BG30" i="7"/>
  <c r="K30" i="7"/>
  <c r="BG39" i="7"/>
  <c r="AI41" i="3"/>
  <c r="AI12" i="6"/>
  <c r="AX19" i="6"/>
  <c r="BE16" i="7"/>
  <c r="BE17" i="7"/>
  <c r="AI23" i="7"/>
  <c r="BE23" i="7" s="1"/>
  <c r="BG23" i="7"/>
  <c r="AI7" i="3"/>
  <c r="BE7" i="3" s="1"/>
  <c r="K15" i="3"/>
  <c r="BE15" i="3" s="1"/>
  <c r="BG19" i="3"/>
  <c r="L42" i="3"/>
  <c r="BF10" i="5"/>
  <c r="AI15" i="5"/>
  <c r="AJ12" i="6"/>
  <c r="BE12" i="6" s="1"/>
  <c r="BE5" i="6"/>
  <c r="AJ13" i="6"/>
  <c r="BE13" i="6" s="1"/>
  <c r="BE9" i="6"/>
  <c r="BH25" i="7" a="1"/>
  <c r="BH25" i="7" s="1"/>
  <c r="BH41" i="7" s="1"/>
  <c r="BG25" i="7"/>
  <c r="AI25" i="7"/>
  <c r="AI29" i="7"/>
  <c r="BE29" i="7" s="1"/>
  <c r="K15" i="5"/>
  <c r="J13" i="6"/>
  <c r="BB13" i="6" s="1"/>
  <c r="BB9" i="6"/>
  <c r="J15" i="6"/>
  <c r="BE10" i="7"/>
  <c r="BG6" i="5" a="1"/>
  <c r="BG6" i="5" s="1"/>
  <c r="BF6" i="5"/>
  <c r="BE29" i="3"/>
  <c r="BH5" i="7" a="1"/>
  <c r="BH5" i="7" s="1"/>
  <c r="BG9" i="3"/>
  <c r="BE9" i="5"/>
  <c r="BT43" i="3"/>
  <c r="BT40" i="3"/>
  <c r="BH30" i="3" a="1"/>
  <c r="BH30" i="3" s="1"/>
  <c r="BH42" i="3" s="1"/>
  <c r="BE33" i="3"/>
  <c r="AI36" i="3"/>
  <c r="BE36" i="3" s="1"/>
  <c r="AJ15" i="5"/>
  <c r="AH5" i="6"/>
  <c r="BG5" i="6" a="1"/>
  <c r="BG5" i="6" s="1"/>
  <c r="BF5" i="6"/>
  <c r="AH9" i="6"/>
  <c r="BG9" i="6" a="1"/>
  <c r="BG9" i="6" s="1"/>
  <c r="BG13" i="6" s="1"/>
  <c r="BF9" i="6"/>
  <c r="AX17" i="6"/>
  <c r="AJ43" i="7"/>
  <c r="AI20" i="7"/>
  <c r="BE20" i="7" s="1"/>
  <c r="AI27" i="7"/>
  <c r="BE27" i="7" s="1"/>
  <c r="BG27" i="7"/>
  <c r="AJ42" i="7"/>
  <c r="BP40" i="3"/>
  <c r="AG12" i="5"/>
  <c r="BB12" i="5" s="1"/>
  <c r="AJ14" i="5"/>
  <c r="M43" i="7"/>
  <c r="M40" i="7"/>
  <c r="BH35" i="7" a="1"/>
  <c r="BH35" i="7" s="1"/>
  <c r="AI35" i="7"/>
  <c r="BE35" i="7" s="1"/>
  <c r="AJ40" i="7"/>
  <c r="BP43" i="3"/>
  <c r="AI13" i="5"/>
  <c r="BD13" i="5" s="1"/>
  <c r="BD9" i="6"/>
  <c r="BM43" i="7"/>
  <c r="F46" i="1" s="1"/>
  <c r="BM40" i="7"/>
  <c r="F43" i="1" s="1"/>
  <c r="BH15" i="7" a="1"/>
  <c r="BH15" i="7" s="1"/>
  <c r="AI15" i="7"/>
  <c r="BE15" i="7" s="1"/>
  <c r="K22" i="7"/>
  <c r="BE22" i="7" s="1"/>
  <c r="AG12" i="6"/>
  <c r="BB6" i="6"/>
  <c r="AG15" i="6"/>
  <c r="BB10" i="6"/>
  <c r="AG14" i="6"/>
  <c r="BB14" i="6" s="1"/>
  <c r="BP41" i="3"/>
  <c r="BG5" i="5" a="1"/>
  <c r="BG5" i="5" s="1"/>
  <c r="BF5" i="5"/>
  <c r="L14" i="5"/>
  <c r="BD14" i="5" s="1"/>
  <c r="BD10" i="5"/>
  <c r="M15" i="6"/>
  <c r="BE15" i="6" s="1"/>
  <c r="AI14" i="6"/>
  <c r="BD14" i="6" s="1"/>
  <c r="AJ14" i="6"/>
  <c r="BE14" i="6" s="1"/>
  <c r="J42" i="7"/>
  <c r="AH43" i="7"/>
  <c r="AH40" i="7"/>
  <c r="BG9" i="7"/>
  <c r="BG37" i="7"/>
  <c r="BS43" i="3"/>
  <c r="BS40" i="3"/>
  <c r="J15" i="5"/>
  <c r="BB15" i="5" s="1"/>
  <c r="BB5" i="5"/>
  <c r="BG8" i="5" a="1"/>
  <c r="BG8" i="5" s="1"/>
  <c r="M14" i="5"/>
  <c r="AI12" i="5"/>
  <c r="BD12" i="5" s="1"/>
  <c r="BQ43" i="7"/>
  <c r="BQ40" i="7"/>
  <c r="BG17" i="7"/>
  <c r="AK41" i="7"/>
  <c r="BP40" i="7"/>
  <c r="BT41" i="7"/>
  <c r="BR40" i="7"/>
  <c r="BR43" i="7"/>
  <c r="AK40" i="7"/>
  <c r="BT40" i="7"/>
  <c r="BT43" i="7"/>
  <c r="BK35" i="7"/>
  <c r="BJ35" i="3"/>
  <c r="BJ35" i="7"/>
  <c r="BK15" i="3"/>
  <c r="BK35" i="3"/>
  <c r="BK15" i="7"/>
  <c r="BJ20" i="7"/>
  <c r="BK20" i="7"/>
  <c r="BJ30" i="7"/>
  <c r="BK5" i="7"/>
  <c r="BJ10" i="7"/>
  <c r="C47" i="1" l="1"/>
  <c r="J45" i="1"/>
  <c r="K45" i="1"/>
  <c r="C14" i="1"/>
  <c r="L45" i="1"/>
  <c r="BB12" i="6"/>
  <c r="E31" i="1" s="1"/>
  <c r="BD12" i="6"/>
  <c r="BB15" i="6"/>
  <c r="E34" i="1" s="1"/>
  <c r="E21" i="1"/>
  <c r="BC15" i="5"/>
  <c r="BE15" i="5"/>
  <c r="BD15" i="5"/>
  <c r="J11" i="1"/>
  <c r="K41" i="3"/>
  <c r="BE41" i="3" s="1"/>
  <c r="K11" i="1"/>
  <c r="BJ43" i="7"/>
  <c r="C46" i="1" s="1"/>
  <c r="BJ40" i="7"/>
  <c r="C43" i="1" s="1"/>
  <c r="BJ42" i="7"/>
  <c r="C45" i="1" s="1"/>
  <c r="BK42" i="3"/>
  <c r="D11" i="1" s="1"/>
  <c r="BK40" i="3"/>
  <c r="D9" i="1" s="1"/>
  <c r="BK43" i="3"/>
  <c r="D12" i="1" s="1"/>
  <c r="BJ42" i="3"/>
  <c r="C11" i="1" s="1"/>
  <c r="BJ43" i="3"/>
  <c r="C12" i="1" s="1"/>
  <c r="BK42" i="7"/>
  <c r="D45" i="1" s="1"/>
  <c r="I44" i="1"/>
  <c r="J9" i="1"/>
  <c r="I45" i="1"/>
  <c r="J12" i="1"/>
  <c r="J44" i="1"/>
  <c r="K46" i="1"/>
  <c r="I11" i="1"/>
  <c r="K44" i="1"/>
  <c r="H45" i="1"/>
  <c r="L10" i="1"/>
  <c r="J10" i="1"/>
  <c r="H46" i="1"/>
  <c r="D34" i="1"/>
  <c r="C22" i="1"/>
  <c r="E32" i="1"/>
  <c r="D22" i="1"/>
  <c r="L44" i="1"/>
  <c r="E22" i="1"/>
  <c r="BE14" i="5"/>
  <c r="L12" i="1"/>
  <c r="AI43" i="7"/>
  <c r="AI40" i="7"/>
  <c r="BE5" i="7"/>
  <c r="H43" i="1"/>
  <c r="K9" i="1"/>
  <c r="E19" i="1"/>
  <c r="D32" i="1"/>
  <c r="K14" i="6"/>
  <c r="BC14" i="6" s="1"/>
  <c r="K15" i="6"/>
  <c r="K42" i="3"/>
  <c r="I10" i="1"/>
  <c r="I9" i="1"/>
  <c r="J46" i="1"/>
  <c r="D33" i="1"/>
  <c r="BC12" i="5"/>
  <c r="BC10" i="5"/>
  <c r="AH14" i="5"/>
  <c r="BC14" i="5" s="1"/>
  <c r="H9" i="1"/>
  <c r="K42" i="7"/>
  <c r="AH13" i="6"/>
  <c r="BC13" i="6" s="1"/>
  <c r="BC9" i="6"/>
  <c r="D31" i="1"/>
  <c r="K43" i="3"/>
  <c r="BH42" i="7"/>
  <c r="L11" i="1"/>
  <c r="AI43" i="3"/>
  <c r="BH40" i="3"/>
  <c r="BH43" i="3"/>
  <c r="J43" i="1"/>
  <c r="L9" i="1"/>
  <c r="K12" i="1"/>
  <c r="K40" i="3"/>
  <c r="BC9" i="5"/>
  <c r="AH13" i="5"/>
  <c r="BC13" i="5" s="1"/>
  <c r="BG15" i="5"/>
  <c r="BG12" i="5"/>
  <c r="BK43" i="7"/>
  <c r="D46" i="1" s="1"/>
  <c r="BK40" i="7"/>
  <c r="D43" i="1" s="1"/>
  <c r="H10" i="1"/>
  <c r="BH43" i="7"/>
  <c r="BH40" i="7"/>
  <c r="K12" i="5"/>
  <c r="K43" i="7"/>
  <c r="K40" i="7"/>
  <c r="L46" i="1"/>
  <c r="L43" i="1"/>
  <c r="AI41" i="7"/>
  <c r="BE41" i="7" s="1"/>
  <c r="BE25" i="7"/>
  <c r="I12" i="1"/>
  <c r="BE12" i="5"/>
  <c r="AI42" i="3"/>
  <c r="AI42" i="7"/>
  <c r="I43" i="1"/>
  <c r="BG12" i="6"/>
  <c r="BG15" i="6"/>
  <c r="I46" i="1"/>
  <c r="E33" i="1"/>
  <c r="H12" i="1"/>
  <c r="AH15" i="6"/>
  <c r="AH12" i="6"/>
  <c r="BC12" i="6" s="1"/>
  <c r="BC5" i="6"/>
  <c r="BE30" i="7"/>
  <c r="AI40" i="3"/>
  <c r="BE40" i="3" l="1"/>
  <c r="BE40" i="7"/>
  <c r="BC15" i="6"/>
  <c r="BE43" i="3"/>
  <c r="BE42" i="7"/>
  <c r="C19" i="1"/>
  <c r="BE43" i="7"/>
  <c r="C20" i="1"/>
  <c r="C33" i="1"/>
  <c r="C32" i="1"/>
  <c r="C31" i="1"/>
  <c r="C21" i="1"/>
  <c r="BE42" i="3"/>
  <c r="D19" i="1"/>
  <c r="D21" i="1"/>
  <c r="C34" i="1" l="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<sst xmlns="http://schemas.openxmlformats.org/spreadsheetml/2006/main" count="1459" uniqueCount="575">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</sst>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ALL_master+r120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66.354631249999997</c:v>
                </c:pt>
                <c:pt idx="1">
                  <c:v>68.255984374999997</c:v>
                </c:pt>
                <c:pt idx="2">
                  <c:v>69.683721875000003</c:v>
                </c:pt>
                <c:pt idx="3">
                  <c:v>70.836840624999994</c:v>
                </c:pt>
                <c:pt idx="4">
                  <c:v>71.945243750000003</c:v>
                </c:pt>
              </c:numCache>
            </c:numRef>
          </c:yVal>
          <c:smooth val="1"/>
          <c:extLst>
            <c:ext xmlns:c16="http://schemas.microsoft.com/office/drawing/2014/chart" uri="{C3380CC4-5D6E-409C-BE32-E72D297353CC}">
              <c16:uniqueId val="{00000000-AECE-40CF-A607-36C2CC2DCE22}"/>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AECE-40CF-A607-36C2CC2DCE22}"/>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ALL_master+r120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68.478521874999998</c:v>
                </c:pt>
                <c:pt idx="1">
                  <c:v>70.4384625</c:v>
                </c:pt>
                <c:pt idx="2">
                  <c:v>72.129403124999996</c:v>
                </c:pt>
                <c:pt idx="3">
                  <c:v>73.406981250000001</c:v>
                </c:pt>
                <c:pt idx="4">
                  <c:v>75.319246875000005</c:v>
                </c:pt>
              </c:numCache>
            </c:numRef>
          </c:yVal>
          <c:smooth val="1"/>
          <c:extLst>
            <c:ext xmlns:c16="http://schemas.microsoft.com/office/drawing/2014/chart" uri="{C3380CC4-5D6E-409C-BE32-E72D297353CC}">
              <c16:uniqueId val="{00000000-1966-42CE-AB6C-4342F6FA5C81}"/>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1966-42CE-AB6C-4342F6FA5C81}"/>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ALL_master+r120</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32.105368749999997</c:v>
                </c:pt>
                <c:pt idx="1">
                  <c:v>34.355712500000003</c:v>
                </c:pt>
                <c:pt idx="2">
                  <c:v>36.896806249999997</c:v>
                </c:pt>
                <c:pt idx="3">
                  <c:v>39.524643750000003</c:v>
                </c:pt>
                <c:pt idx="4">
                  <c:v>42.092659374999997</c:v>
                </c:pt>
              </c:numCache>
            </c:numRef>
          </c:yVal>
          <c:smooth val="1"/>
          <c:extLst>
            <c:ext xmlns:c16="http://schemas.microsoft.com/office/drawing/2014/chart" uri="{C3380CC4-5D6E-409C-BE32-E72D297353CC}">
              <c16:uniqueId val="{00000000-53EE-46F9-BB7F-C0F32D30092F}"/>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53EE-46F9-BB7F-C0F32D30092F}"/>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ALL_master+r120</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44.165406249999997</c:v>
                </c:pt>
                <c:pt idx="1">
                  <c:v>45.462940625000002</c:v>
                </c:pt>
                <c:pt idx="2">
                  <c:v>46.595978125000002</c:v>
                </c:pt>
                <c:pt idx="3">
                  <c:v>47.911165625000002</c:v>
                </c:pt>
                <c:pt idx="4">
                  <c:v>49.412693750000003</c:v>
                </c:pt>
              </c:numCache>
            </c:numRef>
          </c:yVal>
          <c:smooth val="1"/>
          <c:extLst>
            <c:ext xmlns:c16="http://schemas.microsoft.com/office/drawing/2014/chart" uri="{C3380CC4-5D6E-409C-BE32-E72D297353CC}">
              <c16:uniqueId val="{00000000-842A-4CAF-809B-59EF241D2D3D}"/>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842A-4CAF-809B-59EF241D2D3D}"/>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ALL_master+r120</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43.847446875000003</c:v>
                </c:pt>
                <c:pt idx="1">
                  <c:v>45.263540624999997</c:v>
                </c:pt>
                <c:pt idx="2">
                  <c:v>46.493756249999997</c:v>
                </c:pt>
                <c:pt idx="3">
                  <c:v>47.950046874999998</c:v>
                </c:pt>
                <c:pt idx="4">
                  <c:v>49.544709374999996</c:v>
                </c:pt>
              </c:numCache>
            </c:numRef>
          </c:yVal>
          <c:smooth val="1"/>
          <c:extLst>
            <c:ext xmlns:c16="http://schemas.microsoft.com/office/drawing/2014/chart" uri="{C3380CC4-5D6E-409C-BE32-E72D297353CC}">
              <c16:uniqueId val="{00000000-E1E9-4199-8AA7-53C0A535A01D}"/>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E1E9-4199-8AA7-53C0A535A01D}"/>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ALL_master+r120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36E8-42DB-8CE0-B55BF277582B}"/>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36E8-42DB-8CE0-B55BF277582B}"/>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C2" sqref="C2:E2"/>
    </sheetView>
  </sheetViews>
  <sheetFormatPr defaultRowHeight="15" x14ac:dyDescent="0.25"/>
  <cols>
    <col min="2" max="2" width="16.7109375" style="53" customWidth="1"/>
    <col min="3" max="12" width="24.7109375" style="53" customWidth="1"/>
  </cols>
  <sheetData>
    <row r="1" spans="2:12" x14ac:dyDescent="0.25">
      <c r="B1" t="s">
        <v>0</v>
      </c>
      <c r="C1" s="67" t="s">
        <v>574</v>
      </c>
      <c r="D1" s="59"/>
      <c r="E1" s="59"/>
    </row>
    <row r="2" spans="2:12" x14ac:dyDescent="0.25">
      <c r="B2" t="s">
        <v>1</v>
      </c>
      <c r="C2" s="68"/>
      <c r="D2" s="59"/>
      <c r="E2" s="59"/>
    </row>
    <row r="4" spans="2:12" s="1" customFormat="1" x14ac:dyDescent="0.25">
      <c r="B4" s="1" t="s">
        <v>2</v>
      </c>
    </row>
    <row r="6" spans="2:12" x14ac:dyDescent="0.25">
      <c r="B6" s="62"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8" t="e">
        <f>'C2 lossyG,lossyA,intra'!AZ47</f>
        <v>#NUM!</v>
      </c>
      <c r="D13" s="59"/>
      <c r="E13" s="59"/>
      <c r="F13" s="59"/>
      <c r="G13" s="59"/>
      <c r="H13" s="59"/>
      <c r="I13" s="59"/>
      <c r="J13" s="59"/>
      <c r="K13" s="59"/>
      <c r="L13" s="59"/>
    </row>
    <row r="14" spans="2:12" x14ac:dyDescent="0.25">
      <c r="B14" s="6" t="s">
        <v>19</v>
      </c>
      <c r="C14" s="60" t="e">
        <f>'C2 lossyG,lossyA,intra'!BB47</f>
        <v>#NUM!</v>
      </c>
      <c r="D14" s="61"/>
      <c r="E14" s="61"/>
      <c r="F14" s="61"/>
      <c r="G14" s="61"/>
      <c r="H14" s="61"/>
      <c r="I14" s="61"/>
      <c r="J14" s="61"/>
      <c r="K14" s="61"/>
      <c r="L14" s="61"/>
    </row>
    <row r="16" spans="2:12" x14ac:dyDescent="0.25">
      <c r="B16" s="62" t="s">
        <v>20</v>
      </c>
      <c r="C16" s="63" t="s">
        <v>21</v>
      </c>
      <c r="D16" s="64"/>
      <c r="E16" s="64"/>
    </row>
    <row r="17" spans="2:5" x14ac:dyDescent="0.25">
      <c r="B17" s="59"/>
      <c r="C17" s="65" t="s">
        <v>22</v>
      </c>
      <c r="D17" s="59"/>
      <c r="E17" s="59"/>
    </row>
    <row r="18" spans="2:5" x14ac:dyDescent="0.25">
      <c r="B18" s="61"/>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8" t="e">
        <f>'CW losslG,losslA,intra'!AW19</f>
        <v>#NUM!</v>
      </c>
      <c r="D23" s="59"/>
      <c r="E23" s="59"/>
    </row>
    <row r="24" spans="2:5" x14ac:dyDescent="0.25">
      <c r="B24" s="6" t="s">
        <v>19</v>
      </c>
      <c r="C24" s="60" t="e">
        <f>'CW losslG,losslA,intra'!AY19</f>
        <v>#NUM!</v>
      </c>
      <c r="D24" s="61"/>
      <c r="E24" s="61"/>
    </row>
    <row r="26" spans="2:5" s="1" customFormat="1" x14ac:dyDescent="0.25">
      <c r="B26" s="1" t="s">
        <v>26</v>
      </c>
    </row>
    <row r="28" spans="2:5" x14ac:dyDescent="0.25">
      <c r="B28" s="62" t="s">
        <v>27</v>
      </c>
      <c r="C28" s="63" t="s">
        <v>28</v>
      </c>
      <c r="D28" s="64"/>
      <c r="E28" s="64"/>
    </row>
    <row r="29" spans="2:5" x14ac:dyDescent="0.25">
      <c r="B29" s="59"/>
      <c r="C29" s="65" t="s">
        <v>22</v>
      </c>
      <c r="D29" s="59"/>
      <c r="E29" s="59"/>
    </row>
    <row r="30" spans="2:5" x14ac:dyDescent="0.25">
      <c r="B30" s="61"/>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8" t="e">
        <f>'CW losslG,losslA,interLD'!AW19</f>
        <v>#NUM!</v>
      </c>
      <c r="D35" s="59"/>
      <c r="E35" s="59"/>
    </row>
    <row r="36" spans="2:12" x14ac:dyDescent="0.25">
      <c r="B36" s="6" t="s">
        <v>19</v>
      </c>
      <c r="C36" s="60" t="e">
        <f>'CW losslG,losslA,interLD'!AY19</f>
        <v>#NUM!</v>
      </c>
      <c r="D36" s="61"/>
      <c r="E36" s="61"/>
    </row>
    <row r="38" spans="2:12" s="1" customFormat="1" x14ac:dyDescent="0.25">
      <c r="B38" s="1" t="s">
        <v>29</v>
      </c>
    </row>
    <row r="40" spans="2:12" x14ac:dyDescent="0.25">
      <c r="B40" s="62"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8" t="e">
        <f>'C2 lossyG,lossyA,interRA'!AZ47</f>
        <v>#NUM!</v>
      </c>
      <c r="D47" s="59"/>
      <c r="E47" s="59"/>
      <c r="F47" s="59"/>
      <c r="G47" s="59"/>
      <c r="H47" s="59"/>
      <c r="I47" s="59"/>
      <c r="J47" s="59"/>
      <c r="K47" s="59"/>
      <c r="L47" s="59"/>
    </row>
    <row r="48" spans="2:12" x14ac:dyDescent="0.25">
      <c r="B48" s="6" t="s">
        <v>19</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AA5" activePane="bottomRight" state="frozen"/>
      <selection pane="topRight" activeCell="C1" sqref="C1"/>
      <selection pane="bottomLeft" activeCell="A5" sqref="A5"/>
      <selection pane="bottomRight" activeCell="AN5" sqref="AN5:BC39"/>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136</v>
      </c>
      <c r="B1" s="59"/>
      <c r="C1" s="59"/>
      <c r="D1" s="59"/>
      <c r="E1" s="59"/>
      <c r="F1" s="59"/>
      <c r="G1" s="59"/>
      <c r="I1" s="67" t="str">
        <f>Summary!$C$1</f>
        <v>ALL_master+r120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ht="15.75" thickBot="1" x14ac:dyDescent="0.3">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2.1773099999999999</v>
      </c>
      <c r="J5" s="12">
        <f t="shared" ref="J5:J39" si="1">IF(ISBLANK(S5),"·",S5/D5)</f>
        <v>9.7522536043806764E-3</v>
      </c>
      <c r="K5" s="12">
        <f t="shared" ref="K5:K39" si="2">IF(N5="","·",N5/D5)</f>
        <v>6.1737152254387933E-3</v>
      </c>
      <c r="L5" s="12">
        <f t="shared" ref="L5:L39" si="3">IF(T5="","·",T5/D5)</f>
        <v>3.5272086067430685E-3</v>
      </c>
      <c r="M5" s="12">
        <f t="shared" ref="M5:M39" si="4">IF(ISBLANK(V5),"·",V5/D5)</f>
        <v>3.5785383789418835E-3</v>
      </c>
      <c r="N5" s="54">
        <f t="shared" ref="N5:N39" si="5">IF(OR(ISBLANK(T5),ISBLANK(U5)),"",T5+U5)</f>
        <v>1470248</v>
      </c>
      <c r="O5" s="12">
        <v>16</v>
      </c>
      <c r="P5" s="13">
        <v>21785839</v>
      </c>
      <c r="Q5" s="13">
        <v>680807.46875</v>
      </c>
      <c r="R5" s="13">
        <v>13493.71875</v>
      </c>
      <c r="S5" s="14">
        <v>2322464</v>
      </c>
      <c r="T5" s="14">
        <v>839992</v>
      </c>
      <c r="U5" s="14">
        <v>630256</v>
      </c>
      <c r="V5" s="14">
        <v>852216</v>
      </c>
      <c r="W5" s="15">
        <v>66.354631249999997</v>
      </c>
      <c r="X5" s="15">
        <v>68.478521874999998</v>
      </c>
      <c r="Y5" s="15">
        <v>32.105368749999997</v>
      </c>
      <c r="Z5" s="15">
        <v>44.165406249999997</v>
      </c>
      <c r="AA5" s="15">
        <v>43.847446875000003</v>
      </c>
      <c r="AB5" s="16">
        <v>2312.48</v>
      </c>
      <c r="AC5" s="16">
        <v>0</v>
      </c>
      <c r="AD5" s="16">
        <v>34.020000000000003</v>
      </c>
      <c r="AE5" s="16">
        <v>0</v>
      </c>
      <c r="AF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3.3931200000000001</v>
      </c>
      <c r="J6" s="21">
        <f t="shared" si="1"/>
        <v>1.5197912447054467E-2</v>
      </c>
      <c r="K6" s="21">
        <f t="shared" si="2"/>
        <v>7.5379181370840093E-3</v>
      </c>
      <c r="L6" s="21">
        <f t="shared" si="3"/>
        <v>4.8914115183882837E-3</v>
      </c>
      <c r="M6" s="21">
        <f t="shared" si="4"/>
        <v>7.6599943099704589E-3</v>
      </c>
      <c r="N6" s="18">
        <f t="shared" si="5"/>
        <v>1795128</v>
      </c>
      <c r="O6" s="21">
        <v>16</v>
      </c>
      <c r="P6" s="22">
        <v>24191962</v>
      </c>
      <c r="Q6" s="22">
        <v>755998.8125</v>
      </c>
      <c r="R6" s="22">
        <v>19085.96875</v>
      </c>
      <c r="S6" s="23">
        <v>3619328</v>
      </c>
      <c r="T6" s="23">
        <v>1164872</v>
      </c>
      <c r="U6" s="23">
        <v>630256</v>
      </c>
      <c r="V6" s="23">
        <v>1824200</v>
      </c>
      <c r="W6" s="24">
        <v>68.255984374999997</v>
      </c>
      <c r="X6" s="24">
        <v>70.4384625</v>
      </c>
      <c r="Y6" s="24">
        <v>34.355712500000003</v>
      </c>
      <c r="Z6" s="24">
        <v>45.462940625000002</v>
      </c>
      <c r="AA6" s="24">
        <v>45.263540624999997</v>
      </c>
      <c r="AB6" s="25">
        <v>2254.38</v>
      </c>
      <c r="AC6" s="25">
        <v>0</v>
      </c>
      <c r="AD6" s="25">
        <v>35.091000000000001</v>
      </c>
      <c r="AE6" s="25">
        <v>0</v>
      </c>
      <c r="AF6" s="25">
        <v>0</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5.5687724999999997</v>
      </c>
      <c r="J7" s="12">
        <f t="shared" si="1"/>
        <v>2.4942742046424715E-2</v>
      </c>
      <c r="K7" s="12">
        <f t="shared" si="2"/>
        <v>9.4852245734851383E-3</v>
      </c>
      <c r="L7" s="12">
        <f t="shared" si="3"/>
        <v>6.8387179547894136E-3</v>
      </c>
      <c r="M7" s="12">
        <f t="shared" si="4"/>
        <v>1.5457517472939575E-2</v>
      </c>
      <c r="N7" s="54">
        <f t="shared" si="5"/>
        <v>2258872</v>
      </c>
      <c r="O7" s="12">
        <v>16</v>
      </c>
      <c r="P7" s="13">
        <v>24808216</v>
      </c>
      <c r="Q7" s="13">
        <v>775256.75</v>
      </c>
      <c r="R7" s="13">
        <v>20954.78125</v>
      </c>
      <c r="S7" s="14">
        <v>5940024</v>
      </c>
      <c r="T7" s="14">
        <v>1628616</v>
      </c>
      <c r="U7" s="14">
        <v>630256</v>
      </c>
      <c r="V7" s="14">
        <v>3681152</v>
      </c>
      <c r="W7" s="15">
        <v>69.683721875000003</v>
      </c>
      <c r="X7" s="15">
        <v>72.129403124999996</v>
      </c>
      <c r="Y7" s="15">
        <v>36.896806249999997</v>
      </c>
      <c r="Z7" s="15">
        <v>46.595978125000002</v>
      </c>
      <c r="AA7" s="15">
        <v>46.493756249999997</v>
      </c>
      <c r="AB7" s="16">
        <v>2394.75</v>
      </c>
      <c r="AC7" s="16">
        <v>0</v>
      </c>
      <c r="AD7" s="16">
        <v>37.439</v>
      </c>
      <c r="AE7" s="16">
        <v>0</v>
      </c>
      <c r="AF7" s="16">
        <v>0</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9.4329450000000001</v>
      </c>
      <c r="J8" s="21">
        <f t="shared" si="1"/>
        <v>4.225051640610418E-2</v>
      </c>
      <c r="K8" s="21">
        <f t="shared" si="2"/>
        <v>1.2747251752389563E-2</v>
      </c>
      <c r="L8" s="21">
        <f t="shared" si="3"/>
        <v>1.0100745133693839E-2</v>
      </c>
      <c r="M8" s="21">
        <f t="shared" si="4"/>
        <v>2.9503264653714615E-2</v>
      </c>
      <c r="N8" s="18">
        <f t="shared" si="5"/>
        <v>3035712</v>
      </c>
      <c r="O8" s="21">
        <v>16</v>
      </c>
      <c r="P8" s="22">
        <v>25797809</v>
      </c>
      <c r="Q8" s="22">
        <v>806181.53125</v>
      </c>
      <c r="R8" s="22">
        <v>24199.84375</v>
      </c>
      <c r="S8" s="23">
        <v>10061808</v>
      </c>
      <c r="T8" s="23">
        <v>2405456</v>
      </c>
      <c r="U8" s="23">
        <v>630256</v>
      </c>
      <c r="V8" s="23">
        <v>7026096</v>
      </c>
      <c r="W8" s="24">
        <v>70.836840624999994</v>
      </c>
      <c r="X8" s="24">
        <v>73.406981250000001</v>
      </c>
      <c r="Y8" s="24">
        <v>39.524643750000003</v>
      </c>
      <c r="Z8" s="24">
        <v>47.911165625000002</v>
      </c>
      <c r="AA8" s="24">
        <v>47.950046874999998</v>
      </c>
      <c r="AB8" s="25">
        <v>2466.4499999999998</v>
      </c>
      <c r="AC8" s="25">
        <v>0</v>
      </c>
      <c r="AD8" s="25">
        <v>37.779000000000003</v>
      </c>
      <c r="AE8" s="25">
        <v>0</v>
      </c>
      <c r="AF8" s="25">
        <v>0</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ht="15.75" outlineLevel="1" thickBot="1" x14ac:dyDescent="0.3">
      <c r="A9" s="54"/>
      <c r="B9" s="27" t="s">
        <v>49</v>
      </c>
      <c r="C9" s="28" t="s">
        <v>234</v>
      </c>
      <c r="D9" s="27">
        <v>238146391</v>
      </c>
      <c r="E9" s="28">
        <v>10</v>
      </c>
      <c r="F9" s="28">
        <v>32</v>
      </c>
      <c r="G9" s="28">
        <v>30</v>
      </c>
      <c r="I9" s="29">
        <f t="shared" si="0"/>
        <v>16.810485</v>
      </c>
      <c r="J9" s="30">
        <f t="shared" si="1"/>
        <v>7.5294796300314284E-2</v>
      </c>
      <c r="K9" s="30">
        <f t="shared" si="2"/>
        <v>2.0652473377184205E-2</v>
      </c>
      <c r="L9" s="30">
        <f t="shared" si="3"/>
        <v>1.5547781280464586E-2</v>
      </c>
      <c r="M9" s="30">
        <f t="shared" si="4"/>
        <v>5.4642322923130086E-2</v>
      </c>
      <c r="N9" s="27">
        <f t="shared" si="5"/>
        <v>4918312</v>
      </c>
      <c r="O9" s="30">
        <v>16</v>
      </c>
      <c r="P9" s="31">
        <v>24868389</v>
      </c>
      <c r="Q9" s="31">
        <v>777137.15625</v>
      </c>
      <c r="R9" s="31">
        <v>10635.96875</v>
      </c>
      <c r="S9" s="32">
        <v>17931184</v>
      </c>
      <c r="T9" s="32">
        <v>3702648</v>
      </c>
      <c r="U9" s="32">
        <v>1215664</v>
      </c>
      <c r="V9" s="32">
        <v>13012872</v>
      </c>
      <c r="W9" s="33">
        <v>71.945243750000003</v>
      </c>
      <c r="X9" s="33">
        <v>75.319246875000005</v>
      </c>
      <c r="Y9" s="33">
        <v>42.092659374999997</v>
      </c>
      <c r="Z9" s="33">
        <v>49.412693750000003</v>
      </c>
      <c r="AA9" s="33">
        <v>49.544709374999996</v>
      </c>
      <c r="AB9" s="34">
        <v>2611.34</v>
      </c>
      <c r="AC9" s="34">
        <v>0</v>
      </c>
      <c r="AD9" s="34">
        <v>37.204000000000001</v>
      </c>
      <c r="AE9" s="34">
        <v>0</v>
      </c>
      <c r="AF9" s="34">
        <v>0</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3.1830449999999999</v>
      </c>
      <c r="J10" s="21">
        <f t="shared" si="1"/>
        <v>1.5565875055855403E-2</v>
      </c>
      <c r="K10" s="21">
        <f t="shared" si="2"/>
        <v>8.0448469113338344E-3</v>
      </c>
      <c r="L10" s="21">
        <f t="shared" si="3"/>
        <v>4.2808118615059046E-3</v>
      </c>
      <c r="M10" s="21">
        <f t="shared" si="4"/>
        <v>7.5210281445215682E-3</v>
      </c>
      <c r="N10" s="18">
        <f t="shared" si="5"/>
        <v>1754752</v>
      </c>
      <c r="O10" s="21">
        <v>16</v>
      </c>
      <c r="P10" s="22">
        <v>20669095</v>
      </c>
      <c r="Q10" s="22">
        <v>645909.21875</v>
      </c>
      <c r="R10" s="22">
        <v>18184.71875</v>
      </c>
      <c r="S10" s="23">
        <v>3395248</v>
      </c>
      <c r="T10" s="23">
        <v>933736</v>
      </c>
      <c r="U10" s="23">
        <v>821016</v>
      </c>
      <c r="V10" s="23">
        <v>1640496</v>
      </c>
      <c r="W10" s="24">
        <v>65.902412499999997</v>
      </c>
      <c r="X10" s="24">
        <v>67.818875000000006</v>
      </c>
      <c r="Y10" s="24">
        <v>32.387412500000003</v>
      </c>
      <c r="Z10" s="24">
        <v>39.175156250000001</v>
      </c>
      <c r="AA10" s="24">
        <v>32.088762500000001</v>
      </c>
      <c r="AB10" s="25">
        <v>2265.27</v>
      </c>
      <c r="AC10" s="25">
        <v>0</v>
      </c>
      <c r="AD10" s="25">
        <v>33.895000000000003</v>
      </c>
      <c r="AE10" s="25">
        <v>0</v>
      </c>
      <c r="AF10" s="25">
        <v>0</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4.5978000000000003</v>
      </c>
      <c r="J11" s="12">
        <f t="shared" si="1"/>
        <v>2.248437591419913E-2</v>
      </c>
      <c r="K11" s="12">
        <f t="shared" si="2"/>
        <v>9.7993206915629062E-3</v>
      </c>
      <c r="L11" s="12">
        <f t="shared" si="3"/>
        <v>6.0352856417349764E-3</v>
      </c>
      <c r="M11" s="12">
        <f t="shared" si="4"/>
        <v>1.2685055222636226E-2</v>
      </c>
      <c r="N11" s="54">
        <f t="shared" si="5"/>
        <v>2137440</v>
      </c>
      <c r="O11" s="12">
        <v>16</v>
      </c>
      <c r="P11" s="13">
        <v>22097416</v>
      </c>
      <c r="Q11" s="13">
        <v>690544.25</v>
      </c>
      <c r="R11" s="13">
        <v>22962.71875</v>
      </c>
      <c r="S11" s="14">
        <v>4904320</v>
      </c>
      <c r="T11" s="14">
        <v>1316424</v>
      </c>
      <c r="U11" s="14">
        <v>821016</v>
      </c>
      <c r="V11" s="14">
        <v>2766880</v>
      </c>
      <c r="W11" s="15">
        <v>67.609743750000007</v>
      </c>
      <c r="X11" s="15">
        <v>69.703928125000004</v>
      </c>
      <c r="Y11" s="15">
        <v>34.243778124999999</v>
      </c>
      <c r="Z11" s="15">
        <v>40.024018750000003</v>
      </c>
      <c r="AA11" s="15">
        <v>33.861578125000001</v>
      </c>
      <c r="AB11" s="16">
        <v>2320.5100000000002</v>
      </c>
      <c r="AC11" s="16">
        <v>0</v>
      </c>
      <c r="AD11" s="16">
        <v>35.679000000000002</v>
      </c>
      <c r="AE11" s="16">
        <v>0</v>
      </c>
      <c r="AF11" s="16">
        <v>0</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7.1164800000000001</v>
      </c>
      <c r="J12" s="21">
        <f t="shared" si="1"/>
        <v>3.4801342273669982E-2</v>
      </c>
      <c r="K12" s="21">
        <f t="shared" si="2"/>
        <v>1.2474676812999259E-2</v>
      </c>
      <c r="L12" s="21">
        <f t="shared" si="3"/>
        <v>8.7106417631713281E-3</v>
      </c>
      <c r="M12" s="21">
        <f t="shared" si="4"/>
        <v>2.2326665460670723E-2</v>
      </c>
      <c r="N12" s="18">
        <f t="shared" si="5"/>
        <v>2720992</v>
      </c>
      <c r="O12" s="21">
        <v>16</v>
      </c>
      <c r="P12" s="22">
        <v>22514733</v>
      </c>
      <c r="Q12" s="22">
        <v>703585.40625</v>
      </c>
      <c r="R12" s="22">
        <v>24682.8125</v>
      </c>
      <c r="S12" s="23">
        <v>7590912</v>
      </c>
      <c r="T12" s="23">
        <v>1899976</v>
      </c>
      <c r="U12" s="23">
        <v>821016</v>
      </c>
      <c r="V12" s="23">
        <v>4869920</v>
      </c>
      <c r="W12" s="24">
        <v>68.954471874999996</v>
      </c>
      <c r="X12" s="24">
        <v>71.328387500000005</v>
      </c>
      <c r="Y12" s="24">
        <v>36.344050000000003</v>
      </c>
      <c r="Z12" s="24">
        <v>40.924225</v>
      </c>
      <c r="AA12" s="24">
        <v>35.641859375000003</v>
      </c>
      <c r="AB12" s="25">
        <v>2388.35</v>
      </c>
      <c r="AC12" s="25">
        <v>0</v>
      </c>
      <c r="AD12" s="25">
        <v>36.555999999999997</v>
      </c>
      <c r="AE12" s="25">
        <v>0</v>
      </c>
      <c r="AF12" s="25">
        <v>0</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12.000764999999999</v>
      </c>
      <c r="J13" s="12">
        <f t="shared" si="1"/>
        <v>5.8686700491096595E-2</v>
      </c>
      <c r="K13" s="12">
        <f t="shared" si="2"/>
        <v>1.7158860667041316E-2</v>
      </c>
      <c r="L13" s="12">
        <f t="shared" si="3"/>
        <v>1.3394825617213384E-2</v>
      </c>
      <c r="M13" s="12">
        <f t="shared" si="4"/>
        <v>4.1527839824055286E-2</v>
      </c>
      <c r="N13" s="54">
        <f t="shared" si="5"/>
        <v>3742712</v>
      </c>
      <c r="O13" s="12">
        <v>16</v>
      </c>
      <c r="P13" s="13">
        <v>23299291</v>
      </c>
      <c r="Q13" s="13">
        <v>728102.84375</v>
      </c>
      <c r="R13" s="13">
        <v>28059</v>
      </c>
      <c r="S13" s="14">
        <v>12800816</v>
      </c>
      <c r="T13" s="14">
        <v>2921696</v>
      </c>
      <c r="U13" s="14">
        <v>821016</v>
      </c>
      <c r="V13" s="14">
        <v>9058104</v>
      </c>
      <c r="W13" s="15">
        <v>70.067156249999996</v>
      </c>
      <c r="X13" s="15">
        <v>72.583796875000004</v>
      </c>
      <c r="Y13" s="15">
        <v>38.661590625000002</v>
      </c>
      <c r="Z13" s="15">
        <v>42.108584375</v>
      </c>
      <c r="AA13" s="15">
        <v>37.692184374999997</v>
      </c>
      <c r="AB13" s="16">
        <v>2475.67</v>
      </c>
      <c r="AC13" s="16">
        <v>0</v>
      </c>
      <c r="AD13" s="16">
        <v>38.573999999999998</v>
      </c>
      <c r="AE13" s="16">
        <v>0</v>
      </c>
      <c r="AF13" s="16">
        <v>0</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ht="15.75" outlineLevel="1" thickBot="1" x14ac:dyDescent="0.3">
      <c r="A14" s="18"/>
      <c r="B14" s="37" t="s">
        <v>57</v>
      </c>
      <c r="C14" s="38" t="s">
        <v>234</v>
      </c>
      <c r="D14" s="37">
        <v>218121242</v>
      </c>
      <c r="E14" s="38">
        <v>10</v>
      </c>
      <c r="F14" s="38">
        <v>32</v>
      </c>
      <c r="G14" s="38">
        <v>30</v>
      </c>
      <c r="I14" s="39">
        <f t="shared" si="0"/>
        <v>21.55566</v>
      </c>
      <c r="J14" s="40">
        <f t="shared" si="1"/>
        <v>0.10541249347919998</v>
      </c>
      <c r="K14" s="40">
        <f t="shared" si="2"/>
        <v>2.823724981356928E-2</v>
      </c>
      <c r="L14" s="40">
        <f t="shared" si="3"/>
        <v>2.115271285682483E-2</v>
      </c>
      <c r="M14" s="40">
        <f t="shared" si="4"/>
        <v>7.7175243665630694E-2</v>
      </c>
      <c r="N14" s="37">
        <f t="shared" si="5"/>
        <v>6159144</v>
      </c>
      <c r="O14" s="40">
        <v>16</v>
      </c>
      <c r="P14" s="41">
        <v>22125335</v>
      </c>
      <c r="Q14" s="41">
        <v>691416.71875</v>
      </c>
      <c r="R14" s="41">
        <v>13294.1875</v>
      </c>
      <c r="S14" s="42">
        <v>22992704</v>
      </c>
      <c r="T14" s="42">
        <v>4613856</v>
      </c>
      <c r="U14" s="42">
        <v>1545288</v>
      </c>
      <c r="V14" s="42">
        <v>16833560</v>
      </c>
      <c r="W14" s="43">
        <v>70.921865624999995</v>
      </c>
      <c r="X14" s="43">
        <v>74.681325000000001</v>
      </c>
      <c r="Y14" s="43">
        <v>40.919334374999998</v>
      </c>
      <c r="Z14" s="43">
        <v>43.42165</v>
      </c>
      <c r="AA14" s="43">
        <v>39.491034374999998</v>
      </c>
      <c r="AB14" s="44">
        <v>2659.24</v>
      </c>
      <c r="AC14" s="44">
        <v>0</v>
      </c>
      <c r="AD14" s="44">
        <v>38.466999999999999</v>
      </c>
      <c r="AE14" s="44">
        <v>0</v>
      </c>
      <c r="AF14" s="44">
        <v>0</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4.3982099999999997</v>
      </c>
      <c r="J15" s="12">
        <f t="shared" si="1"/>
        <v>1.4543005997488376E-2</v>
      </c>
      <c r="K15" s="12">
        <f t="shared" si="2"/>
        <v>8.2219115089922391E-3</v>
      </c>
      <c r="L15" s="12">
        <f t="shared" si="3"/>
        <v>4.3923534521734149E-3</v>
      </c>
      <c r="M15" s="12">
        <f t="shared" si="4"/>
        <v>6.3210944884961361E-3</v>
      </c>
      <c r="N15" s="54">
        <f t="shared" si="5"/>
        <v>2652304</v>
      </c>
      <c r="O15" s="12">
        <v>16</v>
      </c>
      <c r="P15" s="13">
        <v>31086837</v>
      </c>
      <c r="Q15" s="13">
        <v>971463.65625</v>
      </c>
      <c r="R15" s="13">
        <v>27944.34375</v>
      </c>
      <c r="S15" s="14">
        <v>4691424</v>
      </c>
      <c r="T15" s="14">
        <v>1416928</v>
      </c>
      <c r="U15" s="14">
        <v>1235376</v>
      </c>
      <c r="V15" s="14">
        <v>2039120</v>
      </c>
      <c r="W15" s="15">
        <v>65.923106250000004</v>
      </c>
      <c r="X15" s="15">
        <v>67.661796874999993</v>
      </c>
      <c r="Y15" s="15">
        <v>29.416015625</v>
      </c>
      <c r="Z15" s="15">
        <v>43.127603125</v>
      </c>
      <c r="AA15" s="15">
        <v>43.264449999999997</v>
      </c>
      <c r="AB15" s="16">
        <v>2711.84</v>
      </c>
      <c r="AC15" s="16">
        <v>0</v>
      </c>
      <c r="AD15" s="16">
        <v>43.688000000000002</v>
      </c>
      <c r="AE15" s="16">
        <v>0</v>
      </c>
      <c r="AF15" s="16">
        <v>0</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6.9942525</v>
      </c>
      <c r="J16" s="21">
        <f t="shared" si="1"/>
        <v>2.3127012137994337E-2</v>
      </c>
      <c r="K16" s="21">
        <f t="shared" si="2"/>
        <v>1.0027300809327752E-2</v>
      </c>
      <c r="L16" s="21">
        <f t="shared" si="3"/>
        <v>6.1977427525089267E-3</v>
      </c>
      <c r="M16" s="21">
        <f t="shared" si="4"/>
        <v>1.3099711328666584E-2</v>
      </c>
      <c r="N16" s="18">
        <f t="shared" si="5"/>
        <v>3234704</v>
      </c>
      <c r="O16" s="21">
        <v>16</v>
      </c>
      <c r="P16" s="22">
        <v>33185472</v>
      </c>
      <c r="Q16" s="22">
        <v>1037046</v>
      </c>
      <c r="R16" s="22">
        <v>34748.53125</v>
      </c>
      <c r="S16" s="23">
        <v>7460536</v>
      </c>
      <c r="T16" s="23">
        <v>1999328</v>
      </c>
      <c r="U16" s="23">
        <v>1235376</v>
      </c>
      <c r="V16" s="23">
        <v>4225832</v>
      </c>
      <c r="W16" s="24">
        <v>67.712850000000003</v>
      </c>
      <c r="X16" s="24">
        <v>69.741403125000005</v>
      </c>
      <c r="Y16" s="24">
        <v>31.808668749999999</v>
      </c>
      <c r="Z16" s="24">
        <v>43.978478125000002</v>
      </c>
      <c r="AA16" s="24">
        <v>44.264781249999999</v>
      </c>
      <c r="AB16" s="25">
        <v>2796.65</v>
      </c>
      <c r="AC16" s="25">
        <v>0</v>
      </c>
      <c r="AD16" s="25">
        <v>46.704000000000001</v>
      </c>
      <c r="AE16" s="25">
        <v>0</v>
      </c>
      <c r="AF16" s="25">
        <v>0</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11.6796975</v>
      </c>
      <c r="J17" s="12">
        <f t="shared" si="1"/>
        <v>3.8619781863837785E-2</v>
      </c>
      <c r="K17" s="12">
        <f t="shared" si="2"/>
        <v>1.2785677747483223E-2</v>
      </c>
      <c r="L17" s="12">
        <f t="shared" si="3"/>
        <v>8.9561196906643992E-3</v>
      </c>
      <c r="M17" s="12">
        <f t="shared" si="4"/>
        <v>2.5834104116354561E-2</v>
      </c>
      <c r="N17" s="54">
        <f t="shared" si="5"/>
        <v>4124528</v>
      </c>
      <c r="O17" s="12">
        <v>16</v>
      </c>
      <c r="P17" s="13">
        <v>33602137</v>
      </c>
      <c r="Q17" s="13">
        <v>1050066.78125</v>
      </c>
      <c r="R17" s="13">
        <v>36579.4375</v>
      </c>
      <c r="S17" s="14">
        <v>12458344</v>
      </c>
      <c r="T17" s="14">
        <v>2889152</v>
      </c>
      <c r="U17" s="14">
        <v>1235376</v>
      </c>
      <c r="V17" s="14">
        <v>8333816</v>
      </c>
      <c r="W17" s="15">
        <v>69.134240625000004</v>
      </c>
      <c r="X17" s="15">
        <v>71.597499999999997</v>
      </c>
      <c r="Y17" s="15">
        <v>34.351259374999998</v>
      </c>
      <c r="Z17" s="15">
        <v>44.801000000000002</v>
      </c>
      <c r="AA17" s="15">
        <v>45.210156249999997</v>
      </c>
      <c r="AB17" s="16">
        <v>2908.77</v>
      </c>
      <c r="AC17" s="16">
        <v>0</v>
      </c>
      <c r="AD17" s="16">
        <v>46.948</v>
      </c>
      <c r="AE17" s="16">
        <v>0</v>
      </c>
      <c r="AF17" s="16">
        <v>0</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20.1681825</v>
      </c>
      <c r="J18" s="21">
        <f t="shared" si="1"/>
        <v>6.6687584052589607E-2</v>
      </c>
      <c r="K18" s="21">
        <f t="shared" si="2"/>
        <v>1.7289628065748807E-2</v>
      </c>
      <c r="L18" s="21">
        <f t="shared" si="3"/>
        <v>1.3460070008929981E-2</v>
      </c>
      <c r="M18" s="21">
        <f t="shared" si="4"/>
        <v>4.9397955986840797E-2</v>
      </c>
      <c r="N18" s="18">
        <f t="shared" si="5"/>
        <v>5577456</v>
      </c>
      <c r="O18" s="21">
        <v>16</v>
      </c>
      <c r="P18" s="22">
        <v>34802570</v>
      </c>
      <c r="Q18" s="22">
        <v>1087580.3125</v>
      </c>
      <c r="R18" s="22">
        <v>40873.28125</v>
      </c>
      <c r="S18" s="23">
        <v>21512728</v>
      </c>
      <c r="T18" s="23">
        <v>4342080</v>
      </c>
      <c r="U18" s="23">
        <v>1235376</v>
      </c>
      <c r="V18" s="23">
        <v>15935272</v>
      </c>
      <c r="W18" s="24">
        <v>70.372421875000001</v>
      </c>
      <c r="X18" s="24">
        <v>72.950706249999996</v>
      </c>
      <c r="Y18" s="24">
        <v>37.032699999999998</v>
      </c>
      <c r="Z18" s="24">
        <v>46.141668750000001</v>
      </c>
      <c r="AA18" s="24">
        <v>46.647603125000003</v>
      </c>
      <c r="AB18" s="25">
        <v>3080.38</v>
      </c>
      <c r="AC18" s="25">
        <v>0</v>
      </c>
      <c r="AD18" s="25">
        <v>51.253</v>
      </c>
      <c r="AE18" s="25">
        <v>0</v>
      </c>
      <c r="AF18" s="25">
        <v>0</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ht="15.75" outlineLevel="1" thickBot="1" x14ac:dyDescent="0.3">
      <c r="A19" s="54"/>
      <c r="B19" s="27" t="s">
        <v>62</v>
      </c>
      <c r="C19" s="28" t="s">
        <v>234</v>
      </c>
      <c r="D19" s="27">
        <v>322589704</v>
      </c>
      <c r="E19" s="28">
        <v>10</v>
      </c>
      <c r="F19" s="28">
        <v>32</v>
      </c>
      <c r="G19" s="28">
        <v>30</v>
      </c>
      <c r="I19" s="29">
        <f t="shared" si="0"/>
        <v>35.682697500000003</v>
      </c>
      <c r="J19" s="30">
        <f t="shared" si="1"/>
        <v>0.11798747302858742</v>
      </c>
      <c r="K19" s="30">
        <f t="shared" si="2"/>
        <v>2.7758902063408693E-2</v>
      </c>
      <c r="L19" s="30">
        <f t="shared" si="3"/>
        <v>2.0647478569247826E-2</v>
      </c>
      <c r="M19" s="30">
        <f t="shared" si="4"/>
        <v>9.0228570965178723E-2</v>
      </c>
      <c r="N19" s="27">
        <f t="shared" si="5"/>
        <v>8954736</v>
      </c>
      <c r="O19" s="30">
        <v>16</v>
      </c>
      <c r="P19" s="31">
        <v>33042374</v>
      </c>
      <c r="Q19" s="31">
        <v>1032574.1875</v>
      </c>
      <c r="R19" s="31">
        <v>17761.0625</v>
      </c>
      <c r="S19" s="32">
        <v>38061544</v>
      </c>
      <c r="T19" s="32">
        <v>6660664</v>
      </c>
      <c r="U19" s="32">
        <v>2294072</v>
      </c>
      <c r="V19" s="32">
        <v>29106808</v>
      </c>
      <c r="W19" s="33">
        <v>71.149421875000002</v>
      </c>
      <c r="X19" s="33">
        <v>75.002240624999999</v>
      </c>
      <c r="Y19" s="33">
        <v>39.490021874999996</v>
      </c>
      <c r="Z19" s="33">
        <v>47.872225</v>
      </c>
      <c r="AA19" s="33">
        <v>48.471881250000003</v>
      </c>
      <c r="AB19" s="34">
        <v>3361.48</v>
      </c>
      <c r="AC19" s="34">
        <v>0</v>
      </c>
      <c r="AD19" s="34">
        <v>48.951999999999998</v>
      </c>
      <c r="AE19" s="34">
        <v>0</v>
      </c>
      <c r="AF19" s="34">
        <v>0</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5.0880375000000004</v>
      </c>
      <c r="J20" s="21">
        <f t="shared" si="1"/>
        <v>1.2994040040822993E-2</v>
      </c>
      <c r="K20" s="21">
        <f t="shared" si="2"/>
        <v>7.5652758531025883E-3</v>
      </c>
      <c r="L20" s="21">
        <f t="shared" si="3"/>
        <v>3.776045823828904E-3</v>
      </c>
      <c r="M20" s="21">
        <f t="shared" si="4"/>
        <v>5.4287641877204043E-3</v>
      </c>
      <c r="N20" s="18">
        <f t="shared" si="5"/>
        <v>1895880</v>
      </c>
      <c r="O20" s="21">
        <v>16</v>
      </c>
      <c r="P20" s="22">
        <v>30323913</v>
      </c>
      <c r="Q20" s="22">
        <v>947622.28125</v>
      </c>
      <c r="R20" s="22">
        <v>27816.5625</v>
      </c>
      <c r="S20" s="23">
        <v>3256344</v>
      </c>
      <c r="T20" s="23">
        <v>946288</v>
      </c>
      <c r="U20" s="23">
        <v>949592</v>
      </c>
      <c r="V20" s="23">
        <v>1360464</v>
      </c>
      <c r="W20" s="24">
        <v>67.129975000000002</v>
      </c>
      <c r="X20" s="24">
        <v>68.82336875</v>
      </c>
      <c r="Y20" s="24">
        <v>30.707646874999998</v>
      </c>
      <c r="Z20" s="24">
        <v>39.523800000000001</v>
      </c>
      <c r="AA20" s="24">
        <v>38.234321874999999</v>
      </c>
      <c r="AB20" s="25">
        <v>2804.85</v>
      </c>
      <c r="AC20" s="25">
        <v>0</v>
      </c>
      <c r="AD20" s="25">
        <v>43.027999999999999</v>
      </c>
      <c r="AE20" s="25">
        <v>0</v>
      </c>
      <c r="AF20" s="25">
        <v>0</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7.5888499999999999</v>
      </c>
      <c r="J21" s="12">
        <f t="shared" si="1"/>
        <v>1.938071815779651E-2</v>
      </c>
      <c r="K21" s="12">
        <f t="shared" si="2"/>
        <v>9.0149319147319815E-3</v>
      </c>
      <c r="L21" s="12">
        <f t="shared" si="3"/>
        <v>5.2257018854582962E-3</v>
      </c>
      <c r="M21" s="12">
        <f t="shared" si="4"/>
        <v>1.036578624306453E-2</v>
      </c>
      <c r="N21" s="54">
        <f t="shared" si="5"/>
        <v>2259168</v>
      </c>
      <c r="O21" s="12">
        <v>16</v>
      </c>
      <c r="P21" s="13">
        <v>31547254</v>
      </c>
      <c r="Q21" s="13">
        <v>985851.6875</v>
      </c>
      <c r="R21" s="13">
        <v>32992.53125</v>
      </c>
      <c r="S21" s="14">
        <v>4856864</v>
      </c>
      <c r="T21" s="14">
        <v>1309576</v>
      </c>
      <c r="U21" s="14">
        <v>949592</v>
      </c>
      <c r="V21" s="14">
        <v>2597696</v>
      </c>
      <c r="W21" s="15">
        <v>68.684825000000004</v>
      </c>
      <c r="X21" s="15">
        <v>70.763768749999997</v>
      </c>
      <c r="Y21" s="15">
        <v>32.498399999999997</v>
      </c>
      <c r="Z21" s="15">
        <v>40.653237500000003</v>
      </c>
      <c r="AA21" s="15">
        <v>39.544649999999997</v>
      </c>
      <c r="AB21" s="16">
        <v>2943.76</v>
      </c>
      <c r="AC21" s="16">
        <v>0</v>
      </c>
      <c r="AD21" s="16">
        <v>45.25</v>
      </c>
      <c r="AE21" s="16">
        <v>0</v>
      </c>
      <c r="AF21" s="16">
        <v>0</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12.3554625</v>
      </c>
      <c r="J22" s="21">
        <f t="shared" si="1"/>
        <v>3.155388977535778E-2</v>
      </c>
      <c r="K22" s="21">
        <f t="shared" si="2"/>
        <v>1.1274953727489122E-2</v>
      </c>
      <c r="L22" s="21">
        <f t="shared" si="3"/>
        <v>7.4857236982154365E-3</v>
      </c>
      <c r="M22" s="21">
        <f t="shared" si="4"/>
        <v>2.0278936047868658E-2</v>
      </c>
      <c r="N22" s="18">
        <f t="shared" si="5"/>
        <v>2825536</v>
      </c>
      <c r="O22" s="21">
        <v>16</v>
      </c>
      <c r="P22" s="22">
        <v>32778173</v>
      </c>
      <c r="Q22" s="22">
        <v>1024317.90625</v>
      </c>
      <c r="R22" s="22">
        <v>35188.46875</v>
      </c>
      <c r="S22" s="23">
        <v>7907496</v>
      </c>
      <c r="T22" s="23">
        <v>1875944</v>
      </c>
      <c r="U22" s="23">
        <v>949592</v>
      </c>
      <c r="V22" s="23">
        <v>5081960</v>
      </c>
      <c r="W22" s="24">
        <v>69.862159375000005</v>
      </c>
      <c r="X22" s="24">
        <v>72.260553125000001</v>
      </c>
      <c r="Y22" s="24">
        <v>34.237665624999998</v>
      </c>
      <c r="Z22" s="24">
        <v>41.667446875000003</v>
      </c>
      <c r="AA22" s="24">
        <v>40.554246874999997</v>
      </c>
      <c r="AB22" s="25">
        <v>3008.99</v>
      </c>
      <c r="AC22" s="25">
        <v>0</v>
      </c>
      <c r="AD22" s="25">
        <v>46.228000000000002</v>
      </c>
      <c r="AE22" s="25">
        <v>0</v>
      </c>
      <c r="AF22" s="25">
        <v>0</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21.997900000000001</v>
      </c>
      <c r="J23" s="12">
        <f t="shared" si="1"/>
        <v>5.6179144397819417E-2</v>
      </c>
      <c r="K23" s="12">
        <f t="shared" si="2"/>
        <v>1.5196376964382266E-2</v>
      </c>
      <c r="L23" s="12">
        <f t="shared" si="3"/>
        <v>1.1407146935108583E-2</v>
      </c>
      <c r="M23" s="12">
        <f t="shared" si="4"/>
        <v>4.0982767433437151E-2</v>
      </c>
      <c r="N23" s="54">
        <f t="shared" si="5"/>
        <v>3808256</v>
      </c>
      <c r="O23" s="12">
        <v>16</v>
      </c>
      <c r="P23" s="13">
        <v>32789353</v>
      </c>
      <c r="Q23" s="13">
        <v>1024667.28125</v>
      </c>
      <c r="R23" s="13">
        <v>36955.375</v>
      </c>
      <c r="S23" s="14">
        <v>14078656</v>
      </c>
      <c r="T23" s="14">
        <v>2858664</v>
      </c>
      <c r="U23" s="14">
        <v>949592</v>
      </c>
      <c r="V23" s="14">
        <v>10270400</v>
      </c>
      <c r="W23" s="15">
        <v>70.885131250000001</v>
      </c>
      <c r="X23" s="15">
        <v>73.609525000000005</v>
      </c>
      <c r="Y23" s="15">
        <v>35.685465624999999</v>
      </c>
      <c r="Z23" s="15">
        <v>42.817409374999997</v>
      </c>
      <c r="AA23" s="15">
        <v>41.612731250000003</v>
      </c>
      <c r="AB23" s="16">
        <v>3156.47</v>
      </c>
      <c r="AC23" s="16">
        <v>0</v>
      </c>
      <c r="AD23" s="16">
        <v>47.966999999999999</v>
      </c>
      <c r="AE23" s="16">
        <v>0</v>
      </c>
      <c r="AF23" s="16">
        <v>0</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ht="15.75" outlineLevel="1" thickBot="1" x14ac:dyDescent="0.3">
      <c r="A24" s="37"/>
      <c r="B24" s="37" t="s">
        <v>68</v>
      </c>
      <c r="C24" s="38" t="s">
        <v>234</v>
      </c>
      <c r="D24" s="37">
        <v>250602891</v>
      </c>
      <c r="E24" s="38">
        <v>10</v>
      </c>
      <c r="F24" s="38">
        <v>32</v>
      </c>
      <c r="G24" s="38">
        <v>50</v>
      </c>
      <c r="I24" s="39">
        <f t="shared" si="0"/>
        <v>38.628637500000004</v>
      </c>
      <c r="J24" s="40">
        <f t="shared" si="1"/>
        <v>9.8651407816360739E-2</v>
      </c>
      <c r="K24" s="40">
        <f t="shared" si="2"/>
        <v>2.5256085333828011E-2</v>
      </c>
      <c r="L24" s="40">
        <f t="shared" si="3"/>
        <v>1.7938755542927873E-2</v>
      </c>
      <c r="M24" s="40">
        <f t="shared" si="4"/>
        <v>7.3395322482532735E-2</v>
      </c>
      <c r="N24" s="37">
        <f t="shared" si="5"/>
        <v>6329248</v>
      </c>
      <c r="O24" s="40">
        <v>16</v>
      </c>
      <c r="P24" s="41">
        <v>31420466</v>
      </c>
      <c r="Q24" s="41">
        <v>981889.5625</v>
      </c>
      <c r="R24" s="41">
        <v>18332.15625</v>
      </c>
      <c r="S24" s="42">
        <v>24722328</v>
      </c>
      <c r="T24" s="42">
        <v>4495504</v>
      </c>
      <c r="U24" s="42">
        <v>1833744</v>
      </c>
      <c r="V24" s="42">
        <v>18393080</v>
      </c>
      <c r="W24" s="43">
        <v>71.729253125</v>
      </c>
      <c r="X24" s="43">
        <v>75.633028124999996</v>
      </c>
      <c r="Y24" s="43">
        <v>36.551428125000001</v>
      </c>
      <c r="Z24" s="43">
        <v>43.594028125000001</v>
      </c>
      <c r="AA24" s="43">
        <v>42.058259374999999</v>
      </c>
      <c r="AB24" s="44">
        <v>3396.29</v>
      </c>
      <c r="AC24" s="44">
        <v>0</v>
      </c>
      <c r="AD24" s="44">
        <v>49.003</v>
      </c>
      <c r="AE24" s="44">
        <v>0</v>
      </c>
      <c r="AF24" s="44">
        <v>0</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4.3616849999999996</v>
      </c>
      <c r="J25" s="12">
        <f t="shared" si="1"/>
        <v>1.8587953294170786E-2</v>
      </c>
      <c r="K25" s="12">
        <f t="shared" si="2"/>
        <v>6.4606112808306814E-3</v>
      </c>
      <c r="L25" s="12">
        <f t="shared" si="3"/>
        <v>3.7129049801006078E-3</v>
      </c>
      <c r="M25" s="12">
        <f t="shared" si="4"/>
        <v>1.2127342013340104E-2</v>
      </c>
      <c r="N25" s="54">
        <f t="shared" si="5"/>
        <v>1617056</v>
      </c>
      <c r="O25" s="12">
        <v>16</v>
      </c>
      <c r="P25" s="13">
        <v>23138862</v>
      </c>
      <c r="Q25" s="13">
        <v>723089.4375</v>
      </c>
      <c r="R25" s="13">
        <v>14043</v>
      </c>
      <c r="S25" s="14">
        <v>4652464</v>
      </c>
      <c r="T25" s="14">
        <v>929320</v>
      </c>
      <c r="U25" s="14">
        <v>687736</v>
      </c>
      <c r="V25" s="14">
        <v>3035408</v>
      </c>
      <c r="W25" s="15">
        <v>66.207503125000002</v>
      </c>
      <c r="X25" s="15">
        <v>67.988171875000006</v>
      </c>
      <c r="Y25" s="15">
        <v>27.334253125</v>
      </c>
      <c r="Z25" s="15">
        <v>33.162240625000003</v>
      </c>
      <c r="AA25" s="15">
        <v>32.598315624999998</v>
      </c>
      <c r="AB25" s="16">
        <v>1912.65</v>
      </c>
      <c r="AC25" s="16">
        <v>0</v>
      </c>
      <c r="AD25" s="16">
        <v>35.656999999999996</v>
      </c>
      <c r="AE25" s="16">
        <v>0</v>
      </c>
      <c r="AF25" s="16">
        <v>0</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7.4900849999999997</v>
      </c>
      <c r="J26" s="21">
        <f t="shared" si="1"/>
        <v>3.1920083671647358E-2</v>
      </c>
      <c r="K26" s="21">
        <f t="shared" si="2"/>
        <v>7.9831692081932474E-3</v>
      </c>
      <c r="L26" s="21">
        <f t="shared" si="3"/>
        <v>5.2354629074631747E-3</v>
      </c>
      <c r="M26" s="21">
        <f t="shared" si="4"/>
        <v>2.3936914463454109E-2</v>
      </c>
      <c r="N26" s="18">
        <f t="shared" si="5"/>
        <v>1998144</v>
      </c>
      <c r="O26" s="21">
        <v>16</v>
      </c>
      <c r="P26" s="22">
        <v>24580782</v>
      </c>
      <c r="Q26" s="22">
        <v>768149.4375</v>
      </c>
      <c r="R26" s="22">
        <v>17704.5625</v>
      </c>
      <c r="S26" s="23">
        <v>7989424</v>
      </c>
      <c r="T26" s="23">
        <v>1310408</v>
      </c>
      <c r="U26" s="23">
        <v>687736</v>
      </c>
      <c r="V26" s="23">
        <v>5991280</v>
      </c>
      <c r="W26" s="24">
        <v>67.944759375000004</v>
      </c>
      <c r="X26" s="24">
        <v>69.940765624999997</v>
      </c>
      <c r="Y26" s="24">
        <v>29.715568749999999</v>
      </c>
      <c r="Z26" s="24">
        <v>34.339240625000002</v>
      </c>
      <c r="AA26" s="24">
        <v>33.890012499999997</v>
      </c>
      <c r="AB26" s="25">
        <v>2054.0100000000002</v>
      </c>
      <c r="AC26" s="25">
        <v>0</v>
      </c>
      <c r="AD26" s="25">
        <v>38.417000000000002</v>
      </c>
      <c r="AE26" s="25">
        <v>0</v>
      </c>
      <c r="AF26" s="25">
        <v>0</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13.1889825</v>
      </c>
      <c r="J27" s="12">
        <f t="shared" si="1"/>
        <v>5.6206761998547773E-2</v>
      </c>
      <c r="K27" s="12">
        <f t="shared" si="2"/>
        <v>1.0282987268178261E-2</v>
      </c>
      <c r="L27" s="12">
        <f t="shared" si="3"/>
        <v>7.5352809674481885E-3</v>
      </c>
      <c r="M27" s="12">
        <f t="shared" si="4"/>
        <v>4.5923774730369515E-2</v>
      </c>
      <c r="N27" s="54">
        <f t="shared" si="5"/>
        <v>2573776</v>
      </c>
      <c r="O27" s="12">
        <v>16</v>
      </c>
      <c r="P27" s="13">
        <v>24854010</v>
      </c>
      <c r="Q27" s="13">
        <v>776687.8125</v>
      </c>
      <c r="R27" s="13">
        <v>18708.78125</v>
      </c>
      <c r="S27" s="14">
        <v>14068248</v>
      </c>
      <c r="T27" s="14">
        <v>1886040</v>
      </c>
      <c r="U27" s="14">
        <v>687736</v>
      </c>
      <c r="V27" s="14">
        <v>11494472</v>
      </c>
      <c r="W27" s="15">
        <v>69.264525000000006</v>
      </c>
      <c r="X27" s="15">
        <v>71.652259375</v>
      </c>
      <c r="Y27" s="15">
        <v>32.213275000000003</v>
      </c>
      <c r="Z27" s="15">
        <v>35.579071874999997</v>
      </c>
      <c r="AA27" s="15">
        <v>35.2021625</v>
      </c>
      <c r="AB27" s="16">
        <v>2113.88</v>
      </c>
      <c r="AC27" s="16">
        <v>0</v>
      </c>
      <c r="AD27" s="16">
        <v>39.866</v>
      </c>
      <c r="AE27" s="16">
        <v>0</v>
      </c>
      <c r="AF27" s="16">
        <v>0</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24.4546575</v>
      </c>
      <c r="J28" s="21">
        <f t="shared" si="1"/>
        <v>0.10421707010821353</v>
      </c>
      <c r="K28" s="21">
        <f t="shared" si="2"/>
        <v>1.413540785313523E-2</v>
      </c>
      <c r="L28" s="21">
        <f t="shared" si="3"/>
        <v>1.1387701552405158E-2</v>
      </c>
      <c r="M28" s="21">
        <f t="shared" si="4"/>
        <v>9.0081662255078299E-2</v>
      </c>
      <c r="N28" s="18">
        <f t="shared" si="5"/>
        <v>3538016</v>
      </c>
      <c r="O28" s="21">
        <v>16</v>
      </c>
      <c r="P28" s="22">
        <v>25513363</v>
      </c>
      <c r="Q28" s="22">
        <v>797292.59375</v>
      </c>
      <c r="R28" s="22">
        <v>20938.96875</v>
      </c>
      <c r="S28" s="23">
        <v>26084968</v>
      </c>
      <c r="T28" s="23">
        <v>2850280</v>
      </c>
      <c r="U28" s="23">
        <v>687736</v>
      </c>
      <c r="V28" s="23">
        <v>22546952</v>
      </c>
      <c r="W28" s="24">
        <v>70.431274999999999</v>
      </c>
      <c r="X28" s="24">
        <v>72.970459375000004</v>
      </c>
      <c r="Y28" s="24">
        <v>34.907443749999999</v>
      </c>
      <c r="Z28" s="24">
        <v>37.368850000000002</v>
      </c>
      <c r="AA28" s="24">
        <v>36.934975000000001</v>
      </c>
      <c r="AB28" s="25">
        <v>2289.2800000000002</v>
      </c>
      <c r="AC28" s="25">
        <v>0</v>
      </c>
      <c r="AD28" s="25">
        <v>42.981999999999999</v>
      </c>
      <c r="AE28" s="25">
        <v>0</v>
      </c>
      <c r="AF28" s="25">
        <v>0</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ht="15.75" outlineLevel="1" thickBot="1" x14ac:dyDescent="0.3">
      <c r="A29" s="27"/>
      <c r="B29" s="27" t="s">
        <v>71</v>
      </c>
      <c r="C29" s="28" t="s">
        <v>234</v>
      </c>
      <c r="D29" s="27">
        <v>250294582</v>
      </c>
      <c r="E29" s="28">
        <v>10</v>
      </c>
      <c r="F29" s="28">
        <v>32</v>
      </c>
      <c r="G29" s="28">
        <v>30</v>
      </c>
      <c r="I29" s="29">
        <f t="shared" si="0"/>
        <v>44.178134999999997</v>
      </c>
      <c r="J29" s="30">
        <f t="shared" si="1"/>
        <v>0.18827153038414551</v>
      </c>
      <c r="K29" s="30">
        <f t="shared" si="2"/>
        <v>2.2850770297536845E-2</v>
      </c>
      <c r="L29" s="30">
        <f t="shared" si="3"/>
        <v>1.7625567300533898E-2</v>
      </c>
      <c r="M29" s="30">
        <f t="shared" si="4"/>
        <v>0.16542076008660866</v>
      </c>
      <c r="N29" s="27">
        <f t="shared" si="5"/>
        <v>5719424</v>
      </c>
      <c r="O29" s="30">
        <v>16</v>
      </c>
      <c r="P29" s="31">
        <v>24573675</v>
      </c>
      <c r="Q29" s="31">
        <v>767927.34375</v>
      </c>
      <c r="R29" s="31">
        <v>9762.375</v>
      </c>
      <c r="S29" s="32">
        <v>47123344</v>
      </c>
      <c r="T29" s="32">
        <v>4411584</v>
      </c>
      <c r="U29" s="32">
        <v>1307840</v>
      </c>
      <c r="V29" s="32">
        <v>41403920</v>
      </c>
      <c r="W29" s="33">
        <v>71.151587500000005</v>
      </c>
      <c r="X29" s="33">
        <v>74.903300000000002</v>
      </c>
      <c r="Y29" s="33">
        <v>37.34015625</v>
      </c>
      <c r="Z29" s="33">
        <v>39.402134375000003</v>
      </c>
      <c r="AA29" s="33">
        <v>38.755974999999999</v>
      </c>
      <c r="AB29" s="34">
        <v>2577.09</v>
      </c>
      <c r="AC29" s="34">
        <v>0</v>
      </c>
      <c r="AD29" s="34">
        <v>42.837000000000003</v>
      </c>
      <c r="AE29" s="34">
        <v>0</v>
      </c>
      <c r="AF29" s="34">
        <v>0</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5.7069824999999996</v>
      </c>
      <c r="J30" s="21">
        <f t="shared" si="1"/>
        <v>1.6214924165754471E-2</v>
      </c>
      <c r="K30" s="21">
        <f t="shared" si="2"/>
        <v>9.8474428569138208E-3</v>
      </c>
      <c r="L30" s="21">
        <f t="shared" si="3"/>
        <v>6.1454381672060455E-3</v>
      </c>
      <c r="M30" s="21">
        <f t="shared" si="4"/>
        <v>6.3674813088406505E-3</v>
      </c>
      <c r="N30" s="18">
        <f t="shared" si="5"/>
        <v>3696952</v>
      </c>
      <c r="O30" s="21">
        <v>16</v>
      </c>
      <c r="P30" s="22">
        <v>84194639</v>
      </c>
      <c r="Q30" s="22">
        <v>2631082.46875</v>
      </c>
      <c r="R30" s="22">
        <v>31461</v>
      </c>
      <c r="S30" s="23">
        <v>6087448</v>
      </c>
      <c r="T30" s="23">
        <v>2307136</v>
      </c>
      <c r="U30" s="23">
        <v>1389816</v>
      </c>
      <c r="V30" s="23">
        <v>2390496</v>
      </c>
      <c r="W30" s="24">
        <v>73.452484374999997</v>
      </c>
      <c r="X30" s="24">
        <v>75.663084374999997</v>
      </c>
      <c r="Y30" s="24">
        <v>34.728074999999997</v>
      </c>
      <c r="Z30" s="24">
        <v>42.119109375000001</v>
      </c>
      <c r="AA30" s="24">
        <v>43.747453125</v>
      </c>
      <c r="AB30" s="25">
        <v>6152.74</v>
      </c>
      <c r="AC30" s="25">
        <v>0</v>
      </c>
      <c r="AD30" s="25">
        <v>119.26600000000001</v>
      </c>
      <c r="AE30" s="25">
        <v>0</v>
      </c>
      <c r="AF30" s="25">
        <v>0</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8.1590325000000004</v>
      </c>
      <c r="J31" s="12">
        <f t="shared" si="1"/>
        <v>2.3181794101072871E-2</v>
      </c>
      <c r="K31" s="12">
        <f t="shared" si="2"/>
        <v>1.2107637469257007E-2</v>
      </c>
      <c r="L31" s="12">
        <f t="shared" si="3"/>
        <v>8.4056327795492321E-3</v>
      </c>
      <c r="M31" s="12">
        <f t="shared" si="4"/>
        <v>1.1074156631815865E-2</v>
      </c>
      <c r="N31" s="54">
        <f t="shared" si="5"/>
        <v>4545480</v>
      </c>
      <c r="O31" s="12">
        <v>16</v>
      </c>
      <c r="P31" s="13">
        <v>89719549</v>
      </c>
      <c r="Q31" s="13">
        <v>2803735.90625</v>
      </c>
      <c r="R31" s="13">
        <v>39437.8125</v>
      </c>
      <c r="S31" s="14">
        <v>8702968</v>
      </c>
      <c r="T31" s="14">
        <v>3155664</v>
      </c>
      <c r="U31" s="14">
        <v>1389816</v>
      </c>
      <c r="V31" s="14">
        <v>4157488</v>
      </c>
      <c r="W31" s="15">
        <v>75.152653125000001</v>
      </c>
      <c r="X31" s="15">
        <v>77.552834375000003</v>
      </c>
      <c r="Y31" s="15">
        <v>36.649075000000003</v>
      </c>
      <c r="Z31" s="15">
        <v>42.655696874999997</v>
      </c>
      <c r="AA31" s="15">
        <v>45.027949999999997</v>
      </c>
      <c r="AB31" s="16">
        <v>6234.49</v>
      </c>
      <c r="AC31" s="16">
        <v>0</v>
      </c>
      <c r="AD31" s="16">
        <v>127.413</v>
      </c>
      <c r="AE31" s="16">
        <v>0</v>
      </c>
      <c r="AF31" s="16">
        <v>0</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12.632407499999999</v>
      </c>
      <c r="J32" s="21">
        <f t="shared" si="1"/>
        <v>3.5891739574005703E-2</v>
      </c>
      <c r="K32" s="21">
        <f t="shared" si="2"/>
        <v>1.5395815113807006E-2</v>
      </c>
      <c r="L32" s="21">
        <f t="shared" si="3"/>
        <v>1.169381042409923E-2</v>
      </c>
      <c r="M32" s="21">
        <f t="shared" si="4"/>
        <v>2.0495924460198697E-2</v>
      </c>
      <c r="N32" s="18">
        <f t="shared" si="5"/>
        <v>5779936</v>
      </c>
      <c r="O32" s="21">
        <v>16</v>
      </c>
      <c r="P32" s="22">
        <v>91500313</v>
      </c>
      <c r="Q32" s="22">
        <v>2859384.78125</v>
      </c>
      <c r="R32" s="22">
        <v>42605.34375</v>
      </c>
      <c r="S32" s="23">
        <v>13474568</v>
      </c>
      <c r="T32" s="23">
        <v>4390120</v>
      </c>
      <c r="U32" s="23">
        <v>1389816</v>
      </c>
      <c r="V32" s="23">
        <v>7694632</v>
      </c>
      <c r="W32" s="24">
        <v>76.435353125000006</v>
      </c>
      <c r="X32" s="24">
        <v>79.124187500000005</v>
      </c>
      <c r="Y32" s="24">
        <v>38.391687500000003</v>
      </c>
      <c r="Z32" s="24">
        <v>43.175890625000001</v>
      </c>
      <c r="AA32" s="24">
        <v>46.201321874999998</v>
      </c>
      <c r="AB32" s="25">
        <v>6416.63</v>
      </c>
      <c r="AC32" s="25">
        <v>0</v>
      </c>
      <c r="AD32" s="25">
        <v>126.813</v>
      </c>
      <c r="AE32" s="25">
        <v>0</v>
      </c>
      <c r="AF32" s="25">
        <v>0</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21.154364999999999</v>
      </c>
      <c r="J33" s="12">
        <f t="shared" si="1"/>
        <v>6.0104691796354824E-2</v>
      </c>
      <c r="K33" s="12">
        <f t="shared" si="2"/>
        <v>2.0864383957511938E-2</v>
      </c>
      <c r="L33" s="12">
        <f t="shared" si="3"/>
        <v>1.7162379267804163E-2</v>
      </c>
      <c r="M33" s="12">
        <f t="shared" si="4"/>
        <v>3.9240307838842886E-2</v>
      </c>
      <c r="N33" s="54">
        <f t="shared" si="5"/>
        <v>7832960</v>
      </c>
      <c r="O33" s="12">
        <v>16</v>
      </c>
      <c r="P33" s="13">
        <v>93793354</v>
      </c>
      <c r="Q33" s="13">
        <v>2931042.3125</v>
      </c>
      <c r="R33" s="13">
        <v>47265.78125</v>
      </c>
      <c r="S33" s="14">
        <v>22564656</v>
      </c>
      <c r="T33" s="14">
        <v>6443144</v>
      </c>
      <c r="U33" s="14">
        <v>1389816</v>
      </c>
      <c r="V33" s="14">
        <v>14731696</v>
      </c>
      <c r="W33" s="15">
        <v>77.585893749999997</v>
      </c>
      <c r="X33" s="15">
        <v>80.310262499999993</v>
      </c>
      <c r="Y33" s="15">
        <v>39.993034375000001</v>
      </c>
      <c r="Z33" s="15">
        <v>43.8977875</v>
      </c>
      <c r="AA33" s="15">
        <v>47.813834374999999</v>
      </c>
      <c r="AB33" s="16">
        <v>6648.84</v>
      </c>
      <c r="AC33" s="16">
        <v>0</v>
      </c>
      <c r="AD33" s="16">
        <v>131.78200000000001</v>
      </c>
      <c r="AE33" s="16">
        <v>0</v>
      </c>
      <c r="AF33" s="16">
        <v>0</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ht="15.75" outlineLevel="1" thickBot="1" x14ac:dyDescent="0.3">
      <c r="A34" s="18"/>
      <c r="B34" s="37" t="s">
        <v>75</v>
      </c>
      <c r="C34" s="38" t="s">
        <v>234</v>
      </c>
      <c r="D34" s="37">
        <v>375422539</v>
      </c>
      <c r="E34" s="38">
        <v>11</v>
      </c>
      <c r="F34" s="38">
        <v>32</v>
      </c>
      <c r="G34" s="38">
        <v>30</v>
      </c>
      <c r="I34" s="39">
        <f t="shared" si="0"/>
        <v>39.84402</v>
      </c>
      <c r="J34" s="40">
        <f t="shared" si="1"/>
        <v>0.11320654352081935</v>
      </c>
      <c r="K34" s="40">
        <f t="shared" si="2"/>
        <v>3.350564948366086E-2</v>
      </c>
      <c r="L34" s="40">
        <f t="shared" si="3"/>
        <v>2.608970688358165E-2</v>
      </c>
      <c r="M34" s="40">
        <f t="shared" si="4"/>
        <v>7.9700894037158493E-2</v>
      </c>
      <c r="N34" s="37">
        <f t="shared" si="5"/>
        <v>12578776</v>
      </c>
      <c r="O34" s="40">
        <v>16</v>
      </c>
      <c r="P34" s="41">
        <v>91942258</v>
      </c>
      <c r="Q34" s="41">
        <v>2873195.5625</v>
      </c>
      <c r="R34" s="41">
        <v>18754.5</v>
      </c>
      <c r="S34" s="42">
        <v>42500288</v>
      </c>
      <c r="T34" s="42">
        <v>9794664</v>
      </c>
      <c r="U34" s="42">
        <v>2784112</v>
      </c>
      <c r="V34" s="42">
        <v>29921512</v>
      </c>
      <c r="W34" s="43">
        <v>78.522015624999995</v>
      </c>
      <c r="X34" s="43">
        <v>81.989699999999999</v>
      </c>
      <c r="Y34" s="43">
        <v>41.504265625000002</v>
      </c>
      <c r="Z34" s="43">
        <v>44.694984374999997</v>
      </c>
      <c r="AA34" s="43">
        <v>49.214115624999998</v>
      </c>
      <c r="AB34" s="44">
        <v>7102.18</v>
      </c>
      <c r="AC34" s="44">
        <v>0</v>
      </c>
      <c r="AD34" s="44">
        <v>135.119</v>
      </c>
      <c r="AE34" s="44">
        <v>0</v>
      </c>
      <c r="AF34" s="44">
        <v>0</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6.066675</v>
      </c>
      <c r="J35" s="12">
        <f t="shared" si="1"/>
        <v>1.9421671174010509E-2</v>
      </c>
      <c r="K35" s="12">
        <f t="shared" si="2"/>
        <v>1.1389057753651694E-2</v>
      </c>
      <c r="L35" s="12">
        <f t="shared" si="3"/>
        <v>6.9748407645328888E-3</v>
      </c>
      <c r="M35" s="12">
        <f t="shared" si="4"/>
        <v>8.0326134203588147E-3</v>
      </c>
      <c r="N35" s="54">
        <f t="shared" si="5"/>
        <v>3794728</v>
      </c>
      <c r="O35" s="12">
        <v>16</v>
      </c>
      <c r="P35" s="13">
        <v>74778557</v>
      </c>
      <c r="Q35" s="13">
        <v>2336829.90625</v>
      </c>
      <c r="R35" s="13">
        <v>30441.96875</v>
      </c>
      <c r="S35" s="14">
        <v>6471120</v>
      </c>
      <c r="T35" s="14">
        <v>2323952</v>
      </c>
      <c r="U35" s="14">
        <v>1470776</v>
      </c>
      <c r="V35" s="14">
        <v>2676392</v>
      </c>
      <c r="W35" s="15">
        <v>73.193674999999999</v>
      </c>
      <c r="X35" s="15">
        <v>75.403146875000004</v>
      </c>
      <c r="Y35" s="15">
        <v>34.0176625</v>
      </c>
      <c r="Z35" s="15">
        <v>42.567028125</v>
      </c>
      <c r="AA35" s="15">
        <v>43.978003125000001</v>
      </c>
      <c r="AB35" s="16">
        <v>5755.52</v>
      </c>
      <c r="AC35" s="16">
        <v>0</v>
      </c>
      <c r="AD35" s="16">
        <v>111.41800000000001</v>
      </c>
      <c r="AE35" s="16">
        <v>0</v>
      </c>
      <c r="AF35" s="16">
        <v>0</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8.69238</v>
      </c>
      <c r="J36" s="21">
        <f t="shared" si="1"/>
        <v>2.7827524315963102E-2</v>
      </c>
      <c r="K36" s="21">
        <f t="shared" si="2"/>
        <v>1.3978902033483894E-2</v>
      </c>
      <c r="L36" s="21">
        <f t="shared" si="3"/>
        <v>9.5646850443650896E-3</v>
      </c>
      <c r="M36" s="21">
        <f t="shared" si="4"/>
        <v>1.3848622282479208E-2</v>
      </c>
      <c r="N36" s="18">
        <f t="shared" si="5"/>
        <v>4657640</v>
      </c>
      <c r="O36" s="21">
        <v>16</v>
      </c>
      <c r="P36" s="22">
        <v>79943738</v>
      </c>
      <c r="Q36" s="22">
        <v>2498241.8125</v>
      </c>
      <c r="R36" s="22">
        <v>38917.4375</v>
      </c>
      <c r="S36" s="23">
        <v>9271872</v>
      </c>
      <c r="T36" s="23">
        <v>3186864</v>
      </c>
      <c r="U36" s="23">
        <v>1470776</v>
      </c>
      <c r="V36" s="23">
        <v>4614232</v>
      </c>
      <c r="W36" s="24">
        <v>74.934209374999995</v>
      </c>
      <c r="X36" s="24">
        <v>77.349309375000004</v>
      </c>
      <c r="Y36" s="24">
        <v>36.100590625000002</v>
      </c>
      <c r="Z36" s="24">
        <v>43.206612499999999</v>
      </c>
      <c r="AA36" s="24">
        <v>45.366546874999997</v>
      </c>
      <c r="AB36" s="25">
        <v>5856.84</v>
      </c>
      <c r="AC36" s="25">
        <v>0</v>
      </c>
      <c r="AD36" s="25">
        <v>118.239</v>
      </c>
      <c r="AE36" s="25">
        <v>0</v>
      </c>
      <c r="AF36" s="25">
        <v>0</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13.278952500000001</v>
      </c>
      <c r="J37" s="12">
        <f t="shared" si="1"/>
        <v>4.2510839791204368E-2</v>
      </c>
      <c r="K37" s="12">
        <f t="shared" si="2"/>
        <v>1.7699318122302032E-2</v>
      </c>
      <c r="L37" s="12">
        <f t="shared" si="3"/>
        <v>1.3285101133183227E-2</v>
      </c>
      <c r="M37" s="12">
        <f t="shared" si="4"/>
        <v>2.4811521668902339E-2</v>
      </c>
      <c r="N37" s="54">
        <f t="shared" si="5"/>
        <v>5897248</v>
      </c>
      <c r="O37" s="12">
        <v>16</v>
      </c>
      <c r="P37" s="13">
        <v>81681853</v>
      </c>
      <c r="Q37" s="13">
        <v>2552557.90625</v>
      </c>
      <c r="R37" s="13">
        <v>42032.5625</v>
      </c>
      <c r="S37" s="14">
        <v>14164216</v>
      </c>
      <c r="T37" s="14">
        <v>4426472</v>
      </c>
      <c r="U37" s="14">
        <v>1470776</v>
      </c>
      <c r="V37" s="14">
        <v>8266968</v>
      </c>
      <c r="W37" s="15">
        <v>76.244415625000002</v>
      </c>
      <c r="X37" s="15">
        <v>78.960109375000002</v>
      </c>
      <c r="Y37" s="15">
        <v>37.932615624999997</v>
      </c>
      <c r="Z37" s="15">
        <v>43.749587499999997</v>
      </c>
      <c r="AA37" s="15">
        <v>46.4671375</v>
      </c>
      <c r="AB37" s="16">
        <v>6107.32</v>
      </c>
      <c r="AC37" s="16">
        <v>0</v>
      </c>
      <c r="AD37" s="16">
        <v>127.98399999999999</v>
      </c>
      <c r="AE37" s="16">
        <v>0</v>
      </c>
      <c r="AF37" s="16">
        <v>0</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22.351635000000002</v>
      </c>
      <c r="J38" s="21">
        <f t="shared" si="1"/>
        <v>7.15558531108893E-2</v>
      </c>
      <c r="K38" s="21">
        <f t="shared" si="2"/>
        <v>2.3905109785345772E-2</v>
      </c>
      <c r="L38" s="21">
        <f t="shared" si="3"/>
        <v>1.9490892796226969E-2</v>
      </c>
      <c r="M38" s="21">
        <f t="shared" si="4"/>
        <v>4.7650743325543532E-2</v>
      </c>
      <c r="N38" s="18">
        <f t="shared" si="5"/>
        <v>7964960</v>
      </c>
      <c r="O38" s="21">
        <v>16</v>
      </c>
      <c r="P38" s="22">
        <v>83704060</v>
      </c>
      <c r="Q38" s="22">
        <v>2615751.875</v>
      </c>
      <c r="R38" s="22">
        <v>46678.40625</v>
      </c>
      <c r="S38" s="23">
        <v>23841744</v>
      </c>
      <c r="T38" s="23">
        <v>6494184</v>
      </c>
      <c r="U38" s="23">
        <v>1470776</v>
      </c>
      <c r="V38" s="23">
        <v>15876784</v>
      </c>
      <c r="W38" s="24">
        <v>77.427518750000004</v>
      </c>
      <c r="X38" s="24">
        <v>80.182268750000006</v>
      </c>
      <c r="Y38" s="24">
        <v>39.701293749999998</v>
      </c>
      <c r="Z38" s="24">
        <v>44.545281250000002</v>
      </c>
      <c r="AA38" s="24">
        <v>47.796296875000003</v>
      </c>
      <c r="AB38" s="25">
        <v>6275.88</v>
      </c>
      <c r="AC38" s="25">
        <v>0</v>
      </c>
      <c r="AD38" s="25">
        <v>121.208</v>
      </c>
      <c r="AE38" s="25">
        <v>0</v>
      </c>
      <c r="AF38" s="25">
        <v>0</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ht="15.75" outlineLevel="1" thickBot="1" x14ac:dyDescent="0.3">
      <c r="A39" s="27"/>
      <c r="B39" s="27" t="s">
        <v>80</v>
      </c>
      <c r="C39" s="28" t="s">
        <v>234</v>
      </c>
      <c r="D39" s="27">
        <v>333190689</v>
      </c>
      <c r="E39" s="28">
        <v>11</v>
      </c>
      <c r="F39" s="28">
        <v>32</v>
      </c>
      <c r="G39" s="28">
        <v>30</v>
      </c>
      <c r="I39" s="29">
        <f t="shared" si="0"/>
        <v>41.25123</v>
      </c>
      <c r="J39" s="30">
        <f t="shared" si="1"/>
        <v>0.13206044902413225</v>
      </c>
      <c r="K39" s="30">
        <f t="shared" si="2"/>
        <v>3.8426091792739141E-2</v>
      </c>
      <c r="L39" s="30">
        <f t="shared" si="3"/>
        <v>2.959302383146727E-2</v>
      </c>
      <c r="M39" s="30">
        <f t="shared" si="4"/>
        <v>9.3634357231393101E-2</v>
      </c>
      <c r="N39" s="27">
        <f t="shared" si="5"/>
        <v>12803216</v>
      </c>
      <c r="O39" s="30">
        <v>16</v>
      </c>
      <c r="P39" s="31">
        <v>82029822</v>
      </c>
      <c r="Q39" s="31">
        <v>2563431.9375</v>
      </c>
      <c r="R39" s="31">
        <v>18624.8125</v>
      </c>
      <c r="S39" s="32">
        <v>44001312</v>
      </c>
      <c r="T39" s="32">
        <v>9860120</v>
      </c>
      <c r="U39" s="32">
        <v>2943096</v>
      </c>
      <c r="V39" s="32">
        <v>31198096</v>
      </c>
      <c r="W39" s="33">
        <v>78.321349999999995</v>
      </c>
      <c r="X39" s="33">
        <v>81.871643750000004</v>
      </c>
      <c r="Y39" s="33">
        <v>41.292031250000001</v>
      </c>
      <c r="Z39" s="33">
        <v>45.5426</v>
      </c>
      <c r="AA39" s="33">
        <v>49.12885</v>
      </c>
      <c r="AB39" s="34">
        <v>6814.84</v>
      </c>
      <c r="AC39" s="34">
        <v>0</v>
      </c>
      <c r="AD39" s="34">
        <v>130.553</v>
      </c>
      <c r="AE39" s="34">
        <v>0</v>
      </c>
      <c r="AF39" s="34">
        <v>0</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4.4205653264347715E-2</v>
      </c>
      <c r="K40" s="48">
        <f>AVERAGE(K5:K24)</f>
        <v>1.383512909752915E-2</v>
      </c>
      <c r="L40" s="48">
        <f>AVERAGE(L5:L24)</f>
        <v>9.6983640296796608E-3</v>
      </c>
      <c r="M40" s="48">
        <f>AVERAGE(M5:M24)</f>
        <v>3.0370524166818579E-2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7.9840679891344996E-2</v>
      </c>
      <c r="K41" s="48">
        <f>AVERAGE(K25:K29)</f>
        <v>1.2342589181574853E-2</v>
      </c>
      <c r="L41" s="48">
        <f>AVERAGE(L25:L29)</f>
        <v>9.0993835415902058E-3</v>
      </c>
      <c r="M41" s="48">
        <f>AVERAGE(M25:M29)</f>
        <v>6.7498090709770128E-2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5.4197603057420676E-2</v>
      </c>
      <c r="K42" s="48">
        <f>AVERAGE(K30:K39)</f>
        <v>1.9711940836867316E-2</v>
      </c>
      <c r="L42" s="48">
        <f>AVERAGE(L30:L39)</f>
        <v>1.4840551109201577E-2</v>
      </c>
      <c r="M42" s="48">
        <f>AVERAGE(M30:M39)</f>
        <v>3.4485662220553361E-2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5.2151214151939601E-2</v>
      </c>
      <c r="K43" s="48">
        <f>AVERAGE(K5:K39)</f>
        <v>1.5300998177918013E-2</v>
      </c>
      <c r="L43" s="48">
        <f>AVERAGE(L5:L39)</f>
        <v>1.1081991696958856E-2</v>
      </c>
      <c r="M43" s="48">
        <f>AVERAGE(M5:M39)</f>
        <v>3.6850215974021591E-2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128630.11000000002</v>
      </c>
      <c r="AC44" s="49">
        <f>SUM(AC5:AC24,AC25:AC29,AC30:AC39)</f>
        <v>0</v>
      </c>
      <c r="AD44" s="49">
        <f>SUM(AD5:AD24,AD25:AD29,AD30:AD39)</f>
        <v>2283.279</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3334.6871033659513</v>
      </c>
      <c r="AC46" s="49" t="e">
        <f>GEOMEAN(AC5:AC24,AC25:AC29,AC30:AC39)</f>
        <v>#NUM!</v>
      </c>
      <c r="AD46" s="49">
        <f>GEOMEAN(AD5:AD24,AD25:AD29,AD30:AD39)</f>
        <v>56.364806445219472</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L5" activePane="bottomRight" state="frozen"/>
      <selection pane="topRight" activeCell="C1" sqref="C1"/>
      <selection pane="bottomLeft" activeCell="A5" sqref="A5"/>
      <selection pane="bottomRight" activeCell="AM5" sqref="AM5:AZ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564</v>
      </c>
      <c r="B1" s="59"/>
      <c r="C1" s="59"/>
      <c r="D1" s="59"/>
      <c r="E1" s="59"/>
      <c r="F1" s="59"/>
      <c r="H1" s="67" t="str">
        <f>Summary!$C$1</f>
        <v>ALL_master+r120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1.7308571255139356E-2</v>
      </c>
      <c r="I5" s="11">
        <f t="shared" ref="I5:I11" si="1">IF(OR(ISBLANK(Q5),ISBLANK(F5)),"·",Q5*F5/E5/1000000)</f>
        <v>208.67492250000001</v>
      </c>
      <c r="J5" s="12">
        <f t="shared" ref="J5:J11" si="2">IF(ISBLANK(Q5),"·",Q5/C5)</f>
        <v>0.93466284777752517</v>
      </c>
      <c r="K5" s="12">
        <f t="shared" ref="K5:K11" si="3">IF(N5="","·",N5/C5)</f>
        <v>0.14560942894994364</v>
      </c>
      <c r="L5" s="12">
        <f t="shared" ref="L5:L11" si="4">IF(R5="","·",R5/C5)</f>
        <v>0.13670905472592276</v>
      </c>
      <c r="M5" s="12">
        <f t="shared" ref="M5:M11" si="5">IF(ISBLANK(T5),"·",T5/C5)</f>
        <v>0.78905341882758151</v>
      </c>
      <c r="N5" s="54">
        <f t="shared" ref="N5:N11" si="6">IF(OR(ISBLANK(R5),ISBLANK(S5)),"",R5+S5)</f>
        <v>34676360</v>
      </c>
      <c r="O5" s="12">
        <v>16</v>
      </c>
      <c r="P5" s="13">
        <v>24964341</v>
      </c>
      <c r="Q5" s="14">
        <v>222586584</v>
      </c>
      <c r="R5" s="14">
        <v>32556768</v>
      </c>
      <c r="S5" s="14">
        <v>2119592</v>
      </c>
      <c r="T5" s="14">
        <v>187910224</v>
      </c>
      <c r="U5" s="15" t="s">
        <v>571</v>
      </c>
      <c r="V5" s="15" t="s">
        <v>571</v>
      </c>
      <c r="W5" s="15" t="s">
        <v>571</v>
      </c>
      <c r="X5" s="15" t="s">
        <v>571</v>
      </c>
      <c r="Y5" s="15" t="s">
        <v>571</v>
      </c>
      <c r="Z5" s="16">
        <v>5627.31</v>
      </c>
      <c r="AA5" s="16">
        <v>0</v>
      </c>
      <c r="AB5" s="16">
        <v>27.689</v>
      </c>
      <c r="AC5" s="16">
        <v>0</v>
      </c>
      <c r="AE5" s="17">
        <f t="shared" ref="AE5:AE11" si="7">IF(ISBLANK(Q5),"·",Q5/(C5*(D5*3+IF(AND(ISNUMBER(T5),T5&gt;0),24,0))))</f>
        <v>1.7308571255139356E-2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2.4677283396835344E-2</v>
      </c>
      <c r="I6" s="20">
        <f t="shared" si="1"/>
        <v>272.49613499999998</v>
      </c>
      <c r="J6" s="21">
        <f t="shared" si="2"/>
        <v>1.3325733034291085</v>
      </c>
      <c r="K6" s="21">
        <f t="shared" si="3"/>
        <v>0.17691955009132032</v>
      </c>
      <c r="L6" s="21">
        <f t="shared" si="4"/>
        <v>0.16169106537546674</v>
      </c>
      <c r="M6" s="21">
        <f t="shared" si="5"/>
        <v>1.1556537533377882</v>
      </c>
      <c r="N6" s="18">
        <f t="shared" si="6"/>
        <v>38589912</v>
      </c>
      <c r="O6" s="21">
        <v>16</v>
      </c>
      <c r="P6" s="22">
        <v>22654789</v>
      </c>
      <c r="Q6" s="23">
        <v>290662544</v>
      </c>
      <c r="R6" s="23">
        <v>35268256</v>
      </c>
      <c r="S6" s="23">
        <v>3321656</v>
      </c>
      <c r="T6" s="23">
        <v>252072632</v>
      </c>
      <c r="U6" s="24" t="s">
        <v>571</v>
      </c>
      <c r="V6" s="24" t="s">
        <v>571</v>
      </c>
      <c r="W6" s="24" t="s">
        <v>571</v>
      </c>
      <c r="X6" s="24" t="s">
        <v>571</v>
      </c>
      <c r="Y6" s="24" t="s">
        <v>571</v>
      </c>
      <c r="Z6" s="25">
        <v>5737.53</v>
      </c>
      <c r="AA6" s="25">
        <v>0</v>
      </c>
      <c r="AB6" s="25">
        <v>29.004000000000001</v>
      </c>
      <c r="AC6" s="25">
        <v>0</v>
      </c>
      <c r="AE6" s="26">
        <f t="shared" si="7"/>
        <v>2.4677283396835344E-2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1.9521348623309051E-2</v>
      </c>
      <c r="I7" s="11">
        <f t="shared" si="1"/>
        <v>318.80516999999998</v>
      </c>
      <c r="J7" s="12">
        <f t="shared" si="2"/>
        <v>1.0541528256586887</v>
      </c>
      <c r="K7" s="12">
        <f t="shared" si="3"/>
        <v>0.17333078925544382</v>
      </c>
      <c r="L7" s="12">
        <f t="shared" si="4"/>
        <v>0.16058870868364727</v>
      </c>
      <c r="M7" s="12">
        <f t="shared" si="5"/>
        <v>0.88082203640324486</v>
      </c>
      <c r="N7" s="54">
        <f t="shared" si="6"/>
        <v>55914728</v>
      </c>
      <c r="O7" s="12">
        <v>16</v>
      </c>
      <c r="P7" s="13">
        <v>33947718</v>
      </c>
      <c r="Q7" s="14">
        <v>340058848</v>
      </c>
      <c r="R7" s="14">
        <v>51804264</v>
      </c>
      <c r="S7" s="14">
        <v>4110464</v>
      </c>
      <c r="T7" s="14">
        <v>284144120</v>
      </c>
      <c r="U7" s="15" t="s">
        <v>571</v>
      </c>
      <c r="V7" s="15" t="s">
        <v>571</v>
      </c>
      <c r="W7" s="15" t="s">
        <v>571</v>
      </c>
      <c r="X7" s="15" t="s">
        <v>571</v>
      </c>
      <c r="Y7" s="15" t="s">
        <v>571</v>
      </c>
      <c r="Z7" s="16">
        <v>8034.37</v>
      </c>
      <c r="AA7" s="16">
        <v>0</v>
      </c>
      <c r="AB7" s="16">
        <v>35.94</v>
      </c>
      <c r="AC7" s="16">
        <v>0</v>
      </c>
      <c r="AE7" s="17">
        <f t="shared" si="7"/>
        <v>1.9521348623309051E-2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1.9446347739711281E-2</v>
      </c>
      <c r="I8" s="39">
        <f t="shared" si="1"/>
        <v>411.18561249999999</v>
      </c>
      <c r="J8" s="40">
        <f t="shared" si="2"/>
        <v>1.0501027779444092</v>
      </c>
      <c r="K8" s="40">
        <f t="shared" si="3"/>
        <v>0.16355549545515818</v>
      </c>
      <c r="L8" s="40">
        <f t="shared" si="4"/>
        <v>0.14347990901669208</v>
      </c>
      <c r="M8" s="40">
        <f t="shared" si="5"/>
        <v>0.88654728248925108</v>
      </c>
      <c r="N8" s="37">
        <f t="shared" si="6"/>
        <v>40987480</v>
      </c>
      <c r="O8" s="40">
        <v>16</v>
      </c>
      <c r="P8" s="41">
        <v>32209643</v>
      </c>
      <c r="Q8" s="42">
        <v>263158792</v>
      </c>
      <c r="R8" s="42">
        <v>35956480</v>
      </c>
      <c r="S8" s="42">
        <v>5031000</v>
      </c>
      <c r="T8" s="42">
        <v>222171312</v>
      </c>
      <c r="U8" s="43" t="s">
        <v>571</v>
      </c>
      <c r="V8" s="43" t="s">
        <v>571</v>
      </c>
      <c r="W8" s="43" t="s">
        <v>571</v>
      </c>
      <c r="X8" s="43" t="s">
        <v>571</v>
      </c>
      <c r="Y8" s="43" t="s">
        <v>571</v>
      </c>
      <c r="Z8" s="44">
        <v>6549.37</v>
      </c>
      <c r="AA8" s="44">
        <v>0</v>
      </c>
      <c r="AB8" s="44">
        <v>32.055</v>
      </c>
      <c r="AC8" s="44">
        <v>0</v>
      </c>
      <c r="AE8" s="46">
        <f t="shared" si="7"/>
        <v>1.9446347739711281E-2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2.8068700086986125E-2</v>
      </c>
      <c r="I9" s="29">
        <f t="shared" si="1"/>
        <v>355.66307999999998</v>
      </c>
      <c r="J9" s="30">
        <f t="shared" si="2"/>
        <v>1.5157098046972508</v>
      </c>
      <c r="K9" s="30">
        <f t="shared" si="3"/>
        <v>0.15211979298856737</v>
      </c>
      <c r="L9" s="30">
        <f t="shared" si="4"/>
        <v>0.14250548979122529</v>
      </c>
      <c r="M9" s="30">
        <f t="shared" si="5"/>
        <v>1.3635900117086834</v>
      </c>
      <c r="N9" s="27">
        <f t="shared" si="6"/>
        <v>38074760</v>
      </c>
      <c r="O9" s="30">
        <v>16</v>
      </c>
      <c r="P9" s="31">
        <v>25312408</v>
      </c>
      <c r="Q9" s="32">
        <v>379373952</v>
      </c>
      <c r="R9" s="32">
        <v>35668352</v>
      </c>
      <c r="S9" s="32">
        <v>2406408</v>
      </c>
      <c r="T9" s="32">
        <v>341299192</v>
      </c>
      <c r="U9" s="33" t="s">
        <v>571</v>
      </c>
      <c r="V9" s="33" t="s">
        <v>571</v>
      </c>
      <c r="W9" s="33" t="s">
        <v>571</v>
      </c>
      <c r="X9" s="33" t="s">
        <v>571</v>
      </c>
      <c r="Y9" s="33" t="s">
        <v>571</v>
      </c>
      <c r="Z9" s="34">
        <v>5919.35</v>
      </c>
      <c r="AA9" s="34">
        <v>0</v>
      </c>
      <c r="AB9" s="34">
        <v>33.176000000000002</v>
      </c>
      <c r="AC9" s="34">
        <v>0</v>
      </c>
      <c r="AE9" s="36">
        <f t="shared" si="7"/>
        <v>2.8068700086986125E-2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4.2551924990572414E-2</v>
      </c>
      <c r="I10" s="20">
        <f t="shared" si="1"/>
        <v>853.66148250000003</v>
      </c>
      <c r="J10" s="21">
        <f t="shared" si="2"/>
        <v>2.4254597244626273</v>
      </c>
      <c r="K10" s="21">
        <f t="shared" si="3"/>
        <v>0.27626279518609298</v>
      </c>
      <c r="L10" s="21">
        <f t="shared" si="4"/>
        <v>0.26399668028455797</v>
      </c>
      <c r="M10" s="21">
        <f t="shared" si="5"/>
        <v>2.1491969292765343</v>
      </c>
      <c r="N10" s="18">
        <f t="shared" si="6"/>
        <v>103715280</v>
      </c>
      <c r="O10" s="21">
        <v>16</v>
      </c>
      <c r="P10" s="22">
        <v>92854683</v>
      </c>
      <c r="Q10" s="23">
        <v>910572248</v>
      </c>
      <c r="R10" s="23">
        <v>99110304</v>
      </c>
      <c r="S10" s="23">
        <v>4604976</v>
      </c>
      <c r="T10" s="23">
        <v>806856968</v>
      </c>
      <c r="U10" s="24" t="s">
        <v>571</v>
      </c>
      <c r="V10" s="24" t="s">
        <v>571</v>
      </c>
      <c r="W10" s="24" t="s">
        <v>571</v>
      </c>
      <c r="X10" s="24" t="s">
        <v>571</v>
      </c>
      <c r="Y10" s="24" t="s">
        <v>571</v>
      </c>
      <c r="Z10" s="25">
        <v>18254</v>
      </c>
      <c r="AA10" s="25">
        <v>0</v>
      </c>
      <c r="AB10" s="25">
        <v>97.168999999999997</v>
      </c>
      <c r="AC10" s="25">
        <v>0</v>
      </c>
      <c r="AE10" s="26">
        <f t="shared" si="7"/>
        <v>4.2551924990572414E-2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4.3730556274453984E-2</v>
      </c>
      <c r="I11" s="29">
        <f t="shared" si="1"/>
        <v>778.61719500000004</v>
      </c>
      <c r="J11" s="30">
        <f t="shared" si="2"/>
        <v>2.4926417076438772</v>
      </c>
      <c r="K11" s="30">
        <f t="shared" si="3"/>
        <v>0.29570797520095166</v>
      </c>
      <c r="L11" s="30">
        <f t="shared" si="4"/>
        <v>0.28151578989651777</v>
      </c>
      <c r="M11" s="30">
        <f t="shared" si="5"/>
        <v>2.1969337324429254</v>
      </c>
      <c r="N11" s="27">
        <f t="shared" si="6"/>
        <v>98527144</v>
      </c>
      <c r="O11" s="30">
        <v>16</v>
      </c>
      <c r="P11" s="31">
        <v>83104648</v>
      </c>
      <c r="Q11" s="32">
        <v>830525008</v>
      </c>
      <c r="R11" s="32">
        <v>93798440</v>
      </c>
      <c r="S11" s="32">
        <v>4728704</v>
      </c>
      <c r="T11" s="32">
        <v>731997864</v>
      </c>
      <c r="U11" s="33" t="s">
        <v>571</v>
      </c>
      <c r="V11" s="33" t="s">
        <v>571</v>
      </c>
      <c r="W11" s="33" t="s">
        <v>571</v>
      </c>
      <c r="X11" s="33" t="s">
        <v>571</v>
      </c>
      <c r="Y11" s="33" t="s">
        <v>571</v>
      </c>
      <c r="Z11" s="34">
        <v>17002.099999999999</v>
      </c>
      <c r="AA11" s="34">
        <v>0</v>
      </c>
      <c r="AB11" s="34">
        <v>97.183999999999997</v>
      </c>
      <c r="AC11" s="34">
        <v>0</v>
      </c>
      <c r="AE11" s="36">
        <f t="shared" si="7"/>
        <v>4.3730556274453984E-2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1.092872938702433</v>
      </c>
      <c r="K12" s="48">
        <f>AVERAGE(K5:K8)</f>
        <v>0.1648538159379665</v>
      </c>
      <c r="L12" s="48">
        <f>AVERAGE(L5:L8)</f>
        <v>0.15061718445043221</v>
      </c>
      <c r="M12" s="48">
        <f>AVERAGE(M5:M8)</f>
        <v>0.9280191227644663</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1.5157098046972508</v>
      </c>
      <c r="K13" s="48">
        <f>AVERAGE(K9:K9)</f>
        <v>0.15211979298856737</v>
      </c>
      <c r="L13" s="48">
        <f>AVERAGE(L9:L9)</f>
        <v>0.14250548979122529</v>
      </c>
      <c r="M13" s="48">
        <f>AVERAGE(M9:M9)</f>
        <v>1.3635900117086834</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2.4590507160532522</v>
      </c>
      <c r="K14" s="48">
        <f>AVERAGE(K10:K11)</f>
        <v>0.28598538519352235</v>
      </c>
      <c r="L14" s="48">
        <f>AVERAGE(L10:L11)</f>
        <v>0.27275623509053787</v>
      </c>
      <c r="M14" s="48">
        <f>AVERAGE(M10:M11)</f>
        <v>2.1730653308597301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1.5436147130876408</v>
      </c>
      <c r="K15" s="48">
        <f>AVERAGE(K5:K11)</f>
        <v>0.19764368958963971</v>
      </c>
      <c r="L15" s="48">
        <f>AVERAGE(L5:L11)</f>
        <v>0.18435524253914709</v>
      </c>
      <c r="M15" s="48">
        <f>AVERAGE(M5:M11)</f>
        <v>1.3459710234980011</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67124.03</v>
      </c>
      <c r="AA16" s="49">
        <f>SUM(AA5:AA8,AA9:AA9,AA10:AA11)</f>
        <v>0</v>
      </c>
      <c r="AB16" s="49">
        <f>SUM(AB5:AB8,AB9:AB9,AB10:AB11)</f>
        <v>352.21699999999998</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8467.5706326527961</v>
      </c>
      <c r="AA18" s="49" t="e">
        <f>GEOMEAN(AA5:AA8,AA9:AA9,AA10:AA11)</f>
        <v>#NUM!</v>
      </c>
      <c r="AB18" s="49">
        <f>GEOMEAN(AB5:AB8,AB9:AB9,AB10:AB11)</f>
        <v>43.396537359605688</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Q5" activePane="bottomRight" state="frozen"/>
      <selection pane="topRight" activeCell="C1" sqref="C1"/>
      <selection pane="bottomLeft" activeCell="A5" sqref="A5"/>
      <selection pane="bottomRight" activeCell="AM5" sqref="AM5:AZ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572</v>
      </c>
      <c r="B1" s="59"/>
      <c r="C1" s="59"/>
      <c r="D1" s="59"/>
      <c r="E1" s="59"/>
      <c r="F1" s="59"/>
      <c r="H1" s="67" t="str">
        <f>Summary!$C$1</f>
        <v>ALL_master+r120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1.7166133501224215E-2</v>
      </c>
      <c r="I5" s="11">
        <f t="shared" ref="I5:I11" si="1">IF(OR(ISBLANK(Q5),ISBLANK(F5)),"·",Q5*F5/E5/1000000)</f>
        <v>206.95767000000001</v>
      </c>
      <c r="J5" s="12">
        <f t="shared" ref="J5:J11" si="2">IF(ISBLANK(Q5),"·",Q5/C5)</f>
        <v>0.92697120906610753</v>
      </c>
      <c r="K5" s="12">
        <f t="shared" ref="K5:K11" si="3">IF(N5="","·",N5/C5)</f>
        <v>0.14288162779674457</v>
      </c>
      <c r="L5" s="12">
        <f t="shared" ref="L5:L11" si="4">IF(R5="","·",R5/C5)</f>
        <v>0.13400974025258269</v>
      </c>
      <c r="M5" s="12">
        <f t="shared" ref="M5:M11" si="5">IF(ISBLANK(T5),"·",T5/C5)</f>
        <v>0.78408958126936301</v>
      </c>
      <c r="N5" s="54">
        <f t="shared" ref="N5:N11" si="6">IF(OR(ISBLANK(R5),ISBLANK(S5)),"",R5+S5)</f>
        <v>34026744</v>
      </c>
      <c r="O5" s="12">
        <v>16</v>
      </c>
      <c r="P5" s="13">
        <v>24964341</v>
      </c>
      <c r="Q5" s="14">
        <v>220754848</v>
      </c>
      <c r="R5" s="14">
        <v>31913936</v>
      </c>
      <c r="S5" s="14">
        <v>2112808</v>
      </c>
      <c r="T5" s="14">
        <v>186728104</v>
      </c>
      <c r="U5" s="15" t="s">
        <v>571</v>
      </c>
      <c r="V5" s="15" t="s">
        <v>571</v>
      </c>
      <c r="W5" s="15" t="s">
        <v>571</v>
      </c>
      <c r="X5" s="15" t="s">
        <v>571</v>
      </c>
      <c r="Y5" s="15" t="s">
        <v>571</v>
      </c>
      <c r="Z5" s="16">
        <v>7319.09</v>
      </c>
      <c r="AA5" s="16">
        <v>0</v>
      </c>
      <c r="AB5" s="16">
        <v>29.018999999999998</v>
      </c>
      <c r="AC5" s="16">
        <v>0</v>
      </c>
      <c r="AE5" s="17">
        <f t="shared" ref="AE5:AE11" si="7">IF(ISBLANK(Q5),"·",Q5/(C5*(D5*3+IF(AND(ISNUMBER(T5),T5&gt;0),24,0))))</f>
        <v>1.7166133501224215E-2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2.4555376340582111E-2</v>
      </c>
      <c r="I6" s="20">
        <f t="shared" si="1"/>
        <v>271.14999</v>
      </c>
      <c r="J6" s="21">
        <f t="shared" si="2"/>
        <v>1.325990322391434</v>
      </c>
      <c r="K6" s="21">
        <f t="shared" si="3"/>
        <v>0.1764953089713289</v>
      </c>
      <c r="L6" s="21">
        <f t="shared" si="4"/>
        <v>0.16081034418463472</v>
      </c>
      <c r="M6" s="21">
        <f t="shared" si="5"/>
        <v>1.1494950134201052</v>
      </c>
      <c r="N6" s="18">
        <f t="shared" si="6"/>
        <v>38497376</v>
      </c>
      <c r="O6" s="21">
        <v>16</v>
      </c>
      <c r="P6" s="22">
        <v>22654789</v>
      </c>
      <c r="Q6" s="23">
        <v>289226656</v>
      </c>
      <c r="R6" s="23">
        <v>35076152</v>
      </c>
      <c r="S6" s="23">
        <v>3421224</v>
      </c>
      <c r="T6" s="23">
        <v>250729280</v>
      </c>
      <c r="U6" s="24" t="s">
        <v>571</v>
      </c>
      <c r="V6" s="24" t="s">
        <v>571</v>
      </c>
      <c r="W6" s="24" t="s">
        <v>571</v>
      </c>
      <c r="X6" s="24" t="s">
        <v>571</v>
      </c>
      <c r="Y6" s="24" t="s">
        <v>571</v>
      </c>
      <c r="Z6" s="25">
        <v>8963.89</v>
      </c>
      <c r="AA6" s="25">
        <v>0</v>
      </c>
      <c r="AB6" s="25">
        <v>28.757999999999999</v>
      </c>
      <c r="AC6" s="25">
        <v>0</v>
      </c>
      <c r="AE6" s="26">
        <f t="shared" si="7"/>
        <v>2.4555376340582111E-2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1.8930861590787277E-2</v>
      </c>
      <c r="I7" s="11">
        <f t="shared" si="1"/>
        <v>309.16186499999998</v>
      </c>
      <c r="J7" s="12">
        <f t="shared" si="2"/>
        <v>1.022266525902513</v>
      </c>
      <c r="K7" s="12">
        <f t="shared" si="3"/>
        <v>0.15693128259294972</v>
      </c>
      <c r="L7" s="12">
        <f t="shared" si="4"/>
        <v>0.14511364566055709</v>
      </c>
      <c r="M7" s="12">
        <f t="shared" si="5"/>
        <v>0.86533524330956324</v>
      </c>
      <c r="N7" s="54">
        <f t="shared" si="6"/>
        <v>50624416</v>
      </c>
      <c r="O7" s="12">
        <v>16</v>
      </c>
      <c r="P7" s="13">
        <v>33947718</v>
      </c>
      <c r="Q7" s="14">
        <v>329772656</v>
      </c>
      <c r="R7" s="14">
        <v>46812168</v>
      </c>
      <c r="S7" s="14">
        <v>3812248</v>
      </c>
      <c r="T7" s="14">
        <v>279148240</v>
      </c>
      <c r="U7" s="15" t="s">
        <v>571</v>
      </c>
      <c r="V7" s="15" t="s">
        <v>571</v>
      </c>
      <c r="W7" s="15" t="s">
        <v>571</v>
      </c>
      <c r="X7" s="15" t="s">
        <v>571</v>
      </c>
      <c r="Y7" s="15" t="s">
        <v>571</v>
      </c>
      <c r="Z7" s="16">
        <v>9762.09</v>
      </c>
      <c r="AA7" s="16">
        <v>0</v>
      </c>
      <c r="AB7" s="16">
        <v>34.491999999999997</v>
      </c>
      <c r="AC7" s="16">
        <v>0</v>
      </c>
      <c r="AE7" s="17">
        <f t="shared" si="7"/>
        <v>1.8930861590787277E-2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1.7451238480783587E-2</v>
      </c>
      <c r="I8" s="39">
        <f t="shared" si="1"/>
        <v>368.99978750000002</v>
      </c>
      <c r="J8" s="40">
        <f t="shared" si="2"/>
        <v>0.94236687796231366</v>
      </c>
      <c r="K8" s="40">
        <f t="shared" si="3"/>
        <v>0.11764630440755769</v>
      </c>
      <c r="L8" s="40">
        <f t="shared" si="4"/>
        <v>0.10443241055826447</v>
      </c>
      <c r="M8" s="40">
        <f t="shared" si="5"/>
        <v>0.82472057355475603</v>
      </c>
      <c r="N8" s="37">
        <f t="shared" si="6"/>
        <v>29482504</v>
      </c>
      <c r="O8" s="40">
        <v>16</v>
      </c>
      <c r="P8" s="41">
        <v>32209643</v>
      </c>
      <c r="Q8" s="42">
        <v>236159864</v>
      </c>
      <c r="R8" s="42">
        <v>26171064</v>
      </c>
      <c r="S8" s="42">
        <v>3311440</v>
      </c>
      <c r="T8" s="42">
        <v>206677360</v>
      </c>
      <c r="U8" s="43" t="s">
        <v>571</v>
      </c>
      <c r="V8" s="43" t="s">
        <v>571</v>
      </c>
      <c r="W8" s="43" t="s">
        <v>571</v>
      </c>
      <c r="X8" s="43" t="s">
        <v>571</v>
      </c>
      <c r="Y8" s="43" t="s">
        <v>571</v>
      </c>
      <c r="Z8" s="44">
        <v>7828.41</v>
      </c>
      <c r="AA8" s="44">
        <v>0</v>
      </c>
      <c r="AB8" s="44">
        <v>30.335999999999999</v>
      </c>
      <c r="AC8" s="44">
        <v>0</v>
      </c>
      <c r="AE8" s="46">
        <f t="shared" si="7"/>
        <v>1.7451238480783587E-2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2.7896176857419654E-2</v>
      </c>
      <c r="I9" s="29">
        <f t="shared" si="1"/>
        <v>353.47701000000001</v>
      </c>
      <c r="J9" s="30">
        <f t="shared" si="2"/>
        <v>1.5063935503006614</v>
      </c>
      <c r="K9" s="30">
        <f t="shared" si="3"/>
        <v>0.15195560245886586</v>
      </c>
      <c r="L9" s="30">
        <f t="shared" si="4"/>
        <v>0.14212676804965757</v>
      </c>
      <c r="M9" s="30">
        <f t="shared" si="5"/>
        <v>1.3544379478417954</v>
      </c>
      <c r="N9" s="27">
        <f t="shared" si="6"/>
        <v>38033664</v>
      </c>
      <c r="O9" s="30">
        <v>16</v>
      </c>
      <c r="P9" s="31">
        <v>25312408</v>
      </c>
      <c r="Q9" s="32">
        <v>377042144</v>
      </c>
      <c r="R9" s="32">
        <v>35573560</v>
      </c>
      <c r="S9" s="32">
        <v>2460104</v>
      </c>
      <c r="T9" s="32">
        <v>339008480</v>
      </c>
      <c r="U9" s="33" t="s">
        <v>571</v>
      </c>
      <c r="V9" s="33" t="s">
        <v>571</v>
      </c>
      <c r="W9" s="33" t="s">
        <v>571</v>
      </c>
      <c r="X9" s="33" t="s">
        <v>571</v>
      </c>
      <c r="Y9" s="33" t="s">
        <v>571</v>
      </c>
      <c r="Z9" s="34">
        <v>9439.8799999999992</v>
      </c>
      <c r="AA9" s="34">
        <v>0</v>
      </c>
      <c r="AB9" s="34">
        <v>33.24</v>
      </c>
      <c r="AC9" s="34">
        <v>0</v>
      </c>
      <c r="AE9" s="36">
        <f t="shared" si="7"/>
        <v>2.7896176857419654E-2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4.2525917523094058E-2</v>
      </c>
      <c r="I10" s="20">
        <f t="shared" si="1"/>
        <v>853.13972999999999</v>
      </c>
      <c r="J10" s="21">
        <f t="shared" si="2"/>
        <v>2.4239772988163613</v>
      </c>
      <c r="K10" s="21">
        <f t="shared" si="3"/>
        <v>0.27538759999702628</v>
      </c>
      <c r="L10" s="21">
        <f t="shared" si="4"/>
        <v>0.26288043403808531</v>
      </c>
      <c r="M10" s="21">
        <f t="shared" si="5"/>
        <v>2.1485896988193347</v>
      </c>
      <c r="N10" s="18">
        <f t="shared" si="6"/>
        <v>103386712</v>
      </c>
      <c r="O10" s="21">
        <v>16</v>
      </c>
      <c r="P10" s="22">
        <v>92854683</v>
      </c>
      <c r="Q10" s="23">
        <v>910015712</v>
      </c>
      <c r="R10" s="23">
        <v>98691240</v>
      </c>
      <c r="S10" s="23">
        <v>4695472</v>
      </c>
      <c r="T10" s="23">
        <v>806629000</v>
      </c>
      <c r="U10" s="24" t="s">
        <v>571</v>
      </c>
      <c r="V10" s="24" t="s">
        <v>571</v>
      </c>
      <c r="W10" s="24" t="s">
        <v>571</v>
      </c>
      <c r="X10" s="24" t="s">
        <v>571</v>
      </c>
      <c r="Y10" s="24" t="s">
        <v>571</v>
      </c>
      <c r="Z10" s="25">
        <v>30418.799999999999</v>
      </c>
      <c r="AA10" s="25">
        <v>0</v>
      </c>
      <c r="AB10" s="25">
        <v>99.039000000000001</v>
      </c>
      <c r="AC10" s="25">
        <v>0</v>
      </c>
      <c r="AE10" s="26">
        <f t="shared" si="7"/>
        <v>4.2525917523094058E-2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4.372101577070496E-2</v>
      </c>
      <c r="I11" s="29">
        <f t="shared" si="1"/>
        <v>778.44732750000003</v>
      </c>
      <c r="J11" s="30">
        <f t="shared" si="2"/>
        <v>2.492097898930183</v>
      </c>
      <c r="K11" s="30">
        <f t="shared" si="3"/>
        <v>0.29561832083488981</v>
      </c>
      <c r="L11" s="30">
        <f t="shared" si="4"/>
        <v>0.28101224641364453</v>
      </c>
      <c r="M11" s="30">
        <f t="shared" si="5"/>
        <v>2.196479578095293</v>
      </c>
      <c r="N11" s="27">
        <f t="shared" si="6"/>
        <v>98497272</v>
      </c>
      <c r="O11" s="30">
        <v>16</v>
      </c>
      <c r="P11" s="31">
        <v>83104648</v>
      </c>
      <c r="Q11" s="32">
        <v>830343816</v>
      </c>
      <c r="R11" s="32">
        <v>93630664</v>
      </c>
      <c r="S11" s="32">
        <v>4866608</v>
      </c>
      <c r="T11" s="32">
        <v>731846544</v>
      </c>
      <c r="U11" s="33" t="s">
        <v>571</v>
      </c>
      <c r="V11" s="33" t="s">
        <v>571</v>
      </c>
      <c r="W11" s="33" t="s">
        <v>571</v>
      </c>
      <c r="X11" s="33" t="s">
        <v>571</v>
      </c>
      <c r="Y11" s="33" t="s">
        <v>571</v>
      </c>
      <c r="Z11" s="34">
        <v>32152.2</v>
      </c>
      <c r="AA11" s="34">
        <v>0</v>
      </c>
      <c r="AB11" s="34">
        <v>94.039000000000001</v>
      </c>
      <c r="AC11" s="34">
        <v>0</v>
      </c>
      <c r="AE11" s="36">
        <f t="shared" si="7"/>
        <v>4.372101577070496E-2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1.054398733830592</v>
      </c>
      <c r="K12" s="48">
        <f>AVERAGE(K5:K8)</f>
        <v>0.14848863094214521</v>
      </c>
      <c r="L12" s="48">
        <f>AVERAGE(L5:L8)</f>
        <v>0.13609153516400974</v>
      </c>
      <c r="M12" s="48">
        <f>AVERAGE(M5:M8)</f>
        <v>0.90591010288844687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1.5063935503006614</v>
      </c>
      <c r="K13" s="48">
        <f>AVERAGE(K9:K9)</f>
        <v>0.15195560245886586</v>
      </c>
      <c r="L13" s="48">
        <f>AVERAGE(L9:L9)</f>
        <v>0.14212676804965757</v>
      </c>
      <c r="M13" s="48">
        <f>AVERAGE(M9:M9)</f>
        <v>1.3544379478417954</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2.4580375988732719</v>
      </c>
      <c r="K14" s="48">
        <f>AVERAGE(K10:K11)</f>
        <v>0.28550296041595802</v>
      </c>
      <c r="L14" s="48">
        <f>AVERAGE(L10:L11)</f>
        <v>0.27194634022586495</v>
      </c>
      <c r="M14" s="48">
        <f>AVERAGE(M10:M11)</f>
        <v>2.1725346384573139</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1.5200090976242249</v>
      </c>
      <c r="K15" s="48">
        <f>AVERAGE(K5:K11)</f>
        <v>0.18813086386562322</v>
      </c>
      <c r="L15" s="48">
        <f>AVERAGE(L5:L11)</f>
        <v>0.17576936987963235</v>
      </c>
      <c r="M15" s="48">
        <f>AVERAGE(M5:M11)</f>
        <v>1.3318782337586015</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105884.35999999999</v>
      </c>
      <c r="AA16" s="49">
        <f>SUM(AA5:AA8,AA9:AA9,AA10:AA11)</f>
        <v>0</v>
      </c>
      <c r="AB16" s="49">
        <f>SUM(AB5:AB8,AB9:AB9,AB10:AB11)</f>
        <v>348.923</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12447.149014484239</v>
      </c>
      <c r="AA18" s="49" t="e">
        <f>GEOMEAN(AA5:AA8,AA9:AA9,AA10:AA11)</f>
        <v>#NUM!</v>
      </c>
      <c r="AB18" s="49">
        <f>GEOMEAN(AB5:AB8,AB9:AB9,AB10:AB11)</f>
        <v>42.966263023012822</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Y5" activePane="bottomRight" state="frozen"/>
      <selection pane="topRight" activeCell="C1" sqref="C1"/>
      <selection pane="bottomLeft" activeCell="A5" sqref="A5"/>
      <selection pane="bottomRight" activeCell="AN5" sqref="AN5:BC39"/>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573</v>
      </c>
      <c r="B1" s="59"/>
      <c r="C1" s="59"/>
      <c r="D1" s="59"/>
      <c r="E1" s="59"/>
      <c r="F1" s="59"/>
      <c r="G1" s="59"/>
      <c r="I1" s="67" t="str">
        <f>Summary!$C$1</f>
        <v>ALL_master+r120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1.0512300000000001</v>
      </c>
      <c r="J5" s="12">
        <f t="shared" ref="J5:J39" si="1">IF(ISBLANK(S5),"·",S5/D5)</f>
        <v>4.7084988157557253E-3</v>
      </c>
      <c r="K5" s="12">
        <f t="shared" ref="K5:K39" si="2">IF(N5="","·",N5/D5)</f>
        <v>4.1185087705150232E-3</v>
      </c>
      <c r="L5" s="12">
        <f t="shared" ref="L5:L39" si="3">IF(T5="","·",T5/D5)</f>
        <v>2.6308523818864005E-3</v>
      </c>
      <c r="M5" s="12">
        <f t="shared" ref="M5:M39" si="4">IF(ISBLANK(V5),"·",V5/D5)</f>
        <v>5.8999004524070244E-4</v>
      </c>
      <c r="N5" s="54">
        <f t="shared" ref="N5:N39" si="5">IF(OR(ISBLANK(T5),ISBLANK(U5)),"",T5+U5)</f>
        <v>980808</v>
      </c>
      <c r="O5" s="12">
        <v>16</v>
      </c>
      <c r="P5" s="13">
        <v>23692128</v>
      </c>
      <c r="Q5" s="13">
        <v>740379</v>
      </c>
      <c r="R5" s="13">
        <v>17288.65625</v>
      </c>
      <c r="S5" s="14">
        <v>1121312</v>
      </c>
      <c r="T5" s="14">
        <v>626528</v>
      </c>
      <c r="U5" s="14">
        <v>354280</v>
      </c>
      <c r="V5" s="14">
        <v>140504</v>
      </c>
      <c r="W5" s="15">
        <v>66.884268750000004</v>
      </c>
      <c r="X5" s="15">
        <v>68.636793749999995</v>
      </c>
      <c r="Y5" s="15">
        <v>31.75198125</v>
      </c>
      <c r="Z5" s="15">
        <v>44.612749999999998</v>
      </c>
      <c r="AA5" s="15">
        <v>44.223821874999999</v>
      </c>
      <c r="AB5" s="16">
        <v>4894.2</v>
      </c>
      <c r="AC5" s="16">
        <v>0</v>
      </c>
      <c r="AD5" s="16">
        <v>34.639000000000003</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1.3573275</v>
      </c>
      <c r="J6" s="21">
        <f t="shared" si="1"/>
        <v>6.0795210623200251E-3</v>
      </c>
      <c r="K6" s="21">
        <f t="shared" si="2"/>
        <v>4.9965905214998619E-3</v>
      </c>
      <c r="L6" s="21">
        <f t="shared" si="3"/>
        <v>3.5089341328712388E-3</v>
      </c>
      <c r="M6" s="21">
        <f t="shared" si="4"/>
        <v>1.0829305408201629E-3</v>
      </c>
      <c r="N6" s="18">
        <f t="shared" si="5"/>
        <v>1189920</v>
      </c>
      <c r="O6" s="21">
        <v>16</v>
      </c>
      <c r="P6" s="22">
        <v>24701037</v>
      </c>
      <c r="Q6" s="22">
        <v>771907.40625</v>
      </c>
      <c r="R6" s="22">
        <v>20068</v>
      </c>
      <c r="S6" s="23">
        <v>1447816</v>
      </c>
      <c r="T6" s="23">
        <v>835640</v>
      </c>
      <c r="U6" s="23">
        <v>354280</v>
      </c>
      <c r="V6" s="23">
        <v>257896</v>
      </c>
      <c r="W6" s="24">
        <v>68.546018750000002</v>
      </c>
      <c r="X6" s="24">
        <v>70.637450000000001</v>
      </c>
      <c r="Y6" s="24">
        <v>33.860399999999998</v>
      </c>
      <c r="Z6" s="24">
        <v>45.447196875000003</v>
      </c>
      <c r="AA6" s="24">
        <v>45.140856249999999</v>
      </c>
      <c r="AB6" s="25">
        <v>5138.0600000000004</v>
      </c>
      <c r="AC6" s="25">
        <v>0</v>
      </c>
      <c r="AD6" s="25">
        <v>36.204999999999998</v>
      </c>
      <c r="AE6" s="25">
        <v>0</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1.8585974999999999</v>
      </c>
      <c r="J7" s="12">
        <f t="shared" si="1"/>
        <v>8.3247282970582582E-3</v>
      </c>
      <c r="K7" s="12">
        <f t="shared" si="2"/>
        <v>6.1454636950597332E-3</v>
      </c>
      <c r="L7" s="12">
        <f t="shared" si="3"/>
        <v>4.6578073064311104E-3</v>
      </c>
      <c r="M7" s="12">
        <f t="shared" si="4"/>
        <v>2.1792646019985246E-3</v>
      </c>
      <c r="N7" s="54">
        <f t="shared" si="5"/>
        <v>1463520</v>
      </c>
      <c r="O7" s="12">
        <v>16</v>
      </c>
      <c r="P7" s="13">
        <v>24903160</v>
      </c>
      <c r="Q7" s="13">
        <v>778223.75</v>
      </c>
      <c r="R7" s="13">
        <v>21295.71875</v>
      </c>
      <c r="S7" s="14">
        <v>1982504</v>
      </c>
      <c r="T7" s="14">
        <v>1109240</v>
      </c>
      <c r="U7" s="14">
        <v>354280</v>
      </c>
      <c r="V7" s="14">
        <v>518984</v>
      </c>
      <c r="W7" s="15">
        <v>69.834218750000005</v>
      </c>
      <c r="X7" s="15">
        <v>72.284884375000004</v>
      </c>
      <c r="Y7" s="15">
        <v>36.229993749999998</v>
      </c>
      <c r="Z7" s="15">
        <v>46.909218750000001</v>
      </c>
      <c r="AA7" s="15">
        <v>46.7233375</v>
      </c>
      <c r="AB7" s="16">
        <v>5376.45</v>
      </c>
      <c r="AC7" s="16">
        <v>0</v>
      </c>
      <c r="AD7" s="16">
        <v>35.113999999999997</v>
      </c>
      <c r="AE7" s="16">
        <v>0</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3.0867</v>
      </c>
      <c r="J8" s="21">
        <f t="shared" si="1"/>
        <v>1.3825445710827505E-2</v>
      </c>
      <c r="K8" s="21">
        <f t="shared" si="2"/>
        <v>8.9309436564167788E-3</v>
      </c>
      <c r="L8" s="21">
        <f t="shared" si="3"/>
        <v>7.4432872677881561E-3</v>
      </c>
      <c r="M8" s="21">
        <f t="shared" si="4"/>
        <v>4.8945020544107262E-3</v>
      </c>
      <c r="N8" s="18">
        <f t="shared" si="5"/>
        <v>2126872</v>
      </c>
      <c r="O8" s="21">
        <v>16</v>
      </c>
      <c r="P8" s="22">
        <v>25904948</v>
      </c>
      <c r="Q8" s="22">
        <v>809529.625</v>
      </c>
      <c r="R8" s="22">
        <v>24484.125</v>
      </c>
      <c r="S8" s="23">
        <v>3292480</v>
      </c>
      <c r="T8" s="23">
        <v>1772592</v>
      </c>
      <c r="U8" s="23">
        <v>354280</v>
      </c>
      <c r="V8" s="23">
        <v>1165608</v>
      </c>
      <c r="W8" s="24">
        <v>70.909125000000003</v>
      </c>
      <c r="X8" s="24">
        <v>73.473293749999996</v>
      </c>
      <c r="Y8" s="24">
        <v>38.688724999999998</v>
      </c>
      <c r="Z8" s="24">
        <v>48.180071875000003</v>
      </c>
      <c r="AA8" s="24">
        <v>48.078343750000002</v>
      </c>
      <c r="AB8" s="25">
        <v>5734.85</v>
      </c>
      <c r="AC8" s="25">
        <v>0</v>
      </c>
      <c r="AD8" s="25">
        <v>34.656999999999996</v>
      </c>
      <c r="AE8" s="25">
        <v>0</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32</v>
      </c>
      <c r="G9" s="28">
        <v>30</v>
      </c>
      <c r="I9" s="29">
        <f t="shared" si="0"/>
        <v>6.2705774999999999</v>
      </c>
      <c r="J9" s="30">
        <f t="shared" si="1"/>
        <v>2.8086153109076511E-2</v>
      </c>
      <c r="K9" s="30">
        <f t="shared" si="2"/>
        <v>1.5531891894175294E-2</v>
      </c>
      <c r="L9" s="30">
        <f t="shared" si="3"/>
        <v>1.2126121197444474E-2</v>
      </c>
      <c r="M9" s="30">
        <f t="shared" si="4"/>
        <v>1.2554261214901215E-2</v>
      </c>
      <c r="N9" s="27">
        <f t="shared" si="5"/>
        <v>3698864</v>
      </c>
      <c r="O9" s="30">
        <v>16</v>
      </c>
      <c r="P9" s="31">
        <v>24929633</v>
      </c>
      <c r="Q9" s="31">
        <v>779051.03125</v>
      </c>
      <c r="R9" s="31">
        <v>10646</v>
      </c>
      <c r="S9" s="32">
        <v>6688616</v>
      </c>
      <c r="T9" s="32">
        <v>2887792</v>
      </c>
      <c r="U9" s="32">
        <v>811072</v>
      </c>
      <c r="V9" s="32">
        <v>2989752</v>
      </c>
      <c r="W9" s="33">
        <v>71.948431249999999</v>
      </c>
      <c r="X9" s="33">
        <v>75.243146874999994</v>
      </c>
      <c r="Y9" s="33">
        <v>41.12033125</v>
      </c>
      <c r="Z9" s="33">
        <v>49.584375000000001</v>
      </c>
      <c r="AA9" s="33">
        <v>49.687881249999997</v>
      </c>
      <c r="AB9" s="34">
        <v>6140.13</v>
      </c>
      <c r="AC9" s="34">
        <v>0</v>
      </c>
      <c r="AD9" s="34">
        <v>33.613999999999997</v>
      </c>
      <c r="AE9" s="34">
        <v>0</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1.9325625</v>
      </c>
      <c r="J10" s="21">
        <f t="shared" si="1"/>
        <v>9.4507072355658056E-3</v>
      </c>
      <c r="K10" s="21">
        <f t="shared" si="2"/>
        <v>7.0955400116417822E-3</v>
      </c>
      <c r="L10" s="21">
        <f t="shared" si="3"/>
        <v>4.0859110824245171E-3</v>
      </c>
      <c r="M10" s="21">
        <f t="shared" si="4"/>
        <v>2.355167223924023E-3</v>
      </c>
      <c r="N10" s="18">
        <f t="shared" si="5"/>
        <v>1547688</v>
      </c>
      <c r="O10" s="21">
        <v>16</v>
      </c>
      <c r="P10" s="22">
        <v>21010633</v>
      </c>
      <c r="Q10" s="22">
        <v>656582.28125</v>
      </c>
      <c r="R10" s="22">
        <v>18991.84375</v>
      </c>
      <c r="S10" s="23">
        <v>2061400</v>
      </c>
      <c r="T10" s="23">
        <v>891224</v>
      </c>
      <c r="U10" s="23">
        <v>656464</v>
      </c>
      <c r="V10" s="23">
        <v>513712</v>
      </c>
      <c r="W10" s="24">
        <v>65.981356250000005</v>
      </c>
      <c r="X10" s="24">
        <v>67.847628125</v>
      </c>
      <c r="Y10" s="24">
        <v>31.015684374999999</v>
      </c>
      <c r="Z10" s="24">
        <v>38.759784375000002</v>
      </c>
      <c r="AA10" s="24">
        <v>30.117090624999999</v>
      </c>
      <c r="AB10" s="25">
        <v>5620.06</v>
      </c>
      <c r="AC10" s="25">
        <v>0</v>
      </c>
      <c r="AD10" s="25">
        <v>32.149000000000001</v>
      </c>
      <c r="AE10" s="25">
        <v>0</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2.648895</v>
      </c>
      <c r="J11" s="12">
        <f t="shared" si="1"/>
        <v>1.2953749823229046E-2</v>
      </c>
      <c r="K11" s="12">
        <f t="shared" si="2"/>
        <v>8.7492624858609598E-3</v>
      </c>
      <c r="L11" s="12">
        <f t="shared" si="3"/>
        <v>5.7396335566436947E-3</v>
      </c>
      <c r="M11" s="12">
        <f t="shared" si="4"/>
        <v>4.2044873373680864E-3</v>
      </c>
      <c r="N11" s="54">
        <f t="shared" si="5"/>
        <v>1908400</v>
      </c>
      <c r="O11" s="12">
        <v>16</v>
      </c>
      <c r="P11" s="13">
        <v>22231592</v>
      </c>
      <c r="Q11" s="13">
        <v>694737.25</v>
      </c>
      <c r="R11" s="13">
        <v>23343.46875</v>
      </c>
      <c r="S11" s="14">
        <v>2825488</v>
      </c>
      <c r="T11" s="14">
        <v>1251936</v>
      </c>
      <c r="U11" s="14">
        <v>656464</v>
      </c>
      <c r="V11" s="14">
        <v>917088</v>
      </c>
      <c r="W11" s="15">
        <v>67.669937500000003</v>
      </c>
      <c r="X11" s="15">
        <v>69.741881250000006</v>
      </c>
      <c r="Y11" s="15">
        <v>32.857475000000001</v>
      </c>
      <c r="Z11" s="15">
        <v>39.657640624999999</v>
      </c>
      <c r="AA11" s="15">
        <v>32.276203125000002</v>
      </c>
      <c r="AB11" s="16">
        <v>5929.27</v>
      </c>
      <c r="AC11" s="16">
        <v>0</v>
      </c>
      <c r="AD11" s="16">
        <v>32.594000000000001</v>
      </c>
      <c r="AE11" s="16">
        <v>0</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3.7964475000000002</v>
      </c>
      <c r="J12" s="21">
        <f t="shared" si="1"/>
        <v>1.8565564558815414E-2</v>
      </c>
      <c r="K12" s="21">
        <f t="shared" si="2"/>
        <v>1.1241050974760174E-2</v>
      </c>
      <c r="L12" s="21">
        <f t="shared" si="3"/>
        <v>8.2314220455429101E-3</v>
      </c>
      <c r="M12" s="21">
        <f t="shared" si="4"/>
        <v>7.3245135840552386E-3</v>
      </c>
      <c r="N12" s="18">
        <f t="shared" si="5"/>
        <v>2451912</v>
      </c>
      <c r="O12" s="21">
        <v>16</v>
      </c>
      <c r="P12" s="22">
        <v>22533731</v>
      </c>
      <c r="Q12" s="22">
        <v>704179.09375</v>
      </c>
      <c r="R12" s="22">
        <v>24743.71875</v>
      </c>
      <c r="S12" s="23">
        <v>4049544</v>
      </c>
      <c r="T12" s="23">
        <v>1795448</v>
      </c>
      <c r="U12" s="23">
        <v>656464</v>
      </c>
      <c r="V12" s="23">
        <v>1597632</v>
      </c>
      <c r="W12" s="24">
        <v>68.980999999999995</v>
      </c>
      <c r="X12" s="24">
        <v>71.364709375000004</v>
      </c>
      <c r="Y12" s="24">
        <v>34.877781249999998</v>
      </c>
      <c r="Z12" s="24">
        <v>40.698321874999998</v>
      </c>
      <c r="AA12" s="24">
        <v>34.148456250000002</v>
      </c>
      <c r="AB12" s="25">
        <v>6170.22</v>
      </c>
      <c r="AC12" s="25">
        <v>0</v>
      </c>
      <c r="AD12" s="25">
        <v>33.082999999999998</v>
      </c>
      <c r="AE12" s="25">
        <v>0</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6.1877550000000001</v>
      </c>
      <c r="J13" s="12">
        <f t="shared" si="1"/>
        <v>3.0259647980548358E-2</v>
      </c>
      <c r="K13" s="12">
        <f t="shared" si="2"/>
        <v>1.5929159251715612E-2</v>
      </c>
      <c r="L13" s="12">
        <f t="shared" si="3"/>
        <v>1.2919530322498348E-2</v>
      </c>
      <c r="M13" s="12">
        <f t="shared" si="4"/>
        <v>1.4330488728832746E-2</v>
      </c>
      <c r="N13" s="54">
        <f t="shared" si="5"/>
        <v>3474488</v>
      </c>
      <c r="O13" s="12">
        <v>16</v>
      </c>
      <c r="P13" s="13">
        <v>23333808</v>
      </c>
      <c r="Q13" s="13">
        <v>729181.5</v>
      </c>
      <c r="R13" s="13">
        <v>28094.8125</v>
      </c>
      <c r="S13" s="14">
        <v>6600272</v>
      </c>
      <c r="T13" s="14">
        <v>2818024</v>
      </c>
      <c r="U13" s="14">
        <v>656464</v>
      </c>
      <c r="V13" s="14">
        <v>3125784</v>
      </c>
      <c r="W13" s="15">
        <v>70.104118749999998</v>
      </c>
      <c r="X13" s="15">
        <v>72.629740624999997</v>
      </c>
      <c r="Y13" s="15">
        <v>37.063299999999998</v>
      </c>
      <c r="Z13" s="15">
        <v>41.710718749999998</v>
      </c>
      <c r="AA13" s="15">
        <v>36.097518749999999</v>
      </c>
      <c r="AB13" s="16">
        <v>6553.83</v>
      </c>
      <c r="AC13" s="16">
        <v>0</v>
      </c>
      <c r="AD13" s="16">
        <v>34.488</v>
      </c>
      <c r="AE13" s="16">
        <v>0</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32</v>
      </c>
      <c r="G14" s="38">
        <v>30</v>
      </c>
      <c r="I14" s="39">
        <f t="shared" si="0"/>
        <v>12.1941525</v>
      </c>
      <c r="J14" s="40">
        <f t="shared" si="1"/>
        <v>5.9632413059522188E-2</v>
      </c>
      <c r="K14" s="40">
        <f t="shared" si="2"/>
        <v>2.6701663472097778E-2</v>
      </c>
      <c r="L14" s="40">
        <f t="shared" si="3"/>
        <v>2.0755172483384265E-2</v>
      </c>
      <c r="M14" s="40">
        <f t="shared" si="4"/>
        <v>3.293074958742441E-2</v>
      </c>
      <c r="N14" s="37">
        <f t="shared" si="5"/>
        <v>5824200</v>
      </c>
      <c r="O14" s="40">
        <v>16</v>
      </c>
      <c r="P14" s="41">
        <v>22138009</v>
      </c>
      <c r="Q14" s="41">
        <v>691812.78125</v>
      </c>
      <c r="R14" s="41">
        <v>13346.5625</v>
      </c>
      <c r="S14" s="42">
        <v>13007096</v>
      </c>
      <c r="T14" s="42">
        <v>4527144</v>
      </c>
      <c r="U14" s="42">
        <v>1297056</v>
      </c>
      <c r="V14" s="42">
        <v>7182896</v>
      </c>
      <c r="W14" s="43">
        <v>70.909634374999996</v>
      </c>
      <c r="X14" s="43">
        <v>74.660718750000001</v>
      </c>
      <c r="Y14" s="43">
        <v>39.448806249999997</v>
      </c>
      <c r="Z14" s="43">
        <v>42.977103124999999</v>
      </c>
      <c r="AA14" s="43">
        <v>38.252503124999997</v>
      </c>
      <c r="AB14" s="44">
        <v>7088.43</v>
      </c>
      <c r="AC14" s="44">
        <v>0</v>
      </c>
      <c r="AD14" s="44">
        <v>33.963000000000001</v>
      </c>
      <c r="AE14" s="44">
        <v>0</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1.61415</v>
      </c>
      <c r="J15" s="12">
        <f t="shared" si="1"/>
        <v>5.3373061156347379E-3</v>
      </c>
      <c r="K15" s="12">
        <f t="shared" si="2"/>
        <v>4.4959401432105219E-3</v>
      </c>
      <c r="L15" s="12">
        <f t="shared" si="3"/>
        <v>2.39097525567648E-3</v>
      </c>
      <c r="M15" s="12">
        <f t="shared" si="4"/>
        <v>8.4136597242421597E-4</v>
      </c>
      <c r="N15" s="54">
        <f t="shared" si="5"/>
        <v>1450344</v>
      </c>
      <c r="O15" s="12">
        <v>16</v>
      </c>
      <c r="P15" s="13">
        <v>32449704</v>
      </c>
      <c r="Q15" s="13">
        <v>1014053.25</v>
      </c>
      <c r="R15" s="13">
        <v>31893.9375</v>
      </c>
      <c r="S15" s="14">
        <v>1721760</v>
      </c>
      <c r="T15" s="14">
        <v>771304</v>
      </c>
      <c r="U15" s="14">
        <v>679040</v>
      </c>
      <c r="V15" s="14">
        <v>271416</v>
      </c>
      <c r="W15" s="15">
        <v>66.31821875</v>
      </c>
      <c r="X15" s="15">
        <v>67.870740624999996</v>
      </c>
      <c r="Y15" s="15">
        <v>29.276081250000001</v>
      </c>
      <c r="Z15" s="15">
        <v>43.339096875000003</v>
      </c>
      <c r="AA15" s="15">
        <v>43.597250000000003</v>
      </c>
      <c r="AB15" s="16">
        <v>5324.68</v>
      </c>
      <c r="AC15" s="16">
        <v>0</v>
      </c>
      <c r="AD15" s="16">
        <v>42.878</v>
      </c>
      <c r="AE15" s="16">
        <v>0</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2.1091350000000002</v>
      </c>
      <c r="J16" s="21">
        <f t="shared" si="1"/>
        <v>6.9740105530460448E-3</v>
      </c>
      <c r="K16" s="21">
        <f t="shared" si="2"/>
        <v>5.4108360507376888E-3</v>
      </c>
      <c r="L16" s="21">
        <f t="shared" si="3"/>
        <v>3.3058711632036465E-3</v>
      </c>
      <c r="M16" s="21">
        <f t="shared" si="4"/>
        <v>1.5631745023083564E-3</v>
      </c>
      <c r="N16" s="18">
        <f t="shared" si="5"/>
        <v>1745480</v>
      </c>
      <c r="O16" s="21">
        <v>16</v>
      </c>
      <c r="P16" s="22">
        <v>33687750</v>
      </c>
      <c r="Q16" s="22">
        <v>1052742.1875</v>
      </c>
      <c r="R16" s="22">
        <v>36252.375</v>
      </c>
      <c r="S16" s="23">
        <v>2249744</v>
      </c>
      <c r="T16" s="23">
        <v>1066440</v>
      </c>
      <c r="U16" s="23">
        <v>679040</v>
      </c>
      <c r="V16" s="23">
        <v>504264</v>
      </c>
      <c r="W16" s="24">
        <v>68.014846875000003</v>
      </c>
      <c r="X16" s="24">
        <v>70.014628125000002</v>
      </c>
      <c r="Y16" s="24">
        <v>31.575556250000002</v>
      </c>
      <c r="Z16" s="24">
        <v>44.024524999999997</v>
      </c>
      <c r="AA16" s="24">
        <v>44.307521874999999</v>
      </c>
      <c r="AB16" s="25">
        <v>5553.13</v>
      </c>
      <c r="AC16" s="25">
        <v>0</v>
      </c>
      <c r="AD16" s="25">
        <v>43.743000000000002</v>
      </c>
      <c r="AE16" s="25">
        <v>0</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2.9853074999999998</v>
      </c>
      <c r="J17" s="12">
        <f t="shared" si="1"/>
        <v>9.8711395947094459E-3</v>
      </c>
      <c r="K17" s="12">
        <f t="shared" si="2"/>
        <v>6.633292921214869E-3</v>
      </c>
      <c r="L17" s="12">
        <f t="shared" si="3"/>
        <v>4.5283280336808271E-3</v>
      </c>
      <c r="M17" s="12">
        <f t="shared" si="4"/>
        <v>3.2378466734945765E-3</v>
      </c>
      <c r="N17" s="54">
        <f t="shared" si="5"/>
        <v>2139832</v>
      </c>
      <c r="O17" s="12">
        <v>16</v>
      </c>
      <c r="P17" s="13">
        <v>33827594</v>
      </c>
      <c r="Q17" s="13">
        <v>1057112.3125</v>
      </c>
      <c r="R17" s="13">
        <v>37441.25</v>
      </c>
      <c r="S17" s="14">
        <v>3184328</v>
      </c>
      <c r="T17" s="14">
        <v>1460792</v>
      </c>
      <c r="U17" s="14">
        <v>679040</v>
      </c>
      <c r="V17" s="14">
        <v>1044496</v>
      </c>
      <c r="W17" s="15">
        <v>69.352246875000006</v>
      </c>
      <c r="X17" s="15">
        <v>71.824134375</v>
      </c>
      <c r="Y17" s="15">
        <v>33.946993749999997</v>
      </c>
      <c r="Z17" s="15">
        <v>45.17235625</v>
      </c>
      <c r="AA17" s="15">
        <v>45.643025000000002</v>
      </c>
      <c r="AB17" s="16">
        <v>5766.17</v>
      </c>
      <c r="AC17" s="16">
        <v>0</v>
      </c>
      <c r="AD17" s="16">
        <v>46.984000000000002</v>
      </c>
      <c r="AE17" s="16">
        <v>0</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5.2569825000000003</v>
      </c>
      <c r="J18" s="21">
        <f t="shared" si="1"/>
        <v>1.7382600654855369E-2</v>
      </c>
      <c r="K18" s="21">
        <f t="shared" si="2"/>
        <v>9.873148338299104E-3</v>
      </c>
      <c r="L18" s="21">
        <f t="shared" si="3"/>
        <v>7.7681834507650621E-3</v>
      </c>
      <c r="M18" s="21">
        <f t="shared" si="4"/>
        <v>7.5094523165562654E-3</v>
      </c>
      <c r="N18" s="18">
        <f t="shared" si="5"/>
        <v>3184976</v>
      </c>
      <c r="O18" s="21">
        <v>16</v>
      </c>
      <c r="P18" s="22">
        <v>34900469</v>
      </c>
      <c r="Q18" s="22">
        <v>1090639.65625</v>
      </c>
      <c r="R18" s="22">
        <v>41535.15625</v>
      </c>
      <c r="S18" s="23">
        <v>5607448</v>
      </c>
      <c r="T18" s="23">
        <v>2505936</v>
      </c>
      <c r="U18" s="23">
        <v>679040</v>
      </c>
      <c r="V18" s="23">
        <v>2422472</v>
      </c>
      <c r="W18" s="24">
        <v>70.536618750000002</v>
      </c>
      <c r="X18" s="24">
        <v>73.133396875000003</v>
      </c>
      <c r="Y18" s="24">
        <v>36.295881250000001</v>
      </c>
      <c r="Z18" s="24">
        <v>46.443096875000002</v>
      </c>
      <c r="AA18" s="24">
        <v>46.9851125</v>
      </c>
      <c r="AB18" s="25">
        <v>6131.68</v>
      </c>
      <c r="AC18" s="25">
        <v>0</v>
      </c>
      <c r="AD18" s="25">
        <v>50.567999999999998</v>
      </c>
      <c r="AE18" s="25">
        <v>0</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32</v>
      </c>
      <c r="G19" s="28">
        <v>30</v>
      </c>
      <c r="I19" s="29">
        <f t="shared" si="0"/>
        <v>11.3782125</v>
      </c>
      <c r="J19" s="30">
        <f t="shared" si="1"/>
        <v>3.7622899458688241E-2</v>
      </c>
      <c r="K19" s="30">
        <f t="shared" si="2"/>
        <v>1.7417046887522485E-2</v>
      </c>
      <c r="L19" s="30">
        <f t="shared" si="3"/>
        <v>1.2824042270115354E-2</v>
      </c>
      <c r="M19" s="30">
        <f t="shared" si="4"/>
        <v>2.0205852571165757E-2</v>
      </c>
      <c r="N19" s="27">
        <f t="shared" si="5"/>
        <v>5618560</v>
      </c>
      <c r="O19" s="30">
        <v>16</v>
      </c>
      <c r="P19" s="31">
        <v>33005293</v>
      </c>
      <c r="Q19" s="31">
        <v>1031415.40625</v>
      </c>
      <c r="R19" s="31">
        <v>17821.6875</v>
      </c>
      <c r="S19" s="32">
        <v>12136760</v>
      </c>
      <c r="T19" s="32">
        <v>4136904</v>
      </c>
      <c r="U19" s="32">
        <v>1481656</v>
      </c>
      <c r="V19" s="32">
        <v>6518200</v>
      </c>
      <c r="W19" s="33">
        <v>71.179921875000005</v>
      </c>
      <c r="X19" s="33">
        <v>75.073774999999998</v>
      </c>
      <c r="Y19" s="33">
        <v>38.662796874999998</v>
      </c>
      <c r="Z19" s="33">
        <v>48.158562500000002</v>
      </c>
      <c r="AA19" s="33">
        <v>48.796384375000002</v>
      </c>
      <c r="AB19" s="34">
        <v>6863.57</v>
      </c>
      <c r="AC19" s="34">
        <v>0</v>
      </c>
      <c r="AD19" s="34">
        <v>46.865000000000002</v>
      </c>
      <c r="AE19" s="34">
        <v>0</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1.9649125000000001</v>
      </c>
      <c r="J20" s="21">
        <f t="shared" si="1"/>
        <v>5.0180745919647029E-3</v>
      </c>
      <c r="K20" s="21">
        <f t="shared" si="2"/>
        <v>3.9087817227136459E-3</v>
      </c>
      <c r="L20" s="21">
        <f t="shared" si="3"/>
        <v>2.3050332647599025E-3</v>
      </c>
      <c r="M20" s="21">
        <f t="shared" si="4"/>
        <v>1.1092928692510574E-3</v>
      </c>
      <c r="N20" s="18">
        <f t="shared" si="5"/>
        <v>979552</v>
      </c>
      <c r="O20" s="21">
        <v>16</v>
      </c>
      <c r="P20" s="22">
        <v>30276530</v>
      </c>
      <c r="Q20" s="22">
        <v>946141.5625</v>
      </c>
      <c r="R20" s="22">
        <v>28243.625</v>
      </c>
      <c r="S20" s="23">
        <v>1257544</v>
      </c>
      <c r="T20" s="23">
        <v>577648</v>
      </c>
      <c r="U20" s="23">
        <v>401904</v>
      </c>
      <c r="V20" s="23">
        <v>277992</v>
      </c>
      <c r="W20" s="24">
        <v>67.313171874999995</v>
      </c>
      <c r="X20" s="24">
        <v>69.047368750000004</v>
      </c>
      <c r="Y20" s="24">
        <v>30.001075</v>
      </c>
      <c r="Z20" s="24">
        <v>39.608259375000003</v>
      </c>
      <c r="AA20" s="24">
        <v>38.146409374999998</v>
      </c>
      <c r="AB20" s="25">
        <v>5424.93</v>
      </c>
      <c r="AC20" s="25">
        <v>0</v>
      </c>
      <c r="AD20" s="25">
        <v>44.042000000000002</v>
      </c>
      <c r="AE20" s="25">
        <v>0</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2.6478375000000001</v>
      </c>
      <c r="J21" s="12">
        <f t="shared" si="1"/>
        <v>6.7621566265171299E-3</v>
      </c>
      <c r="K21" s="12">
        <f t="shared" si="2"/>
        <v>4.6564187481779691E-3</v>
      </c>
      <c r="L21" s="12">
        <f t="shared" si="3"/>
        <v>3.0526702902242257E-3</v>
      </c>
      <c r="M21" s="12">
        <f t="shared" si="4"/>
        <v>2.1057378783391608E-3</v>
      </c>
      <c r="N21" s="54">
        <f t="shared" si="5"/>
        <v>1166912</v>
      </c>
      <c r="O21" s="12">
        <v>16</v>
      </c>
      <c r="P21" s="13">
        <v>31490570</v>
      </c>
      <c r="Q21" s="13">
        <v>984080.3125</v>
      </c>
      <c r="R21" s="13">
        <v>33475.375</v>
      </c>
      <c r="S21" s="14">
        <v>1694616</v>
      </c>
      <c r="T21" s="14">
        <v>765008</v>
      </c>
      <c r="U21" s="14">
        <v>401904</v>
      </c>
      <c r="V21" s="14">
        <v>527704</v>
      </c>
      <c r="W21" s="15">
        <v>68.918284374999999</v>
      </c>
      <c r="X21" s="15">
        <v>71.058824999999999</v>
      </c>
      <c r="Y21" s="15">
        <v>31.511781249999999</v>
      </c>
      <c r="Z21" s="15">
        <v>40.562375000000003</v>
      </c>
      <c r="AA21" s="15">
        <v>39.2956875</v>
      </c>
      <c r="AB21" s="16">
        <v>5632.86</v>
      </c>
      <c r="AC21" s="16">
        <v>0</v>
      </c>
      <c r="AD21" s="16">
        <v>45.008000000000003</v>
      </c>
      <c r="AE21" s="16">
        <v>0</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4.0440250000000004</v>
      </c>
      <c r="J22" s="21">
        <f t="shared" si="1"/>
        <v>1.0327797854494824E-2</v>
      </c>
      <c r="K22" s="21">
        <f t="shared" si="2"/>
        <v>5.5583716310758759E-3</v>
      </c>
      <c r="L22" s="21">
        <f t="shared" si="3"/>
        <v>3.9546231731221329E-3</v>
      </c>
      <c r="M22" s="21">
        <f t="shared" si="4"/>
        <v>4.7694262234189468E-3</v>
      </c>
      <c r="N22" s="18">
        <f t="shared" si="5"/>
        <v>1392944</v>
      </c>
      <c r="O22" s="21">
        <v>16</v>
      </c>
      <c r="P22" s="22">
        <v>32659642</v>
      </c>
      <c r="Q22" s="22">
        <v>1020613.8125</v>
      </c>
      <c r="R22" s="22">
        <v>35250.375</v>
      </c>
      <c r="S22" s="23">
        <v>2588176</v>
      </c>
      <c r="T22" s="23">
        <v>991040</v>
      </c>
      <c r="U22" s="23">
        <v>401904</v>
      </c>
      <c r="V22" s="23">
        <v>1195232</v>
      </c>
      <c r="W22" s="24">
        <v>70.088359374999996</v>
      </c>
      <c r="X22" s="24">
        <v>72.539978125000005</v>
      </c>
      <c r="Y22" s="24">
        <v>33.344799999999999</v>
      </c>
      <c r="Z22" s="24">
        <v>41.713075000000003</v>
      </c>
      <c r="AA22" s="24">
        <v>40.467459374999997</v>
      </c>
      <c r="AB22" s="25">
        <v>5902.87</v>
      </c>
      <c r="AC22" s="25">
        <v>0</v>
      </c>
      <c r="AD22" s="25">
        <v>44.786999999999999</v>
      </c>
      <c r="AE22" s="25">
        <v>0</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7.6290624999999999</v>
      </c>
      <c r="J23" s="12">
        <f t="shared" si="1"/>
        <v>1.948341449899714E-2</v>
      </c>
      <c r="K23" s="12">
        <f t="shared" si="2"/>
        <v>8.2590268282260165E-3</v>
      </c>
      <c r="L23" s="12">
        <f t="shared" si="3"/>
        <v>6.6552783702722726E-3</v>
      </c>
      <c r="M23" s="12">
        <f t="shared" si="4"/>
        <v>1.1224387670771125E-2</v>
      </c>
      <c r="N23" s="54">
        <f t="shared" si="5"/>
        <v>2069736</v>
      </c>
      <c r="O23" s="12">
        <v>16</v>
      </c>
      <c r="P23" s="13">
        <v>32814375</v>
      </c>
      <c r="Q23" s="13">
        <v>1025449.21875</v>
      </c>
      <c r="R23" s="13">
        <v>37498.3125</v>
      </c>
      <c r="S23" s="14">
        <v>4882600</v>
      </c>
      <c r="T23" s="14">
        <v>1667832</v>
      </c>
      <c r="U23" s="14">
        <v>401904</v>
      </c>
      <c r="V23" s="14">
        <v>2812864</v>
      </c>
      <c r="W23" s="15">
        <v>71.052946875000004</v>
      </c>
      <c r="X23" s="15">
        <v>73.810550000000006</v>
      </c>
      <c r="Y23" s="15">
        <v>35.141599999999997</v>
      </c>
      <c r="Z23" s="15">
        <v>42.709343750000002</v>
      </c>
      <c r="AA23" s="15">
        <v>41.421456249999999</v>
      </c>
      <c r="AB23" s="16">
        <v>6180.65</v>
      </c>
      <c r="AC23" s="16">
        <v>0</v>
      </c>
      <c r="AD23" s="16">
        <v>45.503999999999998</v>
      </c>
      <c r="AE23" s="16">
        <v>0</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32</v>
      </c>
      <c r="G24" s="38">
        <v>50</v>
      </c>
      <c r="I24" s="39">
        <f t="shared" si="0"/>
        <v>15.567625</v>
      </c>
      <c r="J24" s="40">
        <f t="shared" si="1"/>
        <v>3.9757242864369033E-2</v>
      </c>
      <c r="K24" s="40">
        <f t="shared" si="2"/>
        <v>1.4296339462420647E-2</v>
      </c>
      <c r="L24" s="40">
        <f t="shared" si="3"/>
        <v>1.0721312867855144E-2</v>
      </c>
      <c r="M24" s="40">
        <f t="shared" si="4"/>
        <v>2.5460903401948384E-2</v>
      </c>
      <c r="N24" s="37">
        <f t="shared" si="5"/>
        <v>3582704</v>
      </c>
      <c r="O24" s="40">
        <v>16</v>
      </c>
      <c r="P24" s="41">
        <v>31315849</v>
      </c>
      <c r="Q24" s="41">
        <v>978620.28125</v>
      </c>
      <c r="R24" s="41">
        <v>17899.90625</v>
      </c>
      <c r="S24" s="42">
        <v>9963280</v>
      </c>
      <c r="T24" s="42">
        <v>2686792</v>
      </c>
      <c r="U24" s="42">
        <v>895912</v>
      </c>
      <c r="V24" s="42">
        <v>6380576</v>
      </c>
      <c r="W24" s="43">
        <v>71.78538125</v>
      </c>
      <c r="X24" s="43">
        <v>75.816868749999998</v>
      </c>
      <c r="Y24" s="43">
        <v>36.188825000000001</v>
      </c>
      <c r="Z24" s="43">
        <v>43.432306250000003</v>
      </c>
      <c r="AA24" s="43">
        <v>41.892534374999997</v>
      </c>
      <c r="AB24" s="44">
        <v>6690.24</v>
      </c>
      <c r="AC24" s="44">
        <v>0</v>
      </c>
      <c r="AD24" s="44">
        <v>44.572000000000003</v>
      </c>
      <c r="AE24" s="44">
        <v>0</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2.0505749999999998</v>
      </c>
      <c r="J25" s="12">
        <f t="shared" si="1"/>
        <v>8.7388228004072425E-3</v>
      </c>
      <c r="K25" s="12">
        <f t="shared" si="2"/>
        <v>5.6728035767070655E-3</v>
      </c>
      <c r="L25" s="12">
        <f t="shared" si="3"/>
        <v>3.5222176722946403E-3</v>
      </c>
      <c r="M25" s="12">
        <f t="shared" si="4"/>
        <v>3.0660192237001757E-3</v>
      </c>
      <c r="N25" s="54">
        <f t="shared" si="5"/>
        <v>1419872</v>
      </c>
      <c r="O25" s="12">
        <v>16</v>
      </c>
      <c r="P25" s="13">
        <v>23471131</v>
      </c>
      <c r="Q25" s="13">
        <v>733472.84375</v>
      </c>
      <c r="R25" s="13">
        <v>14485.53125</v>
      </c>
      <c r="S25" s="14">
        <v>2187280</v>
      </c>
      <c r="T25" s="14">
        <v>881592</v>
      </c>
      <c r="U25" s="14">
        <v>538280</v>
      </c>
      <c r="V25" s="14">
        <v>767408</v>
      </c>
      <c r="W25" s="15">
        <v>66.278818749999999</v>
      </c>
      <c r="X25" s="15">
        <v>68.012412499999996</v>
      </c>
      <c r="Y25" s="15">
        <v>25.920353124999998</v>
      </c>
      <c r="Z25" s="15">
        <v>32.470756250000001</v>
      </c>
      <c r="AA25" s="15">
        <v>31.677740624999998</v>
      </c>
      <c r="AB25" s="16">
        <v>5706.98</v>
      </c>
      <c r="AC25" s="16">
        <v>0</v>
      </c>
      <c r="AD25" s="16">
        <v>38.906999999999996</v>
      </c>
      <c r="AE25" s="16">
        <v>0</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3.1719149999999998</v>
      </c>
      <c r="J26" s="21">
        <f t="shared" si="1"/>
        <v>1.3517575861869835E-2</v>
      </c>
      <c r="K26" s="21">
        <f t="shared" si="2"/>
        <v>7.1601709700611898E-3</v>
      </c>
      <c r="L26" s="21">
        <f t="shared" si="3"/>
        <v>5.0095850656487646E-3</v>
      </c>
      <c r="M26" s="21">
        <f t="shared" si="4"/>
        <v>6.3574048918086448E-3</v>
      </c>
      <c r="N26" s="18">
        <f t="shared" si="5"/>
        <v>1792152</v>
      </c>
      <c r="O26" s="21">
        <v>16</v>
      </c>
      <c r="P26" s="22">
        <v>24603925</v>
      </c>
      <c r="Q26" s="22">
        <v>768872.65625</v>
      </c>
      <c r="R26" s="22">
        <v>17675.15625</v>
      </c>
      <c r="S26" s="23">
        <v>3383376</v>
      </c>
      <c r="T26" s="23">
        <v>1253872</v>
      </c>
      <c r="U26" s="23">
        <v>538280</v>
      </c>
      <c r="V26" s="23">
        <v>1591224</v>
      </c>
      <c r="W26" s="24">
        <v>67.993459375</v>
      </c>
      <c r="X26" s="24">
        <v>70.001112500000005</v>
      </c>
      <c r="Y26" s="24">
        <v>27.948221875000002</v>
      </c>
      <c r="Z26" s="24">
        <v>33.660603125000002</v>
      </c>
      <c r="AA26" s="24">
        <v>33.040696875000002</v>
      </c>
      <c r="AB26" s="25">
        <v>6088.52</v>
      </c>
      <c r="AC26" s="25">
        <v>0</v>
      </c>
      <c r="AD26" s="25">
        <v>38.424999999999997</v>
      </c>
      <c r="AE26" s="25">
        <v>0</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5.3467574999999998</v>
      </c>
      <c r="J27" s="12">
        <f t="shared" si="1"/>
        <v>2.2785982638649366E-2</v>
      </c>
      <c r="K27" s="12">
        <f t="shared" si="2"/>
        <v>9.3192268940124317E-3</v>
      </c>
      <c r="L27" s="12">
        <f t="shared" si="3"/>
        <v>7.1686409896000065E-3</v>
      </c>
      <c r="M27" s="12">
        <f t="shared" si="4"/>
        <v>1.3466755744636934E-2</v>
      </c>
      <c r="N27" s="54">
        <f t="shared" si="5"/>
        <v>2332552</v>
      </c>
      <c r="O27" s="12">
        <v>16</v>
      </c>
      <c r="P27" s="13">
        <v>24855934</v>
      </c>
      <c r="Q27" s="13">
        <v>776747.9375</v>
      </c>
      <c r="R27" s="13">
        <v>18614.96875</v>
      </c>
      <c r="S27" s="14">
        <v>5703208</v>
      </c>
      <c r="T27" s="14">
        <v>1794272</v>
      </c>
      <c r="U27" s="14">
        <v>538280</v>
      </c>
      <c r="V27" s="14">
        <v>3370656</v>
      </c>
      <c r="W27" s="15">
        <v>69.298418749999996</v>
      </c>
      <c r="X27" s="15">
        <v>71.688100000000006</v>
      </c>
      <c r="Y27" s="15">
        <v>30.214378125</v>
      </c>
      <c r="Z27" s="15">
        <v>34.915359375000001</v>
      </c>
      <c r="AA27" s="15">
        <v>34.364087499999997</v>
      </c>
      <c r="AB27" s="16">
        <v>6502.19</v>
      </c>
      <c r="AC27" s="16">
        <v>0</v>
      </c>
      <c r="AD27" s="16">
        <v>38.801000000000002</v>
      </c>
      <c r="AE27" s="16">
        <v>0</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10.31241</v>
      </c>
      <c r="J28" s="21">
        <f t="shared" si="1"/>
        <v>4.3947831040146129E-2</v>
      </c>
      <c r="K28" s="21">
        <f t="shared" si="2"/>
        <v>1.3216043166287954E-2</v>
      </c>
      <c r="L28" s="21">
        <f t="shared" si="3"/>
        <v>1.1065457261875529E-2</v>
      </c>
      <c r="M28" s="21">
        <f t="shared" si="4"/>
        <v>3.0731787873858173E-2</v>
      </c>
      <c r="N28" s="18">
        <f t="shared" si="5"/>
        <v>3307904</v>
      </c>
      <c r="O28" s="21">
        <v>16</v>
      </c>
      <c r="P28" s="22">
        <v>25575001</v>
      </c>
      <c r="Q28" s="22">
        <v>799218.78125</v>
      </c>
      <c r="R28" s="22">
        <v>20984.21875</v>
      </c>
      <c r="S28" s="23">
        <v>10999904</v>
      </c>
      <c r="T28" s="23">
        <v>2769624</v>
      </c>
      <c r="U28" s="23">
        <v>538280</v>
      </c>
      <c r="V28" s="23">
        <v>7692000</v>
      </c>
      <c r="W28" s="24">
        <v>70.470590625</v>
      </c>
      <c r="X28" s="24">
        <v>73.003634375000004</v>
      </c>
      <c r="Y28" s="24">
        <v>32.702040625000002</v>
      </c>
      <c r="Z28" s="24">
        <v>36.418225</v>
      </c>
      <c r="AA28" s="24">
        <v>35.864284374999997</v>
      </c>
      <c r="AB28" s="25">
        <v>6994.7</v>
      </c>
      <c r="AC28" s="25">
        <v>0</v>
      </c>
      <c r="AD28" s="25">
        <v>41.131999999999998</v>
      </c>
      <c r="AE28" s="25">
        <v>0</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32</v>
      </c>
      <c r="G29" s="28">
        <v>30</v>
      </c>
      <c r="I29" s="29">
        <f t="shared" si="0"/>
        <v>23.883959999999998</v>
      </c>
      <c r="J29" s="30">
        <f t="shared" si="1"/>
        <v>0.10178495993173356</v>
      </c>
      <c r="K29" s="30">
        <f t="shared" si="2"/>
        <v>2.1609097395484174E-2</v>
      </c>
      <c r="L29" s="30">
        <f t="shared" si="3"/>
        <v>1.7259214983726654E-2</v>
      </c>
      <c r="M29" s="30">
        <f t="shared" si="4"/>
        <v>8.0175862536249393E-2</v>
      </c>
      <c r="N29" s="27">
        <f t="shared" si="5"/>
        <v>5408640</v>
      </c>
      <c r="O29" s="30">
        <v>16</v>
      </c>
      <c r="P29" s="31">
        <v>24584027</v>
      </c>
      <c r="Q29" s="31">
        <v>768250.84375</v>
      </c>
      <c r="R29" s="31">
        <v>9800.96875</v>
      </c>
      <c r="S29" s="32">
        <v>25476224</v>
      </c>
      <c r="T29" s="32">
        <v>4319888</v>
      </c>
      <c r="U29" s="32">
        <v>1088752</v>
      </c>
      <c r="V29" s="32">
        <v>20067584</v>
      </c>
      <c r="W29" s="33">
        <v>71.136790625000003</v>
      </c>
      <c r="X29" s="33">
        <v>74.864337500000005</v>
      </c>
      <c r="Y29" s="33">
        <v>35.736903124999998</v>
      </c>
      <c r="Z29" s="33">
        <v>38.368868749999997</v>
      </c>
      <c r="AA29" s="33">
        <v>37.758084375000003</v>
      </c>
      <c r="AB29" s="34">
        <v>7798.52</v>
      </c>
      <c r="AC29" s="34">
        <v>0</v>
      </c>
      <c r="AD29" s="34">
        <v>41.606000000000002</v>
      </c>
      <c r="AE29" s="34">
        <v>0</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3.6314250000000001</v>
      </c>
      <c r="J30" s="21">
        <f t="shared" si="1"/>
        <v>1.0317760916320477E-2</v>
      </c>
      <c r="K30" s="21">
        <f t="shared" si="2"/>
        <v>8.1836322565598547E-3</v>
      </c>
      <c r="L30" s="21">
        <f t="shared" si="3"/>
        <v>5.1509533901479476E-3</v>
      </c>
      <c r="M30" s="21">
        <f t="shared" si="4"/>
        <v>2.1341286597606223E-3</v>
      </c>
      <c r="N30" s="18">
        <f t="shared" si="5"/>
        <v>3072320</v>
      </c>
      <c r="O30" s="21">
        <v>16</v>
      </c>
      <c r="P30" s="22">
        <v>86257277</v>
      </c>
      <c r="Q30" s="22">
        <v>2695539.90625</v>
      </c>
      <c r="R30" s="22">
        <v>32931.25</v>
      </c>
      <c r="S30" s="23">
        <v>3873520</v>
      </c>
      <c r="T30" s="23">
        <v>1933784</v>
      </c>
      <c r="U30" s="23">
        <v>1138536</v>
      </c>
      <c r="V30" s="23">
        <v>801200</v>
      </c>
      <c r="W30" s="24">
        <v>73.632999999999996</v>
      </c>
      <c r="X30" s="24">
        <v>75.669718750000001</v>
      </c>
      <c r="Y30" s="24">
        <v>33.193259374999997</v>
      </c>
      <c r="Z30" s="24">
        <v>41.822543750000001</v>
      </c>
      <c r="AA30" s="24">
        <v>43.460431249999999</v>
      </c>
      <c r="AB30" s="25">
        <v>19221.2</v>
      </c>
      <c r="AC30" s="25">
        <v>0</v>
      </c>
      <c r="AD30" s="25">
        <v>128.49700000000001</v>
      </c>
      <c r="AE30" s="25">
        <v>0</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4.8538874999999999</v>
      </c>
      <c r="J31" s="12">
        <f t="shared" si="1"/>
        <v>1.3791073955738177E-2</v>
      </c>
      <c r="K31" s="12">
        <f t="shared" si="2"/>
        <v>1.0099105956981448E-2</v>
      </c>
      <c r="L31" s="12">
        <f t="shared" si="3"/>
        <v>7.0664270905695407E-3</v>
      </c>
      <c r="M31" s="12">
        <f t="shared" si="4"/>
        <v>3.6919679987567288E-3</v>
      </c>
      <c r="N31" s="54">
        <f t="shared" si="5"/>
        <v>3791432</v>
      </c>
      <c r="O31" s="12">
        <v>16</v>
      </c>
      <c r="P31" s="13">
        <v>90463396</v>
      </c>
      <c r="Q31" s="13">
        <v>2826981.125</v>
      </c>
      <c r="R31" s="13">
        <v>39929.34375</v>
      </c>
      <c r="S31" s="14">
        <v>5177480</v>
      </c>
      <c r="T31" s="14">
        <v>2652896</v>
      </c>
      <c r="U31" s="14">
        <v>1138536</v>
      </c>
      <c r="V31" s="14">
        <v>1386048</v>
      </c>
      <c r="W31" s="15">
        <v>75.237043749999998</v>
      </c>
      <c r="X31" s="15">
        <v>77.560374999999993</v>
      </c>
      <c r="Y31" s="15">
        <v>35.162596874999998</v>
      </c>
      <c r="Z31" s="15">
        <v>42.445434374999998</v>
      </c>
      <c r="AA31" s="15">
        <v>44.621493749999999</v>
      </c>
      <c r="AB31" s="16">
        <v>20095.599999999999</v>
      </c>
      <c r="AC31" s="16">
        <v>0</v>
      </c>
      <c r="AD31" s="16">
        <v>134.84899999999999</v>
      </c>
      <c r="AE31" s="16">
        <v>0</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7.0456200000000004</v>
      </c>
      <c r="J32" s="21">
        <f t="shared" si="1"/>
        <v>2.0018318612458161E-2</v>
      </c>
      <c r="K32" s="21">
        <f t="shared" si="2"/>
        <v>1.2975864509829018E-2</v>
      </c>
      <c r="L32" s="21">
        <f t="shared" si="3"/>
        <v>9.9431856434171097E-3</v>
      </c>
      <c r="M32" s="21">
        <f t="shared" si="4"/>
        <v>7.0424541026291448E-3</v>
      </c>
      <c r="N32" s="18">
        <f t="shared" si="5"/>
        <v>4871432</v>
      </c>
      <c r="O32" s="21">
        <v>16</v>
      </c>
      <c r="P32" s="22">
        <v>91577690</v>
      </c>
      <c r="Q32" s="22">
        <v>2861802.8125</v>
      </c>
      <c r="R32" s="22">
        <v>42558.21875</v>
      </c>
      <c r="S32" s="23">
        <v>7515328</v>
      </c>
      <c r="T32" s="23">
        <v>3732896</v>
      </c>
      <c r="U32" s="23">
        <v>1138536</v>
      </c>
      <c r="V32" s="23">
        <v>2643896</v>
      </c>
      <c r="W32" s="24">
        <v>76.450540625000002</v>
      </c>
      <c r="X32" s="24">
        <v>79.112596874999994</v>
      </c>
      <c r="Y32" s="24">
        <v>36.954278125000002</v>
      </c>
      <c r="Z32" s="24">
        <v>43.078318750000001</v>
      </c>
      <c r="AA32" s="24">
        <v>46.071112499999998</v>
      </c>
      <c r="AB32" s="25">
        <v>21140.5</v>
      </c>
      <c r="AC32" s="25">
        <v>0</v>
      </c>
      <c r="AD32" s="25">
        <v>141.161</v>
      </c>
      <c r="AE32" s="25">
        <v>0</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11.805795</v>
      </c>
      <c r="J33" s="12">
        <f t="shared" si="1"/>
        <v>3.3543132582138334E-2</v>
      </c>
      <c r="K33" s="12">
        <f t="shared" si="2"/>
        <v>1.8173165676661732E-2</v>
      </c>
      <c r="L33" s="12">
        <f t="shared" si="3"/>
        <v>1.5140486810249824E-2</v>
      </c>
      <c r="M33" s="12">
        <f t="shared" si="4"/>
        <v>1.5369966905476606E-2</v>
      </c>
      <c r="N33" s="54">
        <f t="shared" si="5"/>
        <v>6822616</v>
      </c>
      <c r="O33" s="12">
        <v>16</v>
      </c>
      <c r="P33" s="13">
        <v>93892491</v>
      </c>
      <c r="Q33" s="13">
        <v>2934140.34375</v>
      </c>
      <c r="R33" s="13">
        <v>47454.65625</v>
      </c>
      <c r="S33" s="14">
        <v>12592848</v>
      </c>
      <c r="T33" s="14">
        <v>5684080</v>
      </c>
      <c r="U33" s="14">
        <v>1138536</v>
      </c>
      <c r="V33" s="14">
        <v>5770232</v>
      </c>
      <c r="W33" s="15">
        <v>77.563749999999999</v>
      </c>
      <c r="X33" s="15">
        <v>80.260212499999994</v>
      </c>
      <c r="Y33" s="15">
        <v>38.702296875000002</v>
      </c>
      <c r="Z33" s="15">
        <v>43.686187500000003</v>
      </c>
      <c r="AA33" s="15">
        <v>47.337668749999999</v>
      </c>
      <c r="AB33" s="16">
        <v>22334.799999999999</v>
      </c>
      <c r="AC33" s="16">
        <v>0</v>
      </c>
      <c r="AD33" s="16">
        <v>145.05799999999999</v>
      </c>
      <c r="AE33" s="16">
        <v>0</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32</v>
      </c>
      <c r="G34" s="38">
        <v>30</v>
      </c>
      <c r="I34" s="39">
        <f t="shared" si="0"/>
        <v>24.379192499999998</v>
      </c>
      <c r="J34" s="40">
        <f t="shared" si="1"/>
        <v>6.9267210405819554E-2</v>
      </c>
      <c r="K34" s="40">
        <f t="shared" si="2"/>
        <v>3.0614634993984736E-2</v>
      </c>
      <c r="L34" s="40">
        <f t="shared" si="3"/>
        <v>2.4325593301685065E-2</v>
      </c>
      <c r="M34" s="40">
        <f t="shared" si="4"/>
        <v>3.8652575411834825E-2</v>
      </c>
      <c r="N34" s="37">
        <f t="shared" si="5"/>
        <v>11493424</v>
      </c>
      <c r="O34" s="40">
        <v>16</v>
      </c>
      <c r="P34" s="41">
        <v>91994628</v>
      </c>
      <c r="Q34" s="41">
        <v>2874832.125</v>
      </c>
      <c r="R34" s="41">
        <v>18636.71875</v>
      </c>
      <c r="S34" s="42">
        <v>26004472</v>
      </c>
      <c r="T34" s="42">
        <v>9132376</v>
      </c>
      <c r="U34" s="42">
        <v>2361048</v>
      </c>
      <c r="V34" s="42">
        <v>14511048</v>
      </c>
      <c r="W34" s="43">
        <v>78.478296874999998</v>
      </c>
      <c r="X34" s="43">
        <v>81.904243750000006</v>
      </c>
      <c r="Y34" s="43">
        <v>40.49875625</v>
      </c>
      <c r="Z34" s="43">
        <v>44.367487500000003</v>
      </c>
      <c r="AA34" s="43">
        <v>48.782087500000003</v>
      </c>
      <c r="AB34" s="44">
        <v>24070.7</v>
      </c>
      <c r="AC34" s="44">
        <v>0</v>
      </c>
      <c r="AD34" s="44">
        <v>141.98599999999999</v>
      </c>
      <c r="AE34" s="44">
        <v>0</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4.3183425</v>
      </c>
      <c r="J35" s="12">
        <f t="shared" si="1"/>
        <v>1.3824612007690288E-2</v>
      </c>
      <c r="K35" s="12">
        <f t="shared" si="2"/>
        <v>1.0557990112382763E-2</v>
      </c>
      <c r="L35" s="12">
        <f t="shared" si="3"/>
        <v>6.7805736312157271E-3</v>
      </c>
      <c r="M35" s="12">
        <f t="shared" si="4"/>
        <v>3.2666218953075247E-3</v>
      </c>
      <c r="N35" s="54">
        <f t="shared" si="5"/>
        <v>3517824</v>
      </c>
      <c r="O35" s="12">
        <v>16</v>
      </c>
      <c r="P35" s="13">
        <v>75171639</v>
      </c>
      <c r="Q35" s="13">
        <v>2349113.71875</v>
      </c>
      <c r="R35" s="13">
        <v>30593.28125</v>
      </c>
      <c r="S35" s="14">
        <v>4606232</v>
      </c>
      <c r="T35" s="14">
        <v>2259224</v>
      </c>
      <c r="U35" s="14">
        <v>1258600</v>
      </c>
      <c r="V35" s="14">
        <v>1088408</v>
      </c>
      <c r="W35" s="15">
        <v>73.209165624999997</v>
      </c>
      <c r="X35" s="15">
        <v>75.382359374999993</v>
      </c>
      <c r="Y35" s="15">
        <v>31.814631250000001</v>
      </c>
      <c r="Z35" s="15">
        <v>42.257371874999997</v>
      </c>
      <c r="AA35" s="15">
        <v>43.446628124999997</v>
      </c>
      <c r="AB35" s="16">
        <v>17950.2</v>
      </c>
      <c r="AC35" s="16">
        <v>0</v>
      </c>
      <c r="AD35" s="16">
        <v>114.55800000000001</v>
      </c>
      <c r="AE35" s="16">
        <v>0</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5.8249874999999998</v>
      </c>
      <c r="J36" s="21">
        <f t="shared" si="1"/>
        <v>1.8647940068937521E-2</v>
      </c>
      <c r="K36" s="21">
        <f t="shared" si="2"/>
        <v>1.3092802842398756E-2</v>
      </c>
      <c r="L36" s="21">
        <f t="shared" si="3"/>
        <v>9.3153863612317218E-3</v>
      </c>
      <c r="M36" s="21">
        <f t="shared" si="4"/>
        <v>5.5551372265387642E-3</v>
      </c>
      <c r="N36" s="18">
        <f t="shared" si="5"/>
        <v>4362400</v>
      </c>
      <c r="O36" s="21">
        <v>16</v>
      </c>
      <c r="P36" s="22">
        <v>79961210</v>
      </c>
      <c r="Q36" s="22">
        <v>2498787.8125</v>
      </c>
      <c r="R36" s="22">
        <v>38420.28125</v>
      </c>
      <c r="S36" s="23">
        <v>6213320</v>
      </c>
      <c r="T36" s="23">
        <v>3103800</v>
      </c>
      <c r="U36" s="23">
        <v>1258600</v>
      </c>
      <c r="V36" s="23">
        <v>1850920</v>
      </c>
      <c r="W36" s="24">
        <v>74.936565625</v>
      </c>
      <c r="X36" s="24">
        <v>77.345237499999996</v>
      </c>
      <c r="Y36" s="24">
        <v>34.069078124999997</v>
      </c>
      <c r="Z36" s="24">
        <v>42.995862500000001</v>
      </c>
      <c r="AA36" s="24">
        <v>44.788365624999997</v>
      </c>
      <c r="AB36" s="25">
        <v>18567.8</v>
      </c>
      <c r="AC36" s="25">
        <v>0</v>
      </c>
      <c r="AD36" s="25">
        <v>112.376</v>
      </c>
      <c r="AE36" s="25">
        <v>0</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8.3851200000000006</v>
      </c>
      <c r="J37" s="12">
        <f t="shared" si="1"/>
        <v>2.6843871378410579E-2</v>
      </c>
      <c r="K37" s="12">
        <f t="shared" si="2"/>
        <v>1.6774706450455461E-2</v>
      </c>
      <c r="L37" s="12">
        <f t="shared" si="3"/>
        <v>1.2997289969288428E-2</v>
      </c>
      <c r="M37" s="12">
        <f t="shared" si="4"/>
        <v>1.0069164927955114E-2</v>
      </c>
      <c r="N37" s="54">
        <f t="shared" si="5"/>
        <v>5589176</v>
      </c>
      <c r="O37" s="12">
        <v>16</v>
      </c>
      <c r="P37" s="13">
        <v>81699522</v>
      </c>
      <c r="Q37" s="13">
        <v>2553110.0625</v>
      </c>
      <c r="R37" s="13">
        <v>41944.8125</v>
      </c>
      <c r="S37" s="14">
        <v>8944128</v>
      </c>
      <c r="T37" s="14">
        <v>4330576</v>
      </c>
      <c r="U37" s="14">
        <v>1258600</v>
      </c>
      <c r="V37" s="14">
        <v>3354952</v>
      </c>
      <c r="W37" s="15">
        <v>76.252581250000006</v>
      </c>
      <c r="X37" s="15">
        <v>78.956393750000004</v>
      </c>
      <c r="Y37" s="15">
        <v>36.145699999999998</v>
      </c>
      <c r="Z37" s="15">
        <v>43.582978124999997</v>
      </c>
      <c r="AA37" s="15">
        <v>46.117628125000003</v>
      </c>
      <c r="AB37" s="16">
        <v>19307.5</v>
      </c>
      <c r="AC37" s="16">
        <v>0</v>
      </c>
      <c r="AD37" s="16">
        <v>114.61</v>
      </c>
      <c r="AE37" s="16">
        <v>0</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13.73742</v>
      </c>
      <c r="J38" s="21">
        <f t="shared" si="1"/>
        <v>4.3978563878776335E-2</v>
      </c>
      <c r="K38" s="21">
        <f t="shared" si="2"/>
        <v>2.3025637430102375E-2</v>
      </c>
      <c r="L38" s="21">
        <f t="shared" si="3"/>
        <v>1.924822094893534E-2</v>
      </c>
      <c r="M38" s="21">
        <f t="shared" si="4"/>
        <v>2.0952926448673959E-2</v>
      </c>
      <c r="N38" s="18">
        <f t="shared" si="5"/>
        <v>7671928</v>
      </c>
      <c r="O38" s="21">
        <v>16</v>
      </c>
      <c r="P38" s="22">
        <v>83829868</v>
      </c>
      <c r="Q38" s="22">
        <v>2619683.375</v>
      </c>
      <c r="R38" s="22">
        <v>46889.53125</v>
      </c>
      <c r="S38" s="23">
        <v>14653248</v>
      </c>
      <c r="T38" s="23">
        <v>6413328</v>
      </c>
      <c r="U38" s="23">
        <v>1258600</v>
      </c>
      <c r="V38" s="23">
        <v>6981320</v>
      </c>
      <c r="W38" s="24">
        <v>77.428771874999995</v>
      </c>
      <c r="X38" s="24">
        <v>80.151403125000002</v>
      </c>
      <c r="Y38" s="24">
        <v>38.095384375000002</v>
      </c>
      <c r="Z38" s="24">
        <v>44.186740624999999</v>
      </c>
      <c r="AA38" s="24">
        <v>47.269693750000002</v>
      </c>
      <c r="AB38" s="25">
        <v>20154.7</v>
      </c>
      <c r="AC38" s="25">
        <v>0</v>
      </c>
      <c r="AD38" s="25">
        <v>115.89700000000001</v>
      </c>
      <c r="AE38" s="25">
        <v>0</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32</v>
      </c>
      <c r="G39" s="28">
        <v>30</v>
      </c>
      <c r="I39" s="29">
        <f t="shared" si="0"/>
        <v>27.553155</v>
      </c>
      <c r="J39" s="30">
        <f t="shared" si="1"/>
        <v>8.820784304689859E-2</v>
      </c>
      <c r="K39" s="30">
        <f t="shared" si="2"/>
        <v>3.7472787842519811E-2</v>
      </c>
      <c r="L39" s="30">
        <f t="shared" si="3"/>
        <v>2.9762128196805644E-2</v>
      </c>
      <c r="M39" s="30">
        <f t="shared" si="4"/>
        <v>5.0735055204378772E-2</v>
      </c>
      <c r="N39" s="27">
        <f t="shared" si="5"/>
        <v>12485584</v>
      </c>
      <c r="O39" s="30">
        <v>16</v>
      </c>
      <c r="P39" s="31">
        <v>81969668</v>
      </c>
      <c r="Q39" s="31">
        <v>2561552.125</v>
      </c>
      <c r="R39" s="31">
        <v>18543.125</v>
      </c>
      <c r="S39" s="32">
        <v>29390032</v>
      </c>
      <c r="T39" s="32">
        <v>9916464</v>
      </c>
      <c r="U39" s="32">
        <v>2569120</v>
      </c>
      <c r="V39" s="32">
        <v>16904448</v>
      </c>
      <c r="W39" s="33">
        <v>78.304278124999996</v>
      </c>
      <c r="X39" s="33">
        <v>81.862446875000003</v>
      </c>
      <c r="Y39" s="33">
        <v>40.158643750000003</v>
      </c>
      <c r="Z39" s="33">
        <v>45.128656249999999</v>
      </c>
      <c r="AA39" s="33">
        <v>48.634012499999997</v>
      </c>
      <c r="AB39" s="34">
        <v>21847.3</v>
      </c>
      <c r="AC39" s="34">
        <v>0</v>
      </c>
      <c r="AD39" s="34">
        <v>115.768</v>
      </c>
      <c r="AE39" s="34">
        <v>0</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1.7521153623299777E-2</v>
      </c>
      <c r="K40" s="48">
        <f>AVERAGE(K5:K24)</f>
        <v>9.4974638733670898E-3</v>
      </c>
      <c r="L40" s="48">
        <f>AVERAGE(L5:L24)</f>
        <v>6.9802494958295085E-3</v>
      </c>
      <c r="M40" s="48">
        <f>AVERAGE(M5:M24)</f>
        <v>8.0236897499326859E-3</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3.8155034454561226E-2</v>
      </c>
      <c r="K41" s="48">
        <f>AVERAGE(K25:K29)</f>
        <v>1.1395468400510563E-2</v>
      </c>
      <c r="L41" s="48">
        <f>AVERAGE(L25:L29)</f>
        <v>8.8050231946291187E-3</v>
      </c>
      <c r="M41" s="48">
        <f>AVERAGE(M25:M29)</f>
        <v>2.6759566054050665E-2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3.3844032685318805E-2</v>
      </c>
      <c r="K42" s="48">
        <f>AVERAGE(K30:K39)</f>
        <v>1.8097032807187594E-2</v>
      </c>
      <c r="L42" s="48">
        <f>AVERAGE(L30:L39)</f>
        <v>1.3973024534354634E-2</v>
      </c>
      <c r="M42" s="48">
        <f>AVERAGE(M30:M39)</f>
        <v>1.5746999878131204E-2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2.5132530616913989E-2</v>
      </c>
      <c r="K43" s="48">
        <f>AVERAGE(K5:K39)</f>
        <v>1.2225627072622019E-2</v>
      </c>
      <c r="L43" s="48">
        <f>AVERAGE(L5:L39)</f>
        <v>9.2388671780937754E-3</v>
      </c>
      <c r="M43" s="48">
        <f>AVERAGE(M5:M39)</f>
        <v>1.2906903544291975E-2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355897.49</v>
      </c>
      <c r="AC44" s="49">
        <f>SUM(AC5:AC24,AC25:AC29,AC30:AC39)</f>
        <v>0</v>
      </c>
      <c r="AD44" s="49">
        <f>SUM(AD5:AD24,AD25:AD29,AD30:AD39)</f>
        <v>2259.0879999999997</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8523.6134594204632</v>
      </c>
      <c r="AC46" s="49" t="e">
        <f>GEOMEAN(AC5:AC24,AC25:AC29,AC30:AC39)</f>
        <v>#NUM!</v>
      </c>
      <c r="AD46" s="49">
        <f>GEOMEAN(AD5:AD24,AD25:AD29,AD30:AD39)</f>
        <v>54.916473881090958</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2020-12-11T10:19:22Z</dcterms:modified>
</cp:coreProperties>
</file>