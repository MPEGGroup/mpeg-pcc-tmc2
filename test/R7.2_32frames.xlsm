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drawing+xml" PartName="/xl/drawings/drawing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1"/>
  <bookViews>
    <workbookView activeTab="7" autoFilterDateGrouping="1" firstSheet="2" minimized="0" showHorizontalScroll="1" showSheetTabs="1" showVerticalScroll="1" tabRatio="600" visibility="visible" windowHeight="12768" windowWidth="23256" xWindow="-108" yWindow="-108"/>
  </bookViews>
  <sheets>
    <sheet name="Summary" sheetId="1" state="visible" r:id="rId1"/>
    <sheet name="Graphs" sheetId="2" state="visible" r:id="rId2"/>
    <sheet name="C2 lossyG,lossyA,intra" sheetId="3" state="visible" r:id="rId3"/>
    <sheet name="names" sheetId="4" state="hidden" r:id="rId4"/>
    <sheet name="CW losslG,losslA,intra" sheetId="5" state="visible" r:id="rId5"/>
    <sheet name="CW losslG,losslA,interLD" sheetId="6" state="visible" r:id="rId6"/>
    <sheet name="C2 lossyG,lossyA,interRA" sheetId="7" state="visible" r:id="rId7"/>
    <sheet name="Results" sheetId="8" state="visible" r:id="rId8"/>
  </sheets>
  <definedNames>
    <definedName localSheetId="1" name="all_cols">Graphs!$I$2:$I$39</definedName>
    <definedName localSheetId="1" name="filter_cols">IF(ISREF(Graphs!filter_cols_),Graphs!filter_cols_,Graphs!all_cols)</definedName>
    <definedName localSheetId="1" name="filter_cols_">INDIRECT(HLOOKUP(Graphs!$B$1,Graphs!$M$1:$ZZ$2,2,0))</definedName>
    <definedName localSheetId="1" name="graph_a_A_title">INDIRECT(VLOOKUP("name.A."&amp;Graphs!$B$1,names!$A:$B,2,0))</definedName>
    <definedName localSheetId="1" name="graph_a_B_title">INDIRECT(VLOOKUP("name.B."&amp;Graphs!$B$1,names!$A:$B,2,0))</definedName>
    <definedName localSheetId="1" name="graph_a_title">CONCATENATE(Graphs!graph_a_y_title, " (Graph a)")</definedName>
    <definedName localSheetId="1" name="graph_a_x_range_A">IF(ISREF(Graphs!graph_a_x_range_A_),Graphs!graph_a_x_range_A_,{0})</definedName>
    <definedName localSheetId="1" name="graph_a_x_range_A_">INDEX(INDIRECT(VLOOKUP("range." &amp; Graphs!$B$1 &amp;"."&amp; Graphs!$B$2, names!$A:$B,2,0)), 0, VLOOKUP("col."&amp; Graphs!$B$1 &amp;".A."&amp; Graphs!$B$4, names!$A:$B,2,0))</definedName>
    <definedName localSheetId="1" name="graph_a_x_range_B">IF(ISREF(Graphs!graph_a_x_range_B_),Graphs!graph_a_x_range_B_,{0})</definedName>
    <definedName localSheetId="1" name="graph_a_x_range_B_">INDEX(INDIRECT(VLOOKUP("range." &amp; Graphs!$B$1 &amp;"."&amp; Graphs!$B$2, names!$A:$B,2,0)), 0, VLOOKUP("col."&amp; Graphs!$B$1 &amp;".B."&amp; Graphs!$B$4, names!$A:$B,2,0))</definedName>
    <definedName localSheetId="1" name="graph_a_x_title">OFFSET(Graphs!all_cols, MATCH(Graphs!$B$4, Graphs!all_cols, 0)-1,1,1,1)</definedName>
    <definedName localSheetId="1" name="graph_a_y_range_A">IF(ISREF(Graphs!graph_a_y_range_A_),Graphs!graph_a_y_range_A_,{0})</definedName>
    <definedName localSheetId="1" name="graph_a_y_range_A_">INDEX(INDIRECT(VLOOKUP("range." &amp; Graphs!$B$1 &amp;"."&amp; Graphs!$B$2, names!$A:$B,2,0)), 0, VLOOKUP("col."&amp; Graphs!$B$1 &amp;".A."&amp; Graphs!$D$4, names!$A:$B,2,0))</definedName>
    <definedName localSheetId="1" name="graph_a_y_range_B">IF(ISREF(Graphs!graph_a_y_range_B_),Graphs!graph_a_y_range_B_,{0})</definedName>
    <definedName localSheetId="1" name="graph_a_y_range_B_">INDEX(INDIRECT(VLOOKUP("range." &amp; Graphs!$B$1 &amp;"."&amp; Graphs!$B$2, names!$A:$B,2,0)), 0, VLOOKUP("col."&amp; Graphs!$B$1 &amp;".B."&amp; Graphs!$D$4, names!$A:$B,2,0))</definedName>
    <definedName localSheetId="1" name="graph_a_y_title">OFFSET(Graphs!all_cols, MATCH(Graphs!$D$4, Graphs!all_cols, 0)-1,1,1,1)</definedName>
    <definedName localSheetId="1" name="graph_b_A_title">INDIRECT(VLOOKUP("name.A."&amp;Graphs!$B$1,names!$A:$B,2,0))</definedName>
    <definedName localSheetId="1" name="graph_b_B_title">INDIRECT(VLOOKUP("name.B."&amp;Graphs!$B$1,names!$A:$B,2,0))</definedName>
    <definedName localSheetId="1" name="graph_b_title">CONCATENATE(Graphs!graph_b_y_title, " (Graph b)")</definedName>
    <definedName localSheetId="1" name="graph_b_x_range_A">IF(ISREF(Graphs!graph_b_x_range_A_),Graphs!graph_b_x_range_A_,{0})</definedName>
    <definedName localSheetId="1" name="graph_b_x_range_A_">INDEX(INDIRECT(VLOOKUP("range." &amp; Graphs!$B$1 &amp;"."&amp; Graphs!$B$2, names!$A:$B,2,0)), 0, VLOOKUP("col."&amp; Graphs!$B$1 &amp;".A."&amp; Graphs!$B$5, names!$A:$B,2,0))</definedName>
    <definedName localSheetId="1" name="graph_b_x_range_B">IF(ISREF(Graphs!graph_b_x_range_B_),Graphs!graph_b_x_range_B_,{0})</definedName>
    <definedName localSheetId="1" name="graph_b_x_range_B_">INDEX(INDIRECT(VLOOKUP("range." &amp; Graphs!$B$1 &amp;"."&amp; Graphs!$B$2, names!$A:$B,2,0)), 0, VLOOKUP("col."&amp; Graphs!$B$1 &amp;".B."&amp; Graphs!$B$5, names!$A:$B,2,0))</definedName>
    <definedName localSheetId="1" name="graph_b_x_title">OFFSET(Graphs!all_cols, MATCH(Graphs!$B$5, Graphs!all_cols, 0)-1,1,1,1)</definedName>
    <definedName localSheetId="1" name="graph_b_y_range_A">IF(ISREF(Graphs!graph_b_y_range_A_),Graphs!graph_b_y_range_A_,{0})</definedName>
    <definedName localSheetId="1" name="graph_b_y_range_A_">INDEX(INDIRECT(VLOOKUP("range." &amp; Graphs!$B$1 &amp;"."&amp; Graphs!$B$2, names!$A:$B,2,0)), 0, VLOOKUP("col."&amp; Graphs!$B$1 &amp;".A."&amp; Graphs!$D$5, names!$A:$B,2,0))</definedName>
    <definedName localSheetId="1" name="graph_b_y_range_B">IF(ISREF(Graphs!graph_b_y_range_B_),Graphs!graph_b_y_range_B_,{0})</definedName>
    <definedName localSheetId="1" name="graph_b_y_range_B_">INDEX(INDIRECT(VLOOKUP("range." &amp; Graphs!$B$1 &amp;"."&amp; Graphs!$B$2, names!$A:$B,2,0)), 0, VLOOKUP("col."&amp; Graphs!$B$1 &amp;".B."&amp; Graphs!$D$5, names!$A:$B,2,0))</definedName>
    <definedName localSheetId="1" name="graph_b_y_title">OFFSET(Graphs!all_cols, MATCH(Graphs!$D$5, Graphs!all_cols, 0)-1,1,1,1)</definedName>
    <definedName localSheetId="1" name="graph_c_A_title">INDIRECT(VLOOKUP("name.A."&amp;Graphs!$B$1,names!$A:$B,2,0))</definedName>
    <definedName localSheetId="1" name="graph_c_B_title">INDIRECT(VLOOKUP("name.B."&amp;Graphs!$B$1,names!$A:$B,2,0))</definedName>
    <definedName localSheetId="1" name="graph_c_title">CONCATENATE(Graphs!graph_c_y_title, " (Graph c)")</definedName>
    <definedName localSheetId="1" name="graph_c_x_range_A">IF(ISREF(Graphs!graph_c_x_range_A_),Graphs!graph_c_x_range_A_,{0})</definedName>
    <definedName localSheetId="1" name="graph_c_x_range_A_">INDEX(INDIRECT(VLOOKUP("range." &amp; Graphs!$B$1 &amp;"."&amp; Graphs!$B$2, names!$A:$B,2,0)), 0, VLOOKUP("col."&amp; Graphs!$B$1 &amp;".A."&amp; Graphs!$B$6, names!$A:$B,2,0))</definedName>
    <definedName localSheetId="1" name="graph_c_x_range_B">IF(ISREF(Graphs!graph_c_x_range_B_),Graphs!graph_c_x_range_B_,{0})</definedName>
    <definedName localSheetId="1" name="graph_c_x_range_B_">INDEX(INDIRECT(VLOOKUP("range." &amp; Graphs!$B$1 &amp;"."&amp; Graphs!$B$2, names!$A:$B,2,0)), 0, VLOOKUP("col."&amp; Graphs!$B$1 &amp;".B."&amp; Graphs!$B$6, names!$A:$B,2,0))</definedName>
    <definedName localSheetId="1" name="graph_c_x_title">OFFSET(Graphs!all_cols, MATCH(Graphs!$B$6, Graphs!all_cols, 0)-1,1,1,1)</definedName>
    <definedName localSheetId="1" name="graph_c_y_range_A">IF(ISREF(Graphs!graph_c_y_range_A_),Graphs!graph_c_y_range_A_,{0})</definedName>
    <definedName localSheetId="1" name="graph_c_y_range_A_">INDEX(INDIRECT(VLOOKUP("range." &amp; Graphs!$B$1 &amp;"."&amp; Graphs!$B$2, names!$A:$B,2,0)), 0, VLOOKUP("col."&amp; Graphs!$B$1 &amp;".A."&amp; Graphs!$D$6, names!$A:$B,2,0))</definedName>
    <definedName localSheetId="1" name="graph_c_y_range_B">IF(ISREF(Graphs!graph_c_y_range_B_),Graphs!graph_c_y_range_B_,{0})</definedName>
    <definedName localSheetId="1" name="graph_c_y_range_B_">INDEX(INDIRECT(VLOOKUP("range." &amp; Graphs!$B$1 &amp;"."&amp; Graphs!$B$2, names!$A:$B,2,0)), 0, VLOOKUP("col."&amp; Graphs!$B$1 &amp;".B."&amp; Graphs!$D$6, names!$A:$B,2,0))</definedName>
    <definedName localSheetId="1" name="graph_c_y_title">OFFSET(Graphs!all_cols, MATCH(Graphs!$D$6, Graphs!all_cols, 0)-1,1,1,1)</definedName>
    <definedName localSheetId="1" name="graph_d_A_title">INDIRECT(VLOOKUP("name.A."&amp;Graphs!$B$1,names!$A:$B,2,0))</definedName>
    <definedName localSheetId="1" name="graph_d_B_title">INDIRECT(VLOOKUP("name.B."&amp;Graphs!$B$1,names!$A:$B,2,0))</definedName>
    <definedName localSheetId="1" name="graph_d_title">CONCATENATE(Graphs!graph_d_y_title, " (Graph d)")</definedName>
    <definedName localSheetId="1" name="graph_d_x_range_A">IF(ISREF(Graphs!graph_d_x_range_A_),Graphs!graph_d_x_range_A_,{0})</definedName>
    <definedName localSheetId="1" name="graph_d_x_range_A_">INDEX(INDIRECT(VLOOKUP("range." &amp; Graphs!$B$1 &amp;"."&amp; Graphs!$B$2, names!$A:$B,2,0)), 0, VLOOKUP("col."&amp; Graphs!$B$1 &amp;".A."&amp; Graphs!$B$7, names!$A:$B,2,0))</definedName>
    <definedName localSheetId="1" name="graph_d_x_range_B">IF(ISREF(Graphs!graph_d_x_range_B_),Graphs!graph_d_x_range_B_,{0})</definedName>
    <definedName localSheetId="1" name="graph_d_x_range_B_">INDEX(INDIRECT(VLOOKUP("range." &amp; Graphs!$B$1 &amp;"."&amp; Graphs!$B$2, names!$A:$B,2,0)), 0, VLOOKUP("col."&amp; Graphs!$B$1 &amp;".B."&amp; Graphs!$B$7, names!$A:$B,2,0))</definedName>
    <definedName localSheetId="1" name="graph_d_x_title">OFFSET(Graphs!all_cols, MATCH(Graphs!$B$7, Graphs!all_cols, 0)-1,1,1,1)</definedName>
    <definedName localSheetId="1" name="graph_d_y_range_A">IF(ISREF(Graphs!graph_d_y_range_A_),Graphs!graph_d_y_range_A_,{0})</definedName>
    <definedName localSheetId="1" name="graph_d_y_range_A_">INDEX(INDIRECT(VLOOKUP("range." &amp; Graphs!$B$1 &amp;"."&amp; Graphs!$B$2, names!$A:$B,2,0)), 0, VLOOKUP("col."&amp; Graphs!$B$1 &amp;".A."&amp; Graphs!$D$7, names!$A:$B,2,0))</definedName>
    <definedName localSheetId="1" name="graph_d_y_range_B">IF(ISREF(Graphs!graph_d_y_range_B_),Graphs!graph_d_y_range_B_,{0})</definedName>
    <definedName localSheetId="1" name="graph_d_y_range_B_">INDEX(INDIRECT(VLOOKUP("range." &amp; Graphs!$B$1 &amp;"."&amp; Graphs!$B$2, names!$A:$B,2,0)), 0, VLOOKUP("col."&amp; Graphs!$B$1 &amp;".B."&amp; Graphs!$D$7, names!$A:$B,2,0))</definedName>
    <definedName localSheetId="1" name="graph_d_y_title">OFFSET(Graphs!all_cols, MATCH(Graphs!$D$7, Graphs!all_cols, 0)-1,1,1,1)</definedName>
    <definedName localSheetId="1" name="graph_e_A_title">INDIRECT(VLOOKUP("name.A."&amp;Graphs!$B$1,names!$A:$B,2,0))</definedName>
    <definedName localSheetId="1" name="graph_e_B_title">INDIRECT(VLOOKUP("name.B."&amp;Graphs!$B$1,names!$A:$B,2,0))</definedName>
    <definedName localSheetId="1" name="graph_e_title">CONCATENATE(Graphs!graph_e_y_title, " (Graph e)")</definedName>
    <definedName localSheetId="1" name="graph_e_x_range_A">IF(ISREF(Graphs!graph_e_x_range_A_),Graphs!graph_e_x_range_A_,{0})</definedName>
    <definedName localSheetId="1" name="graph_e_x_range_A_">INDEX(INDIRECT(VLOOKUP("range." &amp; Graphs!$B$1 &amp;"."&amp; Graphs!$B$2, names!$A:$B,2,0)), 0, VLOOKUP("col."&amp; Graphs!$B$1 &amp;".A."&amp; Graphs!$B$8, names!$A:$B,2,0))</definedName>
    <definedName localSheetId="1" name="graph_e_x_range_B">IF(ISREF(Graphs!graph_e_x_range_B_),Graphs!graph_e_x_range_B_,{0})</definedName>
    <definedName localSheetId="1" name="graph_e_x_range_B_">INDEX(INDIRECT(VLOOKUP("range." &amp; Graphs!$B$1 &amp;"."&amp; Graphs!$B$2, names!$A:$B,2,0)), 0, VLOOKUP("col."&amp; Graphs!$B$1 &amp;".B."&amp; Graphs!$B$8, names!$A:$B,2,0))</definedName>
    <definedName localSheetId="1" name="graph_e_x_title">OFFSET(Graphs!all_cols, MATCH(Graphs!$B$8, Graphs!all_cols, 0)-1,1,1,1)</definedName>
    <definedName localSheetId="1" name="graph_e_y_range_A">IF(ISREF(Graphs!graph_e_y_range_A_),Graphs!graph_e_y_range_A_,{0})</definedName>
    <definedName localSheetId="1" name="graph_e_y_range_A_">INDEX(INDIRECT(VLOOKUP("range." &amp; Graphs!$B$1 &amp;"."&amp; Graphs!$B$2, names!$A:$B,2,0)), 0, VLOOKUP("col."&amp; Graphs!$B$1 &amp;".A."&amp; Graphs!$D$8, names!$A:$B,2,0))</definedName>
    <definedName localSheetId="1" name="graph_e_y_range_B">IF(ISREF(Graphs!graph_e_y_range_B_),Graphs!graph_e_y_range_B_,{0})</definedName>
    <definedName localSheetId="1" name="graph_e_y_range_B_">INDEX(INDIRECT(VLOOKUP("range." &amp; Graphs!$B$1 &amp;"."&amp; Graphs!$B$2, names!$A:$B,2,0)), 0, VLOOKUP("col."&amp; Graphs!$B$1 &amp;".B."&amp; Graphs!$D$8, names!$A:$B,2,0))</definedName>
    <definedName localSheetId="1" name="graph_e_y_title">OFFSET(Graphs!all_cols, MATCH(Graphs!$D$8, Graphs!all_cols, 0)-1,1,1,1)</definedName>
    <definedName localSheetId="1" name="graph_f_A_title">INDIRECT(VLOOKUP("name.A."&amp;Graphs!$B$1,names!$A:$B,2,0))</definedName>
    <definedName localSheetId="1" name="graph_f_B_title">INDIRECT(VLOOKUP("name.B."&amp;Graphs!$B$1,names!$A:$B,2,0))</definedName>
    <definedName localSheetId="1" name="graph_f_title">CONCATENATE(Graphs!graph_f_y_title, " (Graph f)")</definedName>
    <definedName localSheetId="1" name="graph_f_x_range_A">IF(ISREF(Graphs!graph_f_x_range_A_),Graphs!graph_f_x_range_A_,{0})</definedName>
    <definedName localSheetId="1" name="graph_f_x_range_A_">INDEX(INDIRECT(VLOOKUP("range." &amp; Graphs!$B$1 &amp;"."&amp; Graphs!$B$2, names!$A:$B,2,0)), 0, VLOOKUP("col."&amp; Graphs!$B$1 &amp;".A."&amp; Graphs!$B$9, names!$A:$B,2,0))</definedName>
    <definedName localSheetId="1" name="graph_f_x_range_B">IF(ISREF(Graphs!graph_f_x_range_B_),Graphs!graph_f_x_range_B_,{0})</definedName>
    <definedName localSheetId="1" name="graph_f_x_range_B_">INDEX(INDIRECT(VLOOKUP("range." &amp; Graphs!$B$1 &amp;"."&amp; Graphs!$B$2, names!$A:$B,2,0)), 0, VLOOKUP("col."&amp; Graphs!$B$1 &amp;".B."&amp; Graphs!$B$9, names!$A:$B,2,0))</definedName>
    <definedName localSheetId="1" name="graph_f_x_title">OFFSET(Graphs!all_cols, MATCH(Graphs!$B$9, Graphs!all_cols, 0)-1,1,1,1)</definedName>
    <definedName localSheetId="1" name="graph_f_y_range_A">IF(ISREF(Graphs!graph_f_y_range_A_),Graphs!graph_f_y_range_A_,{0})</definedName>
    <definedName localSheetId="1" name="graph_f_y_range_A_">INDEX(INDIRECT(VLOOKUP("range." &amp; Graphs!$B$1 &amp;"."&amp; Graphs!$B$2, names!$A:$B,2,0)), 0, VLOOKUP("col."&amp; Graphs!$B$1 &amp;".A."&amp; Graphs!$D$9, names!$A:$B,2,0))</definedName>
    <definedName localSheetId="1" name="graph_f_y_range_B">IF(ISREF(Graphs!graph_f_y_range_B_),Graphs!graph_f_y_range_B_,{0})</definedName>
    <definedName localSheetId="1" name="graph_f_y_range_B_">INDEX(INDIRECT(VLOOKUP("range." &amp; Graphs!$B$1 &amp;"."&amp; Graphs!$B$2, names!$A:$B,2,0)), 0, VLOOKUP("col."&amp; Graphs!$B$1 &amp;".B."&amp; Graphs!$D$9, names!$A:$B,2,0))</definedName>
    <definedName localSheetId="1" name="graph_f_y_title">OFFSET(Graphs!all_cols, MATCH(Graphs!$D$9, Graphs!all_cols, 0)-1,1,1,1)</definedName>
  </definedNames>
  <calcPr calcId="191029" fullCalcOnLoad="1"/>
</workbook>
</file>

<file path=xl/styles.xml><?xml version="1.0" encoding="utf-8"?>
<styleSheet xmlns="http://schemas.openxmlformats.org/spreadsheetml/2006/main">
  <numFmts count="3">
    <numFmt formatCode="0.0%" numFmtId="164"/>
    <numFmt formatCode="0.000" numFmtId="165"/>
    <numFmt formatCode="[&gt;1000]0;[&gt;100]0.0;0.00" numFmtId="166"/>
  </numFmts>
  <fonts count="2">
    <font>
      <name val="Calibri"/>
      <family val="2"/>
      <color theme="1"/>
      <sz val="11"/>
      <scheme val="minor"/>
    </font>
    <font>
      <name val="Calibri"/>
      <family val="2"/>
      <b val="1"/>
      <color theme="1"/>
      <sz val="11"/>
      <scheme val="minor"/>
    </font>
  </fonts>
  <fills count="15">
    <fill>
      <patternFill/>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0" tint="-0.249977111117893"/>
        <bgColor indexed="64"/>
      </patternFill>
    </fill>
    <fill>
      <patternFill patternType="solid">
        <fgColor theme="0"/>
        <bgColor indexed="64"/>
      </patternFill>
    </fill>
    <fill>
      <patternFill patternType="solid">
        <fgColor theme="0" tint="-0.0499893185216834"/>
        <bgColor indexed="64"/>
      </patternFill>
    </fill>
  </fills>
  <borders count="20">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auto="1"/>
      </bottom>
      <diagonal/>
    </border>
    <border>
      <left/>
      <right style="medium">
        <color indexed="64"/>
      </right>
      <top/>
      <bottom style="medium">
        <color auto="1"/>
      </bottom>
      <diagonal/>
    </border>
    <border>
      <left style="medium">
        <color indexed="64"/>
      </left>
      <right style="medium">
        <color indexed="64"/>
      </right>
      <top style="medium">
        <color indexed="64"/>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right/>
      <top style="medium">
        <color indexed="64"/>
      </top>
      <bottom/>
      <diagonal/>
    </border>
    <border>
      <left/>
      <right/>
      <top style="medium">
        <color indexed="64"/>
      </top>
      <bottom style="medium">
        <color auto="1"/>
      </bottom>
      <diagonal/>
    </border>
    <border>
      <left/>
      <right style="medium">
        <color indexed="64"/>
      </right>
      <top style="medium">
        <color auto="1"/>
      </top>
      <bottom/>
      <diagonal/>
    </border>
  </borders>
  <cellStyleXfs count="1">
    <xf borderId="0" fillId="0" fontId="0" numFmtId="0"/>
  </cellStyleXfs>
  <cellXfs count="210">
    <xf borderId="0" fillId="0" fontId="0" numFmtId="0" pivotButton="0" quotePrefix="0" xfId="0"/>
    <xf borderId="0" fillId="4" fontId="1" numFmtId="0" pivotButton="0" quotePrefix="0" xfId="0"/>
    <xf applyAlignment="1" borderId="3" fillId="4" fontId="1" numFmtId="0" pivotButton="0" quotePrefix="0" xfId="0">
      <alignment horizontal="center" vertical="center" wrapText="1"/>
    </xf>
    <xf applyAlignment="1" borderId="3" fillId="5" fontId="1" numFmtId="0" pivotButton="0" quotePrefix="0" xfId="0">
      <alignment horizontal="center" vertical="center" wrapText="1"/>
    </xf>
    <xf borderId="0" fillId="0" fontId="0" numFmtId="0" pivotButton="0" quotePrefix="0" xfId="0"/>
    <xf applyAlignment="1" borderId="0" fillId="0" fontId="0" numFmtId="164" pivotButton="0" quotePrefix="0" xfId="0">
      <alignment horizontal="center"/>
    </xf>
    <xf borderId="4" fillId="0" fontId="1" numFmtId="0" pivotButton="0" quotePrefix="0" xfId="0"/>
    <xf applyAlignment="1" borderId="4" fillId="0" fontId="0" numFmtId="164" pivotButton="0" quotePrefix="0" xfId="0">
      <alignment horizontal="center"/>
    </xf>
    <xf applyAlignment="1" borderId="0" fillId="0" fontId="0" numFmtId="9" pivotButton="0" quotePrefix="0" xfId="0">
      <alignment horizontal="center"/>
    </xf>
    <xf borderId="3" fillId="0" fontId="0" numFmtId="0" pivotButton="0" quotePrefix="0" xfId="0"/>
    <xf borderId="0" fillId="6" fontId="0" numFmtId="0" pivotButton="0" quotePrefix="0" xfId="0"/>
    <xf applyAlignment="1" borderId="3" fillId="5" fontId="1" numFmtId="0" pivotButton="0" quotePrefix="0" xfId="0">
      <alignment horizontal="center" wrapText="1"/>
    </xf>
    <xf applyAlignment="1" borderId="3" fillId="4" fontId="1" numFmtId="0" pivotButton="0" quotePrefix="0" xfId="0">
      <alignment horizontal="center" wrapText="1"/>
    </xf>
    <xf applyAlignment="1" borderId="3" fillId="5" fontId="1" numFmtId="0" pivotButton="0" quotePrefix="0" xfId="0">
      <alignment horizontal="center" textRotation="90" wrapText="1"/>
    </xf>
    <xf applyAlignment="1" borderId="3" fillId="4" fontId="1" numFmtId="0" pivotButton="0" quotePrefix="0" xfId="0">
      <alignment horizontal="center" textRotation="90" wrapText="1"/>
    </xf>
    <xf borderId="0" fillId="8" fontId="0" numFmtId="0" pivotButton="0" quotePrefix="0" xfId="0"/>
    <xf applyAlignment="1" borderId="0" fillId="8" fontId="0" numFmtId="0" pivotButton="0" quotePrefix="0" xfId="0">
      <alignment horizontal="center"/>
    </xf>
    <xf applyAlignment="1" borderId="0" fillId="8" fontId="0" numFmtId="165" pivotButton="0" quotePrefix="0" xfId="0">
      <alignment horizontal="center"/>
    </xf>
    <xf applyAlignment="1" borderId="0" fillId="8" fontId="0" numFmtId="2" pivotButton="0" quotePrefix="0" xfId="0">
      <alignment horizontal="center"/>
    </xf>
    <xf borderId="0" fillId="9" fontId="0" numFmtId="0" pivotButton="0" quotePrefix="0" xfId="0"/>
    <xf applyAlignment="1" borderId="0" fillId="9" fontId="0" numFmtId="0" pivotButton="0" quotePrefix="0" xfId="0">
      <alignment horizontal="center"/>
    </xf>
    <xf applyAlignment="1" borderId="0" fillId="9" fontId="0" numFmtId="2" pivotButton="0" quotePrefix="0" xfId="0">
      <alignment horizontal="center"/>
    </xf>
    <xf applyAlignment="1" borderId="0" fillId="9" fontId="0" numFmtId="166" pivotButton="0" quotePrefix="0" xfId="0">
      <alignment horizontal="center"/>
    </xf>
    <xf applyAlignment="1" borderId="0" fillId="8" fontId="0" numFmtId="164" pivotButton="0" quotePrefix="0" xfId="0">
      <alignment horizontal="center"/>
    </xf>
    <xf applyAlignment="1" borderId="0" fillId="8" fontId="0" numFmtId="9" pivotButton="0" quotePrefix="0" xfId="0">
      <alignment horizontal="center"/>
    </xf>
    <xf borderId="0" fillId="10" fontId="0" numFmtId="0" pivotButton="0" quotePrefix="0" xfId="0"/>
    <xf applyAlignment="1" borderId="0" fillId="10" fontId="0" numFmtId="0" pivotButton="0" quotePrefix="0" xfId="0">
      <alignment horizontal="center"/>
    </xf>
    <xf applyAlignment="1" borderId="0" fillId="10" fontId="0" numFmtId="165" pivotButton="0" quotePrefix="0" xfId="0">
      <alignment horizontal="center"/>
    </xf>
    <xf applyAlignment="1" borderId="0" fillId="10" fontId="0" numFmtId="2" pivotButton="0" quotePrefix="0" xfId="0">
      <alignment horizontal="center"/>
    </xf>
    <xf borderId="0" fillId="11" fontId="0" numFmtId="0" pivotButton="0" quotePrefix="0" xfId="0"/>
    <xf applyAlignment="1" borderId="0" fillId="11" fontId="0" numFmtId="0" pivotButton="0" quotePrefix="0" xfId="0">
      <alignment horizontal="center"/>
    </xf>
    <xf applyAlignment="1" borderId="0" fillId="11" fontId="0" numFmtId="2" pivotButton="0" quotePrefix="0" xfId="0">
      <alignment horizontal="center"/>
    </xf>
    <xf applyAlignment="1" borderId="0" fillId="11" fontId="0" numFmtId="166" pivotButton="0" quotePrefix="0" xfId="0">
      <alignment horizontal="center"/>
    </xf>
    <xf applyAlignment="1" borderId="0" fillId="10" fontId="0" numFmtId="164" pivotButton="0" quotePrefix="0" xfId="0">
      <alignment horizontal="center"/>
    </xf>
    <xf applyAlignment="1" borderId="0" fillId="10" fontId="0" numFmtId="9" pivotButton="0" quotePrefix="0" xfId="0">
      <alignment horizontal="center"/>
    </xf>
    <xf borderId="3" fillId="8" fontId="0" numFmtId="0" pivotButton="0" quotePrefix="0" xfId="0"/>
    <xf applyAlignment="1" borderId="3" fillId="8" fontId="0" numFmtId="0" pivotButton="0" quotePrefix="0" xfId="0">
      <alignment horizontal="center"/>
    </xf>
    <xf applyAlignment="1" borderId="3" fillId="8" fontId="0" numFmtId="165" pivotButton="0" quotePrefix="0" xfId="0">
      <alignment horizontal="center"/>
    </xf>
    <xf applyAlignment="1" borderId="3" fillId="8" fontId="0" numFmtId="2" pivotButton="0" quotePrefix="0" xfId="0">
      <alignment horizontal="center"/>
    </xf>
    <xf borderId="3" fillId="9" fontId="0" numFmtId="0" pivotButton="0" quotePrefix="0" xfId="0"/>
    <xf applyAlignment="1" borderId="3" fillId="9" fontId="0" numFmtId="0" pivotButton="0" quotePrefix="0" xfId="0">
      <alignment horizontal="center"/>
    </xf>
    <xf applyAlignment="1" borderId="3" fillId="9" fontId="0" numFmtId="2" pivotButton="0" quotePrefix="0" xfId="0">
      <alignment horizontal="center"/>
    </xf>
    <xf applyAlignment="1" borderId="3" fillId="9" fontId="0" numFmtId="166" pivotButton="0" quotePrefix="0" xfId="0">
      <alignment horizontal="center"/>
    </xf>
    <xf applyAlignment="1" borderId="3" fillId="8" fontId="0" numFmtId="164" pivotButton="0" quotePrefix="0" xfId="0">
      <alignment horizontal="center"/>
    </xf>
    <xf applyAlignment="1" borderId="3" fillId="8" fontId="0" numFmtId="9" pivotButton="0" quotePrefix="0" xfId="0">
      <alignment horizontal="center"/>
    </xf>
    <xf borderId="3" fillId="10" fontId="0" numFmtId="0" pivotButton="0" quotePrefix="0" xfId="0"/>
    <xf applyAlignment="1" borderId="3" fillId="10" fontId="0" numFmtId="0" pivotButton="0" quotePrefix="0" xfId="0">
      <alignment horizontal="center"/>
    </xf>
    <xf applyAlignment="1" borderId="3" fillId="10" fontId="0" numFmtId="165" pivotButton="0" quotePrefix="0" xfId="0">
      <alignment horizontal="center"/>
    </xf>
    <xf applyAlignment="1" borderId="3" fillId="10" fontId="0" numFmtId="2" pivotButton="0" quotePrefix="0" xfId="0">
      <alignment horizontal="center"/>
    </xf>
    <xf borderId="3" fillId="11" fontId="0" numFmtId="0" pivotButton="0" quotePrefix="0" xfId="0"/>
    <xf applyAlignment="1" borderId="3" fillId="11" fontId="0" numFmtId="0" pivotButton="0" quotePrefix="0" xfId="0">
      <alignment horizontal="center"/>
    </xf>
    <xf applyAlignment="1" borderId="3" fillId="11" fontId="0" numFmtId="2" pivotButton="0" quotePrefix="0" xfId="0">
      <alignment horizontal="center"/>
    </xf>
    <xf applyAlignment="1" borderId="3" fillId="11" fontId="0" numFmtId="166" pivotButton="0" quotePrefix="0" xfId="0">
      <alignment horizontal="center"/>
    </xf>
    <xf applyAlignment="1" borderId="3" fillId="10" fontId="0" numFmtId="164" pivotButton="0" quotePrefix="0" xfId="0">
      <alignment horizontal="center"/>
    </xf>
    <xf applyAlignment="1" borderId="3" fillId="10" fontId="0" numFmtId="9" pivotButton="0" quotePrefix="0" xfId="0">
      <alignment horizontal="center"/>
    </xf>
    <xf applyAlignment="1" borderId="0" fillId="0" fontId="1" numFmtId="0" pivotButton="0" quotePrefix="0" xfId="0">
      <alignment wrapText="1"/>
    </xf>
    <xf applyAlignment="1" borderId="0" fillId="0" fontId="0" numFmtId="2" pivotButton="0" quotePrefix="0" xfId="0">
      <alignment horizontal="center"/>
    </xf>
    <xf applyAlignment="1" borderId="0" fillId="0" fontId="0" numFmtId="166" pivotButton="0" quotePrefix="0" xfId="0">
      <alignment horizontal="center"/>
    </xf>
    <xf applyAlignment="1" borderId="3" fillId="5" fontId="1" numFmtId="0" pivotButton="0" quotePrefix="0" xfId="0">
      <alignment horizontal="center" wrapText="1"/>
    </xf>
    <xf applyAlignment="1" borderId="9" fillId="12" fontId="1" numFmtId="0" pivotButton="0" quotePrefix="0" xfId="0">
      <alignment horizontal="center" wrapText="1"/>
    </xf>
    <xf applyAlignment="1" borderId="0" fillId="12" fontId="1" numFmtId="0" pivotButton="0" quotePrefix="0" xfId="0">
      <alignment horizontal="center" wrapText="1"/>
    </xf>
    <xf applyAlignment="1" borderId="10" fillId="12" fontId="1" numFmtId="0" pivotButton="0" quotePrefix="0" xfId="0">
      <alignment horizontal="center" wrapText="1"/>
    </xf>
    <xf borderId="5" fillId="8" fontId="0" numFmtId="0" pivotButton="0" quotePrefix="0" xfId="0"/>
    <xf applyAlignment="1" borderId="5" fillId="8" fontId="0" numFmtId="164" pivotButton="0" quotePrefix="0" xfId="0">
      <alignment horizontal="center"/>
    </xf>
    <xf applyAlignment="1" borderId="2" fillId="8" fontId="0" numFmtId="164" pivotButton="0" quotePrefix="0" xfId="0">
      <alignment horizontal="center"/>
    </xf>
    <xf applyAlignment="1" borderId="6" fillId="8" fontId="0" numFmtId="164" pivotButton="0" quotePrefix="0" xfId="0">
      <alignment horizontal="center"/>
    </xf>
    <xf borderId="9" fillId="10" fontId="0" numFmtId="0" pivotButton="0" quotePrefix="0" xfId="0"/>
    <xf applyAlignment="1" borderId="9" fillId="10" fontId="0" numFmtId="164" pivotButton="0" quotePrefix="0" xfId="0">
      <alignment horizontal="center"/>
    </xf>
    <xf applyAlignment="1" borderId="0" fillId="10" fontId="0" numFmtId="164" pivotButton="0" quotePrefix="0" xfId="0">
      <alignment horizontal="center"/>
    </xf>
    <xf applyAlignment="1" borderId="10" fillId="10" fontId="0" numFmtId="164" pivotButton="0" quotePrefix="0" xfId="0">
      <alignment horizontal="center"/>
    </xf>
    <xf borderId="9" fillId="8" fontId="0" numFmtId="0" pivotButton="0" quotePrefix="0" xfId="0"/>
    <xf applyAlignment="1" borderId="9" fillId="8" fontId="0" numFmtId="164" pivotButton="0" quotePrefix="0" xfId="0">
      <alignment horizontal="center"/>
    </xf>
    <xf applyAlignment="1" borderId="0" fillId="8" fontId="0" numFmtId="164" pivotButton="0" quotePrefix="0" xfId="0">
      <alignment horizontal="center"/>
    </xf>
    <xf applyAlignment="1" borderId="10" fillId="8" fontId="0" numFmtId="164" pivotButton="0" quotePrefix="0" xfId="0">
      <alignment horizontal="center"/>
    </xf>
    <xf borderId="11" fillId="10" fontId="0" numFmtId="0" pivotButton="0" quotePrefix="0" xfId="0"/>
    <xf applyAlignment="1" borderId="11" fillId="10" fontId="0" numFmtId="164" pivotButton="0" quotePrefix="0" xfId="0">
      <alignment horizontal="center"/>
    </xf>
    <xf applyAlignment="1" borderId="12" fillId="10" fontId="0" numFmtId="164" pivotButton="0" quotePrefix="0" xfId="0">
      <alignment horizontal="center"/>
    </xf>
    <xf borderId="11" fillId="8" fontId="0" numFmtId="0" pivotButton="0" quotePrefix="0" xfId="0"/>
    <xf applyAlignment="1" borderId="11" fillId="8" fontId="0" numFmtId="164" pivotButton="0" quotePrefix="0" xfId="0">
      <alignment horizontal="center"/>
    </xf>
    <xf applyAlignment="1" borderId="12" fillId="8" fontId="0" numFmtId="164" pivotButton="0" quotePrefix="0" xfId="0">
      <alignment horizontal="center"/>
    </xf>
    <xf applyAlignment="1" borderId="9" fillId="0" fontId="0" numFmtId="164" pivotButton="0" quotePrefix="0" xfId="0">
      <alignment horizontal="center"/>
    </xf>
    <xf applyAlignment="1" borderId="0" fillId="0" fontId="0" numFmtId="164" pivotButton="0" quotePrefix="0" xfId="0">
      <alignment horizontal="center"/>
    </xf>
    <xf applyAlignment="1" borderId="10" fillId="0" fontId="0" numFmtId="164" pivotButton="0" quotePrefix="0" xfId="0">
      <alignment horizontal="center"/>
    </xf>
    <xf applyAlignment="1" borderId="11" fillId="0" fontId="0" numFmtId="164" pivotButton="0" quotePrefix="0" xfId="0">
      <alignment horizontal="center"/>
    </xf>
    <xf applyAlignment="1" borderId="3" fillId="0" fontId="0" numFmtId="164" pivotButton="0" quotePrefix="0" xfId="0">
      <alignment horizontal="center"/>
    </xf>
    <xf applyAlignment="1" borderId="12" fillId="0" fontId="0" numFmtId="164" pivotButton="0" quotePrefix="0" xfId="0">
      <alignment horizontal="center"/>
    </xf>
    <xf borderId="0" fillId="0" fontId="0" numFmtId="0" pivotButton="0" quotePrefix="0" xfId="0"/>
    <xf applyAlignment="1" borderId="11" fillId="5" fontId="1" numFmtId="0" pivotButton="0" quotePrefix="0" xfId="0">
      <alignment horizontal="center" wrapText="1"/>
    </xf>
    <xf applyAlignment="1" borderId="12" fillId="5" fontId="1" numFmtId="0" pivotButton="0" quotePrefix="0" xfId="0">
      <alignment horizontal="center" wrapText="1"/>
    </xf>
    <xf applyAlignment="1" borderId="0" fillId="12" fontId="1" numFmtId="0" pivotButton="0" quotePrefix="0" xfId="0">
      <alignment horizontal="center" wrapText="1"/>
    </xf>
    <xf borderId="6" fillId="8" fontId="0" numFmtId="0" pivotButton="0" quotePrefix="0" xfId="0"/>
    <xf borderId="10" fillId="10" fontId="0" numFmtId="0" pivotButton="0" quotePrefix="0" xfId="0"/>
    <xf borderId="10" fillId="8" fontId="0" numFmtId="0" pivotButton="0" quotePrefix="0" xfId="0"/>
    <xf borderId="12" fillId="10" fontId="0" numFmtId="0" pivotButton="0" quotePrefix="0" xfId="0"/>
    <xf borderId="12" fillId="8" fontId="0" numFmtId="0" pivotButton="0" quotePrefix="0" xfId="0"/>
    <xf applyAlignment="1" borderId="1" fillId="8" fontId="0" numFmtId="164" pivotButton="0" quotePrefix="0" xfId="0">
      <alignment horizontal="center"/>
    </xf>
    <xf applyAlignment="1" borderId="8" fillId="8" fontId="0" numFmtId="164" pivotButton="0" quotePrefix="0" xfId="0">
      <alignment horizontal="center"/>
    </xf>
    <xf applyAlignment="1" borderId="5" fillId="0" fontId="0" numFmtId="164" pivotButton="0" quotePrefix="0" xfId="0">
      <alignment horizontal="center"/>
    </xf>
    <xf applyAlignment="1" borderId="2" fillId="0" fontId="0" numFmtId="164" pivotButton="0" quotePrefix="0" xfId="0">
      <alignment horizontal="center"/>
    </xf>
    <xf applyAlignment="1" borderId="6" fillId="0" fontId="0" numFmtId="164" pivotButton="0" quotePrefix="0" xfId="0">
      <alignment horizontal="center"/>
    </xf>
    <xf applyAlignment="1" borderId="7" fillId="0" fontId="0" numFmtId="164" pivotButton="0" quotePrefix="0" xfId="0">
      <alignment horizontal="center"/>
    </xf>
    <xf applyAlignment="1" borderId="1" fillId="0" fontId="0" numFmtId="164" pivotButton="0" quotePrefix="0" xfId="0">
      <alignment horizontal="center"/>
    </xf>
    <xf applyAlignment="1" borderId="8" fillId="0" fontId="0" numFmtId="164" pivotButton="0" quotePrefix="0" xfId="0">
      <alignment horizontal="center"/>
    </xf>
    <xf borderId="10" fillId="12" fontId="0" numFmtId="0" pivotButton="0" quotePrefix="0" xfId="0"/>
    <xf borderId="9" fillId="14" fontId="0" numFmtId="0" pivotButton="0" quotePrefix="0" xfId="0"/>
    <xf borderId="10" fillId="14" fontId="0" numFmtId="9" pivotButton="0" quotePrefix="0" xfId="0"/>
    <xf borderId="9" fillId="13" fontId="0" numFmtId="0" pivotButton="0" quotePrefix="0" xfId="0"/>
    <xf borderId="10" fillId="13" fontId="0" numFmtId="9" pivotButton="0" quotePrefix="0" xfId="0"/>
    <xf borderId="11" fillId="0" fontId="0" numFmtId="0" pivotButton="0" quotePrefix="0" xfId="0"/>
    <xf borderId="3" fillId="0" fontId="0" numFmtId="9" pivotButton="0" quotePrefix="0" xfId="0"/>
    <xf borderId="12" fillId="0" fontId="0" numFmtId="9" pivotButton="0" quotePrefix="0" xfId="0"/>
    <xf borderId="5" fillId="13" fontId="0" numFmtId="0" pivotButton="0" quotePrefix="0" xfId="0"/>
    <xf borderId="6" fillId="0" fontId="0" numFmtId="9" pivotButton="0" quotePrefix="0" xfId="0"/>
    <xf borderId="11" fillId="14" fontId="0" numFmtId="0" pivotButton="0" quotePrefix="0" xfId="0"/>
    <xf borderId="12" fillId="14" fontId="0" numFmtId="9" pivotButton="0" quotePrefix="0" xfId="0"/>
    <xf applyAlignment="1" borderId="5" fillId="12" fontId="0" numFmtId="0" pivotButton="0" quotePrefix="0" xfId="0">
      <alignment horizontal="center" vertical="center"/>
    </xf>
    <xf applyAlignment="1" borderId="9" fillId="12" fontId="0" numFmtId="0" pivotButton="0" quotePrefix="0" xfId="0">
      <alignment horizontal="center" vertical="center"/>
    </xf>
    <xf borderId="0" fillId="12" fontId="0" numFmtId="0" pivotButton="0" quotePrefix="0" xfId="0"/>
    <xf borderId="2" fillId="0" fontId="0" numFmtId="9" pivotButton="0" quotePrefix="0" xfId="0"/>
    <xf borderId="3" fillId="14" fontId="0" numFmtId="9" pivotButton="0" quotePrefix="0" xfId="0"/>
    <xf applyAlignment="1" borderId="9" fillId="12" fontId="0" numFmtId="0" pivotButton="0" quotePrefix="0" xfId="0">
      <alignment horizontal="center"/>
    </xf>
    <xf borderId="5" fillId="0" fontId="0" numFmtId="9" pivotButton="0" quotePrefix="0" xfId="0"/>
    <xf borderId="9" fillId="14" fontId="0" numFmtId="9" pivotButton="0" quotePrefix="0" xfId="0"/>
    <xf borderId="9" fillId="13" fontId="0" numFmtId="9" pivotButton="0" quotePrefix="0" xfId="0"/>
    <xf borderId="11" fillId="14" fontId="0" numFmtId="9" pivotButton="0" quotePrefix="0" xfId="0"/>
    <xf borderId="11" fillId="0" fontId="0" numFmtId="9" pivotButton="0" quotePrefix="0" xfId="0"/>
    <xf borderId="5" fillId="0" fontId="0" numFmtId="2" pivotButton="0" quotePrefix="0" xfId="0"/>
    <xf borderId="6" fillId="0" fontId="0" numFmtId="2" pivotButton="0" quotePrefix="0" xfId="0"/>
    <xf borderId="2" fillId="0" fontId="0" numFmtId="2" pivotButton="0" quotePrefix="0" xfId="0"/>
    <xf borderId="9" fillId="14" fontId="0" numFmtId="2" pivotButton="0" quotePrefix="0" xfId="0"/>
    <xf borderId="10" fillId="14" fontId="0" numFmtId="2" pivotButton="0" quotePrefix="0" xfId="0"/>
    <xf borderId="0" fillId="14" fontId="0" numFmtId="2" pivotButton="0" quotePrefix="0" xfId="0"/>
    <xf borderId="9" fillId="13" fontId="0" numFmtId="2" pivotButton="0" quotePrefix="0" xfId="0"/>
    <xf borderId="10" fillId="13" fontId="0" numFmtId="2" pivotButton="0" quotePrefix="0" xfId="0"/>
    <xf borderId="11" fillId="14" fontId="0" numFmtId="2" pivotButton="0" quotePrefix="0" xfId="0"/>
    <xf borderId="12" fillId="14" fontId="0" numFmtId="2" pivotButton="0" quotePrefix="0" xfId="0"/>
    <xf borderId="3" fillId="14" fontId="0" numFmtId="2" pivotButton="0" quotePrefix="0" xfId="0"/>
    <xf borderId="11" fillId="0" fontId="0" numFmtId="2" pivotButton="0" quotePrefix="0" xfId="0"/>
    <xf borderId="12" fillId="0" fontId="0" numFmtId="2" pivotButton="0" quotePrefix="0" xfId="0"/>
    <xf borderId="3" fillId="0" fontId="0" numFmtId="2" pivotButton="0" quotePrefix="0" xfId="0"/>
    <xf applyAlignment="1" borderId="0" fillId="12" fontId="0" numFmtId="0" pivotButton="0" quotePrefix="0" xfId="0">
      <alignment horizontal="center"/>
    </xf>
    <xf borderId="2" fillId="8" fontId="0" numFmtId="0" pivotButton="0" quotePrefix="0" xfId="0"/>
    <xf borderId="0" fillId="8" fontId="0" numFmtId="0" pivotButton="0" quotePrefix="0" xfId="0"/>
    <xf borderId="9" fillId="0" fontId="0" numFmtId="2" pivotButton="0" quotePrefix="0" xfId="0"/>
    <xf borderId="0" fillId="0" fontId="0" numFmtId="2" pivotButton="0" quotePrefix="0" xfId="0"/>
    <xf borderId="10" fillId="0" fontId="0" numFmtId="2" pivotButton="0" quotePrefix="0" xfId="0"/>
    <xf borderId="7" fillId="0" fontId="0" numFmtId="2" pivotButton="0" quotePrefix="0" xfId="0"/>
    <xf borderId="1" fillId="0" fontId="0" numFmtId="2" pivotButton="0" quotePrefix="0" xfId="0"/>
    <xf borderId="8" fillId="0" fontId="0" numFmtId="2" pivotButton="0" quotePrefix="0" xfId="0"/>
    <xf borderId="5" fillId="14" fontId="0" numFmtId="2" pivotButton="0" quotePrefix="0" xfId="0"/>
    <xf borderId="6" fillId="14" fontId="0" numFmtId="2" pivotButton="0" quotePrefix="0" xfId="0"/>
    <xf borderId="2" fillId="14" fontId="0" numFmtId="2" pivotButton="0" quotePrefix="0" xfId="0"/>
    <xf borderId="11" fillId="13" fontId="0" numFmtId="2" pivotButton="0" quotePrefix="0" xfId="0"/>
    <xf borderId="12" fillId="13" fontId="0" numFmtId="2" pivotButton="0" quotePrefix="0" xfId="0"/>
    <xf borderId="3" fillId="13" fontId="0" numFmtId="2" pivotButton="0" quotePrefix="0" xfId="0"/>
    <xf applyAlignment="1" borderId="11" fillId="12" fontId="0" numFmtId="0" pivotButton="0" quotePrefix="0" xfId="0">
      <alignment horizontal="center"/>
    </xf>
    <xf borderId="12" fillId="12" fontId="0" numFmtId="0" pivotButton="0" quotePrefix="0" xfId="0"/>
    <xf borderId="0" fillId="13" fontId="0" numFmtId="2" pivotButton="0" quotePrefix="0" xfId="0"/>
    <xf borderId="0" fillId="14" fontId="0" numFmtId="2" pivotButton="0" quotePrefix="0" xfId="0"/>
    <xf borderId="0" fillId="14" fontId="0" numFmtId="9" pivotButton="0" quotePrefix="0" xfId="0"/>
    <xf borderId="0" fillId="13" fontId="0" numFmtId="9" pivotButton="0" quotePrefix="0" xfId="0"/>
    <xf borderId="5" fillId="10" fontId="0" numFmtId="0" pivotButton="0" quotePrefix="0" xfId="0"/>
    <xf borderId="6" fillId="10" fontId="0" numFmtId="0" pivotButton="0" quotePrefix="0" xfId="0"/>
    <xf borderId="0" fillId="12" fontId="0" numFmtId="0" pivotButton="0" quotePrefix="0" xfId="0"/>
    <xf borderId="0" fillId="0" fontId="0" numFmtId="2" pivotButton="0" quotePrefix="0" xfId="0"/>
    <xf applyAlignment="1" borderId="0" fillId="2" fontId="1" numFmtId="0" pivotButton="0" quotePrefix="0" xfId="0">
      <alignment horizontal="center" wrapText="1"/>
    </xf>
    <xf applyAlignment="1" borderId="0" fillId="3" fontId="1" numFmtId="0" pivotButton="0" quotePrefix="0" xfId="0">
      <alignment horizontal="center" wrapText="1"/>
    </xf>
    <xf applyAlignment="1" borderId="1" fillId="4" fontId="1" numFmtId="0" pivotButton="0" quotePrefix="0" xfId="0">
      <alignment horizontal="center" vertical="center" wrapText="1"/>
    </xf>
    <xf applyAlignment="1" borderId="2" fillId="4" fontId="1" numFmtId="0" pivotButton="0" quotePrefix="0" xfId="0">
      <alignment horizontal="center" vertical="center" wrapText="1"/>
    </xf>
    <xf applyAlignment="1" borderId="0" fillId="4" fontId="1" numFmtId="0" pivotButton="0" quotePrefix="0" xfId="0">
      <alignment horizontal="center" vertical="center" wrapText="1"/>
    </xf>
    <xf applyAlignment="1" borderId="0" fillId="5" fontId="1" numFmtId="0" pivotButton="0" quotePrefix="0" xfId="0">
      <alignment horizontal="center" vertical="center" wrapText="1"/>
    </xf>
    <xf applyAlignment="1" borderId="0" fillId="0" fontId="0" numFmtId="9" pivotButton="0" quotePrefix="0" xfId="0">
      <alignment horizontal="center"/>
    </xf>
    <xf applyAlignment="1" borderId="3" fillId="0" fontId="0" numFmtId="9" pivotButton="0" quotePrefix="0" xfId="0">
      <alignment horizontal="center"/>
    </xf>
    <xf applyAlignment="1" borderId="3" fillId="5" fontId="1" numFmtId="0" pivotButton="0" quotePrefix="0" xfId="0">
      <alignment horizontal="center" wrapText="1"/>
    </xf>
    <xf applyAlignment="1" borderId="3" fillId="4" fontId="1" numFmtId="0" pivotButton="0" quotePrefix="0" xfId="0">
      <alignment horizontal="center" wrapText="1"/>
    </xf>
    <xf applyAlignment="1" borderId="0" fillId="5" fontId="1" numFmtId="0" pivotButton="0" quotePrefix="0" xfId="0">
      <alignment horizontal="center" wrapText="1"/>
    </xf>
    <xf applyAlignment="1" borderId="0" fillId="4" fontId="1" numFmtId="0" pivotButton="0" quotePrefix="0" xfId="0">
      <alignment horizontal="center" wrapText="1"/>
    </xf>
    <xf applyAlignment="1" borderId="0" fillId="7" fontId="1" numFmtId="0" pivotButton="0" quotePrefix="0" xfId="0">
      <alignment horizontal="left" vertical="top"/>
    </xf>
    <xf applyAlignment="1" borderId="5" fillId="12" fontId="0" numFmtId="0" pivotButton="0" quotePrefix="0" xfId="0">
      <alignment horizontal="center"/>
    </xf>
    <xf applyAlignment="1" borderId="6" fillId="12" fontId="0" numFmtId="0" pivotButton="0" quotePrefix="0" xfId="0">
      <alignment horizontal="center"/>
    </xf>
    <xf applyAlignment="1" borderId="16" fillId="0" fontId="1" numFmtId="0" pivotButton="0" quotePrefix="0" xfId="0">
      <alignment horizontal="left" wrapText="1"/>
    </xf>
    <xf borderId="12" fillId="0" fontId="0" numFmtId="0" pivotButton="0" quotePrefix="0" xfId="0"/>
    <xf applyAlignment="1" borderId="7" fillId="12" fontId="1" numFmtId="0" pivotButton="0" quotePrefix="0" xfId="0">
      <alignment horizontal="center" textRotation="180" vertical="top" wrapText="1"/>
    </xf>
    <xf borderId="11" fillId="0" fontId="0" numFmtId="0" pivotButton="0" quotePrefix="0" xfId="0"/>
    <xf applyAlignment="1" borderId="8" fillId="12" fontId="1" numFmtId="0" pivotButton="0" quotePrefix="0" xfId="0">
      <alignment horizontal="center" textRotation="180" vertical="top"/>
    </xf>
    <xf applyAlignment="1" borderId="9" fillId="0" fontId="0" numFmtId="0" pivotButton="0" quotePrefix="0" xfId="0">
      <alignment horizontal="left" wrapText="1"/>
    </xf>
    <xf borderId="10" fillId="0" fontId="0" numFmtId="0" pivotButton="0" quotePrefix="0" xfId="0"/>
    <xf applyAlignment="1" borderId="14" fillId="12" fontId="0" numFmtId="0" pivotButton="0" quotePrefix="0" xfId="0">
      <alignment horizontal="center"/>
    </xf>
    <xf borderId="6" fillId="0" fontId="0" numFmtId="0" pivotButton="0" quotePrefix="0" xfId="0"/>
    <xf borderId="9" fillId="0" fontId="0" numFmtId="0" pivotButton="0" quotePrefix="0" xfId="0"/>
    <xf borderId="10" fillId="0" fontId="0" numFmtId="0" pivotButton="0" quotePrefix="0" xfId="0"/>
    <xf applyAlignment="1" borderId="8" fillId="12" fontId="0" numFmtId="0" pivotButton="0" quotePrefix="0" xfId="0">
      <alignment horizontal="center"/>
    </xf>
    <xf borderId="1" fillId="0" fontId="0" numFmtId="0" pivotButton="0" quotePrefix="0" xfId="0"/>
    <xf applyAlignment="1" borderId="13" fillId="12" fontId="0" numFmtId="0" pivotButton="0" quotePrefix="0" xfId="0">
      <alignment horizontal="center"/>
    </xf>
    <xf borderId="8" fillId="0" fontId="0" numFmtId="0" pivotButton="0" quotePrefix="0" xfId="0"/>
    <xf applyAlignment="1" borderId="15" fillId="0" fontId="1" numFmtId="0" pivotButton="0" quotePrefix="0" xfId="0">
      <alignment horizontal="left" wrapText="1"/>
    </xf>
    <xf applyAlignment="1" borderId="13" fillId="0" fontId="1" numFmtId="0" pivotButton="0" quotePrefix="0" xfId="0">
      <alignment horizontal="left" wrapText="1"/>
    </xf>
    <xf applyAlignment="1" borderId="2" fillId="12" fontId="0" numFmtId="0" pivotButton="0" quotePrefix="0" xfId="0">
      <alignment horizontal="center"/>
    </xf>
    <xf applyAlignment="1" borderId="7" fillId="12" fontId="0" numFmtId="0" pivotButton="0" quotePrefix="0" xfId="0">
      <alignment horizontal="center"/>
    </xf>
    <xf applyAlignment="1" borderId="1" fillId="12" fontId="0" numFmtId="0" pivotButton="0" quotePrefix="0" xfId="0">
      <alignment horizontal="center"/>
    </xf>
    <xf applyAlignment="1" borderId="6" fillId="12" fontId="1" numFmtId="0" pivotButton="0" quotePrefix="0" xfId="0">
      <alignment horizontal="center" wrapText="1"/>
    </xf>
    <xf borderId="2" fillId="0" fontId="0" numFmtId="0" pivotButton="0" quotePrefix="0" xfId="0"/>
    <xf applyAlignment="1" borderId="14" fillId="12" fontId="1" numFmtId="0" pivotButton="0" quotePrefix="0" xfId="0">
      <alignment horizontal="center" wrapText="1"/>
    </xf>
    <xf applyAlignment="1" borderId="2" fillId="12" fontId="1" numFmtId="0" pivotButton="0" quotePrefix="0" xfId="0">
      <alignment horizontal="center" wrapText="1"/>
    </xf>
    <xf applyAlignment="1" borderId="5" fillId="12" fontId="1" numFmtId="0" pivotButton="0" quotePrefix="0" xfId="0">
      <alignment horizontal="center" wrapText="1"/>
    </xf>
    <xf borderId="18" fillId="0" fontId="0" numFmtId="0" pivotButton="0" quotePrefix="0" xfId="0"/>
    <xf borderId="17" fillId="0" fontId="0" numFmtId="0" pivotButton="0" quotePrefix="0" xfId="0"/>
    <xf applyAlignment="1" borderId="19" fillId="12" fontId="0" numFmtId="0" pivotButton="0" quotePrefix="0" xfId="0">
      <alignment horizontal="center"/>
    </xf>
    <xf borderId="19" fillId="0" fontId="0" numFmtId="0" pivotButton="0" quotePrefix="0" xfId="0"/>
    <xf applyAlignment="1" borderId="15" fillId="0" fontId="0" numFmtId="0" pivotButton="0" quotePrefix="0" xfId="0">
      <alignment horizontal="left" wrapText="1"/>
    </xf>
  </cellXfs>
  <cellStyles count="1">
    <cellStyle builtinId="0" name="Normal" xfId="0"/>
  </cellStyles>
  <dxfs count="17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diagonal/>
        <vertical/>
        <horizontal/>
      </border>
    </dxf>
    <dxf>
      <fill>
        <patternFill>
          <bgColor rgb="FFFFAAAA"/>
        </patternFill>
      </fill>
      <border>
        <left style="medium">
          <color rgb="FFFF0000"/>
        </left>
        <right style="medium">
          <color rgb="FFFF0000"/>
        </right>
        <top style="medium">
          <color rgb="FFFF0000"/>
        </top>
        <bottom style="medium">
          <color rgb="FFFF0000"/>
        </bottom>
        <diagonal/>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styles.xml" Type="http://schemas.openxmlformats.org/officeDocument/2006/relationships/styles" /><Relationship Id="rId10" Target="theme/theme1.xml" Type="http://schemas.openxmlformats.org/officeDocument/2006/relationships/theme" /><Relationship Id="rId11" Target="vbaProject.bin" Type="http://schemas.microsoft.com/office/2006/relationships/vbaProject" /></Relationships>
</file>

<file path=xl/charts/chart1.xml><?xml version="1.0" encoding="utf-8"?>
<chartSpace xmlns:a="http://schemas.openxmlformats.org/drawingml/2006/main" xmlns="http://schemas.openxmlformats.org/drawingml/2006/chart">
  <chart>
    <title>
      <tx>
        <strRef>
          <f>Graphs!graph_a_title</f>
          <strCache>
            <ptCount val="1"/>
            <pt idx="0">
              <v>D1 Geometry PSNR (Graph a)</v>
            </pt>
          </strCache>
        </strRef>
      </tx>
      <overlay val="0"/>
      <txPr>
        <a:bodyPr/>
        <a:lstStyle/>
        <a:p>
          <a:pPr>
            <a:defRPr/>
          </a:pPr>
          <a:r>
            <a:t/>
          </a:r>
          <a:endParaRPr lang="en-US"/>
        </a:p>
      </txPr>
    </title>
    <plotArea>
      <layout/>
      <scatterChart>
        <scatterStyle val="smoothMarker"/>
        <varyColors val="0"/>
        <ser>
          <idx val="0"/>
          <order val="0"/>
          <tx>
            <strRef>
              <f>Graphs!graph_a_A_title</f>
              <strCache>
                <ptCount val="1"/>
                <pt idx="0">
                  <v>reference</v>
                </pt>
              </strCache>
            </strRef>
          </tx>
          <spPr>
            <a:ln>
              <a:prstDash val="solid"/>
            </a:ln>
          </spPr>
          <marker>
            <symbol val="none"/>
            <spPr>
              <a:ln>
                <a:prstDash val="solid"/>
              </a:ln>
            </spPr>
          </marker>
          <xVal>
            <strRef>
              <f>Graphs!graph_a_x_range_A</f>
              <strCache>
                <ptCount val="5"/>
                <pt idx="0">
                  <v>·</v>
                </pt>
                <pt idx="1">
                  <v>·</v>
                </pt>
                <pt idx="2">
                  <v>·</v>
                </pt>
                <pt idx="3">
                  <v>·</v>
                </pt>
                <pt idx="4">
                  <v>·</v>
                </pt>
              </strCache>
            </strRef>
          </xVal>
          <yVal>
            <numRef>
              <f>Graphs!graph_a_y_range_A</f>
              <numCache>
                <formatCode>0.00</formatCode>
                <ptCount val="5"/>
              </numCache>
            </numRef>
          </yVal>
          <smooth val="1"/>
        </ser>
        <ser>
          <idx val="1"/>
          <order val="1"/>
          <tx>
            <strRef>
              <f>Graphs!graph_a_B_title</f>
              <strCache>
                <ptCount val="1"/>
                <pt idx="0">
                  <v>tested</v>
                </pt>
              </strCache>
            </strRef>
          </tx>
          <spPr>
            <a:ln>
              <a:prstDash val="solid"/>
            </a:ln>
          </spPr>
          <marker>
            <symbol val="none"/>
            <spPr>
              <a:ln>
                <a:prstDash val="solid"/>
              </a:ln>
            </spPr>
          </marker>
          <xVal>
            <strRef>
              <f>Graphs!graph_a_x_range_B</f>
              <strCache>
                <ptCount val="5"/>
                <pt idx="0">
                  <v>·</v>
                </pt>
                <pt idx="1">
                  <v>·</v>
                </pt>
                <pt idx="2">
                  <v>·</v>
                </pt>
                <pt idx="3">
                  <v>·</v>
                </pt>
                <pt idx="4">
                  <v>·</v>
                </pt>
              </strCache>
            </strRef>
          </xVal>
          <yVal>
            <numRef>
              <f>Graphs!graph_a_y_range_B</f>
              <numCache>
                <formatCode>0.00</formatCode>
                <ptCount val="5"/>
              </numCache>
            </numRef>
          </yVal>
          <smooth val="1"/>
        </ser>
        <dLbls>
          <showLegendKey val="0"/>
          <showVal val="0"/>
          <showCatName val="0"/>
          <showSerName val="0"/>
          <showPercent val="0"/>
          <showBubbleSize val="0"/>
        </dLbls>
        <axId val="50010001"/>
        <axId val="50010002"/>
      </scatterChart>
      <valAx>
        <axId val="50010001"/>
        <scaling>
          <orientation val="minMax"/>
        </scaling>
        <delete val="0"/>
        <axPos val="b"/>
        <title>
          <tx>
            <strRef>
              <f>Graphs!graph_a_x_title</f>
              <strCache>
                <ptCount val="1"/>
                <pt idx="0">
                  <v>Geometry Bits per input point</v>
                </pt>
              </strCache>
            </strRef>
          </tx>
          <overlay val="0"/>
          <txPr>
            <a:bodyPr/>
            <a:lstStyle/>
            <a:p>
              <a:pPr>
                <a:defRPr/>
              </a:pPr>
              <a:r>
                <a:t/>
              </a:r>
              <a:endParaRPr lang="en-US"/>
            </a:p>
          </txPr>
        </title>
        <numFmt formatCode="General" sourceLinked="1"/>
        <majorTickMark val="out"/>
        <minorTickMark val="none"/>
        <tickLblPos val="nextTo"/>
        <crossAx val="50010002"/>
        <crosses val="autoZero"/>
        <crossBetween val="midCat"/>
      </valAx>
      <valAx>
        <axId val="50010002"/>
        <scaling>
          <orientation val="minMax"/>
        </scaling>
        <delete val="0"/>
        <axPos val="l"/>
        <majorGridlines/>
        <title>
          <tx>
            <strRef>
              <f>Graphs!graph_a_y_title</f>
              <strCache>
                <ptCount val="1"/>
                <pt idx="0">
                  <v>D1 Geometry PSNR</v>
                </pt>
              </strCache>
            </strRef>
          </tx>
          <overlay val="0"/>
          <txPr>
            <a:bodyPr rot="-5400000" vert="horz"/>
            <a:lstStyle/>
            <a:p>
              <a:pPr>
                <a:defRPr/>
              </a:pPr>
              <a:r>
                <a:t/>
              </a:r>
              <a:endParaRPr lang="en-US"/>
            </a:p>
          </txPr>
        </title>
        <numFmt formatCode="0.00" sourceLinked="1"/>
        <majorTickMark val="out"/>
        <minorTickMark val="none"/>
        <tickLblPos val="nextTo"/>
        <crossAx val="50010001"/>
        <crosses val="autoZero"/>
        <crossBetween val="midCat"/>
      </valAx>
    </plotArea>
    <legend>
      <legendPos val="b"/>
      <overlay val="0"/>
    </legend>
    <plotVisOnly val="1"/>
    <dispBlanksAs val="gap"/>
  </chart>
</chartSpace>
</file>

<file path=xl/charts/chart2.xml><?xml version="1.0" encoding="utf-8"?>
<chartSpace xmlns:a="http://schemas.openxmlformats.org/drawingml/2006/main" xmlns="http://schemas.openxmlformats.org/drawingml/2006/chart">
  <chart>
    <title>
      <tx>
        <strRef>
          <f>Graphs!graph_b_title</f>
          <strCache>
            <ptCount val="1"/>
            <pt idx="0">
              <v>D2 Geometry PSNR (Graph b)</v>
            </pt>
          </strCache>
        </strRef>
      </tx>
      <overlay val="0"/>
      <txPr>
        <a:bodyPr/>
        <a:lstStyle/>
        <a:p>
          <a:pPr>
            <a:defRPr/>
          </a:pPr>
          <a:r>
            <a:t/>
          </a:r>
          <a:endParaRPr lang="en-US"/>
        </a:p>
      </txPr>
    </title>
    <plotArea>
      <layout/>
      <scatterChart>
        <scatterStyle val="smoothMarker"/>
        <varyColors val="0"/>
        <ser>
          <idx val="0"/>
          <order val="0"/>
          <tx>
            <strRef>
              <f>Graphs!graph_b_A_title</f>
              <strCache>
                <ptCount val="1"/>
                <pt idx="0">
                  <v>reference</v>
                </pt>
              </strCache>
            </strRef>
          </tx>
          <spPr>
            <a:ln>
              <a:prstDash val="solid"/>
            </a:ln>
          </spPr>
          <marker>
            <symbol val="none"/>
            <spPr>
              <a:ln>
                <a:prstDash val="solid"/>
              </a:ln>
            </spPr>
          </marker>
          <xVal>
            <strRef>
              <f>Graphs!graph_b_x_range_A</f>
              <strCache>
                <ptCount val="5"/>
                <pt idx="0">
                  <v>·</v>
                </pt>
                <pt idx="1">
                  <v>·</v>
                </pt>
                <pt idx="2">
                  <v>·</v>
                </pt>
                <pt idx="3">
                  <v>·</v>
                </pt>
                <pt idx="4">
                  <v>·</v>
                </pt>
              </strCache>
            </strRef>
          </xVal>
          <yVal>
            <numRef>
              <f>Graphs!graph_b_y_range_A</f>
              <numCache>
                <formatCode>0.00</formatCode>
                <ptCount val="5"/>
              </numCache>
            </numRef>
          </yVal>
          <smooth val="1"/>
        </ser>
        <ser>
          <idx val="1"/>
          <order val="1"/>
          <tx>
            <strRef>
              <f>Graphs!graph_b_B_title</f>
              <strCache>
                <ptCount val="1"/>
                <pt idx="0">
                  <v>tested</v>
                </pt>
              </strCache>
            </strRef>
          </tx>
          <spPr>
            <a:ln>
              <a:prstDash val="solid"/>
            </a:ln>
          </spPr>
          <marker>
            <symbol val="none"/>
            <spPr>
              <a:ln>
                <a:prstDash val="solid"/>
              </a:ln>
            </spPr>
          </marker>
          <xVal>
            <strRef>
              <f>Graphs!graph_b_x_range_B</f>
              <strCache>
                <ptCount val="5"/>
                <pt idx="0">
                  <v>·</v>
                </pt>
                <pt idx="1">
                  <v>·</v>
                </pt>
                <pt idx="2">
                  <v>·</v>
                </pt>
                <pt idx="3">
                  <v>·</v>
                </pt>
                <pt idx="4">
                  <v>·</v>
                </pt>
              </strCache>
            </strRef>
          </xVal>
          <yVal>
            <numRef>
              <f>Graphs!graph_b_y_range_B</f>
              <numCache>
                <formatCode>0.00</formatCode>
                <ptCount val="5"/>
              </numCache>
            </numRef>
          </yVal>
          <smooth val="1"/>
        </ser>
        <dLbls>
          <showLegendKey val="0"/>
          <showVal val="0"/>
          <showCatName val="0"/>
          <showSerName val="0"/>
          <showPercent val="0"/>
          <showBubbleSize val="0"/>
        </dLbls>
        <axId val="50020001"/>
        <axId val="50020002"/>
      </scatterChart>
      <valAx>
        <axId val="50020001"/>
        <scaling>
          <orientation val="minMax"/>
        </scaling>
        <delete val="0"/>
        <axPos val="b"/>
        <title>
          <tx>
            <strRef>
              <f>Graphs!graph_b_x_title</f>
              <strCache>
                <ptCount val="1"/>
                <pt idx="0">
                  <v>Geometry Bits per input point</v>
                </pt>
              </strCache>
            </strRef>
          </tx>
          <overlay val="0"/>
          <txPr>
            <a:bodyPr/>
            <a:lstStyle/>
            <a:p>
              <a:pPr>
                <a:defRPr/>
              </a:pPr>
              <a:r>
                <a:t/>
              </a:r>
              <a:endParaRPr lang="en-US"/>
            </a:p>
          </txPr>
        </title>
        <numFmt formatCode="General" sourceLinked="1"/>
        <majorTickMark val="out"/>
        <minorTickMark val="none"/>
        <tickLblPos val="nextTo"/>
        <crossAx val="50020002"/>
        <crosses val="autoZero"/>
        <crossBetween val="midCat"/>
      </valAx>
      <valAx>
        <axId val="50020002"/>
        <scaling>
          <orientation val="minMax"/>
        </scaling>
        <delete val="0"/>
        <axPos val="l"/>
        <majorGridlines/>
        <title>
          <tx>
            <strRef>
              <f>Graphs!graph_b_y_title</f>
              <strCache>
                <ptCount val="1"/>
                <pt idx="0">
                  <v>D2 Geometry PSNR</v>
                </pt>
              </strCache>
            </strRef>
          </tx>
          <overlay val="0"/>
          <txPr>
            <a:bodyPr rot="-5400000" vert="horz"/>
            <a:lstStyle/>
            <a:p>
              <a:pPr>
                <a:defRPr/>
              </a:pPr>
              <a:r>
                <a:t/>
              </a:r>
              <a:endParaRPr lang="en-US"/>
            </a:p>
          </txPr>
        </title>
        <numFmt formatCode="0.00" sourceLinked="1"/>
        <majorTickMark val="out"/>
        <minorTickMark val="none"/>
        <tickLblPos val="nextTo"/>
        <crossAx val="50020001"/>
        <crosses val="autoZero"/>
        <crossBetween val="midCat"/>
      </valAx>
    </plotArea>
    <legend>
      <legendPos val="b"/>
      <overlay val="0"/>
    </legend>
    <plotVisOnly val="1"/>
    <dispBlanksAs val="gap"/>
  </chart>
</chartSpace>
</file>

<file path=xl/charts/chart3.xml><?xml version="1.0" encoding="utf-8"?>
<chartSpace xmlns:a="http://schemas.openxmlformats.org/drawingml/2006/main" xmlns="http://schemas.openxmlformats.org/drawingml/2006/chart">
  <chart>
    <title>
      <tx>
        <strRef>
          <f>Graphs!graph_c_title</f>
          <strCache>
            <ptCount val="1"/>
            <pt idx="0">
              <v>Luma End-to-end PSNR (Graph c)</v>
            </pt>
          </strCache>
        </strRef>
      </tx>
      <overlay val="0"/>
      <txPr>
        <a:bodyPr/>
        <a:lstStyle/>
        <a:p>
          <a:pPr>
            <a:defRPr/>
          </a:pPr>
          <a:r>
            <a:t/>
          </a:r>
          <a:endParaRPr lang="en-US"/>
        </a:p>
      </txPr>
    </title>
    <plotArea>
      <layout/>
      <scatterChart>
        <scatterStyle val="smoothMarker"/>
        <varyColors val="0"/>
        <ser>
          <idx val="0"/>
          <order val="0"/>
          <tx>
            <strRef>
              <f>Graphs!graph_c_A_title</f>
              <strCache>
                <ptCount val="1"/>
                <pt idx="0">
                  <v>reference</v>
                </pt>
              </strCache>
            </strRef>
          </tx>
          <spPr>
            <a:ln>
              <a:prstDash val="solid"/>
            </a:ln>
          </spPr>
          <marker>
            <symbol val="none"/>
            <spPr>
              <a:ln>
                <a:prstDash val="solid"/>
              </a:ln>
            </spPr>
          </marker>
          <xVal>
            <strRef>
              <f>Graphs!graph_c_x_range_A</f>
              <strCache>
                <ptCount val="5"/>
                <pt idx="0">
                  <v>·</v>
                </pt>
                <pt idx="1">
                  <v>·</v>
                </pt>
                <pt idx="2">
                  <v>·</v>
                </pt>
                <pt idx="3">
                  <v>·</v>
                </pt>
                <pt idx="4">
                  <v>·</v>
                </pt>
              </strCache>
            </strRef>
          </xVal>
          <yVal>
            <numRef>
              <f>Graphs!graph_c_y_range_A</f>
              <numCache>
                <formatCode>0.00</formatCode>
                <ptCount val="5"/>
              </numCache>
            </numRef>
          </yVal>
          <smooth val="1"/>
        </ser>
        <ser>
          <idx val="1"/>
          <order val="1"/>
          <tx>
            <strRef>
              <f>Graphs!graph_c_B_title</f>
              <strCache>
                <ptCount val="1"/>
                <pt idx="0">
                  <v>tested</v>
                </pt>
              </strCache>
            </strRef>
          </tx>
          <spPr>
            <a:ln>
              <a:prstDash val="solid"/>
            </a:ln>
          </spPr>
          <marker>
            <symbol val="none"/>
            <spPr>
              <a:ln>
                <a:prstDash val="solid"/>
              </a:ln>
            </spPr>
          </marker>
          <xVal>
            <strRef>
              <f>Graphs!graph_c_x_range_B</f>
              <strCache>
                <ptCount val="5"/>
                <pt idx="0">
                  <v>·</v>
                </pt>
                <pt idx="1">
                  <v>·</v>
                </pt>
                <pt idx="2">
                  <v>·</v>
                </pt>
                <pt idx="3">
                  <v>·</v>
                </pt>
                <pt idx="4">
                  <v>·</v>
                </pt>
              </strCache>
            </strRef>
          </xVal>
          <yVal>
            <numRef>
              <f>Graphs!graph_c_y_range_B</f>
              <numCache>
                <formatCode>0.00</formatCode>
                <ptCount val="5"/>
              </numCache>
            </numRef>
          </yVal>
          <smooth val="1"/>
        </ser>
        <dLbls>
          <showLegendKey val="0"/>
          <showVal val="0"/>
          <showCatName val="0"/>
          <showSerName val="0"/>
          <showPercent val="0"/>
          <showBubbleSize val="0"/>
        </dLbls>
        <axId val="50030001"/>
        <axId val="50030002"/>
      </scatterChart>
      <valAx>
        <axId val="50030001"/>
        <scaling>
          <orientation val="minMax"/>
        </scaling>
        <delete val="0"/>
        <axPos val="b"/>
        <title>
          <tx>
            <strRef>
              <f>Graphs!graph_c_x_title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30002"/>
        <crosses val="autoZero"/>
        <crossBetween val="midCat"/>
      </valAx>
      <valAx>
        <axId val="50030002"/>
        <scaling>
          <orientation val="minMax"/>
        </scaling>
        <delete val="0"/>
        <axPos val="l"/>
        <majorGridlines/>
        <title>
          <tx>
            <strRef>
              <f>Graphs!graph_c_y_title</f>
              <strCache>
                <ptCount val="1"/>
                <pt idx="0">
                  <v>Luma End-to-end PSNR</v>
                </pt>
              </strCache>
            </strRef>
          </tx>
          <overlay val="0"/>
          <txPr>
            <a:bodyPr rot="-5400000" vert="horz"/>
            <a:lstStyle/>
            <a:p>
              <a:pPr>
                <a:defRPr/>
              </a:pPr>
              <a:r>
                <a:t/>
              </a:r>
              <a:endParaRPr lang="en-US"/>
            </a:p>
          </txPr>
        </title>
        <numFmt formatCode="0.00" sourceLinked="1"/>
        <majorTickMark val="out"/>
        <minorTickMark val="none"/>
        <tickLblPos val="nextTo"/>
        <crossAx val="50030001"/>
        <crosses val="autoZero"/>
        <crossBetween val="midCat"/>
      </valAx>
    </plotArea>
    <legend>
      <legendPos val="b"/>
      <overlay val="0"/>
    </legend>
    <plotVisOnly val="1"/>
    <dispBlanksAs val="gap"/>
  </chart>
</chartSpace>
</file>

<file path=xl/charts/chart4.xml><?xml version="1.0" encoding="utf-8"?>
<chartSpace xmlns:a="http://schemas.openxmlformats.org/drawingml/2006/main" xmlns="http://schemas.openxmlformats.org/drawingml/2006/chart">
  <chart>
    <title>
      <tx>
        <strRef>
          <f>Graphs!graph_d_title</f>
          <strCache>
            <ptCount val="1"/>
            <pt idx="0">
              <v>Chroma Cb End-to-end PSNR (Graph d)</v>
            </pt>
          </strCache>
        </strRef>
      </tx>
      <overlay val="0"/>
      <txPr>
        <a:bodyPr/>
        <a:lstStyle/>
        <a:p>
          <a:pPr>
            <a:defRPr/>
          </a:pPr>
          <a:r>
            <a:t/>
          </a:r>
          <a:endParaRPr lang="en-US"/>
        </a:p>
      </txPr>
    </title>
    <plotArea>
      <layout/>
      <scatterChart>
        <scatterStyle val="smoothMarker"/>
        <varyColors val="0"/>
        <ser>
          <idx val="0"/>
          <order val="0"/>
          <tx>
            <strRef>
              <f>Graphs!graph_d_A_title</f>
              <strCache>
                <ptCount val="1"/>
                <pt idx="0">
                  <v>reference</v>
                </pt>
              </strCache>
            </strRef>
          </tx>
          <spPr>
            <a:ln>
              <a:prstDash val="solid"/>
            </a:ln>
          </spPr>
          <marker>
            <symbol val="none"/>
            <spPr>
              <a:ln>
                <a:prstDash val="solid"/>
              </a:ln>
            </spPr>
          </marker>
          <xVal>
            <strRef>
              <f>Graphs!graph_d_x_range_A</f>
              <strCache>
                <ptCount val="5"/>
                <pt idx="0">
                  <v>·</v>
                </pt>
                <pt idx="1">
                  <v>·</v>
                </pt>
                <pt idx="2">
                  <v>·</v>
                </pt>
                <pt idx="3">
                  <v>·</v>
                </pt>
                <pt idx="4">
                  <v>·</v>
                </pt>
              </strCache>
            </strRef>
          </xVal>
          <yVal>
            <numRef>
              <f>Graphs!graph_d_y_range_A</f>
              <numCache>
                <formatCode>0.00</formatCode>
                <ptCount val="5"/>
              </numCache>
            </numRef>
          </yVal>
          <smooth val="1"/>
        </ser>
        <ser>
          <idx val="1"/>
          <order val="1"/>
          <tx>
            <strRef>
              <f>Graphs!graph_d_B_title</f>
              <strCache>
                <ptCount val="1"/>
                <pt idx="0">
                  <v>tested</v>
                </pt>
              </strCache>
            </strRef>
          </tx>
          <spPr>
            <a:ln>
              <a:prstDash val="solid"/>
            </a:ln>
          </spPr>
          <marker>
            <symbol val="none"/>
            <spPr>
              <a:ln>
                <a:prstDash val="solid"/>
              </a:ln>
            </spPr>
          </marker>
          <xVal>
            <strRef>
              <f>Graphs!graph_d_x_range_B</f>
              <strCache>
                <ptCount val="5"/>
                <pt idx="0">
                  <v>·</v>
                </pt>
                <pt idx="1">
                  <v>·</v>
                </pt>
                <pt idx="2">
                  <v>·</v>
                </pt>
                <pt idx="3">
                  <v>·</v>
                </pt>
                <pt idx="4">
                  <v>·</v>
                </pt>
              </strCache>
            </strRef>
          </xVal>
          <yVal>
            <numRef>
              <f>Graphs!graph_d_y_range_B</f>
              <numCache>
                <formatCode>0.00</formatCode>
                <ptCount val="5"/>
              </numCache>
            </numRef>
          </yVal>
          <smooth val="1"/>
        </ser>
        <dLbls>
          <showLegendKey val="0"/>
          <showVal val="0"/>
          <showCatName val="0"/>
          <showSerName val="0"/>
          <showPercent val="0"/>
          <showBubbleSize val="0"/>
        </dLbls>
        <axId val="50040001"/>
        <axId val="50040002"/>
      </scatterChart>
      <valAx>
        <axId val="50040001"/>
        <scaling>
          <orientation val="minMax"/>
        </scaling>
        <delete val="0"/>
        <axPos val="b"/>
        <title>
          <tx>
            <strRef>
              <f>Graphs!graph_d_x_title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40002"/>
        <crosses val="autoZero"/>
        <crossBetween val="midCat"/>
      </valAx>
      <valAx>
        <axId val="50040002"/>
        <scaling>
          <orientation val="minMax"/>
        </scaling>
        <delete val="0"/>
        <axPos val="l"/>
        <majorGridlines/>
        <title>
          <tx>
            <strRef>
              <f>Graphs!graph_d_y_title</f>
              <strCache>
                <ptCount val="1"/>
                <pt idx="0">
                  <v>Chroma Cb End-to-end PSNR</v>
                </pt>
              </strCache>
            </strRef>
          </tx>
          <overlay val="0"/>
          <txPr>
            <a:bodyPr rot="-5400000" vert="horz"/>
            <a:lstStyle/>
            <a:p>
              <a:pPr>
                <a:defRPr/>
              </a:pPr>
              <a:r>
                <a:t/>
              </a:r>
              <a:endParaRPr lang="en-US"/>
            </a:p>
          </txPr>
        </title>
        <numFmt formatCode="0.00" sourceLinked="1"/>
        <majorTickMark val="out"/>
        <minorTickMark val="none"/>
        <tickLblPos val="nextTo"/>
        <crossAx val="50040001"/>
        <crosses val="autoZero"/>
        <crossBetween val="midCat"/>
      </valAx>
    </plotArea>
    <legend>
      <legendPos val="b"/>
      <overlay val="0"/>
    </legend>
    <plotVisOnly val="1"/>
    <dispBlanksAs val="gap"/>
  </chart>
</chartSpace>
</file>

<file path=xl/charts/chart5.xml><?xml version="1.0" encoding="utf-8"?>
<chartSpace xmlns:a="http://schemas.openxmlformats.org/drawingml/2006/main" xmlns="http://schemas.openxmlformats.org/drawingml/2006/chart">
  <chart>
    <title>
      <tx>
        <strRef>
          <f>Graphs!graph_e_title</f>
          <strCache>
            <ptCount val="1"/>
            <pt idx="0">
              <v>Chroma Cr End-to-end PSNR (Graph e)</v>
            </pt>
          </strCache>
        </strRef>
      </tx>
      <overlay val="0"/>
      <txPr>
        <a:bodyPr/>
        <a:lstStyle/>
        <a:p>
          <a:pPr>
            <a:defRPr/>
          </a:pPr>
          <a:r>
            <a:t/>
          </a:r>
          <a:endParaRPr lang="en-US"/>
        </a:p>
      </txPr>
    </title>
    <plotArea>
      <layout/>
      <scatterChart>
        <scatterStyle val="smoothMarker"/>
        <varyColors val="0"/>
        <ser>
          <idx val="0"/>
          <order val="0"/>
          <tx>
            <strRef>
              <f>Graphs!graph_e_A_title</f>
              <strCache>
                <ptCount val="1"/>
                <pt idx="0">
                  <v>reference</v>
                </pt>
              </strCache>
            </strRef>
          </tx>
          <spPr>
            <a:ln>
              <a:prstDash val="solid"/>
            </a:ln>
          </spPr>
          <marker>
            <symbol val="none"/>
            <spPr>
              <a:ln>
                <a:prstDash val="solid"/>
              </a:ln>
            </spPr>
          </marker>
          <xVal>
            <strRef>
              <f>Graphs!graph_e_x_range_A</f>
              <strCache>
                <ptCount val="5"/>
                <pt idx="0">
                  <v>·</v>
                </pt>
                <pt idx="1">
                  <v>·</v>
                </pt>
                <pt idx="2">
                  <v>·</v>
                </pt>
                <pt idx="3">
                  <v>·</v>
                </pt>
                <pt idx="4">
                  <v>·</v>
                </pt>
              </strCache>
            </strRef>
          </xVal>
          <yVal>
            <numRef>
              <f>Graphs!graph_e_y_range_A</f>
              <numCache>
                <formatCode>0.00</formatCode>
                <ptCount val="5"/>
              </numCache>
            </numRef>
          </yVal>
          <smooth val="1"/>
        </ser>
        <ser>
          <idx val="1"/>
          <order val="1"/>
          <tx>
            <strRef>
              <f>Graphs!graph_e_B_title</f>
              <strCache>
                <ptCount val="1"/>
                <pt idx="0">
                  <v>tested</v>
                </pt>
              </strCache>
            </strRef>
          </tx>
          <spPr>
            <a:ln>
              <a:prstDash val="solid"/>
            </a:ln>
          </spPr>
          <marker>
            <symbol val="none"/>
            <spPr>
              <a:ln>
                <a:prstDash val="solid"/>
              </a:ln>
            </spPr>
          </marker>
          <xVal>
            <strRef>
              <f>Graphs!graph_e_x_range_B</f>
              <strCache>
                <ptCount val="5"/>
                <pt idx="0">
                  <v>·</v>
                </pt>
                <pt idx="1">
                  <v>·</v>
                </pt>
                <pt idx="2">
                  <v>·</v>
                </pt>
                <pt idx="3">
                  <v>·</v>
                </pt>
                <pt idx="4">
                  <v>·</v>
                </pt>
              </strCache>
            </strRef>
          </xVal>
          <yVal>
            <numRef>
              <f>Graphs!graph_e_y_range_B</f>
              <numCache>
                <formatCode>0.00</formatCode>
                <ptCount val="5"/>
              </numCache>
            </numRef>
          </yVal>
          <smooth val="1"/>
        </ser>
        <dLbls>
          <showLegendKey val="0"/>
          <showVal val="0"/>
          <showCatName val="0"/>
          <showSerName val="0"/>
          <showPercent val="0"/>
          <showBubbleSize val="0"/>
        </dLbls>
        <axId val="50050001"/>
        <axId val="50050002"/>
      </scatterChart>
      <valAx>
        <axId val="50050001"/>
        <scaling>
          <orientation val="minMax"/>
        </scaling>
        <delete val="0"/>
        <axPos val="b"/>
        <title>
          <tx>
            <strRef>
              <f>Graphs!graph_e_x_title</f>
              <strCache>
                <ptCount val="1"/>
                <pt idx="0">
                  <v>Colour  Bits per input point</v>
                </pt>
              </strCache>
            </strRef>
          </tx>
          <overlay val="0"/>
          <txPr>
            <a:bodyPr/>
            <a:lstStyle/>
            <a:p>
              <a:pPr>
                <a:defRPr/>
              </a:pPr>
              <a:r>
                <a:t/>
              </a:r>
              <a:endParaRPr lang="en-US"/>
            </a:p>
          </txPr>
        </title>
        <numFmt formatCode="General" sourceLinked="1"/>
        <majorTickMark val="out"/>
        <minorTickMark val="none"/>
        <tickLblPos val="nextTo"/>
        <crossAx val="50050002"/>
        <crosses val="autoZero"/>
        <crossBetween val="midCat"/>
      </valAx>
      <valAx>
        <axId val="50050002"/>
        <scaling>
          <orientation val="minMax"/>
        </scaling>
        <delete val="0"/>
        <axPos val="l"/>
        <majorGridlines/>
        <title>
          <tx>
            <strRef>
              <f>Graphs!graph_e_y_title</f>
              <strCache>
                <ptCount val="1"/>
                <pt idx="0">
                  <v>Chroma Cr End-to-end PSNR</v>
                </pt>
              </strCache>
            </strRef>
          </tx>
          <overlay val="0"/>
          <txPr>
            <a:bodyPr rot="-5400000" vert="horz"/>
            <a:lstStyle/>
            <a:p>
              <a:pPr>
                <a:defRPr/>
              </a:pPr>
              <a:r>
                <a:t/>
              </a:r>
              <a:endParaRPr lang="en-US"/>
            </a:p>
          </txPr>
        </title>
        <numFmt formatCode="0.00" sourceLinked="1"/>
        <majorTickMark val="out"/>
        <minorTickMark val="none"/>
        <tickLblPos val="nextTo"/>
        <crossAx val="50050001"/>
        <crosses val="autoZero"/>
        <crossBetween val="midCat"/>
      </valAx>
    </plotArea>
    <legend>
      <legendPos val="b"/>
      <overlay val="0"/>
    </legend>
    <plotVisOnly val="1"/>
    <dispBlanksAs val="gap"/>
  </chart>
</chartSpace>
</file>

<file path=xl/charts/chart6.xml><?xml version="1.0" encoding="utf-8"?>
<chartSpace xmlns:a="http://schemas.openxmlformats.org/drawingml/2006/main" xmlns="http://schemas.openxmlformats.org/drawingml/2006/chart">
  <chart>
    <title>
      <tx>
        <strRef>
          <f>Graphs!graph_f_title</f>
          <strCache>
            <ptCount val="1"/>
            <pt idx="0">
              <v>Reflectance End-to-end PSNR (Graph f)</v>
            </pt>
          </strCache>
        </strRef>
      </tx>
      <overlay val="0"/>
      <txPr>
        <a:bodyPr/>
        <a:lstStyle/>
        <a:p>
          <a:pPr>
            <a:defRPr/>
          </a:pPr>
          <a:r>
            <a:t/>
          </a:r>
          <a:endParaRPr lang="en-US"/>
        </a:p>
      </txPr>
    </title>
    <plotArea>
      <layout/>
      <scatterChart>
        <scatterStyle val="smoothMarker"/>
        <varyColors val="0"/>
        <ser>
          <idx val="0"/>
          <order val="0"/>
          <tx>
            <strRef>
              <f>Graphs!graph_f_A_title</f>
              <strCache>
                <ptCount val="1"/>
                <pt idx="0">
                  <v>reference</v>
                </pt>
              </strCache>
            </strRef>
          </tx>
          <spPr>
            <a:ln>
              <a:prstDash val="solid"/>
            </a:ln>
          </spPr>
          <marker>
            <symbol val="none"/>
            <spPr>
              <a:ln>
                <a:prstDash val="solid"/>
              </a:ln>
            </spPr>
          </marker>
          <xVal>
            <numRef>
              <f>Graphs!graph_f_x_range_A</f>
              <numCache>
                <formatCode>General</formatCode>
                <ptCount val="1"/>
                <pt idx="0">
                  <v>0</v>
                </pt>
              </numCache>
            </numRef>
          </xVal>
          <yVal>
            <numRef>
              <f>Graphs!graph_f_y_range_A</f>
              <numCache>
                <formatCode>General</formatCode>
                <ptCount val="1"/>
                <pt idx="0">
                  <v>0</v>
                </pt>
              </numCache>
            </numRef>
          </yVal>
          <smooth val="1"/>
        </ser>
        <ser>
          <idx val="1"/>
          <order val="1"/>
          <tx>
            <strRef>
              <f>Graphs!graph_f_B_title</f>
              <strCache>
                <ptCount val="1"/>
                <pt idx="0">
                  <v>tested</v>
                </pt>
              </strCache>
            </strRef>
          </tx>
          <spPr>
            <a:ln>
              <a:prstDash val="solid"/>
            </a:ln>
          </spPr>
          <marker>
            <symbol val="none"/>
            <spPr>
              <a:ln>
                <a:prstDash val="solid"/>
              </a:ln>
            </spPr>
          </marker>
          <xVal>
            <numRef>
              <f>Graphs!graph_f_x_range_B</f>
              <numCache>
                <formatCode>General</formatCode>
                <ptCount val="1"/>
                <pt idx="0">
                  <v>0</v>
                </pt>
              </numCache>
            </numRef>
          </xVal>
          <yVal>
            <numRef>
              <f>Graphs!graph_f_y_range_B</f>
              <numCache>
                <formatCode>General</formatCode>
                <ptCount val="1"/>
                <pt idx="0">
                  <v>0</v>
                </pt>
              </numCache>
            </numRef>
          </yVal>
          <smooth val="1"/>
        </ser>
        <dLbls>
          <showLegendKey val="0"/>
          <showVal val="0"/>
          <showCatName val="0"/>
          <showSerName val="0"/>
          <showPercent val="0"/>
          <showBubbleSize val="0"/>
        </dLbls>
        <axId val="50060001"/>
        <axId val="50060002"/>
      </scatterChart>
      <valAx>
        <axId val="50060001"/>
        <scaling>
          <orientation val="minMax"/>
        </scaling>
        <delete val="0"/>
        <axPos val="b"/>
        <title>
          <tx>
            <strRef>
              <f>Graphs!graph_f_x_title</f>
              <strCache>
                <ptCount val="1"/>
                <pt idx="0">
                  <v>Reflectance Bits per input point</v>
                </pt>
              </strCache>
            </strRef>
          </tx>
          <overlay val="0"/>
          <txPr>
            <a:bodyPr/>
            <a:lstStyle/>
            <a:p>
              <a:pPr>
                <a:defRPr/>
              </a:pPr>
              <a:r>
                <a:t/>
              </a:r>
              <a:endParaRPr lang="en-US"/>
            </a:p>
          </txPr>
        </title>
        <numFmt formatCode="General" sourceLinked="1"/>
        <majorTickMark val="out"/>
        <minorTickMark val="none"/>
        <tickLblPos val="nextTo"/>
        <crossAx val="50060002"/>
        <crosses val="autoZero"/>
        <crossBetween val="midCat"/>
      </valAx>
      <valAx>
        <axId val="50060002"/>
        <scaling>
          <orientation val="minMax"/>
        </scaling>
        <delete val="0"/>
        <axPos val="l"/>
        <majorGridlines/>
        <title>
          <tx>
            <strRef>
              <f>Graphs!graph_f_y_title</f>
              <strCache>
                <ptCount val="1"/>
                <pt idx="0">
                  <v>Reflectance End-to-end PSNR</v>
                </pt>
              </strCache>
            </strRef>
          </tx>
          <overlay val="0"/>
          <txPr>
            <a:bodyPr rot="-5400000" vert="horz"/>
            <a:lstStyle/>
            <a:p>
              <a:pPr>
                <a:defRPr/>
              </a:pPr>
              <a:r>
                <a:t/>
              </a:r>
              <a:endParaRPr lang="en-US"/>
            </a:p>
          </txPr>
        </title>
        <numFmt formatCode="General" sourceLinked="1"/>
        <majorTickMark val="out"/>
        <minorTickMark val="none"/>
        <tickLblPos val="nextTo"/>
        <crossAx val="50060001"/>
        <crosses val="autoZero"/>
        <crossBetween val="midCat"/>
      </valAx>
    </plotArea>
    <legend>
      <legendPos val="b"/>
      <overlay val="0"/>
    </legend>
    <plotVisOnly val="1"/>
    <dispBlanksAs val="gap"/>
  </chart>
</chartSpace>
</file>

<file path=xl/drawings/_rels/drawing1.xml.rels><Relationships xmlns="http://schemas.openxmlformats.org/package/2006/relationships"><Relationship Id="rId1" Target="/xl/charts/chart1.xml" Type="http://schemas.openxmlformats.org/officeDocument/2006/relationships/chart" /><Relationship Id="rId2" Target="/xl/charts/chart2.xml" Type="http://schemas.openxmlformats.org/officeDocument/2006/relationships/chart" /><Relationship Id="rId3" Target="/xl/charts/chart3.xml" Type="http://schemas.openxmlformats.org/officeDocument/2006/relationships/chart" /><Relationship Id="rId4" Target="/xl/charts/chart4.xml" Type="http://schemas.openxmlformats.org/officeDocument/2006/relationships/chart" /><Relationship Id="rId5" Target="/xl/charts/chart5.xml" Type="http://schemas.openxmlformats.org/officeDocument/2006/relationships/chart" /><Relationship Id="rId6" Target="/xl/charts/chart6.xml" Type="http://schemas.openxmlformats.org/officeDocument/2006/relationships/chart"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0</colOff>
      <row>9</row>
      <rowOff>0</rowOff>
    </from>
    <to>
      <col>7</col>
      <colOff>276225</colOff>
      <row>30</row>
      <rowOff>114300</rowOff>
    </to>
    <graphicFrame>
      <nvGraphicFramePr>
        <cNvPr id="1" name="Chart 1"/>
        <cNvGraphicFramePr/>
      </nvGraphicFramePr>
      <xfrm/>
      <a:graphic>
        <a:graphicData uri="http://schemas.openxmlformats.org/drawingml/2006/chart">
          <c:chart r:id="rId1"/>
        </a:graphicData>
      </a:graphic>
    </graphicFrame>
    <clientData/>
  </twoCellAnchor>
  <twoCellAnchor>
    <from>
      <col>8</col>
      <colOff>0</colOff>
      <row>9</row>
      <rowOff>0</rowOff>
    </from>
    <to>
      <col>18</col>
      <colOff>257175</colOff>
      <row>30</row>
      <rowOff>114300</rowOff>
    </to>
    <graphicFrame>
      <nvGraphicFramePr>
        <cNvPr id="2" name="Chart 2"/>
        <cNvGraphicFramePr/>
      </nvGraphicFramePr>
      <xfrm/>
      <a:graphic>
        <a:graphicData uri="http://schemas.openxmlformats.org/drawingml/2006/chart">
          <c:chart r:id="rId2"/>
        </a:graphicData>
      </a:graphic>
    </graphicFrame>
    <clientData/>
  </twoCellAnchor>
  <twoCellAnchor>
    <from>
      <col>0</col>
      <colOff>0</colOff>
      <row>31</row>
      <rowOff>0</rowOff>
    </from>
    <to>
      <col>7</col>
      <colOff>276225</colOff>
      <row>52</row>
      <rowOff>114300</rowOff>
    </to>
    <graphicFrame>
      <nvGraphicFramePr>
        <cNvPr id="3" name="Chart 3"/>
        <cNvGraphicFramePr/>
      </nvGraphicFramePr>
      <xfrm/>
      <a:graphic>
        <a:graphicData uri="http://schemas.openxmlformats.org/drawingml/2006/chart">
          <c:chart r:id="rId3"/>
        </a:graphicData>
      </a:graphic>
    </graphicFrame>
    <clientData/>
  </twoCellAnchor>
  <twoCellAnchor>
    <from>
      <col>8</col>
      <colOff>0</colOff>
      <row>31</row>
      <rowOff>0</rowOff>
    </from>
    <to>
      <col>18</col>
      <colOff>257175</colOff>
      <row>52</row>
      <rowOff>114300</rowOff>
    </to>
    <graphicFrame>
      <nvGraphicFramePr>
        <cNvPr id="4" name="Chart 4"/>
        <cNvGraphicFramePr/>
      </nvGraphicFramePr>
      <xfrm/>
      <a:graphic>
        <a:graphicData uri="http://schemas.openxmlformats.org/drawingml/2006/chart">
          <c:chart r:id="rId4"/>
        </a:graphicData>
      </a:graphic>
    </graphicFrame>
    <clientData/>
  </twoCellAnchor>
  <twoCellAnchor>
    <from>
      <col>19</col>
      <colOff>0</colOff>
      <row>31</row>
      <rowOff>0</rowOff>
    </from>
    <to>
      <col>30</col>
      <colOff>152400</colOff>
      <row>52</row>
      <rowOff>114300</rowOff>
    </to>
    <graphicFrame>
      <nvGraphicFramePr>
        <cNvPr id="5" name="Chart 5"/>
        <cNvGraphicFramePr/>
      </nvGraphicFramePr>
      <xfrm/>
      <a:graphic>
        <a:graphicData uri="http://schemas.openxmlformats.org/drawingml/2006/chart">
          <c:chart r:id="rId5"/>
        </a:graphicData>
      </a:graphic>
    </graphicFrame>
    <clientData/>
  </twoCellAnchor>
  <twoCellAnchor>
    <from>
      <col>19</col>
      <colOff>0</colOff>
      <row>9</row>
      <rowOff>0</rowOff>
    </from>
    <to>
      <col>30</col>
      <colOff>152400</colOff>
      <row>30</row>
      <rowOff>114300</rowOff>
    </to>
    <graphicFrame>
      <nvGraphicFramePr>
        <cNvPr id="6" name="Chart 6"/>
        <cNvGraphicFramePr/>
      </nvGraphicFramePr>
      <xfrm/>
      <a:graphic>
        <a:graphicData uri="http://schemas.openxmlformats.org/drawingml/2006/chart">
          <c:chart r:id="rId6"/>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Id="rId1" Target="/xl/drawings/drawing1.xml" Type="http://schemas.openxmlformats.org/officeDocument/2006/relationships/drawing" /></Relationships>
</file>

<file path=xl/worksheets/sheet1.xml><?xml version="1.0" encoding="utf-8"?>
<worksheet xmlns="http://schemas.openxmlformats.org/spreadsheetml/2006/main">
  <sheetPr>
    <outlinePr summaryBelow="1" summaryRight="1"/>
    <pageSetUpPr/>
  </sheetPr>
  <dimension ref="B1:L48"/>
  <sheetViews>
    <sheetView workbookViewId="0">
      <selection activeCell="C2" sqref="C2:E2"/>
    </sheetView>
  </sheetViews>
  <sheetFormatPr baseColWidth="8" defaultRowHeight="14.4"/>
  <cols>
    <col customWidth="1" max="2" min="2" style="86" width="16.6640625"/>
    <col customWidth="1" max="12" min="3" style="86" width="24.6640625"/>
  </cols>
  <sheetData>
    <row r="1">
      <c r="B1" t="inlineStr">
        <is>
          <t>Reference:</t>
        </is>
      </c>
      <c r="C1" s="165" t="inlineStr">
        <is>
          <t>ALL_master+r7.0</t>
        </is>
      </c>
    </row>
    <row r="2">
      <c r="B2" t="inlineStr">
        <is>
          <t>Tested:</t>
        </is>
      </c>
      <c r="C2" s="166" t="inlineStr">
        <is>
          <t>mpeg128-integration+r7.1.09</t>
        </is>
      </c>
    </row>
    <row customFormat="1" r="4" s="1">
      <c r="B4" s="1" t="inlineStr">
        <is>
          <t>All Intra</t>
        </is>
      </c>
    </row>
    <row r="6">
      <c r="B6" s="167" t="inlineStr">
        <is>
          <t>C2_ai</t>
        </is>
      </c>
      <c r="C6" s="168" t="inlineStr">
        <is>
          <t>lossy geometry, lossy attributes [all intra]</t>
        </is>
      </c>
      <c r="D6" s="201" t="n"/>
      <c r="E6" s="201" t="n"/>
      <c r="F6" s="201" t="n"/>
      <c r="G6" s="201" t="n"/>
      <c r="H6" s="201" t="n"/>
      <c r="I6" s="201" t="n"/>
      <c r="J6" s="201" t="n"/>
      <c r="K6" s="201" t="n"/>
      <c r="L6" s="201" t="n"/>
    </row>
    <row r="7">
      <c r="C7" s="169" t="inlineStr">
        <is>
          <t>Geom. BD‑TotGeomRate [%]</t>
        </is>
      </c>
      <c r="E7" s="170" t="inlineStr">
        <is>
          <t>End-to-End BD‑AttrRate [%]</t>
        </is>
      </c>
      <c r="H7" s="169" t="inlineStr">
        <is>
          <t>Geom. BD‑TotalRate [%]</t>
        </is>
      </c>
      <c r="J7" s="170" t="inlineStr">
        <is>
          <t>End-to-End BD‑TotalRate [%]</t>
        </is>
      </c>
    </row>
    <row r="8">
      <c r="B8" s="9" t="n"/>
      <c r="C8" s="2" t="inlineStr">
        <is>
          <t>D1</t>
        </is>
      </c>
      <c r="D8" s="2" t="inlineStr">
        <is>
          <t>D2</t>
        </is>
      </c>
      <c r="E8" s="3" t="inlineStr">
        <is>
          <t>Luma</t>
        </is>
      </c>
      <c r="F8" s="3" t="inlineStr">
        <is>
          <t>Chroma Cb</t>
        </is>
      </c>
      <c r="G8" s="3" t="inlineStr">
        <is>
          <t>Chroma Cr</t>
        </is>
      </c>
      <c r="H8" s="2" t="inlineStr">
        <is>
          <t>D1</t>
        </is>
      </c>
      <c r="I8" s="2" t="inlineStr">
        <is>
          <t>D2</t>
        </is>
      </c>
      <c r="J8" s="3" t="inlineStr">
        <is>
          <t>Luma</t>
        </is>
      </c>
      <c r="K8" s="3" t="inlineStr">
        <is>
          <t>Chroma Cb</t>
        </is>
      </c>
      <c r="L8" s="3" t="inlineStr">
        <is>
          <t>Chroma Cr</t>
        </is>
      </c>
    </row>
    <row r="9">
      <c r="B9" t="inlineStr">
        <is>
          <t>Cat2-A average</t>
        </is>
      </c>
      <c r="C9" s="81">
        <f>'C2 lossyG,lossyA,intra'!$BJ$40:$BJ$40</f>
        <v/>
      </c>
      <c r="D9" s="81">
        <f>'C2 lossyG,lossyA,intra'!$BK$40:$BK$40</f>
        <v/>
      </c>
      <c r="E9" s="81">
        <f>'C2 lossyG,lossyA,intra'!$BL$40:$BL$40</f>
        <v/>
      </c>
      <c r="F9" s="81">
        <f>'C2 lossyG,lossyA,intra'!$BM$40:$BM$40</f>
        <v/>
      </c>
      <c r="G9" s="81">
        <f>'C2 lossyG,lossyA,intra'!$BN$40:$BN$40</f>
        <v/>
      </c>
      <c r="H9" s="81">
        <f>'C2 lossyG,lossyA,intra'!$BP$40:$BP$40</f>
        <v/>
      </c>
      <c r="I9" s="81">
        <f>'C2 lossyG,lossyA,intra'!$BQ$40:$BQ$40</f>
        <v/>
      </c>
      <c r="J9" s="81">
        <f>'C2 lossyG,lossyA,intra'!$BR$40:$BR$40</f>
        <v/>
      </c>
      <c r="K9" s="81">
        <f>'C2 lossyG,lossyA,intra'!$BS$40:$BS$40</f>
        <v/>
      </c>
      <c r="L9" s="81">
        <f>'C2 lossyG,lossyA,intra'!$BT$40:$BT$40</f>
        <v/>
      </c>
    </row>
    <row r="10">
      <c r="B10" t="inlineStr">
        <is>
          <t>Cat2-B average</t>
        </is>
      </c>
      <c r="C10" s="81">
        <f>'C2 lossyG,lossyA,intra'!$BJ$41:$BJ$41</f>
        <v/>
      </c>
      <c r="D10" s="81">
        <f>'C2 lossyG,lossyA,intra'!$BK$41:$BK$41</f>
        <v/>
      </c>
      <c r="E10" s="81">
        <f>'C2 lossyG,lossyA,intra'!$BL$41:$BL$41</f>
        <v/>
      </c>
      <c r="F10" s="81">
        <f>'C2 lossyG,lossyA,intra'!$BM$41:$BM$41</f>
        <v/>
      </c>
      <c r="G10" s="81">
        <f>'C2 lossyG,lossyA,intra'!$BN$41:$BN$41</f>
        <v/>
      </c>
      <c r="H10" s="81">
        <f>'C2 lossyG,lossyA,intra'!$BP$41:$BP$41</f>
        <v/>
      </c>
      <c r="I10" s="81">
        <f>'C2 lossyG,lossyA,intra'!$BQ$41:$BQ$41</f>
        <v/>
      </c>
      <c r="J10" s="81">
        <f>'C2 lossyG,lossyA,intra'!$BR$41:$BR$41</f>
        <v/>
      </c>
      <c r="K10" s="81">
        <f>'C2 lossyG,lossyA,intra'!$BS$41:$BS$41</f>
        <v/>
      </c>
      <c r="L10" s="81">
        <f>'C2 lossyG,lossyA,intra'!$BT$41:$BT$41</f>
        <v/>
      </c>
    </row>
    <row r="11">
      <c r="B11" t="inlineStr">
        <is>
          <t>Cat2-C average</t>
        </is>
      </c>
      <c r="C11" s="81">
        <f>'C2 lossyG,lossyA,intra'!$BJ$42:$BJ$42</f>
        <v/>
      </c>
      <c r="D11" s="81">
        <f>'C2 lossyG,lossyA,intra'!$BK$42:$BK$42</f>
        <v/>
      </c>
      <c r="E11" s="81">
        <f>'C2 lossyG,lossyA,intra'!$BL$42:$BL$42</f>
        <v/>
      </c>
      <c r="F11" s="81">
        <f>'C2 lossyG,lossyA,intra'!$BM$42:$BM$42</f>
        <v/>
      </c>
      <c r="G11" s="81">
        <f>'C2 lossyG,lossyA,intra'!$BN$42:$BN$42</f>
        <v/>
      </c>
      <c r="H11" s="81">
        <f>'C2 lossyG,lossyA,intra'!$BP$42:$BP$42</f>
        <v/>
      </c>
      <c r="I11" s="81">
        <f>'C2 lossyG,lossyA,intra'!$BQ$42:$BQ$42</f>
        <v/>
      </c>
      <c r="J11" s="81">
        <f>'C2 lossyG,lossyA,intra'!$BR$42:$BR$42</f>
        <v/>
      </c>
      <c r="K11" s="81">
        <f>'C2 lossyG,lossyA,intra'!$BS$42:$BS$42</f>
        <v/>
      </c>
      <c r="L11" s="81">
        <f>'C2 lossyG,lossyA,intra'!$BT$42:$BT$42</f>
        <v/>
      </c>
    </row>
    <row r="12">
      <c r="B12" s="6" t="inlineStr">
        <is>
          <t>Overall average</t>
        </is>
      </c>
      <c r="C12" s="7">
        <f>'C2 lossyG,lossyA,intra'!$BJ$43:$BJ$43</f>
        <v/>
      </c>
      <c r="D12" s="7">
        <f>'C2 lossyG,lossyA,intra'!$BK$43:$BK$43</f>
        <v/>
      </c>
      <c r="E12" s="7">
        <f>'C2 lossyG,lossyA,intra'!$BL$43:$BL$43</f>
        <v/>
      </c>
      <c r="F12" s="7">
        <f>'C2 lossyG,lossyA,intra'!$BM$43:$BM$43</f>
        <v/>
      </c>
      <c r="G12" s="7">
        <f>'C2 lossyG,lossyA,intra'!$BN$43:$BN$43</f>
        <v/>
      </c>
      <c r="H12" s="7">
        <f>'C2 lossyG,lossyA,intra'!$BP$43:$BP$43</f>
        <v/>
      </c>
      <c r="I12" s="7">
        <f>'C2 lossyG,lossyA,intra'!$BQ$43:$BQ$43</f>
        <v/>
      </c>
      <c r="J12" s="7">
        <f>'C2 lossyG,lossyA,intra'!$BR$43:$BR$43</f>
        <v/>
      </c>
      <c r="K12" s="7">
        <f>'C2 lossyG,lossyA,intra'!$BS$43:$BS$43</f>
        <v/>
      </c>
      <c r="L12" s="7">
        <f>'C2 lossyG,lossyA,intra'!$BT$43:$BT$43</f>
        <v/>
      </c>
    </row>
    <row r="13">
      <c r="B13" t="inlineStr">
        <is>
          <t>Avg. Enc Time [%]</t>
        </is>
      </c>
      <c r="C13" s="171">
        <f>'C2 lossyG,lossyA,intra'!AZ47</f>
        <v/>
      </c>
    </row>
    <row r="14">
      <c r="B14" s="9" t="inlineStr">
        <is>
          <t>Avg. Dec Time [%]</t>
        </is>
      </c>
      <c r="C14" s="172">
        <f>'C2 lossyG,lossyA,intra'!BB47</f>
        <v/>
      </c>
      <c r="D14" s="9" t="n"/>
      <c r="E14" s="9" t="n"/>
      <c r="F14" s="9" t="n"/>
      <c r="G14" s="9" t="n"/>
      <c r="H14" s="9" t="n"/>
      <c r="I14" s="9" t="n"/>
      <c r="J14" s="9" t="n"/>
      <c r="K14" s="9" t="n"/>
      <c r="L14" s="9" t="n"/>
    </row>
    <row r="16">
      <c r="B16" s="167" t="inlineStr">
        <is>
          <t>CW_ai</t>
        </is>
      </c>
      <c r="C16" s="168" t="inlineStr">
        <is>
          <t>lossless geometry, lossless attributes [all intra]</t>
        </is>
      </c>
      <c r="D16" s="201" t="n"/>
      <c r="E16" s="201" t="n"/>
    </row>
    <row r="17">
      <c r="C17" s="169" t="inlineStr">
        <is>
          <t>bpip ratio [%]</t>
        </is>
      </c>
    </row>
    <row r="18">
      <c r="B18" s="9" t="n"/>
      <c r="C18" s="2" t="inlineStr">
        <is>
          <t>Tot.Geom</t>
        </is>
      </c>
      <c r="D18" s="2" t="inlineStr">
        <is>
          <t>Colour</t>
        </is>
      </c>
      <c r="E18" s="2" t="inlineStr">
        <is>
          <t>Total</t>
        </is>
      </c>
    </row>
    <row r="19">
      <c r="B19" t="inlineStr">
        <is>
          <t>Cat2-A average</t>
        </is>
      </c>
      <c r="C19" s="81">
        <f>'CW losslG,losslA,intra'!BC12</f>
        <v/>
      </c>
      <c r="D19" s="81">
        <f>'CW losslG,losslA,intra'!BE12</f>
        <v/>
      </c>
      <c r="E19" s="81">
        <f>'CW losslG,losslA,intra'!BB12</f>
        <v/>
      </c>
    </row>
    <row r="20">
      <c r="B20" t="inlineStr">
        <is>
          <t>Cat2-B average</t>
        </is>
      </c>
      <c r="C20" s="81">
        <f>'CW losslG,losslA,intra'!BC13</f>
        <v/>
      </c>
      <c r="D20" s="81">
        <f>'CW losslG,losslA,intra'!BE13</f>
        <v/>
      </c>
      <c r="E20" s="81">
        <f>'CW losslG,losslA,intra'!BB13</f>
        <v/>
      </c>
    </row>
    <row r="21">
      <c r="B21" t="inlineStr">
        <is>
          <t>Cat2-C average</t>
        </is>
      </c>
      <c r="C21" s="81">
        <f>'CW losslG,losslA,intra'!BC14</f>
        <v/>
      </c>
      <c r="D21" s="81">
        <f>'CW losslG,losslA,intra'!BE14</f>
        <v/>
      </c>
      <c r="E21" s="81">
        <f>'CW losslG,losslA,intra'!BB14</f>
        <v/>
      </c>
    </row>
    <row r="22">
      <c r="B22" s="6" t="inlineStr">
        <is>
          <t>Overall average</t>
        </is>
      </c>
      <c r="C22" s="7">
        <f>'CW losslG,losslA,intra'!BC15</f>
        <v/>
      </c>
      <c r="D22" s="7">
        <f>'CW losslG,losslA,intra'!BE15</f>
        <v/>
      </c>
      <c r="E22" s="7">
        <f>'CW losslG,losslA,intra'!BB15</f>
        <v/>
      </c>
    </row>
    <row r="23">
      <c r="B23" t="inlineStr">
        <is>
          <t>Avg. Enc Time [%]</t>
        </is>
      </c>
      <c r="C23" s="171">
        <f>'CW losslG,losslA,intra'!AW19</f>
        <v/>
      </c>
    </row>
    <row r="24">
      <c r="B24" s="9" t="inlineStr">
        <is>
          <t>Avg. Dec Time [%]</t>
        </is>
      </c>
      <c r="C24" s="172">
        <f>'CW losslG,losslA,intra'!AY19</f>
        <v/>
      </c>
      <c r="D24" s="9" t="n"/>
      <c r="E24" s="9" t="n"/>
    </row>
    <row customFormat="1" r="26" s="1">
      <c r="B26" s="1" t="inlineStr">
        <is>
          <t>Inter, Low Delay</t>
        </is>
      </c>
    </row>
    <row r="28">
      <c r="B28" s="167" t="inlineStr">
        <is>
          <t>CW_ld</t>
        </is>
      </c>
      <c r="C28" s="168" t="inlineStr">
        <is>
          <t>lossless geometry, lossless attributes [inter, low delay]</t>
        </is>
      </c>
      <c r="D28" s="201" t="n"/>
      <c r="E28" s="201" t="n"/>
    </row>
    <row r="29">
      <c r="C29" s="169" t="inlineStr">
        <is>
          <t>bpip ratio [%]</t>
        </is>
      </c>
    </row>
    <row r="30">
      <c r="B30" s="9" t="n"/>
      <c r="C30" s="2" t="inlineStr">
        <is>
          <t>Tot.Geom</t>
        </is>
      </c>
      <c r="D30" s="2" t="inlineStr">
        <is>
          <t>Colour</t>
        </is>
      </c>
      <c r="E30" s="2" t="inlineStr">
        <is>
          <t>Total</t>
        </is>
      </c>
    </row>
    <row r="31">
      <c r="B31" t="inlineStr">
        <is>
          <t>Cat2-A average</t>
        </is>
      </c>
      <c r="C31" s="81">
        <f>'CW losslG,losslA,interLD'!BC12</f>
        <v/>
      </c>
      <c r="D31" s="81">
        <f>'CW losslG,losslA,interLD'!BE12</f>
        <v/>
      </c>
      <c r="E31" s="81">
        <f>'CW losslG,losslA,interLD'!BB12</f>
        <v/>
      </c>
    </row>
    <row r="32">
      <c r="B32" t="inlineStr">
        <is>
          <t>Cat2-B average</t>
        </is>
      </c>
      <c r="C32" s="81">
        <f>'CW losslG,losslA,interLD'!BC13</f>
        <v/>
      </c>
      <c r="D32" s="81">
        <f>'CW losslG,losslA,interLD'!BE13</f>
        <v/>
      </c>
      <c r="E32" s="81">
        <f>'CW losslG,losslA,interLD'!BB13</f>
        <v/>
      </c>
    </row>
    <row r="33">
      <c r="B33" t="inlineStr">
        <is>
          <t>Cat2-C average</t>
        </is>
      </c>
      <c r="C33" s="81">
        <f>'CW losslG,losslA,interLD'!BC14</f>
        <v/>
      </c>
      <c r="D33" s="81">
        <f>'CW losslG,losslA,interLD'!BE14</f>
        <v/>
      </c>
      <c r="E33" s="81">
        <f>'CW losslG,losslA,interLD'!BB14</f>
        <v/>
      </c>
    </row>
    <row r="34">
      <c r="B34" s="6" t="inlineStr">
        <is>
          <t>Overall average</t>
        </is>
      </c>
      <c r="C34" s="7">
        <f>'CW losslG,losslA,interLD'!BC15</f>
        <v/>
      </c>
      <c r="D34" s="7">
        <f>'CW losslG,losslA,interLD'!BE15</f>
        <v/>
      </c>
      <c r="E34" s="7">
        <f>'CW losslG,losslA,interLD'!BB15</f>
        <v/>
      </c>
    </row>
    <row r="35">
      <c r="B35" t="inlineStr">
        <is>
          <t>Avg. Enc Time [%]</t>
        </is>
      </c>
      <c r="C35" s="171">
        <f>'CW losslG,losslA,interLD'!AW19</f>
        <v/>
      </c>
    </row>
    <row r="36">
      <c r="B36" s="9" t="inlineStr">
        <is>
          <t>Avg. Dec Time [%]</t>
        </is>
      </c>
      <c r="C36" s="172">
        <f>'CW losslG,losslA,interLD'!AY19</f>
        <v/>
      </c>
      <c r="D36" s="9" t="n"/>
      <c r="E36" s="9" t="n"/>
    </row>
    <row customFormat="1" r="38" s="1">
      <c r="B38" s="1" t="inlineStr">
        <is>
          <t>Inter, Random Access</t>
        </is>
      </c>
    </row>
    <row r="40">
      <c r="B40" s="167" t="inlineStr">
        <is>
          <t>C2_ra</t>
        </is>
      </c>
      <c r="C40" s="168" t="inlineStr">
        <is>
          <t>lossy geometry, lossy attributes [inter, random access]</t>
        </is>
      </c>
      <c r="D40" s="201" t="n"/>
      <c r="E40" s="201" t="n"/>
      <c r="F40" s="201" t="n"/>
      <c r="G40" s="201" t="n"/>
      <c r="H40" s="201" t="n"/>
      <c r="I40" s="201" t="n"/>
      <c r="J40" s="201" t="n"/>
      <c r="K40" s="201" t="n"/>
      <c r="L40" s="201" t="n"/>
    </row>
    <row r="41">
      <c r="C41" s="169" t="inlineStr">
        <is>
          <t>Geom. BD‑TotGeomRate [%]</t>
        </is>
      </c>
      <c r="E41" s="170" t="inlineStr">
        <is>
          <t>End-to-End BD‑AttrRate [%]</t>
        </is>
      </c>
      <c r="H41" s="169" t="inlineStr">
        <is>
          <t>Geom. BD‑TotalRate [%]</t>
        </is>
      </c>
      <c r="J41" s="170" t="inlineStr">
        <is>
          <t>End-to-End BD‑TotalRate [%]</t>
        </is>
      </c>
    </row>
    <row r="42">
      <c r="B42" s="9" t="n"/>
      <c r="C42" s="2" t="inlineStr">
        <is>
          <t>D1</t>
        </is>
      </c>
      <c r="D42" s="2" t="inlineStr">
        <is>
          <t>D2</t>
        </is>
      </c>
      <c r="E42" s="3" t="inlineStr">
        <is>
          <t>Luma</t>
        </is>
      </c>
      <c r="F42" s="3" t="inlineStr">
        <is>
          <t>Chroma Cb</t>
        </is>
      </c>
      <c r="G42" s="3" t="inlineStr">
        <is>
          <t>Chroma Cr</t>
        </is>
      </c>
      <c r="H42" s="2" t="inlineStr">
        <is>
          <t>D1</t>
        </is>
      </c>
      <c r="I42" s="2" t="inlineStr">
        <is>
          <t>D2</t>
        </is>
      </c>
      <c r="J42" s="3" t="inlineStr">
        <is>
          <t>Luma</t>
        </is>
      </c>
      <c r="K42" s="3" t="inlineStr">
        <is>
          <t>Chroma Cb</t>
        </is>
      </c>
      <c r="L42" s="3" t="inlineStr">
        <is>
          <t>Chroma Cr</t>
        </is>
      </c>
    </row>
    <row r="43">
      <c r="B43" t="inlineStr">
        <is>
          <t>Cat2-A average</t>
        </is>
      </c>
      <c r="C43" s="81">
        <f>'C2 lossyG,lossyA,interRA'!$BJ$40:$BJ$40</f>
        <v/>
      </c>
      <c r="D43" s="81">
        <f>'C2 lossyG,lossyA,interRA'!$BK$40:$BK$40</f>
        <v/>
      </c>
      <c r="E43" s="81">
        <f>'C2 lossyG,lossyA,interRA'!$BL$40:$BL$40</f>
        <v/>
      </c>
      <c r="F43" s="81">
        <f>'C2 lossyG,lossyA,interRA'!$BM$40:$BM$40</f>
        <v/>
      </c>
      <c r="G43" s="81">
        <f>'C2 lossyG,lossyA,interRA'!$BN$40:$BN$40</f>
        <v/>
      </c>
      <c r="H43" s="81">
        <f>'C2 lossyG,lossyA,interRA'!$BP$40:$BP$40</f>
        <v/>
      </c>
      <c r="I43" s="81">
        <f>'C2 lossyG,lossyA,interRA'!$BQ$40:$BQ$40</f>
        <v/>
      </c>
      <c r="J43" s="81">
        <f>'C2 lossyG,lossyA,interRA'!$BR$40:$BR$40</f>
        <v/>
      </c>
      <c r="K43" s="81">
        <f>'C2 lossyG,lossyA,interRA'!$BS$40:$BS$40</f>
        <v/>
      </c>
      <c r="L43" s="81">
        <f>'C2 lossyG,lossyA,interRA'!$BT$40:$BT$40</f>
        <v/>
      </c>
    </row>
    <row r="44">
      <c r="B44" t="inlineStr">
        <is>
          <t>Cat2-B average</t>
        </is>
      </c>
      <c r="C44" s="81">
        <f>'C2 lossyG,lossyA,interRA'!$BJ$41:$BJ$41</f>
        <v/>
      </c>
      <c r="D44" s="81">
        <f>'C2 lossyG,lossyA,interRA'!$BK$41:$BK$41</f>
        <v/>
      </c>
      <c r="E44" s="81">
        <f>'C2 lossyG,lossyA,interRA'!$BL$41:$BL$41</f>
        <v/>
      </c>
      <c r="F44" s="81">
        <f>'C2 lossyG,lossyA,interRA'!$BM$41:$BM$41</f>
        <v/>
      </c>
      <c r="G44" s="81">
        <f>'C2 lossyG,lossyA,interRA'!$BN$41:$BN$41</f>
        <v/>
      </c>
      <c r="H44" s="81">
        <f>'C2 lossyG,lossyA,interRA'!$BP$41:$BP$41</f>
        <v/>
      </c>
      <c r="I44" s="81">
        <f>'C2 lossyG,lossyA,interRA'!$BQ$41:$BQ$41</f>
        <v/>
      </c>
      <c r="J44" s="81">
        <f>'C2 lossyG,lossyA,interRA'!$BR$41:$BR$41</f>
        <v/>
      </c>
      <c r="K44" s="81">
        <f>'C2 lossyG,lossyA,interRA'!$BS$41:$BS$41</f>
        <v/>
      </c>
      <c r="L44" s="81">
        <f>'C2 lossyG,lossyA,interRA'!$BT$41:$BT$41</f>
        <v/>
      </c>
    </row>
    <row r="45">
      <c r="B45" t="inlineStr">
        <is>
          <t>Cat2-C average</t>
        </is>
      </c>
      <c r="C45" s="81">
        <f>'C2 lossyG,lossyA,interRA'!$BJ$42:$BJ$42</f>
        <v/>
      </c>
      <c r="D45" s="81">
        <f>'C2 lossyG,lossyA,interRA'!$BK$42:$BK$42</f>
        <v/>
      </c>
      <c r="E45" s="81">
        <f>'C2 lossyG,lossyA,interRA'!$BL$42:$BL$42</f>
        <v/>
      </c>
      <c r="F45" s="81">
        <f>'C2 lossyG,lossyA,interRA'!$BM$42:$BM$42</f>
        <v/>
      </c>
      <c r="G45" s="81">
        <f>'C2 lossyG,lossyA,interRA'!$BN$42:$BN$42</f>
        <v/>
      </c>
      <c r="H45" s="81">
        <f>'C2 lossyG,lossyA,interRA'!$BP$42:$BP$42</f>
        <v/>
      </c>
      <c r="I45" s="81">
        <f>'C2 lossyG,lossyA,interRA'!$BQ$42:$BQ$42</f>
        <v/>
      </c>
      <c r="J45" s="81">
        <f>'C2 lossyG,lossyA,interRA'!$BR$42:$BR$42</f>
        <v/>
      </c>
      <c r="K45" s="81">
        <f>'C2 lossyG,lossyA,interRA'!$BS$42:$BS$42</f>
        <v/>
      </c>
      <c r="L45" s="81">
        <f>'C2 lossyG,lossyA,interRA'!$BT$42:$BT$42</f>
        <v/>
      </c>
    </row>
    <row r="46">
      <c r="B46" s="6" t="inlineStr">
        <is>
          <t>Overall average</t>
        </is>
      </c>
      <c r="C46" s="7">
        <f>'C2 lossyG,lossyA,interRA'!$BJ$43:$BJ$43</f>
        <v/>
      </c>
      <c r="D46" s="7">
        <f>'C2 lossyG,lossyA,interRA'!$BK$43:$BK$43</f>
        <v/>
      </c>
      <c r="E46" s="7">
        <f>'C2 lossyG,lossyA,interRA'!$BL$43:$BL$43</f>
        <v/>
      </c>
      <c r="F46" s="7">
        <f>'C2 lossyG,lossyA,interRA'!$BM$43:$BM$43</f>
        <v/>
      </c>
      <c r="G46" s="7">
        <f>'C2 lossyG,lossyA,interRA'!$BN$43:$BN$43</f>
        <v/>
      </c>
      <c r="H46" s="7">
        <f>'C2 lossyG,lossyA,interRA'!$BP$43:$BP$43</f>
        <v/>
      </c>
      <c r="I46" s="7">
        <f>'C2 lossyG,lossyA,interRA'!$BQ$43:$BQ$43</f>
        <v/>
      </c>
      <c r="J46" s="7">
        <f>'C2 lossyG,lossyA,interRA'!$BR$43:$BR$43</f>
        <v/>
      </c>
      <c r="K46" s="7">
        <f>'C2 lossyG,lossyA,interRA'!$BS$43:$BS$43</f>
        <v/>
      </c>
      <c r="L46" s="7">
        <f>'C2 lossyG,lossyA,interRA'!$BT$43:$BT$43</f>
        <v/>
      </c>
    </row>
    <row r="47">
      <c r="B47" t="inlineStr">
        <is>
          <t>Avg. Enc Time [%]</t>
        </is>
      </c>
      <c r="C47" s="171">
        <f>'C2 lossyG,lossyA,interRA'!AZ47</f>
        <v/>
      </c>
    </row>
    <row r="48">
      <c r="B48" s="9" t="inlineStr">
        <is>
          <t>Avg. Dec Time [%]</t>
        </is>
      </c>
      <c r="C48" s="172">
        <f>'C2 lossyG,lossyA,interRA'!BB47</f>
        <v/>
      </c>
      <c r="D48" s="9" t="n"/>
      <c r="E48" s="9" t="n"/>
      <c r="F48" s="9" t="n"/>
      <c r="G48" s="9" t="n"/>
      <c r="H48" s="9" t="n"/>
      <c r="I48" s="9" t="n"/>
      <c r="J48" s="9" t="n"/>
      <c r="K48" s="9" t="n"/>
      <c r="L48" s="9" t="n"/>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dxfId="1" operator="greaterThanOrEqual" priority="23" type="cellIs">
      <formula>1.03</formula>
    </cfRule>
    <cfRule dxfId="0" operator="lessThanOrEqual" priority="24" type="cellIs">
      <formula>0.97</formula>
    </cfRule>
  </conditionalFormatting>
  <conditionalFormatting sqref="C31 C32 C33 C34">
    <cfRule dxfId="1" operator="greaterThanOrEqual" priority="27" type="cellIs">
      <formula>1.03</formula>
    </cfRule>
    <cfRule dxfId="0" operator="lessThanOrEqual" priority="28" type="cellIs">
      <formula>0.97</formula>
    </cfRule>
  </conditionalFormatting>
  <conditionalFormatting sqref="C43 C44 C45 C46">
    <cfRule dxfId="1" operator="greaterThanOrEqual" priority="51" type="cellIs">
      <formula>0.03</formula>
    </cfRule>
    <cfRule dxfId="0" operator="lessThanOrEqual" priority="52" type="cellIs">
      <formula>-0.03</formula>
    </cfRule>
  </conditionalFormatting>
  <conditionalFormatting sqref="C9 C10 C11 C12">
    <cfRule dxfId="1" operator="greaterThanOrEqual" priority="15" type="cellIs">
      <formula>0.03</formula>
    </cfRule>
    <cfRule dxfId="0" operator="lessThanOrEqual" priority="16" type="cellIs">
      <formula>-0.03</formula>
    </cfRule>
  </conditionalFormatting>
  <conditionalFormatting sqref="D19 D20 D21 D22">
    <cfRule dxfId="1" operator="greaterThanOrEqual" priority="25" type="cellIs">
      <formula>1.03</formula>
    </cfRule>
    <cfRule dxfId="0" operator="lessThanOrEqual" priority="26" type="cellIs">
      <formula>0.97</formula>
    </cfRule>
  </conditionalFormatting>
  <conditionalFormatting sqref="D31 D32 D33 D34">
    <cfRule dxfId="1" operator="greaterThanOrEqual" priority="29" type="cellIs">
      <formula>1.03</formula>
    </cfRule>
    <cfRule dxfId="0" operator="lessThanOrEqual" priority="30" type="cellIs">
      <formula>0.97</formula>
    </cfRule>
  </conditionalFormatting>
  <conditionalFormatting sqref="D43 D44 D45 D46">
    <cfRule dxfId="1" operator="greaterThanOrEqual" priority="35" type="cellIs">
      <formula>0.03</formula>
    </cfRule>
    <cfRule dxfId="0" operator="lessThanOrEqual" priority="36" type="cellIs">
      <formula>-0.03</formula>
    </cfRule>
  </conditionalFormatting>
  <conditionalFormatting sqref="D9 D10 D11 D12">
    <cfRule dxfId="1" operator="greaterThanOrEqual" priority="7" type="cellIs">
      <formula>0.03</formula>
    </cfRule>
    <cfRule dxfId="0" operator="lessThanOrEqual" priority="8" type="cellIs">
      <formula>-0.03</formula>
    </cfRule>
  </conditionalFormatting>
  <conditionalFormatting sqref="E19 E20 E21 E22">
    <cfRule dxfId="1" operator="greaterThanOrEqual" priority="21" type="cellIs">
      <formula>1.03</formula>
    </cfRule>
    <cfRule dxfId="0" operator="lessThanOrEqual" priority="22" type="cellIs">
      <formula>0.97</formula>
    </cfRule>
  </conditionalFormatting>
  <conditionalFormatting sqref="E31 E32 E33 E34">
    <cfRule dxfId="1" operator="greaterThanOrEqual" priority="31" type="cellIs">
      <formula>1.03</formula>
    </cfRule>
    <cfRule dxfId="0" operator="lessThanOrEqual" priority="32" type="cellIs">
      <formula>0.97</formula>
    </cfRule>
  </conditionalFormatting>
  <conditionalFormatting sqref="E43 E44 E45 E46">
    <cfRule dxfId="1" operator="greaterThanOrEqual" priority="37" type="cellIs">
      <formula>0.03</formula>
    </cfRule>
    <cfRule dxfId="0" operator="lessThanOrEqual" priority="38" type="cellIs">
      <formula>-0.03</formula>
    </cfRule>
  </conditionalFormatting>
  <conditionalFormatting sqref="E9 E10 E11 E12">
    <cfRule dxfId="1" operator="greaterThanOrEqual" priority="9" type="cellIs">
      <formula>0.03</formula>
    </cfRule>
    <cfRule dxfId="0" operator="lessThanOrEqual" priority="10" type="cellIs">
      <formula>-0.03</formula>
    </cfRule>
  </conditionalFormatting>
  <conditionalFormatting sqref="F43 F44 F45 F46">
    <cfRule dxfId="1" operator="greaterThanOrEqual" priority="47" type="cellIs">
      <formula>0.03</formula>
    </cfRule>
    <cfRule dxfId="0" operator="lessThanOrEqual" priority="48" type="cellIs">
      <formula>-0.03</formula>
    </cfRule>
  </conditionalFormatting>
  <conditionalFormatting sqref="F9 F10 F11 F12">
    <cfRule dxfId="1" operator="greaterThanOrEqual" priority="11" type="cellIs">
      <formula>0.03</formula>
    </cfRule>
    <cfRule dxfId="0" operator="lessThanOrEqual" priority="12" type="cellIs">
      <formula>-0.03</formula>
    </cfRule>
  </conditionalFormatting>
  <conditionalFormatting sqref="G43 G44 G45 G46">
    <cfRule dxfId="1" operator="greaterThanOrEqual" priority="49" type="cellIs">
      <formula>0.03</formula>
    </cfRule>
    <cfRule dxfId="0" operator="lessThanOrEqual" priority="50" type="cellIs">
      <formula>-0.03</formula>
    </cfRule>
  </conditionalFormatting>
  <conditionalFormatting sqref="G9 G10 G11 G12">
    <cfRule dxfId="1" operator="greaterThanOrEqual" priority="13" type="cellIs">
      <formula>0.03</formula>
    </cfRule>
    <cfRule dxfId="0" operator="lessThanOrEqual" priority="14" type="cellIs">
      <formula>-0.03</formula>
    </cfRule>
  </conditionalFormatting>
  <conditionalFormatting sqref="H43 H44 H45 H46">
    <cfRule dxfId="1" operator="greaterThanOrEqual" priority="39" type="cellIs">
      <formula>0.03</formula>
    </cfRule>
    <cfRule dxfId="0" operator="lessThanOrEqual" priority="40" type="cellIs">
      <formula>-0.03</formula>
    </cfRule>
  </conditionalFormatting>
  <conditionalFormatting sqref="H9 H10 H11 H12">
    <cfRule dxfId="1" operator="greaterThanOrEqual" priority="5" type="cellIs">
      <formula>0.03</formula>
    </cfRule>
    <cfRule dxfId="0" operator="lessThanOrEqual" priority="6" type="cellIs">
      <formula>-0.03</formula>
    </cfRule>
  </conditionalFormatting>
  <conditionalFormatting sqref="I43 I44 I45 I46">
    <cfRule dxfId="1" operator="greaterThanOrEqual" priority="45" type="cellIs">
      <formula>0.03</formula>
    </cfRule>
    <cfRule dxfId="0" operator="lessThanOrEqual" priority="46" type="cellIs">
      <formula>-0.03</formula>
    </cfRule>
  </conditionalFormatting>
  <conditionalFormatting sqref="I9 I10 I11 I12">
    <cfRule dxfId="1" operator="greaterThanOrEqual" priority="19" type="cellIs">
      <formula>0.03</formula>
    </cfRule>
    <cfRule dxfId="0" operator="lessThanOrEqual" priority="20" type="cellIs">
      <formula>-0.03</formula>
    </cfRule>
  </conditionalFormatting>
  <conditionalFormatting sqref="J43 J44 J45 J46">
    <cfRule dxfId="1" operator="greaterThanOrEqual" priority="41" type="cellIs">
      <formula>0.03</formula>
    </cfRule>
    <cfRule dxfId="0" operator="lessThanOrEqual" priority="42" type="cellIs">
      <formula>-0.03</formula>
    </cfRule>
  </conditionalFormatting>
  <conditionalFormatting sqref="J9 J10 J11 J12">
    <cfRule dxfId="1" operator="greaterThanOrEqual" priority="1" type="cellIs">
      <formula>0.03</formula>
    </cfRule>
    <cfRule dxfId="0" operator="lessThanOrEqual" priority="2" type="cellIs">
      <formula>-0.03</formula>
    </cfRule>
  </conditionalFormatting>
  <conditionalFormatting sqref="K43 K44 K45 K46">
    <cfRule dxfId="1" operator="greaterThanOrEqual" priority="43" type="cellIs">
      <formula>0.03</formula>
    </cfRule>
    <cfRule dxfId="0" operator="lessThanOrEqual" priority="44" type="cellIs">
      <formula>-0.03</formula>
    </cfRule>
  </conditionalFormatting>
  <conditionalFormatting sqref="K9 K10 K11 K12">
    <cfRule dxfId="1" operator="greaterThanOrEqual" priority="17" type="cellIs">
      <formula>0.03</formula>
    </cfRule>
    <cfRule dxfId="0" operator="lessThanOrEqual" priority="18" type="cellIs">
      <formula>-0.03</formula>
    </cfRule>
  </conditionalFormatting>
  <conditionalFormatting sqref="L43 L44 L45 L46">
    <cfRule dxfId="1" operator="greaterThanOrEqual" priority="33" type="cellIs">
      <formula>0.03</formula>
    </cfRule>
    <cfRule dxfId="0" operator="lessThanOrEqual" priority="34" type="cellIs">
      <formula>-0.03</formula>
    </cfRule>
  </conditionalFormatting>
  <conditionalFormatting sqref="L9 L10 L11 L12">
    <cfRule dxfId="1" operator="greaterThanOrEqual" priority="3" type="cellIs">
      <formula>0.03</formula>
    </cfRule>
    <cfRule dxfId="0" operator="lessThanOrEqual" priority="4" type="cellIs">
      <formula>-0.03</formula>
    </cfRule>
  </conditionalFormatting>
  <pageMargins bottom="0.75" footer="0.3" header="0.3" left="0.7" right="0.7" top="0.75"/>
</worksheet>
</file>

<file path=xl/worksheets/sheet2.xml><?xml version="1.0" encoding="utf-8"?>
<worksheet xmlns:r="http://schemas.openxmlformats.org/officeDocument/2006/relationships" xmlns="http://schemas.openxmlformats.org/spreadsheetml/2006/main">
  <sheetPr>
    <outlinePr summaryBelow="1" summaryRight="1"/>
    <pageSetUpPr/>
  </sheetPr>
  <dimension ref="A1:P39"/>
  <sheetViews>
    <sheetView workbookViewId="0">
      <selection activeCell="A1" sqref="A1"/>
    </sheetView>
  </sheetViews>
  <sheetFormatPr baseColWidth="8" defaultRowHeight="14.4"/>
  <cols>
    <col customWidth="1" max="1" min="1" style="86" width="12.6640625"/>
    <col customWidth="1" max="2" min="2" style="86" width="24.6640625"/>
    <col customWidth="1" max="4" min="4" style="86" width="24.6640625"/>
    <col customWidth="1" max="9" min="9" style="86" width="16.6640625"/>
  </cols>
  <sheetData>
    <row r="1">
      <c r="A1" t="inlineStr">
        <is>
          <t>Condition:</t>
        </is>
      </c>
      <c r="B1" s="10">
        <f>M1</f>
        <v/>
      </c>
      <c r="C1" t="inlineStr">
        <is>
          <t>← Select this …</t>
        </is>
      </c>
      <c r="I1" t="inlineStr">
        <is>
          <t>Columns</t>
        </is>
      </c>
      <c r="M1" t="inlineStr">
        <is>
          <t>C2 lossyG,lossyA,intra</t>
        </is>
      </c>
      <c r="N1" t="inlineStr">
        <is>
          <t>CW losslG,losslA,intra</t>
        </is>
      </c>
      <c r="O1" t="inlineStr">
        <is>
          <t>CW losslG,losslA,interLD</t>
        </is>
      </c>
      <c r="P1" t="inlineStr">
        <is>
          <t>C2 lossyG,lossyA,interRA</t>
        </is>
      </c>
    </row>
    <row r="2">
      <c r="A2" t="inlineStr">
        <is>
          <t>Sequence:</t>
        </is>
      </c>
      <c r="B2" s="10">
        <f>HLOOKUP(B1,M1:ZZ3,3,0)</f>
        <v/>
      </c>
      <c r="C2" t="inlineStr">
        <is>
          <t>← … then this</t>
        </is>
      </c>
      <c r="I2" t="inlineStr">
        <is>
          <t>dec.cb-hpsnr</t>
        </is>
      </c>
      <c r="J2" t="inlineStr">
        <is>
          <t>Chroma Cb EtE Hausdorff PSNR</t>
        </is>
      </c>
      <c r="M2" t="inlineStr">
        <is>
          <t>names!$B$77:$X$77</t>
        </is>
      </c>
      <c r="N2" t="inlineStr">
        <is>
          <t>names!$B$143:$W$143</t>
        </is>
      </c>
      <c r="O2" t="inlineStr">
        <is>
          <t>names!$B$209:$W$209</t>
        </is>
      </c>
      <c r="P2" t="inlineStr">
        <is>
          <t>names!$B$286:$X$286</t>
        </is>
      </c>
    </row>
    <row r="3">
      <c r="I3" t="inlineStr">
        <is>
          <t>dec.cb-psnr</t>
        </is>
      </c>
      <c r="J3" t="inlineStr">
        <is>
          <t>Chroma Cb End-to-end PSNR</t>
        </is>
      </c>
      <c r="M3" t="inlineStr">
        <is>
          <t>8ivfbv2_loot_vox10</t>
        </is>
      </c>
      <c r="N3" t="inlineStr">
        <is>
          <t>8ivfbv2_loot_vox10</t>
        </is>
      </c>
      <c r="O3" t="inlineStr">
        <is>
          <t>8ivfbv2_loot_vox10</t>
        </is>
      </c>
      <c r="P3" t="inlineStr">
        <is>
          <t>8ivfbv2_loot_vox10</t>
        </is>
      </c>
    </row>
    <row r="4">
      <c r="A4" t="inlineStr">
        <is>
          <t>X:</t>
        </is>
      </c>
      <c r="B4" s="10" t="inlineStr">
        <is>
          <t>eqn.bpp.geometry</t>
        </is>
      </c>
      <c r="C4" t="inlineStr">
        <is>
          <t>Y:</t>
        </is>
      </c>
      <c r="D4" s="10" t="inlineStr">
        <is>
          <t>dec.d1-psnr</t>
        </is>
      </c>
      <c r="E4" t="inlineStr">
        <is>
          <t>← settings for graph a</t>
        </is>
      </c>
      <c r="I4" t="inlineStr">
        <is>
          <t>dec.cr-hpsnr</t>
        </is>
      </c>
      <c r="J4" t="inlineStr">
        <is>
          <t>Chroma Cr EtE Hausdorff PSNR</t>
        </is>
      </c>
      <c r="M4" t="inlineStr">
        <is>
          <t>8ivfbv2_redandblack_vox10</t>
        </is>
      </c>
      <c r="N4" t="inlineStr">
        <is>
          <t>8ivfbv2_redandblack_vox10</t>
        </is>
      </c>
      <c r="O4" t="inlineStr">
        <is>
          <t>8ivfbv2_redandblack_vox10</t>
        </is>
      </c>
      <c r="P4" t="inlineStr">
        <is>
          <t>8ivfbv2_redandblack_vox10</t>
        </is>
      </c>
    </row>
    <row r="5">
      <c r="A5" t="inlineStr">
        <is>
          <t>X:</t>
        </is>
      </c>
      <c r="B5" s="10" t="inlineStr">
        <is>
          <t>eqn.bpp.geometry</t>
        </is>
      </c>
      <c r="C5" t="inlineStr">
        <is>
          <t>Y:</t>
        </is>
      </c>
      <c r="D5" s="10" t="inlineStr">
        <is>
          <t>dec.d2-psnr</t>
        </is>
      </c>
      <c r="E5" t="inlineStr">
        <is>
          <t>← settings for graph b</t>
        </is>
      </c>
      <c r="I5" t="inlineStr">
        <is>
          <t>dec.cr-psnr</t>
        </is>
      </c>
      <c r="J5" t="inlineStr">
        <is>
          <t>Chroma Cr End-to-end PSNR</t>
        </is>
      </c>
      <c r="M5" t="inlineStr">
        <is>
          <t>8ivfbv2_soldier_vox10</t>
        </is>
      </c>
      <c r="N5" t="inlineStr">
        <is>
          <t>8ivfbv2_soldier_vox10</t>
        </is>
      </c>
      <c r="O5" t="inlineStr">
        <is>
          <t>8ivfbv2_soldier_vox10</t>
        </is>
      </c>
      <c r="P5" t="inlineStr">
        <is>
          <t>8ivfbv2_soldier_vox10</t>
        </is>
      </c>
    </row>
    <row r="6">
      <c r="A6" t="inlineStr">
        <is>
          <t>X:</t>
        </is>
      </c>
      <c r="B6" s="10" t="inlineStr">
        <is>
          <t>eqn.bpp.colour</t>
        </is>
      </c>
      <c r="C6" t="inlineStr">
        <is>
          <t>Y:</t>
        </is>
      </c>
      <c r="D6" s="10" t="inlineStr">
        <is>
          <t>dec.y-psnr</t>
        </is>
      </c>
      <c r="E6" t="inlineStr">
        <is>
          <t>← settings for graph c</t>
        </is>
      </c>
      <c r="I6" t="inlineStr">
        <is>
          <t>dec.d1-mse</t>
        </is>
      </c>
      <c r="J6" t="inlineStr">
        <is>
          <t>D1 Geometry MSE</t>
        </is>
      </c>
      <c r="M6" t="inlineStr">
        <is>
          <t>queen</t>
        </is>
      </c>
      <c r="N6" t="inlineStr">
        <is>
          <t>queen</t>
        </is>
      </c>
      <c r="O6" t="inlineStr">
        <is>
          <t>queen</t>
        </is>
      </c>
      <c r="P6" t="inlineStr">
        <is>
          <t>queen</t>
        </is>
      </c>
    </row>
    <row r="7">
      <c r="A7" t="inlineStr">
        <is>
          <t>X:</t>
        </is>
      </c>
      <c r="B7" s="10" t="inlineStr">
        <is>
          <t>eqn.bpp.colour</t>
        </is>
      </c>
      <c r="C7" t="inlineStr">
        <is>
          <t>Y:</t>
        </is>
      </c>
      <c r="D7" s="10" t="inlineStr">
        <is>
          <t>dec.cb-psnr</t>
        </is>
      </c>
      <c r="E7" t="inlineStr">
        <is>
          <t>← settings for graph d</t>
        </is>
      </c>
      <c r="I7" t="inlineStr">
        <is>
          <t>dec.d1-psnr</t>
        </is>
      </c>
      <c r="J7" t="inlineStr">
        <is>
          <t>D1 Geometry PSNR</t>
        </is>
      </c>
      <c r="M7" t="inlineStr">
        <is>
          <t>8ivfbv2_longdress_vox10</t>
        </is>
      </c>
      <c r="N7" t="inlineStr">
        <is>
          <t>8ivfbv2_longdress_vox10</t>
        </is>
      </c>
      <c r="O7" t="inlineStr">
        <is>
          <t>8ivfbv2_longdress_vox10</t>
        </is>
      </c>
      <c r="P7" t="inlineStr">
        <is>
          <t>8ivfbv2_longdress_vox10</t>
        </is>
      </c>
    </row>
    <row r="8">
      <c r="A8" t="inlineStr">
        <is>
          <t>X:</t>
        </is>
      </c>
      <c r="B8" s="10" t="inlineStr">
        <is>
          <t>eqn.bpp.colour</t>
        </is>
      </c>
      <c r="C8" t="inlineStr">
        <is>
          <t>Y:</t>
        </is>
      </c>
      <c r="D8" s="10" t="inlineStr">
        <is>
          <t>dec.cr-psnr</t>
        </is>
      </c>
      <c r="E8" t="inlineStr">
        <is>
          <t>← settings for graph e</t>
        </is>
      </c>
      <c r="I8" t="inlineStr">
        <is>
          <t>dec.d2-mse</t>
        </is>
      </c>
      <c r="J8" t="inlineStr">
        <is>
          <t>D2 Geometry MSE</t>
        </is>
      </c>
      <c r="M8" t="inlineStr">
        <is>
          <t>basketball_player_vox11</t>
        </is>
      </c>
      <c r="N8" t="inlineStr">
        <is>
          <t>basketball_player_vox11</t>
        </is>
      </c>
      <c r="O8" t="inlineStr">
        <is>
          <t>basketball_player_vox11</t>
        </is>
      </c>
      <c r="P8" t="inlineStr">
        <is>
          <t>basketball_player_vox11</t>
        </is>
      </c>
    </row>
    <row r="9">
      <c r="A9" t="inlineStr">
        <is>
          <t>X:</t>
        </is>
      </c>
      <c r="B9" s="10" t="inlineStr">
        <is>
          <t>eqn.bpp.reflectance</t>
        </is>
      </c>
      <c r="C9" t="inlineStr">
        <is>
          <t>Y:</t>
        </is>
      </c>
      <c r="D9" s="10" t="inlineStr">
        <is>
          <t>dec.reflectance-psnr</t>
        </is>
      </c>
      <c r="E9" t="inlineStr">
        <is>
          <t>← settings for graph f</t>
        </is>
      </c>
      <c r="I9" t="inlineStr">
        <is>
          <t>dec.d2-psnr</t>
        </is>
      </c>
      <c r="J9" t="inlineStr">
        <is>
          <t>D2 Geometry PSNR</t>
        </is>
      </c>
      <c r="M9" t="inlineStr">
        <is>
          <t>dancer_player_vox11</t>
        </is>
      </c>
      <c r="N9" t="inlineStr">
        <is>
          <t>dancer_player_vox11</t>
        </is>
      </c>
      <c r="O9" t="inlineStr">
        <is>
          <t>dancer_player_vox11</t>
        </is>
      </c>
      <c r="P9" t="inlineStr">
        <is>
          <t>dancer_player_vox11</t>
        </is>
      </c>
    </row>
    <row r="10">
      <c r="I10" t="inlineStr">
        <is>
          <t>dec.numduppoints.mean</t>
        </is>
      </c>
      <c r="J10" t="inlineStr">
        <is>
          <t>Mean duplicate points</t>
        </is>
      </c>
    </row>
    <row r="11">
      <c r="I11" t="inlineStr">
        <is>
          <t>dec.numpoints</t>
        </is>
      </c>
      <c r="J11" t="inlineStr">
        <is>
          <t>№ output points</t>
        </is>
      </c>
    </row>
    <row r="12">
      <c r="I12" t="inlineStr">
        <is>
          <t>dec.numpoints.mean</t>
        </is>
      </c>
      <c r="J12" t="inlineStr">
        <is>
          <t>Mean output points</t>
        </is>
      </c>
    </row>
    <row r="13">
      <c r="I13" t="inlineStr">
        <is>
          <t>dec.post-recolour.cb-psnr</t>
        </is>
      </c>
      <c r="J13" t="inlineStr">
        <is>
          <t>Chroma Cb Post recolour PSNR</t>
        </is>
      </c>
    </row>
    <row r="14">
      <c r="I14" t="inlineStr">
        <is>
          <t>dec.post-recolour.cr-psnr</t>
        </is>
      </c>
      <c r="J14" t="inlineStr">
        <is>
          <t>Chroma Cr Post recolour PSNR</t>
        </is>
      </c>
    </row>
    <row r="15">
      <c r="I15" t="inlineStr">
        <is>
          <t>dec.post-recolour.y-psnr</t>
        </is>
      </c>
      <c r="J15" t="inlineStr">
        <is>
          <t>Luma Post recolour PSNR</t>
        </is>
      </c>
    </row>
    <row r="16">
      <c r="I16" t="inlineStr">
        <is>
          <t>dec.reflectance-hpsnr</t>
        </is>
      </c>
      <c r="J16" t="inlineStr">
        <is>
          <t>Reflectance EtE Hausdorff PSNR</t>
        </is>
      </c>
    </row>
    <row r="17">
      <c r="I17" t="inlineStr">
        <is>
          <t>dec.reflectance-psnr</t>
        </is>
      </c>
      <c r="J17" t="inlineStr">
        <is>
          <t>Reflectance End-to-end PSNR</t>
        </is>
      </c>
    </row>
    <row r="18">
      <c r="I18" t="inlineStr">
        <is>
          <t>dec.utime</t>
        </is>
      </c>
      <c r="J18" t="inlineStr">
        <is>
          <t>User Decoder runtime</t>
        </is>
      </c>
    </row>
    <row r="19">
      <c r="I19" t="inlineStr">
        <is>
          <t>dec.utime.children</t>
        </is>
      </c>
      <c r="J19" t="inlineStr">
        <is>
          <t>Child Decoder runtime</t>
        </is>
      </c>
    </row>
    <row r="20">
      <c r="I20" t="inlineStr">
        <is>
          <t>dec.utime.self</t>
        </is>
      </c>
      <c r="J20" t="inlineStr">
        <is>
          <t>Self Decoder runtime</t>
        </is>
      </c>
    </row>
    <row r="21">
      <c r="I21" t="inlineStr">
        <is>
          <t>dec.y-hpsnr</t>
        </is>
      </c>
      <c r="J21" t="inlineStr">
        <is>
          <t>Luma EtE Hausdorff PSNR</t>
        </is>
      </c>
    </row>
    <row r="22">
      <c r="I22" t="inlineStr">
        <is>
          <t>dec.y-psnr</t>
        </is>
      </c>
      <c r="J22" t="inlineStr">
        <is>
          <t>Luma End-to-end PSNR</t>
        </is>
      </c>
    </row>
    <row r="23">
      <c r="I23" t="inlineStr">
        <is>
          <t>enc.bits.colour</t>
        </is>
      </c>
      <c r="J23" t="inlineStr">
        <is>
          <t>Colour Bitstream</t>
        </is>
      </c>
    </row>
    <row r="24">
      <c r="I24" t="inlineStr">
        <is>
          <t>enc.bits.geometry</t>
        </is>
      </c>
      <c r="J24" t="inlineStr">
        <is>
          <t>Geometry Bitstream</t>
        </is>
      </c>
    </row>
    <row r="25">
      <c r="I25" t="inlineStr">
        <is>
          <t>enc.bits.occ+patch</t>
        </is>
      </c>
      <c r="J25" t="inlineStr">
        <is>
          <t>Occ+Patch Bitstream</t>
        </is>
      </c>
    </row>
    <row r="26">
      <c r="I26" t="inlineStr">
        <is>
          <t>enc.bits.reflectance</t>
        </is>
      </c>
      <c r="J26" t="inlineStr">
        <is>
          <t>Reflectance Bitstream</t>
        </is>
      </c>
    </row>
    <row r="27">
      <c r="I27" t="inlineStr">
        <is>
          <t>enc.ext.bits</t>
        </is>
      </c>
      <c r="J27" t="inlineStr">
        <is>
          <t>Total Bitstream</t>
        </is>
      </c>
    </row>
    <row r="28">
      <c r="I28" t="inlineStr">
        <is>
          <t>enc.utime</t>
        </is>
      </c>
      <c r="J28" t="inlineStr">
        <is>
          <t>User Encoder runtime</t>
        </is>
      </c>
    </row>
    <row r="29">
      <c r="I29" t="inlineStr">
        <is>
          <t>enc.utime.children</t>
        </is>
      </c>
      <c r="J29" t="inlineStr">
        <is>
          <t>Child Encoder runtime</t>
        </is>
      </c>
    </row>
    <row r="30">
      <c r="I30" t="inlineStr">
        <is>
          <t>enc.utime.self</t>
        </is>
      </c>
      <c r="J30" t="inlineStr">
        <is>
          <t>Self Encoder runtime</t>
        </is>
      </c>
    </row>
    <row r="31">
      <c r="I31" t="inlineStr">
        <is>
          <t>eqn.bitrate</t>
        </is>
      </c>
      <c r="J31" t="inlineStr">
        <is>
          <t>Rate</t>
        </is>
      </c>
    </row>
    <row r="32">
      <c r="I32" t="inlineStr">
        <is>
          <t>eqn.bits.totalgeometry</t>
        </is>
      </c>
      <c r="J32" t="inlineStr">
        <is>
          <t>eqn.bits.totalgeometry Bitstream</t>
        </is>
      </c>
    </row>
    <row r="33">
      <c r="I33" t="inlineStr">
        <is>
          <t>eqn.bpop</t>
        </is>
      </c>
      <c r="J33" t="inlineStr">
        <is>
          <t>Total Bits per output point</t>
        </is>
      </c>
    </row>
    <row r="34">
      <c r="I34" t="inlineStr">
        <is>
          <t>eqn.bpp</t>
        </is>
      </c>
      <c r="J34" t="inlineStr">
        <is>
          <t>Total Bits per input point</t>
        </is>
      </c>
    </row>
    <row r="35">
      <c r="I35" t="inlineStr">
        <is>
          <t>eqn.bpp.colour</t>
        </is>
      </c>
      <c r="J35" t="inlineStr">
        <is>
          <t>Colour  Bits per input point</t>
        </is>
      </c>
    </row>
    <row r="36">
      <c r="I36" t="inlineStr">
        <is>
          <t>eqn.bpp.geometry</t>
        </is>
      </c>
      <c r="J36" t="inlineStr">
        <is>
          <t>Geometry Bits per input point</t>
        </is>
      </c>
    </row>
    <row r="37">
      <c r="I37" t="inlineStr">
        <is>
          <t>eqn.bpp.geometry+occ+patch</t>
        </is>
      </c>
      <c r="J37" t="inlineStr">
        <is>
          <t>Tot.Geom Bits per input point</t>
        </is>
      </c>
    </row>
    <row r="38">
      <c r="I38" t="inlineStr">
        <is>
          <t>eqn.bpp.reflectance</t>
        </is>
      </c>
      <c r="J38" t="inlineStr">
        <is>
          <t>Reflectance Bits per input point</t>
        </is>
      </c>
    </row>
    <row r="39">
      <c r="I39" t="inlineStr">
        <is>
          <t>eqn.compratio</t>
        </is>
      </c>
      <c r="J39" t="inlineStr">
        <is>
          <t>Comp. ratio</t>
        </is>
      </c>
    </row>
  </sheetData>
  <conditionalFormatting sqref="B2">
    <cfRule dxfId="120" priority="1" type="expression">
      <formula>ISNA(MATCH(B2,OFFSET(M:M,2,MATCH(B1,M1:ZZ1,0)-1,COUNTA(INDEX(M:ZZ,,MATCH(B1,M1:ZZ1,0)))-2),0))</formula>
    </cfRule>
  </conditionalFormatting>
  <conditionalFormatting sqref="B4 D4 B5 D5 B6 D6 B7 D7 B8 D8 B9 D9">
    <cfRule dxfId="120" priority="2" type="expression">
      <formula>ISNA(MATCH(B4,filter_cols,0))</formula>
    </cfRule>
  </conditionalFormatting>
  <dataValidations count="3">
    <dataValidation allowBlank="0" showErrorMessage="1" showInputMessage="1" sqref="B1" type="list">
      <formula1>OFFSET(1:1,0,COLUMN(M1)-1,1,COUNTA(M1:ZZ1))</formula1>
    </dataValidation>
    <dataValidation allowBlank="0" showErrorMessage="1" showInputMessage="1" sqref="B2" type="list">
      <formula1>OFFSET(M:M,2,MATCH(B1,M1:ZZ1,0)-1,COUNTA(INDEX(M:ZZ,,MATCH(B1,M1:ZZ1,0)))-2)</formula1>
    </dataValidation>
    <dataValidation allowBlank="0" showErrorMessage="1" showInputMessage="1" sqref="B4:B9 D4:D9" type="list">
      <formula1>Graphs!filter_cols</formula1>
    </dataValidation>
  </dataValidations>
  <pageMargins bottom="0.75" footer="0.3" header="0.3" left="0.7" right="0.7" top="0.75"/>
  <drawing r:id="rId1"/>
</worksheet>
</file>

<file path=xl/worksheets/sheet3.xml><?xml version="1.0" encoding="utf-8"?>
<worksheet xmlns="http://schemas.openxmlformats.org/spreadsheetml/2006/main">
  <sheetPr>
    <outlinePr summaryBelow="0"/>
    <pageSetUpPr/>
  </sheetPr>
  <dimension ref="A1:BT47"/>
  <sheetViews>
    <sheetView workbookViewId="0" zoomScale="55" zoomScaleNormal="55">
      <pane activePane="bottomRight" state="frozen" topLeftCell="G5" xSplit="2" ySplit="4"/>
      <selection activeCell="C1" pane="topRight" sqref="C1"/>
      <selection activeCell="A5" pane="bottomLeft" sqref="A5"/>
      <selection activeCell="AG1" pane="bottomRight" sqref="AG1:BC1"/>
    </sheetView>
  </sheetViews>
  <sheetFormatPr baseColWidth="8" defaultRowHeight="14.4" outlineLevelRow="2"/>
  <cols>
    <col customWidth="1" max="2" min="2" style="86" width="24.6640625"/>
    <col customWidth="1" max="5" min="4" style="86" width="10.6640625"/>
    <col customWidth="1" max="8" min="8" style="86" width="1.6640625"/>
    <col customWidth="1" max="13" min="10" style="86" width="10.6640625"/>
    <col customWidth="1" hidden="1" max="14" min="14" style="86" width="24.6640625"/>
    <col customWidth="1" max="15" min="15" style="86" width="12.6640625"/>
    <col customWidth="1" max="16" min="16" style="86" width="10.6640625"/>
    <col customWidth="1" max="22" min="19" style="86" width="12.6640625"/>
    <col customWidth="1" max="27" min="23" style="86" width="11.6640625"/>
    <col customWidth="1" max="32" min="32" style="86" width="1.6640625"/>
    <col customWidth="1" max="37" min="34" style="86" width="10.6640625"/>
    <col customWidth="1" hidden="1" max="38" min="38" style="86" width="24.6640625"/>
    <col customWidth="1" max="39" min="39" style="86" width="12.6640625"/>
    <col customWidth="1" max="40" min="40" style="86" width="10.6640625"/>
    <col customWidth="1" max="46" min="43" style="86" width="12.6640625"/>
    <col customWidth="1" max="51" min="47" style="86" width="11.6640625"/>
    <col customWidth="1" max="56" min="56" style="86" width="1.6640625"/>
    <col customWidth="1" max="61" min="61" style="86" width="1.6640625"/>
    <col customWidth="1" max="66" min="64" style="86" width="11.6640625"/>
    <col customWidth="1" max="67" min="67" style="86" width="1.6640625"/>
    <col customWidth="1" max="72" min="70" style="86" width="11.6640625"/>
    <col customWidth="1" max="73" min="73" style="86" width="1.6640625"/>
  </cols>
  <sheetData>
    <row r="1">
      <c r="A1" s="177" t="inlineStr">
        <is>
          <t>C2_ai — lossy geometry, lossy attributes [all intra]</t>
        </is>
      </c>
      <c r="I1" s="165">
        <f>Summary!$C$1</f>
        <v/>
      </c>
      <c r="AG1" s="166">
        <f>Summary!$C$2</f>
        <v/>
      </c>
    </row>
    <row customHeight="1" ht="30" r="2" s="86">
      <c r="A2" s="173" t="inlineStr">
        <is>
          <t>Class</t>
        </is>
      </c>
      <c r="B2" s="174" t="inlineStr">
        <is>
          <t>Sequence</t>
        </is>
      </c>
      <c r="C2" s="173" t="inlineStr">
        <is>
          <t>Variant</t>
        </is>
      </c>
      <c r="D2" s="174" t="inlineStr">
        <is>
          <t>№ input points</t>
        </is>
      </c>
      <c r="E2" s="173" t="inlineStr">
        <is>
          <t>Geometry precision [bits]</t>
        </is>
      </c>
      <c r="F2" s="174" t="inlineStr">
        <is>
          <t>№ frames</t>
        </is>
      </c>
      <c r="G2" s="173" t="inlineStr">
        <is>
          <t>Frame rate [fps]</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4" t="inlineStr">
        <is>
          <t>Mean output points</t>
        </is>
      </c>
      <c r="R2" s="173" t="inlineStr">
        <is>
          <t>Mean duplicate points</t>
        </is>
      </c>
      <c r="S2" s="176" t="inlineStr">
        <is>
          <t>Bitstream [bits]</t>
        </is>
      </c>
      <c r="W2" s="175" t="inlineStr">
        <is>
          <t>Geometry PSNR [dB]</t>
        </is>
      </c>
      <c r="Y2" s="176" t="inlineStr">
        <is>
          <t>End-to-end PSNR [dB]</t>
        </is>
      </c>
      <c r="AB2" s="175" t="inlineStr">
        <is>
          <t>Encoder runtime [s]</t>
        </is>
      </c>
      <c r="AD2" s="176" t="inlineStr">
        <is>
          <t>Decoder runtime [s]</t>
        </is>
      </c>
      <c r="AG2" s="173" t="inlineStr">
        <is>
          <t>Rate [Mbps]</t>
        </is>
      </c>
      <c r="AH2" s="176" t="inlineStr">
        <is>
          <t>Bits per input point [bpip]</t>
        </is>
      </c>
      <c r="AL2" s="174" t="inlineStr">
        <is>
          <t>B.eqn.bits.totalgeometry Bitstream [bits]</t>
        </is>
      </c>
      <c r="AM2" s="173" t="inlineStr">
        <is>
          <t>Total Bits per output point [bpop]</t>
        </is>
      </c>
      <c r="AN2" s="174" t="inlineStr">
        <is>
          <t>№ output points</t>
        </is>
      </c>
      <c r="AO2" s="173" t="inlineStr">
        <is>
          <t>Mean output points</t>
        </is>
      </c>
      <c r="AP2" s="174" t="inlineStr">
        <is>
          <t>Mean duplicate points</t>
        </is>
      </c>
      <c r="AQ2" s="175" t="inlineStr">
        <is>
          <t>Bitstream [bits]</t>
        </is>
      </c>
      <c r="AU2" s="176" t="inlineStr">
        <is>
          <t>Geometry PSNR [dB]</t>
        </is>
      </c>
      <c r="AW2" s="175" t="inlineStr">
        <is>
          <t>End-to-end PSNR [dB]</t>
        </is>
      </c>
      <c r="AZ2" s="176" t="inlineStr">
        <is>
          <t>Encoder runtime [s]</t>
        </is>
      </c>
      <c r="BB2" s="175" t="inlineStr">
        <is>
          <t>Decoder runtime [s]</t>
        </is>
      </c>
      <c r="BE2" s="174" t="inlineStr">
        <is>
          <t>Tot.Geom bpip ratio [%]</t>
        </is>
      </c>
      <c r="BF2" s="173" t="inlineStr">
        <is>
          <t>Shift in duppoint ratio [pp]</t>
        </is>
      </c>
      <c r="BG2" s="174" t="inlineStr">
        <is>
          <t>Shift in G:T bits ratio [pp]</t>
        </is>
      </c>
      <c r="BH2" s="173" t="inlineStr">
        <is>
          <t>Shift in G:T bits ratio [pp]</t>
        </is>
      </c>
      <c r="BJ2" s="176" t="inlineStr">
        <is>
          <t>Geom. BD‑TotGeomRate [%]</t>
        </is>
      </c>
      <c r="BL2" s="175" t="inlineStr">
        <is>
          <t>End-to-End BD‑AttrRate [%]</t>
        </is>
      </c>
      <c r="BP2" s="176" t="inlineStr">
        <is>
          <t>Geom. BD‑TotalRate [%]</t>
        </is>
      </c>
      <c r="BR2" s="175" t="inlineStr">
        <is>
          <t>End-to-End BD‑TotalRate [%]</t>
        </is>
      </c>
    </row>
    <row r="3">
      <c r="A3" s="9" t="n"/>
      <c r="B3" s="9" t="n"/>
      <c r="C3" s="9" t="n"/>
      <c r="D3" s="9" t="n"/>
      <c r="E3" s="9" t="n"/>
      <c r="F3" s="9" t="n"/>
      <c r="G3" s="9" t="n"/>
      <c r="I3" s="9" t="n"/>
      <c r="J3" s="173" t="inlineStr">
        <is>
          <t>Total</t>
        </is>
      </c>
      <c r="K3" s="173" t="inlineStr">
        <is>
          <t>Tot.Geom</t>
        </is>
      </c>
      <c r="L3" s="173" t="inlineStr">
        <is>
          <t>Geometry</t>
        </is>
      </c>
      <c r="M3" s="173" t="inlineStr">
        <is>
          <t xml:space="preserve">Colour </t>
        </is>
      </c>
      <c r="N3" s="9" t="n"/>
      <c r="O3" s="9" t="n"/>
      <c r="P3" s="9" t="n"/>
      <c r="Q3" s="9" t="n"/>
      <c r="R3" s="9" t="n"/>
      <c r="S3" s="174" t="inlineStr">
        <is>
          <t>Total</t>
        </is>
      </c>
      <c r="T3" s="174" t="inlineStr">
        <is>
          <t>Geometry</t>
        </is>
      </c>
      <c r="U3" s="174" t="inlineStr">
        <is>
          <t>Occ+Patch</t>
        </is>
      </c>
      <c r="V3" s="174" t="inlineStr">
        <is>
          <t>Colour</t>
        </is>
      </c>
      <c r="W3" s="173" t="inlineStr">
        <is>
          <t>D1</t>
        </is>
      </c>
      <c r="X3" s="173" t="inlineStr">
        <is>
          <t>D2</t>
        </is>
      </c>
      <c r="Y3" s="174" t="inlineStr">
        <is>
          <t>Luma</t>
        </is>
      </c>
      <c r="Z3" s="174" t="inlineStr">
        <is>
          <t>Chroma Cb</t>
        </is>
      </c>
      <c r="AA3" s="174" t="inlineStr">
        <is>
          <t>Chroma Cr</t>
        </is>
      </c>
      <c r="AB3" s="173" t="inlineStr">
        <is>
          <t>Self</t>
        </is>
      </c>
      <c r="AC3" s="173" t="inlineStr">
        <is>
          <t>Child</t>
        </is>
      </c>
      <c r="AD3" s="174" t="inlineStr">
        <is>
          <t>Self</t>
        </is>
      </c>
      <c r="AE3" s="174" t="inlineStr">
        <is>
          <t>Child</t>
        </is>
      </c>
      <c r="AG3" s="9" t="n"/>
      <c r="AH3" s="174" t="inlineStr">
        <is>
          <t>Total</t>
        </is>
      </c>
      <c r="AI3" s="174" t="inlineStr">
        <is>
          <t>Tot.Geom</t>
        </is>
      </c>
      <c r="AJ3" s="174" t="inlineStr">
        <is>
          <t>Geometry</t>
        </is>
      </c>
      <c r="AK3" s="174" t="inlineStr">
        <is>
          <t xml:space="preserve">Colour </t>
        </is>
      </c>
      <c r="AL3" s="9" t="n"/>
      <c r="AM3" s="9" t="n"/>
      <c r="AN3" s="9" t="n"/>
      <c r="AO3" s="9" t="n"/>
      <c r="AP3" s="9" t="n"/>
      <c r="AQ3" s="173" t="inlineStr">
        <is>
          <t>Total</t>
        </is>
      </c>
      <c r="AR3" s="173" t="inlineStr">
        <is>
          <t>Geometry</t>
        </is>
      </c>
      <c r="AS3" s="173" t="inlineStr">
        <is>
          <t>Occ+Patch</t>
        </is>
      </c>
      <c r="AT3" s="173" t="inlineStr">
        <is>
          <t>Colour</t>
        </is>
      </c>
      <c r="AU3" s="174" t="inlineStr">
        <is>
          <t>D1</t>
        </is>
      </c>
      <c r="AV3" s="174" t="inlineStr">
        <is>
          <t>D2</t>
        </is>
      </c>
      <c r="AW3" s="173" t="inlineStr">
        <is>
          <t>Luma</t>
        </is>
      </c>
      <c r="AX3" s="173" t="inlineStr">
        <is>
          <t>Chroma Cb</t>
        </is>
      </c>
      <c r="AY3" s="173" t="inlineStr">
        <is>
          <t>Chroma Cr</t>
        </is>
      </c>
      <c r="AZ3" s="174" t="inlineStr">
        <is>
          <t>Self</t>
        </is>
      </c>
      <c r="BA3" s="174" t="inlineStr">
        <is>
          <t>Child</t>
        </is>
      </c>
      <c r="BB3" s="173" t="inlineStr">
        <is>
          <t>Self</t>
        </is>
      </c>
      <c r="BC3" s="173" t="inlineStr">
        <is>
          <t>Child</t>
        </is>
      </c>
      <c r="BE3" s="9" t="n"/>
      <c r="BF3" s="9" t="n"/>
      <c r="BG3" s="9" t="n"/>
      <c r="BH3" s="9" t="n"/>
      <c r="BJ3" s="174" t="inlineStr">
        <is>
          <t>D1</t>
        </is>
      </c>
      <c r="BK3" s="174" t="inlineStr">
        <is>
          <t>D2</t>
        </is>
      </c>
      <c r="BL3" s="173" t="inlineStr">
        <is>
          <t>Luma</t>
        </is>
      </c>
      <c r="BM3" s="173" t="inlineStr">
        <is>
          <t>Chroma Cb</t>
        </is>
      </c>
      <c r="BN3" s="173" t="inlineStr">
        <is>
          <t>Chroma Cr</t>
        </is>
      </c>
      <c r="BP3" s="174" t="inlineStr">
        <is>
          <t>D1</t>
        </is>
      </c>
      <c r="BQ3" s="174" t="inlineStr">
        <is>
          <t>D2</t>
        </is>
      </c>
      <c r="BR3" s="173" t="inlineStr">
        <is>
          <t>Luma</t>
        </is>
      </c>
      <c r="BS3" s="173" t="inlineStr">
        <is>
          <t>Chroma Cb</t>
        </is>
      </c>
      <c r="BT3" s="173" t="inlineStr">
        <is>
          <t>Chroma Cr</t>
        </is>
      </c>
    </row>
    <row customHeight="1" hidden="1" ht="123" r="4" s="86">
      <c r="A4" s="13" t="inlineStr">
        <is>
          <t>class</t>
        </is>
      </c>
      <c r="B4" s="14" t="inlineStr">
        <is>
          <t>sequence</t>
        </is>
      </c>
      <c r="C4" s="13" t="inlineStr">
        <is>
          <t>variant</t>
        </is>
      </c>
      <c r="D4" s="14" t="inlineStr">
        <is>
          <t>src.numpoints</t>
        </is>
      </c>
      <c r="E4" s="13" t="inlineStr">
        <is>
          <t>src.geometry-precision</t>
        </is>
      </c>
      <c r="F4" s="14" t="inlineStr">
        <is>
          <t>src.framecount</t>
        </is>
      </c>
      <c r="G4" s="13" t="inlineStr">
        <is>
          <t>src.framerate</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A.dec.numpoints.mean</t>
        </is>
      </c>
      <c r="R4" s="13" t="inlineStr">
        <is>
          <t>A.dec.numduppoints.mean</t>
        </is>
      </c>
      <c r="S4" s="14" t="inlineStr">
        <is>
          <t>A.enc.ext.bits</t>
        </is>
      </c>
      <c r="T4" s="14" t="inlineStr">
        <is>
          <t>A.enc.bits.geometry</t>
        </is>
      </c>
      <c r="U4" s="14" t="inlineStr">
        <is>
          <t>A.enc.bits.occ+patch</t>
        </is>
      </c>
      <c r="V4" s="14" t="inlineStr">
        <is>
          <t>A.enc.bits.colour</t>
        </is>
      </c>
      <c r="W4" s="13" t="inlineStr">
        <is>
          <t>A.dec.d1-psnr</t>
        </is>
      </c>
      <c r="X4" s="13" t="inlineStr">
        <is>
          <t>A.dec.d2-psnr</t>
        </is>
      </c>
      <c r="Y4" s="14" t="inlineStr">
        <is>
          <t>A.dec.y-psnr</t>
        </is>
      </c>
      <c r="Z4" s="14" t="inlineStr">
        <is>
          <t>A.dec.cb-psnr</t>
        </is>
      </c>
      <c r="AA4" s="14" t="inlineStr">
        <is>
          <t>A.dec.cr-psnr</t>
        </is>
      </c>
      <c r="AB4" s="13" t="inlineStr">
        <is>
          <t>A.enc.utime.self</t>
        </is>
      </c>
      <c r="AC4" s="13" t="inlineStr">
        <is>
          <t>A.enc.utime.children</t>
        </is>
      </c>
      <c r="AD4" s="14" t="inlineStr">
        <is>
          <t>A.dec.utime.self</t>
        </is>
      </c>
      <c r="AE4" s="14" t="inlineStr">
        <is>
          <t>A.dec.utime.children</t>
        </is>
      </c>
      <c r="AG4" s="13" t="inlineStr">
        <is>
          <t>B.eqn.bitrate</t>
        </is>
      </c>
      <c r="AH4" s="14" t="inlineStr">
        <is>
          <t>B.eqn.bpp</t>
        </is>
      </c>
      <c r="AI4" s="14" t="inlineStr">
        <is>
          <t>B.eqn.bpp.geometry+occ+patch</t>
        </is>
      </c>
      <c r="AJ4" s="14" t="inlineStr">
        <is>
          <t>B.eqn.bpp.geometry</t>
        </is>
      </c>
      <c r="AK4" s="14" t="inlineStr">
        <is>
          <t>B.eqn.bpp.colour</t>
        </is>
      </c>
      <c r="AL4" s="14" t="inlineStr">
        <is>
          <t>B.eqn.bits.totalgeometry</t>
        </is>
      </c>
      <c r="AM4" s="13" t="inlineStr">
        <is>
          <t>B.eqn.bpop</t>
        </is>
      </c>
      <c r="AN4" s="14" t="inlineStr">
        <is>
          <t>B.dec.numpoints</t>
        </is>
      </c>
      <c r="AO4" s="13" t="inlineStr">
        <is>
          <t>B.dec.numpoints.mean</t>
        </is>
      </c>
      <c r="AP4" s="14" t="inlineStr">
        <is>
          <t>B.dec.numduppoints.mean</t>
        </is>
      </c>
      <c r="AQ4" s="13" t="inlineStr">
        <is>
          <t>B.enc.ext.bits</t>
        </is>
      </c>
      <c r="AR4" s="13" t="inlineStr">
        <is>
          <t>B.enc.bits.geometry</t>
        </is>
      </c>
      <c r="AS4" s="13" t="inlineStr">
        <is>
          <t>B.enc.bits.occ+patch</t>
        </is>
      </c>
      <c r="AT4" s="13" t="inlineStr">
        <is>
          <t>B.enc.bits.colour</t>
        </is>
      </c>
      <c r="AU4" s="14" t="inlineStr">
        <is>
          <t>B.dec.d1-psnr</t>
        </is>
      </c>
      <c r="AV4" s="14" t="inlineStr">
        <is>
          <t>B.dec.d2-psnr</t>
        </is>
      </c>
      <c r="AW4" s="13" t="inlineStr">
        <is>
          <t>B.dec.y-psnr</t>
        </is>
      </c>
      <c r="AX4" s="13" t="inlineStr">
        <is>
          <t>B.dec.cb-psnr</t>
        </is>
      </c>
      <c r="AY4" s="13" t="inlineStr">
        <is>
          <t>B.dec.cr-psnr</t>
        </is>
      </c>
      <c r="AZ4" s="14" t="inlineStr">
        <is>
          <t>B.enc.utime.self</t>
        </is>
      </c>
      <c r="BA4" s="14" t="inlineStr">
        <is>
          <t>B.enc.utime.children</t>
        </is>
      </c>
      <c r="BB4" s="13" t="inlineStr">
        <is>
          <t>B.dec.utime.self</t>
        </is>
      </c>
      <c r="BC4" s="13" t="inlineStr">
        <is>
          <t>B.dec.utime.children</t>
        </is>
      </c>
      <c r="BE4" s="14" t="inlineStr">
        <is>
          <t>eqn.ab.ratio-bpp-geometry-total</t>
        </is>
      </c>
      <c r="BF4" s="13" t="inlineStr">
        <is>
          <t>eqn.ab.delta-duppoints_ratio</t>
        </is>
      </c>
      <c r="BG4" s="14" t="inlineStr">
        <is>
          <t>eqn.ab.delta-geom_texture_bits_ratio</t>
        </is>
      </c>
      <c r="BH4" s="13" t="inlineStr">
        <is>
          <t>eqn.ab.summary-delta-geom_texture_bits_ratio</t>
        </is>
      </c>
      <c r="BJ4" s="14" t="inlineStr">
        <is>
          <t>eqn.ab.bdrate-d1-geomrate</t>
        </is>
      </c>
      <c r="BK4" s="14" t="inlineStr">
        <is>
          <t>eqn.ab.bdrate-d2-geomrate</t>
        </is>
      </c>
      <c r="BL4" s="13" t="inlineStr">
        <is>
          <t>eqn.ab.bdrate-y-attrrate</t>
        </is>
      </c>
      <c r="BM4" s="13" t="inlineStr">
        <is>
          <t>eqn.ab.bdrate-cb-attrrate</t>
        </is>
      </c>
      <c r="BN4" s="13" t="inlineStr">
        <is>
          <t>eqn.ab.bdrate-cr-attrrate</t>
        </is>
      </c>
      <c r="BP4" s="14" t="inlineStr">
        <is>
          <t>eqn.ab.bdrate-d1</t>
        </is>
      </c>
      <c r="BQ4" s="14" t="inlineStr">
        <is>
          <t>eqn.ab.bdrate-d2</t>
        </is>
      </c>
      <c r="BR4" s="13" t="inlineStr">
        <is>
          <t>eqn.ab.bdrate-y</t>
        </is>
      </c>
      <c r="BS4" s="13" t="inlineStr">
        <is>
          <t>eqn.ab.bdrate-cb</t>
        </is>
      </c>
      <c r="BT4" s="13" t="inlineStr">
        <is>
          <t>eqn.ab.bdrate-cr</t>
        </is>
      </c>
    </row>
    <row r="5">
      <c r="A5" s="142" t="inlineStr">
        <is>
          <t>cat2-A</t>
        </is>
      </c>
      <c r="B5" s="142" t="inlineStr">
        <is>
          <t>8ivfbv2_loot_vox10</t>
        </is>
      </c>
      <c r="C5" s="16" t="inlineStr">
        <is>
          <t>r01</t>
        </is>
      </c>
      <c r="D5" s="142" t="n">
        <v>238146391</v>
      </c>
      <c r="E5" s="16" t="n">
        <v>10</v>
      </c>
      <c r="F5" s="16" t="n">
        <v>32</v>
      </c>
      <c r="G5" s="16" t="n">
        <v>30</v>
      </c>
      <c r="I5" s="17">
        <f>IF(OR(ISBLANK(S5),ISBLANK(G5)),"·",S5*G5/F5/1000000)</f>
        <v/>
      </c>
      <c r="J5" s="18">
        <f>IF(ISBLANK(S5),"·",S5/D5)</f>
        <v/>
      </c>
      <c r="K5" s="18">
        <f>IF(N5="","·",N5/D5)</f>
        <v/>
      </c>
      <c r="L5" s="18">
        <f>IF(T5="","·",T5/D5)</f>
        <v/>
      </c>
      <c r="M5" s="18">
        <f>IF(ISBLANK(V5),"·",V5/D5)</f>
        <v/>
      </c>
      <c r="N5" s="142">
        <f>IF(OR(ISBLANK(T5),ISBLANK(U5)),"",T5+U5)</f>
        <v/>
      </c>
      <c r="O5" s="18" t="n">
        <v>16</v>
      </c>
      <c r="P5" s="19" t="n">
        <v>21785839</v>
      </c>
      <c r="Q5" s="19" t="n">
        <v>680807.46875</v>
      </c>
      <c r="R5" s="19" t="n">
        <v>13493.8125</v>
      </c>
      <c r="S5" s="20" t="n">
        <v>2331624</v>
      </c>
      <c r="T5" s="20" t="n">
        <v>839992</v>
      </c>
      <c r="U5" s="20" t="n">
        <v>639160</v>
      </c>
      <c r="V5" s="20" t="n">
        <v>852472</v>
      </c>
      <c r="W5" s="21" t="n">
        <v>66.354628125</v>
      </c>
      <c r="X5" s="21" t="n">
        <v>68.478525</v>
      </c>
      <c r="Y5" s="21" t="n">
        <v>32.109446875</v>
      </c>
      <c r="Z5" s="21" t="n">
        <v>44.148171875</v>
      </c>
      <c r="AA5" s="21" t="n">
        <v>43.8398125</v>
      </c>
      <c r="AB5" s="22" t="n">
        <v>3564.66</v>
      </c>
      <c r="AC5" s="22" t="n">
        <v>1679.87</v>
      </c>
      <c r="AD5" s="22" t="n">
        <v>7.26</v>
      </c>
      <c r="AE5" s="22" t="n">
        <v>26.191</v>
      </c>
      <c r="AG5" s="17">
        <f>IF(OR(ISBLANK(AQ5),ISBLANK(G5)),"·",AQ5*G5/F5/1000000)</f>
        <v/>
      </c>
      <c r="AH5" s="18">
        <f>IF(ISBLANK(AQ5),"·",AQ5/D5)</f>
        <v/>
      </c>
      <c r="AI5" s="18">
        <f>IF(AL5="","·",AL5/D5)</f>
        <v/>
      </c>
      <c r="AJ5" s="18">
        <f>IF(AR5="","·",AR5/D5)</f>
        <v/>
      </c>
      <c r="AK5" s="18">
        <f>IF(ISBLANK(AT5),"·",AT5/D5)</f>
        <v/>
      </c>
      <c r="AL5" s="142">
        <f>IF(OR(ISBLANK(AR5),ISBLANK(AS5)),"",AR5+AS5)</f>
        <v/>
      </c>
      <c r="AM5" s="18" t="n">
        <v>16</v>
      </c>
      <c r="AN5" s="19" t="n">
        <v>21785839</v>
      </c>
      <c r="AO5" s="19" t="n">
        <v>680807.46875</v>
      </c>
      <c r="AP5" s="19" t="n">
        <v>13493.8125</v>
      </c>
      <c r="AQ5" s="20" t="n">
        <v>2331368</v>
      </c>
      <c r="AR5" s="20" t="n">
        <v>839992</v>
      </c>
      <c r="AS5" s="20" t="n">
        <v>639160</v>
      </c>
      <c r="AT5" s="20" t="n">
        <v>852216</v>
      </c>
      <c r="AU5" s="21" t="n">
        <v>66.354628125</v>
      </c>
      <c r="AV5" s="21" t="n">
        <v>68.478525</v>
      </c>
      <c r="AW5" s="21" t="n">
        <v>32.104728125</v>
      </c>
      <c r="AX5" s="21" t="n">
        <v>44.1602625</v>
      </c>
      <c r="AY5" s="21" t="n">
        <v>43.84184375</v>
      </c>
      <c r="AZ5" s="22" t="n">
        <v>3530.23</v>
      </c>
      <c r="BA5" s="22" t="n">
        <v>1672.83</v>
      </c>
      <c r="BB5" s="22" t="n">
        <v>49.152</v>
      </c>
      <c r="BC5" s="22" t="n">
        <v>27.463</v>
      </c>
      <c r="BE5" s="72">
        <f>AI5/K5</f>
        <v/>
      </c>
      <c r="BF5" s="24">
        <f>(AP5/AO5) - (R5/Q5)</f>
        <v/>
      </c>
      <c r="BG5" s="24">
        <f>(AL5/AQ5) - (N5/S5)</f>
        <v/>
      </c>
      <c r="BH5" s="24">
        <f ref="BH5" t="array">AVERAGE(AL5:AL9/AQ5:AQ9) - AVERAGE(N5:N9/S5:S9)</f>
        <v/>
      </c>
      <c r="BJ5" s="72">
        <f>IF( OR(ISBLANK(N5:N9),ISBLANK(AL5:AL9), ISBLANK(W5:W9),ISBLANK(AU5:AU9)), "·", bdRateExtend( N5:N9,W5:W9, AL5:AL9,AU5:AU9))</f>
        <v/>
      </c>
      <c r="BK5" s="72">
        <f>IF( OR(ISBLANK(N5:N9),ISBLANK(AL5:AL9), ISBLANK(X5:X9),ISBLANK(AV5:AV9)), "·", bdRateExtend( N5:N9,X5:X9, AL5:AL9,AV5:AV9))</f>
        <v/>
      </c>
      <c r="BL5" s="72">
        <f>IF( OR(ISBLANK(V5:V9),ISBLANK(AT5:AT9), ISBLANK(Y5:Y9),ISBLANK(AW5:AW9)), "·", bdRateExtend( V5:V9,Y5:Y9, AT5:AT9,AW5:AW9))</f>
        <v/>
      </c>
      <c r="BM5" s="72">
        <f>IF( OR(ISBLANK(V5:V9),ISBLANK(AT5:AT9), ISBLANK(Z5:Z9),ISBLANK(AX5:AX9)), "·", bdRateExtend( V5:V9,Z5:Z9, AT5:AT9,AX5:AX9))</f>
        <v/>
      </c>
      <c r="BN5" s="72">
        <f>IF( OR(ISBLANK(V5:V9),ISBLANK(AT5:AT9), ISBLANK(AA5:AA9),ISBLANK(AY5:AY9)), "·", bdRateExtend( V5:V9,AA5:AA9, AT5:AT9,AY5:AY9))</f>
        <v/>
      </c>
      <c r="BP5" s="72">
        <f>IF( OR(ISBLANK(S5:S9),ISBLANK(AQ5:AQ9), ISBLANK(W5:W9),ISBLANK(AU5:AU9)), "·", bdRateExtend( S5:S9,W5:W9, AQ5:AQ9,AU5:AU9))</f>
        <v/>
      </c>
      <c r="BQ5" s="72">
        <f>IF( OR(ISBLANK(S5:S9),ISBLANK(AQ5:AQ9), ISBLANK(X5:X9),ISBLANK(AV5:AV9)), "·", bdRateExtend( S5:S9,X5:X9, AQ5:AQ9,AV5:AV9))</f>
        <v/>
      </c>
      <c r="BR5" s="72">
        <f>IF( OR(ISBLANK(S5:S9),ISBLANK(AQ5:AQ9), ISBLANK(Y5:Y9),ISBLANK(AW5:AW9)), "·", bdRateExtend( S5:S9,Y5:Y9, AQ5:AQ9,AW5:AW9))</f>
        <v/>
      </c>
      <c r="BS5" s="72">
        <f>IF( OR(ISBLANK(S5:S9),ISBLANK(AQ5:AQ9), ISBLANK(Z5:Z9),ISBLANK(AX5:AX9)), "·", bdRateExtend( S5:S9,Z5:Z9, AQ5:AQ9,AX5:AX9))</f>
        <v/>
      </c>
      <c r="BT5" s="72">
        <f>IF( OR(ISBLANK(S5:S9),ISBLANK(AQ5:AQ9), ISBLANK(AA5:AA9),ISBLANK(AY5:AY9)), "·", bdRateExtend( S5:S9,AA5:AA9, AQ5:AQ9,AY5:AY9))</f>
        <v/>
      </c>
    </row>
    <row outlineLevel="1" r="6" s="86">
      <c r="A6" s="25" t="n"/>
      <c r="B6" s="25" t="inlineStr">
        <is>
          <t>8ivfbv2_loot_vox10</t>
        </is>
      </c>
      <c r="C6" s="26" t="inlineStr">
        <is>
          <t>r02</t>
        </is>
      </c>
      <c r="D6" s="25" t="n">
        <v>238146391</v>
      </c>
      <c r="E6" s="26" t="n">
        <v>10</v>
      </c>
      <c r="F6" s="26" t="n">
        <v>32</v>
      </c>
      <c r="G6" s="26" t="n">
        <v>30</v>
      </c>
      <c r="I6" s="27">
        <f>IF(OR(ISBLANK(S6),ISBLANK(G6)),"·",S6*G6/F6/1000000)</f>
        <v/>
      </c>
      <c r="J6" s="28">
        <f>IF(ISBLANK(S6),"·",S6/D6)</f>
        <v/>
      </c>
      <c r="K6" s="28">
        <f>IF(N6="","·",N6/D6)</f>
        <v/>
      </c>
      <c r="L6" s="28">
        <f>IF(T6="","·",T6/D6)</f>
        <v/>
      </c>
      <c r="M6" s="28">
        <f>IF(ISBLANK(V6),"·",V6/D6)</f>
        <v/>
      </c>
      <c r="N6" s="25">
        <f>IF(OR(ISBLANK(T6),ISBLANK(U6)),"",T6+U6)</f>
        <v/>
      </c>
      <c r="O6" s="28" t="n">
        <v>16</v>
      </c>
      <c r="P6" s="29" t="n">
        <v>24191962</v>
      </c>
      <c r="Q6" s="29" t="n">
        <v>755998.8125</v>
      </c>
      <c r="R6" s="29" t="n">
        <v>19085.96875</v>
      </c>
      <c r="S6" s="30" t="n">
        <v>3634416</v>
      </c>
      <c r="T6" s="30" t="n">
        <v>1164872</v>
      </c>
      <c r="U6" s="30" t="n">
        <v>639160</v>
      </c>
      <c r="V6" s="30" t="n">
        <v>1830384</v>
      </c>
      <c r="W6" s="31" t="n">
        <v>68.255978125</v>
      </c>
      <c r="X6" s="31" t="n">
        <v>70.43845937499999</v>
      </c>
      <c r="Y6" s="31" t="n">
        <v>34.365984375</v>
      </c>
      <c r="Z6" s="31" t="n">
        <v>45.49991875</v>
      </c>
      <c r="AA6" s="31" t="n">
        <v>45.23166875</v>
      </c>
      <c r="AB6" s="32" t="n">
        <v>3572.66</v>
      </c>
      <c r="AC6" s="32" t="n">
        <v>1763.24</v>
      </c>
      <c r="AD6" s="32" t="n">
        <v>7.851</v>
      </c>
      <c r="AE6" s="32" t="n">
        <v>28.138</v>
      </c>
      <c r="AG6" s="27">
        <f>IF(OR(ISBLANK(AQ6),ISBLANK(G6)),"·",AQ6*G6/F6/1000000)</f>
        <v/>
      </c>
      <c r="AH6" s="28">
        <f>IF(ISBLANK(AQ6),"·",AQ6/D6)</f>
        <v/>
      </c>
      <c r="AI6" s="28">
        <f>IF(AL6="","·",AL6/D6)</f>
        <v/>
      </c>
      <c r="AJ6" s="28">
        <f>IF(AR6="","·",AR6/D6)</f>
        <v/>
      </c>
      <c r="AK6" s="28">
        <f>IF(ISBLANK(AT6),"·",AT6/D6)</f>
        <v/>
      </c>
      <c r="AL6" s="25">
        <f>IF(OR(ISBLANK(AR6),ISBLANK(AS6)),"",AR6+AS6)</f>
        <v/>
      </c>
      <c r="AM6" s="28" t="n">
        <v>16</v>
      </c>
      <c r="AN6" s="29" t="n">
        <v>24191962</v>
      </c>
      <c r="AO6" s="29" t="n">
        <v>755998.8125</v>
      </c>
      <c r="AP6" s="29" t="n">
        <v>19085.96875</v>
      </c>
      <c r="AQ6" s="30" t="n">
        <v>3628232</v>
      </c>
      <c r="AR6" s="30" t="n">
        <v>1164872</v>
      </c>
      <c r="AS6" s="30" t="n">
        <v>639160</v>
      </c>
      <c r="AT6" s="30" t="n">
        <v>1824200</v>
      </c>
      <c r="AU6" s="31" t="n">
        <v>68.255978125</v>
      </c>
      <c r="AV6" s="31" t="n">
        <v>70.43845937499999</v>
      </c>
      <c r="AW6" s="31" t="n">
        <v>34.355628125</v>
      </c>
      <c r="AX6" s="31" t="n">
        <v>45.457171875</v>
      </c>
      <c r="AY6" s="31" t="n">
        <v>45.25540625</v>
      </c>
      <c r="AZ6" s="32" t="n">
        <v>3530.7</v>
      </c>
      <c r="BA6" s="32" t="n">
        <v>1764.31</v>
      </c>
      <c r="BB6" s="32" t="n">
        <v>54.288</v>
      </c>
      <c r="BC6" s="32" t="n">
        <v>27.991</v>
      </c>
      <c r="BE6" s="68">
        <f>AI6/K6</f>
        <v/>
      </c>
      <c r="BF6" s="34">
        <f>(AP6/AO6) - (R6/Q6)</f>
        <v/>
      </c>
      <c r="BG6" s="34">
        <f>(AL6/AQ6) - (N6/S6)</f>
        <v/>
      </c>
      <c r="BH6" s="34" t="n"/>
      <c r="BJ6" s="68" t="n"/>
      <c r="BK6" s="68" t="n"/>
      <c r="BL6" s="68" t="n"/>
      <c r="BM6" s="68" t="n"/>
      <c r="BN6" s="68" t="n"/>
      <c r="BP6" s="68" t="n"/>
      <c r="BQ6" s="68" t="n"/>
      <c r="BR6" s="68" t="n"/>
      <c r="BS6" s="68" t="n"/>
      <c r="BT6" s="68" t="n"/>
    </row>
    <row outlineLevel="1" r="7" s="86">
      <c r="A7" s="142" t="n"/>
      <c r="B7" s="142" t="inlineStr">
        <is>
          <t>8ivfbv2_loot_vox10</t>
        </is>
      </c>
      <c r="C7" s="16" t="inlineStr">
        <is>
          <t>r03</t>
        </is>
      </c>
      <c r="D7" s="142" t="n">
        <v>238146391</v>
      </c>
      <c r="E7" s="16" t="n">
        <v>10</v>
      </c>
      <c r="F7" s="16" t="n">
        <v>32</v>
      </c>
      <c r="G7" s="16" t="n">
        <v>30</v>
      </c>
      <c r="I7" s="17">
        <f>IF(OR(ISBLANK(S7),ISBLANK(G7)),"·",S7*G7/F7/1000000)</f>
        <v/>
      </c>
      <c r="J7" s="18">
        <f>IF(ISBLANK(S7),"·",S7/D7)</f>
        <v/>
      </c>
      <c r="K7" s="18">
        <f>IF(N7="","·",N7/D7)</f>
        <v/>
      </c>
      <c r="L7" s="18">
        <f>IF(T7="","·",T7/D7)</f>
        <v/>
      </c>
      <c r="M7" s="18">
        <f>IF(ISBLANK(V7),"·",V7/D7)</f>
        <v/>
      </c>
      <c r="N7" s="142">
        <f>IF(OR(ISBLANK(T7),ISBLANK(U7)),"",T7+U7)</f>
        <v/>
      </c>
      <c r="O7" s="18" t="n">
        <v>16</v>
      </c>
      <c r="P7" s="19" t="n">
        <v>24808216</v>
      </c>
      <c r="Q7" s="19" t="n">
        <v>775256.75</v>
      </c>
      <c r="R7" s="19" t="n">
        <v>20954.78125</v>
      </c>
      <c r="S7" s="20" t="n">
        <v>5961336</v>
      </c>
      <c r="T7" s="20" t="n">
        <v>1628616</v>
      </c>
      <c r="U7" s="20" t="n">
        <v>639160</v>
      </c>
      <c r="V7" s="20" t="n">
        <v>3693560</v>
      </c>
      <c r="W7" s="21" t="n">
        <v>69.683725</v>
      </c>
      <c r="X7" s="21" t="n">
        <v>72.129403125</v>
      </c>
      <c r="Y7" s="21" t="n">
        <v>36.915784375</v>
      </c>
      <c r="Z7" s="21" t="n">
        <v>46.57939375</v>
      </c>
      <c r="AA7" s="21" t="n">
        <v>46.454928125</v>
      </c>
      <c r="AB7" s="22" t="n">
        <v>3568.02</v>
      </c>
      <c r="AC7" s="22" t="n">
        <v>1850.38</v>
      </c>
      <c r="AD7" s="22" t="n">
        <v>8.125</v>
      </c>
      <c r="AE7" s="22" t="n">
        <v>28.999</v>
      </c>
      <c r="AG7" s="17">
        <f>IF(OR(ISBLANK(AQ7),ISBLANK(G7)),"·",AQ7*G7/F7/1000000)</f>
        <v/>
      </c>
      <c r="AH7" s="18">
        <f>IF(ISBLANK(AQ7),"·",AQ7/D7)</f>
        <v/>
      </c>
      <c r="AI7" s="18">
        <f>IF(AL7="","·",AL7/D7)</f>
        <v/>
      </c>
      <c r="AJ7" s="18">
        <f>IF(AR7="","·",AR7/D7)</f>
        <v/>
      </c>
      <c r="AK7" s="18">
        <f>IF(ISBLANK(AT7),"·",AT7/D7)</f>
        <v/>
      </c>
      <c r="AL7" s="142">
        <f>IF(OR(ISBLANK(AR7),ISBLANK(AS7)),"",AR7+AS7)</f>
        <v/>
      </c>
      <c r="AM7" s="18" t="n">
        <v>16</v>
      </c>
      <c r="AN7" s="19" t="n">
        <v>24808216</v>
      </c>
      <c r="AO7" s="19" t="n">
        <v>775256.75</v>
      </c>
      <c r="AP7" s="19" t="n">
        <v>20954.78125</v>
      </c>
      <c r="AQ7" s="20" t="n">
        <v>5948928</v>
      </c>
      <c r="AR7" s="20" t="n">
        <v>1628616</v>
      </c>
      <c r="AS7" s="20" t="n">
        <v>639160</v>
      </c>
      <c r="AT7" s="20" t="n">
        <v>3681152</v>
      </c>
      <c r="AU7" s="21" t="n">
        <v>69.683725</v>
      </c>
      <c r="AV7" s="21" t="n">
        <v>72.129403125</v>
      </c>
      <c r="AW7" s="21" t="n">
        <v>36.897065625</v>
      </c>
      <c r="AX7" s="21" t="n">
        <v>46.5899625</v>
      </c>
      <c r="AY7" s="21" t="n">
        <v>46.485678125</v>
      </c>
      <c r="AZ7" s="22" t="n">
        <v>3520.3</v>
      </c>
      <c r="BA7" s="22" t="n">
        <v>1849.7</v>
      </c>
      <c r="BB7" s="22" t="n">
        <v>55.781</v>
      </c>
      <c r="BC7" s="22" t="n">
        <v>28.465</v>
      </c>
      <c r="BE7" s="72">
        <f>AI7/K7</f>
        <v/>
      </c>
      <c r="BF7" s="24">
        <f>(AP7/AO7) - (R7/Q7)</f>
        <v/>
      </c>
      <c r="BG7" s="24">
        <f>(AL7/AQ7) - (N7/S7)</f>
        <v/>
      </c>
      <c r="BH7" s="24" t="n"/>
      <c r="BJ7" s="72" t="n"/>
      <c r="BK7" s="72" t="n"/>
      <c r="BL7" s="72" t="n"/>
      <c r="BM7" s="72" t="n"/>
      <c r="BN7" s="72" t="n"/>
      <c r="BP7" s="72" t="n"/>
      <c r="BQ7" s="72" t="n"/>
      <c r="BR7" s="72" t="n"/>
      <c r="BS7" s="72" t="n"/>
      <c r="BT7" s="72" t="n"/>
    </row>
    <row outlineLevel="1" r="8" s="86">
      <c r="A8" s="25" t="n"/>
      <c r="B8" s="25" t="inlineStr">
        <is>
          <t>8ivfbv2_loot_vox10</t>
        </is>
      </c>
      <c r="C8" s="26" t="inlineStr">
        <is>
          <t>r04</t>
        </is>
      </c>
      <c r="D8" s="25" t="n">
        <v>238146391</v>
      </c>
      <c r="E8" s="26" t="n">
        <v>10</v>
      </c>
      <c r="F8" s="26" t="n">
        <v>32</v>
      </c>
      <c r="G8" s="26" t="n">
        <v>30</v>
      </c>
      <c r="I8" s="27">
        <f>IF(OR(ISBLANK(S8),ISBLANK(G8)),"·",S8*G8/F8/1000000)</f>
        <v/>
      </c>
      <c r="J8" s="28">
        <f>IF(ISBLANK(S8),"·",S8/D8)</f>
        <v/>
      </c>
      <c r="K8" s="28">
        <f>IF(N8="","·",N8/D8)</f>
        <v/>
      </c>
      <c r="L8" s="28">
        <f>IF(T8="","·",T8/D8)</f>
        <v/>
      </c>
      <c r="M8" s="28">
        <f>IF(ISBLANK(V8),"·",V8/D8)</f>
        <v/>
      </c>
      <c r="N8" s="25">
        <f>IF(OR(ISBLANK(T8),ISBLANK(U8)),"",T8+U8)</f>
        <v/>
      </c>
      <c r="O8" s="28" t="n">
        <v>16</v>
      </c>
      <c r="P8" s="29" t="n">
        <v>25797809</v>
      </c>
      <c r="Q8" s="29" t="n">
        <v>806181.53125</v>
      </c>
      <c r="R8" s="29" t="n">
        <v>24199.8125</v>
      </c>
      <c r="S8" s="30" t="n">
        <v>10100936</v>
      </c>
      <c r="T8" s="30" t="n">
        <v>2405456</v>
      </c>
      <c r="U8" s="30" t="n">
        <v>639160</v>
      </c>
      <c r="V8" s="30" t="n">
        <v>7056320</v>
      </c>
      <c r="W8" s="31" t="n">
        <v>70.83684062499999</v>
      </c>
      <c r="X8" s="31" t="n">
        <v>73.40698125</v>
      </c>
      <c r="Y8" s="31" t="n">
        <v>39.549353125</v>
      </c>
      <c r="Z8" s="31" t="n">
        <v>47.88611875</v>
      </c>
      <c r="AA8" s="31" t="n">
        <v>47.95035</v>
      </c>
      <c r="AB8" s="32" t="n">
        <v>3572.93</v>
      </c>
      <c r="AC8" s="32" t="n">
        <v>1974.07</v>
      </c>
      <c r="AD8" s="32" t="n">
        <v>8.303000000000001</v>
      </c>
      <c r="AE8" s="32" t="n">
        <v>29.563</v>
      </c>
      <c r="AG8" s="27">
        <f>IF(OR(ISBLANK(AQ8),ISBLANK(G8)),"·",AQ8*G8/F8/1000000)</f>
        <v/>
      </c>
      <c r="AH8" s="28">
        <f>IF(ISBLANK(AQ8),"·",AQ8/D8)</f>
        <v/>
      </c>
      <c r="AI8" s="28">
        <f>IF(AL8="","·",AL8/D8)</f>
        <v/>
      </c>
      <c r="AJ8" s="28">
        <f>IF(AR8="","·",AR8/D8)</f>
        <v/>
      </c>
      <c r="AK8" s="28">
        <f>IF(ISBLANK(AT8),"·",AT8/D8)</f>
        <v/>
      </c>
      <c r="AL8" s="25">
        <f>IF(OR(ISBLANK(AR8),ISBLANK(AS8)),"",AR8+AS8)</f>
        <v/>
      </c>
      <c r="AM8" s="28" t="n">
        <v>16</v>
      </c>
      <c r="AN8" s="29" t="n">
        <v>25797809</v>
      </c>
      <c r="AO8" s="29" t="n">
        <v>806181.53125</v>
      </c>
      <c r="AP8" s="29" t="n">
        <v>24199.8125</v>
      </c>
      <c r="AQ8" s="30" t="n">
        <v>10070712</v>
      </c>
      <c r="AR8" s="30" t="n">
        <v>2405456</v>
      </c>
      <c r="AS8" s="30" t="n">
        <v>639160</v>
      </c>
      <c r="AT8" s="30" t="n">
        <v>7026096</v>
      </c>
      <c r="AU8" s="31" t="n">
        <v>70.83684062499999</v>
      </c>
      <c r="AV8" s="31" t="n">
        <v>73.40698125</v>
      </c>
      <c r="AW8" s="31" t="n">
        <v>39.525215625</v>
      </c>
      <c r="AX8" s="31" t="n">
        <v>47.905425</v>
      </c>
      <c r="AY8" s="31" t="n">
        <v>47.942125</v>
      </c>
      <c r="AZ8" s="32" t="n">
        <v>3505.62</v>
      </c>
      <c r="BA8" s="32" t="n">
        <v>1978.54</v>
      </c>
      <c r="BB8" s="32" t="n">
        <v>58.147</v>
      </c>
      <c r="BC8" s="32" t="n">
        <v>30.694</v>
      </c>
      <c r="BE8" s="68">
        <f>AI8/K8</f>
        <v/>
      </c>
      <c r="BF8" s="34">
        <f>(AP8/AO8) - (R8/Q8)</f>
        <v/>
      </c>
      <c r="BG8" s="34">
        <f>(AL8/AQ8) - (N8/S8)</f>
        <v/>
      </c>
      <c r="BH8" s="34" t="n"/>
      <c r="BJ8" s="68" t="n"/>
      <c r="BK8" s="68" t="n"/>
      <c r="BL8" s="68" t="n"/>
      <c r="BM8" s="68" t="n"/>
      <c r="BN8" s="68" t="n"/>
      <c r="BP8" s="68" t="n"/>
      <c r="BQ8" s="68" t="n"/>
      <c r="BR8" s="68" t="n"/>
      <c r="BS8" s="68" t="n"/>
      <c r="BT8" s="68" t="n"/>
    </row>
    <row outlineLevel="1" r="9" s="86">
      <c r="A9" s="142" t="n"/>
      <c r="B9" s="35" t="inlineStr">
        <is>
          <t>8ivfbv2_loot_vox10</t>
        </is>
      </c>
      <c r="C9" s="36" t="inlineStr">
        <is>
          <t>r05</t>
        </is>
      </c>
      <c r="D9" s="35" t="n">
        <v>238146391</v>
      </c>
      <c r="E9" s="36" t="n">
        <v>10</v>
      </c>
      <c r="F9" s="36" t="n">
        <v>32</v>
      </c>
      <c r="G9" s="36" t="n">
        <v>30</v>
      </c>
      <c r="I9" s="37">
        <f>IF(OR(ISBLANK(S9),ISBLANK(G9)),"·",S9*G9/F9/1000000)</f>
        <v/>
      </c>
      <c r="J9" s="38">
        <f>IF(ISBLANK(S9),"·",S9/D9)</f>
        <v/>
      </c>
      <c r="K9" s="38">
        <f>IF(N9="","·",N9/D9)</f>
        <v/>
      </c>
      <c r="L9" s="38">
        <f>IF(T9="","·",T9/D9)</f>
        <v/>
      </c>
      <c r="M9" s="38">
        <f>IF(ISBLANK(V9),"·",V9/D9)</f>
        <v/>
      </c>
      <c r="N9" s="35">
        <f>IF(OR(ISBLANK(T9),ISBLANK(U9)),"",T9+U9)</f>
        <v/>
      </c>
      <c r="O9" s="38" t="n">
        <v>16</v>
      </c>
      <c r="P9" s="39" t="n">
        <v>24868389</v>
      </c>
      <c r="Q9" s="39" t="n">
        <v>777137.15625</v>
      </c>
      <c r="R9" s="39" t="n">
        <v>10635.96875</v>
      </c>
      <c r="S9" s="40" t="n">
        <v>18024080</v>
      </c>
      <c r="T9" s="40" t="n">
        <v>3702648</v>
      </c>
      <c r="U9" s="40" t="n">
        <v>1224568</v>
      </c>
      <c r="V9" s="40" t="n">
        <v>13096864</v>
      </c>
      <c r="W9" s="41" t="n">
        <v>71.94524375</v>
      </c>
      <c r="X9" s="41" t="n">
        <v>75.31924062500001</v>
      </c>
      <c r="Y9" s="41" t="n">
        <v>42.14968125</v>
      </c>
      <c r="Z9" s="41" t="n">
        <v>49.42193125</v>
      </c>
      <c r="AA9" s="41" t="n">
        <v>49.54740625</v>
      </c>
      <c r="AB9" s="42" t="n">
        <v>3558.44</v>
      </c>
      <c r="AC9" s="42" t="n">
        <v>2184.49</v>
      </c>
      <c r="AD9" s="42" t="n">
        <v>8.34</v>
      </c>
      <c r="AE9" s="42" t="n">
        <v>30.279</v>
      </c>
      <c r="AG9" s="37">
        <f>IF(OR(ISBLANK(AQ9),ISBLANK(G9)),"·",AQ9*G9/F9/1000000)</f>
        <v/>
      </c>
      <c r="AH9" s="38">
        <f>IF(ISBLANK(AQ9),"·",AQ9/D9)</f>
        <v/>
      </c>
      <c r="AI9" s="38">
        <f>IF(AL9="","·",AL9/D9)</f>
        <v/>
      </c>
      <c r="AJ9" s="38">
        <f>IF(AR9="","·",AR9/D9)</f>
        <v/>
      </c>
      <c r="AK9" s="38">
        <f>IF(ISBLANK(AT9),"·",AT9/D9)</f>
        <v/>
      </c>
      <c r="AL9" s="35">
        <f>IF(OR(ISBLANK(AR9),ISBLANK(AS9)),"",AR9+AS9)</f>
        <v/>
      </c>
      <c r="AM9" s="38" t="n">
        <v>16</v>
      </c>
      <c r="AN9" s="39" t="n">
        <v>24868389</v>
      </c>
      <c r="AO9" s="39" t="n">
        <v>777137.15625</v>
      </c>
      <c r="AP9" s="39" t="n">
        <v>10635.96875</v>
      </c>
      <c r="AQ9" s="40" t="n">
        <v>17940088</v>
      </c>
      <c r="AR9" s="40" t="n">
        <v>3702648</v>
      </c>
      <c r="AS9" s="40" t="n">
        <v>1224568</v>
      </c>
      <c r="AT9" s="40" t="n">
        <v>13012872</v>
      </c>
      <c r="AU9" s="41" t="n">
        <v>71.94524375</v>
      </c>
      <c r="AV9" s="41" t="n">
        <v>75.31924062500001</v>
      </c>
      <c r="AW9" s="41" t="n">
        <v>42.1278875</v>
      </c>
      <c r="AX9" s="41" t="n">
        <v>49.411659375</v>
      </c>
      <c r="AY9" s="41" t="n">
        <v>49.554578125</v>
      </c>
      <c r="AZ9" s="42" t="n">
        <v>3509.24</v>
      </c>
      <c r="BA9" s="42" t="n">
        <v>2186.46</v>
      </c>
      <c r="BB9" s="42" t="n">
        <v>55.768</v>
      </c>
      <c r="BC9" s="42" t="n">
        <v>32.234</v>
      </c>
      <c r="BE9" s="43">
        <f>AI9/K9</f>
        <v/>
      </c>
      <c r="BF9" s="44">
        <f>(AP9/AO9) - (R9/Q9)</f>
        <v/>
      </c>
      <c r="BG9" s="44">
        <f>(AL9/AQ9) - (N9/S9)</f>
        <v/>
      </c>
      <c r="BH9" s="44" t="n"/>
      <c r="BJ9" s="43" t="n"/>
      <c r="BK9" s="43" t="n"/>
      <c r="BL9" s="43" t="n"/>
      <c r="BM9" s="43" t="n"/>
      <c r="BN9" s="43" t="n"/>
      <c r="BP9" s="43" t="n"/>
      <c r="BQ9" s="43" t="n"/>
      <c r="BR9" s="43" t="n"/>
      <c r="BS9" s="43" t="n"/>
      <c r="BT9" s="43" t="n"/>
    </row>
    <row r="10">
      <c r="A10" s="25" t="n"/>
      <c r="B10" s="25" t="inlineStr">
        <is>
          <t>8ivfbv2_redandblack_vox10</t>
        </is>
      </c>
      <c r="C10" s="26" t="inlineStr">
        <is>
          <t>r01</t>
        </is>
      </c>
      <c r="D10" s="25" t="n">
        <v>218121242</v>
      </c>
      <c r="E10" s="26" t="n">
        <v>10</v>
      </c>
      <c r="F10" s="26" t="n">
        <v>32</v>
      </c>
      <c r="G10" s="26" t="n">
        <v>30</v>
      </c>
      <c r="I10" s="27">
        <f>IF(OR(ISBLANK(S10),ISBLANK(G10)),"·",S10*G10/F10/1000000)</f>
        <v/>
      </c>
      <c r="J10" s="28">
        <f>IF(ISBLANK(S10),"·",S10/D10)</f>
        <v/>
      </c>
      <c r="K10" s="28">
        <f>IF(N10="","·",N10/D10)</f>
        <v/>
      </c>
      <c r="L10" s="28">
        <f>IF(T10="","·",T10/D10)</f>
        <v/>
      </c>
      <c r="M10" s="28">
        <f>IF(ISBLANK(V10),"·",V10/D10)</f>
        <v/>
      </c>
      <c r="N10" s="25">
        <f>IF(OR(ISBLANK(T10),ISBLANK(U10)),"",T10+U10)</f>
        <v/>
      </c>
      <c r="O10" s="28" t="n">
        <v>16</v>
      </c>
      <c r="P10" s="29" t="n">
        <v>20666971</v>
      </c>
      <c r="Q10" s="29" t="n">
        <v>645842.84375</v>
      </c>
      <c r="R10" s="29" t="n">
        <v>18163.46875</v>
      </c>
      <c r="S10" s="30" t="n">
        <v>3427816</v>
      </c>
      <c r="T10" s="30" t="n">
        <v>933696</v>
      </c>
      <c r="U10" s="30" t="n">
        <v>851760</v>
      </c>
      <c r="V10" s="30" t="n">
        <v>1642360</v>
      </c>
      <c r="W10" s="31" t="n">
        <v>65.90441250000001</v>
      </c>
      <c r="X10" s="31" t="n">
        <v>67.822759375</v>
      </c>
      <c r="Y10" s="31" t="n">
        <v>32.384371875</v>
      </c>
      <c r="Z10" s="31" t="n">
        <v>39.164465625</v>
      </c>
      <c r="AA10" s="31" t="n">
        <v>32.08100625</v>
      </c>
      <c r="AB10" s="32" t="n">
        <v>3251.03</v>
      </c>
      <c r="AC10" s="32" t="n">
        <v>1782.73</v>
      </c>
      <c r="AD10" s="32" t="n">
        <v>7.287</v>
      </c>
      <c r="AE10" s="32" t="n">
        <v>28.444</v>
      </c>
      <c r="AG10" s="27">
        <f>IF(OR(ISBLANK(AQ10),ISBLANK(G10)),"·",AQ10*G10/F10/1000000)</f>
        <v/>
      </c>
      <c r="AH10" s="28">
        <f>IF(ISBLANK(AQ10),"·",AQ10/D10)</f>
        <v/>
      </c>
      <c r="AI10" s="28">
        <f>IF(AL10="","·",AL10/D10)</f>
        <v/>
      </c>
      <c r="AJ10" s="28">
        <f>IF(AR10="","·",AR10/D10)</f>
        <v/>
      </c>
      <c r="AK10" s="28">
        <f>IF(ISBLANK(AT10),"·",AT10/D10)</f>
        <v/>
      </c>
      <c r="AL10" s="25">
        <f>IF(OR(ISBLANK(AR10),ISBLANK(AS10)),"",AR10+AS10)</f>
        <v/>
      </c>
      <c r="AM10" s="28" t="n">
        <v>16</v>
      </c>
      <c r="AN10" s="29" t="n">
        <v>20666971</v>
      </c>
      <c r="AO10" s="29" t="n">
        <v>645842.84375</v>
      </c>
      <c r="AP10" s="29" t="n">
        <v>18163.46875</v>
      </c>
      <c r="AQ10" s="30" t="n">
        <v>3425936</v>
      </c>
      <c r="AR10" s="30" t="n">
        <v>933696</v>
      </c>
      <c r="AS10" s="30" t="n">
        <v>851760</v>
      </c>
      <c r="AT10" s="30" t="n">
        <v>1640480</v>
      </c>
      <c r="AU10" s="31" t="n">
        <v>65.90441250000001</v>
      </c>
      <c r="AV10" s="31" t="n">
        <v>67.822759375</v>
      </c>
      <c r="AW10" s="31" t="n">
        <v>32.386865625</v>
      </c>
      <c r="AX10" s="31" t="n">
        <v>39.175778125</v>
      </c>
      <c r="AY10" s="31" t="n">
        <v>32.08663125</v>
      </c>
      <c r="AZ10" s="32" t="n">
        <v>3205.69</v>
      </c>
      <c r="BA10" s="32" t="n">
        <v>1810.04</v>
      </c>
      <c r="BB10" s="32" t="n">
        <v>47.015</v>
      </c>
      <c r="BC10" s="32" t="n">
        <v>29.951</v>
      </c>
      <c r="BE10" s="68">
        <f>AI10/K10</f>
        <v/>
      </c>
      <c r="BF10" s="34">
        <f>(AP10/AO10) - (R10/Q10)</f>
        <v/>
      </c>
      <c r="BG10" s="34">
        <f>(AL10/AQ10) - (N10/S10)</f>
        <v/>
      </c>
      <c r="BH10" s="34">
        <f ref="BH10" t="array">AVERAGE(AL10:AL14/AQ10:AQ14) - AVERAGE(N10:N14/S10:S14)</f>
        <v/>
      </c>
      <c r="BJ10" s="68">
        <f>IF( OR(ISBLANK(N10:N14),ISBLANK(AL10:AL14), ISBLANK(W10:W14),ISBLANK(AU10:AU14)), "·", bdRateExtend( N10:N14,W10:W14, AL10:AL14,AU10:AU14))</f>
        <v/>
      </c>
      <c r="BK10" s="68">
        <f>IF( OR(ISBLANK(N10:N14),ISBLANK(AL10:AL14), ISBLANK(X10:X14),ISBLANK(AV10:AV14)), "·", bdRateExtend( N10:N14,X10:X14, AL10:AL14,AV10:AV14))</f>
        <v/>
      </c>
      <c r="BL10" s="68">
        <f>IF( OR(ISBLANK(V10:V14),ISBLANK(AT10:AT14), ISBLANK(Y10:Y14),ISBLANK(AW10:AW14)), "·", bdRateExtend( V10:V14,Y10:Y14, AT10:AT14,AW10:AW14))</f>
        <v/>
      </c>
      <c r="BM10" s="68">
        <f>IF( OR(ISBLANK(V10:V14),ISBLANK(AT10:AT14), ISBLANK(Z10:Z14),ISBLANK(AX10:AX14)), "·", bdRateExtend( V10:V14,Z10:Z14, AT10:AT14,AX10:AX14))</f>
        <v/>
      </c>
      <c r="BN10" s="68">
        <f>IF( OR(ISBLANK(V10:V14),ISBLANK(AT10:AT14), ISBLANK(AA10:AA14),ISBLANK(AY10:AY14)), "·", bdRateExtend( V10:V14,AA10:AA14, AT10:AT14,AY10:AY14))</f>
        <v/>
      </c>
      <c r="BP10" s="68">
        <f>IF( OR(ISBLANK(S10:S14),ISBLANK(AQ10:AQ14), ISBLANK(W10:W14),ISBLANK(AU10:AU14)), "·", bdRateExtend( S10:S14,W10:W14, AQ10:AQ14,AU10:AU14))</f>
        <v/>
      </c>
      <c r="BQ10" s="68">
        <f>IF( OR(ISBLANK(S10:S14),ISBLANK(AQ10:AQ14), ISBLANK(X10:X14),ISBLANK(AV10:AV14)), "·", bdRateExtend( S10:S14,X10:X14, AQ10:AQ14,AV10:AV14))</f>
        <v/>
      </c>
      <c r="BR10" s="68">
        <f>IF( OR(ISBLANK(S10:S14),ISBLANK(AQ10:AQ14), ISBLANK(Y10:Y14),ISBLANK(AW10:AW14)), "·", bdRateExtend( S10:S14,Y10:Y14, AQ10:AQ14,AW10:AW14))</f>
        <v/>
      </c>
      <c r="BS10" s="68">
        <f>IF( OR(ISBLANK(S10:S14),ISBLANK(AQ10:AQ14), ISBLANK(Z10:Z14),ISBLANK(AX10:AX14)), "·", bdRateExtend( S10:S14,Z10:Z14, AQ10:AQ14,AX10:AX14))</f>
        <v/>
      </c>
      <c r="BT10" s="68">
        <f>IF( OR(ISBLANK(S10:S14),ISBLANK(AQ10:AQ14), ISBLANK(AA10:AA14),ISBLANK(AY10:AY14)), "·", bdRateExtend( S10:S14,AA10:AA14, AQ10:AQ14,AY10:AY14))</f>
        <v/>
      </c>
    </row>
    <row outlineLevel="1" r="11" s="86">
      <c r="A11" s="142" t="n"/>
      <c r="B11" s="142" t="inlineStr">
        <is>
          <t>8ivfbv2_redandblack_vox10</t>
        </is>
      </c>
      <c r="C11" s="16" t="inlineStr">
        <is>
          <t>r02</t>
        </is>
      </c>
      <c r="D11" s="142" t="n">
        <v>218121242</v>
      </c>
      <c r="E11" s="16" t="n">
        <v>10</v>
      </c>
      <c r="F11" s="16" t="n">
        <v>32</v>
      </c>
      <c r="G11" s="16" t="n">
        <v>30</v>
      </c>
      <c r="I11" s="17">
        <f>IF(OR(ISBLANK(S11),ISBLANK(G11)),"·",S11*G11/F11/1000000)</f>
        <v/>
      </c>
      <c r="J11" s="18">
        <f>IF(ISBLANK(S11),"·",S11/D11)</f>
        <v/>
      </c>
      <c r="K11" s="18">
        <f>IF(N11="","·",N11/D11)</f>
        <v/>
      </c>
      <c r="L11" s="18">
        <f>IF(T11="","·",T11/D11)</f>
        <v/>
      </c>
      <c r="M11" s="18">
        <f>IF(ISBLANK(V11),"·",V11/D11)</f>
        <v/>
      </c>
      <c r="N11" s="142">
        <f>IF(OR(ISBLANK(T11),ISBLANK(U11)),"",T11+U11)</f>
        <v/>
      </c>
      <c r="O11" s="18" t="n">
        <v>16</v>
      </c>
      <c r="P11" s="19" t="n">
        <v>22097663</v>
      </c>
      <c r="Q11" s="19" t="n">
        <v>690551.96875</v>
      </c>
      <c r="R11" s="19" t="n">
        <v>22957.28125</v>
      </c>
      <c r="S11" s="20" t="n">
        <v>4943824</v>
      </c>
      <c r="T11" s="20" t="n">
        <v>1315392</v>
      </c>
      <c r="U11" s="20" t="n">
        <v>851760</v>
      </c>
      <c r="V11" s="20" t="n">
        <v>2776672</v>
      </c>
      <c r="W11" s="21" t="n">
        <v>67.60791875</v>
      </c>
      <c r="X11" s="21" t="n">
        <v>69.69994375</v>
      </c>
      <c r="Y11" s="21" t="n">
        <v>34.252084375</v>
      </c>
      <c r="Z11" s="21" t="n">
        <v>40.021503125</v>
      </c>
      <c r="AA11" s="21" t="n">
        <v>33.864340625</v>
      </c>
      <c r="AB11" s="22" t="n">
        <v>3255.01</v>
      </c>
      <c r="AC11" s="22" t="n">
        <v>1864.85</v>
      </c>
      <c r="AD11" s="22" t="n">
        <v>7.222</v>
      </c>
      <c r="AE11" s="22" t="n">
        <v>29.152</v>
      </c>
      <c r="AG11" s="17">
        <f>IF(OR(ISBLANK(AQ11),ISBLANK(G11)),"·",AQ11*G11/F11/1000000)</f>
        <v/>
      </c>
      <c r="AH11" s="18">
        <f>IF(ISBLANK(AQ11),"·",AQ11/D11)</f>
        <v/>
      </c>
      <c r="AI11" s="18">
        <f>IF(AL11="","·",AL11/D11)</f>
        <v/>
      </c>
      <c r="AJ11" s="18">
        <f>IF(AR11="","·",AR11/D11)</f>
        <v/>
      </c>
      <c r="AK11" s="18">
        <f>IF(ISBLANK(AT11),"·",AT11/D11)</f>
        <v/>
      </c>
      <c r="AL11" s="142">
        <f>IF(OR(ISBLANK(AR11),ISBLANK(AS11)),"",AR11+AS11)</f>
        <v/>
      </c>
      <c r="AM11" s="18" t="n">
        <v>16</v>
      </c>
      <c r="AN11" s="19" t="n">
        <v>22097663</v>
      </c>
      <c r="AO11" s="19" t="n">
        <v>690551.96875</v>
      </c>
      <c r="AP11" s="19" t="n">
        <v>22957.28125</v>
      </c>
      <c r="AQ11" s="20" t="n">
        <v>4936008</v>
      </c>
      <c r="AR11" s="20" t="n">
        <v>1315392</v>
      </c>
      <c r="AS11" s="20" t="n">
        <v>851760</v>
      </c>
      <c r="AT11" s="20" t="n">
        <v>2768856</v>
      </c>
      <c r="AU11" s="21" t="n">
        <v>67.60791875</v>
      </c>
      <c r="AV11" s="21" t="n">
        <v>69.69994375</v>
      </c>
      <c r="AW11" s="21" t="n">
        <v>34.247959375</v>
      </c>
      <c r="AX11" s="21" t="n">
        <v>40.027190625</v>
      </c>
      <c r="AY11" s="21" t="n">
        <v>33.861478125</v>
      </c>
      <c r="AZ11" s="22" t="n">
        <v>3218.24</v>
      </c>
      <c r="BA11" s="22" t="n">
        <v>1878.09</v>
      </c>
      <c r="BB11" s="22" t="n">
        <v>50.002</v>
      </c>
      <c r="BC11" s="22" t="n">
        <v>30.362</v>
      </c>
      <c r="BE11" s="72">
        <f>AI11/K11</f>
        <v/>
      </c>
      <c r="BF11" s="24">
        <f>(AP11/AO11) - (R11/Q11)</f>
        <v/>
      </c>
      <c r="BG11" s="24">
        <f>(AL11/AQ11) - (N11/S11)</f>
        <v/>
      </c>
      <c r="BH11" s="24" t="n"/>
      <c r="BJ11" s="72" t="n"/>
      <c r="BK11" s="72" t="n"/>
      <c r="BL11" s="72" t="n"/>
      <c r="BM11" s="72" t="n"/>
      <c r="BN11" s="72" t="n"/>
      <c r="BP11" s="72" t="n"/>
      <c r="BQ11" s="72" t="n"/>
      <c r="BR11" s="72" t="n"/>
      <c r="BS11" s="72" t="n"/>
      <c r="BT11" s="72" t="n"/>
    </row>
    <row outlineLevel="1" r="12" s="86">
      <c r="A12" s="25" t="n"/>
      <c r="B12" s="25" t="inlineStr">
        <is>
          <t>8ivfbv2_redandblack_vox10</t>
        </is>
      </c>
      <c r="C12" s="26" t="inlineStr">
        <is>
          <t>r03</t>
        </is>
      </c>
      <c r="D12" s="25" t="n">
        <v>218121242</v>
      </c>
      <c r="E12" s="26" t="n">
        <v>10</v>
      </c>
      <c r="F12" s="26" t="n">
        <v>32</v>
      </c>
      <c r="G12" s="26" t="n">
        <v>30</v>
      </c>
      <c r="I12" s="27">
        <f>IF(OR(ISBLANK(S12),ISBLANK(G12)),"·",S12*G12/F12/1000000)</f>
        <v/>
      </c>
      <c r="J12" s="28">
        <f>IF(ISBLANK(S12),"·",S12/D12)</f>
        <v/>
      </c>
      <c r="K12" s="28">
        <f>IF(N12="","·",N12/D12)</f>
        <v/>
      </c>
      <c r="L12" s="28">
        <f>IF(T12="","·",T12/D12)</f>
        <v/>
      </c>
      <c r="M12" s="28">
        <f>IF(ISBLANK(V12),"·",V12/D12)</f>
        <v/>
      </c>
      <c r="N12" s="25">
        <f>IF(OR(ISBLANK(T12),ISBLANK(U12)),"",T12+U12)</f>
        <v/>
      </c>
      <c r="O12" s="28" t="n">
        <v>16</v>
      </c>
      <c r="P12" s="29" t="n">
        <v>22510846</v>
      </c>
      <c r="Q12" s="29" t="n">
        <v>703463.9375</v>
      </c>
      <c r="R12" s="29" t="n">
        <v>24709.6875</v>
      </c>
      <c r="S12" s="30" t="n">
        <v>7629992</v>
      </c>
      <c r="T12" s="30" t="n">
        <v>1900736</v>
      </c>
      <c r="U12" s="30" t="n">
        <v>851760</v>
      </c>
      <c r="V12" s="30" t="n">
        <v>4877496</v>
      </c>
      <c r="W12" s="31" t="n">
        <v>68.9560625</v>
      </c>
      <c r="X12" s="31" t="n">
        <v>71.331965625</v>
      </c>
      <c r="Y12" s="31" t="n">
        <v>36.354259375</v>
      </c>
      <c r="Z12" s="31" t="n">
        <v>40.92783125</v>
      </c>
      <c r="AA12" s="31" t="n">
        <v>35.635178125</v>
      </c>
      <c r="AB12" s="32" t="n">
        <v>3247.84</v>
      </c>
      <c r="AC12" s="32" t="n">
        <v>1950.5</v>
      </c>
      <c r="AD12" s="32" t="n">
        <v>7.235</v>
      </c>
      <c r="AE12" s="32" t="n">
        <v>29.118</v>
      </c>
      <c r="AG12" s="27">
        <f>IF(OR(ISBLANK(AQ12),ISBLANK(G12)),"·",AQ12*G12/F12/1000000)</f>
        <v/>
      </c>
      <c r="AH12" s="28">
        <f>IF(ISBLANK(AQ12),"·",AQ12/D12)</f>
        <v/>
      </c>
      <c r="AI12" s="28">
        <f>IF(AL12="","·",AL12/D12)</f>
        <v/>
      </c>
      <c r="AJ12" s="28">
        <f>IF(AR12="","·",AR12/D12)</f>
        <v/>
      </c>
      <c r="AK12" s="28">
        <f>IF(ISBLANK(AT12),"·",AT12/D12)</f>
        <v/>
      </c>
      <c r="AL12" s="25">
        <f>IF(OR(ISBLANK(AR12),ISBLANK(AS12)),"",AR12+AS12)</f>
        <v/>
      </c>
      <c r="AM12" s="28" t="n">
        <v>16</v>
      </c>
      <c r="AN12" s="29" t="n">
        <v>22510846</v>
      </c>
      <c r="AO12" s="29" t="n">
        <v>703463.9375</v>
      </c>
      <c r="AP12" s="29" t="n">
        <v>24709.6875</v>
      </c>
      <c r="AQ12" s="30" t="n">
        <v>7623704</v>
      </c>
      <c r="AR12" s="30" t="n">
        <v>1900736</v>
      </c>
      <c r="AS12" s="30" t="n">
        <v>851760</v>
      </c>
      <c r="AT12" s="30" t="n">
        <v>4871208</v>
      </c>
      <c r="AU12" s="31" t="n">
        <v>68.9560625</v>
      </c>
      <c r="AV12" s="31" t="n">
        <v>71.331965625</v>
      </c>
      <c r="AW12" s="31" t="n">
        <v>36.351884375</v>
      </c>
      <c r="AX12" s="31" t="n">
        <v>40.928596875</v>
      </c>
      <c r="AY12" s="31" t="n">
        <v>35.64146875</v>
      </c>
      <c r="AZ12" s="32" t="n">
        <v>3224.23</v>
      </c>
      <c r="BA12" s="32" t="n">
        <v>1950.79</v>
      </c>
      <c r="BB12" s="32" t="n">
        <v>51.125</v>
      </c>
      <c r="BC12" s="32" t="n">
        <v>31.306</v>
      </c>
      <c r="BE12" s="68">
        <f>AI12/K12</f>
        <v/>
      </c>
      <c r="BF12" s="34">
        <f>(AP12/AO12) - (R12/Q12)</f>
        <v/>
      </c>
      <c r="BG12" s="34">
        <f>(AL12/AQ12) - (N12/S12)</f>
        <v/>
      </c>
      <c r="BH12" s="34" t="n"/>
      <c r="BJ12" s="68" t="n"/>
      <c r="BK12" s="68" t="n"/>
      <c r="BL12" s="68" t="n"/>
      <c r="BM12" s="68" t="n"/>
      <c r="BN12" s="68" t="n"/>
      <c r="BP12" s="68" t="n"/>
      <c r="BQ12" s="68" t="n"/>
      <c r="BR12" s="68" t="n"/>
      <c r="BS12" s="68" t="n"/>
      <c r="BT12" s="68" t="n"/>
    </row>
    <row outlineLevel="1" r="13" s="86">
      <c r="A13" s="142" t="n"/>
      <c r="B13" s="142" t="inlineStr">
        <is>
          <t>8ivfbv2_redandblack_vox10</t>
        </is>
      </c>
      <c r="C13" s="16" t="inlineStr">
        <is>
          <t>r04</t>
        </is>
      </c>
      <c r="D13" s="142" t="n">
        <v>218121242</v>
      </c>
      <c r="E13" s="16" t="n">
        <v>10</v>
      </c>
      <c r="F13" s="16" t="n">
        <v>32</v>
      </c>
      <c r="G13" s="16" t="n">
        <v>30</v>
      </c>
      <c r="I13" s="17">
        <f>IF(OR(ISBLANK(S13),ISBLANK(G13)),"·",S13*G13/F13/1000000)</f>
        <v/>
      </c>
      <c r="J13" s="18">
        <f>IF(ISBLANK(S13),"·",S13/D13)</f>
        <v/>
      </c>
      <c r="K13" s="18">
        <f>IF(N13="","·",N13/D13)</f>
        <v/>
      </c>
      <c r="L13" s="18">
        <f>IF(T13="","·",T13/D13)</f>
        <v/>
      </c>
      <c r="M13" s="18">
        <f>IF(ISBLANK(V13),"·",V13/D13)</f>
        <v/>
      </c>
      <c r="N13" s="142">
        <f>IF(OR(ISBLANK(T13),ISBLANK(U13)),"",T13+U13)</f>
        <v/>
      </c>
      <c r="O13" s="18" t="n">
        <v>16</v>
      </c>
      <c r="P13" s="19" t="n">
        <v>23291739</v>
      </c>
      <c r="Q13" s="19" t="n">
        <v>727866.84375</v>
      </c>
      <c r="R13" s="19" t="n">
        <v>28062.03125</v>
      </c>
      <c r="S13" s="20" t="n">
        <v>12876824</v>
      </c>
      <c r="T13" s="20" t="n">
        <v>2921856</v>
      </c>
      <c r="U13" s="20" t="n">
        <v>851760</v>
      </c>
      <c r="V13" s="20" t="n">
        <v>9103208</v>
      </c>
      <c r="W13" s="21" t="n">
        <v>70.072275</v>
      </c>
      <c r="X13" s="21" t="n">
        <v>72.59020624999999</v>
      </c>
      <c r="Y13" s="21" t="n">
        <v>38.689725</v>
      </c>
      <c r="Z13" s="21" t="n">
        <v>42.113684375</v>
      </c>
      <c r="AA13" s="21" t="n">
        <v>37.6936375</v>
      </c>
      <c r="AB13" s="22" t="n">
        <v>3251.15</v>
      </c>
      <c r="AC13" s="22" t="n">
        <v>2099.07</v>
      </c>
      <c r="AD13" s="22" t="n">
        <v>7.562</v>
      </c>
      <c r="AE13" s="22" t="n">
        <v>29.896</v>
      </c>
      <c r="AG13" s="17">
        <f>IF(OR(ISBLANK(AQ13),ISBLANK(G13)),"·",AQ13*G13/F13/1000000)</f>
        <v/>
      </c>
      <c r="AH13" s="18">
        <f>IF(ISBLANK(AQ13),"·",AQ13/D13)</f>
        <v/>
      </c>
      <c r="AI13" s="18">
        <f>IF(AL13="","·",AL13/D13)</f>
        <v/>
      </c>
      <c r="AJ13" s="18">
        <f>IF(AR13="","·",AR13/D13)</f>
        <v/>
      </c>
      <c r="AK13" s="18">
        <f>IF(ISBLANK(AT13),"·",AT13/D13)</f>
        <v/>
      </c>
      <c r="AL13" s="142">
        <f>IF(OR(ISBLANK(AR13),ISBLANK(AS13)),"",AR13+AS13)</f>
        <v/>
      </c>
      <c r="AM13" s="18" t="n">
        <v>16</v>
      </c>
      <c r="AN13" s="19" t="n">
        <v>23291739</v>
      </c>
      <c r="AO13" s="19" t="n">
        <v>727866.84375</v>
      </c>
      <c r="AP13" s="19" t="n">
        <v>28062.03125</v>
      </c>
      <c r="AQ13" s="20" t="n">
        <v>12832032</v>
      </c>
      <c r="AR13" s="20" t="n">
        <v>2921856</v>
      </c>
      <c r="AS13" s="20" t="n">
        <v>851760</v>
      </c>
      <c r="AT13" s="20" t="n">
        <v>9058416</v>
      </c>
      <c r="AU13" s="21" t="n">
        <v>70.072275</v>
      </c>
      <c r="AV13" s="21" t="n">
        <v>72.59020624999999</v>
      </c>
      <c r="AW13" s="21" t="n">
        <v>38.665965625</v>
      </c>
      <c r="AX13" s="21" t="n">
        <v>42.107503125</v>
      </c>
      <c r="AY13" s="21" t="n">
        <v>37.689275</v>
      </c>
      <c r="AZ13" s="22" t="n">
        <v>3222.09</v>
      </c>
      <c r="BA13" s="22" t="n">
        <v>2099.91</v>
      </c>
      <c r="BB13" s="22" t="n">
        <v>52.546</v>
      </c>
      <c r="BC13" s="22" t="n">
        <v>32.305</v>
      </c>
      <c r="BE13" s="72">
        <f>AI13/K13</f>
        <v/>
      </c>
      <c r="BF13" s="24">
        <f>(AP13/AO13) - (R13/Q13)</f>
        <v/>
      </c>
      <c r="BG13" s="24">
        <f>(AL13/AQ13) - (N13/S13)</f>
        <v/>
      </c>
      <c r="BH13" s="24" t="n"/>
      <c r="BJ13" s="72" t="n"/>
      <c r="BK13" s="72" t="n"/>
      <c r="BL13" s="72" t="n"/>
      <c r="BM13" s="72" t="n"/>
      <c r="BN13" s="72" t="n"/>
      <c r="BP13" s="72" t="n"/>
      <c r="BQ13" s="72" t="n"/>
      <c r="BR13" s="72" t="n"/>
      <c r="BS13" s="72" t="n"/>
      <c r="BT13" s="72" t="n"/>
    </row>
    <row outlineLevel="1" r="14" s="86">
      <c r="A14" s="25" t="n"/>
      <c r="B14" s="45" t="inlineStr">
        <is>
          <t>8ivfbv2_redandblack_vox10</t>
        </is>
      </c>
      <c r="C14" s="46" t="inlineStr">
        <is>
          <t>r05</t>
        </is>
      </c>
      <c r="D14" s="45" t="n">
        <v>218121242</v>
      </c>
      <c r="E14" s="46" t="n">
        <v>10</v>
      </c>
      <c r="F14" s="46" t="n">
        <v>32</v>
      </c>
      <c r="G14" s="46" t="n">
        <v>30</v>
      </c>
      <c r="I14" s="47">
        <f>IF(OR(ISBLANK(S14),ISBLANK(G14)),"·",S14*G14/F14/1000000)</f>
        <v/>
      </c>
      <c r="J14" s="48">
        <f>IF(ISBLANK(S14),"·",S14/D14)</f>
        <v/>
      </c>
      <c r="K14" s="48">
        <f>IF(N14="","·",N14/D14)</f>
        <v/>
      </c>
      <c r="L14" s="48">
        <f>IF(T14="","·",T14/D14)</f>
        <v/>
      </c>
      <c r="M14" s="48">
        <f>IF(ISBLANK(V14),"·",V14/D14)</f>
        <v/>
      </c>
      <c r="N14" s="45">
        <f>IF(OR(ISBLANK(T14),ISBLANK(U14)),"",T14+U14)</f>
        <v/>
      </c>
      <c r="O14" s="48" t="n">
        <v>16</v>
      </c>
      <c r="P14" s="49" t="n">
        <v>22124056</v>
      </c>
      <c r="Q14" s="49" t="n">
        <v>691376.75</v>
      </c>
      <c r="R14" s="49" t="n">
        <v>13278.71875</v>
      </c>
      <c r="S14" s="50" t="n">
        <v>23066712</v>
      </c>
      <c r="T14" s="50" t="n">
        <v>4614216</v>
      </c>
      <c r="U14" s="50" t="n">
        <v>1576136</v>
      </c>
      <c r="V14" s="50" t="n">
        <v>16876360</v>
      </c>
      <c r="W14" s="51" t="n">
        <v>70.923046875</v>
      </c>
      <c r="X14" s="51" t="n">
        <v>74.67560312499999</v>
      </c>
      <c r="Y14" s="51" t="n">
        <v>40.97031875</v>
      </c>
      <c r="Z14" s="51" t="n">
        <v>43.413925</v>
      </c>
      <c r="AA14" s="51" t="n">
        <v>39.478603125</v>
      </c>
      <c r="AB14" s="52" t="n">
        <v>3246.29</v>
      </c>
      <c r="AC14" s="52" t="n">
        <v>2325.42</v>
      </c>
      <c r="AD14" s="52" t="n">
        <v>7.953</v>
      </c>
      <c r="AE14" s="52" t="n">
        <v>32.845</v>
      </c>
      <c r="AG14" s="47">
        <f>IF(OR(ISBLANK(AQ14),ISBLANK(G14)),"·",AQ14*G14/F14/1000000)</f>
        <v/>
      </c>
      <c r="AH14" s="48">
        <f>IF(ISBLANK(AQ14),"·",AQ14/D14)</f>
        <v/>
      </c>
      <c r="AI14" s="48">
        <f>IF(AL14="","·",AL14/D14)</f>
        <v/>
      </c>
      <c r="AJ14" s="48">
        <f>IF(AR14="","·",AR14/D14)</f>
        <v/>
      </c>
      <c r="AK14" s="48">
        <f>IF(ISBLANK(AT14),"·",AT14/D14)</f>
        <v/>
      </c>
      <c r="AL14" s="45">
        <f>IF(OR(ISBLANK(AR14),ISBLANK(AS14)),"",AR14+AS14)</f>
        <v/>
      </c>
      <c r="AM14" s="48" t="n">
        <v>16</v>
      </c>
      <c r="AN14" s="49" t="n">
        <v>22124056</v>
      </c>
      <c r="AO14" s="49" t="n">
        <v>691376.75</v>
      </c>
      <c r="AP14" s="49" t="n">
        <v>13278.71875</v>
      </c>
      <c r="AQ14" s="50" t="n">
        <v>23026512</v>
      </c>
      <c r="AR14" s="50" t="n">
        <v>4614216</v>
      </c>
      <c r="AS14" s="50" t="n">
        <v>1576136</v>
      </c>
      <c r="AT14" s="50" t="n">
        <v>16836160</v>
      </c>
      <c r="AU14" s="51" t="n">
        <v>70.923046875</v>
      </c>
      <c r="AV14" s="51" t="n">
        <v>74.67560312499999</v>
      </c>
      <c r="AW14" s="51" t="n">
        <v>40.962909375</v>
      </c>
      <c r="AX14" s="51" t="n">
        <v>43.423146875</v>
      </c>
      <c r="AY14" s="51" t="n">
        <v>39.504384375</v>
      </c>
      <c r="AZ14" s="52" t="n">
        <v>3206.69</v>
      </c>
      <c r="BA14" s="52" t="n">
        <v>2346.29</v>
      </c>
      <c r="BB14" s="52" t="n">
        <v>50.048</v>
      </c>
      <c r="BC14" s="52" t="n">
        <v>34.082</v>
      </c>
      <c r="BE14" s="53">
        <f>AI14/K14</f>
        <v/>
      </c>
      <c r="BF14" s="54">
        <f>(AP14/AO14) - (R14/Q14)</f>
        <v/>
      </c>
      <c r="BG14" s="54">
        <f>(AL14/AQ14) - (N14/S14)</f>
        <v/>
      </c>
      <c r="BH14" s="54" t="n"/>
      <c r="BJ14" s="53" t="n"/>
      <c r="BK14" s="53" t="n"/>
      <c r="BL14" s="53" t="n"/>
      <c r="BM14" s="53" t="n"/>
      <c r="BN14" s="53" t="n"/>
      <c r="BP14" s="53" t="n"/>
      <c r="BQ14" s="53" t="n"/>
      <c r="BR14" s="53" t="n"/>
      <c r="BS14" s="53" t="n"/>
      <c r="BT14" s="53" t="n"/>
    </row>
    <row r="15">
      <c r="A15" s="142" t="n"/>
      <c r="B15" s="142" t="inlineStr">
        <is>
          <t>8ivfbv2_soldier_vox10</t>
        </is>
      </c>
      <c r="C15" s="16" t="inlineStr">
        <is>
          <t>r01</t>
        </is>
      </c>
      <c r="D15" s="142" t="n">
        <v>322589704</v>
      </c>
      <c r="E15" s="16" t="n">
        <v>10</v>
      </c>
      <c r="F15" s="16" t="n">
        <v>32</v>
      </c>
      <c r="G15" s="16" t="n">
        <v>30</v>
      </c>
      <c r="I15" s="17">
        <f>IF(OR(ISBLANK(S15),ISBLANK(G15)),"·",S15*G15/F15/1000000)</f>
        <v/>
      </c>
      <c r="J15" s="18">
        <f>IF(ISBLANK(S15),"·",S15/D15)</f>
        <v/>
      </c>
      <c r="K15" s="18">
        <f>IF(N15="","·",N15/D15)</f>
        <v/>
      </c>
      <c r="L15" s="18">
        <f>IF(T15="","·",T15/D15)</f>
        <v/>
      </c>
      <c r="M15" s="18">
        <f>IF(ISBLANK(V15),"·",V15/D15)</f>
        <v/>
      </c>
      <c r="N15" s="142">
        <f>IF(OR(ISBLANK(T15),ISBLANK(U15)),"",T15+U15)</f>
        <v/>
      </c>
      <c r="O15" s="18" t="n">
        <v>16</v>
      </c>
      <c r="P15" s="19" t="n">
        <v>31086837</v>
      </c>
      <c r="Q15" s="19" t="n">
        <v>971463.65625</v>
      </c>
      <c r="R15" s="19" t="n">
        <v>27944.21875</v>
      </c>
      <c r="S15" s="20" t="n">
        <v>4726936</v>
      </c>
      <c r="T15" s="20" t="n">
        <v>1416928</v>
      </c>
      <c r="U15" s="20" t="n">
        <v>1266344</v>
      </c>
      <c r="V15" s="20" t="n">
        <v>2043664</v>
      </c>
      <c r="W15" s="21" t="n">
        <v>65.92310625</v>
      </c>
      <c r="X15" s="21" t="n">
        <v>67.66179375</v>
      </c>
      <c r="Y15" s="21" t="n">
        <v>29.416059375</v>
      </c>
      <c r="Z15" s="21" t="n">
        <v>43.12315625</v>
      </c>
      <c r="AA15" s="21" t="n">
        <v>43.328384375</v>
      </c>
      <c r="AB15" s="22" t="n">
        <v>4696.6</v>
      </c>
      <c r="AC15" s="22" t="n">
        <v>1775.04</v>
      </c>
      <c r="AD15" s="22" t="n">
        <v>8.954000000000001</v>
      </c>
      <c r="AE15" s="22" t="n">
        <v>26.458</v>
      </c>
      <c r="AG15" s="17">
        <f>IF(OR(ISBLANK(AQ15),ISBLANK(G15)),"·",AQ15*G15/F15/1000000)</f>
        <v/>
      </c>
      <c r="AH15" s="18">
        <f>IF(ISBLANK(AQ15),"·",AQ15/D15)</f>
        <v/>
      </c>
      <c r="AI15" s="18">
        <f>IF(AL15="","·",AL15/D15)</f>
        <v/>
      </c>
      <c r="AJ15" s="18">
        <f>IF(AR15="","·",AR15/D15)</f>
        <v/>
      </c>
      <c r="AK15" s="18">
        <f>IF(ISBLANK(AT15),"·",AT15/D15)</f>
        <v/>
      </c>
      <c r="AL15" s="142">
        <f>IF(OR(ISBLANK(AR15),ISBLANK(AS15)),"",AR15+AS15)</f>
        <v/>
      </c>
      <c r="AM15" s="18" t="n">
        <v>16</v>
      </c>
      <c r="AN15" s="19" t="n">
        <v>31086837</v>
      </c>
      <c r="AO15" s="19" t="n">
        <v>971463.65625</v>
      </c>
      <c r="AP15" s="19" t="n">
        <v>27944.21875</v>
      </c>
      <c r="AQ15" s="20" t="n">
        <v>4722392</v>
      </c>
      <c r="AR15" s="20" t="n">
        <v>1416928</v>
      </c>
      <c r="AS15" s="20" t="n">
        <v>1266344</v>
      </c>
      <c r="AT15" s="20" t="n">
        <v>2039120</v>
      </c>
      <c r="AU15" s="21" t="n">
        <v>65.92310625</v>
      </c>
      <c r="AV15" s="21" t="n">
        <v>67.66179375</v>
      </c>
      <c r="AW15" s="21" t="n">
        <v>29.414640625</v>
      </c>
      <c r="AX15" s="21" t="n">
        <v>43.125696875</v>
      </c>
      <c r="AY15" s="21" t="n">
        <v>43.263359375</v>
      </c>
      <c r="AZ15" s="22" t="n">
        <v>4572.63</v>
      </c>
      <c r="BA15" s="22" t="n">
        <v>1771.58</v>
      </c>
      <c r="BB15" s="22" t="n">
        <v>69.274</v>
      </c>
      <c r="BC15" s="22" t="n">
        <v>28.051</v>
      </c>
      <c r="BE15" s="72">
        <f>AI15/K15</f>
        <v/>
      </c>
      <c r="BF15" s="24">
        <f>(AP15/AO15) - (R15/Q15)</f>
        <v/>
      </c>
      <c r="BG15" s="24">
        <f>(AL15/AQ15) - (N15/S15)</f>
        <v/>
      </c>
      <c r="BH15" s="24">
        <f ref="BH15" t="array">AVERAGE(AL15:AL19/AQ15:AQ19) - AVERAGE(N15:N19/S15:S19)</f>
        <v/>
      </c>
      <c r="BJ15" s="72">
        <f>IF( OR(ISBLANK(N15:N19),ISBLANK(AL15:AL19), ISBLANK(W15:W19),ISBLANK(AU15:AU19)), "·", bdRateExtend( N15:N19,W15:W19, AL15:AL19,AU15:AU19))</f>
        <v/>
      </c>
      <c r="BK15" s="72">
        <f>IF( OR(ISBLANK(N15:N19),ISBLANK(AL15:AL19), ISBLANK(X15:X19),ISBLANK(AV15:AV19)), "·", bdRateExtend( N15:N19,X15:X19, AL15:AL19,AV15:AV19))</f>
        <v/>
      </c>
      <c r="BL15" s="72">
        <f>IF( OR(ISBLANK(V15:V19),ISBLANK(AT15:AT19), ISBLANK(Y15:Y19),ISBLANK(AW15:AW19)), "·", bdRateExtend( V15:V19,Y15:Y19, AT15:AT19,AW15:AW19))</f>
        <v/>
      </c>
      <c r="BM15" s="72">
        <f>IF( OR(ISBLANK(V15:V19),ISBLANK(AT15:AT19), ISBLANK(Z15:Z19),ISBLANK(AX15:AX19)), "·", bdRateExtend( V15:V19,Z15:Z19, AT15:AT19,AX15:AX19))</f>
        <v/>
      </c>
      <c r="BN15" s="72">
        <f>IF( OR(ISBLANK(V15:V19),ISBLANK(AT15:AT19), ISBLANK(AA15:AA19),ISBLANK(AY15:AY19)), "·", bdRateExtend( V15:V19,AA15:AA19, AT15:AT19,AY15:AY19))</f>
        <v/>
      </c>
      <c r="BP15" s="72">
        <f>IF( OR(ISBLANK(S15:S19),ISBLANK(AQ15:AQ19), ISBLANK(W15:W19),ISBLANK(AU15:AU19)), "·", bdRateExtend( S15:S19,W15:W19, AQ15:AQ19,AU15:AU19))</f>
        <v/>
      </c>
      <c r="BQ15" s="72">
        <f>IF( OR(ISBLANK(S15:S19),ISBLANK(AQ15:AQ19), ISBLANK(X15:X19),ISBLANK(AV15:AV19)), "·", bdRateExtend( S15:S19,X15:X19, AQ15:AQ19,AV15:AV19))</f>
        <v/>
      </c>
      <c r="BR15" s="72">
        <f>IF( OR(ISBLANK(S15:S19),ISBLANK(AQ15:AQ19), ISBLANK(Y15:Y19),ISBLANK(AW15:AW19)), "·", bdRateExtend( S15:S19,Y15:Y19, AQ15:AQ19,AW15:AW19))</f>
        <v/>
      </c>
      <c r="BS15" s="72">
        <f>IF( OR(ISBLANK(S15:S19),ISBLANK(AQ15:AQ19), ISBLANK(Z15:Z19),ISBLANK(AX15:AX19)), "·", bdRateExtend( S15:S19,Z15:Z19, AQ15:AQ19,AX15:AX19))</f>
        <v/>
      </c>
      <c r="BT15" s="72">
        <f>IF( OR(ISBLANK(S15:S19),ISBLANK(AQ15:AQ19), ISBLANK(AA15:AA19),ISBLANK(AY15:AY19)), "·", bdRateExtend( S15:S19,AA15:AA19, AQ15:AQ19,AY15:AY19))</f>
        <v/>
      </c>
    </row>
    <row outlineLevel="1" r="16" s="86">
      <c r="A16" s="25" t="n"/>
      <c r="B16" s="25" t="inlineStr">
        <is>
          <t>8ivfbv2_soldier_vox10</t>
        </is>
      </c>
      <c r="C16" s="26" t="inlineStr">
        <is>
          <t>r02</t>
        </is>
      </c>
      <c r="D16" s="25" t="n">
        <v>322589704</v>
      </c>
      <c r="E16" s="26" t="n">
        <v>10</v>
      </c>
      <c r="F16" s="26" t="n">
        <v>32</v>
      </c>
      <c r="G16" s="26" t="n">
        <v>30</v>
      </c>
      <c r="I16" s="27">
        <f>IF(OR(ISBLANK(S16),ISBLANK(G16)),"·",S16*G16/F16/1000000)</f>
        <v/>
      </c>
      <c r="J16" s="28">
        <f>IF(ISBLANK(S16),"·",S16/D16)</f>
        <v/>
      </c>
      <c r="K16" s="28">
        <f>IF(N16="","·",N16/D16)</f>
        <v/>
      </c>
      <c r="L16" s="28">
        <f>IF(T16="","·",T16/D16)</f>
        <v/>
      </c>
      <c r="M16" s="28">
        <f>IF(ISBLANK(V16),"·",V16/D16)</f>
        <v/>
      </c>
      <c r="N16" s="25">
        <f>IF(OR(ISBLANK(T16),ISBLANK(U16)),"",T16+U16)</f>
        <v/>
      </c>
      <c r="O16" s="28" t="n">
        <v>16</v>
      </c>
      <c r="P16" s="29" t="n">
        <v>33185472</v>
      </c>
      <c r="Q16" s="29" t="n">
        <v>1037046</v>
      </c>
      <c r="R16" s="29" t="n">
        <v>34748.59375</v>
      </c>
      <c r="S16" s="30" t="n">
        <v>7502088</v>
      </c>
      <c r="T16" s="30" t="n">
        <v>1999328</v>
      </c>
      <c r="U16" s="30" t="n">
        <v>1266344</v>
      </c>
      <c r="V16" s="30" t="n">
        <v>4236416</v>
      </c>
      <c r="W16" s="31" t="n">
        <v>67.71285</v>
      </c>
      <c r="X16" s="31" t="n">
        <v>69.74140312500001</v>
      </c>
      <c r="Y16" s="31" t="n">
        <v>31.814990625</v>
      </c>
      <c r="Z16" s="31" t="n">
        <v>43.952409375</v>
      </c>
      <c r="AA16" s="31" t="n">
        <v>44.2529625</v>
      </c>
      <c r="AB16" s="32" t="n">
        <v>4663.4</v>
      </c>
      <c r="AC16" s="32" t="n">
        <v>1890.37</v>
      </c>
      <c r="AD16" s="32" t="n">
        <v>9.519</v>
      </c>
      <c r="AE16" s="32" t="n">
        <v>28.486</v>
      </c>
      <c r="AG16" s="27">
        <f>IF(OR(ISBLANK(AQ16),ISBLANK(G16)),"·",AQ16*G16/F16/1000000)</f>
        <v/>
      </c>
      <c r="AH16" s="28">
        <f>IF(ISBLANK(AQ16),"·",AQ16/D16)</f>
        <v/>
      </c>
      <c r="AI16" s="28">
        <f>IF(AL16="","·",AL16/D16)</f>
        <v/>
      </c>
      <c r="AJ16" s="28">
        <f>IF(AR16="","·",AR16/D16)</f>
        <v/>
      </c>
      <c r="AK16" s="28">
        <f>IF(ISBLANK(AT16),"·",AT16/D16)</f>
        <v/>
      </c>
      <c r="AL16" s="25">
        <f>IF(OR(ISBLANK(AR16),ISBLANK(AS16)),"",AR16+AS16)</f>
        <v/>
      </c>
      <c r="AM16" s="28" t="n">
        <v>16</v>
      </c>
      <c r="AN16" s="29" t="n">
        <v>33185472</v>
      </c>
      <c r="AO16" s="29" t="n">
        <v>1037046</v>
      </c>
      <c r="AP16" s="29" t="n">
        <v>34748.59375</v>
      </c>
      <c r="AQ16" s="30" t="n">
        <v>7491504</v>
      </c>
      <c r="AR16" s="30" t="n">
        <v>1999328</v>
      </c>
      <c r="AS16" s="30" t="n">
        <v>1266344</v>
      </c>
      <c r="AT16" s="30" t="n">
        <v>4225832</v>
      </c>
      <c r="AU16" s="31" t="n">
        <v>67.71285</v>
      </c>
      <c r="AV16" s="31" t="n">
        <v>69.74140312500001</v>
      </c>
      <c r="AW16" s="31" t="n">
        <v>31.808309375</v>
      </c>
      <c r="AX16" s="31" t="n">
        <v>43.976703125</v>
      </c>
      <c r="AY16" s="31" t="n">
        <v>44.262890625</v>
      </c>
      <c r="AZ16" s="32" t="n">
        <v>4621.33</v>
      </c>
      <c r="BA16" s="32" t="n">
        <v>1901.36</v>
      </c>
      <c r="BB16" s="32" t="n">
        <v>74.02800000000001</v>
      </c>
      <c r="BC16" s="32" t="n">
        <v>28.932</v>
      </c>
      <c r="BE16" s="68">
        <f>AI16/K16</f>
        <v/>
      </c>
      <c r="BF16" s="34">
        <f>(AP16/AO16) - (R16/Q16)</f>
        <v/>
      </c>
      <c r="BG16" s="34">
        <f>(AL16/AQ16) - (N16/S16)</f>
        <v/>
      </c>
      <c r="BH16" s="34" t="n"/>
      <c r="BJ16" s="68" t="n"/>
      <c r="BK16" s="68" t="n"/>
      <c r="BL16" s="68" t="n"/>
      <c r="BM16" s="68" t="n"/>
      <c r="BN16" s="68" t="n"/>
      <c r="BP16" s="68" t="n"/>
      <c r="BQ16" s="68" t="n"/>
      <c r="BR16" s="68" t="n"/>
      <c r="BS16" s="68" t="n"/>
      <c r="BT16" s="68" t="n"/>
    </row>
    <row outlineLevel="1" r="17" s="86">
      <c r="A17" s="142" t="n"/>
      <c r="B17" s="142" t="inlineStr">
        <is>
          <t>8ivfbv2_soldier_vox10</t>
        </is>
      </c>
      <c r="C17" s="16" t="inlineStr">
        <is>
          <t>r03</t>
        </is>
      </c>
      <c r="D17" s="142" t="n">
        <v>322589704</v>
      </c>
      <c r="E17" s="16" t="n">
        <v>10</v>
      </c>
      <c r="F17" s="16" t="n">
        <v>32</v>
      </c>
      <c r="G17" s="16" t="n">
        <v>30</v>
      </c>
      <c r="I17" s="17">
        <f>IF(OR(ISBLANK(S17),ISBLANK(G17)),"·",S17*G17/F17/1000000)</f>
        <v/>
      </c>
      <c r="J17" s="18">
        <f>IF(ISBLANK(S17),"·",S17/D17)</f>
        <v/>
      </c>
      <c r="K17" s="18">
        <f>IF(N17="","·",N17/D17)</f>
        <v/>
      </c>
      <c r="L17" s="18">
        <f>IF(T17="","·",T17/D17)</f>
        <v/>
      </c>
      <c r="M17" s="18">
        <f>IF(ISBLANK(V17),"·",V17/D17)</f>
        <v/>
      </c>
      <c r="N17" s="142">
        <f>IF(OR(ISBLANK(T17),ISBLANK(U17)),"",T17+U17)</f>
        <v/>
      </c>
      <c r="O17" s="18" t="n">
        <v>16</v>
      </c>
      <c r="P17" s="19" t="n">
        <v>33604345</v>
      </c>
      <c r="Q17" s="19" t="n">
        <v>1050135.78125</v>
      </c>
      <c r="R17" s="19" t="n">
        <v>36572.96875</v>
      </c>
      <c r="S17" s="20" t="n">
        <v>12517520</v>
      </c>
      <c r="T17" s="20" t="n">
        <v>2889464</v>
      </c>
      <c r="U17" s="20" t="n">
        <v>1266344</v>
      </c>
      <c r="V17" s="20" t="n">
        <v>8361712</v>
      </c>
      <c r="W17" s="21" t="n">
        <v>69.1344375</v>
      </c>
      <c r="X17" s="21" t="n">
        <v>71.59709687500001</v>
      </c>
      <c r="Y17" s="21" t="n">
        <v>34.36164375</v>
      </c>
      <c r="Z17" s="21" t="n">
        <v>44.795584375</v>
      </c>
      <c r="AA17" s="21" t="n">
        <v>45.197471875</v>
      </c>
      <c r="AB17" s="22" t="n">
        <v>4680.65</v>
      </c>
      <c r="AC17" s="22" t="n">
        <v>2038.49</v>
      </c>
      <c r="AD17" s="22" t="n">
        <v>10.411</v>
      </c>
      <c r="AE17" s="22" t="n">
        <v>29.49</v>
      </c>
      <c r="AG17" s="17">
        <f>IF(OR(ISBLANK(AQ17),ISBLANK(G17)),"·",AQ17*G17/F17/1000000)</f>
        <v/>
      </c>
      <c r="AH17" s="18">
        <f>IF(ISBLANK(AQ17),"·",AQ17/D17)</f>
        <v/>
      </c>
      <c r="AI17" s="18">
        <f>IF(AL17="","·",AL17/D17)</f>
        <v/>
      </c>
      <c r="AJ17" s="18">
        <f>IF(AR17="","·",AR17/D17)</f>
        <v/>
      </c>
      <c r="AK17" s="18">
        <f>IF(ISBLANK(AT17),"·",AT17/D17)</f>
        <v/>
      </c>
      <c r="AL17" s="142">
        <f>IF(OR(ISBLANK(AR17),ISBLANK(AS17)),"",AR17+AS17)</f>
        <v/>
      </c>
      <c r="AM17" s="18" t="n">
        <v>16</v>
      </c>
      <c r="AN17" s="19" t="n">
        <v>33604345</v>
      </c>
      <c r="AO17" s="19" t="n">
        <v>1050135.78125</v>
      </c>
      <c r="AP17" s="19" t="n">
        <v>36572.96875</v>
      </c>
      <c r="AQ17" s="20" t="n">
        <v>12490536</v>
      </c>
      <c r="AR17" s="20" t="n">
        <v>2889464</v>
      </c>
      <c r="AS17" s="20" t="n">
        <v>1266344</v>
      </c>
      <c r="AT17" s="20" t="n">
        <v>8334728</v>
      </c>
      <c r="AU17" s="21" t="n">
        <v>69.1344375</v>
      </c>
      <c r="AV17" s="21" t="n">
        <v>71.59709687500001</v>
      </c>
      <c r="AW17" s="21" t="n">
        <v>34.3520625</v>
      </c>
      <c r="AX17" s="21" t="n">
        <v>44.796078125</v>
      </c>
      <c r="AY17" s="21" t="n">
        <v>45.20676875</v>
      </c>
      <c r="AZ17" s="22" t="n">
        <v>4588.94</v>
      </c>
      <c r="BA17" s="22" t="n">
        <v>2029.2</v>
      </c>
      <c r="BB17" s="22" t="n">
        <v>75.09399999999999</v>
      </c>
      <c r="BC17" s="22" t="n">
        <v>30.438</v>
      </c>
      <c r="BE17" s="72">
        <f>AI17/K17</f>
        <v/>
      </c>
      <c r="BF17" s="24">
        <f>(AP17/AO17) - (R17/Q17)</f>
        <v/>
      </c>
      <c r="BG17" s="24">
        <f>(AL17/AQ17) - (N17/S17)</f>
        <v/>
      </c>
      <c r="BH17" s="24" t="n"/>
      <c r="BJ17" s="72" t="n"/>
      <c r="BK17" s="72" t="n"/>
      <c r="BL17" s="72" t="n"/>
      <c r="BM17" s="72" t="n"/>
      <c r="BN17" s="72" t="n"/>
      <c r="BP17" s="72" t="n"/>
      <c r="BQ17" s="72" t="n"/>
      <c r="BR17" s="72" t="n"/>
      <c r="BS17" s="72" t="n"/>
      <c r="BT17" s="72" t="n"/>
    </row>
    <row outlineLevel="1" r="18" s="86">
      <c r="A18" s="25" t="n"/>
      <c r="B18" s="25" t="inlineStr">
        <is>
          <t>8ivfbv2_soldier_vox10</t>
        </is>
      </c>
      <c r="C18" s="26" t="inlineStr">
        <is>
          <t>r04</t>
        </is>
      </c>
      <c r="D18" s="25" t="n">
        <v>322589704</v>
      </c>
      <c r="E18" s="26" t="n">
        <v>10</v>
      </c>
      <c r="F18" s="26" t="n">
        <v>32</v>
      </c>
      <c r="G18" s="26" t="n">
        <v>30</v>
      </c>
      <c r="I18" s="27">
        <f>IF(OR(ISBLANK(S18),ISBLANK(G18)),"·",S18*G18/F18/1000000)</f>
        <v/>
      </c>
      <c r="J18" s="28">
        <f>IF(ISBLANK(S18),"·",S18/D18)</f>
        <v/>
      </c>
      <c r="K18" s="28">
        <f>IF(N18="","·",N18/D18)</f>
        <v/>
      </c>
      <c r="L18" s="28">
        <f>IF(T18="","·",T18/D18)</f>
        <v/>
      </c>
      <c r="M18" s="28">
        <f>IF(ISBLANK(V18),"·",V18/D18)</f>
        <v/>
      </c>
      <c r="N18" s="25">
        <f>IF(OR(ISBLANK(T18),ISBLANK(U18)),"",T18+U18)</f>
        <v/>
      </c>
      <c r="O18" s="28" t="n">
        <v>16</v>
      </c>
      <c r="P18" s="29" t="n">
        <v>34799418</v>
      </c>
      <c r="Q18" s="29" t="n">
        <v>1087481.8125</v>
      </c>
      <c r="R18" s="29" t="n">
        <v>40860.15625</v>
      </c>
      <c r="S18" s="30" t="n">
        <v>21675544</v>
      </c>
      <c r="T18" s="30" t="n">
        <v>4342080</v>
      </c>
      <c r="U18" s="30" t="n">
        <v>1266344</v>
      </c>
      <c r="V18" s="30" t="n">
        <v>16067120</v>
      </c>
      <c r="W18" s="31" t="n">
        <v>70.37287499999999</v>
      </c>
      <c r="X18" s="31" t="n">
        <v>72.95128124999999</v>
      </c>
      <c r="Y18" s="31" t="n">
        <v>37.06899375</v>
      </c>
      <c r="Z18" s="31" t="n">
        <v>46.11985625</v>
      </c>
      <c r="AA18" s="31" t="n">
        <v>46.64840625</v>
      </c>
      <c r="AB18" s="32" t="n">
        <v>4703.27</v>
      </c>
      <c r="AC18" s="32" t="n">
        <v>2297.39</v>
      </c>
      <c r="AD18" s="32" t="n">
        <v>11.615</v>
      </c>
      <c r="AE18" s="32" t="n">
        <v>31.088</v>
      </c>
      <c r="AG18" s="27">
        <f>IF(OR(ISBLANK(AQ18),ISBLANK(G18)),"·",AQ18*G18/F18/1000000)</f>
        <v/>
      </c>
      <c r="AH18" s="28">
        <f>IF(ISBLANK(AQ18),"·",AQ18/D18)</f>
        <v/>
      </c>
      <c r="AI18" s="28">
        <f>IF(AL18="","·",AL18/D18)</f>
        <v/>
      </c>
      <c r="AJ18" s="28">
        <f>IF(AR18="","·",AR18/D18)</f>
        <v/>
      </c>
      <c r="AK18" s="28">
        <f>IF(ISBLANK(AT18),"·",AT18/D18)</f>
        <v/>
      </c>
      <c r="AL18" s="25">
        <f>IF(OR(ISBLANK(AR18),ISBLANK(AS18)),"",AR18+AS18)</f>
        <v/>
      </c>
      <c r="AM18" s="28" t="n">
        <v>16</v>
      </c>
      <c r="AN18" s="29" t="n">
        <v>34799418</v>
      </c>
      <c r="AO18" s="29" t="n">
        <v>1087481.8125</v>
      </c>
      <c r="AP18" s="29" t="n">
        <v>40860.15625</v>
      </c>
      <c r="AQ18" s="30" t="n">
        <v>21543344</v>
      </c>
      <c r="AR18" s="30" t="n">
        <v>4342080</v>
      </c>
      <c r="AS18" s="30" t="n">
        <v>1266344</v>
      </c>
      <c r="AT18" s="30" t="n">
        <v>15934920</v>
      </c>
      <c r="AU18" s="31" t="n">
        <v>70.37287499999999</v>
      </c>
      <c r="AV18" s="31" t="n">
        <v>72.95128124999999</v>
      </c>
      <c r="AW18" s="31" t="n">
        <v>37.03318125</v>
      </c>
      <c r="AX18" s="31" t="n">
        <v>46.138034375</v>
      </c>
      <c r="AY18" s="31" t="n">
        <v>46.6388</v>
      </c>
      <c r="AZ18" s="32" t="n">
        <v>4637.52</v>
      </c>
      <c r="BA18" s="32" t="n">
        <v>2289.47</v>
      </c>
      <c r="BB18" s="32" t="n">
        <v>78.10299999999999</v>
      </c>
      <c r="BC18" s="32" t="n">
        <v>31.355</v>
      </c>
      <c r="BE18" s="68">
        <f>AI18/K18</f>
        <v/>
      </c>
      <c r="BF18" s="34">
        <f>(AP18/AO18) - (R18/Q18)</f>
        <v/>
      </c>
      <c r="BG18" s="34">
        <f>(AL18/AQ18) - (N18/S18)</f>
        <v/>
      </c>
      <c r="BH18" s="34" t="n"/>
      <c r="BJ18" s="68" t="n"/>
      <c r="BK18" s="68" t="n"/>
      <c r="BL18" s="68" t="n"/>
      <c r="BM18" s="68" t="n"/>
      <c r="BN18" s="68" t="n"/>
      <c r="BP18" s="68" t="n"/>
      <c r="BQ18" s="68" t="n"/>
      <c r="BR18" s="68" t="n"/>
      <c r="BS18" s="68" t="n"/>
      <c r="BT18" s="68" t="n"/>
    </row>
    <row outlineLevel="1" r="19" s="86">
      <c r="A19" s="142" t="n"/>
      <c r="B19" s="35" t="inlineStr">
        <is>
          <t>8ivfbv2_soldier_vox10</t>
        </is>
      </c>
      <c r="C19" s="36" t="inlineStr">
        <is>
          <t>r05</t>
        </is>
      </c>
      <c r="D19" s="35" t="n">
        <v>322589704</v>
      </c>
      <c r="E19" s="36" t="n">
        <v>10</v>
      </c>
      <c r="F19" s="36" t="n">
        <v>32</v>
      </c>
      <c r="G19" s="36" t="n">
        <v>30</v>
      </c>
      <c r="I19" s="37">
        <f>IF(OR(ISBLANK(S19),ISBLANK(G19)),"·",S19*G19/F19/1000000)</f>
        <v/>
      </c>
      <c r="J19" s="38">
        <f>IF(ISBLANK(S19),"·",S19/D19)</f>
        <v/>
      </c>
      <c r="K19" s="38">
        <f>IF(N19="","·",N19/D19)</f>
        <v/>
      </c>
      <c r="L19" s="38">
        <f>IF(T19="","·",T19/D19)</f>
        <v/>
      </c>
      <c r="M19" s="38">
        <f>IF(ISBLANK(V19),"·",V19/D19)</f>
        <v/>
      </c>
      <c r="N19" s="35">
        <f>IF(OR(ISBLANK(T19),ISBLANK(U19)),"",T19+U19)</f>
        <v/>
      </c>
      <c r="O19" s="38" t="n">
        <v>16</v>
      </c>
      <c r="P19" s="39" t="n">
        <v>33039030</v>
      </c>
      <c r="Q19" s="39" t="n">
        <v>1032469.6875</v>
      </c>
      <c r="R19" s="39" t="n">
        <v>17754.53125</v>
      </c>
      <c r="S19" s="40" t="n">
        <v>38360856</v>
      </c>
      <c r="T19" s="40" t="n">
        <v>6660824</v>
      </c>
      <c r="U19" s="40" t="n">
        <v>2325040</v>
      </c>
      <c r="V19" s="40" t="n">
        <v>29374992</v>
      </c>
      <c r="W19" s="41" t="n">
        <v>71.14922812499999</v>
      </c>
      <c r="X19" s="41" t="n">
        <v>75.00436562500001</v>
      </c>
      <c r="Y19" s="41" t="n">
        <v>39.55453125</v>
      </c>
      <c r="Z19" s="41" t="n">
        <v>47.85896875</v>
      </c>
      <c r="AA19" s="41" t="n">
        <v>48.45710625</v>
      </c>
      <c r="AB19" s="42" t="n">
        <v>4689.02</v>
      </c>
      <c r="AC19" s="42" t="n">
        <v>2642.34</v>
      </c>
      <c r="AD19" s="42" t="n">
        <v>10.481</v>
      </c>
      <c r="AE19" s="42" t="n">
        <v>32.9</v>
      </c>
      <c r="AG19" s="37">
        <f>IF(OR(ISBLANK(AQ19),ISBLANK(G19)),"·",AQ19*G19/F19/1000000)</f>
        <v/>
      </c>
      <c r="AH19" s="38">
        <f>IF(ISBLANK(AQ19),"·",AQ19/D19)</f>
        <v/>
      </c>
      <c r="AI19" s="38">
        <f>IF(AL19="","·",AL19/D19)</f>
        <v/>
      </c>
      <c r="AJ19" s="38">
        <f>IF(AR19="","·",AR19/D19)</f>
        <v/>
      </c>
      <c r="AK19" s="38">
        <f>IF(ISBLANK(AT19),"·",AT19/D19)</f>
        <v/>
      </c>
      <c r="AL19" s="35">
        <f>IF(OR(ISBLANK(AR19),ISBLANK(AS19)),"",AR19+AS19)</f>
        <v/>
      </c>
      <c r="AM19" s="38" t="n">
        <v>16</v>
      </c>
      <c r="AN19" s="39" t="n">
        <v>33039030</v>
      </c>
      <c r="AO19" s="39" t="n">
        <v>1032469.6875</v>
      </c>
      <c r="AP19" s="39" t="n">
        <v>17754.53125</v>
      </c>
      <c r="AQ19" s="40" t="n">
        <v>38094600</v>
      </c>
      <c r="AR19" s="40" t="n">
        <v>6660824</v>
      </c>
      <c r="AS19" s="40" t="n">
        <v>2325040</v>
      </c>
      <c r="AT19" s="40" t="n">
        <v>29108736</v>
      </c>
      <c r="AU19" s="41" t="n">
        <v>71.14922812499999</v>
      </c>
      <c r="AV19" s="41" t="n">
        <v>75.00436562500001</v>
      </c>
      <c r="AW19" s="41" t="n">
        <v>39.53954375</v>
      </c>
      <c r="AX19" s="41" t="n">
        <v>47.871559375</v>
      </c>
      <c r="AY19" s="41" t="n">
        <v>48.474975</v>
      </c>
      <c r="AZ19" s="42" t="n">
        <v>4576.19</v>
      </c>
      <c r="BA19" s="42" t="n">
        <v>2643.53</v>
      </c>
      <c r="BB19" s="42" t="n">
        <v>73.23699999999999</v>
      </c>
      <c r="BC19" s="42" t="n">
        <v>34.098</v>
      </c>
      <c r="BE19" s="43">
        <f>AI19/K19</f>
        <v/>
      </c>
      <c r="BF19" s="44">
        <f>(AP19/AO19) - (R19/Q19)</f>
        <v/>
      </c>
      <c r="BG19" s="44">
        <f>(AL19/AQ19) - (N19/S19)</f>
        <v/>
      </c>
      <c r="BH19" s="44" t="n"/>
      <c r="BJ19" s="43" t="n"/>
      <c r="BK19" s="43" t="n"/>
      <c r="BL19" s="43" t="n"/>
      <c r="BM19" s="43" t="n"/>
      <c r="BN19" s="43" t="n"/>
      <c r="BP19" s="43" t="n"/>
      <c r="BQ19" s="43" t="n"/>
      <c r="BR19" s="43" t="n"/>
      <c r="BS19" s="43" t="n"/>
      <c r="BT19" s="43" t="n"/>
    </row>
    <row r="20">
      <c r="A20" s="25" t="n"/>
      <c r="B20" s="25" t="inlineStr">
        <is>
          <t>queen</t>
        </is>
      </c>
      <c r="C20" s="26" t="inlineStr">
        <is>
          <t>r01</t>
        </is>
      </c>
      <c r="D20" s="25" t="n">
        <v>250602891</v>
      </c>
      <c r="E20" s="26" t="n">
        <v>10</v>
      </c>
      <c r="F20" s="26" t="n">
        <v>32</v>
      </c>
      <c r="G20" s="26" t="n">
        <v>50</v>
      </c>
      <c r="I20" s="27">
        <f>IF(OR(ISBLANK(S20),ISBLANK(G20)),"·",S20*G20/F20/1000000)</f>
        <v/>
      </c>
      <c r="J20" s="28">
        <f>IF(ISBLANK(S20),"·",S20/D20)</f>
        <v/>
      </c>
      <c r="K20" s="28">
        <f>IF(N20="","·",N20/D20)</f>
        <v/>
      </c>
      <c r="L20" s="28">
        <f>IF(T20="","·",T20/D20)</f>
        <v/>
      </c>
      <c r="M20" s="28">
        <f>IF(ISBLANK(V20),"·",V20/D20)</f>
        <v/>
      </c>
      <c r="N20" s="25">
        <f>IF(OR(ISBLANK(T20),ISBLANK(U20)),"",T20+U20)</f>
        <v/>
      </c>
      <c r="O20" s="28" t="n">
        <v>16</v>
      </c>
      <c r="P20" s="29" t="n">
        <v>30274532</v>
      </c>
      <c r="Q20" s="29" t="n">
        <v>946079.125</v>
      </c>
      <c r="R20" s="29" t="n">
        <v>27842.25</v>
      </c>
      <c r="S20" s="30" t="n">
        <v>3319352</v>
      </c>
      <c r="T20" s="30" t="n">
        <v>948168</v>
      </c>
      <c r="U20" s="30" t="n">
        <v>982960</v>
      </c>
      <c r="V20" s="30" t="n">
        <v>1388224</v>
      </c>
      <c r="W20" s="31" t="n">
        <v>67.1058</v>
      </c>
      <c r="X20" s="31" t="n">
        <v>68.8171</v>
      </c>
      <c r="Y20" s="31" t="n">
        <v>30.70466875</v>
      </c>
      <c r="Z20" s="31" t="n">
        <v>39.51674375</v>
      </c>
      <c r="AA20" s="31" t="n">
        <v>38.25081875</v>
      </c>
      <c r="AB20" s="32" t="n">
        <v>4405.11</v>
      </c>
      <c r="AC20" s="32" t="n">
        <v>1957.88</v>
      </c>
      <c r="AD20" s="32" t="n">
        <v>8.846</v>
      </c>
      <c r="AE20" s="32" t="n">
        <v>30.131</v>
      </c>
      <c r="AG20" s="27">
        <f>IF(OR(ISBLANK(AQ20),ISBLANK(G20)),"·",AQ20*G20/F20/1000000)</f>
        <v/>
      </c>
      <c r="AH20" s="28">
        <f>IF(ISBLANK(AQ20),"·",AQ20/D20)</f>
        <v/>
      </c>
      <c r="AI20" s="28">
        <f>IF(AL20="","·",AL20/D20)</f>
        <v/>
      </c>
      <c r="AJ20" s="28">
        <f>IF(AR20="","·",AR20/D20)</f>
        <v/>
      </c>
      <c r="AK20" s="28">
        <f>IF(ISBLANK(AT20),"·",AT20/D20)</f>
        <v/>
      </c>
      <c r="AL20" s="25">
        <f>IF(OR(ISBLANK(AR20),ISBLANK(AS20)),"",AR20+AS20)</f>
        <v/>
      </c>
      <c r="AM20" s="28" t="n">
        <v>16</v>
      </c>
      <c r="AN20" s="29" t="n">
        <v>30274532</v>
      </c>
      <c r="AO20" s="29" t="n">
        <v>946079.125</v>
      </c>
      <c r="AP20" s="29" t="n">
        <v>27842.25</v>
      </c>
      <c r="AQ20" s="30" t="n">
        <v>3290552</v>
      </c>
      <c r="AR20" s="30" t="n">
        <v>948168</v>
      </c>
      <c r="AS20" s="30" t="n">
        <v>982960</v>
      </c>
      <c r="AT20" s="30" t="n">
        <v>1359424</v>
      </c>
      <c r="AU20" s="31" t="n">
        <v>67.1058</v>
      </c>
      <c r="AV20" s="31" t="n">
        <v>68.8171</v>
      </c>
      <c r="AW20" s="31" t="n">
        <v>30.70069375</v>
      </c>
      <c r="AX20" s="31" t="n">
        <v>39.522634375</v>
      </c>
      <c r="AY20" s="31" t="n">
        <v>38.26819375</v>
      </c>
      <c r="AZ20" s="32" t="n">
        <v>4469.58</v>
      </c>
      <c r="BA20" s="32" t="n">
        <v>1954.58</v>
      </c>
      <c r="BB20" s="32" t="n">
        <v>69.02200000000001</v>
      </c>
      <c r="BC20" s="32" t="n">
        <v>31.626</v>
      </c>
      <c r="BE20" s="68">
        <f>AI20/K20</f>
        <v/>
      </c>
      <c r="BF20" s="34">
        <f>(AP20/AO20) - (R20/Q20)</f>
        <v/>
      </c>
      <c r="BG20" s="34">
        <f>(AL20/AQ20) - (N20/S20)</f>
        <v/>
      </c>
      <c r="BH20" s="34">
        <f ref="BH20" t="array">AVERAGE(AL20:AL24/AQ20:AQ24) - AVERAGE(N20:N24/S20:S24)</f>
        <v/>
      </c>
      <c r="BJ20" s="68">
        <f>IF( OR(ISBLANK(N20:N24),ISBLANK(AL20:AL24), ISBLANK(W20:W24),ISBLANK(AU20:AU24)), "·", bdRateExtend( N20:N24,W20:W24, AL20:AL24,AU20:AU24))</f>
        <v/>
      </c>
      <c r="BK20" s="68">
        <f>IF( OR(ISBLANK(N20:N24),ISBLANK(AL20:AL24), ISBLANK(X20:X24),ISBLANK(AV20:AV24)), "·", bdRateExtend( N20:N24,X20:X24, AL20:AL24,AV20:AV24))</f>
        <v/>
      </c>
      <c r="BL20" s="68">
        <f>IF( OR(ISBLANK(V20:V24),ISBLANK(AT20:AT24), ISBLANK(Y20:Y24),ISBLANK(AW20:AW24)), "·", bdRateExtend( V20:V24,Y20:Y24, AT20:AT24,AW20:AW24))</f>
        <v/>
      </c>
      <c r="BM20" s="68">
        <f>IF( OR(ISBLANK(V20:V24),ISBLANK(AT20:AT24), ISBLANK(Z20:Z24),ISBLANK(AX20:AX24)), "·", bdRateExtend( V20:V24,Z20:Z24, AT20:AT24,AX20:AX24))</f>
        <v/>
      </c>
      <c r="BN20" s="68">
        <f>IF( OR(ISBLANK(V20:V24),ISBLANK(AT20:AT24), ISBLANK(AA20:AA24),ISBLANK(AY20:AY24)), "·", bdRateExtend( V20:V24,AA20:AA24, AT20:AT24,AY20:AY24))</f>
        <v/>
      </c>
      <c r="BP20" s="68">
        <f>IF( OR(ISBLANK(S20:S24),ISBLANK(AQ20:AQ24), ISBLANK(W20:W24),ISBLANK(AU20:AU24)), "·", bdRateExtend( S20:S24,W20:W24, AQ20:AQ24,AU20:AU24))</f>
        <v/>
      </c>
      <c r="BQ20" s="68">
        <f>IF( OR(ISBLANK(S20:S24),ISBLANK(AQ20:AQ24), ISBLANK(X20:X24),ISBLANK(AV20:AV24)), "·", bdRateExtend( S20:S24,X20:X24, AQ20:AQ24,AV20:AV24))</f>
        <v/>
      </c>
      <c r="BR20" s="68">
        <f>IF( OR(ISBLANK(S20:S24),ISBLANK(AQ20:AQ24), ISBLANK(Y20:Y24),ISBLANK(AW20:AW24)), "·", bdRateExtend( S20:S24,Y20:Y24, AQ20:AQ24,AW20:AW24))</f>
        <v/>
      </c>
      <c r="BS20" s="68">
        <f>IF( OR(ISBLANK(S20:S24),ISBLANK(AQ20:AQ24), ISBLANK(Z20:Z24),ISBLANK(AX20:AX24)), "·", bdRateExtend( S20:S24,Z20:Z24, AQ20:AQ24,AX20:AX24))</f>
        <v/>
      </c>
      <c r="BT20" s="68">
        <f>IF( OR(ISBLANK(S20:S24),ISBLANK(AQ20:AQ24), ISBLANK(AA20:AA24),ISBLANK(AY20:AY24)), "·", bdRateExtend( S20:S24,AA20:AA24, AQ20:AQ24,AY20:AY24))</f>
        <v/>
      </c>
    </row>
    <row outlineLevel="1" r="21" s="86">
      <c r="A21" s="142" t="n"/>
      <c r="B21" s="142" t="inlineStr">
        <is>
          <t>queen</t>
        </is>
      </c>
      <c r="C21" s="16" t="inlineStr">
        <is>
          <t>r02</t>
        </is>
      </c>
      <c r="D21" s="142" t="n">
        <v>250602891</v>
      </c>
      <c r="E21" s="16" t="n">
        <v>10</v>
      </c>
      <c r="F21" s="16" t="n">
        <v>32</v>
      </c>
      <c r="G21" s="16" t="n">
        <v>50</v>
      </c>
      <c r="I21" s="17">
        <f>IF(OR(ISBLANK(S21),ISBLANK(G21)),"·",S21*G21/F21/1000000)</f>
        <v/>
      </c>
      <c r="J21" s="18">
        <f>IF(ISBLANK(S21),"·",S21/D21)</f>
        <v/>
      </c>
      <c r="K21" s="18">
        <f>IF(N21="","·",N21/D21)</f>
        <v/>
      </c>
      <c r="L21" s="18">
        <f>IF(T21="","·",T21/D21)</f>
        <v/>
      </c>
      <c r="M21" s="18">
        <f>IF(ISBLANK(V21),"·",V21/D21)</f>
        <v/>
      </c>
      <c r="N21" s="142">
        <f>IF(OR(ISBLANK(T21),ISBLANK(U21)),"",T21+U21)</f>
        <v/>
      </c>
      <c r="O21" s="18" t="n">
        <v>16</v>
      </c>
      <c r="P21" s="19" t="n">
        <v>31505484</v>
      </c>
      <c r="Q21" s="19" t="n">
        <v>984546.375</v>
      </c>
      <c r="R21" s="19" t="n">
        <v>33029.375</v>
      </c>
      <c r="S21" s="20" t="n">
        <v>4970496</v>
      </c>
      <c r="T21" s="20" t="n">
        <v>1309880</v>
      </c>
      <c r="U21" s="20" t="n">
        <v>982960</v>
      </c>
      <c r="V21" s="20" t="n">
        <v>2677656</v>
      </c>
      <c r="W21" s="21" t="n">
        <v>68.686528125</v>
      </c>
      <c r="X21" s="21" t="n">
        <v>70.761815625</v>
      </c>
      <c r="Y21" s="21" t="n">
        <v>32.56385625</v>
      </c>
      <c r="Z21" s="21" t="n">
        <v>40.6634</v>
      </c>
      <c r="AA21" s="21" t="n">
        <v>39.598671875</v>
      </c>
      <c r="AB21" s="22" t="n">
        <v>4411.33</v>
      </c>
      <c r="AC21" s="22" t="n">
        <v>2073.52</v>
      </c>
      <c r="AD21" s="22" t="n">
        <v>9.852</v>
      </c>
      <c r="AE21" s="22" t="n">
        <v>30.527</v>
      </c>
      <c r="AG21" s="17">
        <f>IF(OR(ISBLANK(AQ21),ISBLANK(G21)),"·",AQ21*G21/F21/1000000)</f>
        <v/>
      </c>
      <c r="AH21" s="18">
        <f>IF(ISBLANK(AQ21),"·",AQ21/D21)</f>
        <v/>
      </c>
      <c r="AI21" s="18">
        <f>IF(AL21="","·",AL21/D21)</f>
        <v/>
      </c>
      <c r="AJ21" s="18">
        <f>IF(AR21="","·",AR21/D21)</f>
        <v/>
      </c>
      <c r="AK21" s="18">
        <f>IF(ISBLANK(AT21),"·",AT21/D21)</f>
        <v/>
      </c>
      <c r="AL21" s="142">
        <f>IF(OR(ISBLANK(AR21),ISBLANK(AS21)),"",AR21+AS21)</f>
        <v/>
      </c>
      <c r="AM21" s="18" t="n">
        <v>16</v>
      </c>
      <c r="AN21" s="19" t="n">
        <v>31505484</v>
      </c>
      <c r="AO21" s="19" t="n">
        <v>984546.375</v>
      </c>
      <c r="AP21" s="19" t="n">
        <v>33029.375</v>
      </c>
      <c r="AQ21" s="20" t="n">
        <v>4881496</v>
      </c>
      <c r="AR21" s="20" t="n">
        <v>1309880</v>
      </c>
      <c r="AS21" s="20" t="n">
        <v>982960</v>
      </c>
      <c r="AT21" s="20" t="n">
        <v>2588656</v>
      </c>
      <c r="AU21" s="21" t="n">
        <v>68.686528125</v>
      </c>
      <c r="AV21" s="21" t="n">
        <v>70.761815625</v>
      </c>
      <c r="AW21" s="21" t="n">
        <v>32.5147375</v>
      </c>
      <c r="AX21" s="21" t="n">
        <v>40.675965625</v>
      </c>
      <c r="AY21" s="21" t="n">
        <v>39.60223125</v>
      </c>
      <c r="AZ21" s="22" t="n">
        <v>4565.47</v>
      </c>
      <c r="BA21" s="22" t="n">
        <v>2075.45</v>
      </c>
      <c r="BB21" s="22" t="n">
        <v>71.449</v>
      </c>
      <c r="BC21" s="22" t="n">
        <v>31.745</v>
      </c>
      <c r="BE21" s="72">
        <f>AI21/K21</f>
        <v/>
      </c>
      <c r="BF21" s="24">
        <f>(AP21/AO21) - (R21/Q21)</f>
        <v/>
      </c>
      <c r="BG21" s="24">
        <f>(AL21/AQ21) - (N21/S21)</f>
        <v/>
      </c>
      <c r="BH21" s="24" t="n"/>
      <c r="BJ21" s="72" t="n"/>
      <c r="BK21" s="72" t="n"/>
      <c r="BL21" s="72" t="n"/>
      <c r="BM21" s="72" t="n"/>
      <c r="BN21" s="72" t="n"/>
      <c r="BP21" s="72" t="n"/>
      <c r="BQ21" s="72" t="n"/>
      <c r="BR21" s="72" t="n"/>
      <c r="BS21" s="72" t="n"/>
      <c r="BT21" s="72" t="n"/>
    </row>
    <row outlineLevel="1" r="22" s="86">
      <c r="A22" s="25" t="n"/>
      <c r="B22" s="25" t="inlineStr">
        <is>
          <t>queen</t>
        </is>
      </c>
      <c r="C22" s="26" t="inlineStr">
        <is>
          <t>r03</t>
        </is>
      </c>
      <c r="D22" s="25" t="n">
        <v>250602891</v>
      </c>
      <c r="E22" s="26" t="n">
        <v>10</v>
      </c>
      <c r="F22" s="26" t="n">
        <v>32</v>
      </c>
      <c r="G22" s="26" t="n">
        <v>50</v>
      </c>
      <c r="I22" s="27">
        <f>IF(OR(ISBLANK(S22),ISBLANK(G22)),"·",S22*G22/F22/1000000)</f>
        <v/>
      </c>
      <c r="J22" s="28">
        <f>IF(ISBLANK(S22),"·",S22/D22)</f>
        <v/>
      </c>
      <c r="K22" s="28">
        <f>IF(N22="","·",N22/D22)</f>
        <v/>
      </c>
      <c r="L22" s="28">
        <f>IF(T22="","·",T22/D22)</f>
        <v/>
      </c>
      <c r="M22" s="28">
        <f>IF(ISBLANK(V22),"·",V22/D22)</f>
        <v/>
      </c>
      <c r="N22" s="25">
        <f>IF(OR(ISBLANK(T22),ISBLANK(U22)),"",T22+U22)</f>
        <v/>
      </c>
      <c r="O22" s="28" t="n">
        <v>16</v>
      </c>
      <c r="P22" s="29" t="n">
        <v>32735750</v>
      </c>
      <c r="Q22" s="29" t="n">
        <v>1022992.1875</v>
      </c>
      <c r="R22" s="29" t="n">
        <v>35066.4375</v>
      </c>
      <c r="S22" s="30" t="n">
        <v>8135696</v>
      </c>
      <c r="T22" s="30" t="n">
        <v>1872496</v>
      </c>
      <c r="U22" s="30" t="n">
        <v>982960</v>
      </c>
      <c r="V22" s="30" t="n">
        <v>5280240</v>
      </c>
      <c r="W22" s="31" t="n">
        <v>69.861821875</v>
      </c>
      <c r="X22" s="31" t="n">
        <v>72.25875625</v>
      </c>
      <c r="Y22" s="31" t="n">
        <v>34.406353125</v>
      </c>
      <c r="Z22" s="31" t="n">
        <v>41.67939375</v>
      </c>
      <c r="AA22" s="31" t="n">
        <v>40.627628125</v>
      </c>
      <c r="AB22" s="32" t="n">
        <v>4411.82</v>
      </c>
      <c r="AC22" s="32" t="n">
        <v>2190.1</v>
      </c>
      <c r="AD22" s="32" t="n">
        <v>9.994999999999999</v>
      </c>
      <c r="AE22" s="32" t="n">
        <v>32.115</v>
      </c>
      <c r="AG22" s="27">
        <f>IF(OR(ISBLANK(AQ22),ISBLANK(G22)),"·",AQ22*G22/F22/1000000)</f>
        <v/>
      </c>
      <c r="AH22" s="28">
        <f>IF(ISBLANK(AQ22),"·",AQ22/D22)</f>
        <v/>
      </c>
      <c r="AI22" s="28">
        <f>IF(AL22="","·",AL22/D22)</f>
        <v/>
      </c>
      <c r="AJ22" s="28">
        <f>IF(AR22="","·",AR22/D22)</f>
        <v/>
      </c>
      <c r="AK22" s="28">
        <f>IF(ISBLANK(AT22),"·",AT22/D22)</f>
        <v/>
      </c>
      <c r="AL22" s="25">
        <f>IF(OR(ISBLANK(AR22),ISBLANK(AS22)),"",AR22+AS22)</f>
        <v/>
      </c>
      <c r="AM22" s="28" t="n">
        <v>16</v>
      </c>
      <c r="AN22" s="29" t="n">
        <v>32735750</v>
      </c>
      <c r="AO22" s="29" t="n">
        <v>1022992.1875</v>
      </c>
      <c r="AP22" s="29" t="n">
        <v>35066.4375</v>
      </c>
      <c r="AQ22" s="30" t="n">
        <v>7927088</v>
      </c>
      <c r="AR22" s="30" t="n">
        <v>1872496</v>
      </c>
      <c r="AS22" s="30" t="n">
        <v>982960</v>
      </c>
      <c r="AT22" s="30" t="n">
        <v>5071632</v>
      </c>
      <c r="AU22" s="31" t="n">
        <v>69.861821875</v>
      </c>
      <c r="AV22" s="31" t="n">
        <v>72.25875625</v>
      </c>
      <c r="AW22" s="31" t="n">
        <v>34.267</v>
      </c>
      <c r="AX22" s="31" t="n">
        <v>41.7282125</v>
      </c>
      <c r="AY22" s="31" t="n">
        <v>40.647271875</v>
      </c>
      <c r="AZ22" s="32" t="n">
        <v>4479.76</v>
      </c>
      <c r="BA22" s="32" t="n">
        <v>2180.64</v>
      </c>
      <c r="BB22" s="32" t="n">
        <v>74.36499999999999</v>
      </c>
      <c r="BC22" s="32" t="n">
        <v>31.828</v>
      </c>
      <c r="BE22" s="68">
        <f>AI22/K22</f>
        <v/>
      </c>
      <c r="BF22" s="34">
        <f>(AP22/AO22) - (R22/Q22)</f>
        <v/>
      </c>
      <c r="BG22" s="34">
        <f>(AL22/AQ22) - (N22/S22)</f>
        <v/>
      </c>
      <c r="BH22" s="34" t="n"/>
      <c r="BJ22" s="68" t="n"/>
      <c r="BK22" s="68" t="n"/>
      <c r="BL22" s="68" t="n"/>
      <c r="BM22" s="68" t="n"/>
      <c r="BN22" s="68" t="n"/>
      <c r="BP22" s="68" t="n"/>
      <c r="BQ22" s="68" t="n"/>
      <c r="BR22" s="68" t="n"/>
      <c r="BS22" s="68" t="n"/>
      <c r="BT22" s="68" t="n"/>
    </row>
    <row outlineLevel="1" r="23" s="86">
      <c r="A23" s="142" t="n"/>
      <c r="B23" s="142" t="inlineStr">
        <is>
          <t>queen</t>
        </is>
      </c>
      <c r="C23" s="16" t="inlineStr">
        <is>
          <t>r04</t>
        </is>
      </c>
      <c r="D23" s="142" t="n">
        <v>250602891</v>
      </c>
      <c r="E23" s="16" t="n">
        <v>10</v>
      </c>
      <c r="F23" s="16" t="n">
        <v>32</v>
      </c>
      <c r="G23" s="16" t="n">
        <v>50</v>
      </c>
      <c r="I23" s="17">
        <f>IF(OR(ISBLANK(S23),ISBLANK(G23)),"·",S23*G23/F23/1000000)</f>
        <v/>
      </c>
      <c r="J23" s="18">
        <f>IF(ISBLANK(S23),"·",S23/D23)</f>
        <v/>
      </c>
      <c r="K23" s="18">
        <f>IF(N23="","·",N23/D23)</f>
        <v/>
      </c>
      <c r="L23" s="18">
        <f>IF(T23="","·",T23/D23)</f>
        <v/>
      </c>
      <c r="M23" s="18">
        <f>IF(ISBLANK(V23),"·",V23/D23)</f>
        <v/>
      </c>
      <c r="N23" s="142">
        <f>IF(OR(ISBLANK(T23),ISBLANK(U23)),"",T23+U23)</f>
        <v/>
      </c>
      <c r="O23" s="18" t="n">
        <v>16</v>
      </c>
      <c r="P23" s="19" t="n">
        <v>32798890</v>
      </c>
      <c r="Q23" s="19" t="n">
        <v>1024965.3125</v>
      </c>
      <c r="R23" s="19" t="n">
        <v>36962.65625</v>
      </c>
      <c r="S23" s="20" t="n">
        <v>14442976</v>
      </c>
      <c r="T23" s="20" t="n">
        <v>2856880</v>
      </c>
      <c r="U23" s="20" t="n">
        <v>982960</v>
      </c>
      <c r="V23" s="20" t="n">
        <v>10603136</v>
      </c>
      <c r="W23" s="21" t="n">
        <v>70.88813437500001</v>
      </c>
      <c r="X23" s="21" t="n">
        <v>73.61084062499999</v>
      </c>
      <c r="Y23" s="21" t="n">
        <v>35.93786875</v>
      </c>
      <c r="Z23" s="21" t="n">
        <v>42.840609375</v>
      </c>
      <c r="AA23" s="21" t="n">
        <v>41.69013125</v>
      </c>
      <c r="AB23" s="22" t="n">
        <v>4508.45</v>
      </c>
      <c r="AC23" s="22" t="n">
        <v>2363.15</v>
      </c>
      <c r="AD23" s="22" t="n">
        <v>9.847</v>
      </c>
      <c r="AE23" s="22" t="n">
        <v>32.964</v>
      </c>
      <c r="AG23" s="17">
        <f>IF(OR(ISBLANK(AQ23),ISBLANK(G23)),"·",AQ23*G23/F23/1000000)</f>
        <v/>
      </c>
      <c r="AH23" s="18">
        <f>IF(ISBLANK(AQ23),"·",AQ23/D23)</f>
        <v/>
      </c>
      <c r="AI23" s="18">
        <f>IF(AL23="","·",AL23/D23)</f>
        <v/>
      </c>
      <c r="AJ23" s="18">
        <f>IF(AR23="","·",AR23/D23)</f>
        <v/>
      </c>
      <c r="AK23" s="18">
        <f>IF(ISBLANK(AT23),"·",AT23/D23)</f>
        <v/>
      </c>
      <c r="AL23" s="142">
        <f>IF(OR(ISBLANK(AR23),ISBLANK(AS23)),"",AR23+AS23)</f>
        <v/>
      </c>
      <c r="AM23" s="18" t="n">
        <v>16</v>
      </c>
      <c r="AN23" s="19" t="n">
        <v>32798890</v>
      </c>
      <c r="AO23" s="19" t="n">
        <v>1024965.3125</v>
      </c>
      <c r="AP23" s="19" t="n">
        <v>36962.65625</v>
      </c>
      <c r="AQ23" s="20" t="n">
        <v>14103280</v>
      </c>
      <c r="AR23" s="20" t="n">
        <v>2856880</v>
      </c>
      <c r="AS23" s="20" t="n">
        <v>982960</v>
      </c>
      <c r="AT23" s="20" t="n">
        <v>10263440</v>
      </c>
      <c r="AU23" s="21" t="n">
        <v>70.88813437500001</v>
      </c>
      <c r="AV23" s="21" t="n">
        <v>73.61084062499999</v>
      </c>
      <c r="AW23" s="21" t="n">
        <v>35.678378125</v>
      </c>
      <c r="AX23" s="21" t="n">
        <v>42.882853125</v>
      </c>
      <c r="AY23" s="21" t="n">
        <v>41.708515625</v>
      </c>
      <c r="AZ23" s="22" t="n">
        <v>4472.77</v>
      </c>
      <c r="BA23" s="22" t="n">
        <v>2373.86</v>
      </c>
      <c r="BB23" s="22" t="n">
        <v>73.923</v>
      </c>
      <c r="BC23" s="22" t="n">
        <v>33.405</v>
      </c>
      <c r="BE23" s="72">
        <f>AI23/K23</f>
        <v/>
      </c>
      <c r="BF23" s="24">
        <f>(AP23/AO23) - (R23/Q23)</f>
        <v/>
      </c>
      <c r="BG23" s="24">
        <f>(AL23/AQ23) - (N23/S23)</f>
        <v/>
      </c>
      <c r="BH23" s="24" t="n"/>
      <c r="BJ23" s="72" t="n"/>
      <c r="BK23" s="72" t="n"/>
      <c r="BL23" s="72" t="n"/>
      <c r="BM23" s="72" t="n"/>
      <c r="BN23" s="72" t="n"/>
      <c r="BP23" s="72" t="n"/>
      <c r="BQ23" s="72" t="n"/>
      <c r="BR23" s="72" t="n"/>
      <c r="BS23" s="72" t="n"/>
      <c r="BT23" s="72" t="n"/>
    </row>
    <row outlineLevel="1" r="24" s="86">
      <c r="A24" s="45" t="n"/>
      <c r="B24" s="45" t="inlineStr">
        <is>
          <t>queen</t>
        </is>
      </c>
      <c r="C24" s="46" t="inlineStr">
        <is>
          <t>r05</t>
        </is>
      </c>
      <c r="D24" s="45" t="n">
        <v>250602891</v>
      </c>
      <c r="E24" s="46" t="n">
        <v>10</v>
      </c>
      <c r="F24" s="46" t="n">
        <v>32</v>
      </c>
      <c r="G24" s="46" t="n">
        <v>50</v>
      </c>
      <c r="I24" s="47">
        <f>IF(OR(ISBLANK(S24),ISBLANK(G24)),"·",S24*G24/F24/1000000)</f>
        <v/>
      </c>
      <c r="J24" s="48">
        <f>IF(ISBLANK(S24),"·",S24/D24)</f>
        <v/>
      </c>
      <c r="K24" s="48">
        <f>IF(N24="","·",N24/D24)</f>
        <v/>
      </c>
      <c r="L24" s="48">
        <f>IF(T24="","·",T24/D24)</f>
        <v/>
      </c>
      <c r="M24" s="48">
        <f>IF(ISBLANK(V24),"·",V24/D24)</f>
        <v/>
      </c>
      <c r="N24" s="45">
        <f>IF(OR(ISBLANK(T24),ISBLANK(U24)),"",T24+U24)</f>
        <v/>
      </c>
      <c r="O24" s="48" t="n">
        <v>16</v>
      </c>
      <c r="P24" s="49" t="n">
        <v>31426902</v>
      </c>
      <c r="Q24" s="49" t="n">
        <v>982090.6875</v>
      </c>
      <c r="R24" s="49" t="n">
        <v>18270.09375</v>
      </c>
      <c r="S24" s="50" t="n">
        <v>25355288</v>
      </c>
      <c r="T24" s="50" t="n">
        <v>4487448</v>
      </c>
      <c r="U24" s="50" t="n">
        <v>1864056</v>
      </c>
      <c r="V24" s="50" t="n">
        <v>19003784</v>
      </c>
      <c r="W24" s="51" t="n">
        <v>71.73080312499999</v>
      </c>
      <c r="X24" s="51" t="n">
        <v>75.625753125</v>
      </c>
      <c r="Y24" s="51" t="n">
        <v>37.229371875</v>
      </c>
      <c r="Z24" s="51" t="n">
        <v>43.6465375</v>
      </c>
      <c r="AA24" s="51" t="n">
        <v>42.206934375</v>
      </c>
      <c r="AB24" s="52" t="n">
        <v>4415.23</v>
      </c>
      <c r="AC24" s="52" t="n">
        <v>2621.67</v>
      </c>
      <c r="AD24" s="52" t="n">
        <v>9.718999999999999</v>
      </c>
      <c r="AE24" s="52" t="n">
        <v>34.268</v>
      </c>
      <c r="AG24" s="47">
        <f>IF(OR(ISBLANK(AQ24),ISBLANK(G24)),"·",AQ24*G24/F24/1000000)</f>
        <v/>
      </c>
      <c r="AH24" s="48">
        <f>IF(ISBLANK(AQ24),"·",AQ24/D24)</f>
        <v/>
      </c>
      <c r="AI24" s="48">
        <f>IF(AL24="","·",AL24/D24)</f>
        <v/>
      </c>
      <c r="AJ24" s="48">
        <f>IF(AR24="","·",AR24/D24)</f>
        <v/>
      </c>
      <c r="AK24" s="48">
        <f>IF(ISBLANK(AT24),"·",AT24/D24)</f>
        <v/>
      </c>
      <c r="AL24" s="45">
        <f>IF(OR(ISBLANK(AR24),ISBLANK(AS24)),"",AR24+AS24)</f>
        <v/>
      </c>
      <c r="AM24" s="48" t="n">
        <v>16</v>
      </c>
      <c r="AN24" s="49" t="n">
        <v>31426902</v>
      </c>
      <c r="AO24" s="49" t="n">
        <v>982090.6875</v>
      </c>
      <c r="AP24" s="49" t="n">
        <v>18270.09375</v>
      </c>
      <c r="AQ24" s="50" t="n">
        <v>24727704</v>
      </c>
      <c r="AR24" s="50" t="n">
        <v>4487448</v>
      </c>
      <c r="AS24" s="50" t="n">
        <v>1864056</v>
      </c>
      <c r="AT24" s="50" t="n">
        <v>18376200</v>
      </c>
      <c r="AU24" s="51" t="n">
        <v>71.73080312499999</v>
      </c>
      <c r="AV24" s="51" t="n">
        <v>75.625753125</v>
      </c>
      <c r="AW24" s="51" t="n">
        <v>36.930334375</v>
      </c>
      <c r="AX24" s="51" t="n">
        <v>43.832703125</v>
      </c>
      <c r="AY24" s="51" t="n">
        <v>42.39763125</v>
      </c>
      <c r="AZ24" s="52" t="n">
        <v>4547.48</v>
      </c>
      <c r="BA24" s="52" t="n">
        <v>2627.62</v>
      </c>
      <c r="BB24" s="52" t="n">
        <v>71.015</v>
      </c>
      <c r="BC24" s="52" t="n">
        <v>34.676</v>
      </c>
      <c r="BE24" s="53">
        <f>AI24/K24</f>
        <v/>
      </c>
      <c r="BF24" s="54">
        <f>(AP24/AO24) - (R24/Q24)</f>
        <v/>
      </c>
      <c r="BG24" s="54">
        <f>(AL24/AQ24) - (N24/S24)</f>
        <v/>
      </c>
      <c r="BH24" s="54" t="n"/>
      <c r="BJ24" s="53" t="n"/>
      <c r="BK24" s="53" t="n"/>
      <c r="BL24" s="53" t="n"/>
      <c r="BM24" s="53" t="n"/>
      <c r="BN24" s="53" t="n"/>
      <c r="BP24" s="53" t="n"/>
      <c r="BQ24" s="53" t="n"/>
      <c r="BR24" s="53" t="n"/>
      <c r="BS24" s="53" t="n"/>
      <c r="BT24" s="53" t="n"/>
    </row>
    <row r="25">
      <c r="A25" s="142" t="inlineStr">
        <is>
          <t>cat2-B</t>
        </is>
      </c>
      <c r="B25" s="142" t="inlineStr">
        <is>
          <t>8ivfbv2_longdress_vox10</t>
        </is>
      </c>
      <c r="C25" s="16" t="inlineStr">
        <is>
          <t>r01</t>
        </is>
      </c>
      <c r="D25" s="142" t="n">
        <v>250294582</v>
      </c>
      <c r="E25" s="16" t="n">
        <v>10</v>
      </c>
      <c r="F25" s="16" t="n">
        <v>32</v>
      </c>
      <c r="G25" s="16" t="n">
        <v>30</v>
      </c>
      <c r="I25" s="17">
        <f>IF(OR(ISBLANK(S25),ISBLANK(G25)),"·",S25*G25/F25/1000000)</f>
        <v/>
      </c>
      <c r="J25" s="18">
        <f>IF(ISBLANK(S25),"·",S25/D25)</f>
        <v/>
      </c>
      <c r="K25" s="18">
        <f>IF(N25="","·",N25/D25)</f>
        <v/>
      </c>
      <c r="L25" s="18">
        <f>IF(T25="","·",T25/D25)</f>
        <v/>
      </c>
      <c r="M25" s="18">
        <f>IF(ISBLANK(V25),"·",V25/D25)</f>
        <v/>
      </c>
      <c r="N25" s="142">
        <f>IF(OR(ISBLANK(T25),ISBLANK(U25)),"",T25+U25)</f>
        <v/>
      </c>
      <c r="O25" s="18" t="n">
        <v>16</v>
      </c>
      <c r="P25" s="19" t="n">
        <v>23156910</v>
      </c>
      <c r="Q25" s="19" t="n">
        <v>723653.4375</v>
      </c>
      <c r="R25" s="19" t="n">
        <v>14060.625</v>
      </c>
      <c r="S25" s="20" t="n">
        <v>4685984</v>
      </c>
      <c r="T25" s="20" t="n">
        <v>932624</v>
      </c>
      <c r="U25" s="20" t="n">
        <v>713080</v>
      </c>
      <c r="V25" s="20" t="n">
        <v>3040280</v>
      </c>
      <c r="W25" s="21" t="n">
        <v>66.20868125</v>
      </c>
      <c r="X25" s="21" t="n">
        <v>67.982928125</v>
      </c>
      <c r="Y25" s="21" t="n">
        <v>27.338421875</v>
      </c>
      <c r="Z25" s="21" t="n">
        <v>33.158384375</v>
      </c>
      <c r="AA25" s="21" t="n">
        <v>32.58913125</v>
      </c>
      <c r="AB25" s="22" t="n">
        <v>1501.37</v>
      </c>
      <c r="AC25" s="22" t="n">
        <v>1742.58</v>
      </c>
      <c r="AD25" s="22" t="n">
        <v>7.354</v>
      </c>
      <c r="AE25" s="22" t="n">
        <v>28.178</v>
      </c>
      <c r="AG25" s="17">
        <f>IF(OR(ISBLANK(AQ25),ISBLANK(G25)),"·",AQ25*G25/F25/1000000)</f>
        <v/>
      </c>
      <c r="AH25" s="18">
        <f>IF(ISBLANK(AQ25),"·",AQ25/D25)</f>
        <v/>
      </c>
      <c r="AI25" s="18">
        <f>IF(AL25="","·",AL25/D25)</f>
        <v/>
      </c>
      <c r="AJ25" s="18">
        <f>IF(AR25="","·",AR25/D25)</f>
        <v/>
      </c>
      <c r="AK25" s="18">
        <f>IF(ISBLANK(AT25),"·",AT25/D25)</f>
        <v/>
      </c>
      <c r="AL25" s="142">
        <f>IF(OR(ISBLANK(AR25),ISBLANK(AS25)),"",AR25+AS25)</f>
        <v/>
      </c>
      <c r="AM25" s="18" t="n">
        <v>16</v>
      </c>
      <c r="AN25" s="19" t="n">
        <v>23156910</v>
      </c>
      <c r="AO25" s="19" t="n">
        <v>723653.4375</v>
      </c>
      <c r="AP25" s="19" t="n">
        <v>14060.625</v>
      </c>
      <c r="AQ25" s="20" t="n">
        <v>4681992</v>
      </c>
      <c r="AR25" s="20" t="n">
        <v>932624</v>
      </c>
      <c r="AS25" s="20" t="n">
        <v>713080</v>
      </c>
      <c r="AT25" s="20" t="n">
        <v>3036288</v>
      </c>
      <c r="AU25" s="21" t="n">
        <v>66.20868125</v>
      </c>
      <c r="AV25" s="21" t="n">
        <v>67.982928125</v>
      </c>
      <c r="AW25" s="21" t="n">
        <v>27.3358125</v>
      </c>
      <c r="AX25" s="21" t="n">
        <v>33.16705</v>
      </c>
      <c r="AY25" s="21" t="n">
        <v>32.594690625</v>
      </c>
      <c r="AZ25" s="22" t="n">
        <v>1502.57</v>
      </c>
      <c r="BA25" s="22" t="n">
        <v>1749.58</v>
      </c>
      <c r="BB25" s="22" t="n">
        <v>51.838</v>
      </c>
      <c r="BC25" s="22" t="n">
        <v>28.177</v>
      </c>
      <c r="BE25" s="72">
        <f>AI25/K25</f>
        <v/>
      </c>
      <c r="BF25" s="24">
        <f>(AP25/AO25) - (R25/Q25)</f>
        <v/>
      </c>
      <c r="BG25" s="24">
        <f>(AL25/AQ25) - (N25/S25)</f>
        <v/>
      </c>
      <c r="BH25" s="24">
        <f ref="BH25" t="array">AVERAGE(AL25:AL29/AQ25:AQ29) - AVERAGE(N25:N29/S25:S29)</f>
        <v/>
      </c>
      <c r="BJ25" s="72">
        <f>IF( OR(ISBLANK(N25:N29),ISBLANK(AL25:AL29), ISBLANK(W25:W29),ISBLANK(AU25:AU29)), "·", bdRateExtend( N25:N29,W25:W29, AL25:AL29,AU25:AU29))</f>
        <v/>
      </c>
      <c r="BK25" s="72">
        <f>IF( OR(ISBLANK(N25:N29),ISBLANK(AL25:AL29), ISBLANK(X25:X29),ISBLANK(AV25:AV29)), "·", bdRateExtend( N25:N29,X25:X29, AL25:AL29,AV25:AV29))</f>
        <v/>
      </c>
      <c r="BL25" s="72">
        <f>IF( OR(ISBLANK(V25:V29),ISBLANK(AT25:AT29), ISBLANK(Y25:Y29),ISBLANK(AW25:AW29)), "·", bdRateExtend( V25:V29,Y25:Y29, AT25:AT29,AW25:AW29))</f>
        <v/>
      </c>
      <c r="BM25" s="72">
        <f>IF( OR(ISBLANK(V25:V29),ISBLANK(AT25:AT29), ISBLANK(Z25:Z29),ISBLANK(AX25:AX29)), "·", bdRateExtend( V25:V29,Z25:Z29, AT25:AT29,AX25:AX29))</f>
        <v/>
      </c>
      <c r="BN25" s="72">
        <f>IF( OR(ISBLANK(V25:V29),ISBLANK(AT25:AT29), ISBLANK(AA25:AA29),ISBLANK(AY25:AY29)), "·", bdRateExtend( V25:V29,AA25:AA29, AT25:AT29,AY25:AY29))</f>
        <v/>
      </c>
      <c r="BP25" s="72">
        <f>IF( OR(ISBLANK(S25:S29),ISBLANK(AQ25:AQ29), ISBLANK(W25:W29),ISBLANK(AU25:AU29)), "·", bdRateExtend( S25:S29,W25:W29, AQ25:AQ29,AU25:AU29))</f>
        <v/>
      </c>
      <c r="BQ25" s="72">
        <f>IF( OR(ISBLANK(S25:S29),ISBLANK(AQ25:AQ29), ISBLANK(X25:X29),ISBLANK(AV25:AV29)), "·", bdRateExtend( S25:S29,X25:X29, AQ25:AQ29,AV25:AV29))</f>
        <v/>
      </c>
      <c r="BR25" s="72">
        <f>IF( OR(ISBLANK(S25:S29),ISBLANK(AQ25:AQ29), ISBLANK(Y25:Y29),ISBLANK(AW25:AW29)), "·", bdRateExtend( S25:S29,Y25:Y29, AQ25:AQ29,AW25:AW29))</f>
        <v/>
      </c>
      <c r="BS25" s="72">
        <f>IF( OR(ISBLANK(S25:S29),ISBLANK(AQ25:AQ29), ISBLANK(Z25:Z29),ISBLANK(AX25:AX29)), "·", bdRateExtend( S25:S29,Z25:Z29, AQ25:AQ29,AX25:AX29))</f>
        <v/>
      </c>
      <c r="BT25" s="72">
        <f>IF( OR(ISBLANK(S25:S29),ISBLANK(AQ25:AQ29), ISBLANK(AA25:AA29),ISBLANK(AY25:AY29)), "·", bdRateExtend( S25:S29,AA25:AA29, AQ25:AQ29,AY25:AY29))</f>
        <v/>
      </c>
    </row>
    <row outlineLevel="1" r="26" s="86">
      <c r="A26" s="25" t="n"/>
      <c r="B26" s="25" t="inlineStr">
        <is>
          <t>8ivfbv2_longdress_vox10</t>
        </is>
      </c>
      <c r="C26" s="26" t="inlineStr">
        <is>
          <t>r02</t>
        </is>
      </c>
      <c r="D26" s="25" t="n">
        <v>250294582</v>
      </c>
      <c r="E26" s="26" t="n">
        <v>10</v>
      </c>
      <c r="F26" s="26" t="n">
        <v>32</v>
      </c>
      <c r="G26" s="26" t="n">
        <v>30</v>
      </c>
      <c r="I26" s="27">
        <f>IF(OR(ISBLANK(S26),ISBLANK(G26)),"·",S26*G26/F26/1000000)</f>
        <v/>
      </c>
      <c r="J26" s="28">
        <f>IF(ISBLANK(S26),"·",S26/D26)</f>
        <v/>
      </c>
      <c r="K26" s="28">
        <f>IF(N26="","·",N26/D26)</f>
        <v/>
      </c>
      <c r="L26" s="28">
        <f>IF(T26="","·",T26/D26)</f>
        <v/>
      </c>
      <c r="M26" s="28">
        <f>IF(ISBLANK(V26),"·",V26/D26)</f>
        <v/>
      </c>
      <c r="N26" s="25">
        <f>IF(OR(ISBLANK(T26),ISBLANK(U26)),"",T26+U26)</f>
        <v/>
      </c>
      <c r="O26" s="28" t="n">
        <v>16</v>
      </c>
      <c r="P26" s="29" t="n">
        <v>24564301</v>
      </c>
      <c r="Q26" s="29" t="n">
        <v>767634.40625</v>
      </c>
      <c r="R26" s="29" t="n">
        <v>17714.59375</v>
      </c>
      <c r="S26" s="30" t="n">
        <v>8028976</v>
      </c>
      <c r="T26" s="30" t="n">
        <v>1314696</v>
      </c>
      <c r="U26" s="30" t="n">
        <v>713080</v>
      </c>
      <c r="V26" s="30" t="n">
        <v>6001200</v>
      </c>
      <c r="W26" s="31" t="n">
        <v>67.94155625</v>
      </c>
      <c r="X26" s="31" t="n">
        <v>69.941896875</v>
      </c>
      <c r="Y26" s="31" t="n">
        <v>29.72036875</v>
      </c>
      <c r="Z26" s="31" t="n">
        <v>34.340334375</v>
      </c>
      <c r="AA26" s="31" t="n">
        <v>33.888184375</v>
      </c>
      <c r="AB26" s="32" t="n">
        <v>1502.72</v>
      </c>
      <c r="AC26" s="32" t="n">
        <v>1843.29</v>
      </c>
      <c r="AD26" s="32" t="n">
        <v>7.73</v>
      </c>
      <c r="AE26" s="32" t="n">
        <v>27.325</v>
      </c>
      <c r="AG26" s="27">
        <f>IF(OR(ISBLANK(AQ26),ISBLANK(G26)),"·",AQ26*G26/F26/1000000)</f>
        <v/>
      </c>
      <c r="AH26" s="28">
        <f>IF(ISBLANK(AQ26),"·",AQ26/D26)</f>
        <v/>
      </c>
      <c r="AI26" s="28">
        <f>IF(AL26="","·",AL26/D26)</f>
        <v/>
      </c>
      <c r="AJ26" s="28">
        <f>IF(AR26="","·",AR26/D26)</f>
        <v/>
      </c>
      <c r="AK26" s="28">
        <f>IF(ISBLANK(AT26),"·",AT26/D26)</f>
        <v/>
      </c>
      <c r="AL26" s="25">
        <f>IF(OR(ISBLANK(AR26),ISBLANK(AS26)),"",AR26+AS26)</f>
        <v/>
      </c>
      <c r="AM26" s="28" t="n">
        <v>16</v>
      </c>
      <c r="AN26" s="29" t="n">
        <v>24564301</v>
      </c>
      <c r="AO26" s="29" t="n">
        <v>767634.40625</v>
      </c>
      <c r="AP26" s="29" t="n">
        <v>17714.59375</v>
      </c>
      <c r="AQ26" s="30" t="n">
        <v>8018128</v>
      </c>
      <c r="AR26" s="30" t="n">
        <v>1314696</v>
      </c>
      <c r="AS26" s="30" t="n">
        <v>713080</v>
      </c>
      <c r="AT26" s="30" t="n">
        <v>5990352</v>
      </c>
      <c r="AU26" s="31" t="n">
        <v>67.94155625</v>
      </c>
      <c r="AV26" s="31" t="n">
        <v>69.941896875</v>
      </c>
      <c r="AW26" s="31" t="n">
        <v>29.713653125</v>
      </c>
      <c r="AX26" s="31" t="n">
        <v>34.339921875</v>
      </c>
      <c r="AY26" s="31" t="n">
        <v>33.89199375</v>
      </c>
      <c r="AZ26" s="32" t="n">
        <v>1493.89</v>
      </c>
      <c r="BA26" s="32" t="n">
        <v>1847.96</v>
      </c>
      <c r="BB26" s="32" t="n">
        <v>54.713</v>
      </c>
      <c r="BC26" s="32" t="n">
        <v>29.3</v>
      </c>
      <c r="BE26" s="68">
        <f>AI26/K26</f>
        <v/>
      </c>
      <c r="BF26" s="34">
        <f>(AP26/AO26) - (R26/Q26)</f>
        <v/>
      </c>
      <c r="BG26" s="34">
        <f>(AL26/AQ26) - (N26/S26)</f>
        <v/>
      </c>
      <c r="BH26" s="34" t="n"/>
      <c r="BJ26" s="68" t="n"/>
      <c r="BK26" s="68" t="n"/>
      <c r="BL26" s="68" t="n"/>
      <c r="BM26" s="68" t="n"/>
      <c r="BN26" s="68" t="n"/>
      <c r="BP26" s="68" t="n"/>
      <c r="BQ26" s="68" t="n"/>
      <c r="BR26" s="68" t="n"/>
      <c r="BS26" s="68" t="n"/>
      <c r="BT26" s="68" t="n"/>
    </row>
    <row outlineLevel="1" r="27" s="86">
      <c r="A27" s="142" t="n"/>
      <c r="B27" s="142" t="inlineStr">
        <is>
          <t>8ivfbv2_longdress_vox10</t>
        </is>
      </c>
      <c r="C27" s="16" t="inlineStr">
        <is>
          <t>r03</t>
        </is>
      </c>
      <c r="D27" s="142" t="n">
        <v>250294582</v>
      </c>
      <c r="E27" s="16" t="n">
        <v>10</v>
      </c>
      <c r="F27" s="16" t="n">
        <v>32</v>
      </c>
      <c r="G27" s="16" t="n">
        <v>30</v>
      </c>
      <c r="I27" s="17">
        <f>IF(OR(ISBLANK(S27),ISBLANK(G27)),"·",S27*G27/F27/1000000)</f>
        <v/>
      </c>
      <c r="J27" s="18">
        <f>IF(ISBLANK(S27),"·",S27/D27)</f>
        <v/>
      </c>
      <c r="K27" s="18">
        <f>IF(N27="","·",N27/D27)</f>
        <v/>
      </c>
      <c r="L27" s="18">
        <f>IF(T27="","·",T27/D27)</f>
        <v/>
      </c>
      <c r="M27" s="18">
        <f>IF(ISBLANK(V27),"·",V27/D27)</f>
        <v/>
      </c>
      <c r="N27" s="142">
        <f>IF(OR(ISBLANK(T27),ISBLANK(U27)),"",T27+U27)</f>
        <v/>
      </c>
      <c r="O27" s="18" t="n">
        <v>16</v>
      </c>
      <c r="P27" s="19" t="n">
        <v>24852477</v>
      </c>
      <c r="Q27" s="19" t="n">
        <v>776639.90625</v>
      </c>
      <c r="R27" s="19" t="n">
        <v>18688.75</v>
      </c>
      <c r="S27" s="20" t="n">
        <v>14129984</v>
      </c>
      <c r="T27" s="20" t="n">
        <v>1889480</v>
      </c>
      <c r="U27" s="20" t="n">
        <v>713080</v>
      </c>
      <c r="V27" s="20" t="n">
        <v>11527424</v>
      </c>
      <c r="W27" s="21" t="n">
        <v>69.26374375</v>
      </c>
      <c r="X27" s="21" t="n">
        <v>71.64923437500001</v>
      </c>
      <c r="Y27" s="21" t="n">
        <v>32.231909375</v>
      </c>
      <c r="Z27" s="21" t="n">
        <v>35.58279375</v>
      </c>
      <c r="AA27" s="21" t="n">
        <v>35.206625</v>
      </c>
      <c r="AB27" s="22" t="n">
        <v>1503.09</v>
      </c>
      <c r="AC27" s="22" t="n">
        <v>1969.02</v>
      </c>
      <c r="AD27" s="22" t="n">
        <v>7.572</v>
      </c>
      <c r="AE27" s="22" t="n">
        <v>28.807</v>
      </c>
      <c r="AG27" s="17">
        <f>IF(OR(ISBLANK(AQ27),ISBLANK(G27)),"·",AQ27*G27/F27/1000000)</f>
        <v/>
      </c>
      <c r="AH27" s="18">
        <f>IF(ISBLANK(AQ27),"·",AQ27/D27)</f>
        <v/>
      </c>
      <c r="AI27" s="18">
        <f>IF(AL27="","·",AL27/D27)</f>
        <v/>
      </c>
      <c r="AJ27" s="18">
        <f>IF(AR27="","·",AR27/D27)</f>
        <v/>
      </c>
      <c r="AK27" s="18">
        <f>IF(ISBLANK(AT27),"·",AT27/D27)</f>
        <v/>
      </c>
      <c r="AL27" s="142">
        <f>IF(OR(ISBLANK(AR27),ISBLANK(AS27)),"",AR27+AS27)</f>
        <v/>
      </c>
      <c r="AM27" s="18" t="n">
        <v>16</v>
      </c>
      <c r="AN27" s="19" t="n">
        <v>24852477</v>
      </c>
      <c r="AO27" s="19" t="n">
        <v>776639.90625</v>
      </c>
      <c r="AP27" s="19" t="n">
        <v>18688.75</v>
      </c>
      <c r="AQ27" s="20" t="n">
        <v>14097544</v>
      </c>
      <c r="AR27" s="20" t="n">
        <v>1889480</v>
      </c>
      <c r="AS27" s="20" t="n">
        <v>713080</v>
      </c>
      <c r="AT27" s="20" t="n">
        <v>11494984</v>
      </c>
      <c r="AU27" s="21" t="n">
        <v>69.26374375</v>
      </c>
      <c r="AV27" s="21" t="n">
        <v>71.64923437500001</v>
      </c>
      <c r="AW27" s="21" t="n">
        <v>32.2128875</v>
      </c>
      <c r="AX27" s="21" t="n">
        <v>35.58018125</v>
      </c>
      <c r="AY27" s="21" t="n">
        <v>35.204984375</v>
      </c>
      <c r="AZ27" s="22" t="n">
        <v>1520.26</v>
      </c>
      <c r="BA27" s="22" t="n">
        <v>1977.07</v>
      </c>
      <c r="BB27" s="22" t="n">
        <v>55.816</v>
      </c>
      <c r="BC27" s="22" t="n">
        <v>30.94</v>
      </c>
      <c r="BE27" s="72">
        <f>AI27/K27</f>
        <v/>
      </c>
      <c r="BF27" s="24">
        <f>(AP27/AO27) - (R27/Q27)</f>
        <v/>
      </c>
      <c r="BG27" s="24">
        <f>(AL27/AQ27) - (N27/S27)</f>
        <v/>
      </c>
      <c r="BH27" s="24" t="n"/>
      <c r="BJ27" s="72" t="n"/>
      <c r="BK27" s="72" t="n"/>
      <c r="BL27" s="72" t="n"/>
      <c r="BM27" s="72" t="n"/>
      <c r="BN27" s="72" t="n"/>
      <c r="BP27" s="72" t="n"/>
      <c r="BQ27" s="72" t="n"/>
      <c r="BR27" s="72" t="n"/>
      <c r="BS27" s="72" t="n"/>
      <c r="BT27" s="72" t="n"/>
    </row>
    <row outlineLevel="1" r="28" s="86">
      <c r="A28" s="25" t="n"/>
      <c r="B28" s="25" t="inlineStr">
        <is>
          <t>8ivfbv2_longdress_vox10</t>
        </is>
      </c>
      <c r="C28" s="26" t="inlineStr">
        <is>
          <t>r04</t>
        </is>
      </c>
      <c r="D28" s="25" t="n">
        <v>250294582</v>
      </c>
      <c r="E28" s="26" t="n">
        <v>10</v>
      </c>
      <c r="F28" s="26" t="n">
        <v>32</v>
      </c>
      <c r="G28" s="26" t="n">
        <v>30</v>
      </c>
      <c r="I28" s="27">
        <f>IF(OR(ISBLANK(S28),ISBLANK(G28)),"·",S28*G28/F28/1000000)</f>
        <v/>
      </c>
      <c r="J28" s="28">
        <f>IF(ISBLANK(S28),"·",S28/D28)</f>
        <v/>
      </c>
      <c r="K28" s="28">
        <f>IF(N28="","·",N28/D28)</f>
        <v/>
      </c>
      <c r="L28" s="28">
        <f>IF(T28="","·",T28/D28)</f>
        <v/>
      </c>
      <c r="M28" s="28">
        <f>IF(ISBLANK(V28),"·",V28/D28)</f>
        <v/>
      </c>
      <c r="N28" s="25">
        <f>IF(OR(ISBLANK(T28),ISBLANK(U28)),"",T28+U28)</f>
        <v/>
      </c>
      <c r="O28" s="28" t="n">
        <v>16</v>
      </c>
      <c r="P28" s="29" t="n">
        <v>25521142</v>
      </c>
      <c r="Q28" s="29" t="n">
        <v>797535.6875</v>
      </c>
      <c r="R28" s="29" t="n">
        <v>20922.53125</v>
      </c>
      <c r="S28" s="30" t="n">
        <v>26244888</v>
      </c>
      <c r="T28" s="30" t="n">
        <v>2854896</v>
      </c>
      <c r="U28" s="30" t="n">
        <v>713080</v>
      </c>
      <c r="V28" s="30" t="n">
        <v>22676912</v>
      </c>
      <c r="W28" s="31" t="n">
        <v>70.432471875</v>
      </c>
      <c r="X28" s="31" t="n">
        <v>72.97020000000001</v>
      </c>
      <c r="Y28" s="31" t="n">
        <v>34.94261875</v>
      </c>
      <c r="Z28" s="31" t="n">
        <v>37.370328125</v>
      </c>
      <c r="AA28" s="31" t="n">
        <v>36.938165625</v>
      </c>
      <c r="AB28" s="32" t="n">
        <v>1501.12</v>
      </c>
      <c r="AC28" s="32" t="n">
        <v>2220.96</v>
      </c>
      <c r="AD28" s="32" t="n">
        <v>7.957</v>
      </c>
      <c r="AE28" s="32" t="n">
        <v>31.282</v>
      </c>
      <c r="AG28" s="27">
        <f>IF(OR(ISBLANK(AQ28),ISBLANK(G28)),"·",AQ28*G28/F28/1000000)</f>
        <v/>
      </c>
      <c r="AH28" s="28">
        <f>IF(ISBLANK(AQ28),"·",AQ28/D28)</f>
        <v/>
      </c>
      <c r="AI28" s="28">
        <f>IF(AL28="","·",AL28/D28)</f>
        <v/>
      </c>
      <c r="AJ28" s="28">
        <f>IF(AR28="","·",AR28/D28)</f>
        <v/>
      </c>
      <c r="AK28" s="28">
        <f>IF(ISBLANK(AT28),"·",AT28/D28)</f>
        <v/>
      </c>
      <c r="AL28" s="25">
        <f>IF(OR(ISBLANK(AR28),ISBLANK(AS28)),"",AR28+AS28)</f>
        <v/>
      </c>
      <c r="AM28" s="28" t="n">
        <v>16</v>
      </c>
      <c r="AN28" s="29" t="n">
        <v>25521142</v>
      </c>
      <c r="AO28" s="29" t="n">
        <v>797535.6875</v>
      </c>
      <c r="AP28" s="29" t="n">
        <v>20922.53125</v>
      </c>
      <c r="AQ28" s="30" t="n">
        <v>26117544</v>
      </c>
      <c r="AR28" s="30" t="n">
        <v>2854896</v>
      </c>
      <c r="AS28" s="30" t="n">
        <v>713080</v>
      </c>
      <c r="AT28" s="30" t="n">
        <v>22549568</v>
      </c>
      <c r="AU28" s="31" t="n">
        <v>70.432471875</v>
      </c>
      <c r="AV28" s="31" t="n">
        <v>72.97020000000001</v>
      </c>
      <c r="AW28" s="31" t="n">
        <v>34.910971875</v>
      </c>
      <c r="AX28" s="31" t="n">
        <v>37.373078125</v>
      </c>
      <c r="AY28" s="31" t="n">
        <v>36.9366125</v>
      </c>
      <c r="AZ28" s="32" t="n">
        <v>1509.2</v>
      </c>
      <c r="BA28" s="32" t="n">
        <v>2215.5</v>
      </c>
      <c r="BB28" s="32" t="n">
        <v>56.8</v>
      </c>
      <c r="BC28" s="32" t="n">
        <v>31.545</v>
      </c>
      <c r="BE28" s="68">
        <f>AI28/K28</f>
        <v/>
      </c>
      <c r="BF28" s="34">
        <f>(AP28/AO28) - (R28/Q28)</f>
        <v/>
      </c>
      <c r="BG28" s="34">
        <f>(AL28/AQ28) - (N28/S28)</f>
        <v/>
      </c>
      <c r="BH28" s="34" t="n"/>
      <c r="BJ28" s="68" t="n"/>
      <c r="BK28" s="68" t="n"/>
      <c r="BL28" s="68" t="n"/>
      <c r="BM28" s="68" t="n"/>
      <c r="BN28" s="68" t="n"/>
      <c r="BP28" s="68" t="n"/>
      <c r="BQ28" s="68" t="n"/>
      <c r="BR28" s="68" t="n"/>
      <c r="BS28" s="68" t="n"/>
      <c r="BT28" s="68" t="n"/>
    </row>
    <row outlineLevel="1" r="29" s="86">
      <c r="A29" s="35" t="n"/>
      <c r="B29" s="35" t="inlineStr">
        <is>
          <t>8ivfbv2_longdress_vox10</t>
        </is>
      </c>
      <c r="C29" s="36" t="inlineStr">
        <is>
          <t>r05</t>
        </is>
      </c>
      <c r="D29" s="35" t="n">
        <v>250294582</v>
      </c>
      <c r="E29" s="36" t="n">
        <v>10</v>
      </c>
      <c r="F29" s="36" t="n">
        <v>32</v>
      </c>
      <c r="G29" s="36" t="n">
        <v>30</v>
      </c>
      <c r="I29" s="37">
        <f>IF(OR(ISBLANK(S29),ISBLANK(G29)),"·",S29*G29/F29/1000000)</f>
        <v/>
      </c>
      <c r="J29" s="38">
        <f>IF(ISBLANK(S29),"·",S29/D29)</f>
        <v/>
      </c>
      <c r="K29" s="38">
        <f>IF(N29="","·",N29/D29)</f>
        <v/>
      </c>
      <c r="L29" s="38">
        <f>IF(T29="","·",T29/D29)</f>
        <v/>
      </c>
      <c r="M29" s="38">
        <f>IF(ISBLANK(V29),"·",V29/D29)</f>
        <v/>
      </c>
      <c r="N29" s="35">
        <f>IF(OR(ISBLANK(T29),ISBLANK(U29)),"",T29+U29)</f>
        <v/>
      </c>
      <c r="O29" s="38" t="n">
        <v>16</v>
      </c>
      <c r="P29" s="39" t="n">
        <v>24571358</v>
      </c>
      <c r="Q29" s="39" t="n">
        <v>767854.9375</v>
      </c>
      <c r="R29" s="39" t="n">
        <v>9744.125</v>
      </c>
      <c r="S29" s="40" t="n">
        <v>47258864</v>
      </c>
      <c r="T29" s="40" t="n">
        <v>4415640</v>
      </c>
      <c r="U29" s="40" t="n">
        <v>1339448</v>
      </c>
      <c r="V29" s="40" t="n">
        <v>41503776</v>
      </c>
      <c r="W29" s="41" t="n">
        <v>71.1527375</v>
      </c>
      <c r="X29" s="41" t="n">
        <v>74.9055125</v>
      </c>
      <c r="Y29" s="41" t="n">
        <v>37.39425625</v>
      </c>
      <c r="Z29" s="41" t="n">
        <v>39.396478125</v>
      </c>
      <c r="AA29" s="41" t="n">
        <v>38.749353125</v>
      </c>
      <c r="AB29" s="42" t="n">
        <v>1490.58</v>
      </c>
      <c r="AC29" s="42" t="n">
        <v>2550.79</v>
      </c>
      <c r="AD29" s="42" t="n">
        <v>7.63</v>
      </c>
      <c r="AE29" s="42" t="n">
        <v>31.174</v>
      </c>
      <c r="AG29" s="37">
        <f>IF(OR(ISBLANK(AQ29),ISBLANK(G29)),"·",AQ29*G29/F29/1000000)</f>
        <v/>
      </c>
      <c r="AH29" s="38">
        <f>IF(ISBLANK(AQ29),"·",AQ29/D29)</f>
        <v/>
      </c>
      <c r="AI29" s="38">
        <f>IF(AL29="","·",AL29/D29)</f>
        <v/>
      </c>
      <c r="AJ29" s="38">
        <f>IF(AR29="","·",AR29/D29)</f>
        <v/>
      </c>
      <c r="AK29" s="38">
        <f>IF(ISBLANK(AT29),"·",AT29/D29)</f>
        <v/>
      </c>
      <c r="AL29" s="35">
        <f>IF(OR(ISBLANK(AR29),ISBLANK(AS29)),"",AR29+AS29)</f>
        <v/>
      </c>
      <c r="AM29" s="38" t="n">
        <v>16</v>
      </c>
      <c r="AN29" s="39" t="n">
        <v>24571358</v>
      </c>
      <c r="AO29" s="39" t="n">
        <v>767854.9375</v>
      </c>
      <c r="AP29" s="39" t="n">
        <v>9744.125</v>
      </c>
      <c r="AQ29" s="40" t="n">
        <v>47146192</v>
      </c>
      <c r="AR29" s="40" t="n">
        <v>4415640</v>
      </c>
      <c r="AS29" s="40" t="n">
        <v>1339448</v>
      </c>
      <c r="AT29" s="40" t="n">
        <v>41391104</v>
      </c>
      <c r="AU29" s="41" t="n">
        <v>71.1527375</v>
      </c>
      <c r="AV29" s="41" t="n">
        <v>74.9055125</v>
      </c>
      <c r="AW29" s="41" t="n">
        <v>37.36926875</v>
      </c>
      <c r="AX29" s="41" t="n">
        <v>39.408925</v>
      </c>
      <c r="AY29" s="41" t="n">
        <v>38.7661</v>
      </c>
      <c r="AZ29" s="42" t="n">
        <v>1514.58</v>
      </c>
      <c r="BA29" s="42" t="n">
        <v>2558.03</v>
      </c>
      <c r="BB29" s="42" t="n">
        <v>54.727</v>
      </c>
      <c r="BC29" s="42" t="n">
        <v>33.497</v>
      </c>
      <c r="BE29" s="43">
        <f>AI29/K29</f>
        <v/>
      </c>
      <c r="BF29" s="44">
        <f>(AP29/AO29) - (R29/Q29)</f>
        <v/>
      </c>
      <c r="BG29" s="44">
        <f>(AL29/AQ29) - (N29/S29)</f>
        <v/>
      </c>
      <c r="BH29" s="44" t="n"/>
      <c r="BJ29" s="43" t="n"/>
      <c r="BK29" s="43" t="n"/>
      <c r="BL29" s="43" t="n"/>
      <c r="BM29" s="43" t="n"/>
      <c r="BN29" s="43" t="n"/>
      <c r="BP29" s="43" t="n"/>
      <c r="BQ29" s="43" t="n"/>
      <c r="BR29" s="43" t="n"/>
      <c r="BS29" s="43" t="n"/>
      <c r="BT29" s="43" t="n"/>
    </row>
    <row r="30">
      <c r="A30" s="25" t="inlineStr">
        <is>
          <t>cat2-C</t>
        </is>
      </c>
      <c r="B30" s="25" t="inlineStr">
        <is>
          <t>basketball_player_vox11</t>
        </is>
      </c>
      <c r="C30" s="26" t="inlineStr">
        <is>
          <t>r01</t>
        </is>
      </c>
      <c r="D30" s="25" t="n">
        <v>375422539</v>
      </c>
      <c r="E30" s="26" t="n">
        <v>11</v>
      </c>
      <c r="F30" s="26" t="n">
        <v>32</v>
      </c>
      <c r="G30" s="26" t="n">
        <v>30</v>
      </c>
      <c r="I30" s="27">
        <f>IF(OR(ISBLANK(S30),ISBLANK(G30)),"·",S30*G30/F30/1000000)</f>
        <v/>
      </c>
      <c r="J30" s="28">
        <f>IF(ISBLANK(S30),"·",S30/D30)</f>
        <v/>
      </c>
      <c r="K30" s="28">
        <f>IF(N30="","·",N30/D30)</f>
        <v/>
      </c>
      <c r="L30" s="28">
        <f>IF(T30="","·",T30/D30)</f>
        <v/>
      </c>
      <c r="M30" s="28">
        <f>IF(ISBLANK(V30),"·",V30/D30)</f>
        <v/>
      </c>
      <c r="N30" s="25">
        <f>IF(OR(ISBLANK(T30),ISBLANK(U30)),"",T30+U30)</f>
        <v/>
      </c>
      <c r="O30" s="28" t="n">
        <v>16</v>
      </c>
      <c r="P30" s="29" t="n">
        <v>84258322</v>
      </c>
      <c r="Q30" s="29" t="n">
        <v>2633072.5625</v>
      </c>
      <c r="R30" s="29" t="n">
        <v>32425.28125</v>
      </c>
      <c r="S30" s="30" t="n">
        <v>6114296</v>
      </c>
      <c r="T30" s="30" t="n">
        <v>2318320</v>
      </c>
      <c r="U30" s="30" t="n">
        <v>1427456</v>
      </c>
      <c r="V30" s="30" t="n">
        <v>2368520</v>
      </c>
      <c r="W30" s="31" t="n">
        <v>73.46073124999999</v>
      </c>
      <c r="X30" s="31" t="n">
        <v>75.71360625</v>
      </c>
      <c r="Y30" s="31" t="n">
        <v>34.73661875</v>
      </c>
      <c r="Z30" s="31" t="n">
        <v>42.165665625</v>
      </c>
      <c r="AA30" s="31" t="n">
        <v>43.77581875</v>
      </c>
      <c r="AB30" s="32" t="n">
        <v>3205.32</v>
      </c>
      <c r="AC30" s="32" t="n">
        <v>5256.85</v>
      </c>
      <c r="AD30" s="32" t="n">
        <v>25.634</v>
      </c>
      <c r="AE30" s="32" t="n">
        <v>80.80200000000001</v>
      </c>
      <c r="AG30" s="27">
        <f>IF(OR(ISBLANK(AQ30),ISBLANK(G30)),"·",AQ30*G30/F30/1000000)</f>
        <v/>
      </c>
      <c r="AH30" s="28">
        <f>IF(ISBLANK(AQ30),"·",AQ30/D30)</f>
        <v/>
      </c>
      <c r="AI30" s="28">
        <f>IF(AL30="","·",AL30/D30)</f>
        <v/>
      </c>
      <c r="AJ30" s="28">
        <f>IF(AR30="","·",AR30/D30)</f>
        <v/>
      </c>
      <c r="AK30" s="28">
        <f>IF(ISBLANK(AT30),"·",AT30/D30)</f>
        <v/>
      </c>
      <c r="AL30" s="25">
        <f>IF(OR(ISBLANK(AR30),ISBLANK(AS30)),"",AR30+AS30)</f>
        <v/>
      </c>
      <c r="AM30" s="28" t="n">
        <v>16</v>
      </c>
      <c r="AN30" s="29" t="n">
        <v>84258322</v>
      </c>
      <c r="AO30" s="29" t="n">
        <v>2633072.5625</v>
      </c>
      <c r="AP30" s="29" t="n">
        <v>32425.28125</v>
      </c>
      <c r="AQ30" s="30" t="n">
        <v>6115176</v>
      </c>
      <c r="AR30" s="30" t="n">
        <v>2318320</v>
      </c>
      <c r="AS30" s="30" t="n">
        <v>1427456</v>
      </c>
      <c r="AT30" s="30" t="n">
        <v>2369400</v>
      </c>
      <c r="AU30" s="31" t="n">
        <v>73.46073124999999</v>
      </c>
      <c r="AV30" s="31" t="n">
        <v>75.71360625</v>
      </c>
      <c r="AW30" s="31" t="n">
        <v>34.745109375</v>
      </c>
      <c r="AX30" s="31" t="n">
        <v>42.167359375</v>
      </c>
      <c r="AY30" s="31" t="n">
        <v>43.79390625</v>
      </c>
      <c r="AZ30" s="32" t="n">
        <v>3315.92</v>
      </c>
      <c r="BA30" s="32" t="n">
        <v>5305.55</v>
      </c>
      <c r="BB30" s="32" t="n">
        <v>192.101</v>
      </c>
      <c r="BC30" s="32" t="n">
        <v>87.81999999999999</v>
      </c>
      <c r="BE30" s="68">
        <f>AI30/K30</f>
        <v/>
      </c>
      <c r="BF30" s="34">
        <f>(AP30/AO30) - (R30/Q30)</f>
        <v/>
      </c>
      <c r="BG30" s="34">
        <f>(AL30/AQ30) - (N30/S30)</f>
        <v/>
      </c>
      <c r="BH30" s="34">
        <f ref="BH30" t="array">AVERAGE(AL30:AL34/AQ30:AQ34) - AVERAGE(N30:N34/S30:S34)</f>
        <v/>
      </c>
      <c r="BJ30" s="68">
        <f>IF( OR(ISBLANK(N30:N34),ISBLANK(AL30:AL34), ISBLANK(W30:W34),ISBLANK(AU30:AU34)), "·", bdRateExtend( N30:N34,W30:W34, AL30:AL34,AU30:AU34))</f>
        <v/>
      </c>
      <c r="BK30" s="68">
        <f>IF( OR(ISBLANK(N30:N34),ISBLANK(AL30:AL34), ISBLANK(X30:X34),ISBLANK(AV30:AV34)), "·", bdRateExtend( N30:N34,X30:X34, AL30:AL34,AV30:AV34))</f>
        <v/>
      </c>
      <c r="BL30" s="68">
        <f>IF( OR(ISBLANK(V30:V34),ISBLANK(AT30:AT34), ISBLANK(Y30:Y34),ISBLANK(AW30:AW34)), "·", bdRateExtend( V30:V34,Y30:Y34, AT30:AT34,AW30:AW34))</f>
        <v/>
      </c>
      <c r="BM30" s="68">
        <f>IF( OR(ISBLANK(V30:V34),ISBLANK(AT30:AT34), ISBLANK(Z30:Z34),ISBLANK(AX30:AX34)), "·", bdRateExtend( V30:V34,Z30:Z34, AT30:AT34,AX30:AX34))</f>
        <v/>
      </c>
      <c r="BN30" s="68">
        <f>IF( OR(ISBLANK(V30:V34),ISBLANK(AT30:AT34), ISBLANK(AA30:AA34),ISBLANK(AY30:AY34)), "·", bdRateExtend( V30:V34,AA30:AA34, AT30:AT34,AY30:AY34))</f>
        <v/>
      </c>
      <c r="BP30" s="68">
        <f>IF( OR(ISBLANK(S30:S34),ISBLANK(AQ30:AQ34), ISBLANK(W30:W34),ISBLANK(AU30:AU34)), "·", bdRateExtend( S30:S34,W30:W34, AQ30:AQ34,AU30:AU34))</f>
        <v/>
      </c>
      <c r="BQ30" s="68">
        <f>IF( OR(ISBLANK(S30:S34),ISBLANK(AQ30:AQ34), ISBLANK(X30:X34),ISBLANK(AV30:AV34)), "·", bdRateExtend( S30:S34,X30:X34, AQ30:AQ34,AV30:AV34))</f>
        <v/>
      </c>
      <c r="BR30" s="68">
        <f>IF( OR(ISBLANK(S30:S34),ISBLANK(AQ30:AQ34), ISBLANK(Y30:Y34),ISBLANK(AW30:AW34)), "·", bdRateExtend( S30:S34,Y30:Y34, AQ30:AQ34,AW30:AW34))</f>
        <v/>
      </c>
      <c r="BS30" s="68">
        <f>IF( OR(ISBLANK(S30:S34),ISBLANK(AQ30:AQ34), ISBLANK(Z30:Z34),ISBLANK(AX30:AX34)), "·", bdRateExtend( S30:S34,Z30:Z34, AQ30:AQ34,AX30:AX34))</f>
        <v/>
      </c>
      <c r="BT30" s="68">
        <f>IF( OR(ISBLANK(S30:S34),ISBLANK(AQ30:AQ34), ISBLANK(AA30:AA34),ISBLANK(AY30:AY34)), "·", bdRateExtend( S30:S34,AA30:AA34, AQ30:AQ34,AY30:AY34))</f>
        <v/>
      </c>
    </row>
    <row outlineLevel="1" r="31" s="86">
      <c r="A31" s="142" t="n"/>
      <c r="B31" s="142" t="inlineStr">
        <is>
          <t>basketball_player_vox11</t>
        </is>
      </c>
      <c r="C31" s="16" t="inlineStr">
        <is>
          <t>r02</t>
        </is>
      </c>
      <c r="D31" s="142" t="n">
        <v>375422539</v>
      </c>
      <c r="E31" s="16" t="n">
        <v>11</v>
      </c>
      <c r="F31" s="16" t="n">
        <v>32</v>
      </c>
      <c r="G31" s="16" t="n">
        <v>30</v>
      </c>
      <c r="I31" s="17">
        <f>IF(OR(ISBLANK(S31),ISBLANK(G31)),"·",S31*G31/F31/1000000)</f>
        <v/>
      </c>
      <c r="J31" s="18">
        <f>IF(ISBLANK(S31),"·",S31/D31)</f>
        <v/>
      </c>
      <c r="K31" s="18">
        <f>IF(N31="","·",N31/D31)</f>
        <v/>
      </c>
      <c r="L31" s="18">
        <f>IF(T31="","·",T31/D31)</f>
        <v/>
      </c>
      <c r="M31" s="18">
        <f>IF(ISBLANK(V31),"·",V31/D31)</f>
        <v/>
      </c>
      <c r="N31" s="142">
        <f>IF(OR(ISBLANK(T31),ISBLANK(U31)),"",T31+U31)</f>
        <v/>
      </c>
      <c r="O31" s="18" t="n">
        <v>16</v>
      </c>
      <c r="P31" s="19" t="n">
        <v>89857639</v>
      </c>
      <c r="Q31" s="19" t="n">
        <v>2808051.21875</v>
      </c>
      <c r="R31" s="19" t="n">
        <v>41097.03125</v>
      </c>
      <c r="S31" s="20" t="n">
        <v>8731216</v>
      </c>
      <c r="T31" s="20" t="n">
        <v>3180208</v>
      </c>
      <c r="U31" s="20" t="n">
        <v>1427456</v>
      </c>
      <c r="V31" s="20" t="n">
        <v>4123552</v>
      </c>
      <c r="W31" s="21" t="n">
        <v>75.17068437499999</v>
      </c>
      <c r="X31" s="21" t="n">
        <v>77.57524062500001</v>
      </c>
      <c r="Y31" s="21" t="n">
        <v>36.653584375</v>
      </c>
      <c r="Z31" s="21" t="n">
        <v>42.6888375</v>
      </c>
      <c r="AA31" s="21" t="n">
        <v>45.004959375</v>
      </c>
      <c r="AB31" s="22" t="n">
        <v>3189.97</v>
      </c>
      <c r="AC31" s="22" t="n">
        <v>5463.96</v>
      </c>
      <c r="AD31" s="22" t="n">
        <v>26.109</v>
      </c>
      <c r="AE31" s="22" t="n">
        <v>85.101</v>
      </c>
      <c r="AG31" s="17">
        <f>IF(OR(ISBLANK(AQ31),ISBLANK(G31)),"·",AQ31*G31/F31/1000000)</f>
        <v/>
      </c>
      <c r="AH31" s="18">
        <f>IF(ISBLANK(AQ31),"·",AQ31/D31)</f>
        <v/>
      </c>
      <c r="AI31" s="18">
        <f>IF(AL31="","·",AL31/D31)</f>
        <v/>
      </c>
      <c r="AJ31" s="18">
        <f>IF(AR31="","·",AR31/D31)</f>
        <v/>
      </c>
      <c r="AK31" s="18">
        <f>IF(ISBLANK(AT31),"·",AT31/D31)</f>
        <v/>
      </c>
      <c r="AL31" s="142">
        <f>IF(OR(ISBLANK(AR31),ISBLANK(AS31)),"",AR31+AS31)</f>
        <v/>
      </c>
      <c r="AM31" s="18" t="n">
        <v>16</v>
      </c>
      <c r="AN31" s="19" t="n">
        <v>89857639</v>
      </c>
      <c r="AO31" s="19" t="n">
        <v>2808051.21875</v>
      </c>
      <c r="AP31" s="19" t="n">
        <v>41097.03125</v>
      </c>
      <c r="AQ31" s="20" t="n">
        <v>8720296</v>
      </c>
      <c r="AR31" s="20" t="n">
        <v>3180208</v>
      </c>
      <c r="AS31" s="20" t="n">
        <v>1427456</v>
      </c>
      <c r="AT31" s="20" t="n">
        <v>4112632</v>
      </c>
      <c r="AU31" s="21" t="n">
        <v>75.17068437499999</v>
      </c>
      <c r="AV31" s="21" t="n">
        <v>77.57524062500001</v>
      </c>
      <c r="AW31" s="21" t="n">
        <v>36.650725</v>
      </c>
      <c r="AX31" s="21" t="n">
        <v>42.678503125</v>
      </c>
      <c r="AY31" s="21" t="n">
        <v>45.052521875</v>
      </c>
      <c r="AZ31" s="22" t="n">
        <v>3385.52</v>
      </c>
      <c r="BA31" s="22" t="n">
        <v>5499.19</v>
      </c>
      <c r="BB31" s="22" t="n">
        <v>205.405</v>
      </c>
      <c r="BC31" s="22" t="n">
        <v>90.03</v>
      </c>
      <c r="BE31" s="72">
        <f>AI31/K31</f>
        <v/>
      </c>
      <c r="BF31" s="24">
        <f>(AP31/AO31) - (R31/Q31)</f>
        <v/>
      </c>
      <c r="BG31" s="24">
        <f>(AL31/AQ31) - (N31/S31)</f>
        <v/>
      </c>
      <c r="BH31" s="24" t="n"/>
      <c r="BJ31" s="72" t="n"/>
      <c r="BK31" s="72" t="n"/>
      <c r="BL31" s="72" t="n"/>
      <c r="BM31" s="72" t="n"/>
      <c r="BN31" s="72" t="n"/>
      <c r="BP31" s="72" t="n"/>
      <c r="BQ31" s="72" t="n"/>
      <c r="BR31" s="72" t="n"/>
      <c r="BS31" s="72" t="n"/>
      <c r="BT31" s="72" t="n"/>
    </row>
    <row outlineLevel="1" r="32" s="86">
      <c r="A32" s="25" t="n"/>
      <c r="B32" s="25" t="inlineStr">
        <is>
          <t>basketball_player_vox11</t>
        </is>
      </c>
      <c r="C32" s="26" t="inlineStr">
        <is>
          <t>r03</t>
        </is>
      </c>
      <c r="D32" s="25" t="n">
        <v>375422539</v>
      </c>
      <c r="E32" s="26" t="n">
        <v>11</v>
      </c>
      <c r="F32" s="26" t="n">
        <v>32</v>
      </c>
      <c r="G32" s="26" t="n">
        <v>30</v>
      </c>
      <c r="I32" s="27">
        <f>IF(OR(ISBLANK(S32),ISBLANK(G32)),"·",S32*G32/F32/1000000)</f>
        <v/>
      </c>
      <c r="J32" s="28">
        <f>IF(ISBLANK(S32),"·",S32/D32)</f>
        <v/>
      </c>
      <c r="K32" s="28">
        <f>IF(N32="","·",N32/D32)</f>
        <v/>
      </c>
      <c r="L32" s="28">
        <f>IF(T32="","·",T32/D32)</f>
        <v/>
      </c>
      <c r="M32" s="28">
        <f>IF(ISBLANK(V32),"·",V32/D32)</f>
        <v/>
      </c>
      <c r="N32" s="25">
        <f>IF(OR(ISBLANK(T32),ISBLANK(U32)),"",T32+U32)</f>
        <v/>
      </c>
      <c r="O32" s="28" t="n">
        <v>16</v>
      </c>
      <c r="P32" s="29" t="n">
        <v>91814344</v>
      </c>
      <c r="Q32" s="29" t="n">
        <v>2869198.25</v>
      </c>
      <c r="R32" s="29" t="n">
        <v>44687.40625</v>
      </c>
      <c r="S32" s="30" t="n">
        <v>13516000</v>
      </c>
      <c r="T32" s="30" t="n">
        <v>4421528</v>
      </c>
      <c r="U32" s="30" t="n">
        <v>1427456</v>
      </c>
      <c r="V32" s="30" t="n">
        <v>7667016</v>
      </c>
      <c r="W32" s="31" t="n">
        <v>76.46631562499999</v>
      </c>
      <c r="X32" s="31" t="n">
        <v>79.12375</v>
      </c>
      <c r="Y32" s="31" t="n">
        <v>38.40743125</v>
      </c>
      <c r="Z32" s="31" t="n">
        <v>43.21670625</v>
      </c>
      <c r="AA32" s="31" t="n">
        <v>46.245334375</v>
      </c>
      <c r="AB32" s="32" t="n">
        <v>3212.37</v>
      </c>
      <c r="AC32" s="32" t="n">
        <v>5708.65</v>
      </c>
      <c r="AD32" s="32" t="n">
        <v>27.438</v>
      </c>
      <c r="AE32" s="32" t="n">
        <v>85.96299999999999</v>
      </c>
      <c r="AG32" s="27">
        <f>IF(OR(ISBLANK(AQ32),ISBLANK(G32)),"·",AQ32*G32/F32/1000000)</f>
        <v/>
      </c>
      <c r="AH32" s="28">
        <f>IF(ISBLANK(AQ32),"·",AQ32/D32)</f>
        <v/>
      </c>
      <c r="AI32" s="28">
        <f>IF(AL32="","·",AL32/D32)</f>
        <v/>
      </c>
      <c r="AJ32" s="28">
        <f>IF(AR32="","·",AR32/D32)</f>
        <v/>
      </c>
      <c r="AK32" s="28">
        <f>IF(ISBLANK(AT32),"·",AT32/D32)</f>
        <v/>
      </c>
      <c r="AL32" s="25">
        <f>IF(OR(ISBLANK(AR32),ISBLANK(AS32)),"",AR32+AS32)</f>
        <v/>
      </c>
      <c r="AM32" s="28" t="n">
        <v>16</v>
      </c>
      <c r="AN32" s="29" t="n">
        <v>91814344</v>
      </c>
      <c r="AO32" s="29" t="n">
        <v>2869198.25</v>
      </c>
      <c r="AP32" s="29" t="n">
        <v>44687.40625</v>
      </c>
      <c r="AQ32" s="30" t="n">
        <v>13508160</v>
      </c>
      <c r="AR32" s="30" t="n">
        <v>4421528</v>
      </c>
      <c r="AS32" s="30" t="n">
        <v>1427456</v>
      </c>
      <c r="AT32" s="30" t="n">
        <v>7659176</v>
      </c>
      <c r="AU32" s="31" t="n">
        <v>76.46631562499999</v>
      </c>
      <c r="AV32" s="31" t="n">
        <v>79.12375</v>
      </c>
      <c r="AW32" s="31" t="n">
        <v>38.406484375</v>
      </c>
      <c r="AX32" s="31" t="n">
        <v>43.205109375</v>
      </c>
      <c r="AY32" s="31" t="n">
        <v>46.2262875</v>
      </c>
      <c r="AZ32" s="32" t="n">
        <v>3343.35</v>
      </c>
      <c r="BA32" s="32" t="n">
        <v>5750.78</v>
      </c>
      <c r="BB32" s="32" t="n">
        <v>209.291</v>
      </c>
      <c r="BC32" s="32" t="n">
        <v>90.911</v>
      </c>
      <c r="BE32" s="68">
        <f>AI32/K32</f>
        <v/>
      </c>
      <c r="BF32" s="34">
        <f>(AP32/AO32) - (R32/Q32)</f>
        <v/>
      </c>
      <c r="BG32" s="34">
        <f>(AL32/AQ32) - (N32/S32)</f>
        <v/>
      </c>
      <c r="BH32" s="34" t="n"/>
      <c r="BJ32" s="68" t="n"/>
      <c r="BK32" s="68" t="n"/>
      <c r="BL32" s="68" t="n"/>
      <c r="BM32" s="68" t="n"/>
      <c r="BN32" s="68" t="n"/>
      <c r="BP32" s="68" t="n"/>
      <c r="BQ32" s="68" t="n"/>
      <c r="BR32" s="68" t="n"/>
      <c r="BS32" s="68" t="n"/>
      <c r="BT32" s="68" t="n"/>
    </row>
    <row outlineLevel="1" r="33" s="86">
      <c r="A33" s="142" t="n"/>
      <c r="B33" s="142" t="inlineStr">
        <is>
          <t>basketball_player_vox11</t>
        </is>
      </c>
      <c r="C33" s="16" t="inlineStr">
        <is>
          <t>r04</t>
        </is>
      </c>
      <c r="D33" s="142" t="n">
        <v>375422539</v>
      </c>
      <c r="E33" s="16" t="n">
        <v>11</v>
      </c>
      <c r="F33" s="16" t="n">
        <v>32</v>
      </c>
      <c r="G33" s="16" t="n">
        <v>30</v>
      </c>
      <c r="I33" s="17">
        <f>IF(OR(ISBLANK(S33),ISBLANK(G33)),"·",S33*G33/F33/1000000)</f>
        <v/>
      </c>
      <c r="J33" s="18">
        <f>IF(ISBLANK(S33),"·",S33/D33)</f>
        <v/>
      </c>
      <c r="K33" s="18">
        <f>IF(N33="","·",N33/D33)</f>
        <v/>
      </c>
      <c r="L33" s="18">
        <f>IF(T33="","·",T33/D33)</f>
        <v/>
      </c>
      <c r="M33" s="18">
        <f>IF(ISBLANK(V33),"·",V33/D33)</f>
        <v/>
      </c>
      <c r="N33" s="142">
        <f>IF(OR(ISBLANK(T33),ISBLANK(U33)),"",T33+U33)</f>
        <v/>
      </c>
      <c r="O33" s="18" t="n">
        <v>16</v>
      </c>
      <c r="P33" s="19" t="n">
        <v>93918250</v>
      </c>
      <c r="Q33" s="19" t="n">
        <v>2934945.3125</v>
      </c>
      <c r="R33" s="19" t="n">
        <v>49412.375</v>
      </c>
      <c r="S33" s="20" t="n">
        <v>22614600</v>
      </c>
      <c r="T33" s="20" t="n">
        <v>6474952</v>
      </c>
      <c r="U33" s="20" t="n">
        <v>1427456</v>
      </c>
      <c r="V33" s="20" t="n">
        <v>14712192</v>
      </c>
      <c r="W33" s="21" t="n">
        <v>77.598421875</v>
      </c>
      <c r="X33" s="21" t="n">
        <v>80.32850625</v>
      </c>
      <c r="Y33" s="21" t="n">
        <v>40.010034375</v>
      </c>
      <c r="Z33" s="21" t="n">
        <v>43.908103125</v>
      </c>
      <c r="AA33" s="21" t="n">
        <v>47.81625</v>
      </c>
      <c r="AB33" s="22" t="n">
        <v>3211.04</v>
      </c>
      <c r="AC33" s="22" t="n">
        <v>6057.23</v>
      </c>
      <c r="AD33" s="22" t="n">
        <v>28.55</v>
      </c>
      <c r="AE33" s="22" t="n">
        <v>89.20699999999999</v>
      </c>
      <c r="AG33" s="17">
        <f>IF(OR(ISBLANK(AQ33),ISBLANK(G33)),"·",AQ33*G33/F33/1000000)</f>
        <v/>
      </c>
      <c r="AH33" s="18">
        <f>IF(ISBLANK(AQ33),"·",AQ33/D33)</f>
        <v/>
      </c>
      <c r="AI33" s="18">
        <f>IF(AL33="","·",AL33/D33)</f>
        <v/>
      </c>
      <c r="AJ33" s="18">
        <f>IF(AR33="","·",AR33/D33)</f>
        <v/>
      </c>
      <c r="AK33" s="18">
        <f>IF(ISBLANK(AT33),"·",AT33/D33)</f>
        <v/>
      </c>
      <c r="AL33" s="142">
        <f>IF(OR(ISBLANK(AR33),ISBLANK(AS33)),"",AR33+AS33)</f>
        <v/>
      </c>
      <c r="AM33" s="18" t="n">
        <v>16</v>
      </c>
      <c r="AN33" s="19" t="n">
        <v>93918250</v>
      </c>
      <c r="AO33" s="19" t="n">
        <v>2934945.3125</v>
      </c>
      <c r="AP33" s="19" t="n">
        <v>49412.375</v>
      </c>
      <c r="AQ33" s="20" t="n">
        <v>22574192</v>
      </c>
      <c r="AR33" s="20" t="n">
        <v>6474952</v>
      </c>
      <c r="AS33" s="20" t="n">
        <v>1427456</v>
      </c>
      <c r="AT33" s="20" t="n">
        <v>14671784</v>
      </c>
      <c r="AU33" s="21" t="n">
        <v>77.598421875</v>
      </c>
      <c r="AV33" s="21" t="n">
        <v>80.32850625</v>
      </c>
      <c r="AW33" s="21" t="n">
        <v>40.000678125</v>
      </c>
      <c r="AX33" s="21" t="n">
        <v>43.908221875</v>
      </c>
      <c r="AY33" s="21" t="n">
        <v>47.816415625</v>
      </c>
      <c r="AZ33" s="22" t="n">
        <v>3377.16</v>
      </c>
      <c r="BA33" s="22" t="n">
        <v>6066.07</v>
      </c>
      <c r="BB33" s="22" t="n">
        <v>213.813</v>
      </c>
      <c r="BC33" s="22" t="n">
        <v>94.333</v>
      </c>
      <c r="BE33" s="72">
        <f>AI33/K33</f>
        <v/>
      </c>
      <c r="BF33" s="24">
        <f>(AP33/AO33) - (R33/Q33)</f>
        <v/>
      </c>
      <c r="BG33" s="24">
        <f>(AL33/AQ33) - (N33/S33)</f>
        <v/>
      </c>
      <c r="BH33" s="24" t="n"/>
      <c r="BJ33" s="72" t="n"/>
      <c r="BK33" s="72" t="n"/>
      <c r="BL33" s="72" t="n"/>
      <c r="BM33" s="72" t="n"/>
      <c r="BN33" s="72" t="n"/>
      <c r="BP33" s="72" t="n"/>
      <c r="BQ33" s="72" t="n"/>
      <c r="BR33" s="72" t="n"/>
      <c r="BS33" s="72" t="n"/>
      <c r="BT33" s="72" t="n"/>
    </row>
    <row outlineLevel="1" r="34" s="86">
      <c r="A34" s="25" t="n"/>
      <c r="B34" s="45" t="inlineStr">
        <is>
          <t>basketball_player_vox11</t>
        </is>
      </c>
      <c r="C34" s="46" t="inlineStr">
        <is>
          <t>r05</t>
        </is>
      </c>
      <c r="D34" s="45" t="n">
        <v>375422539</v>
      </c>
      <c r="E34" s="46" t="n">
        <v>11</v>
      </c>
      <c r="F34" s="46" t="n">
        <v>32</v>
      </c>
      <c r="G34" s="46" t="n">
        <v>30</v>
      </c>
      <c r="I34" s="47">
        <f>IF(OR(ISBLANK(S34),ISBLANK(G34)),"·",S34*G34/F34/1000000)</f>
        <v/>
      </c>
      <c r="J34" s="48">
        <f>IF(ISBLANK(S34),"·",S34/D34)</f>
        <v/>
      </c>
      <c r="K34" s="48">
        <f>IF(N34="","·",N34/D34)</f>
        <v/>
      </c>
      <c r="L34" s="48">
        <f>IF(T34="","·",T34/D34)</f>
        <v/>
      </c>
      <c r="M34" s="48">
        <f>IF(ISBLANK(V34),"·",V34/D34)</f>
        <v/>
      </c>
      <c r="N34" s="45">
        <f>IF(OR(ISBLANK(T34),ISBLANK(U34)),"",T34+U34)</f>
        <v/>
      </c>
      <c r="O34" s="48" t="n">
        <v>16</v>
      </c>
      <c r="P34" s="49" t="n">
        <v>92079625</v>
      </c>
      <c r="Q34" s="49" t="n">
        <v>2877488.28125</v>
      </c>
      <c r="R34" s="49" t="n">
        <v>21318.28125</v>
      </c>
      <c r="S34" s="50" t="n">
        <v>42531512</v>
      </c>
      <c r="T34" s="50" t="n">
        <v>9829024</v>
      </c>
      <c r="U34" s="50" t="n">
        <v>2829168</v>
      </c>
      <c r="V34" s="50" t="n">
        <v>29873320</v>
      </c>
      <c r="W34" s="51" t="n">
        <v>78.5359875</v>
      </c>
      <c r="X34" s="51" t="n">
        <v>81.998384375</v>
      </c>
      <c r="Y34" s="51" t="n">
        <v>41.5227625</v>
      </c>
      <c r="Z34" s="51" t="n">
        <v>44.7012125</v>
      </c>
      <c r="AA34" s="51" t="n">
        <v>49.230084375</v>
      </c>
      <c r="AB34" s="52" t="n">
        <v>3208.83</v>
      </c>
      <c r="AC34" s="52" t="n">
        <v>6641.43</v>
      </c>
      <c r="AD34" s="52" t="n">
        <v>26.638</v>
      </c>
      <c r="AE34" s="52" t="n">
        <v>94.654</v>
      </c>
      <c r="AG34" s="47">
        <f>IF(OR(ISBLANK(AQ34),ISBLANK(G34)),"·",AQ34*G34/F34/1000000)</f>
        <v/>
      </c>
      <c r="AH34" s="48">
        <f>IF(ISBLANK(AQ34),"·",AQ34/D34)</f>
        <v/>
      </c>
      <c r="AI34" s="48">
        <f>IF(AL34="","·",AL34/D34)</f>
        <v/>
      </c>
      <c r="AJ34" s="48">
        <f>IF(AR34="","·",AR34/D34)</f>
        <v/>
      </c>
      <c r="AK34" s="48">
        <f>IF(ISBLANK(AT34),"·",AT34/D34)</f>
        <v/>
      </c>
      <c r="AL34" s="45">
        <f>IF(OR(ISBLANK(AR34),ISBLANK(AS34)),"",AR34+AS34)</f>
        <v/>
      </c>
      <c r="AM34" s="48" t="n">
        <v>16</v>
      </c>
      <c r="AN34" s="49" t="n">
        <v>92079625</v>
      </c>
      <c r="AO34" s="49" t="n">
        <v>2877488.28125</v>
      </c>
      <c r="AP34" s="49" t="n">
        <v>21318.28125</v>
      </c>
      <c r="AQ34" s="50" t="n">
        <v>42485944</v>
      </c>
      <c r="AR34" s="50" t="n">
        <v>9829024</v>
      </c>
      <c r="AS34" s="50" t="n">
        <v>2829168</v>
      </c>
      <c r="AT34" s="50" t="n">
        <v>29827752</v>
      </c>
      <c r="AU34" s="51" t="n">
        <v>78.5359875</v>
      </c>
      <c r="AV34" s="51" t="n">
        <v>81.998384375</v>
      </c>
      <c r="AW34" s="51" t="n">
        <v>41.515903125</v>
      </c>
      <c r="AX34" s="51" t="n">
        <v>44.700215625</v>
      </c>
      <c r="AY34" s="51" t="n">
        <v>49.230596875</v>
      </c>
      <c r="AZ34" s="52" t="n">
        <v>3366.46</v>
      </c>
      <c r="BA34" s="52" t="n">
        <v>6716.73</v>
      </c>
      <c r="BB34" s="52" t="n">
        <v>209.923</v>
      </c>
      <c r="BC34" s="52" t="n">
        <v>99.611</v>
      </c>
      <c r="BE34" s="53">
        <f>AI34/K34</f>
        <v/>
      </c>
      <c r="BF34" s="54">
        <f>(AP34/AO34) - (R34/Q34)</f>
        <v/>
      </c>
      <c r="BG34" s="54">
        <f>(AL34/AQ34) - (N34/S34)</f>
        <v/>
      </c>
      <c r="BH34" s="54" t="n"/>
      <c r="BJ34" s="53" t="n"/>
      <c r="BK34" s="53" t="n"/>
      <c r="BL34" s="53" t="n"/>
      <c r="BM34" s="53" t="n"/>
      <c r="BN34" s="53" t="n"/>
      <c r="BP34" s="53" t="n"/>
      <c r="BQ34" s="53" t="n"/>
      <c r="BR34" s="53" t="n"/>
      <c r="BS34" s="53" t="n"/>
      <c r="BT34" s="53" t="n"/>
    </row>
    <row r="35">
      <c r="A35" s="142" t="n"/>
      <c r="B35" s="142" t="inlineStr">
        <is>
          <t>dancer_player_vox11</t>
        </is>
      </c>
      <c r="C35" s="16" t="inlineStr">
        <is>
          <t>r01</t>
        </is>
      </c>
      <c r="D35" s="142" t="n">
        <v>333190689</v>
      </c>
      <c r="E35" s="16" t="n">
        <v>11</v>
      </c>
      <c r="F35" s="16" t="n">
        <v>32</v>
      </c>
      <c r="G35" s="16" t="n">
        <v>30</v>
      </c>
      <c r="I35" s="17">
        <f>IF(OR(ISBLANK(S35),ISBLANK(G35)),"·",S35*G35/F35/1000000)</f>
        <v/>
      </c>
      <c r="J35" s="18">
        <f>IF(ISBLANK(S35),"·",S35/D35)</f>
        <v/>
      </c>
      <c r="K35" s="18">
        <f>IF(N35="","·",N35/D35)</f>
        <v/>
      </c>
      <c r="L35" s="18">
        <f>IF(T35="","·",T35/D35)</f>
        <v/>
      </c>
      <c r="M35" s="18">
        <f>IF(ISBLANK(V35),"·",V35/D35)</f>
        <v/>
      </c>
      <c r="N35" s="142">
        <f>IF(OR(ISBLANK(T35),ISBLANK(U35)),"",T35+U35)</f>
        <v/>
      </c>
      <c r="O35" s="18" t="n">
        <v>16</v>
      </c>
      <c r="P35" s="19" t="n">
        <v>74688855</v>
      </c>
      <c r="Q35" s="19" t="n">
        <v>2334026.71875</v>
      </c>
      <c r="R35" s="19" t="n">
        <v>31011.90625</v>
      </c>
      <c r="S35" s="20" t="n">
        <v>6802112</v>
      </c>
      <c r="T35" s="20" t="n">
        <v>2402376</v>
      </c>
      <c r="U35" s="20" t="n">
        <v>1539000</v>
      </c>
      <c r="V35" s="20" t="n">
        <v>2860736</v>
      </c>
      <c r="W35" s="21" t="n">
        <v>73.19128125</v>
      </c>
      <c r="X35" s="21" t="n">
        <v>75.43056875000001</v>
      </c>
      <c r="Y35" s="21" t="n">
        <v>33.985153125</v>
      </c>
      <c r="Z35" s="21" t="n">
        <v>42.56310625</v>
      </c>
      <c r="AA35" s="21" t="n">
        <v>44.055871875</v>
      </c>
      <c r="AB35" s="22" t="n">
        <v>2938.62</v>
      </c>
      <c r="AC35" s="22" t="n">
        <v>7848.06</v>
      </c>
      <c r="AD35" s="22" t="n">
        <v>28.742</v>
      </c>
      <c r="AE35" s="22" t="n">
        <v>126.27</v>
      </c>
      <c r="AG35" s="17">
        <f>IF(OR(ISBLANK(AQ35),ISBLANK(G35)),"·",AQ35*G35/F35/1000000)</f>
        <v/>
      </c>
      <c r="AH35" s="18">
        <f>IF(ISBLANK(AQ35),"·",AQ35/D35)</f>
        <v/>
      </c>
      <c r="AI35" s="18">
        <f>IF(AL35="","·",AL35/D35)</f>
        <v/>
      </c>
      <c r="AJ35" s="18">
        <f>IF(AR35="","·",AR35/D35)</f>
        <v/>
      </c>
      <c r="AK35" s="18">
        <f>IF(ISBLANK(AT35),"·",AT35/D35)</f>
        <v/>
      </c>
      <c r="AL35" s="142">
        <f>IF(OR(ISBLANK(AR35),ISBLANK(AS35)),"",AR35+AS35)</f>
        <v/>
      </c>
      <c r="AM35" s="18" t="n">
        <v>16</v>
      </c>
      <c r="AN35" s="19" t="n">
        <v>74688855</v>
      </c>
      <c r="AO35" s="19" t="n">
        <v>2334026.71875</v>
      </c>
      <c r="AP35" s="19" t="n">
        <v>31011.90625</v>
      </c>
      <c r="AQ35" s="20" t="n">
        <v>6801032</v>
      </c>
      <c r="AR35" s="20" t="n">
        <v>2402376</v>
      </c>
      <c r="AS35" s="20" t="n">
        <v>1539000</v>
      </c>
      <c r="AT35" s="20" t="n">
        <v>2859656</v>
      </c>
      <c r="AU35" s="21" t="n">
        <v>73.19128125</v>
      </c>
      <c r="AV35" s="21" t="n">
        <v>75.43056875000001</v>
      </c>
      <c r="AW35" s="21" t="n">
        <v>33.996271875</v>
      </c>
      <c r="AX35" s="21" t="n">
        <v>42.563065625</v>
      </c>
      <c r="AY35" s="21" t="n">
        <v>44.04910625</v>
      </c>
      <c r="AZ35" s="22" t="n">
        <v>3038.34</v>
      </c>
      <c r="BA35" s="22" t="n">
        <v>7893.34</v>
      </c>
      <c r="BB35" s="22" t="n">
        <v>175.465</v>
      </c>
      <c r="BC35" s="22" t="n">
        <v>128.308</v>
      </c>
      <c r="BE35" s="72">
        <f>AI35/K35</f>
        <v/>
      </c>
      <c r="BF35" s="24">
        <f>(AP35/AO35) - (R35/Q35)</f>
        <v/>
      </c>
      <c r="BG35" s="24">
        <f>(AL35/AQ35) - (N35/S35)</f>
        <v/>
      </c>
      <c r="BH35" s="24">
        <f ref="BH35" t="array">AVERAGE(AL35:AL39/AQ35:AQ39) - AVERAGE(N35:N39/S35:S39)</f>
        <v/>
      </c>
      <c r="BJ35" s="72">
        <f>IF( OR(ISBLANK(N35:N39),ISBLANK(AL35:AL39), ISBLANK(W35:W39),ISBLANK(AU35:AU39)), "·", bdRateExtend( N35:N39,W35:W39, AL35:AL39,AU35:AU39))</f>
        <v/>
      </c>
      <c r="BK35" s="72">
        <f>IF( OR(ISBLANK(N35:N39),ISBLANK(AL35:AL39), ISBLANK(X35:X39),ISBLANK(AV35:AV39)), "·", bdRateExtend( N35:N39,X35:X39, AL35:AL39,AV35:AV39))</f>
        <v/>
      </c>
      <c r="BL35" s="72">
        <f>IF( OR(ISBLANK(V35:V39),ISBLANK(AT35:AT39), ISBLANK(Y35:Y39),ISBLANK(AW35:AW39)), "·", bdRateExtend( V35:V39,Y35:Y39, AT35:AT39,AW35:AW39))</f>
        <v/>
      </c>
      <c r="BM35" s="72">
        <f>IF( OR(ISBLANK(V35:V39),ISBLANK(AT35:AT39), ISBLANK(Z35:Z39),ISBLANK(AX35:AX39)), "·", bdRateExtend( V35:V39,Z35:Z39, AT35:AT39,AX35:AX39))</f>
        <v/>
      </c>
      <c r="BN35" s="72">
        <f>IF( OR(ISBLANK(V35:V39),ISBLANK(AT35:AT39), ISBLANK(AA35:AA39),ISBLANK(AY35:AY39)), "·", bdRateExtend( V35:V39,AA35:AA39, AT35:AT39,AY35:AY39))</f>
        <v/>
      </c>
      <c r="BP35" s="72">
        <f>IF( OR(ISBLANK(S35:S39),ISBLANK(AQ35:AQ39), ISBLANK(W35:W39),ISBLANK(AU35:AU39)), "·", bdRateExtend( S35:S39,W35:W39, AQ35:AQ39,AU35:AU39))</f>
        <v/>
      </c>
      <c r="BQ35" s="72">
        <f>IF( OR(ISBLANK(S35:S39),ISBLANK(AQ35:AQ39), ISBLANK(X35:X39),ISBLANK(AV35:AV39)), "·", bdRateExtend( S35:S39,X35:X39, AQ35:AQ39,AV35:AV39))</f>
        <v/>
      </c>
      <c r="BR35" s="72">
        <f>IF( OR(ISBLANK(S35:S39),ISBLANK(AQ35:AQ39), ISBLANK(Y35:Y39),ISBLANK(AW35:AW39)), "·", bdRateExtend( S35:S39,Y35:Y39, AQ35:AQ39,AW35:AW39))</f>
        <v/>
      </c>
      <c r="BS35" s="72">
        <f>IF( OR(ISBLANK(S35:S39),ISBLANK(AQ35:AQ39), ISBLANK(Z35:Z39),ISBLANK(AX35:AX39)), "·", bdRateExtend( S35:S39,Z35:Z39, AQ35:AQ39,AX35:AX39))</f>
        <v/>
      </c>
      <c r="BT35" s="72">
        <f>IF( OR(ISBLANK(S35:S39),ISBLANK(AQ35:AQ39), ISBLANK(AA35:AA39),ISBLANK(AY35:AY39)), "·", bdRateExtend( S35:S39,AA35:AA39, AQ35:AQ39,AY35:AY39))</f>
        <v/>
      </c>
    </row>
    <row outlineLevel="1" r="36" s="86">
      <c r="A36" s="25" t="n"/>
      <c r="B36" s="25" t="inlineStr">
        <is>
          <t>dancer_player_vox11</t>
        </is>
      </c>
      <c r="C36" s="26" t="inlineStr">
        <is>
          <t>r02</t>
        </is>
      </c>
      <c r="D36" s="25" t="n">
        <v>333190689</v>
      </c>
      <c r="E36" s="26" t="n">
        <v>11</v>
      </c>
      <c r="F36" s="26" t="n">
        <v>32</v>
      </c>
      <c r="G36" s="26" t="n">
        <v>30</v>
      </c>
      <c r="I36" s="27">
        <f>IF(OR(ISBLANK(S36),ISBLANK(G36)),"·",S36*G36/F36/1000000)</f>
        <v/>
      </c>
      <c r="J36" s="28">
        <f>IF(ISBLANK(S36),"·",S36/D36)</f>
        <v/>
      </c>
      <c r="K36" s="28">
        <f>IF(N36="","·",N36/D36)</f>
        <v/>
      </c>
      <c r="L36" s="28">
        <f>IF(T36="","·",T36/D36)</f>
        <v/>
      </c>
      <c r="M36" s="28">
        <f>IF(ISBLANK(V36),"·",V36/D36)</f>
        <v/>
      </c>
      <c r="N36" s="25">
        <f>IF(OR(ISBLANK(T36),ISBLANK(U36)),"",T36+U36)</f>
        <v/>
      </c>
      <c r="O36" s="28" t="n">
        <v>16</v>
      </c>
      <c r="P36" s="29" t="n">
        <v>79945808</v>
      </c>
      <c r="Q36" s="29" t="n">
        <v>2498306.5</v>
      </c>
      <c r="R36" s="29" t="n">
        <v>39523.15625</v>
      </c>
      <c r="S36" s="30" t="n">
        <v>9678728</v>
      </c>
      <c r="T36" s="30" t="n">
        <v>3267200</v>
      </c>
      <c r="U36" s="30" t="n">
        <v>1539000</v>
      </c>
      <c r="V36" s="30" t="n">
        <v>4872528</v>
      </c>
      <c r="W36" s="31" t="n">
        <v>74.93058125</v>
      </c>
      <c r="X36" s="31" t="n">
        <v>77.35881562500001</v>
      </c>
      <c r="Y36" s="31" t="n">
        <v>36.09506875</v>
      </c>
      <c r="Z36" s="31" t="n">
        <v>43.18996875</v>
      </c>
      <c r="AA36" s="31" t="n">
        <v>45.416678125</v>
      </c>
      <c r="AB36" s="32" t="n">
        <v>2952.33</v>
      </c>
      <c r="AC36" s="32" t="n">
        <v>8095.93</v>
      </c>
      <c r="AD36" s="32" t="n">
        <v>29.628</v>
      </c>
      <c r="AE36" s="32" t="n">
        <v>125.211</v>
      </c>
      <c r="AG36" s="27">
        <f>IF(OR(ISBLANK(AQ36),ISBLANK(G36)),"·",AQ36*G36/F36/1000000)</f>
        <v/>
      </c>
      <c r="AH36" s="28">
        <f>IF(ISBLANK(AQ36),"·",AQ36/D36)</f>
        <v/>
      </c>
      <c r="AI36" s="28">
        <f>IF(AL36="","·",AL36/D36)</f>
        <v/>
      </c>
      <c r="AJ36" s="28">
        <f>IF(AR36="","·",AR36/D36)</f>
        <v/>
      </c>
      <c r="AK36" s="28">
        <f>IF(ISBLANK(AT36),"·",AT36/D36)</f>
        <v/>
      </c>
      <c r="AL36" s="25">
        <f>IF(OR(ISBLANK(AR36),ISBLANK(AS36)),"",AR36+AS36)</f>
        <v/>
      </c>
      <c r="AM36" s="28" t="n">
        <v>16</v>
      </c>
      <c r="AN36" s="29" t="n">
        <v>79945808</v>
      </c>
      <c r="AO36" s="29" t="n">
        <v>2498306.5</v>
      </c>
      <c r="AP36" s="29" t="n">
        <v>39523.15625</v>
      </c>
      <c r="AQ36" s="30" t="n">
        <v>9676912</v>
      </c>
      <c r="AR36" s="30" t="n">
        <v>3267200</v>
      </c>
      <c r="AS36" s="30" t="n">
        <v>1539000</v>
      </c>
      <c r="AT36" s="30" t="n">
        <v>4870712</v>
      </c>
      <c r="AU36" s="31" t="n">
        <v>74.93058125</v>
      </c>
      <c r="AV36" s="31" t="n">
        <v>77.35881562500001</v>
      </c>
      <c r="AW36" s="31" t="n">
        <v>36.098925</v>
      </c>
      <c r="AX36" s="31" t="n">
        <v>43.16859375</v>
      </c>
      <c r="AY36" s="31" t="n">
        <v>45.33574375</v>
      </c>
      <c r="AZ36" s="32" t="n">
        <v>3081.31</v>
      </c>
      <c r="BA36" s="32" t="n">
        <v>8181.02</v>
      </c>
      <c r="BB36" s="32" t="n">
        <v>188.709</v>
      </c>
      <c r="BC36" s="32" t="n">
        <v>138.12</v>
      </c>
      <c r="BE36" s="68">
        <f>AI36/K36</f>
        <v/>
      </c>
      <c r="BF36" s="34">
        <f>(AP36/AO36) - (R36/Q36)</f>
        <v/>
      </c>
      <c r="BG36" s="34">
        <f>(AL36/AQ36) - (N36/S36)</f>
        <v/>
      </c>
      <c r="BH36" s="34" t="n"/>
      <c r="BJ36" s="68" t="n"/>
      <c r="BK36" s="68" t="n"/>
      <c r="BL36" s="68" t="n"/>
      <c r="BM36" s="68" t="n"/>
      <c r="BN36" s="68" t="n"/>
      <c r="BP36" s="68" t="n"/>
      <c r="BQ36" s="68" t="n"/>
      <c r="BR36" s="68" t="n"/>
      <c r="BS36" s="68" t="n"/>
      <c r="BT36" s="68" t="n"/>
    </row>
    <row outlineLevel="1" r="37" s="86">
      <c r="A37" s="142" t="n"/>
      <c r="B37" s="142" t="inlineStr">
        <is>
          <t>dancer_player_vox11</t>
        </is>
      </c>
      <c r="C37" s="16" t="inlineStr">
        <is>
          <t>r03</t>
        </is>
      </c>
      <c r="D37" s="142" t="n">
        <v>333190689</v>
      </c>
      <c r="E37" s="16" t="n">
        <v>11</v>
      </c>
      <c r="F37" s="16" t="n">
        <v>32</v>
      </c>
      <c r="G37" s="16" t="n">
        <v>30</v>
      </c>
      <c r="I37" s="17">
        <f>IF(OR(ISBLANK(S37),ISBLANK(G37)),"·",S37*G37/F37/1000000)</f>
        <v/>
      </c>
      <c r="J37" s="18">
        <f>IF(ISBLANK(S37),"·",S37/D37)</f>
        <v/>
      </c>
      <c r="K37" s="18">
        <f>IF(N37="","·",N37/D37)</f>
        <v/>
      </c>
      <c r="L37" s="18">
        <f>IF(T37="","·",T37/D37)</f>
        <v/>
      </c>
      <c r="M37" s="18">
        <f>IF(ISBLANK(V37),"·",V37/D37)</f>
        <v/>
      </c>
      <c r="N37" s="142">
        <f>IF(OR(ISBLANK(T37),ISBLANK(U37)),"",T37+U37)</f>
        <v/>
      </c>
      <c r="O37" s="18" t="n">
        <v>16</v>
      </c>
      <c r="P37" s="19" t="n">
        <v>81780101</v>
      </c>
      <c r="Q37" s="19" t="n">
        <v>2555628.15625</v>
      </c>
      <c r="R37" s="19" t="n">
        <v>43014.71875</v>
      </c>
      <c r="S37" s="20" t="n">
        <v>14717688</v>
      </c>
      <c r="T37" s="20" t="n">
        <v>4533024</v>
      </c>
      <c r="U37" s="20" t="n">
        <v>1539000</v>
      </c>
      <c r="V37" s="20" t="n">
        <v>8645664</v>
      </c>
      <c r="W37" s="21" t="n">
        <v>76.23881249999999</v>
      </c>
      <c r="X37" s="21" t="n">
        <v>78.941209375</v>
      </c>
      <c r="Y37" s="21" t="n">
        <v>37.93564375</v>
      </c>
      <c r="Z37" s="21" t="n">
        <v>43.76101875</v>
      </c>
      <c r="AA37" s="21" t="n">
        <v>46.521678125</v>
      </c>
      <c r="AB37" s="22" t="n">
        <v>2949.67</v>
      </c>
      <c r="AC37" s="22" t="n">
        <v>8310.23</v>
      </c>
      <c r="AD37" s="22" t="n">
        <v>29.708</v>
      </c>
      <c r="AE37" s="22" t="n">
        <v>127.615</v>
      </c>
      <c r="AG37" s="17">
        <f>IF(OR(ISBLANK(AQ37),ISBLANK(G37)),"·",AQ37*G37/F37/1000000)</f>
        <v/>
      </c>
      <c r="AH37" s="18">
        <f>IF(ISBLANK(AQ37),"·",AQ37/D37)</f>
        <v/>
      </c>
      <c r="AI37" s="18">
        <f>IF(AL37="","·",AL37/D37)</f>
        <v/>
      </c>
      <c r="AJ37" s="18">
        <f>IF(AR37="","·",AR37/D37)</f>
        <v/>
      </c>
      <c r="AK37" s="18">
        <f>IF(ISBLANK(AT37),"·",AT37/D37)</f>
        <v/>
      </c>
      <c r="AL37" s="142">
        <f>IF(OR(ISBLANK(AR37),ISBLANK(AS37)),"",AR37+AS37)</f>
        <v/>
      </c>
      <c r="AM37" s="18" t="n">
        <v>16</v>
      </c>
      <c r="AN37" s="19" t="n">
        <v>81780101</v>
      </c>
      <c r="AO37" s="19" t="n">
        <v>2555628.15625</v>
      </c>
      <c r="AP37" s="19" t="n">
        <v>43014.71875</v>
      </c>
      <c r="AQ37" s="20" t="n">
        <v>14699192</v>
      </c>
      <c r="AR37" s="20" t="n">
        <v>4533024</v>
      </c>
      <c r="AS37" s="20" t="n">
        <v>1539000</v>
      </c>
      <c r="AT37" s="20" t="n">
        <v>8627168</v>
      </c>
      <c r="AU37" s="21" t="n">
        <v>76.23881249999999</v>
      </c>
      <c r="AV37" s="21" t="n">
        <v>78.941209375</v>
      </c>
      <c r="AW37" s="21" t="n">
        <v>37.928059375</v>
      </c>
      <c r="AX37" s="21" t="n">
        <v>43.7452625</v>
      </c>
      <c r="AY37" s="21" t="n">
        <v>46.49266875</v>
      </c>
      <c r="AZ37" s="22" t="n">
        <v>3089.51</v>
      </c>
      <c r="BA37" s="22" t="n">
        <v>8362.73</v>
      </c>
      <c r="BB37" s="22" t="n">
        <v>191.748</v>
      </c>
      <c r="BC37" s="22" t="n">
        <v>132.95</v>
      </c>
      <c r="BE37" s="72">
        <f>AI37/K37</f>
        <v/>
      </c>
      <c r="BF37" s="24">
        <f>(AP37/AO37) - (R37/Q37)</f>
        <v/>
      </c>
      <c r="BG37" s="24">
        <f>(AL37/AQ37) - (N37/S37)</f>
        <v/>
      </c>
      <c r="BH37" s="24" t="n"/>
      <c r="BJ37" s="72" t="n"/>
      <c r="BK37" s="72" t="n"/>
      <c r="BL37" s="72" t="n"/>
      <c r="BM37" s="72" t="n"/>
      <c r="BN37" s="72" t="n"/>
      <c r="BP37" s="72" t="n"/>
      <c r="BQ37" s="72" t="n"/>
      <c r="BR37" s="72" t="n"/>
      <c r="BS37" s="72" t="n"/>
      <c r="BT37" s="72" t="n"/>
    </row>
    <row outlineLevel="1" r="38" s="86">
      <c r="A38" s="25" t="n"/>
      <c r="B38" s="25" t="inlineStr">
        <is>
          <t>dancer_player_vox11</t>
        </is>
      </c>
      <c r="C38" s="26" t="inlineStr">
        <is>
          <t>r04</t>
        </is>
      </c>
      <c r="D38" s="25" t="n">
        <v>333190689</v>
      </c>
      <c r="E38" s="26" t="n">
        <v>11</v>
      </c>
      <c r="F38" s="26" t="n">
        <v>32</v>
      </c>
      <c r="G38" s="26" t="n">
        <v>30</v>
      </c>
      <c r="I38" s="27">
        <f>IF(OR(ISBLANK(S38),ISBLANK(G38)),"·",S38*G38/F38/1000000)</f>
        <v/>
      </c>
      <c r="J38" s="28">
        <f>IF(ISBLANK(S38),"·",S38/D38)</f>
        <v/>
      </c>
      <c r="K38" s="28">
        <f>IF(N38="","·",N38/D38)</f>
        <v/>
      </c>
      <c r="L38" s="28">
        <f>IF(T38="","·",T38/D38)</f>
        <v/>
      </c>
      <c r="M38" s="28">
        <f>IF(ISBLANK(V38),"·",V38/D38)</f>
        <v/>
      </c>
      <c r="N38" s="25">
        <f>IF(OR(ISBLANK(T38),ISBLANK(U38)),"",T38+U38)</f>
        <v/>
      </c>
      <c r="O38" s="28" t="n">
        <v>16</v>
      </c>
      <c r="P38" s="29" t="n">
        <v>83963908</v>
      </c>
      <c r="Q38" s="29" t="n">
        <v>2623872.125</v>
      </c>
      <c r="R38" s="29" t="n">
        <v>48278.125</v>
      </c>
      <c r="S38" s="30" t="n">
        <v>24609912</v>
      </c>
      <c r="T38" s="30" t="n">
        <v>6596984</v>
      </c>
      <c r="U38" s="30" t="n">
        <v>1539000</v>
      </c>
      <c r="V38" s="30" t="n">
        <v>16473928</v>
      </c>
      <c r="W38" s="31" t="n">
        <v>77.41841562499999</v>
      </c>
      <c r="X38" s="31" t="n">
        <v>80.14051875</v>
      </c>
      <c r="Y38" s="31" t="n">
        <v>39.70821875</v>
      </c>
      <c r="Z38" s="31" t="n">
        <v>44.538234375</v>
      </c>
      <c r="AA38" s="31" t="n">
        <v>47.8141625</v>
      </c>
      <c r="AB38" s="32" t="n">
        <v>2943.34</v>
      </c>
      <c r="AC38" s="32" t="n">
        <v>8653.02</v>
      </c>
      <c r="AD38" s="32" t="n">
        <v>30.016</v>
      </c>
      <c r="AE38" s="32" t="n">
        <v>129.985</v>
      </c>
      <c r="AG38" s="27">
        <f>IF(OR(ISBLANK(AQ38),ISBLANK(G38)),"·",AQ38*G38/F38/1000000)</f>
        <v/>
      </c>
      <c r="AH38" s="28">
        <f>IF(ISBLANK(AQ38),"·",AQ38/D38)</f>
        <v/>
      </c>
      <c r="AI38" s="28">
        <f>IF(AL38="","·",AL38/D38)</f>
        <v/>
      </c>
      <c r="AJ38" s="28">
        <f>IF(AR38="","·",AR38/D38)</f>
        <v/>
      </c>
      <c r="AK38" s="28">
        <f>IF(ISBLANK(AT38),"·",AT38/D38)</f>
        <v/>
      </c>
      <c r="AL38" s="25">
        <f>IF(OR(ISBLANK(AR38),ISBLANK(AS38)),"",AR38+AS38)</f>
        <v/>
      </c>
      <c r="AM38" s="28" t="n">
        <v>16</v>
      </c>
      <c r="AN38" s="29" t="n">
        <v>83963908</v>
      </c>
      <c r="AO38" s="29" t="n">
        <v>2623872.125</v>
      </c>
      <c r="AP38" s="29" t="n">
        <v>48278.125</v>
      </c>
      <c r="AQ38" s="30" t="n">
        <v>24555320</v>
      </c>
      <c r="AR38" s="30" t="n">
        <v>6596984</v>
      </c>
      <c r="AS38" s="30" t="n">
        <v>1539000</v>
      </c>
      <c r="AT38" s="30" t="n">
        <v>16419336</v>
      </c>
      <c r="AU38" s="31" t="n">
        <v>77.41841562499999</v>
      </c>
      <c r="AV38" s="31" t="n">
        <v>80.14051875</v>
      </c>
      <c r="AW38" s="31" t="n">
        <v>39.6967125</v>
      </c>
      <c r="AX38" s="31" t="n">
        <v>44.531153125</v>
      </c>
      <c r="AY38" s="31" t="n">
        <v>47.804796875</v>
      </c>
      <c r="AZ38" s="32" t="n">
        <v>3063.18</v>
      </c>
      <c r="BA38" s="32" t="n">
        <v>8723.74</v>
      </c>
      <c r="BB38" s="32" t="n">
        <v>195.725</v>
      </c>
      <c r="BC38" s="32" t="n">
        <v>134.053</v>
      </c>
      <c r="BE38" s="68">
        <f>AI38/K38</f>
        <v/>
      </c>
      <c r="BF38" s="34">
        <f>(AP38/AO38) - (R38/Q38)</f>
        <v/>
      </c>
      <c r="BG38" s="34">
        <f>(AL38/AQ38) - (N38/S38)</f>
        <v/>
      </c>
      <c r="BH38" s="34" t="n"/>
      <c r="BJ38" s="68" t="n"/>
      <c r="BK38" s="68" t="n"/>
      <c r="BL38" s="68" t="n"/>
      <c r="BM38" s="68" t="n"/>
      <c r="BN38" s="68" t="n"/>
      <c r="BP38" s="68" t="n"/>
      <c r="BQ38" s="68" t="n"/>
      <c r="BR38" s="68" t="n"/>
      <c r="BS38" s="68" t="n"/>
      <c r="BT38" s="68" t="n"/>
    </row>
    <row outlineLevel="1" r="39" s="86">
      <c r="A39" s="35" t="n"/>
      <c r="B39" s="35" t="inlineStr">
        <is>
          <t>dancer_player_vox11</t>
        </is>
      </c>
      <c r="C39" s="36" t="inlineStr">
        <is>
          <t>r05</t>
        </is>
      </c>
      <c r="D39" s="35" t="n">
        <v>333190689</v>
      </c>
      <c r="E39" s="36" t="n">
        <v>11</v>
      </c>
      <c r="F39" s="36" t="n">
        <v>32</v>
      </c>
      <c r="G39" s="36" t="n">
        <v>30</v>
      </c>
      <c r="I39" s="37">
        <f>IF(OR(ISBLANK(S39),ISBLANK(G39)),"·",S39*G39/F39/1000000)</f>
        <v/>
      </c>
      <c r="J39" s="38">
        <f>IF(ISBLANK(S39),"·",S39/D39)</f>
        <v/>
      </c>
      <c r="K39" s="38">
        <f>IF(N39="","·",N39/D39)</f>
        <v/>
      </c>
      <c r="L39" s="38">
        <f>IF(T39="","·",T39/D39)</f>
        <v/>
      </c>
      <c r="M39" s="38">
        <f>IF(ISBLANK(V39),"·",V39/D39)</f>
        <v/>
      </c>
      <c r="N39" s="35">
        <f>IF(OR(ISBLANK(T39),ISBLANK(U39)),"",T39+U39)</f>
        <v/>
      </c>
      <c r="O39" s="38" t="n">
        <v>16</v>
      </c>
      <c r="P39" s="39" t="n">
        <v>82025858</v>
      </c>
      <c r="Q39" s="39" t="n">
        <v>2563308.0625</v>
      </c>
      <c r="R39" s="39" t="n">
        <v>19366.5625</v>
      </c>
      <c r="S39" s="40" t="n">
        <v>45267408</v>
      </c>
      <c r="T39" s="40" t="n">
        <v>10034760</v>
      </c>
      <c r="U39" s="40" t="n">
        <v>3122960</v>
      </c>
      <c r="V39" s="40" t="n">
        <v>32109688</v>
      </c>
      <c r="W39" s="41" t="n">
        <v>78.31823125</v>
      </c>
      <c r="X39" s="41" t="n">
        <v>81.877509375</v>
      </c>
      <c r="Y39" s="41" t="n">
        <v>41.3039375</v>
      </c>
      <c r="Z39" s="41" t="n">
        <v>45.53430625</v>
      </c>
      <c r="AA39" s="41" t="n">
        <v>49.13074375</v>
      </c>
      <c r="AB39" s="42" t="n">
        <v>2943.06</v>
      </c>
      <c r="AC39" s="42" t="n">
        <v>9336.549999999999</v>
      </c>
      <c r="AD39" s="42" t="n">
        <v>30.176</v>
      </c>
      <c r="AE39" s="42" t="n">
        <v>135.157</v>
      </c>
      <c r="AG39" s="37">
        <f>IF(OR(ISBLANK(AQ39),ISBLANK(G39)),"·",AQ39*G39/F39/1000000)</f>
        <v/>
      </c>
      <c r="AH39" s="38">
        <f>IF(ISBLANK(AQ39),"·",AQ39/D39)</f>
        <v/>
      </c>
      <c r="AI39" s="38">
        <f>IF(AL39="","·",AL39/D39)</f>
        <v/>
      </c>
      <c r="AJ39" s="38">
        <f>IF(AR39="","·",AR39/D39)</f>
        <v/>
      </c>
      <c r="AK39" s="38">
        <f>IF(ISBLANK(AT39),"·",AT39/D39)</f>
        <v/>
      </c>
      <c r="AL39" s="35">
        <f>IF(OR(ISBLANK(AR39),ISBLANK(AS39)),"",AR39+AS39)</f>
        <v/>
      </c>
      <c r="AM39" s="38" t="n">
        <v>16</v>
      </c>
      <c r="AN39" s="39" t="n">
        <v>82025858</v>
      </c>
      <c r="AO39" s="39" t="n">
        <v>2563308.0625</v>
      </c>
      <c r="AP39" s="39" t="n">
        <v>19366.5625</v>
      </c>
      <c r="AQ39" s="40" t="n">
        <v>45217624</v>
      </c>
      <c r="AR39" s="40" t="n">
        <v>10034760</v>
      </c>
      <c r="AS39" s="40" t="n">
        <v>3122960</v>
      </c>
      <c r="AT39" s="40" t="n">
        <v>32059904</v>
      </c>
      <c r="AU39" s="41" t="n">
        <v>78.31823125</v>
      </c>
      <c r="AV39" s="41" t="n">
        <v>81.877509375</v>
      </c>
      <c r="AW39" s="41" t="n">
        <v>41.29790625</v>
      </c>
      <c r="AX39" s="41" t="n">
        <v>45.53700625</v>
      </c>
      <c r="AY39" s="41" t="n">
        <v>49.137196875</v>
      </c>
      <c r="AZ39" s="42" t="n">
        <v>3056.83</v>
      </c>
      <c r="BA39" s="42" t="n">
        <v>9409.74</v>
      </c>
      <c r="BB39" s="42" t="n">
        <v>191.585</v>
      </c>
      <c r="BC39" s="42" t="n">
        <v>141.969</v>
      </c>
      <c r="BE39" s="43">
        <f>AI39/K39</f>
        <v/>
      </c>
      <c r="BF39" s="44">
        <f>(AP39/AO39) - (R39/Q39)</f>
        <v/>
      </c>
      <c r="BG39" s="44">
        <f>(AL39/AQ39) - (N39/S39)</f>
        <v/>
      </c>
      <c r="BH39" s="44" t="n"/>
      <c r="BJ39" s="43" t="n"/>
      <c r="BK39" s="43" t="n"/>
      <c r="BL39" s="43" t="n"/>
      <c r="BM39" s="43" t="n"/>
      <c r="BN39" s="43" t="n"/>
      <c r="BP39" s="43" t="n"/>
      <c r="BQ39" s="43" t="n"/>
      <c r="BR39" s="43" t="n"/>
      <c r="BS39" s="43" t="n"/>
      <c r="BT39" s="43" t="n"/>
    </row>
    <row r="40">
      <c r="B40" s="55" t="inlineStr">
        <is>
          <t>Cat2-A average</t>
        </is>
      </c>
      <c r="J40" s="56">
        <f>AVERAGE(J5:J24)</f>
        <v/>
      </c>
      <c r="K40" s="56">
        <f>AVERAGE(K5:K24)</f>
        <v/>
      </c>
      <c r="L40" s="56">
        <f>AVERAGE(L5:L24)</f>
        <v/>
      </c>
      <c r="M40" s="56">
        <f>AVERAGE(M5:M24)</f>
        <v/>
      </c>
      <c r="AH40" s="56">
        <f>AVERAGE(AH5:AH24)</f>
        <v/>
      </c>
      <c r="AI40" s="56">
        <f>AVERAGE(AI5:AI24)</f>
        <v/>
      </c>
      <c r="AJ40" s="56">
        <f>AVERAGE(AJ5:AJ24)</f>
        <v/>
      </c>
      <c r="AK40" s="56">
        <f>AVERAGE(AK5:AK24)</f>
        <v/>
      </c>
      <c r="BE40" s="81">
        <f>AI40/K40</f>
        <v/>
      </c>
      <c r="BH40" s="171">
        <f>AVERAGE(BH5:BH24)</f>
        <v/>
      </c>
      <c r="BJ40" s="81">
        <f>AVERAGE(BJ5:BJ24)</f>
        <v/>
      </c>
      <c r="BK40" s="81">
        <f>AVERAGE(BK5:BK24)</f>
        <v/>
      </c>
      <c r="BL40" s="81">
        <f>AVERAGE(BL5:BL24)</f>
        <v/>
      </c>
      <c r="BM40" s="81">
        <f>AVERAGE(BM5:BM24)</f>
        <v/>
      </c>
      <c r="BN40" s="81">
        <f>AVERAGE(BN5:BN24)</f>
        <v/>
      </c>
      <c r="BP40" s="81">
        <f>AVERAGE(BP5:BP24)</f>
        <v/>
      </c>
      <c r="BQ40" s="81">
        <f>AVERAGE(BQ5:BQ24)</f>
        <v/>
      </c>
      <c r="BR40" s="81">
        <f>AVERAGE(BR5:BR24)</f>
        <v/>
      </c>
      <c r="BS40" s="81">
        <f>AVERAGE(BS5:BS24)</f>
        <v/>
      </c>
      <c r="BT40" s="81">
        <f>AVERAGE(BT5:BT24)</f>
        <v/>
      </c>
    </row>
    <row r="41">
      <c r="B41" s="55" t="inlineStr">
        <is>
          <t>Cat2-B average</t>
        </is>
      </c>
      <c r="J41" s="56">
        <f>AVERAGE(J25:J29)</f>
        <v/>
      </c>
      <c r="K41" s="56">
        <f>AVERAGE(K25:K29)</f>
        <v/>
      </c>
      <c r="L41" s="56">
        <f>AVERAGE(L25:L29)</f>
        <v/>
      </c>
      <c r="M41" s="56">
        <f>AVERAGE(M25:M29)</f>
        <v/>
      </c>
      <c r="AH41" s="56">
        <f>AVERAGE(AH25:AH29)</f>
        <v/>
      </c>
      <c r="AI41" s="56">
        <f>AVERAGE(AI25:AI29)</f>
        <v/>
      </c>
      <c r="AJ41" s="56">
        <f>AVERAGE(AJ25:AJ29)</f>
        <v/>
      </c>
      <c r="AK41" s="56">
        <f>AVERAGE(AK25:AK29)</f>
        <v/>
      </c>
      <c r="BE41" s="81">
        <f>AI41/K41</f>
        <v/>
      </c>
      <c r="BH41" s="171">
        <f>AVERAGE(BH25:BH29)</f>
        <v/>
      </c>
      <c r="BJ41" s="81">
        <f>AVERAGE(BJ25:BJ29)</f>
        <v/>
      </c>
      <c r="BK41" s="81">
        <f>AVERAGE(BK25:BK29)</f>
        <v/>
      </c>
      <c r="BL41" s="81">
        <f>AVERAGE(BL25:BL29)</f>
        <v/>
      </c>
      <c r="BM41" s="81">
        <f>AVERAGE(BM25:BM29)</f>
        <v/>
      </c>
      <c r="BN41" s="81">
        <f>AVERAGE(BN25:BN29)</f>
        <v/>
      </c>
      <c r="BP41" s="81">
        <f>AVERAGE(BP25:BP29)</f>
        <v/>
      </c>
      <c r="BQ41" s="81">
        <f>AVERAGE(BQ25:BQ29)</f>
        <v/>
      </c>
      <c r="BR41" s="81">
        <f>AVERAGE(BR25:BR29)</f>
        <v/>
      </c>
      <c r="BS41" s="81">
        <f>AVERAGE(BS25:BS29)</f>
        <v/>
      </c>
      <c r="BT41" s="81">
        <f>AVERAGE(BT25:BT29)</f>
        <v/>
      </c>
    </row>
    <row r="42">
      <c r="B42" s="55" t="inlineStr">
        <is>
          <t>Cat2-C average</t>
        </is>
      </c>
      <c r="J42" s="56">
        <f>AVERAGE(J30:J39)</f>
        <v/>
      </c>
      <c r="K42" s="56">
        <f>AVERAGE(K30:K39)</f>
        <v/>
      </c>
      <c r="L42" s="56">
        <f>AVERAGE(L30:L39)</f>
        <v/>
      </c>
      <c r="M42" s="56">
        <f>AVERAGE(M30:M39)</f>
        <v/>
      </c>
      <c r="AH42" s="56">
        <f>AVERAGE(AH30:AH39)</f>
        <v/>
      </c>
      <c r="AI42" s="56">
        <f>AVERAGE(AI30:AI39)</f>
        <v/>
      </c>
      <c r="AJ42" s="56">
        <f>AVERAGE(AJ30:AJ39)</f>
        <v/>
      </c>
      <c r="AK42" s="56">
        <f>AVERAGE(AK30:AK39)</f>
        <v/>
      </c>
      <c r="BE42" s="81">
        <f>AI42/K42</f>
        <v/>
      </c>
      <c r="BH42" s="171">
        <f>AVERAGE(BH30:BH39)</f>
        <v/>
      </c>
      <c r="BJ42" s="81">
        <f>AVERAGE(BJ30:BJ39)</f>
        <v/>
      </c>
      <c r="BK42" s="81">
        <f>AVERAGE(BK30:BK39)</f>
        <v/>
      </c>
      <c r="BL42" s="81">
        <f>AVERAGE(BL30:BL39)</f>
        <v/>
      </c>
      <c r="BM42" s="81">
        <f>AVERAGE(BM30:BM39)</f>
        <v/>
      </c>
      <c r="BN42" s="81">
        <f>AVERAGE(BN30:BN39)</f>
        <v/>
      </c>
      <c r="BP42" s="81">
        <f>AVERAGE(BP30:BP39)</f>
        <v/>
      </c>
      <c r="BQ42" s="81">
        <f>AVERAGE(BQ30:BQ39)</f>
        <v/>
      </c>
      <c r="BR42" s="81">
        <f>AVERAGE(BR30:BR39)</f>
        <v/>
      </c>
      <c r="BS42" s="81">
        <f>AVERAGE(BS30:BS39)</f>
        <v/>
      </c>
      <c r="BT42" s="81">
        <f>AVERAGE(BT30:BT39)</f>
        <v/>
      </c>
    </row>
    <row r="43">
      <c r="B43" s="55" t="inlineStr">
        <is>
          <t>Overall average</t>
        </is>
      </c>
      <c r="J43" s="56">
        <f>AVERAGE(J5:J39)</f>
        <v/>
      </c>
      <c r="K43" s="56">
        <f>AVERAGE(K5:K39)</f>
        <v/>
      </c>
      <c r="L43" s="56">
        <f>AVERAGE(L5:L39)</f>
        <v/>
      </c>
      <c r="M43" s="56">
        <f>AVERAGE(M5:M39)</f>
        <v/>
      </c>
      <c r="AH43" s="56">
        <f>AVERAGE(AH5:AH39)</f>
        <v/>
      </c>
      <c r="AI43" s="56">
        <f>AVERAGE(AI5:AI39)</f>
        <v/>
      </c>
      <c r="AJ43" s="56">
        <f>AVERAGE(AJ5:AJ39)</f>
        <v/>
      </c>
      <c r="AK43" s="56">
        <f>AVERAGE(AK5:AK39)</f>
        <v/>
      </c>
      <c r="BE43" s="81">
        <f>AI43/K43</f>
        <v/>
      </c>
      <c r="BH43" s="171">
        <f>AVERAGE(BH5:BH39)</f>
        <v/>
      </c>
      <c r="BJ43" s="81">
        <f>AVERAGE(BJ5:BJ39)</f>
        <v/>
      </c>
      <c r="BK43" s="81">
        <f>AVERAGE(BK5:BK39)</f>
        <v/>
      </c>
      <c r="BL43" s="81">
        <f>AVERAGE(BL5:BL39)</f>
        <v/>
      </c>
      <c r="BM43" s="81">
        <f>AVERAGE(BM5:BM39)</f>
        <v/>
      </c>
      <c r="BN43" s="81">
        <f>AVERAGE(BN5:BN39)</f>
        <v/>
      </c>
      <c r="BP43" s="81">
        <f>AVERAGE(BP5:BP39)</f>
        <v/>
      </c>
      <c r="BQ43" s="81">
        <f>AVERAGE(BQ5:BQ39)</f>
        <v/>
      </c>
      <c r="BR43" s="81">
        <f>AVERAGE(BR5:BR39)</f>
        <v/>
      </c>
      <c r="BS43" s="81">
        <f>AVERAGE(BS5:BS39)</f>
        <v/>
      </c>
      <c r="BT43" s="81">
        <f>AVERAGE(BT5:BT39)</f>
        <v/>
      </c>
    </row>
    <row hidden="1" outlineLevel="2" r="44" s="86">
      <c r="A44" s="55" t="inlineStr">
        <is>
          <t>Overall</t>
        </is>
      </c>
      <c r="B44" s="55" t="inlineStr">
        <is>
          <t>Total time [s]</t>
        </is>
      </c>
      <c r="AB44" s="57">
        <f>SUM(AB5:AB24,AB25:AB29,AB30:AB39)</f>
        <v/>
      </c>
      <c r="AC44" s="57">
        <f>SUM(AC5:AC24,AC25:AC29,AC30:AC39)</f>
        <v/>
      </c>
      <c r="AD44" s="57">
        <f>SUM(AD5:AD24,AD25:AD29,AD30:AD39)</f>
        <v/>
      </c>
      <c r="AE44" s="57">
        <f>SUM(AE5:AE24,AE25:AE29,AE30:AE39)</f>
        <v/>
      </c>
      <c r="AZ44" s="57">
        <f>SUM(AZ5:AZ24,AZ25:AZ29,AZ30:AZ39)</f>
        <v/>
      </c>
      <c r="BA44" s="57">
        <f>SUM(BA5:BA24,BA25:BA29,BA30:BA39)</f>
        <v/>
      </c>
      <c r="BB44" s="57">
        <f>SUM(BB5:BB24,BB25:BB29,BB30:BB39)</f>
        <v/>
      </c>
      <c r="BC44" s="57">
        <f>SUM(BC5:BC24,BC25:BC29,BC30:BC39)</f>
        <v/>
      </c>
    </row>
    <row hidden="1" outlineLevel="2" r="45" s="86">
      <c r="B45" s="55" t="inlineStr">
        <is>
          <t>Total time [%]</t>
        </is>
      </c>
      <c r="AZ45" s="171">
        <f>AZ44/AB44</f>
        <v/>
      </c>
      <c r="BA45" s="171">
        <f>BA44/AC44</f>
        <v/>
      </c>
      <c r="BB45" s="171">
        <f>BB44/AD44</f>
        <v/>
      </c>
      <c r="BC45" s="171">
        <f>BC44/AE44</f>
        <v/>
      </c>
    </row>
    <row hidden="1" outlineLevel="2" r="46" s="86">
      <c r="B46" s="55" t="inlineStr">
        <is>
          <t>Avg (geometric) time [s]</t>
        </is>
      </c>
      <c r="AB46" s="57">
        <f>GEOMEAN(AB5:AB24,AB25:AB29,AB30:AB39)</f>
        <v/>
      </c>
      <c r="AC46" s="57">
        <f>GEOMEAN(AC5:AC24,AC25:AC29,AC30:AC39)</f>
        <v/>
      </c>
      <c r="AD46" s="57">
        <f>GEOMEAN(AD5:AD24,AD25:AD29,AD30:AD39)</f>
        <v/>
      </c>
      <c r="AE46" s="57">
        <f>GEOMEAN(AE5:AE24,AE25:AE29,AE30:AE39)</f>
        <v/>
      </c>
      <c r="AZ46" s="57">
        <f>GEOMEAN(AZ5:AZ24,AZ25:AZ29,AZ30:AZ39)</f>
        <v/>
      </c>
      <c r="BA46" s="57">
        <f>GEOMEAN(BA5:BA24,BA25:BA29,BA30:BA39)</f>
        <v/>
      </c>
      <c r="BB46" s="57">
        <f>GEOMEAN(BB5:BB24,BB25:BB29,BB30:BB39)</f>
        <v/>
      </c>
      <c r="BC46" s="57">
        <f>GEOMEAN(BC5:BC24,BC25:BC29,BC30:BC39)</f>
        <v/>
      </c>
    </row>
    <row collapsed="1" outlineLevel="2" r="47" s="86">
      <c r="B47" s="55" t="inlineStr">
        <is>
          <t>Avg (geometric) time [%]</t>
        </is>
      </c>
      <c r="AZ47" s="171">
        <f>AZ46/AB46</f>
        <v/>
      </c>
      <c r="BA47" s="171">
        <f>BA46/AC46</f>
        <v/>
      </c>
      <c r="BB47" s="171">
        <f>BB46/AD46</f>
        <v/>
      </c>
      <c r="BC47" s="171">
        <f>BC46/AE46</f>
        <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dxfId="1" operator="greaterThanOrEqual" priority="1" type="cellIs">
      <formula>1.03</formula>
    </cfRule>
    <cfRule dxfId="0" operator="lessThanOrEqual" priority="2" type="cellIs">
      <formula>0.97</formula>
    </cfRule>
  </conditionalFormatting>
  <conditionalFormatting sqref="BJ5 BJ6 BJ7 BJ8 BJ9 BJ10 BJ11 BJ12 BJ13 BJ14 BJ15 BJ16 BJ17 BJ18 BJ19 BJ20 BJ21 BJ22 BJ23 BJ24 BJ25 BJ26 BJ27 BJ28 BJ29 BJ30 BJ31 BJ32 BJ33 BJ34 BJ35 BJ36 BJ37 BJ38 BJ39 BJ40 BJ41 BJ42 BJ43">
    <cfRule dxfId="1" operator="greaterThanOrEqual" priority="21" type="cellIs">
      <formula>0.03</formula>
    </cfRule>
    <cfRule dxfId="0" operator="lessThanOrEqual" priority="22" type="cellIs">
      <formula>-0.03</formula>
    </cfRule>
  </conditionalFormatting>
  <conditionalFormatting sqref="BK5 BK6 BK7 BK8 BK9 BK10 BK11 BK12 BK13 BK14 BK15 BK16 BK17 BK18 BK19 BK20 BK21 BK22 BK23 BK24 BK25 BK26 BK27 BK28 BK29 BK30 BK31 BK32 BK33 BK34 BK35 BK36 BK37 BK38 BK39 BK40 BK41 BK42 BK43">
    <cfRule dxfId="1" operator="greaterThanOrEqual" priority="19" type="cellIs">
      <formula>0.03</formula>
    </cfRule>
    <cfRule dxfId="0" operator="lessThanOrEqual" priority="20" type="cellIs">
      <formula>-0.03</formula>
    </cfRule>
  </conditionalFormatting>
  <conditionalFormatting sqref="BL5 BL6 BL7 BL8 BL9 BL10 BL11 BL12 BL13 BL14 BL15 BL16 BL17 BL18 BL19 BL20 BL21 BL22 BL23 BL24 BL25 BL26 BL27 BL28 BL29 BL30 BL31 BL32 BL33 BL34 BL35 BL36 BL37 BL38 BL39 BL40 BL41 BL42 BL43">
    <cfRule dxfId="1" operator="greaterThanOrEqual" priority="5" type="cellIs">
      <formula>0.03</formula>
    </cfRule>
    <cfRule dxfId="0" operator="lessThanOrEqual" priority="6" type="cellIs">
      <formula>-0.03</formula>
    </cfRule>
  </conditionalFormatting>
  <conditionalFormatting sqref="BM5 BM6 BM7 BM8 BM9 BM10 BM11 BM12 BM13 BM14 BM15 BM16 BM17 BM18 BM19 BM20 BM21 BM22 BM23 BM24 BM25 BM26 BM27 BM28 BM29 BM30 BM31 BM32 BM33 BM34 BM35 BM36 BM37 BM38 BM39 BM40 BM41 BM42 BM43">
    <cfRule dxfId="1" operator="greaterThanOrEqual" priority="9" type="cellIs">
      <formula>0.03</formula>
    </cfRule>
    <cfRule dxfId="0" operator="lessThanOrEqual" priority="10" type="cellIs">
      <formula>-0.03</formula>
    </cfRule>
  </conditionalFormatting>
  <conditionalFormatting sqref="BN5 BN6 BN7 BN8 BN9 BN10 BN11 BN12 BN13 BN14 BN15 BN16 BN17 BN18 BN19 BN20 BN21 BN22 BN23 BN24 BN25 BN26 BN27 BN28 BN29 BN30 BN31 BN32 BN33 BN34 BN35 BN36 BN37 BN38 BN39 BN40 BN41 BN42 BN43">
    <cfRule dxfId="1" operator="greaterThanOrEqual" priority="11" type="cellIs">
      <formula>0.03</formula>
    </cfRule>
    <cfRule dxfId="0" operator="lessThanOrEqual" priority="12" type="cellIs">
      <formula>-0.03</formula>
    </cfRule>
  </conditionalFormatting>
  <conditionalFormatting sqref="BP5 BP6 BP7 BP8 BP9 BP10 BP11 BP12 BP13 BP14 BP15 BP16 BP17 BP18 BP19 BP20 BP21 BP22 BP23 BP24 BP25 BP26 BP27 BP28 BP29 BP30 BP31 BP32 BP33 BP34 BP35 BP36 BP37 BP38 BP39 BP40 BP41 BP42 BP43">
    <cfRule dxfId="1" operator="greaterThanOrEqual" priority="7" type="cellIs">
      <formula>0.03</formula>
    </cfRule>
    <cfRule dxfId="0" operator="lessThanOrEqual" priority="8" type="cellIs">
      <formula>-0.03</formula>
    </cfRule>
  </conditionalFormatting>
  <conditionalFormatting sqref="BQ5 BQ6 BQ7 BQ8 BQ9 BQ10 BQ11 BQ12 BQ13 BQ14 BQ15 BQ16 BQ17 BQ18 BQ19 BQ20 BQ21 BQ22 BQ23 BQ24 BQ25 BQ26 BQ27 BQ28 BQ29 BQ30 BQ31 BQ32 BQ33 BQ34 BQ35 BQ36 BQ37 BQ38 BQ39 BQ40 BQ41 BQ42 BQ43">
    <cfRule dxfId="1" operator="greaterThanOrEqual" priority="13" type="cellIs">
      <formula>0.03</formula>
    </cfRule>
    <cfRule dxfId="0" operator="lessThanOrEqual" priority="14" type="cellIs">
      <formula>-0.03</formula>
    </cfRule>
  </conditionalFormatting>
  <conditionalFormatting sqref="BR5 BR6 BR7 BR8 BR9 BR10 BR11 BR12 BR13 BR14 BR15 BR16 BR17 BR18 BR19 BR20 BR21 BR22 BR23 BR24 BR25 BR26 BR27 BR28 BR29 BR30 BR31 BR32 BR33 BR34 BR35 BR36 BR37 BR38 BR39 BR40 BR41 BR42 BR43">
    <cfRule dxfId="1" operator="greaterThanOrEqual" priority="3" type="cellIs">
      <formula>0.03</formula>
    </cfRule>
    <cfRule dxfId="0" operator="lessThanOrEqual" priority="4" type="cellIs">
      <formula>-0.03</formula>
    </cfRule>
  </conditionalFormatting>
  <conditionalFormatting sqref="BS5 BS6 BS7 BS8 BS9 BS10 BS11 BS12 BS13 BS14 BS15 BS16 BS17 BS18 BS19 BS20 BS21 BS22 BS23 BS24 BS25 BS26 BS27 BS28 BS29 BS30 BS31 BS32 BS33 BS34 BS35 BS36 BS37 BS38 BS39 BS40 BS41 BS42 BS43">
    <cfRule dxfId="1" operator="greaterThanOrEqual" priority="15" type="cellIs">
      <formula>0.03</formula>
    </cfRule>
    <cfRule dxfId="0" operator="lessThanOrEqual" priority="16" type="cellIs">
      <formula>-0.03</formula>
    </cfRule>
  </conditionalFormatting>
  <conditionalFormatting sqref="BT5 BT6 BT7 BT8 BT9 BT10 BT11 BT12 BT13 BT14 BT15 BT16 BT17 BT18 BT19 BT20 BT21 BT22 BT23 BT24 BT25 BT26 BT27 BT28 BT29 BT30 BT31 BT32 BT33 BT34 BT35 BT36 BT37 BT38 BT39 BT40 BT41 BT42 BT43">
    <cfRule dxfId="1" operator="greaterThanOrEqual" priority="17" type="cellIs">
      <formula>0.03</formula>
    </cfRule>
    <cfRule dxfId="0" operator="lessThanOrEqual" priority="18" type="cellIs">
      <formula>-0.03</formula>
    </cfRule>
  </conditionalFormatting>
  <pageMargins bottom="0.75" footer="0.3" header="0.3" left="0.7" right="0.7" top="0.75"/>
</worksheet>
</file>

<file path=xl/worksheets/sheet4.xml><?xml version="1.0" encoding="utf-8"?>
<worksheet xmlns="http://schemas.openxmlformats.org/spreadsheetml/2006/main">
  <sheetPr>
    <outlinePr summaryBelow="1" summaryRight="1"/>
    <pageSetUpPr/>
  </sheetPr>
  <dimension ref="A1:X286"/>
  <sheetViews>
    <sheetView workbookViewId="0">
      <selection activeCell="A1" sqref="A1"/>
    </sheetView>
  </sheetViews>
  <sheetFormatPr baseColWidth="8" defaultRowHeight="14.4"/>
  <sheetData>
    <row r="1">
      <c r="A1" t="inlineStr">
        <is>
          <t>col.C2 lossyG,lossyA,intra.class</t>
        </is>
      </c>
      <c r="B1" t="n">
        <v>1</v>
      </c>
    </row>
    <row r="2">
      <c r="A2" t="inlineStr">
        <is>
          <t>col.C2 lossyG,lossyA,intra.sequence</t>
        </is>
      </c>
      <c r="B2" t="n">
        <v>2</v>
      </c>
    </row>
    <row r="3">
      <c r="A3" t="inlineStr">
        <is>
          <t>col.C2 lossyG,lossyA,intra.variant</t>
        </is>
      </c>
      <c r="B3" t="n">
        <v>3</v>
      </c>
    </row>
    <row r="4">
      <c r="A4" t="inlineStr">
        <is>
          <t>col.C2 lossyG,lossyA,intra.src.numpoints</t>
        </is>
      </c>
      <c r="B4" t="n">
        <v>4</v>
      </c>
    </row>
    <row r="5">
      <c r="A5" t="inlineStr">
        <is>
          <t>col.C2 lossyG,lossyA,intra.src.geometry-precision</t>
        </is>
      </c>
      <c r="B5" t="n">
        <v>5</v>
      </c>
    </row>
    <row r="6">
      <c r="A6" t="inlineStr">
        <is>
          <t>col.C2 lossyG,lossyA,intra.src.framecount</t>
        </is>
      </c>
      <c r="B6" t="n">
        <v>6</v>
      </c>
    </row>
    <row r="7">
      <c r="A7" t="inlineStr">
        <is>
          <t>col.C2 lossyG,lossyA,intra.src.framerate</t>
        </is>
      </c>
      <c r="B7" t="n">
        <v>7</v>
      </c>
    </row>
    <row r="8">
      <c r="A8" t="inlineStr">
        <is>
          <t>col.C2 lossyG,lossyA,intra.A.eqn.bitrate</t>
        </is>
      </c>
      <c r="B8" t="n">
        <v>9</v>
      </c>
    </row>
    <row r="9">
      <c r="A9" t="inlineStr">
        <is>
          <t>col.C2 lossyG,lossyA,intra.A.eqn.bpp</t>
        </is>
      </c>
      <c r="B9" t="n">
        <v>10</v>
      </c>
    </row>
    <row r="10">
      <c r="A10" t="inlineStr">
        <is>
          <t>col.C2 lossyG,lossyA,intra.A.eqn.bpp.geometry+occ+patch</t>
        </is>
      </c>
      <c r="B10" t="n">
        <v>11</v>
      </c>
    </row>
    <row r="11">
      <c r="A11" t="inlineStr">
        <is>
          <t>col.C2 lossyG,lossyA,intra.A.eqn.bpp.geometry</t>
        </is>
      </c>
      <c r="B11" t="n">
        <v>12</v>
      </c>
    </row>
    <row r="12">
      <c r="A12" t="inlineStr">
        <is>
          <t>col.C2 lossyG,lossyA,intra.A.eqn.bpp.colour</t>
        </is>
      </c>
      <c r="B12" t="n">
        <v>13</v>
      </c>
    </row>
    <row r="13">
      <c r="A13" t="inlineStr">
        <is>
          <t>col.C2 lossyG,lossyA,intra.A.eqn.bits.totalgeometry</t>
        </is>
      </c>
      <c r="B13" t="n">
        <v>14</v>
      </c>
    </row>
    <row r="14">
      <c r="A14" t="inlineStr">
        <is>
          <t>col.C2 lossyG,lossyA,intra.A.eqn.bpop</t>
        </is>
      </c>
      <c r="B14" t="n">
        <v>15</v>
      </c>
    </row>
    <row r="15">
      <c r="A15" t="inlineStr">
        <is>
          <t>col.C2 lossyG,lossyA,intra.A.dec.numpoints</t>
        </is>
      </c>
      <c r="B15" t="n">
        <v>16</v>
      </c>
    </row>
    <row r="16">
      <c r="A16" t="inlineStr">
        <is>
          <t>col.C2 lossyG,lossyA,intra.A.dec.numpoints.mean</t>
        </is>
      </c>
      <c r="B16" t="n">
        <v>17</v>
      </c>
    </row>
    <row r="17">
      <c r="A17" t="inlineStr">
        <is>
          <t>col.C2 lossyG,lossyA,intra.A.dec.numduppoints.mean</t>
        </is>
      </c>
      <c r="B17" t="n">
        <v>18</v>
      </c>
    </row>
    <row r="18">
      <c r="A18" t="inlineStr">
        <is>
          <t>col.C2 lossyG,lossyA,intra.A.enc.ext.bits</t>
        </is>
      </c>
      <c r="B18" t="n">
        <v>19</v>
      </c>
    </row>
    <row r="19">
      <c r="A19" t="inlineStr">
        <is>
          <t>col.C2 lossyG,lossyA,intra.A.enc.bits.geometry</t>
        </is>
      </c>
      <c r="B19" t="n">
        <v>20</v>
      </c>
    </row>
    <row r="20">
      <c r="A20" t="inlineStr">
        <is>
          <t>col.C2 lossyG,lossyA,intra.A.enc.bits.occ+patch</t>
        </is>
      </c>
      <c r="B20" t="n">
        <v>21</v>
      </c>
    </row>
    <row r="21">
      <c r="A21" t="inlineStr">
        <is>
          <t>col.C2 lossyG,lossyA,intra.A.enc.bits.colour</t>
        </is>
      </c>
      <c r="B21" t="n">
        <v>22</v>
      </c>
    </row>
    <row r="22">
      <c r="A22" t="inlineStr">
        <is>
          <t>col.C2 lossyG,lossyA,intra.A.dec.d1-psnr</t>
        </is>
      </c>
      <c r="B22" t="n">
        <v>23</v>
      </c>
    </row>
    <row r="23">
      <c r="A23" t="inlineStr">
        <is>
          <t>col.C2 lossyG,lossyA,intra.A.dec.d2-psnr</t>
        </is>
      </c>
      <c r="B23" t="n">
        <v>24</v>
      </c>
    </row>
    <row r="24">
      <c r="A24" t="inlineStr">
        <is>
          <t>col.C2 lossyG,lossyA,intra.A.dec.y-psnr</t>
        </is>
      </c>
      <c r="B24" t="n">
        <v>25</v>
      </c>
    </row>
    <row r="25">
      <c r="A25" t="inlineStr">
        <is>
          <t>col.C2 lossyG,lossyA,intra.A.dec.cb-psnr</t>
        </is>
      </c>
      <c r="B25" t="n">
        <v>26</v>
      </c>
    </row>
    <row r="26">
      <c r="A26" t="inlineStr">
        <is>
          <t>col.C2 lossyG,lossyA,intra.A.dec.cr-psnr</t>
        </is>
      </c>
      <c r="B26" t="n">
        <v>27</v>
      </c>
    </row>
    <row r="27">
      <c r="A27" t="inlineStr">
        <is>
          <t>col.C2 lossyG,lossyA,intra.A.enc.utime.self</t>
        </is>
      </c>
      <c r="B27" t="n">
        <v>28</v>
      </c>
    </row>
    <row r="28">
      <c r="A28" t="inlineStr">
        <is>
          <t>col.C2 lossyG,lossyA,intra.A.enc.utime.children</t>
        </is>
      </c>
      <c r="B28" t="n">
        <v>29</v>
      </c>
    </row>
    <row r="29">
      <c r="A29" t="inlineStr">
        <is>
          <t>col.C2 lossyG,lossyA,intra.A.dec.utime.self</t>
        </is>
      </c>
      <c r="B29" t="n">
        <v>30</v>
      </c>
    </row>
    <row r="30">
      <c r="A30" t="inlineStr">
        <is>
          <t>col.C2 lossyG,lossyA,intra.A.dec.utime.children</t>
        </is>
      </c>
      <c r="B30" t="n">
        <v>31</v>
      </c>
    </row>
    <row r="31">
      <c r="A31" t="inlineStr">
        <is>
          <t>col.C2 lossyG,lossyA,intra.B.eqn.bitrate</t>
        </is>
      </c>
      <c r="B31" t="n">
        <v>33</v>
      </c>
    </row>
    <row r="32">
      <c r="A32" t="inlineStr">
        <is>
          <t>col.C2 lossyG,lossyA,intra.B.eqn.bpp</t>
        </is>
      </c>
      <c r="B32" t="n">
        <v>34</v>
      </c>
    </row>
    <row r="33">
      <c r="A33" t="inlineStr">
        <is>
          <t>col.C2 lossyG,lossyA,intra.B.eqn.bpp.geometry+occ+patch</t>
        </is>
      </c>
      <c r="B33" t="n">
        <v>35</v>
      </c>
    </row>
    <row r="34">
      <c r="A34" t="inlineStr">
        <is>
          <t>col.C2 lossyG,lossyA,intra.B.eqn.bpp.geometry</t>
        </is>
      </c>
      <c r="B34" t="n">
        <v>36</v>
      </c>
    </row>
    <row r="35">
      <c r="A35" t="inlineStr">
        <is>
          <t>col.C2 lossyG,lossyA,intra.B.eqn.bpp.colour</t>
        </is>
      </c>
      <c r="B35" t="n">
        <v>37</v>
      </c>
    </row>
    <row r="36">
      <c r="A36" t="inlineStr">
        <is>
          <t>col.C2 lossyG,lossyA,intra.B.eqn.bits.totalgeometry</t>
        </is>
      </c>
      <c r="B36" t="n">
        <v>38</v>
      </c>
    </row>
    <row r="37">
      <c r="A37" t="inlineStr">
        <is>
          <t>col.C2 lossyG,lossyA,intra.B.eqn.bpop</t>
        </is>
      </c>
      <c r="B37" t="n">
        <v>39</v>
      </c>
    </row>
    <row r="38">
      <c r="A38" t="inlineStr">
        <is>
          <t>col.C2 lossyG,lossyA,intra.B.dec.numpoints</t>
        </is>
      </c>
      <c r="B38" t="n">
        <v>40</v>
      </c>
    </row>
    <row r="39">
      <c r="A39" t="inlineStr">
        <is>
          <t>col.C2 lossyG,lossyA,intra.B.dec.numpoints.mean</t>
        </is>
      </c>
      <c r="B39" t="n">
        <v>41</v>
      </c>
    </row>
    <row r="40">
      <c r="A40" t="inlineStr">
        <is>
          <t>col.C2 lossyG,lossyA,intra.B.dec.numduppoints.mean</t>
        </is>
      </c>
      <c r="B40" t="n">
        <v>42</v>
      </c>
    </row>
    <row r="41">
      <c r="A41" t="inlineStr">
        <is>
          <t>col.C2 lossyG,lossyA,intra.B.enc.ext.bits</t>
        </is>
      </c>
      <c r="B41" t="n">
        <v>43</v>
      </c>
    </row>
    <row r="42">
      <c r="A42" t="inlineStr">
        <is>
          <t>col.C2 lossyG,lossyA,intra.B.enc.bits.geometry</t>
        </is>
      </c>
      <c r="B42" t="n">
        <v>44</v>
      </c>
    </row>
    <row r="43">
      <c r="A43" t="inlineStr">
        <is>
          <t>col.C2 lossyG,lossyA,intra.B.enc.bits.occ+patch</t>
        </is>
      </c>
      <c r="B43" t="n">
        <v>45</v>
      </c>
    </row>
    <row r="44">
      <c r="A44" t="inlineStr">
        <is>
          <t>col.C2 lossyG,lossyA,intra.B.enc.bits.colour</t>
        </is>
      </c>
      <c r="B44" t="n">
        <v>46</v>
      </c>
    </row>
    <row r="45">
      <c r="A45" t="inlineStr">
        <is>
          <t>col.C2 lossyG,lossyA,intra.B.dec.d1-psnr</t>
        </is>
      </c>
      <c r="B45" t="n">
        <v>47</v>
      </c>
    </row>
    <row r="46">
      <c r="A46" t="inlineStr">
        <is>
          <t>col.C2 lossyG,lossyA,intra.B.dec.d2-psnr</t>
        </is>
      </c>
      <c r="B46" t="n">
        <v>48</v>
      </c>
    </row>
    <row r="47">
      <c r="A47" t="inlineStr">
        <is>
          <t>col.C2 lossyG,lossyA,intra.B.dec.y-psnr</t>
        </is>
      </c>
      <c r="B47" t="n">
        <v>49</v>
      </c>
    </row>
    <row r="48">
      <c r="A48" t="inlineStr">
        <is>
          <t>col.C2 lossyG,lossyA,intra.B.dec.cb-psnr</t>
        </is>
      </c>
      <c r="B48" t="n">
        <v>50</v>
      </c>
    </row>
    <row r="49">
      <c r="A49" t="inlineStr">
        <is>
          <t>col.C2 lossyG,lossyA,intra.B.dec.cr-psnr</t>
        </is>
      </c>
      <c r="B49" t="n">
        <v>51</v>
      </c>
    </row>
    <row r="50">
      <c r="A50" t="inlineStr">
        <is>
          <t>col.C2 lossyG,lossyA,intra.B.enc.utime.self</t>
        </is>
      </c>
      <c r="B50" t="n">
        <v>52</v>
      </c>
    </row>
    <row r="51">
      <c r="A51" t="inlineStr">
        <is>
          <t>col.C2 lossyG,lossyA,intra.B.enc.utime.children</t>
        </is>
      </c>
      <c r="B51" t="n">
        <v>53</v>
      </c>
    </row>
    <row r="52">
      <c r="A52" t="inlineStr">
        <is>
          <t>col.C2 lossyG,lossyA,intra.B.dec.utime.self</t>
        </is>
      </c>
      <c r="B52" t="n">
        <v>54</v>
      </c>
    </row>
    <row r="53">
      <c r="A53" t="inlineStr">
        <is>
          <t>col.C2 lossyG,lossyA,intra.B.dec.utime.children</t>
        </is>
      </c>
      <c r="B53" t="n">
        <v>55</v>
      </c>
    </row>
    <row r="54">
      <c r="A54" t="inlineStr">
        <is>
          <t>col.C2 lossyG,lossyA,intra.eqn.ab.ratio-bpp-geometry-total</t>
        </is>
      </c>
      <c r="B54" t="n">
        <v>57</v>
      </c>
    </row>
    <row r="55">
      <c r="A55" t="inlineStr">
        <is>
          <t>col.C2 lossyG,lossyA,intra.eqn.ab.delta-duppoints_ratio</t>
        </is>
      </c>
      <c r="B55" t="n">
        <v>58</v>
      </c>
    </row>
    <row r="56">
      <c r="A56" t="inlineStr">
        <is>
          <t>col.C2 lossyG,lossyA,intra.eqn.ab.delta-geom_texture_bits_ratio</t>
        </is>
      </c>
      <c r="B56" t="n">
        <v>59</v>
      </c>
    </row>
    <row r="57">
      <c r="A57" t="inlineStr">
        <is>
          <t>col.C2 lossyG,lossyA,intra.eqn.ab.summary-delta-geom_texture_bits_ratio</t>
        </is>
      </c>
      <c r="B57" t="n">
        <v>60</v>
      </c>
    </row>
    <row r="58">
      <c r="A58" t="inlineStr">
        <is>
          <t>col.C2 lossyG,lossyA,intra.eqn.ab.bdrate-d1-geomrate</t>
        </is>
      </c>
      <c r="B58" t="n">
        <v>62</v>
      </c>
    </row>
    <row r="59">
      <c r="A59" t="inlineStr">
        <is>
          <t>col.C2 lossyG,lossyA,intra.eqn.ab.bdrate-d2-geomrate</t>
        </is>
      </c>
      <c r="B59" t="n">
        <v>63</v>
      </c>
    </row>
    <row r="60">
      <c r="A60" t="inlineStr">
        <is>
          <t>col.C2 lossyG,lossyA,intra.eqn.ab.bdrate-y-attrrate</t>
        </is>
      </c>
      <c r="B60" t="n">
        <v>64</v>
      </c>
    </row>
    <row r="61">
      <c r="A61" t="inlineStr">
        <is>
          <t>col.C2 lossyG,lossyA,intra.eqn.ab.bdrate-cb-attrrate</t>
        </is>
      </c>
      <c r="B61" t="n">
        <v>65</v>
      </c>
    </row>
    <row r="62">
      <c r="A62" t="inlineStr">
        <is>
          <t>col.C2 lossyG,lossyA,intra.eqn.ab.bdrate-cr-attrrate</t>
        </is>
      </c>
      <c r="B62" t="n">
        <v>66</v>
      </c>
    </row>
    <row r="63">
      <c r="A63" t="inlineStr">
        <is>
          <t>col.C2 lossyG,lossyA,intra.eqn.ab.bdrate-d1</t>
        </is>
      </c>
      <c r="B63" t="n">
        <v>68</v>
      </c>
    </row>
    <row r="64">
      <c r="A64" t="inlineStr">
        <is>
          <t>col.C2 lossyG,lossyA,intra.eqn.ab.bdrate-d2</t>
        </is>
      </c>
      <c r="B64" t="n">
        <v>69</v>
      </c>
    </row>
    <row r="65">
      <c r="A65" t="inlineStr">
        <is>
          <t>col.C2 lossyG,lossyA,intra.eqn.ab.bdrate-y</t>
        </is>
      </c>
      <c r="B65" t="n">
        <v>70</v>
      </c>
    </row>
    <row r="66">
      <c r="A66" t="inlineStr">
        <is>
          <t>col.C2 lossyG,lossyA,intra.eqn.ab.bdrate-cb</t>
        </is>
      </c>
      <c r="B66" t="n">
        <v>71</v>
      </c>
    </row>
    <row r="67">
      <c r="A67" t="inlineStr">
        <is>
          <t>col.C2 lossyG,lossyA,intra.eqn.ab.bdrate-cr</t>
        </is>
      </c>
      <c r="B67" t="n">
        <v>72</v>
      </c>
    </row>
    <row r="68">
      <c r="A68" t="inlineStr">
        <is>
          <t>name.A.C2 lossyG,lossyA,intra</t>
        </is>
      </c>
      <c r="B68" t="inlineStr">
        <is>
          <t>'C2 lossyG,lossyA,intra'!$I$1</t>
        </is>
      </c>
    </row>
    <row r="69">
      <c r="A69" t="inlineStr">
        <is>
          <t>name.B.C2 lossyG,lossyA,intra</t>
        </is>
      </c>
      <c r="B69" t="inlineStr">
        <is>
          <t>'C2 lossyG,lossyA,intra'!$AG$1</t>
        </is>
      </c>
    </row>
    <row r="70">
      <c r="A70" t="inlineStr">
        <is>
          <t>range.C2 lossyG,lossyA,intra.8ivfbv2_loot_vox10</t>
        </is>
      </c>
      <c r="B70" t="inlineStr">
        <is>
          <t>'C2 lossyG,lossyA,intra'!$A$5:$BT$9</t>
        </is>
      </c>
    </row>
    <row r="71">
      <c r="A71" t="inlineStr">
        <is>
          <t>range.C2 lossyG,lossyA,intra.8ivfbv2_redandblack_vox10</t>
        </is>
      </c>
      <c r="B71" t="inlineStr">
        <is>
          <t>'C2 lossyG,lossyA,intra'!$A$10:$BT$14</t>
        </is>
      </c>
    </row>
    <row r="72">
      <c r="A72" t="inlineStr">
        <is>
          <t>range.C2 lossyG,lossyA,intra.8ivfbv2_soldier_vox10</t>
        </is>
      </c>
      <c r="B72" t="inlineStr">
        <is>
          <t>'C2 lossyG,lossyA,intra'!$A$15:$BT$19</t>
        </is>
      </c>
    </row>
    <row r="73">
      <c r="A73" t="inlineStr">
        <is>
          <t>range.C2 lossyG,lossyA,intra.queen</t>
        </is>
      </c>
      <c r="B73" t="inlineStr">
        <is>
          <t>'C2 lossyG,lossyA,intra'!$A$20:$BT$24</t>
        </is>
      </c>
    </row>
    <row r="74">
      <c r="A74" t="inlineStr">
        <is>
          <t>range.C2 lossyG,lossyA,intra.8ivfbv2_longdress_vox10</t>
        </is>
      </c>
      <c r="B74" t="inlineStr">
        <is>
          <t>'C2 lossyG,lossyA,intra'!$A$25:$BT$29</t>
        </is>
      </c>
    </row>
    <row r="75">
      <c r="A75" t="inlineStr">
        <is>
          <t>range.C2 lossyG,lossyA,intra.basketball_player_vox11</t>
        </is>
      </c>
      <c r="B75" t="inlineStr">
        <is>
          <t>'C2 lossyG,lossyA,intra'!$A$30:$BT$34</t>
        </is>
      </c>
    </row>
    <row r="76">
      <c r="A76" t="inlineStr">
        <is>
          <t>range.C2 lossyG,lossyA,intra.dancer_player_vox11</t>
        </is>
      </c>
      <c r="B76" t="inlineStr">
        <is>
          <t>'C2 lossyG,lossyA,intra'!$A$35:$BT$39</t>
        </is>
      </c>
    </row>
    <row r="77">
      <c r="A77" t="inlineStr">
        <is>
          <t>cols.C2 lossyG,lossyA,intra</t>
        </is>
      </c>
      <c r="B77" t="inlineStr">
        <is>
          <t>enc.utime.self</t>
        </is>
      </c>
      <c r="C77" t="inlineStr">
        <is>
          <t>enc.bits.occ+patch</t>
        </is>
      </c>
      <c r="D77" t="inlineStr">
        <is>
          <t>dec.y-psnr</t>
        </is>
      </c>
      <c r="E77" t="inlineStr">
        <is>
          <t>dec.utime.children</t>
        </is>
      </c>
      <c r="F77" t="inlineStr">
        <is>
          <t>eqn.bpp</t>
        </is>
      </c>
      <c r="G77" t="inlineStr">
        <is>
          <t>eqn.bits.totalgeometry</t>
        </is>
      </c>
      <c r="H77" t="inlineStr">
        <is>
          <t>dec.numpoints.mean</t>
        </is>
      </c>
      <c r="I77" t="inlineStr">
        <is>
          <t>dec.numpoints</t>
        </is>
      </c>
      <c r="J77" t="inlineStr">
        <is>
          <t>dec.utime.self</t>
        </is>
      </c>
      <c r="K77" t="inlineStr">
        <is>
          <t>enc.utime.children</t>
        </is>
      </c>
      <c r="L77" t="inlineStr">
        <is>
          <t>enc.bits.colour</t>
        </is>
      </c>
      <c r="M77" t="inlineStr">
        <is>
          <t>dec.cb-psnr</t>
        </is>
      </c>
      <c r="N77" t="inlineStr">
        <is>
          <t>dec.cr-psnr</t>
        </is>
      </c>
      <c r="O77" t="inlineStr">
        <is>
          <t>eqn.bpp.geometry</t>
        </is>
      </c>
      <c r="P77" t="inlineStr">
        <is>
          <t>eqn.bpp.colour</t>
        </is>
      </c>
      <c r="Q77" t="inlineStr">
        <is>
          <t>eqn.bpop</t>
        </is>
      </c>
      <c r="R77" t="inlineStr">
        <is>
          <t>enc.bits.geometry</t>
        </is>
      </c>
      <c r="S77" t="inlineStr">
        <is>
          <t>eqn.bpp.geometry+occ+patch</t>
        </is>
      </c>
      <c r="T77" t="inlineStr">
        <is>
          <t>dec.d1-psnr</t>
        </is>
      </c>
      <c r="U77" t="inlineStr">
        <is>
          <t>eqn.bitrate</t>
        </is>
      </c>
      <c r="V77" t="inlineStr">
        <is>
          <t>enc.ext.bits</t>
        </is>
      </c>
      <c r="W77" t="inlineStr">
        <is>
          <t>dec.numduppoints.mean</t>
        </is>
      </c>
      <c r="X77" t="inlineStr">
        <is>
          <t>dec.d2-psnr</t>
        </is>
      </c>
    </row>
    <row r="78">
      <c r="A78" t="inlineStr">
        <is>
          <t>col.CW losslG,losslA,intra.class</t>
        </is>
      </c>
      <c r="B78" t="n">
        <v>1</v>
      </c>
    </row>
    <row r="79">
      <c r="A79" t="inlineStr">
        <is>
          <t>col.CW losslG,losslA,intra.sequence</t>
        </is>
      </c>
      <c r="B79" t="n">
        <v>2</v>
      </c>
    </row>
    <row r="80">
      <c r="A80" t="inlineStr">
        <is>
          <t>col.CW losslG,losslA,intra.src.numpoints</t>
        </is>
      </c>
      <c r="B80" t="n">
        <v>3</v>
      </c>
    </row>
    <row r="81">
      <c r="A81" t="inlineStr">
        <is>
          <t>col.CW losslG,losslA,intra.src.geometry-precision</t>
        </is>
      </c>
      <c r="B81" t="n">
        <v>4</v>
      </c>
    </row>
    <row r="82">
      <c r="A82" t="inlineStr">
        <is>
          <t>col.CW losslG,losslA,intra.src.framecount</t>
        </is>
      </c>
      <c r="B82" t="n">
        <v>5</v>
      </c>
    </row>
    <row r="83">
      <c r="A83" t="inlineStr">
        <is>
          <t>col.CW losslG,losslA,intra.src.framerate</t>
        </is>
      </c>
      <c r="B83" t="n">
        <v>6</v>
      </c>
    </row>
    <row r="84">
      <c r="A84" t="inlineStr">
        <is>
          <t>col.CW losslG,losslA,intra.A.eqn.compratio</t>
        </is>
      </c>
      <c r="B84" t="n">
        <v>8</v>
      </c>
    </row>
    <row r="85">
      <c r="A85" t="inlineStr">
        <is>
          <t>col.CW losslG,losslA,intra.A.eqn.bitrate</t>
        </is>
      </c>
      <c r="B85" t="n">
        <v>9</v>
      </c>
    </row>
    <row r="86">
      <c r="A86" t="inlineStr">
        <is>
          <t>col.CW losslG,losslA,intra.A.eqn.bpp</t>
        </is>
      </c>
      <c r="B86" t="n">
        <v>10</v>
      </c>
    </row>
    <row r="87">
      <c r="A87" t="inlineStr">
        <is>
          <t>col.CW losslG,losslA,intra.A.eqn.bpp.geometry+occ+patch</t>
        </is>
      </c>
      <c r="B87" t="n">
        <v>11</v>
      </c>
    </row>
    <row r="88">
      <c r="A88" t="inlineStr">
        <is>
          <t>col.CW losslG,losslA,intra.A.eqn.bpp.geometry</t>
        </is>
      </c>
      <c r="B88" t="n">
        <v>12</v>
      </c>
    </row>
    <row r="89">
      <c r="A89" t="inlineStr">
        <is>
          <t>col.CW losslG,losslA,intra.A.eqn.bpp.colour</t>
        </is>
      </c>
      <c r="B89" t="n">
        <v>13</v>
      </c>
    </row>
    <row r="90">
      <c r="A90" t="inlineStr">
        <is>
          <t>col.CW losslG,losslA,intra.A.eqn.bits.totalgeometry</t>
        </is>
      </c>
      <c r="B90" t="n">
        <v>14</v>
      </c>
    </row>
    <row r="91">
      <c r="A91" t="inlineStr">
        <is>
          <t>col.CW losslG,losslA,intra.A.eqn.bpop</t>
        </is>
      </c>
      <c r="B91" t="n">
        <v>15</v>
      </c>
    </row>
    <row r="92">
      <c r="A92" t="inlineStr">
        <is>
          <t>col.CW losslG,losslA,intra.A.dec.numpoints</t>
        </is>
      </c>
      <c r="B92" t="n">
        <v>16</v>
      </c>
    </row>
    <row r="93">
      <c r="A93" t="inlineStr">
        <is>
          <t>col.CW losslG,losslA,intra.A.enc.ext.bits</t>
        </is>
      </c>
      <c r="B93" t="n">
        <v>17</v>
      </c>
    </row>
    <row r="94">
      <c r="A94" t="inlineStr">
        <is>
          <t>col.CW losslG,losslA,intra.A.enc.bits.geometry</t>
        </is>
      </c>
      <c r="B94" t="n">
        <v>18</v>
      </c>
    </row>
    <row r="95">
      <c r="A95" t="inlineStr">
        <is>
          <t>col.CW losslG,losslA,intra.A.enc.bits.occ+patch</t>
        </is>
      </c>
      <c r="B95" t="n">
        <v>19</v>
      </c>
    </row>
    <row r="96">
      <c r="A96" t="inlineStr">
        <is>
          <t>col.CW losslG,losslA,intra.A.enc.bits.colour</t>
        </is>
      </c>
      <c r="B96" t="n">
        <v>20</v>
      </c>
    </row>
    <row r="97">
      <c r="A97" t="inlineStr">
        <is>
          <t>col.CW losslG,losslA,intra.A.dec.d1-psnr</t>
        </is>
      </c>
      <c r="B97" t="n">
        <v>21</v>
      </c>
    </row>
    <row r="98">
      <c r="A98" t="inlineStr">
        <is>
          <t>col.CW losslG,losslA,intra.A.dec.d2-psnr</t>
        </is>
      </c>
      <c r="B98" t="n">
        <v>22</v>
      </c>
    </row>
    <row r="99">
      <c r="A99" t="inlineStr">
        <is>
          <t>col.CW losslG,losslA,intra.A.dec.y-psnr</t>
        </is>
      </c>
      <c r="B99" t="n">
        <v>23</v>
      </c>
    </row>
    <row r="100">
      <c r="A100" t="inlineStr">
        <is>
          <t>col.CW losslG,losslA,intra.A.dec.cb-psnr</t>
        </is>
      </c>
      <c r="B100" t="n">
        <v>24</v>
      </c>
    </row>
    <row r="101">
      <c r="A101" t="inlineStr">
        <is>
          <t>col.CW losslG,losslA,intra.A.dec.cr-psnr</t>
        </is>
      </c>
      <c r="B101" t="n">
        <v>25</v>
      </c>
    </row>
    <row r="102">
      <c r="A102" t="inlineStr">
        <is>
          <t>col.CW losslG,losslA,intra.A.enc.utime.self</t>
        </is>
      </c>
      <c r="B102" t="n">
        <v>26</v>
      </c>
    </row>
    <row r="103">
      <c r="A103" t="inlineStr">
        <is>
          <t>col.CW losslG,losslA,intra.A.enc.utime.children</t>
        </is>
      </c>
      <c r="B103" t="n">
        <v>27</v>
      </c>
    </row>
    <row r="104">
      <c r="A104" t="inlineStr">
        <is>
          <t>col.CW losslG,losslA,intra.A.dec.utime.self</t>
        </is>
      </c>
      <c r="B104" t="n">
        <v>28</v>
      </c>
    </row>
    <row r="105">
      <c r="A105" t="inlineStr">
        <is>
          <t>col.CW losslG,losslA,intra.A.dec.utime.children</t>
        </is>
      </c>
      <c r="B105" t="n">
        <v>29</v>
      </c>
    </row>
    <row r="106">
      <c r="A106" t="inlineStr">
        <is>
          <t>col.CW losslG,losslA,intra.B.eqn.compratio</t>
        </is>
      </c>
      <c r="B106" t="n">
        <v>31</v>
      </c>
    </row>
    <row r="107">
      <c r="A107" t="inlineStr">
        <is>
          <t>col.CW losslG,losslA,intra.B.eqn.bitrate</t>
        </is>
      </c>
      <c r="B107" t="n">
        <v>32</v>
      </c>
    </row>
    <row r="108">
      <c r="A108" t="inlineStr">
        <is>
          <t>col.CW losslG,losslA,intra.B.eqn.bpp</t>
        </is>
      </c>
      <c r="B108" t="n">
        <v>33</v>
      </c>
    </row>
    <row r="109">
      <c r="A109" t="inlineStr">
        <is>
          <t>col.CW losslG,losslA,intra.B.eqn.bpp.geometry+occ+patch</t>
        </is>
      </c>
      <c r="B109" t="n">
        <v>34</v>
      </c>
    </row>
    <row r="110">
      <c r="A110" t="inlineStr">
        <is>
          <t>col.CW losslG,losslA,intra.B.eqn.bpp.geometry</t>
        </is>
      </c>
      <c r="B110" t="n">
        <v>35</v>
      </c>
    </row>
    <row r="111">
      <c r="A111" t="inlineStr">
        <is>
          <t>col.CW losslG,losslA,intra.B.eqn.bpp.colour</t>
        </is>
      </c>
      <c r="B111" t="n">
        <v>36</v>
      </c>
    </row>
    <row r="112">
      <c r="A112" t="inlineStr">
        <is>
          <t>col.CW losslG,losslA,intra.B.eqn.bits.totalgeometry</t>
        </is>
      </c>
      <c r="B112" t="n">
        <v>37</v>
      </c>
    </row>
    <row r="113">
      <c r="A113" t="inlineStr">
        <is>
          <t>col.CW losslG,losslA,intra.B.eqn.bpop</t>
        </is>
      </c>
      <c r="B113" t="n">
        <v>38</v>
      </c>
    </row>
    <row r="114">
      <c r="A114" t="inlineStr">
        <is>
          <t>col.CW losslG,losslA,intra.B.dec.numpoints</t>
        </is>
      </c>
      <c r="B114" t="n">
        <v>39</v>
      </c>
    </row>
    <row r="115">
      <c r="A115" t="inlineStr">
        <is>
          <t>col.CW losslG,losslA,intra.B.enc.ext.bits</t>
        </is>
      </c>
      <c r="B115" t="n">
        <v>40</v>
      </c>
    </row>
    <row r="116">
      <c r="A116" t="inlineStr">
        <is>
          <t>col.CW losslG,losslA,intra.B.enc.bits.geometry</t>
        </is>
      </c>
      <c r="B116" t="n">
        <v>41</v>
      </c>
    </row>
    <row r="117">
      <c r="A117" t="inlineStr">
        <is>
          <t>col.CW losslG,losslA,intra.B.enc.bits.occ+patch</t>
        </is>
      </c>
      <c r="B117" t="n">
        <v>42</v>
      </c>
    </row>
    <row r="118">
      <c r="A118" t="inlineStr">
        <is>
          <t>col.CW losslG,losslA,intra.B.enc.bits.colour</t>
        </is>
      </c>
      <c r="B118" t="n">
        <v>43</v>
      </c>
    </row>
    <row r="119">
      <c r="A119" t="inlineStr">
        <is>
          <t>col.CW losslG,losslA,intra.B.dec.d1-psnr</t>
        </is>
      </c>
      <c r="B119" t="n">
        <v>44</v>
      </c>
    </row>
    <row r="120">
      <c r="A120" t="inlineStr">
        <is>
          <t>col.CW losslG,losslA,intra.B.dec.d2-psnr</t>
        </is>
      </c>
      <c r="B120" t="n">
        <v>45</v>
      </c>
    </row>
    <row r="121">
      <c r="A121" t="inlineStr">
        <is>
          <t>col.CW losslG,losslA,intra.B.dec.y-psnr</t>
        </is>
      </c>
      <c r="B121" t="n">
        <v>46</v>
      </c>
    </row>
    <row r="122">
      <c r="A122" t="inlineStr">
        <is>
          <t>col.CW losslG,losslA,intra.B.dec.cb-psnr</t>
        </is>
      </c>
      <c r="B122" t="n">
        <v>47</v>
      </c>
    </row>
    <row r="123">
      <c r="A123" t="inlineStr">
        <is>
          <t>col.CW losslG,losslA,intra.B.dec.cr-psnr</t>
        </is>
      </c>
      <c r="B123" t="n">
        <v>48</v>
      </c>
    </row>
    <row r="124">
      <c r="A124" t="inlineStr">
        <is>
          <t>col.CW losslG,losslA,intra.B.enc.utime.self</t>
        </is>
      </c>
      <c r="B124" t="n">
        <v>49</v>
      </c>
    </row>
    <row r="125">
      <c r="A125" t="inlineStr">
        <is>
          <t>col.CW losslG,losslA,intra.B.enc.utime.children</t>
        </is>
      </c>
      <c r="B125" t="n">
        <v>50</v>
      </c>
    </row>
    <row r="126">
      <c r="A126" t="inlineStr">
        <is>
          <t>col.CW losslG,losslA,intra.B.dec.utime.self</t>
        </is>
      </c>
      <c r="B126" t="n">
        <v>51</v>
      </c>
    </row>
    <row r="127">
      <c r="A127" t="inlineStr">
        <is>
          <t>col.CW losslG,losslA,intra.B.dec.utime.children</t>
        </is>
      </c>
      <c r="B127" t="n">
        <v>52</v>
      </c>
    </row>
    <row r="128">
      <c r="A128" t="inlineStr">
        <is>
          <t>col.CW losslG,losslA,intra.eqn.ab.ratio-bpp</t>
        </is>
      </c>
      <c r="B128" t="n">
        <v>54</v>
      </c>
    </row>
    <row r="129">
      <c r="A129" t="inlineStr">
        <is>
          <t>col.CW losslG,losslA,intra.eqn.ab.ratio-bpp-geometry-total</t>
        </is>
      </c>
      <c r="B129" t="n">
        <v>55</v>
      </c>
    </row>
    <row r="130">
      <c r="A130" t="inlineStr">
        <is>
          <t>col.CW losslG,losslA,intra.eqn.ab.ratio-bpp-geometry</t>
        </is>
      </c>
      <c r="B130" t="n">
        <v>56</v>
      </c>
    </row>
    <row r="131">
      <c r="A131" t="inlineStr">
        <is>
          <t>col.CW losslG,losslA,intra.eqn.ab.ratio-bpp-colour</t>
        </is>
      </c>
      <c r="B131" t="n">
        <v>57</v>
      </c>
    </row>
    <row r="132">
      <c r="A132" t="inlineStr">
        <is>
          <t>col.CW losslG,losslA,intra.eqn.ab.delta-geom_texture_bits_ratio</t>
        </is>
      </c>
      <c r="B132" t="n">
        <v>58</v>
      </c>
    </row>
    <row r="133">
      <c r="A133" t="inlineStr">
        <is>
          <t>col.CW losslG,losslA,intra.eqn.ab.summary-delta-geom_texture_bits_ratio</t>
        </is>
      </c>
      <c r="B133" t="n">
        <v>59</v>
      </c>
    </row>
    <row r="134">
      <c r="A134" t="inlineStr">
        <is>
          <t>name.A.CW losslG,losslA,intra</t>
        </is>
      </c>
      <c r="B134" t="inlineStr">
        <is>
          <t>'CW losslG,losslA,intra'!$H$1</t>
        </is>
      </c>
    </row>
    <row r="135">
      <c r="A135" t="inlineStr">
        <is>
          <t>name.B.CW losslG,losslA,intra</t>
        </is>
      </c>
      <c r="B135" t="inlineStr">
        <is>
          <t>'CW losslG,losslA,intra'!$AE$1</t>
        </is>
      </c>
    </row>
    <row r="136">
      <c r="A136" t="inlineStr">
        <is>
          <t>range.CW losslG,losslA,intra.8ivfbv2_loot_vox10</t>
        </is>
      </c>
      <c r="B136" t="inlineStr">
        <is>
          <t>'CW losslG,losslA,intra'!$A$5:$BG$5</t>
        </is>
      </c>
    </row>
    <row r="137">
      <c r="A137" t="inlineStr">
        <is>
          <t>range.CW losslG,losslA,intra.8ivfbv2_redandblack_vox10</t>
        </is>
      </c>
      <c r="B137" t="inlineStr">
        <is>
          <t>'CW losslG,losslA,intra'!$A$6:$BG$6</t>
        </is>
      </c>
    </row>
    <row r="138">
      <c r="A138" t="inlineStr">
        <is>
          <t>range.CW losslG,losslA,intra.8ivfbv2_soldier_vox10</t>
        </is>
      </c>
      <c r="B138" t="inlineStr">
        <is>
          <t>'CW losslG,losslA,intra'!$A$7:$BG$7</t>
        </is>
      </c>
    </row>
    <row r="139">
      <c r="A139" t="inlineStr">
        <is>
          <t>range.CW losslG,losslA,intra.queen</t>
        </is>
      </c>
      <c r="B139" t="inlineStr">
        <is>
          <t>'CW losslG,losslA,intra'!$A$8:$BG$8</t>
        </is>
      </c>
    </row>
    <row r="140">
      <c r="A140" t="inlineStr">
        <is>
          <t>range.CW losslG,losslA,intra.8ivfbv2_longdress_vox10</t>
        </is>
      </c>
      <c r="B140" t="inlineStr">
        <is>
          <t>'CW losslG,losslA,intra'!$A$9:$BG$9</t>
        </is>
      </c>
    </row>
    <row r="141">
      <c r="A141" t="inlineStr">
        <is>
          <t>range.CW losslG,losslA,intra.basketball_player_vox11</t>
        </is>
      </c>
      <c r="B141" t="inlineStr">
        <is>
          <t>'CW losslG,losslA,intra'!$A$10:$BG$10</t>
        </is>
      </c>
    </row>
    <row r="142">
      <c r="A142" t="inlineStr">
        <is>
          <t>range.CW losslG,losslA,intra.dancer_player_vox11</t>
        </is>
      </c>
      <c r="B142" t="inlineStr">
        <is>
          <t>'CW losslG,losslA,intra'!$A$11:$BG$11</t>
        </is>
      </c>
    </row>
    <row r="143">
      <c r="A143" t="inlineStr">
        <is>
          <t>cols.CW losslG,losslA,intra</t>
        </is>
      </c>
      <c r="B143" t="inlineStr">
        <is>
          <t>dec.y-psnr</t>
        </is>
      </c>
      <c r="C143" t="inlineStr">
        <is>
          <t>eqn.bpp</t>
        </is>
      </c>
      <c r="D143" t="inlineStr">
        <is>
          <t>enc.bits.geometry</t>
        </is>
      </c>
      <c r="E143" t="inlineStr">
        <is>
          <t>dec.d1-psnr</t>
        </is>
      </c>
      <c r="F143" t="inlineStr">
        <is>
          <t>eqn.bpp.geometry+occ+patch</t>
        </is>
      </c>
      <c r="G143" t="inlineStr">
        <is>
          <t>eqn.compratio</t>
        </is>
      </c>
      <c r="H143" t="inlineStr">
        <is>
          <t>eqn.bitrate</t>
        </is>
      </c>
      <c r="I143" t="inlineStr">
        <is>
          <t>dec.utime.children</t>
        </is>
      </c>
      <c r="J143" t="inlineStr">
        <is>
          <t>enc.ext.bits</t>
        </is>
      </c>
      <c r="K143" t="inlineStr">
        <is>
          <t>eqn.bits.totalgeometry</t>
        </is>
      </c>
      <c r="L143" t="inlineStr">
        <is>
          <t>enc.utime.self</t>
        </is>
      </c>
      <c r="M143" t="inlineStr">
        <is>
          <t>eqn.bpp.colour</t>
        </is>
      </c>
      <c r="N143" t="inlineStr">
        <is>
          <t>dec.numpoints</t>
        </is>
      </c>
      <c r="O143" t="inlineStr">
        <is>
          <t>eqn.bpop</t>
        </is>
      </c>
      <c r="P143" t="inlineStr">
        <is>
          <t>enc.bits.occ+patch</t>
        </is>
      </c>
      <c r="Q143" t="inlineStr">
        <is>
          <t>enc.bits.colour</t>
        </is>
      </c>
      <c r="R143" t="inlineStr">
        <is>
          <t>dec.cb-psnr</t>
        </is>
      </c>
      <c r="S143" t="inlineStr">
        <is>
          <t>eqn.bpp.geometry</t>
        </is>
      </c>
      <c r="T143" t="inlineStr">
        <is>
          <t>dec.cr-psnr</t>
        </is>
      </c>
      <c r="U143" t="inlineStr">
        <is>
          <t>dec.utime.self</t>
        </is>
      </c>
      <c r="V143" t="inlineStr">
        <is>
          <t>dec.d2-psnr</t>
        </is>
      </c>
      <c r="W143" t="inlineStr">
        <is>
          <t>enc.utime.children</t>
        </is>
      </c>
    </row>
    <row r="144">
      <c r="A144" t="inlineStr">
        <is>
          <t>col.CW losslG,losslA,interLD.class</t>
        </is>
      </c>
      <c r="B144" t="n">
        <v>1</v>
      </c>
    </row>
    <row r="145">
      <c r="A145" t="inlineStr">
        <is>
          <t>col.CW losslG,losslA,interLD.sequence</t>
        </is>
      </c>
      <c r="B145" t="n">
        <v>2</v>
      </c>
    </row>
    <row r="146">
      <c r="A146" t="inlineStr">
        <is>
          <t>col.CW losslG,losslA,interLD.src.numpoints</t>
        </is>
      </c>
      <c r="B146" t="n">
        <v>3</v>
      </c>
    </row>
    <row r="147">
      <c r="A147" t="inlineStr">
        <is>
          <t>col.CW losslG,losslA,interLD.src.geometry-precision</t>
        </is>
      </c>
      <c r="B147" t="n">
        <v>4</v>
      </c>
    </row>
    <row r="148">
      <c r="A148" t="inlineStr">
        <is>
          <t>col.CW losslG,losslA,interLD.src.framecount</t>
        </is>
      </c>
      <c r="B148" t="n">
        <v>5</v>
      </c>
    </row>
    <row r="149">
      <c r="A149" t="inlineStr">
        <is>
          <t>col.CW losslG,losslA,interLD.src.framerate</t>
        </is>
      </c>
      <c r="B149" t="n">
        <v>6</v>
      </c>
    </row>
    <row r="150">
      <c r="A150" t="inlineStr">
        <is>
          <t>col.CW losslG,losslA,interLD.A.eqn.compratio</t>
        </is>
      </c>
      <c r="B150" t="n">
        <v>8</v>
      </c>
    </row>
    <row r="151">
      <c r="A151" t="inlineStr">
        <is>
          <t>col.CW losslG,losslA,interLD.A.eqn.bitrate</t>
        </is>
      </c>
      <c r="B151" t="n">
        <v>9</v>
      </c>
    </row>
    <row r="152">
      <c r="A152" t="inlineStr">
        <is>
          <t>col.CW losslG,losslA,interLD.A.eqn.bpp</t>
        </is>
      </c>
      <c r="B152" t="n">
        <v>10</v>
      </c>
    </row>
    <row r="153">
      <c r="A153" t="inlineStr">
        <is>
          <t>col.CW losslG,losslA,interLD.A.eqn.bpp.geometry+occ+patch</t>
        </is>
      </c>
      <c r="B153" t="n">
        <v>11</v>
      </c>
    </row>
    <row r="154">
      <c r="A154" t="inlineStr">
        <is>
          <t>col.CW losslG,losslA,interLD.A.eqn.bpp.geometry</t>
        </is>
      </c>
      <c r="B154" t="n">
        <v>12</v>
      </c>
    </row>
    <row r="155">
      <c r="A155" t="inlineStr">
        <is>
          <t>col.CW losslG,losslA,interLD.A.eqn.bpp.colour</t>
        </is>
      </c>
      <c r="B155" t="n">
        <v>13</v>
      </c>
    </row>
    <row r="156">
      <c r="A156" t="inlineStr">
        <is>
          <t>col.CW losslG,losslA,interLD.A.eqn.bits.totalgeometry</t>
        </is>
      </c>
      <c r="B156" t="n">
        <v>14</v>
      </c>
    </row>
    <row r="157">
      <c r="A157" t="inlineStr">
        <is>
          <t>col.CW losslG,losslA,interLD.A.eqn.bpop</t>
        </is>
      </c>
      <c r="B157" t="n">
        <v>15</v>
      </c>
    </row>
    <row r="158">
      <c r="A158" t="inlineStr">
        <is>
          <t>col.CW losslG,losslA,interLD.A.dec.numpoints</t>
        </is>
      </c>
      <c r="B158" t="n">
        <v>16</v>
      </c>
    </row>
    <row r="159">
      <c r="A159" t="inlineStr">
        <is>
          <t>col.CW losslG,losslA,interLD.A.enc.ext.bits</t>
        </is>
      </c>
      <c r="B159" t="n">
        <v>17</v>
      </c>
    </row>
    <row r="160">
      <c r="A160" t="inlineStr">
        <is>
          <t>col.CW losslG,losslA,interLD.A.enc.bits.geometry</t>
        </is>
      </c>
      <c r="B160" t="n">
        <v>18</v>
      </c>
    </row>
    <row r="161">
      <c r="A161" t="inlineStr">
        <is>
          <t>col.CW losslG,losslA,interLD.A.enc.bits.occ+patch</t>
        </is>
      </c>
      <c r="B161" t="n">
        <v>19</v>
      </c>
    </row>
    <row r="162">
      <c r="A162" t="inlineStr">
        <is>
          <t>col.CW losslG,losslA,interLD.A.enc.bits.colour</t>
        </is>
      </c>
      <c r="B162" t="n">
        <v>20</v>
      </c>
    </row>
    <row r="163">
      <c r="A163" t="inlineStr">
        <is>
          <t>col.CW losslG,losslA,interLD.A.dec.d1-psnr</t>
        </is>
      </c>
      <c r="B163" t="n">
        <v>21</v>
      </c>
    </row>
    <row r="164">
      <c r="A164" t="inlineStr">
        <is>
          <t>col.CW losslG,losslA,interLD.A.dec.d2-psnr</t>
        </is>
      </c>
      <c r="B164" t="n">
        <v>22</v>
      </c>
    </row>
    <row r="165">
      <c r="A165" t="inlineStr">
        <is>
          <t>col.CW losslG,losslA,interLD.A.dec.y-psnr</t>
        </is>
      </c>
      <c r="B165" t="n">
        <v>23</v>
      </c>
    </row>
    <row r="166">
      <c r="A166" t="inlineStr">
        <is>
          <t>col.CW losslG,losslA,interLD.A.dec.cb-psnr</t>
        </is>
      </c>
      <c r="B166" t="n">
        <v>24</v>
      </c>
    </row>
    <row r="167">
      <c r="A167" t="inlineStr">
        <is>
          <t>col.CW losslG,losslA,interLD.A.dec.cr-psnr</t>
        </is>
      </c>
      <c r="B167" t="n">
        <v>25</v>
      </c>
    </row>
    <row r="168">
      <c r="A168" t="inlineStr">
        <is>
          <t>col.CW losslG,losslA,interLD.A.enc.utime.self</t>
        </is>
      </c>
      <c r="B168" t="n">
        <v>26</v>
      </c>
    </row>
    <row r="169">
      <c r="A169" t="inlineStr">
        <is>
          <t>col.CW losslG,losslA,interLD.A.enc.utime.children</t>
        </is>
      </c>
      <c r="B169" t="n">
        <v>27</v>
      </c>
    </row>
    <row r="170">
      <c r="A170" t="inlineStr">
        <is>
          <t>col.CW losslG,losslA,interLD.A.dec.utime.self</t>
        </is>
      </c>
      <c r="B170" t="n">
        <v>28</v>
      </c>
    </row>
    <row r="171">
      <c r="A171" t="inlineStr">
        <is>
          <t>col.CW losslG,losslA,interLD.A.dec.utime.children</t>
        </is>
      </c>
      <c r="B171" t="n">
        <v>29</v>
      </c>
    </row>
    <row r="172">
      <c r="A172" t="inlineStr">
        <is>
          <t>col.CW losslG,losslA,interLD.B.eqn.compratio</t>
        </is>
      </c>
      <c r="B172" t="n">
        <v>31</v>
      </c>
    </row>
    <row r="173">
      <c r="A173" t="inlineStr">
        <is>
          <t>col.CW losslG,losslA,interLD.B.eqn.bitrate</t>
        </is>
      </c>
      <c r="B173" t="n">
        <v>32</v>
      </c>
    </row>
    <row r="174">
      <c r="A174" t="inlineStr">
        <is>
          <t>col.CW losslG,losslA,interLD.B.eqn.bpp</t>
        </is>
      </c>
      <c r="B174" t="n">
        <v>33</v>
      </c>
    </row>
    <row r="175">
      <c r="A175" t="inlineStr">
        <is>
          <t>col.CW losslG,losslA,interLD.B.eqn.bpp.geometry+occ+patch</t>
        </is>
      </c>
      <c r="B175" t="n">
        <v>34</v>
      </c>
    </row>
    <row r="176">
      <c r="A176" t="inlineStr">
        <is>
          <t>col.CW losslG,losslA,interLD.B.eqn.bpp.geometry</t>
        </is>
      </c>
      <c r="B176" t="n">
        <v>35</v>
      </c>
    </row>
    <row r="177">
      <c r="A177" t="inlineStr">
        <is>
          <t>col.CW losslG,losslA,interLD.B.eqn.bpp.colour</t>
        </is>
      </c>
      <c r="B177" t="n">
        <v>36</v>
      </c>
    </row>
    <row r="178">
      <c r="A178" t="inlineStr">
        <is>
          <t>col.CW losslG,losslA,interLD.B.eqn.bits.totalgeometry</t>
        </is>
      </c>
      <c r="B178" t="n">
        <v>37</v>
      </c>
    </row>
    <row r="179">
      <c r="A179" t="inlineStr">
        <is>
          <t>col.CW losslG,losslA,interLD.B.eqn.bpop</t>
        </is>
      </c>
      <c r="B179" t="n">
        <v>38</v>
      </c>
    </row>
    <row r="180">
      <c r="A180" t="inlineStr">
        <is>
          <t>col.CW losslG,losslA,interLD.B.dec.numpoints</t>
        </is>
      </c>
      <c r="B180" t="n">
        <v>39</v>
      </c>
    </row>
    <row r="181">
      <c r="A181" t="inlineStr">
        <is>
          <t>col.CW losslG,losslA,interLD.B.enc.ext.bits</t>
        </is>
      </c>
      <c r="B181" t="n">
        <v>40</v>
      </c>
    </row>
    <row r="182">
      <c r="A182" t="inlineStr">
        <is>
          <t>col.CW losslG,losslA,interLD.B.enc.bits.geometry</t>
        </is>
      </c>
      <c r="B182" t="n">
        <v>41</v>
      </c>
    </row>
    <row r="183">
      <c r="A183" t="inlineStr">
        <is>
          <t>col.CW losslG,losslA,interLD.B.enc.bits.occ+patch</t>
        </is>
      </c>
      <c r="B183" t="n">
        <v>42</v>
      </c>
    </row>
    <row r="184">
      <c r="A184" t="inlineStr">
        <is>
          <t>col.CW losslG,losslA,interLD.B.enc.bits.colour</t>
        </is>
      </c>
      <c r="B184" t="n">
        <v>43</v>
      </c>
    </row>
    <row r="185">
      <c r="A185" t="inlineStr">
        <is>
          <t>col.CW losslG,losslA,interLD.B.dec.d1-psnr</t>
        </is>
      </c>
      <c r="B185" t="n">
        <v>44</v>
      </c>
    </row>
    <row r="186">
      <c r="A186" t="inlineStr">
        <is>
          <t>col.CW losslG,losslA,interLD.B.dec.d2-psnr</t>
        </is>
      </c>
      <c r="B186" t="n">
        <v>45</v>
      </c>
    </row>
    <row r="187">
      <c r="A187" t="inlineStr">
        <is>
          <t>col.CW losslG,losslA,interLD.B.dec.y-psnr</t>
        </is>
      </c>
      <c r="B187" t="n">
        <v>46</v>
      </c>
    </row>
    <row r="188">
      <c r="A188" t="inlineStr">
        <is>
          <t>col.CW losslG,losslA,interLD.B.dec.cb-psnr</t>
        </is>
      </c>
      <c r="B188" t="n">
        <v>47</v>
      </c>
    </row>
    <row r="189">
      <c r="A189" t="inlineStr">
        <is>
          <t>col.CW losslG,losslA,interLD.B.dec.cr-psnr</t>
        </is>
      </c>
      <c r="B189" t="n">
        <v>48</v>
      </c>
    </row>
    <row r="190">
      <c r="A190" t="inlineStr">
        <is>
          <t>col.CW losslG,losslA,interLD.B.enc.utime.self</t>
        </is>
      </c>
      <c r="B190" t="n">
        <v>49</v>
      </c>
    </row>
    <row r="191">
      <c r="A191" t="inlineStr">
        <is>
          <t>col.CW losslG,losslA,interLD.B.enc.utime.children</t>
        </is>
      </c>
      <c r="B191" t="n">
        <v>50</v>
      </c>
    </row>
    <row r="192">
      <c r="A192" t="inlineStr">
        <is>
          <t>col.CW losslG,losslA,interLD.B.dec.utime.self</t>
        </is>
      </c>
      <c r="B192" t="n">
        <v>51</v>
      </c>
    </row>
    <row r="193">
      <c r="A193" t="inlineStr">
        <is>
          <t>col.CW losslG,losslA,interLD.B.dec.utime.children</t>
        </is>
      </c>
      <c r="B193" t="n">
        <v>52</v>
      </c>
    </row>
    <row r="194">
      <c r="A194" t="inlineStr">
        <is>
          <t>col.CW losslG,losslA,interLD.eqn.ab.ratio-bpp</t>
        </is>
      </c>
      <c r="B194" t="n">
        <v>54</v>
      </c>
    </row>
    <row r="195">
      <c r="A195" t="inlineStr">
        <is>
          <t>col.CW losslG,losslA,interLD.eqn.ab.ratio-bpp-geometry-total</t>
        </is>
      </c>
      <c r="B195" t="n">
        <v>55</v>
      </c>
    </row>
    <row r="196">
      <c r="A196" t="inlineStr">
        <is>
          <t>col.CW losslG,losslA,interLD.eqn.ab.ratio-bpp-geometry</t>
        </is>
      </c>
      <c r="B196" t="n">
        <v>56</v>
      </c>
    </row>
    <row r="197">
      <c r="A197" t="inlineStr">
        <is>
          <t>col.CW losslG,losslA,interLD.eqn.ab.ratio-bpp-colour</t>
        </is>
      </c>
      <c r="B197" t="n">
        <v>57</v>
      </c>
    </row>
    <row r="198">
      <c r="A198" t="inlineStr">
        <is>
          <t>col.CW losslG,losslA,interLD.eqn.ab.delta-geom_texture_bits_ratio</t>
        </is>
      </c>
      <c r="B198" t="n">
        <v>58</v>
      </c>
    </row>
    <row r="199">
      <c r="A199" t="inlineStr">
        <is>
          <t>col.CW losslG,losslA,interLD.eqn.ab.summary-delta-geom_texture_bits_ratio</t>
        </is>
      </c>
      <c r="B199" t="n">
        <v>59</v>
      </c>
    </row>
    <row r="200">
      <c r="A200" t="inlineStr">
        <is>
          <t>name.A.CW losslG,losslA,interLD</t>
        </is>
      </c>
      <c r="B200" t="inlineStr">
        <is>
          <t>'CW losslG,losslA,interLD'!$H$1</t>
        </is>
      </c>
    </row>
    <row r="201">
      <c r="A201" t="inlineStr">
        <is>
          <t>name.B.CW losslG,losslA,interLD</t>
        </is>
      </c>
      <c r="B201" t="inlineStr">
        <is>
          <t>'CW losslG,losslA,interLD'!$AE$1</t>
        </is>
      </c>
    </row>
    <row r="202">
      <c r="A202" t="inlineStr">
        <is>
          <t>range.CW losslG,losslA,interLD.8ivfbv2_loot_vox10</t>
        </is>
      </c>
      <c r="B202" t="inlineStr">
        <is>
          <t>'CW losslG,losslA,interLD'!$A$5:$BG$5</t>
        </is>
      </c>
    </row>
    <row r="203">
      <c r="A203" t="inlineStr">
        <is>
          <t>range.CW losslG,losslA,interLD.8ivfbv2_redandblack_vox10</t>
        </is>
      </c>
      <c r="B203" t="inlineStr">
        <is>
          <t>'CW losslG,losslA,interLD'!$A$6:$BG$6</t>
        </is>
      </c>
    </row>
    <row r="204">
      <c r="A204" t="inlineStr">
        <is>
          <t>range.CW losslG,losslA,interLD.8ivfbv2_soldier_vox10</t>
        </is>
      </c>
      <c r="B204" t="inlineStr">
        <is>
          <t>'CW losslG,losslA,interLD'!$A$7:$BG$7</t>
        </is>
      </c>
    </row>
    <row r="205">
      <c r="A205" t="inlineStr">
        <is>
          <t>range.CW losslG,losslA,interLD.queen</t>
        </is>
      </c>
      <c r="B205" t="inlineStr">
        <is>
          <t>'CW losslG,losslA,interLD'!$A$8:$BG$8</t>
        </is>
      </c>
    </row>
    <row r="206">
      <c r="A206" t="inlineStr">
        <is>
          <t>range.CW losslG,losslA,interLD.8ivfbv2_longdress_vox10</t>
        </is>
      </c>
      <c r="B206" t="inlineStr">
        <is>
          <t>'CW losslG,losslA,interLD'!$A$9:$BG$9</t>
        </is>
      </c>
    </row>
    <row r="207">
      <c r="A207" t="inlineStr">
        <is>
          <t>range.CW losslG,losslA,interLD.basketball_player_vox11</t>
        </is>
      </c>
      <c r="B207" t="inlineStr">
        <is>
          <t>'CW losslG,losslA,interLD'!$A$10:$BG$10</t>
        </is>
      </c>
    </row>
    <row r="208">
      <c r="A208" t="inlineStr">
        <is>
          <t>range.CW losslG,losslA,interLD.dancer_player_vox11</t>
        </is>
      </c>
      <c r="B208" t="inlineStr">
        <is>
          <t>'CW losslG,losslA,interLD'!$A$11:$BG$11</t>
        </is>
      </c>
    </row>
    <row r="209">
      <c r="A209" t="inlineStr">
        <is>
          <t>cols.CW losslG,losslA,interLD</t>
        </is>
      </c>
      <c r="B209" t="inlineStr">
        <is>
          <t>enc.utime.self</t>
        </is>
      </c>
      <c r="C209" t="inlineStr">
        <is>
          <t>eqn.bpop</t>
        </is>
      </c>
      <c r="D209" t="inlineStr">
        <is>
          <t>dec.y-psnr</t>
        </is>
      </c>
      <c r="E209" t="inlineStr">
        <is>
          <t>enc.bits.occ+patch</t>
        </is>
      </c>
      <c r="F209" t="inlineStr">
        <is>
          <t>enc.ext.bits</t>
        </is>
      </c>
      <c r="G209" t="inlineStr">
        <is>
          <t>dec.utime.children</t>
        </is>
      </c>
      <c r="H209" t="inlineStr">
        <is>
          <t>eqn.bitrate</t>
        </is>
      </c>
      <c r="I209" t="inlineStr">
        <is>
          <t>eqn.compratio</t>
        </is>
      </c>
      <c r="J209" t="inlineStr">
        <is>
          <t>dec.d1-psnr</t>
        </is>
      </c>
      <c r="K209" t="inlineStr">
        <is>
          <t>eqn.bpp.geometry+occ+patch</t>
        </is>
      </c>
      <c r="L209" t="inlineStr">
        <is>
          <t>enc.bits.geometry</t>
        </is>
      </c>
      <c r="M209" t="inlineStr">
        <is>
          <t>eqn.bpp</t>
        </is>
      </c>
      <c r="N209" t="inlineStr">
        <is>
          <t>dec.numpoints</t>
        </is>
      </c>
      <c r="O209" t="inlineStr">
        <is>
          <t>eqn.bits.totalgeometry</t>
        </is>
      </c>
      <c r="P209" t="inlineStr">
        <is>
          <t>eqn.bpp.colour</t>
        </is>
      </c>
      <c r="Q209" t="inlineStr">
        <is>
          <t>dec.cb-psnr</t>
        </is>
      </c>
      <c r="R209" t="inlineStr">
        <is>
          <t>dec.cr-psnr</t>
        </is>
      </c>
      <c r="S209" t="inlineStr">
        <is>
          <t>enc.utime.children</t>
        </is>
      </c>
      <c r="T209" t="inlineStr">
        <is>
          <t>dec.utime.self</t>
        </is>
      </c>
      <c r="U209" t="inlineStr">
        <is>
          <t>eqn.bpp.geometry</t>
        </is>
      </c>
      <c r="V209" t="inlineStr">
        <is>
          <t>enc.bits.colour</t>
        </is>
      </c>
      <c r="W209" t="inlineStr">
        <is>
          <t>dec.d2-psnr</t>
        </is>
      </c>
    </row>
    <row r="210">
      <c r="A210" t="inlineStr">
        <is>
          <t>col.C2 lossyG,lossyA,interRA.class</t>
        </is>
      </c>
      <c r="B210" t="n">
        <v>1</v>
      </c>
    </row>
    <row r="211">
      <c r="A211" t="inlineStr">
        <is>
          <t>col.C2 lossyG,lossyA,interRA.sequence</t>
        </is>
      </c>
      <c r="B211" t="n">
        <v>2</v>
      </c>
    </row>
    <row r="212">
      <c r="A212" t="inlineStr">
        <is>
          <t>col.C2 lossyG,lossyA,interRA.variant</t>
        </is>
      </c>
      <c r="B212" t="n">
        <v>3</v>
      </c>
    </row>
    <row r="213">
      <c r="A213" t="inlineStr">
        <is>
          <t>col.C2 lossyG,lossyA,interRA.src.numpoints</t>
        </is>
      </c>
      <c r="B213" t="n">
        <v>4</v>
      </c>
    </row>
    <row r="214">
      <c r="A214" t="inlineStr">
        <is>
          <t>col.C2 lossyG,lossyA,interRA.src.geometry-precision</t>
        </is>
      </c>
      <c r="B214" t="n">
        <v>5</v>
      </c>
    </row>
    <row r="215">
      <c r="A215" t="inlineStr">
        <is>
          <t>col.C2 lossyG,lossyA,interRA.src.framecount</t>
        </is>
      </c>
      <c r="B215" t="n">
        <v>6</v>
      </c>
    </row>
    <row r="216">
      <c r="A216" t="inlineStr">
        <is>
          <t>col.C2 lossyG,lossyA,interRA.src.framerate</t>
        </is>
      </c>
      <c r="B216" t="n">
        <v>7</v>
      </c>
    </row>
    <row r="217">
      <c r="A217" t="inlineStr">
        <is>
          <t>col.C2 lossyG,lossyA,interRA.A.eqn.bitrate</t>
        </is>
      </c>
      <c r="B217" t="n">
        <v>9</v>
      </c>
    </row>
    <row r="218">
      <c r="A218" t="inlineStr">
        <is>
          <t>col.C2 lossyG,lossyA,interRA.A.eqn.bpp</t>
        </is>
      </c>
      <c r="B218" t="n">
        <v>10</v>
      </c>
    </row>
    <row r="219">
      <c r="A219" t="inlineStr">
        <is>
          <t>col.C2 lossyG,lossyA,interRA.A.eqn.bpp.geometry+occ+patch</t>
        </is>
      </c>
      <c r="B219" t="n">
        <v>11</v>
      </c>
    </row>
    <row r="220">
      <c r="A220" t="inlineStr">
        <is>
          <t>col.C2 lossyG,lossyA,interRA.A.eqn.bpp.geometry</t>
        </is>
      </c>
      <c r="B220" t="n">
        <v>12</v>
      </c>
    </row>
    <row r="221">
      <c r="A221" t="inlineStr">
        <is>
          <t>col.C2 lossyG,lossyA,interRA.A.eqn.bpp.colour</t>
        </is>
      </c>
      <c r="B221" t="n">
        <v>13</v>
      </c>
    </row>
    <row r="222">
      <c r="A222" t="inlineStr">
        <is>
          <t>col.C2 lossyG,lossyA,interRA.A.eqn.bits.totalgeometry</t>
        </is>
      </c>
      <c r="B222" t="n">
        <v>14</v>
      </c>
    </row>
    <row r="223">
      <c r="A223" t="inlineStr">
        <is>
          <t>col.C2 lossyG,lossyA,interRA.A.eqn.bpop</t>
        </is>
      </c>
      <c r="B223" t="n">
        <v>15</v>
      </c>
    </row>
    <row r="224">
      <c r="A224" t="inlineStr">
        <is>
          <t>col.C2 lossyG,lossyA,interRA.A.dec.numpoints</t>
        </is>
      </c>
      <c r="B224" t="n">
        <v>16</v>
      </c>
    </row>
    <row r="225">
      <c r="A225" t="inlineStr">
        <is>
          <t>col.C2 lossyG,lossyA,interRA.A.dec.numpoints.mean</t>
        </is>
      </c>
      <c r="B225" t="n">
        <v>17</v>
      </c>
    </row>
    <row r="226">
      <c r="A226" t="inlineStr">
        <is>
          <t>col.C2 lossyG,lossyA,interRA.A.dec.numduppoints.mean</t>
        </is>
      </c>
      <c r="B226" t="n">
        <v>18</v>
      </c>
    </row>
    <row r="227">
      <c r="A227" t="inlineStr">
        <is>
          <t>col.C2 lossyG,lossyA,interRA.A.enc.ext.bits</t>
        </is>
      </c>
      <c r="B227" t="n">
        <v>19</v>
      </c>
    </row>
    <row r="228">
      <c r="A228" t="inlineStr">
        <is>
          <t>col.C2 lossyG,lossyA,interRA.A.enc.bits.geometry</t>
        </is>
      </c>
      <c r="B228" t="n">
        <v>20</v>
      </c>
    </row>
    <row r="229">
      <c r="A229" t="inlineStr">
        <is>
          <t>col.C2 lossyG,lossyA,interRA.A.enc.bits.occ+patch</t>
        </is>
      </c>
      <c r="B229" t="n">
        <v>21</v>
      </c>
    </row>
    <row r="230">
      <c r="A230" t="inlineStr">
        <is>
          <t>col.C2 lossyG,lossyA,interRA.A.enc.bits.colour</t>
        </is>
      </c>
      <c r="B230" t="n">
        <v>22</v>
      </c>
    </row>
    <row r="231">
      <c r="A231" t="inlineStr">
        <is>
          <t>col.C2 lossyG,lossyA,interRA.A.dec.d1-psnr</t>
        </is>
      </c>
      <c r="B231" t="n">
        <v>23</v>
      </c>
    </row>
    <row r="232">
      <c r="A232" t="inlineStr">
        <is>
          <t>col.C2 lossyG,lossyA,interRA.A.dec.d2-psnr</t>
        </is>
      </c>
      <c r="B232" t="n">
        <v>24</v>
      </c>
    </row>
    <row r="233">
      <c r="A233" t="inlineStr">
        <is>
          <t>col.C2 lossyG,lossyA,interRA.A.dec.y-psnr</t>
        </is>
      </c>
      <c r="B233" t="n">
        <v>25</v>
      </c>
    </row>
    <row r="234">
      <c r="A234" t="inlineStr">
        <is>
          <t>col.C2 lossyG,lossyA,interRA.A.dec.cb-psnr</t>
        </is>
      </c>
      <c r="B234" t="n">
        <v>26</v>
      </c>
    </row>
    <row r="235">
      <c r="A235" t="inlineStr">
        <is>
          <t>col.C2 lossyG,lossyA,interRA.A.dec.cr-psnr</t>
        </is>
      </c>
      <c r="B235" t="n">
        <v>27</v>
      </c>
    </row>
    <row r="236">
      <c r="A236" t="inlineStr">
        <is>
          <t>col.C2 lossyG,lossyA,interRA.A.enc.utime.self</t>
        </is>
      </c>
      <c r="B236" t="n">
        <v>28</v>
      </c>
    </row>
    <row r="237">
      <c r="A237" t="inlineStr">
        <is>
          <t>col.C2 lossyG,lossyA,interRA.A.enc.utime.children</t>
        </is>
      </c>
      <c r="B237" t="n">
        <v>29</v>
      </c>
    </row>
    <row r="238">
      <c r="A238" t="inlineStr">
        <is>
          <t>col.C2 lossyG,lossyA,interRA.A.dec.utime.self</t>
        </is>
      </c>
      <c r="B238" t="n">
        <v>30</v>
      </c>
    </row>
    <row r="239">
      <c r="A239" t="inlineStr">
        <is>
          <t>col.C2 lossyG,lossyA,interRA.A.dec.utime.children</t>
        </is>
      </c>
      <c r="B239" t="n">
        <v>31</v>
      </c>
    </row>
    <row r="240">
      <c r="A240" t="inlineStr">
        <is>
          <t>col.C2 lossyG,lossyA,interRA.B.eqn.bitrate</t>
        </is>
      </c>
      <c r="B240" t="n">
        <v>33</v>
      </c>
    </row>
    <row r="241">
      <c r="A241" t="inlineStr">
        <is>
          <t>col.C2 lossyG,lossyA,interRA.B.eqn.bpp</t>
        </is>
      </c>
      <c r="B241" t="n">
        <v>34</v>
      </c>
    </row>
    <row r="242">
      <c r="A242" t="inlineStr">
        <is>
          <t>col.C2 lossyG,lossyA,interRA.B.eqn.bpp.geometry+occ+patch</t>
        </is>
      </c>
      <c r="B242" t="n">
        <v>35</v>
      </c>
    </row>
    <row r="243">
      <c r="A243" t="inlineStr">
        <is>
          <t>col.C2 lossyG,lossyA,interRA.B.eqn.bpp.geometry</t>
        </is>
      </c>
      <c r="B243" t="n">
        <v>36</v>
      </c>
    </row>
    <row r="244">
      <c r="A244" t="inlineStr">
        <is>
          <t>col.C2 lossyG,lossyA,interRA.B.eqn.bpp.colour</t>
        </is>
      </c>
      <c r="B244" t="n">
        <v>37</v>
      </c>
    </row>
    <row r="245">
      <c r="A245" t="inlineStr">
        <is>
          <t>col.C2 lossyG,lossyA,interRA.B.eqn.bits.totalgeometry</t>
        </is>
      </c>
      <c r="B245" t="n">
        <v>38</v>
      </c>
    </row>
    <row r="246">
      <c r="A246" t="inlineStr">
        <is>
          <t>col.C2 lossyG,lossyA,interRA.B.eqn.bpop</t>
        </is>
      </c>
      <c r="B246" t="n">
        <v>39</v>
      </c>
    </row>
    <row r="247">
      <c r="A247" t="inlineStr">
        <is>
          <t>col.C2 lossyG,lossyA,interRA.B.dec.numpoints</t>
        </is>
      </c>
      <c r="B247" t="n">
        <v>40</v>
      </c>
    </row>
    <row r="248">
      <c r="A248" t="inlineStr">
        <is>
          <t>col.C2 lossyG,lossyA,interRA.B.dec.numpoints.mean</t>
        </is>
      </c>
      <c r="B248" t="n">
        <v>41</v>
      </c>
    </row>
    <row r="249">
      <c r="A249" t="inlineStr">
        <is>
          <t>col.C2 lossyG,lossyA,interRA.B.dec.numduppoints.mean</t>
        </is>
      </c>
      <c r="B249" t="n">
        <v>42</v>
      </c>
    </row>
    <row r="250">
      <c r="A250" t="inlineStr">
        <is>
          <t>col.C2 lossyG,lossyA,interRA.B.enc.ext.bits</t>
        </is>
      </c>
      <c r="B250" t="n">
        <v>43</v>
      </c>
    </row>
    <row r="251">
      <c r="A251" t="inlineStr">
        <is>
          <t>col.C2 lossyG,lossyA,interRA.B.enc.bits.geometry</t>
        </is>
      </c>
      <c r="B251" t="n">
        <v>44</v>
      </c>
    </row>
    <row r="252">
      <c r="A252" t="inlineStr">
        <is>
          <t>col.C2 lossyG,lossyA,interRA.B.enc.bits.occ+patch</t>
        </is>
      </c>
      <c r="B252" t="n">
        <v>45</v>
      </c>
    </row>
    <row r="253">
      <c r="A253" t="inlineStr">
        <is>
          <t>col.C2 lossyG,lossyA,interRA.B.enc.bits.colour</t>
        </is>
      </c>
      <c r="B253" t="n">
        <v>46</v>
      </c>
    </row>
    <row r="254">
      <c r="A254" t="inlineStr">
        <is>
          <t>col.C2 lossyG,lossyA,interRA.B.dec.d1-psnr</t>
        </is>
      </c>
      <c r="B254" t="n">
        <v>47</v>
      </c>
    </row>
    <row r="255">
      <c r="A255" t="inlineStr">
        <is>
          <t>col.C2 lossyG,lossyA,interRA.B.dec.d2-psnr</t>
        </is>
      </c>
      <c r="B255" t="n">
        <v>48</v>
      </c>
    </row>
    <row r="256">
      <c r="A256" t="inlineStr">
        <is>
          <t>col.C2 lossyG,lossyA,interRA.B.dec.y-psnr</t>
        </is>
      </c>
      <c r="B256" t="n">
        <v>49</v>
      </c>
    </row>
    <row r="257">
      <c r="A257" t="inlineStr">
        <is>
          <t>col.C2 lossyG,lossyA,interRA.B.dec.cb-psnr</t>
        </is>
      </c>
      <c r="B257" t="n">
        <v>50</v>
      </c>
    </row>
    <row r="258">
      <c r="A258" t="inlineStr">
        <is>
          <t>col.C2 lossyG,lossyA,interRA.B.dec.cr-psnr</t>
        </is>
      </c>
      <c r="B258" t="n">
        <v>51</v>
      </c>
    </row>
    <row r="259">
      <c r="A259" t="inlineStr">
        <is>
          <t>col.C2 lossyG,lossyA,interRA.B.enc.utime.self</t>
        </is>
      </c>
      <c r="B259" t="n">
        <v>52</v>
      </c>
    </row>
    <row r="260">
      <c r="A260" t="inlineStr">
        <is>
          <t>col.C2 lossyG,lossyA,interRA.B.enc.utime.children</t>
        </is>
      </c>
      <c r="B260" t="n">
        <v>53</v>
      </c>
    </row>
    <row r="261">
      <c r="A261" t="inlineStr">
        <is>
          <t>col.C2 lossyG,lossyA,interRA.B.dec.utime.self</t>
        </is>
      </c>
      <c r="B261" t="n">
        <v>54</v>
      </c>
    </row>
    <row r="262">
      <c r="A262" t="inlineStr">
        <is>
          <t>col.C2 lossyG,lossyA,interRA.B.dec.utime.children</t>
        </is>
      </c>
      <c r="B262" t="n">
        <v>55</v>
      </c>
    </row>
    <row r="263">
      <c r="A263" t="inlineStr">
        <is>
          <t>col.C2 lossyG,lossyA,interRA.eqn.ab.ratio-bpp-geometry-total</t>
        </is>
      </c>
      <c r="B263" t="n">
        <v>57</v>
      </c>
    </row>
    <row r="264">
      <c r="A264" t="inlineStr">
        <is>
          <t>col.C2 lossyG,lossyA,interRA.eqn.ab.delta-duppoints_ratio</t>
        </is>
      </c>
      <c r="B264" t="n">
        <v>58</v>
      </c>
    </row>
    <row r="265">
      <c r="A265" t="inlineStr">
        <is>
          <t>col.C2 lossyG,lossyA,interRA.eqn.ab.delta-geom_texture_bits_ratio</t>
        </is>
      </c>
      <c r="B265" t="n">
        <v>59</v>
      </c>
    </row>
    <row r="266">
      <c r="A266" t="inlineStr">
        <is>
          <t>col.C2 lossyG,lossyA,interRA.eqn.ab.summary-delta-geom_texture_bits_ratio</t>
        </is>
      </c>
      <c r="B266" t="n">
        <v>60</v>
      </c>
    </row>
    <row r="267">
      <c r="A267" t="inlineStr">
        <is>
          <t>col.C2 lossyG,lossyA,interRA.eqn.ab.bdrate-d1-geomrate</t>
        </is>
      </c>
      <c r="B267" t="n">
        <v>62</v>
      </c>
    </row>
    <row r="268">
      <c r="A268" t="inlineStr">
        <is>
          <t>col.C2 lossyG,lossyA,interRA.eqn.ab.bdrate-d2-geomrate</t>
        </is>
      </c>
      <c r="B268" t="n">
        <v>63</v>
      </c>
    </row>
    <row r="269">
      <c r="A269" t="inlineStr">
        <is>
          <t>col.C2 lossyG,lossyA,interRA.eqn.ab.bdrate-y-attrrate</t>
        </is>
      </c>
      <c r="B269" t="n">
        <v>64</v>
      </c>
    </row>
    <row r="270">
      <c r="A270" t="inlineStr">
        <is>
          <t>col.C2 lossyG,lossyA,interRA.eqn.ab.bdrate-cb-attrrate</t>
        </is>
      </c>
      <c r="B270" t="n">
        <v>65</v>
      </c>
    </row>
    <row r="271">
      <c r="A271" t="inlineStr">
        <is>
          <t>col.C2 lossyG,lossyA,interRA.eqn.ab.bdrate-cr-attrrate</t>
        </is>
      </c>
      <c r="B271" t="n">
        <v>66</v>
      </c>
    </row>
    <row r="272">
      <c r="A272" t="inlineStr">
        <is>
          <t>col.C2 lossyG,lossyA,interRA.eqn.ab.bdrate-d1</t>
        </is>
      </c>
      <c r="B272" t="n">
        <v>68</v>
      </c>
    </row>
    <row r="273">
      <c r="A273" t="inlineStr">
        <is>
          <t>col.C2 lossyG,lossyA,interRA.eqn.ab.bdrate-d2</t>
        </is>
      </c>
      <c r="B273" t="n">
        <v>69</v>
      </c>
    </row>
    <row r="274">
      <c r="A274" t="inlineStr">
        <is>
          <t>col.C2 lossyG,lossyA,interRA.eqn.ab.bdrate-y</t>
        </is>
      </c>
      <c r="B274" t="n">
        <v>70</v>
      </c>
    </row>
    <row r="275">
      <c r="A275" t="inlineStr">
        <is>
          <t>col.C2 lossyG,lossyA,interRA.eqn.ab.bdrate-cb</t>
        </is>
      </c>
      <c r="B275" t="n">
        <v>71</v>
      </c>
    </row>
    <row r="276">
      <c r="A276" t="inlineStr">
        <is>
          <t>col.C2 lossyG,lossyA,interRA.eqn.ab.bdrate-cr</t>
        </is>
      </c>
      <c r="B276" t="n">
        <v>72</v>
      </c>
    </row>
    <row r="277">
      <c r="A277" t="inlineStr">
        <is>
          <t>name.A.C2 lossyG,lossyA,interRA</t>
        </is>
      </c>
      <c r="B277" t="inlineStr">
        <is>
          <t>'C2 lossyG,lossyA,interRA'!$I$1</t>
        </is>
      </c>
    </row>
    <row r="278">
      <c r="A278" t="inlineStr">
        <is>
          <t>name.B.C2 lossyG,lossyA,interRA</t>
        </is>
      </c>
      <c r="B278" t="inlineStr">
        <is>
          <t>'C2 lossyG,lossyA,interRA'!$AG$1</t>
        </is>
      </c>
    </row>
    <row r="279">
      <c r="A279" t="inlineStr">
        <is>
          <t>range.C2 lossyG,lossyA,interRA.8ivfbv2_loot_vox10</t>
        </is>
      </c>
      <c r="B279" t="inlineStr">
        <is>
          <t>'C2 lossyG,lossyA,interRA'!$A$5:$BT$9</t>
        </is>
      </c>
    </row>
    <row r="280">
      <c r="A280" t="inlineStr">
        <is>
          <t>range.C2 lossyG,lossyA,interRA.8ivfbv2_redandblack_vox10</t>
        </is>
      </c>
      <c r="B280" t="inlineStr">
        <is>
          <t>'C2 lossyG,lossyA,interRA'!$A$10:$BT$14</t>
        </is>
      </c>
    </row>
    <row r="281">
      <c r="A281" t="inlineStr">
        <is>
          <t>range.C2 lossyG,lossyA,interRA.8ivfbv2_soldier_vox10</t>
        </is>
      </c>
      <c r="B281" t="inlineStr">
        <is>
          <t>'C2 lossyG,lossyA,interRA'!$A$15:$BT$19</t>
        </is>
      </c>
    </row>
    <row r="282">
      <c r="A282" t="inlineStr">
        <is>
          <t>range.C2 lossyG,lossyA,interRA.queen</t>
        </is>
      </c>
      <c r="B282" t="inlineStr">
        <is>
          <t>'C2 lossyG,lossyA,interRA'!$A$20:$BT$24</t>
        </is>
      </c>
    </row>
    <row r="283">
      <c r="A283" t="inlineStr">
        <is>
          <t>range.C2 lossyG,lossyA,interRA.8ivfbv2_longdress_vox10</t>
        </is>
      </c>
      <c r="B283" t="inlineStr">
        <is>
          <t>'C2 lossyG,lossyA,interRA'!$A$25:$BT$29</t>
        </is>
      </c>
    </row>
    <row r="284">
      <c r="A284" t="inlineStr">
        <is>
          <t>range.C2 lossyG,lossyA,interRA.basketball_player_vox11</t>
        </is>
      </c>
      <c r="B284" t="inlineStr">
        <is>
          <t>'C2 lossyG,lossyA,interRA'!$A$30:$BT$34</t>
        </is>
      </c>
    </row>
    <row r="285">
      <c r="A285" t="inlineStr">
        <is>
          <t>range.C2 lossyG,lossyA,interRA.dancer_player_vox11</t>
        </is>
      </c>
      <c r="B285" t="inlineStr">
        <is>
          <t>'C2 lossyG,lossyA,interRA'!$A$35:$BT$39</t>
        </is>
      </c>
    </row>
    <row r="286">
      <c r="A286" t="inlineStr">
        <is>
          <t>cols.C2 lossyG,lossyA,interRA</t>
        </is>
      </c>
      <c r="B286" t="inlineStr">
        <is>
          <t>dec.numpoints.mean</t>
        </is>
      </c>
      <c r="C286" t="inlineStr">
        <is>
          <t>dec.numpoints</t>
        </is>
      </c>
      <c r="D286" t="inlineStr">
        <is>
          <t>dec.d1-psnr</t>
        </is>
      </c>
      <c r="E286" t="inlineStr">
        <is>
          <t>dec.d2-psnr</t>
        </is>
      </c>
      <c r="F286" t="inlineStr">
        <is>
          <t>enc.bits.geometry</t>
        </is>
      </c>
      <c r="G286" t="inlineStr">
        <is>
          <t>dec.numduppoints.mean</t>
        </is>
      </c>
      <c r="H286" t="inlineStr">
        <is>
          <t>eqn.bitrate</t>
        </is>
      </c>
      <c r="I286" t="inlineStr">
        <is>
          <t>dec.cb-psnr</t>
        </is>
      </c>
      <c r="J286" t="inlineStr">
        <is>
          <t>enc.bits.occ+patch</t>
        </is>
      </c>
      <c r="K286" t="inlineStr">
        <is>
          <t>eqn.bpop</t>
        </is>
      </c>
      <c r="L286" t="inlineStr">
        <is>
          <t>enc.utime.children</t>
        </is>
      </c>
      <c r="M286" t="inlineStr">
        <is>
          <t>dec.cr-psnr</t>
        </is>
      </c>
      <c r="N286" t="inlineStr">
        <is>
          <t>eqn.bpp.geometry+occ+patch</t>
        </is>
      </c>
      <c r="O286" t="inlineStr">
        <is>
          <t>enc.ext.bits</t>
        </is>
      </c>
      <c r="P286" t="inlineStr">
        <is>
          <t>eqn.bpp</t>
        </is>
      </c>
      <c r="Q286" t="inlineStr">
        <is>
          <t>eqn.bits.totalgeometry</t>
        </is>
      </c>
      <c r="R286" t="inlineStr">
        <is>
          <t>eqn.bpp.colour</t>
        </is>
      </c>
      <c r="S286" t="inlineStr">
        <is>
          <t>dec.utime.self</t>
        </is>
      </c>
      <c r="T286" t="inlineStr">
        <is>
          <t>eqn.bpp.geometry</t>
        </is>
      </c>
      <c r="U286" t="inlineStr">
        <is>
          <t>enc.bits.colour</t>
        </is>
      </c>
      <c r="V286" t="inlineStr">
        <is>
          <t>dec.utime.children</t>
        </is>
      </c>
      <c r="W286" t="inlineStr">
        <is>
          <t>dec.y-psnr</t>
        </is>
      </c>
      <c r="X286" t="inlineStr">
        <is>
          <t>enc.utime.self</t>
        </is>
      </c>
    </row>
  </sheetData>
  <pageMargins bottom="0.75" footer="0.3" header="0.3" left="0.7" right="0.7" top="0.75"/>
</worksheet>
</file>

<file path=xl/worksheets/sheet5.xml><?xml version="1.0" encoding="utf-8"?>
<worksheet xmlns="http://schemas.openxmlformats.org/spreadsheetml/2006/main">
  <sheetPr>
    <outlinePr summaryBelow="0"/>
    <pageSetUpPr/>
  </sheetPr>
  <dimension ref="A1:BG19"/>
  <sheetViews>
    <sheetView workbookViewId="0" zoomScale="55" zoomScaleNormal="55">
      <pane activePane="bottomRight" state="frozen" topLeftCell="F5" xSplit="2" ySplit="4"/>
      <selection activeCell="C1" pane="topRight" sqref="C1"/>
      <selection activeCell="A5" pane="bottomLeft" sqref="A5"/>
      <selection activeCell="AE1" pane="bottomRight" sqref="AE1:AZ1"/>
    </sheetView>
  </sheetViews>
  <sheetFormatPr baseColWidth="8" defaultRowHeight="14.4" outlineLevelRow="2"/>
  <cols>
    <col customWidth="1" max="2" min="2" style="86" width="24.6640625"/>
    <col customWidth="1" max="4" min="3" style="86" width="10.6640625"/>
    <col customWidth="1" max="7" min="7" style="86" width="1.6640625"/>
    <col customWidth="1" max="13" min="10" style="86" width="10.6640625"/>
    <col customWidth="1" hidden="1" max="14" min="14" style="86" width="24.6640625"/>
    <col customWidth="1" max="15" min="15" style="86" width="12.6640625"/>
    <col customWidth="1" max="16" min="16" style="86" width="10.6640625"/>
    <col customWidth="1" max="20" min="17" style="86" width="12.6640625"/>
    <col customWidth="1" max="25" min="21" style="86" width="11.6640625"/>
    <col customWidth="1" max="30" min="30" style="86" width="1.6640625"/>
    <col customWidth="1" max="36" min="33" style="86" width="10.6640625"/>
    <col customWidth="1" hidden="1" max="37" min="37" style="86" width="24.6640625"/>
    <col customWidth="1" max="38" min="38" style="86" width="12.6640625"/>
    <col customWidth="1" max="39" min="39" style="86" width="10.6640625"/>
    <col customWidth="1" max="43" min="40" style="86" width="12.6640625"/>
    <col customWidth="1" max="48" min="44" style="86" width="11.6640625"/>
    <col customWidth="1" max="53" min="53" style="86" width="1.6640625"/>
    <col customWidth="1" max="60" min="60" style="86" width="1.6640625"/>
  </cols>
  <sheetData>
    <row r="1">
      <c r="A1" s="177" t="inlineStr">
        <is>
          <t>CW_ai — lossless geometry, lossless attributes [all intra]</t>
        </is>
      </c>
      <c r="H1" s="165">
        <f>Summary!$C$1</f>
        <v/>
      </c>
      <c r="AE1" s="166">
        <f>Summary!$C$2</f>
        <v/>
      </c>
    </row>
    <row customHeight="1" ht="30" r="2" s="86">
      <c r="A2" s="173" t="inlineStr">
        <is>
          <t>Class</t>
        </is>
      </c>
      <c r="B2" s="174" t="inlineStr">
        <is>
          <t>Sequence</t>
        </is>
      </c>
      <c r="C2" s="173" t="inlineStr">
        <is>
          <t>№ input points</t>
        </is>
      </c>
      <c r="D2" s="174" t="inlineStr">
        <is>
          <t>Geometry precision [bits]</t>
        </is>
      </c>
      <c r="E2" s="173" t="inlineStr">
        <is>
          <t>№ frames</t>
        </is>
      </c>
      <c r="F2" s="174" t="inlineStr">
        <is>
          <t>Frame rate [fps]</t>
        </is>
      </c>
      <c r="H2" s="173" t="inlineStr">
        <is>
          <t>Comp. ratio [%]</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6" t="inlineStr">
        <is>
          <t>Bitstream [bits]</t>
        </is>
      </c>
      <c r="U2" s="175" t="inlineStr">
        <is>
          <t>Geometry PSNR [dB]</t>
        </is>
      </c>
      <c r="W2" s="176" t="inlineStr">
        <is>
          <t>End-to-end PSNR [dB]</t>
        </is>
      </c>
      <c r="Z2" s="175" t="inlineStr">
        <is>
          <t>Encoder runtime [s]</t>
        </is>
      </c>
      <c r="AB2" s="176" t="inlineStr">
        <is>
          <t>Decoder runtime [s]</t>
        </is>
      </c>
      <c r="AE2" s="173" t="inlineStr">
        <is>
          <t>Comp. ratio [%]</t>
        </is>
      </c>
      <c r="AF2" s="174" t="inlineStr">
        <is>
          <t>Rate [Mbps]</t>
        </is>
      </c>
      <c r="AG2" s="175" t="inlineStr">
        <is>
          <t>Bits per input point [bpip]</t>
        </is>
      </c>
      <c r="AK2" s="173" t="inlineStr">
        <is>
          <t>B.eqn.bits.totalgeometry Bitstream [bits]</t>
        </is>
      </c>
      <c r="AL2" s="174" t="inlineStr">
        <is>
          <t>Total Bits per output point [bpop]</t>
        </is>
      </c>
      <c r="AM2" s="173" t="inlineStr">
        <is>
          <t>№ output points</t>
        </is>
      </c>
      <c r="AN2" s="176" t="inlineStr">
        <is>
          <t>Bitstream [bits]</t>
        </is>
      </c>
      <c r="AR2" s="175" t="inlineStr">
        <is>
          <t>Geometry PSNR [dB]</t>
        </is>
      </c>
      <c r="AT2" s="176" t="inlineStr">
        <is>
          <t>End-to-end PSNR [dB]</t>
        </is>
      </c>
      <c r="AW2" s="175" t="inlineStr">
        <is>
          <t>Encoder runtime [s]</t>
        </is>
      </c>
      <c r="AY2" s="176" t="inlineStr">
        <is>
          <t>Decoder runtime [s]</t>
        </is>
      </c>
      <c r="BB2" s="175" t="inlineStr">
        <is>
          <t>bpip ratio [%]</t>
        </is>
      </c>
      <c r="BF2" s="174" t="inlineStr">
        <is>
          <t>Shift in G:T bits ratio [pp]</t>
        </is>
      </c>
      <c r="BG2" s="173" t="inlineStr">
        <is>
          <t>Shift in G:T bits ratio [pp]</t>
        </is>
      </c>
    </row>
    <row customHeight="1" ht="28.8" r="3" s="86">
      <c r="A3" s="9" t="n"/>
      <c r="B3" s="9" t="n"/>
      <c r="C3" s="9" t="n"/>
      <c r="D3" s="9" t="n"/>
      <c r="E3" s="9" t="n"/>
      <c r="F3" s="9" t="n"/>
      <c r="H3" s="9" t="n"/>
      <c r="I3" s="9" t="n"/>
      <c r="J3" s="173" t="inlineStr">
        <is>
          <t>Total</t>
        </is>
      </c>
      <c r="K3" s="173" t="inlineStr">
        <is>
          <t>Tot.Geom</t>
        </is>
      </c>
      <c r="L3" s="173" t="inlineStr">
        <is>
          <t>Geometry</t>
        </is>
      </c>
      <c r="M3" s="173" t="inlineStr">
        <is>
          <t xml:space="preserve">Colour </t>
        </is>
      </c>
      <c r="N3" s="9" t="n"/>
      <c r="O3" s="9" t="n"/>
      <c r="P3" s="9" t="n"/>
      <c r="Q3" s="174" t="inlineStr">
        <is>
          <t>Total</t>
        </is>
      </c>
      <c r="R3" s="174" t="inlineStr">
        <is>
          <t>Geometry</t>
        </is>
      </c>
      <c r="S3" s="174" t="inlineStr">
        <is>
          <t>Occ+Patch</t>
        </is>
      </c>
      <c r="T3" s="174" t="inlineStr">
        <is>
          <t>Colour</t>
        </is>
      </c>
      <c r="U3" s="173" t="inlineStr">
        <is>
          <t>D1</t>
        </is>
      </c>
      <c r="V3" s="173" t="inlineStr">
        <is>
          <t>D2</t>
        </is>
      </c>
      <c r="W3" s="174" t="inlineStr">
        <is>
          <t>Luma</t>
        </is>
      </c>
      <c r="X3" s="174" t="inlineStr">
        <is>
          <t>Chroma Cb</t>
        </is>
      </c>
      <c r="Y3" s="174" t="inlineStr">
        <is>
          <t>Chroma Cr</t>
        </is>
      </c>
      <c r="Z3" s="173" t="inlineStr">
        <is>
          <t>Self</t>
        </is>
      </c>
      <c r="AA3" s="173" t="inlineStr">
        <is>
          <t>Child</t>
        </is>
      </c>
      <c r="AB3" s="174" t="inlineStr">
        <is>
          <t>Self</t>
        </is>
      </c>
      <c r="AC3" s="174" t="inlineStr">
        <is>
          <t>Child</t>
        </is>
      </c>
      <c r="AE3" s="9" t="n"/>
      <c r="AF3" s="9" t="n"/>
      <c r="AG3" s="173" t="inlineStr">
        <is>
          <t>Total</t>
        </is>
      </c>
      <c r="AH3" s="173" t="inlineStr">
        <is>
          <t>Tot.Geom</t>
        </is>
      </c>
      <c r="AI3" s="173" t="inlineStr">
        <is>
          <t>Geometry</t>
        </is>
      </c>
      <c r="AJ3" s="173" t="inlineStr">
        <is>
          <t xml:space="preserve">Colour </t>
        </is>
      </c>
      <c r="AK3" s="9" t="n"/>
      <c r="AL3" s="9" t="n"/>
      <c r="AM3" s="9" t="n"/>
      <c r="AN3" s="174" t="inlineStr">
        <is>
          <t>Total</t>
        </is>
      </c>
      <c r="AO3" s="174" t="inlineStr">
        <is>
          <t>Geometry</t>
        </is>
      </c>
      <c r="AP3" s="174" t="inlineStr">
        <is>
          <t>Occ+Patch</t>
        </is>
      </c>
      <c r="AQ3" s="174" t="inlineStr">
        <is>
          <t>Colour</t>
        </is>
      </c>
      <c r="AR3" s="173" t="inlineStr">
        <is>
          <t>D1</t>
        </is>
      </c>
      <c r="AS3" s="173" t="inlineStr">
        <is>
          <t>D2</t>
        </is>
      </c>
      <c r="AT3" s="174" t="inlineStr">
        <is>
          <t>Luma</t>
        </is>
      </c>
      <c r="AU3" s="174" t="inlineStr">
        <is>
          <t>Chroma Cb</t>
        </is>
      </c>
      <c r="AV3" s="174" t="inlineStr">
        <is>
          <t>Chroma Cr</t>
        </is>
      </c>
      <c r="AW3" s="173" t="inlineStr">
        <is>
          <t>Self</t>
        </is>
      </c>
      <c r="AX3" s="173" t="inlineStr">
        <is>
          <t>Child</t>
        </is>
      </c>
      <c r="AY3" s="174" t="inlineStr">
        <is>
          <t>Self</t>
        </is>
      </c>
      <c r="AZ3" s="174" t="inlineStr">
        <is>
          <t>Child</t>
        </is>
      </c>
      <c r="BB3" s="173" t="inlineStr">
        <is>
          <t>Total</t>
        </is>
      </c>
      <c r="BC3" s="173" t="inlineStr">
        <is>
          <t>Tot.Geom</t>
        </is>
      </c>
      <c r="BD3" s="173" t="inlineStr">
        <is>
          <t>Geometry</t>
        </is>
      </c>
      <c r="BE3" s="173" t="inlineStr">
        <is>
          <t>Colour</t>
        </is>
      </c>
      <c r="BF3" s="9" t="n"/>
      <c r="BG3" s="9" t="n"/>
    </row>
    <row customHeight="1" hidden="1" ht="123" r="4" s="86">
      <c r="A4" s="13" t="inlineStr">
        <is>
          <t>class</t>
        </is>
      </c>
      <c r="B4" s="14" t="inlineStr">
        <is>
          <t>sequence</t>
        </is>
      </c>
      <c r="C4" s="13" t="inlineStr">
        <is>
          <t>src.numpoints</t>
        </is>
      </c>
      <c r="D4" s="14" t="inlineStr">
        <is>
          <t>src.geometry-precision</t>
        </is>
      </c>
      <c r="E4" s="13" t="inlineStr">
        <is>
          <t>src.framecount</t>
        </is>
      </c>
      <c r="F4" s="14" t="inlineStr">
        <is>
          <t>src.framerate</t>
        </is>
      </c>
      <c r="H4" s="13" t="inlineStr">
        <is>
          <t>A.eqn.compratio</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A.enc.ext.bits</t>
        </is>
      </c>
      <c r="R4" s="14" t="inlineStr">
        <is>
          <t>A.enc.bits.geometry</t>
        </is>
      </c>
      <c r="S4" s="14" t="inlineStr">
        <is>
          <t>A.enc.bits.occ+patch</t>
        </is>
      </c>
      <c r="T4" s="14" t="inlineStr">
        <is>
          <t>A.enc.bits.colour</t>
        </is>
      </c>
      <c r="U4" s="13" t="inlineStr">
        <is>
          <t>A.dec.d1-psnr</t>
        </is>
      </c>
      <c r="V4" s="13" t="inlineStr">
        <is>
          <t>A.dec.d2-psnr</t>
        </is>
      </c>
      <c r="W4" s="14" t="inlineStr">
        <is>
          <t>A.dec.y-psnr</t>
        </is>
      </c>
      <c r="X4" s="14" t="inlineStr">
        <is>
          <t>A.dec.cb-psnr</t>
        </is>
      </c>
      <c r="Y4" s="14" t="inlineStr">
        <is>
          <t>A.dec.cr-psnr</t>
        </is>
      </c>
      <c r="Z4" s="13" t="inlineStr">
        <is>
          <t>A.enc.utime.self</t>
        </is>
      </c>
      <c r="AA4" s="13" t="inlineStr">
        <is>
          <t>A.enc.utime.children</t>
        </is>
      </c>
      <c r="AB4" s="14" t="inlineStr">
        <is>
          <t>A.dec.utime.self</t>
        </is>
      </c>
      <c r="AC4" s="14" t="inlineStr">
        <is>
          <t>A.dec.utime.children</t>
        </is>
      </c>
      <c r="AE4" s="13" t="inlineStr">
        <is>
          <t>B.eqn.compratio</t>
        </is>
      </c>
      <c r="AF4" s="14" t="inlineStr">
        <is>
          <t>B.eqn.bitrate</t>
        </is>
      </c>
      <c r="AG4" s="13" t="inlineStr">
        <is>
          <t>B.eqn.bpp</t>
        </is>
      </c>
      <c r="AH4" s="13" t="inlineStr">
        <is>
          <t>B.eqn.bpp.geometry+occ+patch</t>
        </is>
      </c>
      <c r="AI4" s="13" t="inlineStr">
        <is>
          <t>B.eqn.bpp.geometry</t>
        </is>
      </c>
      <c r="AJ4" s="13" t="inlineStr">
        <is>
          <t>B.eqn.bpp.colour</t>
        </is>
      </c>
      <c r="AK4" s="13" t="inlineStr">
        <is>
          <t>B.eqn.bits.totalgeometry</t>
        </is>
      </c>
      <c r="AL4" s="14" t="inlineStr">
        <is>
          <t>B.eqn.bpop</t>
        </is>
      </c>
      <c r="AM4" s="13" t="inlineStr">
        <is>
          <t>B.dec.numpoints</t>
        </is>
      </c>
      <c r="AN4" s="14" t="inlineStr">
        <is>
          <t>B.enc.ext.bits</t>
        </is>
      </c>
      <c r="AO4" s="14" t="inlineStr">
        <is>
          <t>B.enc.bits.geometry</t>
        </is>
      </c>
      <c r="AP4" s="14" t="inlineStr">
        <is>
          <t>B.enc.bits.occ+patch</t>
        </is>
      </c>
      <c r="AQ4" s="14" t="inlineStr">
        <is>
          <t>B.enc.bits.colour</t>
        </is>
      </c>
      <c r="AR4" s="13" t="inlineStr">
        <is>
          <t>B.dec.d1-psnr</t>
        </is>
      </c>
      <c r="AS4" s="13" t="inlineStr">
        <is>
          <t>B.dec.d2-psnr</t>
        </is>
      </c>
      <c r="AT4" s="14" t="inlineStr">
        <is>
          <t>B.dec.y-psnr</t>
        </is>
      </c>
      <c r="AU4" s="14" t="inlineStr">
        <is>
          <t>B.dec.cb-psnr</t>
        </is>
      </c>
      <c r="AV4" s="14" t="inlineStr">
        <is>
          <t>B.dec.cr-psnr</t>
        </is>
      </c>
      <c r="AW4" s="13" t="inlineStr">
        <is>
          <t>B.enc.utime.self</t>
        </is>
      </c>
      <c r="AX4" s="13" t="inlineStr">
        <is>
          <t>B.enc.utime.children</t>
        </is>
      </c>
      <c r="AY4" s="14" t="inlineStr">
        <is>
          <t>B.dec.utime.self</t>
        </is>
      </c>
      <c r="AZ4" s="14" t="inlineStr">
        <is>
          <t>B.dec.utime.children</t>
        </is>
      </c>
      <c r="BB4" s="13" t="inlineStr">
        <is>
          <t>eqn.ab.ratio-bpp</t>
        </is>
      </c>
      <c r="BC4" s="13" t="inlineStr">
        <is>
          <t>eqn.ab.ratio-bpp-geometry-total</t>
        </is>
      </c>
      <c r="BD4" s="13" t="inlineStr">
        <is>
          <t>eqn.ab.ratio-bpp-geometry</t>
        </is>
      </c>
      <c r="BE4" s="13" t="inlineStr">
        <is>
          <t>eqn.ab.ratio-bpp-colour</t>
        </is>
      </c>
      <c r="BF4" s="14" t="inlineStr">
        <is>
          <t>eqn.ab.delta-geom_texture_bits_ratio</t>
        </is>
      </c>
      <c r="BG4" s="13" t="inlineStr">
        <is>
          <t>eqn.ab.summary-delta-geom_texture_bits_ratio</t>
        </is>
      </c>
    </row>
    <row collapsed="1" r="5" s="86">
      <c r="A5" s="142" t="inlineStr">
        <is>
          <t>cat2-A</t>
        </is>
      </c>
      <c r="B5" s="142" t="inlineStr">
        <is>
          <t>8ivfbv2_loot_vox10</t>
        </is>
      </c>
      <c r="C5" s="142" t="n">
        <v>238146391</v>
      </c>
      <c r="D5" s="16" t="n">
        <v>10</v>
      </c>
      <c r="E5" s="16" t="n">
        <v>32</v>
      </c>
      <c r="F5" s="16" t="n">
        <v>30</v>
      </c>
      <c r="H5" s="24">
        <f>IF(ISBLANK(Q5),"·",Q5/(C5*(D5*3+IF(AND(ISNUMBER(T5),T5&gt;0),24,0))))</f>
        <v/>
      </c>
      <c r="I5" s="17">
        <f>IF(OR(ISBLANK(Q5),ISBLANK(F5)),"·",Q5*F5/E5/1000000)</f>
        <v/>
      </c>
      <c r="J5" s="18">
        <f>IF(ISBLANK(Q5),"·",Q5/C5)</f>
        <v/>
      </c>
      <c r="K5" s="18">
        <f>IF(N5="","·",N5/C5)</f>
        <v/>
      </c>
      <c r="L5" s="18">
        <f>IF(R5="","·",R5/C5)</f>
        <v/>
      </c>
      <c r="M5" s="18">
        <f>IF(ISBLANK(T5),"·",T5/C5)</f>
        <v/>
      </c>
      <c r="N5" s="142">
        <f>IF(OR(ISBLANK(R5),ISBLANK(S5)),"",R5+S5)</f>
        <v/>
      </c>
      <c r="O5" s="18" t="n">
        <v>16</v>
      </c>
      <c r="P5" s="19" t="n">
        <v>24964341</v>
      </c>
      <c r="Q5" s="20" t="n">
        <v>221785328</v>
      </c>
      <c r="R5" s="20" t="n">
        <v>32556768</v>
      </c>
      <c r="S5" s="20" t="n">
        <v>2126872</v>
      </c>
      <c r="T5" s="20" t="n">
        <v>187101688</v>
      </c>
      <c r="U5" s="21" t="inlineStr">
        <is>
          <t>inf</t>
        </is>
      </c>
      <c r="V5" s="21" t="inlineStr">
        <is>
          <t>inf</t>
        </is>
      </c>
      <c r="W5" s="21" t="inlineStr">
        <is>
          <t>inf</t>
        </is>
      </c>
      <c r="X5" s="21" t="inlineStr">
        <is>
          <t>inf</t>
        </is>
      </c>
      <c r="Y5" s="21" t="inlineStr">
        <is>
          <t>inf</t>
        </is>
      </c>
      <c r="Z5" s="22" t="n">
        <v>3529.9</v>
      </c>
      <c r="AA5" s="22" t="n">
        <v>5845.3</v>
      </c>
      <c r="AB5" s="22" t="n">
        <v>4.619</v>
      </c>
      <c r="AC5" s="22" t="n">
        <v>26.363</v>
      </c>
      <c r="AE5" s="24">
        <f>IF(ISBLANK(Q5),"·",Q5/(C5*(D5*3+IF(AND(ISNUMBER(T5),T5&gt;0),24,0))))</f>
        <v/>
      </c>
      <c r="AF5" s="17">
        <f>IF(OR(ISBLANK(AN5),ISBLANK(F5)),"·",AN5*F5/E5/1000000)</f>
        <v/>
      </c>
      <c r="AG5" s="18">
        <f>IF(ISBLANK(AN5),"·",AN5/C5)</f>
        <v/>
      </c>
      <c r="AH5" s="18">
        <f>IF(AK5="","·",AK5/C5)</f>
        <v/>
      </c>
      <c r="AI5" s="18">
        <f>IF(AO5="","·",AO5/C5)</f>
        <v/>
      </c>
      <c r="AJ5" s="18">
        <f>IF(ISBLANK(AQ5),"·",AQ5/C5)</f>
        <v/>
      </c>
      <c r="AK5" s="142">
        <f>IF(OR(ISBLANK(AO5),ISBLANK(AP5)),"",AO5+AP5)</f>
        <v/>
      </c>
      <c r="AL5" s="18" t="n">
        <v>16</v>
      </c>
      <c r="AM5" s="19" t="n">
        <v>24964341</v>
      </c>
      <c r="AN5" s="20" t="n">
        <v>222598504</v>
      </c>
      <c r="AO5" s="20" t="n">
        <v>32556768</v>
      </c>
      <c r="AP5" s="20" t="n">
        <v>2131512</v>
      </c>
      <c r="AQ5" s="20" t="n">
        <v>187910224</v>
      </c>
      <c r="AR5" s="21" t="inlineStr">
        <is>
          <t>inf</t>
        </is>
      </c>
      <c r="AS5" s="21" t="inlineStr">
        <is>
          <t>inf</t>
        </is>
      </c>
      <c r="AT5" s="21" t="inlineStr">
        <is>
          <t>inf</t>
        </is>
      </c>
      <c r="AU5" s="21" t="inlineStr">
        <is>
          <t>inf</t>
        </is>
      </c>
      <c r="AV5" s="21" t="inlineStr">
        <is>
          <t>inf</t>
        </is>
      </c>
      <c r="AW5" s="22" t="n">
        <v>3438.75</v>
      </c>
      <c r="AX5" s="22" t="n">
        <v>5812.54</v>
      </c>
      <c r="AY5" s="22" t="n">
        <v>5.424</v>
      </c>
      <c r="AZ5" s="22" t="n">
        <v>26.108</v>
      </c>
      <c r="BB5" s="72">
        <f>AG5/J5</f>
        <v/>
      </c>
      <c r="BC5" s="72">
        <f>AH5/K5</f>
        <v/>
      </c>
      <c r="BD5" s="72">
        <f>AI5/L5</f>
        <v/>
      </c>
      <c r="BE5" s="72">
        <f>AJ5/M5</f>
        <v/>
      </c>
      <c r="BF5" s="24">
        <f>(AK5/AN5) - (N5/Q5)</f>
        <v/>
      </c>
      <c r="BG5" s="24">
        <f ref="BG5" t="array">AVERAGE(AK5:AK5/AN5:AN5) - AVERAGE(N5:N5/Q5:Q5)</f>
        <v/>
      </c>
    </row>
    <row collapsed="1" r="6" s="86">
      <c r="A6" s="25" t="n"/>
      <c r="B6" s="25" t="inlineStr">
        <is>
          <t>8ivfbv2_redandblack_vox10</t>
        </is>
      </c>
      <c r="C6" s="25" t="n">
        <v>218121242</v>
      </c>
      <c r="D6" s="26" t="n">
        <v>10</v>
      </c>
      <c r="E6" s="26" t="n">
        <v>32</v>
      </c>
      <c r="F6" s="26" t="n">
        <v>30</v>
      </c>
      <c r="H6" s="34">
        <f>IF(ISBLANK(Q6),"·",Q6/(C6*(D6*3+IF(AND(ISNUMBER(T6),T6&gt;0),24,0))))</f>
        <v/>
      </c>
      <c r="I6" s="27">
        <f>IF(OR(ISBLANK(Q6),ISBLANK(F6)),"·",Q6*F6/E6/1000000)</f>
        <v/>
      </c>
      <c r="J6" s="28">
        <f>IF(ISBLANK(Q6),"·",Q6/C6)</f>
        <v/>
      </c>
      <c r="K6" s="28">
        <f>IF(N6="","·",N6/C6)</f>
        <v/>
      </c>
      <c r="L6" s="28">
        <f>IF(R6="","·",R6/C6)</f>
        <v/>
      </c>
      <c r="M6" s="28">
        <f>IF(ISBLANK(T6),"·",T6/C6)</f>
        <v/>
      </c>
      <c r="N6" s="25">
        <f>IF(OR(ISBLANK(R6),ISBLANK(S6)),"",R6+S6)</f>
        <v/>
      </c>
      <c r="O6" s="28" t="n">
        <v>16</v>
      </c>
      <c r="P6" s="29" t="n">
        <v>22654789</v>
      </c>
      <c r="Q6" s="30" t="n">
        <v>289119368</v>
      </c>
      <c r="R6" s="30" t="n">
        <v>35265176</v>
      </c>
      <c r="S6" s="30" t="n">
        <v>3340792</v>
      </c>
      <c r="T6" s="30" t="n">
        <v>250513400</v>
      </c>
      <c r="U6" s="31" t="inlineStr">
        <is>
          <t>inf</t>
        </is>
      </c>
      <c r="V6" s="31" t="inlineStr">
        <is>
          <t>inf</t>
        </is>
      </c>
      <c r="W6" s="31" t="inlineStr">
        <is>
          <t>inf</t>
        </is>
      </c>
      <c r="X6" s="31" t="inlineStr">
        <is>
          <t>inf</t>
        </is>
      </c>
      <c r="Y6" s="31" t="inlineStr">
        <is>
          <t>inf</t>
        </is>
      </c>
      <c r="Z6" s="32" t="n">
        <v>3213.93</v>
      </c>
      <c r="AA6" s="32" t="n">
        <v>5896.19</v>
      </c>
      <c r="AB6" s="32" t="n">
        <v>4.392</v>
      </c>
      <c r="AC6" s="32" t="n">
        <v>27.751</v>
      </c>
      <c r="AE6" s="34">
        <f>IF(ISBLANK(Q6),"·",Q6/(C6*(D6*3+IF(AND(ISNUMBER(T6),T6&gt;0),24,0))))</f>
        <v/>
      </c>
      <c r="AF6" s="27">
        <f>IF(OR(ISBLANK(AN6),ISBLANK(F6)),"·",AN6*F6/E6/1000000)</f>
        <v/>
      </c>
      <c r="AG6" s="28">
        <f>IF(ISBLANK(AN6),"·",AN6/C6)</f>
        <v/>
      </c>
      <c r="AH6" s="28">
        <f>IF(AK6="","·",AK6/C6)</f>
        <v/>
      </c>
      <c r="AI6" s="28">
        <f>IF(AO6="","·",AO6/C6)</f>
        <v/>
      </c>
      <c r="AJ6" s="28">
        <f>IF(ISBLANK(AQ6),"·",AQ6/C6)</f>
        <v/>
      </c>
      <c r="AK6" s="25">
        <f>IF(OR(ISBLANK(AO6),ISBLANK(AP6)),"",AO6+AP6)</f>
        <v/>
      </c>
      <c r="AL6" s="28" t="n">
        <v>16</v>
      </c>
      <c r="AM6" s="29" t="n">
        <v>22654789</v>
      </c>
      <c r="AN6" s="30" t="n">
        <v>290679120</v>
      </c>
      <c r="AO6" s="30" t="n">
        <v>35265176</v>
      </c>
      <c r="AP6" s="30" t="n">
        <v>3344624</v>
      </c>
      <c r="AQ6" s="30" t="n">
        <v>252069320</v>
      </c>
      <c r="AR6" s="31" t="inlineStr">
        <is>
          <t>inf</t>
        </is>
      </c>
      <c r="AS6" s="31" t="inlineStr">
        <is>
          <t>inf</t>
        </is>
      </c>
      <c r="AT6" s="31" t="inlineStr">
        <is>
          <t>inf</t>
        </is>
      </c>
      <c r="AU6" s="31" t="inlineStr">
        <is>
          <t>inf</t>
        </is>
      </c>
      <c r="AV6" s="31" t="inlineStr">
        <is>
          <t>inf</t>
        </is>
      </c>
      <c r="AW6" s="32" t="n">
        <v>3138.81</v>
      </c>
      <c r="AX6" s="32" t="n">
        <v>5950.74</v>
      </c>
      <c r="AY6" s="32" t="n">
        <v>5.348</v>
      </c>
      <c r="AZ6" s="32" t="n">
        <v>29.197</v>
      </c>
      <c r="BB6" s="68">
        <f>AG6/J6</f>
        <v/>
      </c>
      <c r="BC6" s="68">
        <f>AH6/K6</f>
        <v/>
      </c>
      <c r="BD6" s="68">
        <f>AI6/L6</f>
        <v/>
      </c>
      <c r="BE6" s="68">
        <f>AJ6/M6</f>
        <v/>
      </c>
      <c r="BF6" s="34">
        <f>(AK6/AN6) - (N6/Q6)</f>
        <v/>
      </c>
      <c r="BG6" s="34">
        <f ref="BG6" t="array">AVERAGE(AK6:AK6/AN6:AN6) - AVERAGE(N6:N6/Q6:Q6)</f>
        <v/>
      </c>
    </row>
    <row collapsed="1" r="7" s="86">
      <c r="A7" s="142" t="n"/>
      <c r="B7" s="142" t="inlineStr">
        <is>
          <t>8ivfbv2_soldier_vox10</t>
        </is>
      </c>
      <c r="C7" s="142" t="n">
        <v>322589704</v>
      </c>
      <c r="D7" s="16" t="n">
        <v>10</v>
      </c>
      <c r="E7" s="16" t="n">
        <v>32</v>
      </c>
      <c r="F7" s="16" t="n">
        <v>30</v>
      </c>
      <c r="H7" s="24">
        <f>IF(ISBLANK(Q7),"·",Q7/(C7*(D7*3+IF(AND(ISNUMBER(T7),T7&gt;0),24,0))))</f>
        <v/>
      </c>
      <c r="I7" s="17">
        <f>IF(OR(ISBLANK(Q7),ISBLANK(F7)),"·",Q7*F7/E7/1000000)</f>
        <v/>
      </c>
      <c r="J7" s="18">
        <f>IF(ISBLANK(Q7),"·",Q7/C7)</f>
        <v/>
      </c>
      <c r="K7" s="18">
        <f>IF(N7="","·",N7/C7)</f>
        <v/>
      </c>
      <c r="L7" s="18">
        <f>IF(R7="","·",R7/C7)</f>
        <v/>
      </c>
      <c r="M7" s="18">
        <f>IF(ISBLANK(T7),"·",T7/C7)</f>
        <v/>
      </c>
      <c r="N7" s="142">
        <f>IF(OR(ISBLANK(R7),ISBLANK(S7)),"",R7+S7)</f>
        <v/>
      </c>
      <c r="O7" s="18" t="n">
        <v>16</v>
      </c>
      <c r="P7" s="19" t="n">
        <v>33947718</v>
      </c>
      <c r="Q7" s="20" t="n">
        <v>337646632</v>
      </c>
      <c r="R7" s="20" t="n">
        <v>51807960</v>
      </c>
      <c r="S7" s="20" t="n">
        <v>4126000</v>
      </c>
      <c r="T7" s="20" t="n">
        <v>281712672</v>
      </c>
      <c r="U7" s="21" t="inlineStr">
        <is>
          <t>inf</t>
        </is>
      </c>
      <c r="V7" s="21" t="inlineStr">
        <is>
          <t>inf</t>
        </is>
      </c>
      <c r="W7" s="21" t="inlineStr">
        <is>
          <t>inf</t>
        </is>
      </c>
      <c r="X7" s="21" t="inlineStr">
        <is>
          <t>inf</t>
        </is>
      </c>
      <c r="Y7" s="21" t="inlineStr">
        <is>
          <t>inf</t>
        </is>
      </c>
      <c r="Z7" s="22" t="n">
        <v>4665.75</v>
      </c>
      <c r="AA7" s="22" t="n">
        <v>7907.81</v>
      </c>
      <c r="AB7" s="22" t="n">
        <v>6.256</v>
      </c>
      <c r="AC7" s="22" t="n">
        <v>31.29</v>
      </c>
      <c r="AE7" s="24">
        <f>IF(ISBLANK(Q7),"·",Q7/(C7*(D7*3+IF(AND(ISNUMBER(T7),T7&gt;0),24,0))))</f>
        <v/>
      </c>
      <c r="AF7" s="17">
        <f>IF(OR(ISBLANK(AN7),ISBLANK(F7)),"·",AN7*F7/E7/1000000)</f>
        <v/>
      </c>
      <c r="AG7" s="18">
        <f>IF(ISBLANK(AN7),"·",AN7/C7)</f>
        <v/>
      </c>
      <c r="AH7" s="18">
        <f>IF(AK7="","·",AK7/C7)</f>
        <v/>
      </c>
      <c r="AI7" s="18">
        <f>IF(AO7="","·",AO7/C7)</f>
        <v/>
      </c>
      <c r="AJ7" s="18">
        <f>IF(ISBLANK(AQ7),"·",AQ7/C7)</f>
        <v/>
      </c>
      <c r="AK7" s="142">
        <f>IF(OR(ISBLANK(AO7),ISBLANK(AP7)),"",AO7+AP7)</f>
        <v/>
      </c>
      <c r="AL7" s="18" t="n">
        <v>16</v>
      </c>
      <c r="AM7" s="19" t="n">
        <v>33947718</v>
      </c>
      <c r="AN7" s="20" t="n">
        <v>340087944</v>
      </c>
      <c r="AO7" s="20" t="n">
        <v>51807960</v>
      </c>
      <c r="AP7" s="20" t="n">
        <v>4134416</v>
      </c>
      <c r="AQ7" s="20" t="n">
        <v>284145568</v>
      </c>
      <c r="AR7" s="21" t="inlineStr">
        <is>
          <t>inf</t>
        </is>
      </c>
      <c r="AS7" s="21" t="inlineStr">
        <is>
          <t>inf</t>
        </is>
      </c>
      <c r="AT7" s="21" t="inlineStr">
        <is>
          <t>inf</t>
        </is>
      </c>
      <c r="AU7" s="21" t="inlineStr">
        <is>
          <t>inf</t>
        </is>
      </c>
      <c r="AV7" s="21" t="inlineStr">
        <is>
          <t>inf</t>
        </is>
      </c>
      <c r="AW7" s="22" t="n">
        <v>4557.67</v>
      </c>
      <c r="AX7" s="22" t="n">
        <v>7903.21</v>
      </c>
      <c r="AY7" s="22" t="n">
        <v>6.934</v>
      </c>
      <c r="AZ7" s="22" t="n">
        <v>30.628</v>
      </c>
      <c r="BB7" s="72">
        <f>AG7/J7</f>
        <v/>
      </c>
      <c r="BC7" s="72">
        <f>AH7/K7</f>
        <v/>
      </c>
      <c r="BD7" s="72">
        <f>AI7/L7</f>
        <v/>
      </c>
      <c r="BE7" s="72">
        <f>AJ7/M7</f>
        <v/>
      </c>
      <c r="BF7" s="24">
        <f>(AK7/AN7) - (N7/Q7)</f>
        <v/>
      </c>
      <c r="BG7" s="24">
        <f ref="BG7" t="array">AVERAGE(AK7:AK7/AN7:AN7) - AVERAGE(N7:N7/Q7:Q7)</f>
        <v/>
      </c>
    </row>
    <row collapsed="1" r="8" s="86">
      <c r="A8" s="45" t="n"/>
      <c r="B8" s="45" t="inlineStr">
        <is>
          <t>queen</t>
        </is>
      </c>
      <c r="C8" s="45" t="n">
        <v>250602891</v>
      </c>
      <c r="D8" s="46" t="n">
        <v>10</v>
      </c>
      <c r="E8" s="46" t="n">
        <v>32</v>
      </c>
      <c r="F8" s="46" t="n">
        <v>50</v>
      </c>
      <c r="H8" s="54">
        <f>IF(ISBLANK(Q8),"·",Q8/(C8*(D8*3+IF(AND(ISNUMBER(T8),T8&gt;0),24,0))))</f>
        <v/>
      </c>
      <c r="I8" s="47">
        <f>IF(OR(ISBLANK(Q8),ISBLANK(F8)),"·",Q8*F8/E8/1000000)</f>
        <v/>
      </c>
      <c r="J8" s="48">
        <f>IF(ISBLANK(Q8),"·",Q8/C8)</f>
        <v/>
      </c>
      <c r="K8" s="48">
        <f>IF(N8="","·",N8/C8)</f>
        <v/>
      </c>
      <c r="L8" s="48">
        <f>IF(R8="","·",R8/C8)</f>
        <v/>
      </c>
      <c r="M8" s="48">
        <f>IF(ISBLANK(T8),"·",T8/C8)</f>
        <v/>
      </c>
      <c r="N8" s="45">
        <f>IF(OR(ISBLANK(R8),ISBLANK(S8)),"",R8+S8)</f>
        <v/>
      </c>
      <c r="O8" s="48" t="n">
        <v>16</v>
      </c>
      <c r="P8" s="49" t="n">
        <v>32209643</v>
      </c>
      <c r="Q8" s="50" t="n">
        <v>260697384</v>
      </c>
      <c r="R8" s="50" t="n">
        <v>35860824</v>
      </c>
      <c r="S8" s="50" t="n">
        <v>5165640</v>
      </c>
      <c r="T8" s="50" t="n">
        <v>219670920</v>
      </c>
      <c r="U8" s="51" t="inlineStr">
        <is>
          <t>inf</t>
        </is>
      </c>
      <c r="V8" s="51" t="inlineStr">
        <is>
          <t>inf</t>
        </is>
      </c>
      <c r="W8" s="51" t="inlineStr">
        <is>
          <t>inf</t>
        </is>
      </c>
      <c r="X8" s="51" t="inlineStr">
        <is>
          <t>inf</t>
        </is>
      </c>
      <c r="Y8" s="51" t="inlineStr">
        <is>
          <t>inf</t>
        </is>
      </c>
      <c r="Z8" s="52" t="n">
        <v>4501.08</v>
      </c>
      <c r="AA8" s="52" t="n">
        <v>6277.91</v>
      </c>
      <c r="AB8" s="52" t="n">
        <v>5.619</v>
      </c>
      <c r="AC8" s="52" t="n">
        <v>30.217</v>
      </c>
      <c r="AE8" s="54">
        <f>IF(ISBLANK(Q8),"·",Q8/(C8*(D8*3+IF(AND(ISNUMBER(T8),T8&gt;0),24,0))))</f>
        <v/>
      </c>
      <c r="AF8" s="47">
        <f>IF(OR(ISBLANK(AN8),ISBLANK(F8)),"·",AN8*F8/E8/1000000)</f>
        <v/>
      </c>
      <c r="AG8" s="48">
        <f>IF(ISBLANK(AN8),"·",AN8/C8)</f>
        <v/>
      </c>
      <c r="AH8" s="48">
        <f>IF(AK8="","·",AK8/C8)</f>
        <v/>
      </c>
      <c r="AI8" s="48">
        <f>IF(AO8="","·",AO8/C8)</f>
        <v/>
      </c>
      <c r="AJ8" s="48">
        <f>IF(ISBLANK(AQ8),"·",AQ8/C8)</f>
        <v/>
      </c>
      <c r="AK8" s="45">
        <f>IF(OR(ISBLANK(AO8),ISBLANK(AP8)),"",AO8+AP8)</f>
        <v/>
      </c>
      <c r="AL8" s="48" t="n">
        <v>16</v>
      </c>
      <c r="AM8" s="49" t="n">
        <v>32209643</v>
      </c>
      <c r="AN8" s="50" t="n">
        <v>263690128</v>
      </c>
      <c r="AO8" s="50" t="n">
        <v>35860824</v>
      </c>
      <c r="AP8" s="50" t="n">
        <v>5170216</v>
      </c>
      <c r="AQ8" s="50" t="n">
        <v>222659088</v>
      </c>
      <c r="AR8" s="51" t="inlineStr">
        <is>
          <t>inf</t>
        </is>
      </c>
      <c r="AS8" s="51" t="inlineStr">
        <is>
          <t>inf</t>
        </is>
      </c>
      <c r="AT8" s="51" t="inlineStr">
        <is>
          <t>inf</t>
        </is>
      </c>
      <c r="AU8" s="51" t="inlineStr">
        <is>
          <t>inf</t>
        </is>
      </c>
      <c r="AV8" s="51" t="inlineStr">
        <is>
          <t>inf</t>
        </is>
      </c>
      <c r="AW8" s="52" t="n">
        <v>4414.41</v>
      </c>
      <c r="AX8" s="52" t="n">
        <v>6373.27</v>
      </c>
      <c r="AY8" s="52" t="n">
        <v>6.526</v>
      </c>
      <c r="AZ8" s="52" t="n">
        <v>30.098</v>
      </c>
      <c r="BB8" s="53">
        <f>AG8/J8</f>
        <v/>
      </c>
      <c r="BC8" s="53">
        <f>AH8/K8</f>
        <v/>
      </c>
      <c r="BD8" s="53">
        <f>AI8/L8</f>
        <v/>
      </c>
      <c r="BE8" s="53">
        <f>AJ8/M8</f>
        <v/>
      </c>
      <c r="BF8" s="54">
        <f>(AK8/AN8) - (N8/Q8)</f>
        <v/>
      </c>
      <c r="BG8" s="54">
        <f ref="BG8" t="array">AVERAGE(AK8:AK8/AN8:AN8) - AVERAGE(N8:N8/Q8:Q8)</f>
        <v/>
      </c>
    </row>
    <row collapsed="1" r="9" s="86">
      <c r="A9" s="35" t="inlineStr">
        <is>
          <t>cat2-B</t>
        </is>
      </c>
      <c r="B9" s="35" t="inlineStr">
        <is>
          <t>8ivfbv2_longdress_vox10</t>
        </is>
      </c>
      <c r="C9" s="35" t="n">
        <v>250294582</v>
      </c>
      <c r="D9" s="36" t="n">
        <v>10</v>
      </c>
      <c r="E9" s="36" t="n">
        <v>32</v>
      </c>
      <c r="F9" s="36" t="n">
        <v>30</v>
      </c>
      <c r="H9" s="44">
        <f>IF(ISBLANK(Q9),"·",Q9/(C9*(D9*3+IF(AND(ISNUMBER(T9),T9&gt;0),24,0))))</f>
        <v/>
      </c>
      <c r="I9" s="37">
        <f>IF(OR(ISBLANK(Q9),ISBLANK(F9)),"·",Q9*F9/E9/1000000)</f>
        <v/>
      </c>
      <c r="J9" s="38">
        <f>IF(ISBLANK(Q9),"·",Q9/C9)</f>
        <v/>
      </c>
      <c r="K9" s="38">
        <f>IF(N9="","·",N9/C9)</f>
        <v/>
      </c>
      <c r="L9" s="38">
        <f>IF(R9="","·",R9/C9)</f>
        <v/>
      </c>
      <c r="M9" s="38">
        <f>IF(ISBLANK(T9),"·",T9/C9)</f>
        <v/>
      </c>
      <c r="N9" s="35">
        <f>IF(OR(ISBLANK(R9),ISBLANK(S9)),"",R9+S9)</f>
        <v/>
      </c>
      <c r="O9" s="38" t="n">
        <v>16</v>
      </c>
      <c r="P9" s="39" t="n">
        <v>25312408</v>
      </c>
      <c r="Q9" s="40" t="n">
        <v>377528744</v>
      </c>
      <c r="R9" s="40" t="n">
        <v>35662088</v>
      </c>
      <c r="S9" s="40" t="n">
        <v>2422664</v>
      </c>
      <c r="T9" s="40" t="n">
        <v>339443992</v>
      </c>
      <c r="U9" s="41" t="inlineStr">
        <is>
          <t>inf</t>
        </is>
      </c>
      <c r="V9" s="41" t="inlineStr">
        <is>
          <t>inf</t>
        </is>
      </c>
      <c r="W9" s="41" t="inlineStr">
        <is>
          <t>inf</t>
        </is>
      </c>
      <c r="X9" s="41" t="inlineStr">
        <is>
          <t>inf</t>
        </is>
      </c>
      <c r="Y9" s="41" t="inlineStr">
        <is>
          <t>inf</t>
        </is>
      </c>
      <c r="Z9" s="42" t="n">
        <v>1451.33</v>
      </c>
      <c r="AA9" s="42" t="n">
        <v>6496.8</v>
      </c>
      <c r="AB9" s="42" t="n">
        <v>4.888</v>
      </c>
      <c r="AC9" s="42" t="n">
        <v>31.891</v>
      </c>
      <c r="AE9" s="44">
        <f>IF(ISBLANK(Q9),"·",Q9/(C9*(D9*3+IF(AND(ISNUMBER(T9),T9&gt;0),24,0))))</f>
        <v/>
      </c>
      <c r="AF9" s="37">
        <f>IF(OR(ISBLANK(AN9),ISBLANK(F9)),"·",AN9*F9/E9/1000000)</f>
        <v/>
      </c>
      <c r="AG9" s="38">
        <f>IF(ISBLANK(AN9),"·",AN9/C9)</f>
        <v/>
      </c>
      <c r="AH9" s="38">
        <f>IF(AK9="","·",AK9/C9)</f>
        <v/>
      </c>
      <c r="AI9" s="38">
        <f>IF(AO9="","·",AO9/C9)</f>
        <v/>
      </c>
      <c r="AJ9" s="38">
        <f>IF(ISBLANK(AQ9),"·",AQ9/C9)</f>
        <v/>
      </c>
      <c r="AK9" s="35">
        <f>IF(OR(ISBLANK(AO9),ISBLANK(AP9)),"",AO9+AP9)</f>
        <v/>
      </c>
      <c r="AL9" s="38" t="n">
        <v>16</v>
      </c>
      <c r="AM9" s="39" t="n">
        <v>25312408</v>
      </c>
      <c r="AN9" s="40" t="n">
        <v>379385768</v>
      </c>
      <c r="AO9" s="40" t="n">
        <v>35662088</v>
      </c>
      <c r="AP9" s="40" t="n">
        <v>2426400</v>
      </c>
      <c r="AQ9" s="40" t="n">
        <v>341297280</v>
      </c>
      <c r="AR9" s="41" t="inlineStr">
        <is>
          <t>inf</t>
        </is>
      </c>
      <c r="AS9" s="41" t="inlineStr">
        <is>
          <t>inf</t>
        </is>
      </c>
      <c r="AT9" s="41" t="inlineStr">
        <is>
          <t>inf</t>
        </is>
      </c>
      <c r="AU9" s="41" t="inlineStr">
        <is>
          <t>inf</t>
        </is>
      </c>
      <c r="AV9" s="41" t="inlineStr">
        <is>
          <t>inf</t>
        </is>
      </c>
      <c r="AW9" s="42" t="n">
        <v>1402.38</v>
      </c>
      <c r="AX9" s="42" t="n">
        <v>6497.82</v>
      </c>
      <c r="AY9" s="42" t="n">
        <v>5.673</v>
      </c>
      <c r="AZ9" s="42" t="n">
        <v>31.327</v>
      </c>
      <c r="BB9" s="43">
        <f>AG9/J9</f>
        <v/>
      </c>
      <c r="BC9" s="43">
        <f>AH9/K9</f>
        <v/>
      </c>
      <c r="BD9" s="43">
        <f>AI9/L9</f>
        <v/>
      </c>
      <c r="BE9" s="43">
        <f>AJ9/M9</f>
        <v/>
      </c>
      <c r="BF9" s="44">
        <f>(AK9/AN9) - (N9/Q9)</f>
        <v/>
      </c>
      <c r="BG9" s="44">
        <f ref="BG9" t="array">AVERAGE(AK9:AK9/AN9:AN9) - AVERAGE(N9:N9/Q9:Q9)</f>
        <v/>
      </c>
    </row>
    <row collapsed="1" r="10" s="86">
      <c r="A10" s="25" t="inlineStr">
        <is>
          <t>cat2-C</t>
        </is>
      </c>
      <c r="B10" s="25" t="inlineStr">
        <is>
          <t>basketball_player_vox11</t>
        </is>
      </c>
      <c r="C10" s="25" t="n">
        <v>375422539</v>
      </c>
      <c r="D10" s="26" t="n">
        <v>11</v>
      </c>
      <c r="E10" s="26" t="n">
        <v>32</v>
      </c>
      <c r="F10" s="26" t="n">
        <v>30</v>
      </c>
      <c r="H10" s="34">
        <f>IF(ISBLANK(Q10),"·",Q10/(C10*(D10*3+IF(AND(ISNUMBER(T10),T10&gt;0),24,0))))</f>
        <v/>
      </c>
      <c r="I10" s="27">
        <f>IF(OR(ISBLANK(Q10),ISBLANK(F10)),"·",Q10*F10/E10/1000000)</f>
        <v/>
      </c>
      <c r="J10" s="28">
        <f>IF(ISBLANK(Q10),"·",Q10/C10)</f>
        <v/>
      </c>
      <c r="K10" s="28">
        <f>IF(N10="","·",N10/C10)</f>
        <v/>
      </c>
      <c r="L10" s="28">
        <f>IF(R10="","·",R10/C10)</f>
        <v/>
      </c>
      <c r="M10" s="28">
        <f>IF(ISBLANK(T10),"·",T10/C10)</f>
        <v/>
      </c>
      <c r="N10" s="25">
        <f>IF(OR(ISBLANK(R10),ISBLANK(S10)),"",R10+S10)</f>
        <v/>
      </c>
      <c r="O10" s="28" t="n">
        <v>16</v>
      </c>
      <c r="P10" s="29" t="n">
        <v>92854683</v>
      </c>
      <c r="Q10" s="30" t="n">
        <v>907743704</v>
      </c>
      <c r="R10" s="30" t="n">
        <v>98834880</v>
      </c>
      <c r="S10" s="30" t="n">
        <v>4601296</v>
      </c>
      <c r="T10" s="30" t="n">
        <v>804307528</v>
      </c>
      <c r="U10" s="31" t="inlineStr">
        <is>
          <t>inf</t>
        </is>
      </c>
      <c r="V10" s="31" t="inlineStr">
        <is>
          <t>inf</t>
        </is>
      </c>
      <c r="W10" s="31" t="inlineStr">
        <is>
          <t>inf</t>
        </is>
      </c>
      <c r="X10" s="31" t="inlineStr">
        <is>
          <t>inf</t>
        </is>
      </c>
      <c r="Y10" s="31" t="inlineStr">
        <is>
          <t>inf</t>
        </is>
      </c>
      <c r="Z10" s="32" t="n">
        <v>3001.36</v>
      </c>
      <c r="AA10" s="32" t="n">
        <v>17725.2</v>
      </c>
      <c r="AB10" s="32" t="n">
        <v>16.327</v>
      </c>
      <c r="AC10" s="32" t="n">
        <v>87.90300000000001</v>
      </c>
      <c r="AE10" s="34">
        <f>IF(ISBLANK(Q10),"·",Q10/(C10*(D10*3+IF(AND(ISNUMBER(T10),T10&gt;0),24,0))))</f>
        <v/>
      </c>
      <c r="AF10" s="27">
        <f>IF(OR(ISBLANK(AN10),ISBLANK(F10)),"·",AN10*F10/E10/1000000)</f>
        <v/>
      </c>
      <c r="AG10" s="28">
        <f>IF(ISBLANK(AN10),"·",AN10/C10)</f>
        <v/>
      </c>
      <c r="AH10" s="28">
        <f>IF(AK10="","·",AK10/C10)</f>
        <v/>
      </c>
      <c r="AI10" s="28">
        <f>IF(AO10="","·",AO10/C10)</f>
        <v/>
      </c>
      <c r="AJ10" s="28">
        <f>IF(ISBLANK(AQ10),"·",AQ10/C10)</f>
        <v/>
      </c>
      <c r="AK10" s="25">
        <f>IF(OR(ISBLANK(AO10),ISBLANK(AP10)),"",AO10+AP10)</f>
        <v/>
      </c>
      <c r="AL10" s="28" t="n">
        <v>16</v>
      </c>
      <c r="AM10" s="29" t="n">
        <v>92854683</v>
      </c>
      <c r="AN10" s="30" t="n">
        <v>909937592</v>
      </c>
      <c r="AO10" s="30" t="n">
        <v>98834880</v>
      </c>
      <c r="AP10" s="30" t="n">
        <v>4609536</v>
      </c>
      <c r="AQ10" s="30" t="n">
        <v>806493176</v>
      </c>
      <c r="AR10" s="31" t="inlineStr">
        <is>
          <t>inf</t>
        </is>
      </c>
      <c r="AS10" s="31" t="inlineStr">
        <is>
          <t>inf</t>
        </is>
      </c>
      <c r="AT10" s="31" t="inlineStr">
        <is>
          <t>inf</t>
        </is>
      </c>
      <c r="AU10" s="31" t="inlineStr">
        <is>
          <t>inf</t>
        </is>
      </c>
      <c r="AV10" s="31" t="inlineStr">
        <is>
          <t>inf</t>
        </is>
      </c>
      <c r="AW10" s="32" t="n">
        <v>2969.78</v>
      </c>
      <c r="AX10" s="32" t="n">
        <v>19601.3</v>
      </c>
      <c r="AY10" s="32" t="n">
        <v>18.805</v>
      </c>
      <c r="AZ10" s="32" t="n">
        <v>89.74299999999999</v>
      </c>
      <c r="BB10" s="68">
        <f>AG10/J10</f>
        <v/>
      </c>
      <c r="BC10" s="68">
        <f>AH10/K10</f>
        <v/>
      </c>
      <c r="BD10" s="68">
        <f>AI10/L10</f>
        <v/>
      </c>
      <c r="BE10" s="68">
        <f>AJ10/M10</f>
        <v/>
      </c>
      <c r="BF10" s="34">
        <f>(AK10/AN10) - (N10/Q10)</f>
        <v/>
      </c>
      <c r="BG10" s="34">
        <f ref="BG10" t="array">AVERAGE(AK10:AK10/AN10:AN10) - AVERAGE(N10:N10/Q10:Q10)</f>
        <v/>
      </c>
    </row>
    <row collapsed="1" r="11" s="86">
      <c r="A11" s="35" t="n"/>
      <c r="B11" s="35" t="inlineStr">
        <is>
          <t>dancer_player_vox11</t>
        </is>
      </c>
      <c r="C11" s="35" t="n">
        <v>333190689</v>
      </c>
      <c r="D11" s="36" t="n">
        <v>11</v>
      </c>
      <c r="E11" s="36" t="n">
        <v>32</v>
      </c>
      <c r="F11" s="36" t="n">
        <v>30</v>
      </c>
      <c r="H11" s="44">
        <f>IF(ISBLANK(Q11),"·",Q11/(C11*(D11*3+IF(AND(ISNUMBER(T11),T11&gt;0),24,0))))</f>
        <v/>
      </c>
      <c r="I11" s="37">
        <f>IF(OR(ISBLANK(Q11),ISBLANK(F11)),"·",Q11*F11/E11/1000000)</f>
        <v/>
      </c>
      <c r="J11" s="38">
        <f>IF(ISBLANK(Q11),"·",Q11/C11)</f>
        <v/>
      </c>
      <c r="K11" s="38">
        <f>IF(N11="","·",N11/C11)</f>
        <v/>
      </c>
      <c r="L11" s="38">
        <f>IF(R11="","·",R11/C11)</f>
        <v/>
      </c>
      <c r="M11" s="38">
        <f>IF(ISBLANK(T11),"·",T11/C11)</f>
        <v/>
      </c>
      <c r="N11" s="35">
        <f>IF(OR(ISBLANK(R11),ISBLANK(S11)),"",R11+S11)</f>
        <v/>
      </c>
      <c r="O11" s="38" t="n">
        <v>16</v>
      </c>
      <c r="P11" s="39" t="n">
        <v>83104648</v>
      </c>
      <c r="Q11" s="40" t="n">
        <v>827939248</v>
      </c>
      <c r="R11" s="40" t="n">
        <v>93754680</v>
      </c>
      <c r="S11" s="40" t="n">
        <v>4788944</v>
      </c>
      <c r="T11" s="40" t="n">
        <v>729395624</v>
      </c>
      <c r="U11" s="41" t="inlineStr">
        <is>
          <t>inf</t>
        </is>
      </c>
      <c r="V11" s="41" t="inlineStr">
        <is>
          <t>inf</t>
        </is>
      </c>
      <c r="W11" s="41" t="inlineStr">
        <is>
          <t>inf</t>
        </is>
      </c>
      <c r="X11" s="41" t="inlineStr">
        <is>
          <t>inf</t>
        </is>
      </c>
      <c r="Y11" s="41" t="inlineStr">
        <is>
          <t>inf</t>
        </is>
      </c>
      <c r="Z11" s="42" t="n">
        <v>2642.01</v>
      </c>
      <c r="AA11" s="42" t="n">
        <v>20088.6</v>
      </c>
      <c r="AB11" s="42" t="n">
        <v>18.432</v>
      </c>
      <c r="AC11" s="42" t="n">
        <v>113.796</v>
      </c>
      <c r="AE11" s="44">
        <f>IF(ISBLANK(Q11),"·",Q11/(C11*(D11*3+IF(AND(ISNUMBER(T11),T11&gt;0),24,0))))</f>
        <v/>
      </c>
      <c r="AF11" s="37">
        <f>IF(OR(ISBLANK(AN11),ISBLANK(F11)),"·",AN11*F11/E11/1000000)</f>
        <v/>
      </c>
      <c r="AG11" s="38">
        <f>IF(ISBLANK(AN11),"·",AN11/C11)</f>
        <v/>
      </c>
      <c r="AH11" s="38">
        <f>IF(AK11="","·",AK11/C11)</f>
        <v/>
      </c>
      <c r="AI11" s="38">
        <f>IF(AO11="","·",AO11/C11)</f>
        <v/>
      </c>
      <c r="AJ11" s="38">
        <f>IF(ISBLANK(AQ11),"·",AQ11/C11)</f>
        <v/>
      </c>
      <c r="AK11" s="35">
        <f>IF(OR(ISBLANK(AO11),ISBLANK(AP11)),"",AO11+AP11)</f>
        <v/>
      </c>
      <c r="AL11" s="38" t="n">
        <v>16</v>
      </c>
      <c r="AM11" s="39" t="n">
        <v>83104648</v>
      </c>
      <c r="AN11" s="40" t="n">
        <v>830326752</v>
      </c>
      <c r="AO11" s="40" t="n">
        <v>93754680</v>
      </c>
      <c r="AP11" s="40" t="n">
        <v>4795576</v>
      </c>
      <c r="AQ11" s="40" t="n">
        <v>731776496</v>
      </c>
      <c r="AR11" s="41" t="inlineStr">
        <is>
          <t>inf</t>
        </is>
      </c>
      <c r="AS11" s="41" t="inlineStr">
        <is>
          <t>inf</t>
        </is>
      </c>
      <c r="AT11" s="41" t="inlineStr">
        <is>
          <t>inf</t>
        </is>
      </c>
      <c r="AU11" s="41" t="inlineStr">
        <is>
          <t>inf</t>
        </is>
      </c>
      <c r="AV11" s="41" t="inlineStr">
        <is>
          <t>inf</t>
        </is>
      </c>
      <c r="AW11" s="42" t="n">
        <v>2724.4</v>
      </c>
      <c r="AX11" s="42" t="n">
        <v>22413.2</v>
      </c>
      <c r="AY11" s="42" t="n">
        <v>21.958</v>
      </c>
      <c r="AZ11" s="42" t="n">
        <v>111.041</v>
      </c>
      <c r="BB11" s="43">
        <f>AG11/J11</f>
        <v/>
      </c>
      <c r="BC11" s="43">
        <f>AH11/K11</f>
        <v/>
      </c>
      <c r="BD11" s="43">
        <f>AI11/L11</f>
        <v/>
      </c>
      <c r="BE11" s="43">
        <f>AJ11/M11</f>
        <v/>
      </c>
      <c r="BF11" s="44">
        <f>(AK11/AN11) - (N11/Q11)</f>
        <v/>
      </c>
      <c r="BG11" s="44">
        <f ref="BG11" t="array">AVERAGE(AK11:AK11/AN11:AN11) - AVERAGE(N11:N11/Q11:Q11)</f>
        <v/>
      </c>
    </row>
    <row r="12">
      <c r="B12" s="55" t="inlineStr">
        <is>
          <t>Cat2-A average</t>
        </is>
      </c>
      <c r="J12" s="56">
        <f>AVERAGE(J5:J8)</f>
        <v/>
      </c>
      <c r="K12" s="56">
        <f>AVERAGE(K5:K8)</f>
        <v/>
      </c>
      <c r="L12" s="56">
        <f>AVERAGE(L5:L8)</f>
        <v/>
      </c>
      <c r="M12" s="56">
        <f>AVERAGE(M5:M8)</f>
        <v/>
      </c>
      <c r="AG12" s="56">
        <f>AVERAGE(AG5:AG8)</f>
        <v/>
      </c>
      <c r="AH12" s="56">
        <f>AVERAGE(AH5:AH8)</f>
        <v/>
      </c>
      <c r="AI12" s="56">
        <f>AVERAGE(AI5:AI8)</f>
        <v/>
      </c>
      <c r="AJ12" s="56">
        <f>AVERAGE(AJ5:AJ8)</f>
        <v/>
      </c>
      <c r="BB12" s="81">
        <f>AG12/J12</f>
        <v/>
      </c>
      <c r="BC12" s="81">
        <f>AH12/K12</f>
        <v/>
      </c>
      <c r="BD12" s="81">
        <f>AI12/L12</f>
        <v/>
      </c>
      <c r="BE12" s="81">
        <f>AJ12/M12</f>
        <v/>
      </c>
      <c r="BG12" s="171">
        <f>AVERAGE(BG5:BG8)</f>
        <v/>
      </c>
    </row>
    <row r="13">
      <c r="B13" s="55" t="inlineStr">
        <is>
          <t>Cat2-B average</t>
        </is>
      </c>
      <c r="J13" s="56">
        <f>AVERAGE(J9:J9)</f>
        <v/>
      </c>
      <c r="K13" s="56">
        <f>AVERAGE(K9:K9)</f>
        <v/>
      </c>
      <c r="L13" s="56">
        <f>AVERAGE(L9:L9)</f>
        <v/>
      </c>
      <c r="M13" s="56">
        <f>AVERAGE(M9:M9)</f>
        <v/>
      </c>
      <c r="AG13" s="56">
        <f>AVERAGE(AG9:AG9)</f>
        <v/>
      </c>
      <c r="AH13" s="56">
        <f>AVERAGE(AH9:AH9)</f>
        <v/>
      </c>
      <c r="AI13" s="56">
        <f>AVERAGE(AI9:AI9)</f>
        <v/>
      </c>
      <c r="AJ13" s="56">
        <f>AVERAGE(AJ9:AJ9)</f>
        <v/>
      </c>
      <c r="BB13" s="81">
        <f>AG13/J13</f>
        <v/>
      </c>
      <c r="BC13" s="81">
        <f>AH13/K13</f>
        <v/>
      </c>
      <c r="BD13" s="81">
        <f>AI13/L13</f>
        <v/>
      </c>
      <c r="BE13" s="81">
        <f>AJ13/M13</f>
        <v/>
      </c>
      <c r="BG13" s="171">
        <f>AVERAGE(BG9:BG9)</f>
        <v/>
      </c>
    </row>
    <row r="14">
      <c r="B14" s="55" t="inlineStr">
        <is>
          <t>Cat2-C average</t>
        </is>
      </c>
      <c r="J14" s="56">
        <f>AVERAGE(J10:J11)</f>
        <v/>
      </c>
      <c r="K14" s="56">
        <f>AVERAGE(K10:K11)</f>
        <v/>
      </c>
      <c r="L14" s="56">
        <f>AVERAGE(L10:L11)</f>
        <v/>
      </c>
      <c r="M14" s="56">
        <f>AVERAGE(M10:M11)</f>
        <v/>
      </c>
      <c r="AG14" s="56">
        <f>AVERAGE(AG10:AG11)</f>
        <v/>
      </c>
      <c r="AH14" s="56">
        <f>AVERAGE(AH10:AH11)</f>
        <v/>
      </c>
      <c r="AI14" s="56">
        <f>AVERAGE(AI10:AI11)</f>
        <v/>
      </c>
      <c r="AJ14" s="56">
        <f>AVERAGE(AJ10:AJ11)</f>
        <v/>
      </c>
      <c r="BB14" s="81">
        <f>AG14/J14</f>
        <v/>
      </c>
      <c r="BC14" s="81">
        <f>AH14/K14</f>
        <v/>
      </c>
      <c r="BD14" s="81">
        <f>AI14/L14</f>
        <v/>
      </c>
      <c r="BE14" s="81">
        <f>AJ14/M14</f>
        <v/>
      </c>
      <c r="BG14" s="171">
        <f>AVERAGE(BG10:BG11)</f>
        <v/>
      </c>
    </row>
    <row r="15">
      <c r="B15" s="55" t="inlineStr">
        <is>
          <t>Overall average</t>
        </is>
      </c>
      <c r="J15" s="56">
        <f>AVERAGE(J5:J11)</f>
        <v/>
      </c>
      <c r="K15" s="56">
        <f>AVERAGE(K5:K11)</f>
        <v/>
      </c>
      <c r="L15" s="56">
        <f>AVERAGE(L5:L11)</f>
        <v/>
      </c>
      <c r="M15" s="56">
        <f>AVERAGE(M5:M11)</f>
        <v/>
      </c>
      <c r="AG15" s="56">
        <f>AVERAGE(AG5:AG11)</f>
        <v/>
      </c>
      <c r="AH15" s="56">
        <f>AVERAGE(AH5:AH11)</f>
        <v/>
      </c>
      <c r="AI15" s="56">
        <f>AVERAGE(AI5:AI11)</f>
        <v/>
      </c>
      <c r="AJ15" s="56">
        <f>AVERAGE(AJ5:AJ11)</f>
        <v/>
      </c>
      <c r="BB15" s="81">
        <f>AG15/J15</f>
        <v/>
      </c>
      <c r="BC15" s="81">
        <f>AH15/K15</f>
        <v/>
      </c>
      <c r="BD15" s="81">
        <f>AI15/L15</f>
        <v/>
      </c>
      <c r="BE15" s="81">
        <f>AJ15/M15</f>
        <v/>
      </c>
      <c r="BG15" s="171">
        <f>AVERAGE(BG5:BG11)</f>
        <v/>
      </c>
    </row>
    <row hidden="1" outlineLevel="2" r="16" s="86">
      <c r="A16" s="55" t="inlineStr">
        <is>
          <t>Overall</t>
        </is>
      </c>
      <c r="B16" s="55" t="inlineStr">
        <is>
          <t>Total time [s]</t>
        </is>
      </c>
      <c r="Z16" s="57">
        <f>SUM(Z5:Z8,Z9:Z9,Z10:Z11)</f>
        <v/>
      </c>
      <c r="AA16" s="57">
        <f>SUM(AA5:AA8,AA9:AA9,AA10:AA11)</f>
        <v/>
      </c>
      <c r="AB16" s="57">
        <f>SUM(AB5:AB8,AB9:AB9,AB10:AB11)</f>
        <v/>
      </c>
      <c r="AC16" s="57">
        <f>SUM(AC5:AC8,AC9:AC9,AC10:AC11)</f>
        <v/>
      </c>
      <c r="AW16" s="57">
        <f>SUM(AW5:AW8,AW9:AW9,AW10:AW11)</f>
        <v/>
      </c>
      <c r="AX16" s="57">
        <f>SUM(AX5:AX8,AX9:AX9,AX10:AX11)</f>
        <v/>
      </c>
      <c r="AY16" s="57">
        <f>SUM(AY5:AY8,AY9:AY9,AY10:AY11)</f>
        <v/>
      </c>
      <c r="AZ16" s="57">
        <f>SUM(AZ5:AZ8,AZ9:AZ9,AZ10:AZ11)</f>
        <v/>
      </c>
    </row>
    <row hidden="1" outlineLevel="2" r="17" s="86">
      <c r="B17" s="55" t="inlineStr">
        <is>
          <t>Total time [%]</t>
        </is>
      </c>
      <c r="AW17" s="171">
        <f>AW16/Z16</f>
        <v/>
      </c>
      <c r="AX17" s="171">
        <f>AX16/AA16</f>
        <v/>
      </c>
      <c r="AY17" s="171">
        <f>AY16/AB16</f>
        <v/>
      </c>
      <c r="AZ17" s="171">
        <f>AZ16/AC16</f>
        <v/>
      </c>
    </row>
    <row hidden="1" outlineLevel="2" r="18" s="86">
      <c r="B18" s="55" t="inlineStr">
        <is>
          <t>Avg (geometric) time [s]</t>
        </is>
      </c>
      <c r="Z18" s="57">
        <f>GEOMEAN(Z5:Z8,Z9:Z9,Z10:Z11)</f>
        <v/>
      </c>
      <c r="AA18" s="57">
        <f>GEOMEAN(AA5:AA8,AA9:AA9,AA10:AA11)</f>
        <v/>
      </c>
      <c r="AB18" s="57">
        <f>GEOMEAN(AB5:AB8,AB9:AB9,AB10:AB11)</f>
        <v/>
      </c>
      <c r="AC18" s="57">
        <f>GEOMEAN(AC5:AC8,AC9:AC9,AC10:AC11)</f>
        <v/>
      </c>
      <c r="AW18" s="57">
        <f>GEOMEAN(AW5:AW8,AW9:AW9,AW10:AW11)</f>
        <v/>
      </c>
      <c r="AX18" s="57">
        <f>GEOMEAN(AX5:AX8,AX9:AX9,AX10:AX11)</f>
        <v/>
      </c>
      <c r="AY18" s="57">
        <f>GEOMEAN(AY5:AY8,AY9:AY9,AY10:AY11)</f>
        <v/>
      </c>
      <c r="AZ18" s="57">
        <f>GEOMEAN(AZ5:AZ8,AZ9:AZ9,AZ10:AZ11)</f>
        <v/>
      </c>
    </row>
    <row collapsed="1" outlineLevel="2" r="19" s="86">
      <c r="B19" s="55" t="inlineStr">
        <is>
          <t>Avg (geometric) time [%]</t>
        </is>
      </c>
      <c r="AW19" s="171">
        <f>AW18/Z18</f>
        <v/>
      </c>
      <c r="AX19" s="171">
        <f>AX18/AA18</f>
        <v/>
      </c>
      <c r="AY19" s="171">
        <f>AY18/AB18</f>
        <v/>
      </c>
      <c r="AZ19" s="171">
        <f>AZ18/AC18</f>
        <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dxfId="1" operator="greaterThanOrEqual" priority="3" type="cellIs">
      <formula>1.03</formula>
    </cfRule>
    <cfRule dxfId="0" operator="lessThanOrEqual" priority="4" type="cellIs">
      <formula>0.97</formula>
    </cfRule>
  </conditionalFormatting>
  <conditionalFormatting sqref="BC5 BC6 BC7 BC8 BC9 BC10 BC11 BC12 BC13 BC14 BC15">
    <cfRule dxfId="1" operator="greaterThanOrEqual" priority="7" type="cellIs">
      <formula>1.03</formula>
    </cfRule>
    <cfRule dxfId="0" operator="lessThanOrEqual" priority="8" type="cellIs">
      <formula>0.97</formula>
    </cfRule>
  </conditionalFormatting>
  <conditionalFormatting sqref="BD5 BD6 BD7 BD8 BD9 BD10 BD11 BD12 BD13 BD14 BD15">
    <cfRule dxfId="1" operator="greaterThanOrEqual" priority="1" type="cellIs">
      <formula>1.03</formula>
    </cfRule>
    <cfRule dxfId="0" operator="lessThanOrEqual" priority="2" type="cellIs">
      <formula>0.97</formula>
    </cfRule>
  </conditionalFormatting>
  <conditionalFormatting sqref="BE5 BE6 BE7 BE8 BE9 BE10 BE11 BE12 BE13 BE14 BE15">
    <cfRule dxfId="1" operator="greaterThanOrEqual" priority="5" type="cellIs">
      <formula>1.03</formula>
    </cfRule>
    <cfRule dxfId="0" operator="lessThanOrEqual" priority="6" type="cellIs">
      <formula>0.97</formula>
    </cfRule>
  </conditionalFormatting>
  <pageMargins bottom="0.75" footer="0.3" header="0.3" left="0.7" right="0.7" top="0.75"/>
</worksheet>
</file>

<file path=xl/worksheets/sheet6.xml><?xml version="1.0" encoding="utf-8"?>
<worksheet xmlns="http://schemas.openxmlformats.org/spreadsheetml/2006/main">
  <sheetPr>
    <outlinePr summaryBelow="0"/>
    <pageSetUpPr/>
  </sheetPr>
  <dimension ref="A1:BG19"/>
  <sheetViews>
    <sheetView workbookViewId="0" zoomScale="55" zoomScaleNormal="55">
      <pane activePane="bottomRight" state="frozen" topLeftCell="C12" xSplit="2" ySplit="4"/>
      <selection activeCell="C1" pane="topRight" sqref="C1"/>
      <selection activeCell="A5" pane="bottomLeft" sqref="A5"/>
      <selection activeCell="AE1" pane="bottomRight" sqref="AE1:AZ1"/>
    </sheetView>
  </sheetViews>
  <sheetFormatPr baseColWidth="8" defaultRowHeight="14.4" outlineLevelRow="2"/>
  <cols>
    <col customWidth="1" max="2" min="2" style="86" width="24.6640625"/>
    <col customWidth="1" max="4" min="3" style="86" width="10.6640625"/>
    <col customWidth="1" max="7" min="7" style="86" width="1.6640625"/>
    <col customWidth="1" max="13" min="10" style="86" width="10.6640625"/>
    <col customWidth="1" hidden="1" max="14" min="14" style="86" width="24.6640625"/>
    <col customWidth="1" max="15" min="15" style="86" width="12.6640625"/>
    <col customWidth="1" max="16" min="16" style="86" width="10.6640625"/>
    <col customWidth="1" max="20" min="17" style="86" width="12.6640625"/>
    <col customWidth="1" max="25" min="21" style="86" width="11.6640625"/>
    <col customWidth="1" max="30" min="30" style="86" width="1.6640625"/>
    <col customWidth="1" max="36" min="33" style="86" width="10.6640625"/>
    <col customWidth="1" hidden="1" max="37" min="37" style="86" width="24.6640625"/>
    <col customWidth="1" max="38" min="38" style="86" width="12.6640625"/>
    <col customWidth="1" max="39" min="39" style="86" width="10.6640625"/>
    <col customWidth="1" max="43" min="40" style="86" width="12.6640625"/>
    <col customWidth="1" max="48" min="44" style="86" width="11.6640625"/>
    <col customWidth="1" max="53" min="53" style="86" width="1.6640625"/>
    <col customWidth="1" max="60" min="60" style="86" width="1.6640625"/>
  </cols>
  <sheetData>
    <row r="1">
      <c r="A1" s="177" t="inlineStr">
        <is>
          <t>CW_ld — lossless geometry, lossless attributes [inter, low delay]</t>
        </is>
      </c>
      <c r="H1" s="165">
        <f>Summary!$C$1</f>
        <v/>
      </c>
      <c r="AE1" s="166">
        <f>Summary!$C$2</f>
        <v/>
      </c>
    </row>
    <row customHeight="1" ht="30" r="2" s="86">
      <c r="A2" s="173" t="inlineStr">
        <is>
          <t>Class</t>
        </is>
      </c>
      <c r="B2" s="174" t="inlineStr">
        <is>
          <t>Sequence</t>
        </is>
      </c>
      <c r="C2" s="173" t="inlineStr">
        <is>
          <t>№ input points</t>
        </is>
      </c>
      <c r="D2" s="174" t="inlineStr">
        <is>
          <t>Geometry precision [bits]</t>
        </is>
      </c>
      <c r="E2" s="173" t="inlineStr">
        <is>
          <t>№ frames</t>
        </is>
      </c>
      <c r="F2" s="174" t="inlineStr">
        <is>
          <t>Frame rate [fps]</t>
        </is>
      </c>
      <c r="H2" s="173" t="inlineStr">
        <is>
          <t>Comp. ratio [%]</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6" t="inlineStr">
        <is>
          <t>Bitstream [bits]</t>
        </is>
      </c>
      <c r="U2" s="175" t="inlineStr">
        <is>
          <t>Geometry PSNR [dB]</t>
        </is>
      </c>
      <c r="W2" s="176" t="inlineStr">
        <is>
          <t>End-to-end PSNR [dB]</t>
        </is>
      </c>
      <c r="Z2" s="175" t="inlineStr">
        <is>
          <t>Encoder runtime [s]</t>
        </is>
      </c>
      <c r="AB2" s="176" t="inlineStr">
        <is>
          <t>Decoder runtime [s]</t>
        </is>
      </c>
      <c r="AE2" s="173" t="inlineStr">
        <is>
          <t>Comp. ratio [%]</t>
        </is>
      </c>
      <c r="AF2" s="174" t="inlineStr">
        <is>
          <t>Rate [Mbps]</t>
        </is>
      </c>
      <c r="AG2" s="175" t="inlineStr">
        <is>
          <t>Bits per input point [bpip]</t>
        </is>
      </c>
      <c r="AK2" s="173" t="inlineStr">
        <is>
          <t>B.eqn.bits.totalgeometry Bitstream [bits]</t>
        </is>
      </c>
      <c r="AL2" s="174" t="inlineStr">
        <is>
          <t>Total Bits per output point [bpop]</t>
        </is>
      </c>
      <c r="AM2" s="173" t="inlineStr">
        <is>
          <t>№ output points</t>
        </is>
      </c>
      <c r="AN2" s="176" t="inlineStr">
        <is>
          <t>Bitstream [bits]</t>
        </is>
      </c>
      <c r="AR2" s="175" t="inlineStr">
        <is>
          <t>Geometry PSNR [dB]</t>
        </is>
      </c>
      <c r="AT2" s="176" t="inlineStr">
        <is>
          <t>End-to-end PSNR [dB]</t>
        </is>
      </c>
      <c r="AW2" s="175" t="inlineStr">
        <is>
          <t>Encoder runtime [s]</t>
        </is>
      </c>
      <c r="AY2" s="176" t="inlineStr">
        <is>
          <t>Decoder runtime [s]</t>
        </is>
      </c>
      <c r="BB2" s="175" t="inlineStr">
        <is>
          <t>bpip ratio [%]</t>
        </is>
      </c>
      <c r="BF2" s="174" t="inlineStr">
        <is>
          <t>Shift in G:T bits ratio [pp]</t>
        </is>
      </c>
      <c r="BG2" s="173" t="inlineStr">
        <is>
          <t>Shift in G:T bits ratio [pp]</t>
        </is>
      </c>
    </row>
    <row customHeight="1" ht="28.8" r="3" s="86">
      <c r="A3" s="9" t="n"/>
      <c r="B3" s="9" t="n"/>
      <c r="C3" s="9" t="n"/>
      <c r="D3" s="9" t="n"/>
      <c r="E3" s="9" t="n"/>
      <c r="F3" s="9" t="n"/>
      <c r="H3" s="9" t="n"/>
      <c r="I3" s="9" t="n"/>
      <c r="J3" s="173" t="inlineStr">
        <is>
          <t>Total</t>
        </is>
      </c>
      <c r="K3" s="173" t="inlineStr">
        <is>
          <t>Tot.Geom</t>
        </is>
      </c>
      <c r="L3" s="173" t="inlineStr">
        <is>
          <t>Geometry</t>
        </is>
      </c>
      <c r="M3" s="173" t="inlineStr">
        <is>
          <t xml:space="preserve">Colour </t>
        </is>
      </c>
      <c r="N3" s="9" t="n"/>
      <c r="O3" s="9" t="n"/>
      <c r="P3" s="9" t="n"/>
      <c r="Q3" s="174" t="inlineStr">
        <is>
          <t>Total</t>
        </is>
      </c>
      <c r="R3" s="174" t="inlineStr">
        <is>
          <t>Geometry</t>
        </is>
      </c>
      <c r="S3" s="174" t="inlineStr">
        <is>
          <t>Occ+Patch</t>
        </is>
      </c>
      <c r="T3" s="174" t="inlineStr">
        <is>
          <t>Colour</t>
        </is>
      </c>
      <c r="U3" s="173" t="inlineStr">
        <is>
          <t>D1</t>
        </is>
      </c>
      <c r="V3" s="173" t="inlineStr">
        <is>
          <t>D2</t>
        </is>
      </c>
      <c r="W3" s="174" t="inlineStr">
        <is>
          <t>Luma</t>
        </is>
      </c>
      <c r="X3" s="174" t="inlineStr">
        <is>
          <t>Chroma Cb</t>
        </is>
      </c>
      <c r="Y3" s="174" t="inlineStr">
        <is>
          <t>Chroma Cr</t>
        </is>
      </c>
      <c r="Z3" s="173" t="inlineStr">
        <is>
          <t>Self</t>
        </is>
      </c>
      <c r="AA3" s="173" t="inlineStr">
        <is>
          <t>Child</t>
        </is>
      </c>
      <c r="AB3" s="174" t="inlineStr">
        <is>
          <t>Self</t>
        </is>
      </c>
      <c r="AC3" s="174" t="inlineStr">
        <is>
          <t>Child</t>
        </is>
      </c>
      <c r="AE3" s="9" t="n"/>
      <c r="AF3" s="9" t="n"/>
      <c r="AG3" s="173" t="inlineStr">
        <is>
          <t>Total</t>
        </is>
      </c>
      <c r="AH3" s="173" t="inlineStr">
        <is>
          <t>Tot.Geom</t>
        </is>
      </c>
      <c r="AI3" s="173" t="inlineStr">
        <is>
          <t>Geometry</t>
        </is>
      </c>
      <c r="AJ3" s="173" t="inlineStr">
        <is>
          <t xml:space="preserve">Colour </t>
        </is>
      </c>
      <c r="AK3" s="9" t="n"/>
      <c r="AL3" s="9" t="n"/>
      <c r="AM3" s="9" t="n"/>
      <c r="AN3" s="174" t="inlineStr">
        <is>
          <t>Total</t>
        </is>
      </c>
      <c r="AO3" s="174" t="inlineStr">
        <is>
          <t>Geometry</t>
        </is>
      </c>
      <c r="AP3" s="174" t="inlineStr">
        <is>
          <t>Occ+Patch</t>
        </is>
      </c>
      <c r="AQ3" s="174" t="inlineStr">
        <is>
          <t>Colour</t>
        </is>
      </c>
      <c r="AR3" s="173" t="inlineStr">
        <is>
          <t>D1</t>
        </is>
      </c>
      <c r="AS3" s="173" t="inlineStr">
        <is>
          <t>D2</t>
        </is>
      </c>
      <c r="AT3" s="174" t="inlineStr">
        <is>
          <t>Luma</t>
        </is>
      </c>
      <c r="AU3" s="174" t="inlineStr">
        <is>
          <t>Chroma Cb</t>
        </is>
      </c>
      <c r="AV3" s="174" t="inlineStr">
        <is>
          <t>Chroma Cr</t>
        </is>
      </c>
      <c r="AW3" s="173" t="inlineStr">
        <is>
          <t>Self</t>
        </is>
      </c>
      <c r="AX3" s="173" t="inlineStr">
        <is>
          <t>Child</t>
        </is>
      </c>
      <c r="AY3" s="174" t="inlineStr">
        <is>
          <t>Self</t>
        </is>
      </c>
      <c r="AZ3" s="174" t="inlineStr">
        <is>
          <t>Child</t>
        </is>
      </c>
      <c r="BB3" s="173" t="inlineStr">
        <is>
          <t>Total</t>
        </is>
      </c>
      <c r="BC3" s="173" t="inlineStr">
        <is>
          <t>Tot.Geom</t>
        </is>
      </c>
      <c r="BD3" s="173" t="inlineStr">
        <is>
          <t>Geometry</t>
        </is>
      </c>
      <c r="BE3" s="173" t="inlineStr">
        <is>
          <t>Colour</t>
        </is>
      </c>
      <c r="BF3" s="9" t="n"/>
      <c r="BG3" s="9" t="n"/>
    </row>
    <row customHeight="1" hidden="1" ht="123" r="4" s="86">
      <c r="A4" s="13" t="inlineStr">
        <is>
          <t>class</t>
        </is>
      </c>
      <c r="B4" s="14" t="inlineStr">
        <is>
          <t>sequence</t>
        </is>
      </c>
      <c r="C4" s="13" t="inlineStr">
        <is>
          <t>src.numpoints</t>
        </is>
      </c>
      <c r="D4" s="14" t="inlineStr">
        <is>
          <t>src.geometry-precision</t>
        </is>
      </c>
      <c r="E4" s="13" t="inlineStr">
        <is>
          <t>src.framecount</t>
        </is>
      </c>
      <c r="F4" s="14" t="inlineStr">
        <is>
          <t>src.framerate</t>
        </is>
      </c>
      <c r="H4" s="13" t="inlineStr">
        <is>
          <t>A.eqn.compratio</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A.enc.ext.bits</t>
        </is>
      </c>
      <c r="R4" s="14" t="inlineStr">
        <is>
          <t>A.enc.bits.geometry</t>
        </is>
      </c>
      <c r="S4" s="14" t="inlineStr">
        <is>
          <t>A.enc.bits.occ+patch</t>
        </is>
      </c>
      <c r="T4" s="14" t="inlineStr">
        <is>
          <t>A.enc.bits.colour</t>
        </is>
      </c>
      <c r="U4" s="13" t="inlineStr">
        <is>
          <t>A.dec.d1-psnr</t>
        </is>
      </c>
      <c r="V4" s="13" t="inlineStr">
        <is>
          <t>A.dec.d2-psnr</t>
        </is>
      </c>
      <c r="W4" s="14" t="inlineStr">
        <is>
          <t>A.dec.y-psnr</t>
        </is>
      </c>
      <c r="X4" s="14" t="inlineStr">
        <is>
          <t>A.dec.cb-psnr</t>
        </is>
      </c>
      <c r="Y4" s="14" t="inlineStr">
        <is>
          <t>A.dec.cr-psnr</t>
        </is>
      </c>
      <c r="Z4" s="13" t="inlineStr">
        <is>
          <t>A.enc.utime.self</t>
        </is>
      </c>
      <c r="AA4" s="13" t="inlineStr">
        <is>
          <t>A.enc.utime.children</t>
        </is>
      </c>
      <c r="AB4" s="14" t="inlineStr">
        <is>
          <t>A.dec.utime.self</t>
        </is>
      </c>
      <c r="AC4" s="14" t="inlineStr">
        <is>
          <t>A.dec.utime.children</t>
        </is>
      </c>
      <c r="AE4" s="13" t="inlineStr">
        <is>
          <t>B.eqn.compratio</t>
        </is>
      </c>
      <c r="AF4" s="14" t="inlineStr">
        <is>
          <t>B.eqn.bitrate</t>
        </is>
      </c>
      <c r="AG4" s="13" t="inlineStr">
        <is>
          <t>B.eqn.bpp</t>
        </is>
      </c>
      <c r="AH4" s="13" t="inlineStr">
        <is>
          <t>B.eqn.bpp.geometry+occ+patch</t>
        </is>
      </c>
      <c r="AI4" s="13" t="inlineStr">
        <is>
          <t>B.eqn.bpp.geometry</t>
        </is>
      </c>
      <c r="AJ4" s="13" t="inlineStr">
        <is>
          <t>B.eqn.bpp.colour</t>
        </is>
      </c>
      <c r="AK4" s="13" t="inlineStr">
        <is>
          <t>B.eqn.bits.totalgeometry</t>
        </is>
      </c>
      <c r="AL4" s="14" t="inlineStr">
        <is>
          <t>B.eqn.bpop</t>
        </is>
      </c>
      <c r="AM4" s="13" t="inlineStr">
        <is>
          <t>B.dec.numpoints</t>
        </is>
      </c>
      <c r="AN4" s="14" t="inlineStr">
        <is>
          <t>B.enc.ext.bits</t>
        </is>
      </c>
      <c r="AO4" s="14" t="inlineStr">
        <is>
          <t>B.enc.bits.geometry</t>
        </is>
      </c>
      <c r="AP4" s="14" t="inlineStr">
        <is>
          <t>B.enc.bits.occ+patch</t>
        </is>
      </c>
      <c r="AQ4" s="14" t="inlineStr">
        <is>
          <t>B.enc.bits.colour</t>
        </is>
      </c>
      <c r="AR4" s="13" t="inlineStr">
        <is>
          <t>B.dec.d1-psnr</t>
        </is>
      </c>
      <c r="AS4" s="13" t="inlineStr">
        <is>
          <t>B.dec.d2-psnr</t>
        </is>
      </c>
      <c r="AT4" s="14" t="inlineStr">
        <is>
          <t>B.dec.y-psnr</t>
        </is>
      </c>
      <c r="AU4" s="14" t="inlineStr">
        <is>
          <t>B.dec.cb-psnr</t>
        </is>
      </c>
      <c r="AV4" s="14" t="inlineStr">
        <is>
          <t>B.dec.cr-psnr</t>
        </is>
      </c>
      <c r="AW4" s="13" t="inlineStr">
        <is>
          <t>B.enc.utime.self</t>
        </is>
      </c>
      <c r="AX4" s="13" t="inlineStr">
        <is>
          <t>B.enc.utime.children</t>
        </is>
      </c>
      <c r="AY4" s="14" t="inlineStr">
        <is>
          <t>B.dec.utime.self</t>
        </is>
      </c>
      <c r="AZ4" s="14" t="inlineStr">
        <is>
          <t>B.dec.utime.children</t>
        </is>
      </c>
      <c r="BB4" s="13" t="inlineStr">
        <is>
          <t>eqn.ab.ratio-bpp</t>
        </is>
      </c>
      <c r="BC4" s="13" t="inlineStr">
        <is>
          <t>eqn.ab.ratio-bpp-geometry-total</t>
        </is>
      </c>
      <c r="BD4" s="13" t="inlineStr">
        <is>
          <t>eqn.ab.ratio-bpp-geometry</t>
        </is>
      </c>
      <c r="BE4" s="13" t="inlineStr">
        <is>
          <t>eqn.ab.ratio-bpp-colour</t>
        </is>
      </c>
      <c r="BF4" s="14" t="inlineStr">
        <is>
          <t>eqn.ab.delta-geom_texture_bits_ratio</t>
        </is>
      </c>
      <c r="BG4" s="13" t="inlineStr">
        <is>
          <t>eqn.ab.summary-delta-geom_texture_bits_ratio</t>
        </is>
      </c>
    </row>
    <row collapsed="1" r="5" s="86">
      <c r="A5" s="142" t="inlineStr">
        <is>
          <t>cat2-A</t>
        </is>
      </c>
      <c r="B5" s="142" t="inlineStr">
        <is>
          <t>8ivfbv2_loot_vox10</t>
        </is>
      </c>
      <c r="C5" s="142" t="n">
        <v>238146391</v>
      </c>
      <c r="D5" s="16" t="n">
        <v>10</v>
      </c>
      <c r="E5" s="16" t="n">
        <v>32</v>
      </c>
      <c r="F5" s="16" t="n">
        <v>30</v>
      </c>
      <c r="H5" s="24">
        <f>IF(ISBLANK(Q5),"·",Q5/(C5*(D5*3+IF(AND(ISNUMBER(T5),T5&gt;0),24,0))))</f>
        <v/>
      </c>
      <c r="I5" s="17">
        <f>IF(OR(ISBLANK(Q5),ISBLANK(F5)),"·",Q5*F5/E5/1000000)</f>
        <v/>
      </c>
      <c r="J5" s="18">
        <f>IF(ISBLANK(Q5),"·",Q5/C5)</f>
        <v/>
      </c>
      <c r="K5" s="18">
        <f>IF(N5="","·",N5/C5)</f>
        <v/>
      </c>
      <c r="L5" s="18">
        <f>IF(R5="","·",R5/C5)</f>
        <v/>
      </c>
      <c r="M5" s="18">
        <f>IF(ISBLANK(T5),"·",T5/C5)</f>
        <v/>
      </c>
      <c r="N5" s="142">
        <f>IF(OR(ISBLANK(R5),ISBLANK(S5)),"",R5+S5)</f>
        <v/>
      </c>
      <c r="O5" s="18" t="n">
        <v>16</v>
      </c>
      <c r="P5" s="19" t="n">
        <v>24964341</v>
      </c>
      <c r="Q5" s="20" t="n">
        <v>219988504</v>
      </c>
      <c r="R5" s="20" t="n">
        <v>31913936</v>
      </c>
      <c r="S5" s="20" t="n">
        <v>2156944</v>
      </c>
      <c r="T5" s="20" t="n">
        <v>185917624</v>
      </c>
      <c r="U5" s="21" t="inlineStr">
        <is>
          <t>inf</t>
        </is>
      </c>
      <c r="V5" s="21" t="inlineStr">
        <is>
          <t>inf</t>
        </is>
      </c>
      <c r="W5" s="21" t="inlineStr">
        <is>
          <t>inf</t>
        </is>
      </c>
      <c r="X5" s="21" t="inlineStr">
        <is>
          <t>inf</t>
        </is>
      </c>
      <c r="Y5" s="21" t="inlineStr">
        <is>
          <t>inf</t>
        </is>
      </c>
      <c r="Z5" s="22" t="n">
        <v>3523.34</v>
      </c>
      <c r="AA5" s="22" t="n">
        <v>7878.09</v>
      </c>
      <c r="AB5" s="22" t="n">
        <v>4.663</v>
      </c>
      <c r="AC5" s="22" t="n">
        <v>26.008</v>
      </c>
      <c r="AE5" s="24">
        <f>IF(ISBLANK(Q5),"·",Q5/(C5*(D5*3+IF(AND(ISNUMBER(T5),T5&gt;0),24,0))))</f>
        <v/>
      </c>
      <c r="AF5" s="17">
        <f>IF(OR(ISBLANK(AN5),ISBLANK(F5)),"·",AN5*F5/E5/1000000)</f>
        <v/>
      </c>
      <c r="AG5" s="18">
        <f>IF(ISBLANK(AN5),"·",AN5/C5)</f>
        <v/>
      </c>
      <c r="AH5" s="18">
        <f>IF(AK5="","·",AK5/C5)</f>
        <v/>
      </c>
      <c r="AI5" s="18">
        <f>IF(AO5="","·",AO5/C5)</f>
        <v/>
      </c>
      <c r="AJ5" s="18">
        <f>IF(ISBLANK(AQ5),"·",AQ5/C5)</f>
        <v/>
      </c>
      <c r="AK5" s="142">
        <f>IF(OR(ISBLANK(AO5),ISBLANK(AP5)),"",AO5+AP5)</f>
        <v/>
      </c>
      <c r="AL5" s="18" t="n">
        <v>16</v>
      </c>
      <c r="AM5" s="19" t="n">
        <v>24964341</v>
      </c>
      <c r="AN5" s="20" t="n">
        <v>220803616</v>
      </c>
      <c r="AO5" s="20" t="n">
        <v>31913936</v>
      </c>
      <c r="AP5" s="20" t="n">
        <v>2161576</v>
      </c>
      <c r="AQ5" s="20" t="n">
        <v>186728104</v>
      </c>
      <c r="AR5" s="21" t="inlineStr">
        <is>
          <t>inf</t>
        </is>
      </c>
      <c r="AS5" s="21" t="inlineStr">
        <is>
          <t>inf</t>
        </is>
      </c>
      <c r="AT5" s="21" t="inlineStr">
        <is>
          <t>inf</t>
        </is>
      </c>
      <c r="AU5" s="21" t="inlineStr">
        <is>
          <t>inf</t>
        </is>
      </c>
      <c r="AV5" s="21" t="inlineStr">
        <is>
          <t>inf</t>
        </is>
      </c>
      <c r="AW5" s="22" t="n">
        <v>3445.92</v>
      </c>
      <c r="AX5" s="22" t="n">
        <v>7921.38</v>
      </c>
      <c r="AY5" s="22" t="n">
        <v>5.455</v>
      </c>
      <c r="AZ5" s="22" t="n">
        <v>26.2</v>
      </c>
      <c r="BB5" s="72">
        <f>AG5/J5</f>
        <v/>
      </c>
      <c r="BC5" s="72">
        <f>AH5/K5</f>
        <v/>
      </c>
      <c r="BD5" s="72">
        <f>AI5/L5</f>
        <v/>
      </c>
      <c r="BE5" s="72">
        <f>AJ5/M5</f>
        <v/>
      </c>
      <c r="BF5" s="24">
        <f>(AK5/AN5) - (N5/Q5)</f>
        <v/>
      </c>
      <c r="BG5" s="24">
        <f ref="BG5" t="array">AVERAGE(AK5:AK5/AN5:AN5) - AVERAGE(N5:N5/Q5:Q5)</f>
        <v/>
      </c>
    </row>
    <row collapsed="1" r="6" s="86">
      <c r="A6" s="25" t="n"/>
      <c r="B6" s="25" t="inlineStr">
        <is>
          <t>8ivfbv2_redandblack_vox10</t>
        </is>
      </c>
      <c r="C6" s="25" t="n">
        <v>218121242</v>
      </c>
      <c r="D6" s="26" t="n">
        <v>10</v>
      </c>
      <c r="E6" s="26" t="n">
        <v>32</v>
      </c>
      <c r="F6" s="26" t="n">
        <v>30</v>
      </c>
      <c r="H6" s="34">
        <f>IF(ISBLANK(Q6),"·",Q6/(C6*(D6*3+IF(AND(ISNUMBER(T6),T6&gt;0),24,0))))</f>
        <v/>
      </c>
      <c r="I6" s="27">
        <f>IF(OR(ISBLANK(Q6),ISBLANK(F6)),"·",Q6*F6/E6/1000000)</f>
        <v/>
      </c>
      <c r="J6" s="28">
        <f>IF(ISBLANK(Q6),"·",Q6/C6)</f>
        <v/>
      </c>
      <c r="K6" s="28">
        <f>IF(N6="","·",N6/C6)</f>
        <v/>
      </c>
      <c r="L6" s="28">
        <f>IF(R6="","·",R6/C6)</f>
        <v/>
      </c>
      <c r="M6" s="28">
        <f>IF(ISBLANK(T6),"·",T6/C6)</f>
        <v/>
      </c>
      <c r="N6" s="25">
        <f>IF(OR(ISBLANK(R6),ISBLANK(S6)),"",R6+S6)</f>
        <v/>
      </c>
      <c r="O6" s="28" t="n">
        <v>16</v>
      </c>
      <c r="P6" s="29" t="n">
        <v>22654789</v>
      </c>
      <c r="Q6" s="30" t="n">
        <v>287717192</v>
      </c>
      <c r="R6" s="30" t="n">
        <v>35072616</v>
      </c>
      <c r="S6" s="30" t="n">
        <v>3479200</v>
      </c>
      <c r="T6" s="30" t="n">
        <v>249165376</v>
      </c>
      <c r="U6" s="31" t="inlineStr">
        <is>
          <t>inf</t>
        </is>
      </c>
      <c r="V6" s="31" t="inlineStr">
        <is>
          <t>inf</t>
        </is>
      </c>
      <c r="W6" s="31" t="inlineStr">
        <is>
          <t>inf</t>
        </is>
      </c>
      <c r="X6" s="31" t="inlineStr">
        <is>
          <t>inf</t>
        </is>
      </c>
      <c r="Y6" s="31" t="inlineStr">
        <is>
          <t>inf</t>
        </is>
      </c>
      <c r="Z6" s="32" t="n">
        <v>3218.35</v>
      </c>
      <c r="AA6" s="32" t="n">
        <v>9845.15</v>
      </c>
      <c r="AB6" s="32" t="n">
        <v>4.459</v>
      </c>
      <c r="AC6" s="32" t="n">
        <v>28.207</v>
      </c>
      <c r="AE6" s="34">
        <f>IF(ISBLANK(Q6),"·",Q6/(C6*(D6*3+IF(AND(ISNUMBER(T6),T6&gt;0),24,0))))</f>
        <v/>
      </c>
      <c r="AF6" s="27">
        <f>IF(OR(ISBLANK(AN6),ISBLANK(F6)),"·",AN6*F6/E6/1000000)</f>
        <v/>
      </c>
      <c r="AG6" s="28">
        <f>IF(ISBLANK(AN6),"·",AN6/C6)</f>
        <v/>
      </c>
      <c r="AH6" s="28">
        <f>IF(AK6="","·",AK6/C6)</f>
        <v/>
      </c>
      <c r="AI6" s="28">
        <f>IF(AO6="","·",AO6/C6)</f>
        <v/>
      </c>
      <c r="AJ6" s="28">
        <f>IF(ISBLANK(AQ6),"·",AQ6/C6)</f>
        <v/>
      </c>
      <c r="AK6" s="25">
        <f>IF(OR(ISBLANK(AO6),ISBLANK(AP6)),"",AO6+AP6)</f>
        <v/>
      </c>
      <c r="AL6" s="28" t="n">
        <v>16</v>
      </c>
      <c r="AM6" s="29" t="n">
        <v>22654789</v>
      </c>
      <c r="AN6" s="30" t="n">
        <v>289279584</v>
      </c>
      <c r="AO6" s="30" t="n">
        <v>35072616</v>
      </c>
      <c r="AP6" s="30" t="n">
        <v>3483024</v>
      </c>
      <c r="AQ6" s="30" t="n">
        <v>250723944</v>
      </c>
      <c r="AR6" s="31" t="inlineStr">
        <is>
          <t>inf</t>
        </is>
      </c>
      <c r="AS6" s="31" t="inlineStr">
        <is>
          <t>inf</t>
        </is>
      </c>
      <c r="AT6" s="31" t="inlineStr">
        <is>
          <t>inf</t>
        </is>
      </c>
      <c r="AU6" s="31" t="inlineStr">
        <is>
          <t>inf</t>
        </is>
      </c>
      <c r="AV6" s="31" t="inlineStr">
        <is>
          <t>inf</t>
        </is>
      </c>
      <c r="AW6" s="32" t="n">
        <v>3133.91</v>
      </c>
      <c r="AX6" s="32" t="n">
        <v>9984.25</v>
      </c>
      <c r="AY6" s="32" t="n">
        <v>5.248</v>
      </c>
      <c r="AZ6" s="32" t="n">
        <v>29.945</v>
      </c>
      <c r="BB6" s="68">
        <f>AG6/J6</f>
        <v/>
      </c>
      <c r="BC6" s="68">
        <f>AH6/K6</f>
        <v/>
      </c>
      <c r="BD6" s="68">
        <f>AI6/L6</f>
        <v/>
      </c>
      <c r="BE6" s="68">
        <f>AJ6/M6</f>
        <v/>
      </c>
      <c r="BF6" s="34">
        <f>(AK6/AN6) - (N6/Q6)</f>
        <v/>
      </c>
      <c r="BG6" s="34">
        <f ref="BG6" t="array">AVERAGE(AK6:AK6/AN6:AN6) - AVERAGE(N6:N6/Q6:Q6)</f>
        <v/>
      </c>
    </row>
    <row collapsed="1" r="7" s="86">
      <c r="A7" s="142" t="n"/>
      <c r="B7" s="142" t="inlineStr">
        <is>
          <t>8ivfbv2_soldier_vox10</t>
        </is>
      </c>
      <c r="C7" s="142" t="n">
        <v>322589704</v>
      </c>
      <c r="D7" s="16" t="n">
        <v>10</v>
      </c>
      <c r="E7" s="16" t="n">
        <v>32</v>
      </c>
      <c r="F7" s="16" t="n">
        <v>30</v>
      </c>
      <c r="H7" s="24">
        <f>IF(ISBLANK(Q7),"·",Q7/(C7*(D7*3+IF(AND(ISNUMBER(T7),T7&gt;0),24,0))))</f>
        <v/>
      </c>
      <c r="I7" s="17">
        <f>IF(OR(ISBLANK(Q7),ISBLANK(F7)),"·",Q7*F7/E7/1000000)</f>
        <v/>
      </c>
      <c r="J7" s="18">
        <f>IF(ISBLANK(Q7),"·",Q7/C7)</f>
        <v/>
      </c>
      <c r="K7" s="18">
        <f>IF(N7="","·",N7/C7)</f>
        <v/>
      </c>
      <c r="L7" s="18">
        <f>IF(R7="","·",R7/C7)</f>
        <v/>
      </c>
      <c r="M7" s="18">
        <f>IF(ISBLANK(T7),"·",T7/C7)</f>
        <v/>
      </c>
      <c r="N7" s="142">
        <f>IF(OR(ISBLANK(R7),ISBLANK(S7)),"",R7+S7)</f>
        <v/>
      </c>
      <c r="O7" s="18" t="n">
        <v>16</v>
      </c>
      <c r="P7" s="19" t="n">
        <v>33947718</v>
      </c>
      <c r="Q7" s="20" t="n">
        <v>327469312</v>
      </c>
      <c r="R7" s="20" t="n">
        <v>46813352</v>
      </c>
      <c r="S7" s="20" t="n">
        <v>3949784</v>
      </c>
      <c r="T7" s="20" t="n">
        <v>276706176</v>
      </c>
      <c r="U7" s="21" t="inlineStr">
        <is>
          <t>inf</t>
        </is>
      </c>
      <c r="V7" s="21" t="inlineStr">
        <is>
          <t>inf</t>
        </is>
      </c>
      <c r="W7" s="21" t="inlineStr">
        <is>
          <t>inf</t>
        </is>
      </c>
      <c r="X7" s="21" t="inlineStr">
        <is>
          <t>inf</t>
        </is>
      </c>
      <c r="Y7" s="21" t="inlineStr">
        <is>
          <t>inf</t>
        </is>
      </c>
      <c r="Z7" s="22" t="n">
        <v>4653.62</v>
      </c>
      <c r="AA7" s="22" t="n">
        <v>9713.209999999999</v>
      </c>
      <c r="AB7" s="22" t="n">
        <v>6.568</v>
      </c>
      <c r="AC7" s="22" t="n">
        <v>32.242</v>
      </c>
      <c r="AE7" s="24">
        <f>IF(ISBLANK(Q7),"·",Q7/(C7*(D7*3+IF(AND(ISNUMBER(T7),T7&gt;0),24,0))))</f>
        <v/>
      </c>
      <c r="AF7" s="17">
        <f>IF(OR(ISBLANK(AN7),ISBLANK(F7)),"·",AN7*F7/E7/1000000)</f>
        <v/>
      </c>
      <c r="AG7" s="18">
        <f>IF(ISBLANK(AN7),"·",AN7/C7)</f>
        <v/>
      </c>
      <c r="AH7" s="18">
        <f>IF(AK7="","·",AK7/C7)</f>
        <v/>
      </c>
      <c r="AI7" s="18">
        <f>IF(AO7="","·",AO7/C7)</f>
        <v/>
      </c>
      <c r="AJ7" s="18">
        <f>IF(ISBLANK(AQ7),"·",AQ7/C7)</f>
        <v/>
      </c>
      <c r="AK7" s="142">
        <f>IF(OR(ISBLANK(AO7),ISBLANK(AP7)),"",AO7+AP7)</f>
        <v/>
      </c>
      <c r="AL7" s="18" t="n">
        <v>16</v>
      </c>
      <c r="AM7" s="19" t="n">
        <v>33947718</v>
      </c>
      <c r="AN7" s="20" t="n">
        <v>329919416</v>
      </c>
      <c r="AO7" s="20" t="n">
        <v>46813352</v>
      </c>
      <c r="AP7" s="20" t="n">
        <v>3958176</v>
      </c>
      <c r="AQ7" s="20" t="n">
        <v>279147888</v>
      </c>
      <c r="AR7" s="21" t="inlineStr">
        <is>
          <t>inf</t>
        </is>
      </c>
      <c r="AS7" s="21" t="inlineStr">
        <is>
          <t>inf</t>
        </is>
      </c>
      <c r="AT7" s="21" t="inlineStr">
        <is>
          <t>inf</t>
        </is>
      </c>
      <c r="AU7" s="21" t="inlineStr">
        <is>
          <t>inf</t>
        </is>
      </c>
      <c r="AV7" s="21" t="inlineStr">
        <is>
          <t>inf</t>
        </is>
      </c>
      <c r="AW7" s="22" t="n">
        <v>4538.1</v>
      </c>
      <c r="AX7" s="22" t="n">
        <v>10203.3</v>
      </c>
      <c r="AY7" s="22" t="n">
        <v>7.365</v>
      </c>
      <c r="AZ7" s="22" t="n">
        <v>31.707</v>
      </c>
      <c r="BB7" s="72">
        <f>AG7/J7</f>
        <v/>
      </c>
      <c r="BC7" s="72">
        <f>AH7/K7</f>
        <v/>
      </c>
      <c r="BD7" s="72">
        <f>AI7/L7</f>
        <v/>
      </c>
      <c r="BE7" s="72">
        <f>AJ7/M7</f>
        <v/>
      </c>
      <c r="BF7" s="24">
        <f>(AK7/AN7) - (N7/Q7)</f>
        <v/>
      </c>
      <c r="BG7" s="24">
        <f ref="BG7" t="array">AVERAGE(AK7:AK7/AN7:AN7) - AVERAGE(N7:N7/Q7:Q7)</f>
        <v/>
      </c>
    </row>
    <row collapsed="1" r="8" s="86">
      <c r="A8" s="45" t="n"/>
      <c r="B8" s="45" t="inlineStr">
        <is>
          <t>queen</t>
        </is>
      </c>
      <c r="C8" s="45" t="n">
        <v>250602891</v>
      </c>
      <c r="D8" s="46" t="n">
        <v>10</v>
      </c>
      <c r="E8" s="46" t="n">
        <v>32</v>
      </c>
      <c r="F8" s="46" t="n">
        <v>50</v>
      </c>
      <c r="H8" s="54">
        <f>IF(ISBLANK(Q8),"·",Q8/(C8*(D8*3+IF(AND(ISNUMBER(T8),T8&gt;0),24,0))))</f>
        <v/>
      </c>
      <c r="I8" s="47">
        <f>IF(OR(ISBLANK(Q8),ISBLANK(F8)),"·",Q8*F8/E8/1000000)</f>
        <v/>
      </c>
      <c r="J8" s="48">
        <f>IF(ISBLANK(Q8),"·",Q8/C8)</f>
        <v/>
      </c>
      <c r="K8" s="48">
        <f>IF(N8="","·",N8/C8)</f>
        <v/>
      </c>
      <c r="L8" s="48">
        <f>IF(R8="","·",R8/C8)</f>
        <v/>
      </c>
      <c r="M8" s="48">
        <f>IF(ISBLANK(T8),"·",T8/C8)</f>
        <v/>
      </c>
      <c r="N8" s="45">
        <f>IF(OR(ISBLANK(R8),ISBLANK(S8)),"",R8+S8)</f>
        <v/>
      </c>
      <c r="O8" s="48" t="n">
        <v>16</v>
      </c>
      <c r="P8" s="49" t="n">
        <v>32209643</v>
      </c>
      <c r="Q8" s="50" t="n">
        <v>233957824</v>
      </c>
      <c r="R8" s="50" t="n">
        <v>26083664</v>
      </c>
      <c r="S8" s="50" t="n">
        <v>3509416</v>
      </c>
      <c r="T8" s="50" t="n">
        <v>204364744</v>
      </c>
      <c r="U8" s="51" t="inlineStr">
        <is>
          <t>inf</t>
        </is>
      </c>
      <c r="V8" s="51" t="inlineStr">
        <is>
          <t>inf</t>
        </is>
      </c>
      <c r="W8" s="51" t="inlineStr">
        <is>
          <t>inf</t>
        </is>
      </c>
      <c r="X8" s="51" t="inlineStr">
        <is>
          <t>inf</t>
        </is>
      </c>
      <c r="Y8" s="51" t="inlineStr">
        <is>
          <t>inf</t>
        </is>
      </c>
      <c r="Z8" s="52" t="n">
        <v>4437.25</v>
      </c>
      <c r="AA8" s="52" t="n">
        <v>7944.98</v>
      </c>
      <c r="AB8" s="52" t="n">
        <v>5.651</v>
      </c>
      <c r="AC8" s="52" t="n">
        <v>28.947</v>
      </c>
      <c r="AE8" s="54">
        <f>IF(ISBLANK(Q8),"·",Q8/(C8*(D8*3+IF(AND(ISNUMBER(T8),T8&gt;0),24,0))))</f>
        <v/>
      </c>
      <c r="AF8" s="47">
        <f>IF(OR(ISBLANK(AN8),ISBLANK(F8)),"·",AN8*F8/E8/1000000)</f>
        <v/>
      </c>
      <c r="AG8" s="48">
        <f>IF(ISBLANK(AN8),"·",AN8/C8)</f>
        <v/>
      </c>
      <c r="AH8" s="48">
        <f>IF(AK8="","·",AK8/C8)</f>
        <v/>
      </c>
      <c r="AI8" s="48">
        <f>IF(AO8="","·",AO8/C8)</f>
        <v/>
      </c>
      <c r="AJ8" s="48">
        <f>IF(ISBLANK(AQ8),"·",AQ8/C8)</f>
        <v/>
      </c>
      <c r="AK8" s="45">
        <f>IF(OR(ISBLANK(AO8),ISBLANK(AP8)),"",AO8+AP8)</f>
        <v/>
      </c>
      <c r="AL8" s="48" t="n">
        <v>16</v>
      </c>
      <c r="AM8" s="49" t="n">
        <v>32209643</v>
      </c>
      <c r="AN8" s="50" t="n">
        <v>236952400</v>
      </c>
      <c r="AO8" s="50" t="n">
        <v>26083664</v>
      </c>
      <c r="AP8" s="50" t="n">
        <v>3513952</v>
      </c>
      <c r="AQ8" s="50" t="n">
        <v>207354784</v>
      </c>
      <c r="AR8" s="51" t="inlineStr">
        <is>
          <t>inf</t>
        </is>
      </c>
      <c r="AS8" s="51" t="inlineStr">
        <is>
          <t>inf</t>
        </is>
      </c>
      <c r="AT8" s="51" t="inlineStr">
        <is>
          <t>inf</t>
        </is>
      </c>
      <c r="AU8" s="51" t="inlineStr">
        <is>
          <t>inf</t>
        </is>
      </c>
      <c r="AV8" s="51" t="inlineStr">
        <is>
          <t>inf</t>
        </is>
      </c>
      <c r="AW8" s="52" t="n">
        <v>4418.77</v>
      </c>
      <c r="AX8" s="52" t="n">
        <v>8061.06</v>
      </c>
      <c r="AY8" s="52" t="n">
        <v>6.747</v>
      </c>
      <c r="AZ8" s="52" t="n">
        <v>29.204</v>
      </c>
      <c r="BB8" s="53">
        <f>AG8/J8</f>
        <v/>
      </c>
      <c r="BC8" s="53">
        <f>AH8/K8</f>
        <v/>
      </c>
      <c r="BD8" s="53">
        <f>AI8/L8</f>
        <v/>
      </c>
      <c r="BE8" s="53">
        <f>AJ8/M8</f>
        <v/>
      </c>
      <c r="BF8" s="54">
        <f>(AK8/AN8) - (N8/Q8)</f>
        <v/>
      </c>
      <c r="BG8" s="54">
        <f ref="BG8" t="array">AVERAGE(AK8:AK8/AN8:AN8) - AVERAGE(N8:N8/Q8:Q8)</f>
        <v/>
      </c>
    </row>
    <row collapsed="1" r="9" s="86">
      <c r="A9" s="35" t="inlineStr">
        <is>
          <t>cat2-B</t>
        </is>
      </c>
      <c r="B9" s="35" t="inlineStr">
        <is>
          <t>8ivfbv2_longdress_vox10</t>
        </is>
      </c>
      <c r="C9" s="35" t="n">
        <v>250294582</v>
      </c>
      <c r="D9" s="36" t="n">
        <v>10</v>
      </c>
      <c r="E9" s="36" t="n">
        <v>32</v>
      </c>
      <c r="F9" s="36" t="n">
        <v>30</v>
      </c>
      <c r="H9" s="44">
        <f>IF(ISBLANK(Q9),"·",Q9/(C9*(D9*3+IF(AND(ISNUMBER(T9),T9&gt;0),24,0))))</f>
        <v/>
      </c>
      <c r="I9" s="37">
        <f>IF(OR(ISBLANK(Q9),ISBLANK(F9)),"·",Q9*F9/E9/1000000)</f>
        <v/>
      </c>
      <c r="J9" s="38">
        <f>IF(ISBLANK(Q9),"·",Q9/C9)</f>
        <v/>
      </c>
      <c r="K9" s="38">
        <f>IF(N9="","·",N9/C9)</f>
        <v/>
      </c>
      <c r="L9" s="38">
        <f>IF(R9="","·",R9/C9)</f>
        <v/>
      </c>
      <c r="M9" s="38">
        <f>IF(ISBLANK(T9),"·",T9/C9)</f>
        <v/>
      </c>
      <c r="N9" s="35">
        <f>IF(OR(ISBLANK(R9),ISBLANK(S9)),"",R9+S9)</f>
        <v/>
      </c>
      <c r="O9" s="38" t="n">
        <v>16</v>
      </c>
      <c r="P9" s="39" t="n">
        <v>25312408</v>
      </c>
      <c r="Q9" s="40" t="n">
        <v>375231184</v>
      </c>
      <c r="R9" s="40" t="n">
        <v>35569272</v>
      </c>
      <c r="S9" s="40" t="n">
        <v>2505968</v>
      </c>
      <c r="T9" s="40" t="n">
        <v>337155944</v>
      </c>
      <c r="U9" s="41" t="inlineStr">
        <is>
          <t>inf</t>
        </is>
      </c>
      <c r="V9" s="41" t="inlineStr">
        <is>
          <t>inf</t>
        </is>
      </c>
      <c r="W9" s="41" t="inlineStr">
        <is>
          <t>inf</t>
        </is>
      </c>
      <c r="X9" s="41" t="inlineStr">
        <is>
          <t>inf</t>
        </is>
      </c>
      <c r="Y9" s="41" t="inlineStr">
        <is>
          <t>inf</t>
        </is>
      </c>
      <c r="Z9" s="42" t="n">
        <v>1455.46</v>
      </c>
      <c r="AA9" s="42" t="n">
        <v>10909.7</v>
      </c>
      <c r="AB9" s="42" t="n">
        <v>4.972</v>
      </c>
      <c r="AC9" s="42" t="n">
        <v>33.415</v>
      </c>
      <c r="AE9" s="44">
        <f>IF(ISBLANK(Q9),"·",Q9/(C9*(D9*3+IF(AND(ISNUMBER(T9),T9&gt;0),24,0))))</f>
        <v/>
      </c>
      <c r="AF9" s="37">
        <f>IF(OR(ISBLANK(AN9),ISBLANK(F9)),"·",AN9*F9/E9/1000000)</f>
        <v/>
      </c>
      <c r="AG9" s="38">
        <f>IF(ISBLANK(AN9),"·",AN9/C9)</f>
        <v/>
      </c>
      <c r="AH9" s="38">
        <f>IF(AK9="","·",AK9/C9)</f>
        <v/>
      </c>
      <c r="AI9" s="38">
        <f>IF(AO9="","·",AO9/C9)</f>
        <v/>
      </c>
      <c r="AJ9" s="38">
        <f>IF(ISBLANK(AQ9),"·",AQ9/C9)</f>
        <v/>
      </c>
      <c r="AK9" s="35">
        <f>IF(OR(ISBLANK(AO9),ISBLANK(AP9)),"",AO9+AP9)</f>
        <v/>
      </c>
      <c r="AL9" s="38" t="n">
        <v>16</v>
      </c>
      <c r="AM9" s="39" t="n">
        <v>25312408</v>
      </c>
      <c r="AN9" s="40" t="n">
        <v>377088688</v>
      </c>
      <c r="AO9" s="40" t="n">
        <v>35569272</v>
      </c>
      <c r="AP9" s="40" t="n">
        <v>2509688</v>
      </c>
      <c r="AQ9" s="40" t="n">
        <v>339009728</v>
      </c>
      <c r="AR9" s="41" t="inlineStr">
        <is>
          <t>inf</t>
        </is>
      </c>
      <c r="AS9" s="41" t="inlineStr">
        <is>
          <t>inf</t>
        </is>
      </c>
      <c r="AT9" s="41" t="inlineStr">
        <is>
          <t>inf</t>
        </is>
      </c>
      <c r="AU9" s="41" t="inlineStr">
        <is>
          <t>inf</t>
        </is>
      </c>
      <c r="AV9" s="41" t="inlineStr">
        <is>
          <t>inf</t>
        </is>
      </c>
      <c r="AW9" s="42" t="n">
        <v>1422.9</v>
      </c>
      <c r="AX9" s="42" t="n">
        <v>11045.7</v>
      </c>
      <c r="AY9" s="42" t="n">
        <v>6.037</v>
      </c>
      <c r="AZ9" s="42" t="n">
        <v>34.524</v>
      </c>
      <c r="BB9" s="43">
        <f>AG9/J9</f>
        <v/>
      </c>
      <c r="BC9" s="43">
        <f>AH9/K9</f>
        <v/>
      </c>
      <c r="BD9" s="43">
        <f>AI9/L9</f>
        <v/>
      </c>
      <c r="BE9" s="43">
        <f>AJ9/M9</f>
        <v/>
      </c>
      <c r="BF9" s="44">
        <f>(AK9/AN9) - (N9/Q9)</f>
        <v/>
      </c>
      <c r="BG9" s="44">
        <f ref="BG9" t="array">AVERAGE(AK9:AK9/AN9:AN9) - AVERAGE(N9:N9/Q9:Q9)</f>
        <v/>
      </c>
    </row>
    <row collapsed="1" r="10" s="86">
      <c r="A10" s="25" t="inlineStr">
        <is>
          <t>cat2-C</t>
        </is>
      </c>
      <c r="B10" s="25" t="inlineStr">
        <is>
          <t>basketball_player_vox11</t>
        </is>
      </c>
      <c r="C10" s="25" t="n">
        <v>375422539</v>
      </c>
      <c r="D10" s="26" t="n">
        <v>11</v>
      </c>
      <c r="E10" s="26" t="n">
        <v>32</v>
      </c>
      <c r="F10" s="26" t="n">
        <v>30</v>
      </c>
      <c r="H10" s="34">
        <f>IF(ISBLANK(Q10),"·",Q10/(C10*(D10*3+IF(AND(ISNUMBER(T10),T10&gt;0),24,0))))</f>
        <v/>
      </c>
      <c r="I10" s="27">
        <f>IF(OR(ISBLANK(Q10),ISBLANK(F10)),"·",Q10*F10/E10/1000000)</f>
        <v/>
      </c>
      <c r="J10" s="28">
        <f>IF(ISBLANK(Q10),"·",Q10/C10)</f>
        <v/>
      </c>
      <c r="K10" s="28">
        <f>IF(N10="","·",N10/C10)</f>
        <v/>
      </c>
      <c r="L10" s="28">
        <f>IF(R10="","·",R10/C10)</f>
        <v/>
      </c>
      <c r="M10" s="28">
        <f>IF(ISBLANK(T10),"·",T10/C10)</f>
        <v/>
      </c>
      <c r="N10" s="25">
        <f>IF(OR(ISBLANK(R10),ISBLANK(S10)),"",R10+S10)</f>
        <v/>
      </c>
      <c r="O10" s="28" t="n">
        <v>16</v>
      </c>
      <c r="P10" s="29" t="n">
        <v>92854683</v>
      </c>
      <c r="Q10" s="30" t="n">
        <v>907319408</v>
      </c>
      <c r="R10" s="30" t="n">
        <v>98488728</v>
      </c>
      <c r="S10" s="30" t="n">
        <v>4774632</v>
      </c>
      <c r="T10" s="30" t="n">
        <v>804056048</v>
      </c>
      <c r="U10" s="31" t="inlineStr">
        <is>
          <t>inf</t>
        </is>
      </c>
      <c r="V10" s="31" t="inlineStr">
        <is>
          <t>inf</t>
        </is>
      </c>
      <c r="W10" s="31" t="inlineStr">
        <is>
          <t>inf</t>
        </is>
      </c>
      <c r="X10" s="31" t="inlineStr">
        <is>
          <t>inf</t>
        </is>
      </c>
      <c r="Y10" s="31" t="inlineStr">
        <is>
          <t>inf</t>
        </is>
      </c>
      <c r="Z10" s="32" t="n">
        <v>2991.03</v>
      </c>
      <c r="AA10" s="32" t="n">
        <v>33124.8</v>
      </c>
      <c r="AB10" s="32" t="n">
        <v>18.391</v>
      </c>
      <c r="AC10" s="32" t="n">
        <v>106.813</v>
      </c>
      <c r="AE10" s="34">
        <f>IF(ISBLANK(Q10),"·",Q10/(C10*(D10*3+IF(AND(ISNUMBER(T10),T10&gt;0),24,0))))</f>
        <v/>
      </c>
      <c r="AF10" s="27">
        <f>IF(OR(ISBLANK(AN10),ISBLANK(F10)),"·",AN10*F10/E10/1000000)</f>
        <v/>
      </c>
      <c r="AG10" s="28">
        <f>IF(ISBLANK(AN10),"·",AN10/C10)</f>
        <v/>
      </c>
      <c r="AH10" s="28">
        <f>IF(AK10="","·",AK10/C10)</f>
        <v/>
      </c>
      <c r="AI10" s="28">
        <f>IF(AO10="","·",AO10/C10)</f>
        <v/>
      </c>
      <c r="AJ10" s="28">
        <f>IF(ISBLANK(AQ10),"·",AQ10/C10)</f>
        <v/>
      </c>
      <c r="AK10" s="25">
        <f>IF(OR(ISBLANK(AO10),ISBLANK(AP10)),"",AO10+AP10)</f>
        <v/>
      </c>
      <c r="AL10" s="28" t="n">
        <v>16</v>
      </c>
      <c r="AM10" s="29" t="n">
        <v>92854683</v>
      </c>
      <c r="AN10" s="30" t="n">
        <v>909510168</v>
      </c>
      <c r="AO10" s="30" t="n">
        <v>98488728</v>
      </c>
      <c r="AP10" s="30" t="n">
        <v>4782856</v>
      </c>
      <c r="AQ10" s="30" t="n">
        <v>806238584</v>
      </c>
      <c r="AR10" s="31" t="inlineStr">
        <is>
          <t>inf</t>
        </is>
      </c>
      <c r="AS10" s="31" t="inlineStr">
        <is>
          <t>inf</t>
        </is>
      </c>
      <c r="AT10" s="31" t="inlineStr">
        <is>
          <t>inf</t>
        </is>
      </c>
      <c r="AU10" s="31" t="inlineStr">
        <is>
          <t>inf</t>
        </is>
      </c>
      <c r="AV10" s="31" t="inlineStr">
        <is>
          <t>inf</t>
        </is>
      </c>
      <c r="AW10" s="32" t="n">
        <v>2985.97</v>
      </c>
      <c r="AX10" s="32" t="n">
        <v>37180.9</v>
      </c>
      <c r="AY10" s="32" t="n">
        <v>20.699</v>
      </c>
      <c r="AZ10" s="32" t="n">
        <v>100.653</v>
      </c>
      <c r="BB10" s="68">
        <f>AG10/J10</f>
        <v/>
      </c>
      <c r="BC10" s="68">
        <f>AH10/K10</f>
        <v/>
      </c>
      <c r="BD10" s="68">
        <f>AI10/L10</f>
        <v/>
      </c>
      <c r="BE10" s="68">
        <f>AJ10/M10</f>
        <v/>
      </c>
      <c r="BF10" s="34">
        <f>(AK10/AN10) - (N10/Q10)</f>
        <v/>
      </c>
      <c r="BG10" s="34">
        <f ref="BG10" t="array">AVERAGE(AK10:AK10/AN10:AN10) - AVERAGE(N10:N10/Q10:Q10)</f>
        <v/>
      </c>
    </row>
    <row collapsed="1" r="11" s="86">
      <c r="A11" s="35" t="n"/>
      <c r="B11" s="35" t="inlineStr">
        <is>
          <t>dancer_player_vox11</t>
        </is>
      </c>
      <c r="C11" s="35" t="n">
        <v>333190689</v>
      </c>
      <c r="D11" s="36" t="n">
        <v>11</v>
      </c>
      <c r="E11" s="36" t="n">
        <v>32</v>
      </c>
      <c r="F11" s="36" t="n">
        <v>30</v>
      </c>
      <c r="H11" s="44">
        <f>IF(ISBLANK(Q11),"·",Q11/(C11*(D11*3+IF(AND(ISNUMBER(T11),T11&gt;0),24,0))))</f>
        <v/>
      </c>
      <c r="I11" s="37">
        <f>IF(OR(ISBLANK(Q11),ISBLANK(F11)),"·",Q11*F11/E11/1000000)</f>
        <v/>
      </c>
      <c r="J11" s="38">
        <f>IF(ISBLANK(Q11),"·",Q11/C11)</f>
        <v/>
      </c>
      <c r="K11" s="38">
        <f>IF(N11="","·",N11/C11)</f>
        <v/>
      </c>
      <c r="L11" s="38">
        <f>IF(R11="","·",R11/C11)</f>
        <v/>
      </c>
      <c r="M11" s="38">
        <f>IF(ISBLANK(T11),"·",T11/C11)</f>
        <v/>
      </c>
      <c r="N11" s="35">
        <f>IF(OR(ISBLANK(R11),ISBLANK(S11)),"",R11+S11)</f>
        <v/>
      </c>
      <c r="O11" s="38" t="n">
        <v>16</v>
      </c>
      <c r="P11" s="39" t="n">
        <v>83104648</v>
      </c>
      <c r="Q11" s="40" t="n">
        <v>827799280</v>
      </c>
      <c r="R11" s="40" t="n">
        <v>93627856</v>
      </c>
      <c r="S11" s="40" t="n">
        <v>4922000</v>
      </c>
      <c r="T11" s="40" t="n">
        <v>729249424</v>
      </c>
      <c r="U11" s="41" t="inlineStr">
        <is>
          <t>inf</t>
        </is>
      </c>
      <c r="V11" s="41" t="inlineStr">
        <is>
          <t>inf</t>
        </is>
      </c>
      <c r="W11" s="41" t="inlineStr">
        <is>
          <t>inf</t>
        </is>
      </c>
      <c r="X11" s="41" t="inlineStr">
        <is>
          <t>inf</t>
        </is>
      </c>
      <c r="Y11" s="41" t="inlineStr">
        <is>
          <t>inf</t>
        </is>
      </c>
      <c r="Z11" s="42" t="n">
        <v>2633.64</v>
      </c>
      <c r="AA11" s="42" t="n">
        <v>38046.8</v>
      </c>
      <c r="AB11" s="42" t="n">
        <v>19.518</v>
      </c>
      <c r="AC11" s="42" t="n">
        <v>115.25</v>
      </c>
      <c r="AE11" s="44">
        <f>IF(ISBLANK(Q11),"·",Q11/(C11*(D11*3+IF(AND(ISNUMBER(T11),T11&gt;0),24,0))))</f>
        <v/>
      </c>
      <c r="AF11" s="37">
        <f>IF(OR(ISBLANK(AN11),ISBLANK(F11)),"·",AN11*F11/E11/1000000)</f>
        <v/>
      </c>
      <c r="AG11" s="38">
        <f>IF(ISBLANK(AN11),"·",AN11/C11)</f>
        <v/>
      </c>
      <c r="AH11" s="38">
        <f>IF(AK11="","·",AK11/C11)</f>
        <v/>
      </c>
      <c r="AI11" s="38">
        <f>IF(AO11="","·",AO11/C11)</f>
        <v/>
      </c>
      <c r="AJ11" s="38">
        <f>IF(ISBLANK(AQ11),"·",AQ11/C11)</f>
        <v/>
      </c>
      <c r="AK11" s="35">
        <f>IF(OR(ISBLANK(AO11),ISBLANK(AP11)),"",AO11+AP11)</f>
        <v/>
      </c>
      <c r="AL11" s="38" t="n">
        <v>16</v>
      </c>
      <c r="AM11" s="39" t="n">
        <v>83104648</v>
      </c>
      <c r="AN11" s="40" t="n">
        <v>830193688</v>
      </c>
      <c r="AO11" s="40" t="n">
        <v>93627856</v>
      </c>
      <c r="AP11" s="40" t="n">
        <v>4928616</v>
      </c>
      <c r="AQ11" s="40" t="n">
        <v>731637216</v>
      </c>
      <c r="AR11" s="41" t="inlineStr">
        <is>
          <t>inf</t>
        </is>
      </c>
      <c r="AS11" s="41" t="inlineStr">
        <is>
          <t>inf</t>
        </is>
      </c>
      <c r="AT11" s="41" t="inlineStr">
        <is>
          <t>inf</t>
        </is>
      </c>
      <c r="AU11" s="41" t="inlineStr">
        <is>
          <t>inf</t>
        </is>
      </c>
      <c r="AV11" s="41" t="inlineStr">
        <is>
          <t>inf</t>
        </is>
      </c>
      <c r="AW11" s="42" t="n">
        <v>2669.7</v>
      </c>
      <c r="AX11" s="42" t="n">
        <v>43672.5</v>
      </c>
      <c r="AY11" s="42" t="n">
        <v>22.104</v>
      </c>
      <c r="AZ11" s="42" t="n">
        <v>112.995</v>
      </c>
      <c r="BB11" s="43">
        <f>AG11/J11</f>
        <v/>
      </c>
      <c r="BC11" s="43">
        <f>AH11/K11</f>
        <v/>
      </c>
      <c r="BD11" s="43">
        <f>AI11/L11</f>
        <v/>
      </c>
      <c r="BE11" s="43">
        <f>AJ11/M11</f>
        <v/>
      </c>
      <c r="BF11" s="44">
        <f>(AK11/AN11) - (N11/Q11)</f>
        <v/>
      </c>
      <c r="BG11" s="44">
        <f ref="BG11" t="array">AVERAGE(AK11:AK11/AN11:AN11) - AVERAGE(N11:N11/Q11:Q11)</f>
        <v/>
      </c>
    </row>
    <row r="12">
      <c r="B12" s="55" t="inlineStr">
        <is>
          <t>Cat2-A average</t>
        </is>
      </c>
      <c r="J12" s="56">
        <f>AVERAGE(J5:J8)</f>
        <v/>
      </c>
      <c r="K12" s="56">
        <f>AVERAGE(K5:K8)</f>
        <v/>
      </c>
      <c r="L12" s="56">
        <f>AVERAGE(L5:L8)</f>
        <v/>
      </c>
      <c r="M12" s="56">
        <f>AVERAGE(M5:M8)</f>
        <v/>
      </c>
      <c r="AG12" s="56">
        <f>AVERAGE(AG5:AG8)</f>
        <v/>
      </c>
      <c r="AH12" s="56">
        <f>AVERAGE(AH5:AH8)</f>
        <v/>
      </c>
      <c r="AI12" s="56">
        <f>AVERAGE(AI5:AI8)</f>
        <v/>
      </c>
      <c r="AJ12" s="56">
        <f>AVERAGE(AJ5:AJ8)</f>
        <v/>
      </c>
      <c r="BB12" s="81">
        <f>AG12/J12</f>
        <v/>
      </c>
      <c r="BC12" s="81">
        <f>AH12/K12</f>
        <v/>
      </c>
      <c r="BD12" s="81">
        <f>AI12/L12</f>
        <v/>
      </c>
      <c r="BE12" s="81">
        <f>AJ12/M12</f>
        <v/>
      </c>
      <c r="BG12" s="171">
        <f>AVERAGE(BG5:BG8)</f>
        <v/>
      </c>
    </row>
    <row r="13">
      <c r="B13" s="55" t="inlineStr">
        <is>
          <t>Cat2-B average</t>
        </is>
      </c>
      <c r="J13" s="56">
        <f>AVERAGE(J9:J9)</f>
        <v/>
      </c>
      <c r="K13" s="56">
        <f>AVERAGE(K9:K9)</f>
        <v/>
      </c>
      <c r="L13" s="56">
        <f>AVERAGE(L9:L9)</f>
        <v/>
      </c>
      <c r="M13" s="56">
        <f>AVERAGE(M9:M9)</f>
        <v/>
      </c>
      <c r="AG13" s="56">
        <f>AVERAGE(AG9:AG9)</f>
        <v/>
      </c>
      <c r="AH13" s="56">
        <f>AVERAGE(AH9:AH9)</f>
        <v/>
      </c>
      <c r="AI13" s="56">
        <f>AVERAGE(AI9:AI9)</f>
        <v/>
      </c>
      <c r="AJ13" s="56">
        <f>AVERAGE(AJ9:AJ9)</f>
        <v/>
      </c>
      <c r="BB13" s="81">
        <f>AG13/J13</f>
        <v/>
      </c>
      <c r="BC13" s="81">
        <f>AH13/K13</f>
        <v/>
      </c>
      <c r="BD13" s="81">
        <f>AI13/L13</f>
        <v/>
      </c>
      <c r="BE13" s="81">
        <f>AJ13/M13</f>
        <v/>
      </c>
      <c r="BG13" s="171">
        <f>AVERAGE(BG9:BG9)</f>
        <v/>
      </c>
    </row>
    <row r="14">
      <c r="B14" s="55" t="inlineStr">
        <is>
          <t>Cat2-C average</t>
        </is>
      </c>
      <c r="J14" s="56">
        <f>AVERAGE(J10:J11)</f>
        <v/>
      </c>
      <c r="K14" s="56">
        <f>AVERAGE(K10:K11)</f>
        <v/>
      </c>
      <c r="L14" s="56">
        <f>AVERAGE(L10:L11)</f>
        <v/>
      </c>
      <c r="M14" s="56">
        <f>AVERAGE(M10:M11)</f>
        <v/>
      </c>
      <c r="AG14" s="56">
        <f>AVERAGE(AG10:AG11)</f>
        <v/>
      </c>
      <c r="AH14" s="56">
        <f>AVERAGE(AH10:AH11)</f>
        <v/>
      </c>
      <c r="AI14" s="56">
        <f>AVERAGE(AI10:AI11)</f>
        <v/>
      </c>
      <c r="AJ14" s="56">
        <f>AVERAGE(AJ10:AJ11)</f>
        <v/>
      </c>
      <c r="BB14" s="81">
        <f>AG14/J14</f>
        <v/>
      </c>
      <c r="BC14" s="81">
        <f>AH14/K14</f>
        <v/>
      </c>
      <c r="BD14" s="81">
        <f>AI14/L14</f>
        <v/>
      </c>
      <c r="BE14" s="81">
        <f>AJ14/M14</f>
        <v/>
      </c>
      <c r="BG14" s="171">
        <f>AVERAGE(BG10:BG11)</f>
        <v/>
      </c>
    </row>
    <row r="15">
      <c r="B15" s="55" t="inlineStr">
        <is>
          <t>Overall average</t>
        </is>
      </c>
      <c r="J15" s="56">
        <f>AVERAGE(J5:J11)</f>
        <v/>
      </c>
      <c r="K15" s="56">
        <f>AVERAGE(K5:K11)</f>
        <v/>
      </c>
      <c r="L15" s="56">
        <f>AVERAGE(L5:L11)</f>
        <v/>
      </c>
      <c r="M15" s="56">
        <f>AVERAGE(M5:M11)</f>
        <v/>
      </c>
      <c r="AG15" s="56">
        <f>AVERAGE(AG5:AG11)</f>
        <v/>
      </c>
      <c r="AH15" s="56">
        <f>AVERAGE(AH5:AH11)</f>
        <v/>
      </c>
      <c r="AI15" s="56">
        <f>AVERAGE(AI5:AI11)</f>
        <v/>
      </c>
      <c r="AJ15" s="56">
        <f>AVERAGE(AJ5:AJ11)</f>
        <v/>
      </c>
      <c r="BB15" s="81">
        <f>AG15/J15</f>
        <v/>
      </c>
      <c r="BC15" s="81">
        <f>AH15/K15</f>
        <v/>
      </c>
      <c r="BD15" s="81">
        <f>AI15/L15</f>
        <v/>
      </c>
      <c r="BE15" s="81">
        <f>AJ15/M15</f>
        <v/>
      </c>
      <c r="BG15" s="171">
        <f>AVERAGE(BG5:BG11)</f>
        <v/>
      </c>
    </row>
    <row hidden="1" outlineLevel="2" r="16" s="86">
      <c r="A16" s="55" t="inlineStr">
        <is>
          <t>Overall</t>
        </is>
      </c>
      <c r="B16" s="55" t="inlineStr">
        <is>
          <t>Total time [s]</t>
        </is>
      </c>
      <c r="Z16" s="57">
        <f>SUM(Z5:Z8,Z9:Z9,Z10:Z11)</f>
        <v/>
      </c>
      <c r="AA16" s="57">
        <f>SUM(AA5:AA8,AA9:AA9,AA10:AA11)</f>
        <v/>
      </c>
      <c r="AB16" s="57">
        <f>SUM(AB5:AB8,AB9:AB9,AB10:AB11)</f>
        <v/>
      </c>
      <c r="AC16" s="57">
        <f>SUM(AC5:AC8,AC9:AC9,AC10:AC11)</f>
        <v/>
      </c>
      <c r="AW16" s="57">
        <f>SUM(AW5:AW8,AW9:AW9,AW10:AW11)</f>
        <v/>
      </c>
      <c r="AX16" s="57">
        <f>SUM(AX5:AX8,AX9:AX9,AX10:AX11)</f>
        <v/>
      </c>
      <c r="AY16" s="57">
        <f>SUM(AY5:AY8,AY9:AY9,AY10:AY11)</f>
        <v/>
      </c>
      <c r="AZ16" s="57">
        <f>SUM(AZ5:AZ8,AZ9:AZ9,AZ10:AZ11)</f>
        <v/>
      </c>
    </row>
    <row hidden="1" outlineLevel="2" r="17" s="86">
      <c r="B17" s="55" t="inlineStr">
        <is>
          <t>Total time [%]</t>
        </is>
      </c>
      <c r="AW17" s="171">
        <f>AW16/Z16</f>
        <v/>
      </c>
      <c r="AX17" s="171">
        <f>AX16/AA16</f>
        <v/>
      </c>
      <c r="AY17" s="171">
        <f>AY16/AB16</f>
        <v/>
      </c>
      <c r="AZ17" s="171">
        <f>AZ16/AC16</f>
        <v/>
      </c>
    </row>
    <row hidden="1" outlineLevel="2" r="18" s="86">
      <c r="B18" s="55" t="inlineStr">
        <is>
          <t>Avg (geometric) time [s]</t>
        </is>
      </c>
      <c r="Z18" s="57">
        <f>GEOMEAN(Z5:Z8,Z9:Z9,Z10:Z11)</f>
        <v/>
      </c>
      <c r="AA18" s="57">
        <f>GEOMEAN(AA5:AA8,AA9:AA9,AA10:AA11)</f>
        <v/>
      </c>
      <c r="AB18" s="57">
        <f>GEOMEAN(AB5:AB8,AB9:AB9,AB10:AB11)</f>
        <v/>
      </c>
      <c r="AC18" s="57">
        <f>GEOMEAN(AC5:AC8,AC9:AC9,AC10:AC11)</f>
        <v/>
      </c>
      <c r="AW18" s="57">
        <f>GEOMEAN(AW5:AW8,AW9:AW9,AW10:AW11)</f>
        <v/>
      </c>
      <c r="AX18" s="57">
        <f>GEOMEAN(AX5:AX8,AX9:AX9,AX10:AX11)</f>
        <v/>
      </c>
      <c r="AY18" s="57">
        <f>GEOMEAN(AY5:AY8,AY9:AY9,AY10:AY11)</f>
        <v/>
      </c>
      <c r="AZ18" s="57">
        <f>GEOMEAN(AZ5:AZ8,AZ9:AZ9,AZ10:AZ11)</f>
        <v/>
      </c>
    </row>
    <row collapsed="1" outlineLevel="2" r="19" s="86">
      <c r="B19" s="55" t="inlineStr">
        <is>
          <t>Avg (geometric) time [%]</t>
        </is>
      </c>
      <c r="AW19" s="171">
        <f>AW18/Z18</f>
        <v/>
      </c>
      <c r="AX19" s="171">
        <f>AX18/AA18</f>
        <v/>
      </c>
      <c r="AY19" s="171">
        <f>AY18/AB18</f>
        <v/>
      </c>
      <c r="AZ19" s="171">
        <f>AZ18/AC18</f>
        <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dxfId="1" operator="greaterThanOrEqual" priority="3" type="cellIs">
      <formula>1.03</formula>
    </cfRule>
    <cfRule dxfId="0" operator="lessThanOrEqual" priority="4" type="cellIs">
      <formula>0.97</formula>
    </cfRule>
  </conditionalFormatting>
  <conditionalFormatting sqref="BC5 BC6 BC7 BC8 BC9 BC10 BC11 BC12 BC13 BC14 BC15">
    <cfRule dxfId="1" operator="greaterThanOrEqual" priority="7" type="cellIs">
      <formula>1.03</formula>
    </cfRule>
    <cfRule dxfId="0" operator="lessThanOrEqual" priority="8" type="cellIs">
      <formula>0.97</formula>
    </cfRule>
  </conditionalFormatting>
  <conditionalFormatting sqref="BD5 BD6 BD7 BD8 BD9 BD10 BD11 BD12 BD13 BD14 BD15">
    <cfRule dxfId="1" operator="greaterThanOrEqual" priority="1" type="cellIs">
      <formula>1.03</formula>
    </cfRule>
    <cfRule dxfId="0" operator="lessThanOrEqual" priority="2" type="cellIs">
      <formula>0.97</formula>
    </cfRule>
  </conditionalFormatting>
  <conditionalFormatting sqref="BE5 BE6 BE7 BE8 BE9 BE10 BE11 BE12 BE13 BE14 BE15">
    <cfRule dxfId="1" operator="greaterThanOrEqual" priority="5" type="cellIs">
      <formula>1.03</formula>
    </cfRule>
    <cfRule dxfId="0" operator="lessThanOrEqual" priority="6" type="cellIs">
      <formula>0.97</formula>
    </cfRule>
  </conditionalFormatting>
  <pageMargins bottom="0.75" footer="0.3" header="0.3" left="0.7" right="0.7" top="0.75"/>
</worksheet>
</file>

<file path=xl/worksheets/sheet7.xml><?xml version="1.0" encoding="utf-8"?>
<worksheet xmlns="http://schemas.openxmlformats.org/spreadsheetml/2006/main">
  <sheetPr>
    <outlinePr summaryBelow="0"/>
    <pageSetUpPr/>
  </sheetPr>
  <dimension ref="A1:BT47"/>
  <sheetViews>
    <sheetView workbookViewId="0" zoomScale="55" zoomScaleNormal="55">
      <pane activePane="bottomRight" state="frozen" topLeftCell="Y5" xSplit="2" ySplit="4"/>
      <selection activeCell="C1" pane="topRight" sqref="C1"/>
      <selection activeCell="A5" pane="bottomLeft" sqref="A5"/>
      <selection activeCell="AG1" pane="bottomRight" sqref="AG1:BC1"/>
    </sheetView>
  </sheetViews>
  <sheetFormatPr baseColWidth="8" defaultRowHeight="14.4" outlineLevelRow="2"/>
  <cols>
    <col customWidth="1" max="2" min="2" style="86" width="24.6640625"/>
    <col customWidth="1" max="5" min="4" style="86" width="10.6640625"/>
    <col customWidth="1" max="8" min="8" style="86" width="1.6640625"/>
    <col customWidth="1" max="13" min="10" style="86" width="10.6640625"/>
    <col customWidth="1" hidden="1" max="14" min="14" style="86" width="24.6640625"/>
    <col customWidth="1" max="15" min="15" style="86" width="12.6640625"/>
    <col customWidth="1" max="16" min="16" style="86" width="10.6640625"/>
    <col customWidth="1" max="22" min="19" style="86" width="12.6640625"/>
    <col customWidth="1" max="27" min="23" style="86" width="11.6640625"/>
    <col customWidth="1" max="32" min="32" style="86" width="1.6640625"/>
    <col customWidth="1" max="37" min="34" style="86" width="10.6640625"/>
    <col customWidth="1" hidden="1" max="38" min="38" style="86" width="24.6640625"/>
    <col customWidth="1" max="39" min="39" style="86" width="12.6640625"/>
    <col customWidth="1" max="40" min="40" style="86" width="10.6640625"/>
    <col customWidth="1" max="46" min="43" style="86" width="12.6640625"/>
    <col customWidth="1" max="51" min="47" style="86" width="11.6640625"/>
    <col customWidth="1" max="56" min="56" style="86" width="1.6640625"/>
    <col customWidth="1" max="61" min="61" style="86" width="1.6640625"/>
    <col customWidth="1" max="66" min="64" style="86" width="11.6640625"/>
    <col customWidth="1" max="67" min="67" style="86" width="1.6640625"/>
    <col customWidth="1" max="72" min="70" style="86" width="11.6640625"/>
    <col customWidth="1" max="73" min="73" style="86" width="1.6640625"/>
  </cols>
  <sheetData>
    <row r="1">
      <c r="A1" s="177" t="inlineStr">
        <is>
          <t>C2_ra — lossy geometry, lossy attributes [inter, random access]</t>
        </is>
      </c>
      <c r="I1" s="165">
        <f>Summary!$C$1</f>
        <v/>
      </c>
      <c r="AG1" s="166">
        <f>Summary!$C$2</f>
        <v/>
      </c>
    </row>
    <row customHeight="1" ht="30" r="2" s="86">
      <c r="A2" s="173" t="inlineStr">
        <is>
          <t>Class</t>
        </is>
      </c>
      <c r="B2" s="174" t="inlineStr">
        <is>
          <t>Sequence</t>
        </is>
      </c>
      <c r="C2" s="173" t="inlineStr">
        <is>
          <t>Variant</t>
        </is>
      </c>
      <c r="D2" s="174" t="inlineStr">
        <is>
          <t>№ input points</t>
        </is>
      </c>
      <c r="E2" s="173" t="inlineStr">
        <is>
          <t>Geometry precision [bits]</t>
        </is>
      </c>
      <c r="F2" s="174" t="inlineStr">
        <is>
          <t>№ frames</t>
        </is>
      </c>
      <c r="G2" s="173" t="inlineStr">
        <is>
          <t>Frame rate [fps]</t>
        </is>
      </c>
      <c r="I2" s="174" t="inlineStr">
        <is>
          <t>Rate [Mbps]</t>
        </is>
      </c>
      <c r="J2" s="175" t="inlineStr">
        <is>
          <t>Bits per input point [bpip]</t>
        </is>
      </c>
      <c r="N2" s="173" t="inlineStr">
        <is>
          <t>A.eqn.bits.totalgeometry Bitstream [bits]</t>
        </is>
      </c>
      <c r="O2" s="174" t="inlineStr">
        <is>
          <t>Total Bits per output point [bpop]</t>
        </is>
      </c>
      <c r="P2" s="173" t="inlineStr">
        <is>
          <t>№ output points</t>
        </is>
      </c>
      <c r="Q2" s="174" t="inlineStr">
        <is>
          <t>Mean output points</t>
        </is>
      </c>
      <c r="R2" s="173" t="inlineStr">
        <is>
          <t>Mean duplicate points</t>
        </is>
      </c>
      <c r="S2" s="176" t="inlineStr">
        <is>
          <t>Bitstream [bits]</t>
        </is>
      </c>
      <c r="W2" s="175" t="inlineStr">
        <is>
          <t>Geometry PSNR [dB]</t>
        </is>
      </c>
      <c r="Y2" s="176" t="inlineStr">
        <is>
          <t>End-to-end PSNR [dB]</t>
        </is>
      </c>
      <c r="AB2" s="175" t="inlineStr">
        <is>
          <t>Encoder runtime [s]</t>
        </is>
      </c>
      <c r="AD2" s="176" t="inlineStr">
        <is>
          <t>Decoder runtime [s]</t>
        </is>
      </c>
      <c r="AG2" s="173" t="inlineStr">
        <is>
          <t>Rate [Mbps]</t>
        </is>
      </c>
      <c r="AH2" s="176" t="inlineStr">
        <is>
          <t>Bits per input point [bpip]</t>
        </is>
      </c>
      <c r="AL2" s="174" t="inlineStr">
        <is>
          <t>B.eqn.bits.totalgeometry Bitstream [bits]</t>
        </is>
      </c>
      <c r="AM2" s="173" t="inlineStr">
        <is>
          <t>Total Bits per output point [bpop]</t>
        </is>
      </c>
      <c r="AN2" s="174" t="inlineStr">
        <is>
          <t>№ output points</t>
        </is>
      </c>
      <c r="AO2" s="173" t="inlineStr">
        <is>
          <t>Mean output points</t>
        </is>
      </c>
      <c r="AP2" s="174" t="inlineStr">
        <is>
          <t>Mean duplicate points</t>
        </is>
      </c>
      <c r="AQ2" s="175" t="inlineStr">
        <is>
          <t>Bitstream [bits]</t>
        </is>
      </c>
      <c r="AU2" s="176" t="inlineStr">
        <is>
          <t>Geometry PSNR [dB]</t>
        </is>
      </c>
      <c r="AW2" s="175" t="inlineStr">
        <is>
          <t>End-to-end PSNR [dB]</t>
        </is>
      </c>
      <c r="AZ2" s="176" t="inlineStr">
        <is>
          <t>Encoder runtime [s]</t>
        </is>
      </c>
      <c r="BB2" s="175" t="inlineStr">
        <is>
          <t>Decoder runtime [s]</t>
        </is>
      </c>
      <c r="BE2" s="174" t="inlineStr">
        <is>
          <t>Tot.Geom bpip ratio [%]</t>
        </is>
      </c>
      <c r="BF2" s="173" t="inlineStr">
        <is>
          <t>Shift in duppoint ratio [pp]</t>
        </is>
      </c>
      <c r="BG2" s="174" t="inlineStr">
        <is>
          <t>Shift in G:T bits ratio [pp]</t>
        </is>
      </c>
      <c r="BH2" s="173" t="inlineStr">
        <is>
          <t>Shift in G:T bits ratio [pp]</t>
        </is>
      </c>
      <c r="BJ2" s="176" t="inlineStr">
        <is>
          <t>Geom. BD‑TotGeomRate [%]</t>
        </is>
      </c>
      <c r="BL2" s="175" t="inlineStr">
        <is>
          <t>End-to-End BD‑AttrRate [%]</t>
        </is>
      </c>
      <c r="BP2" s="176" t="inlineStr">
        <is>
          <t>Geom. BD‑TotalRate [%]</t>
        </is>
      </c>
      <c r="BR2" s="175" t="inlineStr">
        <is>
          <t>End-to-End BD‑TotalRate [%]</t>
        </is>
      </c>
    </row>
    <row r="3">
      <c r="A3" s="9" t="n"/>
      <c r="B3" s="9" t="n"/>
      <c r="C3" s="9" t="n"/>
      <c r="D3" s="9" t="n"/>
      <c r="E3" s="9" t="n"/>
      <c r="F3" s="9" t="n"/>
      <c r="G3" s="9" t="n"/>
      <c r="I3" s="9" t="n"/>
      <c r="J3" s="173" t="inlineStr">
        <is>
          <t>Total</t>
        </is>
      </c>
      <c r="K3" s="173" t="inlineStr">
        <is>
          <t>Tot.Geom</t>
        </is>
      </c>
      <c r="L3" s="173" t="inlineStr">
        <is>
          <t>Geometry</t>
        </is>
      </c>
      <c r="M3" s="173" t="inlineStr">
        <is>
          <t xml:space="preserve">Colour </t>
        </is>
      </c>
      <c r="N3" s="9" t="n"/>
      <c r="O3" s="9" t="n"/>
      <c r="P3" s="9" t="n"/>
      <c r="Q3" s="9" t="n"/>
      <c r="R3" s="9" t="n"/>
      <c r="S3" s="174" t="inlineStr">
        <is>
          <t>Total</t>
        </is>
      </c>
      <c r="T3" s="174" t="inlineStr">
        <is>
          <t>Geometry</t>
        </is>
      </c>
      <c r="U3" s="174" t="inlineStr">
        <is>
          <t>Occ+Patch</t>
        </is>
      </c>
      <c r="V3" s="174" t="inlineStr">
        <is>
          <t>Colour</t>
        </is>
      </c>
      <c r="W3" s="173" t="inlineStr">
        <is>
          <t>D1</t>
        </is>
      </c>
      <c r="X3" s="173" t="inlineStr">
        <is>
          <t>D2</t>
        </is>
      </c>
      <c r="Y3" s="174" t="inlineStr">
        <is>
          <t>Luma</t>
        </is>
      </c>
      <c r="Z3" s="174" t="inlineStr">
        <is>
          <t>Chroma Cb</t>
        </is>
      </c>
      <c r="AA3" s="174" t="inlineStr">
        <is>
          <t>Chroma Cr</t>
        </is>
      </c>
      <c r="AB3" s="173" t="inlineStr">
        <is>
          <t>Self</t>
        </is>
      </c>
      <c r="AC3" s="173" t="inlineStr">
        <is>
          <t>Child</t>
        </is>
      </c>
      <c r="AD3" s="174" t="inlineStr">
        <is>
          <t>Self</t>
        </is>
      </c>
      <c r="AE3" s="174" t="inlineStr">
        <is>
          <t>Child</t>
        </is>
      </c>
      <c r="AG3" s="9" t="n"/>
      <c r="AH3" s="174" t="inlineStr">
        <is>
          <t>Total</t>
        </is>
      </c>
      <c r="AI3" s="174" t="inlineStr">
        <is>
          <t>Tot.Geom</t>
        </is>
      </c>
      <c r="AJ3" s="174" t="inlineStr">
        <is>
          <t>Geometry</t>
        </is>
      </c>
      <c r="AK3" s="174" t="inlineStr">
        <is>
          <t xml:space="preserve">Colour </t>
        </is>
      </c>
      <c r="AL3" s="9" t="n"/>
      <c r="AM3" s="9" t="n"/>
      <c r="AN3" s="9" t="n"/>
      <c r="AO3" s="9" t="n"/>
      <c r="AP3" s="9" t="n"/>
      <c r="AQ3" s="173" t="inlineStr">
        <is>
          <t>Total</t>
        </is>
      </c>
      <c r="AR3" s="173" t="inlineStr">
        <is>
          <t>Geometry</t>
        </is>
      </c>
      <c r="AS3" s="173" t="inlineStr">
        <is>
          <t>Occ+Patch</t>
        </is>
      </c>
      <c r="AT3" s="173" t="inlineStr">
        <is>
          <t>Colour</t>
        </is>
      </c>
      <c r="AU3" s="174" t="inlineStr">
        <is>
          <t>D1</t>
        </is>
      </c>
      <c r="AV3" s="174" t="inlineStr">
        <is>
          <t>D2</t>
        </is>
      </c>
      <c r="AW3" s="173" t="inlineStr">
        <is>
          <t>Luma</t>
        </is>
      </c>
      <c r="AX3" s="173" t="inlineStr">
        <is>
          <t>Chroma Cb</t>
        </is>
      </c>
      <c r="AY3" s="173" t="inlineStr">
        <is>
          <t>Chroma Cr</t>
        </is>
      </c>
      <c r="AZ3" s="174" t="inlineStr">
        <is>
          <t>Self</t>
        </is>
      </c>
      <c r="BA3" s="174" t="inlineStr">
        <is>
          <t>Child</t>
        </is>
      </c>
      <c r="BB3" s="173" t="inlineStr">
        <is>
          <t>Self</t>
        </is>
      </c>
      <c r="BC3" s="173" t="inlineStr">
        <is>
          <t>Child</t>
        </is>
      </c>
      <c r="BE3" s="9" t="n"/>
      <c r="BF3" s="9" t="n"/>
      <c r="BG3" s="9" t="n"/>
      <c r="BH3" s="9" t="n"/>
      <c r="BJ3" s="174" t="inlineStr">
        <is>
          <t>D1</t>
        </is>
      </c>
      <c r="BK3" s="174" t="inlineStr">
        <is>
          <t>D2</t>
        </is>
      </c>
      <c r="BL3" s="173" t="inlineStr">
        <is>
          <t>Luma</t>
        </is>
      </c>
      <c r="BM3" s="173" t="inlineStr">
        <is>
          <t>Chroma Cb</t>
        </is>
      </c>
      <c r="BN3" s="173" t="inlineStr">
        <is>
          <t>Chroma Cr</t>
        </is>
      </c>
      <c r="BP3" s="174" t="inlineStr">
        <is>
          <t>D1</t>
        </is>
      </c>
      <c r="BQ3" s="174" t="inlineStr">
        <is>
          <t>D2</t>
        </is>
      </c>
      <c r="BR3" s="173" t="inlineStr">
        <is>
          <t>Luma</t>
        </is>
      </c>
      <c r="BS3" s="173" t="inlineStr">
        <is>
          <t>Chroma Cb</t>
        </is>
      </c>
      <c r="BT3" s="173" t="inlineStr">
        <is>
          <t>Chroma Cr</t>
        </is>
      </c>
    </row>
    <row customHeight="1" hidden="1" ht="123" r="4" s="86">
      <c r="A4" s="13" t="inlineStr">
        <is>
          <t>class</t>
        </is>
      </c>
      <c r="B4" s="14" t="inlineStr">
        <is>
          <t>sequence</t>
        </is>
      </c>
      <c r="C4" s="13" t="inlineStr">
        <is>
          <t>variant</t>
        </is>
      </c>
      <c r="D4" s="14" t="inlineStr">
        <is>
          <t>src.numpoints</t>
        </is>
      </c>
      <c r="E4" s="13" t="inlineStr">
        <is>
          <t>src.geometry-precision</t>
        </is>
      </c>
      <c r="F4" s="14" t="inlineStr">
        <is>
          <t>src.framecount</t>
        </is>
      </c>
      <c r="G4" s="13" t="inlineStr">
        <is>
          <t>src.framerate</t>
        </is>
      </c>
      <c r="I4" s="14" t="inlineStr">
        <is>
          <t>A.eqn.bitrate</t>
        </is>
      </c>
      <c r="J4" s="13" t="inlineStr">
        <is>
          <t>A.eqn.bpp</t>
        </is>
      </c>
      <c r="K4" s="13" t="inlineStr">
        <is>
          <t>A.eqn.bpp.geometry+occ+patch</t>
        </is>
      </c>
      <c r="L4" s="13" t="inlineStr">
        <is>
          <t>A.eqn.bpp.geometry</t>
        </is>
      </c>
      <c r="M4" s="13" t="inlineStr">
        <is>
          <t>A.eqn.bpp.colour</t>
        </is>
      </c>
      <c r="N4" s="13" t="inlineStr">
        <is>
          <t>A.eqn.bits.totalgeometry</t>
        </is>
      </c>
      <c r="O4" s="14" t="inlineStr">
        <is>
          <t>A.eqn.bpop</t>
        </is>
      </c>
      <c r="P4" s="13" t="inlineStr">
        <is>
          <t>A.dec.numpoints</t>
        </is>
      </c>
      <c r="Q4" s="14" t="inlineStr">
        <is>
          <t>A.dec.numpoints.mean</t>
        </is>
      </c>
      <c r="R4" s="13" t="inlineStr">
        <is>
          <t>A.dec.numduppoints.mean</t>
        </is>
      </c>
      <c r="S4" s="14" t="inlineStr">
        <is>
          <t>A.enc.ext.bits</t>
        </is>
      </c>
      <c r="T4" s="14" t="inlineStr">
        <is>
          <t>A.enc.bits.geometry</t>
        </is>
      </c>
      <c r="U4" s="14" t="inlineStr">
        <is>
          <t>A.enc.bits.occ+patch</t>
        </is>
      </c>
      <c r="V4" s="14" t="inlineStr">
        <is>
          <t>A.enc.bits.colour</t>
        </is>
      </c>
      <c r="W4" s="13" t="inlineStr">
        <is>
          <t>A.dec.d1-psnr</t>
        </is>
      </c>
      <c r="X4" s="13" t="inlineStr">
        <is>
          <t>A.dec.d2-psnr</t>
        </is>
      </c>
      <c r="Y4" s="14" t="inlineStr">
        <is>
          <t>A.dec.y-psnr</t>
        </is>
      </c>
      <c r="Z4" s="14" t="inlineStr">
        <is>
          <t>A.dec.cb-psnr</t>
        </is>
      </c>
      <c r="AA4" s="14" t="inlineStr">
        <is>
          <t>A.dec.cr-psnr</t>
        </is>
      </c>
      <c r="AB4" s="13" t="inlineStr">
        <is>
          <t>A.enc.utime.self</t>
        </is>
      </c>
      <c r="AC4" s="13" t="inlineStr">
        <is>
          <t>A.enc.utime.children</t>
        </is>
      </c>
      <c r="AD4" s="14" t="inlineStr">
        <is>
          <t>A.dec.utime.self</t>
        </is>
      </c>
      <c r="AE4" s="14" t="inlineStr">
        <is>
          <t>A.dec.utime.children</t>
        </is>
      </c>
      <c r="AG4" s="13" t="inlineStr">
        <is>
          <t>B.eqn.bitrate</t>
        </is>
      </c>
      <c r="AH4" s="14" t="inlineStr">
        <is>
          <t>B.eqn.bpp</t>
        </is>
      </c>
      <c r="AI4" s="14" t="inlineStr">
        <is>
          <t>B.eqn.bpp.geometry+occ+patch</t>
        </is>
      </c>
      <c r="AJ4" s="14" t="inlineStr">
        <is>
          <t>B.eqn.bpp.geometry</t>
        </is>
      </c>
      <c r="AK4" s="14" t="inlineStr">
        <is>
          <t>B.eqn.bpp.colour</t>
        </is>
      </c>
      <c r="AL4" s="14" t="inlineStr">
        <is>
          <t>B.eqn.bits.totalgeometry</t>
        </is>
      </c>
      <c r="AM4" s="13" t="inlineStr">
        <is>
          <t>B.eqn.bpop</t>
        </is>
      </c>
      <c r="AN4" s="14" t="inlineStr">
        <is>
          <t>B.dec.numpoints</t>
        </is>
      </c>
      <c r="AO4" s="13" t="inlineStr">
        <is>
          <t>B.dec.numpoints.mean</t>
        </is>
      </c>
      <c r="AP4" s="14" t="inlineStr">
        <is>
          <t>B.dec.numduppoints.mean</t>
        </is>
      </c>
      <c r="AQ4" s="13" t="inlineStr">
        <is>
          <t>B.enc.ext.bits</t>
        </is>
      </c>
      <c r="AR4" s="13" t="inlineStr">
        <is>
          <t>B.enc.bits.geometry</t>
        </is>
      </c>
      <c r="AS4" s="13" t="inlineStr">
        <is>
          <t>B.enc.bits.occ+patch</t>
        </is>
      </c>
      <c r="AT4" s="13" t="inlineStr">
        <is>
          <t>B.enc.bits.colour</t>
        </is>
      </c>
      <c r="AU4" s="14" t="inlineStr">
        <is>
          <t>B.dec.d1-psnr</t>
        </is>
      </c>
      <c r="AV4" s="14" t="inlineStr">
        <is>
          <t>B.dec.d2-psnr</t>
        </is>
      </c>
      <c r="AW4" s="13" t="inlineStr">
        <is>
          <t>B.dec.y-psnr</t>
        </is>
      </c>
      <c r="AX4" s="13" t="inlineStr">
        <is>
          <t>B.dec.cb-psnr</t>
        </is>
      </c>
      <c r="AY4" s="13" t="inlineStr">
        <is>
          <t>B.dec.cr-psnr</t>
        </is>
      </c>
      <c r="AZ4" s="14" t="inlineStr">
        <is>
          <t>B.enc.utime.self</t>
        </is>
      </c>
      <c r="BA4" s="14" t="inlineStr">
        <is>
          <t>B.enc.utime.children</t>
        </is>
      </c>
      <c r="BB4" s="13" t="inlineStr">
        <is>
          <t>B.dec.utime.self</t>
        </is>
      </c>
      <c r="BC4" s="13" t="inlineStr">
        <is>
          <t>B.dec.utime.children</t>
        </is>
      </c>
      <c r="BE4" s="14" t="inlineStr">
        <is>
          <t>eqn.ab.ratio-bpp-geometry-total</t>
        </is>
      </c>
      <c r="BF4" s="13" t="inlineStr">
        <is>
          <t>eqn.ab.delta-duppoints_ratio</t>
        </is>
      </c>
      <c r="BG4" s="14" t="inlineStr">
        <is>
          <t>eqn.ab.delta-geom_texture_bits_ratio</t>
        </is>
      </c>
      <c r="BH4" s="13" t="inlineStr">
        <is>
          <t>eqn.ab.summary-delta-geom_texture_bits_ratio</t>
        </is>
      </c>
      <c r="BJ4" s="14" t="inlineStr">
        <is>
          <t>eqn.ab.bdrate-d1-geomrate</t>
        </is>
      </c>
      <c r="BK4" s="14" t="inlineStr">
        <is>
          <t>eqn.ab.bdrate-d2-geomrate</t>
        </is>
      </c>
      <c r="BL4" s="13" t="inlineStr">
        <is>
          <t>eqn.ab.bdrate-y-attrrate</t>
        </is>
      </c>
      <c r="BM4" s="13" t="inlineStr">
        <is>
          <t>eqn.ab.bdrate-cb-attrrate</t>
        </is>
      </c>
      <c r="BN4" s="13" t="inlineStr">
        <is>
          <t>eqn.ab.bdrate-cr-attrrate</t>
        </is>
      </c>
      <c r="BP4" s="14" t="inlineStr">
        <is>
          <t>eqn.ab.bdrate-d1</t>
        </is>
      </c>
      <c r="BQ4" s="14" t="inlineStr">
        <is>
          <t>eqn.ab.bdrate-d2</t>
        </is>
      </c>
      <c r="BR4" s="13" t="inlineStr">
        <is>
          <t>eqn.ab.bdrate-y</t>
        </is>
      </c>
      <c r="BS4" s="13" t="inlineStr">
        <is>
          <t>eqn.ab.bdrate-cb</t>
        </is>
      </c>
      <c r="BT4" s="13" t="inlineStr">
        <is>
          <t>eqn.ab.bdrate-cr</t>
        </is>
      </c>
    </row>
    <row r="5">
      <c r="A5" s="142" t="inlineStr">
        <is>
          <t>cat2-A</t>
        </is>
      </c>
      <c r="B5" s="142" t="inlineStr">
        <is>
          <t>8ivfbv2_loot_vox10</t>
        </is>
      </c>
      <c r="C5" s="16" t="inlineStr">
        <is>
          <t>r01</t>
        </is>
      </c>
      <c r="D5" s="142" t="n">
        <v>238146391</v>
      </c>
      <c r="E5" s="16" t="n">
        <v>10</v>
      </c>
      <c r="F5" s="16" t="n">
        <v>32</v>
      </c>
      <c r="G5" s="16" t="n">
        <v>30</v>
      </c>
      <c r="I5" s="17">
        <f>IF(OR(ISBLANK(S5),ISBLANK(G5)),"·",S5*G5/F5/1000000)</f>
        <v/>
      </c>
      <c r="J5" s="18">
        <f>IF(ISBLANK(S5),"·",S5/D5)</f>
        <v/>
      </c>
      <c r="K5" s="18">
        <f>IF(N5="","·",N5/D5)</f>
        <v/>
      </c>
      <c r="L5" s="18">
        <f>IF(T5="","·",T5/D5)</f>
        <v/>
      </c>
      <c r="M5" s="18">
        <f>IF(ISBLANK(V5),"·",V5/D5)</f>
        <v/>
      </c>
      <c r="N5" s="142">
        <f>IF(OR(ISBLANK(T5),ISBLANK(U5)),"",T5+U5)</f>
        <v/>
      </c>
      <c r="O5" s="18" t="n">
        <v>16</v>
      </c>
      <c r="P5" s="19" t="n">
        <v>23582209</v>
      </c>
      <c r="Q5" s="19" t="n">
        <v>736944.03125</v>
      </c>
      <c r="R5" s="19" t="n">
        <v>16984.9375</v>
      </c>
      <c r="S5" s="20" t="n">
        <v>1113936</v>
      </c>
      <c r="T5" s="20" t="n">
        <v>607520</v>
      </c>
      <c r="U5" s="20" t="n">
        <v>358792</v>
      </c>
      <c r="V5" s="20" t="n">
        <v>147624</v>
      </c>
      <c r="W5" s="21" t="n">
        <v>66.84570625000001</v>
      </c>
      <c r="X5" s="21" t="n">
        <v>68.619975</v>
      </c>
      <c r="Y5" s="21" t="n">
        <v>31.7137</v>
      </c>
      <c r="Z5" s="21" t="n">
        <v>44.621</v>
      </c>
      <c r="AA5" s="21" t="n">
        <v>44.121778125</v>
      </c>
      <c r="AB5" s="22" t="n">
        <v>3538.29</v>
      </c>
      <c r="AC5" s="22" t="n">
        <v>4739.92</v>
      </c>
      <c r="AD5" s="22" t="n">
        <v>7.198</v>
      </c>
      <c r="AE5" s="22" t="n">
        <v>26.306</v>
      </c>
      <c r="AG5" s="17">
        <f>IF(OR(ISBLANK(AQ5),ISBLANK(G5)),"·",AQ5*G5/F5/1000000)</f>
        <v/>
      </c>
      <c r="AH5" s="18">
        <f>IF(ISBLANK(AQ5),"·",AQ5/D5)</f>
        <v/>
      </c>
      <c r="AI5" s="18">
        <f>IF(AL5="","·",AL5/D5)</f>
        <v/>
      </c>
      <c r="AJ5" s="18">
        <f>IF(AR5="","·",AR5/D5)</f>
        <v/>
      </c>
      <c r="AK5" s="18">
        <f>IF(ISBLANK(AT5),"·",AT5/D5)</f>
        <v/>
      </c>
      <c r="AL5" s="142">
        <f>IF(OR(ISBLANK(AR5),ISBLANK(AS5)),"",AR5+AS5)</f>
        <v/>
      </c>
      <c r="AM5" s="18" t="n">
        <v>16</v>
      </c>
      <c r="AN5" s="19" t="n">
        <v>23582209</v>
      </c>
      <c r="AO5" s="19" t="n">
        <v>736944.03125</v>
      </c>
      <c r="AP5" s="19" t="n">
        <v>16984.9375</v>
      </c>
      <c r="AQ5" s="20" t="n">
        <v>1112152</v>
      </c>
      <c r="AR5" s="20" t="n">
        <v>607520</v>
      </c>
      <c r="AS5" s="20" t="n">
        <v>358792</v>
      </c>
      <c r="AT5" s="20" t="n">
        <v>145840</v>
      </c>
      <c r="AU5" s="21" t="n">
        <v>66.84570625000001</v>
      </c>
      <c r="AV5" s="21" t="n">
        <v>68.619975</v>
      </c>
      <c r="AW5" s="21" t="n">
        <v>31.719309375</v>
      </c>
      <c r="AX5" s="21" t="n">
        <v>44.56903125</v>
      </c>
      <c r="AY5" s="21" t="n">
        <v>44.236403125</v>
      </c>
      <c r="AZ5" s="22" t="n">
        <v>3520.51</v>
      </c>
      <c r="BA5" s="22" t="n">
        <v>4769.52</v>
      </c>
      <c r="BB5" s="22" t="n">
        <v>53.176</v>
      </c>
      <c r="BC5" s="22" t="n">
        <v>27.076</v>
      </c>
      <c r="BE5" s="72">
        <f>AI5/K5</f>
        <v/>
      </c>
      <c r="BF5" s="24">
        <f>(AP5/AO5) - (R5/Q5)</f>
        <v/>
      </c>
      <c r="BG5" s="24">
        <f>(AL5/AQ5) - (N5/S5)</f>
        <v/>
      </c>
      <c r="BH5" s="24">
        <f ref="BH5" t="array">AVERAGE(AL5:AL9/AQ5:AQ9) - AVERAGE(N5:N9/S5:S9)</f>
        <v/>
      </c>
      <c r="BJ5" s="72">
        <f>IF( OR(ISBLANK(N5:N9),ISBLANK(AL5:AL9), ISBLANK(W5:W9),ISBLANK(AU5:AU9)), "·", bdRateExtend( N5:N9,W5:W9, AL5:AL9,AU5:AU9))</f>
        <v/>
      </c>
      <c r="BK5" s="72">
        <f>IF( OR(ISBLANK(N5:N9),ISBLANK(AL5:AL9), ISBLANK(X5:X9),ISBLANK(AV5:AV9)), "·", bdRateExtend( N5:N9,X5:X9, AL5:AL9,AV5:AV9))</f>
        <v/>
      </c>
      <c r="BL5" s="72">
        <f>IF( OR(ISBLANK(V5:V9),ISBLANK(AT5:AT9), ISBLANK(Y5:Y9),ISBLANK(AW5:AW9)), "·", bdRateExtend( V5:V9,Y5:Y9, AT5:AT9,AW5:AW9))</f>
        <v/>
      </c>
      <c r="BM5" s="72">
        <f>IF( OR(ISBLANK(V5:V9),ISBLANK(AT5:AT9), ISBLANK(Z5:Z9),ISBLANK(AX5:AX9)), "·", bdRateExtend( V5:V9,Z5:Z9, AT5:AT9,AX5:AX9))</f>
        <v/>
      </c>
      <c r="BN5" s="72">
        <f>IF( OR(ISBLANK(V5:V9),ISBLANK(AT5:AT9), ISBLANK(AA5:AA9),ISBLANK(AY5:AY9)), "·", bdRateExtend( V5:V9,AA5:AA9, AT5:AT9,AY5:AY9))</f>
        <v/>
      </c>
      <c r="BP5" s="72">
        <f>IF( OR(ISBLANK(S5:S9),ISBLANK(AQ5:AQ9), ISBLANK(W5:W9),ISBLANK(AU5:AU9)), "·", bdRateExtend( S5:S9,W5:W9, AQ5:AQ9,AU5:AU9))</f>
        <v/>
      </c>
      <c r="BQ5" s="72">
        <f>IF( OR(ISBLANK(S5:S9),ISBLANK(AQ5:AQ9), ISBLANK(X5:X9),ISBLANK(AV5:AV9)), "·", bdRateExtend( S5:S9,X5:X9, AQ5:AQ9,AV5:AV9))</f>
        <v/>
      </c>
      <c r="BR5" s="72">
        <f>IF( OR(ISBLANK(S5:S9),ISBLANK(AQ5:AQ9), ISBLANK(Y5:Y9),ISBLANK(AW5:AW9)), "·", bdRateExtend( S5:S9,Y5:Y9, AQ5:AQ9,AW5:AW9))</f>
        <v/>
      </c>
      <c r="BS5" s="72">
        <f>IF( OR(ISBLANK(S5:S9),ISBLANK(AQ5:AQ9), ISBLANK(Z5:Z9),ISBLANK(AX5:AX9)), "·", bdRateExtend( S5:S9,Z5:Z9, AQ5:AQ9,AX5:AX9))</f>
        <v/>
      </c>
      <c r="BT5" s="72">
        <f>IF( OR(ISBLANK(S5:S9),ISBLANK(AQ5:AQ9), ISBLANK(AA5:AA9),ISBLANK(AY5:AY9)), "·", bdRateExtend( S5:S9,AA5:AA9, AQ5:AQ9,AY5:AY9))</f>
        <v/>
      </c>
    </row>
    <row outlineLevel="1" r="6" s="86">
      <c r="A6" s="25" t="n"/>
      <c r="B6" s="25" t="inlineStr">
        <is>
          <t>8ivfbv2_loot_vox10</t>
        </is>
      </c>
      <c r="C6" s="26" t="inlineStr">
        <is>
          <t>r02</t>
        </is>
      </c>
      <c r="D6" s="25" t="n">
        <v>238146391</v>
      </c>
      <c r="E6" s="26" t="n">
        <v>10</v>
      </c>
      <c r="F6" s="26" t="n">
        <v>32</v>
      </c>
      <c r="G6" s="26" t="n">
        <v>30</v>
      </c>
      <c r="I6" s="27">
        <f>IF(OR(ISBLANK(S6),ISBLANK(G6)),"·",S6*G6/F6/1000000)</f>
        <v/>
      </c>
      <c r="J6" s="28">
        <f>IF(ISBLANK(S6),"·",S6/D6)</f>
        <v/>
      </c>
      <c r="K6" s="28">
        <f>IF(N6="","·",N6/D6)</f>
        <v/>
      </c>
      <c r="L6" s="28">
        <f>IF(T6="","·",T6/D6)</f>
        <v/>
      </c>
      <c r="M6" s="28">
        <f>IF(ISBLANK(V6),"·",V6/D6)</f>
        <v/>
      </c>
      <c r="N6" s="25">
        <f>IF(OR(ISBLANK(T6),ISBLANK(U6)),"",T6+U6)</f>
        <v/>
      </c>
      <c r="O6" s="28" t="n">
        <v>16</v>
      </c>
      <c r="P6" s="29" t="n">
        <v>24777501</v>
      </c>
      <c r="Q6" s="29" t="n">
        <v>774296.90625</v>
      </c>
      <c r="R6" s="29" t="n">
        <v>19924.3125</v>
      </c>
      <c r="S6" s="30" t="n">
        <v>1446008</v>
      </c>
      <c r="T6" s="30" t="n">
        <v>819528</v>
      </c>
      <c r="U6" s="30" t="n">
        <v>358792</v>
      </c>
      <c r="V6" s="30" t="n">
        <v>267688</v>
      </c>
      <c r="W6" s="31" t="n">
        <v>68.552896875</v>
      </c>
      <c r="X6" s="31" t="n">
        <v>70.6220625</v>
      </c>
      <c r="Y6" s="31" t="n">
        <v>33.7840875</v>
      </c>
      <c r="Z6" s="31" t="n">
        <v>45.60271875</v>
      </c>
      <c r="AA6" s="31" t="n">
        <v>45.24131875</v>
      </c>
      <c r="AB6" s="32" t="n">
        <v>3548.29</v>
      </c>
      <c r="AC6" s="32" t="n">
        <v>5073.14</v>
      </c>
      <c r="AD6" s="32" t="n">
        <v>8.093999999999999</v>
      </c>
      <c r="AE6" s="32" t="n">
        <v>26.858</v>
      </c>
      <c r="AG6" s="27">
        <f>IF(OR(ISBLANK(AQ6),ISBLANK(G6)),"·",AQ6*G6/F6/1000000)</f>
        <v/>
      </c>
      <c r="AH6" s="28">
        <f>IF(ISBLANK(AQ6),"·",AQ6/D6)</f>
        <v/>
      </c>
      <c r="AI6" s="28">
        <f>IF(AL6="","·",AL6/D6)</f>
        <v/>
      </c>
      <c r="AJ6" s="28">
        <f>IF(AR6="","·",AR6/D6)</f>
        <v/>
      </c>
      <c r="AK6" s="28">
        <f>IF(ISBLANK(AT6),"·",AT6/D6)</f>
        <v/>
      </c>
      <c r="AL6" s="25">
        <f>IF(OR(ISBLANK(AR6),ISBLANK(AS6)),"",AR6+AS6)</f>
        <v/>
      </c>
      <c r="AM6" s="28" t="n">
        <v>16</v>
      </c>
      <c r="AN6" s="29" t="n">
        <v>24777501</v>
      </c>
      <c r="AO6" s="29" t="n">
        <v>774296.90625</v>
      </c>
      <c r="AP6" s="29" t="n">
        <v>19924.3125</v>
      </c>
      <c r="AQ6" s="30" t="n">
        <v>1445608</v>
      </c>
      <c r="AR6" s="30" t="n">
        <v>819528</v>
      </c>
      <c r="AS6" s="30" t="n">
        <v>358792</v>
      </c>
      <c r="AT6" s="30" t="n">
        <v>267288</v>
      </c>
      <c r="AU6" s="31" t="n">
        <v>68.552896875</v>
      </c>
      <c r="AV6" s="31" t="n">
        <v>70.6220625</v>
      </c>
      <c r="AW6" s="31" t="n">
        <v>33.79745625</v>
      </c>
      <c r="AX6" s="31" t="n">
        <v>45.4933125</v>
      </c>
      <c r="AY6" s="31" t="n">
        <v>45.153953125</v>
      </c>
      <c r="AZ6" s="32" t="n">
        <v>3526.98</v>
      </c>
      <c r="BA6" s="32" t="n">
        <v>5069.6</v>
      </c>
      <c r="BB6" s="32" t="n">
        <v>55.589</v>
      </c>
      <c r="BC6" s="32" t="n">
        <v>27.741</v>
      </c>
      <c r="BE6" s="68">
        <f>AI6/K6</f>
        <v/>
      </c>
      <c r="BF6" s="34">
        <f>(AP6/AO6) - (R6/Q6)</f>
        <v/>
      </c>
      <c r="BG6" s="34">
        <f>(AL6/AQ6) - (N6/S6)</f>
        <v/>
      </c>
      <c r="BH6" s="34" t="n"/>
      <c r="BJ6" s="68" t="n"/>
      <c r="BK6" s="68" t="n"/>
      <c r="BL6" s="68" t="n"/>
      <c r="BM6" s="68" t="n"/>
      <c r="BN6" s="68" t="n"/>
      <c r="BP6" s="68" t="n"/>
      <c r="BQ6" s="68" t="n"/>
      <c r="BR6" s="68" t="n"/>
      <c r="BS6" s="68" t="n"/>
      <c r="BT6" s="68" t="n"/>
    </row>
    <row outlineLevel="1" r="7" s="86">
      <c r="A7" s="142" t="n"/>
      <c r="B7" s="142" t="inlineStr">
        <is>
          <t>8ivfbv2_loot_vox10</t>
        </is>
      </c>
      <c r="C7" s="16" t="inlineStr">
        <is>
          <t>r03</t>
        </is>
      </c>
      <c r="D7" s="142" t="n">
        <v>238146391</v>
      </c>
      <c r="E7" s="16" t="n">
        <v>10</v>
      </c>
      <c r="F7" s="16" t="n">
        <v>32</v>
      </c>
      <c r="G7" s="16" t="n">
        <v>30</v>
      </c>
      <c r="I7" s="17">
        <f>IF(OR(ISBLANK(S7),ISBLANK(G7)),"·",S7*G7/F7/1000000)</f>
        <v/>
      </c>
      <c r="J7" s="18">
        <f>IF(ISBLANK(S7),"·",S7/D7)</f>
        <v/>
      </c>
      <c r="K7" s="18">
        <f>IF(N7="","·",N7/D7)</f>
        <v/>
      </c>
      <c r="L7" s="18">
        <f>IF(T7="","·",T7/D7)</f>
        <v/>
      </c>
      <c r="M7" s="18">
        <f>IF(ISBLANK(V7),"·",V7/D7)</f>
        <v/>
      </c>
      <c r="N7" s="142">
        <f>IF(OR(ISBLANK(T7),ISBLANK(U7)),"",T7+U7)</f>
        <v/>
      </c>
      <c r="O7" s="18" t="n">
        <v>16</v>
      </c>
      <c r="P7" s="19" t="n">
        <v>24923704</v>
      </c>
      <c r="Q7" s="19" t="n">
        <v>778865.75</v>
      </c>
      <c r="R7" s="19" t="n">
        <v>21104.875</v>
      </c>
      <c r="S7" s="20" t="n">
        <v>2005328</v>
      </c>
      <c r="T7" s="20" t="n">
        <v>1104976</v>
      </c>
      <c r="U7" s="20" t="n">
        <v>358792</v>
      </c>
      <c r="V7" s="20" t="n">
        <v>541560</v>
      </c>
      <c r="W7" s="21" t="n">
        <v>69.837434375</v>
      </c>
      <c r="X7" s="21" t="n">
        <v>72.27417187499999</v>
      </c>
      <c r="Y7" s="21" t="n">
        <v>36.196365625</v>
      </c>
      <c r="Z7" s="21" t="n">
        <v>46.9180125</v>
      </c>
      <c r="AA7" s="21" t="n">
        <v>46.584559375</v>
      </c>
      <c r="AB7" s="22" t="n">
        <v>3547.26</v>
      </c>
      <c r="AC7" s="22" t="n">
        <v>5379.52</v>
      </c>
      <c r="AD7" s="22" t="n">
        <v>8.156000000000001</v>
      </c>
      <c r="AE7" s="22" t="n">
        <v>27.899</v>
      </c>
      <c r="AG7" s="17">
        <f>IF(OR(ISBLANK(AQ7),ISBLANK(G7)),"·",AQ7*G7/F7/1000000)</f>
        <v/>
      </c>
      <c r="AH7" s="18">
        <f>IF(ISBLANK(AQ7),"·",AQ7/D7)</f>
        <v/>
      </c>
      <c r="AI7" s="18">
        <f>IF(AL7="","·",AL7/D7)</f>
        <v/>
      </c>
      <c r="AJ7" s="18">
        <f>IF(AR7="","·",AR7/D7)</f>
        <v/>
      </c>
      <c r="AK7" s="18">
        <f>IF(ISBLANK(AT7),"·",AT7/D7)</f>
        <v/>
      </c>
      <c r="AL7" s="142">
        <f>IF(OR(ISBLANK(AR7),ISBLANK(AS7)),"",AR7+AS7)</f>
        <v/>
      </c>
      <c r="AM7" s="18" t="n">
        <v>16</v>
      </c>
      <c r="AN7" s="19" t="n">
        <v>24923704</v>
      </c>
      <c r="AO7" s="19" t="n">
        <v>778865.75</v>
      </c>
      <c r="AP7" s="19" t="n">
        <v>21104.875</v>
      </c>
      <c r="AQ7" s="20" t="n">
        <v>2000520</v>
      </c>
      <c r="AR7" s="20" t="n">
        <v>1104976</v>
      </c>
      <c r="AS7" s="20" t="n">
        <v>358792</v>
      </c>
      <c r="AT7" s="20" t="n">
        <v>536752</v>
      </c>
      <c r="AU7" s="21" t="n">
        <v>69.837434375</v>
      </c>
      <c r="AV7" s="21" t="n">
        <v>72.27417187499999</v>
      </c>
      <c r="AW7" s="21" t="n">
        <v>36.189746875</v>
      </c>
      <c r="AX7" s="21" t="n">
        <v>46.884203125</v>
      </c>
      <c r="AY7" s="21" t="n">
        <v>46.664578125</v>
      </c>
      <c r="AZ7" s="22" t="n">
        <v>3553.29</v>
      </c>
      <c r="BA7" s="22" t="n">
        <v>5417.19</v>
      </c>
      <c r="BB7" s="22" t="n">
        <v>56</v>
      </c>
      <c r="BC7" s="22" t="n">
        <v>27.556</v>
      </c>
      <c r="BE7" s="72">
        <f>AI7/K7</f>
        <v/>
      </c>
      <c r="BF7" s="24">
        <f>(AP7/AO7) - (R7/Q7)</f>
        <v/>
      </c>
      <c r="BG7" s="24">
        <f>(AL7/AQ7) - (N7/S7)</f>
        <v/>
      </c>
      <c r="BH7" s="24" t="n"/>
      <c r="BJ7" s="72" t="n"/>
      <c r="BK7" s="72" t="n"/>
      <c r="BL7" s="72" t="n"/>
      <c r="BM7" s="72" t="n"/>
      <c r="BN7" s="72" t="n"/>
      <c r="BP7" s="72" t="n"/>
      <c r="BQ7" s="72" t="n"/>
      <c r="BR7" s="72" t="n"/>
      <c r="BS7" s="72" t="n"/>
      <c r="BT7" s="72" t="n"/>
    </row>
    <row outlineLevel="1" r="8" s="86">
      <c r="A8" s="25" t="n"/>
      <c r="B8" s="25" t="inlineStr">
        <is>
          <t>8ivfbv2_loot_vox10</t>
        </is>
      </c>
      <c r="C8" s="26" t="inlineStr">
        <is>
          <t>r04</t>
        </is>
      </c>
      <c r="D8" s="25" t="n">
        <v>238146391</v>
      </c>
      <c r="E8" s="26" t="n">
        <v>10</v>
      </c>
      <c r="F8" s="26" t="n">
        <v>32</v>
      </c>
      <c r="G8" s="26" t="n">
        <v>30</v>
      </c>
      <c r="I8" s="27">
        <f>IF(OR(ISBLANK(S8),ISBLANK(G8)),"·",S8*G8/F8/1000000)</f>
        <v/>
      </c>
      <c r="J8" s="28">
        <f>IF(ISBLANK(S8),"·",S8/D8)</f>
        <v/>
      </c>
      <c r="K8" s="28">
        <f>IF(N8="","·",N8/D8)</f>
        <v/>
      </c>
      <c r="L8" s="28">
        <f>IF(T8="","·",T8/D8)</f>
        <v/>
      </c>
      <c r="M8" s="28">
        <f>IF(ISBLANK(V8),"·",V8/D8)</f>
        <v/>
      </c>
      <c r="N8" s="25">
        <f>IF(OR(ISBLANK(T8),ISBLANK(U8)),"",T8+U8)</f>
        <v/>
      </c>
      <c r="O8" s="28" t="n">
        <v>16</v>
      </c>
      <c r="P8" s="29" t="n">
        <v>25894561</v>
      </c>
      <c r="Q8" s="29" t="n">
        <v>809205.03125</v>
      </c>
      <c r="R8" s="29" t="n">
        <v>24362.65625</v>
      </c>
      <c r="S8" s="30" t="n">
        <v>3318792</v>
      </c>
      <c r="T8" s="30" t="n">
        <v>1751424</v>
      </c>
      <c r="U8" s="30" t="n">
        <v>358792</v>
      </c>
      <c r="V8" s="30" t="n">
        <v>1208576</v>
      </c>
      <c r="W8" s="31" t="n">
        <v>70.89938125</v>
      </c>
      <c r="X8" s="31" t="n">
        <v>73.460275</v>
      </c>
      <c r="Y8" s="31" t="n">
        <v>38.67799375</v>
      </c>
      <c r="Z8" s="31" t="n">
        <v>48.119690625</v>
      </c>
      <c r="AA8" s="31" t="n">
        <v>48.028525</v>
      </c>
      <c r="AB8" s="32" t="n">
        <v>3577.01</v>
      </c>
      <c r="AC8" s="32" t="n">
        <v>5890.19</v>
      </c>
      <c r="AD8" s="32" t="n">
        <v>8.148</v>
      </c>
      <c r="AE8" s="32" t="n">
        <v>27.978</v>
      </c>
      <c r="AG8" s="27">
        <f>IF(OR(ISBLANK(AQ8),ISBLANK(G8)),"·",AQ8*G8/F8/1000000)</f>
        <v/>
      </c>
      <c r="AH8" s="28">
        <f>IF(ISBLANK(AQ8),"·",AQ8/D8)</f>
        <v/>
      </c>
      <c r="AI8" s="28">
        <f>IF(AL8="","·",AL8/D8)</f>
        <v/>
      </c>
      <c r="AJ8" s="28">
        <f>IF(AR8="","·",AR8/D8)</f>
        <v/>
      </c>
      <c r="AK8" s="28">
        <f>IF(ISBLANK(AT8),"·",AT8/D8)</f>
        <v/>
      </c>
      <c r="AL8" s="25">
        <f>IF(OR(ISBLANK(AR8),ISBLANK(AS8)),"",AR8+AS8)</f>
        <v/>
      </c>
      <c r="AM8" s="28" t="n">
        <v>16</v>
      </c>
      <c r="AN8" s="29" t="n">
        <v>25894561</v>
      </c>
      <c r="AO8" s="29" t="n">
        <v>809205.03125</v>
      </c>
      <c r="AP8" s="29" t="n">
        <v>24362.65625</v>
      </c>
      <c r="AQ8" s="30" t="n">
        <v>3299168</v>
      </c>
      <c r="AR8" s="30" t="n">
        <v>1751424</v>
      </c>
      <c r="AS8" s="30" t="n">
        <v>358792</v>
      </c>
      <c r="AT8" s="30" t="n">
        <v>1188952</v>
      </c>
      <c r="AU8" s="31" t="n">
        <v>70.89938125</v>
      </c>
      <c r="AV8" s="31" t="n">
        <v>73.460275</v>
      </c>
      <c r="AW8" s="31" t="n">
        <v>38.671903125</v>
      </c>
      <c r="AX8" s="31" t="n">
        <v>48.122496875</v>
      </c>
      <c r="AY8" s="31" t="n">
        <v>48.141521875</v>
      </c>
      <c r="AZ8" s="32" t="n">
        <v>3538.04</v>
      </c>
      <c r="BA8" s="32" t="n">
        <v>5897.5</v>
      </c>
      <c r="BB8" s="32" t="n">
        <v>58.215</v>
      </c>
      <c r="BC8" s="32" t="n">
        <v>28.753</v>
      </c>
      <c r="BE8" s="68">
        <f>AI8/K8</f>
        <v/>
      </c>
      <c r="BF8" s="34">
        <f>(AP8/AO8) - (R8/Q8)</f>
        <v/>
      </c>
      <c r="BG8" s="34">
        <f>(AL8/AQ8) - (N8/S8)</f>
        <v/>
      </c>
      <c r="BH8" s="34" t="n"/>
      <c r="BJ8" s="68" t="n"/>
      <c r="BK8" s="68" t="n"/>
      <c r="BL8" s="68" t="n"/>
      <c r="BM8" s="68" t="n"/>
      <c r="BN8" s="68" t="n"/>
      <c r="BP8" s="68" t="n"/>
      <c r="BQ8" s="68" t="n"/>
      <c r="BR8" s="68" t="n"/>
      <c r="BS8" s="68" t="n"/>
      <c r="BT8" s="68" t="n"/>
    </row>
    <row outlineLevel="1" r="9" s="86">
      <c r="A9" s="142" t="n"/>
      <c r="B9" s="35" t="inlineStr">
        <is>
          <t>8ivfbv2_loot_vox10</t>
        </is>
      </c>
      <c r="C9" s="36" t="inlineStr">
        <is>
          <t>r05</t>
        </is>
      </c>
      <c r="D9" s="35" t="n">
        <v>238146391</v>
      </c>
      <c r="E9" s="36" t="n">
        <v>10</v>
      </c>
      <c r="F9" s="36" t="n">
        <v>32</v>
      </c>
      <c r="G9" s="36" t="n">
        <v>30</v>
      </c>
      <c r="I9" s="37">
        <f>IF(OR(ISBLANK(S9),ISBLANK(G9)),"·",S9*G9/F9/1000000)</f>
        <v/>
      </c>
      <c r="J9" s="38">
        <f>IF(ISBLANK(S9),"·",S9/D9)</f>
        <v/>
      </c>
      <c r="K9" s="38">
        <f>IF(N9="","·",N9/D9)</f>
        <v/>
      </c>
      <c r="L9" s="38">
        <f>IF(T9="","·",T9/D9)</f>
        <v/>
      </c>
      <c r="M9" s="38">
        <f>IF(ISBLANK(V9),"·",V9/D9)</f>
        <v/>
      </c>
      <c r="N9" s="35">
        <f>IF(OR(ISBLANK(T9),ISBLANK(U9)),"",T9+U9)</f>
        <v/>
      </c>
      <c r="O9" s="38" t="n">
        <v>16</v>
      </c>
      <c r="P9" s="39" t="n">
        <v>24903158</v>
      </c>
      <c r="Q9" s="39" t="n">
        <v>778223.6875</v>
      </c>
      <c r="R9" s="39" t="n">
        <v>10582.96875</v>
      </c>
      <c r="S9" s="40" t="n">
        <v>6802712</v>
      </c>
      <c r="T9" s="40" t="n">
        <v>2892920</v>
      </c>
      <c r="U9" s="40" t="n">
        <v>815032</v>
      </c>
      <c r="V9" s="40" t="n">
        <v>3094760</v>
      </c>
      <c r="W9" s="41" t="n">
        <v>71.93204375000001</v>
      </c>
      <c r="X9" s="41" t="n">
        <v>75.246165625</v>
      </c>
      <c r="Y9" s="41" t="n">
        <v>41.1468125</v>
      </c>
      <c r="Z9" s="41" t="n">
        <v>49.54060625</v>
      </c>
      <c r="AA9" s="41" t="n">
        <v>49.645290625</v>
      </c>
      <c r="AB9" s="42" t="n">
        <v>3576.17</v>
      </c>
      <c r="AC9" s="42" t="n">
        <v>6550.61</v>
      </c>
      <c r="AD9" s="42" t="n">
        <v>8.254</v>
      </c>
      <c r="AE9" s="42" t="n">
        <v>29.589</v>
      </c>
      <c r="AG9" s="37">
        <f>IF(OR(ISBLANK(AQ9),ISBLANK(G9)),"·",AQ9*G9/F9/1000000)</f>
        <v/>
      </c>
      <c r="AH9" s="38">
        <f>IF(ISBLANK(AQ9),"·",AQ9/D9)</f>
        <v/>
      </c>
      <c r="AI9" s="38">
        <f>IF(AL9="","·",AL9/D9)</f>
        <v/>
      </c>
      <c r="AJ9" s="38">
        <f>IF(AR9="","·",AR9/D9)</f>
        <v/>
      </c>
      <c r="AK9" s="38">
        <f>IF(ISBLANK(AT9),"·",AT9/D9)</f>
        <v/>
      </c>
      <c r="AL9" s="35">
        <f>IF(OR(ISBLANK(AR9),ISBLANK(AS9)),"",AR9+AS9)</f>
        <v/>
      </c>
      <c r="AM9" s="38" t="n">
        <v>16</v>
      </c>
      <c r="AN9" s="39" t="n">
        <v>24903158</v>
      </c>
      <c r="AO9" s="39" t="n">
        <v>778223.6875</v>
      </c>
      <c r="AP9" s="39" t="n">
        <v>10582.96875</v>
      </c>
      <c r="AQ9" s="40" t="n">
        <v>6728912</v>
      </c>
      <c r="AR9" s="40" t="n">
        <v>2892920</v>
      </c>
      <c r="AS9" s="40" t="n">
        <v>815032</v>
      </c>
      <c r="AT9" s="40" t="n">
        <v>3020960</v>
      </c>
      <c r="AU9" s="41" t="n">
        <v>71.93204375000001</v>
      </c>
      <c r="AV9" s="41" t="n">
        <v>75.246165625</v>
      </c>
      <c r="AW9" s="41" t="n">
        <v>41.135640625</v>
      </c>
      <c r="AX9" s="41" t="n">
        <v>49.5454625</v>
      </c>
      <c r="AY9" s="41" t="n">
        <v>49.6865875</v>
      </c>
      <c r="AZ9" s="42" t="n">
        <v>3535.68</v>
      </c>
      <c r="BA9" s="42" t="n">
        <v>6522.97</v>
      </c>
      <c r="BB9" s="42" t="n">
        <v>56.123</v>
      </c>
      <c r="BC9" s="42" t="n">
        <v>30.396</v>
      </c>
      <c r="BE9" s="43">
        <f>AI9/K9</f>
        <v/>
      </c>
      <c r="BF9" s="44">
        <f>(AP9/AO9) - (R9/Q9)</f>
        <v/>
      </c>
      <c r="BG9" s="44">
        <f>(AL9/AQ9) - (N9/S9)</f>
        <v/>
      </c>
      <c r="BH9" s="44" t="n"/>
      <c r="BJ9" s="43" t="n"/>
      <c r="BK9" s="43" t="n"/>
      <c r="BL9" s="43" t="n"/>
      <c r="BM9" s="43" t="n"/>
      <c r="BN9" s="43" t="n"/>
      <c r="BP9" s="43" t="n"/>
      <c r="BQ9" s="43" t="n"/>
      <c r="BR9" s="43" t="n"/>
      <c r="BS9" s="43" t="n"/>
      <c r="BT9" s="43" t="n"/>
    </row>
    <row r="10">
      <c r="A10" s="25" t="n"/>
      <c r="B10" s="25" t="inlineStr">
        <is>
          <t>8ivfbv2_redandblack_vox10</t>
        </is>
      </c>
      <c r="C10" s="26" t="inlineStr">
        <is>
          <t>r01</t>
        </is>
      </c>
      <c r="D10" s="25" t="n">
        <v>218121242</v>
      </c>
      <c r="E10" s="26" t="n">
        <v>10</v>
      </c>
      <c r="F10" s="26" t="n">
        <v>32</v>
      </c>
      <c r="G10" s="26" t="n">
        <v>30</v>
      </c>
      <c r="I10" s="27">
        <f>IF(OR(ISBLANK(S10),ISBLANK(G10)),"·",S10*G10/F10/1000000)</f>
        <v/>
      </c>
      <c r="J10" s="28">
        <f>IF(ISBLANK(S10),"·",S10/D10)</f>
        <v/>
      </c>
      <c r="K10" s="28">
        <f>IF(N10="","·",N10/D10)</f>
        <v/>
      </c>
      <c r="L10" s="28">
        <f>IF(T10="","·",T10/D10)</f>
        <v/>
      </c>
      <c r="M10" s="28">
        <f>IF(ISBLANK(V10),"·",V10/D10)</f>
        <v/>
      </c>
      <c r="N10" s="25">
        <f>IF(OR(ISBLANK(T10),ISBLANK(U10)),"",T10+U10)</f>
        <v/>
      </c>
      <c r="O10" s="28" t="n">
        <v>16</v>
      </c>
      <c r="P10" s="29" t="n">
        <v>20942558</v>
      </c>
      <c r="Q10" s="29" t="n">
        <v>654454.9375</v>
      </c>
      <c r="R10" s="29" t="n">
        <v>18943.59375</v>
      </c>
      <c r="S10" s="30" t="n">
        <v>2109440</v>
      </c>
      <c r="T10" s="30" t="n">
        <v>896584</v>
      </c>
      <c r="U10" s="30" t="n">
        <v>685008</v>
      </c>
      <c r="V10" s="30" t="n">
        <v>527848</v>
      </c>
      <c r="W10" s="31" t="n">
        <v>65.984046875</v>
      </c>
      <c r="X10" s="31" t="n">
        <v>67.85969375000001</v>
      </c>
      <c r="Y10" s="31" t="n">
        <v>31.013375</v>
      </c>
      <c r="Z10" s="31" t="n">
        <v>38.767165625</v>
      </c>
      <c r="AA10" s="31" t="n">
        <v>30.131440625</v>
      </c>
      <c r="AB10" s="32" t="n">
        <v>3260.45</v>
      </c>
      <c r="AC10" s="32" t="n">
        <v>5986.93</v>
      </c>
      <c r="AD10" s="32" t="n">
        <v>7.327</v>
      </c>
      <c r="AE10" s="32" t="n">
        <v>28.522</v>
      </c>
      <c r="AG10" s="27">
        <f>IF(OR(ISBLANK(AQ10),ISBLANK(G10)),"·",AQ10*G10/F10/1000000)</f>
        <v/>
      </c>
      <c r="AH10" s="28">
        <f>IF(ISBLANK(AQ10),"·",AQ10/D10)</f>
        <v/>
      </c>
      <c r="AI10" s="28">
        <f>IF(AL10="","·",AL10/D10)</f>
        <v/>
      </c>
      <c r="AJ10" s="28">
        <f>IF(AR10="","·",AR10/D10)</f>
        <v/>
      </c>
      <c r="AK10" s="28">
        <f>IF(ISBLANK(AT10),"·",AT10/D10)</f>
        <v/>
      </c>
      <c r="AL10" s="25">
        <f>IF(OR(ISBLANK(AR10),ISBLANK(AS10)),"",AR10+AS10)</f>
        <v/>
      </c>
      <c r="AM10" s="28" t="n">
        <v>16</v>
      </c>
      <c r="AN10" s="29" t="n">
        <v>20942558</v>
      </c>
      <c r="AO10" s="29" t="n">
        <v>654454.9375</v>
      </c>
      <c r="AP10" s="29" t="n">
        <v>18943.59375</v>
      </c>
      <c r="AQ10" s="30" t="n">
        <v>2108344</v>
      </c>
      <c r="AR10" s="30" t="n">
        <v>896584</v>
      </c>
      <c r="AS10" s="30" t="n">
        <v>685008</v>
      </c>
      <c r="AT10" s="30" t="n">
        <v>526752</v>
      </c>
      <c r="AU10" s="31" t="n">
        <v>65.984046875</v>
      </c>
      <c r="AV10" s="31" t="n">
        <v>67.85969375000001</v>
      </c>
      <c r="AW10" s="31" t="n">
        <v>31.01254375</v>
      </c>
      <c r="AX10" s="31" t="n">
        <v>38.7690375</v>
      </c>
      <c r="AY10" s="31" t="n">
        <v>30.06678125</v>
      </c>
      <c r="AZ10" s="32" t="n">
        <v>3217.28</v>
      </c>
      <c r="BA10" s="32" t="n">
        <v>5975.7</v>
      </c>
      <c r="BB10" s="32" t="n">
        <v>47.469</v>
      </c>
      <c r="BC10" s="32" t="n">
        <v>29.51</v>
      </c>
      <c r="BE10" s="68">
        <f>AI10/K10</f>
        <v/>
      </c>
      <c r="BF10" s="34">
        <f>(AP10/AO10) - (R10/Q10)</f>
        <v/>
      </c>
      <c r="BG10" s="34">
        <f>(AL10/AQ10) - (N10/S10)</f>
        <v/>
      </c>
      <c r="BH10" s="34">
        <f ref="BH10" t="array">AVERAGE(AL10:AL14/AQ10:AQ14) - AVERAGE(N10:N14/S10:S14)</f>
        <v/>
      </c>
      <c r="BJ10" s="68">
        <f>IF( OR(ISBLANK(N10:N14),ISBLANK(AL10:AL14), ISBLANK(W10:W14),ISBLANK(AU10:AU14)), "·", bdRateExtend( N10:N14,W10:W14, AL10:AL14,AU10:AU14))</f>
        <v/>
      </c>
      <c r="BK10" s="68">
        <f>IF( OR(ISBLANK(N10:N14),ISBLANK(AL10:AL14), ISBLANK(X10:X14),ISBLANK(AV10:AV14)), "·", bdRateExtend( N10:N14,X10:X14, AL10:AL14,AV10:AV14))</f>
        <v/>
      </c>
      <c r="BL10" s="68">
        <f>IF( OR(ISBLANK(V10:V14),ISBLANK(AT10:AT14), ISBLANK(Y10:Y14),ISBLANK(AW10:AW14)), "·", bdRateExtend( V10:V14,Y10:Y14, AT10:AT14,AW10:AW14))</f>
        <v/>
      </c>
      <c r="BM10" s="68">
        <f>IF( OR(ISBLANK(V10:V14),ISBLANK(AT10:AT14), ISBLANK(Z10:Z14),ISBLANK(AX10:AX14)), "·", bdRateExtend( V10:V14,Z10:Z14, AT10:AT14,AX10:AX14))</f>
        <v/>
      </c>
      <c r="BN10" s="68">
        <f>IF( OR(ISBLANK(V10:V14),ISBLANK(AT10:AT14), ISBLANK(AA10:AA14),ISBLANK(AY10:AY14)), "·", bdRateExtend( V10:V14,AA10:AA14, AT10:AT14,AY10:AY14))</f>
        <v/>
      </c>
      <c r="BP10" s="68">
        <f>IF( OR(ISBLANK(S10:S14),ISBLANK(AQ10:AQ14), ISBLANK(W10:W14),ISBLANK(AU10:AU14)), "·", bdRateExtend( S10:S14,W10:W14, AQ10:AQ14,AU10:AU14))</f>
        <v/>
      </c>
      <c r="BQ10" s="68">
        <f>IF( OR(ISBLANK(S10:S14),ISBLANK(AQ10:AQ14), ISBLANK(X10:X14),ISBLANK(AV10:AV14)), "·", bdRateExtend( S10:S14,X10:X14, AQ10:AQ14,AV10:AV14))</f>
        <v/>
      </c>
      <c r="BR10" s="68">
        <f>IF( OR(ISBLANK(S10:S14),ISBLANK(AQ10:AQ14), ISBLANK(Y10:Y14),ISBLANK(AW10:AW14)), "·", bdRateExtend( S10:S14,Y10:Y14, AQ10:AQ14,AW10:AW14))</f>
        <v/>
      </c>
      <c r="BS10" s="68">
        <f>IF( OR(ISBLANK(S10:S14),ISBLANK(AQ10:AQ14), ISBLANK(Z10:Z14),ISBLANK(AX10:AX14)), "·", bdRateExtend( S10:S14,Z10:Z14, AQ10:AQ14,AX10:AX14))</f>
        <v/>
      </c>
      <c r="BT10" s="68">
        <f>IF( OR(ISBLANK(S10:S14),ISBLANK(AQ10:AQ14), ISBLANK(AA10:AA14),ISBLANK(AY10:AY14)), "·", bdRateExtend( S10:S14,AA10:AA14, AQ10:AQ14,AY10:AY14))</f>
        <v/>
      </c>
    </row>
    <row outlineLevel="1" r="11" s="86">
      <c r="A11" s="142" t="n"/>
      <c r="B11" s="142" t="inlineStr">
        <is>
          <t>8ivfbv2_redandblack_vox10</t>
        </is>
      </c>
      <c r="C11" s="16" t="inlineStr">
        <is>
          <t>r02</t>
        </is>
      </c>
      <c r="D11" s="142" t="n">
        <v>218121242</v>
      </c>
      <c r="E11" s="16" t="n">
        <v>10</v>
      </c>
      <c r="F11" s="16" t="n">
        <v>32</v>
      </c>
      <c r="G11" s="16" t="n">
        <v>30</v>
      </c>
      <c r="I11" s="17">
        <f>IF(OR(ISBLANK(S11),ISBLANK(G11)),"·",S11*G11/F11/1000000)</f>
        <v/>
      </c>
      <c r="J11" s="18">
        <f>IF(ISBLANK(S11),"·",S11/D11)</f>
        <v/>
      </c>
      <c r="K11" s="18">
        <f>IF(N11="","·",N11/D11)</f>
        <v/>
      </c>
      <c r="L11" s="18">
        <f>IF(T11="","·",T11/D11)</f>
        <v/>
      </c>
      <c r="M11" s="18">
        <f>IF(ISBLANK(V11),"·",V11/D11)</f>
        <v/>
      </c>
      <c r="N11" s="142">
        <f>IF(OR(ISBLANK(T11),ISBLANK(U11)),"",T11+U11)</f>
        <v/>
      </c>
      <c r="O11" s="18" t="n">
        <v>16</v>
      </c>
      <c r="P11" s="19" t="n">
        <v>22233167</v>
      </c>
      <c r="Q11" s="19" t="n">
        <v>694786.46875</v>
      </c>
      <c r="R11" s="19" t="n">
        <v>23204.09375</v>
      </c>
      <c r="S11" s="20" t="n">
        <v>2882552</v>
      </c>
      <c r="T11" s="20" t="n">
        <v>1256240</v>
      </c>
      <c r="U11" s="20" t="n">
        <v>685008</v>
      </c>
      <c r="V11" s="20" t="n">
        <v>941304</v>
      </c>
      <c r="W11" s="21" t="n">
        <v>67.67473124999999</v>
      </c>
      <c r="X11" s="21" t="n">
        <v>69.75345625</v>
      </c>
      <c r="Y11" s="21" t="n">
        <v>32.828746875</v>
      </c>
      <c r="Z11" s="21" t="n">
        <v>39.6533375</v>
      </c>
      <c r="AA11" s="21" t="n">
        <v>32.228321875</v>
      </c>
      <c r="AB11" s="22" t="n">
        <v>3252.09</v>
      </c>
      <c r="AC11" s="22" t="n">
        <v>6407</v>
      </c>
      <c r="AD11" s="22" t="n">
        <v>7.738</v>
      </c>
      <c r="AE11" s="22" t="n">
        <v>29.444</v>
      </c>
      <c r="AG11" s="17">
        <f>IF(OR(ISBLANK(AQ11),ISBLANK(G11)),"·",AQ11*G11/F11/1000000)</f>
        <v/>
      </c>
      <c r="AH11" s="18">
        <f>IF(ISBLANK(AQ11),"·",AQ11/D11)</f>
        <v/>
      </c>
      <c r="AI11" s="18">
        <f>IF(AL11="","·",AL11/D11)</f>
        <v/>
      </c>
      <c r="AJ11" s="18">
        <f>IF(AR11="","·",AR11/D11)</f>
        <v/>
      </c>
      <c r="AK11" s="18">
        <f>IF(ISBLANK(AT11),"·",AT11/D11)</f>
        <v/>
      </c>
      <c r="AL11" s="142">
        <f>IF(OR(ISBLANK(AR11),ISBLANK(AS11)),"",AR11+AS11)</f>
        <v/>
      </c>
      <c r="AM11" s="18" t="n">
        <v>16</v>
      </c>
      <c r="AN11" s="19" t="n">
        <v>22233167</v>
      </c>
      <c r="AO11" s="19" t="n">
        <v>694786.46875</v>
      </c>
      <c r="AP11" s="19" t="n">
        <v>23204.09375</v>
      </c>
      <c r="AQ11" s="20" t="n">
        <v>2879752</v>
      </c>
      <c r="AR11" s="20" t="n">
        <v>1256240</v>
      </c>
      <c r="AS11" s="20" t="n">
        <v>685008</v>
      </c>
      <c r="AT11" s="20" t="n">
        <v>938504</v>
      </c>
      <c r="AU11" s="21" t="n">
        <v>67.67473124999999</v>
      </c>
      <c r="AV11" s="21" t="n">
        <v>69.75345625</v>
      </c>
      <c r="AW11" s="21" t="n">
        <v>32.861965625</v>
      </c>
      <c r="AX11" s="21" t="n">
        <v>39.68571875</v>
      </c>
      <c r="AY11" s="21" t="n">
        <v>32.24159375</v>
      </c>
      <c r="AZ11" s="22" t="n">
        <v>3200.84</v>
      </c>
      <c r="BA11" s="22" t="n">
        <v>6403.66</v>
      </c>
      <c r="BB11" s="22" t="n">
        <v>50.115</v>
      </c>
      <c r="BC11" s="22" t="n">
        <v>30.085</v>
      </c>
      <c r="BE11" s="72">
        <f>AI11/K11</f>
        <v/>
      </c>
      <c r="BF11" s="24">
        <f>(AP11/AO11) - (R11/Q11)</f>
        <v/>
      </c>
      <c r="BG11" s="24">
        <f>(AL11/AQ11) - (N11/S11)</f>
        <v/>
      </c>
      <c r="BH11" s="24" t="n"/>
      <c r="BJ11" s="72" t="n"/>
      <c r="BK11" s="72" t="n"/>
      <c r="BL11" s="72" t="n"/>
      <c r="BM11" s="72" t="n"/>
      <c r="BN11" s="72" t="n"/>
      <c r="BP11" s="72" t="n"/>
      <c r="BQ11" s="72" t="n"/>
      <c r="BR11" s="72" t="n"/>
      <c r="BS11" s="72" t="n"/>
      <c r="BT11" s="72" t="n"/>
    </row>
    <row outlineLevel="1" r="12" s="86">
      <c r="A12" s="25" t="n"/>
      <c r="B12" s="25" t="inlineStr">
        <is>
          <t>8ivfbv2_redandblack_vox10</t>
        </is>
      </c>
      <c r="C12" s="26" t="inlineStr">
        <is>
          <t>r03</t>
        </is>
      </c>
      <c r="D12" s="25" t="n">
        <v>218121242</v>
      </c>
      <c r="E12" s="26" t="n">
        <v>10</v>
      </c>
      <c r="F12" s="26" t="n">
        <v>32</v>
      </c>
      <c r="G12" s="26" t="n">
        <v>30</v>
      </c>
      <c r="I12" s="27">
        <f>IF(OR(ISBLANK(S12),ISBLANK(G12)),"·",S12*G12/F12/1000000)</f>
        <v/>
      </c>
      <c r="J12" s="28">
        <f>IF(ISBLANK(S12),"·",S12/D12)</f>
        <v/>
      </c>
      <c r="K12" s="28">
        <f>IF(N12="","·",N12/D12)</f>
        <v/>
      </c>
      <c r="L12" s="28">
        <f>IF(T12="","·",T12/D12)</f>
        <v/>
      </c>
      <c r="M12" s="28">
        <f>IF(ISBLANK(V12),"·",V12/D12)</f>
        <v/>
      </c>
      <c r="N12" s="25">
        <f>IF(OR(ISBLANK(T12),ISBLANK(U12)),"",T12+U12)</f>
        <v/>
      </c>
      <c r="O12" s="28" t="n">
        <v>16</v>
      </c>
      <c r="P12" s="29" t="n">
        <v>22569901</v>
      </c>
      <c r="Q12" s="29" t="n">
        <v>705309.40625</v>
      </c>
      <c r="R12" s="29" t="n">
        <v>24721.9375</v>
      </c>
      <c r="S12" s="30" t="n">
        <v>4110664</v>
      </c>
      <c r="T12" s="30" t="n">
        <v>1805408</v>
      </c>
      <c r="U12" s="30" t="n">
        <v>685008</v>
      </c>
      <c r="V12" s="30" t="n">
        <v>1620248</v>
      </c>
      <c r="W12" s="31" t="n">
        <v>69.00945</v>
      </c>
      <c r="X12" s="31" t="n">
        <v>71.379971875</v>
      </c>
      <c r="Y12" s="31" t="n">
        <v>34.879440625</v>
      </c>
      <c r="Z12" s="31" t="n">
        <v>40.63448125</v>
      </c>
      <c r="AA12" s="31" t="n">
        <v>34.126809375</v>
      </c>
      <c r="AB12" s="32" t="n">
        <v>3256.45</v>
      </c>
      <c r="AC12" s="32" t="n">
        <v>6837.16</v>
      </c>
      <c r="AD12" s="32" t="n">
        <v>7.795</v>
      </c>
      <c r="AE12" s="32" t="n">
        <v>29.876</v>
      </c>
      <c r="AG12" s="27">
        <f>IF(OR(ISBLANK(AQ12),ISBLANK(G12)),"·",AQ12*G12/F12/1000000)</f>
        <v/>
      </c>
      <c r="AH12" s="28">
        <f>IF(ISBLANK(AQ12),"·",AQ12/D12)</f>
        <v/>
      </c>
      <c r="AI12" s="28">
        <f>IF(AL12="","·",AL12/D12)</f>
        <v/>
      </c>
      <c r="AJ12" s="28">
        <f>IF(AR12="","·",AR12/D12)</f>
        <v/>
      </c>
      <c r="AK12" s="28">
        <f>IF(ISBLANK(AT12),"·",AT12/D12)</f>
        <v/>
      </c>
      <c r="AL12" s="25">
        <f>IF(OR(ISBLANK(AR12),ISBLANK(AS12)),"",AR12+AS12)</f>
        <v/>
      </c>
      <c r="AM12" s="28" t="n">
        <v>16</v>
      </c>
      <c r="AN12" s="29" t="n">
        <v>22569901</v>
      </c>
      <c r="AO12" s="29" t="n">
        <v>705309.40625</v>
      </c>
      <c r="AP12" s="29" t="n">
        <v>24721.9375</v>
      </c>
      <c r="AQ12" s="30" t="n">
        <v>4105928</v>
      </c>
      <c r="AR12" s="30" t="n">
        <v>1805408</v>
      </c>
      <c r="AS12" s="30" t="n">
        <v>685008</v>
      </c>
      <c r="AT12" s="30" t="n">
        <v>1615512</v>
      </c>
      <c r="AU12" s="31" t="n">
        <v>69.00945</v>
      </c>
      <c r="AV12" s="31" t="n">
        <v>71.379971875</v>
      </c>
      <c r="AW12" s="31" t="n">
        <v>34.8605875</v>
      </c>
      <c r="AX12" s="31" t="n">
        <v>40.655971875</v>
      </c>
      <c r="AY12" s="31" t="n">
        <v>34.14008125</v>
      </c>
      <c r="AZ12" s="32" t="n">
        <v>3193.76</v>
      </c>
      <c r="BA12" s="32" t="n">
        <v>6791.97</v>
      </c>
      <c r="BB12" s="32" t="n">
        <v>51.034</v>
      </c>
      <c r="BC12" s="32" t="n">
        <v>31.557</v>
      </c>
      <c r="BE12" s="68">
        <f>AI12/K12</f>
        <v/>
      </c>
      <c r="BF12" s="34">
        <f>(AP12/AO12) - (R12/Q12)</f>
        <v/>
      </c>
      <c r="BG12" s="34">
        <f>(AL12/AQ12) - (N12/S12)</f>
        <v/>
      </c>
      <c r="BH12" s="34" t="n"/>
      <c r="BJ12" s="68" t="n"/>
      <c r="BK12" s="68" t="n"/>
      <c r="BL12" s="68" t="n"/>
      <c r="BM12" s="68" t="n"/>
      <c r="BN12" s="68" t="n"/>
      <c r="BP12" s="68" t="n"/>
      <c r="BQ12" s="68" t="n"/>
      <c r="BR12" s="68" t="n"/>
      <c r="BS12" s="68" t="n"/>
      <c r="BT12" s="68" t="n"/>
    </row>
    <row outlineLevel="1" r="13" s="86">
      <c r="A13" s="142" t="n"/>
      <c r="B13" s="142" t="inlineStr">
        <is>
          <t>8ivfbv2_redandblack_vox10</t>
        </is>
      </c>
      <c r="C13" s="16" t="inlineStr">
        <is>
          <t>r04</t>
        </is>
      </c>
      <c r="D13" s="142" t="n">
        <v>218121242</v>
      </c>
      <c r="E13" s="16" t="n">
        <v>10</v>
      </c>
      <c r="F13" s="16" t="n">
        <v>32</v>
      </c>
      <c r="G13" s="16" t="n">
        <v>30</v>
      </c>
      <c r="I13" s="17">
        <f>IF(OR(ISBLANK(S13),ISBLANK(G13)),"·",S13*G13/F13/1000000)</f>
        <v/>
      </c>
      <c r="J13" s="18">
        <f>IF(ISBLANK(S13),"·",S13/D13)</f>
        <v/>
      </c>
      <c r="K13" s="18">
        <f>IF(N13="","·",N13/D13)</f>
        <v/>
      </c>
      <c r="L13" s="18">
        <f>IF(T13="","·",T13/D13)</f>
        <v/>
      </c>
      <c r="M13" s="18">
        <f>IF(ISBLANK(V13),"·",V13/D13)</f>
        <v/>
      </c>
      <c r="N13" s="142">
        <f>IF(OR(ISBLANK(T13),ISBLANK(U13)),"",T13+U13)</f>
        <v/>
      </c>
      <c r="O13" s="18" t="n">
        <v>16</v>
      </c>
      <c r="P13" s="19" t="n">
        <v>23308443</v>
      </c>
      <c r="Q13" s="19" t="n">
        <v>728388.84375</v>
      </c>
      <c r="R13" s="19" t="n">
        <v>27991.21875</v>
      </c>
      <c r="S13" s="20" t="n">
        <v>6639768</v>
      </c>
      <c r="T13" s="20" t="n">
        <v>2787480</v>
      </c>
      <c r="U13" s="20" t="n">
        <v>685008</v>
      </c>
      <c r="V13" s="20" t="n">
        <v>3167280</v>
      </c>
      <c r="W13" s="21" t="n">
        <v>70.0602875</v>
      </c>
      <c r="X13" s="21" t="n">
        <v>72.567171875</v>
      </c>
      <c r="Y13" s="21" t="n">
        <v>37.06</v>
      </c>
      <c r="Z13" s="21" t="n">
        <v>41.690990625</v>
      </c>
      <c r="AA13" s="21" t="n">
        <v>36.08326875</v>
      </c>
      <c r="AB13" s="22" t="n">
        <v>3268.73</v>
      </c>
      <c r="AC13" s="22" t="n">
        <v>7319.83</v>
      </c>
      <c r="AD13" s="22" t="n">
        <v>7.792</v>
      </c>
      <c r="AE13" s="22" t="n">
        <v>30.596</v>
      </c>
      <c r="AG13" s="17">
        <f>IF(OR(ISBLANK(AQ13),ISBLANK(G13)),"·",AQ13*G13/F13/1000000)</f>
        <v/>
      </c>
      <c r="AH13" s="18">
        <f>IF(ISBLANK(AQ13),"·",AQ13/D13)</f>
        <v/>
      </c>
      <c r="AI13" s="18">
        <f>IF(AL13="","·",AL13/D13)</f>
        <v/>
      </c>
      <c r="AJ13" s="18">
        <f>IF(AR13="","·",AR13/D13)</f>
        <v/>
      </c>
      <c r="AK13" s="18">
        <f>IF(ISBLANK(AT13),"·",AT13/D13)</f>
        <v/>
      </c>
      <c r="AL13" s="142">
        <f>IF(OR(ISBLANK(AR13),ISBLANK(AS13)),"",AR13+AS13)</f>
        <v/>
      </c>
      <c r="AM13" s="18" t="n">
        <v>16</v>
      </c>
      <c r="AN13" s="19" t="n">
        <v>23308443</v>
      </c>
      <c r="AO13" s="19" t="n">
        <v>728388.84375</v>
      </c>
      <c r="AP13" s="19" t="n">
        <v>27991.21875</v>
      </c>
      <c r="AQ13" s="20" t="n">
        <v>6618648</v>
      </c>
      <c r="AR13" s="20" t="n">
        <v>2787480</v>
      </c>
      <c r="AS13" s="20" t="n">
        <v>685008</v>
      </c>
      <c r="AT13" s="20" t="n">
        <v>3146160</v>
      </c>
      <c r="AU13" s="21" t="n">
        <v>70.0602875</v>
      </c>
      <c r="AV13" s="21" t="n">
        <v>72.567171875</v>
      </c>
      <c r="AW13" s="21" t="n">
        <v>37.05066875</v>
      </c>
      <c r="AX13" s="21" t="n">
        <v>41.679996875</v>
      </c>
      <c r="AY13" s="21" t="n">
        <v>36.076628125</v>
      </c>
      <c r="AZ13" s="22" t="n">
        <v>3211.97</v>
      </c>
      <c r="BA13" s="22" t="n">
        <v>7282.21</v>
      </c>
      <c r="BB13" s="22" t="n">
        <v>52.479</v>
      </c>
      <c r="BC13" s="22" t="n">
        <v>32.411</v>
      </c>
      <c r="BE13" s="72">
        <f>AI13/K13</f>
        <v/>
      </c>
      <c r="BF13" s="24">
        <f>(AP13/AO13) - (R13/Q13)</f>
        <v/>
      </c>
      <c r="BG13" s="24">
        <f>(AL13/AQ13) - (N13/S13)</f>
        <v/>
      </c>
      <c r="BH13" s="24" t="n"/>
      <c r="BJ13" s="72" t="n"/>
      <c r="BK13" s="72" t="n"/>
      <c r="BL13" s="72" t="n"/>
      <c r="BM13" s="72" t="n"/>
      <c r="BN13" s="72" t="n"/>
      <c r="BP13" s="72" t="n"/>
      <c r="BQ13" s="72" t="n"/>
      <c r="BR13" s="72" t="n"/>
      <c r="BS13" s="72" t="n"/>
      <c r="BT13" s="72" t="n"/>
    </row>
    <row outlineLevel="1" r="14" s="86">
      <c r="A14" s="25" t="n"/>
      <c r="B14" s="45" t="inlineStr">
        <is>
          <t>8ivfbv2_redandblack_vox10</t>
        </is>
      </c>
      <c r="C14" s="46" t="inlineStr">
        <is>
          <t>r05</t>
        </is>
      </c>
      <c r="D14" s="45" t="n">
        <v>218121242</v>
      </c>
      <c r="E14" s="46" t="n">
        <v>10</v>
      </c>
      <c r="F14" s="46" t="n">
        <v>32</v>
      </c>
      <c r="G14" s="46" t="n">
        <v>30</v>
      </c>
      <c r="I14" s="47">
        <f>IF(OR(ISBLANK(S14),ISBLANK(G14)),"·",S14*G14/F14/1000000)</f>
        <v/>
      </c>
      <c r="J14" s="48">
        <f>IF(ISBLANK(S14),"·",S14/D14)</f>
        <v/>
      </c>
      <c r="K14" s="48">
        <f>IF(N14="","·",N14/D14)</f>
        <v/>
      </c>
      <c r="L14" s="48">
        <f>IF(T14="","·",T14/D14)</f>
        <v/>
      </c>
      <c r="M14" s="48">
        <f>IF(ISBLANK(V14),"·",V14/D14)</f>
        <v/>
      </c>
      <c r="N14" s="45">
        <f>IF(OR(ISBLANK(T14),ISBLANK(U14)),"",T14+U14)</f>
        <v/>
      </c>
      <c r="O14" s="48" t="n">
        <v>16</v>
      </c>
      <c r="P14" s="49" t="n">
        <v>22150010</v>
      </c>
      <c r="Q14" s="49" t="n">
        <v>692187.8125</v>
      </c>
      <c r="R14" s="49" t="n">
        <v>13331.5625</v>
      </c>
      <c r="S14" s="50" t="n">
        <v>13085504</v>
      </c>
      <c r="T14" s="50" t="n">
        <v>4524160</v>
      </c>
      <c r="U14" s="50" t="n">
        <v>1326776</v>
      </c>
      <c r="V14" s="50" t="n">
        <v>7234568</v>
      </c>
      <c r="W14" s="51" t="n">
        <v>70.920671875</v>
      </c>
      <c r="X14" s="51" t="n">
        <v>74.6326625</v>
      </c>
      <c r="Y14" s="51" t="n">
        <v>39.462553125</v>
      </c>
      <c r="Z14" s="51" t="n">
        <v>42.97353125</v>
      </c>
      <c r="AA14" s="51" t="n">
        <v>38.239546875</v>
      </c>
      <c r="AB14" s="52" t="n">
        <v>3245.79</v>
      </c>
      <c r="AC14" s="52" t="n">
        <v>8031.97</v>
      </c>
      <c r="AD14" s="52" t="n">
        <v>7.623</v>
      </c>
      <c r="AE14" s="52" t="n">
        <v>31.905</v>
      </c>
      <c r="AG14" s="47">
        <f>IF(OR(ISBLANK(AQ14),ISBLANK(G14)),"·",AQ14*G14/F14/1000000)</f>
        <v/>
      </c>
      <c r="AH14" s="48">
        <f>IF(ISBLANK(AQ14),"·",AQ14/D14)</f>
        <v/>
      </c>
      <c r="AI14" s="48">
        <f>IF(AL14="","·",AL14/D14)</f>
        <v/>
      </c>
      <c r="AJ14" s="48">
        <f>IF(AR14="","·",AR14/D14)</f>
        <v/>
      </c>
      <c r="AK14" s="48">
        <f>IF(ISBLANK(AT14),"·",AT14/D14)</f>
        <v/>
      </c>
      <c r="AL14" s="45">
        <f>IF(OR(ISBLANK(AR14),ISBLANK(AS14)),"",AR14+AS14)</f>
        <v/>
      </c>
      <c r="AM14" s="48" t="n">
        <v>16</v>
      </c>
      <c r="AN14" s="49" t="n">
        <v>22150010</v>
      </c>
      <c r="AO14" s="49" t="n">
        <v>692187.8125</v>
      </c>
      <c r="AP14" s="49" t="n">
        <v>13331.5625</v>
      </c>
      <c r="AQ14" s="50" t="n">
        <v>13056576</v>
      </c>
      <c r="AR14" s="50" t="n">
        <v>4524160</v>
      </c>
      <c r="AS14" s="50" t="n">
        <v>1326776</v>
      </c>
      <c r="AT14" s="50" t="n">
        <v>7205640</v>
      </c>
      <c r="AU14" s="51" t="n">
        <v>70.920671875</v>
      </c>
      <c r="AV14" s="51" t="n">
        <v>74.6326625</v>
      </c>
      <c r="AW14" s="51" t="n">
        <v>39.4778</v>
      </c>
      <c r="AX14" s="51" t="n">
        <v>42.980525</v>
      </c>
      <c r="AY14" s="51" t="n">
        <v>38.260321875</v>
      </c>
      <c r="AZ14" s="52" t="n">
        <v>3206.82</v>
      </c>
      <c r="BA14" s="52" t="n">
        <v>8070.62</v>
      </c>
      <c r="BB14" s="52" t="n">
        <v>49.944</v>
      </c>
      <c r="BC14" s="52" t="n">
        <v>33.672</v>
      </c>
      <c r="BE14" s="53">
        <f>AI14/K14</f>
        <v/>
      </c>
      <c r="BF14" s="54">
        <f>(AP14/AO14) - (R14/Q14)</f>
        <v/>
      </c>
      <c r="BG14" s="54">
        <f>(AL14/AQ14) - (N14/S14)</f>
        <v/>
      </c>
      <c r="BH14" s="54" t="n"/>
      <c r="BJ14" s="53" t="n"/>
      <c r="BK14" s="53" t="n"/>
      <c r="BL14" s="53" t="n"/>
      <c r="BM14" s="53" t="n"/>
      <c r="BN14" s="53" t="n"/>
      <c r="BP14" s="53" t="n"/>
      <c r="BQ14" s="53" t="n"/>
      <c r="BR14" s="53" t="n"/>
      <c r="BS14" s="53" t="n"/>
      <c r="BT14" s="53" t="n"/>
    </row>
    <row r="15">
      <c r="A15" s="142" t="n"/>
      <c r="B15" s="142" t="inlineStr">
        <is>
          <t>8ivfbv2_soldier_vox10</t>
        </is>
      </c>
      <c r="C15" s="16" t="inlineStr">
        <is>
          <t>r01</t>
        </is>
      </c>
      <c r="D15" s="142" t="n">
        <v>322589704</v>
      </c>
      <c r="E15" s="16" t="n">
        <v>10</v>
      </c>
      <c r="F15" s="16" t="n">
        <v>32</v>
      </c>
      <c r="G15" s="16" t="n">
        <v>30</v>
      </c>
      <c r="I15" s="17">
        <f>IF(OR(ISBLANK(S15),ISBLANK(G15)),"·",S15*G15/F15/1000000)</f>
        <v/>
      </c>
      <c r="J15" s="18">
        <f>IF(ISBLANK(S15),"·",S15/D15)</f>
        <v/>
      </c>
      <c r="K15" s="18">
        <f>IF(N15="","·",N15/D15)</f>
        <v/>
      </c>
      <c r="L15" s="18">
        <f>IF(T15="","·",T15/D15)</f>
        <v/>
      </c>
      <c r="M15" s="18">
        <f>IF(ISBLANK(V15),"·",V15/D15)</f>
        <v/>
      </c>
      <c r="N15" s="142">
        <f>IF(OR(ISBLANK(T15),ISBLANK(U15)),"",T15+U15)</f>
        <v/>
      </c>
      <c r="O15" s="18" t="n">
        <v>16</v>
      </c>
      <c r="P15" s="19" t="n">
        <v>32415907</v>
      </c>
      <c r="Q15" s="19" t="n">
        <v>1012997.09375</v>
      </c>
      <c r="R15" s="19" t="n">
        <v>32038.09375</v>
      </c>
      <c r="S15" s="20" t="n">
        <v>1736592</v>
      </c>
      <c r="T15" s="20" t="n">
        <v>763136</v>
      </c>
      <c r="U15" s="20" t="n">
        <v>697096</v>
      </c>
      <c r="V15" s="20" t="n">
        <v>276360</v>
      </c>
      <c r="W15" s="21" t="n">
        <v>66.29876874999999</v>
      </c>
      <c r="X15" s="21" t="n">
        <v>67.850190625</v>
      </c>
      <c r="Y15" s="21" t="n">
        <v>29.2416375</v>
      </c>
      <c r="Z15" s="21" t="n">
        <v>43.35613125</v>
      </c>
      <c r="AA15" s="21" t="n">
        <v>43.67080625</v>
      </c>
      <c r="AB15" s="22" t="n">
        <v>4701.69</v>
      </c>
      <c r="AC15" s="22" t="n">
        <v>4736.89</v>
      </c>
      <c r="AD15" s="22" t="n">
        <v>9.885999999999999</v>
      </c>
      <c r="AE15" s="22" t="n">
        <v>25.794</v>
      </c>
      <c r="AG15" s="17">
        <f>IF(OR(ISBLANK(AQ15),ISBLANK(G15)),"·",AQ15*G15/F15/1000000)</f>
        <v/>
      </c>
      <c r="AH15" s="18">
        <f>IF(ISBLANK(AQ15),"·",AQ15/D15)</f>
        <v/>
      </c>
      <c r="AI15" s="18">
        <f>IF(AL15="","·",AL15/D15)</f>
        <v/>
      </c>
      <c r="AJ15" s="18">
        <f>IF(AR15="","·",AR15/D15)</f>
        <v/>
      </c>
      <c r="AK15" s="18">
        <f>IF(ISBLANK(AT15),"·",AT15/D15)</f>
        <v/>
      </c>
      <c r="AL15" s="142">
        <f>IF(OR(ISBLANK(AR15),ISBLANK(AS15)),"",AR15+AS15)</f>
        <v/>
      </c>
      <c r="AM15" s="18" t="n">
        <v>16</v>
      </c>
      <c r="AN15" s="19" t="n">
        <v>32415907</v>
      </c>
      <c r="AO15" s="19" t="n">
        <v>1012997.09375</v>
      </c>
      <c r="AP15" s="19" t="n">
        <v>32038.09375</v>
      </c>
      <c r="AQ15" s="20" t="n">
        <v>1735160</v>
      </c>
      <c r="AR15" s="20" t="n">
        <v>763136</v>
      </c>
      <c r="AS15" s="20" t="n">
        <v>697096</v>
      </c>
      <c r="AT15" s="20" t="n">
        <v>274928</v>
      </c>
      <c r="AU15" s="21" t="n">
        <v>66.29876874999999</v>
      </c>
      <c r="AV15" s="21" t="n">
        <v>67.850190625</v>
      </c>
      <c r="AW15" s="21" t="n">
        <v>29.251728125</v>
      </c>
      <c r="AX15" s="21" t="n">
        <v>43.4881125</v>
      </c>
      <c r="AY15" s="21" t="n">
        <v>43.71625625</v>
      </c>
      <c r="AZ15" s="22" t="n">
        <v>4608.56</v>
      </c>
      <c r="BA15" s="22" t="n">
        <v>4712.86</v>
      </c>
      <c r="BB15" s="22" t="n">
        <v>72.819</v>
      </c>
      <c r="BC15" s="22" t="n">
        <v>27.374</v>
      </c>
      <c r="BE15" s="72">
        <f>AI15/K15</f>
        <v/>
      </c>
      <c r="BF15" s="24">
        <f>(AP15/AO15) - (R15/Q15)</f>
        <v/>
      </c>
      <c r="BG15" s="24">
        <f>(AL15/AQ15) - (N15/S15)</f>
        <v/>
      </c>
      <c r="BH15" s="24">
        <f ref="BH15" t="array">AVERAGE(AL15:AL19/AQ15:AQ19) - AVERAGE(N15:N19/S15:S19)</f>
        <v/>
      </c>
      <c r="BJ15" s="72">
        <f>IF( OR(ISBLANK(N15:N19),ISBLANK(AL15:AL19), ISBLANK(W15:W19),ISBLANK(AU15:AU19)), "·", bdRateExtend( N15:N19,W15:W19, AL15:AL19,AU15:AU19))</f>
        <v/>
      </c>
      <c r="BK15" s="72">
        <f>IF( OR(ISBLANK(N15:N19),ISBLANK(AL15:AL19), ISBLANK(X15:X19),ISBLANK(AV15:AV19)), "·", bdRateExtend( N15:N19,X15:X19, AL15:AL19,AV15:AV19))</f>
        <v/>
      </c>
      <c r="BL15" s="72">
        <f>IF( OR(ISBLANK(V15:V19),ISBLANK(AT15:AT19), ISBLANK(Y15:Y19),ISBLANK(AW15:AW19)), "·", bdRateExtend( V15:V19,Y15:Y19, AT15:AT19,AW15:AW19))</f>
        <v/>
      </c>
      <c r="BM15" s="72">
        <f>IF( OR(ISBLANK(V15:V19),ISBLANK(AT15:AT19), ISBLANK(Z15:Z19),ISBLANK(AX15:AX19)), "·", bdRateExtend( V15:V19,Z15:Z19, AT15:AT19,AX15:AX19))</f>
        <v/>
      </c>
      <c r="BN15" s="72">
        <f>IF( OR(ISBLANK(V15:V19),ISBLANK(AT15:AT19), ISBLANK(AA15:AA19),ISBLANK(AY15:AY19)), "·", bdRateExtend( V15:V19,AA15:AA19, AT15:AT19,AY15:AY19))</f>
        <v/>
      </c>
      <c r="BP15" s="72">
        <f>IF( OR(ISBLANK(S15:S19),ISBLANK(AQ15:AQ19), ISBLANK(W15:W19),ISBLANK(AU15:AU19)), "·", bdRateExtend( S15:S19,W15:W19, AQ15:AQ19,AU15:AU19))</f>
        <v/>
      </c>
      <c r="BQ15" s="72">
        <f>IF( OR(ISBLANK(S15:S19),ISBLANK(AQ15:AQ19), ISBLANK(X15:X19),ISBLANK(AV15:AV19)), "·", bdRateExtend( S15:S19,X15:X19, AQ15:AQ19,AV15:AV19))</f>
        <v/>
      </c>
      <c r="BR15" s="72">
        <f>IF( OR(ISBLANK(S15:S19),ISBLANK(AQ15:AQ19), ISBLANK(Y15:Y19),ISBLANK(AW15:AW19)), "·", bdRateExtend( S15:S19,Y15:Y19, AQ15:AQ19,AW15:AW19))</f>
        <v/>
      </c>
      <c r="BS15" s="72">
        <f>IF( OR(ISBLANK(S15:S19),ISBLANK(AQ15:AQ19), ISBLANK(Z15:Z19),ISBLANK(AX15:AX19)), "·", bdRateExtend( S15:S19,Z15:Z19, AQ15:AQ19,AX15:AX19))</f>
        <v/>
      </c>
      <c r="BT15" s="72">
        <f>IF( OR(ISBLANK(S15:S19),ISBLANK(AQ15:AQ19), ISBLANK(AA15:AA19),ISBLANK(AY15:AY19)), "·", bdRateExtend( S15:S19,AA15:AA19, AQ15:AQ19,AY15:AY19))</f>
        <v/>
      </c>
    </row>
    <row outlineLevel="1" r="16" s="86">
      <c r="A16" s="25" t="n"/>
      <c r="B16" s="25" t="inlineStr">
        <is>
          <t>8ivfbv2_soldier_vox10</t>
        </is>
      </c>
      <c r="C16" s="26" t="inlineStr">
        <is>
          <t>r02</t>
        </is>
      </c>
      <c r="D16" s="25" t="n">
        <v>322589704</v>
      </c>
      <c r="E16" s="26" t="n">
        <v>10</v>
      </c>
      <c r="F16" s="26" t="n">
        <v>32</v>
      </c>
      <c r="G16" s="26" t="n">
        <v>30</v>
      </c>
      <c r="I16" s="27">
        <f>IF(OR(ISBLANK(S16),ISBLANK(G16)),"·",S16*G16/F16/1000000)</f>
        <v/>
      </c>
      <c r="J16" s="28">
        <f>IF(ISBLANK(S16),"·",S16/D16)</f>
        <v/>
      </c>
      <c r="K16" s="28">
        <f>IF(N16="","·",N16/D16)</f>
        <v/>
      </c>
      <c r="L16" s="28">
        <f>IF(T16="","·",T16/D16)</f>
        <v/>
      </c>
      <c r="M16" s="28">
        <f>IF(ISBLANK(V16),"·",V16/D16)</f>
        <v/>
      </c>
      <c r="N16" s="25">
        <f>IF(OR(ISBLANK(T16),ISBLANK(U16)),"",T16+U16)</f>
        <v/>
      </c>
      <c r="O16" s="28" t="n">
        <v>16</v>
      </c>
      <c r="P16" s="29" t="n">
        <v>33874164</v>
      </c>
      <c r="Q16" s="29" t="n">
        <v>1058567.625</v>
      </c>
      <c r="R16" s="29" t="n">
        <v>36864.21875</v>
      </c>
      <c r="S16" s="30" t="n">
        <v>2275664</v>
      </c>
      <c r="T16" s="30" t="n">
        <v>1063248</v>
      </c>
      <c r="U16" s="30" t="n">
        <v>697096</v>
      </c>
      <c r="V16" s="30" t="n">
        <v>515320</v>
      </c>
      <c r="W16" s="31" t="n">
        <v>68.029634375</v>
      </c>
      <c r="X16" s="31" t="n">
        <v>70.006815625</v>
      </c>
      <c r="Y16" s="31" t="n">
        <v>31.530703125</v>
      </c>
      <c r="Z16" s="31" t="n">
        <v>44.119390625</v>
      </c>
      <c r="AA16" s="31" t="n">
        <v>44.541440625</v>
      </c>
      <c r="AB16" s="32" t="n">
        <v>4715.04</v>
      </c>
      <c r="AC16" s="32" t="n">
        <v>5052.23</v>
      </c>
      <c r="AD16" s="32" t="n">
        <v>10.349</v>
      </c>
      <c r="AE16" s="32" t="n">
        <v>26.552</v>
      </c>
      <c r="AG16" s="27">
        <f>IF(OR(ISBLANK(AQ16),ISBLANK(G16)),"·",AQ16*G16/F16/1000000)</f>
        <v/>
      </c>
      <c r="AH16" s="28">
        <f>IF(ISBLANK(AQ16),"·",AQ16/D16)</f>
        <v/>
      </c>
      <c r="AI16" s="28">
        <f>IF(AL16="","·",AL16/D16)</f>
        <v/>
      </c>
      <c r="AJ16" s="28">
        <f>IF(AR16="","·",AR16/D16)</f>
        <v/>
      </c>
      <c r="AK16" s="28">
        <f>IF(ISBLANK(AT16),"·",AT16/D16)</f>
        <v/>
      </c>
      <c r="AL16" s="25">
        <f>IF(OR(ISBLANK(AR16),ISBLANK(AS16)),"",AR16+AS16)</f>
        <v/>
      </c>
      <c r="AM16" s="28" t="n">
        <v>16</v>
      </c>
      <c r="AN16" s="29" t="n">
        <v>33874164</v>
      </c>
      <c r="AO16" s="29" t="n">
        <v>1058567.625</v>
      </c>
      <c r="AP16" s="29" t="n">
        <v>36864.21875</v>
      </c>
      <c r="AQ16" s="30" t="n">
        <v>2271320</v>
      </c>
      <c r="AR16" s="30" t="n">
        <v>1063248</v>
      </c>
      <c r="AS16" s="30" t="n">
        <v>697096</v>
      </c>
      <c r="AT16" s="30" t="n">
        <v>510976</v>
      </c>
      <c r="AU16" s="31" t="n">
        <v>68.029634375</v>
      </c>
      <c r="AV16" s="31" t="n">
        <v>70.006815625</v>
      </c>
      <c r="AW16" s="31" t="n">
        <v>31.56878125</v>
      </c>
      <c r="AX16" s="31" t="n">
        <v>44.070134375</v>
      </c>
      <c r="AY16" s="31" t="n">
        <v>44.4230625</v>
      </c>
      <c r="AZ16" s="32" t="n">
        <v>4582.23</v>
      </c>
      <c r="BA16" s="32" t="n">
        <v>5047.68</v>
      </c>
      <c r="BB16" s="32" t="n">
        <v>76.004</v>
      </c>
      <c r="BC16" s="32" t="n">
        <v>26.989</v>
      </c>
      <c r="BE16" s="68">
        <f>AI16/K16</f>
        <v/>
      </c>
      <c r="BF16" s="34">
        <f>(AP16/AO16) - (R16/Q16)</f>
        <v/>
      </c>
      <c r="BG16" s="34">
        <f>(AL16/AQ16) - (N16/S16)</f>
        <v/>
      </c>
      <c r="BH16" s="34" t="n"/>
      <c r="BJ16" s="68" t="n"/>
      <c r="BK16" s="68" t="n"/>
      <c r="BL16" s="68" t="n"/>
      <c r="BM16" s="68" t="n"/>
      <c r="BN16" s="68" t="n"/>
      <c r="BP16" s="68" t="n"/>
      <c r="BQ16" s="68" t="n"/>
      <c r="BR16" s="68" t="n"/>
      <c r="BS16" s="68" t="n"/>
      <c r="BT16" s="68" t="n"/>
    </row>
    <row outlineLevel="1" r="17" s="86">
      <c r="A17" s="142" t="n"/>
      <c r="B17" s="142" t="inlineStr">
        <is>
          <t>8ivfbv2_soldier_vox10</t>
        </is>
      </c>
      <c r="C17" s="16" t="inlineStr">
        <is>
          <t>r03</t>
        </is>
      </c>
      <c r="D17" s="142" t="n">
        <v>322589704</v>
      </c>
      <c r="E17" s="16" t="n">
        <v>10</v>
      </c>
      <c r="F17" s="16" t="n">
        <v>32</v>
      </c>
      <c r="G17" s="16" t="n">
        <v>30</v>
      </c>
      <c r="I17" s="17">
        <f>IF(OR(ISBLANK(S17),ISBLANK(G17)),"·",S17*G17/F17/1000000)</f>
        <v/>
      </c>
      <c r="J17" s="18">
        <f>IF(ISBLANK(S17),"·",S17/D17)</f>
        <v/>
      </c>
      <c r="K17" s="18">
        <f>IF(N17="","·",N17/D17)</f>
        <v/>
      </c>
      <c r="L17" s="18">
        <f>IF(T17="","·",T17/D17)</f>
        <v/>
      </c>
      <c r="M17" s="18">
        <f>IF(ISBLANK(V17),"·",V17/D17)</f>
        <v/>
      </c>
      <c r="N17" s="142">
        <f>IF(OR(ISBLANK(T17),ISBLANK(U17)),"",T17+U17)</f>
        <v/>
      </c>
      <c r="O17" s="18" t="n">
        <v>16</v>
      </c>
      <c r="P17" s="19" t="n">
        <v>33778649</v>
      </c>
      <c r="Q17" s="19" t="n">
        <v>1055582.78125</v>
      </c>
      <c r="R17" s="19" t="n">
        <v>37421.1875</v>
      </c>
      <c r="S17" s="20" t="n">
        <v>3217776</v>
      </c>
      <c r="T17" s="20" t="n">
        <v>1451888</v>
      </c>
      <c r="U17" s="20" t="n">
        <v>697096</v>
      </c>
      <c r="V17" s="20" t="n">
        <v>1068792</v>
      </c>
      <c r="W17" s="21" t="n">
        <v>69.35150312499999</v>
      </c>
      <c r="X17" s="21" t="n">
        <v>71.840315625</v>
      </c>
      <c r="Y17" s="21" t="n">
        <v>33.9464875</v>
      </c>
      <c r="Z17" s="21" t="n">
        <v>45.134740625</v>
      </c>
      <c r="AA17" s="21" t="n">
        <v>45.742221875</v>
      </c>
      <c r="AB17" s="22" t="n">
        <v>4716.22</v>
      </c>
      <c r="AC17" s="22" t="n">
        <v>5417.14</v>
      </c>
      <c r="AD17" s="22" t="n">
        <v>11.154</v>
      </c>
      <c r="AE17" s="22" t="n">
        <v>26.414</v>
      </c>
      <c r="AG17" s="17">
        <f>IF(OR(ISBLANK(AQ17),ISBLANK(G17)),"·",AQ17*G17/F17/1000000)</f>
        <v/>
      </c>
      <c r="AH17" s="18">
        <f>IF(ISBLANK(AQ17),"·",AQ17/D17)</f>
        <v/>
      </c>
      <c r="AI17" s="18">
        <f>IF(AL17="","·",AL17/D17)</f>
        <v/>
      </c>
      <c r="AJ17" s="18">
        <f>IF(AR17="","·",AR17/D17)</f>
        <v/>
      </c>
      <c r="AK17" s="18">
        <f>IF(ISBLANK(AT17),"·",AT17/D17)</f>
        <v/>
      </c>
      <c r="AL17" s="142">
        <f>IF(OR(ISBLANK(AR17),ISBLANK(AS17)),"",AR17+AS17)</f>
        <v/>
      </c>
      <c r="AM17" s="18" t="n">
        <v>16</v>
      </c>
      <c r="AN17" s="19" t="n">
        <v>33778649</v>
      </c>
      <c r="AO17" s="19" t="n">
        <v>1055582.78125</v>
      </c>
      <c r="AP17" s="19" t="n">
        <v>37421.1875</v>
      </c>
      <c r="AQ17" s="20" t="n">
        <v>3199592</v>
      </c>
      <c r="AR17" s="20" t="n">
        <v>1451888</v>
      </c>
      <c r="AS17" s="20" t="n">
        <v>697096</v>
      </c>
      <c r="AT17" s="20" t="n">
        <v>1050608</v>
      </c>
      <c r="AU17" s="21" t="n">
        <v>69.35150312499999</v>
      </c>
      <c r="AV17" s="21" t="n">
        <v>71.840315625</v>
      </c>
      <c r="AW17" s="21" t="n">
        <v>33.95168125</v>
      </c>
      <c r="AX17" s="21" t="n">
        <v>45.15998125</v>
      </c>
      <c r="AY17" s="21" t="n">
        <v>45.5388375</v>
      </c>
      <c r="AZ17" s="22" t="n">
        <v>4597.83</v>
      </c>
      <c r="BA17" s="22" t="n">
        <v>5428.47</v>
      </c>
      <c r="BB17" s="22" t="n">
        <v>75.60599999999999</v>
      </c>
      <c r="BC17" s="22" t="n">
        <v>27.586</v>
      </c>
      <c r="BE17" s="72">
        <f>AI17/K17</f>
        <v/>
      </c>
      <c r="BF17" s="24">
        <f>(AP17/AO17) - (R17/Q17)</f>
        <v/>
      </c>
      <c r="BG17" s="24">
        <f>(AL17/AQ17) - (N17/S17)</f>
        <v/>
      </c>
      <c r="BH17" s="24" t="n"/>
      <c r="BJ17" s="72" t="n"/>
      <c r="BK17" s="72" t="n"/>
      <c r="BL17" s="72" t="n"/>
      <c r="BM17" s="72" t="n"/>
      <c r="BN17" s="72" t="n"/>
      <c r="BP17" s="72" t="n"/>
      <c r="BQ17" s="72" t="n"/>
      <c r="BR17" s="72" t="n"/>
      <c r="BS17" s="72" t="n"/>
      <c r="BT17" s="72" t="n"/>
    </row>
    <row outlineLevel="1" r="18" s="86">
      <c r="A18" s="25" t="n"/>
      <c r="B18" s="25" t="inlineStr">
        <is>
          <t>8ivfbv2_soldier_vox10</t>
        </is>
      </c>
      <c r="C18" s="26" t="inlineStr">
        <is>
          <t>r04</t>
        </is>
      </c>
      <c r="D18" s="25" t="n">
        <v>322589704</v>
      </c>
      <c r="E18" s="26" t="n">
        <v>10</v>
      </c>
      <c r="F18" s="26" t="n">
        <v>32</v>
      </c>
      <c r="G18" s="26" t="n">
        <v>30</v>
      </c>
      <c r="I18" s="27">
        <f>IF(OR(ISBLANK(S18),ISBLANK(G18)),"·",S18*G18/F18/1000000)</f>
        <v/>
      </c>
      <c r="J18" s="28">
        <f>IF(ISBLANK(S18),"·",S18/D18)</f>
        <v/>
      </c>
      <c r="K18" s="28">
        <f>IF(N18="","·",N18/D18)</f>
        <v/>
      </c>
      <c r="L18" s="28">
        <f>IF(T18="","·",T18/D18)</f>
        <v/>
      </c>
      <c r="M18" s="28">
        <f>IF(ISBLANK(V18),"·",V18/D18)</f>
        <v/>
      </c>
      <c r="N18" s="25">
        <f>IF(OR(ISBLANK(T18),ISBLANK(U18)),"",T18+U18)</f>
        <v/>
      </c>
      <c r="O18" s="28" t="n">
        <v>16</v>
      </c>
      <c r="P18" s="29" t="n">
        <v>34914325</v>
      </c>
      <c r="Q18" s="29" t="n">
        <v>1091072.65625</v>
      </c>
      <c r="R18" s="29" t="n">
        <v>41603.21875</v>
      </c>
      <c r="S18" s="30" t="n">
        <v>5705840</v>
      </c>
      <c r="T18" s="30" t="n">
        <v>2504208</v>
      </c>
      <c r="U18" s="30" t="n">
        <v>697096</v>
      </c>
      <c r="V18" s="30" t="n">
        <v>2504536</v>
      </c>
      <c r="W18" s="31" t="n">
        <v>70.52985</v>
      </c>
      <c r="X18" s="31" t="n">
        <v>73.13338437500001</v>
      </c>
      <c r="Y18" s="31" t="n">
        <v>36.289246875</v>
      </c>
      <c r="Z18" s="31" t="n">
        <v>46.428246875</v>
      </c>
      <c r="AA18" s="31" t="n">
        <v>46.981940625</v>
      </c>
      <c r="AB18" s="32" t="n">
        <v>4691.66</v>
      </c>
      <c r="AC18" s="32" t="n">
        <v>5940.35</v>
      </c>
      <c r="AD18" s="32" t="n">
        <v>11.414</v>
      </c>
      <c r="AE18" s="32" t="n">
        <v>27.609</v>
      </c>
      <c r="AG18" s="27">
        <f>IF(OR(ISBLANK(AQ18),ISBLANK(G18)),"·",AQ18*G18/F18/1000000)</f>
        <v/>
      </c>
      <c r="AH18" s="28">
        <f>IF(ISBLANK(AQ18),"·",AQ18/D18)</f>
        <v/>
      </c>
      <c r="AI18" s="28">
        <f>IF(AL18="","·",AL18/D18)</f>
        <v/>
      </c>
      <c r="AJ18" s="28">
        <f>IF(AR18="","·",AR18/D18)</f>
        <v/>
      </c>
      <c r="AK18" s="28">
        <f>IF(ISBLANK(AT18),"·",AT18/D18)</f>
        <v/>
      </c>
      <c r="AL18" s="25">
        <f>IF(OR(ISBLANK(AR18),ISBLANK(AS18)),"",AR18+AS18)</f>
        <v/>
      </c>
      <c r="AM18" s="28" t="n">
        <v>16</v>
      </c>
      <c r="AN18" s="29" t="n">
        <v>34914325</v>
      </c>
      <c r="AO18" s="29" t="n">
        <v>1091072.65625</v>
      </c>
      <c r="AP18" s="29" t="n">
        <v>41603.21875</v>
      </c>
      <c r="AQ18" s="30" t="n">
        <v>5628320</v>
      </c>
      <c r="AR18" s="30" t="n">
        <v>2504208</v>
      </c>
      <c r="AS18" s="30" t="n">
        <v>697096</v>
      </c>
      <c r="AT18" s="30" t="n">
        <v>2427016</v>
      </c>
      <c r="AU18" s="31" t="n">
        <v>70.52985</v>
      </c>
      <c r="AV18" s="31" t="n">
        <v>73.13338437500001</v>
      </c>
      <c r="AW18" s="31" t="n">
        <v>36.2841</v>
      </c>
      <c r="AX18" s="31" t="n">
        <v>46.412684375</v>
      </c>
      <c r="AY18" s="31" t="n">
        <v>47.0066125</v>
      </c>
      <c r="AZ18" s="32" t="n">
        <v>4587.62</v>
      </c>
      <c r="BA18" s="32" t="n">
        <v>5953.83</v>
      </c>
      <c r="BB18" s="32" t="n">
        <v>78.10899999999999</v>
      </c>
      <c r="BC18" s="32" t="n">
        <v>29.482</v>
      </c>
      <c r="BE18" s="68">
        <f>AI18/K18</f>
        <v/>
      </c>
      <c r="BF18" s="34">
        <f>(AP18/AO18) - (R18/Q18)</f>
        <v/>
      </c>
      <c r="BG18" s="34">
        <f>(AL18/AQ18) - (N18/S18)</f>
        <v/>
      </c>
      <c r="BH18" s="34" t="n"/>
      <c r="BJ18" s="68" t="n"/>
      <c r="BK18" s="68" t="n"/>
      <c r="BL18" s="68" t="n"/>
      <c r="BM18" s="68" t="n"/>
      <c r="BN18" s="68" t="n"/>
      <c r="BP18" s="68" t="n"/>
      <c r="BQ18" s="68" t="n"/>
      <c r="BR18" s="68" t="n"/>
      <c r="BS18" s="68" t="n"/>
      <c r="BT18" s="68" t="n"/>
    </row>
    <row outlineLevel="1" r="19" s="86">
      <c r="A19" s="142" t="n"/>
      <c r="B19" s="35" t="inlineStr">
        <is>
          <t>8ivfbv2_soldier_vox10</t>
        </is>
      </c>
      <c r="C19" s="36" t="inlineStr">
        <is>
          <t>r05</t>
        </is>
      </c>
      <c r="D19" s="35" t="n">
        <v>322589704</v>
      </c>
      <c r="E19" s="36" t="n">
        <v>10</v>
      </c>
      <c r="F19" s="36" t="n">
        <v>32</v>
      </c>
      <c r="G19" s="36" t="n">
        <v>30</v>
      </c>
      <c r="I19" s="37">
        <f>IF(OR(ISBLANK(S19),ISBLANK(G19)),"·",S19*G19/F19/1000000)</f>
        <v/>
      </c>
      <c r="J19" s="38">
        <f>IF(ISBLANK(S19),"·",S19/D19)</f>
        <v/>
      </c>
      <c r="K19" s="38">
        <f>IF(N19="","·",N19/D19)</f>
        <v/>
      </c>
      <c r="L19" s="38">
        <f>IF(T19="","·",T19/D19)</f>
        <v/>
      </c>
      <c r="M19" s="38">
        <f>IF(ISBLANK(V19),"·",V19/D19)</f>
        <v/>
      </c>
      <c r="N19" s="35">
        <f>IF(OR(ISBLANK(T19),ISBLANK(U19)),"",T19+U19)</f>
        <v/>
      </c>
      <c r="O19" s="38" t="n">
        <v>16</v>
      </c>
      <c r="P19" s="39" t="n">
        <v>33019287</v>
      </c>
      <c r="Q19" s="39" t="n">
        <v>1031852.71875</v>
      </c>
      <c r="R19" s="39" t="n">
        <v>17790.15625</v>
      </c>
      <c r="S19" s="40" t="n">
        <v>12402480</v>
      </c>
      <c r="T19" s="40" t="n">
        <v>4132968</v>
      </c>
      <c r="U19" s="40" t="n">
        <v>1496368</v>
      </c>
      <c r="V19" s="40" t="n">
        <v>6773144</v>
      </c>
      <c r="W19" s="41" t="n">
        <v>71.18556875</v>
      </c>
      <c r="X19" s="41" t="n">
        <v>75.07101874999999</v>
      </c>
      <c r="Y19" s="41" t="n">
        <v>38.695609375</v>
      </c>
      <c r="Z19" s="41" t="n">
        <v>48.186309375</v>
      </c>
      <c r="AA19" s="41" t="n">
        <v>48.7865375</v>
      </c>
      <c r="AB19" s="42" t="n">
        <v>4699.26</v>
      </c>
      <c r="AC19" s="42" t="n">
        <v>6733.64</v>
      </c>
      <c r="AD19" s="42" t="n">
        <v>10.516</v>
      </c>
      <c r="AE19" s="42" t="n">
        <v>30.53</v>
      </c>
      <c r="AG19" s="37">
        <f>IF(OR(ISBLANK(AQ19),ISBLANK(G19)),"·",AQ19*G19/F19/1000000)</f>
        <v/>
      </c>
      <c r="AH19" s="38">
        <f>IF(ISBLANK(AQ19),"·",AQ19/D19)</f>
        <v/>
      </c>
      <c r="AI19" s="38">
        <f>IF(AL19="","·",AL19/D19)</f>
        <v/>
      </c>
      <c r="AJ19" s="38">
        <f>IF(AR19="","·",AR19/D19)</f>
        <v/>
      </c>
      <c r="AK19" s="38">
        <f>IF(ISBLANK(AT19),"·",AT19/D19)</f>
        <v/>
      </c>
      <c r="AL19" s="35">
        <f>IF(OR(ISBLANK(AR19),ISBLANK(AS19)),"",AR19+AS19)</f>
        <v/>
      </c>
      <c r="AM19" s="38" t="n">
        <v>16</v>
      </c>
      <c r="AN19" s="39" t="n">
        <v>33019287</v>
      </c>
      <c r="AO19" s="39" t="n">
        <v>1031852.71875</v>
      </c>
      <c r="AP19" s="39" t="n">
        <v>17790.15625</v>
      </c>
      <c r="AQ19" s="40" t="n">
        <v>12175752</v>
      </c>
      <c r="AR19" s="40" t="n">
        <v>4132968</v>
      </c>
      <c r="AS19" s="40" t="n">
        <v>1496368</v>
      </c>
      <c r="AT19" s="40" t="n">
        <v>6546416</v>
      </c>
      <c r="AU19" s="41" t="n">
        <v>71.18556875</v>
      </c>
      <c r="AV19" s="41" t="n">
        <v>75.07101874999999</v>
      </c>
      <c r="AW19" s="41" t="n">
        <v>38.708165625</v>
      </c>
      <c r="AX19" s="41" t="n">
        <v>48.191471875</v>
      </c>
      <c r="AY19" s="41" t="n">
        <v>48.8137375</v>
      </c>
      <c r="AZ19" s="42" t="n">
        <v>4602.41</v>
      </c>
      <c r="BA19" s="42" t="n">
        <v>6833.28</v>
      </c>
      <c r="BB19" s="42" t="n">
        <v>73.099</v>
      </c>
      <c r="BC19" s="42" t="n">
        <v>31.223</v>
      </c>
      <c r="BE19" s="43">
        <f>AI19/K19</f>
        <v/>
      </c>
      <c r="BF19" s="44">
        <f>(AP19/AO19) - (R19/Q19)</f>
        <v/>
      </c>
      <c r="BG19" s="44">
        <f>(AL19/AQ19) - (N19/S19)</f>
        <v/>
      </c>
      <c r="BH19" s="44" t="n"/>
      <c r="BJ19" s="43" t="n"/>
      <c r="BK19" s="43" t="n"/>
      <c r="BL19" s="43" t="n"/>
      <c r="BM19" s="43" t="n"/>
      <c r="BN19" s="43" t="n"/>
      <c r="BP19" s="43" t="n"/>
      <c r="BQ19" s="43" t="n"/>
      <c r="BR19" s="43" t="n"/>
      <c r="BS19" s="43" t="n"/>
      <c r="BT19" s="43" t="n"/>
    </row>
    <row r="20">
      <c r="A20" s="25" t="n"/>
      <c r="B20" s="25" t="inlineStr">
        <is>
          <t>queen</t>
        </is>
      </c>
      <c r="C20" s="26" t="inlineStr">
        <is>
          <t>r01</t>
        </is>
      </c>
      <c r="D20" s="25" t="n">
        <v>250602891</v>
      </c>
      <c r="E20" s="26" t="n">
        <v>10</v>
      </c>
      <c r="F20" s="26" t="n">
        <v>32</v>
      </c>
      <c r="G20" s="26" t="n">
        <v>50</v>
      </c>
      <c r="I20" s="27">
        <f>IF(OR(ISBLANK(S20),ISBLANK(G20)),"·",S20*G20/F20/1000000)</f>
        <v/>
      </c>
      <c r="J20" s="28">
        <f>IF(ISBLANK(S20),"·",S20/D20)</f>
        <v/>
      </c>
      <c r="K20" s="28">
        <f>IF(N20="","·",N20/D20)</f>
        <v/>
      </c>
      <c r="L20" s="28">
        <f>IF(T20="","·",T20/D20)</f>
        <v/>
      </c>
      <c r="M20" s="28">
        <f>IF(ISBLANK(V20),"·",V20/D20)</f>
        <v/>
      </c>
      <c r="N20" s="25">
        <f>IF(OR(ISBLANK(T20),ISBLANK(U20)),"",T20+U20)</f>
        <v/>
      </c>
      <c r="O20" s="28" t="n">
        <v>16</v>
      </c>
      <c r="P20" s="29" t="n">
        <v>30379563</v>
      </c>
      <c r="Q20" s="29" t="n">
        <v>949361.34375</v>
      </c>
      <c r="R20" s="29" t="n">
        <v>28806.71875</v>
      </c>
      <c r="S20" s="30" t="n">
        <v>1273592</v>
      </c>
      <c r="T20" s="30" t="n">
        <v>575888</v>
      </c>
      <c r="U20" s="30" t="n">
        <v>413936</v>
      </c>
      <c r="V20" s="30" t="n">
        <v>283768</v>
      </c>
      <c r="W20" s="31" t="n">
        <v>67.2482375</v>
      </c>
      <c r="X20" s="31" t="n">
        <v>68.985434375</v>
      </c>
      <c r="Y20" s="31" t="n">
        <v>30.0727</v>
      </c>
      <c r="Z20" s="31" t="n">
        <v>39.540096875</v>
      </c>
      <c r="AA20" s="31" t="n">
        <v>38.07433125</v>
      </c>
      <c r="AB20" s="32" t="n">
        <v>4480.15</v>
      </c>
      <c r="AC20" s="32" t="n">
        <v>4957.98</v>
      </c>
      <c r="AD20" s="32" t="n">
        <v>8.970000000000001</v>
      </c>
      <c r="AE20" s="32" t="n">
        <v>27.326</v>
      </c>
      <c r="AG20" s="27">
        <f>IF(OR(ISBLANK(AQ20),ISBLANK(G20)),"·",AQ20*G20/F20/1000000)</f>
        <v/>
      </c>
      <c r="AH20" s="28">
        <f>IF(ISBLANK(AQ20),"·",AQ20/D20)</f>
        <v/>
      </c>
      <c r="AI20" s="28">
        <f>IF(AL20="","·",AL20/D20)</f>
        <v/>
      </c>
      <c r="AJ20" s="28">
        <f>IF(AR20="","·",AR20/D20)</f>
        <v/>
      </c>
      <c r="AK20" s="28">
        <f>IF(ISBLANK(AT20),"·",AT20/D20)</f>
        <v/>
      </c>
      <c r="AL20" s="25">
        <f>IF(OR(ISBLANK(AR20),ISBLANK(AS20)),"",AR20+AS20)</f>
        <v/>
      </c>
      <c r="AM20" s="28" t="n">
        <v>16</v>
      </c>
      <c r="AN20" s="29" t="n">
        <v>30379563</v>
      </c>
      <c r="AO20" s="29" t="n">
        <v>949361.34375</v>
      </c>
      <c r="AP20" s="29" t="n">
        <v>28806.71875</v>
      </c>
      <c r="AQ20" s="30" t="n">
        <v>1269512</v>
      </c>
      <c r="AR20" s="30" t="n">
        <v>575888</v>
      </c>
      <c r="AS20" s="30" t="n">
        <v>413936</v>
      </c>
      <c r="AT20" s="30" t="n">
        <v>279688</v>
      </c>
      <c r="AU20" s="31" t="n">
        <v>67.2482375</v>
      </c>
      <c r="AV20" s="31" t="n">
        <v>68.985434375</v>
      </c>
      <c r="AW20" s="31" t="n">
        <v>30.07403125</v>
      </c>
      <c r="AX20" s="31" t="n">
        <v>39.56303125</v>
      </c>
      <c r="AY20" s="31" t="n">
        <v>38.099803125</v>
      </c>
      <c r="AZ20" s="32" t="n">
        <v>4491.43</v>
      </c>
      <c r="BA20" s="32" t="n">
        <v>4959.11</v>
      </c>
      <c r="BB20" s="32" t="n">
        <v>68.642</v>
      </c>
      <c r="BC20" s="32" t="n">
        <v>28.825</v>
      </c>
      <c r="BE20" s="68">
        <f>AI20/K20</f>
        <v/>
      </c>
      <c r="BF20" s="34">
        <f>(AP20/AO20) - (R20/Q20)</f>
        <v/>
      </c>
      <c r="BG20" s="34">
        <f>(AL20/AQ20) - (N20/S20)</f>
        <v/>
      </c>
      <c r="BH20" s="34">
        <f ref="BH20" t="array">AVERAGE(AL20:AL24/AQ20:AQ24) - AVERAGE(N20:N24/S20:S24)</f>
        <v/>
      </c>
      <c r="BJ20" s="68">
        <f>IF( OR(ISBLANK(N20:N24),ISBLANK(AL20:AL24), ISBLANK(W20:W24),ISBLANK(AU20:AU24)), "·", bdRateExtend( N20:N24,W20:W24, AL20:AL24,AU20:AU24))</f>
        <v/>
      </c>
      <c r="BK20" s="68">
        <f>IF( OR(ISBLANK(N20:N24),ISBLANK(AL20:AL24), ISBLANK(X20:X24),ISBLANK(AV20:AV24)), "·", bdRateExtend( N20:N24,X20:X24, AL20:AL24,AV20:AV24))</f>
        <v/>
      </c>
      <c r="BL20" s="68">
        <f>IF( OR(ISBLANK(V20:V24),ISBLANK(AT20:AT24), ISBLANK(Y20:Y24),ISBLANK(AW20:AW24)), "·", bdRateExtend( V20:V24,Y20:Y24, AT20:AT24,AW20:AW24))</f>
        <v/>
      </c>
      <c r="BM20" s="68">
        <f>IF( OR(ISBLANK(V20:V24),ISBLANK(AT20:AT24), ISBLANK(Z20:Z24),ISBLANK(AX20:AX24)), "·", bdRateExtend( V20:V24,Z20:Z24, AT20:AT24,AX20:AX24))</f>
        <v/>
      </c>
      <c r="BN20" s="68">
        <f>IF( OR(ISBLANK(V20:V24),ISBLANK(AT20:AT24), ISBLANK(AA20:AA24),ISBLANK(AY20:AY24)), "·", bdRateExtend( V20:V24,AA20:AA24, AT20:AT24,AY20:AY24))</f>
        <v/>
      </c>
      <c r="BP20" s="68">
        <f>IF( OR(ISBLANK(S20:S24),ISBLANK(AQ20:AQ24), ISBLANK(W20:W24),ISBLANK(AU20:AU24)), "·", bdRateExtend( S20:S24,W20:W24, AQ20:AQ24,AU20:AU24))</f>
        <v/>
      </c>
      <c r="BQ20" s="68">
        <f>IF( OR(ISBLANK(S20:S24),ISBLANK(AQ20:AQ24), ISBLANK(X20:X24),ISBLANK(AV20:AV24)), "·", bdRateExtend( S20:S24,X20:X24, AQ20:AQ24,AV20:AV24))</f>
        <v/>
      </c>
      <c r="BR20" s="68">
        <f>IF( OR(ISBLANK(S20:S24),ISBLANK(AQ20:AQ24), ISBLANK(Y20:Y24),ISBLANK(AW20:AW24)), "·", bdRateExtend( S20:S24,Y20:Y24, AQ20:AQ24,AW20:AW24))</f>
        <v/>
      </c>
      <c r="BS20" s="68">
        <f>IF( OR(ISBLANK(S20:S24),ISBLANK(AQ20:AQ24), ISBLANK(Z20:Z24),ISBLANK(AX20:AX24)), "·", bdRateExtend( S20:S24,Z20:Z24, AQ20:AQ24,AX20:AX24))</f>
        <v/>
      </c>
      <c r="BT20" s="68">
        <f>IF( OR(ISBLANK(S20:S24),ISBLANK(AQ20:AQ24), ISBLANK(AA20:AA24),ISBLANK(AY20:AY24)), "·", bdRateExtend( S20:S24,AA20:AA24, AQ20:AQ24,AY20:AY24))</f>
        <v/>
      </c>
    </row>
    <row outlineLevel="1" r="21" s="86">
      <c r="A21" s="142" t="n"/>
      <c r="B21" s="142" t="inlineStr">
        <is>
          <t>queen</t>
        </is>
      </c>
      <c r="C21" s="16" t="inlineStr">
        <is>
          <t>r02</t>
        </is>
      </c>
      <c r="D21" s="142" t="n">
        <v>250602891</v>
      </c>
      <c r="E21" s="16" t="n">
        <v>10</v>
      </c>
      <c r="F21" s="16" t="n">
        <v>32</v>
      </c>
      <c r="G21" s="16" t="n">
        <v>50</v>
      </c>
      <c r="I21" s="17">
        <f>IF(OR(ISBLANK(S21),ISBLANK(G21)),"·",S21*G21/F21/1000000)</f>
        <v/>
      </c>
      <c r="J21" s="18">
        <f>IF(ISBLANK(S21),"·",S21/D21)</f>
        <v/>
      </c>
      <c r="K21" s="18">
        <f>IF(N21="","·",N21/D21)</f>
        <v/>
      </c>
      <c r="L21" s="18">
        <f>IF(T21="","·",T21/D21)</f>
        <v/>
      </c>
      <c r="M21" s="18">
        <f>IF(ISBLANK(V21),"·",V21/D21)</f>
        <v/>
      </c>
      <c r="N21" s="142">
        <f>IF(OR(ISBLANK(T21),ISBLANK(U21)),"",T21+U21)</f>
        <v/>
      </c>
      <c r="O21" s="18" t="n">
        <v>16</v>
      </c>
      <c r="P21" s="19" t="n">
        <v>31696812</v>
      </c>
      <c r="Q21" s="19" t="n">
        <v>990525.375</v>
      </c>
      <c r="R21" s="19" t="n">
        <v>33593.15625</v>
      </c>
      <c r="S21" s="20" t="n">
        <v>1724424</v>
      </c>
      <c r="T21" s="20" t="n">
        <v>762392</v>
      </c>
      <c r="U21" s="20" t="n">
        <v>413936</v>
      </c>
      <c r="V21" s="20" t="n">
        <v>548096</v>
      </c>
      <c r="W21" s="21" t="n">
        <v>68.87323125</v>
      </c>
      <c r="X21" s="21" t="n">
        <v>70.998265625</v>
      </c>
      <c r="Y21" s="21" t="n">
        <v>31.541346875</v>
      </c>
      <c r="Z21" s="21" t="n">
        <v>40.515546875</v>
      </c>
      <c r="AA21" s="21" t="n">
        <v>39.215978125</v>
      </c>
      <c r="AB21" s="22" t="n">
        <v>4450.91</v>
      </c>
      <c r="AC21" s="22" t="n">
        <v>5236.94</v>
      </c>
      <c r="AD21" s="22" t="n">
        <v>9.720000000000001</v>
      </c>
      <c r="AE21" s="22" t="n">
        <v>28.857</v>
      </c>
      <c r="AG21" s="17">
        <f>IF(OR(ISBLANK(AQ21),ISBLANK(G21)),"·",AQ21*G21/F21/1000000)</f>
        <v/>
      </c>
      <c r="AH21" s="18">
        <f>IF(ISBLANK(AQ21),"·",AQ21/D21)</f>
        <v/>
      </c>
      <c r="AI21" s="18">
        <f>IF(AL21="","·",AL21/D21)</f>
        <v/>
      </c>
      <c r="AJ21" s="18">
        <f>IF(AR21="","·",AR21/D21)</f>
        <v/>
      </c>
      <c r="AK21" s="18">
        <f>IF(ISBLANK(AT21),"·",AT21/D21)</f>
        <v/>
      </c>
      <c r="AL21" s="142">
        <f>IF(OR(ISBLANK(AR21),ISBLANK(AS21)),"",AR21+AS21)</f>
        <v/>
      </c>
      <c r="AM21" s="18" t="n">
        <v>16</v>
      </c>
      <c r="AN21" s="19" t="n">
        <v>31696812</v>
      </c>
      <c r="AO21" s="19" t="n">
        <v>990525.375</v>
      </c>
      <c r="AP21" s="19" t="n">
        <v>33593.15625</v>
      </c>
      <c r="AQ21" s="20" t="n">
        <v>1701200</v>
      </c>
      <c r="AR21" s="20" t="n">
        <v>762392</v>
      </c>
      <c r="AS21" s="20" t="n">
        <v>413936</v>
      </c>
      <c r="AT21" s="20" t="n">
        <v>524872</v>
      </c>
      <c r="AU21" s="21" t="n">
        <v>68.87323125</v>
      </c>
      <c r="AV21" s="21" t="n">
        <v>70.998265625</v>
      </c>
      <c r="AW21" s="21" t="n">
        <v>31.559334375</v>
      </c>
      <c r="AX21" s="21" t="n">
        <v>40.5555625</v>
      </c>
      <c r="AY21" s="21" t="n">
        <v>39.2768375</v>
      </c>
      <c r="AZ21" s="22" t="n">
        <v>4482.49</v>
      </c>
      <c r="BA21" s="22" t="n">
        <v>5269.1</v>
      </c>
      <c r="BB21" s="22" t="n">
        <v>71.617</v>
      </c>
      <c r="BC21" s="22" t="n">
        <v>29.534</v>
      </c>
      <c r="BE21" s="72">
        <f>AI21/K21</f>
        <v/>
      </c>
      <c r="BF21" s="24">
        <f>(AP21/AO21) - (R21/Q21)</f>
        <v/>
      </c>
      <c r="BG21" s="24">
        <f>(AL21/AQ21) - (N21/S21)</f>
        <v/>
      </c>
      <c r="BH21" s="24" t="n"/>
      <c r="BJ21" s="72" t="n"/>
      <c r="BK21" s="72" t="n"/>
      <c r="BL21" s="72" t="n"/>
      <c r="BM21" s="72" t="n"/>
      <c r="BN21" s="72" t="n"/>
      <c r="BP21" s="72" t="n"/>
      <c r="BQ21" s="72" t="n"/>
      <c r="BR21" s="72" t="n"/>
      <c r="BS21" s="72" t="n"/>
      <c r="BT21" s="72" t="n"/>
    </row>
    <row outlineLevel="1" r="22" s="86">
      <c r="A22" s="25" t="n"/>
      <c r="B22" s="25" t="inlineStr">
        <is>
          <t>queen</t>
        </is>
      </c>
      <c r="C22" s="26" t="inlineStr">
        <is>
          <t>r03</t>
        </is>
      </c>
      <c r="D22" s="25" t="n">
        <v>250602891</v>
      </c>
      <c r="E22" s="26" t="n">
        <v>10</v>
      </c>
      <c r="F22" s="26" t="n">
        <v>32</v>
      </c>
      <c r="G22" s="26" t="n">
        <v>50</v>
      </c>
      <c r="I22" s="27">
        <f>IF(OR(ISBLANK(S22),ISBLANK(G22)),"·",S22*G22/F22/1000000)</f>
        <v/>
      </c>
      <c r="J22" s="28">
        <f>IF(ISBLANK(S22),"·",S22/D22)</f>
        <v/>
      </c>
      <c r="K22" s="28">
        <f>IF(N22="","·",N22/D22)</f>
        <v/>
      </c>
      <c r="L22" s="28">
        <f>IF(T22="","·",T22/D22)</f>
        <v/>
      </c>
      <c r="M22" s="28">
        <f>IF(ISBLANK(V22),"·",V22/D22)</f>
        <v/>
      </c>
      <c r="N22" s="25">
        <f>IF(OR(ISBLANK(T22),ISBLANK(U22)),"",T22+U22)</f>
        <v/>
      </c>
      <c r="O22" s="28" t="n">
        <v>16</v>
      </c>
      <c r="P22" s="29" t="n">
        <v>32604849</v>
      </c>
      <c r="Q22" s="29" t="n">
        <v>1018901.53125</v>
      </c>
      <c r="R22" s="29" t="n">
        <v>35090.5625</v>
      </c>
      <c r="S22" s="30" t="n">
        <v>2685232</v>
      </c>
      <c r="T22" s="30" t="n">
        <v>982504</v>
      </c>
      <c r="U22" s="30" t="n">
        <v>413936</v>
      </c>
      <c r="V22" s="30" t="n">
        <v>1288792</v>
      </c>
      <c r="W22" s="31" t="n">
        <v>70.092034375</v>
      </c>
      <c r="X22" s="31" t="n">
        <v>72.5524625</v>
      </c>
      <c r="Y22" s="31" t="n">
        <v>33.40596875</v>
      </c>
      <c r="Z22" s="31" t="n">
        <v>41.661025</v>
      </c>
      <c r="AA22" s="31" t="n">
        <v>40.480746875</v>
      </c>
      <c r="AB22" s="32" t="n">
        <v>4494.33</v>
      </c>
      <c r="AC22" s="32" t="n">
        <v>5511.01</v>
      </c>
      <c r="AD22" s="32" t="n">
        <v>9.608000000000001</v>
      </c>
      <c r="AE22" s="32" t="n">
        <v>28.73</v>
      </c>
      <c r="AG22" s="27">
        <f>IF(OR(ISBLANK(AQ22),ISBLANK(G22)),"·",AQ22*G22/F22/1000000)</f>
        <v/>
      </c>
      <c r="AH22" s="28">
        <f>IF(ISBLANK(AQ22),"·",AQ22/D22)</f>
        <v/>
      </c>
      <c r="AI22" s="28">
        <f>IF(AL22="","·",AL22/D22)</f>
        <v/>
      </c>
      <c r="AJ22" s="28">
        <f>IF(AR22="","·",AR22/D22)</f>
        <v/>
      </c>
      <c r="AK22" s="28">
        <f>IF(ISBLANK(AT22),"·",AT22/D22)</f>
        <v/>
      </c>
      <c r="AL22" s="25">
        <f>IF(OR(ISBLANK(AR22),ISBLANK(AS22)),"",AR22+AS22)</f>
        <v/>
      </c>
      <c r="AM22" s="28" t="n">
        <v>16</v>
      </c>
      <c r="AN22" s="29" t="n">
        <v>32604849</v>
      </c>
      <c r="AO22" s="29" t="n">
        <v>1018901.53125</v>
      </c>
      <c r="AP22" s="29" t="n">
        <v>35090.5625</v>
      </c>
      <c r="AQ22" s="30" t="n">
        <v>2600552</v>
      </c>
      <c r="AR22" s="30" t="n">
        <v>982504</v>
      </c>
      <c r="AS22" s="30" t="n">
        <v>413936</v>
      </c>
      <c r="AT22" s="30" t="n">
        <v>1204112</v>
      </c>
      <c r="AU22" s="31" t="n">
        <v>70.092034375</v>
      </c>
      <c r="AV22" s="31" t="n">
        <v>72.5524625</v>
      </c>
      <c r="AW22" s="31" t="n">
        <v>33.36671875</v>
      </c>
      <c r="AX22" s="31" t="n">
        <v>41.75660625</v>
      </c>
      <c r="AY22" s="31" t="n">
        <v>40.520646875</v>
      </c>
      <c r="AZ22" s="32" t="n">
        <v>4520.88</v>
      </c>
      <c r="BA22" s="32" t="n">
        <v>5501.64</v>
      </c>
      <c r="BB22" s="32" t="n">
        <v>73.444</v>
      </c>
      <c r="BC22" s="32" t="n">
        <v>30.02</v>
      </c>
      <c r="BE22" s="68">
        <f>AI22/K22</f>
        <v/>
      </c>
      <c r="BF22" s="34">
        <f>(AP22/AO22) - (R22/Q22)</f>
        <v/>
      </c>
      <c r="BG22" s="34">
        <f>(AL22/AQ22) - (N22/S22)</f>
        <v/>
      </c>
      <c r="BH22" s="34" t="n"/>
      <c r="BJ22" s="68" t="n"/>
      <c r="BK22" s="68" t="n"/>
      <c r="BL22" s="68" t="n"/>
      <c r="BM22" s="68" t="n"/>
      <c r="BN22" s="68" t="n"/>
      <c r="BP22" s="68" t="n"/>
      <c r="BQ22" s="68" t="n"/>
      <c r="BR22" s="68" t="n"/>
      <c r="BS22" s="68" t="n"/>
      <c r="BT22" s="68" t="n"/>
    </row>
    <row outlineLevel="1" r="23" s="86">
      <c r="A23" s="142" t="n"/>
      <c r="B23" s="142" t="inlineStr">
        <is>
          <t>queen</t>
        </is>
      </c>
      <c r="C23" s="16" t="inlineStr">
        <is>
          <t>r04</t>
        </is>
      </c>
      <c r="D23" s="142" t="n">
        <v>250602891</v>
      </c>
      <c r="E23" s="16" t="n">
        <v>10</v>
      </c>
      <c r="F23" s="16" t="n">
        <v>32</v>
      </c>
      <c r="G23" s="16" t="n">
        <v>50</v>
      </c>
      <c r="I23" s="17">
        <f>IF(OR(ISBLANK(S23),ISBLANK(G23)),"·",S23*G23/F23/1000000)</f>
        <v/>
      </c>
      <c r="J23" s="18">
        <f>IF(ISBLANK(S23),"·",S23/D23)</f>
        <v/>
      </c>
      <c r="K23" s="18">
        <f>IF(N23="","·",N23/D23)</f>
        <v/>
      </c>
      <c r="L23" s="18">
        <f>IF(T23="","·",T23/D23)</f>
        <v/>
      </c>
      <c r="M23" s="18">
        <f>IF(ISBLANK(V23),"·",V23/D23)</f>
        <v/>
      </c>
      <c r="N23" s="142">
        <f>IF(OR(ISBLANK(T23),ISBLANK(U23)),"",T23+U23)</f>
        <v/>
      </c>
      <c r="O23" s="18" t="n">
        <v>16</v>
      </c>
      <c r="P23" s="19" t="n">
        <v>32813316</v>
      </c>
      <c r="Q23" s="19" t="n">
        <v>1025416.125</v>
      </c>
      <c r="R23" s="19" t="n">
        <v>37028.40625</v>
      </c>
      <c r="S23" s="20" t="n">
        <v>5101648</v>
      </c>
      <c r="T23" s="20" t="n">
        <v>1658696</v>
      </c>
      <c r="U23" s="20" t="n">
        <v>413936</v>
      </c>
      <c r="V23" s="20" t="n">
        <v>3029016</v>
      </c>
      <c r="W23" s="21" t="n">
        <v>71.045559375</v>
      </c>
      <c r="X23" s="21" t="n">
        <v>73.79739062500001</v>
      </c>
      <c r="Y23" s="21" t="n">
        <v>35.29325</v>
      </c>
      <c r="Z23" s="21" t="n">
        <v>42.75438125</v>
      </c>
      <c r="AA23" s="21" t="n">
        <v>41.4816625</v>
      </c>
      <c r="AB23" s="22" t="n">
        <v>4441.21</v>
      </c>
      <c r="AC23" s="22" t="n">
        <v>5926.57</v>
      </c>
      <c r="AD23" s="22" t="n">
        <v>9.678000000000001</v>
      </c>
      <c r="AE23" s="22" t="n">
        <v>29.322</v>
      </c>
      <c r="AG23" s="17">
        <f>IF(OR(ISBLANK(AQ23),ISBLANK(G23)),"·",AQ23*G23/F23/1000000)</f>
        <v/>
      </c>
      <c r="AH23" s="18">
        <f>IF(ISBLANK(AQ23),"·",AQ23/D23)</f>
        <v/>
      </c>
      <c r="AI23" s="18">
        <f>IF(AL23="","·",AL23/D23)</f>
        <v/>
      </c>
      <c r="AJ23" s="18">
        <f>IF(AR23="","·",AR23/D23)</f>
        <v/>
      </c>
      <c r="AK23" s="18">
        <f>IF(ISBLANK(AT23),"·",AT23/D23)</f>
        <v/>
      </c>
      <c r="AL23" s="142">
        <f>IF(OR(ISBLANK(AR23),ISBLANK(AS23)),"",AR23+AS23)</f>
        <v/>
      </c>
      <c r="AM23" s="18" t="n">
        <v>16</v>
      </c>
      <c r="AN23" s="19" t="n">
        <v>32813316</v>
      </c>
      <c r="AO23" s="19" t="n">
        <v>1025416.125</v>
      </c>
      <c r="AP23" s="19" t="n">
        <v>37028.40625</v>
      </c>
      <c r="AQ23" s="20" t="n">
        <v>4887560</v>
      </c>
      <c r="AR23" s="20" t="n">
        <v>1658696</v>
      </c>
      <c r="AS23" s="20" t="n">
        <v>413936</v>
      </c>
      <c r="AT23" s="20" t="n">
        <v>2814928</v>
      </c>
      <c r="AU23" s="21" t="n">
        <v>71.045559375</v>
      </c>
      <c r="AV23" s="21" t="n">
        <v>73.79739062500001</v>
      </c>
      <c r="AW23" s="21" t="n">
        <v>35.144278125</v>
      </c>
      <c r="AX23" s="21" t="n">
        <v>42.77880625</v>
      </c>
      <c r="AY23" s="21" t="n">
        <v>41.512503125</v>
      </c>
      <c r="AZ23" s="22" t="n">
        <v>4472.79</v>
      </c>
      <c r="BA23" s="22" t="n">
        <v>5878.45</v>
      </c>
      <c r="BB23" s="22" t="n">
        <v>74.21899999999999</v>
      </c>
      <c r="BC23" s="22" t="n">
        <v>31.586</v>
      </c>
      <c r="BE23" s="72">
        <f>AI23/K23</f>
        <v/>
      </c>
      <c r="BF23" s="24">
        <f>(AP23/AO23) - (R23/Q23)</f>
        <v/>
      </c>
      <c r="BG23" s="24">
        <f>(AL23/AQ23) - (N23/S23)</f>
        <v/>
      </c>
      <c r="BH23" s="24" t="n"/>
      <c r="BJ23" s="72" t="n"/>
      <c r="BK23" s="72" t="n"/>
      <c r="BL23" s="72" t="n"/>
      <c r="BM23" s="72" t="n"/>
      <c r="BN23" s="72" t="n"/>
      <c r="BP23" s="72" t="n"/>
      <c r="BQ23" s="72" t="n"/>
      <c r="BR23" s="72" t="n"/>
      <c r="BS23" s="72" t="n"/>
      <c r="BT23" s="72" t="n"/>
    </row>
    <row outlineLevel="1" r="24" s="86">
      <c r="A24" s="45" t="n"/>
      <c r="B24" s="45" t="inlineStr">
        <is>
          <t>queen</t>
        </is>
      </c>
      <c r="C24" s="46" t="inlineStr">
        <is>
          <t>r05</t>
        </is>
      </c>
      <c r="D24" s="45" t="n">
        <v>250602891</v>
      </c>
      <c r="E24" s="46" t="n">
        <v>10</v>
      </c>
      <c r="F24" s="46" t="n">
        <v>32</v>
      </c>
      <c r="G24" s="46" t="n">
        <v>50</v>
      </c>
      <c r="I24" s="47">
        <f>IF(OR(ISBLANK(S24),ISBLANK(G24)),"·",S24*G24/F24/1000000)</f>
        <v/>
      </c>
      <c r="J24" s="48">
        <f>IF(ISBLANK(S24),"·",S24/D24)</f>
        <v/>
      </c>
      <c r="K24" s="48">
        <f>IF(N24="","·",N24/D24)</f>
        <v/>
      </c>
      <c r="L24" s="48">
        <f>IF(T24="","·",T24/D24)</f>
        <v/>
      </c>
      <c r="M24" s="48">
        <f>IF(ISBLANK(V24),"·",V24/D24)</f>
        <v/>
      </c>
      <c r="N24" s="45">
        <f>IF(OR(ISBLANK(T24),ISBLANK(U24)),"",T24+U24)</f>
        <v/>
      </c>
      <c r="O24" s="48" t="n">
        <v>16</v>
      </c>
      <c r="P24" s="49" t="n">
        <v>31274990</v>
      </c>
      <c r="Q24" s="49" t="n">
        <v>977343.4375</v>
      </c>
      <c r="R24" s="49" t="n">
        <v>17914.71875</v>
      </c>
      <c r="S24" s="50" t="n">
        <v>10521432</v>
      </c>
      <c r="T24" s="50" t="n">
        <v>2660104</v>
      </c>
      <c r="U24" s="50" t="n">
        <v>908936</v>
      </c>
      <c r="V24" s="50" t="n">
        <v>6952392</v>
      </c>
      <c r="W24" s="51" t="n">
        <v>71.76797500000001</v>
      </c>
      <c r="X24" s="51" t="n">
        <v>75.81079687499999</v>
      </c>
      <c r="Y24" s="51" t="n">
        <v>36.874640625</v>
      </c>
      <c r="Z24" s="51" t="n">
        <v>43.50733125</v>
      </c>
      <c r="AA24" s="51" t="n">
        <v>42.05725625</v>
      </c>
      <c r="AB24" s="52" t="n">
        <v>4509.66</v>
      </c>
      <c r="AC24" s="52" t="n">
        <v>6528.02</v>
      </c>
      <c r="AD24" s="52" t="n">
        <v>9.273</v>
      </c>
      <c r="AE24" s="52" t="n">
        <v>31.71</v>
      </c>
      <c r="AG24" s="47">
        <f>IF(OR(ISBLANK(AQ24),ISBLANK(G24)),"·",AQ24*G24/F24/1000000)</f>
        <v/>
      </c>
      <c r="AH24" s="48">
        <f>IF(ISBLANK(AQ24),"·",AQ24/D24)</f>
        <v/>
      </c>
      <c r="AI24" s="48">
        <f>IF(AL24="","·",AL24/D24)</f>
        <v/>
      </c>
      <c r="AJ24" s="48">
        <f>IF(AR24="","·",AR24/D24)</f>
        <v/>
      </c>
      <c r="AK24" s="48">
        <f>IF(ISBLANK(AT24),"·",AT24/D24)</f>
        <v/>
      </c>
      <c r="AL24" s="45">
        <f>IF(OR(ISBLANK(AR24),ISBLANK(AS24)),"",AR24+AS24)</f>
        <v/>
      </c>
      <c r="AM24" s="48" t="n">
        <v>16</v>
      </c>
      <c r="AN24" s="49" t="n">
        <v>31274990</v>
      </c>
      <c r="AO24" s="49" t="n">
        <v>977343.4375</v>
      </c>
      <c r="AP24" s="49" t="n">
        <v>17914.71875</v>
      </c>
      <c r="AQ24" s="50" t="n">
        <v>9958888</v>
      </c>
      <c r="AR24" s="50" t="n">
        <v>2660104</v>
      </c>
      <c r="AS24" s="50" t="n">
        <v>908936</v>
      </c>
      <c r="AT24" s="50" t="n">
        <v>6389848</v>
      </c>
      <c r="AU24" s="51" t="n">
        <v>71.76797500000001</v>
      </c>
      <c r="AV24" s="51" t="n">
        <v>75.81079687499999</v>
      </c>
      <c r="AW24" s="51" t="n">
        <v>36.616746875</v>
      </c>
      <c r="AX24" s="51" t="n">
        <v>43.67819375</v>
      </c>
      <c r="AY24" s="51" t="n">
        <v>42.2267125</v>
      </c>
      <c r="AZ24" s="52" t="n">
        <v>4514.12</v>
      </c>
      <c r="BA24" s="52" t="n">
        <v>6536.99</v>
      </c>
      <c r="BB24" s="52" t="n">
        <v>70.298</v>
      </c>
      <c r="BC24" s="52" t="n">
        <v>32.756</v>
      </c>
      <c r="BE24" s="53">
        <f>AI24/K24</f>
        <v/>
      </c>
      <c r="BF24" s="54">
        <f>(AP24/AO24) - (R24/Q24)</f>
        <v/>
      </c>
      <c r="BG24" s="54">
        <f>(AL24/AQ24) - (N24/S24)</f>
        <v/>
      </c>
      <c r="BH24" s="54" t="n"/>
      <c r="BJ24" s="53" t="n"/>
      <c r="BK24" s="53" t="n"/>
      <c r="BL24" s="53" t="n"/>
      <c r="BM24" s="53" t="n"/>
      <c r="BN24" s="53" t="n"/>
      <c r="BP24" s="53" t="n"/>
      <c r="BQ24" s="53" t="n"/>
      <c r="BR24" s="53" t="n"/>
      <c r="BS24" s="53" t="n"/>
      <c r="BT24" s="53" t="n"/>
    </row>
    <row r="25">
      <c r="A25" s="142" t="inlineStr">
        <is>
          <t>cat2-B</t>
        </is>
      </c>
      <c r="B25" s="142" t="inlineStr">
        <is>
          <t>8ivfbv2_longdress_vox10</t>
        </is>
      </c>
      <c r="C25" s="16" t="inlineStr">
        <is>
          <t>r01</t>
        </is>
      </c>
      <c r="D25" s="142" t="n">
        <v>250294582</v>
      </c>
      <c r="E25" s="16" t="n">
        <v>10</v>
      </c>
      <c r="F25" s="16" t="n">
        <v>32</v>
      </c>
      <c r="G25" s="16" t="n">
        <v>30</v>
      </c>
      <c r="I25" s="17">
        <f>IF(OR(ISBLANK(S25),ISBLANK(G25)),"·",S25*G25/F25/1000000)</f>
        <v/>
      </c>
      <c r="J25" s="18">
        <f>IF(ISBLANK(S25),"·",S25/D25)</f>
        <v/>
      </c>
      <c r="K25" s="18">
        <f>IF(N25="","·",N25/D25)</f>
        <v/>
      </c>
      <c r="L25" s="18">
        <f>IF(T25="","·",T25/D25)</f>
        <v/>
      </c>
      <c r="M25" s="18">
        <f>IF(ISBLANK(V25),"·",V25/D25)</f>
        <v/>
      </c>
      <c r="N25" s="142">
        <f>IF(OR(ISBLANK(T25),ISBLANK(U25)),"",T25+U25)</f>
        <v/>
      </c>
      <c r="O25" s="18" t="n">
        <v>16</v>
      </c>
      <c r="P25" s="19" t="n">
        <v>23423729</v>
      </c>
      <c r="Q25" s="19" t="n">
        <v>731991.53125</v>
      </c>
      <c r="R25" s="19" t="n">
        <v>14601.28125</v>
      </c>
      <c r="S25" s="20" t="n">
        <v>2196896</v>
      </c>
      <c r="T25" s="20" t="n">
        <v>877408</v>
      </c>
      <c r="U25" s="20" t="n">
        <v>553056</v>
      </c>
      <c r="V25" s="20" t="n">
        <v>766432</v>
      </c>
      <c r="W25" s="21" t="n">
        <v>66.24955625</v>
      </c>
      <c r="X25" s="21" t="n">
        <v>68.002121875</v>
      </c>
      <c r="Y25" s="21" t="n">
        <v>25.895034375</v>
      </c>
      <c r="Z25" s="21" t="n">
        <v>32.454721875</v>
      </c>
      <c r="AA25" s="21" t="n">
        <v>31.646275</v>
      </c>
      <c r="AB25" s="22" t="n">
        <v>1526.73</v>
      </c>
      <c r="AC25" s="22" t="n">
        <v>6355.36</v>
      </c>
      <c r="AD25" s="22" t="n">
        <v>8.239000000000001</v>
      </c>
      <c r="AE25" s="22" t="n">
        <v>31.078</v>
      </c>
      <c r="AG25" s="17">
        <f>IF(OR(ISBLANK(AQ25),ISBLANK(G25)),"·",AQ25*G25/F25/1000000)</f>
        <v/>
      </c>
      <c r="AH25" s="18">
        <f>IF(ISBLANK(AQ25),"·",AQ25/D25)</f>
        <v/>
      </c>
      <c r="AI25" s="18">
        <f>IF(AL25="","·",AL25/D25)</f>
        <v/>
      </c>
      <c r="AJ25" s="18">
        <f>IF(AR25="","·",AR25/D25)</f>
        <v/>
      </c>
      <c r="AK25" s="18">
        <f>IF(ISBLANK(AT25),"·",AT25/D25)</f>
        <v/>
      </c>
      <c r="AL25" s="142">
        <f>IF(OR(ISBLANK(AR25),ISBLANK(AS25)),"",AR25+AS25)</f>
        <v/>
      </c>
      <c r="AM25" s="18" t="n">
        <v>16</v>
      </c>
      <c r="AN25" s="19" t="n">
        <v>23423729</v>
      </c>
      <c r="AO25" s="19" t="n">
        <v>731991.53125</v>
      </c>
      <c r="AP25" s="19" t="n">
        <v>14601.28125</v>
      </c>
      <c r="AQ25" s="20" t="n">
        <v>2198168</v>
      </c>
      <c r="AR25" s="20" t="n">
        <v>877408</v>
      </c>
      <c r="AS25" s="20" t="n">
        <v>553056</v>
      </c>
      <c r="AT25" s="20" t="n">
        <v>767704</v>
      </c>
      <c r="AU25" s="21" t="n">
        <v>66.24955625</v>
      </c>
      <c r="AV25" s="21" t="n">
        <v>68.002121875</v>
      </c>
      <c r="AW25" s="21" t="n">
        <v>25.914253125</v>
      </c>
      <c r="AX25" s="21" t="n">
        <v>32.457703125</v>
      </c>
      <c r="AY25" s="21" t="n">
        <v>31.662740625</v>
      </c>
      <c r="AZ25" s="22" t="n">
        <v>1522.68</v>
      </c>
      <c r="BA25" s="22" t="n">
        <v>6409.65</v>
      </c>
      <c r="BB25" s="22" t="n">
        <v>52.828</v>
      </c>
      <c r="BC25" s="22" t="n">
        <v>32.017</v>
      </c>
      <c r="BE25" s="72">
        <f>AI25/K25</f>
        <v/>
      </c>
      <c r="BF25" s="24">
        <f>(AP25/AO25) - (R25/Q25)</f>
        <v/>
      </c>
      <c r="BG25" s="24">
        <f>(AL25/AQ25) - (N25/S25)</f>
        <v/>
      </c>
      <c r="BH25" s="24">
        <f ref="BH25" t="array">AVERAGE(AL25:AL29/AQ25:AQ29) - AVERAGE(N25:N29/S25:S29)</f>
        <v/>
      </c>
      <c r="BJ25" s="72">
        <f>IF( OR(ISBLANK(N25:N29),ISBLANK(AL25:AL29), ISBLANK(W25:W29),ISBLANK(AU25:AU29)), "·", bdRateExtend( N25:N29,W25:W29, AL25:AL29,AU25:AU29))</f>
        <v/>
      </c>
      <c r="BK25" s="72">
        <f>IF( OR(ISBLANK(N25:N29),ISBLANK(AL25:AL29), ISBLANK(X25:X29),ISBLANK(AV25:AV29)), "·", bdRateExtend( N25:N29,X25:X29, AL25:AL29,AV25:AV29))</f>
        <v/>
      </c>
      <c r="BL25" s="72">
        <f>IF( OR(ISBLANK(V25:V29),ISBLANK(AT25:AT29), ISBLANK(Y25:Y29),ISBLANK(AW25:AW29)), "·", bdRateExtend( V25:V29,Y25:Y29, AT25:AT29,AW25:AW29))</f>
        <v/>
      </c>
      <c r="BM25" s="72">
        <f>IF( OR(ISBLANK(V25:V29),ISBLANK(AT25:AT29), ISBLANK(Z25:Z29),ISBLANK(AX25:AX29)), "·", bdRateExtend( V25:V29,Z25:Z29, AT25:AT29,AX25:AX29))</f>
        <v/>
      </c>
      <c r="BN25" s="72">
        <f>IF( OR(ISBLANK(V25:V29),ISBLANK(AT25:AT29), ISBLANK(AA25:AA29),ISBLANK(AY25:AY29)), "·", bdRateExtend( V25:V29,AA25:AA29, AT25:AT29,AY25:AY29))</f>
        <v/>
      </c>
      <c r="BP25" s="72">
        <f>IF( OR(ISBLANK(S25:S29),ISBLANK(AQ25:AQ29), ISBLANK(W25:W29),ISBLANK(AU25:AU29)), "·", bdRateExtend( S25:S29,W25:W29, AQ25:AQ29,AU25:AU29))</f>
        <v/>
      </c>
      <c r="BQ25" s="72">
        <f>IF( OR(ISBLANK(S25:S29),ISBLANK(AQ25:AQ29), ISBLANK(X25:X29),ISBLANK(AV25:AV29)), "·", bdRateExtend( S25:S29,X25:X29, AQ25:AQ29,AV25:AV29))</f>
        <v/>
      </c>
      <c r="BR25" s="72">
        <f>IF( OR(ISBLANK(S25:S29),ISBLANK(AQ25:AQ29), ISBLANK(Y25:Y29),ISBLANK(AW25:AW29)), "·", bdRateExtend( S25:S29,Y25:Y29, AQ25:AQ29,AW25:AW29))</f>
        <v/>
      </c>
      <c r="BS25" s="72">
        <f>IF( OR(ISBLANK(S25:S29),ISBLANK(AQ25:AQ29), ISBLANK(Z25:Z29),ISBLANK(AX25:AX29)), "·", bdRateExtend( S25:S29,Z25:Z29, AQ25:AQ29,AX25:AX29))</f>
        <v/>
      </c>
      <c r="BT25" s="72">
        <f>IF( OR(ISBLANK(S25:S29),ISBLANK(AQ25:AQ29), ISBLANK(AA25:AA29),ISBLANK(AY25:AY29)), "·", bdRateExtend( S25:S29,AA25:AA29, AQ25:AQ29,AY25:AY29))</f>
        <v/>
      </c>
    </row>
    <row outlineLevel="1" r="26" s="86">
      <c r="A26" s="25" t="n"/>
      <c r="B26" s="25" t="inlineStr">
        <is>
          <t>8ivfbv2_longdress_vox10</t>
        </is>
      </c>
      <c r="C26" s="26" t="inlineStr">
        <is>
          <t>r02</t>
        </is>
      </c>
      <c r="D26" s="25" t="n">
        <v>250294582</v>
      </c>
      <c r="E26" s="26" t="n">
        <v>10</v>
      </c>
      <c r="F26" s="26" t="n">
        <v>32</v>
      </c>
      <c r="G26" s="26" t="n">
        <v>30</v>
      </c>
      <c r="I26" s="27">
        <f>IF(OR(ISBLANK(S26),ISBLANK(G26)),"·",S26*G26/F26/1000000)</f>
        <v/>
      </c>
      <c r="J26" s="28">
        <f>IF(ISBLANK(S26),"·",S26/D26)</f>
        <v/>
      </c>
      <c r="K26" s="28">
        <f>IF(N26="","·",N26/D26)</f>
        <v/>
      </c>
      <c r="L26" s="28">
        <f>IF(T26="","·",T26/D26)</f>
        <v/>
      </c>
      <c r="M26" s="28">
        <f>IF(ISBLANK(V26),"·",V26/D26)</f>
        <v/>
      </c>
      <c r="N26" s="25">
        <f>IF(OR(ISBLANK(T26),ISBLANK(U26)),"",T26+U26)</f>
        <v/>
      </c>
      <c r="O26" s="28" t="n">
        <v>16</v>
      </c>
      <c r="P26" s="29" t="n">
        <v>24642332</v>
      </c>
      <c r="Q26" s="29" t="n">
        <v>770072.875</v>
      </c>
      <c r="R26" s="29" t="n">
        <v>17838.375</v>
      </c>
      <c r="S26" s="30" t="n">
        <v>3392064</v>
      </c>
      <c r="T26" s="30" t="n">
        <v>1246424</v>
      </c>
      <c r="U26" s="30" t="n">
        <v>553056</v>
      </c>
      <c r="V26" s="30" t="n">
        <v>1592584</v>
      </c>
      <c r="W26" s="31" t="n">
        <v>68.005359375</v>
      </c>
      <c r="X26" s="31" t="n">
        <v>70.016609375</v>
      </c>
      <c r="Y26" s="31" t="n">
        <v>27.912871875</v>
      </c>
      <c r="Z26" s="31" t="n">
        <v>33.647859375</v>
      </c>
      <c r="AA26" s="31" t="n">
        <v>33.01885</v>
      </c>
      <c r="AB26" s="32" t="n">
        <v>1526.57</v>
      </c>
      <c r="AC26" s="32" t="n">
        <v>6886.4</v>
      </c>
      <c r="AD26" s="32" t="n">
        <v>8.566000000000001</v>
      </c>
      <c r="AE26" s="32" t="n">
        <v>31.164</v>
      </c>
      <c r="AG26" s="27">
        <f>IF(OR(ISBLANK(AQ26),ISBLANK(G26)),"·",AQ26*G26/F26/1000000)</f>
        <v/>
      </c>
      <c r="AH26" s="28">
        <f>IF(ISBLANK(AQ26),"·",AQ26/D26)</f>
        <v/>
      </c>
      <c r="AI26" s="28">
        <f>IF(AL26="","·",AL26/D26)</f>
        <v/>
      </c>
      <c r="AJ26" s="28">
        <f>IF(AR26="","·",AR26/D26)</f>
        <v/>
      </c>
      <c r="AK26" s="28">
        <f>IF(ISBLANK(AT26),"·",AT26/D26)</f>
        <v/>
      </c>
      <c r="AL26" s="25">
        <f>IF(OR(ISBLANK(AR26),ISBLANK(AS26)),"",AR26+AS26)</f>
        <v/>
      </c>
      <c r="AM26" s="28" t="n">
        <v>16</v>
      </c>
      <c r="AN26" s="29" t="n">
        <v>24642332</v>
      </c>
      <c r="AO26" s="29" t="n">
        <v>770072.875</v>
      </c>
      <c r="AP26" s="29" t="n">
        <v>17838.375</v>
      </c>
      <c r="AQ26" s="30" t="n">
        <v>3382992</v>
      </c>
      <c r="AR26" s="30" t="n">
        <v>1246424</v>
      </c>
      <c r="AS26" s="30" t="n">
        <v>553056</v>
      </c>
      <c r="AT26" s="30" t="n">
        <v>1583512</v>
      </c>
      <c r="AU26" s="31" t="n">
        <v>68.005359375</v>
      </c>
      <c r="AV26" s="31" t="n">
        <v>70.016609375</v>
      </c>
      <c r="AW26" s="31" t="n">
        <v>27.918290625</v>
      </c>
      <c r="AX26" s="31" t="n">
        <v>33.66805625</v>
      </c>
      <c r="AY26" s="31" t="n">
        <v>33.04023125</v>
      </c>
      <c r="AZ26" s="32" t="n">
        <v>1514.62</v>
      </c>
      <c r="BA26" s="32" t="n">
        <v>6865.54</v>
      </c>
      <c r="BB26" s="32" t="n">
        <v>55.243</v>
      </c>
      <c r="BC26" s="32" t="n">
        <v>31.816</v>
      </c>
      <c r="BE26" s="68">
        <f>AI26/K26</f>
        <v/>
      </c>
      <c r="BF26" s="34">
        <f>(AP26/AO26) - (R26/Q26)</f>
        <v/>
      </c>
      <c r="BG26" s="34">
        <f>(AL26/AQ26) - (N26/S26)</f>
        <v/>
      </c>
      <c r="BH26" s="34" t="n"/>
      <c r="BJ26" s="68" t="n"/>
      <c r="BK26" s="68" t="n"/>
      <c r="BL26" s="68" t="n"/>
      <c r="BM26" s="68" t="n"/>
      <c r="BN26" s="68" t="n"/>
      <c r="BP26" s="68" t="n"/>
      <c r="BQ26" s="68" t="n"/>
      <c r="BR26" s="68" t="n"/>
      <c r="BS26" s="68" t="n"/>
      <c r="BT26" s="68" t="n"/>
    </row>
    <row outlineLevel="1" r="27" s="86">
      <c r="A27" s="142" t="n"/>
      <c r="B27" s="142" t="inlineStr">
        <is>
          <t>8ivfbv2_longdress_vox10</t>
        </is>
      </c>
      <c r="C27" s="16" t="inlineStr">
        <is>
          <t>r03</t>
        </is>
      </c>
      <c r="D27" s="142" t="n">
        <v>250294582</v>
      </c>
      <c r="E27" s="16" t="n">
        <v>10</v>
      </c>
      <c r="F27" s="16" t="n">
        <v>32</v>
      </c>
      <c r="G27" s="16" t="n">
        <v>30</v>
      </c>
      <c r="I27" s="17">
        <f>IF(OR(ISBLANK(S27),ISBLANK(G27)),"·",S27*G27/F27/1000000)</f>
        <v/>
      </c>
      <c r="J27" s="18">
        <f>IF(ISBLANK(S27),"·",S27/D27)</f>
        <v/>
      </c>
      <c r="K27" s="18">
        <f>IF(N27="","·",N27/D27)</f>
        <v/>
      </c>
      <c r="L27" s="18">
        <f>IF(T27="","·",T27/D27)</f>
        <v/>
      </c>
      <c r="M27" s="18">
        <f>IF(ISBLANK(V27),"·",V27/D27)</f>
        <v/>
      </c>
      <c r="N27" s="142">
        <f>IF(OR(ISBLANK(T27),ISBLANK(U27)),"",T27+U27)</f>
        <v/>
      </c>
      <c r="O27" s="18" t="n">
        <v>16</v>
      </c>
      <c r="P27" s="19" t="n">
        <v>24875407</v>
      </c>
      <c r="Q27" s="19" t="n">
        <v>777356.46875</v>
      </c>
      <c r="R27" s="19" t="n">
        <v>18687.4375</v>
      </c>
      <c r="S27" s="20" t="n">
        <v>5730296</v>
      </c>
      <c r="T27" s="20" t="n">
        <v>1787808</v>
      </c>
      <c r="U27" s="20" t="n">
        <v>553056</v>
      </c>
      <c r="V27" s="20" t="n">
        <v>3389432</v>
      </c>
      <c r="W27" s="21" t="n">
        <v>69.30175625</v>
      </c>
      <c r="X27" s="21" t="n">
        <v>71.69051875</v>
      </c>
      <c r="Y27" s="21" t="n">
        <v>30.208675</v>
      </c>
      <c r="Z27" s="21" t="n">
        <v>34.93565</v>
      </c>
      <c r="AA27" s="21" t="n">
        <v>34.363496875</v>
      </c>
      <c r="AB27" s="22" t="n">
        <v>1517.06</v>
      </c>
      <c r="AC27" s="22" t="n">
        <v>7344.23</v>
      </c>
      <c r="AD27" s="22" t="n">
        <v>8.193</v>
      </c>
      <c r="AE27" s="22" t="n">
        <v>30.877</v>
      </c>
      <c r="AG27" s="17">
        <f>IF(OR(ISBLANK(AQ27),ISBLANK(G27)),"·",AQ27*G27/F27/1000000)</f>
        <v/>
      </c>
      <c r="AH27" s="18">
        <f>IF(ISBLANK(AQ27),"·",AQ27/D27)</f>
        <v/>
      </c>
      <c r="AI27" s="18">
        <f>IF(AL27="","·",AL27/D27)</f>
        <v/>
      </c>
      <c r="AJ27" s="18">
        <f>IF(AR27="","·",AR27/D27)</f>
        <v/>
      </c>
      <c r="AK27" s="18">
        <f>IF(ISBLANK(AT27),"·",AT27/D27)</f>
        <v/>
      </c>
      <c r="AL27" s="142">
        <f>IF(OR(ISBLANK(AR27),ISBLANK(AS27)),"",AR27+AS27)</f>
        <v/>
      </c>
      <c r="AM27" s="18" t="n">
        <v>16</v>
      </c>
      <c r="AN27" s="19" t="n">
        <v>24875407</v>
      </c>
      <c r="AO27" s="19" t="n">
        <v>777356.46875</v>
      </c>
      <c r="AP27" s="19" t="n">
        <v>18687.4375</v>
      </c>
      <c r="AQ27" s="20" t="n">
        <v>5712152</v>
      </c>
      <c r="AR27" s="20" t="n">
        <v>1787808</v>
      </c>
      <c r="AS27" s="20" t="n">
        <v>553056</v>
      </c>
      <c r="AT27" s="20" t="n">
        <v>3371288</v>
      </c>
      <c r="AU27" s="21" t="n">
        <v>69.30175625</v>
      </c>
      <c r="AV27" s="21" t="n">
        <v>71.69051875</v>
      </c>
      <c r="AW27" s="21" t="n">
        <v>30.205875</v>
      </c>
      <c r="AX27" s="21" t="n">
        <v>34.90981875</v>
      </c>
      <c r="AY27" s="21" t="n">
        <v>34.350634375</v>
      </c>
      <c r="AZ27" s="22" t="n">
        <v>1515.04</v>
      </c>
      <c r="BA27" s="22" t="n">
        <v>7363.52</v>
      </c>
      <c r="BB27" s="22" t="n">
        <v>55.853</v>
      </c>
      <c r="BC27" s="22" t="n">
        <v>32.764</v>
      </c>
      <c r="BE27" s="72">
        <f>AI27/K27</f>
        <v/>
      </c>
      <c r="BF27" s="24">
        <f>(AP27/AO27) - (R27/Q27)</f>
        <v/>
      </c>
      <c r="BG27" s="24">
        <f>(AL27/AQ27) - (N27/S27)</f>
        <v/>
      </c>
      <c r="BH27" s="24" t="n"/>
      <c r="BJ27" s="72" t="n"/>
      <c r="BK27" s="72" t="n"/>
      <c r="BL27" s="72" t="n"/>
      <c r="BM27" s="72" t="n"/>
      <c r="BN27" s="72" t="n"/>
      <c r="BP27" s="72" t="n"/>
      <c r="BQ27" s="72" t="n"/>
      <c r="BR27" s="72" t="n"/>
      <c r="BS27" s="72" t="n"/>
      <c r="BT27" s="72" t="n"/>
    </row>
    <row outlineLevel="1" r="28" s="86">
      <c r="A28" s="25" t="n"/>
      <c r="B28" s="25" t="inlineStr">
        <is>
          <t>8ivfbv2_longdress_vox10</t>
        </is>
      </c>
      <c r="C28" s="26" t="inlineStr">
        <is>
          <t>r04</t>
        </is>
      </c>
      <c r="D28" s="25" t="n">
        <v>250294582</v>
      </c>
      <c r="E28" s="26" t="n">
        <v>10</v>
      </c>
      <c r="F28" s="26" t="n">
        <v>32</v>
      </c>
      <c r="G28" s="26" t="n">
        <v>30</v>
      </c>
      <c r="I28" s="27">
        <f>IF(OR(ISBLANK(S28),ISBLANK(G28)),"·",S28*G28/F28/1000000)</f>
        <v/>
      </c>
      <c r="J28" s="28">
        <f>IF(ISBLANK(S28),"·",S28/D28)</f>
        <v/>
      </c>
      <c r="K28" s="28">
        <f>IF(N28="","·",N28/D28)</f>
        <v/>
      </c>
      <c r="L28" s="28">
        <f>IF(T28="","·",T28/D28)</f>
        <v/>
      </c>
      <c r="M28" s="28">
        <f>IF(ISBLANK(V28),"·",V28/D28)</f>
        <v/>
      </c>
      <c r="N28" s="25">
        <f>IF(OR(ISBLANK(T28),ISBLANK(U28)),"",T28+U28)</f>
        <v/>
      </c>
      <c r="O28" s="28" t="n">
        <v>16</v>
      </c>
      <c r="P28" s="29" t="n">
        <v>25558634</v>
      </c>
      <c r="Q28" s="29" t="n">
        <v>798707.3125</v>
      </c>
      <c r="R28" s="29" t="n">
        <v>21108.9375</v>
      </c>
      <c r="S28" s="30" t="n">
        <v>11084296</v>
      </c>
      <c r="T28" s="30" t="n">
        <v>2747480</v>
      </c>
      <c r="U28" s="30" t="n">
        <v>553056</v>
      </c>
      <c r="V28" s="30" t="n">
        <v>7783760</v>
      </c>
      <c r="W28" s="31" t="n">
        <v>70.462115625</v>
      </c>
      <c r="X28" s="31" t="n">
        <v>72.99359375</v>
      </c>
      <c r="Y28" s="31" t="n">
        <v>32.718546875</v>
      </c>
      <c r="Z28" s="31" t="n">
        <v>36.415940625</v>
      </c>
      <c r="AA28" s="31" t="n">
        <v>35.862046875</v>
      </c>
      <c r="AB28" s="32" t="n">
        <v>1514.66</v>
      </c>
      <c r="AC28" s="32" t="n">
        <v>7972.62</v>
      </c>
      <c r="AD28" s="32" t="n">
        <v>8.34</v>
      </c>
      <c r="AE28" s="32" t="n">
        <v>31.911</v>
      </c>
      <c r="AG28" s="27">
        <f>IF(OR(ISBLANK(AQ28),ISBLANK(G28)),"·",AQ28*G28/F28/1000000)</f>
        <v/>
      </c>
      <c r="AH28" s="28">
        <f>IF(ISBLANK(AQ28),"·",AQ28/D28)</f>
        <v/>
      </c>
      <c r="AI28" s="28">
        <f>IF(AL28="","·",AL28/D28)</f>
        <v/>
      </c>
      <c r="AJ28" s="28">
        <f>IF(AR28="","·",AR28/D28)</f>
        <v/>
      </c>
      <c r="AK28" s="28">
        <f>IF(ISBLANK(AT28),"·",AT28/D28)</f>
        <v/>
      </c>
      <c r="AL28" s="25">
        <f>IF(OR(ISBLANK(AR28),ISBLANK(AS28)),"",AR28+AS28)</f>
        <v/>
      </c>
      <c r="AM28" s="28" t="n">
        <v>16</v>
      </c>
      <c r="AN28" s="29" t="n">
        <v>25558634</v>
      </c>
      <c r="AO28" s="29" t="n">
        <v>798707.3125</v>
      </c>
      <c r="AP28" s="29" t="n">
        <v>21108.9375</v>
      </c>
      <c r="AQ28" s="30" t="n">
        <v>11028264</v>
      </c>
      <c r="AR28" s="30" t="n">
        <v>2747480</v>
      </c>
      <c r="AS28" s="30" t="n">
        <v>553056</v>
      </c>
      <c r="AT28" s="30" t="n">
        <v>7727728</v>
      </c>
      <c r="AU28" s="31" t="n">
        <v>70.462115625</v>
      </c>
      <c r="AV28" s="31" t="n">
        <v>72.99359375</v>
      </c>
      <c r="AW28" s="31" t="n">
        <v>32.704628125</v>
      </c>
      <c r="AX28" s="31" t="n">
        <v>36.413840625</v>
      </c>
      <c r="AY28" s="31" t="n">
        <v>35.86495625</v>
      </c>
      <c r="AZ28" s="32" t="n">
        <v>1502</v>
      </c>
      <c r="BA28" s="32" t="n">
        <v>7938.46</v>
      </c>
      <c r="BB28" s="32" t="n">
        <v>57.097</v>
      </c>
      <c r="BC28" s="32" t="n">
        <v>34.634</v>
      </c>
      <c r="BE28" s="68">
        <f>AI28/K28</f>
        <v/>
      </c>
      <c r="BF28" s="34">
        <f>(AP28/AO28) - (R28/Q28)</f>
        <v/>
      </c>
      <c r="BG28" s="34">
        <f>(AL28/AQ28) - (N28/S28)</f>
        <v/>
      </c>
      <c r="BH28" s="34" t="n"/>
      <c r="BJ28" s="68" t="n"/>
      <c r="BK28" s="68" t="n"/>
      <c r="BL28" s="68" t="n"/>
      <c r="BM28" s="68" t="n"/>
      <c r="BN28" s="68" t="n"/>
      <c r="BP28" s="68" t="n"/>
      <c r="BQ28" s="68" t="n"/>
      <c r="BR28" s="68" t="n"/>
      <c r="BS28" s="68" t="n"/>
      <c r="BT28" s="68" t="n"/>
    </row>
    <row outlineLevel="1" r="29" s="86">
      <c r="A29" s="35" t="n"/>
      <c r="B29" s="35" t="inlineStr">
        <is>
          <t>8ivfbv2_longdress_vox10</t>
        </is>
      </c>
      <c r="C29" s="36" t="inlineStr">
        <is>
          <t>r05</t>
        </is>
      </c>
      <c r="D29" s="35" t="n">
        <v>250294582</v>
      </c>
      <c r="E29" s="36" t="n">
        <v>10</v>
      </c>
      <c r="F29" s="36" t="n">
        <v>32</v>
      </c>
      <c r="G29" s="36" t="n">
        <v>30</v>
      </c>
      <c r="I29" s="37">
        <f>IF(OR(ISBLANK(S29),ISBLANK(G29)),"·",S29*G29/F29/1000000)</f>
        <v/>
      </c>
      <c r="J29" s="38">
        <f>IF(ISBLANK(S29),"·",S29/D29)</f>
        <v/>
      </c>
      <c r="K29" s="38">
        <f>IF(N29="","·",N29/D29)</f>
        <v/>
      </c>
      <c r="L29" s="38">
        <f>IF(T29="","·",T29/D29)</f>
        <v/>
      </c>
      <c r="M29" s="38">
        <f>IF(ISBLANK(V29),"·",V29/D29)</f>
        <v/>
      </c>
      <c r="N29" s="35">
        <f>IF(OR(ISBLANK(T29),ISBLANK(U29)),"",T29+U29)</f>
        <v/>
      </c>
      <c r="O29" s="38" t="n">
        <v>16</v>
      </c>
      <c r="P29" s="39" t="n">
        <v>24591050</v>
      </c>
      <c r="Q29" s="39" t="n">
        <v>768470.3125</v>
      </c>
      <c r="R29" s="39" t="n">
        <v>9839.84375</v>
      </c>
      <c r="S29" s="40" t="n">
        <v>25546664</v>
      </c>
      <c r="T29" s="40" t="n">
        <v>4312888</v>
      </c>
      <c r="U29" s="40" t="n">
        <v>1104192</v>
      </c>
      <c r="V29" s="40" t="n">
        <v>20129584</v>
      </c>
      <c r="W29" s="41" t="n">
        <v>71.13803125</v>
      </c>
      <c r="X29" s="41" t="n">
        <v>74.86593437499999</v>
      </c>
      <c r="Y29" s="41" t="n">
        <v>35.7631625</v>
      </c>
      <c r="Z29" s="41" t="n">
        <v>38.359853125</v>
      </c>
      <c r="AA29" s="41" t="n">
        <v>37.754875</v>
      </c>
      <c r="AB29" s="42" t="n">
        <v>1525.16</v>
      </c>
      <c r="AC29" s="42" t="n">
        <v>9038.969999999999</v>
      </c>
      <c r="AD29" s="42" t="n">
        <v>8.177</v>
      </c>
      <c r="AE29" s="42" t="n">
        <v>34.54</v>
      </c>
      <c r="AG29" s="37">
        <f>IF(OR(ISBLANK(AQ29),ISBLANK(G29)),"·",AQ29*G29/F29/1000000)</f>
        <v/>
      </c>
      <c r="AH29" s="38">
        <f>IF(ISBLANK(AQ29),"·",AQ29/D29)</f>
        <v/>
      </c>
      <c r="AI29" s="38">
        <f>IF(AL29="","·",AL29/D29)</f>
        <v/>
      </c>
      <c r="AJ29" s="38">
        <f>IF(AR29="","·",AR29/D29)</f>
        <v/>
      </c>
      <c r="AK29" s="38">
        <f>IF(ISBLANK(AT29),"·",AT29/D29)</f>
        <v/>
      </c>
      <c r="AL29" s="35">
        <f>IF(OR(ISBLANK(AR29),ISBLANK(AS29)),"",AR29+AS29)</f>
        <v/>
      </c>
      <c r="AM29" s="38" t="n">
        <v>16</v>
      </c>
      <c r="AN29" s="39" t="n">
        <v>24591050</v>
      </c>
      <c r="AO29" s="39" t="n">
        <v>768470.3125</v>
      </c>
      <c r="AP29" s="39" t="n">
        <v>9839.84375</v>
      </c>
      <c r="AQ29" s="40" t="n">
        <v>25457128</v>
      </c>
      <c r="AR29" s="40" t="n">
        <v>4312888</v>
      </c>
      <c r="AS29" s="40" t="n">
        <v>1104192</v>
      </c>
      <c r="AT29" s="40" t="n">
        <v>20040048</v>
      </c>
      <c r="AU29" s="41" t="n">
        <v>71.13803125</v>
      </c>
      <c r="AV29" s="41" t="n">
        <v>74.86593437499999</v>
      </c>
      <c r="AW29" s="41" t="n">
        <v>35.755878125</v>
      </c>
      <c r="AX29" s="41" t="n">
        <v>38.367171875</v>
      </c>
      <c r="AY29" s="41" t="n">
        <v>37.76205</v>
      </c>
      <c r="AZ29" s="42" t="n">
        <v>1513.73</v>
      </c>
      <c r="BA29" s="42" t="n">
        <v>8983.83</v>
      </c>
      <c r="BB29" s="42" t="n">
        <v>54.905</v>
      </c>
      <c r="BC29" s="42" t="n">
        <v>36.929</v>
      </c>
      <c r="BE29" s="43">
        <f>AI29/K29</f>
        <v/>
      </c>
      <c r="BF29" s="44">
        <f>(AP29/AO29) - (R29/Q29)</f>
        <v/>
      </c>
      <c r="BG29" s="44">
        <f>(AL29/AQ29) - (N29/S29)</f>
        <v/>
      </c>
      <c r="BH29" s="44" t="n"/>
      <c r="BJ29" s="43" t="n"/>
      <c r="BK29" s="43" t="n"/>
      <c r="BL29" s="43" t="n"/>
      <c r="BM29" s="43" t="n"/>
      <c r="BN29" s="43" t="n"/>
      <c r="BP29" s="43" t="n"/>
      <c r="BQ29" s="43" t="n"/>
      <c r="BR29" s="43" t="n"/>
      <c r="BS29" s="43" t="n"/>
      <c r="BT29" s="43" t="n"/>
    </row>
    <row r="30">
      <c r="A30" s="25" t="inlineStr">
        <is>
          <t>cat2-C</t>
        </is>
      </c>
      <c r="B30" s="25" t="inlineStr">
        <is>
          <t>basketball_player_vox11</t>
        </is>
      </c>
      <c r="C30" s="26" t="inlineStr">
        <is>
          <t>r01</t>
        </is>
      </c>
      <c r="D30" s="25" t="n">
        <v>375422539</v>
      </c>
      <c r="E30" s="26" t="n">
        <v>11</v>
      </c>
      <c r="F30" s="26" t="n">
        <v>32</v>
      </c>
      <c r="G30" s="26" t="n">
        <v>30</v>
      </c>
      <c r="I30" s="27">
        <f>IF(OR(ISBLANK(S30),ISBLANK(G30)),"·",S30*G30/F30/1000000)</f>
        <v/>
      </c>
      <c r="J30" s="28">
        <f>IF(ISBLANK(S30),"·",S30/D30)</f>
        <v/>
      </c>
      <c r="K30" s="28">
        <f>IF(N30="","·",N30/D30)</f>
        <v/>
      </c>
      <c r="L30" s="28">
        <f>IF(T30="","·",T30/D30)</f>
        <v/>
      </c>
      <c r="M30" s="28">
        <f>IF(ISBLANK(V30),"·",V30/D30)</f>
        <v/>
      </c>
      <c r="N30" s="25">
        <f>IF(OR(ISBLANK(T30),ISBLANK(U30)),"",T30+U30)</f>
        <v/>
      </c>
      <c r="O30" s="28" t="n">
        <v>16</v>
      </c>
      <c r="P30" s="29" t="n">
        <v>86243398</v>
      </c>
      <c r="Q30" s="29" t="n">
        <v>2695106.1875</v>
      </c>
      <c r="R30" s="29" t="n">
        <v>33846.0625</v>
      </c>
      <c r="S30" s="30" t="n">
        <v>3966016</v>
      </c>
      <c r="T30" s="30" t="n">
        <v>1980608</v>
      </c>
      <c r="U30" s="30" t="n">
        <v>1166200</v>
      </c>
      <c r="V30" s="30" t="n">
        <v>819208</v>
      </c>
      <c r="W30" s="31" t="n">
        <v>73.637075</v>
      </c>
      <c r="X30" s="31" t="n">
        <v>75.7426</v>
      </c>
      <c r="Y30" s="31" t="n">
        <v>33.21459375</v>
      </c>
      <c r="Z30" s="31" t="n">
        <v>41.966721875</v>
      </c>
      <c r="AA30" s="31" t="n">
        <v>43.243725</v>
      </c>
      <c r="AB30" s="32" t="n">
        <v>3276.16</v>
      </c>
      <c r="AC30" s="32" t="n">
        <v>25406.3</v>
      </c>
      <c r="AD30" s="32" t="n">
        <v>31.61</v>
      </c>
      <c r="AE30" s="32" t="n">
        <v>132.018</v>
      </c>
      <c r="AG30" s="27">
        <f>IF(OR(ISBLANK(AQ30),ISBLANK(G30)),"·",AQ30*G30/F30/1000000)</f>
        <v/>
      </c>
      <c r="AH30" s="28">
        <f>IF(ISBLANK(AQ30),"·",AQ30/D30)</f>
        <v/>
      </c>
      <c r="AI30" s="28">
        <f>IF(AL30="","·",AL30/D30)</f>
        <v/>
      </c>
      <c r="AJ30" s="28">
        <f>IF(AR30="","·",AR30/D30)</f>
        <v/>
      </c>
      <c r="AK30" s="28">
        <f>IF(ISBLANK(AT30),"·",AT30/D30)</f>
        <v/>
      </c>
      <c r="AL30" s="25">
        <f>IF(OR(ISBLANK(AR30),ISBLANK(AS30)),"",AR30+AS30)</f>
        <v/>
      </c>
      <c r="AM30" s="28" t="n">
        <v>16</v>
      </c>
      <c r="AN30" s="29" t="n">
        <v>86243398</v>
      </c>
      <c r="AO30" s="29" t="n">
        <v>2695106.1875</v>
      </c>
      <c r="AP30" s="29" t="n">
        <v>33846.0625</v>
      </c>
      <c r="AQ30" s="30" t="n">
        <v>3967064</v>
      </c>
      <c r="AR30" s="30" t="n">
        <v>1980608</v>
      </c>
      <c r="AS30" s="30" t="n">
        <v>1166200</v>
      </c>
      <c r="AT30" s="30" t="n">
        <v>820256</v>
      </c>
      <c r="AU30" s="31" t="n">
        <v>73.637075</v>
      </c>
      <c r="AV30" s="31" t="n">
        <v>75.7426</v>
      </c>
      <c r="AW30" s="31" t="n">
        <v>33.23094375</v>
      </c>
      <c r="AX30" s="31" t="n">
        <v>41.92921875</v>
      </c>
      <c r="AY30" s="31" t="n">
        <v>43.31611875</v>
      </c>
      <c r="AZ30" s="32" t="n">
        <v>3460.81</v>
      </c>
      <c r="BA30" s="32" t="n">
        <v>27666.9</v>
      </c>
      <c r="BB30" s="32" t="n">
        <v>202.969</v>
      </c>
      <c r="BC30" s="32" t="n">
        <v>149.6</v>
      </c>
      <c r="BE30" s="68">
        <f>AI30/K30</f>
        <v/>
      </c>
      <c r="BF30" s="34">
        <f>(AP30/AO30) - (R30/Q30)</f>
        <v/>
      </c>
      <c r="BG30" s="34">
        <f>(AL30/AQ30) - (N30/S30)</f>
        <v/>
      </c>
      <c r="BH30" s="34">
        <f ref="BH30" t="array">AVERAGE(AL30:AL34/AQ30:AQ34) - AVERAGE(N30:N34/S30:S34)</f>
        <v/>
      </c>
      <c r="BJ30" s="68">
        <f>IF( OR(ISBLANK(N30:N34),ISBLANK(AL30:AL34), ISBLANK(W30:W34),ISBLANK(AU30:AU34)), "·", bdRateExtend( N30:N34,W30:W34, AL30:AL34,AU30:AU34))</f>
        <v/>
      </c>
      <c r="BK30" s="68">
        <f>IF( OR(ISBLANK(N30:N34),ISBLANK(AL30:AL34), ISBLANK(X30:X34),ISBLANK(AV30:AV34)), "·", bdRateExtend( N30:N34,X30:X34, AL30:AL34,AV30:AV34))</f>
        <v/>
      </c>
      <c r="BL30" s="68">
        <f>IF( OR(ISBLANK(V30:V34),ISBLANK(AT30:AT34), ISBLANK(Y30:Y34),ISBLANK(AW30:AW34)), "·", bdRateExtend( V30:V34,Y30:Y34, AT30:AT34,AW30:AW34))</f>
        <v/>
      </c>
      <c r="BM30" s="68">
        <f>IF( OR(ISBLANK(V30:V34),ISBLANK(AT30:AT34), ISBLANK(Z30:Z34),ISBLANK(AX30:AX34)), "·", bdRateExtend( V30:V34,Z30:Z34, AT30:AT34,AX30:AX34))</f>
        <v/>
      </c>
      <c r="BN30" s="68">
        <f>IF( OR(ISBLANK(V30:V34),ISBLANK(AT30:AT34), ISBLANK(AA30:AA34),ISBLANK(AY30:AY34)), "·", bdRateExtend( V30:V34,AA30:AA34, AT30:AT34,AY30:AY34))</f>
        <v/>
      </c>
      <c r="BP30" s="68">
        <f>IF( OR(ISBLANK(S30:S34),ISBLANK(AQ30:AQ34), ISBLANK(W30:W34),ISBLANK(AU30:AU34)), "·", bdRateExtend( S30:S34,W30:W34, AQ30:AQ34,AU30:AU34))</f>
        <v/>
      </c>
      <c r="BQ30" s="68">
        <f>IF( OR(ISBLANK(S30:S34),ISBLANK(AQ30:AQ34), ISBLANK(X30:X34),ISBLANK(AV30:AV34)), "·", bdRateExtend( S30:S34,X30:X34, AQ30:AQ34,AV30:AV34))</f>
        <v/>
      </c>
      <c r="BR30" s="68">
        <f>IF( OR(ISBLANK(S30:S34),ISBLANK(AQ30:AQ34), ISBLANK(Y30:Y34),ISBLANK(AW30:AW34)), "·", bdRateExtend( S30:S34,Y30:Y34, AQ30:AQ34,AW30:AW34))</f>
        <v/>
      </c>
      <c r="BS30" s="68">
        <f>IF( OR(ISBLANK(S30:S34),ISBLANK(AQ30:AQ34), ISBLANK(Z30:Z34),ISBLANK(AX30:AX34)), "·", bdRateExtend( S30:S34,Z30:Z34, AQ30:AQ34,AX30:AX34))</f>
        <v/>
      </c>
      <c r="BT30" s="68">
        <f>IF( OR(ISBLANK(S30:S34),ISBLANK(AQ30:AQ34), ISBLANK(AA30:AA34),ISBLANK(AY30:AY34)), "·", bdRateExtend( S30:S34,AA30:AA34, AQ30:AQ34,AY30:AY34))</f>
        <v/>
      </c>
    </row>
    <row outlineLevel="1" r="31" s="86">
      <c r="A31" s="142" t="n"/>
      <c r="B31" s="142" t="inlineStr">
        <is>
          <t>basketball_player_vox11</t>
        </is>
      </c>
      <c r="C31" s="16" t="inlineStr">
        <is>
          <t>r02</t>
        </is>
      </c>
      <c r="D31" s="142" t="n">
        <v>375422539</v>
      </c>
      <c r="E31" s="16" t="n">
        <v>11</v>
      </c>
      <c r="F31" s="16" t="n">
        <v>32</v>
      </c>
      <c r="G31" s="16" t="n">
        <v>30</v>
      </c>
      <c r="I31" s="17">
        <f>IF(OR(ISBLANK(S31),ISBLANK(G31)),"·",S31*G31/F31/1000000)</f>
        <v/>
      </c>
      <c r="J31" s="18">
        <f>IF(ISBLANK(S31),"·",S31/D31)</f>
        <v/>
      </c>
      <c r="K31" s="18">
        <f>IF(N31="","·",N31/D31)</f>
        <v/>
      </c>
      <c r="L31" s="18">
        <f>IF(T31="","·",T31/D31)</f>
        <v/>
      </c>
      <c r="M31" s="18">
        <f>IF(ISBLANK(V31),"·",V31/D31)</f>
        <v/>
      </c>
      <c r="N31" s="142">
        <f>IF(OR(ISBLANK(T31),ISBLANK(U31)),"",T31+U31)</f>
        <v/>
      </c>
      <c r="O31" s="18" t="n">
        <v>16</v>
      </c>
      <c r="P31" s="19" t="n">
        <v>90541792</v>
      </c>
      <c r="Q31" s="19" t="n">
        <v>2829431</v>
      </c>
      <c r="R31" s="19" t="n">
        <v>41460.6875</v>
      </c>
      <c r="S31" s="20" t="n">
        <v>5291952</v>
      </c>
      <c r="T31" s="20" t="n">
        <v>2708872</v>
      </c>
      <c r="U31" s="20" t="n">
        <v>1166200</v>
      </c>
      <c r="V31" s="20" t="n">
        <v>1416880</v>
      </c>
      <c r="W31" s="21" t="n">
        <v>75.25265</v>
      </c>
      <c r="X31" s="21" t="n">
        <v>77.58466249999999</v>
      </c>
      <c r="Y31" s="21" t="n">
        <v>35.1707875</v>
      </c>
      <c r="Z31" s="21" t="n">
        <v>42.53601875</v>
      </c>
      <c r="AA31" s="21" t="n">
        <v>44.678146875</v>
      </c>
      <c r="AB31" s="22" t="n">
        <v>3321.36</v>
      </c>
      <c r="AC31" s="22" t="n">
        <v>28461.4</v>
      </c>
      <c r="AD31" s="22" t="n">
        <v>30.937</v>
      </c>
      <c r="AE31" s="22" t="n">
        <v>138.407</v>
      </c>
      <c r="AG31" s="17">
        <f>IF(OR(ISBLANK(AQ31),ISBLANK(G31)),"·",AQ31*G31/F31/1000000)</f>
        <v/>
      </c>
      <c r="AH31" s="18">
        <f>IF(ISBLANK(AQ31),"·",AQ31/D31)</f>
        <v/>
      </c>
      <c r="AI31" s="18">
        <f>IF(AL31="","·",AL31/D31)</f>
        <v/>
      </c>
      <c r="AJ31" s="18">
        <f>IF(AR31="","·",AR31/D31)</f>
        <v/>
      </c>
      <c r="AK31" s="18">
        <f>IF(ISBLANK(AT31),"·",AT31/D31)</f>
        <v/>
      </c>
      <c r="AL31" s="142">
        <f>IF(OR(ISBLANK(AR31),ISBLANK(AS31)),"",AR31+AS31)</f>
        <v/>
      </c>
      <c r="AM31" s="18" t="n">
        <v>16</v>
      </c>
      <c r="AN31" s="19" t="n">
        <v>90541792</v>
      </c>
      <c r="AO31" s="19" t="n">
        <v>2829431</v>
      </c>
      <c r="AP31" s="19" t="n">
        <v>41460.6875</v>
      </c>
      <c r="AQ31" s="20" t="n">
        <v>5287000</v>
      </c>
      <c r="AR31" s="20" t="n">
        <v>2708872</v>
      </c>
      <c r="AS31" s="20" t="n">
        <v>1166200</v>
      </c>
      <c r="AT31" s="20" t="n">
        <v>1411928</v>
      </c>
      <c r="AU31" s="21" t="n">
        <v>75.25265</v>
      </c>
      <c r="AV31" s="21" t="n">
        <v>77.58466249999999</v>
      </c>
      <c r="AW31" s="21" t="n">
        <v>35.1683</v>
      </c>
      <c r="AX31" s="21" t="n">
        <v>42.577665625</v>
      </c>
      <c r="AY31" s="21" t="n">
        <v>44.702896875</v>
      </c>
      <c r="AZ31" s="22" t="n">
        <v>3477.12</v>
      </c>
      <c r="BA31" s="22" t="n">
        <v>29056.5</v>
      </c>
      <c r="BB31" s="22" t="n">
        <v>214.769</v>
      </c>
      <c r="BC31" s="22" t="n">
        <v>150.199</v>
      </c>
      <c r="BE31" s="72">
        <f>AI31/K31</f>
        <v/>
      </c>
      <c r="BF31" s="24">
        <f>(AP31/AO31) - (R31/Q31)</f>
        <v/>
      </c>
      <c r="BG31" s="24">
        <f>(AL31/AQ31) - (N31/S31)</f>
        <v/>
      </c>
      <c r="BH31" s="24" t="n"/>
      <c r="BJ31" s="72" t="n"/>
      <c r="BK31" s="72" t="n"/>
      <c r="BL31" s="72" t="n"/>
      <c r="BM31" s="72" t="n"/>
      <c r="BN31" s="72" t="n"/>
      <c r="BP31" s="72" t="n"/>
      <c r="BQ31" s="72" t="n"/>
      <c r="BR31" s="72" t="n"/>
      <c r="BS31" s="72" t="n"/>
      <c r="BT31" s="72" t="n"/>
    </row>
    <row outlineLevel="1" r="32" s="86">
      <c r="A32" s="25" t="n"/>
      <c r="B32" s="25" t="inlineStr">
        <is>
          <t>basketball_player_vox11</t>
        </is>
      </c>
      <c r="C32" s="26" t="inlineStr">
        <is>
          <t>r03</t>
        </is>
      </c>
      <c r="D32" s="25" t="n">
        <v>375422539</v>
      </c>
      <c r="E32" s="26" t="n">
        <v>11</v>
      </c>
      <c r="F32" s="26" t="n">
        <v>32</v>
      </c>
      <c r="G32" s="26" t="n">
        <v>30</v>
      </c>
      <c r="I32" s="27">
        <f>IF(OR(ISBLANK(S32),ISBLANK(G32)),"·",S32*G32/F32/1000000)</f>
        <v/>
      </c>
      <c r="J32" s="28">
        <f>IF(ISBLANK(S32),"·",S32/D32)</f>
        <v/>
      </c>
      <c r="K32" s="28">
        <f>IF(N32="","·",N32/D32)</f>
        <v/>
      </c>
      <c r="L32" s="28">
        <f>IF(T32="","·",T32/D32)</f>
        <v/>
      </c>
      <c r="M32" s="28">
        <f>IF(ISBLANK(V32),"·",V32/D32)</f>
        <v/>
      </c>
      <c r="N32" s="25">
        <f>IF(OR(ISBLANK(T32),ISBLANK(U32)),"",T32+U32)</f>
        <v/>
      </c>
      <c r="O32" s="28" t="n">
        <v>16</v>
      </c>
      <c r="P32" s="29" t="n">
        <v>91787366</v>
      </c>
      <c r="Q32" s="29" t="n">
        <v>2868355.1875</v>
      </c>
      <c r="R32" s="29" t="n">
        <v>44534.90625</v>
      </c>
      <c r="S32" s="30" t="n">
        <v>7650032</v>
      </c>
      <c r="T32" s="30" t="n">
        <v>3794344</v>
      </c>
      <c r="U32" s="30" t="n">
        <v>1166200</v>
      </c>
      <c r="V32" s="30" t="n">
        <v>2689488</v>
      </c>
      <c r="W32" s="31" t="n">
        <v>76.46939999999999</v>
      </c>
      <c r="X32" s="31" t="n">
        <v>79.11419062500001</v>
      </c>
      <c r="Y32" s="31" t="n">
        <v>36.955215625</v>
      </c>
      <c r="Z32" s="31" t="n">
        <v>43.140440625</v>
      </c>
      <c r="AA32" s="31" t="n">
        <v>45.95855625</v>
      </c>
      <c r="AB32" s="32" t="n">
        <v>3317.21</v>
      </c>
      <c r="AC32" s="32" t="n">
        <v>29789.9</v>
      </c>
      <c r="AD32" s="32" t="n">
        <v>31.018</v>
      </c>
      <c r="AE32" s="32" t="n">
        <v>146.204</v>
      </c>
      <c r="AG32" s="27">
        <f>IF(OR(ISBLANK(AQ32),ISBLANK(G32)),"·",AQ32*G32/F32/1000000)</f>
        <v/>
      </c>
      <c r="AH32" s="28">
        <f>IF(ISBLANK(AQ32),"·",AQ32/D32)</f>
        <v/>
      </c>
      <c r="AI32" s="28">
        <f>IF(AL32="","·",AL32/D32)</f>
        <v/>
      </c>
      <c r="AJ32" s="28">
        <f>IF(AR32="","·",AR32/D32)</f>
        <v/>
      </c>
      <c r="AK32" s="28">
        <f>IF(ISBLANK(AT32),"·",AT32/D32)</f>
        <v/>
      </c>
      <c r="AL32" s="25">
        <f>IF(OR(ISBLANK(AR32),ISBLANK(AS32)),"",AR32+AS32)</f>
        <v/>
      </c>
      <c r="AM32" s="28" t="n">
        <v>16</v>
      </c>
      <c r="AN32" s="29" t="n">
        <v>91787366</v>
      </c>
      <c r="AO32" s="29" t="n">
        <v>2868355.1875</v>
      </c>
      <c r="AP32" s="29" t="n">
        <v>44534.90625</v>
      </c>
      <c r="AQ32" s="30" t="n">
        <v>7637952</v>
      </c>
      <c r="AR32" s="30" t="n">
        <v>3794344</v>
      </c>
      <c r="AS32" s="30" t="n">
        <v>1166200</v>
      </c>
      <c r="AT32" s="30" t="n">
        <v>2677408</v>
      </c>
      <c r="AU32" s="31" t="n">
        <v>76.46939999999999</v>
      </c>
      <c r="AV32" s="31" t="n">
        <v>79.11419062500001</v>
      </c>
      <c r="AW32" s="31" t="n">
        <v>36.951525</v>
      </c>
      <c r="AX32" s="31" t="n">
        <v>43.104759375</v>
      </c>
      <c r="AY32" s="31" t="n">
        <v>45.735421875</v>
      </c>
      <c r="AZ32" s="32" t="n">
        <v>3442.5</v>
      </c>
      <c r="BA32" s="32" t="n">
        <v>30472.1</v>
      </c>
      <c r="BB32" s="32" t="n">
        <v>213.254</v>
      </c>
      <c r="BC32" s="32" t="n">
        <v>147.378</v>
      </c>
      <c r="BE32" s="68">
        <f>AI32/K32</f>
        <v/>
      </c>
      <c r="BF32" s="34">
        <f>(AP32/AO32) - (R32/Q32)</f>
        <v/>
      </c>
      <c r="BG32" s="34">
        <f>(AL32/AQ32) - (N32/S32)</f>
        <v/>
      </c>
      <c r="BH32" s="34" t="n"/>
      <c r="BJ32" s="68" t="n"/>
      <c r="BK32" s="68" t="n"/>
      <c r="BL32" s="68" t="n"/>
      <c r="BM32" s="68" t="n"/>
      <c r="BN32" s="68" t="n"/>
      <c r="BP32" s="68" t="n"/>
      <c r="BQ32" s="68" t="n"/>
      <c r="BR32" s="68" t="n"/>
      <c r="BS32" s="68" t="n"/>
      <c r="BT32" s="68" t="n"/>
    </row>
    <row outlineLevel="1" r="33" s="86">
      <c r="A33" s="142" t="n"/>
      <c r="B33" s="142" t="inlineStr">
        <is>
          <t>basketball_player_vox11</t>
        </is>
      </c>
      <c r="C33" s="16" t="inlineStr">
        <is>
          <t>r04</t>
        </is>
      </c>
      <c r="D33" s="142" t="n">
        <v>375422539</v>
      </c>
      <c r="E33" s="16" t="n">
        <v>11</v>
      </c>
      <c r="F33" s="16" t="n">
        <v>32</v>
      </c>
      <c r="G33" s="16" t="n">
        <v>30</v>
      </c>
      <c r="I33" s="17">
        <f>IF(OR(ISBLANK(S33),ISBLANK(G33)),"·",S33*G33/F33/1000000)</f>
        <v/>
      </c>
      <c r="J33" s="18">
        <f>IF(ISBLANK(S33),"·",S33/D33)</f>
        <v/>
      </c>
      <c r="K33" s="18">
        <f>IF(N33="","·",N33/D33)</f>
        <v/>
      </c>
      <c r="L33" s="18">
        <f>IF(T33="","·",T33/D33)</f>
        <v/>
      </c>
      <c r="M33" s="18">
        <f>IF(ISBLANK(V33),"·",V33/D33)</f>
        <v/>
      </c>
      <c r="N33" s="142">
        <f>IF(OR(ISBLANK(T33),ISBLANK(U33)),"",T33+U33)</f>
        <v/>
      </c>
      <c r="O33" s="18" t="n">
        <v>16</v>
      </c>
      <c r="P33" s="19" t="n">
        <v>94114766</v>
      </c>
      <c r="Q33" s="19" t="n">
        <v>2941086.4375</v>
      </c>
      <c r="R33" s="19" t="n">
        <v>49715.25</v>
      </c>
      <c r="S33" s="20" t="n">
        <v>12812880</v>
      </c>
      <c r="T33" s="20" t="n">
        <v>5795360</v>
      </c>
      <c r="U33" s="20" t="n">
        <v>1166200</v>
      </c>
      <c r="V33" s="20" t="n">
        <v>5851320</v>
      </c>
      <c r="W33" s="21" t="n">
        <v>77.56635312500001</v>
      </c>
      <c r="X33" s="21" t="n">
        <v>80.266603125</v>
      </c>
      <c r="Y33" s="21" t="n">
        <v>38.719509375</v>
      </c>
      <c r="Z33" s="21" t="n">
        <v>43.70043125</v>
      </c>
      <c r="AA33" s="21" t="n">
        <v>47.378553125</v>
      </c>
      <c r="AB33" s="22" t="n">
        <v>3324.86</v>
      </c>
      <c r="AC33" s="22" t="n">
        <v>31388.7</v>
      </c>
      <c r="AD33" s="22" t="n">
        <v>32.291</v>
      </c>
      <c r="AE33" s="22" t="n">
        <v>146.921</v>
      </c>
      <c r="AG33" s="17">
        <f>IF(OR(ISBLANK(AQ33),ISBLANK(G33)),"·",AQ33*G33/F33/1000000)</f>
        <v/>
      </c>
      <c r="AH33" s="18">
        <f>IF(ISBLANK(AQ33),"·",AQ33/D33)</f>
        <v/>
      </c>
      <c r="AI33" s="18">
        <f>IF(AL33="","·",AL33/D33)</f>
        <v/>
      </c>
      <c r="AJ33" s="18">
        <f>IF(AR33="","·",AR33/D33)</f>
        <v/>
      </c>
      <c r="AK33" s="18">
        <f>IF(ISBLANK(AT33),"·",AT33/D33)</f>
        <v/>
      </c>
      <c r="AL33" s="142">
        <f>IF(OR(ISBLANK(AR33),ISBLANK(AS33)),"",AR33+AS33)</f>
        <v/>
      </c>
      <c r="AM33" s="18" t="n">
        <v>16</v>
      </c>
      <c r="AN33" s="19" t="n">
        <v>94114766</v>
      </c>
      <c r="AO33" s="19" t="n">
        <v>2941086.4375</v>
      </c>
      <c r="AP33" s="19" t="n">
        <v>49715.25</v>
      </c>
      <c r="AQ33" s="20" t="n">
        <v>12796952</v>
      </c>
      <c r="AR33" s="20" t="n">
        <v>5795360</v>
      </c>
      <c r="AS33" s="20" t="n">
        <v>1166200</v>
      </c>
      <c r="AT33" s="20" t="n">
        <v>5835392</v>
      </c>
      <c r="AU33" s="21" t="n">
        <v>77.56635312500001</v>
      </c>
      <c r="AV33" s="21" t="n">
        <v>80.266603125</v>
      </c>
      <c r="AW33" s="21" t="n">
        <v>38.717028125</v>
      </c>
      <c r="AX33" s="21" t="n">
        <v>43.694290625</v>
      </c>
      <c r="AY33" s="21" t="n">
        <v>47.348471875</v>
      </c>
      <c r="AZ33" s="22" t="n">
        <v>3475.89</v>
      </c>
      <c r="BA33" s="22" t="n">
        <v>32127.2</v>
      </c>
      <c r="BB33" s="22" t="n">
        <v>219.625</v>
      </c>
      <c r="BC33" s="22" t="n">
        <v>156.662</v>
      </c>
      <c r="BE33" s="72">
        <f>AI33/K33</f>
        <v/>
      </c>
      <c r="BF33" s="24">
        <f>(AP33/AO33) - (R33/Q33)</f>
        <v/>
      </c>
      <c r="BG33" s="24">
        <f>(AL33/AQ33) - (N33/S33)</f>
        <v/>
      </c>
      <c r="BH33" s="24" t="n"/>
      <c r="BJ33" s="72" t="n"/>
      <c r="BK33" s="72" t="n"/>
      <c r="BL33" s="72" t="n"/>
      <c r="BM33" s="72" t="n"/>
      <c r="BN33" s="72" t="n"/>
      <c r="BP33" s="72" t="n"/>
      <c r="BQ33" s="72" t="n"/>
      <c r="BR33" s="72" t="n"/>
      <c r="BS33" s="72" t="n"/>
      <c r="BT33" s="72" t="n"/>
    </row>
    <row outlineLevel="1" r="34" s="86">
      <c r="A34" s="25" t="n"/>
      <c r="B34" s="45" t="inlineStr">
        <is>
          <t>basketball_player_vox11</t>
        </is>
      </c>
      <c r="C34" s="46" t="inlineStr">
        <is>
          <t>r05</t>
        </is>
      </c>
      <c r="D34" s="45" t="n">
        <v>375422539</v>
      </c>
      <c r="E34" s="46" t="n">
        <v>11</v>
      </c>
      <c r="F34" s="46" t="n">
        <v>32</v>
      </c>
      <c r="G34" s="46" t="n">
        <v>30</v>
      </c>
      <c r="I34" s="47">
        <f>IF(OR(ISBLANK(S34),ISBLANK(G34)),"·",S34*G34/F34/1000000)</f>
        <v/>
      </c>
      <c r="J34" s="48">
        <f>IF(ISBLANK(S34),"·",S34/D34)</f>
        <v/>
      </c>
      <c r="K34" s="48">
        <f>IF(N34="","·",N34/D34)</f>
        <v/>
      </c>
      <c r="L34" s="48">
        <f>IF(T34="","·",T34/D34)</f>
        <v/>
      </c>
      <c r="M34" s="48">
        <f>IF(ISBLANK(V34),"·",V34/D34)</f>
        <v/>
      </c>
      <c r="N34" s="45">
        <f>IF(OR(ISBLANK(T34),ISBLANK(U34)),"",T34+U34)</f>
        <v/>
      </c>
      <c r="O34" s="48" t="n">
        <v>16</v>
      </c>
      <c r="P34" s="49" t="n">
        <v>92205535</v>
      </c>
      <c r="Q34" s="49" t="n">
        <v>2881422.96875</v>
      </c>
      <c r="R34" s="49" t="n">
        <v>21180.46875</v>
      </c>
      <c r="S34" s="50" t="n">
        <v>26282016</v>
      </c>
      <c r="T34" s="50" t="n">
        <v>9234488</v>
      </c>
      <c r="U34" s="50" t="n">
        <v>2395128</v>
      </c>
      <c r="V34" s="50" t="n">
        <v>14652400</v>
      </c>
      <c r="W34" s="51" t="n">
        <v>78.500296875</v>
      </c>
      <c r="X34" s="51" t="n">
        <v>81.89568125</v>
      </c>
      <c r="Y34" s="51" t="n">
        <v>40.507659375</v>
      </c>
      <c r="Z34" s="51" t="n">
        <v>44.37398125</v>
      </c>
      <c r="AA34" s="51" t="n">
        <v>48.810296875</v>
      </c>
      <c r="AB34" s="52" t="n">
        <v>3332.83</v>
      </c>
      <c r="AC34" s="52" t="n">
        <v>33857.8</v>
      </c>
      <c r="AD34" s="52" t="n">
        <v>31.694</v>
      </c>
      <c r="AE34" s="52" t="n">
        <v>153.673</v>
      </c>
      <c r="AG34" s="47">
        <f>IF(OR(ISBLANK(AQ34),ISBLANK(G34)),"·",AQ34*G34/F34/1000000)</f>
        <v/>
      </c>
      <c r="AH34" s="48">
        <f>IF(ISBLANK(AQ34),"·",AQ34/D34)</f>
        <v/>
      </c>
      <c r="AI34" s="48">
        <f>IF(AL34="","·",AL34/D34)</f>
        <v/>
      </c>
      <c r="AJ34" s="48">
        <f>IF(AR34="","·",AR34/D34)</f>
        <v/>
      </c>
      <c r="AK34" s="48">
        <f>IF(ISBLANK(AT34),"·",AT34/D34)</f>
        <v/>
      </c>
      <c r="AL34" s="45">
        <f>IF(OR(ISBLANK(AR34),ISBLANK(AS34)),"",AR34+AS34)</f>
        <v/>
      </c>
      <c r="AM34" s="48" t="n">
        <v>16</v>
      </c>
      <c r="AN34" s="49" t="n">
        <v>92205535</v>
      </c>
      <c r="AO34" s="49" t="n">
        <v>2881422.96875</v>
      </c>
      <c r="AP34" s="49" t="n">
        <v>21180.46875</v>
      </c>
      <c r="AQ34" s="50" t="n">
        <v>26272736</v>
      </c>
      <c r="AR34" s="50" t="n">
        <v>9234488</v>
      </c>
      <c r="AS34" s="50" t="n">
        <v>2395128</v>
      </c>
      <c r="AT34" s="50" t="n">
        <v>14643120</v>
      </c>
      <c r="AU34" s="51" t="n">
        <v>78.500296875</v>
      </c>
      <c r="AV34" s="51" t="n">
        <v>81.89568125</v>
      </c>
      <c r="AW34" s="51" t="n">
        <v>40.507771875</v>
      </c>
      <c r="AX34" s="51" t="n">
        <v>44.376384375</v>
      </c>
      <c r="AY34" s="51" t="n">
        <v>48.811853125</v>
      </c>
      <c r="AZ34" s="52" t="n">
        <v>3473.53</v>
      </c>
      <c r="BA34" s="52" t="n">
        <v>34752.3</v>
      </c>
      <c r="BB34" s="52" t="n">
        <v>214.622</v>
      </c>
      <c r="BC34" s="52" t="n">
        <v>164.277</v>
      </c>
      <c r="BE34" s="53">
        <f>AI34/K34</f>
        <v/>
      </c>
      <c r="BF34" s="54">
        <f>(AP34/AO34) - (R34/Q34)</f>
        <v/>
      </c>
      <c r="BG34" s="54">
        <f>(AL34/AQ34) - (N34/S34)</f>
        <v/>
      </c>
      <c r="BH34" s="54" t="n"/>
      <c r="BJ34" s="53" t="n"/>
      <c r="BK34" s="53" t="n"/>
      <c r="BL34" s="53" t="n"/>
      <c r="BM34" s="53" t="n"/>
      <c r="BN34" s="53" t="n"/>
      <c r="BP34" s="53" t="n"/>
      <c r="BQ34" s="53" t="n"/>
      <c r="BR34" s="53" t="n"/>
      <c r="BS34" s="53" t="n"/>
      <c r="BT34" s="53" t="n"/>
    </row>
    <row r="35">
      <c r="A35" s="142" t="n"/>
      <c r="B35" s="142" t="inlineStr">
        <is>
          <t>dancer_player_vox11</t>
        </is>
      </c>
      <c r="C35" s="16" t="inlineStr">
        <is>
          <t>r01</t>
        </is>
      </c>
      <c r="D35" s="142" t="n">
        <v>333190689</v>
      </c>
      <c r="E35" s="16" t="n">
        <v>11</v>
      </c>
      <c r="F35" s="16" t="n">
        <v>32</v>
      </c>
      <c r="G35" s="16" t="n">
        <v>30</v>
      </c>
      <c r="I35" s="17">
        <f>IF(OR(ISBLANK(S35),ISBLANK(G35)),"·",S35*G35/F35/1000000)</f>
        <v/>
      </c>
      <c r="J35" s="18">
        <f>IF(ISBLANK(S35),"·",S35/D35)</f>
        <v/>
      </c>
      <c r="K35" s="18">
        <f>IF(N35="","·",N35/D35)</f>
        <v/>
      </c>
      <c r="L35" s="18">
        <f>IF(T35="","·",T35/D35)</f>
        <v/>
      </c>
      <c r="M35" s="18">
        <f>IF(ISBLANK(V35),"·",V35/D35)</f>
        <v/>
      </c>
      <c r="N35" s="142">
        <f>IF(OR(ISBLANK(T35),ISBLANK(U35)),"",T35+U35)</f>
        <v/>
      </c>
      <c r="O35" s="18" t="n">
        <v>16</v>
      </c>
      <c r="P35" s="19" t="n">
        <v>74793925</v>
      </c>
      <c r="Q35" s="19" t="n">
        <v>2337310.15625</v>
      </c>
      <c r="R35" s="19" t="n">
        <v>30824.78125</v>
      </c>
      <c r="S35" s="20" t="n">
        <v>4967368</v>
      </c>
      <c r="T35" s="20" t="n">
        <v>2384200</v>
      </c>
      <c r="U35" s="20" t="n">
        <v>1339336</v>
      </c>
      <c r="V35" s="20" t="n">
        <v>1243832</v>
      </c>
      <c r="W35" s="21" t="n">
        <v>73.186065625</v>
      </c>
      <c r="X35" s="21" t="n">
        <v>75.39509062499999</v>
      </c>
      <c r="Y35" s="21" t="n">
        <v>31.7822125</v>
      </c>
      <c r="Z35" s="21" t="n">
        <v>42.191984375</v>
      </c>
      <c r="AA35" s="21" t="n">
        <v>43.412915625</v>
      </c>
      <c r="AB35" s="22" t="n">
        <v>3001.61</v>
      </c>
      <c r="AC35" s="22" t="n">
        <v>31024.6</v>
      </c>
      <c r="AD35" s="22" t="n">
        <v>28.924</v>
      </c>
      <c r="AE35" s="22" t="n">
        <v>145.077</v>
      </c>
      <c r="AG35" s="17">
        <f>IF(OR(ISBLANK(AQ35),ISBLANK(G35)),"·",AQ35*G35/F35/1000000)</f>
        <v/>
      </c>
      <c r="AH35" s="18">
        <f>IF(ISBLANK(AQ35),"·",AQ35/D35)</f>
        <v/>
      </c>
      <c r="AI35" s="18">
        <f>IF(AL35="","·",AL35/D35)</f>
        <v/>
      </c>
      <c r="AJ35" s="18">
        <f>IF(AR35="","·",AR35/D35)</f>
        <v/>
      </c>
      <c r="AK35" s="18">
        <f>IF(ISBLANK(AT35),"·",AT35/D35)</f>
        <v/>
      </c>
      <c r="AL35" s="142">
        <f>IF(OR(ISBLANK(AR35),ISBLANK(AS35)),"",AR35+AS35)</f>
        <v/>
      </c>
      <c r="AM35" s="18" t="n">
        <v>16</v>
      </c>
      <c r="AN35" s="19" t="n">
        <v>74793925</v>
      </c>
      <c r="AO35" s="19" t="n">
        <v>2337310.15625</v>
      </c>
      <c r="AP35" s="19" t="n">
        <v>30824.78125</v>
      </c>
      <c r="AQ35" s="20" t="n">
        <v>4964072</v>
      </c>
      <c r="AR35" s="20" t="n">
        <v>2384200</v>
      </c>
      <c r="AS35" s="20" t="n">
        <v>1339336</v>
      </c>
      <c r="AT35" s="20" t="n">
        <v>1240536</v>
      </c>
      <c r="AU35" s="21" t="n">
        <v>73.186065625</v>
      </c>
      <c r="AV35" s="21" t="n">
        <v>75.39509062499999</v>
      </c>
      <c r="AW35" s="21" t="n">
        <v>31.779946875</v>
      </c>
      <c r="AX35" s="21" t="n">
        <v>42.16985</v>
      </c>
      <c r="AY35" s="21" t="n">
        <v>43.3057125</v>
      </c>
      <c r="AZ35" s="22" t="n">
        <v>3120.84</v>
      </c>
      <c r="BA35" s="22" t="n">
        <v>31691.1</v>
      </c>
      <c r="BB35" s="22" t="n">
        <v>177.972</v>
      </c>
      <c r="BC35" s="22" t="n">
        <v>150.537</v>
      </c>
      <c r="BE35" s="72">
        <f>AI35/K35</f>
        <v/>
      </c>
      <c r="BF35" s="24">
        <f>(AP35/AO35) - (R35/Q35)</f>
        <v/>
      </c>
      <c r="BG35" s="24">
        <f>(AL35/AQ35) - (N35/S35)</f>
        <v/>
      </c>
      <c r="BH35" s="24">
        <f ref="BH35" t="array">AVERAGE(AL35:AL39/AQ35:AQ39) - AVERAGE(N35:N39/S35:S39)</f>
        <v/>
      </c>
      <c r="BJ35" s="72">
        <f>IF( OR(ISBLANK(N35:N39),ISBLANK(AL35:AL39), ISBLANK(W35:W39),ISBLANK(AU35:AU39)), "·", bdRateExtend( N35:N39,W35:W39, AL35:AL39,AU35:AU39))</f>
        <v/>
      </c>
      <c r="BK35" s="72">
        <f>IF( OR(ISBLANK(N35:N39),ISBLANK(AL35:AL39), ISBLANK(X35:X39),ISBLANK(AV35:AV39)), "·", bdRateExtend( N35:N39,X35:X39, AL35:AL39,AV35:AV39))</f>
        <v/>
      </c>
      <c r="BL35" s="72">
        <f>IF( OR(ISBLANK(V35:V39),ISBLANK(AT35:AT39), ISBLANK(Y35:Y39),ISBLANK(AW35:AW39)), "·", bdRateExtend( V35:V39,Y35:Y39, AT35:AT39,AW35:AW39))</f>
        <v/>
      </c>
      <c r="BM35" s="72">
        <f>IF( OR(ISBLANK(V35:V39),ISBLANK(AT35:AT39), ISBLANK(Z35:Z39),ISBLANK(AX35:AX39)), "·", bdRateExtend( V35:V39,Z35:Z39, AT35:AT39,AX35:AX39))</f>
        <v/>
      </c>
      <c r="BN35" s="72">
        <f>IF( OR(ISBLANK(V35:V39),ISBLANK(AT35:AT39), ISBLANK(AA35:AA39),ISBLANK(AY35:AY39)), "·", bdRateExtend( V35:V39,AA35:AA39, AT35:AT39,AY35:AY39))</f>
        <v/>
      </c>
      <c r="BP35" s="72">
        <f>IF( OR(ISBLANK(S35:S39),ISBLANK(AQ35:AQ39), ISBLANK(W35:W39),ISBLANK(AU35:AU39)), "·", bdRateExtend( S35:S39,W35:W39, AQ35:AQ39,AU35:AU39))</f>
        <v/>
      </c>
      <c r="BQ35" s="72">
        <f>IF( OR(ISBLANK(S35:S39),ISBLANK(AQ35:AQ39), ISBLANK(X35:X39),ISBLANK(AV35:AV39)), "·", bdRateExtend( S35:S39,X35:X39, AQ35:AQ39,AV35:AV39))</f>
        <v/>
      </c>
      <c r="BR35" s="72">
        <f>IF( OR(ISBLANK(S35:S39),ISBLANK(AQ35:AQ39), ISBLANK(Y35:Y39),ISBLANK(AW35:AW39)), "·", bdRateExtend( S35:S39,Y35:Y39, AQ35:AQ39,AW35:AW39))</f>
        <v/>
      </c>
      <c r="BS35" s="72">
        <f>IF( OR(ISBLANK(S35:S39),ISBLANK(AQ35:AQ39), ISBLANK(Z35:Z39),ISBLANK(AX35:AX39)), "·", bdRateExtend( S35:S39,Z35:Z39, AQ35:AQ39,AX35:AX39))</f>
        <v/>
      </c>
      <c r="BT35" s="72">
        <f>IF( OR(ISBLANK(S35:S39),ISBLANK(AQ35:AQ39), ISBLANK(AA35:AA39),ISBLANK(AY35:AY39)), "·", bdRateExtend( S35:S39,AA35:AA39, AQ35:AQ39,AY35:AY39))</f>
        <v/>
      </c>
    </row>
    <row outlineLevel="1" r="36" s="86">
      <c r="A36" s="25" t="n"/>
      <c r="B36" s="25" t="inlineStr">
        <is>
          <t>dancer_player_vox11</t>
        </is>
      </c>
      <c r="C36" s="26" t="inlineStr">
        <is>
          <t>r02</t>
        </is>
      </c>
      <c r="D36" s="25" t="n">
        <v>333190689</v>
      </c>
      <c r="E36" s="26" t="n">
        <v>11</v>
      </c>
      <c r="F36" s="26" t="n">
        <v>32</v>
      </c>
      <c r="G36" s="26" t="n">
        <v>30</v>
      </c>
      <c r="I36" s="27">
        <f>IF(OR(ISBLANK(S36),ISBLANK(G36)),"·",S36*G36/F36/1000000)</f>
        <v/>
      </c>
      <c r="J36" s="28">
        <f>IF(ISBLANK(S36),"·",S36/D36)</f>
        <v/>
      </c>
      <c r="K36" s="28">
        <f>IF(N36="","·",N36/D36)</f>
        <v/>
      </c>
      <c r="L36" s="28">
        <f>IF(T36="","·",T36/D36)</f>
        <v/>
      </c>
      <c r="M36" s="28">
        <f>IF(ISBLANK(V36),"·",V36/D36)</f>
        <v/>
      </c>
      <c r="N36" s="25">
        <f>IF(OR(ISBLANK(T36),ISBLANK(U36)),"",T36+U36)</f>
        <v/>
      </c>
      <c r="O36" s="28" t="n">
        <v>16</v>
      </c>
      <c r="P36" s="29" t="n">
        <v>79976742</v>
      </c>
      <c r="Q36" s="29" t="n">
        <v>2499273.1875</v>
      </c>
      <c r="R36" s="29" t="n">
        <v>39105.5</v>
      </c>
      <c r="S36" s="30" t="n">
        <v>6654856</v>
      </c>
      <c r="T36" s="30" t="n">
        <v>3243856</v>
      </c>
      <c r="U36" s="30" t="n">
        <v>1339336</v>
      </c>
      <c r="V36" s="30" t="n">
        <v>2071664</v>
      </c>
      <c r="W36" s="31" t="n">
        <v>74.9385</v>
      </c>
      <c r="X36" s="31" t="n">
        <v>77.35588749999999</v>
      </c>
      <c r="Y36" s="31" t="n">
        <v>34.0428</v>
      </c>
      <c r="Z36" s="31" t="n">
        <v>42.958225</v>
      </c>
      <c r="AA36" s="31" t="n">
        <v>44.99865</v>
      </c>
      <c r="AB36" s="32" t="n">
        <v>3018.98</v>
      </c>
      <c r="AC36" s="32" t="n">
        <v>32834.5</v>
      </c>
      <c r="AD36" s="32" t="n">
        <v>29.543</v>
      </c>
      <c r="AE36" s="32" t="n">
        <v>148.613</v>
      </c>
      <c r="AG36" s="27">
        <f>IF(OR(ISBLANK(AQ36),ISBLANK(G36)),"·",AQ36*G36/F36/1000000)</f>
        <v/>
      </c>
      <c r="AH36" s="28">
        <f>IF(ISBLANK(AQ36),"·",AQ36/D36)</f>
        <v/>
      </c>
      <c r="AI36" s="28">
        <f>IF(AL36="","·",AL36/D36)</f>
        <v/>
      </c>
      <c r="AJ36" s="28">
        <f>IF(AR36="","·",AR36/D36)</f>
        <v/>
      </c>
      <c r="AK36" s="28">
        <f>IF(ISBLANK(AT36),"·",AT36/D36)</f>
        <v/>
      </c>
      <c r="AL36" s="25">
        <f>IF(OR(ISBLANK(AR36),ISBLANK(AS36)),"",AR36+AS36)</f>
        <v/>
      </c>
      <c r="AM36" s="28" t="n">
        <v>16</v>
      </c>
      <c r="AN36" s="29" t="n">
        <v>79976742</v>
      </c>
      <c r="AO36" s="29" t="n">
        <v>2499273.1875</v>
      </c>
      <c r="AP36" s="29" t="n">
        <v>39105.5</v>
      </c>
      <c r="AQ36" s="30" t="n">
        <v>6655016</v>
      </c>
      <c r="AR36" s="30" t="n">
        <v>3243856</v>
      </c>
      <c r="AS36" s="30" t="n">
        <v>1339336</v>
      </c>
      <c r="AT36" s="30" t="n">
        <v>2071824</v>
      </c>
      <c r="AU36" s="31" t="n">
        <v>74.9385</v>
      </c>
      <c r="AV36" s="31" t="n">
        <v>77.35588749999999</v>
      </c>
      <c r="AW36" s="31" t="n">
        <v>34.0346</v>
      </c>
      <c r="AX36" s="31" t="n">
        <v>42.972334375</v>
      </c>
      <c r="AY36" s="31" t="n">
        <v>44.820353125</v>
      </c>
      <c r="AZ36" s="32" t="n">
        <v>3109.78</v>
      </c>
      <c r="BA36" s="32" t="n">
        <v>33541.9</v>
      </c>
      <c r="BB36" s="32" t="n">
        <v>189.978</v>
      </c>
      <c r="BC36" s="32" t="n">
        <v>152.361</v>
      </c>
      <c r="BE36" s="68">
        <f>AI36/K36</f>
        <v/>
      </c>
      <c r="BF36" s="34">
        <f>(AP36/AO36) - (R36/Q36)</f>
        <v/>
      </c>
      <c r="BG36" s="34">
        <f>(AL36/AQ36) - (N36/S36)</f>
        <v/>
      </c>
      <c r="BH36" s="34" t="n"/>
      <c r="BJ36" s="68" t="n"/>
      <c r="BK36" s="68" t="n"/>
      <c r="BL36" s="68" t="n"/>
      <c r="BM36" s="68" t="n"/>
      <c r="BN36" s="68" t="n"/>
      <c r="BP36" s="68" t="n"/>
      <c r="BQ36" s="68" t="n"/>
      <c r="BR36" s="68" t="n"/>
      <c r="BS36" s="68" t="n"/>
      <c r="BT36" s="68" t="n"/>
    </row>
    <row outlineLevel="1" r="37" s="86">
      <c r="A37" s="142" t="n"/>
      <c r="B37" s="142" t="inlineStr">
        <is>
          <t>dancer_player_vox11</t>
        </is>
      </c>
      <c r="C37" s="16" t="inlineStr">
        <is>
          <t>r03</t>
        </is>
      </c>
      <c r="D37" s="142" t="n">
        <v>333190689</v>
      </c>
      <c r="E37" s="16" t="n">
        <v>11</v>
      </c>
      <c r="F37" s="16" t="n">
        <v>32</v>
      </c>
      <c r="G37" s="16" t="n">
        <v>30</v>
      </c>
      <c r="I37" s="17">
        <f>IF(OR(ISBLANK(S37),ISBLANK(G37)),"·",S37*G37/F37/1000000)</f>
        <v/>
      </c>
      <c r="J37" s="18">
        <f>IF(ISBLANK(S37),"·",S37/D37)</f>
        <v/>
      </c>
      <c r="K37" s="18">
        <f>IF(N37="","·",N37/D37)</f>
        <v/>
      </c>
      <c r="L37" s="18">
        <f>IF(T37="","·",T37/D37)</f>
        <v/>
      </c>
      <c r="M37" s="18">
        <f>IF(ISBLANK(V37),"·",V37/D37)</f>
        <v/>
      </c>
      <c r="N37" s="142">
        <f>IF(OR(ISBLANK(T37),ISBLANK(U37)),"",T37+U37)</f>
        <v/>
      </c>
      <c r="O37" s="18" t="n">
        <v>16</v>
      </c>
      <c r="P37" s="19" t="n">
        <v>81787481</v>
      </c>
      <c r="Q37" s="19" t="n">
        <v>2555858.78125</v>
      </c>
      <c r="R37" s="19" t="n">
        <v>42911.78125</v>
      </c>
      <c r="S37" s="20" t="n">
        <v>9501824</v>
      </c>
      <c r="T37" s="20" t="n">
        <v>4473624</v>
      </c>
      <c r="U37" s="20" t="n">
        <v>1339336</v>
      </c>
      <c r="V37" s="20" t="n">
        <v>3688864</v>
      </c>
      <c r="W37" s="21" t="n">
        <v>76.24606875000001</v>
      </c>
      <c r="X37" s="21" t="n">
        <v>78.937634375</v>
      </c>
      <c r="Y37" s="21" t="n">
        <v>36.130121875</v>
      </c>
      <c r="Z37" s="21" t="n">
        <v>43.529096875</v>
      </c>
      <c r="AA37" s="21" t="n">
        <v>46.101628125</v>
      </c>
      <c r="AB37" s="22" t="n">
        <v>2995.76</v>
      </c>
      <c r="AC37" s="22" t="n">
        <v>34313</v>
      </c>
      <c r="AD37" s="22" t="n">
        <v>30.06</v>
      </c>
      <c r="AE37" s="22" t="n">
        <v>152.932</v>
      </c>
      <c r="AG37" s="17">
        <f>IF(OR(ISBLANK(AQ37),ISBLANK(G37)),"·",AQ37*G37/F37/1000000)</f>
        <v/>
      </c>
      <c r="AH37" s="18">
        <f>IF(ISBLANK(AQ37),"·",AQ37/D37)</f>
        <v/>
      </c>
      <c r="AI37" s="18">
        <f>IF(AL37="","·",AL37/D37)</f>
        <v/>
      </c>
      <c r="AJ37" s="18">
        <f>IF(AR37="","·",AR37/D37)</f>
        <v/>
      </c>
      <c r="AK37" s="18">
        <f>IF(ISBLANK(AT37),"·",AT37/D37)</f>
        <v/>
      </c>
      <c r="AL37" s="142">
        <f>IF(OR(ISBLANK(AR37),ISBLANK(AS37)),"",AR37+AS37)</f>
        <v/>
      </c>
      <c r="AM37" s="18" t="n">
        <v>16</v>
      </c>
      <c r="AN37" s="19" t="n">
        <v>81787481</v>
      </c>
      <c r="AO37" s="19" t="n">
        <v>2555858.78125</v>
      </c>
      <c r="AP37" s="19" t="n">
        <v>42911.78125</v>
      </c>
      <c r="AQ37" s="20" t="n">
        <v>9494688</v>
      </c>
      <c r="AR37" s="20" t="n">
        <v>4473624</v>
      </c>
      <c r="AS37" s="20" t="n">
        <v>1339336</v>
      </c>
      <c r="AT37" s="20" t="n">
        <v>3681728</v>
      </c>
      <c r="AU37" s="21" t="n">
        <v>76.24606875000001</v>
      </c>
      <c r="AV37" s="21" t="n">
        <v>78.937634375</v>
      </c>
      <c r="AW37" s="21" t="n">
        <v>36.1274875</v>
      </c>
      <c r="AX37" s="21" t="n">
        <v>43.536346875</v>
      </c>
      <c r="AY37" s="21" t="n">
        <v>46.109228125</v>
      </c>
      <c r="AZ37" s="22" t="n">
        <v>3118.09</v>
      </c>
      <c r="BA37" s="22" t="n">
        <v>35201.9</v>
      </c>
      <c r="BB37" s="22" t="n">
        <v>192.93</v>
      </c>
      <c r="BC37" s="22" t="n">
        <v>157.826</v>
      </c>
      <c r="BE37" s="72">
        <f>AI37/K37</f>
        <v/>
      </c>
      <c r="BF37" s="24">
        <f>(AP37/AO37) - (R37/Q37)</f>
        <v/>
      </c>
      <c r="BG37" s="24">
        <f>(AL37/AQ37) - (N37/S37)</f>
        <v/>
      </c>
      <c r="BH37" s="24" t="n"/>
      <c r="BJ37" s="72" t="n"/>
      <c r="BK37" s="72" t="n"/>
      <c r="BL37" s="72" t="n"/>
      <c r="BM37" s="72" t="n"/>
      <c r="BN37" s="72" t="n"/>
      <c r="BP37" s="72" t="n"/>
      <c r="BQ37" s="72" t="n"/>
      <c r="BR37" s="72" t="n"/>
      <c r="BS37" s="72" t="n"/>
      <c r="BT37" s="72" t="n"/>
    </row>
    <row outlineLevel="1" r="38" s="86">
      <c r="A38" s="25" t="n"/>
      <c r="B38" s="25" t="inlineStr">
        <is>
          <t>dancer_player_vox11</t>
        </is>
      </c>
      <c r="C38" s="26" t="inlineStr">
        <is>
          <t>r04</t>
        </is>
      </c>
      <c r="D38" s="25" t="n">
        <v>333190689</v>
      </c>
      <c r="E38" s="26" t="n">
        <v>11</v>
      </c>
      <c r="F38" s="26" t="n">
        <v>32</v>
      </c>
      <c r="G38" s="26" t="n">
        <v>30</v>
      </c>
      <c r="I38" s="27">
        <f>IF(OR(ISBLANK(S38),ISBLANK(G38)),"·",S38*G38/F38/1000000)</f>
        <v/>
      </c>
      <c r="J38" s="28">
        <f>IF(ISBLANK(S38),"·",S38/D38)</f>
        <v/>
      </c>
      <c r="K38" s="28">
        <f>IF(N38="","·",N38/D38)</f>
        <v/>
      </c>
      <c r="L38" s="28">
        <f>IF(T38="","·",T38/D38)</f>
        <v/>
      </c>
      <c r="M38" s="28">
        <f>IF(ISBLANK(V38),"·",V38/D38)</f>
        <v/>
      </c>
      <c r="N38" s="25">
        <f>IF(OR(ISBLANK(T38),ISBLANK(U38)),"",T38+U38)</f>
        <v/>
      </c>
      <c r="O38" s="28" t="n">
        <v>16</v>
      </c>
      <c r="P38" s="29" t="n">
        <v>83859347</v>
      </c>
      <c r="Q38" s="29" t="n">
        <v>2620604.59375</v>
      </c>
      <c r="R38" s="29" t="n">
        <v>48103.65625</v>
      </c>
      <c r="S38" s="30" t="n">
        <v>15396904</v>
      </c>
      <c r="T38" s="30" t="n">
        <v>6562480</v>
      </c>
      <c r="U38" s="30" t="n">
        <v>1339336</v>
      </c>
      <c r="V38" s="30" t="n">
        <v>7495088</v>
      </c>
      <c r="W38" s="31" t="n">
        <v>77.41570937500001</v>
      </c>
      <c r="X38" s="31" t="n">
        <v>80.1314</v>
      </c>
      <c r="Y38" s="31" t="n">
        <v>38.085528125</v>
      </c>
      <c r="Z38" s="31" t="n">
        <v>44.206915625</v>
      </c>
      <c r="AA38" s="31" t="n">
        <v>47.257871875</v>
      </c>
      <c r="AB38" s="32" t="n">
        <v>3025.8</v>
      </c>
      <c r="AC38" s="32" t="n">
        <v>35782.3</v>
      </c>
      <c r="AD38" s="32" t="n">
        <v>30.078</v>
      </c>
      <c r="AE38" s="32" t="n">
        <v>156.087</v>
      </c>
      <c r="AG38" s="27">
        <f>IF(OR(ISBLANK(AQ38),ISBLANK(G38)),"·",AQ38*G38/F38/1000000)</f>
        <v/>
      </c>
      <c r="AH38" s="28">
        <f>IF(ISBLANK(AQ38),"·",AQ38/D38)</f>
        <v/>
      </c>
      <c r="AI38" s="28">
        <f>IF(AL38="","·",AL38/D38)</f>
        <v/>
      </c>
      <c r="AJ38" s="28">
        <f>IF(AR38="","·",AR38/D38)</f>
        <v/>
      </c>
      <c r="AK38" s="28">
        <f>IF(ISBLANK(AT38),"·",AT38/D38)</f>
        <v/>
      </c>
      <c r="AL38" s="25">
        <f>IF(OR(ISBLANK(AR38),ISBLANK(AS38)),"",AR38+AS38)</f>
        <v/>
      </c>
      <c r="AM38" s="28" t="n">
        <v>16</v>
      </c>
      <c r="AN38" s="29" t="n">
        <v>83859347</v>
      </c>
      <c r="AO38" s="29" t="n">
        <v>2620604.59375</v>
      </c>
      <c r="AP38" s="29" t="n">
        <v>48103.65625</v>
      </c>
      <c r="AQ38" s="30" t="n">
        <v>15366928</v>
      </c>
      <c r="AR38" s="30" t="n">
        <v>6562480</v>
      </c>
      <c r="AS38" s="30" t="n">
        <v>1339336</v>
      </c>
      <c r="AT38" s="30" t="n">
        <v>7465112</v>
      </c>
      <c r="AU38" s="31" t="n">
        <v>77.41570937500001</v>
      </c>
      <c r="AV38" s="31" t="n">
        <v>80.1314</v>
      </c>
      <c r="AW38" s="31" t="n">
        <v>38.08359375</v>
      </c>
      <c r="AX38" s="31" t="n">
        <v>44.19780625</v>
      </c>
      <c r="AY38" s="31" t="n">
        <v>47.24055625</v>
      </c>
      <c r="AZ38" s="32" t="n">
        <v>3130.71</v>
      </c>
      <c r="BA38" s="32" t="n">
        <v>36941</v>
      </c>
      <c r="BB38" s="32" t="n">
        <v>199.501</v>
      </c>
      <c r="BC38" s="32" t="n">
        <v>161.385</v>
      </c>
      <c r="BE38" s="68">
        <f>AI38/K38</f>
        <v/>
      </c>
      <c r="BF38" s="34">
        <f>(AP38/AO38) - (R38/Q38)</f>
        <v/>
      </c>
      <c r="BG38" s="34">
        <f>(AL38/AQ38) - (N38/S38)</f>
        <v/>
      </c>
      <c r="BH38" s="34" t="n"/>
      <c r="BJ38" s="68" t="n"/>
      <c r="BK38" s="68" t="n"/>
      <c r="BL38" s="68" t="n"/>
      <c r="BM38" s="68" t="n"/>
      <c r="BN38" s="68" t="n"/>
      <c r="BP38" s="68" t="n"/>
      <c r="BQ38" s="68" t="n"/>
      <c r="BR38" s="68" t="n"/>
      <c r="BS38" s="68" t="n"/>
      <c r="BT38" s="68" t="n"/>
    </row>
    <row outlineLevel="1" r="39" s="86">
      <c r="A39" s="35" t="n"/>
      <c r="B39" s="35" t="inlineStr">
        <is>
          <t>dancer_player_vox11</t>
        </is>
      </c>
      <c r="C39" s="36" t="inlineStr">
        <is>
          <t>r05</t>
        </is>
      </c>
      <c r="D39" s="35" t="n">
        <v>333190689</v>
      </c>
      <c r="E39" s="36" t="n">
        <v>11</v>
      </c>
      <c r="F39" s="36" t="n">
        <v>32</v>
      </c>
      <c r="G39" s="36" t="n">
        <v>30</v>
      </c>
      <c r="I39" s="37">
        <f>IF(OR(ISBLANK(S39),ISBLANK(G39)),"·",S39*G39/F39/1000000)</f>
        <v/>
      </c>
      <c r="J39" s="38">
        <f>IF(ISBLANK(S39),"·",S39/D39)</f>
        <v/>
      </c>
      <c r="K39" s="38">
        <f>IF(N39="","·",N39/D39)</f>
        <v/>
      </c>
      <c r="L39" s="38">
        <f>IF(T39="","·",T39/D39)</f>
        <v/>
      </c>
      <c r="M39" s="38">
        <f>IF(ISBLANK(V39),"·",V39/D39)</f>
        <v/>
      </c>
      <c r="N39" s="35">
        <f>IF(OR(ISBLANK(T39),ISBLANK(U39)),"",T39+U39)</f>
        <v/>
      </c>
      <c r="O39" s="38" t="n">
        <v>16</v>
      </c>
      <c r="P39" s="39" t="n">
        <v>82067544</v>
      </c>
      <c r="Q39" s="39" t="n">
        <v>2564610.75</v>
      </c>
      <c r="R39" s="39" t="n">
        <v>19264.46875</v>
      </c>
      <c r="S39" s="40" t="n">
        <v>30571432</v>
      </c>
      <c r="T39" s="40" t="n">
        <v>10118360</v>
      </c>
      <c r="U39" s="40" t="n">
        <v>2700664</v>
      </c>
      <c r="V39" s="40" t="n">
        <v>17752408</v>
      </c>
      <c r="W39" s="41" t="n">
        <v>78.311515625</v>
      </c>
      <c r="X39" s="41" t="n">
        <v>81.84819374999999</v>
      </c>
      <c r="Y39" s="41" t="n">
        <v>40.15606875</v>
      </c>
      <c r="Z39" s="41" t="n">
        <v>45.11595625</v>
      </c>
      <c r="AA39" s="41" t="n">
        <v>48.630465625</v>
      </c>
      <c r="AB39" s="42" t="n">
        <v>3010.99</v>
      </c>
      <c r="AC39" s="42" t="n">
        <v>38196</v>
      </c>
      <c r="AD39" s="42" t="n">
        <v>30.057</v>
      </c>
      <c r="AE39" s="42" t="n">
        <v>160.055</v>
      </c>
      <c r="AG39" s="37">
        <f>IF(OR(ISBLANK(AQ39),ISBLANK(G39)),"·",AQ39*G39/F39/1000000)</f>
        <v/>
      </c>
      <c r="AH39" s="38">
        <f>IF(ISBLANK(AQ39),"·",AQ39/D39)</f>
        <v/>
      </c>
      <c r="AI39" s="38">
        <f>IF(AL39="","·",AL39/D39)</f>
        <v/>
      </c>
      <c r="AJ39" s="38">
        <f>IF(AR39="","·",AR39/D39)</f>
        <v/>
      </c>
      <c r="AK39" s="38">
        <f>IF(ISBLANK(AT39),"·",AT39/D39)</f>
        <v/>
      </c>
      <c r="AL39" s="35">
        <f>IF(OR(ISBLANK(AR39),ISBLANK(AS39)),"",AR39+AS39)</f>
        <v/>
      </c>
      <c r="AM39" s="38" t="n">
        <v>16</v>
      </c>
      <c r="AN39" s="39" t="n">
        <v>82067544</v>
      </c>
      <c r="AO39" s="39" t="n">
        <v>2564610.75</v>
      </c>
      <c r="AP39" s="39" t="n">
        <v>19264.46875</v>
      </c>
      <c r="AQ39" s="40" t="n">
        <v>30549672</v>
      </c>
      <c r="AR39" s="40" t="n">
        <v>10118360</v>
      </c>
      <c r="AS39" s="40" t="n">
        <v>2700664</v>
      </c>
      <c r="AT39" s="40" t="n">
        <v>17730648</v>
      </c>
      <c r="AU39" s="41" t="n">
        <v>78.311515625</v>
      </c>
      <c r="AV39" s="41" t="n">
        <v>81.84819374999999</v>
      </c>
      <c r="AW39" s="41" t="n">
        <v>40.159621875</v>
      </c>
      <c r="AX39" s="41" t="n">
        <v>45.11759375</v>
      </c>
      <c r="AY39" s="41" t="n">
        <v>48.62460625</v>
      </c>
      <c r="AZ39" s="42" t="n">
        <v>3100.44</v>
      </c>
      <c r="BA39" s="42" t="n">
        <v>39614.3</v>
      </c>
      <c r="BB39" s="42" t="n">
        <v>193.929</v>
      </c>
      <c r="BC39" s="42" t="n">
        <v>166.692</v>
      </c>
      <c r="BE39" s="43">
        <f>AI39/K39</f>
        <v/>
      </c>
      <c r="BF39" s="44">
        <f>(AP39/AO39) - (R39/Q39)</f>
        <v/>
      </c>
      <c r="BG39" s="44">
        <f>(AL39/AQ39) - (N39/S39)</f>
        <v/>
      </c>
      <c r="BH39" s="44" t="n"/>
      <c r="BJ39" s="43" t="n"/>
      <c r="BK39" s="43" t="n"/>
      <c r="BL39" s="43" t="n"/>
      <c r="BM39" s="43" t="n"/>
      <c r="BN39" s="43" t="n"/>
      <c r="BP39" s="43" t="n"/>
      <c r="BQ39" s="43" t="n"/>
      <c r="BR39" s="43" t="n"/>
      <c r="BS39" s="43" t="n"/>
      <c r="BT39" s="43" t="n"/>
    </row>
    <row r="40">
      <c r="B40" s="55" t="inlineStr">
        <is>
          <t>Cat2-A average</t>
        </is>
      </c>
      <c r="J40" s="56">
        <f>AVERAGE(J5:J24)</f>
        <v/>
      </c>
      <c r="K40" s="56">
        <f>AVERAGE(K5:K24)</f>
        <v/>
      </c>
      <c r="L40" s="56">
        <f>AVERAGE(L5:L24)</f>
        <v/>
      </c>
      <c r="M40" s="56">
        <f>AVERAGE(M5:M24)</f>
        <v/>
      </c>
      <c r="AH40" s="56">
        <f>AVERAGE(AH5:AH24)</f>
        <v/>
      </c>
      <c r="AI40" s="56">
        <f>AVERAGE(AI5:AI24)</f>
        <v/>
      </c>
      <c r="AJ40" s="56">
        <f>AVERAGE(AJ5:AJ24)</f>
        <v/>
      </c>
      <c r="AK40" s="56">
        <f>AVERAGE(AK5:AK24)</f>
        <v/>
      </c>
      <c r="BE40" s="81">
        <f>AI40/K40</f>
        <v/>
      </c>
      <c r="BH40" s="171">
        <f>AVERAGE(BH5:BH24)</f>
        <v/>
      </c>
      <c r="BJ40" s="81">
        <f>AVERAGE(BJ5:BJ24)</f>
        <v/>
      </c>
      <c r="BK40" s="81">
        <f>AVERAGE(BK5:BK24)</f>
        <v/>
      </c>
      <c r="BL40" s="81">
        <f>AVERAGE(BL5:BL24)</f>
        <v/>
      </c>
      <c r="BM40" s="81">
        <f>AVERAGE(BM5:BM24)</f>
        <v/>
      </c>
      <c r="BN40" s="81">
        <f>AVERAGE(BN5:BN24)</f>
        <v/>
      </c>
      <c r="BP40" s="81">
        <f>AVERAGE(BP5:BP24)</f>
        <v/>
      </c>
      <c r="BQ40" s="81">
        <f>AVERAGE(BQ5:BQ24)</f>
        <v/>
      </c>
      <c r="BR40" s="81">
        <f>AVERAGE(BR5:BR24)</f>
        <v/>
      </c>
      <c r="BS40" s="81">
        <f>AVERAGE(BS5:BS24)</f>
        <v/>
      </c>
      <c r="BT40" s="81">
        <f>AVERAGE(BT5:BT24)</f>
        <v/>
      </c>
    </row>
    <row r="41">
      <c r="B41" s="55" t="inlineStr">
        <is>
          <t>Cat2-B average</t>
        </is>
      </c>
      <c r="J41" s="56">
        <f>AVERAGE(J25:J29)</f>
        <v/>
      </c>
      <c r="K41" s="56">
        <f>AVERAGE(K25:K29)</f>
        <v/>
      </c>
      <c r="L41" s="56">
        <f>AVERAGE(L25:L29)</f>
        <v/>
      </c>
      <c r="M41" s="56">
        <f>AVERAGE(M25:M29)</f>
        <v/>
      </c>
      <c r="AH41" s="56">
        <f>AVERAGE(AH25:AH29)</f>
        <v/>
      </c>
      <c r="AI41" s="56">
        <f>AVERAGE(AI25:AI29)</f>
        <v/>
      </c>
      <c r="AJ41" s="56">
        <f>AVERAGE(AJ25:AJ29)</f>
        <v/>
      </c>
      <c r="AK41" s="56">
        <f>AVERAGE(AK25:AK29)</f>
        <v/>
      </c>
      <c r="BE41" s="81">
        <f>AI41/K41</f>
        <v/>
      </c>
      <c r="BH41" s="171">
        <f>AVERAGE(BH25:BH29)</f>
        <v/>
      </c>
      <c r="BJ41" s="81">
        <f>AVERAGE(BJ25:BJ29)</f>
        <v/>
      </c>
      <c r="BK41" s="81">
        <f>AVERAGE(BK25:BK29)</f>
        <v/>
      </c>
      <c r="BL41" s="81">
        <f>AVERAGE(BL25:BL29)</f>
        <v/>
      </c>
      <c r="BM41" s="81">
        <f>AVERAGE(BM25:BM29)</f>
        <v/>
      </c>
      <c r="BN41" s="81">
        <f>AVERAGE(BN25:BN29)</f>
        <v/>
      </c>
      <c r="BP41" s="81">
        <f>AVERAGE(BP25:BP29)</f>
        <v/>
      </c>
      <c r="BQ41" s="81">
        <f>AVERAGE(BQ25:BQ29)</f>
        <v/>
      </c>
      <c r="BR41" s="81">
        <f>AVERAGE(BR25:BR29)</f>
        <v/>
      </c>
      <c r="BS41" s="81">
        <f>AVERAGE(BS25:BS29)</f>
        <v/>
      </c>
      <c r="BT41" s="81">
        <f>AVERAGE(BT25:BT29)</f>
        <v/>
      </c>
    </row>
    <row r="42">
      <c r="B42" s="55" t="inlineStr">
        <is>
          <t>Cat2-C average</t>
        </is>
      </c>
      <c r="J42" s="56">
        <f>AVERAGE(J30:J39)</f>
        <v/>
      </c>
      <c r="K42" s="56">
        <f>AVERAGE(K30:K39)</f>
        <v/>
      </c>
      <c r="L42" s="56">
        <f>AVERAGE(L30:L39)</f>
        <v/>
      </c>
      <c r="M42" s="56">
        <f>AVERAGE(M30:M39)</f>
        <v/>
      </c>
      <c r="AH42" s="56">
        <f>AVERAGE(AH30:AH39)</f>
        <v/>
      </c>
      <c r="AI42" s="56">
        <f>AVERAGE(AI30:AI39)</f>
        <v/>
      </c>
      <c r="AJ42" s="56">
        <f>AVERAGE(AJ30:AJ39)</f>
        <v/>
      </c>
      <c r="AK42" s="56">
        <f>AVERAGE(AK30:AK39)</f>
        <v/>
      </c>
      <c r="BE42" s="81">
        <f>AI42/K42</f>
        <v/>
      </c>
      <c r="BH42" s="171">
        <f>AVERAGE(BH30:BH39)</f>
        <v/>
      </c>
      <c r="BJ42" s="81">
        <f>AVERAGE(BJ30:BJ39)</f>
        <v/>
      </c>
      <c r="BK42" s="81">
        <f>AVERAGE(BK30:BK39)</f>
        <v/>
      </c>
      <c r="BL42" s="81">
        <f>AVERAGE(BL30:BL39)</f>
        <v/>
      </c>
      <c r="BM42" s="81">
        <f>AVERAGE(BM30:BM39)</f>
        <v/>
      </c>
      <c r="BN42" s="81">
        <f>AVERAGE(BN30:BN39)</f>
        <v/>
      </c>
      <c r="BP42" s="81">
        <f>AVERAGE(BP30:BP39)</f>
        <v/>
      </c>
      <c r="BQ42" s="81">
        <f>AVERAGE(BQ30:BQ39)</f>
        <v/>
      </c>
      <c r="BR42" s="81">
        <f>AVERAGE(BR30:BR39)</f>
        <v/>
      </c>
      <c r="BS42" s="81">
        <f>AVERAGE(BS30:BS39)</f>
        <v/>
      </c>
      <c r="BT42" s="81">
        <f>AVERAGE(BT30:BT39)</f>
        <v/>
      </c>
    </row>
    <row r="43">
      <c r="B43" s="55" t="inlineStr">
        <is>
          <t>Overall average</t>
        </is>
      </c>
      <c r="J43" s="56">
        <f>AVERAGE(J5:J39)</f>
        <v/>
      </c>
      <c r="K43" s="56">
        <f>AVERAGE(K5:K39)</f>
        <v/>
      </c>
      <c r="L43" s="56">
        <f>AVERAGE(L5:L39)</f>
        <v/>
      </c>
      <c r="M43" s="56">
        <f>AVERAGE(M5:M39)</f>
        <v/>
      </c>
      <c r="AH43" s="56">
        <f>AVERAGE(AH5:AH39)</f>
        <v/>
      </c>
      <c r="AI43" s="56">
        <f>AVERAGE(AI5:AI39)</f>
        <v/>
      </c>
      <c r="AJ43" s="56">
        <f>AVERAGE(AJ5:AJ39)</f>
        <v/>
      </c>
      <c r="AK43" s="56">
        <f>AVERAGE(AK5:AK39)</f>
        <v/>
      </c>
      <c r="BE43" s="81">
        <f>AI43/K43</f>
        <v/>
      </c>
      <c r="BH43" s="171">
        <f>AVERAGE(BH5:BH39)</f>
        <v/>
      </c>
      <c r="BJ43" s="81">
        <f>AVERAGE(BJ5:BJ39)</f>
        <v/>
      </c>
      <c r="BK43" s="81">
        <f>AVERAGE(BK5:BK39)</f>
        <v/>
      </c>
      <c r="BL43" s="81">
        <f>AVERAGE(BL5:BL39)</f>
        <v/>
      </c>
      <c r="BM43" s="81">
        <f>AVERAGE(BM5:BM39)</f>
        <v/>
      </c>
      <c r="BN43" s="81">
        <f>AVERAGE(BN5:BN39)</f>
        <v/>
      </c>
      <c r="BP43" s="81">
        <f>AVERAGE(BP5:BP39)</f>
        <v/>
      </c>
      <c r="BQ43" s="81">
        <f>AVERAGE(BQ5:BQ39)</f>
        <v/>
      </c>
      <c r="BR43" s="81">
        <f>AVERAGE(BR5:BR39)</f>
        <v/>
      </c>
      <c r="BS43" s="81">
        <f>AVERAGE(BS5:BS39)</f>
        <v/>
      </c>
      <c r="BT43" s="81">
        <f>AVERAGE(BT5:BT39)</f>
        <v/>
      </c>
    </row>
    <row hidden="1" outlineLevel="2" r="44" s="86">
      <c r="A44" s="55" t="inlineStr">
        <is>
          <t>Overall</t>
        </is>
      </c>
      <c r="B44" s="55" t="inlineStr">
        <is>
          <t>Total time [s]</t>
        </is>
      </c>
      <c r="AB44" s="57">
        <f>SUM(AB5:AB24,AB25:AB29,AB30:AB39)</f>
        <v/>
      </c>
      <c r="AC44" s="57">
        <f>SUM(AC5:AC24,AC25:AC29,AC30:AC39)</f>
        <v/>
      </c>
      <c r="AD44" s="57">
        <f>SUM(AD5:AD24,AD25:AD29,AD30:AD39)</f>
        <v/>
      </c>
      <c r="AE44" s="57">
        <f>SUM(AE5:AE24,AE25:AE29,AE30:AE39)</f>
        <v/>
      </c>
      <c r="AZ44" s="57">
        <f>SUM(AZ5:AZ24,AZ25:AZ29,AZ30:AZ39)</f>
        <v/>
      </c>
      <c r="BA44" s="57">
        <f>SUM(BA5:BA24,BA25:BA29,BA30:BA39)</f>
        <v/>
      </c>
      <c r="BB44" s="57">
        <f>SUM(BB5:BB24,BB25:BB29,BB30:BB39)</f>
        <v/>
      </c>
      <c r="BC44" s="57">
        <f>SUM(BC5:BC24,BC25:BC29,BC30:BC39)</f>
        <v/>
      </c>
    </row>
    <row hidden="1" outlineLevel="2" r="45" s="86">
      <c r="B45" s="55" t="inlineStr">
        <is>
          <t>Total time [%]</t>
        </is>
      </c>
      <c r="AZ45" s="171">
        <f>AZ44/AB44</f>
        <v/>
      </c>
      <c r="BA45" s="171">
        <f>BA44/AC44</f>
        <v/>
      </c>
      <c r="BB45" s="171">
        <f>BB44/AD44</f>
        <v/>
      </c>
      <c r="BC45" s="171">
        <f>BC44/AE44</f>
        <v/>
      </c>
    </row>
    <row hidden="1" outlineLevel="2" r="46" s="86">
      <c r="B46" s="55" t="inlineStr">
        <is>
          <t>Avg (geometric) time [s]</t>
        </is>
      </c>
      <c r="AB46" s="57">
        <f>GEOMEAN(AB5:AB24,AB25:AB29,AB30:AB39)</f>
        <v/>
      </c>
      <c r="AC46" s="57">
        <f>GEOMEAN(AC5:AC24,AC25:AC29,AC30:AC39)</f>
        <v/>
      </c>
      <c r="AD46" s="57">
        <f>GEOMEAN(AD5:AD24,AD25:AD29,AD30:AD39)</f>
        <v/>
      </c>
      <c r="AE46" s="57">
        <f>GEOMEAN(AE5:AE24,AE25:AE29,AE30:AE39)</f>
        <v/>
      </c>
      <c r="AZ46" s="57">
        <f>GEOMEAN(AZ5:AZ24,AZ25:AZ29,AZ30:AZ39)</f>
        <v/>
      </c>
      <c r="BA46" s="57">
        <f>GEOMEAN(BA5:BA24,BA25:BA29,BA30:BA39)</f>
        <v/>
      </c>
      <c r="BB46" s="57">
        <f>GEOMEAN(BB5:BB24,BB25:BB29,BB30:BB39)</f>
        <v/>
      </c>
      <c r="BC46" s="57">
        <f>GEOMEAN(BC5:BC24,BC25:BC29,BC30:BC39)</f>
        <v/>
      </c>
    </row>
    <row collapsed="1" outlineLevel="2" r="47" s="86">
      <c r="B47" s="55" t="inlineStr">
        <is>
          <t>Avg (geometric) time [%]</t>
        </is>
      </c>
      <c r="AZ47" s="171">
        <f>AZ46/AB46</f>
        <v/>
      </c>
      <c r="BA47" s="171">
        <f>BA46/AC46</f>
        <v/>
      </c>
      <c r="BB47" s="171">
        <f>BB46/AD46</f>
        <v/>
      </c>
      <c r="BC47" s="171">
        <f>BC46/AE46</f>
        <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dxfId="1" operator="greaterThanOrEqual" priority="17" type="cellIs">
      <formula>1.03</formula>
    </cfRule>
    <cfRule dxfId="0" operator="lessThanOrEqual" priority="18" type="cellIs">
      <formula>0.97</formula>
    </cfRule>
  </conditionalFormatting>
  <conditionalFormatting sqref="BJ5 BJ6 BJ7 BJ8 BJ9 BJ10 BJ11 BJ12 BJ13 BJ14 BJ15 BJ16 BJ17 BJ18 BJ19 BJ20 BJ21 BJ22 BJ23 BJ24 BJ25 BJ26 BJ27 BJ28 BJ29 BJ30 BJ31 BJ32 BJ33 BJ34 BJ35 BJ36 BJ37 BJ38 BJ39 BJ40 BJ41 BJ42 BJ43">
    <cfRule dxfId="1" operator="greaterThanOrEqual" priority="1" type="cellIs">
      <formula>0.03</formula>
    </cfRule>
    <cfRule dxfId="0" operator="lessThanOrEqual" priority="2" type="cellIs">
      <formula>-0.03</formula>
    </cfRule>
  </conditionalFormatting>
  <conditionalFormatting sqref="BK5 BK6 BK7 BK8 BK9 BK10 BK11 BK12 BK13 BK14 BK15 BK16 BK17 BK18 BK19 BK20 BK21 BK22 BK23 BK24 BK25 BK26 BK27 BK28 BK29 BK30 BK31 BK32 BK33 BK34 BK35 BK36 BK37 BK38 BK39 BK40 BK41 BK42 BK43">
    <cfRule dxfId="1" operator="greaterThanOrEqual" priority="3" type="cellIs">
      <formula>0.03</formula>
    </cfRule>
    <cfRule dxfId="0" operator="lessThanOrEqual" priority="4" type="cellIs">
      <formula>-0.03</formula>
    </cfRule>
  </conditionalFormatting>
  <conditionalFormatting sqref="BL5 BL6 BL7 BL8 BL9 BL10 BL11 BL12 BL13 BL14 BL15 BL16 BL17 BL18 BL19 BL20 BL21 BL22 BL23 BL24 BL25 BL26 BL27 BL28 BL29 BL30 BL31 BL32 BL33 BL34 BL35 BL36 BL37 BL38 BL39 BL40 BL41 BL42 BL43">
    <cfRule dxfId="1" operator="greaterThanOrEqual" priority="19" type="cellIs">
      <formula>0.03</formula>
    </cfRule>
    <cfRule dxfId="0" operator="lessThanOrEqual" priority="20" type="cellIs">
      <formula>-0.03</formula>
    </cfRule>
  </conditionalFormatting>
  <conditionalFormatting sqref="BM5 BM6 BM7 BM8 BM9 BM10 BM11 BM12 BM13 BM14 BM15 BM16 BM17 BM18 BM19 BM20 BM21 BM22 BM23 BM24 BM25 BM26 BM27 BM28 BM29 BM30 BM31 BM32 BM33 BM34 BM35 BM36 BM37 BM38 BM39 BM40 BM41 BM42 BM43">
    <cfRule dxfId="1" operator="greaterThanOrEqual" priority="9" type="cellIs">
      <formula>0.03</formula>
    </cfRule>
    <cfRule dxfId="0" operator="lessThanOrEqual" priority="10" type="cellIs">
      <formula>-0.03</formula>
    </cfRule>
  </conditionalFormatting>
  <conditionalFormatting sqref="BN5 BN6 BN7 BN8 BN9 BN10 BN11 BN12 BN13 BN14 BN15 BN16 BN17 BN18 BN19 BN20 BN21 BN22 BN23 BN24 BN25 BN26 BN27 BN28 BN29 BN30 BN31 BN32 BN33 BN34 BN35 BN36 BN37 BN38 BN39 BN40 BN41 BN42 BN43">
    <cfRule dxfId="1" operator="greaterThanOrEqual" priority="7" type="cellIs">
      <formula>0.03</formula>
    </cfRule>
    <cfRule dxfId="0" operator="lessThanOrEqual" priority="8" type="cellIs">
      <formula>-0.03</formula>
    </cfRule>
  </conditionalFormatting>
  <conditionalFormatting sqref="BP5 BP6 BP7 BP8 BP9 BP10 BP11 BP12 BP13 BP14 BP15 BP16 BP17 BP18 BP19 BP20 BP21 BP22 BP23 BP24 BP25 BP26 BP27 BP28 BP29 BP30 BP31 BP32 BP33 BP34 BP35 BP36 BP37 BP38 BP39 BP40 BP41 BP42 BP43">
    <cfRule dxfId="1" operator="greaterThanOrEqual" priority="21" type="cellIs">
      <formula>0.03</formula>
    </cfRule>
    <cfRule dxfId="0" operator="lessThanOrEqual" priority="22" type="cellIs">
      <formula>-0.03</formula>
    </cfRule>
  </conditionalFormatting>
  <conditionalFormatting sqref="BQ5 BQ6 BQ7 BQ8 BQ9 BQ10 BQ11 BQ12 BQ13 BQ14 BQ15 BQ16 BQ17 BQ18 BQ19 BQ20 BQ21 BQ22 BQ23 BQ24 BQ25 BQ26 BQ27 BQ28 BQ29 BQ30 BQ31 BQ32 BQ33 BQ34 BQ35 BQ36 BQ37 BQ38 BQ39 BQ40 BQ41 BQ42 BQ43">
    <cfRule dxfId="1" operator="greaterThanOrEqual" priority="11" type="cellIs">
      <formula>0.03</formula>
    </cfRule>
    <cfRule dxfId="0" operator="lessThanOrEqual" priority="12" type="cellIs">
      <formula>-0.03</formula>
    </cfRule>
  </conditionalFormatting>
  <conditionalFormatting sqref="BR5 BR6 BR7 BR8 BR9 BR10 BR11 BR12 BR13 BR14 BR15 BR16 BR17 BR18 BR19 BR20 BR21 BR22 BR23 BR24 BR25 BR26 BR27 BR28 BR29 BR30 BR31 BR32 BR33 BR34 BR35 BR36 BR37 BR38 BR39 BR40 BR41 BR42 BR43">
    <cfRule dxfId="1" operator="greaterThanOrEqual" priority="15" type="cellIs">
      <formula>0.03</formula>
    </cfRule>
    <cfRule dxfId="0" operator="lessThanOrEqual" priority="16" type="cellIs">
      <formula>-0.03</formula>
    </cfRule>
  </conditionalFormatting>
  <conditionalFormatting sqref="BS5 BS6 BS7 BS8 BS9 BS10 BS11 BS12 BS13 BS14 BS15 BS16 BS17 BS18 BS19 BS20 BS21 BS22 BS23 BS24 BS25 BS26 BS27 BS28 BS29 BS30 BS31 BS32 BS33 BS34 BS35 BS36 BS37 BS38 BS39 BS40 BS41 BS42 BS43">
    <cfRule dxfId="1" operator="greaterThanOrEqual" priority="13" type="cellIs">
      <formula>0.03</formula>
    </cfRule>
    <cfRule dxfId="0" operator="lessThanOrEqual" priority="14" type="cellIs">
      <formula>-0.03</formula>
    </cfRule>
  </conditionalFormatting>
  <conditionalFormatting sqref="BT5 BT6 BT7 BT8 BT9 BT10 BT11 BT12 BT13 BT14 BT15 BT16 BT17 BT18 BT19 BT20 BT21 BT22 BT23 BT24 BT25 BT26 BT27 BT28 BT29 BT30 BT31 BT32 BT33 BT34 BT35 BT36 BT37 BT38 BT39 BT40 BT41 BT42 BT43">
    <cfRule dxfId="1" operator="greaterThanOrEqual" priority="5" type="cellIs">
      <formula>0.03</formula>
    </cfRule>
    <cfRule dxfId="0" operator="lessThanOrEqual" priority="6" type="cellIs">
      <formula>-0.03</formula>
    </cfRule>
  </conditionalFormatting>
  <pageMargins bottom="0.75" footer="0.3" header="0.3" left="0.7" right="0.7" top="0.75"/>
</worksheet>
</file>

<file path=xl/worksheets/sheet8.xml><?xml version="1.0" encoding="utf-8"?>
<worksheet xmlns="http://schemas.openxmlformats.org/spreadsheetml/2006/main">
  <sheetPr>
    <outlinePr summaryBelow="1" summaryRight="1"/>
    <pageSetUpPr/>
  </sheetPr>
  <dimension ref="B1:AB88"/>
  <sheetViews>
    <sheetView tabSelected="1" workbookViewId="0">
      <selection activeCell="A1" sqref="A1"/>
    </sheetView>
  </sheetViews>
  <sheetFormatPr baseColWidth="8" defaultRowHeight="14.4"/>
  <cols>
    <col customWidth="1" max="1" min="1" style="86" width="8.88671875"/>
    <col customWidth="1" max="2" min="2" style="86" width="3"/>
    <col customWidth="1" max="3" min="3" style="86" width="7.109375"/>
    <col customWidth="1" max="22" min="20" style="86" width="8.88671875"/>
  </cols>
  <sheetData>
    <row customHeight="1" ht="15" r="1" s="86" thickBot="1"/>
    <row customHeight="1" ht="15" r="2" s="86" thickBot="1">
      <c r="B2" s="182" t="inlineStr">
        <is>
          <t>Class</t>
        </is>
      </c>
      <c r="C2" s="184" t="inlineStr">
        <is>
          <t>Seq.</t>
        </is>
      </c>
      <c r="D2" s="191" t="inlineStr">
        <is>
          <t>CWAI</t>
        </is>
      </c>
      <c r="E2" s="205" t="n"/>
      <c r="F2" s="205" t="n"/>
      <c r="G2" s="194" t="n"/>
      <c r="H2" s="193" t="inlineStr">
        <is>
          <t>CWLD</t>
        </is>
      </c>
      <c r="I2" s="205" t="n"/>
      <c r="J2" s="205" t="n"/>
      <c r="K2" s="194" t="n"/>
      <c r="L2" s="191" t="inlineStr">
        <is>
          <t>C2AI</t>
        </is>
      </c>
      <c r="M2" s="205" t="n"/>
      <c r="N2" s="205" t="n"/>
      <c r="O2" s="205" t="n"/>
      <c r="P2" s="194" t="n"/>
      <c r="Q2" s="193" t="inlineStr">
        <is>
          <t>C2RA</t>
        </is>
      </c>
      <c r="R2" s="205" t="n"/>
      <c r="S2" s="205" t="n"/>
      <c r="T2" s="205" t="n"/>
      <c r="U2" s="194" t="n"/>
    </row>
    <row r="3">
      <c r="B3" s="189" t="n"/>
      <c r="C3" s="190" t="n"/>
      <c r="D3" s="200" t="inlineStr">
        <is>
          <t>bpip ratio [%]</t>
        </is>
      </c>
      <c r="E3" s="206" t="n"/>
      <c r="F3" s="206" t="n"/>
      <c r="G3" s="188" t="n"/>
      <c r="H3" s="202" t="inlineStr">
        <is>
          <t>bpip ratio [%]</t>
        </is>
      </c>
      <c r="I3" s="206" t="n"/>
      <c r="J3" s="206" t="n"/>
      <c r="K3" s="188" t="n"/>
      <c r="L3" s="203" t="inlineStr">
        <is>
          <t>Geom. BD‑TotalRate [%]</t>
        </is>
      </c>
      <c r="M3" s="201" t="n"/>
      <c r="N3" s="200" t="inlineStr">
        <is>
          <t>End-to-End BD‑TotalRate [%]</t>
        </is>
      </c>
      <c r="O3" s="206" t="n"/>
      <c r="P3" s="188" t="n"/>
      <c r="Q3" s="204" t="inlineStr">
        <is>
          <t>Geom. BD‑TotalRate [%]</t>
        </is>
      </c>
      <c r="R3" s="206" t="n"/>
      <c r="S3" s="200" t="inlineStr">
        <is>
          <t>End-to-End BD‑TotalRate [%]</t>
        </is>
      </c>
      <c r="T3" s="206" t="n"/>
      <c r="U3" s="188" t="n"/>
    </row>
    <row customHeight="1" ht="15" r="4" s="86" thickBot="1">
      <c r="B4" s="183" t="n"/>
      <c r="C4" s="181" t="n"/>
      <c r="D4" s="173" t="inlineStr">
        <is>
          <t>Total</t>
        </is>
      </c>
      <c r="E4" s="173" t="inlineStr">
        <is>
          <t>T.Geom</t>
        </is>
      </c>
      <c r="F4" s="173" t="inlineStr">
        <is>
          <t>Geom.</t>
        </is>
      </c>
      <c r="G4" s="173" t="inlineStr">
        <is>
          <t>Colour</t>
        </is>
      </c>
      <c r="H4" s="87" t="inlineStr">
        <is>
          <t>Total</t>
        </is>
      </c>
      <c r="I4" s="173" t="inlineStr">
        <is>
          <t>T.Geom</t>
        </is>
      </c>
      <c r="J4" s="173" t="inlineStr">
        <is>
          <t>Geom.</t>
        </is>
      </c>
      <c r="K4" s="88" t="inlineStr">
        <is>
          <t>Colour</t>
        </is>
      </c>
      <c r="L4" s="89" t="inlineStr">
        <is>
          <t>D1</t>
        </is>
      </c>
      <c r="M4" s="89" t="inlineStr">
        <is>
          <t>D2</t>
        </is>
      </c>
      <c r="N4" s="89" t="inlineStr">
        <is>
          <t>Luma</t>
        </is>
      </c>
      <c r="O4" s="89" t="inlineStr">
        <is>
          <t xml:space="preserve"> Cb</t>
        </is>
      </c>
      <c r="P4" s="61" t="inlineStr">
        <is>
          <t>Cr</t>
        </is>
      </c>
      <c r="Q4" s="59" t="inlineStr">
        <is>
          <t>D1</t>
        </is>
      </c>
      <c r="R4" s="89" t="inlineStr">
        <is>
          <t>D2</t>
        </is>
      </c>
      <c r="S4" s="89" t="inlineStr">
        <is>
          <t>Luma</t>
        </is>
      </c>
      <c r="T4" s="89" t="inlineStr">
        <is>
          <t>Cb</t>
        </is>
      </c>
      <c r="U4" s="61" t="inlineStr">
        <is>
          <t>Cr</t>
        </is>
      </c>
    </row>
    <row r="5">
      <c r="B5" s="62" t="inlineStr">
        <is>
          <t>A</t>
        </is>
      </c>
      <c r="C5" s="90" t="inlineStr">
        <is>
          <t>Loot</t>
        </is>
      </c>
      <c r="D5" s="72">
        <f>'CW losslG,losslA,intra'!BB5</f>
        <v/>
      </c>
      <c r="E5" s="72">
        <f>'CW losslG,losslA,intra'!BC5</f>
        <v/>
      </c>
      <c r="F5" s="72">
        <f>'CW losslG,losslA,intra'!BD5</f>
        <v/>
      </c>
      <c r="G5" s="72">
        <f>'CW losslG,losslA,intra'!BE5</f>
        <v/>
      </c>
      <c r="H5" s="71">
        <f>'CW losslG,losslA,interLD'!BB5</f>
        <v/>
      </c>
      <c r="I5" s="72">
        <f>'CW losslG,losslA,interLD'!BC5</f>
        <v/>
      </c>
      <c r="J5" s="72">
        <f>'CW losslG,losslA,interLD'!BD5</f>
        <v/>
      </c>
      <c r="K5" s="73">
        <f>'CW losslG,losslA,interLD'!BE5</f>
        <v/>
      </c>
      <c r="L5" s="64">
        <f>'C2 lossyG,lossyA,intra'!BP5</f>
        <v/>
      </c>
      <c r="M5" s="64">
        <f>'C2 lossyG,lossyA,intra'!BQ5</f>
        <v/>
      </c>
      <c r="N5" s="64">
        <f>'C2 lossyG,lossyA,intra'!BR5</f>
        <v/>
      </c>
      <c r="O5" s="64">
        <f>'C2 lossyG,lossyA,intra'!BS5</f>
        <v/>
      </c>
      <c r="P5" s="65">
        <f>'C2 lossyG,lossyA,intra'!BT5</f>
        <v/>
      </c>
      <c r="Q5" s="63">
        <f>'C2 lossyG,lossyA,interRA'!BP5</f>
        <v/>
      </c>
      <c r="R5" s="64">
        <f>'C2 lossyG,lossyA,interRA'!BQ5</f>
        <v/>
      </c>
      <c r="S5" s="64">
        <f>'C2 lossyG,lossyA,interRA'!BR5</f>
        <v/>
      </c>
      <c r="T5" s="64">
        <f>'C2 lossyG,lossyA,interRA'!BS5</f>
        <v/>
      </c>
      <c r="U5" s="65">
        <f>'C2 lossyG,lossyA,interRA'!BT5</f>
        <v/>
      </c>
    </row>
    <row r="6">
      <c r="B6" s="66" t="n"/>
      <c r="C6" s="91" t="inlineStr">
        <is>
          <t>R&amp;B</t>
        </is>
      </c>
      <c r="D6" s="68">
        <f>'CW losslG,losslA,intra'!BB6</f>
        <v/>
      </c>
      <c r="E6" s="68">
        <f>'CW losslG,losslA,intra'!BC6</f>
        <v/>
      </c>
      <c r="F6" s="68">
        <f>'CW losslG,losslA,intra'!BD6</f>
        <v/>
      </c>
      <c r="G6" s="68">
        <f>'CW losslG,losslA,intra'!BE6</f>
        <v/>
      </c>
      <c r="H6" s="67">
        <f>'CW losslG,losslA,interLD'!BB6</f>
        <v/>
      </c>
      <c r="I6" s="68">
        <f>'CW losslG,losslA,interLD'!BC6</f>
        <v/>
      </c>
      <c r="J6" s="68">
        <f>'CW losslG,losslA,interLD'!BD6</f>
        <v/>
      </c>
      <c r="K6" s="69">
        <f>'CW losslG,losslA,interLD'!BE6</f>
        <v/>
      </c>
      <c r="L6" s="68">
        <f>'C2 lossyG,lossyA,intra'!BP10</f>
        <v/>
      </c>
      <c r="M6" s="68">
        <f>'C2 lossyG,lossyA,intra'!BQ10</f>
        <v/>
      </c>
      <c r="N6" s="68">
        <f>'C2 lossyG,lossyA,intra'!BR10</f>
        <v/>
      </c>
      <c r="O6" s="68">
        <f>'C2 lossyG,lossyA,intra'!BS10</f>
        <v/>
      </c>
      <c r="P6" s="69">
        <f>'C2 lossyG,lossyA,intra'!BT10</f>
        <v/>
      </c>
      <c r="Q6" s="67">
        <f>'C2 lossyG,lossyA,interRA'!BP10</f>
        <v/>
      </c>
      <c r="R6" s="68">
        <f>'C2 lossyG,lossyA,interRA'!BQ10</f>
        <v/>
      </c>
      <c r="S6" s="68">
        <f>'C2 lossyG,lossyA,interRA'!BR10</f>
        <v/>
      </c>
      <c r="T6" s="68">
        <f>'C2 lossyG,lossyA,interRA'!BS10</f>
        <v/>
      </c>
      <c r="U6" s="69">
        <f>'C2 lossyG,lossyA,interRA'!BT10</f>
        <v/>
      </c>
    </row>
    <row r="7">
      <c r="B7" s="70" t="n"/>
      <c r="C7" s="92" t="inlineStr">
        <is>
          <t>Soldier</t>
        </is>
      </c>
      <c r="D7" s="72">
        <f>'CW losslG,losslA,intra'!BB7</f>
        <v/>
      </c>
      <c r="E7" s="72">
        <f>'CW losslG,losslA,intra'!BC7</f>
        <v/>
      </c>
      <c r="F7" s="72">
        <f>'CW losslG,losslA,intra'!BD7</f>
        <v/>
      </c>
      <c r="G7" s="72">
        <f>'CW losslG,losslA,intra'!BE7</f>
        <v/>
      </c>
      <c r="H7" s="71">
        <f>'CW losslG,losslA,interLD'!BB7</f>
        <v/>
      </c>
      <c r="I7" s="72">
        <f>'CW losslG,losslA,interLD'!BC7</f>
        <v/>
      </c>
      <c r="J7" s="72">
        <f>'CW losslG,losslA,interLD'!BD7</f>
        <v/>
      </c>
      <c r="K7" s="73">
        <f>'CW losslG,losslA,interLD'!BE7</f>
        <v/>
      </c>
      <c r="L7" s="72">
        <f>'C2 lossyG,lossyA,intra'!BP15</f>
        <v/>
      </c>
      <c r="M7" s="72">
        <f>'C2 lossyG,lossyA,intra'!BQ15</f>
        <v/>
      </c>
      <c r="N7" s="72">
        <f>'C2 lossyG,lossyA,intra'!BR15</f>
        <v/>
      </c>
      <c r="O7" s="72">
        <f>'C2 lossyG,lossyA,intra'!BS15</f>
        <v/>
      </c>
      <c r="P7" s="73">
        <f>'C2 lossyG,lossyA,intra'!BT15</f>
        <v/>
      </c>
      <c r="Q7" s="71">
        <f>'C2 lossyG,lossyA,interRA'!BP15</f>
        <v/>
      </c>
      <c r="R7" s="72">
        <f>'C2 lossyG,lossyA,interRA'!BQ15</f>
        <v/>
      </c>
      <c r="S7" s="72">
        <f>'C2 lossyG,lossyA,interRA'!BR15</f>
        <v/>
      </c>
      <c r="T7" s="72">
        <f>'C2 lossyG,lossyA,interRA'!BS15</f>
        <v/>
      </c>
      <c r="U7" s="73">
        <f>'C2 lossyG,lossyA,interRA'!BT15</f>
        <v/>
      </c>
    </row>
    <row customHeight="1" ht="15" r="8" s="86" thickBot="1">
      <c r="B8" s="74" t="n"/>
      <c r="C8" s="93" t="inlineStr">
        <is>
          <t>Queen</t>
        </is>
      </c>
      <c r="D8" s="53">
        <f>'CW losslG,losslA,intra'!BB8</f>
        <v/>
      </c>
      <c r="E8" s="53">
        <f>'CW losslG,losslA,intra'!BC8</f>
        <v/>
      </c>
      <c r="F8" s="53">
        <f>'CW losslG,losslA,intra'!BD8</f>
        <v/>
      </c>
      <c r="G8" s="53">
        <f>'CW losslG,losslA,intra'!BE8</f>
        <v/>
      </c>
      <c r="H8" s="75">
        <f>'CW losslG,losslA,interLD'!BB8</f>
        <v/>
      </c>
      <c r="I8" s="53">
        <f>'CW losslG,losslA,interLD'!BC8</f>
        <v/>
      </c>
      <c r="J8" s="53">
        <f>'CW losslG,losslA,interLD'!BD8</f>
        <v/>
      </c>
      <c r="K8" s="76">
        <f>'CW losslG,losslA,interLD'!BE8</f>
        <v/>
      </c>
      <c r="L8" s="53">
        <f>'C2 lossyG,lossyA,intra'!BP20</f>
        <v/>
      </c>
      <c r="M8" s="53">
        <f>'C2 lossyG,lossyA,intra'!BQ20</f>
        <v/>
      </c>
      <c r="N8" s="53">
        <f>'C2 lossyG,lossyA,intra'!BR20</f>
        <v/>
      </c>
      <c r="O8" s="53">
        <f>'C2 lossyG,lossyA,intra'!BS20</f>
        <v/>
      </c>
      <c r="P8" s="76">
        <f>'C2 lossyG,lossyA,intra'!BT20</f>
        <v/>
      </c>
      <c r="Q8" s="75">
        <f>'C2 lossyG,lossyA,interRA'!BP20</f>
        <v/>
      </c>
      <c r="R8" s="53">
        <f>'C2 lossyG,lossyA,interRA'!BQ20</f>
        <v/>
      </c>
      <c r="S8" s="53">
        <f>'C2 lossyG,lossyA,interRA'!BR20</f>
        <v/>
      </c>
      <c r="T8" s="53">
        <f>'C2 lossyG,lossyA,interRA'!BS20</f>
        <v/>
      </c>
      <c r="U8" s="76">
        <f>'C2 lossyG,lossyA,interRA'!BT20</f>
        <v/>
      </c>
    </row>
    <row customHeight="1" ht="15" r="9" s="86" thickBot="1">
      <c r="B9" s="77" t="inlineStr">
        <is>
          <t>B</t>
        </is>
      </c>
      <c r="C9" s="94" t="inlineStr">
        <is>
          <t>Long.</t>
        </is>
      </c>
      <c r="D9" s="43">
        <f>'CW losslG,losslA,intra'!BB9</f>
        <v/>
      </c>
      <c r="E9" s="43">
        <f>'CW losslG,losslA,intra'!BC9</f>
        <v/>
      </c>
      <c r="F9" s="43">
        <f>'CW losslG,losslA,intra'!BD9</f>
        <v/>
      </c>
      <c r="G9" s="43">
        <f>'CW losslG,losslA,intra'!BE9</f>
        <v/>
      </c>
      <c r="H9" s="78">
        <f>'CW losslG,losslA,interLD'!BB9</f>
        <v/>
      </c>
      <c r="I9" s="43">
        <f>'CW losslG,losslA,interLD'!BC9</f>
        <v/>
      </c>
      <c r="J9" s="43">
        <f>'CW losslG,losslA,interLD'!BD9</f>
        <v/>
      </c>
      <c r="K9" s="79">
        <f>'CW losslG,losslA,interLD'!BE9</f>
        <v/>
      </c>
      <c r="L9" s="95">
        <f>'C2 lossyG,lossyA,intra'!BP25</f>
        <v/>
      </c>
      <c r="M9" s="95">
        <f>'C2 lossyG,lossyA,intra'!BQ25</f>
        <v/>
      </c>
      <c r="N9" s="95">
        <f>'C2 lossyG,lossyA,intra'!BR25</f>
        <v/>
      </c>
      <c r="O9" s="95">
        <f>'C2 lossyG,lossyA,intra'!BS25</f>
        <v/>
      </c>
      <c r="P9" s="96">
        <f>'C2 lossyG,lossyA,intra'!BT25</f>
        <v/>
      </c>
      <c r="Q9" s="78">
        <f>'C2 lossyG,lossyA,interRA'!BP25</f>
        <v/>
      </c>
      <c r="R9" s="43">
        <f>'C2 lossyG,lossyA,interRA'!BQ25</f>
        <v/>
      </c>
      <c r="S9" s="43">
        <f>'C2 lossyG,lossyA,interRA'!BR25</f>
        <v/>
      </c>
      <c r="T9" s="43">
        <f>'C2 lossyG,lossyA,interRA'!BS25</f>
        <v/>
      </c>
      <c r="U9" s="79">
        <f>'C2 lossyG,lossyA,interRA'!BT25</f>
        <v/>
      </c>
    </row>
    <row r="10">
      <c r="B10" s="62" t="inlineStr">
        <is>
          <t xml:space="preserve">C </t>
        </is>
      </c>
      <c r="C10" s="90" t="inlineStr">
        <is>
          <t>Basket</t>
        </is>
      </c>
      <c r="D10" s="68">
        <f>'CW losslG,losslA,intra'!BB10</f>
        <v/>
      </c>
      <c r="E10" s="68">
        <f>'CW losslG,losslA,intra'!BC10</f>
        <v/>
      </c>
      <c r="F10" s="68">
        <f>'CW losslG,losslA,intra'!BD10</f>
        <v/>
      </c>
      <c r="G10" s="68">
        <f>'CW losslG,losslA,intra'!BE10</f>
        <v/>
      </c>
      <c r="H10" s="67">
        <f>'CW losslG,losslA,interLD'!BB10</f>
        <v/>
      </c>
      <c r="I10" s="68">
        <f>'CW losslG,losslA,interLD'!BC10</f>
        <v/>
      </c>
      <c r="J10" s="68">
        <f>'CW losslG,losslA,interLD'!BD10</f>
        <v/>
      </c>
      <c r="K10" s="69">
        <f>'CW losslG,losslA,interLD'!BE10</f>
        <v/>
      </c>
      <c r="L10" s="64">
        <f>'C2 lossyG,lossyA,intra'!BP30</f>
        <v/>
      </c>
      <c r="M10" s="64">
        <f>'C2 lossyG,lossyA,intra'!BQ30</f>
        <v/>
      </c>
      <c r="N10" s="64">
        <f>'C2 lossyG,lossyA,intra'!BR30</f>
        <v/>
      </c>
      <c r="O10" s="64">
        <f>'C2 lossyG,lossyA,intra'!BS30</f>
        <v/>
      </c>
      <c r="P10" s="65">
        <f>'C2 lossyG,lossyA,intra'!BT30</f>
        <v/>
      </c>
      <c r="Q10" s="63">
        <f>'C2 lossyG,lossyA,interRA'!BP30</f>
        <v/>
      </c>
      <c r="R10" s="64">
        <f>'C2 lossyG,lossyA,interRA'!BQ30</f>
        <v/>
      </c>
      <c r="S10" s="64">
        <f>'C2 lossyG,lossyA,interRA'!BR30</f>
        <v/>
      </c>
      <c r="T10" s="64">
        <f>'C2 lossyG,lossyA,interRA'!BS30</f>
        <v/>
      </c>
      <c r="U10" s="65">
        <f>'C2 lossyG,lossyA,interRA'!BT30</f>
        <v/>
      </c>
    </row>
    <row customHeight="1" ht="15" r="11" s="86" thickBot="1">
      <c r="B11" s="77" t="n"/>
      <c r="C11" s="94" t="inlineStr">
        <is>
          <t>Dancer</t>
        </is>
      </c>
      <c r="D11" s="43">
        <f>'CW losslG,losslA,intra'!BB11</f>
        <v/>
      </c>
      <c r="E11" s="43">
        <f>'CW losslG,losslA,intra'!BC11</f>
        <v/>
      </c>
      <c r="F11" s="43">
        <f>'CW losslG,losslA,intra'!BD11</f>
        <v/>
      </c>
      <c r="G11" s="43">
        <f>'CW losslG,losslA,intra'!BE11</f>
        <v/>
      </c>
      <c r="H11" s="78">
        <f>'CW losslG,losslA,interLD'!BB11</f>
        <v/>
      </c>
      <c r="I11" s="43">
        <f>'CW losslG,losslA,interLD'!BC11</f>
        <v/>
      </c>
      <c r="J11" s="43">
        <f>'CW losslG,losslA,interLD'!BD11</f>
        <v/>
      </c>
      <c r="K11" s="79">
        <f>'CW losslG,losslA,interLD'!BE11</f>
        <v/>
      </c>
      <c r="L11" s="43">
        <f>'C2 lossyG,lossyA,intra'!BP35</f>
        <v/>
      </c>
      <c r="M11" s="43">
        <f>'C2 lossyG,lossyA,intra'!BQ35</f>
        <v/>
      </c>
      <c r="N11" s="43">
        <f>'C2 lossyG,lossyA,intra'!BR35</f>
        <v/>
      </c>
      <c r="O11" s="43">
        <f>'C2 lossyG,lossyA,intra'!BS35</f>
        <v/>
      </c>
      <c r="P11" s="79">
        <f>'C2 lossyG,lossyA,intra'!BT35</f>
        <v/>
      </c>
      <c r="Q11" s="78">
        <f>'C2 lossyG,lossyA,interRA'!BP35</f>
        <v/>
      </c>
      <c r="R11" s="43">
        <f>'C2 lossyG,lossyA,interRA'!BQ35</f>
        <v/>
      </c>
      <c r="S11" s="43">
        <f>'C2 lossyG,lossyA,interRA'!BR35</f>
        <v/>
      </c>
      <c r="T11" s="43">
        <f>'C2 lossyG,lossyA,interRA'!BS35</f>
        <v/>
      </c>
      <c r="U11" s="79">
        <f>'C2 lossyG,lossyA,interRA'!BT35</f>
        <v/>
      </c>
    </row>
    <row r="12">
      <c r="B12" s="195" t="inlineStr">
        <is>
          <t>A avg</t>
        </is>
      </c>
      <c r="C12" s="190" t="n"/>
      <c r="D12" s="97">
        <f>'CW losslG,losslA,intra'!BB12</f>
        <v/>
      </c>
      <c r="E12" s="98">
        <f>'CW losslG,losslA,intra'!BC12</f>
        <v/>
      </c>
      <c r="F12" s="98">
        <f>'CW losslG,losslA,intra'!BD12</f>
        <v/>
      </c>
      <c r="G12" s="98">
        <f>'CW losslG,losslA,intra'!BE12</f>
        <v/>
      </c>
      <c r="H12" s="97">
        <f>'CW losslG,losslA,interLD'!BB12</f>
        <v/>
      </c>
      <c r="I12" s="98">
        <f>'CW losslG,losslA,interLD'!BC12</f>
        <v/>
      </c>
      <c r="J12" s="98">
        <f>'CW losslG,losslA,interLD'!BD12</f>
        <v/>
      </c>
      <c r="K12" s="99">
        <f>'CW losslG,losslA,interLD'!BE12</f>
        <v/>
      </c>
      <c r="L12" s="81">
        <f>'C2 lossyG,lossyA,intra'!BP40</f>
        <v/>
      </c>
      <c r="M12" s="81">
        <f>'C2 lossyG,lossyA,intra'!BQ40</f>
        <v/>
      </c>
      <c r="N12" s="81">
        <f>'C2 lossyG,lossyA,intra'!BR40</f>
        <v/>
      </c>
      <c r="O12" s="81">
        <f>'C2 lossyG,lossyA,intra'!BS40</f>
        <v/>
      </c>
      <c r="P12" s="82">
        <f>'C2 lossyG,lossyA,intra'!BT40</f>
        <v/>
      </c>
      <c r="Q12" s="80">
        <f>'C2 lossyG,lossyA,interRA'!BP40</f>
        <v/>
      </c>
      <c r="R12" s="81">
        <f>'C2 lossyG,lossyA,interRA'!BQ40</f>
        <v/>
      </c>
      <c r="S12" s="81">
        <f>'C2 lossyG,lossyA,interRA'!BR40</f>
        <v/>
      </c>
      <c r="T12" s="81">
        <f>'C2 lossyG,lossyA,interRA'!BS40</f>
        <v/>
      </c>
      <c r="U12" s="82">
        <f>'C2 lossyG,lossyA,interRA'!BT40</f>
        <v/>
      </c>
    </row>
    <row r="13">
      <c r="B13" s="195" t="inlineStr">
        <is>
          <t>B avg</t>
        </is>
      </c>
      <c r="C13" s="190" t="n"/>
      <c r="D13" s="80">
        <f>'CW losslG,losslA,intra'!BB13</f>
        <v/>
      </c>
      <c r="E13" s="81">
        <f>'CW losslG,losslA,intra'!BC13</f>
        <v/>
      </c>
      <c r="F13" s="81">
        <f>'CW losslG,losslA,intra'!BD13</f>
        <v/>
      </c>
      <c r="G13" s="81">
        <f>'CW losslG,losslA,intra'!BE13</f>
        <v/>
      </c>
      <c r="H13" s="80">
        <f>'CW losslG,losslA,interLD'!BB13</f>
        <v/>
      </c>
      <c r="I13" s="81">
        <f>'CW losslG,losslA,interLD'!BC13</f>
        <v/>
      </c>
      <c r="J13" s="81">
        <f>'CW losslG,losslA,interLD'!BD13</f>
        <v/>
      </c>
      <c r="K13" s="82">
        <f>'CW losslG,losslA,interLD'!BE13</f>
        <v/>
      </c>
      <c r="L13" s="81">
        <f>'C2 lossyG,lossyA,intra'!BP41</f>
        <v/>
      </c>
      <c r="M13" s="81">
        <f>'C2 lossyG,lossyA,intra'!BQ41</f>
        <v/>
      </c>
      <c r="N13" s="81">
        <f>'C2 lossyG,lossyA,intra'!BR41</f>
        <v/>
      </c>
      <c r="O13" s="81">
        <f>'C2 lossyG,lossyA,intra'!BS41</f>
        <v/>
      </c>
      <c r="P13" s="82">
        <f>'C2 lossyG,lossyA,intra'!BT41</f>
        <v/>
      </c>
      <c r="Q13" s="80">
        <f>'C2 lossyG,lossyA,interRA'!BP41</f>
        <v/>
      </c>
      <c r="R13" s="81">
        <f>'C2 lossyG,lossyA,interRA'!BQ41</f>
        <v/>
      </c>
      <c r="S13" s="81">
        <f>'C2 lossyG,lossyA,interRA'!BR41</f>
        <v/>
      </c>
      <c r="T13" s="81">
        <f>'C2 lossyG,lossyA,interRA'!BS41</f>
        <v/>
      </c>
      <c r="U13" s="82">
        <f>'C2 lossyG,lossyA,interRA'!BT41</f>
        <v/>
      </c>
    </row>
    <row customHeight="1" ht="15" r="14" s="86" thickBot="1">
      <c r="B14" s="195" t="inlineStr">
        <is>
          <t>C avg</t>
        </is>
      </c>
      <c r="C14" s="190" t="n"/>
      <c r="D14" s="83">
        <f>'CW losslG,losslA,intra'!BB14</f>
        <v/>
      </c>
      <c r="E14" s="84">
        <f>'CW losslG,losslA,intra'!BC14</f>
        <v/>
      </c>
      <c r="F14" s="84">
        <f>'CW losslG,losslA,intra'!BD14</f>
        <v/>
      </c>
      <c r="G14" s="84">
        <f>'CW losslG,losslA,intra'!BE14</f>
        <v/>
      </c>
      <c r="H14" s="83">
        <f>'CW losslG,losslA,interLD'!BB14</f>
        <v/>
      </c>
      <c r="I14" s="84">
        <f>'CW losslG,losslA,interLD'!BC14</f>
        <v/>
      </c>
      <c r="J14" s="84">
        <f>'CW losslG,losslA,interLD'!BD14</f>
        <v/>
      </c>
      <c r="K14" s="85">
        <f>'CW losslG,losslA,interLD'!BE14</f>
        <v/>
      </c>
      <c r="L14" s="84">
        <f>'C2 lossyG,lossyA,intra'!BP42</f>
        <v/>
      </c>
      <c r="M14" s="84">
        <f>'C2 lossyG,lossyA,intra'!BQ42</f>
        <v/>
      </c>
      <c r="N14" s="84">
        <f>'C2 lossyG,lossyA,intra'!BR42</f>
        <v/>
      </c>
      <c r="O14" s="84">
        <f>'C2 lossyG,lossyA,intra'!BS42</f>
        <v/>
      </c>
      <c r="P14" s="85">
        <f>'C2 lossyG,lossyA,intra'!BT42</f>
        <v/>
      </c>
      <c r="Q14" s="83">
        <f>'C2 lossyG,lossyA,interRA'!BP42</f>
        <v/>
      </c>
      <c r="R14" s="84">
        <f>'C2 lossyG,lossyA,interRA'!BQ42</f>
        <v/>
      </c>
      <c r="S14" s="84">
        <f>'C2 lossyG,lossyA,interRA'!BR42</f>
        <v/>
      </c>
      <c r="T14" s="84">
        <f>'C2 lossyG,lossyA,interRA'!BS42</f>
        <v/>
      </c>
      <c r="U14" s="85">
        <f>'C2 lossyG,lossyA,interRA'!BT42</f>
        <v/>
      </c>
    </row>
    <row customHeight="1" ht="15" r="15" s="86" thickBot="1">
      <c r="B15" s="196" t="inlineStr">
        <is>
          <t>Overall average</t>
        </is>
      </c>
      <c r="C15" s="194" t="n"/>
      <c r="D15" s="100">
        <f>'CW losslG,losslA,intra'!BB15</f>
        <v/>
      </c>
      <c r="E15" s="101">
        <f>'CW losslG,losslA,intra'!BC15</f>
        <v/>
      </c>
      <c r="F15" s="101">
        <f>'CW losslG,losslA,intra'!BD15</f>
        <v/>
      </c>
      <c r="G15" s="101">
        <f>'CW losslG,losslA,intra'!BE15</f>
        <v/>
      </c>
      <c r="H15" s="100">
        <f>'CW losslG,losslA,interLD'!BB15</f>
        <v/>
      </c>
      <c r="I15" s="101">
        <f>'CW losslG,losslA,interLD'!BC15</f>
        <v/>
      </c>
      <c r="J15" s="101">
        <f>'CW losslG,losslA,interLD'!BD15</f>
        <v/>
      </c>
      <c r="K15" s="102">
        <f>'CW losslG,losslA,interLD'!BE15</f>
        <v/>
      </c>
      <c r="L15" s="101">
        <f>'C2 lossyG,lossyA,intra'!BP43</f>
        <v/>
      </c>
      <c r="M15" s="101">
        <f>'C2 lossyG,lossyA,intra'!BQ43</f>
        <v/>
      </c>
      <c r="N15" s="101">
        <f>'C2 lossyG,lossyA,intra'!BR43</f>
        <v/>
      </c>
      <c r="O15" s="101">
        <f>'C2 lossyG,lossyA,intra'!BS43</f>
        <v/>
      </c>
      <c r="P15" s="101">
        <f>'C2 lossyG,lossyA,intra'!BT43</f>
        <v/>
      </c>
      <c r="Q15" s="100">
        <f>'C2 lossyG,lossyA,interRA'!BP43</f>
        <v/>
      </c>
      <c r="R15" s="101">
        <f>'C2 lossyG,lossyA,interRA'!BQ43</f>
        <v/>
      </c>
      <c r="S15" s="101">
        <f>'C2 lossyG,lossyA,interRA'!BR43</f>
        <v/>
      </c>
      <c r="T15" s="101">
        <f>'C2 lossyG,lossyA,interRA'!BS43</f>
        <v/>
      </c>
      <c r="U15" s="102">
        <f>'C2 lossyG,lossyA,interRA'!BT43</f>
        <v/>
      </c>
    </row>
    <row customHeight="1" ht="15" r="16" s="86" thickBot="1"/>
    <row r="17">
      <c r="C17" s="115" t="inlineStr">
        <is>
          <t>Cond.</t>
        </is>
      </c>
      <c r="D17" s="187" t="inlineStr">
        <is>
          <t>Encoder runtime [%]</t>
        </is>
      </c>
      <c r="E17" s="188" t="n"/>
      <c r="F17" s="207" t="inlineStr">
        <is>
          <t>Decoder runtime [%]</t>
        </is>
      </c>
      <c r="G17" s="208" t="n"/>
    </row>
    <row customHeight="1" ht="15" r="18" s="86" thickBot="1">
      <c r="C18" s="116" t="n"/>
      <c r="D18" s="120" t="inlineStr">
        <is>
          <t>Self</t>
        </is>
      </c>
      <c r="E18" s="103" t="inlineStr">
        <is>
          <t>Child</t>
        </is>
      </c>
      <c r="F18" s="163" t="inlineStr">
        <is>
          <t>Self</t>
        </is>
      </c>
      <c r="G18" s="103" t="inlineStr">
        <is>
          <t>Child</t>
        </is>
      </c>
    </row>
    <row r="19">
      <c r="C19" s="111" t="inlineStr">
        <is>
          <t>CWAI</t>
        </is>
      </c>
      <c r="D19" s="121">
        <f>'CW losslG,losslA,intra'!AW19</f>
        <v/>
      </c>
      <c r="E19" s="112">
        <f>'CW losslG,losslA,intra'!AX19</f>
        <v/>
      </c>
      <c r="F19" s="118">
        <f>'CW losslG,losslA,intra'!AY19</f>
        <v/>
      </c>
      <c r="G19" s="112">
        <f>'CW losslG,losslA,intra'!AZ19</f>
        <v/>
      </c>
    </row>
    <row r="20">
      <c r="C20" s="104" t="inlineStr">
        <is>
          <t>CWLD</t>
        </is>
      </c>
      <c r="D20" s="122">
        <f>'CW losslG,losslA,interLD'!AW19</f>
        <v/>
      </c>
      <c r="E20" s="105">
        <f>'CW losslG,losslA,interLD'!AX19</f>
        <v/>
      </c>
      <c r="F20" s="159">
        <f>'CW losslG,losslA,interLD'!AY19</f>
        <v/>
      </c>
      <c r="G20" s="105">
        <f>'CW losslG,losslA,interLD'!AZ19</f>
        <v/>
      </c>
    </row>
    <row r="21">
      <c r="C21" s="106" t="inlineStr">
        <is>
          <t>C2AI</t>
        </is>
      </c>
      <c r="D21" s="123">
        <f>'C2 lossyG,lossyA,intra'!AZ47</f>
        <v/>
      </c>
      <c r="E21" s="107">
        <f>'C2 lossyG,lossyA,intra'!BA47</f>
        <v/>
      </c>
      <c r="F21" s="160">
        <f>'C2 lossyG,lossyA,intra'!BB47</f>
        <v/>
      </c>
      <c r="G21" s="107">
        <f>'C2 lossyG,lossyA,intra'!BC47</f>
        <v/>
      </c>
    </row>
    <row customHeight="1" ht="15" r="22" s="86" thickBot="1">
      <c r="C22" s="113" t="inlineStr">
        <is>
          <t>C2RA</t>
        </is>
      </c>
      <c r="D22" s="124">
        <f>'C2 lossyG,lossyA,interRA'!AZ47</f>
        <v/>
      </c>
      <c r="E22" s="114">
        <f>'C2 lossyG,lossyA,interRA'!BA47</f>
        <v/>
      </c>
      <c r="F22" s="119">
        <f>'C2 lossyG,lossyA,interRA'!BB47</f>
        <v/>
      </c>
      <c r="G22" s="114">
        <f>'C2 lossyG,lossyA,interRA'!BC47</f>
        <v/>
      </c>
    </row>
    <row customHeight="1" ht="15" r="23" s="86" thickBot="1">
      <c r="C23" s="183" t="inlineStr">
        <is>
          <t>Avg.</t>
        </is>
      </c>
      <c r="D23" s="125">
        <f>AVERAGE(D19:D22)</f>
        <v/>
      </c>
      <c r="E23" s="110">
        <f>AVERAGE(E19:E22)</f>
        <v/>
      </c>
      <c r="F23" s="109">
        <f>AVERAGE(F19:F22)</f>
        <v/>
      </c>
      <c r="G23" s="110">
        <f>AVERAGE(G19:G22)</f>
        <v/>
      </c>
    </row>
    <row customHeight="1" ht="15" r="24" s="86" thickBot="1"/>
    <row r="25">
      <c r="C25" s="115" t="inlineStr">
        <is>
          <t>Cond.</t>
        </is>
      </c>
      <c r="D25" s="187" t="inlineStr">
        <is>
          <t>Encoder Memory (Go)</t>
        </is>
      </c>
      <c r="E25" s="188" t="n"/>
      <c r="F25" s="187" t="inlineStr">
        <is>
          <t>Decoder Memory (Go)</t>
        </is>
      </c>
      <c r="G25" s="188" t="n"/>
    </row>
    <row customHeight="1" ht="15" r="26" s="86" thickBot="1">
      <c r="C26" s="116" t="n"/>
      <c r="D26" s="120" t="inlineStr">
        <is>
          <t>Anchor</t>
        </is>
      </c>
      <c r="E26" s="103" t="inlineStr">
        <is>
          <t>Tested</t>
        </is>
      </c>
      <c r="F26" s="120" t="inlineStr">
        <is>
          <t>Anchor</t>
        </is>
      </c>
      <c r="G26" s="103" t="inlineStr">
        <is>
          <t>Tested</t>
        </is>
      </c>
    </row>
    <row r="27">
      <c r="C27" s="111" t="inlineStr">
        <is>
          <t>CWAI</t>
        </is>
      </c>
      <c r="D27" s="126">
        <f>D46</f>
        <v/>
      </c>
      <c r="E27" s="127">
        <f>E46</f>
        <v/>
      </c>
      <c r="F27" s="128">
        <f>F46</f>
        <v/>
      </c>
      <c r="G27" s="127">
        <f>G46</f>
        <v/>
      </c>
    </row>
    <row r="28">
      <c r="C28" s="104" t="inlineStr">
        <is>
          <t>CWLD</t>
        </is>
      </c>
      <c r="D28" s="129">
        <f>H46</f>
        <v/>
      </c>
      <c r="E28" s="130">
        <f>I46</f>
        <v/>
      </c>
      <c r="F28" s="158">
        <f>J46</f>
        <v/>
      </c>
      <c r="G28" s="130">
        <f>K46</f>
        <v/>
      </c>
    </row>
    <row r="29">
      <c r="C29" s="106" t="inlineStr">
        <is>
          <t>C2AI</t>
        </is>
      </c>
      <c r="D29" s="132">
        <f>L46</f>
        <v/>
      </c>
      <c r="E29" s="133">
        <f>M46</f>
        <v/>
      </c>
      <c r="F29" s="157">
        <f>N46</f>
        <v/>
      </c>
      <c r="G29" s="133">
        <f>O46</f>
        <v/>
      </c>
    </row>
    <row customHeight="1" ht="15" r="30" s="86" thickBot="1">
      <c r="C30" s="113" t="inlineStr">
        <is>
          <t>C2RA</t>
        </is>
      </c>
      <c r="D30" s="134">
        <f>P46</f>
        <v/>
      </c>
      <c r="E30" s="135">
        <f>Q46</f>
        <v/>
      </c>
      <c r="F30" s="136">
        <f>R46</f>
        <v/>
      </c>
      <c r="G30" s="135">
        <f>S46</f>
        <v/>
      </c>
    </row>
    <row customHeight="1" ht="15" r="31" s="86" thickBot="1">
      <c r="C31" s="183" t="inlineStr">
        <is>
          <t>Avg.</t>
        </is>
      </c>
      <c r="D31" s="137">
        <f>AVERAGE(D27:D30)</f>
        <v/>
      </c>
      <c r="E31" s="138">
        <f>AVERAGE(E27:E30)</f>
        <v/>
      </c>
      <c r="F31" s="139">
        <f>AVERAGE(F27:F30)</f>
        <v/>
      </c>
      <c r="G31" s="138">
        <f>AVERAGE(G27:G30)</f>
        <v/>
      </c>
    </row>
    <row customHeight="1" ht="15" r="32" s="86" thickBot="1"/>
    <row customHeight="1" ht="15" r="33" s="86" thickBot="1">
      <c r="D33" s="193" t="inlineStr">
        <is>
          <t>CWAI</t>
        </is>
      </c>
      <c r="E33" s="205" t="n"/>
      <c r="F33" s="205" t="n"/>
      <c r="G33" s="194" t="n"/>
      <c r="H33" s="193" t="inlineStr">
        <is>
          <t>CWLD</t>
        </is>
      </c>
      <c r="I33" s="205" t="n"/>
      <c r="J33" s="205" t="n"/>
      <c r="K33" s="194" t="n"/>
      <c r="L33" s="193" t="inlineStr">
        <is>
          <t>C2AI</t>
        </is>
      </c>
      <c r="M33" s="205" t="n"/>
      <c r="N33" s="205" t="n"/>
      <c r="O33" s="194" t="n"/>
      <c r="P33" s="198" t="inlineStr">
        <is>
          <t>C2RA</t>
        </is>
      </c>
      <c r="Q33" s="205" t="n"/>
      <c r="R33" s="205" t="n"/>
      <c r="S33" s="205" t="n"/>
    </row>
    <row customHeight="1" ht="15" r="34" s="86" thickBot="1">
      <c r="B34" s="182" t="inlineStr">
        <is>
          <t>Class</t>
        </is>
      </c>
      <c r="C34" s="184" t="inlineStr">
        <is>
          <t>Seq.</t>
        </is>
      </c>
      <c r="D34" s="187" t="inlineStr">
        <is>
          <t>Memory Enc (Go)</t>
        </is>
      </c>
      <c r="E34" s="188" t="n"/>
      <c r="F34" s="187" t="inlineStr">
        <is>
          <t>Memory Dec (Go)</t>
        </is>
      </c>
      <c r="G34" s="188" t="n"/>
      <c r="H34" s="187" t="inlineStr">
        <is>
          <t>Memory Enc (Go)</t>
        </is>
      </c>
      <c r="I34" s="188" t="n"/>
      <c r="J34" s="187" t="inlineStr">
        <is>
          <t>Memory Dec (Go)</t>
        </is>
      </c>
      <c r="K34" s="188" t="n"/>
      <c r="L34" s="187" t="inlineStr">
        <is>
          <t>Memory Enc (Go)</t>
        </is>
      </c>
      <c r="M34" s="188" t="n"/>
      <c r="N34" s="187" t="inlineStr">
        <is>
          <t>Memory Dec (Go)</t>
        </is>
      </c>
      <c r="O34" s="188" t="n"/>
      <c r="P34" s="187" t="inlineStr">
        <is>
          <t>Memory Enc (Go)</t>
        </is>
      </c>
      <c r="Q34" s="188" t="n"/>
      <c r="R34" s="187" t="inlineStr">
        <is>
          <t>Memory Dec (Go)</t>
        </is>
      </c>
      <c r="S34" s="188" t="n"/>
    </row>
    <row customHeight="1" ht="15" r="35" s="86" thickBot="1">
      <c r="B35" s="183" t="n"/>
      <c r="C35" s="181" t="n"/>
      <c r="D35" s="120" t="inlineStr">
        <is>
          <t>Anchor</t>
        </is>
      </c>
      <c r="E35" s="163" t="inlineStr">
        <is>
          <t>Tested</t>
        </is>
      </c>
      <c r="F35" s="120" t="inlineStr">
        <is>
          <t>Anchor</t>
        </is>
      </c>
      <c r="G35" s="103" t="inlineStr">
        <is>
          <t>Tested</t>
        </is>
      </c>
      <c r="H35" s="140" t="inlineStr">
        <is>
          <t>Anchor</t>
        </is>
      </c>
      <c r="I35" s="163" t="inlineStr">
        <is>
          <t>Tested</t>
        </is>
      </c>
      <c r="J35" s="120" t="inlineStr">
        <is>
          <t>Anchor</t>
        </is>
      </c>
      <c r="K35" s="103" t="inlineStr">
        <is>
          <t>Tested</t>
        </is>
      </c>
      <c r="L35" s="140" t="inlineStr">
        <is>
          <t>Anchor</t>
        </is>
      </c>
      <c r="M35" s="163" t="inlineStr">
        <is>
          <t>Tested</t>
        </is>
      </c>
      <c r="N35" s="120" t="inlineStr">
        <is>
          <t>Anchor</t>
        </is>
      </c>
      <c r="O35" s="103" t="inlineStr">
        <is>
          <t>Tested</t>
        </is>
      </c>
      <c r="P35" s="140" t="inlineStr">
        <is>
          <t>Anchor</t>
        </is>
      </c>
      <c r="Q35" s="163" t="inlineStr">
        <is>
          <t>Tested</t>
        </is>
      </c>
      <c r="R35" s="155" t="inlineStr">
        <is>
          <t>Anchor</t>
        </is>
      </c>
      <c r="S35" s="156" t="inlineStr">
        <is>
          <t>Tested</t>
        </is>
      </c>
    </row>
    <row r="36">
      <c r="B36" s="62" t="inlineStr">
        <is>
          <t>A</t>
        </is>
      </c>
      <c r="C36" s="141" t="inlineStr">
        <is>
          <t>Loot</t>
        </is>
      </c>
      <c r="D36" s="126" t="n">
        <v>4.135429382324219</v>
      </c>
      <c r="E36" s="128" t="n">
        <v>4.129997253417969</v>
      </c>
      <c r="F36" s="126" t="n">
        <v>2.497013092041016</v>
      </c>
      <c r="G36" s="127" t="n">
        <v>2.588470458984375</v>
      </c>
      <c r="H36" s="128" t="n">
        <v>4.143505096435547</v>
      </c>
      <c r="I36" s="128" t="n">
        <v>4.146003723144531</v>
      </c>
      <c r="J36" s="126" t="n">
        <v>2.49749755859375</v>
      </c>
      <c r="K36" s="127" t="n">
        <v>2.585391998291016</v>
      </c>
      <c r="L36" s="128" t="n">
        <v>3.811711120605469</v>
      </c>
      <c r="M36" s="128" t="n">
        <v>3.948310852050781</v>
      </c>
      <c r="N36" s="126" t="n">
        <v>2.431140899658203</v>
      </c>
      <c r="O36" s="127" t="n">
        <v>2.845530700683594</v>
      </c>
      <c r="P36" s="128" t="n">
        <v>3.737009429931641</v>
      </c>
      <c r="Q36" s="128" t="n">
        <v>3.859674072265625</v>
      </c>
      <c r="R36" s="126" t="n">
        <v>2.430880737304688</v>
      </c>
      <c r="S36" s="127" t="n">
        <v>2.854109954833985</v>
      </c>
    </row>
    <row r="37">
      <c r="B37" s="66" t="n"/>
      <c r="C37" s="25" t="inlineStr">
        <is>
          <t>R&amp;B</t>
        </is>
      </c>
      <c r="D37" s="129" t="n">
        <v>4.056510925292969</v>
      </c>
      <c r="E37" s="158" t="n">
        <v>4.067520141601562</v>
      </c>
      <c r="F37" s="129" t="n">
        <v>2.5185546875</v>
      </c>
      <c r="G37" s="130" t="n">
        <v>2.59381103515625</v>
      </c>
      <c r="H37" s="158" t="n">
        <v>4.082984924316406</v>
      </c>
      <c r="I37" s="158" t="n">
        <v>4.090415954589844</v>
      </c>
      <c r="J37" s="129" t="n">
        <v>2.515293121337891</v>
      </c>
      <c r="K37" s="130" t="n">
        <v>2.609645843505859</v>
      </c>
      <c r="L37" s="158" t="n">
        <v>3.772358703613281</v>
      </c>
      <c r="M37" s="158" t="n">
        <v>3.905254364013672</v>
      </c>
      <c r="N37" s="129" t="n">
        <v>2.482096099853516</v>
      </c>
      <c r="O37" s="130" t="n">
        <v>2.859321594238281</v>
      </c>
      <c r="P37" s="158" t="n">
        <v>3.732571411132812</v>
      </c>
      <c r="Q37" s="158" t="n">
        <v>3.864674377441406</v>
      </c>
      <c r="R37" s="129" t="n">
        <v>2.522120666503906</v>
      </c>
      <c r="S37" s="130" t="n">
        <v>2.919776153564453</v>
      </c>
    </row>
    <row r="38">
      <c r="B38" s="70" t="n"/>
      <c r="C38" s="142" t="inlineStr">
        <is>
          <t>Soldier</t>
        </is>
      </c>
      <c r="D38" s="143" t="n">
        <v>6.014411926269531</v>
      </c>
      <c r="E38" s="164" t="n">
        <v>6.044666290283203</v>
      </c>
      <c r="F38" s="143" t="n">
        <v>3.734672546386719</v>
      </c>
      <c r="G38" s="145" t="n">
        <v>3.861385345458984</v>
      </c>
      <c r="H38" s="164" t="n">
        <v>6.147914886474609</v>
      </c>
      <c r="I38" s="164" t="n">
        <v>6.197349548339844</v>
      </c>
      <c r="J38" s="143" t="n">
        <v>3.839321136474609</v>
      </c>
      <c r="K38" s="145" t="n">
        <v>3.967899322509766</v>
      </c>
      <c r="L38" s="164" t="n">
        <v>4.817606353759766</v>
      </c>
      <c r="M38" s="164" t="n">
        <v>4.923558044433594</v>
      </c>
      <c r="N38" s="143" t="n">
        <v>2.772116851806641</v>
      </c>
      <c r="O38" s="145" t="n">
        <v>3.348320007324219</v>
      </c>
      <c r="P38" s="164" t="n">
        <v>4.983362579345703</v>
      </c>
      <c r="Q38" s="164" t="n">
        <v>5.100437927246094</v>
      </c>
      <c r="R38" s="143" t="n">
        <v>3.032666778564453</v>
      </c>
      <c r="S38" s="145" t="n">
        <v>3.621843719482422</v>
      </c>
    </row>
    <row customHeight="1" ht="15" r="39" s="86" thickBot="1">
      <c r="B39" s="74" t="n"/>
      <c r="C39" s="45" t="inlineStr">
        <is>
          <t>Queen</t>
        </is>
      </c>
      <c r="D39" s="129" t="n">
        <v>4.812202453613281</v>
      </c>
      <c r="E39" s="158" t="n">
        <v>4.814998626708984</v>
      </c>
      <c r="F39" s="129" t="n">
        <v>2.693637847900391</v>
      </c>
      <c r="G39" s="130" t="n">
        <v>2.817481994628906</v>
      </c>
      <c r="H39" s="158" t="n">
        <v>4.814605712890625</v>
      </c>
      <c r="I39" s="158" t="n">
        <v>4.824409484863281</v>
      </c>
      <c r="J39" s="129" t="n">
        <v>2.688129425048828</v>
      </c>
      <c r="K39" s="130" t="n">
        <v>2.804599761962891</v>
      </c>
      <c r="L39" s="158" t="n">
        <v>5.035927581787109</v>
      </c>
      <c r="M39" s="158" t="n">
        <v>5.123255920410156</v>
      </c>
      <c r="N39" s="129" t="n">
        <v>2.485506439208984</v>
      </c>
      <c r="O39" s="130" t="n">
        <v>3.037120819091797</v>
      </c>
      <c r="P39" s="158" t="n">
        <v>4.537014007568359</v>
      </c>
      <c r="Q39" s="158" t="n">
        <v>4.655026245117187</v>
      </c>
      <c r="R39" s="129" t="n">
        <v>2.483235168457031</v>
      </c>
      <c r="S39" s="130" t="n">
        <v>3.035618591308594</v>
      </c>
    </row>
    <row customHeight="1" ht="15" r="40" s="86" thickBot="1">
      <c r="B40" s="70" t="inlineStr">
        <is>
          <t>B</t>
        </is>
      </c>
      <c r="C40" s="142" t="inlineStr">
        <is>
          <t>Long.</t>
        </is>
      </c>
      <c r="D40" s="146" t="n">
        <v>4.381877899169922</v>
      </c>
      <c r="E40" s="147" t="n">
        <v>4.424694061279297</v>
      </c>
      <c r="F40" s="146" t="n">
        <v>2.662277221679688</v>
      </c>
      <c r="G40" s="148" t="n">
        <v>2.7637939453125</v>
      </c>
      <c r="H40" s="147" t="n">
        <v>4.523044586181641</v>
      </c>
      <c r="I40" s="147" t="n">
        <v>4.551826477050781</v>
      </c>
      <c r="J40" s="146" t="n">
        <v>2.770549774169922</v>
      </c>
      <c r="K40" s="148" t="n">
        <v>2.879623413085938</v>
      </c>
      <c r="L40" s="147" t="n">
        <v>3.906845092773438</v>
      </c>
      <c r="M40" s="147" t="n">
        <v>3.9759765625</v>
      </c>
      <c r="N40" s="146" t="n">
        <v>2.394549560546875</v>
      </c>
      <c r="O40" s="148" t="n">
        <v>2.814173889160156</v>
      </c>
      <c r="P40" s="147" t="n">
        <v>3.935372161865234</v>
      </c>
      <c r="Q40" s="147" t="n">
        <v>4.038068389892578</v>
      </c>
      <c r="R40" s="146" t="n">
        <v>2.542967224121094</v>
      </c>
      <c r="S40" s="148" t="n">
        <v>2.974028778076172</v>
      </c>
    </row>
    <row r="41">
      <c r="B41" s="161" t="inlineStr">
        <is>
          <t xml:space="preserve">C </t>
        </is>
      </c>
      <c r="C41" s="162" t="inlineStr">
        <is>
          <t>Basket</t>
        </is>
      </c>
      <c r="D41" s="129" t="n">
        <v>15.06769943237305</v>
      </c>
      <c r="E41" s="158" t="n">
        <v>15.13494110107422</v>
      </c>
      <c r="F41" s="129" t="n">
        <v>8.609611511230469</v>
      </c>
      <c r="G41" s="130" t="n">
        <v>9.042350769042969</v>
      </c>
      <c r="H41" s="158" t="n">
        <v>16.43810272216797</v>
      </c>
      <c r="I41" s="158" t="n">
        <v>16.48791122436523</v>
      </c>
      <c r="J41" s="129" t="n">
        <v>9.963199615478516</v>
      </c>
      <c r="K41" s="130" t="n">
        <v>10.32682418823242</v>
      </c>
      <c r="L41" s="158" t="n">
        <v>14.1095329284668</v>
      </c>
      <c r="M41" s="158" t="n">
        <v>14.53153610229492</v>
      </c>
      <c r="N41" s="129" t="n">
        <v>8.529650878906249</v>
      </c>
      <c r="O41" s="130" t="n">
        <v>10.16042633056641</v>
      </c>
      <c r="P41" s="158" t="n">
        <v>16.77602233886719</v>
      </c>
      <c r="Q41" s="158" t="n">
        <v>17.16578369140625</v>
      </c>
      <c r="R41" s="129" t="n">
        <v>11.13430328369141</v>
      </c>
      <c r="S41" s="130" t="n">
        <v>12.78644485473633</v>
      </c>
    </row>
    <row customHeight="1" ht="15" r="42" s="86" thickBot="1">
      <c r="B42" s="77" t="n"/>
      <c r="C42" s="94" t="inlineStr">
        <is>
          <t>Dancer</t>
        </is>
      </c>
      <c r="D42" s="143" t="n">
        <v>17.18901062011719</v>
      </c>
      <c r="E42" s="164" t="n">
        <v>17.19125747680664</v>
      </c>
      <c r="F42" s="143" t="n">
        <v>10.91498947143555</v>
      </c>
      <c r="G42" s="145" t="n">
        <v>11.24116516113281</v>
      </c>
      <c r="H42" s="164" t="n">
        <v>17.40570068359375</v>
      </c>
      <c r="I42" s="164" t="n">
        <v>17.4079475402832</v>
      </c>
      <c r="J42" s="143" t="n">
        <v>10.76333618164062</v>
      </c>
      <c r="K42" s="145" t="n">
        <v>11.11940765380859</v>
      </c>
      <c r="L42" s="164" t="n">
        <v>15.81506500244141</v>
      </c>
      <c r="M42" s="164" t="n">
        <v>16.53789978027344</v>
      </c>
      <c r="N42" s="143" t="n">
        <v>10.67323760986328</v>
      </c>
      <c r="O42" s="145" t="n">
        <v>12.10987777709961</v>
      </c>
      <c r="P42" s="164" t="n">
        <v>17.09548721313477</v>
      </c>
      <c r="Q42" s="164" t="n">
        <v>17.81515121459961</v>
      </c>
      <c r="R42" s="143" t="n">
        <v>11.66627655029297</v>
      </c>
      <c r="S42" s="145" t="n">
        <v>13.14265365600586</v>
      </c>
    </row>
    <row customHeight="1" ht="14.4" r="43" s="86">
      <c r="B43" s="66" t="inlineStr">
        <is>
          <t>A avg</t>
        </is>
      </c>
      <c r="C43" s="91" t="n"/>
      <c r="D43" s="149">
        <f>AVERAGE(D36:D39)</f>
        <v/>
      </c>
      <c r="E43" s="150">
        <f>AVERAGE(E36:E39)</f>
        <v/>
      </c>
      <c r="F43" s="151">
        <f>AVERAGE(F36:F39)</f>
        <v/>
      </c>
      <c r="G43" s="150">
        <f>AVERAGE(G36:G39)</f>
        <v/>
      </c>
      <c r="H43" s="151">
        <f>AVERAGE(H36:H39)</f>
        <v/>
      </c>
      <c r="I43" s="151">
        <f>AVERAGE(I36:I39)</f>
        <v/>
      </c>
      <c r="J43" s="149">
        <f>AVERAGE(J36:J39)</f>
        <v/>
      </c>
      <c r="K43" s="150">
        <f>AVERAGE(K36:K39)</f>
        <v/>
      </c>
      <c r="L43" s="151">
        <f>AVERAGE(L36:L39)</f>
        <v/>
      </c>
      <c r="M43" s="151">
        <f>AVERAGE(M36:M39)</f>
        <v/>
      </c>
      <c r="N43" s="149">
        <f>AVERAGE(N36:N39)</f>
        <v/>
      </c>
      <c r="O43" s="150">
        <f>AVERAGE(O36:O39)</f>
        <v/>
      </c>
      <c r="P43" s="151">
        <f>AVERAGE(P36:P39)</f>
        <v/>
      </c>
      <c r="Q43" s="151">
        <f>AVERAGE(Q36:Q39)</f>
        <v/>
      </c>
      <c r="R43" s="149">
        <f>AVERAGE(R36:R39)</f>
        <v/>
      </c>
      <c r="S43" s="150">
        <f>AVERAGE(S36:S39)</f>
        <v/>
      </c>
    </row>
    <row customHeight="1" ht="14.4" r="44" s="86">
      <c r="B44" s="209" t="inlineStr">
        <is>
          <t>B avg</t>
        </is>
      </c>
      <c r="C44" s="190" t="n"/>
      <c r="D44" s="132">
        <f>AVERAGE(D40)</f>
        <v/>
      </c>
      <c r="E44" s="133">
        <f>AVERAGE(E40)</f>
        <v/>
      </c>
      <c r="F44" s="157">
        <f>AVERAGE(F40)</f>
        <v/>
      </c>
      <c r="G44" s="133">
        <f>AVERAGE(G40)</f>
        <v/>
      </c>
      <c r="H44" s="157">
        <f>AVERAGE(H40)</f>
        <v/>
      </c>
      <c r="I44" s="157">
        <f>AVERAGE(I40)</f>
        <v/>
      </c>
      <c r="J44" s="132">
        <f>AVERAGE(J40)</f>
        <v/>
      </c>
      <c r="K44" s="133">
        <f>AVERAGE(K40)</f>
        <v/>
      </c>
      <c r="L44" s="157">
        <f>AVERAGE(L40)</f>
        <v/>
      </c>
      <c r="M44" s="157">
        <f>AVERAGE(M40)</f>
        <v/>
      </c>
      <c r="N44" s="132">
        <f>AVERAGE(N40)</f>
        <v/>
      </c>
      <c r="O44" s="133">
        <f>AVERAGE(O40)</f>
        <v/>
      </c>
      <c r="P44" s="157">
        <f>AVERAGE(P40)</f>
        <v/>
      </c>
      <c r="Q44" s="157">
        <f>AVERAGE(Q40)</f>
        <v/>
      </c>
      <c r="R44" s="132">
        <f>AVERAGE(R40)</f>
        <v/>
      </c>
      <c r="S44" s="133">
        <f>AVERAGE(S40)</f>
        <v/>
      </c>
    </row>
    <row customHeight="1" ht="15" r="45" s="86" thickBot="1">
      <c r="B45" s="74" t="inlineStr">
        <is>
          <t>C avg</t>
        </is>
      </c>
      <c r="C45" s="93" t="n"/>
      <c r="D45" s="134">
        <f>AVERAGE(D41:D42)</f>
        <v/>
      </c>
      <c r="E45" s="135">
        <f>AVERAGE(E41:E42)</f>
        <v/>
      </c>
      <c r="F45" s="136">
        <f>AVERAGE(F41:F42)</f>
        <v/>
      </c>
      <c r="G45" s="135">
        <f>AVERAGE(G41:G42)</f>
        <v/>
      </c>
      <c r="H45" s="136">
        <f>AVERAGE(H41:H42)</f>
        <v/>
      </c>
      <c r="I45" s="136">
        <f>AVERAGE(I41:I42)</f>
        <v/>
      </c>
      <c r="J45" s="134">
        <f>AVERAGE(J41:J42)</f>
        <v/>
      </c>
      <c r="K45" s="135">
        <f>AVERAGE(K41:K42)</f>
        <v/>
      </c>
      <c r="L45" s="136">
        <f>AVERAGE(L41:L42)</f>
        <v/>
      </c>
      <c r="M45" s="136">
        <f>AVERAGE(M41:M42)</f>
        <v/>
      </c>
      <c r="N45" s="134">
        <f>AVERAGE(N41:N42)</f>
        <v/>
      </c>
      <c r="O45" s="135">
        <f>AVERAGE(O41:O42)</f>
        <v/>
      </c>
      <c r="P45" s="136">
        <f>AVERAGE(P41:P42)</f>
        <v/>
      </c>
      <c r="Q45" s="136">
        <f>AVERAGE(Q41:Q42)</f>
        <v/>
      </c>
      <c r="R45" s="134">
        <f>AVERAGE(R41:R42)</f>
        <v/>
      </c>
      <c r="S45" s="135">
        <f>AVERAGE(S41:S42)</f>
        <v/>
      </c>
    </row>
    <row customHeight="1" ht="15" r="46" s="86" thickBot="1">
      <c r="B46" s="180" t="inlineStr">
        <is>
          <t>Overall average</t>
        </is>
      </c>
      <c r="C46" s="181" t="n"/>
      <c r="D46" s="152">
        <f>AVERAGE(D36:D42)</f>
        <v/>
      </c>
      <c r="E46" s="153">
        <f>AVERAGE(E36:E42)</f>
        <v/>
      </c>
      <c r="F46" s="154">
        <f>AVERAGE(F36:F42)</f>
        <v/>
      </c>
      <c r="G46" s="153">
        <f>AVERAGE(G36:G42)</f>
        <v/>
      </c>
      <c r="H46" s="154">
        <f>AVERAGE(H36:H42)</f>
        <v/>
      </c>
      <c r="I46" s="154">
        <f>AVERAGE(I36:I42)</f>
        <v/>
      </c>
      <c r="J46" s="152">
        <f>AVERAGE(J36:J42)</f>
        <v/>
      </c>
      <c r="K46" s="153">
        <f>AVERAGE(K36:K42)</f>
        <v/>
      </c>
      <c r="L46" s="154">
        <f>AVERAGE(L36:L42)</f>
        <v/>
      </c>
      <c r="M46" s="154">
        <f>AVERAGE(M36:M42)</f>
        <v/>
      </c>
      <c r="N46" s="152">
        <f>AVERAGE(N36:N42)</f>
        <v/>
      </c>
      <c r="O46" s="153">
        <f>AVERAGE(O36:O42)</f>
        <v/>
      </c>
      <c r="P46" s="154">
        <f>AVERAGE(P36:P42)</f>
        <v/>
      </c>
      <c r="Q46" s="154">
        <f>AVERAGE(Q36:Q42)</f>
        <v/>
      </c>
      <c r="R46" s="152">
        <f>AVERAGE(R36:R42)</f>
        <v/>
      </c>
      <c r="S46" s="153">
        <f>AVERAGE(S36:S42)</f>
        <v/>
      </c>
    </row>
    <row customHeight="1" ht="15" r="47" s="86" thickBot="1"/>
    <row customHeight="1" ht="15" r="48" s="86" thickBot="1">
      <c r="B48" s="182" t="inlineStr">
        <is>
          <t>Class</t>
        </is>
      </c>
      <c r="C48" s="184" t="inlineStr">
        <is>
          <t>Seq.</t>
        </is>
      </c>
      <c r="D48" s="187" t="inlineStr">
        <is>
          <t>Memory Enc (Go)</t>
        </is>
      </c>
      <c r="E48" s="188" t="n"/>
      <c r="F48" s="187" t="inlineStr">
        <is>
          <t>Memory Dec (Go)</t>
        </is>
      </c>
      <c r="G48" s="188" t="n"/>
    </row>
    <row customHeight="1" ht="15" r="49" s="86" thickBot="1">
      <c r="B49" s="183" t="n"/>
      <c r="C49" s="181" t="n"/>
      <c r="D49" s="120" t="inlineStr">
        <is>
          <t>Anchor</t>
        </is>
      </c>
      <c r="E49" s="163" t="inlineStr">
        <is>
          <t>Tested</t>
        </is>
      </c>
      <c r="F49" s="120" t="inlineStr">
        <is>
          <t>Anchor</t>
        </is>
      </c>
      <c r="G49" s="103" t="inlineStr">
        <is>
          <t>Tested</t>
        </is>
      </c>
    </row>
    <row r="50">
      <c r="B50" s="62" t="inlineStr">
        <is>
          <t>A</t>
        </is>
      </c>
      <c r="C50" s="141" t="inlineStr">
        <is>
          <t>Loot</t>
        </is>
      </c>
      <c r="D50" s="126" t="n">
        <v>3.956913757324219</v>
      </c>
      <c r="E50" s="128" t="n">
        <v>4.020996475219727</v>
      </c>
      <c r="F50" s="126" t="n">
        <v>2.464133071899414</v>
      </c>
      <c r="G50" s="127" t="n">
        <v>2.718375778198242</v>
      </c>
    </row>
    <row r="51">
      <c r="B51" s="66" t="n"/>
      <c r="C51" s="25" t="inlineStr">
        <is>
          <t>R&amp;B</t>
        </is>
      </c>
      <c r="D51" s="129" t="n">
        <v>3.911106491088868</v>
      </c>
      <c r="E51" s="158" t="n">
        <v>3.981966209411621</v>
      </c>
      <c r="F51" s="129" t="n">
        <v>2.509516143798828</v>
      </c>
      <c r="G51" s="130" t="n">
        <v>2.745638656616211</v>
      </c>
    </row>
    <row r="52">
      <c r="B52" s="70" t="n"/>
      <c r="C52" s="142" t="inlineStr">
        <is>
          <t>Soldier</t>
        </is>
      </c>
      <c r="D52" s="143" t="n">
        <v>5.490823936462402</v>
      </c>
      <c r="E52" s="164" t="n">
        <v>5.566502952575684</v>
      </c>
      <c r="F52" s="143" t="n">
        <v>3.344694328308105</v>
      </c>
      <c r="G52" s="145" t="n">
        <v>3.699862098693848</v>
      </c>
    </row>
    <row customHeight="1" ht="15" r="53" s="86" thickBot="1">
      <c r="B53" s="74" t="n"/>
      <c r="C53" s="45" t="inlineStr">
        <is>
          <t>Queen</t>
        </is>
      </c>
      <c r="D53" s="129" t="n">
        <v>4.799937438964844</v>
      </c>
      <c r="E53" s="158" t="n">
        <v>4.854422569274902</v>
      </c>
      <c r="F53" s="129" t="n">
        <v>2.587627220153808</v>
      </c>
      <c r="G53" s="130" t="n">
        <v>2.923705291748047</v>
      </c>
    </row>
    <row customHeight="1" ht="15" r="54" s="86" thickBot="1">
      <c r="B54" s="70" t="inlineStr">
        <is>
          <t>B</t>
        </is>
      </c>
      <c r="C54" s="142" t="inlineStr">
        <is>
          <t>Long.</t>
        </is>
      </c>
      <c r="D54" s="146" t="n">
        <v>4.186784934997559</v>
      </c>
      <c r="E54" s="147" t="n">
        <v>4.247641372680664</v>
      </c>
      <c r="F54" s="146" t="n">
        <v>2.592585945129394</v>
      </c>
      <c r="G54" s="148" t="n">
        <v>2.857905006408691</v>
      </c>
    </row>
    <row r="55">
      <c r="B55" s="161" t="inlineStr">
        <is>
          <t xml:space="preserve">C </t>
        </is>
      </c>
      <c r="C55" s="162" t="inlineStr">
        <is>
          <t>Basket</t>
        </is>
      </c>
      <c r="D55" s="129" t="n">
        <v>15.59783935546875</v>
      </c>
      <c r="E55" s="158" t="n">
        <v>15.83004302978516</v>
      </c>
      <c r="F55" s="129" t="n">
        <v>9.55919132232666</v>
      </c>
      <c r="G55" s="130" t="n">
        <v>10.57901153564453</v>
      </c>
    </row>
    <row customHeight="1" ht="15" r="56" s="86" thickBot="1">
      <c r="B56" s="77" t="n"/>
      <c r="C56" s="94" t="inlineStr">
        <is>
          <t>Dancer</t>
        </is>
      </c>
      <c r="D56" s="143" t="n">
        <v>16.87631587982178</v>
      </c>
      <c r="E56" s="164" t="n">
        <v>17.23806400299072</v>
      </c>
      <c r="F56" s="143" t="n">
        <v>11.00445995330811</v>
      </c>
      <c r="G56" s="145" t="n">
        <v>11.90327606201172</v>
      </c>
    </row>
    <row r="57">
      <c r="B57" s="66" t="inlineStr">
        <is>
          <t>A avg</t>
        </is>
      </c>
      <c r="C57" s="91" t="n"/>
      <c r="D57" s="149">
        <f>AVERAGE(D50:D53)</f>
        <v/>
      </c>
      <c r="E57" s="150">
        <f>AVERAGE(E50:E53)</f>
        <v/>
      </c>
      <c r="F57" s="151">
        <f>AVERAGE(F50:F53)</f>
        <v/>
      </c>
      <c r="G57" s="150">
        <f>AVERAGE(G50:G53)</f>
        <v/>
      </c>
    </row>
    <row r="58">
      <c r="B58" s="209" t="inlineStr">
        <is>
          <t>B avg</t>
        </is>
      </c>
      <c r="C58" s="190" t="n"/>
      <c r="D58" s="132">
        <f>AVERAGE(D54)</f>
        <v/>
      </c>
      <c r="E58" s="133">
        <f>AVERAGE(E54)</f>
        <v/>
      </c>
      <c r="F58" s="157">
        <f>AVERAGE(F54)</f>
        <v/>
      </c>
      <c r="G58" s="133">
        <f>AVERAGE(G54)</f>
        <v/>
      </c>
    </row>
    <row customHeight="1" ht="15" r="59" s="86" thickBot="1">
      <c r="B59" s="74" t="inlineStr">
        <is>
          <t>C avg</t>
        </is>
      </c>
      <c r="C59" s="93" t="n"/>
      <c r="D59" s="134">
        <f>AVERAGE(D55:D56)</f>
        <v/>
      </c>
      <c r="E59" s="135">
        <f>AVERAGE(E55:E56)</f>
        <v/>
      </c>
      <c r="F59" s="136">
        <f>AVERAGE(F55:F56)</f>
        <v/>
      </c>
      <c r="G59" s="135">
        <f>AVERAGE(G55:G56)</f>
        <v/>
      </c>
    </row>
    <row customHeight="1" ht="15" r="60" s="86" thickBot="1">
      <c r="B60" s="180" t="inlineStr">
        <is>
          <t>Overall average</t>
        </is>
      </c>
      <c r="C60" s="181" t="n"/>
      <c r="D60" s="152">
        <f>AVERAGE(D50:D56)</f>
        <v/>
      </c>
      <c r="E60" s="153">
        <f>AVERAGE(E50:E56)</f>
        <v/>
      </c>
      <c r="F60" s="154">
        <f>AVERAGE(F50:F56)</f>
        <v/>
      </c>
      <c r="G60" s="153">
        <f>AVERAGE(G50:G56)</f>
        <v/>
      </c>
    </row>
    <row customHeight="1" ht="15" r="62" s="86"/>
    <row r="63"/>
    <row r="64"/>
    <row r="65"/>
    <row r="66"/>
    <row r="67"/>
    <row r="68"/>
    <row r="69"/>
    <row r="70"/>
    <row r="71"/>
    <row r="72"/>
    <row r="73"/>
    <row customHeight="1" ht="15" r="74" s="86"/>
    <row r="75"/>
    <row r="76"/>
    <row r="77"/>
    <row r="78"/>
    <row r="79"/>
    <row r="80"/>
    <row r="81"/>
    <row r="82"/>
    <row r="83"/>
    <row r="84"/>
    <row r="85"/>
    <row r="86"/>
    <row r="87"/>
    <row r="88"/>
  </sheetData>
  <mergeCells count="42">
    <mergeCell ref="L33:O33"/>
    <mergeCell ref="P33:S33"/>
    <mergeCell ref="B34:B35"/>
    <mergeCell ref="C34:C35"/>
    <mergeCell ref="D34:E34"/>
    <mergeCell ref="F34:G34"/>
    <mergeCell ref="H34:I34"/>
    <mergeCell ref="J34:K34"/>
    <mergeCell ref="L34:M34"/>
    <mergeCell ref="N34:O34"/>
    <mergeCell ref="P34:Q34"/>
    <mergeCell ref="R34:S34"/>
    <mergeCell ref="D33:G33"/>
    <mergeCell ref="L2:P2"/>
    <mergeCell ref="Q2:U2"/>
    <mergeCell ref="D3:G3"/>
    <mergeCell ref="H3:K3"/>
    <mergeCell ref="L3:M3"/>
    <mergeCell ref="N3:P3"/>
    <mergeCell ref="Q3:R3"/>
    <mergeCell ref="S3:U3"/>
    <mergeCell ref="F48:G48"/>
    <mergeCell ref="B2:B4"/>
    <mergeCell ref="C2:C4"/>
    <mergeCell ref="D2:G2"/>
    <mergeCell ref="H2:K2"/>
    <mergeCell ref="B12:C12"/>
    <mergeCell ref="B13:C13"/>
    <mergeCell ref="B14:C14"/>
    <mergeCell ref="B15:C15"/>
    <mergeCell ref="D25:E25"/>
    <mergeCell ref="F25:G25"/>
    <mergeCell ref="D17:E17"/>
    <mergeCell ref="F17:G17"/>
    <mergeCell ref="H33:K33"/>
    <mergeCell ref="B44:C44"/>
    <mergeCell ref="B46:C46"/>
    <mergeCell ref="D48:E48"/>
    <mergeCell ref="B60:C60"/>
    <mergeCell ref="B48:B49"/>
    <mergeCell ref="C48:C49"/>
    <mergeCell ref="B58:C58"/>
  </mergeCells>
  <conditionalFormatting sqref="E5:E15">
    <cfRule dxfId="1" operator="greaterThanOrEqual" priority="15" type="cellIs">
      <formula>1.03</formula>
    </cfRule>
    <cfRule dxfId="0" operator="lessThanOrEqual" priority="16" type="cellIs">
      <formula>0.97</formula>
    </cfRule>
  </conditionalFormatting>
  <conditionalFormatting sqref="G5:G15">
    <cfRule dxfId="1" operator="greaterThanOrEqual" priority="13" type="cellIs">
      <formula>1.03</formula>
    </cfRule>
    <cfRule dxfId="0" operator="lessThanOrEqual" priority="14" type="cellIs">
      <formula>0.97</formula>
    </cfRule>
  </conditionalFormatting>
  <conditionalFormatting sqref="D5:D15">
    <cfRule dxfId="1" operator="greaterThanOrEqual" priority="11" type="cellIs">
      <formula>1.03</formula>
    </cfRule>
    <cfRule dxfId="0" operator="lessThanOrEqual" priority="12" type="cellIs">
      <formula>0.97</formula>
    </cfRule>
  </conditionalFormatting>
  <conditionalFormatting sqref="F5:F15">
    <cfRule dxfId="1" operator="greaterThanOrEqual" priority="9" type="cellIs">
      <formula>1.03</formula>
    </cfRule>
    <cfRule dxfId="0" operator="lessThanOrEqual" priority="10" type="cellIs">
      <formula>0.97</formula>
    </cfRule>
  </conditionalFormatting>
  <conditionalFormatting sqref="I5:I15">
    <cfRule dxfId="1" operator="greaterThanOrEqual" priority="7" type="cellIs">
      <formula>1.03</formula>
    </cfRule>
    <cfRule dxfId="0" operator="lessThanOrEqual" priority="8" type="cellIs">
      <formula>0.97</formula>
    </cfRule>
  </conditionalFormatting>
  <conditionalFormatting sqref="K5:K15">
    <cfRule dxfId="1" operator="greaterThanOrEqual" priority="5" type="cellIs">
      <formula>1.03</formula>
    </cfRule>
    <cfRule dxfId="0" operator="lessThanOrEqual" priority="6" type="cellIs">
      <formula>0.97</formula>
    </cfRule>
  </conditionalFormatting>
  <conditionalFormatting sqref="Q5:U11 L6:P7 L9:P14">
    <cfRule dxfId="1" operator="greaterThanOrEqual" priority="59" type="cellIs">
      <formula>0.03</formula>
    </cfRule>
    <cfRule dxfId="0" operator="lessThanOrEqual" priority="60" type="cellIs">
      <formula>-0.03</formula>
    </cfRule>
  </conditionalFormatting>
  <conditionalFormatting sqref="Q12:U14">
    <cfRule dxfId="1" operator="greaterThanOrEqual" priority="57" type="cellIs">
      <formula>0.03</formula>
    </cfRule>
    <cfRule dxfId="0" operator="lessThanOrEqual" priority="58" type="cellIs">
      <formula>-0.03</formula>
    </cfRule>
  </conditionalFormatting>
  <conditionalFormatting sqref="N15">
    <cfRule dxfId="1" operator="greaterThanOrEqual" priority="27" type="cellIs">
      <formula>0.03</formula>
    </cfRule>
    <cfRule dxfId="0" operator="lessThanOrEqual" priority="28" type="cellIs">
      <formula>-0.03</formula>
    </cfRule>
  </conditionalFormatting>
  <conditionalFormatting sqref="S15">
    <cfRule dxfId="1" operator="greaterThanOrEqual" priority="17" type="cellIs">
      <formula>0.03</formula>
    </cfRule>
    <cfRule dxfId="0" operator="lessThanOrEqual" priority="18" type="cellIs">
      <formula>-0.03</formula>
    </cfRule>
  </conditionalFormatting>
  <conditionalFormatting sqref="L15">
    <cfRule dxfId="1" operator="greaterThanOrEqual" priority="29" type="cellIs">
      <formula>0.03</formula>
    </cfRule>
    <cfRule dxfId="0" operator="lessThanOrEqual" priority="30" type="cellIs">
      <formula>-0.03</formula>
    </cfRule>
  </conditionalFormatting>
  <conditionalFormatting sqref="M15">
    <cfRule dxfId="1" operator="greaterThanOrEqual" priority="31" type="cellIs">
      <formula>0.03</formula>
    </cfRule>
    <cfRule dxfId="0" operator="lessThanOrEqual" priority="32" type="cellIs">
      <formula>-0.03</formula>
    </cfRule>
  </conditionalFormatting>
  <conditionalFormatting sqref="O15">
    <cfRule dxfId="1" operator="greaterThanOrEqual" priority="33" type="cellIs">
      <formula>0.03</formula>
    </cfRule>
    <cfRule dxfId="0" operator="lessThanOrEqual" priority="34" type="cellIs">
      <formula>-0.03</formula>
    </cfRule>
  </conditionalFormatting>
  <conditionalFormatting sqref="P15">
    <cfRule dxfId="1" operator="greaterThanOrEqual" priority="35" type="cellIs">
      <formula>0.03</formula>
    </cfRule>
    <cfRule dxfId="0" operator="lessThanOrEqual" priority="36" type="cellIs">
      <formula>-0.03</formula>
    </cfRule>
  </conditionalFormatting>
  <conditionalFormatting sqref="Q15">
    <cfRule dxfId="1" operator="greaterThanOrEqual" priority="19" type="cellIs">
      <formula>0.03</formula>
    </cfRule>
    <cfRule dxfId="0" operator="lessThanOrEqual" priority="20" type="cellIs">
      <formula>-0.03</formula>
    </cfRule>
  </conditionalFormatting>
  <conditionalFormatting sqref="R15">
    <cfRule dxfId="1" operator="greaterThanOrEqual" priority="21" type="cellIs">
      <formula>0.03</formula>
    </cfRule>
    <cfRule dxfId="0" operator="lessThanOrEqual" priority="22" type="cellIs">
      <formula>-0.03</formula>
    </cfRule>
  </conditionalFormatting>
  <conditionalFormatting sqref="T15">
    <cfRule dxfId="1" operator="greaterThanOrEqual" priority="23" type="cellIs">
      <formula>0.03</formula>
    </cfRule>
    <cfRule dxfId="0" operator="lessThanOrEqual" priority="24" type="cellIs">
      <formula>-0.03</formula>
    </cfRule>
  </conditionalFormatting>
  <conditionalFormatting sqref="U15">
    <cfRule dxfId="1" operator="greaterThanOrEqual" priority="25" type="cellIs">
      <formula>0.03</formula>
    </cfRule>
    <cfRule dxfId="0" operator="lessThanOrEqual" priority="26" type="cellIs">
      <formula>-0.03</formula>
    </cfRule>
  </conditionalFormatting>
  <conditionalFormatting sqref="L5">
    <cfRule dxfId="1" operator="greaterThanOrEqual" priority="49" type="cellIs">
      <formula>0.03</formula>
    </cfRule>
    <cfRule dxfId="0" operator="lessThanOrEqual" priority="50" type="cellIs">
      <formula>-0.03</formula>
    </cfRule>
  </conditionalFormatting>
  <conditionalFormatting sqref="M5">
    <cfRule dxfId="1" operator="greaterThanOrEqual" priority="51" type="cellIs">
      <formula>0.03</formula>
    </cfRule>
    <cfRule dxfId="0" operator="lessThanOrEqual" priority="52" type="cellIs">
      <formula>-0.03</formula>
    </cfRule>
  </conditionalFormatting>
  <conditionalFormatting sqref="N5">
    <cfRule dxfId="1" operator="greaterThanOrEqual" priority="47" type="cellIs">
      <formula>0.03</formula>
    </cfRule>
    <cfRule dxfId="0" operator="lessThanOrEqual" priority="48" type="cellIs">
      <formula>-0.03</formula>
    </cfRule>
  </conditionalFormatting>
  <conditionalFormatting sqref="O5">
    <cfRule dxfId="1" operator="greaterThanOrEqual" priority="53" type="cellIs">
      <formula>0.03</formula>
    </cfRule>
    <cfRule dxfId="0" operator="lessThanOrEqual" priority="54" type="cellIs">
      <formula>-0.03</formula>
    </cfRule>
  </conditionalFormatting>
  <conditionalFormatting sqref="P5">
    <cfRule dxfId="1" operator="greaterThanOrEqual" priority="55" type="cellIs">
      <formula>0.03</formula>
    </cfRule>
    <cfRule dxfId="0" operator="lessThanOrEqual" priority="56" type="cellIs">
      <formula>-0.03</formula>
    </cfRule>
  </conditionalFormatting>
  <conditionalFormatting sqref="L8">
    <cfRule dxfId="1" operator="greaterThanOrEqual" priority="39" type="cellIs">
      <formula>0.03</formula>
    </cfRule>
    <cfRule dxfId="0" operator="lessThanOrEqual" priority="40" type="cellIs">
      <formula>-0.03</formula>
    </cfRule>
  </conditionalFormatting>
  <conditionalFormatting sqref="M8">
    <cfRule dxfId="1" operator="greaterThanOrEqual" priority="41" type="cellIs">
      <formula>0.03</formula>
    </cfRule>
    <cfRule dxfId="0" operator="lessThanOrEqual" priority="42" type="cellIs">
      <formula>-0.03</formula>
    </cfRule>
  </conditionalFormatting>
  <conditionalFormatting sqref="N8">
    <cfRule dxfId="1" operator="greaterThanOrEqual" priority="37" type="cellIs">
      <formula>0.03</formula>
    </cfRule>
    <cfRule dxfId="0" operator="lessThanOrEqual" priority="38" type="cellIs">
      <formula>-0.03</formula>
    </cfRule>
  </conditionalFormatting>
  <conditionalFormatting sqref="O8">
    <cfRule dxfId="1" operator="greaterThanOrEqual" priority="43" type="cellIs">
      <formula>0.03</formula>
    </cfRule>
    <cfRule dxfId="0" operator="lessThanOrEqual" priority="44" type="cellIs">
      <formula>-0.03</formula>
    </cfRule>
  </conditionalFormatting>
  <conditionalFormatting sqref="P8">
    <cfRule dxfId="1" operator="greaterThanOrEqual" priority="45" type="cellIs">
      <formula>0.03</formula>
    </cfRule>
    <cfRule dxfId="0" operator="lessThanOrEqual" priority="46" type="cellIs">
      <formula>-0.03</formula>
    </cfRule>
  </conditionalFormatting>
  <conditionalFormatting sqref="H5:H15">
    <cfRule dxfId="1" operator="greaterThanOrEqual" priority="3" type="cellIs">
      <formula>1.03</formula>
    </cfRule>
    <cfRule dxfId="0" operator="lessThanOrEqual" priority="4" type="cellIs">
      <formula>0.97</formula>
    </cfRule>
  </conditionalFormatting>
  <conditionalFormatting sqref="J5:J15">
    <cfRule dxfId="1" operator="greaterThanOrEqual" priority="1" type="cellIs">
      <formula>1.03</formula>
    </cfRule>
    <cfRule dxfId="0" operator="lessThanOrEqual" priority="2" type="cellIs">
      <formula>0.97</formula>
    </cfRule>
  </conditionalFormatting>
  <pageMargins bottom="0.75" footer="0.3" header="0.3" left="0.7" right="0.7" top="0.75"/>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xmlns:dc="http://purl.org/dc/elements/1.1/" xmlns:dcterms="http://purl.org/dc/terms/" xmlns:xsi="http://www.w3.org/2001/XMLSchema-instance">
  <dc:title>MPEG point cloud compression common test condition reporting template N18175</dc:title>
  <dcterms:created xsi:type="dcterms:W3CDTF">2019-04-23T13:57:55Z</dcterms:created>
  <dcterms:modified xsi:type="dcterms:W3CDTF">2019-07-22T08:05:53Z</dcterms:modified>
  <cp:lastModifiedBy>Ricard Julien</cp:lastModifiedBy>
</cp:coreProperties>
</file>