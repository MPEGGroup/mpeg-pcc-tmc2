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4"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1rc/"/>
    </mc:Choice>
  </mc:AlternateContent>
  <xr:revisionPtr revIDLastSave="0" documentId="13_ncr:1_{BDE6FE36-8957-B34C-ABB8-C81AB6C78442}" xr6:coauthVersionLast="36" xr6:coauthVersionMax="41" xr10:uidLastSave="{00000000-0000-0000-0000-000000000000}"/>
  <bookViews>
    <workbookView xWindow="0" yWindow="460" windowWidth="27320" windowHeight="1370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M38" i="7"/>
  <c r="L38" i="7"/>
  <c r="K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K36" i="7"/>
  <c r="J36" i="7"/>
  <c r="I36" i="7"/>
  <c r="BF35" i="7"/>
  <c r="AL35" i="7"/>
  <c r="AK35" i="7"/>
  <c r="AJ35" i="7"/>
  <c r="AH35" i="7"/>
  <c r="AG35" i="7"/>
  <c r="N35" i="7"/>
  <c r="M35" i="7"/>
  <c r="L35" i="7"/>
  <c r="J35" i="7"/>
  <c r="I35" i="7"/>
  <c r="BF34" i="7"/>
  <c r="AL34" i="7"/>
  <c r="AI34" i="7" s="1"/>
  <c r="AK34" i="7"/>
  <c r="AJ34" i="7"/>
  <c r="AH34" i="7"/>
  <c r="AG34" i="7"/>
  <c r="N34" i="7"/>
  <c r="M34" i="7"/>
  <c r="L34" i="7"/>
  <c r="K34" i="7"/>
  <c r="J34" i="7"/>
  <c r="I34" i="7"/>
  <c r="BF33" i="7"/>
  <c r="AL33" i="7"/>
  <c r="AI33" i="7" s="1"/>
  <c r="AK33" i="7"/>
  <c r="AJ33" i="7"/>
  <c r="AH33" i="7"/>
  <c r="AG33" i="7"/>
  <c r="N33" i="7"/>
  <c r="M33" i="7"/>
  <c r="L33" i="7"/>
  <c r="J33" i="7"/>
  <c r="I33" i="7"/>
  <c r="BF32" i="7"/>
  <c r="AL32" i="7"/>
  <c r="AI32" i="7" s="1"/>
  <c r="AK32" i="7"/>
  <c r="AJ32" i="7"/>
  <c r="AH32" i="7"/>
  <c r="AG32" i="7"/>
  <c r="N32" i="7"/>
  <c r="M32" i="7"/>
  <c r="L32" i="7"/>
  <c r="J32" i="7"/>
  <c r="I32" i="7"/>
  <c r="BF31" i="7"/>
  <c r="AL31" i="7"/>
  <c r="AK31" i="7"/>
  <c r="AJ31" i="7"/>
  <c r="AH31" i="7"/>
  <c r="AG31" i="7"/>
  <c r="N31" i="7"/>
  <c r="K31" i="7" s="1"/>
  <c r="M31" i="7"/>
  <c r="L31" i="7"/>
  <c r="J31" i="7"/>
  <c r="I31" i="7"/>
  <c r="BF30" i="7"/>
  <c r="AL30" i="7"/>
  <c r="AK30" i="7"/>
  <c r="AJ30" i="7"/>
  <c r="AH30" i="7"/>
  <c r="AG30" i="7"/>
  <c r="N30" i="7"/>
  <c r="BG30" i="7" s="1"/>
  <c r="M30" i="7"/>
  <c r="L30" i="7"/>
  <c r="J30" i="7"/>
  <c r="J42" i="7" s="1"/>
  <c r="I30" i="7"/>
  <c r="BF29" i="7"/>
  <c r="AL29" i="7"/>
  <c r="AI29" i="7" s="1"/>
  <c r="AK29" i="7"/>
  <c r="AJ29" i="7"/>
  <c r="AH29" i="7"/>
  <c r="AG29" i="7"/>
  <c r="N29" i="7"/>
  <c r="M29" i="7"/>
  <c r="L29" i="7"/>
  <c r="J29" i="7"/>
  <c r="I29" i="7"/>
  <c r="BF28" i="7"/>
  <c r="AL28" i="7"/>
  <c r="AI28" i="7" s="1"/>
  <c r="AK28" i="7"/>
  <c r="AJ28" i="7"/>
  <c r="AH28" i="7"/>
  <c r="AG28" i="7"/>
  <c r="N28" i="7"/>
  <c r="M28" i="7"/>
  <c r="L28" i="7"/>
  <c r="J28" i="7"/>
  <c r="I28" i="7"/>
  <c r="BF27" i="7"/>
  <c r="AL27" i="7"/>
  <c r="AK27" i="7"/>
  <c r="AJ27" i="7"/>
  <c r="AH27" i="7"/>
  <c r="AG27" i="7"/>
  <c r="N27" i="7"/>
  <c r="K27" i="7" s="1"/>
  <c r="M27" i="7"/>
  <c r="L27" i="7"/>
  <c r="J27" i="7"/>
  <c r="I27" i="7"/>
  <c r="BF26" i="7"/>
  <c r="AL26" i="7"/>
  <c r="AI26" i="7" s="1"/>
  <c r="AK26" i="7"/>
  <c r="AJ26" i="7"/>
  <c r="AH26" i="7"/>
  <c r="AG26" i="7"/>
  <c r="N26" i="7"/>
  <c r="K26" i="7" s="1"/>
  <c r="M26" i="7"/>
  <c r="L26" i="7"/>
  <c r="J26" i="7"/>
  <c r="I26" i="7"/>
  <c r="BF25" i="7"/>
  <c r="AL25" i="7"/>
  <c r="AK25" i="7"/>
  <c r="AJ25" i="7"/>
  <c r="AH25" i="7"/>
  <c r="AH41" i="7" s="1"/>
  <c r="AG25" i="7"/>
  <c r="N25" i="7"/>
  <c r="M25" i="7"/>
  <c r="M41" i="7" s="1"/>
  <c r="L25" i="7"/>
  <c r="J25" i="7"/>
  <c r="I25" i="7"/>
  <c r="BF24" i="7"/>
  <c r="AL24" i="7"/>
  <c r="AI24" i="7" s="1"/>
  <c r="AK24" i="7"/>
  <c r="AJ24" i="7"/>
  <c r="AH24" i="7"/>
  <c r="AG24" i="7"/>
  <c r="N24" i="7"/>
  <c r="M24" i="7"/>
  <c r="L24" i="7"/>
  <c r="J24" i="7"/>
  <c r="I24" i="7"/>
  <c r="BF23" i="7"/>
  <c r="AL23" i="7"/>
  <c r="AK23" i="7"/>
  <c r="AJ23" i="7"/>
  <c r="AH23" i="7"/>
  <c r="AG23" i="7"/>
  <c r="N23" i="7"/>
  <c r="K23" i="7" s="1"/>
  <c r="M23" i="7"/>
  <c r="L23" i="7"/>
  <c r="J23" i="7"/>
  <c r="I23" i="7"/>
  <c r="BF22" i="7"/>
  <c r="AL22" i="7"/>
  <c r="AI22" i="7" s="1"/>
  <c r="AK22" i="7"/>
  <c r="AJ22" i="7"/>
  <c r="AH22" i="7"/>
  <c r="AG22" i="7"/>
  <c r="N22" i="7"/>
  <c r="M22" i="7"/>
  <c r="L22" i="7"/>
  <c r="K22" i="7"/>
  <c r="J22" i="7"/>
  <c r="I22" i="7"/>
  <c r="BF21" i="7"/>
  <c r="AL21" i="7"/>
  <c r="AI21" i="7" s="1"/>
  <c r="BE21" i="7" s="1"/>
  <c r="AK21" i="7"/>
  <c r="AJ21" i="7"/>
  <c r="AH21" i="7"/>
  <c r="AG21" i="7"/>
  <c r="N21" i="7"/>
  <c r="K21" i="7" s="1"/>
  <c r="M21" i="7"/>
  <c r="L21" i="7"/>
  <c r="J21" i="7"/>
  <c r="I21" i="7"/>
  <c r="BH20" i="7" a="1"/>
  <c r="BF20" i="7"/>
  <c r="AL20" i="7"/>
  <c r="AI20" i="7" s="1"/>
  <c r="AK20" i="7"/>
  <c r="AJ20" i="7"/>
  <c r="AH20" i="7"/>
  <c r="AG20" i="7"/>
  <c r="N20" i="7"/>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M16" i="7"/>
  <c r="L16" i="7"/>
  <c r="J16" i="7"/>
  <c r="I16" i="7"/>
  <c r="BF15" i="7"/>
  <c r="AL15" i="7"/>
  <c r="AK15" i="7"/>
  <c r="AJ15" i="7"/>
  <c r="AH15" i="7"/>
  <c r="AG15" i="7"/>
  <c r="N15" i="7"/>
  <c r="M15" i="7"/>
  <c r="L15" i="7"/>
  <c r="J15" i="7"/>
  <c r="I15" i="7"/>
  <c r="BF14" i="7"/>
  <c r="AL14" i="7"/>
  <c r="AI14" i="7" s="1"/>
  <c r="AK14" i="7"/>
  <c r="AJ14" i="7"/>
  <c r="AH14" i="7"/>
  <c r="AG14" i="7"/>
  <c r="N14" i="7"/>
  <c r="M14" i="7"/>
  <c r="L14" i="7"/>
  <c r="K14" i="7"/>
  <c r="J14" i="7"/>
  <c r="I14" i="7"/>
  <c r="BF13" i="7"/>
  <c r="AL13" i="7"/>
  <c r="AI13" i="7" s="1"/>
  <c r="AK13" i="7"/>
  <c r="AJ13" i="7"/>
  <c r="AH13" i="7"/>
  <c r="AG13" i="7"/>
  <c r="N13" i="7"/>
  <c r="M13" i="7"/>
  <c r="L13" i="7"/>
  <c r="J13" i="7"/>
  <c r="I13" i="7"/>
  <c r="BF12" i="7"/>
  <c r="AL12" i="7"/>
  <c r="AI12" i="7" s="1"/>
  <c r="AK12" i="7"/>
  <c r="AJ12" i="7"/>
  <c r="AH12" i="7"/>
  <c r="AG12" i="7"/>
  <c r="N12" i="7"/>
  <c r="M12" i="7"/>
  <c r="L12" i="7"/>
  <c r="J12" i="7"/>
  <c r="I12" i="7"/>
  <c r="BF11" i="7"/>
  <c r="AL11" i="7"/>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K5" i="7"/>
  <c r="AJ5" i="7"/>
  <c r="AH5" i="7"/>
  <c r="AG5" i="7"/>
  <c r="N5" i="7"/>
  <c r="M5" i="7"/>
  <c r="L5" i="7"/>
  <c r="J5" i="7"/>
  <c r="J43" i="7" s="1"/>
  <c r="I5" i="7"/>
  <c r="AZ18" i="6"/>
  <c r="AY18" i="6"/>
  <c r="AX18" i="6"/>
  <c r="AW18" i="6"/>
  <c r="AC18" i="6"/>
  <c r="AB18" i="6"/>
  <c r="AA18" i="6"/>
  <c r="Z18" i="6"/>
  <c r="AZ16" i="6"/>
  <c r="AY16" i="6"/>
  <c r="AX16" i="6"/>
  <c r="AX17" i="6" s="1"/>
  <c r="AW16" i="6"/>
  <c r="AC16" i="6"/>
  <c r="AB16" i="6"/>
  <c r="AA16" i="6"/>
  <c r="Z16" i="6"/>
  <c r="AK11" i="6"/>
  <c r="AJ11" i="6"/>
  <c r="AI11" i="6"/>
  <c r="AG11" i="6"/>
  <c r="AF11" i="6"/>
  <c r="AE11" i="6"/>
  <c r="N11" i="6"/>
  <c r="K11" i="6" s="1"/>
  <c r="M11" i="6"/>
  <c r="L11" i="6"/>
  <c r="BD11" i="6" s="1"/>
  <c r="J11" i="6"/>
  <c r="I11" i="6"/>
  <c r="H11" i="6"/>
  <c r="AK10" i="6"/>
  <c r="AJ10" i="6"/>
  <c r="AI10" i="6"/>
  <c r="AH10" i="6"/>
  <c r="AG10" i="6"/>
  <c r="AF10" i="6"/>
  <c r="AE10" i="6"/>
  <c r="N10" i="6"/>
  <c r="M10" i="6"/>
  <c r="L10" i="6"/>
  <c r="L14" i="6" s="1"/>
  <c r="K10" i="6"/>
  <c r="J10" i="6"/>
  <c r="I10" i="6"/>
  <c r="H10" i="6"/>
  <c r="AK9" i="6"/>
  <c r="AJ9" i="6"/>
  <c r="AJ13" i="6" s="1"/>
  <c r="AI9" i="6"/>
  <c r="AI13" i="6" s="1"/>
  <c r="AG9" i="6"/>
  <c r="BB9" i="6" s="1"/>
  <c r="AF9" i="6"/>
  <c r="AE9" i="6"/>
  <c r="N9" i="6"/>
  <c r="K9" i="6" s="1"/>
  <c r="K13" i="6" s="1"/>
  <c r="M9" i="6"/>
  <c r="M13" i="6" s="1"/>
  <c r="L9" i="6"/>
  <c r="J9" i="6"/>
  <c r="J13" i="6" s="1"/>
  <c r="I9" i="6"/>
  <c r="H9" i="6"/>
  <c r="AK8" i="6"/>
  <c r="AJ8" i="6"/>
  <c r="AI8" i="6"/>
  <c r="AG8" i="6"/>
  <c r="BB8" i="6" s="1"/>
  <c r="AF8" i="6"/>
  <c r="AE8" i="6"/>
  <c r="N8" i="6"/>
  <c r="K8" i="6" s="1"/>
  <c r="M8" i="6"/>
  <c r="L8" i="6"/>
  <c r="J8" i="6"/>
  <c r="I8" i="6"/>
  <c r="H8" i="6"/>
  <c r="AK7" i="6"/>
  <c r="AH7" i="6" s="1"/>
  <c r="AJ7" i="6"/>
  <c r="AI7" i="6"/>
  <c r="BD7" i="6" s="1"/>
  <c r="AG7" i="6"/>
  <c r="AF7" i="6"/>
  <c r="AE7" i="6"/>
  <c r="N7" i="6"/>
  <c r="M7" i="6"/>
  <c r="BE7" i="6" s="1"/>
  <c r="L7" i="6"/>
  <c r="J7" i="6"/>
  <c r="BB7" i="6" s="1"/>
  <c r="I7" i="6"/>
  <c r="H7" i="6"/>
  <c r="BG6" i="6" a="1"/>
  <c r="AK6" i="6"/>
  <c r="AJ6" i="6"/>
  <c r="AI6" i="6"/>
  <c r="AH6" i="6"/>
  <c r="AG6" i="6"/>
  <c r="AF6" i="6"/>
  <c r="AE6" i="6"/>
  <c r="N6" i="6"/>
  <c r="BF6" i="6" s="1"/>
  <c r="M6" i="6"/>
  <c r="L6" i="6"/>
  <c r="J6" i="6"/>
  <c r="BB6" i="6" s="1"/>
  <c r="I6" i="6"/>
  <c r="H6" i="6"/>
  <c r="AK5" i="6"/>
  <c r="AJ5" i="6"/>
  <c r="AI5" i="6"/>
  <c r="AG5" i="6"/>
  <c r="AF5" i="6"/>
  <c r="AE5" i="6"/>
  <c r="N5" i="6"/>
  <c r="K5" i="6" s="1"/>
  <c r="M5" i="6"/>
  <c r="L5" i="6"/>
  <c r="J5" i="6"/>
  <c r="I5" i="6"/>
  <c r="H5" i="6"/>
  <c r="AZ18" i="5"/>
  <c r="AY18" i="5"/>
  <c r="AX18" i="5"/>
  <c r="AW18" i="5"/>
  <c r="AC18" i="5"/>
  <c r="AB18" i="5"/>
  <c r="AA18" i="5"/>
  <c r="Z18" i="5"/>
  <c r="AZ16" i="5"/>
  <c r="AY16" i="5"/>
  <c r="AX16" i="5"/>
  <c r="AW16" i="5"/>
  <c r="AC16" i="5"/>
  <c r="AB16" i="5"/>
  <c r="AA16" i="5"/>
  <c r="Z16" i="5"/>
  <c r="AG15" i="5"/>
  <c r="J14" i="5"/>
  <c r="BG11" i="5" a="1"/>
  <c r="AK11" i="5"/>
  <c r="AH11" i="5" s="1"/>
  <c r="AJ11" i="5"/>
  <c r="AI11" i="5"/>
  <c r="AG11" i="5"/>
  <c r="AF11" i="5"/>
  <c r="AE11" i="5"/>
  <c r="N11" i="5"/>
  <c r="M11" i="5"/>
  <c r="L11" i="5"/>
  <c r="K11" i="5"/>
  <c r="J11" i="5"/>
  <c r="I11" i="5"/>
  <c r="H11" i="5"/>
  <c r="BG10" i="5" a="1"/>
  <c r="AK10" i="5"/>
  <c r="AJ10" i="5"/>
  <c r="BE10" i="5" s="1"/>
  <c r="AI10" i="5"/>
  <c r="AI14" i="5" s="1"/>
  <c r="AG10" i="5"/>
  <c r="AF10" i="5"/>
  <c r="AE10" i="5"/>
  <c r="N10" i="5"/>
  <c r="M10" i="5"/>
  <c r="L10" i="5"/>
  <c r="L14" i="5" s="1"/>
  <c r="K10" i="5"/>
  <c r="J10" i="5"/>
  <c r="I10" i="5"/>
  <c r="H10" i="5"/>
  <c r="AK9" i="5"/>
  <c r="BF9" i="5" s="1"/>
  <c r="AJ9" i="5"/>
  <c r="AJ13" i="5" s="1"/>
  <c r="AI9" i="5"/>
  <c r="AI13" i="5" s="1"/>
  <c r="AG9" i="5"/>
  <c r="AG13" i="5" s="1"/>
  <c r="AF9" i="5"/>
  <c r="AE9" i="5"/>
  <c r="N9" i="5"/>
  <c r="K9" i="5" s="1"/>
  <c r="K13" i="5" s="1"/>
  <c r="M9" i="5"/>
  <c r="M13" i="5" s="1"/>
  <c r="L9" i="5"/>
  <c r="BD9" i="5" s="1"/>
  <c r="J9" i="5"/>
  <c r="I9" i="5"/>
  <c r="H9" i="5"/>
  <c r="AK8" i="5"/>
  <c r="BG8" i="5" s="1" a="1"/>
  <c r="AJ8" i="5"/>
  <c r="AI8" i="5"/>
  <c r="BD8" i="5" s="1"/>
  <c r="AH8" i="5"/>
  <c r="AG8" i="5"/>
  <c r="AF8" i="5"/>
  <c r="AE8" i="5"/>
  <c r="N8" i="5"/>
  <c r="BF8" i="5" s="1"/>
  <c r="M8" i="5"/>
  <c r="BE8" i="5" s="1"/>
  <c r="L8" i="5"/>
  <c r="K8" i="5"/>
  <c r="J8" i="5"/>
  <c r="BB8" i="5" s="1"/>
  <c r="I8" i="5"/>
  <c r="H8" i="5"/>
  <c r="BG7" i="5" a="1"/>
  <c r="AK7" i="5"/>
  <c r="AJ7" i="5"/>
  <c r="AI7" i="5"/>
  <c r="AH7" i="5"/>
  <c r="AG7" i="5"/>
  <c r="AF7" i="5"/>
  <c r="AE7" i="5"/>
  <c r="N7" i="5"/>
  <c r="BF7" i="5" s="1"/>
  <c r="M7" i="5"/>
  <c r="L7" i="5"/>
  <c r="J7" i="5"/>
  <c r="BB7" i="5" s="1"/>
  <c r="I7" i="5"/>
  <c r="H7" i="5"/>
  <c r="BG6" i="5" a="1"/>
  <c r="AK6" i="5"/>
  <c r="AJ6" i="5"/>
  <c r="AJ12" i="5" s="1"/>
  <c r="AI6" i="5"/>
  <c r="AG6" i="5"/>
  <c r="BB6" i="5" s="1"/>
  <c r="AF6" i="5"/>
  <c r="AE6" i="5"/>
  <c r="N6" i="5"/>
  <c r="M6" i="5"/>
  <c r="BE6" i="5" s="1"/>
  <c r="L6" i="5"/>
  <c r="K6" i="5"/>
  <c r="J6" i="5"/>
  <c r="I6" i="5"/>
  <c r="H6" i="5"/>
  <c r="BE5" i="5"/>
  <c r="AK5" i="5"/>
  <c r="AJ5" i="5"/>
  <c r="AI5" i="5"/>
  <c r="AH5" i="5"/>
  <c r="AG5" i="5"/>
  <c r="AF5" i="5"/>
  <c r="AE5" i="5"/>
  <c r="N5" i="5"/>
  <c r="K5" i="5" s="1"/>
  <c r="M5" i="5"/>
  <c r="M12" i="5" s="1"/>
  <c r="L5" i="5"/>
  <c r="L15" i="5" s="1"/>
  <c r="J5" i="5"/>
  <c r="I5" i="5"/>
  <c r="H5" i="5"/>
  <c r="BC46" i="3"/>
  <c r="BB46" i="3"/>
  <c r="BA46" i="3"/>
  <c r="AZ46" i="3"/>
  <c r="AE46" i="3"/>
  <c r="AD46" i="3"/>
  <c r="AC46" i="3"/>
  <c r="AB46" i="3"/>
  <c r="BC44" i="3"/>
  <c r="BB44" i="3"/>
  <c r="BA44" i="3"/>
  <c r="AZ44" i="3"/>
  <c r="AE44" i="3"/>
  <c r="BC45" i="3" s="1"/>
  <c r="AD44" i="3"/>
  <c r="BB45" i="3" s="1"/>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AK37" i="3"/>
  <c r="AJ37" i="3"/>
  <c r="AH37" i="3"/>
  <c r="AG37" i="3"/>
  <c r="N37" i="3"/>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K35" i="3"/>
  <c r="J35" i="3"/>
  <c r="I35" i="3"/>
  <c r="BF34" i="3"/>
  <c r="AL34" i="3"/>
  <c r="AI34" i="3" s="1"/>
  <c r="AK34" i="3"/>
  <c r="AJ34" i="3"/>
  <c r="AH34" i="3"/>
  <c r="AG34" i="3"/>
  <c r="N34" i="3"/>
  <c r="M34" i="3"/>
  <c r="L34" i="3"/>
  <c r="J34" i="3"/>
  <c r="I34" i="3"/>
  <c r="BF33" i="3"/>
  <c r="AL33" i="3"/>
  <c r="AI33" i="3" s="1"/>
  <c r="AK33" i="3"/>
  <c r="AJ33" i="3"/>
  <c r="AH33" i="3"/>
  <c r="AG33" i="3"/>
  <c r="N33" i="3"/>
  <c r="M33" i="3"/>
  <c r="L33" i="3"/>
  <c r="J33" i="3"/>
  <c r="I33" i="3"/>
  <c r="BF32" i="3"/>
  <c r="AL32" i="3"/>
  <c r="AI32" i="3" s="1"/>
  <c r="BE32" i="3" s="1"/>
  <c r="AK32" i="3"/>
  <c r="AJ32" i="3"/>
  <c r="AH32" i="3"/>
  <c r="AG32" i="3"/>
  <c r="N32" i="3"/>
  <c r="K32" i="3" s="1"/>
  <c r="M32" i="3"/>
  <c r="L32" i="3"/>
  <c r="J32" i="3"/>
  <c r="I32" i="3"/>
  <c r="BF31" i="3"/>
  <c r="AL31" i="3"/>
  <c r="AK31" i="3"/>
  <c r="AJ31" i="3"/>
  <c r="AH31" i="3"/>
  <c r="AG31" i="3"/>
  <c r="N31" i="3"/>
  <c r="K31" i="3" s="1"/>
  <c r="M31" i="3"/>
  <c r="L31" i="3"/>
  <c r="J31" i="3"/>
  <c r="I31" i="3"/>
  <c r="BF30" i="3"/>
  <c r="AL30" i="3"/>
  <c r="BH30" i="3" s="1" a="1"/>
  <c r="AK30" i="3"/>
  <c r="AJ30" i="3"/>
  <c r="AH30" i="3"/>
  <c r="AG30" i="3"/>
  <c r="N30" i="3"/>
  <c r="M30" i="3"/>
  <c r="L30" i="3"/>
  <c r="K30" i="3"/>
  <c r="J30" i="3"/>
  <c r="I30" i="3"/>
  <c r="BF29" i="3"/>
  <c r="AL29" i="3"/>
  <c r="AI29" i="3" s="1"/>
  <c r="AK29" i="3"/>
  <c r="AJ29" i="3"/>
  <c r="AH29" i="3"/>
  <c r="AG29" i="3"/>
  <c r="N29" i="3"/>
  <c r="M29" i="3"/>
  <c r="L29" i="3"/>
  <c r="J29" i="3"/>
  <c r="I29" i="3"/>
  <c r="BF28" i="3"/>
  <c r="AL28" i="3"/>
  <c r="BG28" i="3" s="1"/>
  <c r="AK28" i="3"/>
  <c r="AJ28" i="3"/>
  <c r="AH28" i="3"/>
  <c r="AG28" i="3"/>
  <c r="N28" i="3"/>
  <c r="K28" i="3" s="1"/>
  <c r="M28" i="3"/>
  <c r="L28" i="3"/>
  <c r="J28" i="3"/>
  <c r="I28" i="3"/>
  <c r="BF27" i="3"/>
  <c r="AL27" i="3"/>
  <c r="BG27" i="3" s="1"/>
  <c r="AK27" i="3"/>
  <c r="AJ27" i="3"/>
  <c r="AH27" i="3"/>
  <c r="AG27" i="3"/>
  <c r="N27" i="3"/>
  <c r="M27" i="3"/>
  <c r="L27" i="3"/>
  <c r="K27" i="3"/>
  <c r="J27" i="3"/>
  <c r="I27" i="3"/>
  <c r="BF26" i="3"/>
  <c r="AL26" i="3"/>
  <c r="AI26" i="3" s="1"/>
  <c r="AK26" i="3"/>
  <c r="AJ26" i="3"/>
  <c r="AH26" i="3"/>
  <c r="AG26" i="3"/>
  <c r="N26" i="3"/>
  <c r="K26" i="3" s="1"/>
  <c r="M26" i="3"/>
  <c r="L26" i="3"/>
  <c r="J26" i="3"/>
  <c r="I26" i="3"/>
  <c r="BF25" i="3"/>
  <c r="AL25" i="3"/>
  <c r="AI25" i="3" s="1"/>
  <c r="AK25" i="3"/>
  <c r="AJ25" i="3"/>
  <c r="AH25" i="3"/>
  <c r="AG25" i="3"/>
  <c r="N25" i="3"/>
  <c r="M25" i="3"/>
  <c r="M41" i="3" s="1"/>
  <c r="L25" i="3"/>
  <c r="K25" i="3"/>
  <c r="J25" i="3"/>
  <c r="I25" i="3"/>
  <c r="BF24" i="3"/>
  <c r="AL24" i="3"/>
  <c r="AI24" i="3" s="1"/>
  <c r="AK24" i="3"/>
  <c r="AJ24" i="3"/>
  <c r="AH24" i="3"/>
  <c r="AG24" i="3"/>
  <c r="N24" i="3"/>
  <c r="K24" i="3" s="1"/>
  <c r="M24" i="3"/>
  <c r="L24" i="3"/>
  <c r="J24" i="3"/>
  <c r="I24" i="3"/>
  <c r="BF23" i="3"/>
  <c r="AL23" i="3"/>
  <c r="AI23" i="3" s="1"/>
  <c r="AK23" i="3"/>
  <c r="AJ23" i="3"/>
  <c r="AH23" i="3"/>
  <c r="AG23" i="3"/>
  <c r="N23" i="3"/>
  <c r="BG23" i="3" s="1"/>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F20" i="3"/>
  <c r="AL20" i="3"/>
  <c r="AK20" i="3"/>
  <c r="AJ20" i="3"/>
  <c r="AH20" i="3"/>
  <c r="AG20" i="3"/>
  <c r="N20" i="3"/>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M17" i="3"/>
  <c r="L17" i="3"/>
  <c r="J17" i="3"/>
  <c r="I17" i="3"/>
  <c r="BF16" i="3"/>
  <c r="AL16" i="3"/>
  <c r="AK16" i="3"/>
  <c r="AJ16" i="3"/>
  <c r="AH16" i="3"/>
  <c r="AG16" i="3"/>
  <c r="N16" i="3"/>
  <c r="K16" i="3" s="1"/>
  <c r="M16" i="3"/>
  <c r="L16" i="3"/>
  <c r="J16" i="3"/>
  <c r="I16" i="3"/>
  <c r="BH15" i="3" a="1"/>
  <c r="BF15" i="3"/>
  <c r="AL15" i="3"/>
  <c r="AI15" i="3" s="1"/>
  <c r="AK15" i="3"/>
  <c r="AJ15" i="3"/>
  <c r="AH15" i="3"/>
  <c r="AG15" i="3"/>
  <c r="N15" i="3"/>
  <c r="K15" i="3" s="1"/>
  <c r="M15" i="3"/>
  <c r="L15" i="3"/>
  <c r="J15" i="3"/>
  <c r="I15" i="3"/>
  <c r="BF14" i="3"/>
  <c r="AL14" i="3"/>
  <c r="AI14" i="3" s="1"/>
  <c r="AK14" i="3"/>
  <c r="AJ14" i="3"/>
  <c r="AH14" i="3"/>
  <c r="AG14" i="3"/>
  <c r="N14" i="3"/>
  <c r="K14" i="3" s="1"/>
  <c r="M14" i="3"/>
  <c r="L14" i="3"/>
  <c r="J14" i="3"/>
  <c r="I14" i="3"/>
  <c r="BF13" i="3"/>
  <c r="AL13" i="3"/>
  <c r="AI13" i="3" s="1"/>
  <c r="AK13" i="3"/>
  <c r="AJ13" i="3"/>
  <c r="AH13" i="3"/>
  <c r="AG13" i="3"/>
  <c r="N13" i="3"/>
  <c r="M13" i="3"/>
  <c r="L13" i="3"/>
  <c r="J13" i="3"/>
  <c r="I13" i="3"/>
  <c r="BF12" i="3"/>
  <c r="AL12" i="3"/>
  <c r="AK12" i="3"/>
  <c r="AJ12" i="3"/>
  <c r="AH12" i="3"/>
  <c r="AG12" i="3"/>
  <c r="N12" i="3"/>
  <c r="K12" i="3" s="1"/>
  <c r="M12" i="3"/>
  <c r="L12" i="3"/>
  <c r="J12" i="3"/>
  <c r="I12" i="3"/>
  <c r="BF11" i="3"/>
  <c r="AL11" i="3"/>
  <c r="AI11" i="3" s="1"/>
  <c r="AK11" i="3"/>
  <c r="AJ11" i="3"/>
  <c r="AH11" i="3"/>
  <c r="AG11" i="3"/>
  <c r="N11" i="3"/>
  <c r="BG11" i="3" s="1"/>
  <c r="M11" i="3"/>
  <c r="L11" i="3"/>
  <c r="J11" i="3"/>
  <c r="I11" i="3"/>
  <c r="BF10" i="3"/>
  <c r="AL10" i="3"/>
  <c r="BG10" i="3" s="1"/>
  <c r="AK10" i="3"/>
  <c r="AJ10" i="3"/>
  <c r="AH10" i="3"/>
  <c r="AG10" i="3"/>
  <c r="N10" i="3"/>
  <c r="M10" i="3"/>
  <c r="L10" i="3"/>
  <c r="J10" i="3"/>
  <c r="I10" i="3"/>
  <c r="BF9" i="3"/>
  <c r="AL9" i="3"/>
  <c r="AI9" i="3" s="1"/>
  <c r="AK9" i="3"/>
  <c r="AJ9" i="3"/>
  <c r="AH9" i="3"/>
  <c r="AG9" i="3"/>
  <c r="N9" i="3"/>
  <c r="BG9" i="3" s="1"/>
  <c r="M9" i="3"/>
  <c r="L9" i="3"/>
  <c r="J9" i="3"/>
  <c r="I9" i="3"/>
  <c r="BF8" i="3"/>
  <c r="AL8" i="3"/>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K6" i="3" s="1"/>
  <c r="M6" i="3"/>
  <c r="L6" i="3"/>
  <c r="J6" i="3"/>
  <c r="I6" i="3"/>
  <c r="BF5" i="3"/>
  <c r="AL5" i="3"/>
  <c r="AI5" i="3" s="1"/>
  <c r="AK5" i="3"/>
  <c r="AJ5" i="3"/>
  <c r="AH5" i="3"/>
  <c r="AG5" i="3"/>
  <c r="N5" i="3"/>
  <c r="BG5" i="3" s="1"/>
  <c r="M5" i="3"/>
  <c r="L5" i="3"/>
  <c r="K5" i="3"/>
  <c r="J5" i="3"/>
  <c r="I5" i="3"/>
  <c r="B1" i="2"/>
  <c r="B2" i="2" s="1"/>
  <c r="BP35" i="3"/>
  <c r="BN25" i="3"/>
  <c r="BT15" i="3"/>
  <c r="BP10" i="3"/>
  <c r="BN35" i="3"/>
  <c r="BJ30" i="3"/>
  <c r="BP20" i="3"/>
  <c r="BN10" i="3"/>
  <c r="BR20" i="3"/>
  <c r="BT5" i="3"/>
  <c r="BN30" i="3"/>
  <c r="BQ10" i="3"/>
  <c r="BS20" i="3"/>
  <c r="BL5" i="3"/>
  <c r="BM35" i="3"/>
  <c r="BJ25" i="3"/>
  <c r="BQ5" i="3"/>
  <c r="BK25" i="3"/>
  <c r="BP15" i="3"/>
  <c r="BS5" i="3"/>
  <c r="BT30" i="3"/>
  <c r="BS15" i="3"/>
  <c r="BR5" i="3"/>
  <c r="BR35" i="3"/>
  <c r="BQ35" i="3"/>
  <c r="BM15" i="3"/>
  <c r="BJ5" i="3"/>
  <c r="BQ25" i="3"/>
  <c r="BQ15" i="3"/>
  <c r="BJ35" i="3"/>
  <c r="BN20" i="3"/>
  <c r="BQ20" i="3"/>
  <c r="BN5" i="3"/>
  <c r="BM25" i="3"/>
  <c r="BM5" i="3"/>
  <c r="BL10" i="3"/>
  <c r="BM30" i="3"/>
  <c r="BL15" i="3"/>
  <c r="BS25" i="3"/>
  <c r="BT10" i="3"/>
  <c r="BS35" i="3"/>
  <c r="BT20" i="3"/>
  <c r="BS10" i="3"/>
  <c r="BK10" i="3"/>
  <c r="BR15" i="3"/>
  <c r="BM10" i="3"/>
  <c r="BR10" i="3"/>
  <c r="BQ30" i="3"/>
  <c r="BR25" i="3"/>
  <c r="BP5" i="3"/>
  <c r="BL30" i="3"/>
  <c r="BP30" i="3"/>
  <c r="BN15" i="3"/>
  <c r="BS30" i="3"/>
  <c r="BM20" i="3"/>
  <c r="BR30" i="3"/>
  <c r="BT35" i="3"/>
  <c r="BL20" i="3"/>
  <c r="BK5" i="3"/>
  <c r="BK30" i="3"/>
  <c r="BL25" i="3"/>
  <c r="BL35" i="3"/>
  <c r="BP25" i="3"/>
  <c r="BT25" i="3"/>
  <c r="BP35" i="7"/>
  <c r="BR25" i="7"/>
  <c r="BT20" i="7"/>
  <c r="BM5" i="7"/>
  <c r="BR35" i="7"/>
  <c r="BR20" i="7"/>
  <c r="BL15" i="7"/>
  <c r="BR10" i="7"/>
  <c r="BP25" i="7"/>
  <c r="BL25" i="7"/>
  <c r="BT10" i="7"/>
  <c r="BS10" i="7"/>
  <c r="BK20" i="7"/>
  <c r="BN30" i="7"/>
  <c r="BL10" i="7"/>
  <c r="BQ10" i="7"/>
  <c r="BP5" i="7"/>
  <c r="BQ5" i="7"/>
  <c r="BT35" i="7"/>
  <c r="BN5" i="7"/>
  <c r="BN35" i="7"/>
  <c r="BM30" i="7"/>
  <c r="BL5" i="7"/>
  <c r="BN25" i="7"/>
  <c r="BQ15" i="7"/>
  <c r="BP15" i="7"/>
  <c r="BS5" i="7"/>
  <c r="BT25" i="7"/>
  <c r="BN20" i="7"/>
  <c r="BJ5" i="7"/>
  <c r="BP10" i="7"/>
  <c r="BR15" i="7"/>
  <c r="BK35" i="7"/>
  <c r="BS30" i="7"/>
  <c r="BQ30" i="7"/>
  <c r="BN15" i="7"/>
  <c r="BN10" i="7"/>
  <c r="BM15" i="7"/>
  <c r="BS35" i="7"/>
  <c r="BM35" i="7"/>
  <c r="BQ35" i="7"/>
  <c r="BL20" i="7"/>
  <c r="BR30" i="7"/>
  <c r="BM25" i="7"/>
  <c r="BP20" i="7"/>
  <c r="BL35" i="7"/>
  <c r="BL30" i="7"/>
  <c r="BM20" i="7"/>
  <c r="BQ20" i="7"/>
  <c r="BQ25" i="7"/>
  <c r="BJ25" i="7"/>
  <c r="BP30" i="7"/>
  <c r="BT15" i="7"/>
  <c r="BS15" i="7"/>
  <c r="BK15" i="7"/>
  <c r="BS20" i="7"/>
  <c r="BM10" i="7"/>
  <c r="BT5" i="7"/>
  <c r="BR5" i="7"/>
  <c r="BS25" i="7"/>
  <c r="BT30" i="7"/>
  <c r="BG22" i="7" l="1"/>
  <c r="BG24" i="7"/>
  <c r="AK41" i="7"/>
  <c r="BG10" i="7"/>
  <c r="BG18" i="7"/>
  <c r="BG25" i="3"/>
  <c r="AK42" i="3"/>
  <c r="BG13" i="3"/>
  <c r="AH42" i="7"/>
  <c r="BG6" i="7"/>
  <c r="BG8" i="7"/>
  <c r="BG14" i="7"/>
  <c r="BG16" i="7"/>
  <c r="BG26" i="7"/>
  <c r="BG28" i="7"/>
  <c r="BG36" i="7"/>
  <c r="BG38" i="7"/>
  <c r="BG12" i="7"/>
  <c r="AJ41" i="7"/>
  <c r="BG32" i="7"/>
  <c r="BG34" i="7"/>
  <c r="BH30" i="3"/>
  <c r="AK41" i="3"/>
  <c r="AI28" i="3"/>
  <c r="AH42" i="3"/>
  <c r="BG38" i="3"/>
  <c r="AJ43" i="3"/>
  <c r="BH15" i="3"/>
  <c r="BG17" i="3"/>
  <c r="BG22" i="3"/>
  <c r="BG30" i="3"/>
  <c r="BG34" i="3"/>
  <c r="BB45" i="7"/>
  <c r="BB47" i="7"/>
  <c r="C48" i="1" s="1"/>
  <c r="BE9" i="7"/>
  <c r="K10" i="7"/>
  <c r="BH20" i="7"/>
  <c r="K30" i="7"/>
  <c r="BC45" i="7"/>
  <c r="BC47" i="7"/>
  <c r="J40" i="7"/>
  <c r="J41" i="7"/>
  <c r="BE36" i="7"/>
  <c r="BE38" i="7"/>
  <c r="AZ45" i="7"/>
  <c r="AZ47" i="7"/>
  <c r="C47" i="1" s="1"/>
  <c r="BA45" i="7"/>
  <c r="BA47" i="7"/>
  <c r="BG19" i="3"/>
  <c r="BE21" i="3"/>
  <c r="K23" i="3"/>
  <c r="BE23" i="3" s="1"/>
  <c r="BG26" i="3"/>
  <c r="BE28" i="3"/>
  <c r="BG32" i="3"/>
  <c r="K34" i="3"/>
  <c r="BA47" i="3"/>
  <c r="K11" i="3"/>
  <c r="BE11" i="3" s="1"/>
  <c r="BG7" i="3"/>
  <c r="J43" i="3"/>
  <c r="BG12" i="3"/>
  <c r="BG21" i="3"/>
  <c r="BG36" i="3"/>
  <c r="AZ45" i="3"/>
  <c r="BG15" i="3"/>
  <c r="J40" i="3"/>
  <c r="BG6" i="3"/>
  <c r="BE15" i="3"/>
  <c r="BG16" i="3"/>
  <c r="BE19" i="3"/>
  <c r="BG20" i="3"/>
  <c r="BE24" i="3"/>
  <c r="J42" i="3"/>
  <c r="BE36" i="3"/>
  <c r="BA45" i="3"/>
  <c r="BC47" i="3"/>
  <c r="AZ47" i="3"/>
  <c r="C13" i="1" s="1"/>
  <c r="AX17" i="5"/>
  <c r="AX19" i="5"/>
  <c r="BF5" i="5"/>
  <c r="BD6" i="5"/>
  <c r="BG6" i="5"/>
  <c r="K7" i="5"/>
  <c r="BC7" i="5" s="1"/>
  <c r="BD13" i="5"/>
  <c r="M14" i="5"/>
  <c r="BB10" i="5"/>
  <c r="BD10" i="5"/>
  <c r="BD11" i="5"/>
  <c r="L12" i="5"/>
  <c r="M15" i="5"/>
  <c r="AY19" i="5"/>
  <c r="C24" i="1" s="1"/>
  <c r="BE12" i="5"/>
  <c r="D19" i="1" s="1"/>
  <c r="BE7" i="5"/>
  <c r="BG8" i="5"/>
  <c r="BE13" i="5"/>
  <c r="D20" i="1" s="1"/>
  <c r="BD14" i="5"/>
  <c r="K14" i="5"/>
  <c r="BE11" i="5"/>
  <c r="AZ17" i="5"/>
  <c r="AZ19" i="5"/>
  <c r="BC11" i="5"/>
  <c r="L13" i="5"/>
  <c r="AW17" i="5"/>
  <c r="AW19" i="5"/>
  <c r="C23" i="1" s="1"/>
  <c r="AI15" i="5"/>
  <c r="BD15" i="5" s="1"/>
  <c r="AI12" i="5"/>
  <c r="BD12" i="5" s="1"/>
  <c r="BG7" i="5"/>
  <c r="BC8" i="5"/>
  <c r="AH9" i="5"/>
  <c r="AH13" i="5" s="1"/>
  <c r="BE9" i="5"/>
  <c r="BB11" i="5"/>
  <c r="BF11" i="5"/>
  <c r="AJ14" i="5"/>
  <c r="BE14" i="5" s="1"/>
  <c r="D21" i="1" s="1"/>
  <c r="BG10" i="5"/>
  <c r="BG14" i="5" s="1"/>
  <c r="BG11" i="5"/>
  <c r="AX19" i="6"/>
  <c r="BE5" i="6"/>
  <c r="BG6" i="6"/>
  <c r="AY17" i="6"/>
  <c r="AY19" i="6"/>
  <c r="C36" i="1" s="1"/>
  <c r="K6" i="6"/>
  <c r="BD6" i="6"/>
  <c r="J14" i="6"/>
  <c r="M14" i="6"/>
  <c r="BB11" i="6"/>
  <c r="AZ19" i="6"/>
  <c r="BE6" i="6"/>
  <c r="AW17" i="6"/>
  <c r="AW19" i="6"/>
  <c r="C35" i="1" s="1"/>
  <c r="BC6" i="6"/>
  <c r="BD8" i="6"/>
  <c r="BE8" i="6"/>
  <c r="BC10" i="6"/>
  <c r="BQ43" i="3"/>
  <c r="I12" i="1" s="1"/>
  <c r="BQ40" i="3"/>
  <c r="I9" i="1" s="1"/>
  <c r="BJ41" i="3"/>
  <c r="C10" i="1" s="1"/>
  <c r="BT41" i="3"/>
  <c r="L10" i="1" s="1"/>
  <c r="BR42" i="3"/>
  <c r="J11" i="1" s="1"/>
  <c r="BR43" i="7"/>
  <c r="J46" i="1" s="1"/>
  <c r="BP41" i="7"/>
  <c r="H44" i="1" s="1"/>
  <c r="BL43" i="3"/>
  <c r="E12" i="1" s="1"/>
  <c r="BL40" i="3"/>
  <c r="E9" i="1" s="1"/>
  <c r="BP41" i="3"/>
  <c r="H10" i="1" s="1"/>
  <c r="BM42" i="3"/>
  <c r="F11" i="1" s="1"/>
  <c r="BN42" i="7"/>
  <c r="G45" i="1" s="1"/>
  <c r="BQ41" i="3"/>
  <c r="I10" i="1" s="1"/>
  <c r="BN42" i="3"/>
  <c r="G11" i="1" s="1"/>
  <c r="BM43" i="7"/>
  <c r="F46" i="1" s="1"/>
  <c r="BJ41" i="7"/>
  <c r="C44" i="1" s="1"/>
  <c r="BS42" i="7"/>
  <c r="K45" i="1" s="1"/>
  <c r="BL41" i="3"/>
  <c r="E10" i="1" s="1"/>
  <c r="BS42" i="3"/>
  <c r="K11" i="1" s="1"/>
  <c r="BT41" i="7"/>
  <c r="L44" i="1" s="1"/>
  <c r="BL41" i="7"/>
  <c r="E44" i="1" s="1"/>
  <c r="BQ41" i="7"/>
  <c r="I44" i="1" s="1"/>
  <c r="BP42" i="7"/>
  <c r="H45" i="1" s="1"/>
  <c r="BT42" i="7"/>
  <c r="L45" i="1" s="1"/>
  <c r="BM41" i="3"/>
  <c r="F10" i="1" s="1"/>
  <c r="BR41" i="3"/>
  <c r="J10" i="1" s="1"/>
  <c r="BJ42" i="3"/>
  <c r="C11" i="1" s="1"/>
  <c r="BP42" i="3"/>
  <c r="H11" i="1" s="1"/>
  <c r="BT42" i="3"/>
  <c r="L11" i="1" s="1"/>
  <c r="BP43" i="7"/>
  <c r="H46" i="1" s="1"/>
  <c r="BT43" i="7"/>
  <c r="L46" i="1" s="1"/>
  <c r="BM41" i="7"/>
  <c r="F44" i="1" s="1"/>
  <c r="BR41" i="7"/>
  <c r="J44" i="1" s="1"/>
  <c r="BL42" i="7"/>
  <c r="E45" i="1" s="1"/>
  <c r="BQ42" i="7"/>
  <c r="I45" i="1" s="1"/>
  <c r="BS43" i="3"/>
  <c r="K12" i="1" s="1"/>
  <c r="BK41" i="3"/>
  <c r="D10" i="1" s="1"/>
  <c r="BN41" i="3"/>
  <c r="G10" i="1" s="1"/>
  <c r="BS41" i="3"/>
  <c r="K10" i="1" s="1"/>
  <c r="BL42" i="3"/>
  <c r="E11" i="1" s="1"/>
  <c r="BQ42" i="3"/>
  <c r="I11" i="1" s="1"/>
  <c r="BL40" i="7"/>
  <c r="E43" i="1" s="1"/>
  <c r="BL43" i="7"/>
  <c r="E46" i="1" s="1"/>
  <c r="BQ43" i="7"/>
  <c r="I46" i="1" s="1"/>
  <c r="BQ40" i="7"/>
  <c r="I43" i="1" s="1"/>
  <c r="BN41" i="7"/>
  <c r="G44" i="1" s="1"/>
  <c r="BS41" i="7"/>
  <c r="K44" i="1" s="1"/>
  <c r="BM42" i="7"/>
  <c r="F45" i="1" s="1"/>
  <c r="BR42" i="7"/>
  <c r="J45" i="1" s="1"/>
  <c r="BH20" i="3" a="1"/>
  <c r="BH20" i="3" s="1"/>
  <c r="L40" i="3"/>
  <c r="BM43" i="3"/>
  <c r="F12" i="1" s="1"/>
  <c r="BM40" i="3"/>
  <c r="F9" i="1" s="1"/>
  <c r="K17" i="3"/>
  <c r="BE17" i="3" s="1"/>
  <c r="AI20" i="3"/>
  <c r="AI27" i="3"/>
  <c r="BE27" i="3" s="1"/>
  <c r="AJ14" i="6"/>
  <c r="BE14" i="6" s="1"/>
  <c r="D33" i="1" s="1"/>
  <c r="BE10" i="6"/>
  <c r="BN43" i="3"/>
  <c r="G12" i="1" s="1"/>
  <c r="BN40" i="3"/>
  <c r="G9" i="1" s="1"/>
  <c r="BG8" i="3"/>
  <c r="K10" i="3"/>
  <c r="BH10" i="3" a="1"/>
  <c r="BH10" i="3" s="1"/>
  <c r="AI10" i="3"/>
  <c r="AI12" i="3"/>
  <c r="BE12" i="3" s="1"/>
  <c r="K13" i="3"/>
  <c r="BE13" i="3" s="1"/>
  <c r="BG18" i="3"/>
  <c r="K20" i="3"/>
  <c r="AI41" i="3"/>
  <c r="BE25" i="3"/>
  <c r="BE26" i="3"/>
  <c r="L42" i="3"/>
  <c r="BG33" i="3"/>
  <c r="K33" i="3"/>
  <c r="K42" i="3" s="1"/>
  <c r="BC13" i="5"/>
  <c r="C20" i="1" s="1"/>
  <c r="BG11" i="6" a="1"/>
  <c r="BG11" i="6" s="1"/>
  <c r="BF11" i="6"/>
  <c r="AH11" i="6"/>
  <c r="AZ17" i="6"/>
  <c r="AK40" i="3"/>
  <c r="AK43" i="3"/>
  <c r="BE18" i="3"/>
  <c r="BE34" i="3"/>
  <c r="BG39" i="3"/>
  <c r="AI39" i="3"/>
  <c r="BE39" i="3" s="1"/>
  <c r="L13" i="6"/>
  <c r="BD13" i="6" s="1"/>
  <c r="BD9" i="6"/>
  <c r="BF9" i="6"/>
  <c r="AH9" i="6"/>
  <c r="BG9" i="6" a="1"/>
  <c r="BG9" i="6" s="1"/>
  <c r="BG13" i="6" s="1"/>
  <c r="BH5" i="3" a="1"/>
  <c r="BH5" i="3" s="1"/>
  <c r="BR43" i="3"/>
  <c r="J12" i="1" s="1"/>
  <c r="BR40" i="3"/>
  <c r="J9" i="1" s="1"/>
  <c r="AI7" i="3"/>
  <c r="BE7" i="3" s="1"/>
  <c r="BE14" i="3"/>
  <c r="AI16" i="3"/>
  <c r="BE16" i="3" s="1"/>
  <c r="BH25" i="3" a="1"/>
  <c r="BH25" i="3" s="1"/>
  <c r="BH41" i="3" s="1"/>
  <c r="M42" i="3"/>
  <c r="BE33" i="3"/>
  <c r="BG35" i="3"/>
  <c r="BH35" i="3" a="1"/>
  <c r="BH35" i="3" s="1"/>
  <c r="BH42" i="3" s="1"/>
  <c r="AI35" i="3"/>
  <c r="BE35" i="3" s="1"/>
  <c r="BG37" i="3"/>
  <c r="K37" i="3"/>
  <c r="BE37" i="3" s="1"/>
  <c r="BB47" i="3"/>
  <c r="C14" i="1" s="1"/>
  <c r="J13" i="5"/>
  <c r="BB13" i="5" s="1"/>
  <c r="E20" i="1" s="1"/>
  <c r="BB9" i="5"/>
  <c r="L12" i="6"/>
  <c r="L15" i="6"/>
  <c r="BD5" i="6"/>
  <c r="BF5" i="6"/>
  <c r="AH5" i="6"/>
  <c r="BG5" i="6" a="1"/>
  <c r="BG5" i="6" s="1"/>
  <c r="M40" i="3"/>
  <c r="M43" i="3"/>
  <c r="BE5" i="3"/>
  <c r="BE6" i="3"/>
  <c r="AJ40" i="3"/>
  <c r="BP43" i="3"/>
  <c r="H12" i="1" s="1"/>
  <c r="BP40" i="3"/>
  <c r="H9" i="1" s="1"/>
  <c r="BT43" i="3"/>
  <c r="L12" i="1" s="1"/>
  <c r="BT40" i="3"/>
  <c r="L9" i="1" s="1"/>
  <c r="L43" i="3"/>
  <c r="AH43" i="3"/>
  <c r="AI8" i="3"/>
  <c r="BE8" i="3" s="1"/>
  <c r="K9" i="3"/>
  <c r="BE9" i="3" s="1"/>
  <c r="BG14" i="3"/>
  <c r="BE22" i="3"/>
  <c r="BG24" i="3"/>
  <c r="J41" i="3"/>
  <c r="AJ41" i="3"/>
  <c r="L41" i="3"/>
  <c r="AH41" i="3"/>
  <c r="BG29" i="3"/>
  <c r="K29" i="3"/>
  <c r="K41" i="3" s="1"/>
  <c r="AJ42" i="3"/>
  <c r="BG31" i="3"/>
  <c r="AI31" i="3"/>
  <c r="BE31" i="3" s="1"/>
  <c r="BE38" i="3"/>
  <c r="AH40" i="3"/>
  <c r="BS40" i="3"/>
  <c r="K9" i="1" s="1"/>
  <c r="J12" i="5"/>
  <c r="J15" i="5"/>
  <c r="BB15" i="5" s="1"/>
  <c r="E22" i="1" s="1"/>
  <c r="BB5" i="5"/>
  <c r="AY17" i="5"/>
  <c r="BF7" i="6"/>
  <c r="K7" i="6"/>
  <c r="BC7" i="6" s="1"/>
  <c r="BG8" i="6" a="1"/>
  <c r="BG8" i="6" s="1"/>
  <c r="BF8" i="6"/>
  <c r="AH8" i="6"/>
  <c r="BC8" i="6" s="1"/>
  <c r="M12" i="6"/>
  <c r="BG39" i="7"/>
  <c r="AI39" i="7"/>
  <c r="BE39" i="7" s="1"/>
  <c r="BD7" i="5"/>
  <c r="M15" i="6"/>
  <c r="AG15" i="6"/>
  <c r="BB5" i="6"/>
  <c r="AG12" i="6"/>
  <c r="BG13" i="7"/>
  <c r="K13" i="7"/>
  <c r="BE13" i="7" s="1"/>
  <c r="BG33" i="7"/>
  <c r="K33" i="7"/>
  <c r="BE33" i="7" s="1"/>
  <c r="AI30" i="3"/>
  <c r="AG12" i="5"/>
  <c r="BG5" i="5" a="1"/>
  <c r="BG5" i="5" s="1"/>
  <c r="BF6" i="5"/>
  <c r="AH6" i="5"/>
  <c r="BC6" i="5" s="1"/>
  <c r="BG9" i="5" a="1"/>
  <c r="BG9" i="5" s="1"/>
  <c r="BG13" i="5" s="1"/>
  <c r="BF10" i="5"/>
  <c r="AH10" i="5"/>
  <c r="AG14" i="5"/>
  <c r="BB14" i="5" s="1"/>
  <c r="E21" i="1" s="1"/>
  <c r="AJ15" i="5"/>
  <c r="BE15" i="5" s="1"/>
  <c r="D22" i="1" s="1"/>
  <c r="J15" i="6"/>
  <c r="BE9" i="6"/>
  <c r="AG13" i="6"/>
  <c r="BB13" i="6" s="1"/>
  <c r="E32" i="1" s="1"/>
  <c r="L43" i="7"/>
  <c r="BN43" i="7"/>
  <c r="G46" i="1" s="1"/>
  <c r="BN40" i="7"/>
  <c r="G43" i="1" s="1"/>
  <c r="BS43" i="7"/>
  <c r="K46" i="1" s="1"/>
  <c r="BS40" i="7"/>
  <c r="K43" i="1" s="1"/>
  <c r="BE6" i="7"/>
  <c r="BG7" i="7"/>
  <c r="AI7" i="7"/>
  <c r="BE7" i="7" s="1"/>
  <c r="BH10" i="7" a="1"/>
  <c r="BH10" i="7" s="1"/>
  <c r="BE14" i="7"/>
  <c r="BG15" i="7"/>
  <c r="BH15" i="7" a="1"/>
  <c r="BH15" i="7" s="1"/>
  <c r="AI15" i="7"/>
  <c r="L41" i="7"/>
  <c r="BE26" i="7"/>
  <c r="BG27" i="7"/>
  <c r="AI27" i="7"/>
  <c r="BE27" i="7" s="1"/>
  <c r="BH30" i="7" a="1"/>
  <c r="BH30" i="7" s="1"/>
  <c r="BE34" i="7"/>
  <c r="BG35" i="7"/>
  <c r="BH35" i="7" a="1"/>
  <c r="BH35" i="7" s="1"/>
  <c r="AI35" i="7"/>
  <c r="K12" i="5"/>
  <c r="K15" i="5"/>
  <c r="AH12" i="5"/>
  <c r="BC12" i="5" s="1"/>
  <c r="C19" i="1" s="1"/>
  <c r="AH15" i="5"/>
  <c r="BC5" i="5"/>
  <c r="BC9" i="5"/>
  <c r="AJ15" i="6"/>
  <c r="BE15" i="6" s="1"/>
  <c r="D34" i="1" s="1"/>
  <c r="AJ12" i="6"/>
  <c r="BE12" i="6" s="1"/>
  <c r="D31" i="1" s="1"/>
  <c r="BG7" i="6" a="1"/>
  <c r="BG7" i="6" s="1"/>
  <c r="BE13" i="6"/>
  <c r="D32" i="1" s="1"/>
  <c r="K14" i="6"/>
  <c r="BD10" i="6"/>
  <c r="AI14" i="6"/>
  <c r="BD14" i="6" s="1"/>
  <c r="BE11" i="6"/>
  <c r="M43" i="7"/>
  <c r="AJ43" i="7"/>
  <c r="AJ40" i="7"/>
  <c r="AH40" i="7"/>
  <c r="AH43" i="7"/>
  <c r="BG11" i="7"/>
  <c r="AI11" i="7"/>
  <c r="BE11" i="7" s="1"/>
  <c r="L42" i="7"/>
  <c r="BG31" i="7"/>
  <c r="AI31" i="7"/>
  <c r="BE31" i="7" s="1"/>
  <c r="AG14" i="6"/>
  <c r="BG10" i="6" a="1"/>
  <c r="BG10" i="6" s="1"/>
  <c r="BF10" i="6"/>
  <c r="J12" i="6"/>
  <c r="K5" i="7"/>
  <c r="AK43" i="7"/>
  <c r="BE17" i="7"/>
  <c r="BE18" i="7"/>
  <c r="BG19" i="7"/>
  <c r="AI19" i="7"/>
  <c r="BE19" i="7" s="1"/>
  <c r="K25" i="7"/>
  <c r="M42" i="7"/>
  <c r="AJ42" i="7"/>
  <c r="BD5" i="5"/>
  <c r="K15" i="6"/>
  <c r="AI12" i="6"/>
  <c r="BD12" i="6" s="1"/>
  <c r="AI15" i="6"/>
  <c r="BB10" i="6"/>
  <c r="K12" i="6"/>
  <c r="BH5" i="7" a="1"/>
  <c r="BH5" i="7" s="1"/>
  <c r="BE22" i="7"/>
  <c r="BG23" i="7"/>
  <c r="AI23" i="7"/>
  <c r="BE23" i="7" s="1"/>
  <c r="BH25" i="7" a="1"/>
  <c r="BH25" i="7" s="1"/>
  <c r="BH41" i="7" s="1"/>
  <c r="BG29" i="7"/>
  <c r="K29" i="7"/>
  <c r="BE29" i="7" s="1"/>
  <c r="AK42" i="7"/>
  <c r="BE37" i="7"/>
  <c r="BG5" i="7"/>
  <c r="BG9" i="7"/>
  <c r="BG17" i="7"/>
  <c r="BG21" i="7"/>
  <c r="BG25" i="7"/>
  <c r="BG37" i="7"/>
  <c r="BM40" i="7"/>
  <c r="F43" i="1" s="1"/>
  <c r="BR40" i="7"/>
  <c r="J43" i="1" s="1"/>
  <c r="K8" i="7"/>
  <c r="BE8" i="7" s="1"/>
  <c r="AI10" i="7"/>
  <c r="BE10" i="7" s="1"/>
  <c r="K12" i="7"/>
  <c r="BE12" i="7" s="1"/>
  <c r="K16" i="7"/>
  <c r="BE16" i="7" s="1"/>
  <c r="K20" i="7"/>
  <c r="BE20" i="7" s="1"/>
  <c r="BG20" i="7"/>
  <c r="K24" i="7"/>
  <c r="BE24" i="7" s="1"/>
  <c r="K28" i="7"/>
  <c r="BE28" i="7" s="1"/>
  <c r="AI30" i="7"/>
  <c r="K32" i="7"/>
  <c r="BE32" i="7" s="1"/>
  <c r="L40" i="7"/>
  <c r="AI5" i="7"/>
  <c r="K15" i="7"/>
  <c r="AI25" i="7"/>
  <c r="K35" i="7"/>
  <c r="M40" i="7"/>
  <c r="AK40" i="7"/>
  <c r="BP40" i="7"/>
  <c r="H43" i="1" s="1"/>
  <c r="BT40" i="7"/>
  <c r="L43" i="1" s="1"/>
  <c r="BJ10" i="3"/>
  <c r="BK20" i="3"/>
  <c r="BJ20" i="3"/>
  <c r="BJ15" i="3"/>
  <c r="BK35" i="3"/>
  <c r="BK15" i="3"/>
  <c r="BJ15" i="7"/>
  <c r="BK30" i="7"/>
  <c r="BK5" i="7"/>
  <c r="BJ10" i="7"/>
  <c r="BJ20" i="7"/>
  <c r="BJ35" i="7"/>
  <c r="BJ30" i="7"/>
  <c r="BK10" i="7"/>
  <c r="BK25" i="7"/>
  <c r="BH42" i="7" l="1"/>
  <c r="BK42" i="7"/>
  <c r="D45" i="1" s="1"/>
  <c r="BE15" i="7"/>
  <c r="BB14" i="6"/>
  <c r="E33" i="1" s="1"/>
  <c r="BJ42" i="7"/>
  <c r="C45" i="1" s="1"/>
  <c r="BJ40" i="7"/>
  <c r="C43" i="1" s="1"/>
  <c r="BJ43" i="7"/>
  <c r="C46" i="1" s="1"/>
  <c r="BK42" i="3"/>
  <c r="D11" i="1" s="1"/>
  <c r="BK40" i="3"/>
  <c r="D9" i="1" s="1"/>
  <c r="BK43" i="3"/>
  <c r="D12" i="1" s="1"/>
  <c r="BJ43" i="3"/>
  <c r="C12" i="1" s="1"/>
  <c r="BJ40" i="3"/>
  <c r="C9" i="1" s="1"/>
  <c r="BK41" i="7"/>
  <c r="D44" i="1" s="1"/>
  <c r="BE41" i="3"/>
  <c r="BD15" i="6"/>
  <c r="BG12" i="5"/>
  <c r="BG15" i="5"/>
  <c r="AH15" i="6"/>
  <c r="BC15" i="6" s="1"/>
  <c r="C34" i="1" s="1"/>
  <c r="BC5" i="6"/>
  <c r="AH12" i="6"/>
  <c r="BC12" i="6" s="1"/>
  <c r="C31" i="1" s="1"/>
  <c r="BH43" i="3"/>
  <c r="BH40" i="3"/>
  <c r="BE29" i="3"/>
  <c r="BE20" i="3"/>
  <c r="K40" i="3"/>
  <c r="BE25" i="7"/>
  <c r="AI41" i="7"/>
  <c r="K42" i="7"/>
  <c r="BH43" i="7"/>
  <c r="BH40" i="7"/>
  <c r="K43" i="7"/>
  <c r="K40" i="7"/>
  <c r="BG14" i="6"/>
  <c r="BB12" i="5"/>
  <c r="E19" i="1" s="1"/>
  <c r="BB15" i="6"/>
  <c r="E34" i="1" s="1"/>
  <c r="AI40" i="3"/>
  <c r="BC11" i="6"/>
  <c r="AH14" i="6"/>
  <c r="BC14" i="6" s="1"/>
  <c r="C33" i="1" s="1"/>
  <c r="K43" i="3"/>
  <c r="BB12" i="6"/>
  <c r="E31" i="1" s="1"/>
  <c r="BG12" i="6"/>
  <c r="BG15" i="6"/>
  <c r="BE5" i="7"/>
  <c r="AI43" i="7"/>
  <c r="AI40" i="7"/>
  <c r="BE40" i="7" s="1"/>
  <c r="BE30" i="7"/>
  <c r="AI42" i="7"/>
  <c r="K41" i="7"/>
  <c r="BK43" i="7"/>
  <c r="D46" i="1" s="1"/>
  <c r="BK40" i="7"/>
  <c r="D43" i="1" s="1"/>
  <c r="BC15" i="5"/>
  <c r="C22" i="1" s="1"/>
  <c r="BE35" i="7"/>
  <c r="BC10" i="5"/>
  <c r="AH14" i="5"/>
  <c r="BC14" i="5" s="1"/>
  <c r="C21" i="1" s="1"/>
  <c r="AI42" i="3"/>
  <c r="BE42" i="3" s="1"/>
  <c r="BE30" i="3"/>
  <c r="AI43" i="3"/>
  <c r="AH13" i="6"/>
  <c r="BC13" i="6" s="1"/>
  <c r="C32" i="1" s="1"/>
  <c r="BC9" i="6"/>
  <c r="BE10" i="3"/>
  <c r="BE43" i="7" l="1"/>
  <c r="BE43" i="3"/>
  <c r="BE40" i="3"/>
  <c r="BE42" i="7"/>
  <c r="BE41" i="7"/>
</calcChain>
</file>

<file path=xl/sharedStrings.xml><?xml version="1.0" encoding="utf-8"?>
<sst xmlns="http://schemas.openxmlformats.org/spreadsheetml/2006/main" count="1520" uniqueCount="594">
  <si>
    <t>Reference:</t>
  </si>
  <si>
    <t>Master+r7.0</t>
  </si>
  <si>
    <t>Tested:</t>
  </si>
  <si>
    <t>CTC</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</si>
  <si>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</si>
  <si>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</si>
  <si>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</si>
  <si>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</si>
  <si>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</si>
  <si>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</si>
  <si>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</si>
  <si>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</si>
  <si>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</si>
  <si>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</si>
  <si>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</si>
  <si>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</si>
  <si>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</si>
  <si>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</si>
  <si>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</si>
  <si>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</si>
  <si>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</si>
  <si>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</si>
  <si>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</si>
  <si>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</si>
  <si>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</si>
  <si>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</si>
  <si>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</si>
  <si>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</si>
  <si>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</si>
  <si>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</si>
  <si>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</si>
  <si>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</si>
  <si>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</si>
  <si>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</si>
  <si>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</si>
  <si>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</si>
  <si>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</si>
  <si>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</si>
  <si>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</si>
  <si>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</si>
  <si>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</si>
  <si>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</si>
  <si>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</si>
  <si>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</si>
  <si>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</si>
  <si>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</si>
  <si>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</si>
  <si>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</si>
  <si>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</si>
  <si>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</si>
  <si>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</si>
  <si>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</si>
  <si>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</si>
  <si>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</si>
  <si>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</si>
  <si>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</si>
  <si>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</si>
  <si>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</si>
  <si>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</si>
  <si>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</si>
  <si>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</si>
  <si>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</si>
  <si>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</si>
  <si>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</si>
  <si>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</si>
  <si>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</si>
  <si>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</si>
  <si>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</si>
  <si>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</si>
  <si>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</si>
  <si>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</si>
  <si>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</si>
  <si>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</si>
  <si>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</si>
  <si>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</si>
  <si>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</si>
  <si>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</si>
  <si>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</si>
  <si>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</si>
  <si>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</si>
  <si>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</si>
  <si>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</si>
  <si>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</si>
  <si>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</si>
  <si>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</si>
  <si>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</si>
  <si>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</si>
  <si>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</si>
  <si>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</si>
  <si>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</si>
  <si>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</si>
  <si>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</si>
  <si>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</si>
  <si>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</si>
  <si>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</si>
  <si>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</si>
  <si>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</si>
  <si>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</si>
  <si>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</si>
  <si>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</si>
  <si>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</si>
  <si>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</si>
  <si>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</si>
  <si>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</si>
  <si>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</si>
  <si>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</si>
  <si>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</si>
  <si>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</si>
  <si>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</si>
  <si>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</si>
  <si>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</si>
  <si>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</si>
  <si>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</si>
  <si>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</si>
  <si>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</si>
  <si>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</si>
  <si>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</si>
  <si>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</si>
  <si>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</si>
  <si>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</si>
  <si>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</si>
  <si>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</si>
  <si>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</si>
  <si>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</si>
  <si>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</si>
  <si>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</si>
  <si>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</si>
  <si>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</si>
  <si>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</si>
  <si>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</si>
  <si>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</si>
  <si>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</si>
  <si>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</si>
  <si>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</si>
  <si>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</si>
  <si>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</si>
  <si>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</si>
  <si>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</si>
  <si>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</si>
  <si>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</si>
  <si>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</si>
  <si>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</si>
  <si>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</si>
  <si>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</si>
  <si>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</si>
  <si>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</si>
  <si>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</si>
  <si>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</si>
  <si>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</si>
  <si>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</si>
  <si>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</si>
  <si>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</si>
  <si>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</si>
  <si>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</si>
  <si>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</si>
  <si>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</si>
  <si>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</si>
  <si>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</si>
  <si>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</si>
  <si>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</si>
  <si>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</si>
  <si>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</si>
  <si>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</si>
  <si>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</si>
  <si>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</si>
  <si>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</si>
  <si>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</si>
  <si>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</si>
  <si>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</si>
  <si>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</si>
  <si>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</si>
  <si>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</si>
  <si>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</si>
  <si>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</si>
  <si>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</si>
  <si>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</si>
  <si>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</si>
  <si>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</si>
  <si>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</si>
  <si>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</si>
  <si>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</si>
  <si>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</si>
  <si>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</si>
  <si>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</si>
  <si>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</si>
  <si>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</si>
  <si>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</si>
  <si>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</si>
  <si>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</si>
  <si>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</si>
  <si>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</si>
  <si>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</si>
  <si>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</si>
  <si>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</si>
  <si>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</si>
  <si>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</si>
  <si>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</si>
  <si>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</si>
  <si>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</si>
  <si>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</si>
  <si>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</si>
  <si>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</si>
  <si>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</si>
  <si>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</si>
  <si>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</si>
  <si>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</si>
  <si>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</si>
  <si>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</si>
  <si>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</si>
  <si>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</si>
  <si>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</si>
  <si>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</si>
  <si>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</si>
  <si>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</si>
  <si>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</si>
  <si>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</si>
  <si>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</si>
  <si>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</si>
  <si>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</si>
  <si>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</si>
  <si>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</si>
  <si>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</si>
  <si>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</si>
  <si>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</si>
  <si>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</si>
  <si>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</si>
  <si>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</si>
  <si>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</si>
  <si>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</si>
  <si>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</si>
  <si>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</si>
  <si>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</si>
  <si>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</si>
  <si>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</si>
  <si>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</si>
  <si>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</si>
  <si>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</si>
  <si>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</si>
  <si>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</si>
  <si>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</si>
  <si>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</si>
  <si>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</si>
  <si>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</si>
  <si>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</si>
  <si>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</si>
  <si>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</si>
  <si>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</si>
  <si>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</si>
  <si>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</si>
  <si>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</si>
  <si>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</si>
  <si>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</si>
  <si>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</si>
  <si>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</si>
  <si>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</si>
  <si>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</si>
  <si>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</si>
  <si>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</si>
  <si>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</si>
  <si>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</si>
  <si>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</si>
  <si>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</si>
  <si>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</si>
  <si>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</si>
  <si>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</si>
  <si>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</si>
  <si>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</si>
  <si>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</si>
  <si>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</si>
  <si>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</si>
  <si>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</si>
  <si>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</si>
  <si>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</si>
  <si>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</si>
  <si>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</si>
  <si>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</si>
  <si>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</si>
  <si>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</si>
  <si>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</si>
  <si>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</si>
  <si>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</si>
  <si>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</si>
  <si>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</si>
  <si>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</si>
  <si>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</si>
  <si>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</si>
  <si>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</si>
  <si>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</si>
  <si>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</si>
  <si>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</si>
  <si>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</si>
  <si>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</si>
  <si>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</si>
  <si>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</si>
  <si>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</si>
  <si>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</si>
  <si>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</si>
  <si>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</si>
  <si>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</si>
  <si>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</si>
  <si>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</si>
  <si>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</si>
  <si>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</si>
  <si>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</si>
  <si>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</si>
  <si>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</si>
  <si>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</si>
  <si>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</si>
  <si>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</si>
  <si>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</si>
  <si>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</si>
  <si>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</si>
  <si>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</si>
  <si>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</si>
  <si>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</si>
  <si>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</si>
  <si>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</si>
  <si>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</si>
  <si>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</si>
  <si>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</si>
  <si>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</si>
  <si>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</si>
  <si>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</si>
  <si>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</si>
  <si>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</si>
  <si>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</si>
  <si>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</si>
  <si>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</si>
  <si>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</si>
  <si>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</si>
  <si>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</si>
  <si>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</si>
  <si>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</si>
  <si>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</si>
  <si>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</si>
  <si>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</si>
  <si>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</si>
  <si>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</si>
  <si>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</si>
  <si>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</si>
  <si>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</si>
  <si>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</si>
  <si>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</si>
  <si>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</si>
  <si>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</si>
  <si>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</si>
  <si>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</si>
  <si>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</si>
  <si>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</si>
  <si>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</si>
  <si>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</si>
  <si>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</si>
  <si>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</si>
  <si>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</si>
  <si>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</si>
  <si>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</si>
  <si>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</si>
  <si>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</si>
  <si>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</si>
  <si>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</si>
  <si>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</si>
  <si>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</si>
  <si>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</si>
  <si>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</si>
  <si>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</si>
  <si>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</si>
  <si>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</si>
  <si>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</si>
  <si>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</si>
  <si>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</si>
  <si>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</si>
  <si>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</si>
  <si>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</si>
  <si>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</si>
  <si>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</si>
  <si>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</si>
  <si>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</si>
  <si>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</si>
  <si>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</si>
  <si>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</si>
  <si>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</si>
  <si>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</si>
  <si>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</si>
  <si>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</si>
  <si>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</si>
  <si>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</si>
  <si>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</si>
  <si>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</si>
  <si>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</si>
  <si>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</si>
  <si>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</si>
  <si>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</si>
  <si>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</si>
  <si>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</si>
  <si>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</si>
  <si>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</si>
  <si>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</si>
  <si>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</si>
  <si>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</si>
  <si>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</si>
  <si>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</si>
  <si>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</si>
  <si>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</si>
  <si>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</si>
  <si>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</si>
  <si>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</si>
  <si>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</si>
  <si>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</si>
  <si>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</si>
  <si>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</si>
  <si>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</si>
  <si>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</si>
  <si>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</si>
  <si>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</si>
  <si>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</si>
  <si>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</si>
  <si>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</si>
  <si>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</si>
  <si>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</si>
  <si>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</si>
  <si>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</si>
  <si>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</si>
  <si>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</si>
  <si>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</si>
  <si>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</si>
  <si>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</si>
  <si>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</si>
  <si>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</si>
  <si>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</si>
  <si>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</si>
  <si>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</si>
  <si>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</si>
  <si>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</si>
  <si>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</si>
  <si>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</si>
  <si>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</si>
  <si>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</si>
  <si>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</si>
  <si>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</si>
  <si>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</si>
  <si>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</si>
  <si>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</si>
  <si>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</si>
  <si>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</si>
  <si>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</si>
  <si>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</si>
  <si>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</si>
  <si>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</si>
  <si>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</si>
  <si>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</si>
  <si>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</si>
  <si>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</si>
  <si>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</si>
  <si>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</si>
  <si>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</si>
  <si>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</si>
  <si>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</si>
  <si>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</si>
  <si>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</si>
  <si>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</si>
  <si>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</si>
  <si>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</si>
  <si>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</si>
  <si>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</si>
  <si>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</si>
  <si>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</si>
  <si>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</si>
  <si>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</si>
  <si>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</si>
  <si>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</si>
  <si>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</si>
  <si>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</si>
  <si>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</si>
  <si>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</si>
  <si>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</si>
  <si>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</si>
  <si>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</si>
  <si>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</si>
  <si>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</si>
  <si>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</si>
  <si>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</si>
  <si>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</si>
  <si>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</si>
  <si>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</si>
  <si>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</si>
  <si>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</si>
  <si>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</si>
  <si>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</si>
  <si>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</si>
  <si>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</si>
  <si>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</si>
  <si>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</si>
  <si>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</si>
  <si>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</si>
  <si>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</si>
  <si>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</si>
  <si>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</si>
  <si>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</si>
  <si>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</si>
  <si>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</si>
  <si>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</si>
  <si>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</si>
  <si>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</si>
  <si>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</si>
  <si>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</si>
  <si>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</si>
  <si>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</si>
  <si>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</si>
  <si>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</si>
  <si>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</si>
  <si>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</si>
  <si>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</si>
  <si>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</si>
  <si>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</si>
  <si>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</si>
  <si>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</si>
  <si>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</si>
  <si>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</si>
  <si>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</si>
  <si>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</si>
  <si>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</si>
  <si>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</si>
  <si>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</si>
  <si>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</si>
  <si>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</si>
  <si>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</si>
  <si>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</si>
  <si>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</si>
  <si>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</si>
  <si>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</si>
  <si>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</si>
  <si>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</si>
  <si>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</si>
  <si>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</si>
  <si>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</si>
  <si>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</si>
  <si>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</si>
  <si>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</si>
  <si>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</si>
  <si>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</si>
  <si>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</si>
  <si>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</si>
  <si>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</si>
  <si>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</si>
  <si>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</si>
  <si>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</si>
  <si>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</si>
  <si>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</si>
  <si>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</si>
  <si>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</si>
  <si>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</si>
  <si>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</si>
  <si>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</si>
  <si>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</si>
  <si>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</si>
  <si>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</si>
  <si>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</si>
  <si>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</si>
  <si>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</si>
  <si>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</si>
  <si>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</si>
  <si>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</si>
  <si>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</si>
  <si>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</si>
  <si>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</si>
  <si>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</si>
  <si>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</si>
  <si>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</si>
  <si>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</si>
  <si>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</si>
  <si>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</si>
  <si>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</si>
  <si>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</si>
  <si>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</si>
  <si>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</si>
  <si>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</si>
  <si>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</si>
  <si>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</si>
  <si>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</si>
  <si>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</si>
  <si>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</si>
  <si>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</si>
  <si>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</si>
  <si>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</si>
  <si>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</si>
  <si>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</si>
  <si>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</si>
  <si>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</si>
  <si>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</si>
  <si>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</si>
  <si>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vpcc8.0rc2</t>
  </si>
  <si>
    <t>vpcc80rc2</t>
  </si>
  <si>
    <t>vpcc8.0rc3_lod12</t>
  </si>
  <si>
    <t>vpcc8.0_rc3_lod12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</si>
</sst>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vpcc8.0rc2</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66.354628124999991</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0-E988-4D62-A72B-FBFC193CC106}"/>
            </c:ext>
          </c:extLst>
        </c:ser>
        <c:ser>
          <c:idx val="1"/>
          <c:order val="1"/>
          <c:tx>
            <c:strRef>
              <c:f>Graphs!graph_a_B_title</c:f>
              <c:strCache>
                <c:ptCount val="1"/>
                <c:pt idx="0">
                  <c:v>vpcc8.0_rc3_lod12</c:v>
                </c:pt>
              </c:strCache>
            </c:strRef>
          </c:tx>
          <c:spPr>
            <a:ln>
              <a:prstDash val="solid"/>
            </a:ln>
          </c:spPr>
          <c:marker>
            <c:symbol val="none"/>
          </c:marker>
          <c:xVal>
            <c:numRef>
              <c:f>Graphs!graph_a_x_range_B</c:f>
              <c:numCache>
                <c:formatCode>0.00</c:formatCode>
                <c:ptCount val="5"/>
                <c:pt idx="0">
                  <c:v>3.0333275132437341E-3</c:v>
                </c:pt>
                <c:pt idx="1">
                  <c:v>4.2258041189463169E-3</c:v>
                </c:pt>
                <c:pt idx="2">
                  <c:v>5.8660053345087225E-3</c:v>
                </c:pt>
                <c:pt idx="3">
                  <c:v>8.7429584435734734E-3</c:v>
                </c:pt>
                <c:pt idx="4">
                  <c:v>1.3449844805752273E-2</c:v>
                </c:pt>
              </c:numCache>
            </c:numRef>
          </c:xVal>
          <c:yVal>
            <c:numRef>
              <c:f>Graphs!graph_a_y_range_B</c:f>
              <c:numCache>
                <c:formatCode>0.00</c:formatCode>
                <c:ptCount val="5"/>
                <c:pt idx="0">
                  <c:v>64.489997000000002</c:v>
                </c:pt>
                <c:pt idx="1">
                  <c:v>65.988699999999994</c:v>
                </c:pt>
                <c:pt idx="2">
                  <c:v>66.945509000000001</c:v>
                </c:pt>
                <c:pt idx="3">
                  <c:v>67.753487000000007</c:v>
                </c:pt>
                <c:pt idx="4">
                  <c:v>68.168746999999996</c:v>
                </c:pt>
              </c:numCache>
            </c:numRef>
          </c:yVal>
          <c:smooth val="1"/>
          <c:extLst>
            <c:ext xmlns:c16="http://schemas.microsoft.com/office/drawing/2014/chart" uri="{C3380CC4-5D6E-409C-BE32-E72D297353CC}">
              <c16:uniqueId val="{00000001-E988-4D62-A72B-FBFC193CC10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vpcc8.0rc2</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68.478524999999991</c:v>
                </c:pt>
                <c:pt idx="1">
                  <c:v>70.438459375000022</c:v>
                </c:pt>
                <c:pt idx="2">
                  <c:v>72.129403124999982</c:v>
                </c:pt>
                <c:pt idx="3">
                  <c:v>73.406981250000001</c:v>
                </c:pt>
                <c:pt idx="4">
                  <c:v>75.319240624999978</c:v>
                </c:pt>
              </c:numCache>
            </c:numRef>
          </c:yVal>
          <c:smooth val="1"/>
          <c:extLst>
            <c:ext xmlns:c16="http://schemas.microsoft.com/office/drawing/2014/chart" uri="{C3380CC4-5D6E-409C-BE32-E72D297353CC}">
              <c16:uniqueId val="{00000000-C383-4933-8DD3-7E6CA1131D4B}"/>
            </c:ext>
          </c:extLst>
        </c:ser>
        <c:ser>
          <c:idx val="1"/>
          <c:order val="1"/>
          <c:tx>
            <c:strRef>
              <c:f>Graphs!graph_b_B_title</c:f>
              <c:strCache>
                <c:ptCount val="1"/>
                <c:pt idx="0">
                  <c:v>vpcc8.0_rc3_lod12</c:v>
                </c:pt>
              </c:strCache>
            </c:strRef>
          </c:tx>
          <c:spPr>
            <a:ln>
              <a:prstDash val="solid"/>
            </a:ln>
          </c:spPr>
          <c:marker>
            <c:symbol val="none"/>
          </c:marker>
          <c:xVal>
            <c:numRef>
              <c:f>Graphs!graph_b_x_range_B</c:f>
              <c:numCache>
                <c:formatCode>0.00</c:formatCode>
                <c:ptCount val="5"/>
                <c:pt idx="0">
                  <c:v>3.0333275132437341E-3</c:v>
                </c:pt>
                <c:pt idx="1">
                  <c:v>4.2258041189463169E-3</c:v>
                </c:pt>
                <c:pt idx="2">
                  <c:v>5.8660053345087225E-3</c:v>
                </c:pt>
                <c:pt idx="3">
                  <c:v>8.7429584435734734E-3</c:v>
                </c:pt>
                <c:pt idx="4">
                  <c:v>1.3449844805752273E-2</c:v>
                </c:pt>
              </c:numCache>
            </c:numRef>
          </c:xVal>
          <c:yVal>
            <c:numRef>
              <c:f>Graphs!graph_b_y_range_B</c:f>
              <c:numCache>
                <c:formatCode>0.00</c:formatCode>
                <c:ptCount val="5"/>
                <c:pt idx="0">
                  <c:v>67.494112000000001</c:v>
                </c:pt>
                <c:pt idx="1">
                  <c:v>69.470080999999993</c:v>
                </c:pt>
                <c:pt idx="2">
                  <c:v>71.135231000000005</c:v>
                </c:pt>
                <c:pt idx="3">
                  <c:v>72.427177999999998</c:v>
                </c:pt>
                <c:pt idx="4">
                  <c:v>74.791096999999993</c:v>
                </c:pt>
              </c:numCache>
            </c:numRef>
          </c:yVal>
          <c:smooth val="1"/>
          <c:extLst>
            <c:ext xmlns:c16="http://schemas.microsoft.com/office/drawing/2014/chart" uri="{C3380CC4-5D6E-409C-BE32-E72D297353CC}">
              <c16:uniqueId val="{00000001-C383-4933-8DD3-7E6CA1131D4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vpcc8.0rc2</c:v>
                </c:pt>
              </c:strCache>
            </c:strRef>
          </c:tx>
          <c:spPr>
            <a:ln>
              <a:prstDash val="solid"/>
            </a:ln>
          </c:spPr>
          <c:marker>
            <c:symbol val="none"/>
          </c:marker>
          <c:xVal>
            <c:numRef>
              <c:f>Graphs!graph_c_x_range_A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Graphs!graph_c_y_range_A</c:f>
              <c:numCache>
                <c:formatCode>0.00</c:formatCode>
                <c:ptCount val="5"/>
                <c:pt idx="0">
                  <c:v>32.10944687500001</c:v>
                </c:pt>
                <c:pt idx="1">
                  <c:v>34.365984374999996</c:v>
                </c:pt>
                <c:pt idx="2">
                  <c:v>36.915784375000001</c:v>
                </c:pt>
                <c:pt idx="3">
                  <c:v>39.549353125000003</c:v>
                </c:pt>
                <c:pt idx="4">
                  <c:v>42.149681250000008</c:v>
                </c:pt>
              </c:numCache>
            </c:numRef>
          </c:yVal>
          <c:smooth val="1"/>
          <c:extLst>
            <c:ext xmlns:c16="http://schemas.microsoft.com/office/drawing/2014/chart" uri="{C3380CC4-5D6E-409C-BE32-E72D297353CC}">
              <c16:uniqueId val="{00000000-A5D5-4373-AF77-34927F988F9B}"/>
            </c:ext>
          </c:extLst>
        </c:ser>
        <c:ser>
          <c:idx val="1"/>
          <c:order val="1"/>
          <c:tx>
            <c:strRef>
              <c:f>Graphs!graph_c_B_title</c:f>
              <c:strCache>
                <c:ptCount val="1"/>
                <c:pt idx="0">
                  <c:v>vpcc8.0_rc3_lod12</c:v>
                </c:pt>
              </c:strCache>
            </c:strRef>
          </c:tx>
          <c:spPr>
            <a:ln>
              <a:prstDash val="solid"/>
            </a:ln>
          </c:spPr>
          <c:marker>
            <c:symbol val="none"/>
          </c:marker>
          <c:xVal>
            <c:numRef>
              <c:f>Graphs!graph_c_x_range_B</c:f>
              <c:numCache>
                <c:formatCode>0.00</c:formatCode>
                <c:ptCount val="5"/>
                <c:pt idx="0">
                  <c:v>3.0136757352749468E-3</c:v>
                </c:pt>
                <c:pt idx="1">
                  <c:v>6.1772088748554667E-3</c:v>
                </c:pt>
                <c:pt idx="2">
                  <c:v>1.260673314171702E-2</c:v>
                </c:pt>
                <c:pt idx="3">
                  <c:v>2.4961520412039334E-2</c:v>
                </c:pt>
                <c:pt idx="4">
                  <c:v>4.6296229616177555E-2</c:v>
                </c:pt>
              </c:numCache>
            </c:numRef>
          </c:xVal>
          <c:yVal>
            <c:numRef>
              <c:f>Graphs!graph_c_y_range_B</c:f>
              <c:numCache>
                <c:formatCode>0.00</c:formatCode>
                <c:ptCount val="5"/>
                <c:pt idx="0">
                  <c:v>31.462747</c:v>
                </c:pt>
                <c:pt idx="1">
                  <c:v>33.393137000000003</c:v>
                </c:pt>
                <c:pt idx="2">
                  <c:v>35.647491000000002</c:v>
                </c:pt>
                <c:pt idx="3">
                  <c:v>37.907741000000001</c:v>
                </c:pt>
                <c:pt idx="4">
                  <c:v>39.711393999999999</c:v>
                </c:pt>
              </c:numCache>
            </c:numRef>
          </c:yVal>
          <c:smooth val="1"/>
          <c:extLst>
            <c:ext xmlns:c16="http://schemas.microsoft.com/office/drawing/2014/chart" uri="{C3380CC4-5D6E-409C-BE32-E72D297353CC}">
              <c16:uniqueId val="{00000001-A5D5-4373-AF77-34927F988F9B}"/>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vpcc8.0rc2</c:v>
                </c:pt>
              </c:strCache>
            </c:strRef>
          </c:tx>
          <c:spPr>
            <a:ln>
              <a:prstDash val="solid"/>
            </a:ln>
          </c:spPr>
          <c:marker>
            <c:symbol val="none"/>
          </c:marker>
          <c:xVal>
            <c:numRef>
              <c:f>Graphs!graph_d_x_range_A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Graphs!graph_d_y_range_A</c:f>
              <c:numCache>
                <c:formatCode>0.00</c:formatCode>
                <c:ptCount val="5"/>
                <c:pt idx="0">
                  <c:v>44.148171875000003</c:v>
                </c:pt>
                <c:pt idx="1">
                  <c:v>45.499918749999992</c:v>
                </c:pt>
                <c:pt idx="2">
                  <c:v>46.579393750000023</c:v>
                </c:pt>
                <c:pt idx="3">
                  <c:v>47.886118750000001</c:v>
                </c:pt>
                <c:pt idx="4">
                  <c:v>49.421931249999993</c:v>
                </c:pt>
              </c:numCache>
            </c:numRef>
          </c:yVal>
          <c:smooth val="1"/>
          <c:extLst>
            <c:ext xmlns:c16="http://schemas.microsoft.com/office/drawing/2014/chart" uri="{C3380CC4-5D6E-409C-BE32-E72D297353CC}">
              <c16:uniqueId val="{00000000-7D34-462C-BACD-F13E01468002}"/>
            </c:ext>
          </c:extLst>
        </c:ser>
        <c:ser>
          <c:idx val="1"/>
          <c:order val="1"/>
          <c:tx>
            <c:strRef>
              <c:f>Graphs!graph_d_B_title</c:f>
              <c:strCache>
                <c:ptCount val="1"/>
                <c:pt idx="0">
                  <c:v>vpcc8.0_rc3_lod12</c:v>
                </c:pt>
              </c:strCache>
            </c:strRef>
          </c:tx>
          <c:spPr>
            <a:ln>
              <a:prstDash val="solid"/>
            </a:ln>
          </c:spPr>
          <c:marker>
            <c:symbol val="none"/>
          </c:marker>
          <c:xVal>
            <c:numRef>
              <c:f>Graphs!graph_d_x_range_B</c:f>
              <c:numCache>
                <c:formatCode>0.00</c:formatCode>
                <c:ptCount val="5"/>
                <c:pt idx="0">
                  <c:v>3.0136757352749468E-3</c:v>
                </c:pt>
                <c:pt idx="1">
                  <c:v>6.1772088748554667E-3</c:v>
                </c:pt>
                <c:pt idx="2">
                  <c:v>1.260673314171702E-2</c:v>
                </c:pt>
                <c:pt idx="3">
                  <c:v>2.4961520412039334E-2</c:v>
                </c:pt>
                <c:pt idx="4">
                  <c:v>4.6296229616177555E-2</c:v>
                </c:pt>
              </c:numCache>
            </c:numRef>
          </c:xVal>
          <c:yVal>
            <c:numRef>
              <c:f>Graphs!graph_d_y_range_B</c:f>
              <c:numCache>
                <c:formatCode>0.00</c:formatCode>
                <c:ptCount val="5"/>
                <c:pt idx="0">
                  <c:v>43.406806000000003</c:v>
                </c:pt>
                <c:pt idx="1">
                  <c:v>44.780546999999999</c:v>
                </c:pt>
                <c:pt idx="2">
                  <c:v>45.943606000000003</c:v>
                </c:pt>
                <c:pt idx="3">
                  <c:v>47.354731000000001</c:v>
                </c:pt>
                <c:pt idx="4">
                  <c:v>48.966921999999997</c:v>
                </c:pt>
              </c:numCache>
            </c:numRef>
          </c:yVal>
          <c:smooth val="1"/>
          <c:extLst>
            <c:ext xmlns:c16="http://schemas.microsoft.com/office/drawing/2014/chart" uri="{C3380CC4-5D6E-409C-BE32-E72D297353CC}">
              <c16:uniqueId val="{00000001-7D34-462C-BACD-F13E0146800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vpcc8.0rc2</c:v>
                </c:pt>
              </c:strCache>
            </c:strRef>
          </c:tx>
          <c:spPr>
            <a:ln>
              <a:prstDash val="solid"/>
            </a:ln>
          </c:spPr>
          <c:marker>
            <c:symbol val="none"/>
          </c:marker>
          <c:xVal>
            <c:numRef>
              <c:f>Graphs!graph_e_x_range_A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Graphs!graph_e_y_range_A</c:f>
              <c:numCache>
                <c:formatCode>0.00</c:formatCode>
                <c:ptCount val="5"/>
                <c:pt idx="0">
                  <c:v>43.839812500000001</c:v>
                </c:pt>
                <c:pt idx="1">
                  <c:v>45.231668749999997</c:v>
                </c:pt>
                <c:pt idx="2">
                  <c:v>46.454928125000002</c:v>
                </c:pt>
                <c:pt idx="3">
                  <c:v>47.950350000000007</c:v>
                </c:pt>
                <c:pt idx="4">
                  <c:v>49.547406250000009</c:v>
                </c:pt>
              </c:numCache>
            </c:numRef>
          </c:yVal>
          <c:smooth val="1"/>
          <c:extLst>
            <c:ext xmlns:c16="http://schemas.microsoft.com/office/drawing/2014/chart" uri="{C3380CC4-5D6E-409C-BE32-E72D297353CC}">
              <c16:uniqueId val="{00000000-1990-4847-96F1-3C371FDEC257}"/>
            </c:ext>
          </c:extLst>
        </c:ser>
        <c:ser>
          <c:idx val="1"/>
          <c:order val="1"/>
          <c:tx>
            <c:strRef>
              <c:f>Graphs!graph_e_B_title</c:f>
              <c:strCache>
                <c:ptCount val="1"/>
                <c:pt idx="0">
                  <c:v>vpcc8.0_rc3_lod12</c:v>
                </c:pt>
              </c:strCache>
            </c:strRef>
          </c:tx>
          <c:spPr>
            <a:ln>
              <a:prstDash val="solid"/>
            </a:ln>
          </c:spPr>
          <c:marker>
            <c:symbol val="none"/>
          </c:marker>
          <c:xVal>
            <c:numRef>
              <c:f>Graphs!graph_e_x_range_B</c:f>
              <c:numCache>
                <c:formatCode>0.00</c:formatCode>
                <c:ptCount val="5"/>
                <c:pt idx="0">
                  <c:v>3.0136757352749468E-3</c:v>
                </c:pt>
                <c:pt idx="1">
                  <c:v>6.1772088748554667E-3</c:v>
                </c:pt>
                <c:pt idx="2">
                  <c:v>1.260673314171702E-2</c:v>
                </c:pt>
                <c:pt idx="3">
                  <c:v>2.4961520412039334E-2</c:v>
                </c:pt>
                <c:pt idx="4">
                  <c:v>4.6296229616177555E-2</c:v>
                </c:pt>
              </c:numCache>
            </c:numRef>
          </c:xVal>
          <c:yVal>
            <c:numRef>
              <c:f>Graphs!graph_e_y_range_B</c:f>
              <c:numCache>
                <c:formatCode>0.00</c:formatCode>
                <c:ptCount val="5"/>
                <c:pt idx="0">
                  <c:v>42.797775000000001</c:v>
                </c:pt>
                <c:pt idx="1">
                  <c:v>44.383783999999999</c:v>
                </c:pt>
                <c:pt idx="2">
                  <c:v>45.629036999999997</c:v>
                </c:pt>
                <c:pt idx="3">
                  <c:v>47.247140999999999</c:v>
                </c:pt>
                <c:pt idx="4">
                  <c:v>49.049072000000002</c:v>
                </c:pt>
              </c:numCache>
            </c:numRef>
          </c:yVal>
          <c:smooth val="1"/>
          <c:extLst>
            <c:ext xmlns:c16="http://schemas.microsoft.com/office/drawing/2014/chart" uri="{C3380CC4-5D6E-409C-BE32-E72D297353CC}">
              <c16:uniqueId val="{00000001-1990-4847-96F1-3C371FDEC257}"/>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vpcc8.0rc2</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9ED9-4AA3-A421-E43FEAB91D11}"/>
            </c:ext>
          </c:extLst>
        </c:ser>
        <c:ser>
          <c:idx val="1"/>
          <c:order val="1"/>
          <c:tx>
            <c:strRef>
              <c:f>Graphs!graph_f_B_title</c:f>
              <c:strCache>
                <c:ptCount val="1"/>
                <c:pt idx="0">
                  <c:v>vpcc8.0_rc3_lod12</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9ED9-4AA3-A421-E43FEAB91D1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67" t="s">
        <v>1</v>
      </c>
      <c r="D1" s="59"/>
      <c r="E1" s="59"/>
    </row>
    <row r="2" spans="2:12" x14ac:dyDescent="0.2">
      <c r="B2" t="s">
        <v>2</v>
      </c>
      <c r="C2" s="68" t="s">
        <v>3</v>
      </c>
      <c r="D2" s="59"/>
      <c r="E2" s="59"/>
    </row>
    <row r="4" spans="2:12" s="1" customFormat="1" x14ac:dyDescent="0.2">
      <c r="B4" s="1" t="s">
        <v>4</v>
      </c>
    </row>
    <row r="6" spans="2:12" x14ac:dyDescent="0.2">
      <c r="B6" s="62" t="s">
        <v>5</v>
      </c>
      <c r="C6" s="63" t="s">
        <v>6</v>
      </c>
      <c r="D6" s="64"/>
      <c r="E6" s="64"/>
      <c r="F6" s="64"/>
      <c r="G6" s="64"/>
      <c r="H6" s="64"/>
      <c r="I6" s="64"/>
      <c r="J6" s="64"/>
      <c r="K6" s="64"/>
      <c r="L6" s="64"/>
    </row>
    <row r="7" spans="2:12" x14ac:dyDescent="0.2">
      <c r="B7" s="59"/>
      <c r="C7" s="65" t="s">
        <v>7</v>
      </c>
      <c r="D7" s="59"/>
      <c r="E7" s="66" t="s">
        <v>8</v>
      </c>
      <c r="F7" s="59"/>
      <c r="G7" s="59"/>
      <c r="H7" s="65" t="s">
        <v>9</v>
      </c>
      <c r="I7" s="59"/>
      <c r="J7" s="66" t="s">
        <v>10</v>
      </c>
      <c r="K7" s="59"/>
      <c r="L7" s="59"/>
    </row>
    <row r="8" spans="2:12" ht="16" x14ac:dyDescent="0.2">
      <c r="B8" s="61"/>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0.34308956258855927</v>
      </c>
      <c r="D9" s="51">
        <f>'C2 lossyG,lossyA,intra'!$BK$40:$BK$40</f>
        <v>0.100166017683957</v>
      </c>
      <c r="E9" s="51">
        <f>'C2 lossyG,lossyA,intra'!$BL$40:$BL$40</f>
        <v>0.13652612693991217</v>
      </c>
      <c r="F9" s="51">
        <f>'C2 lossyG,lossyA,intra'!$BM$40:$BM$40</f>
        <v>0.10544587382410558</v>
      </c>
      <c r="G9" s="51">
        <f>'C2 lossyG,lossyA,intra'!$BN$40:$BN$40</f>
        <v>0.25840944085881934</v>
      </c>
      <c r="H9" s="51">
        <f>'C2 lossyG,lossyA,intra'!$BP$40:$BP$40</f>
        <v>0.87043459683159019</v>
      </c>
      <c r="I9" s="51">
        <f>'C2 lossyG,lossyA,intra'!$BQ$40:$BQ$40</f>
        <v>0.20910116673605594</v>
      </c>
      <c r="J9" s="51">
        <f>'C2 lossyG,lossyA,intra'!$BR$40:$BR$40</f>
        <v>9.7687510970446534E-2</v>
      </c>
      <c r="K9" s="51">
        <f>'C2 lossyG,lossyA,intra'!$BS$40:$BS$40</f>
        <v>6.7628162736786401E-2</v>
      </c>
      <c r="L9" s="51">
        <f>'C2 lossyG,lossyA,intra'!$BT$40:$BT$40</f>
        <v>0.18082288970317068</v>
      </c>
    </row>
    <row r="10" spans="2:12" x14ac:dyDescent="0.2">
      <c r="B10" t="s">
        <v>17</v>
      </c>
      <c r="C10" s="51">
        <f>'C2 lossyG,lossyA,intra'!$BJ$41:$BJ$41</f>
        <v>0.50047008248796332</v>
      </c>
      <c r="D10" s="51">
        <f>'C2 lossyG,lossyA,intra'!$BK$41:$BK$41</f>
        <v>6.3455973174930236E-2</v>
      </c>
      <c r="E10" s="51">
        <f>'C2 lossyG,lossyA,intra'!$BL$41:$BL$41</f>
        <v>0.31601827144732075</v>
      </c>
      <c r="F10" s="51">
        <f>'C2 lossyG,lossyA,intra'!$BM$41:$BM$41</f>
        <v>0.31712954557319484</v>
      </c>
      <c r="G10" s="51">
        <f>'C2 lossyG,lossyA,intra'!$BN$41:$BN$41</f>
        <v>0.55571928094339174</v>
      </c>
      <c r="H10" s="51">
        <f>'C2 lossyG,lossyA,intra'!$BP$41:$BP$41</f>
        <v>1.6180153786740252</v>
      </c>
      <c r="I10" s="51">
        <f>'C2 lossyG,lossyA,intra'!$BQ$41:$BQ$41</f>
        <v>0.16361605741012308</v>
      </c>
      <c r="J10" s="51">
        <f>'C2 lossyG,lossyA,intra'!$BR$41:$BR$41</f>
        <v>0.26429630257232395</v>
      </c>
      <c r="K10" s="51">
        <f>'C2 lossyG,lossyA,intra'!$BS$41:$BS$41</f>
        <v>0.26943415712250673</v>
      </c>
      <c r="L10" s="51">
        <f>'C2 lossyG,lossyA,intra'!$BT$41:$BT$41</f>
        <v>0.46857186847360421</v>
      </c>
    </row>
    <row r="11" spans="2:12" x14ac:dyDescent="0.2">
      <c r="B11" t="s">
        <v>18</v>
      </c>
      <c r="C11" s="51">
        <f>'C2 lossyG,lossyA,intra'!$BJ$42:$BJ$42</f>
        <v>0.42377275161645367</v>
      </c>
      <c r="D11" s="51">
        <f>'C2 lossyG,lossyA,intra'!$BK$42:$BK$42</f>
        <v>1.1305111382042821E-3</v>
      </c>
      <c r="E11" s="51">
        <f>'C2 lossyG,lossyA,intra'!$BL$42:$BL$42</f>
        <v>0.20525917736736843</v>
      </c>
      <c r="F11" s="51">
        <f>'C2 lossyG,lossyA,intra'!$BM$42:$BM$42</f>
        <v>0.10930340524287119</v>
      </c>
      <c r="G11" s="51">
        <f>'C2 lossyG,lossyA,intra'!$BN$42:$BN$42</f>
        <v>5.8808622716641556E-2</v>
      </c>
      <c r="H11" s="51">
        <f>'C2 lossyG,lossyA,intra'!$BP$42:$BP$42</f>
        <v>0.94826357003551232</v>
      </c>
      <c r="I11" s="51">
        <f>'C2 lossyG,lossyA,intra'!$BQ$42:$BQ$42</f>
        <v>4.4046036517952469E-2</v>
      </c>
      <c r="J11" s="51">
        <f>'C2 lossyG,lossyA,intra'!$BR$42:$BR$42</f>
        <v>0.13615928193836413</v>
      </c>
      <c r="K11" s="51">
        <f>'C2 lossyG,lossyA,intra'!$BS$42:$BS$42</f>
        <v>6.6567869740297825E-2</v>
      </c>
      <c r="L11" s="51">
        <f>'C2 lossyG,lossyA,intra'!$BT$42:$BT$42</f>
        <v>2.8108428381118156E-2</v>
      </c>
    </row>
    <row r="12" spans="2:12" x14ac:dyDescent="0.2">
      <c r="B12" s="4" t="s">
        <v>19</v>
      </c>
      <c r="C12" s="5">
        <f>'C2 lossyG,lossyA,intra'!$BJ$43:$BJ$43</f>
        <v>0.38862483372501538</v>
      </c>
      <c r="D12" s="5">
        <f>'C2 lossyG,lossyA,intra'!$BK$43:$BK$43</f>
        <v>6.6625866598166689E-2</v>
      </c>
      <c r="E12" s="5">
        <f>'C2 lossyG,lossyA,intra'!$BL$43:$BL$43</f>
        <v>0.18180587627738662</v>
      </c>
      <c r="F12" s="5">
        <f>'C2 lossyG,lossyA,intra'!$BM$43:$BM$43</f>
        <v>0.13678855019362279</v>
      </c>
      <c r="G12" s="5">
        <f>'C2 lossyG,lossyA,intra'!$BN$43:$BN$43</f>
        <v>0.24385346997313603</v>
      </c>
      <c r="H12" s="5">
        <f>'C2 lossyG,lossyA,intra'!$BP$43:$BP$43</f>
        <v>0.99946870086734452</v>
      </c>
      <c r="I12" s="5">
        <f>'C2 lossyG,lossyA,intra'!$BQ$43:$BQ$43</f>
        <v>0.15544468534146455</v>
      </c>
      <c r="J12" s="5">
        <f>'C2 lossyG,lossyA,intra'!$BR$43:$BR$43</f>
        <v>0.13248070147583405</v>
      </c>
      <c r="K12" s="5">
        <f>'C2 lossyG,lossyA,intra'!$BS$43:$BS$43</f>
        <v>9.6154649650035423E-2</v>
      </c>
      <c r="L12" s="5">
        <f>'C2 lossyG,lossyA,intra'!$BT$43:$BT$43</f>
        <v>0.17829718343550333</v>
      </c>
    </row>
    <row r="13" spans="2:12" x14ac:dyDescent="0.2">
      <c r="B13" t="s">
        <v>20</v>
      </c>
      <c r="C13" s="58">
        <f>'C2 lossyG,lossyA,intra'!AZ47</f>
        <v>1.0703996627597621</v>
      </c>
      <c r="D13" s="59"/>
      <c r="E13" s="59"/>
      <c r="F13" s="59"/>
      <c r="G13" s="59"/>
      <c r="H13" s="59"/>
      <c r="I13" s="59"/>
      <c r="J13" s="59"/>
      <c r="K13" s="59"/>
      <c r="L13" s="59"/>
    </row>
    <row r="14" spans="2:12" x14ac:dyDescent="0.2">
      <c r="B14" s="54" t="s">
        <v>21</v>
      </c>
      <c r="C14" s="60">
        <f>'C2 lossyG,lossyA,intra'!BB47</f>
        <v>0.75234830462401825</v>
      </c>
      <c r="D14" s="61"/>
      <c r="E14" s="61"/>
      <c r="F14" s="61"/>
      <c r="G14" s="61"/>
      <c r="H14" s="61"/>
      <c r="I14" s="61"/>
      <c r="J14" s="61"/>
      <c r="K14" s="61"/>
      <c r="L14" s="61"/>
    </row>
    <row r="16" spans="2:12" x14ac:dyDescent="0.2">
      <c r="B16" s="62" t="s">
        <v>22</v>
      </c>
      <c r="C16" s="63" t="s">
        <v>23</v>
      </c>
      <c r="D16" s="64"/>
      <c r="E16" s="64"/>
    </row>
    <row r="17" spans="2:5" x14ac:dyDescent="0.2">
      <c r="B17" s="59"/>
      <c r="C17" s="65" t="s">
        <v>24</v>
      </c>
      <c r="D17" s="59"/>
      <c r="E17" s="59"/>
    </row>
    <row r="18" spans="2:5" ht="16" x14ac:dyDescent="0.2">
      <c r="B18" s="61"/>
      <c r="C18" s="2" t="s">
        <v>25</v>
      </c>
      <c r="D18" s="2" t="s">
        <v>26</v>
      </c>
      <c r="E18" s="2" t="s">
        <v>27</v>
      </c>
    </row>
    <row r="19" spans="2:5" x14ac:dyDescent="0.2">
      <c r="B19" t="s">
        <v>16</v>
      </c>
      <c r="C19" s="51" t="e">
        <f>'CW losslG,losslA,intra'!BC12</f>
        <v>#DIV/0!</v>
      </c>
      <c r="D19" s="51" t="e">
        <f>'CW losslG,losslA,intra'!BE12</f>
        <v>#DIV/0!</v>
      </c>
      <c r="E19" s="51" t="e">
        <f>'CW losslG,losslA,intra'!BB12</f>
        <v>#DIV/0!</v>
      </c>
    </row>
    <row r="20" spans="2:5" x14ac:dyDescent="0.2">
      <c r="B20" t="s">
        <v>17</v>
      </c>
      <c r="C20" s="51" t="e">
        <f>'CW losslG,losslA,intra'!BC13</f>
        <v>#DIV/0!</v>
      </c>
      <c r="D20" s="51" t="e">
        <f>'CW losslG,losslA,intra'!BE13</f>
        <v>#DIV/0!</v>
      </c>
      <c r="E20" s="51" t="e">
        <f>'CW losslG,losslA,intra'!BB13</f>
        <v>#DIV/0!</v>
      </c>
    </row>
    <row r="21" spans="2:5" x14ac:dyDescent="0.2">
      <c r="B21" t="s">
        <v>18</v>
      </c>
      <c r="C21" s="51" t="e">
        <f>'CW losslG,losslA,intra'!BC14</f>
        <v>#DIV/0!</v>
      </c>
      <c r="D21" s="51" t="e">
        <f>'CW losslG,losslA,intra'!BE14</f>
        <v>#DIV/0!</v>
      </c>
      <c r="E21" s="51" t="e">
        <f>'CW losslG,losslA,intra'!BB14</f>
        <v>#DIV/0!</v>
      </c>
    </row>
    <row r="22" spans="2:5" x14ac:dyDescent="0.2">
      <c r="B22" s="4" t="s">
        <v>19</v>
      </c>
      <c r="C22" s="5" t="e">
        <f>'CW losslG,losslA,intra'!BC15</f>
        <v>#DIV/0!</v>
      </c>
      <c r="D22" s="5" t="e">
        <f>'CW losslG,losslA,intra'!BE15</f>
        <v>#DIV/0!</v>
      </c>
      <c r="E22" s="5" t="e">
        <f>'CW losslG,losslA,intra'!BB15</f>
        <v>#DIV/0!</v>
      </c>
    </row>
    <row r="23" spans="2:5" x14ac:dyDescent="0.2">
      <c r="B23" t="s">
        <v>20</v>
      </c>
      <c r="C23" s="58" t="e">
        <f>'CW losslG,losslA,intra'!AW19</f>
        <v>#NUM!</v>
      </c>
      <c r="D23" s="59"/>
      <c r="E23" s="59"/>
    </row>
    <row r="24" spans="2:5" x14ac:dyDescent="0.2">
      <c r="B24" s="54" t="s">
        <v>21</v>
      </c>
      <c r="C24" s="60" t="e">
        <f>'CW losslG,losslA,intra'!AY19</f>
        <v>#NUM!</v>
      </c>
      <c r="D24" s="61"/>
      <c r="E24" s="61"/>
    </row>
    <row r="26" spans="2:5" s="1" customFormat="1" x14ac:dyDescent="0.2">
      <c r="B26" s="1" t="s">
        <v>28</v>
      </c>
    </row>
    <row r="28" spans="2:5" x14ac:dyDescent="0.2">
      <c r="B28" s="62" t="s">
        <v>29</v>
      </c>
      <c r="C28" s="63" t="s">
        <v>30</v>
      </c>
      <c r="D28" s="64"/>
      <c r="E28" s="64"/>
    </row>
    <row r="29" spans="2:5" x14ac:dyDescent="0.2">
      <c r="B29" s="59"/>
      <c r="C29" s="65" t="s">
        <v>24</v>
      </c>
      <c r="D29" s="59"/>
      <c r="E29" s="59"/>
    </row>
    <row r="30" spans="2:5" ht="16" x14ac:dyDescent="0.2">
      <c r="B30" s="61"/>
      <c r="C30" s="2" t="s">
        <v>25</v>
      </c>
      <c r="D30" s="2" t="s">
        <v>26</v>
      </c>
      <c r="E30" s="2" t="s">
        <v>27</v>
      </c>
    </row>
    <row r="31" spans="2:5" x14ac:dyDescent="0.2">
      <c r="B31" t="s">
        <v>16</v>
      </c>
      <c r="C31" s="51" t="e">
        <f>'CW losslG,losslA,interLD'!BC12</f>
        <v>#DIV/0!</v>
      </c>
      <c r="D31" s="51" t="e">
        <f>'CW losslG,losslA,interLD'!BE12</f>
        <v>#DIV/0!</v>
      </c>
      <c r="E31" s="51" t="e">
        <f>'CW losslG,losslA,interLD'!BB12</f>
        <v>#DIV/0!</v>
      </c>
    </row>
    <row r="32" spans="2:5" x14ac:dyDescent="0.2">
      <c r="B32" t="s">
        <v>17</v>
      </c>
      <c r="C32" s="51" t="e">
        <f>'CW losslG,losslA,interLD'!BC13</f>
        <v>#DIV/0!</v>
      </c>
      <c r="D32" s="51" t="e">
        <f>'CW losslG,losslA,interLD'!BE13</f>
        <v>#DIV/0!</v>
      </c>
      <c r="E32" s="51" t="e">
        <f>'CW losslG,losslA,interLD'!BB13</f>
        <v>#DIV/0!</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t="e">
        <f>'CW losslG,losslA,interLD'!BC15</f>
        <v>#DIV/0!</v>
      </c>
      <c r="D34" s="5" t="e">
        <f>'CW losslG,losslA,interLD'!BE15</f>
        <v>#DIV/0!</v>
      </c>
      <c r="E34" s="5" t="e">
        <f>'CW losslG,losslA,interLD'!BB15</f>
        <v>#DIV/0!</v>
      </c>
    </row>
    <row r="35" spans="2:12" x14ac:dyDescent="0.2">
      <c r="B35" t="s">
        <v>20</v>
      </c>
      <c r="C35" s="58" t="e">
        <f>'CW losslG,losslA,interLD'!AW19</f>
        <v>#NUM!</v>
      </c>
      <c r="D35" s="59"/>
      <c r="E35" s="59"/>
    </row>
    <row r="36" spans="2:12" x14ac:dyDescent="0.2">
      <c r="B36" s="54" t="s">
        <v>21</v>
      </c>
      <c r="C36" s="60" t="e">
        <f>'CW losslG,losslA,interLD'!AY19</f>
        <v>#NUM!</v>
      </c>
      <c r="D36" s="61"/>
      <c r="E36" s="61"/>
    </row>
    <row r="38" spans="2:12" s="1" customFormat="1" x14ac:dyDescent="0.2">
      <c r="B38" s="1" t="s">
        <v>31</v>
      </c>
    </row>
    <row r="40" spans="2:12" x14ac:dyDescent="0.2">
      <c r="B40" s="62" t="s">
        <v>32</v>
      </c>
      <c r="C40" s="63" t="s">
        <v>33</v>
      </c>
      <c r="D40" s="64"/>
      <c r="E40" s="64"/>
      <c r="F40" s="64"/>
      <c r="G40" s="64"/>
      <c r="H40" s="64"/>
      <c r="I40" s="64"/>
      <c r="J40" s="64"/>
      <c r="K40" s="64"/>
      <c r="L40" s="64"/>
    </row>
    <row r="41" spans="2:12" x14ac:dyDescent="0.2">
      <c r="B41" s="59"/>
      <c r="C41" s="65" t="s">
        <v>7</v>
      </c>
      <c r="D41" s="59"/>
      <c r="E41" s="66" t="s">
        <v>8</v>
      </c>
      <c r="F41" s="59"/>
      <c r="G41" s="59"/>
      <c r="H41" s="65" t="s">
        <v>9</v>
      </c>
      <c r="I41" s="59"/>
      <c r="J41" s="66" t="s">
        <v>10</v>
      </c>
      <c r="K41" s="59"/>
      <c r="L41" s="59"/>
    </row>
    <row r="42" spans="2:12" ht="16" x14ac:dyDescent="0.2">
      <c r="B42" s="61"/>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0.37621685060898941</v>
      </c>
      <c r="D43" s="51">
        <f>'C2 lossyG,lossyA,interRA'!$BK$40:$BK$40</f>
        <v>0.11577785693855541</v>
      </c>
      <c r="E43" s="51">
        <f>'C2 lossyG,lossyA,interRA'!$BL$40:$BL$40</f>
        <v>0.22316059645856046</v>
      </c>
      <c r="F43" s="51">
        <f>'C2 lossyG,lossyA,interRA'!$BM$40:$BM$40</f>
        <v>0.21156299475107021</v>
      </c>
      <c r="G43" s="51">
        <f>'C2 lossyG,lossyA,interRA'!$BN$40:$BN$40</f>
        <v>0.33273208370582014</v>
      </c>
      <c r="H43" s="51">
        <f>'C2 lossyG,lossyA,interRA'!$BP$40:$BP$40</f>
        <v>0.73268675591732335</v>
      </c>
      <c r="I43" s="51">
        <f>'C2 lossyG,lossyA,interRA'!$BQ$40:$BQ$40</f>
        <v>0.23483725563243479</v>
      </c>
      <c r="J43" s="51">
        <f>'C2 lossyG,lossyA,interRA'!$BR$40:$BR$40</f>
        <v>9.6580670919269807E-2</v>
      </c>
      <c r="K43" s="51">
        <f>'C2 lossyG,lossyA,interRA'!$BS$40:$BS$40</f>
        <v>8.4671333427068451E-2</v>
      </c>
      <c r="L43" s="51">
        <f>'C2 lossyG,lossyA,interRA'!$BT$40:$BT$40</f>
        <v>0.15241661637306275</v>
      </c>
    </row>
    <row r="44" spans="2:12" x14ac:dyDescent="0.2">
      <c r="B44" t="s">
        <v>17</v>
      </c>
      <c r="C44" s="51">
        <f>'C2 lossyG,lossyA,interRA'!$BJ$41:$BJ$41</f>
        <v>0.56690157757087611</v>
      </c>
      <c r="D44" s="51">
        <f>'C2 lossyG,lossyA,interRA'!$BK$41:$BK$41</f>
        <v>8.135771793169666E-2</v>
      </c>
      <c r="E44" s="51">
        <f>'C2 lossyG,lossyA,interRA'!$BL$41:$BL$41</f>
        <v>0.46127411062151991</v>
      </c>
      <c r="F44" s="51">
        <f>'C2 lossyG,lossyA,interRA'!$BM$41:$BM$41</f>
        <v>0.58376886089893176</v>
      </c>
      <c r="G44" s="51">
        <f>'C2 lossyG,lossyA,interRA'!$BN$41:$BN$41</f>
        <v>0.82456639213424454</v>
      </c>
      <c r="H44" s="51">
        <f>'C2 lossyG,lossyA,interRA'!$BP$41:$BP$41</f>
        <v>1.6420364900514612</v>
      </c>
      <c r="I44" s="51">
        <f>'C2 lossyG,lossyA,interRA'!$BQ$41:$BQ$41</f>
        <v>0.26771298665571885</v>
      </c>
      <c r="J44" s="51">
        <f>'C2 lossyG,lossyA,interRA'!$BR$41:$BR$41</f>
        <v>0.30032864516181634</v>
      </c>
      <c r="K44" s="51">
        <f>'C2 lossyG,lossyA,interRA'!$BS$41:$BS$41</f>
        <v>0.38145327958256137</v>
      </c>
      <c r="L44" s="51">
        <f>'C2 lossyG,lossyA,interRA'!$BT$41:$BT$41</f>
        <v>0.5325391595880351</v>
      </c>
    </row>
    <row r="45" spans="2:12" x14ac:dyDescent="0.2">
      <c r="B45" t="s">
        <v>18</v>
      </c>
      <c r="C45" s="51">
        <f>'C2 lossyG,lossyA,interRA'!$BJ$42:$BJ$42</f>
        <v>0.45591275530731568</v>
      </c>
      <c r="D45" s="51">
        <f>'C2 lossyG,lossyA,interRA'!$BK$42:$BK$42</f>
        <v>-8.997260240426519E-3</v>
      </c>
      <c r="E45" s="51">
        <f>'C2 lossyG,lossyA,interRA'!$BL$42:$BL$42</f>
        <v>0.1373314893840778</v>
      </c>
      <c r="F45" s="51">
        <f>'C2 lossyG,lossyA,interRA'!$BM$42:$BM$42</f>
        <v>0.13356822889397579</v>
      </c>
      <c r="G45" s="51">
        <f>'C2 lossyG,lossyA,interRA'!$BN$42:$BN$42</f>
        <v>8.7241955939976967E-2</v>
      </c>
      <c r="H45" s="51">
        <f>'C2 lossyG,lossyA,interRA'!$BP$42:$BP$42</f>
        <v>0.82816748732370915</v>
      </c>
      <c r="I45" s="51">
        <f>'C2 lossyG,lossyA,interRA'!$BQ$42:$BQ$42</f>
        <v>3.0234095766692726E-2</v>
      </c>
      <c r="J45" s="51">
        <f>'C2 lossyG,lossyA,interRA'!$BR$42:$BR$42</f>
        <v>5.8871807120557285E-2</v>
      </c>
      <c r="K45" s="51">
        <f>'C2 lossyG,lossyA,interRA'!$BS$42:$BS$42</f>
        <v>5.5597450763892109E-2</v>
      </c>
      <c r="L45" s="51">
        <f>'C2 lossyG,lossyA,interRA'!$BT$42:$BT$42</f>
        <v>2.3631909300750986E-2</v>
      </c>
    </row>
    <row r="46" spans="2:12" x14ac:dyDescent="0.2">
      <c r="B46" s="4" t="s">
        <v>19</v>
      </c>
      <c r="C46" s="5">
        <f>'C2 lossyG,lossyA,interRA'!$BJ$43:$BJ$43</f>
        <v>0.42622778437449504</v>
      </c>
      <c r="D46" s="5">
        <f>'C2 lossyG,lossyA,interRA'!$BK$43:$BK$43</f>
        <v>7.5210660743580751E-2</v>
      </c>
      <c r="E46" s="5">
        <f>'C2 lossyG,lossyA,interRA'!$BL$43:$BL$43</f>
        <v>0.2326542107462739</v>
      </c>
      <c r="F46" s="5">
        <f>'C2 lossyG,lossyA,interRA'!$BM$43:$BM$43</f>
        <v>0.24245104252730917</v>
      </c>
      <c r="G46" s="5">
        <f>'C2 lossyG,lossyA,interRA'!$BN$43:$BN$43</f>
        <v>0.33285409126249704</v>
      </c>
      <c r="H46" s="5">
        <f>'C2 lossyG,lossyA,interRA'!$BP$43:$BP$43</f>
        <v>0.88987406976688177</v>
      </c>
      <c r="I46" s="5">
        <f>'C2 lossyG,lossyA,interRA'!$BQ$43:$BQ$43</f>
        <v>0.18107574295983481</v>
      </c>
      <c r="J46" s="5">
        <f>'C2 lossyG,lossyA,interRA'!$BR$43:$BR$43</f>
        <v>0.11491356329714431</v>
      </c>
      <c r="K46" s="5">
        <f>'C2 lossyG,lossyA,interRA'!$BS$43:$BS$43</f>
        <v>0.11876193068837419</v>
      </c>
      <c r="L46" s="5">
        <f>'C2 lossyG,lossyA,interRA'!$BT$43:$BT$43</f>
        <v>0.16992420624025545</v>
      </c>
    </row>
    <row r="47" spans="2:12" x14ac:dyDescent="0.2">
      <c r="B47" t="s">
        <v>20</v>
      </c>
      <c r="C47" s="58">
        <f>'C2 lossyG,lossyA,interRA'!AZ47</f>
        <v>1.0948229816357258</v>
      </c>
      <c r="D47" s="59"/>
      <c r="E47" s="59"/>
      <c r="F47" s="59"/>
      <c r="G47" s="59"/>
      <c r="H47" s="59"/>
      <c r="I47" s="59"/>
      <c r="J47" s="59"/>
      <c r="K47" s="59"/>
      <c r="L47" s="59"/>
    </row>
    <row r="48" spans="2:12" x14ac:dyDescent="0.2">
      <c r="B48" s="54" t="s">
        <v>21</v>
      </c>
      <c r="C48" s="60">
        <f>'C2 lossyG,lossyA,interRA'!BB47</f>
        <v>0.7219908035860847</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80" zoomScaleNormal="80" workbookViewId="0">
      <pane xSplit="2" ySplit="4" topLeftCell="S5" activePane="bottomRight" state="frozen"/>
      <selection pane="topRight" activeCell="C1" sqref="C1"/>
      <selection pane="bottomLeft" activeCell="A5" sqref="A5"/>
      <selection pane="bottomRight" activeCell="AG2" sqref="AG2:AG3"/>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1" t="s">
        <v>138</v>
      </c>
      <c r="B1" s="59"/>
      <c r="C1" s="59"/>
      <c r="D1" s="59"/>
      <c r="E1" s="59"/>
      <c r="F1" s="59"/>
      <c r="G1" s="59"/>
      <c r="I1" s="67" t="s">
        <v>590</v>
      </c>
      <c r="J1" s="59"/>
      <c r="K1" s="59"/>
      <c r="L1" s="59"/>
      <c r="M1" s="59"/>
      <c r="N1" s="59"/>
      <c r="O1" s="59"/>
      <c r="P1" s="59"/>
      <c r="Q1" s="59"/>
      <c r="R1" s="59"/>
      <c r="S1" s="59"/>
      <c r="T1" s="59"/>
      <c r="U1" s="59"/>
      <c r="V1" s="59"/>
      <c r="W1" s="59"/>
      <c r="X1" s="59"/>
      <c r="Y1" s="59"/>
      <c r="Z1" s="59"/>
      <c r="AA1" s="59"/>
      <c r="AB1" s="59"/>
      <c r="AC1" s="59"/>
      <c r="AD1" s="59"/>
      <c r="AE1" s="59"/>
      <c r="AG1" s="68" t="s">
        <v>593</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3" t="s">
        <v>139</v>
      </c>
      <c r="B2" s="72" t="s">
        <v>140</v>
      </c>
      <c r="C2" s="73" t="s">
        <v>141</v>
      </c>
      <c r="D2" s="72" t="s">
        <v>142</v>
      </c>
      <c r="E2" s="73" t="s">
        <v>143</v>
      </c>
      <c r="F2" s="72" t="s">
        <v>144</v>
      </c>
      <c r="G2" s="73" t="s">
        <v>145</v>
      </c>
      <c r="I2" s="72" t="s">
        <v>146</v>
      </c>
      <c r="J2" s="70" t="s">
        <v>147</v>
      </c>
      <c r="K2" s="59"/>
      <c r="L2" s="59"/>
      <c r="M2" s="59"/>
      <c r="N2" s="73" t="s">
        <v>148</v>
      </c>
      <c r="O2" s="72" t="s">
        <v>149</v>
      </c>
      <c r="P2" s="73" t="s">
        <v>86</v>
      </c>
      <c r="Q2" s="72" t="s">
        <v>88</v>
      </c>
      <c r="R2" s="73" t="s">
        <v>84</v>
      </c>
      <c r="S2" s="69" t="s">
        <v>150</v>
      </c>
      <c r="T2" s="59"/>
      <c r="U2" s="59"/>
      <c r="V2" s="59"/>
      <c r="W2" s="70" t="s">
        <v>151</v>
      </c>
      <c r="X2" s="59"/>
      <c r="Y2" s="69" t="s">
        <v>152</v>
      </c>
      <c r="Z2" s="59"/>
      <c r="AA2" s="59"/>
      <c r="AB2" s="70" t="s">
        <v>153</v>
      </c>
      <c r="AC2" s="59"/>
      <c r="AD2" s="69" t="s">
        <v>154</v>
      </c>
      <c r="AE2" s="59"/>
      <c r="AG2" s="73" t="s">
        <v>146</v>
      </c>
      <c r="AH2" s="69" t="s">
        <v>147</v>
      </c>
      <c r="AI2" s="59"/>
      <c r="AJ2" s="59"/>
      <c r="AK2" s="59"/>
      <c r="AL2" s="72" t="s">
        <v>155</v>
      </c>
      <c r="AM2" s="73" t="s">
        <v>149</v>
      </c>
      <c r="AN2" s="72" t="s">
        <v>86</v>
      </c>
      <c r="AO2" s="73" t="s">
        <v>88</v>
      </c>
      <c r="AP2" s="72" t="s">
        <v>84</v>
      </c>
      <c r="AQ2" s="70" t="s">
        <v>150</v>
      </c>
      <c r="AR2" s="59"/>
      <c r="AS2" s="59"/>
      <c r="AT2" s="59"/>
      <c r="AU2" s="69" t="s">
        <v>151</v>
      </c>
      <c r="AV2" s="59"/>
      <c r="AW2" s="70" t="s">
        <v>152</v>
      </c>
      <c r="AX2" s="59"/>
      <c r="AY2" s="59"/>
      <c r="AZ2" s="69" t="s">
        <v>153</v>
      </c>
      <c r="BA2" s="59"/>
      <c r="BB2" s="70" t="s">
        <v>154</v>
      </c>
      <c r="BC2" s="59"/>
      <c r="BE2" s="72" t="s">
        <v>156</v>
      </c>
      <c r="BF2" s="73" t="s">
        <v>157</v>
      </c>
      <c r="BG2" s="72" t="s">
        <v>158</v>
      </c>
      <c r="BH2" s="73" t="s">
        <v>158</v>
      </c>
      <c r="BJ2" s="69" t="s">
        <v>7</v>
      </c>
      <c r="BK2" s="59"/>
      <c r="BL2" s="70" t="s">
        <v>8</v>
      </c>
      <c r="BM2" s="59"/>
      <c r="BN2" s="59"/>
      <c r="BP2" s="69" t="s">
        <v>9</v>
      </c>
      <c r="BQ2" s="59"/>
      <c r="BR2" s="70" t="s">
        <v>10</v>
      </c>
      <c r="BS2" s="59"/>
      <c r="BT2" s="59"/>
      <c r="BV2" s="72" t="s">
        <v>86</v>
      </c>
      <c r="BW2" s="73" t="s">
        <v>88</v>
      </c>
      <c r="BX2" s="72" t="s">
        <v>84</v>
      </c>
      <c r="BY2" s="70" t="s">
        <v>150</v>
      </c>
      <c r="BZ2" s="59"/>
      <c r="CA2" s="59"/>
      <c r="CB2" s="59"/>
      <c r="CC2" s="69" t="s">
        <v>151</v>
      </c>
      <c r="CD2" s="59"/>
      <c r="CE2" s="70" t="s">
        <v>152</v>
      </c>
      <c r="CF2" s="59"/>
      <c r="CG2" s="59"/>
    </row>
    <row r="3" spans="1:88" ht="33" thickBot="1" x14ac:dyDescent="0.25">
      <c r="A3" s="61"/>
      <c r="B3" s="61"/>
      <c r="C3" s="61"/>
      <c r="D3" s="61"/>
      <c r="E3" s="61"/>
      <c r="F3" s="61"/>
      <c r="G3" s="61"/>
      <c r="I3" s="61"/>
      <c r="J3" s="56" t="s">
        <v>27</v>
      </c>
      <c r="K3" s="56" t="s">
        <v>25</v>
      </c>
      <c r="L3" s="56" t="s">
        <v>159</v>
      </c>
      <c r="M3" s="56" t="s">
        <v>160</v>
      </c>
      <c r="N3" s="61"/>
      <c r="O3" s="61"/>
      <c r="P3" s="61"/>
      <c r="Q3" s="61"/>
      <c r="R3" s="61"/>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1"/>
      <c r="AH3" s="57" t="s">
        <v>27</v>
      </c>
      <c r="AI3" s="57" t="s">
        <v>25</v>
      </c>
      <c r="AJ3" s="57" t="s">
        <v>159</v>
      </c>
      <c r="AK3" s="57" t="s">
        <v>160</v>
      </c>
      <c r="AL3" s="61"/>
      <c r="AM3" s="61"/>
      <c r="AN3" s="61"/>
      <c r="AO3" s="61"/>
      <c r="AP3" s="61"/>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1"/>
      <c r="BF3" s="61"/>
      <c r="BG3" s="61"/>
      <c r="BH3" s="61"/>
      <c r="BJ3" s="57" t="s">
        <v>11</v>
      </c>
      <c r="BK3" s="57" t="s">
        <v>12</v>
      </c>
      <c r="BL3" s="56" t="s">
        <v>13</v>
      </c>
      <c r="BM3" s="56" t="s">
        <v>14</v>
      </c>
      <c r="BN3" s="56" t="s">
        <v>15</v>
      </c>
      <c r="BP3" s="57" t="s">
        <v>11</v>
      </c>
      <c r="BQ3" s="57" t="s">
        <v>12</v>
      </c>
      <c r="BR3" s="56" t="s">
        <v>13</v>
      </c>
      <c r="BS3" s="56" t="s">
        <v>14</v>
      </c>
      <c r="BT3" s="56" t="s">
        <v>15</v>
      </c>
      <c r="BV3" s="61"/>
      <c r="BW3" s="61"/>
      <c r="BX3" s="61"/>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2.1858974999999998</v>
      </c>
      <c r="J5" s="11">
        <f t="shared" ref="J5:J39" si="1">IF(ISBLANK(S5),"·",S5/D5)</f>
        <v>9.790717340746935E-3</v>
      </c>
      <c r="K5" s="11">
        <f t="shared" ref="K5:K39" si="2">IF(N5="","·",N5/D5)</f>
        <v>6.211103992753768E-3</v>
      </c>
      <c r="L5" s="11">
        <f t="shared" ref="L5:L39" si="3">IF(T5="","·",T5/D5)</f>
        <v>3.5272086067430685E-3</v>
      </c>
      <c r="M5" s="11">
        <f t="shared" ref="M5:M39" si="4">IF(ISBLANK(V5),"·",V5/D5)</f>
        <v>3.5796133479931679E-3</v>
      </c>
      <c r="N5" s="52">
        <f t="shared" ref="N5:N39" si="5">IF(OR(ISBLANK(T5),ISBLANK(U5)),"",T5+U5)</f>
        <v>1479152</v>
      </c>
      <c r="O5" s="11">
        <v>16</v>
      </c>
      <c r="P5" s="12">
        <v>21785839</v>
      </c>
      <c r="Q5" s="12">
        <v>680807.46875</v>
      </c>
      <c r="R5" s="12">
        <v>13493.8125</v>
      </c>
      <c r="S5" s="13">
        <v>2331624</v>
      </c>
      <c r="T5" s="13">
        <v>839992</v>
      </c>
      <c r="U5" s="13">
        <v>639160</v>
      </c>
      <c r="V5" s="13">
        <v>852472</v>
      </c>
      <c r="W5" s="14">
        <v>66.354628124999991</v>
      </c>
      <c r="X5" s="14">
        <v>68.478524999999991</v>
      </c>
      <c r="Y5" s="14">
        <v>32.10944687500001</v>
      </c>
      <c r="Z5" s="14">
        <v>44.148171875000003</v>
      </c>
      <c r="AA5" s="14">
        <v>43.839812500000001</v>
      </c>
      <c r="AB5" s="15">
        <v>3039.45</v>
      </c>
      <c r="AC5" s="15">
        <v>1517.08</v>
      </c>
      <c r="AD5" s="15">
        <v>9.0839999999999996</v>
      </c>
      <c r="AE5" s="15">
        <v>6.056</v>
      </c>
      <c r="AG5" s="10">
        <f t="shared" ref="AG5:AG39" si="6">IF(OR(ISBLANK(AQ5),ISBLANK(G5)),"·",AQ5*G5/F5/1000000)</f>
        <v>1.8811800000000001</v>
      </c>
      <c r="AH5" s="11">
        <f t="shared" ref="AH5:AH39" si="7">IF(ISBLANK(AQ5),"·",AQ5/D5)</f>
        <v>8.4258761662275201E-3</v>
      </c>
      <c r="AI5" s="11">
        <f t="shared" ref="AI5:AI39" si="8">IF(AL5="","·",AL5/D5)</f>
        <v>5.4122004309525729E-3</v>
      </c>
      <c r="AJ5" s="11">
        <f t="shared" ref="AJ5:AJ39" si="9">IF(AR5="","·",AR5/D5)</f>
        <v>3.0333275132437341E-3</v>
      </c>
      <c r="AK5" s="11">
        <f t="shared" ref="AK5:AK39" si="10">IF(ISBLANK(AT5),"·",AT5/D5)</f>
        <v>3.0136757352749468E-3</v>
      </c>
      <c r="AL5" s="52">
        <f t="shared" ref="AL5:AL39" si="11">IF(OR(ISBLANK(AR5),ISBLANK(AS5)),"",AR5+AS5)</f>
        <v>1288896</v>
      </c>
      <c r="AM5" s="11">
        <v>16</v>
      </c>
      <c r="AN5" s="12">
        <v>15115007</v>
      </c>
      <c r="AO5" s="12">
        <v>472343.96875</v>
      </c>
      <c r="AP5" s="12">
        <v>7973.84375</v>
      </c>
      <c r="AQ5" s="13">
        <v>2006592</v>
      </c>
      <c r="AR5" s="13">
        <v>722376</v>
      </c>
      <c r="AS5" s="13">
        <v>566520</v>
      </c>
      <c r="AT5" s="13">
        <v>717696</v>
      </c>
      <c r="AU5" s="14">
        <v>64.489997000000002</v>
      </c>
      <c r="AV5" s="14">
        <v>67.494112000000001</v>
      </c>
      <c r="AW5" s="14">
        <v>31.462747</v>
      </c>
      <c r="AX5" s="14">
        <v>43.406806000000003</v>
      </c>
      <c r="AY5" s="14">
        <v>42.797775000000001</v>
      </c>
      <c r="AZ5" s="15">
        <v>3872.82</v>
      </c>
      <c r="BA5" s="15">
        <v>1322.51</v>
      </c>
      <c r="BB5" s="15">
        <v>9.8160000000000007</v>
      </c>
      <c r="BC5" s="15">
        <v>20.361000000000001</v>
      </c>
      <c r="BE5" s="50">
        <f t="shared" ref="BE5:BE43" si="12">AI5/K5</f>
        <v>0.87137494997133491</v>
      </c>
      <c r="BF5" s="16">
        <f t="shared" ref="BF5:BF39" si="13">(AP5/AO5) - (R5/Q5)</f>
        <v>-2.9388717511805475E-3</v>
      </c>
      <c r="BG5" s="16">
        <f t="shared" ref="BG5:BG39" si="14">(AL5/AQ5) - (N5/S5)</f>
        <v>7.9438579085551186E-3</v>
      </c>
      <c r="BH5" s="16">
        <f t="array" ref="BH5">AVERAGE(AL5:AL9/AQ5:AQ9) - AVERAGE(N5:N9/S5:S9)</f>
        <v>1.1224460911883671E-2</v>
      </c>
      <c r="BJ5" s="50">
        <f>IF( OR(ISBLANK(N5:N9),ISBLANK(AL5:AL9), ISBLANK(W5:W9),ISBLANK(AU5:AU9)), "·", bdRateExtend( N5:N9,W5:W9, AL5:AL9,AU5:AU9))</f>
        <v>0.41391089360942424</v>
      </c>
      <c r="BK5" s="50">
        <f>IF( OR(ISBLANK(N5:N9),ISBLANK(AL5:AL9), ISBLANK(X5:X9),ISBLANK(AV5:AV9)), "·", bdRateExtend( N5:N9,X5:X9, AL5:AL9,AV5:AV9))</f>
        <v>2.1297353739319735E-2</v>
      </c>
      <c r="BL5" s="50">
        <f>IF( OR(ISBLANK(V5:V9),ISBLANK(AT5:AT9), ISBLANK(Y5:Y9),ISBLANK(AW5:AW9)), "·", bdRateExtend( V5:V9,Y5:Y9, AT5:AT9,AW5:AW9))</f>
        <v>0.18493395444552063</v>
      </c>
      <c r="BM5" s="50">
        <f>IF( OR(ISBLANK(V5:V9),ISBLANK(AT5:AT9), ISBLANK(Z5:Z9),ISBLANK(AX5:AX9)), "·", bdRateExtend( V5:V9,Z5:Z9, AT5:AT9,AX5:AX9))</f>
        <v>0.13586799178227427</v>
      </c>
      <c r="BN5" s="50">
        <f>IF( OR(ISBLANK(V5:V9),ISBLANK(AT5:AT9), ISBLANK(AA5:AA9),ISBLANK(AY5:AY9)), "·", bdRateExtend( V5:V9,AA5:AA9, AT5:AT9,AY5:AY9))</f>
        <v>0.18499560783569424</v>
      </c>
      <c r="BP5" s="50">
        <f>IF( OR(ISBLANK(S5:S9),ISBLANK(AQ5:AQ9), ISBLANK(W5:W9),ISBLANK(AU5:AU9)), "·", bdRateExtend( S5:S9,W5:W9, AQ5:AQ9,AU5:AU9))</f>
        <v>1.2376224982892672</v>
      </c>
      <c r="BQ5" s="50">
        <f>IF( OR(ISBLANK(S5:S9),ISBLANK(AQ5:AQ9), ISBLANK(X5:X9),ISBLANK(AV5:AV9)), "·", bdRateExtend( S5:S9,X5:X9, AQ5:AQ9,AV5:AV9))</f>
        <v>0.1209497362417582</v>
      </c>
      <c r="BR5" s="50">
        <f>IF( OR(ISBLANK(S5:S9),ISBLANK(AQ5:AQ9), ISBLANK(Y5:Y9),ISBLANK(AW5:AW9)), "·", bdRateExtend( S5:S9,Y5:Y9, AQ5:AQ9,AW5:AW9))</f>
        <v>0.11226538528257013</v>
      </c>
      <c r="BS5" s="50">
        <f>IF( OR(ISBLANK(S5:S9),ISBLANK(AQ5:AQ9), ISBLANK(Z5:Z9),ISBLANK(AX5:AX9)), "·", bdRateExtend( S5:S9,Z5:Z9, AQ5:AQ9,AX5:AX9))</f>
        <v>6.756371057477395E-2</v>
      </c>
      <c r="BT5" s="50">
        <f>IF( OR(ISBLANK(S5:S9),ISBLANK(AQ5:AQ9), ISBLANK(AA5:AA9),ISBLANK(AY5:AY9)), "·", bdRateExtend( S5:S9,AA5:AA9, AQ5:AQ9,AY5:AY9))</f>
        <v>0.10324231603076961</v>
      </c>
      <c r="BV5" s="53">
        <f>AN5-P5</f>
        <v>-6670832</v>
      </c>
      <c r="BW5" s="53">
        <f t="shared" ref="BW5:CG20" si="15">AO5-Q5</f>
        <v>-208463.5</v>
      </c>
      <c r="BX5" s="53">
        <f t="shared" si="15"/>
        <v>-5519.96875</v>
      </c>
      <c r="BY5" s="53">
        <f t="shared" si="15"/>
        <v>-325032</v>
      </c>
      <c r="BZ5" s="53">
        <f t="shared" si="15"/>
        <v>-117616</v>
      </c>
      <c r="CA5" s="53">
        <f t="shared" si="15"/>
        <v>-72640</v>
      </c>
      <c r="CB5" s="53">
        <f t="shared" si="15"/>
        <v>-134776</v>
      </c>
      <c r="CC5" s="53">
        <f t="shared" si="15"/>
        <v>-1.8646311249999883</v>
      </c>
      <c r="CD5" s="53">
        <f t="shared" si="15"/>
        <v>-0.98441299999998932</v>
      </c>
      <c r="CE5" s="53">
        <f t="shared" si="15"/>
        <v>-0.64669987500001014</v>
      </c>
      <c r="CF5" s="53">
        <f t="shared" si="15"/>
        <v>-0.74136587499999962</v>
      </c>
      <c r="CG5" s="53">
        <f t="shared" si="15"/>
        <v>-1.0420374999999993</v>
      </c>
      <c r="CJ5" t="s">
        <v>233</v>
      </c>
    </row>
    <row r="6" spans="1:88" outlineLevel="1" x14ac:dyDescent="0.2">
      <c r="A6" s="17"/>
      <c r="B6" s="17" t="s">
        <v>51</v>
      </c>
      <c r="C6" s="18" t="s">
        <v>234</v>
      </c>
      <c r="D6" s="17">
        <v>238146391</v>
      </c>
      <c r="E6" s="18">
        <v>10</v>
      </c>
      <c r="F6" s="18">
        <v>32</v>
      </c>
      <c r="G6" s="18">
        <v>30</v>
      </c>
      <c r="I6" s="19">
        <f t="shared" si="0"/>
        <v>3.4072650000000002</v>
      </c>
      <c r="J6" s="20">
        <f t="shared" si="1"/>
        <v>1.5261268435514523E-2</v>
      </c>
      <c r="K6" s="20">
        <f t="shared" si="2"/>
        <v>7.5753069043989841E-3</v>
      </c>
      <c r="L6" s="20">
        <f t="shared" si="3"/>
        <v>4.8914115183882837E-3</v>
      </c>
      <c r="M6" s="20">
        <f t="shared" si="4"/>
        <v>7.6859615311155394E-3</v>
      </c>
      <c r="N6" s="17">
        <f t="shared" si="5"/>
        <v>1804032</v>
      </c>
      <c r="O6" s="20">
        <v>16</v>
      </c>
      <c r="P6" s="21">
        <v>24191962</v>
      </c>
      <c r="Q6" s="21">
        <v>755998.8125</v>
      </c>
      <c r="R6" s="21">
        <v>19085.96875</v>
      </c>
      <c r="S6" s="22">
        <v>3634416</v>
      </c>
      <c r="T6" s="22">
        <v>1164872</v>
      </c>
      <c r="U6" s="22">
        <v>639160</v>
      </c>
      <c r="V6" s="22">
        <v>1830384</v>
      </c>
      <c r="W6" s="23">
        <v>68.255978124999999</v>
      </c>
      <c r="X6" s="23">
        <v>70.438459375000022</v>
      </c>
      <c r="Y6" s="23">
        <v>34.365984374999996</v>
      </c>
      <c r="Z6" s="23">
        <v>45.499918749999992</v>
      </c>
      <c r="AA6" s="23">
        <v>45.231668749999997</v>
      </c>
      <c r="AB6" s="24">
        <v>3292.79</v>
      </c>
      <c r="AC6" s="24">
        <v>1336.2</v>
      </c>
      <c r="AD6" s="24">
        <v>12.292</v>
      </c>
      <c r="AE6" s="24">
        <v>8.1479999999999997</v>
      </c>
      <c r="AG6" s="19">
        <f t="shared" si="6"/>
        <v>2.8537124999999999</v>
      </c>
      <c r="AH6" s="20">
        <f t="shared" si="7"/>
        <v>1.2781885911510622E-2</v>
      </c>
      <c r="AI6" s="20">
        <f t="shared" si="8"/>
        <v>6.6046770366551552E-3</v>
      </c>
      <c r="AJ6" s="20">
        <f t="shared" si="9"/>
        <v>4.2258041189463169E-3</v>
      </c>
      <c r="AK6" s="20">
        <f t="shared" si="10"/>
        <v>6.1772088748554667E-3</v>
      </c>
      <c r="AL6" s="17">
        <f t="shared" si="11"/>
        <v>1572880</v>
      </c>
      <c r="AM6" s="20">
        <v>16</v>
      </c>
      <c r="AN6" s="21">
        <v>17114805</v>
      </c>
      <c r="AO6" s="21">
        <v>534837.65625</v>
      </c>
      <c r="AP6" s="21">
        <v>12062.5625</v>
      </c>
      <c r="AQ6" s="22">
        <v>3043960</v>
      </c>
      <c r="AR6" s="22">
        <v>1006360</v>
      </c>
      <c r="AS6" s="22">
        <v>566520</v>
      </c>
      <c r="AT6" s="22">
        <v>1471080</v>
      </c>
      <c r="AU6" s="23">
        <v>65.988699999999994</v>
      </c>
      <c r="AV6" s="23">
        <v>69.470080999999993</v>
      </c>
      <c r="AW6" s="23">
        <v>33.393137000000003</v>
      </c>
      <c r="AX6" s="23">
        <v>44.780546999999999</v>
      </c>
      <c r="AY6" s="23">
        <v>44.383783999999999</v>
      </c>
      <c r="AZ6" s="24">
        <v>3463.45</v>
      </c>
      <c r="BA6" s="24">
        <v>1062.43</v>
      </c>
      <c r="BB6" s="24">
        <v>8.6940000000000008</v>
      </c>
      <c r="BC6" s="24">
        <v>15.661</v>
      </c>
      <c r="BE6" s="49">
        <f t="shared" si="12"/>
        <v>0.87186923513551862</v>
      </c>
      <c r="BF6" s="25">
        <f t="shared" si="13"/>
        <v>-2.69234043849172E-3</v>
      </c>
      <c r="BG6" s="25">
        <f t="shared" si="14"/>
        <v>2.0346980650757795E-2</v>
      </c>
      <c r="BH6" s="25"/>
      <c r="BJ6" s="49"/>
      <c r="BK6" s="49"/>
      <c r="BL6" s="49"/>
      <c r="BM6" s="49"/>
      <c r="BN6" s="49"/>
      <c r="BP6" s="49"/>
      <c r="BQ6" s="49"/>
      <c r="BR6" s="49"/>
      <c r="BS6" s="49"/>
      <c r="BT6" s="49"/>
      <c r="BV6" s="53">
        <f t="shared" ref="BV6:CG39" si="16">AN6-P6</f>
        <v>-7077157</v>
      </c>
      <c r="BW6" s="53">
        <f t="shared" si="15"/>
        <v>-221161.15625</v>
      </c>
      <c r="BX6" s="53">
        <f t="shared" si="15"/>
        <v>-7023.40625</v>
      </c>
      <c r="BY6" s="53">
        <f t="shared" si="15"/>
        <v>-590456</v>
      </c>
      <c r="BZ6" s="53">
        <f t="shared" si="15"/>
        <v>-158512</v>
      </c>
      <c r="CA6" s="53">
        <f t="shared" si="15"/>
        <v>-72640</v>
      </c>
      <c r="CB6" s="53">
        <f t="shared" si="15"/>
        <v>-359304</v>
      </c>
      <c r="CC6" s="53">
        <f t="shared" si="15"/>
        <v>-2.2672781250000043</v>
      </c>
      <c r="CD6" s="53">
        <f t="shared" si="15"/>
        <v>-0.96837837500002877</v>
      </c>
      <c r="CE6" s="53">
        <f t="shared" si="15"/>
        <v>-0.97284737499999352</v>
      </c>
      <c r="CF6" s="53">
        <f t="shared" si="15"/>
        <v>-0.71937174999999343</v>
      </c>
      <c r="CG6" s="53">
        <f t="shared" si="15"/>
        <v>-0.84788474999999863</v>
      </c>
      <c r="CJ6" t="s">
        <v>233</v>
      </c>
    </row>
    <row r="7" spans="1:88" outlineLevel="1" x14ac:dyDescent="0.2">
      <c r="A7" s="52"/>
      <c r="B7" s="52" t="s">
        <v>51</v>
      </c>
      <c r="C7" s="9" t="s">
        <v>235</v>
      </c>
      <c r="D7" s="52">
        <v>238146391</v>
      </c>
      <c r="E7" s="9">
        <v>10</v>
      </c>
      <c r="F7" s="9">
        <v>32</v>
      </c>
      <c r="G7" s="9">
        <v>30</v>
      </c>
      <c r="I7" s="10">
        <f t="shared" si="0"/>
        <v>5.5887525</v>
      </c>
      <c r="J7" s="11">
        <f t="shared" si="1"/>
        <v>2.5032233219944112E-2</v>
      </c>
      <c r="K7" s="11">
        <f t="shared" si="2"/>
        <v>9.522613340800113E-3</v>
      </c>
      <c r="L7" s="11">
        <f t="shared" si="3"/>
        <v>6.8387179547894136E-3</v>
      </c>
      <c r="M7" s="11">
        <f t="shared" si="4"/>
        <v>1.5509619879144001E-2</v>
      </c>
      <c r="N7" s="52">
        <f t="shared" si="5"/>
        <v>2267776</v>
      </c>
      <c r="O7" s="11">
        <v>16</v>
      </c>
      <c r="P7" s="12">
        <v>24808216</v>
      </c>
      <c r="Q7" s="12">
        <v>775256.75</v>
      </c>
      <c r="R7" s="12">
        <v>20954.78125</v>
      </c>
      <c r="S7" s="13">
        <v>5961336</v>
      </c>
      <c r="T7" s="13">
        <v>1628616</v>
      </c>
      <c r="U7" s="13">
        <v>639160</v>
      </c>
      <c r="V7" s="13">
        <v>3693560</v>
      </c>
      <c r="W7" s="14">
        <v>69.683724999999995</v>
      </c>
      <c r="X7" s="14">
        <v>72.129403124999982</v>
      </c>
      <c r="Y7" s="14">
        <v>36.915784375000001</v>
      </c>
      <c r="Z7" s="14">
        <v>46.579393750000023</v>
      </c>
      <c r="AA7" s="14">
        <v>46.454928125000002</v>
      </c>
      <c r="AB7" s="15">
        <v>3251.05</v>
      </c>
      <c r="AC7" s="15">
        <v>1431.85</v>
      </c>
      <c r="AD7" s="15">
        <v>12.404</v>
      </c>
      <c r="AE7" s="15">
        <v>8.6720000000000006</v>
      </c>
      <c r="AG7" s="10">
        <f t="shared" si="6"/>
        <v>4.6553775000000002</v>
      </c>
      <c r="AH7" s="11">
        <f t="shared" si="7"/>
        <v>2.0851611393934582E-2</v>
      </c>
      <c r="AI7" s="11">
        <f t="shared" si="8"/>
        <v>8.2448782522175617E-3</v>
      </c>
      <c r="AJ7" s="11">
        <f t="shared" si="9"/>
        <v>5.8660053345087225E-3</v>
      </c>
      <c r="AK7" s="11">
        <f t="shared" si="10"/>
        <v>1.260673314171702E-2</v>
      </c>
      <c r="AL7" s="52">
        <f t="shared" si="11"/>
        <v>1963488</v>
      </c>
      <c r="AM7" s="11">
        <v>16</v>
      </c>
      <c r="AN7" s="12">
        <v>17595031</v>
      </c>
      <c r="AO7" s="12">
        <v>549844.71875</v>
      </c>
      <c r="AP7" s="12">
        <v>13358.59375</v>
      </c>
      <c r="AQ7" s="13">
        <v>4965736</v>
      </c>
      <c r="AR7" s="13">
        <v>1396968</v>
      </c>
      <c r="AS7" s="13">
        <v>566520</v>
      </c>
      <c r="AT7" s="13">
        <v>3002248</v>
      </c>
      <c r="AU7" s="14">
        <v>66.945509000000001</v>
      </c>
      <c r="AV7" s="14">
        <v>71.135231000000005</v>
      </c>
      <c r="AW7" s="14">
        <v>35.647491000000002</v>
      </c>
      <c r="AX7" s="14">
        <v>45.943606000000003</v>
      </c>
      <c r="AY7" s="14">
        <v>45.629036999999997</v>
      </c>
      <c r="AZ7" s="15">
        <v>3842.16</v>
      </c>
      <c r="BA7" s="15">
        <v>1413.12</v>
      </c>
      <c r="BB7" s="15">
        <v>11.055999999999999</v>
      </c>
      <c r="BC7" s="15">
        <v>20.895</v>
      </c>
      <c r="BE7" s="50">
        <f t="shared" si="12"/>
        <v>0.86582096291697241</v>
      </c>
      <c r="BF7" s="16">
        <f t="shared" si="13"/>
        <v>-2.7342612878313369E-3</v>
      </c>
      <c r="BG7" s="16">
        <f t="shared" si="14"/>
        <v>1.499319194470905E-2</v>
      </c>
      <c r="BH7" s="16"/>
      <c r="BJ7" s="50"/>
      <c r="BK7" s="50"/>
      <c r="BL7" s="50"/>
      <c r="BM7" s="50"/>
      <c r="BN7" s="50"/>
      <c r="BP7" s="50"/>
      <c r="BQ7" s="50"/>
      <c r="BR7" s="50"/>
      <c r="BS7" s="50"/>
      <c r="BT7" s="50"/>
      <c r="BV7" s="53">
        <f t="shared" si="16"/>
        <v>-7213185</v>
      </c>
      <c r="BW7" s="53">
        <f t="shared" si="15"/>
        <v>-225412.03125</v>
      </c>
      <c r="BX7" s="53">
        <f t="shared" si="15"/>
        <v>-7596.1875</v>
      </c>
      <c r="BY7" s="53">
        <f t="shared" si="15"/>
        <v>-995600</v>
      </c>
      <c r="BZ7" s="53">
        <f t="shared" si="15"/>
        <v>-231648</v>
      </c>
      <c r="CA7" s="53">
        <f t="shared" si="15"/>
        <v>-72640</v>
      </c>
      <c r="CB7" s="53">
        <f t="shared" si="15"/>
        <v>-691312</v>
      </c>
      <c r="CC7" s="53">
        <f t="shared" si="15"/>
        <v>-2.7382159999999942</v>
      </c>
      <c r="CD7" s="53">
        <f t="shared" si="15"/>
        <v>-0.99417212499997731</v>
      </c>
      <c r="CE7" s="53">
        <f t="shared" si="15"/>
        <v>-1.2682933749999989</v>
      </c>
      <c r="CF7" s="53">
        <f t="shared" si="15"/>
        <v>-0.63578775000001997</v>
      </c>
      <c r="CG7" s="53">
        <f t="shared" si="15"/>
        <v>-0.82589112500000539</v>
      </c>
      <c r="CJ7" t="s">
        <v>233</v>
      </c>
    </row>
    <row r="8" spans="1:88" outlineLevel="1" x14ac:dyDescent="0.2">
      <c r="A8" s="17"/>
      <c r="B8" s="17" t="s">
        <v>51</v>
      </c>
      <c r="C8" s="18" t="s">
        <v>236</v>
      </c>
      <c r="D8" s="17">
        <v>238146391</v>
      </c>
      <c r="E8" s="18">
        <v>10</v>
      </c>
      <c r="F8" s="18">
        <v>32</v>
      </c>
      <c r="G8" s="18">
        <v>30</v>
      </c>
      <c r="I8" s="19">
        <f t="shared" si="0"/>
        <v>9.4696274999999996</v>
      </c>
      <c r="J8" s="20">
        <f t="shared" si="1"/>
        <v>4.2414818707036381E-2</v>
      </c>
      <c r="K8" s="20">
        <f t="shared" si="2"/>
        <v>1.2784640519704538E-2</v>
      </c>
      <c r="L8" s="20">
        <f t="shared" si="3"/>
        <v>1.0100745133693839E-2</v>
      </c>
      <c r="M8" s="20">
        <f t="shared" si="4"/>
        <v>2.9630178187331841E-2</v>
      </c>
      <c r="N8" s="17">
        <f t="shared" si="5"/>
        <v>3044616</v>
      </c>
      <c r="O8" s="20">
        <v>16</v>
      </c>
      <c r="P8" s="21">
        <v>25797809</v>
      </c>
      <c r="Q8" s="21">
        <v>806181.53125</v>
      </c>
      <c r="R8" s="21">
        <v>24199.8125</v>
      </c>
      <c r="S8" s="22">
        <v>10100936</v>
      </c>
      <c r="T8" s="22">
        <v>2405456</v>
      </c>
      <c r="U8" s="22">
        <v>639160</v>
      </c>
      <c r="V8" s="22">
        <v>7056320</v>
      </c>
      <c r="W8" s="23">
        <v>70.836840624999994</v>
      </c>
      <c r="X8" s="23">
        <v>73.406981250000001</v>
      </c>
      <c r="Y8" s="23">
        <v>39.549353125000003</v>
      </c>
      <c r="Z8" s="23">
        <v>47.886118750000001</v>
      </c>
      <c r="AA8" s="23">
        <v>47.950350000000007</v>
      </c>
      <c r="AB8" s="24">
        <v>3307.52</v>
      </c>
      <c r="AC8" s="24">
        <v>1504.02</v>
      </c>
      <c r="AD8" s="24">
        <v>13.576000000000001</v>
      </c>
      <c r="AE8" s="24">
        <v>12.224</v>
      </c>
      <c r="AG8" s="19">
        <f t="shared" si="6"/>
        <v>8.0560500000000008</v>
      </c>
      <c r="AH8" s="20">
        <f t="shared" si="7"/>
        <v>3.6083351773321642E-2</v>
      </c>
      <c r="AI8" s="20">
        <f t="shared" si="8"/>
        <v>1.1121831361282314E-2</v>
      </c>
      <c r="AJ8" s="20">
        <f t="shared" si="9"/>
        <v>8.7429584435734734E-3</v>
      </c>
      <c r="AK8" s="20">
        <f t="shared" si="10"/>
        <v>2.4961520412039334E-2</v>
      </c>
      <c r="AL8" s="17">
        <f t="shared" si="11"/>
        <v>2648624</v>
      </c>
      <c r="AM8" s="20">
        <v>16</v>
      </c>
      <c r="AN8" s="21">
        <v>18437867</v>
      </c>
      <c r="AO8" s="21">
        <v>576183.34375</v>
      </c>
      <c r="AP8" s="21">
        <v>15894.0625</v>
      </c>
      <c r="AQ8" s="22">
        <v>8593120</v>
      </c>
      <c r="AR8" s="22">
        <v>2082104</v>
      </c>
      <c r="AS8" s="22">
        <v>566520</v>
      </c>
      <c r="AT8" s="22">
        <v>5944496</v>
      </c>
      <c r="AU8" s="23">
        <v>67.753487000000007</v>
      </c>
      <c r="AV8" s="23">
        <v>72.427177999999998</v>
      </c>
      <c r="AW8" s="23">
        <v>37.907741000000001</v>
      </c>
      <c r="AX8" s="23">
        <v>47.354731000000001</v>
      </c>
      <c r="AY8" s="23">
        <v>47.247140999999999</v>
      </c>
      <c r="AZ8" s="24">
        <v>3861.2</v>
      </c>
      <c r="BA8" s="24">
        <v>1402.07</v>
      </c>
      <c r="BB8" s="24">
        <v>10.853</v>
      </c>
      <c r="BC8" s="24">
        <v>19.506</v>
      </c>
      <c r="BE8" s="49">
        <f t="shared" si="12"/>
        <v>0.8699369641360355</v>
      </c>
      <c r="BF8" s="25">
        <f t="shared" si="13"/>
        <v>-2.432742470281548E-3</v>
      </c>
      <c r="BG8" s="25">
        <f t="shared" si="14"/>
        <v>6.8069205651259401E-3</v>
      </c>
      <c r="BH8" s="25"/>
      <c r="BJ8" s="49"/>
      <c r="BK8" s="49"/>
      <c r="BL8" s="49"/>
      <c r="BM8" s="49"/>
      <c r="BN8" s="49"/>
      <c r="BP8" s="49"/>
      <c r="BQ8" s="49"/>
      <c r="BR8" s="49"/>
      <c r="BS8" s="49"/>
      <c r="BT8" s="49"/>
      <c r="BV8" s="53">
        <f t="shared" si="16"/>
        <v>-7359942</v>
      </c>
      <c r="BW8" s="53">
        <f t="shared" si="15"/>
        <v>-229998.1875</v>
      </c>
      <c r="BX8" s="53">
        <f t="shared" si="15"/>
        <v>-8305.75</v>
      </c>
      <c r="BY8" s="53">
        <f t="shared" si="15"/>
        <v>-1507816</v>
      </c>
      <c r="BZ8" s="53">
        <f t="shared" si="15"/>
        <v>-323352</v>
      </c>
      <c r="CA8" s="53">
        <f t="shared" si="15"/>
        <v>-72640</v>
      </c>
      <c r="CB8" s="53">
        <f t="shared" si="15"/>
        <v>-1111824</v>
      </c>
      <c r="CC8" s="53">
        <f t="shared" si="15"/>
        <v>-3.0833536249999867</v>
      </c>
      <c r="CD8" s="53">
        <f t="shared" si="15"/>
        <v>-0.97980325000000335</v>
      </c>
      <c r="CE8" s="53">
        <f t="shared" si="15"/>
        <v>-1.6416121250000018</v>
      </c>
      <c r="CF8" s="53">
        <f t="shared" si="15"/>
        <v>-0.53138775000000038</v>
      </c>
      <c r="CG8" s="53">
        <f t="shared" si="15"/>
        <v>-0.70320900000000819</v>
      </c>
      <c r="CJ8" t="s">
        <v>233</v>
      </c>
    </row>
    <row r="9" spans="1:88" ht="16" outlineLevel="1" thickBot="1" x14ac:dyDescent="0.25">
      <c r="A9" s="52"/>
      <c r="B9" s="26" t="s">
        <v>51</v>
      </c>
      <c r="C9" s="27" t="s">
        <v>237</v>
      </c>
      <c r="D9" s="26">
        <v>238146391</v>
      </c>
      <c r="E9" s="27">
        <v>10</v>
      </c>
      <c r="F9" s="27">
        <v>32</v>
      </c>
      <c r="G9" s="27">
        <v>30</v>
      </c>
      <c r="I9" s="28">
        <f t="shared" si="0"/>
        <v>16.897575</v>
      </c>
      <c r="J9" s="29">
        <f t="shared" si="1"/>
        <v>7.5684875694799009E-2</v>
      </c>
      <c r="K9" s="29">
        <f t="shared" si="2"/>
        <v>2.068986214449918E-2</v>
      </c>
      <c r="L9" s="29">
        <f t="shared" si="3"/>
        <v>1.5547781280464586E-2</v>
      </c>
      <c r="M9" s="29">
        <f t="shared" si="4"/>
        <v>5.4995013550299822E-2</v>
      </c>
      <c r="N9" s="26">
        <f t="shared" si="5"/>
        <v>4927216</v>
      </c>
      <c r="O9" s="29">
        <v>16</v>
      </c>
      <c r="P9" s="30">
        <v>24868389</v>
      </c>
      <c r="Q9" s="30">
        <v>777137.15625</v>
      </c>
      <c r="R9" s="30">
        <v>10635.96875</v>
      </c>
      <c r="S9" s="31">
        <v>18024080</v>
      </c>
      <c r="T9" s="31">
        <v>3702648</v>
      </c>
      <c r="U9" s="31">
        <v>1224568</v>
      </c>
      <c r="V9" s="31">
        <v>13096864</v>
      </c>
      <c r="W9" s="32">
        <v>71.945243750000003</v>
      </c>
      <c r="X9" s="32">
        <v>75.319240624999978</v>
      </c>
      <c r="Y9" s="32">
        <v>42.149681250000008</v>
      </c>
      <c r="Z9" s="32">
        <v>49.421931249999993</v>
      </c>
      <c r="AA9" s="32">
        <v>49.547406250000009</v>
      </c>
      <c r="AB9" s="33">
        <v>3206.12</v>
      </c>
      <c r="AC9" s="33">
        <v>1968.86</v>
      </c>
      <c r="AD9" s="33">
        <v>12.964</v>
      </c>
      <c r="AE9" s="33">
        <v>13.776</v>
      </c>
      <c r="AG9" s="28">
        <f t="shared" si="6"/>
        <v>14.3438775</v>
      </c>
      <c r="AH9" s="29">
        <f t="shared" si="7"/>
        <v>6.4246768282959194E-2</v>
      </c>
      <c r="AI9" s="29">
        <f t="shared" si="8"/>
        <v>1.7950538666781642E-2</v>
      </c>
      <c r="AJ9" s="29">
        <f t="shared" si="9"/>
        <v>1.3449844805752273E-2</v>
      </c>
      <c r="AK9" s="29">
        <f t="shared" si="10"/>
        <v>4.6296229616177555E-2</v>
      </c>
      <c r="AL9" s="26">
        <f t="shared" si="11"/>
        <v>4274856</v>
      </c>
      <c r="AM9" s="29">
        <v>16</v>
      </c>
      <c r="AN9" s="30">
        <v>17665429</v>
      </c>
      <c r="AO9" s="30">
        <v>552044.65625</v>
      </c>
      <c r="AP9" s="30">
        <v>7313.875</v>
      </c>
      <c r="AQ9" s="31">
        <v>15300136</v>
      </c>
      <c r="AR9" s="31">
        <v>3203032</v>
      </c>
      <c r="AS9" s="31">
        <v>1071824</v>
      </c>
      <c r="AT9" s="31">
        <v>11025280</v>
      </c>
      <c r="AU9" s="32">
        <v>68.168746999999996</v>
      </c>
      <c r="AV9" s="32">
        <v>74.791096999999993</v>
      </c>
      <c r="AW9" s="32">
        <v>39.711393999999999</v>
      </c>
      <c r="AX9" s="32">
        <v>48.966921999999997</v>
      </c>
      <c r="AY9" s="32">
        <v>49.049072000000002</v>
      </c>
      <c r="AZ9" s="33">
        <v>3953.16</v>
      </c>
      <c r="BA9" s="33">
        <v>1686.91</v>
      </c>
      <c r="BB9" s="33">
        <v>10.138999999999999</v>
      </c>
      <c r="BC9" s="33">
        <v>24.311</v>
      </c>
      <c r="BE9" s="34">
        <f t="shared" si="12"/>
        <v>0.86760068972011772</v>
      </c>
      <c r="BF9" s="35">
        <f t="shared" si="13"/>
        <v>-4.3738785356652217E-4</v>
      </c>
      <c r="BG9" s="35">
        <f t="shared" si="14"/>
        <v>6.0313534902701194E-3</v>
      </c>
      <c r="BH9" s="35"/>
      <c r="BJ9" s="34"/>
      <c r="BK9" s="34"/>
      <c r="BL9" s="34"/>
      <c r="BM9" s="34"/>
      <c r="BN9" s="34"/>
      <c r="BP9" s="34"/>
      <c r="BQ9" s="34"/>
      <c r="BR9" s="34"/>
      <c r="BS9" s="34"/>
      <c r="BT9" s="34"/>
      <c r="BV9" s="53">
        <f t="shared" si="16"/>
        <v>-7202960</v>
      </c>
      <c r="BW9" s="53">
        <f t="shared" si="15"/>
        <v>-225092.5</v>
      </c>
      <c r="BX9" s="53">
        <f t="shared" si="15"/>
        <v>-3322.09375</v>
      </c>
      <c r="BY9" s="53">
        <f t="shared" si="15"/>
        <v>-2723944</v>
      </c>
      <c r="BZ9" s="53">
        <f t="shared" si="15"/>
        <v>-499616</v>
      </c>
      <c r="CA9" s="53">
        <f t="shared" si="15"/>
        <v>-152744</v>
      </c>
      <c r="CB9" s="53">
        <f t="shared" si="15"/>
        <v>-2071584</v>
      </c>
      <c r="CC9" s="53">
        <f t="shared" si="15"/>
        <v>-3.7764967500000068</v>
      </c>
      <c r="CD9" s="53">
        <f t="shared" si="15"/>
        <v>-0.52814362499998424</v>
      </c>
      <c r="CE9" s="53">
        <f t="shared" si="15"/>
        <v>-2.438287250000009</v>
      </c>
      <c r="CF9" s="53">
        <f t="shared" si="15"/>
        <v>-0.45500924999999626</v>
      </c>
      <c r="CG9" s="53">
        <f t="shared" si="15"/>
        <v>-0.49833425000000631</v>
      </c>
      <c r="CJ9" t="s">
        <v>233</v>
      </c>
    </row>
    <row r="10" spans="1:88" x14ac:dyDescent="0.2">
      <c r="A10" s="17"/>
      <c r="B10" s="17" t="s">
        <v>59</v>
      </c>
      <c r="C10" s="18" t="s">
        <v>232</v>
      </c>
      <c r="D10" s="17">
        <v>218121242</v>
      </c>
      <c r="E10" s="18">
        <v>10</v>
      </c>
      <c r="F10" s="18">
        <v>32</v>
      </c>
      <c r="G10" s="18">
        <v>30</v>
      </c>
      <c r="I10" s="19">
        <f t="shared" si="0"/>
        <v>3.2135775</v>
      </c>
      <c r="J10" s="20">
        <f t="shared" si="1"/>
        <v>1.5715186510812183E-2</v>
      </c>
      <c r="K10" s="20">
        <f t="shared" si="2"/>
        <v>8.1856126603203558E-3</v>
      </c>
      <c r="L10" s="20">
        <f t="shared" si="3"/>
        <v>4.2806284772576161E-3</v>
      </c>
      <c r="M10" s="20">
        <f t="shared" si="4"/>
        <v>7.5295738504918283E-3</v>
      </c>
      <c r="N10" s="17">
        <f t="shared" si="5"/>
        <v>1785456</v>
      </c>
      <c r="O10" s="20">
        <v>16</v>
      </c>
      <c r="P10" s="21">
        <v>20666971</v>
      </c>
      <c r="Q10" s="21">
        <v>645842.84375</v>
      </c>
      <c r="R10" s="21">
        <v>18163.46875</v>
      </c>
      <c r="S10" s="22">
        <v>3427816</v>
      </c>
      <c r="T10" s="22">
        <v>933696</v>
      </c>
      <c r="U10" s="22">
        <v>851760</v>
      </c>
      <c r="V10" s="22">
        <v>1642360</v>
      </c>
      <c r="W10" s="23">
        <v>65.904412499999992</v>
      </c>
      <c r="X10" s="23">
        <v>67.82275937499999</v>
      </c>
      <c r="Y10" s="23">
        <v>32.384371874999992</v>
      </c>
      <c r="Z10" s="23">
        <v>39.164465624999991</v>
      </c>
      <c r="AA10" s="23">
        <v>32.081006249999987</v>
      </c>
      <c r="AB10" s="24">
        <v>2952.46</v>
      </c>
      <c r="AC10" s="24">
        <v>1614.9</v>
      </c>
      <c r="AD10" s="24">
        <v>12.76</v>
      </c>
      <c r="AE10" s="24">
        <v>10.472</v>
      </c>
      <c r="AG10" s="19">
        <f t="shared" si="6"/>
        <v>2.7559425000000002</v>
      </c>
      <c r="AH10" s="20">
        <f t="shared" si="7"/>
        <v>1.3477238498394392E-2</v>
      </c>
      <c r="AI10" s="20">
        <f t="shared" si="8"/>
        <v>7.3456027726084561E-3</v>
      </c>
      <c r="AJ10" s="20">
        <f t="shared" si="9"/>
        <v>3.7626780063905927E-3</v>
      </c>
      <c r="AK10" s="20">
        <f t="shared" si="10"/>
        <v>6.1316357257859373E-3</v>
      </c>
      <c r="AL10" s="17">
        <f t="shared" si="11"/>
        <v>1602232</v>
      </c>
      <c r="AM10" s="20">
        <v>16</v>
      </c>
      <c r="AN10" s="21">
        <v>15054066</v>
      </c>
      <c r="AO10" s="21">
        <v>470439.5625</v>
      </c>
      <c r="AP10" s="21">
        <v>11557.96875</v>
      </c>
      <c r="AQ10" s="22">
        <v>2939672</v>
      </c>
      <c r="AR10" s="22">
        <v>820720</v>
      </c>
      <c r="AS10" s="22">
        <v>781512</v>
      </c>
      <c r="AT10" s="22">
        <v>1337440</v>
      </c>
      <c r="AU10" s="23">
        <v>64.277297000000004</v>
      </c>
      <c r="AV10" s="23">
        <v>66.723580999999996</v>
      </c>
      <c r="AW10" s="23">
        <v>31.703012000000001</v>
      </c>
      <c r="AX10" s="23">
        <v>38.760016</v>
      </c>
      <c r="AY10" s="23">
        <v>30.793168999999999</v>
      </c>
      <c r="AZ10" s="24">
        <v>3324.69</v>
      </c>
      <c r="BA10" s="24">
        <v>990.89499999999998</v>
      </c>
      <c r="BB10" s="24">
        <v>7.2670000000000003</v>
      </c>
      <c r="BC10" s="24">
        <v>14.706</v>
      </c>
      <c r="BE10" s="49">
        <f t="shared" si="12"/>
        <v>0.89737971700226715</v>
      </c>
      <c r="BF10" s="25">
        <f t="shared" si="13"/>
        <v>-3.5552210064340659E-3</v>
      </c>
      <c r="BG10" s="25">
        <f t="shared" si="14"/>
        <v>2.4164912040188891E-2</v>
      </c>
      <c r="BH10" s="25">
        <f t="array" ref="BH10">AVERAGE(AL10:AL14/AQ10:AQ14) - AVERAGE(N10:N14/S10:S14)</f>
        <v>2.1471403485717411E-2</v>
      </c>
      <c r="BJ10" s="49">
        <f>IF( OR(ISBLANK(N10:N14),ISBLANK(AL10:AL14), ISBLANK(W10:W14),ISBLANK(AU10:AU14)), "·", bdRateExtend( N10:N14,W10:W14, AL10:AL14,AU10:AU14))</f>
        <v>0.4027697760531761</v>
      </c>
      <c r="BK10" s="49">
        <f>IF( OR(ISBLANK(N10:N14),ISBLANK(AL10:AL14), ISBLANK(X10:X14),ISBLANK(AV10:AV14)), "·", bdRateExtend( N10:N14,X10:X14, AL10:AL14,AV10:AV14))</f>
        <v>9.7061779284936867E-2</v>
      </c>
      <c r="BL10" s="49">
        <f>IF( OR(ISBLANK(V10:V14),ISBLANK(AT10:AT14), ISBLANK(Y10:Y14),ISBLANK(AW10:AW14)), "·", bdRateExtend( V10:V14,Y10:Y14, AT10:AT14,AW10:AW14))</f>
        <v>0.11894801449420567</v>
      </c>
      <c r="BM10" s="49">
        <f>IF( OR(ISBLANK(V10:V14),ISBLANK(AT10:AT14), ISBLANK(Z10:Z14),ISBLANK(AX10:AX14)), "·", bdRateExtend( V10:V14,Z10:Z14, AT10:AT14,AX10:AX14))</f>
        <v>6.8445072837136633E-2</v>
      </c>
      <c r="BN10" s="49">
        <f>IF( OR(ISBLANK(V10:V14),ISBLANK(AT10:AT14), ISBLANK(AA10:AA14),ISBLANK(AY10:AY14)), "·", bdRateExtend( V10:V14,AA10:AA14, AT10:AT14,AY10:AY14))</f>
        <v>0.6169659213920089</v>
      </c>
      <c r="BP10" s="49">
        <f>IF( OR(ISBLANK(S10:S14),ISBLANK(AQ10:AQ14), ISBLANK(W10:W14),ISBLANK(AU10:AU14)), "·", bdRateExtend( S10:S14,W10:W14, AQ10:AQ14,AU10:AU14))</f>
        <v>0.84245769305430285</v>
      </c>
      <c r="BQ10" s="49">
        <f>IF( OR(ISBLANK(S10:S14),ISBLANK(AQ10:AQ14), ISBLANK(X10:X14),ISBLANK(AV10:AV14)), "·", bdRateExtend( S10:S14,X10:X14, AQ10:AQ14,AV10:AV14))</f>
        <v>0.16620088256971566</v>
      </c>
      <c r="BR10" s="49">
        <f>IF( OR(ISBLANK(S10:S14),ISBLANK(AQ10:AQ14), ISBLANK(Y10:Y14),ISBLANK(AW10:AW14)), "·", bdRateExtend( S10:S14,Y10:Y14, AQ10:AQ14,AW10:AW14))</f>
        <v>9.5346731958584341E-2</v>
      </c>
      <c r="BS10" s="49">
        <f>IF( OR(ISBLANK(S10:S14),ISBLANK(AQ10:AQ14), ISBLANK(Z10:Z14),ISBLANK(AX10:AX14)), "·", bdRateExtend( S10:S14,Z10:Z14, AQ10:AQ14,AX10:AX14))</f>
        <v>5.2321531198108673E-2</v>
      </c>
      <c r="BT10" s="49">
        <f>IF( OR(ISBLANK(S10:S14),ISBLANK(AQ10:AQ14), ISBLANK(AA10:AA14),ISBLANK(AY10:AY14)), "·", bdRateExtend( S10:S14,AA10:AA14, AQ10:AQ14,AY10:AY14))</f>
        <v>0.45917153088957852</v>
      </c>
      <c r="BV10" s="53">
        <f t="shared" si="16"/>
        <v>-5612905</v>
      </c>
      <c r="BW10" s="53">
        <f t="shared" si="15"/>
        <v>-175403.28125</v>
      </c>
      <c r="BX10" s="53">
        <f t="shared" si="15"/>
        <v>-6605.5</v>
      </c>
      <c r="BY10" s="53">
        <f t="shared" si="15"/>
        <v>-488144</v>
      </c>
      <c r="BZ10" s="53">
        <f t="shared" si="15"/>
        <v>-112976</v>
      </c>
      <c r="CA10" s="53">
        <f t="shared" si="15"/>
        <v>-70248</v>
      </c>
      <c r="CB10" s="53">
        <f t="shared" si="15"/>
        <v>-304920</v>
      </c>
      <c r="CC10" s="53">
        <f t="shared" si="15"/>
        <v>-1.6271154999999879</v>
      </c>
      <c r="CD10" s="53">
        <f t="shared" si="15"/>
        <v>-1.0991783749999939</v>
      </c>
      <c r="CE10" s="53">
        <f t="shared" si="15"/>
        <v>-0.68135987499999118</v>
      </c>
      <c r="CF10" s="53">
        <f t="shared" si="15"/>
        <v>-0.40444962499999093</v>
      </c>
      <c r="CG10" s="53">
        <f t="shared" si="15"/>
        <v>-1.2878372499999884</v>
      </c>
      <c r="CJ10" t="s">
        <v>238</v>
      </c>
    </row>
    <row r="11" spans="1:88" outlineLevel="1" x14ac:dyDescent="0.2">
      <c r="A11" s="52"/>
      <c r="B11" s="52" t="s">
        <v>59</v>
      </c>
      <c r="C11" s="9" t="s">
        <v>234</v>
      </c>
      <c r="D11" s="52">
        <v>218121242</v>
      </c>
      <c r="E11" s="9">
        <v>10</v>
      </c>
      <c r="F11" s="9">
        <v>32</v>
      </c>
      <c r="G11" s="9">
        <v>30</v>
      </c>
      <c r="I11" s="10">
        <f t="shared" si="0"/>
        <v>4.6348349999999998</v>
      </c>
      <c r="J11" s="11">
        <f t="shared" si="1"/>
        <v>2.2665486197809198E-2</v>
      </c>
      <c r="K11" s="11">
        <f t="shared" si="2"/>
        <v>9.9355385111918621E-3</v>
      </c>
      <c r="L11" s="11">
        <f t="shared" si="3"/>
        <v>6.0305543281291233E-3</v>
      </c>
      <c r="M11" s="11">
        <f t="shared" si="4"/>
        <v>1.2729947686617336E-2</v>
      </c>
      <c r="N11" s="52">
        <f t="shared" si="5"/>
        <v>2167152</v>
      </c>
      <c r="O11" s="11">
        <v>16</v>
      </c>
      <c r="P11" s="12">
        <v>22097663</v>
      </c>
      <c r="Q11" s="12">
        <v>690551.96875</v>
      </c>
      <c r="R11" s="12">
        <v>22957.28125</v>
      </c>
      <c r="S11" s="13">
        <v>4943824</v>
      </c>
      <c r="T11" s="13">
        <v>1315392</v>
      </c>
      <c r="U11" s="13">
        <v>851760</v>
      </c>
      <c r="V11" s="13">
        <v>2776672</v>
      </c>
      <c r="W11" s="14">
        <v>67.607918749999996</v>
      </c>
      <c r="X11" s="14">
        <v>69.699943750000003</v>
      </c>
      <c r="Y11" s="14">
        <v>34.252084375000003</v>
      </c>
      <c r="Z11" s="14">
        <v>40.021503125000002</v>
      </c>
      <c r="AA11" s="14">
        <v>33.864340624999997</v>
      </c>
      <c r="AB11" s="15">
        <v>2650.04</v>
      </c>
      <c r="AC11" s="15">
        <v>1251.0899999999999</v>
      </c>
      <c r="AD11" s="15">
        <v>12.692</v>
      </c>
      <c r="AE11" s="15">
        <v>11.48</v>
      </c>
      <c r="AG11" s="10">
        <f t="shared" si="6"/>
        <v>3.9275099999999998</v>
      </c>
      <c r="AH11" s="11">
        <f t="shared" si="7"/>
        <v>1.9206492506584939E-2</v>
      </c>
      <c r="AI11" s="11">
        <f t="shared" si="8"/>
        <v>8.9052491274554547E-3</v>
      </c>
      <c r="AJ11" s="11">
        <f t="shared" si="9"/>
        <v>5.3223243612375909E-3</v>
      </c>
      <c r="AK11" s="11">
        <f t="shared" si="10"/>
        <v>1.0301243379129485E-2</v>
      </c>
      <c r="AL11" s="52">
        <f t="shared" si="11"/>
        <v>1942424</v>
      </c>
      <c r="AM11" s="11">
        <v>16</v>
      </c>
      <c r="AN11" s="12">
        <v>16173359</v>
      </c>
      <c r="AO11" s="12">
        <v>505417.46875</v>
      </c>
      <c r="AP11" s="12">
        <v>15222.59375</v>
      </c>
      <c r="AQ11" s="13">
        <v>4189344</v>
      </c>
      <c r="AR11" s="13">
        <v>1160912</v>
      </c>
      <c r="AS11" s="13">
        <v>781512</v>
      </c>
      <c r="AT11" s="13">
        <v>2246920</v>
      </c>
      <c r="AU11" s="14">
        <v>65.657409000000001</v>
      </c>
      <c r="AV11" s="14">
        <v>68.575669000000005</v>
      </c>
      <c r="AW11" s="14">
        <v>33.450519</v>
      </c>
      <c r="AX11" s="14">
        <v>39.583778000000002</v>
      </c>
      <c r="AY11" s="14">
        <v>32.312868999999999</v>
      </c>
      <c r="AZ11" s="15">
        <v>3905.2</v>
      </c>
      <c r="BA11" s="15">
        <v>1429.53</v>
      </c>
      <c r="BB11" s="15">
        <v>9.6649999999999991</v>
      </c>
      <c r="BC11" s="15">
        <v>21.716000000000001</v>
      </c>
      <c r="BE11" s="50">
        <f t="shared" si="12"/>
        <v>0.89630261283011081</v>
      </c>
      <c r="BF11" s="16">
        <f t="shared" si="13"/>
        <v>-3.1259761198361921E-3</v>
      </c>
      <c r="BG11" s="16">
        <f t="shared" si="14"/>
        <v>2.5302861324539849E-2</v>
      </c>
      <c r="BH11" s="16"/>
      <c r="BJ11" s="50"/>
      <c r="BK11" s="50"/>
      <c r="BL11" s="50"/>
      <c r="BM11" s="50"/>
      <c r="BN11" s="50"/>
      <c r="BP11" s="50"/>
      <c r="BQ11" s="50"/>
      <c r="BR11" s="50"/>
      <c r="BS11" s="50"/>
      <c r="BT11" s="50"/>
      <c r="BV11" s="53">
        <f t="shared" si="16"/>
        <v>-5924304</v>
      </c>
      <c r="BW11" s="53">
        <f t="shared" si="15"/>
        <v>-185134.5</v>
      </c>
      <c r="BX11" s="53">
        <f t="shared" si="15"/>
        <v>-7734.6875</v>
      </c>
      <c r="BY11" s="53">
        <f t="shared" si="15"/>
        <v>-754480</v>
      </c>
      <c r="BZ11" s="53">
        <f t="shared" si="15"/>
        <v>-154480</v>
      </c>
      <c r="CA11" s="53">
        <f t="shared" si="15"/>
        <v>-70248</v>
      </c>
      <c r="CB11" s="53">
        <f t="shared" si="15"/>
        <v>-529752</v>
      </c>
      <c r="CC11" s="53">
        <f t="shared" si="15"/>
        <v>-1.9505097499999948</v>
      </c>
      <c r="CD11" s="53">
        <f t="shared" si="15"/>
        <v>-1.1242747499999979</v>
      </c>
      <c r="CE11" s="53">
        <f t="shared" si="15"/>
        <v>-0.80156537500000269</v>
      </c>
      <c r="CF11" s="53">
        <f t="shared" si="15"/>
        <v>-0.43772512500000005</v>
      </c>
      <c r="CG11" s="53">
        <f t="shared" si="15"/>
        <v>-1.5514716249999978</v>
      </c>
      <c r="CJ11" t="s">
        <v>238</v>
      </c>
    </row>
    <row r="12" spans="1:88" outlineLevel="1" x14ac:dyDescent="0.2">
      <c r="A12" s="17"/>
      <c r="B12" s="17" t="s">
        <v>59</v>
      </c>
      <c r="C12" s="18" t="s">
        <v>235</v>
      </c>
      <c r="D12" s="17">
        <v>218121242</v>
      </c>
      <c r="E12" s="18">
        <v>10</v>
      </c>
      <c r="F12" s="18">
        <v>32</v>
      </c>
      <c r="G12" s="18">
        <v>30</v>
      </c>
      <c r="I12" s="19">
        <f t="shared" si="0"/>
        <v>7.1531174999999996</v>
      </c>
      <c r="J12" s="20">
        <f t="shared" si="1"/>
        <v>3.4980508684248186E-2</v>
      </c>
      <c r="K12" s="20">
        <f t="shared" si="2"/>
        <v>1.2619110246951556E-2</v>
      </c>
      <c r="L12" s="20">
        <f t="shared" si="3"/>
        <v>8.714126063888817E-3</v>
      </c>
      <c r="M12" s="20">
        <f t="shared" si="4"/>
        <v>2.2361398437296631E-2</v>
      </c>
      <c r="N12" s="17">
        <f t="shared" si="5"/>
        <v>2752496</v>
      </c>
      <c r="O12" s="20">
        <v>16</v>
      </c>
      <c r="P12" s="21">
        <v>22510846</v>
      </c>
      <c r="Q12" s="21">
        <v>703463.9375</v>
      </c>
      <c r="R12" s="21">
        <v>24709.6875</v>
      </c>
      <c r="S12" s="22">
        <v>7629992</v>
      </c>
      <c r="T12" s="22">
        <v>1900736</v>
      </c>
      <c r="U12" s="22">
        <v>851760</v>
      </c>
      <c r="V12" s="22">
        <v>4877496</v>
      </c>
      <c r="W12" s="23">
        <v>68.956062500000002</v>
      </c>
      <c r="X12" s="23">
        <v>71.331965624999995</v>
      </c>
      <c r="Y12" s="23">
        <v>36.354259375000012</v>
      </c>
      <c r="Z12" s="23">
        <v>40.927831249999983</v>
      </c>
      <c r="AA12" s="23">
        <v>35.635178125000003</v>
      </c>
      <c r="AB12" s="24">
        <v>2631.95</v>
      </c>
      <c r="AC12" s="24">
        <v>1303.8399999999999</v>
      </c>
      <c r="AD12" s="24">
        <v>13.536</v>
      </c>
      <c r="AE12" s="24">
        <v>11.747999999999999</v>
      </c>
      <c r="AG12" s="19">
        <f t="shared" si="6"/>
        <v>6.0088200000000001</v>
      </c>
      <c r="AH12" s="20">
        <f t="shared" si="7"/>
        <v>2.938461170141329E-2</v>
      </c>
      <c r="AI12" s="20">
        <f t="shared" si="8"/>
        <v>1.1301347715597548E-2</v>
      </c>
      <c r="AJ12" s="20">
        <f t="shared" si="9"/>
        <v>7.7184229493796851E-3</v>
      </c>
      <c r="AK12" s="20">
        <f t="shared" si="10"/>
        <v>1.808326398581574E-2</v>
      </c>
      <c r="AL12" s="17">
        <f t="shared" si="11"/>
        <v>2465064</v>
      </c>
      <c r="AM12" s="20">
        <v>16</v>
      </c>
      <c r="AN12" s="21">
        <v>16494301</v>
      </c>
      <c r="AO12" s="21">
        <v>515446.90625</v>
      </c>
      <c r="AP12" s="21">
        <v>16273.5</v>
      </c>
      <c r="AQ12" s="22">
        <v>6409408</v>
      </c>
      <c r="AR12" s="22">
        <v>1683552</v>
      </c>
      <c r="AS12" s="22">
        <v>781512</v>
      </c>
      <c r="AT12" s="22">
        <v>3944344</v>
      </c>
      <c r="AU12" s="23">
        <v>66.656041000000002</v>
      </c>
      <c r="AV12" s="23">
        <v>70.135306</v>
      </c>
      <c r="AW12" s="23">
        <v>35.313456000000002</v>
      </c>
      <c r="AX12" s="23">
        <v>40.441291</v>
      </c>
      <c r="AY12" s="23">
        <v>33.688969</v>
      </c>
      <c r="AZ12" s="24">
        <v>3163.9</v>
      </c>
      <c r="BA12" s="24">
        <v>1095.7</v>
      </c>
      <c r="BB12" s="24">
        <v>8.1449999999999996</v>
      </c>
      <c r="BC12" s="24">
        <v>16.361999999999998</v>
      </c>
      <c r="BE12" s="49">
        <f t="shared" si="12"/>
        <v>0.89557405351361086</v>
      </c>
      <c r="BF12" s="25">
        <f t="shared" si="13"/>
        <v>-3.554102578442922E-3</v>
      </c>
      <c r="BG12" s="25">
        <f t="shared" si="14"/>
        <v>2.3853981588398687E-2</v>
      </c>
      <c r="BH12" s="25"/>
      <c r="BJ12" s="49"/>
      <c r="BK12" s="49"/>
      <c r="BL12" s="49"/>
      <c r="BM12" s="49"/>
      <c r="BN12" s="49"/>
      <c r="BP12" s="49"/>
      <c r="BQ12" s="49"/>
      <c r="BR12" s="49"/>
      <c r="BS12" s="49"/>
      <c r="BT12" s="49"/>
      <c r="BV12" s="53">
        <f t="shared" si="16"/>
        <v>-6016545</v>
      </c>
      <c r="BW12" s="53">
        <f t="shared" si="15"/>
        <v>-188017.03125</v>
      </c>
      <c r="BX12" s="53">
        <f t="shared" si="15"/>
        <v>-8436.1875</v>
      </c>
      <c r="BY12" s="53">
        <f t="shared" si="15"/>
        <v>-1220584</v>
      </c>
      <c r="BZ12" s="53">
        <f t="shared" si="15"/>
        <v>-217184</v>
      </c>
      <c r="CA12" s="53">
        <f t="shared" si="15"/>
        <v>-70248</v>
      </c>
      <c r="CB12" s="53">
        <f t="shared" si="15"/>
        <v>-933152</v>
      </c>
      <c r="CC12" s="53">
        <f t="shared" si="15"/>
        <v>-2.3000214999999997</v>
      </c>
      <c r="CD12" s="53">
        <f t="shared" si="15"/>
        <v>-1.1966596249999952</v>
      </c>
      <c r="CE12" s="53">
        <f t="shared" si="15"/>
        <v>-1.0408033750000101</v>
      </c>
      <c r="CF12" s="53">
        <f t="shared" si="15"/>
        <v>-0.48654024999998313</v>
      </c>
      <c r="CG12" s="53">
        <f t="shared" si="15"/>
        <v>-1.9462091250000029</v>
      </c>
      <c r="CJ12" t="s">
        <v>238</v>
      </c>
    </row>
    <row r="13" spans="1:88" outlineLevel="1" x14ac:dyDescent="0.2">
      <c r="A13" s="52"/>
      <c r="B13" s="52" t="s">
        <v>59</v>
      </c>
      <c r="C13" s="9" t="s">
        <v>236</v>
      </c>
      <c r="D13" s="52">
        <v>218121242</v>
      </c>
      <c r="E13" s="9">
        <v>10</v>
      </c>
      <c r="F13" s="9">
        <v>32</v>
      </c>
      <c r="G13" s="9">
        <v>30</v>
      </c>
      <c r="I13" s="10">
        <f t="shared" si="0"/>
        <v>12.072022499999999</v>
      </c>
      <c r="J13" s="11">
        <f t="shared" si="1"/>
        <v>5.9035167239695069E-2</v>
      </c>
      <c r="K13" s="11">
        <f t="shared" si="2"/>
        <v>1.730054333726928E-2</v>
      </c>
      <c r="L13" s="11">
        <f t="shared" si="3"/>
        <v>1.3395559154206539E-2</v>
      </c>
      <c r="M13" s="11">
        <f t="shared" si="4"/>
        <v>4.1734623902425792E-2</v>
      </c>
      <c r="N13" s="52">
        <f t="shared" si="5"/>
        <v>3773616</v>
      </c>
      <c r="O13" s="11">
        <v>16</v>
      </c>
      <c r="P13" s="12">
        <v>23291739</v>
      </c>
      <c r="Q13" s="12">
        <v>727866.84375</v>
      </c>
      <c r="R13" s="12">
        <v>28062.03125</v>
      </c>
      <c r="S13" s="13">
        <v>12876824</v>
      </c>
      <c r="T13" s="13">
        <v>2921856</v>
      </c>
      <c r="U13" s="13">
        <v>851760</v>
      </c>
      <c r="V13" s="13">
        <v>9103208</v>
      </c>
      <c r="W13" s="14">
        <v>70.072275000000005</v>
      </c>
      <c r="X13" s="14">
        <v>72.59020624999998</v>
      </c>
      <c r="Y13" s="14">
        <v>38.689725000000003</v>
      </c>
      <c r="Z13" s="14">
        <v>42.113684375000012</v>
      </c>
      <c r="AA13" s="14">
        <v>37.693637500000001</v>
      </c>
      <c r="AB13" s="15">
        <v>2635.56</v>
      </c>
      <c r="AC13" s="15">
        <v>1407.42</v>
      </c>
      <c r="AD13" s="15">
        <v>13.167999999999999</v>
      </c>
      <c r="AE13" s="15">
        <v>13.256</v>
      </c>
      <c r="AG13" s="10">
        <f t="shared" si="6"/>
        <v>10.158975</v>
      </c>
      <c r="AH13" s="11">
        <f t="shared" si="7"/>
        <v>4.9679893166938778E-2</v>
      </c>
      <c r="AI13" s="11">
        <f t="shared" si="8"/>
        <v>1.5417847290636645E-2</v>
      </c>
      <c r="AJ13" s="11">
        <f t="shared" si="9"/>
        <v>1.1834922524418782E-2</v>
      </c>
      <c r="AK13" s="11">
        <f t="shared" si="10"/>
        <v>3.4262045876302133E-2</v>
      </c>
      <c r="AL13" s="52">
        <f t="shared" si="11"/>
        <v>3362960</v>
      </c>
      <c r="AM13" s="11">
        <v>16</v>
      </c>
      <c r="AN13" s="12">
        <v>17121360</v>
      </c>
      <c r="AO13" s="12">
        <v>535042.5</v>
      </c>
      <c r="AP13" s="12">
        <v>18631.03125</v>
      </c>
      <c r="AQ13" s="13">
        <v>10836240</v>
      </c>
      <c r="AR13" s="13">
        <v>2581448</v>
      </c>
      <c r="AS13" s="13">
        <v>781512</v>
      </c>
      <c r="AT13" s="13">
        <v>7473280</v>
      </c>
      <c r="AU13" s="14">
        <v>67.482540999999998</v>
      </c>
      <c r="AV13" s="14">
        <v>71.332981000000004</v>
      </c>
      <c r="AW13" s="14">
        <v>37.259334000000003</v>
      </c>
      <c r="AX13" s="14">
        <v>41.597428000000001</v>
      </c>
      <c r="AY13" s="14">
        <v>35.089908999999999</v>
      </c>
      <c r="AZ13" s="15">
        <v>3155.09</v>
      </c>
      <c r="BA13" s="15">
        <v>1120.24</v>
      </c>
      <c r="BB13" s="15">
        <v>7.9630000000000001</v>
      </c>
      <c r="BC13" s="15">
        <v>16.138000000000002</v>
      </c>
      <c r="BE13" s="50">
        <f t="shared" si="12"/>
        <v>0.89117705670105274</v>
      </c>
      <c r="BF13" s="16">
        <f t="shared" si="13"/>
        <v>-3.7322067041590107E-3</v>
      </c>
      <c r="BG13" s="16">
        <f t="shared" si="14"/>
        <v>1.728893799743364E-2</v>
      </c>
      <c r="BH13" s="16"/>
      <c r="BJ13" s="50"/>
      <c r="BK13" s="50"/>
      <c r="BL13" s="50"/>
      <c r="BM13" s="50"/>
      <c r="BN13" s="50"/>
      <c r="BP13" s="50"/>
      <c r="BQ13" s="50"/>
      <c r="BR13" s="50"/>
      <c r="BS13" s="50"/>
      <c r="BT13" s="50"/>
      <c r="BV13" s="53">
        <f t="shared" si="16"/>
        <v>-6170379</v>
      </c>
      <c r="BW13" s="53">
        <f t="shared" si="15"/>
        <v>-192824.34375</v>
      </c>
      <c r="BX13" s="53">
        <f t="shared" si="15"/>
        <v>-9431</v>
      </c>
      <c r="BY13" s="53">
        <f t="shared" si="15"/>
        <v>-2040584</v>
      </c>
      <c r="BZ13" s="53">
        <f t="shared" si="15"/>
        <v>-340408</v>
      </c>
      <c r="CA13" s="53">
        <f t="shared" si="15"/>
        <v>-70248</v>
      </c>
      <c r="CB13" s="53">
        <f t="shared" si="15"/>
        <v>-1629928</v>
      </c>
      <c r="CC13" s="53">
        <f t="shared" si="15"/>
        <v>-2.5897340000000071</v>
      </c>
      <c r="CD13" s="53">
        <f t="shared" si="15"/>
        <v>-1.2572252499999763</v>
      </c>
      <c r="CE13" s="53">
        <f t="shared" si="15"/>
        <v>-1.4303910000000002</v>
      </c>
      <c r="CF13" s="53">
        <f t="shared" si="15"/>
        <v>-0.51625637500001176</v>
      </c>
      <c r="CG13" s="53">
        <f t="shared" si="15"/>
        <v>-2.6037285000000026</v>
      </c>
      <c r="CJ13" t="s">
        <v>238</v>
      </c>
    </row>
    <row r="14" spans="1:88" ht="16" outlineLevel="1" thickBot="1" x14ac:dyDescent="0.25">
      <c r="A14" s="17"/>
      <c r="B14" s="36" t="s">
        <v>59</v>
      </c>
      <c r="C14" s="37" t="s">
        <v>237</v>
      </c>
      <c r="D14" s="36">
        <v>218121242</v>
      </c>
      <c r="E14" s="37">
        <v>10</v>
      </c>
      <c r="F14" s="37">
        <v>32</v>
      </c>
      <c r="G14" s="37">
        <v>30</v>
      </c>
      <c r="I14" s="38">
        <f t="shared" si="0"/>
        <v>21.625042499999999</v>
      </c>
      <c r="J14" s="39">
        <f t="shared" si="1"/>
        <v>0.105751791015384</v>
      </c>
      <c r="K14" s="39">
        <f t="shared" si="2"/>
        <v>2.838032620408424E-2</v>
      </c>
      <c r="L14" s="39">
        <f t="shared" si="3"/>
        <v>2.1154363315059429E-2</v>
      </c>
      <c r="M14" s="39">
        <f t="shared" si="4"/>
        <v>7.7371464811299764E-2</v>
      </c>
      <c r="N14" s="36">
        <f t="shared" si="5"/>
        <v>6190352</v>
      </c>
      <c r="O14" s="39">
        <v>16</v>
      </c>
      <c r="P14" s="40">
        <v>22124056</v>
      </c>
      <c r="Q14" s="40">
        <v>691376.75</v>
      </c>
      <c r="R14" s="40">
        <v>13278.71875</v>
      </c>
      <c r="S14" s="41">
        <v>23066712</v>
      </c>
      <c r="T14" s="41">
        <v>4614216</v>
      </c>
      <c r="U14" s="41">
        <v>1576136</v>
      </c>
      <c r="V14" s="41">
        <v>16876360</v>
      </c>
      <c r="W14" s="42">
        <v>70.923046874999983</v>
      </c>
      <c r="X14" s="42">
        <v>74.675603124999995</v>
      </c>
      <c r="Y14" s="42">
        <v>40.970318750000011</v>
      </c>
      <c r="Z14" s="42">
        <v>43.413924999999999</v>
      </c>
      <c r="AA14" s="42">
        <v>39.478603124999999</v>
      </c>
      <c r="AB14" s="43">
        <v>3302.39</v>
      </c>
      <c r="AC14" s="43">
        <v>1954.01</v>
      </c>
      <c r="AD14" s="43">
        <v>12.644</v>
      </c>
      <c r="AE14" s="43">
        <v>15.167999999999999</v>
      </c>
      <c r="AG14" s="38">
        <f t="shared" si="6"/>
        <v>18.086445000000001</v>
      </c>
      <c r="AH14" s="39">
        <f t="shared" si="7"/>
        <v>8.8447176547802708E-2</v>
      </c>
      <c r="AI14" s="39">
        <f t="shared" si="8"/>
        <v>2.5217498073846472E-2</v>
      </c>
      <c r="AJ14" s="39">
        <f t="shared" si="9"/>
        <v>1.8673211112560966E-2</v>
      </c>
      <c r="AK14" s="39">
        <f t="shared" si="10"/>
        <v>6.3229678473956247E-2</v>
      </c>
      <c r="AL14" s="36">
        <f t="shared" si="11"/>
        <v>5500472</v>
      </c>
      <c r="AM14" s="39">
        <v>16</v>
      </c>
      <c r="AN14" s="40">
        <v>16089252</v>
      </c>
      <c r="AO14" s="40">
        <v>502789.125</v>
      </c>
      <c r="AP14" s="40">
        <v>8952.96875</v>
      </c>
      <c r="AQ14" s="41">
        <v>19292208</v>
      </c>
      <c r="AR14" s="41">
        <v>4073024</v>
      </c>
      <c r="AS14" s="41">
        <v>1427448</v>
      </c>
      <c r="AT14" s="41">
        <v>13791736</v>
      </c>
      <c r="AU14" s="42">
        <v>67.866474999999994</v>
      </c>
      <c r="AV14" s="42">
        <v>74.131952999999996</v>
      </c>
      <c r="AW14" s="42">
        <v>38.8371</v>
      </c>
      <c r="AX14" s="42">
        <v>42.864497</v>
      </c>
      <c r="AY14" s="42">
        <v>36.102905999999997</v>
      </c>
      <c r="AZ14" s="43">
        <v>3172.29</v>
      </c>
      <c r="BA14" s="43">
        <v>1240.3599999999999</v>
      </c>
      <c r="BB14" s="43">
        <v>7.351</v>
      </c>
      <c r="BC14" s="43">
        <v>17.291</v>
      </c>
      <c r="BE14" s="44">
        <f t="shared" si="12"/>
        <v>0.88855561040793807</v>
      </c>
      <c r="BF14" s="45">
        <f t="shared" si="13"/>
        <v>-1.3995902054263522E-3</v>
      </c>
      <c r="BG14" s="45">
        <f t="shared" si="14"/>
        <v>1.674632447802632E-2</v>
      </c>
      <c r="BH14" s="45"/>
      <c r="BJ14" s="44"/>
      <c r="BK14" s="44"/>
      <c r="BL14" s="44"/>
      <c r="BM14" s="44"/>
      <c r="BN14" s="44"/>
      <c r="BP14" s="44"/>
      <c r="BQ14" s="44"/>
      <c r="BR14" s="44"/>
      <c r="BS14" s="44"/>
      <c r="BT14" s="44"/>
      <c r="BV14" s="53">
        <f t="shared" si="16"/>
        <v>-6034804</v>
      </c>
      <c r="BW14" s="53">
        <f t="shared" si="15"/>
        <v>-188587.625</v>
      </c>
      <c r="BX14" s="53">
        <f t="shared" si="15"/>
        <v>-4325.75</v>
      </c>
      <c r="BY14" s="53">
        <f t="shared" si="15"/>
        <v>-3774504</v>
      </c>
      <c r="BZ14" s="53">
        <f t="shared" si="15"/>
        <v>-541192</v>
      </c>
      <c r="CA14" s="53">
        <f t="shared" si="15"/>
        <v>-148688</v>
      </c>
      <c r="CB14" s="53">
        <f t="shared" si="15"/>
        <v>-3084624</v>
      </c>
      <c r="CC14" s="53">
        <f t="shared" si="15"/>
        <v>-3.0565718749999888</v>
      </c>
      <c r="CD14" s="53">
        <f t="shared" si="15"/>
        <v>-0.54365012499999921</v>
      </c>
      <c r="CE14" s="53">
        <f t="shared" si="15"/>
        <v>-2.1332187500000117</v>
      </c>
      <c r="CF14" s="53">
        <f t="shared" si="15"/>
        <v>-0.54942799999999892</v>
      </c>
      <c r="CG14" s="53">
        <f t="shared" si="15"/>
        <v>-3.3756971250000021</v>
      </c>
      <c r="CJ14" t="s">
        <v>238</v>
      </c>
    </row>
    <row r="15" spans="1:88" x14ac:dyDescent="0.2">
      <c r="A15" s="52"/>
      <c r="B15" s="52" t="s">
        <v>64</v>
      </c>
      <c r="C15" s="9" t="s">
        <v>232</v>
      </c>
      <c r="D15" s="52">
        <v>322589704</v>
      </c>
      <c r="E15" s="9">
        <v>10</v>
      </c>
      <c r="F15" s="9">
        <v>32</v>
      </c>
      <c r="G15" s="9">
        <v>30</v>
      </c>
      <c r="I15" s="10">
        <f t="shared" si="0"/>
        <v>4.4315024999999997</v>
      </c>
      <c r="J15" s="11">
        <f t="shared" si="1"/>
        <v>1.4653090106062406E-2</v>
      </c>
      <c r="K15" s="11">
        <f t="shared" si="2"/>
        <v>8.3179096131350792E-3</v>
      </c>
      <c r="L15" s="11">
        <f t="shared" si="3"/>
        <v>4.3923534521734149E-3</v>
      </c>
      <c r="M15" s="11">
        <f t="shared" si="4"/>
        <v>6.3351804929273258E-3</v>
      </c>
      <c r="N15" s="52">
        <f t="shared" si="5"/>
        <v>2683272</v>
      </c>
      <c r="O15" s="11">
        <v>16</v>
      </c>
      <c r="P15" s="12">
        <v>31086837</v>
      </c>
      <c r="Q15" s="12">
        <v>971463.65625</v>
      </c>
      <c r="R15" s="12">
        <v>27944.21875</v>
      </c>
      <c r="S15" s="13">
        <v>4726936</v>
      </c>
      <c r="T15" s="13">
        <v>1416928</v>
      </c>
      <c r="U15" s="13">
        <v>1266344</v>
      </c>
      <c r="V15" s="13">
        <v>2043664</v>
      </c>
      <c r="W15" s="14">
        <v>65.923106250000004</v>
      </c>
      <c r="X15" s="14">
        <v>67.661793750000015</v>
      </c>
      <c r="Y15" s="14">
        <v>29.416059375</v>
      </c>
      <c r="Z15" s="14">
        <v>43.123156250000008</v>
      </c>
      <c r="AA15" s="14">
        <v>43.328384375000013</v>
      </c>
      <c r="AB15" s="15">
        <v>4747.95</v>
      </c>
      <c r="AC15" s="15">
        <v>1447.1</v>
      </c>
      <c r="AD15" s="15">
        <v>14.78</v>
      </c>
      <c r="AE15" s="15">
        <v>11.167999999999999</v>
      </c>
      <c r="AG15" s="10">
        <f t="shared" si="6"/>
        <v>4.0335675000000002</v>
      </c>
      <c r="AH15" s="11">
        <f t="shared" si="7"/>
        <v>1.3337288656925021E-2</v>
      </c>
      <c r="AI15" s="11">
        <f t="shared" si="8"/>
        <v>7.8813426729825199E-3</v>
      </c>
      <c r="AJ15" s="11">
        <f t="shared" si="9"/>
        <v>4.1918014841540018E-3</v>
      </c>
      <c r="AK15" s="11">
        <f t="shared" si="10"/>
        <v>5.4559459839425006E-3</v>
      </c>
      <c r="AL15" s="52">
        <f t="shared" si="11"/>
        <v>2542440</v>
      </c>
      <c r="AM15" s="11">
        <v>16</v>
      </c>
      <c r="AN15" s="12">
        <v>25232506</v>
      </c>
      <c r="AO15" s="12">
        <v>788515.8125</v>
      </c>
      <c r="AP15" s="12">
        <v>20930.875</v>
      </c>
      <c r="AQ15" s="13">
        <v>4302472</v>
      </c>
      <c r="AR15" s="13">
        <v>1352232</v>
      </c>
      <c r="AS15" s="13">
        <v>1190208</v>
      </c>
      <c r="AT15" s="13">
        <v>1760032</v>
      </c>
      <c r="AU15" s="14">
        <v>64.636365999999995</v>
      </c>
      <c r="AV15" s="14">
        <v>66.505666000000005</v>
      </c>
      <c r="AW15" s="14">
        <v>28.797122000000002</v>
      </c>
      <c r="AX15" s="14">
        <v>42.803466</v>
      </c>
      <c r="AY15" s="14">
        <v>43.024053000000002</v>
      </c>
      <c r="AZ15" s="15">
        <v>5985.04</v>
      </c>
      <c r="BA15" s="15">
        <v>1390.4</v>
      </c>
      <c r="BB15" s="15">
        <v>14.542</v>
      </c>
      <c r="BC15" s="15">
        <v>21.408000000000001</v>
      </c>
      <c r="BE15" s="50">
        <f t="shared" si="12"/>
        <v>0.94751482518358188</v>
      </c>
      <c r="BF15" s="16">
        <f t="shared" si="13"/>
        <v>-2.2204202374344652E-3</v>
      </c>
      <c r="BG15" s="16">
        <f t="shared" si="14"/>
        <v>2.326973756573758E-2</v>
      </c>
      <c r="BH15" s="16">
        <f t="array" ref="BH15">AVERAGE(AL15:AL19/AQ15:AQ19) - AVERAGE(N15:N19/S15:S19)</f>
        <v>1.4951670621700275E-2</v>
      </c>
      <c r="BJ15" s="50">
        <f>IF( OR(ISBLANK(N15:N19),ISBLANK(AL15:AL19), ISBLANK(W15:W19),ISBLANK(AU15:AU19)), "·", bdRateExtend( N15:N19,W15:W19, AL15:AL19,AU15:AU19))</f>
        <v>0.30654033831616267</v>
      </c>
      <c r="BK15" s="50">
        <f>IF( OR(ISBLANK(N15:N19),ISBLANK(AL15:AL19), ISBLANK(X15:X19),ISBLANK(AV15:AV19)), "·", bdRateExtend( N15:N19,X15:X19, AL15:AL19,AV15:AV19))</f>
        <v>0.2515604666822826</v>
      </c>
      <c r="BL15" s="50">
        <f>IF( OR(ISBLANK(V15:V19),ISBLANK(AT15:AT19), ISBLANK(Y15:Y19),ISBLANK(AW15:AW19)), "·", bdRateExtend( V15:V19,Y15:Y19, AT15:AT19,AW15:AW19))</f>
        <v>0.16020875158892123</v>
      </c>
      <c r="BM15" s="50">
        <f>IF( OR(ISBLANK(V15:V19),ISBLANK(AT15:AT19), ISBLANK(Z15:Z19),ISBLANK(AX15:AX19)), "·", bdRateExtend( V15:V19,Z15:Z19, AT15:AT19,AX15:AX19))</f>
        <v>9.6713412148653033E-2</v>
      </c>
      <c r="BN15" s="50">
        <f>IF( OR(ISBLANK(V15:V19),ISBLANK(AT15:AT19), ISBLANK(AA15:AA19),ISBLANK(AY15:AY19)), "·", bdRateExtend( V15:V19,AA15:AA19, AT15:AT19,AY15:AY19))</f>
        <v>6.2832174507419625E-2</v>
      </c>
      <c r="BP15" s="50">
        <f>IF( OR(ISBLANK(S15:S19),ISBLANK(AQ15:AQ19), ISBLANK(W15:W19),ISBLANK(AU15:AU19)), "·", bdRateExtend( S15:S19,W15:W19, AQ15:AQ19,AU15:AU19))</f>
        <v>0.73600493104430509</v>
      </c>
      <c r="BQ15" s="50">
        <f>IF( OR(ISBLANK(S15:S19),ISBLANK(AQ15:AQ19), ISBLANK(X15:X19),ISBLANK(AV15:AV19)), "·", bdRateExtend( S15:S19,X15:X19, AQ15:AQ19,AV15:AV19))</f>
        <v>0.46003176299672366</v>
      </c>
      <c r="BR15" s="50">
        <f>IF( OR(ISBLANK(S15:S19),ISBLANK(AQ15:AQ19), ISBLANK(Y15:Y19),ISBLANK(AW15:AW19)), "·", bdRateExtend( S15:S19,Y15:Y19, AQ15:AQ19,AW15:AW19))</f>
        <v>0.12694830749804931</v>
      </c>
      <c r="BS15" s="50">
        <f>IF( OR(ISBLANK(S15:S19),ISBLANK(AQ15:AQ19), ISBLANK(Z15:Z19),ISBLANK(AX15:AX19)), "·", bdRateExtend( S15:S19,Z15:Z19, AQ15:AQ19,AX15:AX19))</f>
        <v>7.3400659416431147E-2</v>
      </c>
      <c r="BT15" s="50">
        <f>IF( OR(ISBLANK(S15:S19),ISBLANK(AQ15:AQ19), ISBLANK(AA15:AA19),ISBLANK(AY15:AY19)), "·", bdRateExtend( S15:S19,AA15:AA19, AQ15:AQ19,AY15:AY19))</f>
        <v>4.7376760232368698E-2</v>
      </c>
      <c r="BV15" s="53">
        <f t="shared" si="16"/>
        <v>-5854331</v>
      </c>
      <c r="BW15" s="53">
        <f t="shared" si="15"/>
        <v>-182947.84375</v>
      </c>
      <c r="BX15" s="53">
        <f t="shared" si="15"/>
        <v>-7013.34375</v>
      </c>
      <c r="BY15" s="53">
        <f t="shared" si="15"/>
        <v>-424464</v>
      </c>
      <c r="BZ15" s="53">
        <f t="shared" si="15"/>
        <v>-64696</v>
      </c>
      <c r="CA15" s="53">
        <f t="shared" si="15"/>
        <v>-76136</v>
      </c>
      <c r="CB15" s="53">
        <f t="shared" si="15"/>
        <v>-283632</v>
      </c>
      <c r="CC15" s="53">
        <f t="shared" si="15"/>
        <v>-1.2867402500000082</v>
      </c>
      <c r="CD15" s="53">
        <f t="shared" si="15"/>
        <v>-1.1561277500000102</v>
      </c>
      <c r="CE15" s="53">
        <f t="shared" si="15"/>
        <v>-0.61893737499999801</v>
      </c>
      <c r="CF15" s="53">
        <f t="shared" si="15"/>
        <v>-0.31969025000000784</v>
      </c>
      <c r="CG15" s="53">
        <f t="shared" si="15"/>
        <v>-0.30433137500001095</v>
      </c>
      <c r="CJ15" t="s">
        <v>233</v>
      </c>
    </row>
    <row r="16" spans="1:88" outlineLevel="1" x14ac:dyDescent="0.2">
      <c r="A16" s="17"/>
      <c r="B16" s="17" t="s">
        <v>64</v>
      </c>
      <c r="C16" s="18" t="s">
        <v>234</v>
      </c>
      <c r="D16" s="17">
        <v>322589704</v>
      </c>
      <c r="E16" s="18">
        <v>10</v>
      </c>
      <c r="F16" s="18">
        <v>32</v>
      </c>
      <c r="G16" s="18">
        <v>30</v>
      </c>
      <c r="I16" s="19">
        <f t="shared" si="0"/>
        <v>7.0332074999999996</v>
      </c>
      <c r="J16" s="20">
        <f t="shared" si="1"/>
        <v>2.3255819720768272E-2</v>
      </c>
      <c r="K16" s="20">
        <f t="shared" si="2"/>
        <v>1.0123298913470592E-2</v>
      </c>
      <c r="L16" s="20">
        <f t="shared" si="3"/>
        <v>6.1977427525089267E-3</v>
      </c>
      <c r="M16" s="20">
        <f t="shared" si="4"/>
        <v>1.3132520807297682E-2</v>
      </c>
      <c r="N16" s="17">
        <f t="shared" si="5"/>
        <v>3265672</v>
      </c>
      <c r="O16" s="20">
        <v>16</v>
      </c>
      <c r="P16" s="21">
        <v>33185472</v>
      </c>
      <c r="Q16" s="21">
        <v>1037046</v>
      </c>
      <c r="R16" s="21">
        <v>34748.59375</v>
      </c>
      <c r="S16" s="22">
        <v>7502088</v>
      </c>
      <c r="T16" s="22">
        <v>1999328</v>
      </c>
      <c r="U16" s="22">
        <v>1266344</v>
      </c>
      <c r="V16" s="22">
        <v>4236416</v>
      </c>
      <c r="W16" s="23">
        <v>67.712850000000003</v>
      </c>
      <c r="X16" s="23">
        <v>69.741403124999991</v>
      </c>
      <c r="Y16" s="23">
        <v>31.814990625</v>
      </c>
      <c r="Z16" s="23">
        <v>43.952409375000002</v>
      </c>
      <c r="AA16" s="23">
        <v>44.25296250000001</v>
      </c>
      <c r="AB16" s="24">
        <v>4735.3500000000004</v>
      </c>
      <c r="AC16" s="24">
        <v>1555.22</v>
      </c>
      <c r="AD16" s="24">
        <v>14.336</v>
      </c>
      <c r="AE16" s="24">
        <v>11.076000000000001</v>
      </c>
      <c r="AG16" s="19">
        <f t="shared" si="6"/>
        <v>6.3605400000000003</v>
      </c>
      <c r="AH16" s="20">
        <f t="shared" si="7"/>
        <v>2.1031594982337067E-2</v>
      </c>
      <c r="AI16" s="20">
        <f t="shared" si="8"/>
        <v>9.6122348653756174E-3</v>
      </c>
      <c r="AJ16" s="20">
        <f t="shared" si="9"/>
        <v>5.9226936765470976E-3</v>
      </c>
      <c r="AK16" s="20">
        <f t="shared" si="10"/>
        <v>1.1419360116961451E-2</v>
      </c>
      <c r="AL16" s="17">
        <f t="shared" si="11"/>
        <v>3100808</v>
      </c>
      <c r="AM16" s="20">
        <v>16</v>
      </c>
      <c r="AN16" s="21">
        <v>27157453</v>
      </c>
      <c r="AO16" s="21">
        <v>848670.40625</v>
      </c>
      <c r="AP16" s="21">
        <v>26972.5625</v>
      </c>
      <c r="AQ16" s="22">
        <v>6784576</v>
      </c>
      <c r="AR16" s="22">
        <v>1910600</v>
      </c>
      <c r="AS16" s="22">
        <v>1190208</v>
      </c>
      <c r="AT16" s="22">
        <v>3683768</v>
      </c>
      <c r="AU16" s="23">
        <v>66.217305999999994</v>
      </c>
      <c r="AV16" s="23">
        <v>68.399687</v>
      </c>
      <c r="AW16" s="23">
        <v>31.059422000000001</v>
      </c>
      <c r="AX16" s="23">
        <v>43.651415999999998</v>
      </c>
      <c r="AY16" s="23">
        <v>43.987450000000003</v>
      </c>
      <c r="AZ16" s="24">
        <v>4748.6400000000003</v>
      </c>
      <c r="BA16" s="24">
        <v>1079.8599999999999</v>
      </c>
      <c r="BB16" s="24">
        <v>11.253</v>
      </c>
      <c r="BC16" s="24">
        <v>15.226000000000001</v>
      </c>
      <c r="BE16" s="49">
        <f t="shared" si="12"/>
        <v>0.94951605672584405</v>
      </c>
      <c r="BF16" s="25">
        <f t="shared" si="13"/>
        <v>-1.7251419624380038E-3</v>
      </c>
      <c r="BG16" s="25">
        <f t="shared" si="14"/>
        <v>2.1736100515843293E-2</v>
      </c>
      <c r="BH16" s="25"/>
      <c r="BJ16" s="49"/>
      <c r="BK16" s="49"/>
      <c r="BL16" s="49"/>
      <c r="BM16" s="49"/>
      <c r="BN16" s="49"/>
      <c r="BP16" s="49"/>
      <c r="BQ16" s="49"/>
      <c r="BR16" s="49"/>
      <c r="BS16" s="49"/>
      <c r="BT16" s="49"/>
      <c r="BV16" s="53">
        <f t="shared" si="16"/>
        <v>-6028019</v>
      </c>
      <c r="BW16" s="53">
        <f t="shared" si="15"/>
        <v>-188375.59375</v>
      </c>
      <c r="BX16" s="53">
        <f t="shared" si="15"/>
        <v>-7776.03125</v>
      </c>
      <c r="BY16" s="53">
        <f t="shared" si="15"/>
        <v>-717512</v>
      </c>
      <c r="BZ16" s="53">
        <f t="shared" si="15"/>
        <v>-88728</v>
      </c>
      <c r="CA16" s="53">
        <f t="shared" si="15"/>
        <v>-76136</v>
      </c>
      <c r="CB16" s="53">
        <f t="shared" si="15"/>
        <v>-552648</v>
      </c>
      <c r="CC16" s="53">
        <f t="shared" si="15"/>
        <v>-1.4955440000000095</v>
      </c>
      <c r="CD16" s="53">
        <f t="shared" si="15"/>
        <v>-1.3417161249999907</v>
      </c>
      <c r="CE16" s="53">
        <f t="shared" si="15"/>
        <v>-0.75556862499999866</v>
      </c>
      <c r="CF16" s="53">
        <f t="shared" si="15"/>
        <v>-0.30099337500000445</v>
      </c>
      <c r="CG16" s="53">
        <f t="shared" si="15"/>
        <v>-0.26551250000000692</v>
      </c>
      <c r="CJ16" t="s">
        <v>233</v>
      </c>
    </row>
    <row r="17" spans="1:88" outlineLevel="1" x14ac:dyDescent="0.2">
      <c r="A17" s="52"/>
      <c r="B17" s="52" t="s">
        <v>64</v>
      </c>
      <c r="C17" s="9" t="s">
        <v>235</v>
      </c>
      <c r="D17" s="52">
        <v>322589704</v>
      </c>
      <c r="E17" s="9">
        <v>10</v>
      </c>
      <c r="F17" s="9">
        <v>32</v>
      </c>
      <c r="G17" s="9">
        <v>30</v>
      </c>
      <c r="I17" s="10">
        <f t="shared" si="0"/>
        <v>11.735175</v>
      </c>
      <c r="J17" s="11">
        <f t="shared" si="1"/>
        <v>3.8803222312389737E-2</v>
      </c>
      <c r="K17" s="11">
        <f t="shared" si="2"/>
        <v>1.2882643024465529E-2</v>
      </c>
      <c r="L17" s="11">
        <f t="shared" si="3"/>
        <v>8.9570868635038652E-3</v>
      </c>
      <c r="M17" s="11">
        <f t="shared" si="4"/>
        <v>2.5920579287924204E-2</v>
      </c>
      <c r="N17" s="52">
        <f t="shared" si="5"/>
        <v>4155808</v>
      </c>
      <c r="O17" s="11">
        <v>16</v>
      </c>
      <c r="P17" s="12">
        <v>33604345</v>
      </c>
      <c r="Q17" s="12">
        <v>1050135.78125</v>
      </c>
      <c r="R17" s="12">
        <v>36572.96875</v>
      </c>
      <c r="S17" s="13">
        <v>12517520</v>
      </c>
      <c r="T17" s="13">
        <v>2889464</v>
      </c>
      <c r="U17" s="13">
        <v>1266344</v>
      </c>
      <c r="V17" s="13">
        <v>8361712</v>
      </c>
      <c r="W17" s="14">
        <v>69.134437500000018</v>
      </c>
      <c r="X17" s="14">
        <v>71.597096875000005</v>
      </c>
      <c r="Y17" s="14">
        <v>34.361643749999999</v>
      </c>
      <c r="Z17" s="14">
        <v>44.79558437499999</v>
      </c>
      <c r="AA17" s="14">
        <v>45.197471874999991</v>
      </c>
      <c r="AB17" s="15">
        <v>4736.49</v>
      </c>
      <c r="AC17" s="15">
        <v>1667.64</v>
      </c>
      <c r="AD17" s="15">
        <v>14.96</v>
      </c>
      <c r="AE17" s="15">
        <v>11.311999999999999</v>
      </c>
      <c r="AG17" s="10">
        <f t="shared" si="6"/>
        <v>10.655025</v>
      </c>
      <c r="AH17" s="11">
        <f t="shared" si="7"/>
        <v>3.5231626611368846E-2</v>
      </c>
      <c r="AI17" s="11">
        <f t="shared" si="8"/>
        <v>1.2183153867799824E-2</v>
      </c>
      <c r="AJ17" s="11">
        <f t="shared" si="9"/>
        <v>8.4936126789713039E-3</v>
      </c>
      <c r="AK17" s="11">
        <f t="shared" si="10"/>
        <v>2.3048472743569026E-2</v>
      </c>
      <c r="AL17" s="52">
        <f t="shared" si="11"/>
        <v>3930160</v>
      </c>
      <c r="AM17" s="11">
        <v>16</v>
      </c>
      <c r="AN17" s="12">
        <v>27557937</v>
      </c>
      <c r="AO17" s="12">
        <v>861185.53125</v>
      </c>
      <c r="AP17" s="12">
        <v>28289.3125</v>
      </c>
      <c r="AQ17" s="13">
        <v>11365360</v>
      </c>
      <c r="AR17" s="13">
        <v>2739952</v>
      </c>
      <c r="AS17" s="13">
        <v>1190208</v>
      </c>
      <c r="AT17" s="13">
        <v>7435200</v>
      </c>
      <c r="AU17" s="14">
        <v>67.357636999999997</v>
      </c>
      <c r="AV17" s="14">
        <v>69.893362999999994</v>
      </c>
      <c r="AW17" s="14">
        <v>33.439934000000001</v>
      </c>
      <c r="AX17" s="14">
        <v>44.409931</v>
      </c>
      <c r="AY17" s="14">
        <v>44.832546999999998</v>
      </c>
      <c r="AZ17" s="15">
        <v>4744.22</v>
      </c>
      <c r="BA17" s="15">
        <v>1216.28</v>
      </c>
      <c r="BB17" s="15">
        <v>13.683999999999999</v>
      </c>
      <c r="BC17" s="15">
        <v>17.274000000000001</v>
      </c>
      <c r="BE17" s="50">
        <f t="shared" si="12"/>
        <v>0.94570297761590538</v>
      </c>
      <c r="BF17" s="16">
        <f t="shared" si="13"/>
        <v>-1.9776292591053776E-3</v>
      </c>
      <c r="BG17" s="16">
        <f t="shared" si="14"/>
        <v>1.3802319041512301E-2</v>
      </c>
      <c r="BH17" s="16"/>
      <c r="BJ17" s="50"/>
      <c r="BK17" s="50"/>
      <c r="BL17" s="50"/>
      <c r="BM17" s="50"/>
      <c r="BN17" s="50"/>
      <c r="BP17" s="50"/>
      <c r="BQ17" s="50"/>
      <c r="BR17" s="50"/>
      <c r="BS17" s="50"/>
      <c r="BT17" s="50"/>
      <c r="BV17" s="53">
        <f t="shared" si="16"/>
        <v>-6046408</v>
      </c>
      <c r="BW17" s="53">
        <f t="shared" si="15"/>
        <v>-188950.25</v>
      </c>
      <c r="BX17" s="53">
        <f t="shared" si="15"/>
        <v>-8283.65625</v>
      </c>
      <c r="BY17" s="53">
        <f t="shared" si="15"/>
        <v>-1152160</v>
      </c>
      <c r="BZ17" s="53">
        <f t="shared" si="15"/>
        <v>-149512</v>
      </c>
      <c r="CA17" s="53">
        <f t="shared" si="15"/>
        <v>-76136</v>
      </c>
      <c r="CB17" s="53">
        <f t="shared" si="15"/>
        <v>-926512</v>
      </c>
      <c r="CC17" s="53">
        <f t="shared" si="15"/>
        <v>-1.7768005000000215</v>
      </c>
      <c r="CD17" s="53">
        <f t="shared" si="15"/>
        <v>-1.7037338750000117</v>
      </c>
      <c r="CE17" s="53">
        <f t="shared" si="15"/>
        <v>-0.921709749999998</v>
      </c>
      <c r="CF17" s="53">
        <f t="shared" si="15"/>
        <v>-0.38565337499998975</v>
      </c>
      <c r="CG17" s="53">
        <f t="shared" si="15"/>
        <v>-0.36492487499999271</v>
      </c>
      <c r="CJ17" t="s">
        <v>233</v>
      </c>
    </row>
    <row r="18" spans="1:88" outlineLevel="1" x14ac:dyDescent="0.2">
      <c r="A18" s="17"/>
      <c r="B18" s="17" t="s">
        <v>64</v>
      </c>
      <c r="C18" s="18" t="s">
        <v>236</v>
      </c>
      <c r="D18" s="17">
        <v>322589704</v>
      </c>
      <c r="E18" s="18">
        <v>10</v>
      </c>
      <c r="F18" s="18">
        <v>32</v>
      </c>
      <c r="G18" s="18">
        <v>30</v>
      </c>
      <c r="I18" s="19">
        <f t="shared" si="0"/>
        <v>20.320822499999998</v>
      </c>
      <c r="J18" s="20">
        <f t="shared" si="1"/>
        <v>6.7192299478969111E-2</v>
      </c>
      <c r="K18" s="20">
        <f t="shared" si="2"/>
        <v>1.7385626169891647E-2</v>
      </c>
      <c r="L18" s="20">
        <f t="shared" si="3"/>
        <v>1.3460070008929981E-2</v>
      </c>
      <c r="M18" s="20">
        <f t="shared" si="4"/>
        <v>4.9806673309077468E-2</v>
      </c>
      <c r="N18" s="17">
        <f t="shared" si="5"/>
        <v>5608424</v>
      </c>
      <c r="O18" s="20">
        <v>16</v>
      </c>
      <c r="P18" s="21">
        <v>34799418</v>
      </c>
      <c r="Q18" s="21">
        <v>1087481.8125</v>
      </c>
      <c r="R18" s="21">
        <v>40860.15625</v>
      </c>
      <c r="S18" s="22">
        <v>21675544</v>
      </c>
      <c r="T18" s="22">
        <v>4342080</v>
      </c>
      <c r="U18" s="22">
        <v>1266344</v>
      </c>
      <c r="V18" s="22">
        <v>16067120</v>
      </c>
      <c r="W18" s="23">
        <v>70.372874999999993</v>
      </c>
      <c r="X18" s="23">
        <v>72.951281249999965</v>
      </c>
      <c r="Y18" s="23">
        <v>37.068993749999997</v>
      </c>
      <c r="Z18" s="23">
        <v>46.119856250000012</v>
      </c>
      <c r="AA18" s="23">
        <v>46.648406250000001</v>
      </c>
      <c r="AB18" s="24">
        <v>4790.8599999999997</v>
      </c>
      <c r="AC18" s="24">
        <v>1890.77</v>
      </c>
      <c r="AD18" s="24">
        <v>15.036</v>
      </c>
      <c r="AE18" s="24">
        <v>12.843999999999999</v>
      </c>
      <c r="AG18" s="19">
        <f t="shared" si="6"/>
        <v>18.627749999999999</v>
      </c>
      <c r="AH18" s="20">
        <f t="shared" si="7"/>
        <v>6.1594030291803735E-2</v>
      </c>
      <c r="AI18" s="20">
        <f t="shared" si="8"/>
        <v>1.6409649577656702E-2</v>
      </c>
      <c r="AJ18" s="20">
        <f t="shared" si="9"/>
        <v>1.2720108388828182E-2</v>
      </c>
      <c r="AK18" s="20">
        <f t="shared" si="10"/>
        <v>4.5184380714147036E-2</v>
      </c>
      <c r="AL18" s="17">
        <f t="shared" si="11"/>
        <v>5293584</v>
      </c>
      <c r="AM18" s="20">
        <v>16</v>
      </c>
      <c r="AN18" s="21">
        <v>28552494</v>
      </c>
      <c r="AO18" s="21">
        <v>892265.4375</v>
      </c>
      <c r="AP18" s="21">
        <v>31836.625</v>
      </c>
      <c r="AQ18" s="22">
        <v>19869600</v>
      </c>
      <c r="AR18" s="22">
        <v>4103376</v>
      </c>
      <c r="AS18" s="22">
        <v>1190208</v>
      </c>
      <c r="AT18" s="22">
        <v>14576016</v>
      </c>
      <c r="AU18" s="23">
        <v>68.303865999999999</v>
      </c>
      <c r="AV18" s="23">
        <v>70.902247000000003</v>
      </c>
      <c r="AW18" s="23">
        <v>35.796571999999998</v>
      </c>
      <c r="AX18" s="23">
        <v>45.729340999999998</v>
      </c>
      <c r="AY18" s="23">
        <v>46.280555999999997</v>
      </c>
      <c r="AZ18" s="24">
        <v>4851.0600000000004</v>
      </c>
      <c r="BA18" s="24">
        <v>1324.57</v>
      </c>
      <c r="BB18" s="24">
        <v>11.907</v>
      </c>
      <c r="BC18" s="24">
        <v>18.004000000000001</v>
      </c>
      <c r="BE18" s="49">
        <f t="shared" si="12"/>
        <v>0.94386301748940526</v>
      </c>
      <c r="BF18" s="25">
        <f t="shared" si="13"/>
        <v>-1.8925199162858342E-3</v>
      </c>
      <c r="BG18" s="25">
        <f t="shared" si="14"/>
        <v>7.6719089040798161E-3</v>
      </c>
      <c r="BH18" s="25"/>
      <c r="BJ18" s="49"/>
      <c r="BK18" s="49"/>
      <c r="BL18" s="49"/>
      <c r="BM18" s="49"/>
      <c r="BN18" s="49"/>
      <c r="BP18" s="49"/>
      <c r="BQ18" s="49"/>
      <c r="BR18" s="49"/>
      <c r="BS18" s="49"/>
      <c r="BT18" s="49"/>
      <c r="BV18" s="53">
        <f t="shared" si="16"/>
        <v>-6246924</v>
      </c>
      <c r="BW18" s="53">
        <f t="shared" si="15"/>
        <v>-195216.375</v>
      </c>
      <c r="BX18" s="53">
        <f t="shared" si="15"/>
        <v>-9023.53125</v>
      </c>
      <c r="BY18" s="53">
        <f t="shared" si="15"/>
        <v>-1805944</v>
      </c>
      <c r="BZ18" s="53">
        <f t="shared" si="15"/>
        <v>-238704</v>
      </c>
      <c r="CA18" s="53">
        <f t="shared" si="15"/>
        <v>-76136</v>
      </c>
      <c r="CB18" s="53">
        <f t="shared" si="15"/>
        <v>-1491104</v>
      </c>
      <c r="CC18" s="53">
        <f t="shared" si="15"/>
        <v>-2.0690089999999941</v>
      </c>
      <c r="CD18" s="53">
        <f t="shared" si="15"/>
        <v>-2.0490342499999628</v>
      </c>
      <c r="CE18" s="53">
        <f t="shared" si="15"/>
        <v>-1.2724217499999995</v>
      </c>
      <c r="CF18" s="53">
        <f t="shared" si="15"/>
        <v>-0.39051525000001419</v>
      </c>
      <c r="CG18" s="53">
        <f t="shared" si="15"/>
        <v>-0.3678502500000036</v>
      </c>
      <c r="CJ18" t="s">
        <v>233</v>
      </c>
    </row>
    <row r="19" spans="1:88" ht="16" outlineLevel="1" thickBot="1" x14ac:dyDescent="0.25">
      <c r="A19" s="52"/>
      <c r="B19" s="26" t="s">
        <v>64</v>
      </c>
      <c r="C19" s="27" t="s">
        <v>237</v>
      </c>
      <c r="D19" s="26">
        <v>322589704</v>
      </c>
      <c r="E19" s="27">
        <v>10</v>
      </c>
      <c r="F19" s="27">
        <v>32</v>
      </c>
      <c r="G19" s="27">
        <v>30</v>
      </c>
      <c r="I19" s="28">
        <f t="shared" si="0"/>
        <v>35.963302499999998</v>
      </c>
      <c r="J19" s="29">
        <f t="shared" si="1"/>
        <v>0.11891531417258128</v>
      </c>
      <c r="K19" s="29">
        <f t="shared" si="2"/>
        <v>2.7855396153623056E-2</v>
      </c>
      <c r="L19" s="29">
        <f t="shared" si="3"/>
        <v>2.0647974555319349E-2</v>
      </c>
      <c r="M19" s="29">
        <f t="shared" si="4"/>
        <v>9.1059918018958227E-2</v>
      </c>
      <c r="N19" s="26">
        <f t="shared" si="5"/>
        <v>8985864</v>
      </c>
      <c r="O19" s="29">
        <v>16</v>
      </c>
      <c r="P19" s="30">
        <v>33039030</v>
      </c>
      <c r="Q19" s="30">
        <v>1032469.6875</v>
      </c>
      <c r="R19" s="30">
        <v>17754.53125</v>
      </c>
      <c r="S19" s="31">
        <v>38360856</v>
      </c>
      <c r="T19" s="31">
        <v>6660824</v>
      </c>
      <c r="U19" s="31">
        <v>2325040</v>
      </c>
      <c r="V19" s="31">
        <v>29374992</v>
      </c>
      <c r="W19" s="32">
        <v>71.149228125000022</v>
      </c>
      <c r="X19" s="32">
        <v>75.004365625000005</v>
      </c>
      <c r="Y19" s="32">
        <v>39.554531249999997</v>
      </c>
      <c r="Z19" s="32">
        <v>47.858968750000003</v>
      </c>
      <c r="AA19" s="32">
        <v>48.457106250000002</v>
      </c>
      <c r="AB19" s="33">
        <v>4786.74</v>
      </c>
      <c r="AC19" s="33">
        <v>2170.84</v>
      </c>
      <c r="AD19" s="33">
        <v>13.788</v>
      </c>
      <c r="AE19" s="33">
        <v>12.224</v>
      </c>
      <c r="AG19" s="28">
        <f t="shared" si="6"/>
        <v>32.651249999999997</v>
      </c>
      <c r="AH19" s="29">
        <f t="shared" si="7"/>
        <v>0.10796376811827819</v>
      </c>
      <c r="AI19" s="29">
        <f t="shared" si="8"/>
        <v>2.6183799096080266E-2</v>
      </c>
      <c r="AJ19" s="29">
        <f t="shared" si="9"/>
        <v>1.9447737860846297E-2</v>
      </c>
      <c r="AK19" s="29">
        <f t="shared" si="10"/>
        <v>8.1779969022197932E-2</v>
      </c>
      <c r="AL19" s="26">
        <f t="shared" si="11"/>
        <v>8446624</v>
      </c>
      <c r="AM19" s="29">
        <v>16</v>
      </c>
      <c r="AN19" s="30">
        <v>26922602</v>
      </c>
      <c r="AO19" s="30">
        <v>841331.3125</v>
      </c>
      <c r="AP19" s="30">
        <v>13897.9375</v>
      </c>
      <c r="AQ19" s="31">
        <v>34828000</v>
      </c>
      <c r="AR19" s="31">
        <v>6273640</v>
      </c>
      <c r="AS19" s="31">
        <v>2172984</v>
      </c>
      <c r="AT19" s="31">
        <v>26381376</v>
      </c>
      <c r="AU19" s="32">
        <v>68.747518999999997</v>
      </c>
      <c r="AV19" s="32">
        <v>74.424324999999996</v>
      </c>
      <c r="AW19" s="32">
        <v>37.640065999999997</v>
      </c>
      <c r="AX19" s="32">
        <v>47.442497000000003</v>
      </c>
      <c r="AY19" s="32">
        <v>48.076031</v>
      </c>
      <c r="AZ19" s="33">
        <v>5206.7299999999996</v>
      </c>
      <c r="BA19" s="33">
        <v>1592.94</v>
      </c>
      <c r="BB19" s="33">
        <v>11.895</v>
      </c>
      <c r="BC19" s="33">
        <v>20.382999999999999</v>
      </c>
      <c r="BE19" s="34">
        <f t="shared" si="12"/>
        <v>0.93999018903468834</v>
      </c>
      <c r="BF19" s="35">
        <f t="shared" si="13"/>
        <v>-6.7719394084097759E-4</v>
      </c>
      <c r="BG19" s="35">
        <f t="shared" si="14"/>
        <v>8.278287081328356E-3</v>
      </c>
      <c r="BH19" s="35"/>
      <c r="BJ19" s="34"/>
      <c r="BK19" s="34"/>
      <c r="BL19" s="34"/>
      <c r="BM19" s="34"/>
      <c r="BN19" s="34"/>
      <c r="BP19" s="34"/>
      <c r="BQ19" s="34"/>
      <c r="BR19" s="34"/>
      <c r="BS19" s="34"/>
      <c r="BT19" s="34"/>
      <c r="BV19" s="53">
        <f t="shared" si="16"/>
        <v>-6116428</v>
      </c>
      <c r="BW19" s="53">
        <f t="shared" si="15"/>
        <v>-191138.375</v>
      </c>
      <c r="BX19" s="53">
        <f t="shared" si="15"/>
        <v>-3856.59375</v>
      </c>
      <c r="BY19" s="53">
        <f t="shared" si="15"/>
        <v>-3532856</v>
      </c>
      <c r="BZ19" s="53">
        <f t="shared" si="15"/>
        <v>-387184</v>
      </c>
      <c r="CA19" s="53">
        <f t="shared" si="15"/>
        <v>-152056</v>
      </c>
      <c r="CB19" s="53">
        <f t="shared" si="15"/>
        <v>-2993616</v>
      </c>
      <c r="CC19" s="53">
        <f t="shared" si="15"/>
        <v>-2.4017091250000249</v>
      </c>
      <c r="CD19" s="53">
        <f t="shared" si="15"/>
        <v>-0.58004062500000941</v>
      </c>
      <c r="CE19" s="53">
        <f t="shared" si="15"/>
        <v>-1.9144652499999992</v>
      </c>
      <c r="CF19" s="53">
        <f t="shared" si="15"/>
        <v>-0.41647174999999947</v>
      </c>
      <c r="CG19" s="53">
        <f t="shared" si="15"/>
        <v>-0.38107525000000209</v>
      </c>
      <c r="CJ19" t="s">
        <v>233</v>
      </c>
    </row>
    <row r="20" spans="1:88" x14ac:dyDescent="0.2">
      <c r="A20" s="17"/>
      <c r="B20" s="17" t="s">
        <v>70</v>
      </c>
      <c r="C20" s="18" t="s">
        <v>232</v>
      </c>
      <c r="D20" s="17">
        <v>250602891</v>
      </c>
      <c r="E20" s="18">
        <v>10</v>
      </c>
      <c r="F20" s="18">
        <v>32</v>
      </c>
      <c r="G20" s="18">
        <v>50</v>
      </c>
      <c r="I20" s="19">
        <f t="shared" si="0"/>
        <v>5.1864875000000001</v>
      </c>
      <c r="J20" s="20">
        <f t="shared" si="1"/>
        <v>1.3245465711726367E-2</v>
      </c>
      <c r="K20" s="20">
        <f t="shared" si="2"/>
        <v>7.7059286598573197E-3</v>
      </c>
      <c r="L20" s="20">
        <f t="shared" si="3"/>
        <v>3.7835477324960308E-3</v>
      </c>
      <c r="M20" s="20">
        <f t="shared" si="4"/>
        <v>5.5395370518690461E-3</v>
      </c>
      <c r="N20" s="17">
        <f t="shared" si="5"/>
        <v>1931128</v>
      </c>
      <c r="O20" s="20">
        <v>16</v>
      </c>
      <c r="P20" s="21">
        <v>30274532</v>
      </c>
      <c r="Q20" s="21">
        <v>946079.125</v>
      </c>
      <c r="R20" s="21">
        <v>27842.25</v>
      </c>
      <c r="S20" s="22">
        <v>3319352</v>
      </c>
      <c r="T20" s="22">
        <v>948168</v>
      </c>
      <c r="U20" s="22">
        <v>982960</v>
      </c>
      <c r="V20" s="22">
        <v>1388224</v>
      </c>
      <c r="W20" s="23">
        <v>67.105800000000002</v>
      </c>
      <c r="X20" s="23">
        <v>68.817099999999996</v>
      </c>
      <c r="Y20" s="23">
        <v>30.70466875</v>
      </c>
      <c r="Z20" s="23">
        <v>39.516743750000003</v>
      </c>
      <c r="AA20" s="23">
        <v>38.250818749999993</v>
      </c>
      <c r="AB20" s="24">
        <v>4403.7</v>
      </c>
      <c r="AC20" s="24">
        <v>1626.51</v>
      </c>
      <c r="AD20" s="24">
        <v>13.58</v>
      </c>
      <c r="AE20" s="24">
        <v>8.2880000000000003</v>
      </c>
      <c r="AG20" s="19">
        <f t="shared" si="6"/>
        <v>4.9765750000000004</v>
      </c>
      <c r="AH20" s="20">
        <f t="shared" si="7"/>
        <v>1.2709382510675027E-2</v>
      </c>
      <c r="AI20" s="20">
        <f t="shared" si="8"/>
        <v>7.3650546992293075E-3</v>
      </c>
      <c r="AJ20" s="20">
        <f t="shared" si="9"/>
        <v>3.5959680928022496E-3</v>
      </c>
      <c r="AK20" s="20">
        <f t="shared" si="10"/>
        <v>5.3443278114457191E-3</v>
      </c>
      <c r="AL20" s="17">
        <f t="shared" si="11"/>
        <v>1845704</v>
      </c>
      <c r="AM20" s="20">
        <v>16</v>
      </c>
      <c r="AN20" s="21">
        <v>25854945</v>
      </c>
      <c r="AO20" s="21">
        <v>807967.03125</v>
      </c>
      <c r="AP20" s="21">
        <v>22256.15625</v>
      </c>
      <c r="AQ20" s="22">
        <v>3185008</v>
      </c>
      <c r="AR20" s="22">
        <v>901160</v>
      </c>
      <c r="AS20" s="22">
        <v>944544</v>
      </c>
      <c r="AT20" s="22">
        <v>1339304</v>
      </c>
      <c r="AU20" s="23">
        <v>66.155458999999993</v>
      </c>
      <c r="AV20" s="23">
        <v>68.377624999999995</v>
      </c>
      <c r="AW20" s="23">
        <v>30.558333999999999</v>
      </c>
      <c r="AX20" s="23">
        <v>39.118138000000002</v>
      </c>
      <c r="AY20" s="23">
        <v>37.943086999999998</v>
      </c>
      <c r="AZ20" s="24">
        <v>4117.3500000000004</v>
      </c>
      <c r="BA20" s="24">
        <v>1142.1500000000001</v>
      </c>
      <c r="BB20" s="24">
        <v>11.340999999999999</v>
      </c>
      <c r="BC20" s="24">
        <v>17.058</v>
      </c>
      <c r="BE20" s="49">
        <f t="shared" si="12"/>
        <v>0.95576471368029459</v>
      </c>
      <c r="BF20" s="25">
        <f t="shared" si="13"/>
        <v>-1.8832206275434873E-3</v>
      </c>
      <c r="BG20" s="25">
        <f t="shared" si="14"/>
        <v>-2.2811666787391216E-3</v>
      </c>
      <c r="BH20" s="25">
        <f t="array" ref="BH20">AVERAGE(AL20:AL24/AQ20:AQ24) - AVERAGE(N20:N24/S20:S24)</f>
        <v>8.5754882377275798E-4</v>
      </c>
      <c r="BJ20" s="49">
        <f>IF( OR(ISBLANK(N20:N24),ISBLANK(AL20:AL24), ISBLANK(W20:W24),ISBLANK(AU20:AU24)), "·", bdRateExtend( N20:N24,W20:W24, AL20:AL24,AU20:AU24))</f>
        <v>0.24913724237547408</v>
      </c>
      <c r="BK20" s="49">
        <f>IF( OR(ISBLANK(N20:N24),ISBLANK(AL20:AL24), ISBLANK(X20:X24),ISBLANK(AV20:AV24)), "·", bdRateExtend( N20:N24,X20:X24, AL20:AL24,AV20:AV24))</f>
        <v>3.0744471029288789E-2</v>
      </c>
      <c r="BL20" s="49">
        <f>IF( OR(ISBLANK(V20:V24),ISBLANK(AT20:AT24), ISBLANK(Y20:Y24),ISBLANK(AW20:AW24)), "·", bdRateExtend( V20:V24,Y20:Y24, AT20:AT24,AW20:AW24))</f>
        <v>8.2013787231001167E-2</v>
      </c>
      <c r="BM20" s="49">
        <f>IF( OR(ISBLANK(V20:V24),ISBLANK(AT20:AT24), ISBLANK(Z20:Z24),ISBLANK(AX20:AX24)), "·", bdRateExtend( V20:V24,Z20:Z24, AT20:AT24,AX20:AX24))</f>
        <v>0.12075701852835841</v>
      </c>
      <c r="BN20" s="49">
        <f>IF( OR(ISBLANK(V20:V24),ISBLANK(AT20:AT24), ISBLANK(AA20:AA24),ISBLANK(AY20:AY24)), "·", bdRateExtend( V20:V24,AA20:AA24, AT20:AT24,AY20:AY24))</f>
        <v>0.16884405970015459</v>
      </c>
      <c r="BP20" s="49">
        <f>IF( OR(ISBLANK(S20:S24),ISBLANK(AQ20:AQ24), ISBLANK(W20:W24),ISBLANK(AU20:AU24)), "·", bdRateExtend( S20:S24,W20:W24, AQ20:AQ24,AU20:AU24))</f>
        <v>0.66565326493848564</v>
      </c>
      <c r="BQ20" s="49">
        <f>IF( OR(ISBLANK(S20:S24),ISBLANK(AQ20:AQ24), ISBLANK(X20:X24),ISBLANK(AV20:AV24)), "·", bdRateExtend( S20:S24,X20:X24, AQ20:AQ24,AV20:AV24))</f>
        <v>8.9222285136026258E-2</v>
      </c>
      <c r="BR20" s="49">
        <f>IF( OR(ISBLANK(S20:S24),ISBLANK(AQ20:AQ24), ISBLANK(Y20:Y24),ISBLANK(AW20:AW24)), "·", bdRateExtend( S20:S24,Y20:Y24, AQ20:AQ24,AW20:AW24))</f>
        <v>5.6189619142582359E-2</v>
      </c>
      <c r="BS20" s="49">
        <f>IF( OR(ISBLANK(S20:S24),ISBLANK(AQ20:AQ24), ISBLANK(Z20:Z24),ISBLANK(AX20:AX24)), "·", bdRateExtend( S20:S24,Z20:Z24, AQ20:AQ24,AX20:AX24))</f>
        <v>7.7226749757831836E-2</v>
      </c>
      <c r="BT20" s="49">
        <f>IF( OR(ISBLANK(S20:S24),ISBLANK(AQ20:AQ24), ISBLANK(AA20:AA24),ISBLANK(AY20:AY24)), "·", bdRateExtend( S20:S24,AA20:AA24, AQ20:AQ24,AY20:AY24))</f>
        <v>0.11350095165996588</v>
      </c>
      <c r="BV20" s="53">
        <f t="shared" si="16"/>
        <v>-4419587</v>
      </c>
      <c r="BW20" s="53">
        <f t="shared" si="15"/>
        <v>-138112.09375</v>
      </c>
      <c r="BX20" s="53">
        <f t="shared" si="15"/>
        <v>-5586.09375</v>
      </c>
      <c r="BY20" s="53">
        <f t="shared" si="15"/>
        <v>-134344</v>
      </c>
      <c r="BZ20" s="53">
        <f t="shared" si="15"/>
        <v>-47008</v>
      </c>
      <c r="CA20" s="53">
        <f t="shared" si="15"/>
        <v>-38416</v>
      </c>
      <c r="CB20" s="53">
        <f t="shared" si="15"/>
        <v>-48920</v>
      </c>
      <c r="CC20" s="53">
        <f t="shared" si="15"/>
        <v>-0.95034100000000876</v>
      </c>
      <c r="CD20" s="53">
        <f t="shared" si="15"/>
        <v>-0.43947500000000161</v>
      </c>
      <c r="CE20" s="53">
        <f t="shared" si="15"/>
        <v>-0.14633475000000118</v>
      </c>
      <c r="CF20" s="53">
        <f t="shared" si="15"/>
        <v>-0.39860575000000154</v>
      </c>
      <c r="CG20" s="53">
        <f t="shared" si="15"/>
        <v>-0.30773174999999497</v>
      </c>
      <c r="CJ20" t="s">
        <v>239</v>
      </c>
    </row>
    <row r="21" spans="1:88" outlineLevel="1" x14ac:dyDescent="0.2">
      <c r="A21" s="52"/>
      <c r="B21" s="52" t="s">
        <v>70</v>
      </c>
      <c r="C21" s="9" t="s">
        <v>234</v>
      </c>
      <c r="D21" s="52">
        <v>250602891</v>
      </c>
      <c r="E21" s="9">
        <v>10</v>
      </c>
      <c r="F21" s="9">
        <v>32</v>
      </c>
      <c r="G21" s="9">
        <v>50</v>
      </c>
      <c r="I21" s="10">
        <f t="shared" si="0"/>
        <v>7.7664</v>
      </c>
      <c r="J21" s="11">
        <f t="shared" si="1"/>
        <v>1.9834152671447034E-2</v>
      </c>
      <c r="K21" s="11">
        <f t="shared" si="2"/>
        <v>9.149295887412567E-3</v>
      </c>
      <c r="L21" s="11">
        <f t="shared" si="3"/>
        <v>5.226914960051279E-3</v>
      </c>
      <c r="M21" s="11">
        <f t="shared" si="4"/>
        <v>1.0684856784034467E-2</v>
      </c>
      <c r="N21" s="52">
        <f t="shared" si="5"/>
        <v>2292840</v>
      </c>
      <c r="O21" s="11">
        <v>16</v>
      </c>
      <c r="P21" s="12">
        <v>31505484</v>
      </c>
      <c r="Q21" s="12">
        <v>984546.375</v>
      </c>
      <c r="R21" s="12">
        <v>33029.375</v>
      </c>
      <c r="S21" s="13">
        <v>4970496</v>
      </c>
      <c r="T21" s="13">
        <v>1309880</v>
      </c>
      <c r="U21" s="13">
        <v>982960</v>
      </c>
      <c r="V21" s="13">
        <v>2677656</v>
      </c>
      <c r="W21" s="14">
        <v>68.686528125000009</v>
      </c>
      <c r="X21" s="14">
        <v>70.761815624999997</v>
      </c>
      <c r="Y21" s="14">
        <v>32.563856249999994</v>
      </c>
      <c r="Z21" s="14">
        <v>40.66340000000001</v>
      </c>
      <c r="AA21" s="14">
        <v>39.598671875000001</v>
      </c>
      <c r="AB21" s="15">
        <v>4437.8900000000003</v>
      </c>
      <c r="AC21" s="15">
        <v>1723.13</v>
      </c>
      <c r="AD21" s="15">
        <v>13.96</v>
      </c>
      <c r="AE21" s="15">
        <v>11.3</v>
      </c>
      <c r="AG21" s="10">
        <f t="shared" si="6"/>
        <v>7.4314625000000003</v>
      </c>
      <c r="AH21" s="11">
        <f t="shared" si="7"/>
        <v>1.8978775468316524E-2</v>
      </c>
      <c r="AI21" s="11">
        <f t="shared" si="8"/>
        <v>8.7376486011887227E-3</v>
      </c>
      <c r="AJ21" s="11">
        <f t="shared" si="9"/>
        <v>4.9685619947616643E-3</v>
      </c>
      <c r="AK21" s="11">
        <f t="shared" si="10"/>
        <v>1.0241126867127802E-2</v>
      </c>
      <c r="AL21" s="52">
        <f t="shared" si="11"/>
        <v>2189680</v>
      </c>
      <c r="AM21" s="11">
        <v>16</v>
      </c>
      <c r="AN21" s="12">
        <v>27062714</v>
      </c>
      <c r="AO21" s="12">
        <v>845709.8125</v>
      </c>
      <c r="AP21" s="12">
        <v>26668.28125</v>
      </c>
      <c r="AQ21" s="13">
        <v>4756136</v>
      </c>
      <c r="AR21" s="13">
        <v>1245136</v>
      </c>
      <c r="AS21" s="13">
        <v>944544</v>
      </c>
      <c r="AT21" s="13">
        <v>2566456</v>
      </c>
      <c r="AU21" s="14">
        <v>67.474896999999999</v>
      </c>
      <c r="AV21" s="14">
        <v>70.309755999999993</v>
      </c>
      <c r="AW21" s="14">
        <v>32.359636999999999</v>
      </c>
      <c r="AX21" s="14">
        <v>40.328397000000002</v>
      </c>
      <c r="AY21" s="14">
        <v>39.222987000000003</v>
      </c>
      <c r="AZ21" s="15">
        <v>4389.2</v>
      </c>
      <c r="BA21" s="15">
        <v>1203.1400000000001</v>
      </c>
      <c r="BB21" s="15">
        <v>11.241</v>
      </c>
      <c r="BC21" s="15">
        <v>16.704000000000001</v>
      </c>
      <c r="BE21" s="50">
        <f t="shared" si="12"/>
        <v>0.95500776329791881</v>
      </c>
      <c r="BF21" s="16">
        <f t="shared" si="13"/>
        <v>-2.0142028225238889E-3</v>
      </c>
      <c r="BG21" s="16">
        <f t="shared" si="14"/>
        <v>-8.9944440313477481E-4</v>
      </c>
      <c r="BH21" s="16"/>
      <c r="BJ21" s="50"/>
      <c r="BK21" s="50"/>
      <c r="BL21" s="50"/>
      <c r="BM21" s="50"/>
      <c r="BN21" s="50"/>
      <c r="BP21" s="50"/>
      <c r="BQ21" s="50"/>
      <c r="BR21" s="50"/>
      <c r="BS21" s="50"/>
      <c r="BT21" s="50"/>
      <c r="BV21" s="53">
        <f t="shared" si="16"/>
        <v>-4442770</v>
      </c>
      <c r="BW21" s="53">
        <f t="shared" si="16"/>
        <v>-138836.5625</v>
      </c>
      <c r="BX21" s="53">
        <f t="shared" si="16"/>
        <v>-6361.09375</v>
      </c>
      <c r="BY21" s="53">
        <f t="shared" si="16"/>
        <v>-214360</v>
      </c>
      <c r="BZ21" s="53">
        <f t="shared" si="16"/>
        <v>-64744</v>
      </c>
      <c r="CA21" s="53">
        <f t="shared" si="16"/>
        <v>-38416</v>
      </c>
      <c r="CB21" s="53">
        <f t="shared" si="16"/>
        <v>-111200</v>
      </c>
      <c r="CC21" s="53">
        <f t="shared" si="16"/>
        <v>-1.2116311250000109</v>
      </c>
      <c r="CD21" s="53">
        <f t="shared" si="16"/>
        <v>-0.45205962500000396</v>
      </c>
      <c r="CE21" s="53">
        <f t="shared" si="16"/>
        <v>-0.20421924999999419</v>
      </c>
      <c r="CF21" s="53">
        <f t="shared" si="16"/>
        <v>-0.33500300000000749</v>
      </c>
      <c r="CG21" s="53">
        <f t="shared" si="16"/>
        <v>-0.37568487499999748</v>
      </c>
      <c r="CJ21" t="s">
        <v>239</v>
      </c>
    </row>
    <row r="22" spans="1:88" outlineLevel="1" x14ac:dyDescent="0.2">
      <c r="A22" s="17"/>
      <c r="B22" s="17" t="s">
        <v>70</v>
      </c>
      <c r="C22" s="18" t="s">
        <v>235</v>
      </c>
      <c r="D22" s="17">
        <v>250602891</v>
      </c>
      <c r="E22" s="18">
        <v>10</v>
      </c>
      <c r="F22" s="18">
        <v>32</v>
      </c>
      <c r="G22" s="18">
        <v>50</v>
      </c>
      <c r="I22" s="19">
        <f t="shared" si="0"/>
        <v>12.712025000000001</v>
      </c>
      <c r="J22" s="20">
        <f t="shared" si="1"/>
        <v>3.2464493795484585E-2</v>
      </c>
      <c r="K22" s="20">
        <f t="shared" si="2"/>
        <v>1.1394345805851058E-2</v>
      </c>
      <c r="L22" s="20">
        <f t="shared" si="3"/>
        <v>7.4719648784897699E-3</v>
      </c>
      <c r="M22" s="20">
        <f t="shared" si="4"/>
        <v>2.1070147989633529E-2</v>
      </c>
      <c r="N22" s="17">
        <f t="shared" si="5"/>
        <v>2855456</v>
      </c>
      <c r="O22" s="20">
        <v>16</v>
      </c>
      <c r="P22" s="21">
        <v>32735750</v>
      </c>
      <c r="Q22" s="21">
        <v>1022992.1875</v>
      </c>
      <c r="R22" s="21">
        <v>35066.4375</v>
      </c>
      <c r="S22" s="22">
        <v>8135696</v>
      </c>
      <c r="T22" s="22">
        <v>1872496</v>
      </c>
      <c r="U22" s="22">
        <v>982960</v>
      </c>
      <c r="V22" s="22">
        <v>5280240</v>
      </c>
      <c r="W22" s="23">
        <v>69.861821875000004</v>
      </c>
      <c r="X22" s="23">
        <v>72.258756250000005</v>
      </c>
      <c r="Y22" s="23">
        <v>34.406353125000003</v>
      </c>
      <c r="Z22" s="23">
        <v>41.679393750000003</v>
      </c>
      <c r="AA22" s="23">
        <v>40.627628125000001</v>
      </c>
      <c r="AB22" s="24">
        <v>4512.8</v>
      </c>
      <c r="AC22" s="24">
        <v>1818.14</v>
      </c>
      <c r="AD22" s="24">
        <v>13.875999999999999</v>
      </c>
      <c r="AE22" s="24">
        <v>11.776</v>
      </c>
      <c r="AG22" s="19">
        <f t="shared" si="6"/>
        <v>12.056637500000001</v>
      </c>
      <c r="AH22" s="20">
        <f t="shared" si="7"/>
        <v>3.0790738164309526E-2</v>
      </c>
      <c r="AI22" s="20">
        <f t="shared" si="8"/>
        <v>1.08800979474734E-2</v>
      </c>
      <c r="AJ22" s="20">
        <f t="shared" si="9"/>
        <v>7.1110113410463409E-3</v>
      </c>
      <c r="AK22" s="20">
        <f t="shared" si="10"/>
        <v>1.9910640216836126E-2</v>
      </c>
      <c r="AL22" s="17">
        <f t="shared" si="11"/>
        <v>2726584</v>
      </c>
      <c r="AM22" s="20">
        <v>16</v>
      </c>
      <c r="AN22" s="21">
        <v>28148464</v>
      </c>
      <c r="AO22" s="21">
        <v>879639.5</v>
      </c>
      <c r="AP22" s="21">
        <v>28447.5625</v>
      </c>
      <c r="AQ22" s="22">
        <v>7716248</v>
      </c>
      <c r="AR22" s="22">
        <v>1782040</v>
      </c>
      <c r="AS22" s="22">
        <v>944544</v>
      </c>
      <c r="AT22" s="22">
        <v>4989664</v>
      </c>
      <c r="AU22" s="23">
        <v>68.527569</v>
      </c>
      <c r="AV22" s="23">
        <v>71.837136999999998</v>
      </c>
      <c r="AW22" s="23">
        <v>34.044694</v>
      </c>
      <c r="AX22" s="23">
        <v>41.452038000000002</v>
      </c>
      <c r="AY22" s="23">
        <v>40.352108999999999</v>
      </c>
      <c r="AZ22" s="24">
        <v>4992.08</v>
      </c>
      <c r="BA22" s="24">
        <v>1694.36</v>
      </c>
      <c r="BB22" s="24">
        <v>14.169</v>
      </c>
      <c r="BC22" s="24">
        <v>24.021000000000001</v>
      </c>
      <c r="BE22" s="49">
        <f t="shared" si="12"/>
        <v>0.95486815415821513</v>
      </c>
      <c r="BF22" s="25">
        <f t="shared" si="13"/>
        <v>-1.9382803473500451E-3</v>
      </c>
      <c r="BG22" s="25">
        <f t="shared" si="14"/>
        <v>2.3774914265335401E-3</v>
      </c>
      <c r="BH22" s="25"/>
      <c r="BJ22" s="49"/>
      <c r="BK22" s="49"/>
      <c r="BL22" s="49"/>
      <c r="BM22" s="49"/>
      <c r="BN22" s="49"/>
      <c r="BP22" s="49"/>
      <c r="BQ22" s="49"/>
      <c r="BR22" s="49"/>
      <c r="BS22" s="49"/>
      <c r="BT22" s="49"/>
      <c r="BV22" s="53">
        <f t="shared" si="16"/>
        <v>-4587286</v>
      </c>
      <c r="BW22" s="53">
        <f t="shared" si="16"/>
        <v>-143352.6875</v>
      </c>
      <c r="BX22" s="53">
        <f t="shared" si="16"/>
        <v>-6618.875</v>
      </c>
      <c r="BY22" s="53">
        <f t="shared" si="16"/>
        <v>-419448</v>
      </c>
      <c r="BZ22" s="53">
        <f t="shared" si="16"/>
        <v>-90456</v>
      </c>
      <c r="CA22" s="53">
        <f t="shared" si="16"/>
        <v>-38416</v>
      </c>
      <c r="CB22" s="53">
        <f t="shared" si="16"/>
        <v>-290576</v>
      </c>
      <c r="CC22" s="53">
        <f t="shared" si="16"/>
        <v>-1.3342528750000042</v>
      </c>
      <c r="CD22" s="53">
        <f t="shared" si="16"/>
        <v>-0.42161925000000622</v>
      </c>
      <c r="CE22" s="53">
        <f t="shared" si="16"/>
        <v>-0.36165912500000275</v>
      </c>
      <c r="CF22" s="53">
        <f t="shared" si="16"/>
        <v>-0.22735575000000097</v>
      </c>
      <c r="CG22" s="53">
        <f t="shared" si="16"/>
        <v>-0.27551912500000242</v>
      </c>
      <c r="CJ22" t="s">
        <v>239</v>
      </c>
    </row>
    <row r="23" spans="1:88" outlineLevel="1" x14ac:dyDescent="0.2">
      <c r="A23" s="52"/>
      <c r="B23" s="52" t="s">
        <v>70</v>
      </c>
      <c r="C23" s="9" t="s">
        <v>236</v>
      </c>
      <c r="D23" s="52">
        <v>250602891</v>
      </c>
      <c r="E23" s="9">
        <v>10</v>
      </c>
      <c r="F23" s="9">
        <v>32</v>
      </c>
      <c r="G23" s="9">
        <v>50</v>
      </c>
      <c r="I23" s="10">
        <f t="shared" si="0"/>
        <v>22.567150000000002</v>
      </c>
      <c r="J23" s="11">
        <f t="shared" si="1"/>
        <v>5.7632918528461828E-2</v>
      </c>
      <c r="K23" s="11">
        <f t="shared" si="2"/>
        <v>1.532240902999E-2</v>
      </c>
      <c r="L23" s="11">
        <f t="shared" si="3"/>
        <v>1.1400028102628712E-2</v>
      </c>
      <c r="M23" s="11">
        <f t="shared" si="4"/>
        <v>4.2310509498471829E-2</v>
      </c>
      <c r="N23" s="52">
        <f t="shared" si="5"/>
        <v>3839840</v>
      </c>
      <c r="O23" s="11">
        <v>16</v>
      </c>
      <c r="P23" s="12">
        <v>32798890</v>
      </c>
      <c r="Q23" s="12">
        <v>1024965.3125</v>
      </c>
      <c r="R23" s="12">
        <v>36962.65625</v>
      </c>
      <c r="S23" s="13">
        <v>14442976</v>
      </c>
      <c r="T23" s="13">
        <v>2856880</v>
      </c>
      <c r="U23" s="13">
        <v>982960</v>
      </c>
      <c r="V23" s="13">
        <v>10603136</v>
      </c>
      <c r="W23" s="14">
        <v>70.888134374999979</v>
      </c>
      <c r="X23" s="14">
        <v>73.610840625000023</v>
      </c>
      <c r="Y23" s="14">
        <v>35.937868749999993</v>
      </c>
      <c r="Z23" s="14">
        <v>42.840609375000007</v>
      </c>
      <c r="AA23" s="14">
        <v>41.690131250000007</v>
      </c>
      <c r="AB23" s="15">
        <v>4440.0600000000004</v>
      </c>
      <c r="AC23" s="15">
        <v>1986.67</v>
      </c>
      <c r="AD23" s="15">
        <v>14.071999999999999</v>
      </c>
      <c r="AE23" s="15">
        <v>12.84</v>
      </c>
      <c r="AG23" s="10">
        <f t="shared" si="6"/>
        <v>21.306625</v>
      </c>
      <c r="AH23" s="11">
        <f t="shared" si="7"/>
        <v>5.4413737788842988E-2</v>
      </c>
      <c r="AI23" s="11">
        <f t="shared" si="8"/>
        <v>1.4564524716516539E-2</v>
      </c>
      <c r="AJ23" s="11">
        <f t="shared" si="9"/>
        <v>1.079543811008948E-2</v>
      </c>
      <c r="AK23" s="11">
        <f t="shared" si="10"/>
        <v>3.9849213072326445E-2</v>
      </c>
      <c r="AL23" s="52">
        <f t="shared" si="11"/>
        <v>3649912</v>
      </c>
      <c r="AM23" s="11">
        <v>16</v>
      </c>
      <c r="AN23" s="12">
        <v>28215973</v>
      </c>
      <c r="AO23" s="12">
        <v>881749.15625</v>
      </c>
      <c r="AP23" s="12">
        <v>30097.4375</v>
      </c>
      <c r="AQ23" s="13">
        <v>13636240</v>
      </c>
      <c r="AR23" s="13">
        <v>2705368</v>
      </c>
      <c r="AS23" s="13">
        <v>944544</v>
      </c>
      <c r="AT23" s="13">
        <v>9986328</v>
      </c>
      <c r="AU23" s="14">
        <v>69.256066000000004</v>
      </c>
      <c r="AV23" s="14">
        <v>73.112347</v>
      </c>
      <c r="AW23" s="14">
        <v>35.505597000000002</v>
      </c>
      <c r="AX23" s="14">
        <v>42.616194</v>
      </c>
      <c r="AY23" s="14">
        <v>41.374434000000001</v>
      </c>
      <c r="AZ23" s="15">
        <v>4751.1099999999997</v>
      </c>
      <c r="BA23" s="15">
        <v>1842.89</v>
      </c>
      <c r="BB23" s="15">
        <v>13.194000000000001</v>
      </c>
      <c r="BC23" s="15">
        <v>25.876999999999999</v>
      </c>
      <c r="BE23" s="50">
        <f t="shared" si="12"/>
        <v>0.95053752239676659</v>
      </c>
      <c r="BF23" s="16">
        <f t="shared" si="13"/>
        <v>-1.9285618901759977E-3</v>
      </c>
      <c r="BG23" s="16">
        <f t="shared" si="14"/>
        <v>1.8005352675936059E-3</v>
      </c>
      <c r="BH23" s="16"/>
      <c r="BJ23" s="50"/>
      <c r="BK23" s="50"/>
      <c r="BL23" s="50"/>
      <c r="BM23" s="50"/>
      <c r="BN23" s="50"/>
      <c r="BP23" s="50"/>
      <c r="BQ23" s="50"/>
      <c r="BR23" s="50"/>
      <c r="BS23" s="50"/>
      <c r="BT23" s="50"/>
      <c r="BV23" s="53">
        <f t="shared" si="16"/>
        <v>-4582917</v>
      </c>
      <c r="BW23" s="53">
        <f t="shared" si="16"/>
        <v>-143216.15625</v>
      </c>
      <c r="BX23" s="53">
        <f t="shared" si="16"/>
        <v>-6865.21875</v>
      </c>
      <c r="BY23" s="53">
        <f t="shared" si="16"/>
        <v>-806736</v>
      </c>
      <c r="BZ23" s="53">
        <f t="shared" si="16"/>
        <v>-151512</v>
      </c>
      <c r="CA23" s="53">
        <f t="shared" si="16"/>
        <v>-38416</v>
      </c>
      <c r="CB23" s="53">
        <f t="shared" si="16"/>
        <v>-616808</v>
      </c>
      <c r="CC23" s="53">
        <f t="shared" si="16"/>
        <v>-1.6320683749999745</v>
      </c>
      <c r="CD23" s="53">
        <f t="shared" si="16"/>
        <v>-0.49849362500002314</v>
      </c>
      <c r="CE23" s="53">
        <f t="shared" si="16"/>
        <v>-0.43227174999999107</v>
      </c>
      <c r="CF23" s="53">
        <f t="shared" si="16"/>
        <v>-0.22441537500000663</v>
      </c>
      <c r="CG23" s="53">
        <f t="shared" si="16"/>
        <v>-0.31569725000000659</v>
      </c>
      <c r="CJ23" t="s">
        <v>239</v>
      </c>
    </row>
    <row r="24" spans="1:88" ht="16" outlineLevel="1" thickBot="1" x14ac:dyDescent="0.25">
      <c r="A24" s="36"/>
      <c r="B24" s="36" t="s">
        <v>70</v>
      </c>
      <c r="C24" s="37" t="s">
        <v>237</v>
      </c>
      <c r="D24" s="36">
        <v>250602891</v>
      </c>
      <c r="E24" s="37">
        <v>10</v>
      </c>
      <c r="F24" s="37">
        <v>32</v>
      </c>
      <c r="G24" s="37">
        <v>50</v>
      </c>
      <c r="I24" s="38">
        <f t="shared" si="0"/>
        <v>39.617637500000001</v>
      </c>
      <c r="J24" s="39">
        <f t="shared" si="1"/>
        <v>0.10117715681101221</v>
      </c>
      <c r="K24" s="39">
        <f t="shared" si="2"/>
        <v>2.5344895163240556E-2</v>
      </c>
      <c r="L24" s="39">
        <f t="shared" si="3"/>
        <v>1.7906609066213844E-2</v>
      </c>
      <c r="M24" s="39">
        <f t="shared" si="4"/>
        <v>7.5832261647771654E-2</v>
      </c>
      <c r="N24" s="36">
        <f t="shared" si="5"/>
        <v>6351504</v>
      </c>
      <c r="O24" s="39">
        <v>16</v>
      </c>
      <c r="P24" s="40">
        <v>31426902</v>
      </c>
      <c r="Q24" s="40">
        <v>982090.6875</v>
      </c>
      <c r="R24" s="40">
        <v>18270.09375</v>
      </c>
      <c r="S24" s="41">
        <v>25355288</v>
      </c>
      <c r="T24" s="41">
        <v>4487448</v>
      </c>
      <c r="U24" s="41">
        <v>1864056</v>
      </c>
      <c r="V24" s="41">
        <v>19003784</v>
      </c>
      <c r="W24" s="42">
        <v>71.730803125000023</v>
      </c>
      <c r="X24" s="42">
        <v>75.625753124999974</v>
      </c>
      <c r="Y24" s="42">
        <v>37.229371874999991</v>
      </c>
      <c r="Z24" s="42">
        <v>43.646537500000001</v>
      </c>
      <c r="AA24" s="42">
        <v>42.206934375000003</v>
      </c>
      <c r="AB24" s="43">
        <v>4394.66</v>
      </c>
      <c r="AC24" s="43">
        <v>2208.25</v>
      </c>
      <c r="AD24" s="43">
        <v>13.912000000000001</v>
      </c>
      <c r="AE24" s="43">
        <v>13.34</v>
      </c>
      <c r="AG24" s="38">
        <f t="shared" si="6"/>
        <v>37.242775000000002</v>
      </c>
      <c r="AH24" s="39">
        <f t="shared" si="7"/>
        <v>9.511213499927261E-2</v>
      </c>
      <c r="AI24" s="39">
        <f t="shared" si="8"/>
        <v>2.4138556326550917E-2</v>
      </c>
      <c r="AJ24" s="39">
        <f t="shared" si="9"/>
        <v>1.7014616164184634E-2</v>
      </c>
      <c r="AK24" s="39">
        <f t="shared" si="10"/>
        <v>7.0973578672721693E-2</v>
      </c>
      <c r="AL24" s="36">
        <f t="shared" si="11"/>
        <v>6049192</v>
      </c>
      <c r="AM24" s="39">
        <v>16</v>
      </c>
      <c r="AN24" s="40">
        <v>26940107</v>
      </c>
      <c r="AO24" s="40">
        <v>841878.34375</v>
      </c>
      <c r="AP24" s="40">
        <v>15358.46875</v>
      </c>
      <c r="AQ24" s="41">
        <v>23835376</v>
      </c>
      <c r="AR24" s="41">
        <v>4263912</v>
      </c>
      <c r="AS24" s="41">
        <v>1785280</v>
      </c>
      <c r="AT24" s="41">
        <v>17786184</v>
      </c>
      <c r="AU24" s="42">
        <v>69.581050000000005</v>
      </c>
      <c r="AV24" s="42">
        <v>75.315608999999995</v>
      </c>
      <c r="AW24" s="42">
        <v>36.782561999999999</v>
      </c>
      <c r="AX24" s="42">
        <v>43.447052999999997</v>
      </c>
      <c r="AY24" s="42">
        <v>41.983913000000001</v>
      </c>
      <c r="AZ24" s="43">
        <v>4085.46</v>
      </c>
      <c r="BA24" s="43">
        <v>1515.53</v>
      </c>
      <c r="BB24" s="43">
        <v>10.688000000000001</v>
      </c>
      <c r="BC24" s="43">
        <v>19.765000000000001</v>
      </c>
      <c r="BE24" s="44">
        <f t="shared" si="12"/>
        <v>0.95240308437182741</v>
      </c>
      <c r="BF24" s="45">
        <f t="shared" si="13"/>
        <v>-3.6016789467676474E-4</v>
      </c>
      <c r="BG24" s="45">
        <f t="shared" si="14"/>
        <v>3.2903285066103183E-3</v>
      </c>
      <c r="BH24" s="45"/>
      <c r="BJ24" s="44"/>
      <c r="BK24" s="44"/>
      <c r="BL24" s="44"/>
      <c r="BM24" s="44"/>
      <c r="BN24" s="44"/>
      <c r="BP24" s="44"/>
      <c r="BQ24" s="44"/>
      <c r="BR24" s="44"/>
      <c r="BS24" s="44"/>
      <c r="BT24" s="44"/>
      <c r="BV24" s="53">
        <f t="shared" si="16"/>
        <v>-4486795</v>
      </c>
      <c r="BW24" s="53">
        <f t="shared" si="16"/>
        <v>-140212.34375</v>
      </c>
      <c r="BX24" s="53">
        <f t="shared" si="16"/>
        <v>-2911.625</v>
      </c>
      <c r="BY24" s="53">
        <f t="shared" si="16"/>
        <v>-1519912</v>
      </c>
      <c r="BZ24" s="53">
        <f t="shared" si="16"/>
        <v>-223536</v>
      </c>
      <c r="CA24" s="53">
        <f t="shared" si="16"/>
        <v>-78776</v>
      </c>
      <c r="CB24" s="53">
        <f t="shared" si="16"/>
        <v>-1217600</v>
      </c>
      <c r="CC24" s="53">
        <f t="shared" si="16"/>
        <v>-2.1497531250000179</v>
      </c>
      <c r="CD24" s="53">
        <f t="shared" si="16"/>
        <v>-0.31014412499997945</v>
      </c>
      <c r="CE24" s="53">
        <f t="shared" si="16"/>
        <v>-0.44680987499999247</v>
      </c>
      <c r="CF24" s="53">
        <f t="shared" si="16"/>
        <v>-0.19948450000000406</v>
      </c>
      <c r="CG24" s="53">
        <f t="shared" si="16"/>
        <v>-0.22302137500000185</v>
      </c>
      <c r="CJ24" t="s">
        <v>239</v>
      </c>
    </row>
    <row r="25" spans="1:88" x14ac:dyDescent="0.2">
      <c r="A25" s="52" t="s">
        <v>240</v>
      </c>
      <c r="B25" s="52" t="s">
        <v>73</v>
      </c>
      <c r="C25" s="9" t="s">
        <v>232</v>
      </c>
      <c r="D25" s="52">
        <v>250294582</v>
      </c>
      <c r="E25" s="9">
        <v>10</v>
      </c>
      <c r="F25" s="9">
        <v>32</v>
      </c>
      <c r="G25" s="9">
        <v>30</v>
      </c>
      <c r="I25" s="10">
        <f t="shared" si="0"/>
        <v>4.3931100000000001</v>
      </c>
      <c r="J25" s="11">
        <f t="shared" si="1"/>
        <v>1.8721875489897739E-2</v>
      </c>
      <c r="K25" s="11">
        <f t="shared" si="2"/>
        <v>6.5750684127872973E-3</v>
      </c>
      <c r="L25" s="11">
        <f t="shared" si="3"/>
        <v>3.7261054256460093E-3</v>
      </c>
      <c r="M25" s="11">
        <f t="shared" si="4"/>
        <v>1.2146807077110442E-2</v>
      </c>
      <c r="N25" s="52">
        <f t="shared" si="5"/>
        <v>1645704</v>
      </c>
      <c r="O25" s="11">
        <v>16</v>
      </c>
      <c r="P25" s="12">
        <v>23156910</v>
      </c>
      <c r="Q25" s="12">
        <v>723653.4375</v>
      </c>
      <c r="R25" s="12">
        <v>14060.625</v>
      </c>
      <c r="S25" s="13">
        <v>4685984</v>
      </c>
      <c r="T25" s="13">
        <v>932624</v>
      </c>
      <c r="U25" s="13">
        <v>713080</v>
      </c>
      <c r="V25" s="13">
        <v>3040280</v>
      </c>
      <c r="W25" s="14">
        <v>66.208681249999998</v>
      </c>
      <c r="X25" s="14">
        <v>67.982928124999987</v>
      </c>
      <c r="Y25" s="14">
        <v>27.338421875000002</v>
      </c>
      <c r="Z25" s="14">
        <v>33.158384374999997</v>
      </c>
      <c r="AA25" s="14">
        <v>32.589131250000008</v>
      </c>
      <c r="AB25" s="15">
        <v>1552.8</v>
      </c>
      <c r="AC25" s="15">
        <v>1463.43</v>
      </c>
      <c r="AD25" s="15">
        <v>13.012</v>
      </c>
      <c r="AE25" s="15">
        <v>10.776</v>
      </c>
      <c r="AG25" s="10">
        <f t="shared" si="6"/>
        <v>3.4939575</v>
      </c>
      <c r="AH25" s="11">
        <f t="shared" si="7"/>
        <v>1.4890006688199108E-2</v>
      </c>
      <c r="AI25" s="11">
        <f t="shared" si="8"/>
        <v>5.7533806305084144E-3</v>
      </c>
      <c r="AJ25" s="11">
        <f t="shared" si="9"/>
        <v>3.1967451856388966E-3</v>
      </c>
      <c r="AK25" s="11">
        <f t="shared" si="10"/>
        <v>9.1366260576906926E-3</v>
      </c>
      <c r="AL25" s="52">
        <f t="shared" si="11"/>
        <v>1440040</v>
      </c>
      <c r="AM25" s="11">
        <v>16</v>
      </c>
      <c r="AN25" s="12">
        <v>16033378</v>
      </c>
      <c r="AO25" s="12">
        <v>501043.0625</v>
      </c>
      <c r="AP25" s="12">
        <v>8380.78125</v>
      </c>
      <c r="AQ25" s="13">
        <v>3726888</v>
      </c>
      <c r="AR25" s="13">
        <v>800128</v>
      </c>
      <c r="AS25" s="13">
        <v>639912</v>
      </c>
      <c r="AT25" s="13">
        <v>2286848</v>
      </c>
      <c r="AU25" s="14">
        <v>64.344358999999997</v>
      </c>
      <c r="AV25" s="14">
        <v>66.896550000000005</v>
      </c>
      <c r="AW25" s="14">
        <v>26.291653</v>
      </c>
      <c r="AX25" s="14">
        <v>32.285381000000001</v>
      </c>
      <c r="AY25" s="14">
        <v>31.572137999999999</v>
      </c>
      <c r="AZ25" s="15">
        <v>1421.19</v>
      </c>
      <c r="BA25" s="15">
        <v>974.19899999999996</v>
      </c>
      <c r="BB25" s="15">
        <v>7.2859999999999996</v>
      </c>
      <c r="BC25" s="15">
        <v>14.239000000000001</v>
      </c>
      <c r="BE25" s="50">
        <f t="shared" si="12"/>
        <v>0.8750297744916461</v>
      </c>
      <c r="BF25" s="16">
        <f t="shared" si="13"/>
        <v>-2.7033849130811381E-3</v>
      </c>
      <c r="BG25" s="16">
        <f t="shared" si="14"/>
        <v>3.5194976498433506E-2</v>
      </c>
      <c r="BH25" s="16">
        <f t="array" ref="BH25">AVERAGE(AL25:AL29/AQ25:AQ29) - AVERAGE(N25:N29/S25:S29)</f>
        <v>1.9682266607293719E-2</v>
      </c>
      <c r="BJ25" s="50">
        <f>IF( OR(ISBLANK(N25:N29),ISBLANK(AL25:AL29), ISBLANK(W25:W29),ISBLANK(AU25:AU29)), "·", bdRateExtend( N25:N29,W25:W29, AL25:AL29,AU25:AU29))</f>
        <v>0.50047008248796332</v>
      </c>
      <c r="BK25" s="50">
        <f>IF( OR(ISBLANK(N25:N29),ISBLANK(AL25:AL29), ISBLANK(X25:X29),ISBLANK(AV25:AV29)), "·", bdRateExtend( N25:N29,X25:X29, AL25:AL29,AV25:AV29))</f>
        <v>6.3455973174930236E-2</v>
      </c>
      <c r="BL25" s="50">
        <f>IF( OR(ISBLANK(V25:V29),ISBLANK(AT25:AT29), ISBLANK(Y25:Y29),ISBLANK(AW25:AW29)), "·", bdRateExtend( V25:V29,Y25:Y29, AT25:AT29,AW25:AW29))</f>
        <v>0.31601827144732075</v>
      </c>
      <c r="BM25" s="50">
        <f>IF( OR(ISBLANK(V25:V29),ISBLANK(AT25:AT29), ISBLANK(Z25:Z29),ISBLANK(AX25:AX29)), "·", bdRateExtend( V25:V29,Z25:Z29, AT25:AT29,AX25:AX29))</f>
        <v>0.31712954557319484</v>
      </c>
      <c r="BN25" s="50">
        <f>IF( OR(ISBLANK(V25:V29),ISBLANK(AT25:AT29), ISBLANK(AA25:AA29),ISBLANK(AY25:AY29)), "·", bdRateExtend( V25:V29,AA25:AA29, AT25:AT29,AY25:AY29))</f>
        <v>0.55571928094339174</v>
      </c>
      <c r="BP25" s="50">
        <f>IF( OR(ISBLANK(S25:S29),ISBLANK(AQ25:AQ29), ISBLANK(W25:W29),ISBLANK(AU25:AU29)), "·", bdRateExtend( S25:S29,W25:W29, AQ25:AQ29,AU25:AU29))</f>
        <v>1.6180153786740252</v>
      </c>
      <c r="BQ25" s="50">
        <f>IF( OR(ISBLANK(S25:S29),ISBLANK(AQ25:AQ29), ISBLANK(X25:X29),ISBLANK(AV25:AV29)), "·", bdRateExtend( S25:S29,X25:X29, AQ25:AQ29,AV25:AV29))</f>
        <v>0.16361605741012308</v>
      </c>
      <c r="BR25" s="50">
        <f>IF( OR(ISBLANK(S25:S29),ISBLANK(AQ25:AQ29), ISBLANK(Y25:Y29),ISBLANK(AW25:AW29)), "·", bdRateExtend( S25:S29,Y25:Y29, AQ25:AQ29,AW25:AW29))</f>
        <v>0.26429630257232395</v>
      </c>
      <c r="BS25" s="50">
        <f>IF( OR(ISBLANK(S25:S29),ISBLANK(AQ25:AQ29), ISBLANK(Z25:Z29),ISBLANK(AX25:AX29)), "·", bdRateExtend( S25:S29,Z25:Z29, AQ25:AQ29,AX25:AX29))</f>
        <v>0.26943415712250673</v>
      </c>
      <c r="BT25" s="50">
        <f>IF( OR(ISBLANK(S25:S29),ISBLANK(AQ25:AQ29), ISBLANK(AA25:AA29),ISBLANK(AY25:AY29)), "·", bdRateExtend( S25:S29,AA25:AA29, AQ25:AQ29,AY25:AY29))</f>
        <v>0.46857186847360421</v>
      </c>
      <c r="BV25" s="53">
        <f t="shared" si="16"/>
        <v>-7123532</v>
      </c>
      <c r="BW25" s="53">
        <f t="shared" si="16"/>
        <v>-222610.375</v>
      </c>
      <c r="BX25" s="53">
        <f t="shared" si="16"/>
        <v>-5679.84375</v>
      </c>
      <c r="BY25" s="53">
        <f t="shared" si="16"/>
        <v>-959096</v>
      </c>
      <c r="BZ25" s="53">
        <f t="shared" si="16"/>
        <v>-132496</v>
      </c>
      <c r="CA25" s="53">
        <f t="shared" si="16"/>
        <v>-73168</v>
      </c>
      <c r="CB25" s="53">
        <f t="shared" si="16"/>
        <v>-753432</v>
      </c>
      <c r="CC25" s="53">
        <f t="shared" si="16"/>
        <v>-1.8643222500000007</v>
      </c>
      <c r="CD25" s="53">
        <f t="shared" si="16"/>
        <v>-1.0863781249999818</v>
      </c>
      <c r="CE25" s="53">
        <f t="shared" si="16"/>
        <v>-1.0467688750000015</v>
      </c>
      <c r="CF25" s="53">
        <f t="shared" si="16"/>
        <v>-0.87300337499999614</v>
      </c>
      <c r="CG25" s="53">
        <f t="shared" si="16"/>
        <v>-1.0169932500000094</v>
      </c>
      <c r="CJ25" t="s">
        <v>241</v>
      </c>
    </row>
    <row r="26" spans="1:88" outlineLevel="1" x14ac:dyDescent="0.2">
      <c r="A26" s="17"/>
      <c r="B26" s="17" t="s">
        <v>73</v>
      </c>
      <c r="C26" s="18" t="s">
        <v>234</v>
      </c>
      <c r="D26" s="17">
        <v>250294582</v>
      </c>
      <c r="E26" s="18">
        <v>10</v>
      </c>
      <c r="F26" s="18">
        <v>32</v>
      </c>
      <c r="G26" s="18">
        <v>30</v>
      </c>
      <c r="I26" s="19">
        <f t="shared" si="0"/>
        <v>7.5271650000000001</v>
      </c>
      <c r="J26" s="20">
        <f t="shared" si="1"/>
        <v>3.2078105470137584E-2</v>
      </c>
      <c r="K26" s="20">
        <f t="shared" si="2"/>
        <v>8.1015577077093899E-3</v>
      </c>
      <c r="L26" s="20">
        <f t="shared" si="3"/>
        <v>5.2525947205681028E-3</v>
      </c>
      <c r="M26" s="20">
        <f t="shared" si="4"/>
        <v>2.3976547762428194E-2</v>
      </c>
      <c r="N26" s="17">
        <f t="shared" si="5"/>
        <v>2027776</v>
      </c>
      <c r="O26" s="20">
        <v>16</v>
      </c>
      <c r="P26" s="21">
        <v>24564301</v>
      </c>
      <c r="Q26" s="21">
        <v>767634.40625</v>
      </c>
      <c r="R26" s="21">
        <v>17714.59375</v>
      </c>
      <c r="S26" s="22">
        <v>8028976</v>
      </c>
      <c r="T26" s="22">
        <v>1314696</v>
      </c>
      <c r="U26" s="22">
        <v>713080</v>
      </c>
      <c r="V26" s="22">
        <v>6001200</v>
      </c>
      <c r="W26" s="23">
        <v>67.941556250000005</v>
      </c>
      <c r="X26" s="23">
        <v>69.941896874999998</v>
      </c>
      <c r="Y26" s="23">
        <v>29.720368749999992</v>
      </c>
      <c r="Z26" s="23">
        <v>34.340334374999998</v>
      </c>
      <c r="AA26" s="23">
        <v>33.888184375000009</v>
      </c>
      <c r="AB26" s="24">
        <v>1542.54</v>
      </c>
      <c r="AC26" s="24">
        <v>1695.48</v>
      </c>
      <c r="AD26" s="24">
        <v>13.148</v>
      </c>
      <c r="AE26" s="24">
        <v>11.444000000000001</v>
      </c>
      <c r="AG26" s="19">
        <f t="shared" si="6"/>
        <v>6.0442799999999997</v>
      </c>
      <c r="AH26" s="20">
        <f t="shared" si="7"/>
        <v>2.5758575948719498E-2</v>
      </c>
      <c r="AI26" s="20">
        <f t="shared" si="8"/>
        <v>7.0814157695191339E-3</v>
      </c>
      <c r="AJ26" s="20">
        <f t="shared" si="9"/>
        <v>4.5247803246496162E-3</v>
      </c>
      <c r="AK26" s="20">
        <f t="shared" si="10"/>
        <v>1.8677160179200365E-2</v>
      </c>
      <c r="AL26" s="17">
        <f t="shared" si="11"/>
        <v>1772440</v>
      </c>
      <c r="AM26" s="20">
        <v>16</v>
      </c>
      <c r="AN26" s="21">
        <v>17175257</v>
      </c>
      <c r="AO26" s="21">
        <v>536726.78125</v>
      </c>
      <c r="AP26" s="21">
        <v>11022.5625</v>
      </c>
      <c r="AQ26" s="22">
        <v>6447232</v>
      </c>
      <c r="AR26" s="22">
        <v>1132528</v>
      </c>
      <c r="AS26" s="22">
        <v>639912</v>
      </c>
      <c r="AT26" s="22">
        <v>4674792</v>
      </c>
      <c r="AU26" s="23">
        <v>65.729446999999993</v>
      </c>
      <c r="AV26" s="23">
        <v>68.823415999999995</v>
      </c>
      <c r="AW26" s="23">
        <v>28.422397</v>
      </c>
      <c r="AX26" s="23">
        <v>33.410556</v>
      </c>
      <c r="AY26" s="23">
        <v>32.728499999999997</v>
      </c>
      <c r="AZ26" s="24">
        <v>1768.91</v>
      </c>
      <c r="BA26" s="24">
        <v>1423.62</v>
      </c>
      <c r="BB26" s="24">
        <v>9.8989999999999991</v>
      </c>
      <c r="BC26" s="24">
        <v>21.143999999999998</v>
      </c>
      <c r="BE26" s="49">
        <f t="shared" si="12"/>
        <v>0.87408076631738418</v>
      </c>
      <c r="BF26" s="25">
        <f t="shared" si="13"/>
        <v>-2.5402267097655688E-3</v>
      </c>
      <c r="BG26" s="25">
        <f t="shared" si="14"/>
        <v>2.235764051378758E-2</v>
      </c>
      <c r="BH26" s="25"/>
      <c r="BJ26" s="49"/>
      <c r="BK26" s="49"/>
      <c r="BL26" s="49"/>
      <c r="BM26" s="49"/>
      <c r="BN26" s="49"/>
      <c r="BP26" s="49"/>
      <c r="BQ26" s="49"/>
      <c r="BR26" s="49"/>
      <c r="BS26" s="49"/>
      <c r="BT26" s="49"/>
      <c r="BV26" s="53">
        <f t="shared" si="16"/>
        <v>-7389044</v>
      </c>
      <c r="BW26" s="53">
        <f t="shared" si="16"/>
        <v>-230907.625</v>
      </c>
      <c r="BX26" s="53">
        <f t="shared" si="16"/>
        <v>-6692.03125</v>
      </c>
      <c r="BY26" s="53">
        <f t="shared" si="16"/>
        <v>-1581744</v>
      </c>
      <c r="BZ26" s="53">
        <f t="shared" si="16"/>
        <v>-182168</v>
      </c>
      <c r="CA26" s="53">
        <f t="shared" si="16"/>
        <v>-73168</v>
      </c>
      <c r="CB26" s="53">
        <f t="shared" si="16"/>
        <v>-1326408</v>
      </c>
      <c r="CC26" s="53">
        <f t="shared" si="16"/>
        <v>-2.2121092500000117</v>
      </c>
      <c r="CD26" s="53">
        <f t="shared" si="16"/>
        <v>-1.118480875000003</v>
      </c>
      <c r="CE26" s="53">
        <f t="shared" si="16"/>
        <v>-1.2979717499999914</v>
      </c>
      <c r="CF26" s="53">
        <f t="shared" si="16"/>
        <v>-0.92977837499999794</v>
      </c>
      <c r="CG26" s="53">
        <f t="shared" si="16"/>
        <v>-1.1596843750000119</v>
      </c>
      <c r="CJ26" t="s">
        <v>241</v>
      </c>
    </row>
    <row r="27" spans="1:88" outlineLevel="1" x14ac:dyDescent="0.2">
      <c r="A27" s="52"/>
      <c r="B27" s="52" t="s">
        <v>73</v>
      </c>
      <c r="C27" s="9" t="s">
        <v>235</v>
      </c>
      <c r="D27" s="52">
        <v>250294582</v>
      </c>
      <c r="E27" s="9">
        <v>10</v>
      </c>
      <c r="F27" s="9">
        <v>32</v>
      </c>
      <c r="G27" s="9">
        <v>30</v>
      </c>
      <c r="I27" s="10">
        <f t="shared" si="0"/>
        <v>13.24686</v>
      </c>
      <c r="J27" s="11">
        <f t="shared" si="1"/>
        <v>5.6453415359985701E-2</v>
      </c>
      <c r="K27" s="11">
        <f t="shared" si="2"/>
        <v>1.0397987759878878E-2</v>
      </c>
      <c r="L27" s="11">
        <f t="shared" si="3"/>
        <v>7.5490247727375897E-3</v>
      </c>
      <c r="M27" s="11">
        <f t="shared" si="4"/>
        <v>4.6055427600106821E-2</v>
      </c>
      <c r="N27" s="52">
        <f t="shared" si="5"/>
        <v>2602560</v>
      </c>
      <c r="O27" s="11">
        <v>16</v>
      </c>
      <c r="P27" s="12">
        <v>24852477</v>
      </c>
      <c r="Q27" s="12">
        <v>776639.90625</v>
      </c>
      <c r="R27" s="12">
        <v>18688.75</v>
      </c>
      <c r="S27" s="13">
        <v>14129984</v>
      </c>
      <c r="T27" s="13">
        <v>1889480</v>
      </c>
      <c r="U27" s="13">
        <v>713080</v>
      </c>
      <c r="V27" s="13">
        <v>11527424</v>
      </c>
      <c r="W27" s="14">
        <v>69.263743750000003</v>
      </c>
      <c r="X27" s="14">
        <v>71.649234374999978</v>
      </c>
      <c r="Y27" s="14">
        <v>32.231909375000008</v>
      </c>
      <c r="Z27" s="14">
        <v>35.582793749999993</v>
      </c>
      <c r="AA27" s="14">
        <v>35.206625000000003</v>
      </c>
      <c r="AB27" s="15">
        <v>1539.13</v>
      </c>
      <c r="AC27" s="15">
        <v>1819.62</v>
      </c>
      <c r="AD27" s="15">
        <v>12.9</v>
      </c>
      <c r="AE27" s="15">
        <v>12.648</v>
      </c>
      <c r="AG27" s="10">
        <f t="shared" si="6"/>
        <v>10.789395000000001</v>
      </c>
      <c r="AH27" s="11">
        <f t="shared" si="7"/>
        <v>4.5980571804786409E-2</v>
      </c>
      <c r="AI27" s="11">
        <f t="shared" si="8"/>
        <v>9.0947234327269609E-3</v>
      </c>
      <c r="AJ27" s="11">
        <f t="shared" si="9"/>
        <v>6.538087987857444E-3</v>
      </c>
      <c r="AK27" s="11">
        <f t="shared" si="10"/>
        <v>3.6885848372059445E-2</v>
      </c>
      <c r="AL27" s="52">
        <f t="shared" si="11"/>
        <v>2276360</v>
      </c>
      <c r="AM27" s="11">
        <v>16</v>
      </c>
      <c r="AN27" s="12">
        <v>17316171</v>
      </c>
      <c r="AO27" s="12">
        <v>541130.34375</v>
      </c>
      <c r="AP27" s="12">
        <v>11516.875</v>
      </c>
      <c r="AQ27" s="13">
        <v>11508688</v>
      </c>
      <c r="AR27" s="13">
        <v>1636448</v>
      </c>
      <c r="AS27" s="13">
        <v>639912</v>
      </c>
      <c r="AT27" s="13">
        <v>9232328</v>
      </c>
      <c r="AU27" s="14">
        <v>66.653346999999997</v>
      </c>
      <c r="AV27" s="14">
        <v>70.496730999999997</v>
      </c>
      <c r="AW27" s="14">
        <v>30.467490999999999</v>
      </c>
      <c r="AX27" s="14">
        <v>34.536200000000001</v>
      </c>
      <c r="AY27" s="14">
        <v>33.846459000000003</v>
      </c>
      <c r="AZ27" s="15">
        <v>1402.41</v>
      </c>
      <c r="BA27" s="15">
        <v>1066.0999999999999</v>
      </c>
      <c r="BB27" s="15">
        <v>7.8819999999999997</v>
      </c>
      <c r="BC27" s="15">
        <v>15.686</v>
      </c>
      <c r="BE27" s="50">
        <f t="shared" si="12"/>
        <v>0.87466187138817153</v>
      </c>
      <c r="BF27" s="16">
        <f t="shared" si="13"/>
        <v>-2.780601254862191E-3</v>
      </c>
      <c r="BG27" s="16">
        <f t="shared" si="14"/>
        <v>1.3607872984506081E-2</v>
      </c>
      <c r="BH27" s="16"/>
      <c r="BJ27" s="50"/>
      <c r="BK27" s="50"/>
      <c r="BL27" s="50"/>
      <c r="BM27" s="50"/>
      <c r="BN27" s="50"/>
      <c r="BP27" s="50"/>
      <c r="BQ27" s="50"/>
      <c r="BR27" s="50"/>
      <c r="BS27" s="50"/>
      <c r="BT27" s="50"/>
      <c r="BV27" s="53">
        <f t="shared" si="16"/>
        <v>-7536306</v>
      </c>
      <c r="BW27" s="53">
        <f t="shared" si="16"/>
        <v>-235509.5625</v>
      </c>
      <c r="BX27" s="53">
        <f t="shared" si="16"/>
        <v>-7171.875</v>
      </c>
      <c r="BY27" s="53">
        <f t="shared" si="16"/>
        <v>-2621296</v>
      </c>
      <c r="BZ27" s="53">
        <f t="shared" si="16"/>
        <v>-253032</v>
      </c>
      <c r="CA27" s="53">
        <f t="shared" si="16"/>
        <v>-73168</v>
      </c>
      <c r="CB27" s="53">
        <f t="shared" si="16"/>
        <v>-2295096</v>
      </c>
      <c r="CC27" s="53">
        <f t="shared" si="16"/>
        <v>-2.6103967500000067</v>
      </c>
      <c r="CD27" s="53">
        <f t="shared" si="16"/>
        <v>-1.1525033749999807</v>
      </c>
      <c r="CE27" s="53">
        <f t="shared" si="16"/>
        <v>-1.7644183750000089</v>
      </c>
      <c r="CF27" s="53">
        <f t="shared" si="16"/>
        <v>-1.0465937499999924</v>
      </c>
      <c r="CG27" s="53">
        <f t="shared" si="16"/>
        <v>-1.3601659999999995</v>
      </c>
      <c r="CJ27" t="s">
        <v>241</v>
      </c>
    </row>
    <row r="28" spans="1:88" outlineLevel="1" x14ac:dyDescent="0.2">
      <c r="A28" s="17"/>
      <c r="B28" s="17" t="s">
        <v>73</v>
      </c>
      <c r="C28" s="18" t="s">
        <v>236</v>
      </c>
      <c r="D28" s="17">
        <v>250294582</v>
      </c>
      <c r="E28" s="18">
        <v>10</v>
      </c>
      <c r="F28" s="18">
        <v>32</v>
      </c>
      <c r="G28" s="18">
        <v>30</v>
      </c>
      <c r="I28" s="19">
        <f t="shared" si="0"/>
        <v>24.604582499999999</v>
      </c>
      <c r="J28" s="20">
        <f t="shared" si="1"/>
        <v>0.10485599724248126</v>
      </c>
      <c r="K28" s="20">
        <f t="shared" si="2"/>
        <v>1.4255106808504548E-2</v>
      </c>
      <c r="L28" s="20">
        <f t="shared" si="3"/>
        <v>1.1406143821363261E-2</v>
      </c>
      <c r="M28" s="20">
        <f t="shared" si="4"/>
        <v>9.0600890433976719E-2</v>
      </c>
      <c r="N28" s="17">
        <f t="shared" si="5"/>
        <v>3567976</v>
      </c>
      <c r="O28" s="20">
        <v>16</v>
      </c>
      <c r="P28" s="21">
        <v>25521142</v>
      </c>
      <c r="Q28" s="21">
        <v>797535.6875</v>
      </c>
      <c r="R28" s="21">
        <v>20922.53125</v>
      </c>
      <c r="S28" s="22">
        <v>26244888</v>
      </c>
      <c r="T28" s="22">
        <v>2854896</v>
      </c>
      <c r="U28" s="22">
        <v>713080</v>
      </c>
      <c r="V28" s="22">
        <v>22676912</v>
      </c>
      <c r="W28" s="23">
        <v>70.432471875000005</v>
      </c>
      <c r="X28" s="23">
        <v>72.970199999999977</v>
      </c>
      <c r="Y28" s="23">
        <v>34.942618749999987</v>
      </c>
      <c r="Z28" s="23">
        <v>37.370328125</v>
      </c>
      <c r="AA28" s="23">
        <v>36.938165625000003</v>
      </c>
      <c r="AB28" s="24">
        <v>1547.28</v>
      </c>
      <c r="AC28" s="24">
        <v>2058.37</v>
      </c>
      <c r="AD28" s="24">
        <v>12.875999999999999</v>
      </c>
      <c r="AE28" s="24">
        <v>14.836</v>
      </c>
      <c r="AG28" s="19">
        <f t="shared" si="6"/>
        <v>19.7216925</v>
      </c>
      <c r="AH28" s="20">
        <f t="shared" si="7"/>
        <v>8.4046853239515981E-2</v>
      </c>
      <c r="AI28" s="20">
        <f t="shared" si="8"/>
        <v>1.2457097453272082E-2</v>
      </c>
      <c r="AJ28" s="20">
        <f t="shared" si="9"/>
        <v>9.9004620084025639E-3</v>
      </c>
      <c r="AK28" s="20">
        <f t="shared" si="10"/>
        <v>7.1589755786243908E-2</v>
      </c>
      <c r="AL28" s="17">
        <f t="shared" si="11"/>
        <v>3117944</v>
      </c>
      <c r="AM28" s="20">
        <v>16</v>
      </c>
      <c r="AN28" s="21">
        <v>17865160</v>
      </c>
      <c r="AO28" s="21">
        <v>558286.25</v>
      </c>
      <c r="AP28" s="21">
        <v>13072.90625</v>
      </c>
      <c r="AQ28" s="22">
        <v>21036472</v>
      </c>
      <c r="AR28" s="22">
        <v>2478032</v>
      </c>
      <c r="AS28" s="22">
        <v>639912</v>
      </c>
      <c r="AT28" s="22">
        <v>17918528</v>
      </c>
      <c r="AU28" s="23">
        <v>67.383330999999998</v>
      </c>
      <c r="AV28" s="23">
        <v>71.779881000000003</v>
      </c>
      <c r="AW28" s="23">
        <v>32.144841</v>
      </c>
      <c r="AX28" s="23">
        <v>36.036844000000002</v>
      </c>
      <c r="AY28" s="23">
        <v>35.193716000000002</v>
      </c>
      <c r="AZ28" s="24">
        <v>1409.27</v>
      </c>
      <c r="BA28" s="24">
        <v>1187.42</v>
      </c>
      <c r="BB28" s="24">
        <v>8.0180000000000007</v>
      </c>
      <c r="BC28" s="24">
        <v>16.536000000000001</v>
      </c>
      <c r="BE28" s="49">
        <f t="shared" si="12"/>
        <v>0.87386910674287055</v>
      </c>
      <c r="BF28" s="25">
        <f t="shared" si="13"/>
        <v>-2.817839861012611E-3</v>
      </c>
      <c r="BG28" s="25">
        <f t="shared" si="14"/>
        <v>1.2266737313048642E-2</v>
      </c>
      <c r="BH28" s="25"/>
      <c r="BJ28" s="49"/>
      <c r="BK28" s="49"/>
      <c r="BL28" s="49"/>
      <c r="BM28" s="49"/>
      <c r="BN28" s="49"/>
      <c r="BP28" s="49"/>
      <c r="BQ28" s="49"/>
      <c r="BR28" s="49"/>
      <c r="BS28" s="49"/>
      <c r="BT28" s="49"/>
      <c r="BV28" s="53">
        <f t="shared" si="16"/>
        <v>-7655982</v>
      </c>
      <c r="BW28" s="53">
        <f t="shared" si="16"/>
        <v>-239249.4375</v>
      </c>
      <c r="BX28" s="53">
        <f t="shared" si="16"/>
        <v>-7849.625</v>
      </c>
      <c r="BY28" s="53">
        <f t="shared" si="16"/>
        <v>-5208416</v>
      </c>
      <c r="BZ28" s="53">
        <f t="shared" si="16"/>
        <v>-376864</v>
      </c>
      <c r="CA28" s="53">
        <f t="shared" si="16"/>
        <v>-73168</v>
      </c>
      <c r="CB28" s="53">
        <f t="shared" si="16"/>
        <v>-4758384</v>
      </c>
      <c r="CC28" s="53">
        <f t="shared" si="16"/>
        <v>-3.0491408750000062</v>
      </c>
      <c r="CD28" s="53">
        <f t="shared" si="16"/>
        <v>-1.1903189999999739</v>
      </c>
      <c r="CE28" s="53">
        <f t="shared" si="16"/>
        <v>-2.7977777499999874</v>
      </c>
      <c r="CF28" s="53">
        <f t="shared" si="16"/>
        <v>-1.3334841249999982</v>
      </c>
      <c r="CG28" s="53">
        <f t="shared" si="16"/>
        <v>-1.7444496250000014</v>
      </c>
      <c r="CJ28" t="s">
        <v>241</v>
      </c>
    </row>
    <row r="29" spans="1:88" ht="16" outlineLevel="1" thickBot="1" x14ac:dyDescent="0.25">
      <c r="A29" s="26"/>
      <c r="B29" s="26" t="s">
        <v>73</v>
      </c>
      <c r="C29" s="27" t="s">
        <v>237</v>
      </c>
      <c r="D29" s="26">
        <v>250294582</v>
      </c>
      <c r="E29" s="27">
        <v>10</v>
      </c>
      <c r="F29" s="27">
        <v>32</v>
      </c>
      <c r="G29" s="27">
        <v>30</v>
      </c>
      <c r="I29" s="28">
        <f t="shared" si="0"/>
        <v>44.305185000000002</v>
      </c>
      <c r="J29" s="29">
        <f t="shared" si="1"/>
        <v>0.18881297238787215</v>
      </c>
      <c r="K29" s="29">
        <f t="shared" si="2"/>
        <v>2.2993258399816262E-2</v>
      </c>
      <c r="L29" s="29">
        <f t="shared" si="3"/>
        <v>1.7641772205840237E-2</v>
      </c>
      <c r="M29" s="29">
        <f t="shared" si="4"/>
        <v>0.16581971398805589</v>
      </c>
      <c r="N29" s="26">
        <f t="shared" si="5"/>
        <v>5755088</v>
      </c>
      <c r="O29" s="29">
        <v>16</v>
      </c>
      <c r="P29" s="30">
        <v>24571358</v>
      </c>
      <c r="Q29" s="30">
        <v>767854.9375</v>
      </c>
      <c r="R29" s="30">
        <v>9744.125</v>
      </c>
      <c r="S29" s="31">
        <v>47258864</v>
      </c>
      <c r="T29" s="31">
        <v>4415640</v>
      </c>
      <c r="U29" s="31">
        <v>1339448</v>
      </c>
      <c r="V29" s="31">
        <v>41503776</v>
      </c>
      <c r="W29" s="32">
        <v>71.152737500000001</v>
      </c>
      <c r="X29" s="32">
        <v>74.9055125</v>
      </c>
      <c r="Y29" s="32">
        <v>37.394256249999998</v>
      </c>
      <c r="Z29" s="32">
        <v>39.396478125000002</v>
      </c>
      <c r="AA29" s="32">
        <v>38.749353125000013</v>
      </c>
      <c r="AB29" s="33">
        <v>1547.88</v>
      </c>
      <c r="AC29" s="33">
        <v>2387.44</v>
      </c>
      <c r="AD29" s="33">
        <v>11.484</v>
      </c>
      <c r="AE29" s="33">
        <v>13.651999999999999</v>
      </c>
      <c r="AG29" s="28">
        <f t="shared" si="6"/>
        <v>34.304962500000002</v>
      </c>
      <c r="AH29" s="29">
        <f t="shared" si="7"/>
        <v>0.14619557366207792</v>
      </c>
      <c r="AI29" s="29">
        <f t="shared" si="8"/>
        <v>1.9994008499952268E-2</v>
      </c>
      <c r="AJ29" s="29">
        <f t="shared" si="9"/>
        <v>1.5294362224748437E-2</v>
      </c>
      <c r="AK29" s="29">
        <f t="shared" si="10"/>
        <v>0.12620156516212563</v>
      </c>
      <c r="AL29" s="26">
        <f t="shared" si="11"/>
        <v>5004392</v>
      </c>
      <c r="AM29" s="29">
        <v>16</v>
      </c>
      <c r="AN29" s="30">
        <v>17001510</v>
      </c>
      <c r="AO29" s="30">
        <v>531297.1875</v>
      </c>
      <c r="AP29" s="30">
        <v>6029.6875</v>
      </c>
      <c r="AQ29" s="31">
        <v>36591960</v>
      </c>
      <c r="AR29" s="31">
        <v>3828096</v>
      </c>
      <c r="AS29" s="31">
        <v>1176296</v>
      </c>
      <c r="AT29" s="31">
        <v>31587568</v>
      </c>
      <c r="AU29" s="32">
        <v>67.724446999999998</v>
      </c>
      <c r="AV29" s="32">
        <v>74.337633999999994</v>
      </c>
      <c r="AW29" s="32">
        <v>33.152774999999998</v>
      </c>
      <c r="AX29" s="32">
        <v>37.614181000000002</v>
      </c>
      <c r="AY29" s="32">
        <v>36.465949999999999</v>
      </c>
      <c r="AZ29" s="33">
        <v>1440.46</v>
      </c>
      <c r="BA29" s="33">
        <v>1443.78</v>
      </c>
      <c r="BB29" s="33">
        <v>8.1039999999999992</v>
      </c>
      <c r="BC29" s="33">
        <v>19.687000000000001</v>
      </c>
      <c r="BE29" s="34">
        <f t="shared" si="12"/>
        <v>0.86955959665603721</v>
      </c>
      <c r="BF29" s="35">
        <f t="shared" si="13"/>
        <v>-1.3410677603654872E-3</v>
      </c>
      <c r="BG29" s="35">
        <f t="shared" si="14"/>
        <v>1.4984105726692981E-2</v>
      </c>
      <c r="BH29" s="35"/>
      <c r="BJ29" s="34"/>
      <c r="BK29" s="34"/>
      <c r="BL29" s="34"/>
      <c r="BM29" s="34"/>
      <c r="BN29" s="34"/>
      <c r="BP29" s="34"/>
      <c r="BQ29" s="34"/>
      <c r="BR29" s="34"/>
      <c r="BS29" s="34"/>
      <c r="BT29" s="34"/>
      <c r="BV29" s="53">
        <f t="shared" si="16"/>
        <v>-7569848</v>
      </c>
      <c r="BW29" s="53">
        <f t="shared" si="16"/>
        <v>-236557.75</v>
      </c>
      <c r="BX29" s="53">
        <f t="shared" si="16"/>
        <v>-3714.4375</v>
      </c>
      <c r="BY29" s="53">
        <f t="shared" si="16"/>
        <v>-10666904</v>
      </c>
      <c r="BZ29" s="53">
        <f t="shared" si="16"/>
        <v>-587544</v>
      </c>
      <c r="CA29" s="53">
        <f t="shared" si="16"/>
        <v>-163152</v>
      </c>
      <c r="CB29" s="53">
        <f t="shared" si="16"/>
        <v>-9916208</v>
      </c>
      <c r="CC29" s="53">
        <f t="shared" si="16"/>
        <v>-3.4282905000000028</v>
      </c>
      <c r="CD29" s="53">
        <f t="shared" si="16"/>
        <v>-0.56787850000000617</v>
      </c>
      <c r="CE29" s="53">
        <f t="shared" si="16"/>
        <v>-4.2414812499999996</v>
      </c>
      <c r="CF29" s="53">
        <f t="shared" si="16"/>
        <v>-1.7822971249999995</v>
      </c>
      <c r="CG29" s="53">
        <f t="shared" si="16"/>
        <v>-2.2834031250000137</v>
      </c>
      <c r="CJ29" t="s">
        <v>241</v>
      </c>
    </row>
    <row r="30" spans="1:88" x14ac:dyDescent="0.2">
      <c r="A30" s="17" t="s">
        <v>242</v>
      </c>
      <c r="B30" s="17" t="s">
        <v>77</v>
      </c>
      <c r="C30" s="18" t="s">
        <v>232</v>
      </c>
      <c r="D30" s="17">
        <v>375422539</v>
      </c>
      <c r="E30" s="18">
        <v>11</v>
      </c>
      <c r="F30" s="18">
        <v>32</v>
      </c>
      <c r="G30" s="18">
        <v>30</v>
      </c>
      <c r="I30" s="19">
        <f t="shared" si="0"/>
        <v>5.7321524999999998</v>
      </c>
      <c r="J30" s="20">
        <f t="shared" si="1"/>
        <v>1.6286438252445998E-2</v>
      </c>
      <c r="K30" s="20">
        <f t="shared" si="2"/>
        <v>9.9774936528251434E-3</v>
      </c>
      <c r="L30" s="20">
        <f t="shared" si="3"/>
        <v>6.1752286002199775E-3</v>
      </c>
      <c r="M30" s="20">
        <f t="shared" si="4"/>
        <v>6.3089445996208551E-3</v>
      </c>
      <c r="N30" s="17">
        <f t="shared" si="5"/>
        <v>3745776</v>
      </c>
      <c r="O30" s="20">
        <v>16</v>
      </c>
      <c r="P30" s="21">
        <v>84258322</v>
      </c>
      <c r="Q30" s="21">
        <v>2633072.5625</v>
      </c>
      <c r="R30" s="21">
        <v>32425.28125</v>
      </c>
      <c r="S30" s="22">
        <v>6114296</v>
      </c>
      <c r="T30" s="22">
        <v>2318320</v>
      </c>
      <c r="U30" s="22">
        <v>1427456</v>
      </c>
      <c r="V30" s="22">
        <v>2368520</v>
      </c>
      <c r="W30" s="23">
        <v>73.460731249999995</v>
      </c>
      <c r="X30" s="23">
        <v>75.713606250000012</v>
      </c>
      <c r="Y30" s="23">
        <v>34.736618750000012</v>
      </c>
      <c r="Z30" s="23">
        <v>42.165665625000003</v>
      </c>
      <c r="AA30" s="23">
        <v>43.775818750000013</v>
      </c>
      <c r="AB30" s="24">
        <v>3384.13</v>
      </c>
      <c r="AC30" s="24">
        <v>4570.46</v>
      </c>
      <c r="AD30" s="24">
        <v>39.008000000000003</v>
      </c>
      <c r="AE30" s="24">
        <v>27.832000000000001</v>
      </c>
      <c r="AG30" s="19">
        <f t="shared" si="6"/>
        <v>5.1704175000000001</v>
      </c>
      <c r="AH30" s="20">
        <f t="shared" si="7"/>
        <v>1.4690412607326168E-2</v>
      </c>
      <c r="AI30" s="20">
        <f t="shared" si="8"/>
        <v>9.0230704022807758E-3</v>
      </c>
      <c r="AJ30" s="20">
        <f t="shared" si="9"/>
        <v>5.5389535362979367E-3</v>
      </c>
      <c r="AK30" s="20">
        <f t="shared" si="10"/>
        <v>5.6673422050453927E-3</v>
      </c>
      <c r="AL30" s="17">
        <f t="shared" si="11"/>
        <v>3387464</v>
      </c>
      <c r="AM30" s="20">
        <v>16</v>
      </c>
      <c r="AN30" s="21">
        <v>67098466</v>
      </c>
      <c r="AO30" s="21">
        <v>2096827.0625</v>
      </c>
      <c r="AP30" s="21">
        <v>23404.5625</v>
      </c>
      <c r="AQ30" s="22">
        <v>5515112</v>
      </c>
      <c r="AR30" s="22">
        <v>2079448</v>
      </c>
      <c r="AS30" s="22">
        <v>1308016</v>
      </c>
      <c r="AT30" s="22">
        <v>2127648</v>
      </c>
      <c r="AU30" s="23">
        <v>71.972793999999993</v>
      </c>
      <c r="AV30" s="23">
        <v>75.189533999999995</v>
      </c>
      <c r="AW30" s="23">
        <v>34.142197000000003</v>
      </c>
      <c r="AX30" s="23">
        <v>41.955331000000001</v>
      </c>
      <c r="AY30" s="23">
        <v>43.513378000000003</v>
      </c>
      <c r="AZ30" s="24">
        <v>3445.83</v>
      </c>
      <c r="BA30" s="24">
        <v>2531.2600000000002</v>
      </c>
      <c r="BB30" s="24">
        <v>30.152999999999999</v>
      </c>
      <c r="BC30" s="24">
        <v>37.86</v>
      </c>
      <c r="BE30" s="49">
        <f t="shared" si="12"/>
        <v>0.90434238459534166</v>
      </c>
      <c r="BF30" s="25">
        <f t="shared" si="13"/>
        <v>-1.1527229006026412E-3</v>
      </c>
      <c r="BG30" s="25">
        <f t="shared" si="14"/>
        <v>1.5890209408154776E-3</v>
      </c>
      <c r="BH30" s="25">
        <f t="array" ref="BH30">AVERAGE(AL30:AL34/AQ30:AQ34) - AVERAGE(N30:N34/S30:S34)</f>
        <v>1.8077787412092983E-3</v>
      </c>
      <c r="BJ30" s="49">
        <f>IF( OR(ISBLANK(N30:N34),ISBLANK(AL30:AL34), ISBLANK(W30:W34),ISBLANK(AU30:AU34)), "·", bdRateExtend( N30:N34,W30:W34, AL30:AL34,AU30:AU34))</f>
        <v>0.44831895127591692</v>
      </c>
      <c r="BK30" s="49">
        <f>IF( OR(ISBLANK(N30:N34),ISBLANK(AL30:AL34), ISBLANK(X30:X34),ISBLANK(AV30:AV34)), "·", bdRateExtend( N30:N34,X30:X34, AL30:AL34,AV30:AV34))</f>
        <v>-1.2771127176365527E-2</v>
      </c>
      <c r="BL30" s="49">
        <f>IF( OR(ISBLANK(V30:V34),ISBLANK(AT30:AT34), ISBLANK(Y30:Y34),ISBLANK(AW30:AW34)), "·", bdRateExtend( V30:V34,Y30:Y34, AT30:AT34,AW30:AW34))</f>
        <v>0.16811102116291154</v>
      </c>
      <c r="BM30" s="49">
        <f>IF( OR(ISBLANK(V30:V34),ISBLANK(AT30:AT34), ISBLANK(Z30:Z34),ISBLANK(AX30:AX34)), "·", bdRateExtend( V30:V34,Z30:Z34, AT30:AT34,AX30:AX34))</f>
        <v>0.12048375898694252</v>
      </c>
      <c r="BN30" s="49">
        <f>IF( OR(ISBLANK(V30:V34),ISBLANK(AT30:AT34), ISBLANK(AA30:AA34),ISBLANK(AY30:AY34)), "·", bdRateExtend( V30:V34,AA30:AA34, AT30:AT34,AY30:AY34))</f>
        <v>3.8095304540120445E-2</v>
      </c>
      <c r="BP30" s="49">
        <f>IF( OR(ISBLANK(S30:S34),ISBLANK(AQ30:AQ34), ISBLANK(W30:W34),ISBLANK(AU30:AU34)), "·", bdRateExtend( S30:S34,W30:W34, AQ30:AQ34,AU30:AU34))</f>
        <v>1.0439210672518815</v>
      </c>
      <c r="BQ30" s="49">
        <f>IF( OR(ISBLANK(S30:S34),ISBLANK(AQ30:AQ34), ISBLANK(X30:X34),ISBLANK(AV30:AV34)), "·", bdRateExtend( S30:S34,X30:X34, AQ30:AQ34,AV30:AV34))</f>
        <v>3.9445936962496875E-2</v>
      </c>
      <c r="BR30" s="49">
        <f>IF( OR(ISBLANK(S30:S34),ISBLANK(AQ30:AQ34), ISBLANK(Y30:Y34),ISBLANK(AW30:AW34)), "·", bdRateExtend( S30:S34,Y30:Y34, AQ30:AQ34,AW30:AW34))</f>
        <v>0.10115046889850365</v>
      </c>
      <c r="BS30" s="49">
        <f>IF( OR(ISBLANK(S30:S34),ISBLANK(AQ30:AQ34), ISBLANK(Z30:Z34),ISBLANK(AX30:AX34)), "·", bdRateExtend( S30:S34,Z30:Z34, AQ30:AQ34,AX30:AX34))</f>
        <v>6.7394798274686307E-2</v>
      </c>
      <c r="BT30" s="49">
        <f>IF( OR(ISBLANK(S30:S34),ISBLANK(AQ30:AQ34), ISBLANK(AA30:AA34),ISBLANK(AY30:AY34)), "·", bdRateExtend( S30:S34,AA30:AA34, AQ30:AQ34,AY30:AY34))</f>
        <v>6.9829354249060227E-3</v>
      </c>
      <c r="BV30" s="53">
        <f t="shared" si="16"/>
        <v>-17159856</v>
      </c>
      <c r="BW30" s="53">
        <f t="shared" si="16"/>
        <v>-536245.5</v>
      </c>
      <c r="BX30" s="53">
        <f t="shared" si="16"/>
        <v>-9020.71875</v>
      </c>
      <c r="BY30" s="53">
        <f t="shared" si="16"/>
        <v>-599184</v>
      </c>
      <c r="BZ30" s="53">
        <f t="shared" si="16"/>
        <v>-238872</v>
      </c>
      <c r="CA30" s="53">
        <f t="shared" si="16"/>
        <v>-119440</v>
      </c>
      <c r="CB30" s="53">
        <f t="shared" si="16"/>
        <v>-240872</v>
      </c>
      <c r="CC30" s="53">
        <f t="shared" si="16"/>
        <v>-1.4879372500000017</v>
      </c>
      <c r="CD30" s="53">
        <f t="shared" si="16"/>
        <v>-0.52407225000001745</v>
      </c>
      <c r="CE30" s="53">
        <f t="shared" si="16"/>
        <v>-0.5944217500000093</v>
      </c>
      <c r="CF30" s="53">
        <f t="shared" si="16"/>
        <v>-0.21033462500000155</v>
      </c>
      <c r="CG30" s="53">
        <f t="shared" si="16"/>
        <v>-0.26244075000001033</v>
      </c>
      <c r="CJ30" t="s">
        <v>243</v>
      </c>
    </row>
    <row r="31" spans="1:88" outlineLevel="1" x14ac:dyDescent="0.2">
      <c r="A31" s="52"/>
      <c r="B31" s="52" t="s">
        <v>77</v>
      </c>
      <c r="C31" s="9" t="s">
        <v>234</v>
      </c>
      <c r="D31" s="52">
        <v>375422539</v>
      </c>
      <c r="E31" s="9">
        <v>11</v>
      </c>
      <c r="F31" s="9">
        <v>32</v>
      </c>
      <c r="G31" s="9">
        <v>30</v>
      </c>
      <c r="I31" s="10">
        <f t="shared" si="0"/>
        <v>8.1855150000000005</v>
      </c>
      <c r="J31" s="11">
        <f t="shared" si="1"/>
        <v>2.3257037319221796E-2</v>
      </c>
      <c r="K31" s="11">
        <f t="shared" si="2"/>
        <v>1.2273274833933185E-2</v>
      </c>
      <c r="L31" s="11">
        <f t="shared" si="3"/>
        <v>8.4710097813280195E-3</v>
      </c>
      <c r="M31" s="11">
        <f t="shared" si="4"/>
        <v>1.0983762485288609E-2</v>
      </c>
      <c r="N31" s="52">
        <f t="shared" si="5"/>
        <v>4607664</v>
      </c>
      <c r="O31" s="11">
        <v>16</v>
      </c>
      <c r="P31" s="12">
        <v>89857639</v>
      </c>
      <c r="Q31" s="12">
        <v>2808051.21875</v>
      </c>
      <c r="R31" s="12">
        <v>41097.03125</v>
      </c>
      <c r="S31" s="13">
        <v>8731216</v>
      </c>
      <c r="T31" s="13">
        <v>3180208</v>
      </c>
      <c r="U31" s="13">
        <v>1427456</v>
      </c>
      <c r="V31" s="13">
        <v>4123552</v>
      </c>
      <c r="W31" s="14">
        <v>75.170684375000022</v>
      </c>
      <c r="X31" s="14">
        <v>77.575240625000006</v>
      </c>
      <c r="Y31" s="14">
        <v>36.653584375000001</v>
      </c>
      <c r="Z31" s="14">
        <v>42.688837499999991</v>
      </c>
      <c r="AA31" s="14">
        <v>45.00495937500002</v>
      </c>
      <c r="AB31" s="15">
        <v>3257.36</v>
      </c>
      <c r="AC31" s="15">
        <v>4179.96</v>
      </c>
      <c r="AD31" s="15">
        <v>39.299999999999997</v>
      </c>
      <c r="AE31" s="15">
        <v>28.004000000000001</v>
      </c>
      <c r="AG31" s="10">
        <f t="shared" si="6"/>
        <v>7.3777875000000002</v>
      </c>
      <c r="AH31" s="11">
        <f t="shared" si="7"/>
        <v>2.0962087201695689E-2</v>
      </c>
      <c r="AI31" s="11">
        <f t="shared" si="8"/>
        <v>1.1089605890710787E-2</v>
      </c>
      <c r="AJ31" s="11">
        <f t="shared" si="9"/>
        <v>7.605489024727948E-3</v>
      </c>
      <c r="AK31" s="11">
        <f t="shared" si="10"/>
        <v>9.8724813109848999E-3</v>
      </c>
      <c r="AL31" s="52">
        <f t="shared" si="11"/>
        <v>4163288</v>
      </c>
      <c r="AM31" s="11">
        <v>16</v>
      </c>
      <c r="AN31" s="12">
        <v>71757571</v>
      </c>
      <c r="AO31" s="12">
        <v>2242424.09375</v>
      </c>
      <c r="AP31" s="12">
        <v>29739.84375</v>
      </c>
      <c r="AQ31" s="13">
        <v>7869640</v>
      </c>
      <c r="AR31" s="13">
        <v>2855272</v>
      </c>
      <c r="AS31" s="13">
        <v>1308016</v>
      </c>
      <c r="AT31" s="13">
        <v>3706352</v>
      </c>
      <c r="AU31" s="14">
        <v>73.290993999999998</v>
      </c>
      <c r="AV31" s="14">
        <v>77.087862000000001</v>
      </c>
      <c r="AW31" s="14">
        <v>36.073416000000002</v>
      </c>
      <c r="AX31" s="14">
        <v>42.495800000000003</v>
      </c>
      <c r="AY31" s="14">
        <v>44.739646999999998</v>
      </c>
      <c r="AZ31" s="15">
        <v>3290.02</v>
      </c>
      <c r="BA31" s="15">
        <v>2540.1</v>
      </c>
      <c r="BB31" s="15">
        <v>29.846</v>
      </c>
      <c r="BC31" s="15">
        <v>36.597999999999999</v>
      </c>
      <c r="BE31" s="50">
        <f t="shared" si="12"/>
        <v>0.90355720382389004</v>
      </c>
      <c r="BF31" s="16">
        <f t="shared" si="13"/>
        <v>-1.3730643023875562E-3</v>
      </c>
      <c r="BG31" s="16">
        <f t="shared" si="14"/>
        <v>1.3085122917410041E-3</v>
      </c>
      <c r="BH31" s="16"/>
      <c r="BJ31" s="50"/>
      <c r="BK31" s="50"/>
      <c r="BL31" s="50"/>
      <c r="BM31" s="50"/>
      <c r="BN31" s="50"/>
      <c r="BP31" s="50"/>
      <c r="BQ31" s="50"/>
      <c r="BR31" s="50"/>
      <c r="BS31" s="50"/>
      <c r="BT31" s="50"/>
      <c r="BV31" s="53">
        <f t="shared" si="16"/>
        <v>-18100068</v>
      </c>
      <c r="BW31" s="53">
        <f t="shared" si="16"/>
        <v>-565627.125</v>
      </c>
      <c r="BX31" s="53">
        <f t="shared" si="16"/>
        <v>-11357.1875</v>
      </c>
      <c r="BY31" s="53">
        <f t="shared" si="16"/>
        <v>-861576</v>
      </c>
      <c r="BZ31" s="53">
        <f t="shared" si="16"/>
        <v>-324936</v>
      </c>
      <c r="CA31" s="53">
        <f t="shared" si="16"/>
        <v>-119440</v>
      </c>
      <c r="CB31" s="53">
        <f t="shared" si="16"/>
        <v>-417200</v>
      </c>
      <c r="CC31" s="53">
        <f t="shared" si="16"/>
        <v>-1.879690375000024</v>
      </c>
      <c r="CD31" s="53">
        <f t="shared" si="16"/>
        <v>-0.48737862500000517</v>
      </c>
      <c r="CE31" s="53">
        <f t="shared" si="16"/>
        <v>-0.58016837499999951</v>
      </c>
      <c r="CF31" s="53">
        <f t="shared" si="16"/>
        <v>-0.19303749999998843</v>
      </c>
      <c r="CG31" s="53">
        <f t="shared" si="16"/>
        <v>-0.26531237500002192</v>
      </c>
      <c r="CJ31" t="s">
        <v>243</v>
      </c>
    </row>
    <row r="32" spans="1:88" outlineLevel="1" x14ac:dyDescent="0.2">
      <c r="A32" s="17"/>
      <c r="B32" s="17" t="s">
        <v>77</v>
      </c>
      <c r="C32" s="18" t="s">
        <v>235</v>
      </c>
      <c r="D32" s="17">
        <v>375422539</v>
      </c>
      <c r="E32" s="18">
        <v>11</v>
      </c>
      <c r="F32" s="18">
        <v>32</v>
      </c>
      <c r="G32" s="18">
        <v>30</v>
      </c>
      <c r="I32" s="19">
        <f t="shared" si="0"/>
        <v>12.671250000000001</v>
      </c>
      <c r="J32" s="20">
        <f t="shared" si="1"/>
        <v>3.6002100555821981E-2</v>
      </c>
      <c r="K32" s="20">
        <f t="shared" si="2"/>
        <v>1.5579735877285728E-2</v>
      </c>
      <c r="L32" s="20">
        <f t="shared" si="3"/>
        <v>1.1777470824680562E-2</v>
      </c>
      <c r="M32" s="20">
        <f t="shared" si="4"/>
        <v>2.0422364678536257E-2</v>
      </c>
      <c r="N32" s="17">
        <f t="shared" si="5"/>
        <v>5848984</v>
      </c>
      <c r="O32" s="20">
        <v>16</v>
      </c>
      <c r="P32" s="21">
        <v>91814344</v>
      </c>
      <c r="Q32" s="21">
        <v>2869198.25</v>
      </c>
      <c r="R32" s="21">
        <v>44687.40625</v>
      </c>
      <c r="S32" s="22">
        <v>13516000</v>
      </c>
      <c r="T32" s="22">
        <v>4421528</v>
      </c>
      <c r="U32" s="22">
        <v>1427456</v>
      </c>
      <c r="V32" s="22">
        <v>7667016</v>
      </c>
      <c r="W32" s="23">
        <v>76.466315624999979</v>
      </c>
      <c r="X32" s="23">
        <v>79.123750000000015</v>
      </c>
      <c r="Y32" s="23">
        <v>38.407431250000002</v>
      </c>
      <c r="Z32" s="23">
        <v>43.216706250000001</v>
      </c>
      <c r="AA32" s="23">
        <v>46.245334374999992</v>
      </c>
      <c r="AB32" s="24">
        <v>3261.29</v>
      </c>
      <c r="AC32" s="24">
        <v>4369.55</v>
      </c>
      <c r="AD32" s="24">
        <v>40.520000000000003</v>
      </c>
      <c r="AE32" s="24">
        <v>25.86</v>
      </c>
      <c r="AG32" s="19">
        <f t="shared" si="6"/>
        <v>11.433097500000001</v>
      </c>
      <c r="AH32" s="20">
        <f t="shared" si="7"/>
        <v>3.2484208413496453E-2</v>
      </c>
      <c r="AI32" s="20">
        <f t="shared" si="8"/>
        <v>1.408780627313375E-2</v>
      </c>
      <c r="AJ32" s="20">
        <f t="shared" si="9"/>
        <v>1.0603689407150911E-2</v>
      </c>
      <c r="AK32" s="20">
        <f t="shared" si="10"/>
        <v>1.8396402140362703E-2</v>
      </c>
      <c r="AL32" s="17">
        <f t="shared" si="11"/>
        <v>5288880</v>
      </c>
      <c r="AM32" s="20">
        <v>16</v>
      </c>
      <c r="AN32" s="21">
        <v>73313985</v>
      </c>
      <c r="AO32" s="21">
        <v>2291062.03125</v>
      </c>
      <c r="AP32" s="21">
        <v>32267.625</v>
      </c>
      <c r="AQ32" s="22">
        <v>12195304</v>
      </c>
      <c r="AR32" s="22">
        <v>3980864</v>
      </c>
      <c r="AS32" s="22">
        <v>1308016</v>
      </c>
      <c r="AT32" s="22">
        <v>6906424</v>
      </c>
      <c r="AU32" s="23">
        <v>74.172905999999998</v>
      </c>
      <c r="AV32" s="23">
        <v>78.642066</v>
      </c>
      <c r="AW32" s="23">
        <v>37.76005</v>
      </c>
      <c r="AX32" s="23">
        <v>42.979506000000001</v>
      </c>
      <c r="AY32" s="23">
        <v>45.925738000000003</v>
      </c>
      <c r="AZ32" s="24">
        <v>3327.62</v>
      </c>
      <c r="BA32" s="24">
        <v>2714.02</v>
      </c>
      <c r="BB32" s="24">
        <v>31.457000000000001</v>
      </c>
      <c r="BC32" s="24">
        <v>39.146000000000001</v>
      </c>
      <c r="BE32" s="49">
        <f t="shared" si="12"/>
        <v>0.90423909520012358</v>
      </c>
      <c r="BF32" s="25">
        <f t="shared" si="13"/>
        <v>-1.4907415988635632E-3</v>
      </c>
      <c r="BG32" s="25">
        <f t="shared" si="14"/>
        <v>9.3649511491422643E-4</v>
      </c>
      <c r="BH32" s="25"/>
      <c r="BJ32" s="49"/>
      <c r="BK32" s="49"/>
      <c r="BL32" s="49"/>
      <c r="BM32" s="49"/>
      <c r="BN32" s="49"/>
      <c r="BP32" s="49"/>
      <c r="BQ32" s="49"/>
      <c r="BR32" s="49"/>
      <c r="BS32" s="49"/>
      <c r="BT32" s="49"/>
      <c r="BV32" s="53">
        <f t="shared" si="16"/>
        <v>-18500359</v>
      </c>
      <c r="BW32" s="53">
        <f t="shared" si="16"/>
        <v>-578136.21875</v>
      </c>
      <c r="BX32" s="53">
        <f t="shared" si="16"/>
        <v>-12419.78125</v>
      </c>
      <c r="BY32" s="53">
        <f t="shared" si="16"/>
        <v>-1320696</v>
      </c>
      <c r="BZ32" s="53">
        <f t="shared" si="16"/>
        <v>-440664</v>
      </c>
      <c r="CA32" s="53">
        <f t="shared" si="16"/>
        <v>-119440</v>
      </c>
      <c r="CB32" s="53">
        <f t="shared" si="16"/>
        <v>-760592</v>
      </c>
      <c r="CC32" s="53">
        <f t="shared" si="16"/>
        <v>-2.2934096249999811</v>
      </c>
      <c r="CD32" s="53">
        <f t="shared" si="16"/>
        <v>-0.48168400000001554</v>
      </c>
      <c r="CE32" s="53">
        <f t="shared" si="16"/>
        <v>-0.64738125000000224</v>
      </c>
      <c r="CF32" s="53">
        <f t="shared" si="16"/>
        <v>-0.23720025000000078</v>
      </c>
      <c r="CG32" s="53">
        <f t="shared" si="16"/>
        <v>-0.31959637499998905</v>
      </c>
      <c r="CJ32" t="s">
        <v>243</v>
      </c>
    </row>
    <row r="33" spans="1:88" outlineLevel="1" x14ac:dyDescent="0.2">
      <c r="A33" s="52"/>
      <c r="B33" s="52" t="s">
        <v>77</v>
      </c>
      <c r="C33" s="9" t="s">
        <v>236</v>
      </c>
      <c r="D33" s="52">
        <v>375422539</v>
      </c>
      <c r="E33" s="9">
        <v>11</v>
      </c>
      <c r="F33" s="9">
        <v>32</v>
      </c>
      <c r="G33" s="9">
        <v>30</v>
      </c>
      <c r="I33" s="10">
        <f t="shared" si="0"/>
        <v>21.2011875</v>
      </c>
      <c r="J33" s="11">
        <f t="shared" si="1"/>
        <v>6.0237725897432065E-2</v>
      </c>
      <c r="K33" s="11">
        <f t="shared" si="2"/>
        <v>2.1049370187121344E-2</v>
      </c>
      <c r="L33" s="11">
        <f t="shared" si="3"/>
        <v>1.7247105134516178E-2</v>
      </c>
      <c r="M33" s="11">
        <f t="shared" si="4"/>
        <v>3.9188355710310721E-2</v>
      </c>
      <c r="N33" s="52">
        <f t="shared" si="5"/>
        <v>7902408</v>
      </c>
      <c r="O33" s="11">
        <v>16</v>
      </c>
      <c r="P33" s="12">
        <v>93918250</v>
      </c>
      <c r="Q33" s="12">
        <v>2934945.3125</v>
      </c>
      <c r="R33" s="12">
        <v>49412.375</v>
      </c>
      <c r="S33" s="13">
        <v>22614600</v>
      </c>
      <c r="T33" s="13">
        <v>6474952</v>
      </c>
      <c r="U33" s="13">
        <v>1427456</v>
      </c>
      <c r="V33" s="13">
        <v>14712192</v>
      </c>
      <c r="W33" s="14">
        <v>77.598421875000014</v>
      </c>
      <c r="X33" s="14">
        <v>80.328506249999975</v>
      </c>
      <c r="Y33" s="14">
        <v>40.010034374999996</v>
      </c>
      <c r="Z33" s="14">
        <v>43.90810312499999</v>
      </c>
      <c r="AA33" s="14">
        <v>47.816250000000011</v>
      </c>
      <c r="AB33" s="15">
        <v>3272.57</v>
      </c>
      <c r="AC33" s="15">
        <v>4606.17</v>
      </c>
      <c r="AD33" s="15">
        <v>41.084000000000003</v>
      </c>
      <c r="AE33" s="15">
        <v>27.62</v>
      </c>
      <c r="AG33" s="10">
        <f t="shared" si="6"/>
        <v>19.086314999999999</v>
      </c>
      <c r="AH33" s="11">
        <f t="shared" si="7"/>
        <v>5.4228859178857135E-2</v>
      </c>
      <c r="AI33" s="11">
        <f t="shared" si="8"/>
        <v>1.9034552424674746E-2</v>
      </c>
      <c r="AJ33" s="11">
        <f t="shared" si="9"/>
        <v>1.5550435558691908E-2</v>
      </c>
      <c r="AK33" s="11">
        <f t="shared" si="10"/>
        <v>3.5194306754182385E-2</v>
      </c>
      <c r="AL33" s="52">
        <f t="shared" si="11"/>
        <v>7146000</v>
      </c>
      <c r="AM33" s="11">
        <v>16</v>
      </c>
      <c r="AN33" s="12">
        <v>75204114</v>
      </c>
      <c r="AO33" s="12">
        <v>2350128.5625</v>
      </c>
      <c r="AP33" s="12">
        <v>36168.1875</v>
      </c>
      <c r="AQ33" s="13">
        <v>20358736</v>
      </c>
      <c r="AR33" s="13">
        <v>5837984</v>
      </c>
      <c r="AS33" s="13">
        <v>1308016</v>
      </c>
      <c r="AT33" s="13">
        <v>13212736</v>
      </c>
      <c r="AU33" s="14">
        <v>74.894484000000006</v>
      </c>
      <c r="AV33" s="14">
        <v>79.833466000000001</v>
      </c>
      <c r="AW33" s="14">
        <v>39.208658999999997</v>
      </c>
      <c r="AX33" s="14">
        <v>43.680374999999998</v>
      </c>
      <c r="AY33" s="14">
        <v>47.453862000000001</v>
      </c>
      <c r="AZ33" s="15">
        <v>3921.97</v>
      </c>
      <c r="BA33" s="15">
        <v>3871.62</v>
      </c>
      <c r="BB33" s="15">
        <v>40.067999999999998</v>
      </c>
      <c r="BC33" s="15">
        <v>55.290999999999997</v>
      </c>
      <c r="BE33" s="50">
        <f t="shared" si="12"/>
        <v>0.90428132791928728</v>
      </c>
      <c r="BF33" s="16">
        <f t="shared" si="13"/>
        <v>-1.4459997371423158E-3</v>
      </c>
      <c r="BG33" s="16">
        <f t="shared" si="14"/>
        <v>1.5657820367422359E-3</v>
      </c>
      <c r="BH33" s="16"/>
      <c r="BJ33" s="50"/>
      <c r="BK33" s="50"/>
      <c r="BL33" s="50"/>
      <c r="BM33" s="50"/>
      <c r="BN33" s="50"/>
      <c r="BP33" s="50"/>
      <c r="BQ33" s="50"/>
      <c r="BR33" s="50"/>
      <c r="BS33" s="50"/>
      <c r="BT33" s="50"/>
      <c r="BV33" s="53">
        <f t="shared" si="16"/>
        <v>-18714136</v>
      </c>
      <c r="BW33" s="53">
        <f t="shared" si="16"/>
        <v>-584816.75</v>
      </c>
      <c r="BX33" s="53">
        <f t="shared" si="16"/>
        <v>-13244.1875</v>
      </c>
      <c r="BY33" s="53">
        <f t="shared" si="16"/>
        <v>-2255864</v>
      </c>
      <c r="BZ33" s="53">
        <f t="shared" si="16"/>
        <v>-636968</v>
      </c>
      <c r="CA33" s="53">
        <f t="shared" si="16"/>
        <v>-119440</v>
      </c>
      <c r="CB33" s="53">
        <f t="shared" si="16"/>
        <v>-1499456</v>
      </c>
      <c r="CC33" s="53">
        <f t="shared" si="16"/>
        <v>-2.7039378750000083</v>
      </c>
      <c r="CD33" s="53">
        <f t="shared" si="16"/>
        <v>-0.49504024999997398</v>
      </c>
      <c r="CE33" s="53">
        <f t="shared" si="16"/>
        <v>-0.80137537499999922</v>
      </c>
      <c r="CF33" s="53">
        <f t="shared" si="16"/>
        <v>-0.22772812499999162</v>
      </c>
      <c r="CG33" s="53">
        <f t="shared" si="16"/>
        <v>-0.36238800000000992</v>
      </c>
      <c r="CJ33" t="s">
        <v>243</v>
      </c>
    </row>
    <row r="34" spans="1:88" ht="16" outlineLevel="1" thickBot="1" x14ac:dyDescent="0.25">
      <c r="A34" s="17"/>
      <c r="B34" s="36" t="s">
        <v>77</v>
      </c>
      <c r="C34" s="37" t="s">
        <v>237</v>
      </c>
      <c r="D34" s="36">
        <v>375422539</v>
      </c>
      <c r="E34" s="37">
        <v>11</v>
      </c>
      <c r="F34" s="37">
        <v>32</v>
      </c>
      <c r="G34" s="37">
        <v>30</v>
      </c>
      <c r="I34" s="38">
        <f t="shared" si="0"/>
        <v>39.873292499999998</v>
      </c>
      <c r="J34" s="39">
        <f t="shared" si="1"/>
        <v>0.11328971380698057</v>
      </c>
      <c r="K34" s="39">
        <f t="shared" si="2"/>
        <v>3.3717187129246921E-2</v>
      </c>
      <c r="L34" s="39">
        <f t="shared" si="3"/>
        <v>2.6181230424207429E-2</v>
      </c>
      <c r="M34" s="39">
        <f t="shared" si="4"/>
        <v>7.9572526677733652E-2</v>
      </c>
      <c r="N34" s="36">
        <f t="shared" si="5"/>
        <v>12658192</v>
      </c>
      <c r="O34" s="39">
        <v>16</v>
      </c>
      <c r="P34" s="40">
        <v>92079625</v>
      </c>
      <c r="Q34" s="40">
        <v>2877488.28125</v>
      </c>
      <c r="R34" s="40">
        <v>21318.28125</v>
      </c>
      <c r="S34" s="41">
        <v>42531512</v>
      </c>
      <c r="T34" s="41">
        <v>9829024</v>
      </c>
      <c r="U34" s="41">
        <v>2829168</v>
      </c>
      <c r="V34" s="41">
        <v>29873320</v>
      </c>
      <c r="W34" s="42">
        <v>78.535987500000005</v>
      </c>
      <c r="X34" s="42">
        <v>81.998384375000001</v>
      </c>
      <c r="Y34" s="42">
        <v>41.522762499999992</v>
      </c>
      <c r="Z34" s="42">
        <v>44.701212499999997</v>
      </c>
      <c r="AA34" s="42">
        <v>49.23008437499999</v>
      </c>
      <c r="AB34" s="43">
        <v>3266.44</v>
      </c>
      <c r="AC34" s="43">
        <v>5088.07</v>
      </c>
      <c r="AD34" s="43">
        <v>40.840000000000003</v>
      </c>
      <c r="AE34" s="43">
        <v>30.335999999999999</v>
      </c>
      <c r="AG34" s="38">
        <f t="shared" si="6"/>
        <v>35.568622499999996</v>
      </c>
      <c r="AH34" s="39">
        <f t="shared" si="7"/>
        <v>0.10105910023691998</v>
      </c>
      <c r="AI34" s="39">
        <f t="shared" si="8"/>
        <v>3.0444884930044117E-2</v>
      </c>
      <c r="AJ34" s="39">
        <f t="shared" si="9"/>
        <v>2.3598647070041792E-2</v>
      </c>
      <c r="AK34" s="39">
        <f t="shared" si="10"/>
        <v>7.0614215306875866E-2</v>
      </c>
      <c r="AL34" s="36">
        <f t="shared" si="11"/>
        <v>11429696</v>
      </c>
      <c r="AM34" s="39">
        <v>16</v>
      </c>
      <c r="AN34" s="40">
        <v>73519144</v>
      </c>
      <c r="AO34" s="40">
        <v>2297473.25</v>
      </c>
      <c r="AP34" s="40">
        <v>15951.875</v>
      </c>
      <c r="AQ34" s="41">
        <v>37939864</v>
      </c>
      <c r="AR34" s="41">
        <v>8859464</v>
      </c>
      <c r="AS34" s="41">
        <v>2570232</v>
      </c>
      <c r="AT34" s="41">
        <v>26510168</v>
      </c>
      <c r="AU34" s="42">
        <v>75.338808999999998</v>
      </c>
      <c r="AV34" s="42">
        <v>81.748908999999998</v>
      </c>
      <c r="AW34" s="42">
        <v>40.421168999999999</v>
      </c>
      <c r="AX34" s="42">
        <v>44.473269000000002</v>
      </c>
      <c r="AY34" s="42">
        <v>48.938828000000001</v>
      </c>
      <c r="AZ34" s="43">
        <v>3933.82</v>
      </c>
      <c r="BA34" s="43">
        <v>4332.3</v>
      </c>
      <c r="BB34" s="43">
        <v>38.607999999999997</v>
      </c>
      <c r="BC34" s="43">
        <v>62.521000000000001</v>
      </c>
      <c r="BE34" s="44">
        <f t="shared" si="12"/>
        <v>0.90294854115026846</v>
      </c>
      <c r="BF34" s="45">
        <f t="shared" si="13"/>
        <v>-4.6541668536194403E-4</v>
      </c>
      <c r="BG34" s="45">
        <f t="shared" si="14"/>
        <v>3.6390833218337137E-3</v>
      </c>
      <c r="BH34" s="45"/>
      <c r="BJ34" s="44"/>
      <c r="BK34" s="44"/>
      <c r="BL34" s="44"/>
      <c r="BM34" s="44"/>
      <c r="BN34" s="44"/>
      <c r="BP34" s="44"/>
      <c r="BQ34" s="44"/>
      <c r="BR34" s="44"/>
      <c r="BS34" s="44"/>
      <c r="BT34" s="44"/>
      <c r="BV34" s="53">
        <f t="shared" si="16"/>
        <v>-18560481</v>
      </c>
      <c r="BW34" s="53">
        <f t="shared" si="16"/>
        <v>-580015.03125</v>
      </c>
      <c r="BX34" s="53">
        <f t="shared" si="16"/>
        <v>-5366.40625</v>
      </c>
      <c r="BY34" s="53">
        <f t="shared" si="16"/>
        <v>-4591648</v>
      </c>
      <c r="BZ34" s="53">
        <f t="shared" si="16"/>
        <v>-969560</v>
      </c>
      <c r="CA34" s="53">
        <f t="shared" si="16"/>
        <v>-258936</v>
      </c>
      <c r="CB34" s="53">
        <f t="shared" si="16"/>
        <v>-3363152</v>
      </c>
      <c r="CC34" s="53">
        <f t="shared" si="16"/>
        <v>-3.1971785000000068</v>
      </c>
      <c r="CD34" s="53">
        <f t="shared" si="16"/>
        <v>-0.24947537500000294</v>
      </c>
      <c r="CE34" s="53">
        <f t="shared" si="16"/>
        <v>-1.1015934999999928</v>
      </c>
      <c r="CF34" s="53">
        <f t="shared" si="16"/>
        <v>-0.22794349999999497</v>
      </c>
      <c r="CG34" s="53">
        <f t="shared" si="16"/>
        <v>-0.29125637499998902</v>
      </c>
      <c r="CJ34" t="s">
        <v>243</v>
      </c>
    </row>
    <row r="35" spans="1:88" x14ac:dyDescent="0.2">
      <c r="A35" s="52"/>
      <c r="B35" s="52" t="s">
        <v>82</v>
      </c>
      <c r="C35" s="9" t="s">
        <v>232</v>
      </c>
      <c r="D35" s="52">
        <v>333190689</v>
      </c>
      <c r="E35" s="9">
        <v>11</v>
      </c>
      <c r="F35" s="9">
        <v>32</v>
      </c>
      <c r="G35" s="9">
        <v>30</v>
      </c>
      <c r="I35" s="10">
        <f t="shared" si="0"/>
        <v>6.3769799999999996</v>
      </c>
      <c r="J35" s="11">
        <f t="shared" si="1"/>
        <v>2.0415072283127337E-2</v>
      </c>
      <c r="K35" s="11">
        <f t="shared" si="2"/>
        <v>1.1829190100807409E-2</v>
      </c>
      <c r="L35" s="11">
        <f t="shared" si="3"/>
        <v>7.2102134882886838E-3</v>
      </c>
      <c r="M35" s="11">
        <f t="shared" si="4"/>
        <v>8.5858821823199261E-3</v>
      </c>
      <c r="N35" s="52">
        <f t="shared" si="5"/>
        <v>3941376</v>
      </c>
      <c r="O35" s="11">
        <v>16</v>
      </c>
      <c r="P35" s="12">
        <v>74688855</v>
      </c>
      <c r="Q35" s="12">
        <v>2334026.71875</v>
      </c>
      <c r="R35" s="12">
        <v>31011.90625</v>
      </c>
      <c r="S35" s="13">
        <v>6802112</v>
      </c>
      <c r="T35" s="13">
        <v>2402376</v>
      </c>
      <c r="U35" s="13">
        <v>1539000</v>
      </c>
      <c r="V35" s="13">
        <v>2860736</v>
      </c>
      <c r="W35" s="14">
        <v>73.191281250000003</v>
      </c>
      <c r="X35" s="14">
        <v>75.430568749999978</v>
      </c>
      <c r="Y35" s="14">
        <v>33.985153124999997</v>
      </c>
      <c r="Z35" s="14">
        <v>42.563106249999997</v>
      </c>
      <c r="AA35" s="14">
        <v>44.055871875000001</v>
      </c>
      <c r="AB35" s="15">
        <v>3018.62</v>
      </c>
      <c r="AC35" s="15">
        <v>5987.55</v>
      </c>
      <c r="AD35" s="15">
        <v>47.875999999999998</v>
      </c>
      <c r="AE35" s="15">
        <v>39.012</v>
      </c>
      <c r="AG35" s="10">
        <f t="shared" si="6"/>
        <v>5.6939624999999996</v>
      </c>
      <c r="AH35" s="11">
        <f t="shared" si="7"/>
        <v>1.8228480568375068E-2</v>
      </c>
      <c r="AI35" s="11">
        <f t="shared" si="8"/>
        <v>1.0805247922159074E-2</v>
      </c>
      <c r="AJ35" s="11">
        <f t="shared" si="9"/>
        <v>6.4670714732967824E-3</v>
      </c>
      <c r="AK35" s="11">
        <f t="shared" si="10"/>
        <v>7.4232326462159931E-3</v>
      </c>
      <c r="AL35" s="52">
        <f t="shared" si="11"/>
        <v>3600208</v>
      </c>
      <c r="AM35" s="11">
        <v>16</v>
      </c>
      <c r="AN35" s="12">
        <v>59721685</v>
      </c>
      <c r="AO35" s="12">
        <v>1866302.65625</v>
      </c>
      <c r="AP35" s="12">
        <v>23206.15625</v>
      </c>
      <c r="AQ35" s="13">
        <v>6073560</v>
      </c>
      <c r="AR35" s="13">
        <v>2154768</v>
      </c>
      <c r="AS35" s="13">
        <v>1445440</v>
      </c>
      <c r="AT35" s="13">
        <v>2473352</v>
      </c>
      <c r="AU35" s="14">
        <v>71.734069000000005</v>
      </c>
      <c r="AV35" s="14">
        <v>74.768550000000005</v>
      </c>
      <c r="AW35" s="14">
        <v>33.174486999999999</v>
      </c>
      <c r="AX35" s="14">
        <v>42.253678000000001</v>
      </c>
      <c r="AY35" s="14">
        <v>43.632905999999998</v>
      </c>
      <c r="AZ35" s="15">
        <v>3114.59</v>
      </c>
      <c r="BA35" s="15">
        <v>2862.38</v>
      </c>
      <c r="BB35" s="15">
        <v>29.221</v>
      </c>
      <c r="BC35" s="15">
        <v>43.41</v>
      </c>
      <c r="BE35" s="50">
        <f t="shared" si="12"/>
        <v>0.91343936736814757</v>
      </c>
      <c r="BF35" s="16">
        <f t="shared" si="13"/>
        <v>-8.5257439321951255E-4</v>
      </c>
      <c r="BG35" s="16">
        <f t="shared" si="14"/>
        <v>1.3333186873177416E-2</v>
      </c>
      <c r="BH35" s="16">
        <f t="array" ref="BH35">AVERAGE(AL35:AL39/AQ35:AQ39) - AVERAGE(N35:N39/S35:S39)</f>
        <v>1.2118616991487252E-2</v>
      </c>
      <c r="BJ35" s="50">
        <f>IF( OR(ISBLANK(N35:N39),ISBLANK(AL35:AL39), ISBLANK(W35:W39),ISBLANK(AU35:AU39)), "·", bdRateExtend( N35:N39,W35:W39, AL35:AL39,AU35:AU39))</f>
        <v>0.39922655195699042</v>
      </c>
      <c r="BK35" s="50">
        <f>IF( OR(ISBLANK(N35:N39),ISBLANK(AL35:AL39), ISBLANK(X35:X39),ISBLANK(AV35:AV39)), "·", bdRateExtend( N35:N39,X35:X39, AL35:AL39,AV35:AV39))</f>
        <v>1.5032149452774091E-2</v>
      </c>
      <c r="BL35" s="50">
        <f>IF( OR(ISBLANK(V35:V39),ISBLANK(AT35:AT39), ISBLANK(Y35:Y39),ISBLANK(AW35:AW39)), "·", bdRateExtend( V35:V39,Y35:Y39, AT35:AT39,AW35:AW39))</f>
        <v>0.24240733357182531</v>
      </c>
      <c r="BM35" s="50">
        <f>IF( OR(ISBLANK(V35:V39),ISBLANK(AT35:AT39), ISBLANK(Z35:Z39),ISBLANK(AX35:AX39)), "·", bdRateExtend( V35:V39,Z35:Z39, AT35:AT39,AX35:AX39))</f>
        <v>9.8123051498799851E-2</v>
      </c>
      <c r="BN35" s="50">
        <f>IF( OR(ISBLANK(V35:V39),ISBLANK(AT35:AT39), ISBLANK(AA35:AA39),ISBLANK(AY35:AY39)), "·", bdRateExtend( V35:V39,AA35:AA39, AT35:AT39,AY35:AY39))</f>
        <v>7.9521940893162668E-2</v>
      </c>
      <c r="BP35" s="50">
        <f>IF( OR(ISBLANK(S35:S39),ISBLANK(AQ35:AQ39), ISBLANK(W35:W39),ISBLANK(AU35:AU39)), "·", bdRateExtend( S35:S39,W35:W39, AQ35:AQ39,AU35:AU39))</f>
        <v>0.85260607281914313</v>
      </c>
      <c r="BQ35" s="50">
        <f>IF( OR(ISBLANK(S35:S39),ISBLANK(AQ35:AQ39), ISBLANK(X35:X39),ISBLANK(AV35:AV39)), "·", bdRateExtend( S35:S39,X35:X39, AQ35:AQ39,AV35:AV39))</f>
        <v>4.8646136073408064E-2</v>
      </c>
      <c r="BR35" s="50">
        <f>IF( OR(ISBLANK(S35:S39),ISBLANK(AQ35:AQ39), ISBLANK(Y35:Y39),ISBLANK(AW35:AW39)), "·", bdRateExtend( S35:S39,Y35:Y39, AQ35:AQ39,AW35:AW39))</f>
        <v>0.17116809497822461</v>
      </c>
      <c r="BS35" s="50">
        <f>IF( OR(ISBLANK(S35:S39),ISBLANK(AQ35:AQ39), ISBLANK(Z35:Z39),ISBLANK(AX35:AX39)), "·", bdRateExtend( S35:S39,Z35:Z39, AQ35:AQ39,AX35:AX39))</f>
        <v>6.5740941205909342E-2</v>
      </c>
      <c r="BT35" s="50">
        <f>IF( OR(ISBLANK(S35:S39),ISBLANK(AQ35:AQ39), ISBLANK(AA35:AA39),ISBLANK(AY35:AY39)), "·", bdRateExtend( S35:S39,AA35:AA39, AQ35:AQ39,AY35:AY39))</f>
        <v>4.9233921337330289E-2</v>
      </c>
      <c r="BV35" s="53">
        <f t="shared" si="16"/>
        <v>-14967170</v>
      </c>
      <c r="BW35" s="53">
        <f t="shared" si="16"/>
        <v>-467724.0625</v>
      </c>
      <c r="BX35" s="53">
        <f t="shared" si="16"/>
        <v>-7805.75</v>
      </c>
      <c r="BY35" s="53">
        <f t="shared" si="16"/>
        <v>-728552</v>
      </c>
      <c r="BZ35" s="53">
        <f t="shared" si="16"/>
        <v>-247608</v>
      </c>
      <c r="CA35" s="53">
        <f t="shared" si="16"/>
        <v>-93560</v>
      </c>
      <c r="CB35" s="53">
        <f t="shared" si="16"/>
        <v>-387384</v>
      </c>
      <c r="CC35" s="53">
        <f t="shared" si="16"/>
        <v>-1.4572122499999978</v>
      </c>
      <c r="CD35" s="53">
        <f t="shared" si="16"/>
        <v>-0.66201874999997301</v>
      </c>
      <c r="CE35" s="53">
        <f t="shared" si="16"/>
        <v>-0.81066612499999735</v>
      </c>
      <c r="CF35" s="53">
        <f t="shared" si="16"/>
        <v>-0.3094282499999963</v>
      </c>
      <c r="CG35" s="53">
        <f t="shared" si="16"/>
        <v>-0.42296587500000271</v>
      </c>
      <c r="CJ35" t="s">
        <v>244</v>
      </c>
    </row>
    <row r="36" spans="1:88" outlineLevel="1" x14ac:dyDescent="0.2">
      <c r="A36" s="17"/>
      <c r="B36" s="17" t="s">
        <v>82</v>
      </c>
      <c r="C36" s="18" t="s">
        <v>234</v>
      </c>
      <c r="D36" s="17">
        <v>333190689</v>
      </c>
      <c r="E36" s="18">
        <v>11</v>
      </c>
      <c r="F36" s="18">
        <v>32</v>
      </c>
      <c r="G36" s="18">
        <v>30</v>
      </c>
      <c r="I36" s="19">
        <f t="shared" si="0"/>
        <v>9.0738074999999991</v>
      </c>
      <c r="J36" s="20">
        <f t="shared" si="1"/>
        <v>2.9048614860903269E-2</v>
      </c>
      <c r="K36" s="20">
        <f t="shared" si="2"/>
        <v>1.4424772836314163E-2</v>
      </c>
      <c r="L36" s="20">
        <f t="shared" si="3"/>
        <v>9.8057962237954373E-3</v>
      </c>
      <c r="M36" s="20">
        <f t="shared" si="4"/>
        <v>1.4623842024589108E-2</v>
      </c>
      <c r="N36" s="17">
        <f t="shared" si="5"/>
        <v>4806200</v>
      </c>
      <c r="O36" s="20">
        <v>16</v>
      </c>
      <c r="P36" s="21">
        <v>79945808</v>
      </c>
      <c r="Q36" s="21">
        <v>2498306.5</v>
      </c>
      <c r="R36" s="21">
        <v>39523.15625</v>
      </c>
      <c r="S36" s="22">
        <v>9678728</v>
      </c>
      <c r="T36" s="22">
        <v>3267200</v>
      </c>
      <c r="U36" s="22">
        <v>1539000</v>
      </c>
      <c r="V36" s="22">
        <v>4872528</v>
      </c>
      <c r="W36" s="23">
        <v>74.930581249999975</v>
      </c>
      <c r="X36" s="23">
        <v>77.358815624999977</v>
      </c>
      <c r="Y36" s="23">
        <v>36.095068750000003</v>
      </c>
      <c r="Z36" s="23">
        <v>43.189968749999998</v>
      </c>
      <c r="AA36" s="23">
        <v>45.41667812499999</v>
      </c>
      <c r="AB36" s="24">
        <v>3029.84</v>
      </c>
      <c r="AC36" s="24">
        <v>6186.18</v>
      </c>
      <c r="AD36" s="24">
        <v>46.388000000000012</v>
      </c>
      <c r="AE36" s="24">
        <v>39.143999999999998</v>
      </c>
      <c r="AG36" s="19">
        <f t="shared" si="6"/>
        <v>8.1225225000000005</v>
      </c>
      <c r="AH36" s="20">
        <f t="shared" si="7"/>
        <v>2.6003199627226078E-2</v>
      </c>
      <c r="AI36" s="20">
        <f t="shared" si="8"/>
        <v>1.3203274116702583E-2</v>
      </c>
      <c r="AJ36" s="20">
        <f t="shared" si="9"/>
        <v>8.8650976678402924E-3</v>
      </c>
      <c r="AK36" s="20">
        <f t="shared" si="10"/>
        <v>1.2799925510523495E-2</v>
      </c>
      <c r="AL36" s="17">
        <f t="shared" si="11"/>
        <v>4399208</v>
      </c>
      <c r="AM36" s="20">
        <v>16</v>
      </c>
      <c r="AN36" s="21">
        <v>64137992</v>
      </c>
      <c r="AO36" s="21">
        <v>2004312.25</v>
      </c>
      <c r="AP36" s="21">
        <v>30123.84375</v>
      </c>
      <c r="AQ36" s="22">
        <v>8664024</v>
      </c>
      <c r="AR36" s="22">
        <v>2953768</v>
      </c>
      <c r="AS36" s="22">
        <v>1445440</v>
      </c>
      <c r="AT36" s="22">
        <v>4264816</v>
      </c>
      <c r="AU36" s="23">
        <v>73.146636999999998</v>
      </c>
      <c r="AV36" s="23">
        <v>76.759574999999998</v>
      </c>
      <c r="AW36" s="23">
        <v>35.254381000000002</v>
      </c>
      <c r="AX36" s="23">
        <v>42.923116</v>
      </c>
      <c r="AY36" s="23">
        <v>44.884422000000001</v>
      </c>
      <c r="AZ36" s="24">
        <v>3142.07</v>
      </c>
      <c r="BA36" s="24">
        <v>3108.09</v>
      </c>
      <c r="BB36" s="24">
        <v>29.617000000000001</v>
      </c>
      <c r="BC36" s="24">
        <v>45.222999999999999</v>
      </c>
      <c r="BE36" s="49">
        <f t="shared" si="12"/>
        <v>0.91531937913528361</v>
      </c>
      <c r="BF36" s="25">
        <f t="shared" si="13"/>
        <v>-7.9046259470290196E-4</v>
      </c>
      <c r="BG36" s="25">
        <f t="shared" si="14"/>
        <v>1.1182232837142425E-2</v>
      </c>
      <c r="BH36" s="25"/>
      <c r="BJ36" s="49"/>
      <c r="BK36" s="49"/>
      <c r="BL36" s="49"/>
      <c r="BM36" s="49"/>
      <c r="BN36" s="49"/>
      <c r="BP36" s="49"/>
      <c r="BQ36" s="49"/>
      <c r="BR36" s="49"/>
      <c r="BS36" s="49"/>
      <c r="BT36" s="49"/>
      <c r="BV36" s="53">
        <f t="shared" si="16"/>
        <v>-15807816</v>
      </c>
      <c r="BW36" s="53">
        <f t="shared" si="16"/>
        <v>-493994.25</v>
      </c>
      <c r="BX36" s="53">
        <f t="shared" si="16"/>
        <v>-9399.3125</v>
      </c>
      <c r="BY36" s="53">
        <f t="shared" si="16"/>
        <v>-1014704</v>
      </c>
      <c r="BZ36" s="53">
        <f t="shared" si="16"/>
        <v>-313432</v>
      </c>
      <c r="CA36" s="53">
        <f t="shared" si="16"/>
        <v>-93560</v>
      </c>
      <c r="CB36" s="53">
        <f t="shared" si="16"/>
        <v>-607712</v>
      </c>
      <c r="CC36" s="53">
        <f t="shared" si="16"/>
        <v>-1.7839442499999763</v>
      </c>
      <c r="CD36" s="53">
        <f t="shared" si="16"/>
        <v>-0.59924062499997888</v>
      </c>
      <c r="CE36" s="53">
        <f t="shared" si="16"/>
        <v>-0.84068775000000073</v>
      </c>
      <c r="CF36" s="53">
        <f t="shared" si="16"/>
        <v>-0.2668527499999982</v>
      </c>
      <c r="CG36" s="53">
        <f t="shared" si="16"/>
        <v>-0.53225612499998931</v>
      </c>
      <c r="CJ36" t="s">
        <v>244</v>
      </c>
    </row>
    <row r="37" spans="1:88" outlineLevel="1" x14ac:dyDescent="0.2">
      <c r="A37" s="52"/>
      <c r="B37" s="52" t="s">
        <v>82</v>
      </c>
      <c r="C37" s="9" t="s">
        <v>235</v>
      </c>
      <c r="D37" s="52">
        <v>333190689</v>
      </c>
      <c r="E37" s="9">
        <v>11</v>
      </c>
      <c r="F37" s="9">
        <v>32</v>
      </c>
      <c r="G37" s="9">
        <v>30</v>
      </c>
      <c r="I37" s="10">
        <f t="shared" si="0"/>
        <v>13.7978325</v>
      </c>
      <c r="J37" s="11">
        <f t="shared" si="1"/>
        <v>4.4171966642201098E-2</v>
      </c>
      <c r="K37" s="11">
        <f t="shared" si="2"/>
        <v>1.8223870595615595E-2</v>
      </c>
      <c r="L37" s="11">
        <f t="shared" si="3"/>
        <v>1.3604893983096869E-2</v>
      </c>
      <c r="M37" s="11">
        <f t="shared" si="4"/>
        <v>2.5948096046585503E-2</v>
      </c>
      <c r="N37" s="52">
        <f t="shared" si="5"/>
        <v>6072024</v>
      </c>
      <c r="O37" s="11">
        <v>16</v>
      </c>
      <c r="P37" s="12">
        <v>81780101</v>
      </c>
      <c r="Q37" s="12">
        <v>2555628.15625</v>
      </c>
      <c r="R37" s="12">
        <v>43014.71875</v>
      </c>
      <c r="S37" s="13">
        <v>14717688</v>
      </c>
      <c r="T37" s="13">
        <v>4533024</v>
      </c>
      <c r="U37" s="13">
        <v>1539000</v>
      </c>
      <c r="V37" s="13">
        <v>8645664</v>
      </c>
      <c r="W37" s="14">
        <v>76.238812500000023</v>
      </c>
      <c r="X37" s="14">
        <v>78.941209374999985</v>
      </c>
      <c r="Y37" s="14">
        <v>37.935643750000011</v>
      </c>
      <c r="Z37" s="14">
        <v>43.761018749999998</v>
      </c>
      <c r="AA37" s="14">
        <v>46.521678125000001</v>
      </c>
      <c r="AB37" s="15">
        <v>3013.57</v>
      </c>
      <c r="AC37" s="15">
        <v>6345.72</v>
      </c>
      <c r="AD37" s="15">
        <v>46.683999999999997</v>
      </c>
      <c r="AE37" s="15">
        <v>41.067999999999998</v>
      </c>
      <c r="AG37" s="10">
        <f t="shared" si="6"/>
        <v>12.2984475</v>
      </c>
      <c r="AH37" s="11">
        <f t="shared" si="7"/>
        <v>3.9371880526949538E-2</v>
      </c>
      <c r="AI37" s="11">
        <f t="shared" si="8"/>
        <v>1.6670813991443802E-2</v>
      </c>
      <c r="AJ37" s="11">
        <f t="shared" si="9"/>
        <v>1.233263754258151E-2</v>
      </c>
      <c r="AK37" s="11">
        <f t="shared" si="10"/>
        <v>2.2701066535505739E-2</v>
      </c>
      <c r="AL37" s="52">
        <f t="shared" si="11"/>
        <v>5554560</v>
      </c>
      <c r="AM37" s="11">
        <v>16</v>
      </c>
      <c r="AN37" s="12">
        <v>65660965</v>
      </c>
      <c r="AO37" s="12">
        <v>2051905.15625</v>
      </c>
      <c r="AP37" s="12">
        <v>32729.59375</v>
      </c>
      <c r="AQ37" s="13">
        <v>13118344</v>
      </c>
      <c r="AR37" s="13">
        <v>4109120</v>
      </c>
      <c r="AS37" s="13">
        <v>1445440</v>
      </c>
      <c r="AT37" s="13">
        <v>7563784</v>
      </c>
      <c r="AU37" s="14">
        <v>74.084318999999994</v>
      </c>
      <c r="AV37" s="14">
        <v>78.367400000000004</v>
      </c>
      <c r="AW37" s="14">
        <v>36.957256000000001</v>
      </c>
      <c r="AX37" s="14">
        <v>43.486466</v>
      </c>
      <c r="AY37" s="14">
        <v>46.066375000000001</v>
      </c>
      <c r="AZ37" s="15">
        <v>3060.97</v>
      </c>
      <c r="BA37" s="15">
        <v>3084.56</v>
      </c>
      <c r="BB37" s="15">
        <v>30.652999999999999</v>
      </c>
      <c r="BC37" s="15">
        <v>46.113</v>
      </c>
      <c r="BE37" s="50">
        <f t="shared" si="12"/>
        <v>0.91477899296840726</v>
      </c>
      <c r="BF37" s="16">
        <f t="shared" si="13"/>
        <v>-8.805366356704758E-4</v>
      </c>
      <c r="BG37" s="16">
        <f t="shared" si="14"/>
        <v>1.0852867164871494E-2</v>
      </c>
      <c r="BH37" s="16"/>
      <c r="BJ37" s="50"/>
      <c r="BK37" s="50"/>
      <c r="BL37" s="50"/>
      <c r="BM37" s="50"/>
      <c r="BN37" s="50"/>
      <c r="BP37" s="50"/>
      <c r="BQ37" s="50"/>
      <c r="BR37" s="50"/>
      <c r="BS37" s="50"/>
      <c r="BT37" s="50"/>
      <c r="BV37" s="53">
        <f t="shared" si="16"/>
        <v>-16119136</v>
      </c>
      <c r="BW37" s="53">
        <f t="shared" si="16"/>
        <v>-503723</v>
      </c>
      <c r="BX37" s="53">
        <f t="shared" si="16"/>
        <v>-10285.125</v>
      </c>
      <c r="BY37" s="53">
        <f t="shared" si="16"/>
        <v>-1599344</v>
      </c>
      <c r="BZ37" s="53">
        <f t="shared" si="16"/>
        <v>-423904</v>
      </c>
      <c r="CA37" s="53">
        <f t="shared" si="16"/>
        <v>-93560</v>
      </c>
      <c r="CB37" s="53">
        <f t="shared" si="16"/>
        <v>-1081880</v>
      </c>
      <c r="CC37" s="53">
        <f t="shared" si="16"/>
        <v>-2.1544935000000294</v>
      </c>
      <c r="CD37" s="53">
        <f t="shared" si="16"/>
        <v>-0.57380937499998197</v>
      </c>
      <c r="CE37" s="53">
        <f t="shared" si="16"/>
        <v>-0.97838775000001021</v>
      </c>
      <c r="CF37" s="53">
        <f t="shared" si="16"/>
        <v>-0.27455274999999801</v>
      </c>
      <c r="CG37" s="53">
        <f t="shared" si="16"/>
        <v>-0.45530312500000036</v>
      </c>
      <c r="CJ37" t="s">
        <v>244</v>
      </c>
    </row>
    <row r="38" spans="1:88" outlineLevel="1" x14ac:dyDescent="0.2">
      <c r="A38" s="17"/>
      <c r="B38" s="17" t="s">
        <v>82</v>
      </c>
      <c r="C38" s="18" t="s">
        <v>236</v>
      </c>
      <c r="D38" s="17">
        <v>333190689</v>
      </c>
      <c r="E38" s="18">
        <v>11</v>
      </c>
      <c r="F38" s="18">
        <v>32</v>
      </c>
      <c r="G38" s="18">
        <v>30</v>
      </c>
      <c r="I38" s="19">
        <f t="shared" si="0"/>
        <v>23.071792500000001</v>
      </c>
      <c r="J38" s="20">
        <f t="shared" si="1"/>
        <v>7.3861343706396312E-2</v>
      </c>
      <c r="K38" s="20">
        <f t="shared" si="2"/>
        <v>2.4418401439783331E-2</v>
      </c>
      <c r="L38" s="20">
        <f t="shared" si="3"/>
        <v>1.9799424827264607E-2</v>
      </c>
      <c r="M38" s="20">
        <f t="shared" si="4"/>
        <v>4.9442942266612978E-2</v>
      </c>
      <c r="N38" s="17">
        <f t="shared" si="5"/>
        <v>8135984</v>
      </c>
      <c r="O38" s="20">
        <v>16</v>
      </c>
      <c r="P38" s="21">
        <v>83963908</v>
      </c>
      <c r="Q38" s="21">
        <v>2623872.125</v>
      </c>
      <c r="R38" s="21">
        <v>48278.125</v>
      </c>
      <c r="S38" s="22">
        <v>24609912</v>
      </c>
      <c r="T38" s="22">
        <v>6596984</v>
      </c>
      <c r="U38" s="22">
        <v>1539000</v>
      </c>
      <c r="V38" s="22">
        <v>16473928</v>
      </c>
      <c r="W38" s="23">
        <v>77.418415624999994</v>
      </c>
      <c r="X38" s="23">
        <v>80.140518749999998</v>
      </c>
      <c r="Y38" s="23">
        <v>39.70821875</v>
      </c>
      <c r="Z38" s="23">
        <v>44.538234375000009</v>
      </c>
      <c r="AA38" s="23">
        <v>47.814162500000009</v>
      </c>
      <c r="AB38" s="24">
        <v>3118.66</v>
      </c>
      <c r="AC38" s="24">
        <v>7579.62</v>
      </c>
      <c r="AD38" s="24">
        <v>47.915999999999997</v>
      </c>
      <c r="AE38" s="24">
        <v>42.683999999999997</v>
      </c>
      <c r="AG38" s="19">
        <f t="shared" si="6"/>
        <v>20.417377500000001</v>
      </c>
      <c r="AH38" s="20">
        <f t="shared" si="7"/>
        <v>6.5363579232551719E-2</v>
      </c>
      <c r="AI38" s="20">
        <f t="shared" si="8"/>
        <v>2.2467566613183481E-2</v>
      </c>
      <c r="AJ38" s="20">
        <f t="shared" si="9"/>
        <v>1.8129390164321187E-2</v>
      </c>
      <c r="AK38" s="20">
        <f t="shared" si="10"/>
        <v>4.2896012619368241E-2</v>
      </c>
      <c r="AL38" s="17">
        <f t="shared" si="11"/>
        <v>7485984</v>
      </c>
      <c r="AM38" s="20">
        <v>16</v>
      </c>
      <c r="AN38" s="21">
        <v>67574519</v>
      </c>
      <c r="AO38" s="21">
        <v>2111703.71875</v>
      </c>
      <c r="AP38" s="21">
        <v>37159.75</v>
      </c>
      <c r="AQ38" s="22">
        <v>21778536</v>
      </c>
      <c r="AR38" s="22">
        <v>6040544</v>
      </c>
      <c r="AS38" s="22">
        <v>1445440</v>
      </c>
      <c r="AT38" s="22">
        <v>14292552</v>
      </c>
      <c r="AU38" s="23">
        <v>74.851616000000007</v>
      </c>
      <c r="AV38" s="23">
        <v>79.595208999999997</v>
      </c>
      <c r="AW38" s="23">
        <v>38.382199999999997</v>
      </c>
      <c r="AX38" s="23">
        <v>44.263119000000003</v>
      </c>
      <c r="AY38" s="23">
        <v>47.419643999999998</v>
      </c>
      <c r="AZ38" s="24">
        <v>3531.68</v>
      </c>
      <c r="BA38" s="24">
        <v>4435.92</v>
      </c>
      <c r="BB38" s="24">
        <v>35.728000000000002</v>
      </c>
      <c r="BC38" s="24">
        <v>64.438999999999993</v>
      </c>
      <c r="BE38" s="49">
        <f t="shared" si="12"/>
        <v>0.92010800414553429</v>
      </c>
      <c r="BF38" s="25">
        <f t="shared" si="13"/>
        <v>-8.0252515491805246E-4</v>
      </c>
      <c r="BG38" s="25">
        <f t="shared" si="14"/>
        <v>1.3134345605900599E-2</v>
      </c>
      <c r="BH38" s="25"/>
      <c r="BJ38" s="49"/>
      <c r="BK38" s="49"/>
      <c r="BL38" s="49"/>
      <c r="BM38" s="49"/>
      <c r="BN38" s="49"/>
      <c r="BP38" s="49"/>
      <c r="BQ38" s="49"/>
      <c r="BR38" s="49"/>
      <c r="BS38" s="49"/>
      <c r="BT38" s="49"/>
      <c r="BV38" s="53">
        <f t="shared" si="16"/>
        <v>-16389389</v>
      </c>
      <c r="BW38" s="53">
        <f t="shared" si="16"/>
        <v>-512168.40625</v>
      </c>
      <c r="BX38" s="53">
        <f t="shared" si="16"/>
        <v>-11118.375</v>
      </c>
      <c r="BY38" s="53">
        <f t="shared" si="16"/>
        <v>-2831376</v>
      </c>
      <c r="BZ38" s="53">
        <f t="shared" si="16"/>
        <v>-556440</v>
      </c>
      <c r="CA38" s="53">
        <f t="shared" si="16"/>
        <v>-93560</v>
      </c>
      <c r="CB38" s="53">
        <f t="shared" si="16"/>
        <v>-2181376</v>
      </c>
      <c r="CC38" s="53">
        <f t="shared" si="16"/>
        <v>-2.5667996249999874</v>
      </c>
      <c r="CD38" s="53">
        <f t="shared" si="16"/>
        <v>-0.54530975000000126</v>
      </c>
      <c r="CE38" s="53">
        <f t="shared" si="16"/>
        <v>-1.3260187500000029</v>
      </c>
      <c r="CF38" s="53">
        <f t="shared" si="16"/>
        <v>-0.27511537500000571</v>
      </c>
      <c r="CG38" s="53">
        <f t="shared" si="16"/>
        <v>-0.39451850000001087</v>
      </c>
      <c r="CJ38" t="s">
        <v>244</v>
      </c>
    </row>
    <row r="39" spans="1:88" ht="16" outlineLevel="1" thickBot="1" x14ac:dyDescent="0.25">
      <c r="A39" s="26"/>
      <c r="B39" s="26" t="s">
        <v>82</v>
      </c>
      <c r="C39" s="27" t="s">
        <v>237</v>
      </c>
      <c r="D39" s="26">
        <v>333190689</v>
      </c>
      <c r="E39" s="27">
        <v>11</v>
      </c>
      <c r="F39" s="27">
        <v>32</v>
      </c>
      <c r="G39" s="27">
        <v>30</v>
      </c>
      <c r="I39" s="28">
        <f t="shared" si="0"/>
        <v>42.438195</v>
      </c>
      <c r="J39" s="29">
        <f t="shared" si="1"/>
        <v>0.1358603631327765</v>
      </c>
      <c r="K39" s="29">
        <f t="shared" si="2"/>
        <v>3.9490059099460607E-2</v>
      </c>
      <c r="L39" s="29">
        <f t="shared" si="3"/>
        <v>3.0117168130109423E-2</v>
      </c>
      <c r="M39" s="29">
        <f t="shared" si="4"/>
        <v>9.6370304033315896E-2</v>
      </c>
      <c r="N39" s="26">
        <f t="shared" si="5"/>
        <v>13157720</v>
      </c>
      <c r="O39" s="29">
        <v>16</v>
      </c>
      <c r="P39" s="30">
        <v>82025858</v>
      </c>
      <c r="Q39" s="30">
        <v>2563308.0625</v>
      </c>
      <c r="R39" s="30">
        <v>19366.5625</v>
      </c>
      <c r="S39" s="31">
        <v>45267408</v>
      </c>
      <c r="T39" s="31">
        <v>10034760</v>
      </c>
      <c r="U39" s="31">
        <v>3122960</v>
      </c>
      <c r="V39" s="31">
        <v>32109688</v>
      </c>
      <c r="W39" s="32">
        <v>78.318231249999997</v>
      </c>
      <c r="X39" s="32">
        <v>81.877509374999974</v>
      </c>
      <c r="Y39" s="32">
        <v>41.303937499999989</v>
      </c>
      <c r="Z39" s="32">
        <v>45.534306250000007</v>
      </c>
      <c r="AA39" s="32">
        <v>49.130743749999993</v>
      </c>
      <c r="AB39" s="33">
        <v>3108.16</v>
      </c>
      <c r="AC39" s="33">
        <v>8136.05</v>
      </c>
      <c r="AD39" s="33">
        <v>50.872</v>
      </c>
      <c r="AE39" s="33">
        <v>48.18</v>
      </c>
      <c r="AG39" s="28">
        <f t="shared" si="6"/>
        <v>37.182892500000001</v>
      </c>
      <c r="AH39" s="29">
        <f t="shared" si="7"/>
        <v>0.11903619551625585</v>
      </c>
      <c r="AI39" s="29">
        <f t="shared" si="8"/>
        <v>3.6039038293774167E-2</v>
      </c>
      <c r="AJ39" s="29">
        <f t="shared" si="9"/>
        <v>2.750972431885694E-2</v>
      </c>
      <c r="AK39" s="29">
        <f t="shared" si="10"/>
        <v>8.2997157222481688E-2</v>
      </c>
      <c r="AL39" s="26">
        <f t="shared" si="11"/>
        <v>12007872</v>
      </c>
      <c r="AM39" s="29">
        <v>16</v>
      </c>
      <c r="AN39" s="30">
        <v>65843167</v>
      </c>
      <c r="AO39" s="30">
        <v>2057598.96875</v>
      </c>
      <c r="AP39" s="30">
        <v>15056.6875</v>
      </c>
      <c r="AQ39" s="31">
        <v>39661752</v>
      </c>
      <c r="AR39" s="31">
        <v>9165984</v>
      </c>
      <c r="AS39" s="31">
        <v>2841888</v>
      </c>
      <c r="AT39" s="31">
        <v>27653880</v>
      </c>
      <c r="AU39" s="32">
        <v>75.315208999999996</v>
      </c>
      <c r="AV39" s="32">
        <v>81.457230999999993</v>
      </c>
      <c r="AW39" s="32">
        <v>39.469377999999999</v>
      </c>
      <c r="AX39" s="32">
        <v>45.190694000000001</v>
      </c>
      <c r="AY39" s="32">
        <v>48.745375000000003</v>
      </c>
      <c r="AZ39" s="33">
        <v>2998.18</v>
      </c>
      <c r="BA39" s="33">
        <v>3546.85</v>
      </c>
      <c r="BB39" s="33">
        <v>28.414999999999999</v>
      </c>
      <c r="BC39" s="33">
        <v>48.704999999999998</v>
      </c>
      <c r="BE39" s="34">
        <f t="shared" si="12"/>
        <v>0.91261039146599865</v>
      </c>
      <c r="BF39" s="35">
        <f t="shared" si="13"/>
        <v>-2.3769980220201062E-4</v>
      </c>
      <c r="BG39" s="35">
        <f t="shared" si="14"/>
        <v>1.2090452476344327E-2</v>
      </c>
      <c r="BH39" s="35"/>
      <c r="BJ39" s="34"/>
      <c r="BK39" s="34"/>
      <c r="BL39" s="34"/>
      <c r="BM39" s="34"/>
      <c r="BN39" s="34"/>
      <c r="BP39" s="34"/>
      <c r="BQ39" s="34"/>
      <c r="BR39" s="34"/>
      <c r="BS39" s="34"/>
      <c r="BT39" s="34"/>
      <c r="BV39" s="53">
        <f t="shared" si="16"/>
        <v>-16182691</v>
      </c>
      <c r="BW39" s="53">
        <f t="shared" si="16"/>
        <v>-505709.09375</v>
      </c>
      <c r="BX39" s="53">
        <f t="shared" si="16"/>
        <v>-4309.875</v>
      </c>
      <c r="BY39" s="53">
        <f t="shared" si="16"/>
        <v>-5605656</v>
      </c>
      <c r="BZ39" s="53">
        <f t="shared" si="16"/>
        <v>-868776</v>
      </c>
      <c r="CA39" s="53">
        <f t="shared" si="16"/>
        <v>-281072</v>
      </c>
      <c r="CB39" s="53">
        <f t="shared" si="16"/>
        <v>-4455808</v>
      </c>
      <c r="CC39" s="53">
        <f t="shared" si="16"/>
        <v>-3.0030222500000008</v>
      </c>
      <c r="CD39" s="53">
        <f t="shared" si="16"/>
        <v>-0.420278374999981</v>
      </c>
      <c r="CE39" s="53">
        <f t="shared" si="16"/>
        <v>-1.8345594999999904</v>
      </c>
      <c r="CF39" s="53">
        <f t="shared" si="16"/>
        <v>-0.34361225000000672</v>
      </c>
      <c r="CG39" s="53">
        <f t="shared" si="16"/>
        <v>-0.38536874999999071</v>
      </c>
      <c r="CJ39" t="s">
        <v>244</v>
      </c>
    </row>
    <row r="40" spans="1:88" ht="16" x14ac:dyDescent="0.2">
      <c r="B40" s="46" t="s">
        <v>16</v>
      </c>
      <c r="J40" s="47">
        <f>AVERAGE(J5:J24)</f>
        <v>4.4675299317744624E-2</v>
      </c>
      <c r="K40" s="47">
        <f>AVERAGE(K5:K24)</f>
        <v>1.3934320314145566E-2</v>
      </c>
      <c r="L40" s="47">
        <f>AVERAGE(L5:L24)</f>
        <v>9.696269410246797E-3</v>
      </c>
      <c r="M40" s="47">
        <f>AVERAGE(M5:M24)</f>
        <v>3.074097900359906E-2</v>
      </c>
      <c r="AH40" s="47">
        <f>AVERAGE(AH5:AH24)</f>
        <v>3.9687399177060857E-2</v>
      </c>
      <c r="AI40" s="47">
        <f>AVERAGE(AI5:AI24)</f>
        <v>1.2773886654944383E-2</v>
      </c>
      <c r="AJ40" s="47">
        <f>AVERAGE(AJ5:AJ24)</f>
        <v>8.8445524481121692E-3</v>
      </c>
      <c r="AK40" s="47">
        <f>AVERAGE(AK5:AK24)</f>
        <v>2.6913512522116479E-2</v>
      </c>
      <c r="BE40" s="51">
        <f t="shared" si="12"/>
        <v>0.91672118675044689</v>
      </c>
      <c r="BH40" s="55">
        <f>AVERAGE(BH5:BH24)</f>
        <v>1.2126270960768529E-2</v>
      </c>
      <c r="BJ40" s="51">
        <f>AVERAGE(BJ5:BJ24)</f>
        <v>0.34308956258855927</v>
      </c>
      <c r="BK40" s="51">
        <f>AVERAGE(BK5:BK24)</f>
        <v>0.100166017683957</v>
      </c>
      <c r="BL40" s="51">
        <f>AVERAGE(BL5:BL24)</f>
        <v>0.13652612693991217</v>
      </c>
      <c r="BM40" s="51">
        <f>AVERAGE(BM5:BM24)</f>
        <v>0.10544587382410558</v>
      </c>
      <c r="BN40" s="51">
        <f>AVERAGE(BN5:BN24)</f>
        <v>0.25840944085881934</v>
      </c>
      <c r="BP40" s="51">
        <f>AVERAGE(BP5:BP24)</f>
        <v>0.87043459683159019</v>
      </c>
      <c r="BQ40" s="51">
        <f>AVERAGE(BQ5:BQ24)</f>
        <v>0.20910116673605594</v>
      </c>
      <c r="BR40" s="51">
        <f>AVERAGE(BR5:BR24)</f>
        <v>9.7687510970446534E-2</v>
      </c>
      <c r="BS40" s="51">
        <f>AVERAGE(BS5:BS24)</f>
        <v>6.7628162736786401E-2</v>
      </c>
      <c r="BT40" s="51">
        <f>AVERAGE(BT5:BT24)</f>
        <v>0.18082288970317068</v>
      </c>
    </row>
    <row r="41" spans="1:88" ht="16" x14ac:dyDescent="0.2">
      <c r="B41" s="46" t="s">
        <v>17</v>
      </c>
      <c r="J41" s="47">
        <f>AVERAGE(J25:J29)</f>
        <v>8.0184473190074892E-2</v>
      </c>
      <c r="K41" s="47">
        <f>AVERAGE(K25:K29)</f>
        <v>1.2464595817739278E-2</v>
      </c>
      <c r="L41" s="47">
        <f>AVERAGE(L25:L29)</f>
        <v>9.1151281892310389E-3</v>
      </c>
      <c r="M41" s="47">
        <f>AVERAGE(M25:M29)</f>
        <v>6.7719877372335618E-2</v>
      </c>
      <c r="AH41" s="47">
        <f>AVERAGE(AH25:AH29)</f>
        <v>6.3374316268659775E-2</v>
      </c>
      <c r="AI41" s="47">
        <f>AVERAGE(AI25:AI29)</f>
        <v>1.0876125157195772E-2</v>
      </c>
      <c r="AJ41" s="47">
        <f>AVERAGE(AJ25:AJ29)</f>
        <v>7.8908875462593928E-3</v>
      </c>
      <c r="AK41" s="47">
        <f>AVERAGE(AK25:AK29)</f>
        <v>5.2498191111464011E-2</v>
      </c>
      <c r="BE41" s="51">
        <f t="shared" si="12"/>
        <v>0.87256139839826685</v>
      </c>
      <c r="BH41" s="55">
        <f>AVERAGE(BH25:BH29)</f>
        <v>1.9682266607293719E-2</v>
      </c>
      <c r="BJ41" s="51">
        <f>AVERAGE(BJ25:BJ29)</f>
        <v>0.50047008248796332</v>
      </c>
      <c r="BK41" s="51">
        <f>AVERAGE(BK25:BK29)</f>
        <v>6.3455973174930236E-2</v>
      </c>
      <c r="BL41" s="51">
        <f>AVERAGE(BL25:BL29)</f>
        <v>0.31601827144732075</v>
      </c>
      <c r="BM41" s="51">
        <f>AVERAGE(BM25:BM29)</f>
        <v>0.31712954557319484</v>
      </c>
      <c r="BN41" s="51">
        <f>AVERAGE(BN25:BN29)</f>
        <v>0.55571928094339174</v>
      </c>
      <c r="BP41" s="51">
        <f>AVERAGE(BP25:BP29)</f>
        <v>1.6180153786740252</v>
      </c>
      <c r="BQ41" s="51">
        <f>AVERAGE(BQ25:BQ29)</f>
        <v>0.16361605741012308</v>
      </c>
      <c r="BR41" s="51">
        <f>AVERAGE(BR25:BR29)</f>
        <v>0.26429630257232395</v>
      </c>
      <c r="BS41" s="51">
        <f>AVERAGE(BS25:BS29)</f>
        <v>0.26943415712250673</v>
      </c>
      <c r="BT41" s="51">
        <f>AVERAGE(BT25:BT29)</f>
        <v>0.46857186847360421</v>
      </c>
    </row>
    <row r="42" spans="1:88" ht="16" x14ac:dyDescent="0.2">
      <c r="B42" s="46" t="s">
        <v>18</v>
      </c>
      <c r="J42" s="47">
        <f>AVERAGE(J30:J39)</f>
        <v>5.5243037645730686E-2</v>
      </c>
      <c r="K42" s="47">
        <f>AVERAGE(K30:K39)</f>
        <v>2.0098335575239341E-2</v>
      </c>
      <c r="L42" s="47">
        <f>AVERAGE(L30:L39)</f>
        <v>1.5038954141750719E-2</v>
      </c>
      <c r="M42" s="47">
        <f>AVERAGE(M30:M39)</f>
        <v>3.5144702070491349E-2</v>
      </c>
      <c r="AH42" s="47">
        <f>AVERAGE(AH30:AH39)</f>
        <v>4.9142800310965365E-2</v>
      </c>
      <c r="AI42" s="47">
        <f>AVERAGE(AI30:AI39)</f>
        <v>1.8286586085810727E-2</v>
      </c>
      <c r="AJ42" s="47">
        <f>AVERAGE(AJ30:AJ39)</f>
        <v>1.3620113576380721E-2</v>
      </c>
      <c r="AK42" s="47">
        <f>AVERAGE(AK30:AK39)</f>
        <v>3.0856214225154645E-2</v>
      </c>
      <c r="BE42" s="51">
        <f t="shared" si="12"/>
        <v>0.90985574488761922</v>
      </c>
      <c r="BH42" s="55">
        <f>AVERAGE(BH30:BH39)</f>
        <v>6.9631978663482752E-3</v>
      </c>
      <c r="BJ42" s="51">
        <f>AVERAGE(BJ30:BJ39)</f>
        <v>0.42377275161645367</v>
      </c>
      <c r="BK42" s="51">
        <f>AVERAGE(BK30:BK39)</f>
        <v>1.1305111382042821E-3</v>
      </c>
      <c r="BL42" s="51">
        <f>AVERAGE(BL30:BL39)</f>
        <v>0.20525917736736843</v>
      </c>
      <c r="BM42" s="51">
        <f>AVERAGE(BM30:BM39)</f>
        <v>0.10930340524287119</v>
      </c>
      <c r="BN42" s="51">
        <f>AVERAGE(BN30:BN39)</f>
        <v>5.8808622716641556E-2</v>
      </c>
      <c r="BP42" s="51">
        <f>AVERAGE(BP30:BP39)</f>
        <v>0.94826357003551232</v>
      </c>
      <c r="BQ42" s="51">
        <f>AVERAGE(BQ30:BQ39)</f>
        <v>4.4046036517952469E-2</v>
      </c>
      <c r="BR42" s="51">
        <f>AVERAGE(BR30:BR39)</f>
        <v>0.13615928193836413</v>
      </c>
      <c r="BS42" s="51">
        <f>AVERAGE(BS30:BS39)</f>
        <v>6.6567869740297825E-2</v>
      </c>
      <c r="BT42" s="51">
        <f>AVERAGE(BT30:BT39)</f>
        <v>2.8108428381118156E-2</v>
      </c>
    </row>
    <row r="43" spans="1:88" ht="16" x14ac:dyDescent="0.2">
      <c r="B43" s="46" t="s">
        <v>19</v>
      </c>
      <c r="J43" s="47">
        <f>AVERAGE(J5:J39)</f>
        <v>5.2767392250359257E-2</v>
      </c>
      <c r="K43" s="47">
        <f>AVERAGE(K5:K39)</f>
        <v>1.5485506889257174E-2</v>
      </c>
      <c r="L43" s="47">
        <f>AVERAGE(L5:L39)</f>
        <v>1.1139730587674238E-2</v>
      </c>
      <c r="M43" s="47">
        <f>AVERAGE(M5:M39)</f>
        <v>3.728188536110208E-2</v>
      </c>
      <c r="AH43" s="47">
        <f>AVERAGE(AH5:AH39)</f>
        <v>4.5772787656976267E-2</v>
      </c>
      <c r="AI43" s="47">
        <f>AVERAGE(AI5:AI39)</f>
        <v>1.4077834849799251E-2</v>
      </c>
      <c r="AJ43" s="47">
        <f>AVERAGE(AJ5:AJ39)</f>
        <v>1.0072760641638501E-2</v>
      </c>
      <c r="AK43" s="47">
        <f>AVERAGE(AK5:AK39)</f>
        <v>3.1694952807177032E-2</v>
      </c>
      <c r="BE43" s="51">
        <f t="shared" si="12"/>
        <v>0.90909745160266764</v>
      </c>
      <c r="BH43" s="55">
        <f>AVERAGE(BH5:BH39)</f>
        <v>1.1730535169009198E-2</v>
      </c>
      <c r="BJ43" s="51">
        <f>AVERAGE(BJ5:BJ39)</f>
        <v>0.38862483372501538</v>
      </c>
      <c r="BK43" s="51">
        <f>AVERAGE(BK5:BK39)</f>
        <v>6.6625866598166689E-2</v>
      </c>
      <c r="BL43" s="51">
        <f>AVERAGE(BL5:BL39)</f>
        <v>0.18180587627738662</v>
      </c>
      <c r="BM43" s="51">
        <f>AVERAGE(BM5:BM39)</f>
        <v>0.13678855019362279</v>
      </c>
      <c r="BN43" s="51">
        <f>AVERAGE(BN5:BN39)</f>
        <v>0.24385346997313603</v>
      </c>
      <c r="BP43" s="51">
        <f>AVERAGE(BP5:BP39)</f>
        <v>0.99946870086734452</v>
      </c>
      <c r="BQ43" s="51">
        <f>AVERAGE(BQ5:BQ39)</f>
        <v>0.15544468534146455</v>
      </c>
      <c r="BR43" s="51">
        <f>AVERAGE(BR5:BR39)</f>
        <v>0.13248070147583405</v>
      </c>
      <c r="BS43" s="51">
        <f>AVERAGE(BS5:BS39)</f>
        <v>9.6154649650035423E-2</v>
      </c>
      <c r="BT43" s="51">
        <f>AVERAGE(BT5:BT39)</f>
        <v>0.17829718343550333</v>
      </c>
    </row>
    <row r="44" spans="1:88" ht="16" hidden="1" outlineLevel="2" x14ac:dyDescent="0.2">
      <c r="A44" s="46" t="s">
        <v>245</v>
      </c>
      <c r="B44" s="46" t="s">
        <v>246</v>
      </c>
      <c r="AB44" s="48">
        <f>SUM(AB5:AB24,AB25:AB29,AB30:AB39)</f>
        <v>115716.1</v>
      </c>
      <c r="AC44" s="48">
        <f>SUM(AC5:AC24,AC25:AC29,AC30:AC39)</f>
        <v>99857.21</v>
      </c>
      <c r="AD44" s="48">
        <f>SUM(AD5:AD24,AD25:AD29,AD30:AD39)</f>
        <v>771.32799999999986</v>
      </c>
      <c r="AE44" s="48">
        <f>SUM(AE5:AE24,AE25:AE29,AE30:AE39)</f>
        <v>640.26400000000001</v>
      </c>
      <c r="AZ44" s="48">
        <f>SUM(AZ5:AZ24,AZ25:AZ29,AZ30:AZ39)</f>
        <v>124793.84000000003</v>
      </c>
      <c r="BA44" s="48">
        <f>SUM(BA5:BA24,BA25:BA29,BA30:BA39)</f>
        <v>65888.103999999992</v>
      </c>
      <c r="BB44" s="48">
        <f>SUM(BB5:BB24,BB25:BB29,BB30:BB39)</f>
        <v>579.81799999999998</v>
      </c>
      <c r="BC44" s="48">
        <f>SUM(BC5:BC24,BC25:BC29,BC30:BC39)</f>
        <v>949.26499999999987</v>
      </c>
    </row>
    <row r="45" spans="1:88" ht="16" hidden="1" outlineLevel="2" x14ac:dyDescent="0.2">
      <c r="B45" s="46" t="s">
        <v>247</v>
      </c>
      <c r="AZ45" s="55">
        <f>AZ44/AB44</f>
        <v>1.0784483749452325</v>
      </c>
      <c r="BA45" s="55">
        <f>BA44/AC44</f>
        <v>0.65982320154949237</v>
      </c>
      <c r="BB45" s="55">
        <f>BB44/AD44</f>
        <v>0.75171392714902108</v>
      </c>
      <c r="BC45" s="55">
        <f>BC44/AE44</f>
        <v>1.4826149838191744</v>
      </c>
    </row>
    <row r="46" spans="1:88" ht="16" hidden="1" outlineLevel="2" x14ac:dyDescent="0.2">
      <c r="B46" s="46" t="s">
        <v>248</v>
      </c>
      <c r="AB46" s="48">
        <f>GEOMEAN(AB5:AB24,AB25:AB29,AB30:AB39)</f>
        <v>3135.7980604223867</v>
      </c>
      <c r="AC46" s="48">
        <f>GEOMEAN(AC5:AC24,AC25:AC29,AC30:AC39)</f>
        <v>2372.164310088971</v>
      </c>
      <c r="AD46" s="48">
        <f>GEOMEAN(AD5:AD24,AD25:AD29,AD30:AD39)</f>
        <v>18.575603744785184</v>
      </c>
      <c r="AE46" s="48">
        <f>GEOMEAN(AE5:AE24,AE25:AE29,AE30:AE39)</f>
        <v>15.607504487029411</v>
      </c>
      <c r="AZ46" s="48">
        <f>GEOMEAN(AZ5:AZ24,AZ25:AZ29,AZ30:AZ39)</f>
        <v>3356.5571863588389</v>
      </c>
      <c r="BA46" s="48">
        <f>GEOMEAN(BA5:BA24,BA25:BA29,BA30:BA39)</f>
        <v>1682.6777115914801</v>
      </c>
      <c r="BB46" s="48">
        <f>GEOMEAN(BB5:BB24,BB25:BB29,BB30:BB39)</f>
        <v>13.975323984756697</v>
      </c>
      <c r="BC46" s="48">
        <f>GEOMEAN(BC5:BC24,BC25:BC29,BC30:BC39)</f>
        <v>24.203991043363423</v>
      </c>
    </row>
    <row r="47" spans="1:88" ht="16" outlineLevel="2" collapsed="1" x14ac:dyDescent="0.2">
      <c r="B47" s="46" t="s">
        <v>249</v>
      </c>
      <c r="AZ47" s="55">
        <f>AZ46/AB46</f>
        <v>1.0703996627597621</v>
      </c>
      <c r="BA47" s="55">
        <f>BA46/AC46</f>
        <v>0.70934281594025383</v>
      </c>
      <c r="BB47" s="55">
        <f>BB46/AD46</f>
        <v>0.75234830462401825</v>
      </c>
      <c r="BC47" s="55">
        <f>BC46/AE46</f>
        <v>1.5507918683270672</v>
      </c>
    </row>
  </sheetData>
  <mergeCells count="48">
    <mergeCell ref="CE2:CG2"/>
    <mergeCell ref="BV2:BV3"/>
    <mergeCell ref="BW2:BW3"/>
    <mergeCell ref="BX2:BX3"/>
    <mergeCell ref="BY2:CB2"/>
    <mergeCell ref="CC2:CD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H1" sqref="H1:AC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1" t="s">
        <v>572</v>
      </c>
      <c r="B1" s="59"/>
      <c r="C1" s="59"/>
      <c r="D1" s="59"/>
      <c r="E1" s="59"/>
      <c r="F1" s="59"/>
      <c r="H1" s="67"/>
      <c r="I1" s="59"/>
      <c r="J1" s="59"/>
      <c r="K1" s="59"/>
      <c r="L1" s="59"/>
      <c r="M1" s="59"/>
      <c r="N1" s="59"/>
      <c r="O1" s="59"/>
      <c r="P1" s="59"/>
      <c r="Q1" s="59"/>
      <c r="R1" s="59"/>
      <c r="S1" s="59"/>
      <c r="T1" s="59"/>
      <c r="U1" s="59"/>
      <c r="V1" s="59"/>
      <c r="W1" s="59"/>
      <c r="X1" s="59"/>
      <c r="Y1" s="59"/>
      <c r="Z1" s="59"/>
      <c r="AA1" s="59"/>
      <c r="AB1" s="59"/>
      <c r="AC1" s="59"/>
      <c r="AE1" s="68"/>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3" t="s">
        <v>139</v>
      </c>
      <c r="B2" s="72" t="s">
        <v>140</v>
      </c>
      <c r="C2" s="73" t="s">
        <v>142</v>
      </c>
      <c r="D2" s="72" t="s">
        <v>143</v>
      </c>
      <c r="E2" s="73" t="s">
        <v>144</v>
      </c>
      <c r="F2" s="72" t="s">
        <v>145</v>
      </c>
      <c r="H2" s="73" t="s">
        <v>573</v>
      </c>
      <c r="I2" s="72" t="s">
        <v>146</v>
      </c>
      <c r="J2" s="70" t="s">
        <v>147</v>
      </c>
      <c r="K2" s="59"/>
      <c r="L2" s="59"/>
      <c r="M2" s="59"/>
      <c r="N2" s="73" t="s">
        <v>148</v>
      </c>
      <c r="O2" s="72" t="s">
        <v>149</v>
      </c>
      <c r="P2" s="73" t="s">
        <v>86</v>
      </c>
      <c r="Q2" s="69" t="s">
        <v>150</v>
      </c>
      <c r="R2" s="59"/>
      <c r="S2" s="59"/>
      <c r="T2" s="59"/>
      <c r="U2" s="70" t="s">
        <v>151</v>
      </c>
      <c r="V2" s="59"/>
      <c r="W2" s="69" t="s">
        <v>152</v>
      </c>
      <c r="X2" s="59"/>
      <c r="Y2" s="59"/>
      <c r="Z2" s="70" t="s">
        <v>153</v>
      </c>
      <c r="AA2" s="59"/>
      <c r="AB2" s="69" t="s">
        <v>154</v>
      </c>
      <c r="AC2" s="59"/>
      <c r="AE2" s="73" t="s">
        <v>573</v>
      </c>
      <c r="AF2" s="72" t="s">
        <v>146</v>
      </c>
      <c r="AG2" s="70" t="s">
        <v>147</v>
      </c>
      <c r="AH2" s="59"/>
      <c r="AI2" s="59"/>
      <c r="AJ2" s="59"/>
      <c r="AK2" s="73" t="s">
        <v>155</v>
      </c>
      <c r="AL2" s="72" t="s">
        <v>149</v>
      </c>
      <c r="AM2" s="73" t="s">
        <v>86</v>
      </c>
      <c r="AN2" s="69" t="s">
        <v>150</v>
      </c>
      <c r="AO2" s="59"/>
      <c r="AP2" s="59"/>
      <c r="AQ2" s="59"/>
      <c r="AR2" s="70" t="s">
        <v>151</v>
      </c>
      <c r="AS2" s="59"/>
      <c r="AT2" s="69" t="s">
        <v>152</v>
      </c>
      <c r="AU2" s="59"/>
      <c r="AV2" s="59"/>
      <c r="AW2" s="70" t="s">
        <v>153</v>
      </c>
      <c r="AX2" s="59"/>
      <c r="AY2" s="69" t="s">
        <v>154</v>
      </c>
      <c r="AZ2" s="59"/>
      <c r="BB2" s="70" t="s">
        <v>24</v>
      </c>
      <c r="BC2" s="59"/>
      <c r="BD2" s="59"/>
      <c r="BE2" s="59"/>
      <c r="BF2" s="72" t="s">
        <v>158</v>
      </c>
      <c r="BG2" s="73" t="s">
        <v>158</v>
      </c>
      <c r="BI2" s="73" t="s">
        <v>86</v>
      </c>
      <c r="BJ2" s="69" t="s">
        <v>150</v>
      </c>
      <c r="BK2" s="59"/>
      <c r="BL2" s="59"/>
      <c r="BM2" s="59"/>
    </row>
    <row r="3" spans="1:68" ht="29" customHeight="1" thickBot="1" x14ac:dyDescent="0.25">
      <c r="A3" s="61"/>
      <c r="B3" s="61"/>
      <c r="C3" s="61"/>
      <c r="D3" s="61"/>
      <c r="E3" s="61"/>
      <c r="F3" s="61"/>
      <c r="H3" s="61"/>
      <c r="I3" s="61"/>
      <c r="J3" s="56" t="s">
        <v>27</v>
      </c>
      <c r="K3" s="56" t="s">
        <v>25</v>
      </c>
      <c r="L3" s="56" t="s">
        <v>159</v>
      </c>
      <c r="M3" s="56" t="s">
        <v>160</v>
      </c>
      <c r="N3" s="61"/>
      <c r="O3" s="61"/>
      <c r="P3" s="61"/>
      <c r="Q3" s="57" t="s">
        <v>27</v>
      </c>
      <c r="R3" s="57" t="s">
        <v>159</v>
      </c>
      <c r="S3" s="57" t="s">
        <v>161</v>
      </c>
      <c r="T3" s="57" t="s">
        <v>26</v>
      </c>
      <c r="U3" s="56" t="s">
        <v>11</v>
      </c>
      <c r="V3" s="56" t="s">
        <v>12</v>
      </c>
      <c r="W3" s="57" t="s">
        <v>13</v>
      </c>
      <c r="X3" s="57" t="s">
        <v>14</v>
      </c>
      <c r="Y3" s="57" t="s">
        <v>15</v>
      </c>
      <c r="Z3" s="56" t="s">
        <v>162</v>
      </c>
      <c r="AA3" s="56" t="s">
        <v>163</v>
      </c>
      <c r="AB3" s="57" t="s">
        <v>162</v>
      </c>
      <c r="AC3" s="57" t="s">
        <v>163</v>
      </c>
      <c r="AE3" s="61"/>
      <c r="AF3" s="61"/>
      <c r="AG3" s="56" t="s">
        <v>27</v>
      </c>
      <c r="AH3" s="56" t="s">
        <v>25</v>
      </c>
      <c r="AI3" s="56" t="s">
        <v>159</v>
      </c>
      <c r="AJ3" s="56" t="s">
        <v>160</v>
      </c>
      <c r="AK3" s="61"/>
      <c r="AL3" s="61"/>
      <c r="AM3" s="61"/>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1"/>
      <c r="BG3" s="61"/>
      <c r="BI3" s="61"/>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241</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239</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580</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581</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U2:V2"/>
  </mergeCells>
  <phoneticPr fontId="2"/>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K5" activePane="bottomRight" state="frozen"/>
      <selection pane="topRight" activeCell="C1" sqref="C1"/>
      <selection pane="bottomLeft" activeCell="A5" sqref="A5"/>
      <selection pane="bottomRight" activeCell="AE1" sqref="AE1:AZ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1" t="s">
        <v>582</v>
      </c>
      <c r="B1" s="59"/>
      <c r="C1" s="59"/>
      <c r="D1" s="59"/>
      <c r="E1" s="59"/>
      <c r="F1" s="59"/>
      <c r="H1" s="67"/>
      <c r="I1" s="59"/>
      <c r="J1" s="59"/>
      <c r="K1" s="59"/>
      <c r="L1" s="59"/>
      <c r="M1" s="59"/>
      <c r="N1" s="59"/>
      <c r="O1" s="59"/>
      <c r="P1" s="59"/>
      <c r="Q1" s="59"/>
      <c r="R1" s="59"/>
      <c r="S1" s="59"/>
      <c r="T1" s="59"/>
      <c r="U1" s="59"/>
      <c r="V1" s="59"/>
      <c r="W1" s="59"/>
      <c r="X1" s="59"/>
      <c r="Y1" s="59"/>
      <c r="Z1" s="59"/>
      <c r="AA1" s="59"/>
      <c r="AB1" s="59"/>
      <c r="AC1" s="59"/>
      <c r="AE1" s="68"/>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3" t="s">
        <v>139</v>
      </c>
      <c r="B2" s="72" t="s">
        <v>140</v>
      </c>
      <c r="C2" s="73" t="s">
        <v>142</v>
      </c>
      <c r="D2" s="72" t="s">
        <v>143</v>
      </c>
      <c r="E2" s="73" t="s">
        <v>144</v>
      </c>
      <c r="F2" s="72" t="s">
        <v>145</v>
      </c>
      <c r="H2" s="73" t="s">
        <v>573</v>
      </c>
      <c r="I2" s="72" t="s">
        <v>146</v>
      </c>
      <c r="J2" s="70" t="s">
        <v>147</v>
      </c>
      <c r="K2" s="59"/>
      <c r="L2" s="59"/>
      <c r="M2" s="59"/>
      <c r="N2" s="73" t="s">
        <v>148</v>
      </c>
      <c r="O2" s="72" t="s">
        <v>149</v>
      </c>
      <c r="P2" s="73" t="s">
        <v>86</v>
      </c>
      <c r="Q2" s="69" t="s">
        <v>150</v>
      </c>
      <c r="R2" s="59"/>
      <c r="S2" s="59"/>
      <c r="T2" s="59"/>
      <c r="U2" s="70" t="s">
        <v>151</v>
      </c>
      <c r="V2" s="59"/>
      <c r="W2" s="69" t="s">
        <v>152</v>
      </c>
      <c r="X2" s="59"/>
      <c r="Y2" s="59"/>
      <c r="Z2" s="70" t="s">
        <v>153</v>
      </c>
      <c r="AA2" s="59"/>
      <c r="AB2" s="69" t="s">
        <v>154</v>
      </c>
      <c r="AC2" s="59"/>
      <c r="AE2" s="73" t="s">
        <v>573</v>
      </c>
      <c r="AF2" s="72" t="s">
        <v>146</v>
      </c>
      <c r="AG2" s="70" t="s">
        <v>147</v>
      </c>
      <c r="AH2" s="59"/>
      <c r="AI2" s="59"/>
      <c r="AJ2" s="59"/>
      <c r="AK2" s="73" t="s">
        <v>155</v>
      </c>
      <c r="AL2" s="72" t="s">
        <v>149</v>
      </c>
      <c r="AM2" s="73" t="s">
        <v>86</v>
      </c>
      <c r="AN2" s="69" t="s">
        <v>150</v>
      </c>
      <c r="AO2" s="59"/>
      <c r="AP2" s="59"/>
      <c r="AQ2" s="59"/>
      <c r="AR2" s="70" t="s">
        <v>151</v>
      </c>
      <c r="AS2" s="59"/>
      <c r="AT2" s="69" t="s">
        <v>152</v>
      </c>
      <c r="AU2" s="59"/>
      <c r="AV2" s="59"/>
      <c r="AW2" s="70" t="s">
        <v>153</v>
      </c>
      <c r="AX2" s="59"/>
      <c r="AY2" s="69" t="s">
        <v>154</v>
      </c>
      <c r="AZ2" s="59"/>
      <c r="BB2" s="70" t="s">
        <v>24</v>
      </c>
      <c r="BC2" s="59"/>
      <c r="BD2" s="59"/>
      <c r="BE2" s="59"/>
      <c r="BF2" s="72" t="s">
        <v>158</v>
      </c>
      <c r="BG2" s="73" t="s">
        <v>158</v>
      </c>
      <c r="BI2" s="73" t="s">
        <v>86</v>
      </c>
      <c r="BJ2" s="69" t="s">
        <v>150</v>
      </c>
      <c r="BK2" s="59"/>
      <c r="BL2" s="59"/>
      <c r="BM2" s="59"/>
    </row>
    <row r="3" spans="1:68" ht="29" customHeight="1" thickBot="1" x14ac:dyDescent="0.25">
      <c r="A3" s="61"/>
      <c r="B3" s="61"/>
      <c r="C3" s="61"/>
      <c r="D3" s="61"/>
      <c r="E3" s="61"/>
      <c r="F3" s="61"/>
      <c r="H3" s="61"/>
      <c r="I3" s="61"/>
      <c r="J3" s="56" t="s">
        <v>27</v>
      </c>
      <c r="K3" s="56" t="s">
        <v>25</v>
      </c>
      <c r="L3" s="56" t="s">
        <v>159</v>
      </c>
      <c r="M3" s="56" t="s">
        <v>160</v>
      </c>
      <c r="N3" s="61"/>
      <c r="O3" s="61"/>
      <c r="P3" s="61"/>
      <c r="Q3" s="57" t="s">
        <v>27</v>
      </c>
      <c r="R3" s="57" t="s">
        <v>159</v>
      </c>
      <c r="S3" s="57" t="s">
        <v>161</v>
      </c>
      <c r="T3" s="57" t="s">
        <v>26</v>
      </c>
      <c r="U3" s="56" t="s">
        <v>11</v>
      </c>
      <c r="V3" s="56" t="s">
        <v>12</v>
      </c>
      <c r="W3" s="57" t="s">
        <v>13</v>
      </c>
      <c r="X3" s="57" t="s">
        <v>14</v>
      </c>
      <c r="Y3" s="57" t="s">
        <v>15</v>
      </c>
      <c r="Z3" s="56" t="s">
        <v>162</v>
      </c>
      <c r="AA3" s="56" t="s">
        <v>163</v>
      </c>
      <c r="AB3" s="57" t="s">
        <v>162</v>
      </c>
      <c r="AC3" s="57" t="s">
        <v>163</v>
      </c>
      <c r="AE3" s="61"/>
      <c r="AF3" s="61"/>
      <c r="AG3" s="56" t="s">
        <v>27</v>
      </c>
      <c r="AH3" s="56" t="s">
        <v>25</v>
      </c>
      <c r="AI3" s="56" t="s">
        <v>159</v>
      </c>
      <c r="AJ3" s="56" t="s">
        <v>160</v>
      </c>
      <c r="AK3" s="61"/>
      <c r="AL3" s="61"/>
      <c r="AM3" s="61"/>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1"/>
      <c r="BG3" s="61"/>
      <c r="BI3" s="61"/>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239</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583</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584</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585</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U2:V2"/>
  </mergeCells>
  <phoneticPr fontId="2"/>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tabSelected="1" zoomScale="80" zoomScaleNormal="80" workbookViewId="0">
      <pane xSplit="2" ySplit="4" topLeftCell="AP5" activePane="bottomRight" state="frozen"/>
      <selection pane="topRight" activeCell="C1" sqref="C1"/>
      <selection pane="bottomLeft" activeCell="A5" sqref="A5"/>
      <selection pane="bottomRight" activeCell="AT12" sqref="AT12"/>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1" t="s">
        <v>586</v>
      </c>
      <c r="B1" s="59"/>
      <c r="C1" s="59"/>
      <c r="D1" s="59"/>
      <c r="E1" s="59"/>
      <c r="F1" s="59"/>
      <c r="G1" s="59"/>
      <c r="I1" s="67" t="s">
        <v>591</v>
      </c>
      <c r="J1" s="59"/>
      <c r="K1" s="59"/>
      <c r="L1" s="59"/>
      <c r="M1" s="59"/>
      <c r="N1" s="59"/>
      <c r="O1" s="59"/>
      <c r="P1" s="59"/>
      <c r="Q1" s="59"/>
      <c r="R1" s="59"/>
      <c r="S1" s="59"/>
      <c r="T1" s="59"/>
      <c r="U1" s="59"/>
      <c r="V1" s="59"/>
      <c r="W1" s="59"/>
      <c r="X1" s="59"/>
      <c r="Y1" s="59"/>
      <c r="Z1" s="59"/>
      <c r="AA1" s="59"/>
      <c r="AB1" s="59"/>
      <c r="AC1" s="59"/>
      <c r="AD1" s="59"/>
      <c r="AE1" s="59"/>
      <c r="AG1" s="68" t="s">
        <v>592</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3" t="s">
        <v>139</v>
      </c>
      <c r="B2" s="72" t="s">
        <v>140</v>
      </c>
      <c r="C2" s="73" t="s">
        <v>141</v>
      </c>
      <c r="D2" s="72" t="s">
        <v>142</v>
      </c>
      <c r="E2" s="73" t="s">
        <v>143</v>
      </c>
      <c r="F2" s="72" t="s">
        <v>144</v>
      </c>
      <c r="G2" s="73" t="s">
        <v>145</v>
      </c>
      <c r="I2" s="72" t="s">
        <v>146</v>
      </c>
      <c r="J2" s="70" t="s">
        <v>147</v>
      </c>
      <c r="K2" s="59"/>
      <c r="L2" s="59"/>
      <c r="M2" s="59"/>
      <c r="N2" s="73" t="s">
        <v>148</v>
      </c>
      <c r="O2" s="72" t="s">
        <v>149</v>
      </c>
      <c r="P2" s="73" t="s">
        <v>86</v>
      </c>
      <c r="Q2" s="72" t="s">
        <v>88</v>
      </c>
      <c r="R2" s="73" t="s">
        <v>84</v>
      </c>
      <c r="S2" s="69" t="s">
        <v>150</v>
      </c>
      <c r="T2" s="59"/>
      <c r="U2" s="59"/>
      <c r="V2" s="59"/>
      <c r="W2" s="70" t="s">
        <v>151</v>
      </c>
      <c r="X2" s="59"/>
      <c r="Y2" s="69" t="s">
        <v>152</v>
      </c>
      <c r="Z2" s="59"/>
      <c r="AA2" s="59"/>
      <c r="AB2" s="70" t="s">
        <v>153</v>
      </c>
      <c r="AC2" s="59"/>
      <c r="AD2" s="69" t="s">
        <v>154</v>
      </c>
      <c r="AE2" s="59"/>
      <c r="AG2" s="73" t="s">
        <v>146</v>
      </c>
      <c r="AH2" s="69" t="s">
        <v>147</v>
      </c>
      <c r="AI2" s="59"/>
      <c r="AJ2" s="59"/>
      <c r="AK2" s="59"/>
      <c r="AL2" s="72" t="s">
        <v>155</v>
      </c>
      <c r="AM2" s="73" t="s">
        <v>149</v>
      </c>
      <c r="AN2" s="72" t="s">
        <v>86</v>
      </c>
      <c r="AO2" s="73" t="s">
        <v>88</v>
      </c>
      <c r="AP2" s="72" t="s">
        <v>84</v>
      </c>
      <c r="AQ2" s="70" t="s">
        <v>150</v>
      </c>
      <c r="AR2" s="59"/>
      <c r="AS2" s="59"/>
      <c r="AT2" s="59"/>
      <c r="AU2" s="69" t="s">
        <v>151</v>
      </c>
      <c r="AV2" s="59"/>
      <c r="AW2" s="70" t="s">
        <v>152</v>
      </c>
      <c r="AX2" s="59"/>
      <c r="AY2" s="59"/>
      <c r="AZ2" s="69" t="s">
        <v>153</v>
      </c>
      <c r="BA2" s="59"/>
      <c r="BB2" s="70" t="s">
        <v>154</v>
      </c>
      <c r="BC2" s="59"/>
      <c r="BE2" s="72" t="s">
        <v>156</v>
      </c>
      <c r="BF2" s="73" t="s">
        <v>157</v>
      </c>
      <c r="BG2" s="72" t="s">
        <v>158</v>
      </c>
      <c r="BH2" s="73" t="s">
        <v>158</v>
      </c>
      <c r="BJ2" s="69" t="s">
        <v>7</v>
      </c>
      <c r="BK2" s="59"/>
      <c r="BL2" s="70" t="s">
        <v>8</v>
      </c>
      <c r="BM2" s="59"/>
      <c r="BN2" s="59"/>
      <c r="BP2" s="69" t="s">
        <v>9</v>
      </c>
      <c r="BQ2" s="59"/>
      <c r="BR2" s="70" t="s">
        <v>10</v>
      </c>
      <c r="BS2" s="59"/>
      <c r="BT2" s="59"/>
      <c r="BV2" s="72" t="s">
        <v>86</v>
      </c>
      <c r="BW2" s="73" t="s">
        <v>88</v>
      </c>
      <c r="BX2" s="72" t="s">
        <v>84</v>
      </c>
      <c r="BY2" s="70" t="s">
        <v>150</v>
      </c>
      <c r="BZ2" s="59"/>
      <c r="CA2" s="59"/>
      <c r="CB2" s="59"/>
      <c r="CC2" s="69" t="s">
        <v>151</v>
      </c>
      <c r="CD2" s="59"/>
      <c r="CE2" s="70" t="s">
        <v>152</v>
      </c>
      <c r="CF2" s="59"/>
      <c r="CG2" s="59"/>
    </row>
    <row r="3" spans="1:88" ht="33" thickBot="1" x14ac:dyDescent="0.25">
      <c r="A3" s="61"/>
      <c r="B3" s="61"/>
      <c r="C3" s="61"/>
      <c r="D3" s="61"/>
      <c r="E3" s="61"/>
      <c r="F3" s="61"/>
      <c r="G3" s="61"/>
      <c r="I3" s="61"/>
      <c r="J3" s="56" t="s">
        <v>27</v>
      </c>
      <c r="K3" s="56" t="s">
        <v>25</v>
      </c>
      <c r="L3" s="56" t="s">
        <v>159</v>
      </c>
      <c r="M3" s="56" t="s">
        <v>160</v>
      </c>
      <c r="N3" s="61"/>
      <c r="O3" s="61"/>
      <c r="P3" s="61"/>
      <c r="Q3" s="61"/>
      <c r="R3" s="61"/>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1"/>
      <c r="AH3" s="57" t="s">
        <v>27</v>
      </c>
      <c r="AI3" s="57" t="s">
        <v>25</v>
      </c>
      <c r="AJ3" s="57" t="s">
        <v>159</v>
      </c>
      <c r="AK3" s="57" t="s">
        <v>160</v>
      </c>
      <c r="AL3" s="61"/>
      <c r="AM3" s="61"/>
      <c r="AN3" s="61"/>
      <c r="AO3" s="61"/>
      <c r="AP3" s="61"/>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1"/>
      <c r="BF3" s="61"/>
      <c r="BG3" s="61"/>
      <c r="BH3" s="61"/>
      <c r="BJ3" s="57" t="s">
        <v>11</v>
      </c>
      <c r="BK3" s="57" t="s">
        <v>12</v>
      </c>
      <c r="BL3" s="56" t="s">
        <v>13</v>
      </c>
      <c r="BM3" s="56" t="s">
        <v>14</v>
      </c>
      <c r="BN3" s="56" t="s">
        <v>15</v>
      </c>
      <c r="BP3" s="57" t="s">
        <v>11</v>
      </c>
      <c r="BQ3" s="57" t="s">
        <v>12</v>
      </c>
      <c r="BR3" s="56" t="s">
        <v>13</v>
      </c>
      <c r="BS3" s="56" t="s">
        <v>14</v>
      </c>
      <c r="BT3" s="56" t="s">
        <v>15</v>
      </c>
      <c r="BV3" s="61"/>
      <c r="BW3" s="61"/>
      <c r="BX3" s="61"/>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1.0443150000000001</v>
      </c>
      <c r="J5" s="11">
        <f t="shared" ref="J5:J39" si="1">IF(ISBLANK(S5),"·",S5/D5)</f>
        <v>4.6775262699656024E-3</v>
      </c>
      <c r="K5" s="11">
        <f t="shared" ref="K5:K39" si="2">IF(N5="","·",N5/D5)</f>
        <v>4.0576386479860621E-3</v>
      </c>
      <c r="L5" s="11">
        <f t="shared" ref="L5:L39" si="3">IF(T5="","·",T5/D5)</f>
        <v>2.5510359298285567E-3</v>
      </c>
      <c r="M5" s="11">
        <f t="shared" ref="M5:M39" si="4">IF(ISBLANK(V5),"·",V5/D5)</f>
        <v>6.1988762197954118E-4</v>
      </c>
      <c r="N5" s="52">
        <f t="shared" ref="N5:N39" si="5">IF(OR(ISBLANK(T5),ISBLANK(U5)),"",T5+U5)</f>
        <v>966312</v>
      </c>
      <c r="O5" s="11">
        <v>16</v>
      </c>
      <c r="P5" s="12">
        <v>23582209</v>
      </c>
      <c r="Q5" s="12">
        <v>736944.03125</v>
      </c>
      <c r="R5" s="12">
        <v>16984.9375</v>
      </c>
      <c r="S5" s="13">
        <v>1113936</v>
      </c>
      <c r="T5" s="13">
        <v>607520</v>
      </c>
      <c r="U5" s="13">
        <v>358792</v>
      </c>
      <c r="V5" s="13">
        <v>147624</v>
      </c>
      <c r="W5" s="14">
        <v>66.845706250000006</v>
      </c>
      <c r="X5" s="14">
        <v>68.619975000000011</v>
      </c>
      <c r="Y5" s="14">
        <v>31.71370000000001</v>
      </c>
      <c r="Z5" s="14">
        <v>44.621000000000002</v>
      </c>
      <c r="AA5" s="14">
        <v>44.121778124999999</v>
      </c>
      <c r="AB5" s="15">
        <v>3335.76</v>
      </c>
      <c r="AC5" s="15">
        <v>4190.62</v>
      </c>
      <c r="AD5" s="15">
        <v>11.492000000000001</v>
      </c>
      <c r="AE5" s="15">
        <v>7.68</v>
      </c>
      <c r="AG5" s="10">
        <f t="shared" ref="AG5:AG39" si="6">IF(OR(ISBLANK(AQ5),ISBLANK(G5)),"·",AQ5*G5/F5/1000000)</f>
        <v>0.90081</v>
      </c>
      <c r="AH5" s="11">
        <f t="shared" ref="AH5:AH39" si="7">IF(ISBLANK(AQ5),"·",AQ5/D5)</f>
        <v>4.0347619628634222E-3</v>
      </c>
      <c r="AI5" s="11">
        <f t="shared" ref="AI5:AI39" si="8">IF(AL5="","·",AL5/D5)</f>
        <v>3.4504155051419613E-3</v>
      </c>
      <c r="AJ5" s="11">
        <f t="shared" ref="AJ5:AJ39" si="9">IF(AR5="","·",AR5/D5)</f>
        <v>2.148896726299749E-3</v>
      </c>
      <c r="AK5" s="11">
        <f t="shared" ref="AK5:AK39" si="10">IF(ISBLANK(AT5),"·",AT5/D5)</f>
        <v>5.843464577214609E-4</v>
      </c>
      <c r="AL5" s="52">
        <f t="shared" ref="AL5:AL39" si="11">IF(OR(ISBLANK(AR5),ISBLANK(AS5)),"",AR5+AS5)</f>
        <v>821704</v>
      </c>
      <c r="AM5" s="11">
        <v>16</v>
      </c>
      <c r="AN5" s="12">
        <v>16790722</v>
      </c>
      <c r="AO5" s="12">
        <v>524710.0625</v>
      </c>
      <c r="AP5" s="12">
        <v>10901.40625</v>
      </c>
      <c r="AQ5" s="13">
        <v>960864</v>
      </c>
      <c r="AR5" s="13">
        <v>511752</v>
      </c>
      <c r="AS5" s="13">
        <v>309952</v>
      </c>
      <c r="AT5" s="13">
        <v>139160</v>
      </c>
      <c r="AU5" s="14">
        <v>64.904393999999996</v>
      </c>
      <c r="AV5" s="14">
        <v>67.619636999999997</v>
      </c>
      <c r="AW5" s="14">
        <v>31.131391000000001</v>
      </c>
      <c r="AX5" s="14">
        <v>43.786530999999997</v>
      </c>
      <c r="AY5" s="14">
        <v>43.066927999999997</v>
      </c>
      <c r="AZ5" s="15">
        <v>3243.33</v>
      </c>
      <c r="BA5" s="15">
        <v>2669.16</v>
      </c>
      <c r="BB5" s="15">
        <v>7.6749999999999998</v>
      </c>
      <c r="BC5" s="15">
        <v>12.987</v>
      </c>
      <c r="BE5" s="50">
        <f t="shared" ref="BE5:BE43" si="12">AI5/K5</f>
        <v>0.85035061139673307</v>
      </c>
      <c r="BF5" s="16">
        <f t="shared" ref="BF5:BF39" si="13">(AP5/AO5) - (R5/Q5)</f>
        <v>-2.2717412901651288E-3</v>
      </c>
      <c r="BG5" s="16">
        <f t="shared" ref="BG5:BG39" si="14">(AL5/AQ5) - (N5/S5)</f>
        <v>-1.2303318863183366E-2</v>
      </c>
      <c r="BH5" s="16">
        <f t="array" ref="BH5">AVERAGE(AL5:AL9/AQ5:AQ9) - AVERAGE(N5:N9/S5:S9)</f>
        <v>-1.2187531542263708E-2</v>
      </c>
      <c r="BJ5" s="50">
        <f>IF( OR(ISBLANK(N5:N9),ISBLANK(AL5:AL9), ISBLANK(W5:W9),ISBLANK(AU5:AU9)), "·", bdRateExtend( N5:N9,W5:W9, AL5:AL9,AU5:AU9))</f>
        <v>0.52748283882708424</v>
      </c>
      <c r="BK5" s="50">
        <f>IF( OR(ISBLANK(N5:N9),ISBLANK(AL5:AL9), ISBLANK(X5:X9),ISBLANK(AV5:AV9)), "·", bdRateExtend( N5:N9,X5:X9, AL5:AL9,AV5:AV9))</f>
        <v>1.8656952596376009E-2</v>
      </c>
      <c r="BL5" s="50">
        <f>IF( OR(ISBLANK(V5:V9),ISBLANK(AT5:AT9), ISBLANK(Y5:Y9),ISBLANK(AW5:AW9)), "·", bdRateExtend( V5:V9,Y5:Y9, AT5:AT9,AW5:AW9))</f>
        <v>0.3172083722249619</v>
      </c>
      <c r="BM5" s="50">
        <f>IF( OR(ISBLANK(V5:V9),ISBLANK(AT5:AT9), ISBLANK(Z5:Z9),ISBLANK(AX5:AX9)), "·", bdRateExtend( V5:V9,Z5:Z9, AT5:AT9,AX5:AX9))</f>
        <v>0.26235213585558492</v>
      </c>
      <c r="BN5" s="50">
        <f>IF( OR(ISBLANK(V5:V9),ISBLANK(AT5:AT9), ISBLANK(AA5:AA9),ISBLANK(AY5:AY9)), "·", bdRateExtend( V5:V9,AA5:AA9, AT5:AT9,AY5:AY9))</f>
        <v>0.29607341298991252</v>
      </c>
      <c r="BP5" s="50">
        <f>IF( OR(ISBLANK(S5:S9),ISBLANK(AQ5:AQ9), ISBLANK(W5:W9),ISBLANK(AU5:AU9)), "·", bdRateExtend( S5:S9,W5:W9, AQ5:AQ9,AU5:AU9))</f>
        <v>0.97523153415769626</v>
      </c>
      <c r="BQ5" s="50">
        <f>IF( OR(ISBLANK(S5:S9),ISBLANK(AQ5:AQ9), ISBLANK(X5:X9),ISBLANK(AV5:AV9)), "·", bdRateExtend( S5:S9,X5:X9, AQ5:AQ9,AV5:AV9))</f>
        <v>0.10787739681876185</v>
      </c>
      <c r="BR5" s="50">
        <f>IF( OR(ISBLANK(S5:S9),ISBLANK(AQ5:AQ9), ISBLANK(Y5:Y9),ISBLANK(AW5:AW9)), "·", bdRateExtend( S5:S9,Y5:Y9, AQ5:AQ9,AW5:AW9))</f>
        <v>8.5545489935676677E-2</v>
      </c>
      <c r="BS5" s="50">
        <f>IF( OR(ISBLANK(S5:S9),ISBLANK(AQ5:AQ9), ISBLANK(Z5:Z9),ISBLANK(AX5:AX9)), "·", bdRateExtend( S5:S9,Z5:Z9, AQ5:AQ9,AX5:AX9))</f>
        <v>5.117401371765129E-2</v>
      </c>
      <c r="BT5" s="50">
        <f>IF( OR(ISBLANK(S5:S9),ISBLANK(AQ5:AQ9), ISBLANK(AA5:AA9),ISBLANK(AY5:AY9)), "·", bdRateExtend( S5:S9,AA5:AA9, AQ5:AQ9,AY5:AY9))</f>
        <v>6.639142964315492E-2</v>
      </c>
      <c r="BV5" s="53">
        <f>AN5-P5</f>
        <v>-6791487</v>
      </c>
      <c r="BW5" s="53">
        <f t="shared" ref="BW5:CG20" si="15">AO5-Q5</f>
        <v>-212233.96875</v>
      </c>
      <c r="BX5" s="53">
        <f t="shared" si="15"/>
        <v>-6083.53125</v>
      </c>
      <c r="BY5" s="53">
        <f t="shared" si="15"/>
        <v>-153072</v>
      </c>
      <c r="BZ5" s="53">
        <f t="shared" si="15"/>
        <v>-95768</v>
      </c>
      <c r="CA5" s="53">
        <f t="shared" si="15"/>
        <v>-48840</v>
      </c>
      <c r="CB5" s="53">
        <f t="shared" si="15"/>
        <v>-8464</v>
      </c>
      <c r="CC5" s="53">
        <f t="shared" si="15"/>
        <v>-1.94131225000001</v>
      </c>
      <c r="CD5" s="53">
        <f t="shared" si="15"/>
        <v>-1.0003380000000135</v>
      </c>
      <c r="CE5" s="53">
        <f t="shared" si="15"/>
        <v>-0.58230900000000929</v>
      </c>
      <c r="CF5" s="53">
        <f t="shared" si="15"/>
        <v>-0.83446900000000568</v>
      </c>
      <c r="CG5" s="53">
        <f t="shared" si="15"/>
        <v>-1.0548501250000015</v>
      </c>
      <c r="CJ5" t="s">
        <v>233</v>
      </c>
    </row>
    <row r="6" spans="1:88" outlineLevel="1" x14ac:dyDescent="0.2">
      <c r="A6" s="17"/>
      <c r="B6" s="17" t="s">
        <v>51</v>
      </c>
      <c r="C6" s="18" t="s">
        <v>234</v>
      </c>
      <c r="D6" s="17">
        <v>238146391</v>
      </c>
      <c r="E6" s="18">
        <v>10</v>
      </c>
      <c r="F6" s="18">
        <v>32</v>
      </c>
      <c r="G6" s="18">
        <v>30</v>
      </c>
      <c r="I6" s="19">
        <f t="shared" si="0"/>
        <v>1.3556325</v>
      </c>
      <c r="J6" s="20">
        <f t="shared" si="1"/>
        <v>6.0719290933953307E-3</v>
      </c>
      <c r="K6" s="20">
        <f t="shared" si="2"/>
        <v>4.9478809863635516E-3</v>
      </c>
      <c r="L6" s="20">
        <f t="shared" si="3"/>
        <v>3.4412782682060462E-3</v>
      </c>
      <c r="M6" s="20">
        <f t="shared" si="4"/>
        <v>1.1240481070317794E-3</v>
      </c>
      <c r="N6" s="17">
        <f t="shared" si="5"/>
        <v>1178320</v>
      </c>
      <c r="O6" s="20">
        <v>16</v>
      </c>
      <c r="P6" s="21">
        <v>24777501</v>
      </c>
      <c r="Q6" s="21">
        <v>774296.90625</v>
      </c>
      <c r="R6" s="21">
        <v>19924.3125</v>
      </c>
      <c r="S6" s="22">
        <v>1446008</v>
      </c>
      <c r="T6" s="22">
        <v>819528</v>
      </c>
      <c r="U6" s="22">
        <v>358792</v>
      </c>
      <c r="V6" s="22">
        <v>267688</v>
      </c>
      <c r="W6" s="23">
        <v>68.552896875000002</v>
      </c>
      <c r="X6" s="23">
        <v>70.622062499999984</v>
      </c>
      <c r="Y6" s="23">
        <v>33.784087499999991</v>
      </c>
      <c r="Z6" s="23">
        <v>45.602718750000008</v>
      </c>
      <c r="AA6" s="23">
        <v>45.241318749999976</v>
      </c>
      <c r="AB6" s="24">
        <v>3272.79</v>
      </c>
      <c r="AC6" s="24">
        <v>4044.76</v>
      </c>
      <c r="AD6" s="24">
        <v>11.956</v>
      </c>
      <c r="AE6" s="24">
        <v>7.0119999999999996</v>
      </c>
      <c r="AG6" s="19">
        <f t="shared" si="6"/>
        <v>1.1553525</v>
      </c>
      <c r="AH6" s="20">
        <f t="shared" si="7"/>
        <v>5.1748674200987575E-3</v>
      </c>
      <c r="AI6" s="20">
        <f t="shared" si="8"/>
        <v>4.1635230995375446E-3</v>
      </c>
      <c r="AJ6" s="20">
        <f t="shared" si="9"/>
        <v>2.8620043206953323E-3</v>
      </c>
      <c r="AK6" s="20">
        <f t="shared" si="10"/>
        <v>1.0113443205612132E-3</v>
      </c>
      <c r="AL6" s="17">
        <f t="shared" si="11"/>
        <v>991528</v>
      </c>
      <c r="AM6" s="20">
        <v>16</v>
      </c>
      <c r="AN6" s="21">
        <v>17637343</v>
      </c>
      <c r="AO6" s="21">
        <v>551166.96875</v>
      </c>
      <c r="AP6" s="21">
        <v>12856.4375</v>
      </c>
      <c r="AQ6" s="22">
        <v>1232376</v>
      </c>
      <c r="AR6" s="22">
        <v>681576</v>
      </c>
      <c r="AS6" s="22">
        <v>309952</v>
      </c>
      <c r="AT6" s="22">
        <v>240848</v>
      </c>
      <c r="AU6" s="23">
        <v>66.204358999999997</v>
      </c>
      <c r="AV6" s="23">
        <v>69.629577999999995</v>
      </c>
      <c r="AW6" s="23">
        <v>32.967624999999998</v>
      </c>
      <c r="AX6" s="23">
        <v>44.838369</v>
      </c>
      <c r="AY6" s="23">
        <v>44.246068999999999</v>
      </c>
      <c r="AZ6" s="24">
        <v>3802.31</v>
      </c>
      <c r="BA6" s="24">
        <v>3676.66</v>
      </c>
      <c r="BB6" s="24">
        <v>10.96</v>
      </c>
      <c r="BC6" s="24">
        <v>19.283000000000001</v>
      </c>
      <c r="BE6" s="49">
        <f t="shared" si="12"/>
        <v>0.8414759997284269</v>
      </c>
      <c r="BF6" s="25">
        <f t="shared" si="13"/>
        <v>-2.406285948107021E-3</v>
      </c>
      <c r="BG6" s="25">
        <f t="shared" si="14"/>
        <v>-1.0311787080919621E-2</v>
      </c>
      <c r="BH6" s="25"/>
      <c r="BJ6" s="49"/>
      <c r="BK6" s="49"/>
      <c r="BL6" s="49"/>
      <c r="BM6" s="49"/>
      <c r="BN6" s="49"/>
      <c r="BP6" s="49"/>
      <c r="BQ6" s="49"/>
      <c r="BR6" s="49"/>
      <c r="BS6" s="49"/>
      <c r="BT6" s="49"/>
      <c r="BV6" s="53">
        <f t="shared" ref="BV6:CG39" si="16">AN6-P6</f>
        <v>-7140158</v>
      </c>
      <c r="BW6" s="53">
        <f t="shared" si="15"/>
        <v>-223129.9375</v>
      </c>
      <c r="BX6" s="53">
        <f t="shared" si="15"/>
        <v>-7067.875</v>
      </c>
      <c r="BY6" s="53">
        <f t="shared" si="15"/>
        <v>-213632</v>
      </c>
      <c r="BZ6" s="53">
        <f t="shared" si="15"/>
        <v>-137952</v>
      </c>
      <c r="CA6" s="53">
        <f t="shared" si="15"/>
        <v>-48840</v>
      </c>
      <c r="CB6" s="53">
        <f t="shared" si="15"/>
        <v>-26840</v>
      </c>
      <c r="CC6" s="53">
        <f t="shared" si="15"/>
        <v>-2.3485378750000052</v>
      </c>
      <c r="CD6" s="53">
        <f t="shared" si="15"/>
        <v>-0.99248449999998911</v>
      </c>
      <c r="CE6" s="53">
        <f t="shared" si="15"/>
        <v>-0.81646249999999299</v>
      </c>
      <c r="CF6" s="53">
        <f t="shared" si="15"/>
        <v>-0.76434975000000804</v>
      </c>
      <c r="CG6" s="53">
        <f t="shared" si="15"/>
        <v>-0.99524974999997795</v>
      </c>
      <c r="CJ6" t="s">
        <v>233</v>
      </c>
    </row>
    <row r="7" spans="1:88" outlineLevel="1" x14ac:dyDescent="0.2">
      <c r="A7" s="52"/>
      <c r="B7" s="52" t="s">
        <v>51</v>
      </c>
      <c r="C7" s="9" t="s">
        <v>235</v>
      </c>
      <c r="D7" s="52">
        <v>238146391</v>
      </c>
      <c r="E7" s="9">
        <v>10</v>
      </c>
      <c r="F7" s="9">
        <v>32</v>
      </c>
      <c r="G7" s="9">
        <v>30</v>
      </c>
      <c r="I7" s="10">
        <f t="shared" si="0"/>
        <v>1.8799950000000001</v>
      </c>
      <c r="J7" s="11">
        <f t="shared" si="1"/>
        <v>8.4205685065368054E-3</v>
      </c>
      <c r="K7" s="11">
        <f t="shared" si="2"/>
        <v>6.1465050713281648E-3</v>
      </c>
      <c r="L7" s="11">
        <f t="shared" si="3"/>
        <v>4.6399023531706598E-3</v>
      </c>
      <c r="M7" s="11">
        <f t="shared" si="4"/>
        <v>2.2740634352086402E-3</v>
      </c>
      <c r="N7" s="52">
        <f t="shared" si="5"/>
        <v>1463768</v>
      </c>
      <c r="O7" s="11">
        <v>16</v>
      </c>
      <c r="P7" s="12">
        <v>24923704</v>
      </c>
      <c r="Q7" s="12">
        <v>778865.75</v>
      </c>
      <c r="R7" s="12">
        <v>21104.875</v>
      </c>
      <c r="S7" s="13">
        <v>2005328</v>
      </c>
      <c r="T7" s="13">
        <v>1104976</v>
      </c>
      <c r="U7" s="13">
        <v>358792</v>
      </c>
      <c r="V7" s="13">
        <v>541560</v>
      </c>
      <c r="W7" s="14">
        <v>69.837434374999987</v>
      </c>
      <c r="X7" s="14">
        <v>72.274171875000022</v>
      </c>
      <c r="Y7" s="14">
        <v>36.196365624999991</v>
      </c>
      <c r="Z7" s="14">
        <v>46.918012500000003</v>
      </c>
      <c r="AA7" s="14">
        <v>46.584559374999998</v>
      </c>
      <c r="AB7" s="15">
        <v>3267.26</v>
      </c>
      <c r="AC7" s="15">
        <v>4320.3900000000003</v>
      </c>
      <c r="AD7" s="15">
        <v>12.007999999999999</v>
      </c>
      <c r="AE7" s="15">
        <v>7.476</v>
      </c>
      <c r="AG7" s="10">
        <f t="shared" si="6"/>
        <v>1.5966149999999999</v>
      </c>
      <c r="AH7" s="11">
        <f t="shared" si="7"/>
        <v>7.1512987992331158E-3</v>
      </c>
      <c r="AI7" s="11">
        <f t="shared" si="8"/>
        <v>5.161631863654822E-3</v>
      </c>
      <c r="AJ7" s="11">
        <f t="shared" si="9"/>
        <v>3.8601130848126101E-3</v>
      </c>
      <c r="AK7" s="11">
        <f t="shared" si="10"/>
        <v>1.989666935578293E-3</v>
      </c>
      <c r="AL7" s="52">
        <f t="shared" si="11"/>
        <v>1229224</v>
      </c>
      <c r="AM7" s="11">
        <v>16</v>
      </c>
      <c r="AN7" s="12">
        <v>17770688</v>
      </c>
      <c r="AO7" s="12">
        <v>555334</v>
      </c>
      <c r="AP7" s="12">
        <v>13575.5</v>
      </c>
      <c r="AQ7" s="13">
        <v>1703056</v>
      </c>
      <c r="AR7" s="13">
        <v>919272</v>
      </c>
      <c r="AS7" s="13">
        <v>309952</v>
      </c>
      <c r="AT7" s="13">
        <v>473832</v>
      </c>
      <c r="AU7" s="14">
        <v>67.061493999999996</v>
      </c>
      <c r="AV7" s="14">
        <v>71.287519000000003</v>
      </c>
      <c r="AW7" s="14">
        <v>35.103212999999997</v>
      </c>
      <c r="AX7" s="14">
        <v>46.285822000000003</v>
      </c>
      <c r="AY7" s="14">
        <v>45.791730999999999</v>
      </c>
      <c r="AZ7" s="15">
        <v>3943.4</v>
      </c>
      <c r="BA7" s="15">
        <v>3922.7</v>
      </c>
      <c r="BB7" s="15">
        <v>10.129</v>
      </c>
      <c r="BC7" s="15">
        <v>18.581</v>
      </c>
      <c r="BE7" s="50">
        <f t="shared" si="12"/>
        <v>0.83976695760530351</v>
      </c>
      <c r="BF7" s="16">
        <f t="shared" si="13"/>
        <v>-2.6512865868807342E-3</v>
      </c>
      <c r="BG7" s="16">
        <f t="shared" si="14"/>
        <v>-8.1639976552806415E-3</v>
      </c>
      <c r="BH7" s="16"/>
      <c r="BJ7" s="50"/>
      <c r="BK7" s="50"/>
      <c r="BL7" s="50"/>
      <c r="BM7" s="50"/>
      <c r="BN7" s="50"/>
      <c r="BP7" s="50"/>
      <c r="BQ7" s="50"/>
      <c r="BR7" s="50"/>
      <c r="BS7" s="50"/>
      <c r="BT7" s="50"/>
      <c r="BV7" s="53">
        <f t="shared" si="16"/>
        <v>-7153016</v>
      </c>
      <c r="BW7" s="53">
        <f t="shared" si="15"/>
        <v>-223531.75</v>
      </c>
      <c r="BX7" s="53">
        <f t="shared" si="15"/>
        <v>-7529.375</v>
      </c>
      <c r="BY7" s="53">
        <f t="shared" si="15"/>
        <v>-302272</v>
      </c>
      <c r="BZ7" s="53">
        <f t="shared" si="15"/>
        <v>-185704</v>
      </c>
      <c r="CA7" s="53">
        <f t="shared" si="15"/>
        <v>-48840</v>
      </c>
      <c r="CB7" s="53">
        <f t="shared" si="15"/>
        <v>-67728</v>
      </c>
      <c r="CC7" s="53">
        <f t="shared" si="15"/>
        <v>-2.7759403749999905</v>
      </c>
      <c r="CD7" s="53">
        <f t="shared" si="15"/>
        <v>-0.98665287500001853</v>
      </c>
      <c r="CE7" s="53">
        <f t="shared" si="15"/>
        <v>-1.0931526249999948</v>
      </c>
      <c r="CF7" s="53">
        <f t="shared" si="15"/>
        <v>-0.6321905000000001</v>
      </c>
      <c r="CG7" s="53">
        <f t="shared" si="15"/>
        <v>-0.79282837499999914</v>
      </c>
      <c r="CJ7" t="s">
        <v>233</v>
      </c>
    </row>
    <row r="8" spans="1:88" outlineLevel="1" x14ac:dyDescent="0.2">
      <c r="A8" s="17"/>
      <c r="B8" s="17" t="s">
        <v>51</v>
      </c>
      <c r="C8" s="18" t="s">
        <v>236</v>
      </c>
      <c r="D8" s="17">
        <v>238146391</v>
      </c>
      <c r="E8" s="18">
        <v>10</v>
      </c>
      <c r="F8" s="18">
        <v>32</v>
      </c>
      <c r="G8" s="18">
        <v>30</v>
      </c>
      <c r="I8" s="19">
        <f t="shared" si="0"/>
        <v>3.1113675000000001</v>
      </c>
      <c r="J8" s="20">
        <f t="shared" si="1"/>
        <v>1.3935932373629799E-2</v>
      </c>
      <c r="K8" s="20">
        <f t="shared" si="2"/>
        <v>8.8610034825176084E-3</v>
      </c>
      <c r="L8" s="20">
        <f t="shared" si="3"/>
        <v>7.3544007643601035E-3</v>
      </c>
      <c r="M8" s="20">
        <f t="shared" si="4"/>
        <v>5.0749288911121895E-3</v>
      </c>
      <c r="N8" s="17">
        <f t="shared" si="5"/>
        <v>2110216</v>
      </c>
      <c r="O8" s="20">
        <v>16</v>
      </c>
      <c r="P8" s="21">
        <v>25894561</v>
      </c>
      <c r="Q8" s="21">
        <v>809205.03125</v>
      </c>
      <c r="R8" s="21">
        <v>24362.65625</v>
      </c>
      <c r="S8" s="22">
        <v>3318792</v>
      </c>
      <c r="T8" s="22">
        <v>1751424</v>
      </c>
      <c r="U8" s="22">
        <v>358792</v>
      </c>
      <c r="V8" s="22">
        <v>1208576</v>
      </c>
      <c r="W8" s="23">
        <v>70.899381250000005</v>
      </c>
      <c r="X8" s="23">
        <v>73.460275000000024</v>
      </c>
      <c r="Y8" s="23">
        <v>38.677993749999999</v>
      </c>
      <c r="Z8" s="23">
        <v>48.11969062499999</v>
      </c>
      <c r="AA8" s="23">
        <v>48.028525000000009</v>
      </c>
      <c r="AB8" s="24">
        <v>3261.38</v>
      </c>
      <c r="AC8" s="24">
        <v>4677.22</v>
      </c>
      <c r="AD8" s="24">
        <v>12.148</v>
      </c>
      <c r="AE8" s="24">
        <v>7.976</v>
      </c>
      <c r="AG8" s="19">
        <f t="shared" si="6"/>
        <v>2.6947049999999999</v>
      </c>
      <c r="AH8" s="20">
        <f t="shared" si="7"/>
        <v>1.206968532225206E-2</v>
      </c>
      <c r="AI8" s="20">
        <f t="shared" si="8"/>
        <v>7.5778263631129305E-3</v>
      </c>
      <c r="AJ8" s="20">
        <f t="shared" si="9"/>
        <v>6.2763075842707187E-3</v>
      </c>
      <c r="AK8" s="20">
        <f t="shared" si="10"/>
        <v>4.4918589591391288E-3</v>
      </c>
      <c r="AL8" s="17">
        <f t="shared" si="11"/>
        <v>1804632</v>
      </c>
      <c r="AM8" s="20">
        <v>16</v>
      </c>
      <c r="AN8" s="21">
        <v>18531958</v>
      </c>
      <c r="AO8" s="21">
        <v>579123.6875</v>
      </c>
      <c r="AP8" s="21">
        <v>15937.46875</v>
      </c>
      <c r="AQ8" s="22">
        <v>2874352</v>
      </c>
      <c r="AR8" s="22">
        <v>1494680</v>
      </c>
      <c r="AS8" s="22">
        <v>309952</v>
      </c>
      <c r="AT8" s="22">
        <v>1069720</v>
      </c>
      <c r="AU8" s="23">
        <v>67.821674999999999</v>
      </c>
      <c r="AV8" s="23">
        <v>72.503522000000004</v>
      </c>
      <c r="AW8" s="23">
        <v>37.205618999999999</v>
      </c>
      <c r="AX8" s="23">
        <v>47.624034000000002</v>
      </c>
      <c r="AY8" s="23">
        <v>47.433816</v>
      </c>
      <c r="AZ8" s="24">
        <v>3310.69</v>
      </c>
      <c r="BA8" s="24">
        <v>3331.93</v>
      </c>
      <c r="BB8" s="24">
        <v>8.7449999999999992</v>
      </c>
      <c r="BC8" s="24">
        <v>14.881</v>
      </c>
      <c r="BE8" s="49">
        <f t="shared" si="12"/>
        <v>0.85518828404296043</v>
      </c>
      <c r="BF8" s="25">
        <f t="shared" si="13"/>
        <v>-2.5869277255948925E-3</v>
      </c>
      <c r="BG8" s="25">
        <f t="shared" si="14"/>
        <v>-7.9989856890175792E-3</v>
      </c>
      <c r="BH8" s="25"/>
      <c r="BJ8" s="49"/>
      <c r="BK8" s="49"/>
      <c r="BL8" s="49"/>
      <c r="BM8" s="49"/>
      <c r="BN8" s="49"/>
      <c r="BP8" s="49"/>
      <c r="BQ8" s="49"/>
      <c r="BR8" s="49"/>
      <c r="BS8" s="49"/>
      <c r="BT8" s="49"/>
      <c r="BV8" s="53">
        <f t="shared" si="16"/>
        <v>-7362603</v>
      </c>
      <c r="BW8" s="53">
        <f t="shared" si="15"/>
        <v>-230081.34375</v>
      </c>
      <c r="BX8" s="53">
        <f t="shared" si="15"/>
        <v>-8425.1875</v>
      </c>
      <c r="BY8" s="53">
        <f t="shared" si="15"/>
        <v>-444440</v>
      </c>
      <c r="BZ8" s="53">
        <f t="shared" si="15"/>
        <v>-256744</v>
      </c>
      <c r="CA8" s="53">
        <f t="shared" si="15"/>
        <v>-48840</v>
      </c>
      <c r="CB8" s="53">
        <f t="shared" si="15"/>
        <v>-138856</v>
      </c>
      <c r="CC8" s="53">
        <f t="shared" si="15"/>
        <v>-3.0777062500000056</v>
      </c>
      <c r="CD8" s="53">
        <f t="shared" si="15"/>
        <v>-0.95675300000002039</v>
      </c>
      <c r="CE8" s="53">
        <f t="shared" si="15"/>
        <v>-1.4723747500000002</v>
      </c>
      <c r="CF8" s="53">
        <f t="shared" si="15"/>
        <v>-0.49565662499998808</v>
      </c>
      <c r="CG8" s="53">
        <f t="shared" si="15"/>
        <v>-0.59470900000000881</v>
      </c>
      <c r="CJ8" t="s">
        <v>233</v>
      </c>
    </row>
    <row r="9" spans="1:88" ht="16" outlineLevel="1" thickBot="1" x14ac:dyDescent="0.25">
      <c r="A9" s="52"/>
      <c r="B9" s="26" t="s">
        <v>51</v>
      </c>
      <c r="C9" s="27" t="s">
        <v>237</v>
      </c>
      <c r="D9" s="26">
        <v>238146391</v>
      </c>
      <c r="E9" s="27">
        <v>10</v>
      </c>
      <c r="F9" s="27">
        <v>32</v>
      </c>
      <c r="G9" s="27">
        <v>30</v>
      </c>
      <c r="I9" s="28">
        <f t="shared" si="0"/>
        <v>6.3775424999999997</v>
      </c>
      <c r="J9" s="29">
        <f t="shared" si="1"/>
        <v>2.8565253378120686E-2</v>
      </c>
      <c r="K9" s="29">
        <f t="shared" si="2"/>
        <v>1.5570053295495878E-2</v>
      </c>
      <c r="L9" s="29">
        <f t="shared" si="3"/>
        <v>1.2147654171253009E-2</v>
      </c>
      <c r="M9" s="29">
        <f t="shared" si="4"/>
        <v>1.2995200082624808E-2</v>
      </c>
      <c r="N9" s="26">
        <f t="shared" si="5"/>
        <v>3707952</v>
      </c>
      <c r="O9" s="29">
        <v>16</v>
      </c>
      <c r="P9" s="30">
        <v>24903158</v>
      </c>
      <c r="Q9" s="30">
        <v>778223.6875</v>
      </c>
      <c r="R9" s="30">
        <v>10582.96875</v>
      </c>
      <c r="S9" s="31">
        <v>6802712</v>
      </c>
      <c r="T9" s="31">
        <v>2892920</v>
      </c>
      <c r="U9" s="31">
        <v>815032</v>
      </c>
      <c r="V9" s="31">
        <v>3094760</v>
      </c>
      <c r="W9" s="32">
        <v>71.932043749999977</v>
      </c>
      <c r="X9" s="32">
        <v>75.246165625000017</v>
      </c>
      <c r="Y9" s="32">
        <v>41.146812500000003</v>
      </c>
      <c r="Z9" s="32">
        <v>49.540606250000003</v>
      </c>
      <c r="AA9" s="32">
        <v>49.645290625000001</v>
      </c>
      <c r="AB9" s="33">
        <v>3303.13</v>
      </c>
      <c r="AC9" s="33">
        <v>5148.42</v>
      </c>
      <c r="AD9" s="33">
        <v>12.388</v>
      </c>
      <c r="AE9" s="33">
        <v>12.7</v>
      </c>
      <c r="AG9" s="28">
        <f t="shared" si="6"/>
        <v>5.6544375000000002</v>
      </c>
      <c r="AH9" s="29">
        <f t="shared" si="7"/>
        <v>2.532643881216743E-2</v>
      </c>
      <c r="AI9" s="29">
        <f t="shared" si="8"/>
        <v>1.3243450747905729E-2</v>
      </c>
      <c r="AJ9" s="29">
        <f t="shared" si="9"/>
        <v>1.0304821289523551E-2</v>
      </c>
      <c r="AK9" s="29">
        <f t="shared" si="10"/>
        <v>1.2082988064261699E-2</v>
      </c>
      <c r="AL9" s="26">
        <f t="shared" si="11"/>
        <v>3153880</v>
      </c>
      <c r="AM9" s="29">
        <v>16</v>
      </c>
      <c r="AN9" s="30">
        <v>17686064</v>
      </c>
      <c r="AO9" s="30">
        <v>552689.5</v>
      </c>
      <c r="AP9" s="30">
        <v>7289.8125</v>
      </c>
      <c r="AQ9" s="31">
        <v>6031400</v>
      </c>
      <c r="AR9" s="31">
        <v>2454056</v>
      </c>
      <c r="AS9" s="31">
        <v>699824</v>
      </c>
      <c r="AT9" s="31">
        <v>2877520</v>
      </c>
      <c r="AU9" s="32">
        <v>68.164565999999994</v>
      </c>
      <c r="AV9" s="32">
        <v>74.742008999999996</v>
      </c>
      <c r="AW9" s="32">
        <v>39.058202999999999</v>
      </c>
      <c r="AX9" s="32">
        <v>49.143303000000003</v>
      </c>
      <c r="AY9" s="32">
        <v>49.257572000000003</v>
      </c>
      <c r="AZ9" s="33">
        <v>3243.74</v>
      </c>
      <c r="BA9" s="33">
        <v>3579.68</v>
      </c>
      <c r="BB9" s="33">
        <v>8.3010000000000002</v>
      </c>
      <c r="BC9" s="33">
        <v>16.071999999999999</v>
      </c>
      <c r="BE9" s="34">
        <f t="shared" si="12"/>
        <v>0.85057195993907153</v>
      </c>
      <c r="BF9" s="35">
        <f t="shared" si="13"/>
        <v>-4.0917082175401936E-4</v>
      </c>
      <c r="BG9" s="35">
        <f t="shared" si="14"/>
        <v>-2.2159568422917331E-2</v>
      </c>
      <c r="BH9" s="35"/>
      <c r="BJ9" s="34"/>
      <c r="BK9" s="34"/>
      <c r="BL9" s="34"/>
      <c r="BM9" s="34"/>
      <c r="BN9" s="34"/>
      <c r="BP9" s="34"/>
      <c r="BQ9" s="34"/>
      <c r="BR9" s="34"/>
      <c r="BS9" s="34"/>
      <c r="BT9" s="34"/>
      <c r="BV9" s="53">
        <f t="shared" si="16"/>
        <v>-7217094</v>
      </c>
      <c r="BW9" s="53">
        <f t="shared" si="15"/>
        <v>-225534.1875</v>
      </c>
      <c r="BX9" s="53">
        <f t="shared" si="15"/>
        <v>-3293.15625</v>
      </c>
      <c r="BY9" s="53">
        <f t="shared" si="15"/>
        <v>-771312</v>
      </c>
      <c r="BZ9" s="53">
        <f t="shared" si="15"/>
        <v>-438864</v>
      </c>
      <c r="CA9" s="53">
        <f t="shared" si="15"/>
        <v>-115208</v>
      </c>
      <c r="CB9" s="53">
        <f t="shared" si="15"/>
        <v>-217240</v>
      </c>
      <c r="CC9" s="53">
        <f t="shared" si="15"/>
        <v>-3.7674777499999834</v>
      </c>
      <c r="CD9" s="53">
        <f t="shared" si="15"/>
        <v>-0.50415662500002156</v>
      </c>
      <c r="CE9" s="53">
        <f t="shared" si="15"/>
        <v>-2.088609500000004</v>
      </c>
      <c r="CF9" s="53">
        <f t="shared" si="15"/>
        <v>-0.39730325000000022</v>
      </c>
      <c r="CG9" s="53">
        <f t="shared" si="15"/>
        <v>-0.38771862499999799</v>
      </c>
      <c r="CJ9" t="s">
        <v>233</v>
      </c>
    </row>
    <row r="10" spans="1:88" x14ac:dyDescent="0.2">
      <c r="A10" s="17"/>
      <c r="B10" s="17" t="s">
        <v>59</v>
      </c>
      <c r="C10" s="18" t="s">
        <v>232</v>
      </c>
      <c r="D10" s="17">
        <v>218121242</v>
      </c>
      <c r="E10" s="18">
        <v>10</v>
      </c>
      <c r="F10" s="18">
        <v>32</v>
      </c>
      <c r="G10" s="18">
        <v>30</v>
      </c>
      <c r="I10" s="19">
        <f t="shared" si="0"/>
        <v>1.9776</v>
      </c>
      <c r="J10" s="20">
        <f t="shared" si="1"/>
        <v>9.6709517177607125E-3</v>
      </c>
      <c r="K10" s="20">
        <f t="shared" si="2"/>
        <v>7.2509765004914106E-3</v>
      </c>
      <c r="L10" s="20">
        <f t="shared" si="3"/>
        <v>4.1104845716952226E-3</v>
      </c>
      <c r="M10" s="20">
        <f t="shared" si="4"/>
        <v>2.4199752172693019E-3</v>
      </c>
      <c r="N10" s="17">
        <f t="shared" si="5"/>
        <v>1581592</v>
      </c>
      <c r="O10" s="20">
        <v>16</v>
      </c>
      <c r="P10" s="21">
        <v>20942558</v>
      </c>
      <c r="Q10" s="21">
        <v>654454.9375</v>
      </c>
      <c r="R10" s="21">
        <v>18943.59375</v>
      </c>
      <c r="S10" s="22">
        <v>2109440</v>
      </c>
      <c r="T10" s="22">
        <v>896584</v>
      </c>
      <c r="U10" s="22">
        <v>685008</v>
      </c>
      <c r="V10" s="22">
        <v>527848</v>
      </c>
      <c r="W10" s="23">
        <v>65.984046875000004</v>
      </c>
      <c r="X10" s="23">
        <v>67.859693750000005</v>
      </c>
      <c r="Y10" s="23">
        <v>31.013375</v>
      </c>
      <c r="Z10" s="23">
        <v>38.767165624999997</v>
      </c>
      <c r="AA10" s="23">
        <v>30.131440625</v>
      </c>
      <c r="AB10" s="24">
        <v>2994.39</v>
      </c>
      <c r="AC10" s="24">
        <v>4757.9399999999996</v>
      </c>
      <c r="AD10" s="24">
        <v>11.215999999999999</v>
      </c>
      <c r="AE10" s="24">
        <v>8.9239999999999995</v>
      </c>
      <c r="AG10" s="19">
        <f t="shared" si="6"/>
        <v>1.7656575000000001</v>
      </c>
      <c r="AH10" s="20">
        <f t="shared" si="7"/>
        <v>8.6345006232817993E-3</v>
      </c>
      <c r="AI10" s="20">
        <f t="shared" si="8"/>
        <v>6.5321469240487819E-3</v>
      </c>
      <c r="AJ10" s="20">
        <f t="shared" si="9"/>
        <v>3.6615966087337796E-3</v>
      </c>
      <c r="AK10" s="20">
        <f t="shared" si="10"/>
        <v>2.1023536992330165E-3</v>
      </c>
      <c r="AL10" s="17">
        <f t="shared" si="11"/>
        <v>1424800</v>
      </c>
      <c r="AM10" s="20">
        <v>16</v>
      </c>
      <c r="AN10" s="21">
        <v>15410365</v>
      </c>
      <c r="AO10" s="21">
        <v>481573.90625</v>
      </c>
      <c r="AP10" s="21">
        <v>12550.15625</v>
      </c>
      <c r="AQ10" s="22">
        <v>1883368</v>
      </c>
      <c r="AR10" s="22">
        <v>798672</v>
      </c>
      <c r="AS10" s="22">
        <v>626128</v>
      </c>
      <c r="AT10" s="22">
        <v>458568</v>
      </c>
      <c r="AU10" s="23">
        <v>64.347716000000005</v>
      </c>
      <c r="AV10" s="23">
        <v>66.690719000000001</v>
      </c>
      <c r="AW10" s="23">
        <v>30.318318999999999</v>
      </c>
      <c r="AX10" s="23">
        <v>38.199725000000001</v>
      </c>
      <c r="AY10" s="23">
        <v>28.987075000000001</v>
      </c>
      <c r="AZ10" s="24">
        <v>3824.26</v>
      </c>
      <c r="BA10" s="24">
        <v>4346.3999999999996</v>
      </c>
      <c r="BB10" s="24">
        <v>9.0069999999999997</v>
      </c>
      <c r="BC10" s="24">
        <v>19.241</v>
      </c>
      <c r="BE10" s="49">
        <f t="shared" si="12"/>
        <v>0.9008644454448429</v>
      </c>
      <c r="BF10" s="25">
        <f t="shared" si="13"/>
        <v>-2.8848979041892764E-3</v>
      </c>
      <c r="BG10" s="25">
        <f t="shared" si="14"/>
        <v>6.7483892011854785E-3</v>
      </c>
      <c r="BH10" s="25">
        <f t="array" ref="BH10">AVERAGE(AL10:AL14/AQ10:AQ14) - AVERAGE(N10:N14/S10:S14)</f>
        <v>1.6421224301477189E-3</v>
      </c>
      <c r="BJ10" s="49">
        <f>IF( OR(ISBLANK(N10:N14),ISBLANK(AL10:AL14), ISBLANK(W10:W14),ISBLANK(AU10:AU14)), "·", bdRateExtend( N10:N14,W10:W14, AL10:AL14,AU10:AU14))</f>
        <v>0.44746101502969604</v>
      </c>
      <c r="BK10" s="49">
        <f>IF( OR(ISBLANK(N10:N14),ISBLANK(AL10:AL14), ISBLANK(X10:X14),ISBLANK(AV10:AV14)), "·", bdRateExtend( N10:N14,X10:X14, AL10:AL14,AV10:AV14))</f>
        <v>0.11714487413997254</v>
      </c>
      <c r="BL10" s="49">
        <f>IF( OR(ISBLANK(V10:V14),ISBLANK(AT10:AT14), ISBLANK(Y10:Y14),ISBLANK(AW10:AW14)), "·", bdRateExtend( V10:V14,Y10:Y14, AT10:AT14,AW10:AW14))</f>
        <v>0.22865395322839288</v>
      </c>
      <c r="BM10" s="49">
        <f>IF( OR(ISBLANK(V10:V14),ISBLANK(AT10:AT14), ISBLANK(Z10:Z14),ISBLANK(AX10:AX14)), "·", bdRateExtend( V10:V14,Z10:Z14, AT10:AT14,AX10:AX14))</f>
        <v>0.24143232223464794</v>
      </c>
      <c r="BN10" s="49">
        <f>IF( OR(ISBLANK(V10:V14),ISBLANK(AT10:AT14), ISBLANK(AA10:AA14),ISBLANK(AY10:AY14)), "·", bdRateExtend( V10:V14,AA10:AA14, AT10:AT14,AY10:AY14))</f>
        <v>0.64653353526823576</v>
      </c>
      <c r="BP10" s="49">
        <f>IF( OR(ISBLANK(S10:S14),ISBLANK(AQ10:AQ14), ISBLANK(W10:W14),ISBLANK(AU10:AU14)), "·", bdRateExtend( S10:S14,W10:W14, AQ10:AQ14,AU10:AU14))</f>
        <v>0.7865499190674381</v>
      </c>
      <c r="BQ10" s="49">
        <f>IF( OR(ISBLANK(S10:S14),ISBLANK(AQ10:AQ14), ISBLANK(X10:X14),ISBLANK(AV10:AV14)), "·", bdRateExtend( S10:S14,X10:X14, AQ10:AQ14,AV10:AV14))</f>
        <v>0.2218347063407804</v>
      </c>
      <c r="BR10" s="49">
        <f>IF( OR(ISBLANK(S10:S14),ISBLANK(AQ10:AQ14), ISBLANK(Y10:Y14),ISBLANK(AW10:AW14)), "·", bdRateExtend( S10:S14,Y10:Y14, AQ10:AQ14,AW10:AW14))</f>
        <v>0.12234276793707144</v>
      </c>
      <c r="BS10" s="49">
        <f>IF( OR(ISBLANK(S10:S14),ISBLANK(AQ10:AQ14), ISBLANK(Z10:Z14),ISBLANK(AX10:AX14)), "·", bdRateExtend( S10:S14,Z10:Z14, AQ10:AQ14,AX10:AX14))</f>
        <v>0.12835725191333247</v>
      </c>
      <c r="BT10" s="49">
        <f>IF( OR(ISBLANK(S10:S14),ISBLANK(AQ10:AQ14), ISBLANK(AA10:AA14),ISBLANK(AY10:AY14)), "·", bdRateExtend( S10:S14,AA10:AA14, AQ10:AQ14,AY10:AY14))</f>
        <v>0.36443223409984382</v>
      </c>
      <c r="BV10" s="53">
        <f t="shared" si="16"/>
        <v>-5532193</v>
      </c>
      <c r="BW10" s="53">
        <f t="shared" si="15"/>
        <v>-172881.03125</v>
      </c>
      <c r="BX10" s="53">
        <f t="shared" si="15"/>
        <v>-6393.4375</v>
      </c>
      <c r="BY10" s="53">
        <f t="shared" si="15"/>
        <v>-226072</v>
      </c>
      <c r="BZ10" s="53">
        <f t="shared" si="15"/>
        <v>-97912</v>
      </c>
      <c r="CA10" s="53">
        <f t="shared" si="15"/>
        <v>-58880</v>
      </c>
      <c r="CB10" s="53">
        <f t="shared" si="15"/>
        <v>-69280</v>
      </c>
      <c r="CC10" s="53">
        <f t="shared" si="15"/>
        <v>-1.6363308749999987</v>
      </c>
      <c r="CD10" s="53">
        <f t="shared" si="15"/>
        <v>-1.1689747500000038</v>
      </c>
      <c r="CE10" s="53">
        <f t="shared" si="15"/>
        <v>-0.69505600000000101</v>
      </c>
      <c r="CF10" s="53">
        <f t="shared" si="15"/>
        <v>-0.56744062499999615</v>
      </c>
      <c r="CG10" s="53">
        <f t="shared" si="15"/>
        <v>-1.1443656249999989</v>
      </c>
      <c r="CJ10" t="s">
        <v>587</v>
      </c>
    </row>
    <row r="11" spans="1:88" outlineLevel="1" x14ac:dyDescent="0.2">
      <c r="A11" s="52"/>
      <c r="B11" s="52" t="s">
        <v>59</v>
      </c>
      <c r="C11" s="9" t="s">
        <v>234</v>
      </c>
      <c r="D11" s="52">
        <v>218121242</v>
      </c>
      <c r="E11" s="9">
        <v>10</v>
      </c>
      <c r="F11" s="9">
        <v>32</v>
      </c>
      <c r="G11" s="9">
        <v>30</v>
      </c>
      <c r="I11" s="10">
        <f t="shared" si="0"/>
        <v>2.7023925000000002</v>
      </c>
      <c r="J11" s="11">
        <f t="shared" si="1"/>
        <v>1.3215365791837918E-2</v>
      </c>
      <c r="K11" s="11">
        <f t="shared" si="2"/>
        <v>8.8998576305557627E-3</v>
      </c>
      <c r="L11" s="11">
        <f t="shared" si="3"/>
        <v>5.7593657017595747E-3</v>
      </c>
      <c r="M11" s="11">
        <f t="shared" si="4"/>
        <v>4.3155081612821552E-3</v>
      </c>
      <c r="N11" s="52">
        <f t="shared" si="5"/>
        <v>1941248</v>
      </c>
      <c r="O11" s="11">
        <v>16</v>
      </c>
      <c r="P11" s="12">
        <v>22233167</v>
      </c>
      <c r="Q11" s="12">
        <v>694786.46875</v>
      </c>
      <c r="R11" s="12">
        <v>23204.09375</v>
      </c>
      <c r="S11" s="13">
        <v>2882552</v>
      </c>
      <c r="T11" s="13">
        <v>1256240</v>
      </c>
      <c r="U11" s="13">
        <v>685008</v>
      </c>
      <c r="V11" s="13">
        <v>941304</v>
      </c>
      <c r="W11" s="14">
        <v>67.674731250000008</v>
      </c>
      <c r="X11" s="14">
        <v>69.753456249999999</v>
      </c>
      <c r="Y11" s="14">
        <v>32.828746874999993</v>
      </c>
      <c r="Z11" s="14">
        <v>39.653337500000013</v>
      </c>
      <c r="AA11" s="14">
        <v>32.228321874999999</v>
      </c>
      <c r="AB11" s="15">
        <v>2979.1</v>
      </c>
      <c r="AC11" s="15">
        <v>5047.7299999999996</v>
      </c>
      <c r="AD11" s="15">
        <v>11.324</v>
      </c>
      <c r="AE11" s="15">
        <v>9.3879999999999999</v>
      </c>
      <c r="AG11" s="10">
        <f t="shared" si="6"/>
        <v>2.4151950000000002</v>
      </c>
      <c r="AH11" s="11">
        <f t="shared" si="7"/>
        <v>1.1810899187892942E-2</v>
      </c>
      <c r="AI11" s="11">
        <f t="shared" si="8"/>
        <v>7.9941228282571393E-3</v>
      </c>
      <c r="AJ11" s="11">
        <f t="shared" si="9"/>
        <v>5.1235725129421374E-3</v>
      </c>
      <c r="AK11" s="11">
        <f t="shared" si="10"/>
        <v>3.8167763596358029E-3</v>
      </c>
      <c r="AL11" s="52">
        <f t="shared" si="11"/>
        <v>1743688</v>
      </c>
      <c r="AM11" s="11">
        <v>16</v>
      </c>
      <c r="AN11" s="12">
        <v>16272027</v>
      </c>
      <c r="AO11" s="12">
        <v>508500.84375</v>
      </c>
      <c r="AP11" s="12">
        <v>15511.3125</v>
      </c>
      <c r="AQ11" s="13">
        <v>2576208</v>
      </c>
      <c r="AR11" s="13">
        <v>1117560</v>
      </c>
      <c r="AS11" s="13">
        <v>626128</v>
      </c>
      <c r="AT11" s="13">
        <v>832520</v>
      </c>
      <c r="AU11" s="14">
        <v>65.702236999999997</v>
      </c>
      <c r="AV11" s="14">
        <v>68.578255999999996</v>
      </c>
      <c r="AW11" s="14">
        <v>32.111597000000003</v>
      </c>
      <c r="AX11" s="14">
        <v>39.213281000000002</v>
      </c>
      <c r="AY11" s="14">
        <v>30.829796999999999</v>
      </c>
      <c r="AZ11" s="15">
        <v>3601.55</v>
      </c>
      <c r="BA11" s="15">
        <v>3622.62</v>
      </c>
      <c r="BB11" s="15">
        <v>8.0380000000000003</v>
      </c>
      <c r="BC11" s="15">
        <v>14.864000000000001</v>
      </c>
      <c r="BE11" s="50">
        <f t="shared" si="12"/>
        <v>0.89823041672161408</v>
      </c>
      <c r="BF11" s="16">
        <f t="shared" si="13"/>
        <v>-2.8934408246124761E-3</v>
      </c>
      <c r="BG11" s="16">
        <f t="shared" si="14"/>
        <v>3.3951686605186993E-3</v>
      </c>
      <c r="BH11" s="16"/>
      <c r="BJ11" s="50"/>
      <c r="BK11" s="50"/>
      <c r="BL11" s="50"/>
      <c r="BM11" s="50"/>
      <c r="BN11" s="50"/>
      <c r="BP11" s="50"/>
      <c r="BQ11" s="50"/>
      <c r="BR11" s="50"/>
      <c r="BS11" s="50"/>
      <c r="BT11" s="50"/>
      <c r="BV11" s="53">
        <f t="shared" si="16"/>
        <v>-5961140</v>
      </c>
      <c r="BW11" s="53">
        <f t="shared" si="15"/>
        <v>-186285.625</v>
      </c>
      <c r="BX11" s="53">
        <f t="shared" si="15"/>
        <v>-7692.78125</v>
      </c>
      <c r="BY11" s="53">
        <f t="shared" si="15"/>
        <v>-306344</v>
      </c>
      <c r="BZ11" s="53">
        <f t="shared" si="15"/>
        <v>-138680</v>
      </c>
      <c r="CA11" s="53">
        <f t="shared" si="15"/>
        <v>-58880</v>
      </c>
      <c r="CB11" s="53">
        <f t="shared" si="15"/>
        <v>-108784</v>
      </c>
      <c r="CC11" s="53">
        <f t="shared" si="15"/>
        <v>-1.9724942500000111</v>
      </c>
      <c r="CD11" s="53">
        <f t="shared" si="15"/>
        <v>-1.1752002500000032</v>
      </c>
      <c r="CE11" s="53">
        <f t="shared" si="15"/>
        <v>-0.71714987499998983</v>
      </c>
      <c r="CF11" s="53">
        <f t="shared" si="15"/>
        <v>-0.4400565000000114</v>
      </c>
      <c r="CG11" s="53">
        <f t="shared" si="15"/>
        <v>-1.3985248749999997</v>
      </c>
      <c r="CJ11" t="s">
        <v>587</v>
      </c>
    </row>
    <row r="12" spans="1:88" outlineLevel="1" x14ac:dyDescent="0.2">
      <c r="A12" s="17"/>
      <c r="B12" s="17" t="s">
        <v>59</v>
      </c>
      <c r="C12" s="18" t="s">
        <v>235</v>
      </c>
      <c r="D12" s="17">
        <v>218121242</v>
      </c>
      <c r="E12" s="18">
        <v>10</v>
      </c>
      <c r="F12" s="18">
        <v>32</v>
      </c>
      <c r="G12" s="18">
        <v>30</v>
      </c>
      <c r="I12" s="19">
        <f t="shared" si="0"/>
        <v>3.8537474999999999</v>
      </c>
      <c r="J12" s="20">
        <f t="shared" si="1"/>
        <v>1.8845775690200774E-2</v>
      </c>
      <c r="K12" s="20">
        <f t="shared" si="2"/>
        <v>1.141757665216302E-2</v>
      </c>
      <c r="L12" s="20">
        <f t="shared" si="3"/>
        <v>8.2770847233668322E-3</v>
      </c>
      <c r="M12" s="20">
        <f t="shared" si="4"/>
        <v>7.4281990380377534E-3</v>
      </c>
      <c r="N12" s="17">
        <f t="shared" si="5"/>
        <v>2490416</v>
      </c>
      <c r="O12" s="20">
        <v>16</v>
      </c>
      <c r="P12" s="21">
        <v>22569901</v>
      </c>
      <c r="Q12" s="21">
        <v>705309.40625</v>
      </c>
      <c r="R12" s="21">
        <v>24721.9375</v>
      </c>
      <c r="S12" s="22">
        <v>4110664</v>
      </c>
      <c r="T12" s="22">
        <v>1805408</v>
      </c>
      <c r="U12" s="22">
        <v>685008</v>
      </c>
      <c r="V12" s="22">
        <v>1620248</v>
      </c>
      <c r="W12" s="23">
        <v>69.009450000000015</v>
      </c>
      <c r="X12" s="23">
        <v>71.379971874999995</v>
      </c>
      <c r="Y12" s="23">
        <v>34.879440624999987</v>
      </c>
      <c r="Z12" s="23">
        <v>40.634481249999993</v>
      </c>
      <c r="AA12" s="23">
        <v>34.126809374999993</v>
      </c>
      <c r="AB12" s="24">
        <v>3002.95</v>
      </c>
      <c r="AC12" s="24">
        <v>5401.59</v>
      </c>
      <c r="AD12" s="24">
        <v>11.412000000000001</v>
      </c>
      <c r="AE12" s="24">
        <v>9.98</v>
      </c>
      <c r="AG12" s="19">
        <f t="shared" si="6"/>
        <v>3.4320750000000002</v>
      </c>
      <c r="AH12" s="20">
        <f t="shared" si="7"/>
        <v>1.6783693171891989E-2</v>
      </c>
      <c r="AI12" s="20">
        <f t="shared" si="8"/>
        <v>1.0167923030623492E-2</v>
      </c>
      <c r="AJ12" s="20">
        <f t="shared" si="9"/>
        <v>7.2973727153084885E-3</v>
      </c>
      <c r="AK12" s="20">
        <f t="shared" si="10"/>
        <v>6.6157701412684969E-3</v>
      </c>
      <c r="AL12" s="17">
        <f t="shared" si="11"/>
        <v>2217840</v>
      </c>
      <c r="AM12" s="20">
        <v>16</v>
      </c>
      <c r="AN12" s="21">
        <v>16514475</v>
      </c>
      <c r="AO12" s="21">
        <v>516077.34375</v>
      </c>
      <c r="AP12" s="21">
        <v>16293.25</v>
      </c>
      <c r="AQ12" s="22">
        <v>3660880</v>
      </c>
      <c r="AR12" s="22">
        <v>1591712</v>
      </c>
      <c r="AS12" s="22">
        <v>626128</v>
      </c>
      <c r="AT12" s="22">
        <v>1443040</v>
      </c>
      <c r="AU12" s="23">
        <v>66.682727999999997</v>
      </c>
      <c r="AV12" s="23">
        <v>70.155169000000001</v>
      </c>
      <c r="AW12" s="23">
        <v>33.917906000000002</v>
      </c>
      <c r="AX12" s="23">
        <v>40.076194000000001</v>
      </c>
      <c r="AY12" s="23">
        <v>32.346952999999999</v>
      </c>
      <c r="AZ12" s="24">
        <v>3253.49</v>
      </c>
      <c r="BA12" s="24">
        <v>3684.04</v>
      </c>
      <c r="BB12" s="24">
        <v>7.6159999999999997</v>
      </c>
      <c r="BC12" s="24">
        <v>14.856999999999999</v>
      </c>
      <c r="BE12" s="49">
        <f t="shared" si="12"/>
        <v>0.89055001252802757</v>
      </c>
      <c r="BF12" s="25">
        <f t="shared" si="13"/>
        <v>-3.4798613190031788E-3</v>
      </c>
      <c r="BG12" s="25">
        <f t="shared" si="14"/>
        <v>-2.1203255466284432E-5</v>
      </c>
      <c r="BH12" s="25"/>
      <c r="BJ12" s="49"/>
      <c r="BK12" s="49"/>
      <c r="BL12" s="49"/>
      <c r="BM12" s="49"/>
      <c r="BN12" s="49"/>
      <c r="BP12" s="49"/>
      <c r="BQ12" s="49"/>
      <c r="BR12" s="49"/>
      <c r="BS12" s="49"/>
      <c r="BT12" s="49"/>
      <c r="BV12" s="53">
        <f t="shared" si="16"/>
        <v>-6055426</v>
      </c>
      <c r="BW12" s="53">
        <f t="shared" si="15"/>
        <v>-189232.0625</v>
      </c>
      <c r="BX12" s="53">
        <f t="shared" si="15"/>
        <v>-8428.6875</v>
      </c>
      <c r="BY12" s="53">
        <f t="shared" si="15"/>
        <v>-449784</v>
      </c>
      <c r="BZ12" s="53">
        <f t="shared" si="15"/>
        <v>-213696</v>
      </c>
      <c r="CA12" s="53">
        <f t="shared" si="15"/>
        <v>-58880</v>
      </c>
      <c r="CB12" s="53">
        <f t="shared" si="15"/>
        <v>-177208</v>
      </c>
      <c r="CC12" s="53">
        <f t="shared" si="15"/>
        <v>-2.3267220000000179</v>
      </c>
      <c r="CD12" s="53">
        <f t="shared" si="15"/>
        <v>-1.2248028749999946</v>
      </c>
      <c r="CE12" s="53">
        <f t="shared" si="15"/>
        <v>-0.96153462499998454</v>
      </c>
      <c r="CF12" s="53">
        <f t="shared" si="15"/>
        <v>-0.55828724999999224</v>
      </c>
      <c r="CG12" s="53">
        <f t="shared" si="15"/>
        <v>-1.7798563749999943</v>
      </c>
      <c r="CJ12" t="s">
        <v>587</v>
      </c>
    </row>
    <row r="13" spans="1:88" outlineLevel="1" x14ac:dyDescent="0.2">
      <c r="A13" s="52"/>
      <c r="B13" s="52" t="s">
        <v>59</v>
      </c>
      <c r="C13" s="9" t="s">
        <v>236</v>
      </c>
      <c r="D13" s="52">
        <v>218121242</v>
      </c>
      <c r="E13" s="9">
        <v>10</v>
      </c>
      <c r="F13" s="9">
        <v>32</v>
      </c>
      <c r="G13" s="9">
        <v>30</v>
      </c>
      <c r="I13" s="10">
        <f t="shared" si="0"/>
        <v>6.2247824999999999</v>
      </c>
      <c r="J13" s="11">
        <f t="shared" si="1"/>
        <v>3.0440721587308768E-2</v>
      </c>
      <c r="K13" s="11">
        <f t="shared" si="2"/>
        <v>1.5919990039301168E-2</v>
      </c>
      <c r="L13" s="11">
        <f t="shared" si="3"/>
        <v>1.2779498110504982E-2</v>
      </c>
      <c r="M13" s="11">
        <f t="shared" si="4"/>
        <v>1.4520731548007598E-2</v>
      </c>
      <c r="N13" s="52">
        <f t="shared" si="5"/>
        <v>3472488</v>
      </c>
      <c r="O13" s="11">
        <v>16</v>
      </c>
      <c r="P13" s="12">
        <v>23308443</v>
      </c>
      <c r="Q13" s="12">
        <v>728388.84375</v>
      </c>
      <c r="R13" s="12">
        <v>27991.21875</v>
      </c>
      <c r="S13" s="13">
        <v>6639768</v>
      </c>
      <c r="T13" s="13">
        <v>2787480</v>
      </c>
      <c r="U13" s="13">
        <v>685008</v>
      </c>
      <c r="V13" s="13">
        <v>3167280</v>
      </c>
      <c r="W13" s="14">
        <v>70.060287500000001</v>
      </c>
      <c r="X13" s="14">
        <v>72.567171875</v>
      </c>
      <c r="Y13" s="14">
        <v>37.06</v>
      </c>
      <c r="Z13" s="14">
        <v>41.690990624999991</v>
      </c>
      <c r="AA13" s="14">
        <v>36.083268750000002</v>
      </c>
      <c r="AB13" s="15">
        <v>3060.39</v>
      </c>
      <c r="AC13" s="15">
        <v>6411.92</v>
      </c>
      <c r="AD13" s="15">
        <v>11.571999999999999</v>
      </c>
      <c r="AE13" s="15">
        <v>10.532</v>
      </c>
      <c r="AG13" s="10">
        <f t="shared" si="6"/>
        <v>5.5658399999999997</v>
      </c>
      <c r="AH13" s="11">
        <f t="shared" si="7"/>
        <v>2.7218330253226782E-2</v>
      </c>
      <c r="AI13" s="11">
        <f t="shared" si="8"/>
        <v>1.4256071400877132E-2</v>
      </c>
      <c r="AJ13" s="11">
        <f t="shared" si="9"/>
        <v>1.1385521085562129E-2</v>
      </c>
      <c r="AK13" s="11">
        <f t="shared" si="10"/>
        <v>1.2962258852349648E-2</v>
      </c>
      <c r="AL13" s="52">
        <f t="shared" si="11"/>
        <v>3109552</v>
      </c>
      <c r="AM13" s="11">
        <v>16</v>
      </c>
      <c r="AN13" s="12">
        <v>17156471</v>
      </c>
      <c r="AO13" s="12">
        <v>536139.71875</v>
      </c>
      <c r="AP13" s="12">
        <v>18606.59375</v>
      </c>
      <c r="AQ13" s="13">
        <v>5936896</v>
      </c>
      <c r="AR13" s="13">
        <v>2483424</v>
      </c>
      <c r="AS13" s="13">
        <v>626128</v>
      </c>
      <c r="AT13" s="13">
        <v>2827344</v>
      </c>
      <c r="AU13" s="14">
        <v>67.489828000000003</v>
      </c>
      <c r="AV13" s="14">
        <v>71.3202</v>
      </c>
      <c r="AW13" s="14">
        <v>35.844925000000003</v>
      </c>
      <c r="AX13" s="14">
        <v>41.125169</v>
      </c>
      <c r="AY13" s="14">
        <v>33.887186999999997</v>
      </c>
      <c r="AZ13" s="15">
        <v>3258.93</v>
      </c>
      <c r="BA13" s="15">
        <v>3975.84</v>
      </c>
      <c r="BB13" s="15">
        <v>7.8789999999999996</v>
      </c>
      <c r="BC13" s="15">
        <v>15.488</v>
      </c>
      <c r="BE13" s="50">
        <f t="shared" si="12"/>
        <v>0.89548243219271029</v>
      </c>
      <c r="BF13" s="16">
        <f t="shared" si="13"/>
        <v>-3.7242025551843597E-3</v>
      </c>
      <c r="BG13" s="16">
        <f t="shared" si="14"/>
        <v>7.8396881798792339E-4</v>
      </c>
      <c r="BH13" s="16"/>
      <c r="BJ13" s="50"/>
      <c r="BK13" s="50"/>
      <c r="BL13" s="50"/>
      <c r="BM13" s="50"/>
      <c r="BN13" s="50"/>
      <c r="BP13" s="50"/>
      <c r="BQ13" s="50"/>
      <c r="BR13" s="50"/>
      <c r="BS13" s="50"/>
      <c r="BT13" s="50"/>
      <c r="BV13" s="53">
        <f t="shared" si="16"/>
        <v>-6151972</v>
      </c>
      <c r="BW13" s="53">
        <f t="shared" si="15"/>
        <v>-192249.125</v>
      </c>
      <c r="BX13" s="53">
        <f t="shared" si="15"/>
        <v>-9384.625</v>
      </c>
      <c r="BY13" s="53">
        <f t="shared" si="15"/>
        <v>-702872</v>
      </c>
      <c r="BZ13" s="53">
        <f t="shared" si="15"/>
        <v>-304056</v>
      </c>
      <c r="CA13" s="53">
        <f t="shared" si="15"/>
        <v>-58880</v>
      </c>
      <c r="CB13" s="53">
        <f t="shared" si="15"/>
        <v>-339936</v>
      </c>
      <c r="CC13" s="53">
        <f t="shared" si="15"/>
        <v>-2.5704594999999983</v>
      </c>
      <c r="CD13" s="53">
        <f t="shared" si="15"/>
        <v>-1.2469718749999998</v>
      </c>
      <c r="CE13" s="53">
        <f t="shared" si="15"/>
        <v>-1.2150749999999988</v>
      </c>
      <c r="CF13" s="53">
        <f t="shared" si="15"/>
        <v>-0.565821624999991</v>
      </c>
      <c r="CG13" s="53">
        <f t="shared" si="15"/>
        <v>-2.1960817500000047</v>
      </c>
      <c r="CJ13" t="s">
        <v>587</v>
      </c>
    </row>
    <row r="14" spans="1:88" ht="16" outlineLevel="1" thickBot="1" x14ac:dyDescent="0.25">
      <c r="A14" s="17"/>
      <c r="B14" s="36" t="s">
        <v>59</v>
      </c>
      <c r="C14" s="37" t="s">
        <v>237</v>
      </c>
      <c r="D14" s="36">
        <v>218121242</v>
      </c>
      <c r="E14" s="37">
        <v>10</v>
      </c>
      <c r="F14" s="37">
        <v>32</v>
      </c>
      <c r="G14" s="37">
        <v>30</v>
      </c>
      <c r="I14" s="38">
        <f t="shared" si="0"/>
        <v>12.267659999999999</v>
      </c>
      <c r="J14" s="39">
        <f t="shared" si="1"/>
        <v>5.9991882863017994E-2</v>
      </c>
      <c r="K14" s="39">
        <f t="shared" si="2"/>
        <v>2.6824237503654046E-2</v>
      </c>
      <c r="L14" s="39">
        <f t="shared" si="3"/>
        <v>2.0741492018461916E-2</v>
      </c>
      <c r="M14" s="39">
        <f t="shared" si="4"/>
        <v>3.3167645359363944E-2</v>
      </c>
      <c r="N14" s="36">
        <f t="shared" si="5"/>
        <v>5850936</v>
      </c>
      <c r="O14" s="39">
        <v>16</v>
      </c>
      <c r="P14" s="40">
        <v>22150010</v>
      </c>
      <c r="Q14" s="40">
        <v>692187.8125</v>
      </c>
      <c r="R14" s="40">
        <v>13331.5625</v>
      </c>
      <c r="S14" s="41">
        <v>13085504</v>
      </c>
      <c r="T14" s="41">
        <v>4524160</v>
      </c>
      <c r="U14" s="41">
        <v>1326776</v>
      </c>
      <c r="V14" s="41">
        <v>7234568</v>
      </c>
      <c r="W14" s="42">
        <v>70.920671875000025</v>
      </c>
      <c r="X14" s="42">
        <v>74.632662499999981</v>
      </c>
      <c r="Y14" s="42">
        <v>39.462553124999999</v>
      </c>
      <c r="Z14" s="42">
        <v>42.973531250000008</v>
      </c>
      <c r="AA14" s="42">
        <v>38.239546875000002</v>
      </c>
      <c r="AB14" s="43">
        <v>3062.86</v>
      </c>
      <c r="AC14" s="43">
        <v>7034.47</v>
      </c>
      <c r="AD14" s="43">
        <v>11.692</v>
      </c>
      <c r="AE14" s="43">
        <v>10.46</v>
      </c>
      <c r="AG14" s="38">
        <f t="shared" si="6"/>
        <v>10.969462500000001</v>
      </c>
      <c r="AH14" s="39">
        <f t="shared" si="7"/>
        <v>5.3643376925205662E-2</v>
      </c>
      <c r="AI14" s="39">
        <f t="shared" si="8"/>
        <v>2.3841015906190376E-2</v>
      </c>
      <c r="AJ14" s="39">
        <f t="shared" si="9"/>
        <v>1.8341175592609178E-2</v>
      </c>
      <c r="AK14" s="39">
        <f t="shared" si="10"/>
        <v>2.9802361019015285E-2</v>
      </c>
      <c r="AL14" s="36">
        <f t="shared" si="11"/>
        <v>5200232</v>
      </c>
      <c r="AM14" s="39">
        <v>16</v>
      </c>
      <c r="AN14" s="40">
        <v>16116344</v>
      </c>
      <c r="AO14" s="40">
        <v>503635.75</v>
      </c>
      <c r="AP14" s="40">
        <v>9042.90625</v>
      </c>
      <c r="AQ14" s="41">
        <v>11700760</v>
      </c>
      <c r="AR14" s="41">
        <v>4000600</v>
      </c>
      <c r="AS14" s="41">
        <v>1199632</v>
      </c>
      <c r="AT14" s="41">
        <v>6500528</v>
      </c>
      <c r="AU14" s="42">
        <v>67.863811999999996</v>
      </c>
      <c r="AV14" s="42">
        <v>74.075378000000001</v>
      </c>
      <c r="AW14" s="42">
        <v>37.816516</v>
      </c>
      <c r="AX14" s="42">
        <v>42.393203</v>
      </c>
      <c r="AY14" s="42">
        <v>35.392788000000003</v>
      </c>
      <c r="AZ14" s="43">
        <v>3237.68</v>
      </c>
      <c r="BA14" s="43">
        <v>4387.51</v>
      </c>
      <c r="BB14" s="43">
        <v>7.3239999999999998</v>
      </c>
      <c r="BC14" s="43">
        <v>16.850000000000001</v>
      </c>
      <c r="BE14" s="44">
        <f t="shared" si="12"/>
        <v>0.88878634119395605</v>
      </c>
      <c r="BF14" s="45">
        <f t="shared" si="13"/>
        <v>-1.3047855583202123E-3</v>
      </c>
      <c r="BG14" s="45">
        <f t="shared" si="14"/>
        <v>-2.6957112734870559E-3</v>
      </c>
      <c r="BH14" s="45"/>
      <c r="BJ14" s="44"/>
      <c r="BK14" s="44"/>
      <c r="BL14" s="44"/>
      <c r="BM14" s="44"/>
      <c r="BN14" s="44"/>
      <c r="BP14" s="44"/>
      <c r="BQ14" s="44"/>
      <c r="BR14" s="44"/>
      <c r="BS14" s="44"/>
      <c r="BT14" s="44"/>
      <c r="BV14" s="53">
        <f t="shared" si="16"/>
        <v>-6033666</v>
      </c>
      <c r="BW14" s="53">
        <f t="shared" si="15"/>
        <v>-188552.0625</v>
      </c>
      <c r="BX14" s="53">
        <f t="shared" si="15"/>
        <v>-4288.65625</v>
      </c>
      <c r="BY14" s="53">
        <f t="shared" si="15"/>
        <v>-1384744</v>
      </c>
      <c r="BZ14" s="53">
        <f t="shared" si="15"/>
        <v>-523560</v>
      </c>
      <c r="CA14" s="53">
        <f t="shared" si="15"/>
        <v>-127144</v>
      </c>
      <c r="CB14" s="53">
        <f t="shared" si="15"/>
        <v>-734040</v>
      </c>
      <c r="CC14" s="53">
        <f t="shared" si="15"/>
        <v>-3.0568598750000291</v>
      </c>
      <c r="CD14" s="53">
        <f t="shared" si="15"/>
        <v>-0.5572844999999802</v>
      </c>
      <c r="CE14" s="53">
        <f t="shared" si="15"/>
        <v>-1.6460371249999994</v>
      </c>
      <c r="CF14" s="53">
        <f t="shared" si="15"/>
        <v>-0.58032825000000798</v>
      </c>
      <c r="CG14" s="53">
        <f t="shared" si="15"/>
        <v>-2.846758874999999</v>
      </c>
      <c r="CJ14" t="s">
        <v>587</v>
      </c>
    </row>
    <row r="15" spans="1:88" x14ac:dyDescent="0.2">
      <c r="A15" s="52"/>
      <c r="B15" s="52" t="s">
        <v>64</v>
      </c>
      <c r="C15" s="9" t="s">
        <v>232</v>
      </c>
      <c r="D15" s="52">
        <v>322589704</v>
      </c>
      <c r="E15" s="9">
        <v>10</v>
      </c>
      <c r="F15" s="9">
        <v>32</v>
      </c>
      <c r="G15" s="9">
        <v>30</v>
      </c>
      <c r="I15" s="10">
        <f t="shared" si="0"/>
        <v>1.628055</v>
      </c>
      <c r="J15" s="11">
        <f t="shared" si="1"/>
        <v>5.383284024464711E-3</v>
      </c>
      <c r="K15" s="11">
        <f t="shared" si="2"/>
        <v>4.5265920824305046E-3</v>
      </c>
      <c r="L15" s="11">
        <f t="shared" si="3"/>
        <v>2.3656551667253461E-3</v>
      </c>
      <c r="M15" s="11">
        <f t="shared" si="4"/>
        <v>8.5669194203420707E-4</v>
      </c>
      <c r="N15" s="52">
        <f t="shared" si="5"/>
        <v>1460232</v>
      </c>
      <c r="O15" s="11">
        <v>16</v>
      </c>
      <c r="P15" s="12">
        <v>32415907</v>
      </c>
      <c r="Q15" s="12">
        <v>1012997.09375</v>
      </c>
      <c r="R15" s="12">
        <v>32038.09375</v>
      </c>
      <c r="S15" s="13">
        <v>1736592</v>
      </c>
      <c r="T15" s="13">
        <v>763136</v>
      </c>
      <c r="U15" s="13">
        <v>697096</v>
      </c>
      <c r="V15" s="13">
        <v>276360</v>
      </c>
      <c r="W15" s="14">
        <v>66.298768749999994</v>
      </c>
      <c r="X15" s="14">
        <v>67.85019062500001</v>
      </c>
      <c r="Y15" s="14">
        <v>29.2416375</v>
      </c>
      <c r="Z15" s="14">
        <v>43.356131249999997</v>
      </c>
      <c r="AA15" s="14">
        <v>43.670806250000012</v>
      </c>
      <c r="AB15" s="15">
        <v>4718.78</v>
      </c>
      <c r="AC15" s="15">
        <v>4411.58</v>
      </c>
      <c r="AD15" s="15">
        <v>13.94</v>
      </c>
      <c r="AE15" s="15">
        <v>6.3920000000000003</v>
      </c>
      <c r="AG15" s="10">
        <f t="shared" si="6"/>
        <v>1.482885</v>
      </c>
      <c r="AH15" s="11">
        <f t="shared" si="7"/>
        <v>4.9032687044469345E-3</v>
      </c>
      <c r="AI15" s="11">
        <f t="shared" si="8"/>
        <v>4.1604551644338905E-3</v>
      </c>
      <c r="AJ15" s="11">
        <f t="shared" si="9"/>
        <v>2.2835694718886627E-3</v>
      </c>
      <c r="AK15" s="11">
        <f t="shared" si="10"/>
        <v>7.4281354001304398E-4</v>
      </c>
      <c r="AL15" s="52">
        <f t="shared" si="11"/>
        <v>1342120</v>
      </c>
      <c r="AM15" s="11">
        <v>16</v>
      </c>
      <c r="AN15" s="12">
        <v>26662818</v>
      </c>
      <c r="AO15" s="12">
        <v>833213.0625</v>
      </c>
      <c r="AP15" s="12">
        <v>24486.34375</v>
      </c>
      <c r="AQ15" s="13">
        <v>1581744</v>
      </c>
      <c r="AR15" s="13">
        <v>736656</v>
      </c>
      <c r="AS15" s="13">
        <v>605464</v>
      </c>
      <c r="AT15" s="13">
        <v>239624</v>
      </c>
      <c r="AU15" s="14">
        <v>65.013388000000006</v>
      </c>
      <c r="AV15" s="14">
        <v>66.742024999999998</v>
      </c>
      <c r="AW15" s="14">
        <v>28.672069</v>
      </c>
      <c r="AX15" s="14">
        <v>43.183072000000003</v>
      </c>
      <c r="AY15" s="14">
        <v>43.389344000000001</v>
      </c>
      <c r="AZ15" s="15">
        <v>4968.8500000000004</v>
      </c>
      <c r="BA15" s="15">
        <v>2771.81</v>
      </c>
      <c r="BB15" s="15">
        <v>11.65</v>
      </c>
      <c r="BC15" s="15">
        <v>14.109</v>
      </c>
      <c r="BE15" s="50">
        <f t="shared" si="12"/>
        <v>0.91911422294539502</v>
      </c>
      <c r="BF15" s="16">
        <f t="shared" si="13"/>
        <v>-2.2391803191782918E-3</v>
      </c>
      <c r="BG15" s="16">
        <f t="shared" si="14"/>
        <v>7.6457383863344219E-3</v>
      </c>
      <c r="BH15" s="16">
        <f t="array" ref="BH15">AVERAGE(AL15:AL19/AQ15:AQ19) - AVERAGE(N15:N19/S15:S19)</f>
        <v>3.8576839960050568E-3</v>
      </c>
      <c r="BJ15" s="50">
        <f>IF( OR(ISBLANK(N15:N19),ISBLANK(AL15:AL19), ISBLANK(W15:W19),ISBLANK(AU15:AU19)), "·", bdRateExtend( N15:N19,W15:W19, AL15:AL19,AU15:AU19))</f>
        <v>0.31257796246663294</v>
      </c>
      <c r="BK15" s="50">
        <f>IF( OR(ISBLANK(N15:N19),ISBLANK(AL15:AL19), ISBLANK(X15:X19),ISBLANK(AV15:AV19)), "·", bdRateExtend( N15:N19,X15:X19, AL15:AL19,AV15:AV19))</f>
        <v>0.29786129838847164</v>
      </c>
      <c r="BL15" s="50">
        <f>IF( OR(ISBLANK(V15:V19),ISBLANK(AT15:AT19), ISBLANK(Y15:Y19),ISBLANK(AW15:AW19)), "·", bdRateExtend( V15:V19,Y15:Y19, AT15:AT19,AW15:AW19))</f>
        <v>0.24615119478747682</v>
      </c>
      <c r="BM15" s="50">
        <f>IF( OR(ISBLANK(V15:V19),ISBLANK(AT15:AT19), ISBLANK(Z15:Z19),ISBLANK(AX15:AX19)), "·", bdRateExtend( V15:V19,Z15:Z19, AT15:AT19,AX15:AX19))</f>
        <v>0.18779117687897307</v>
      </c>
      <c r="BN15" s="50">
        <f>IF( OR(ISBLANK(V15:V19),ISBLANK(AT15:AT19), ISBLANK(AA15:AA19),ISBLANK(AY15:AY19)), "·", bdRateExtend( V15:V19,AA15:AA19, AT15:AT19,AY15:AY19))</f>
        <v>0.21436163812087905</v>
      </c>
      <c r="BP15" s="50">
        <f>IF( OR(ISBLANK(S15:S19),ISBLANK(AQ15:AQ19), ISBLANK(W15:W19),ISBLANK(AU15:AU19)), "·", bdRateExtend( S15:S19,W15:W19, AQ15:AQ19,AU15:AU19))</f>
        <v>0.57727471438575706</v>
      </c>
      <c r="BQ15" s="50">
        <f>IF( OR(ISBLANK(S15:S19),ISBLANK(AQ15:AQ19), ISBLANK(X15:X19),ISBLANK(AV15:AV19)), "·", bdRateExtend( S15:S19,X15:X19, AQ15:AQ19,AV15:AV19))</f>
        <v>0.50563814112072114</v>
      </c>
      <c r="BR15" s="50">
        <f>IF( OR(ISBLANK(S15:S19),ISBLANK(AQ15:AQ19), ISBLANK(Y15:Y19),ISBLANK(AW15:AW19)), "·", bdRateExtend( S15:S19,Y15:Y19, AQ15:AQ19,AW15:AW19))</f>
        <v>0.13169495224223171</v>
      </c>
      <c r="BS15" s="50">
        <f>IF( OR(ISBLANK(S15:S19),ISBLANK(AQ15:AQ19), ISBLANK(Z15:Z19),ISBLANK(AX15:AX19)), "·", bdRateExtend( S15:S19,Z15:Z19, AQ15:AQ19,AX15:AX19))</f>
        <v>8.6655259755127112E-2</v>
      </c>
      <c r="BT15" s="50">
        <f>IF( OR(ISBLANK(S15:S19),ISBLANK(AQ15:AQ19), ISBLANK(AA15:AA19),ISBLANK(AY15:AY19)), "·", bdRateExtend( S15:S19,AA15:AA19, AQ15:AQ19,AY15:AY19))</f>
        <v>9.6120441653349653E-2</v>
      </c>
      <c r="BV15" s="53">
        <f t="shared" si="16"/>
        <v>-5753089</v>
      </c>
      <c r="BW15" s="53">
        <f t="shared" si="15"/>
        <v>-179784.03125</v>
      </c>
      <c r="BX15" s="53">
        <f t="shared" si="15"/>
        <v>-7551.75</v>
      </c>
      <c r="BY15" s="53">
        <f t="shared" si="15"/>
        <v>-154848</v>
      </c>
      <c r="BZ15" s="53">
        <f t="shared" si="15"/>
        <v>-26480</v>
      </c>
      <c r="CA15" s="53">
        <f t="shared" si="15"/>
        <v>-91632</v>
      </c>
      <c r="CB15" s="53">
        <f t="shared" si="15"/>
        <v>-36736</v>
      </c>
      <c r="CC15" s="53">
        <f t="shared" si="15"/>
        <v>-1.2853807499999874</v>
      </c>
      <c r="CD15" s="53">
        <f t="shared" si="15"/>
        <v>-1.1081656250000123</v>
      </c>
      <c r="CE15" s="53">
        <f t="shared" si="15"/>
        <v>-0.56956849999999903</v>
      </c>
      <c r="CF15" s="53">
        <f t="shared" si="15"/>
        <v>-0.17305924999999434</v>
      </c>
      <c r="CG15" s="53">
        <f t="shared" si="15"/>
        <v>-0.28146225000001124</v>
      </c>
      <c r="CJ15" t="s">
        <v>233</v>
      </c>
    </row>
    <row r="16" spans="1:88" outlineLevel="1" x14ac:dyDescent="0.2">
      <c r="A16" s="17"/>
      <c r="B16" s="17" t="s">
        <v>64</v>
      </c>
      <c r="C16" s="18" t="s">
        <v>234</v>
      </c>
      <c r="D16" s="17">
        <v>322589704</v>
      </c>
      <c r="E16" s="18">
        <v>10</v>
      </c>
      <c r="F16" s="18">
        <v>32</v>
      </c>
      <c r="G16" s="18">
        <v>30</v>
      </c>
      <c r="I16" s="19">
        <f t="shared" si="0"/>
        <v>2.133435</v>
      </c>
      <c r="J16" s="20">
        <f t="shared" si="1"/>
        <v>7.0543602966324061E-3</v>
      </c>
      <c r="K16" s="20">
        <f t="shared" si="2"/>
        <v>5.4569131567819657E-3</v>
      </c>
      <c r="L16" s="20">
        <f t="shared" si="3"/>
        <v>3.2959762410768078E-3</v>
      </c>
      <c r="M16" s="20">
        <f t="shared" si="4"/>
        <v>1.5974471398504399E-3</v>
      </c>
      <c r="N16" s="17">
        <f t="shared" si="5"/>
        <v>1760344</v>
      </c>
      <c r="O16" s="20">
        <v>16</v>
      </c>
      <c r="P16" s="21">
        <v>33874164</v>
      </c>
      <c r="Q16" s="21">
        <v>1058567.625</v>
      </c>
      <c r="R16" s="21">
        <v>36864.21875</v>
      </c>
      <c r="S16" s="22">
        <v>2275664</v>
      </c>
      <c r="T16" s="22">
        <v>1063248</v>
      </c>
      <c r="U16" s="22">
        <v>697096</v>
      </c>
      <c r="V16" s="22">
        <v>515320</v>
      </c>
      <c r="W16" s="23">
        <v>68.029634375000001</v>
      </c>
      <c r="X16" s="23">
        <v>70.006815625000002</v>
      </c>
      <c r="Y16" s="23">
        <v>31.530703124999999</v>
      </c>
      <c r="Z16" s="23">
        <v>44.119390625000001</v>
      </c>
      <c r="AA16" s="23">
        <v>44.541440625000007</v>
      </c>
      <c r="AB16" s="24">
        <v>4712.13</v>
      </c>
      <c r="AC16" s="24">
        <v>4714.59</v>
      </c>
      <c r="AD16" s="24">
        <v>14.412000000000001</v>
      </c>
      <c r="AE16" s="24">
        <v>7.0039999999999996</v>
      </c>
      <c r="AG16" s="19">
        <f t="shared" si="6"/>
        <v>1.9604174999999999</v>
      </c>
      <c r="AH16" s="20">
        <f t="shared" si="7"/>
        <v>6.4822651624368028E-3</v>
      </c>
      <c r="AI16" s="20">
        <f t="shared" si="8"/>
        <v>5.0608682786726514E-3</v>
      </c>
      <c r="AJ16" s="20">
        <f t="shared" si="9"/>
        <v>3.1839825861274232E-3</v>
      </c>
      <c r="AK16" s="20">
        <f t="shared" si="10"/>
        <v>1.4213968837641514E-3</v>
      </c>
      <c r="AL16" s="17">
        <f t="shared" si="11"/>
        <v>1632584</v>
      </c>
      <c r="AM16" s="20">
        <v>16</v>
      </c>
      <c r="AN16" s="21">
        <v>27608147</v>
      </c>
      <c r="AO16" s="21">
        <v>862754.59375</v>
      </c>
      <c r="AP16" s="21">
        <v>28198.9375</v>
      </c>
      <c r="AQ16" s="22">
        <v>2091112</v>
      </c>
      <c r="AR16" s="22">
        <v>1027120</v>
      </c>
      <c r="AS16" s="22">
        <v>605464</v>
      </c>
      <c r="AT16" s="22">
        <v>458528</v>
      </c>
      <c r="AU16" s="23">
        <v>66.475718999999998</v>
      </c>
      <c r="AV16" s="23">
        <v>68.653486999999998</v>
      </c>
      <c r="AW16" s="23">
        <v>30.926708999999999</v>
      </c>
      <c r="AX16" s="23">
        <v>43.6036</v>
      </c>
      <c r="AY16" s="23">
        <v>43.897916000000002</v>
      </c>
      <c r="AZ16" s="24">
        <v>4669.6099999999997</v>
      </c>
      <c r="BA16" s="24">
        <v>2778.15</v>
      </c>
      <c r="BB16" s="24">
        <v>11.167</v>
      </c>
      <c r="BC16" s="24">
        <v>13.371</v>
      </c>
      <c r="BE16" s="49">
        <f t="shared" si="12"/>
        <v>0.92742327635962074</v>
      </c>
      <c r="BF16" s="25">
        <f t="shared" si="13"/>
        <v>-2.1398509125053963E-3</v>
      </c>
      <c r="BG16" s="25">
        <f t="shared" si="14"/>
        <v>7.1734718849194579E-3</v>
      </c>
      <c r="BH16" s="25"/>
      <c r="BJ16" s="49"/>
      <c r="BK16" s="49"/>
      <c r="BL16" s="49"/>
      <c r="BM16" s="49"/>
      <c r="BN16" s="49"/>
      <c r="BP16" s="49"/>
      <c r="BQ16" s="49"/>
      <c r="BR16" s="49"/>
      <c r="BS16" s="49"/>
      <c r="BT16" s="49"/>
      <c r="BV16" s="53">
        <f t="shared" si="16"/>
        <v>-6266017</v>
      </c>
      <c r="BW16" s="53">
        <f t="shared" si="15"/>
        <v>-195813.03125</v>
      </c>
      <c r="BX16" s="53">
        <f t="shared" si="15"/>
        <v>-8665.28125</v>
      </c>
      <c r="BY16" s="53">
        <f t="shared" si="15"/>
        <v>-184552</v>
      </c>
      <c r="BZ16" s="53">
        <f t="shared" si="15"/>
        <v>-36128</v>
      </c>
      <c r="CA16" s="53">
        <f t="shared" si="15"/>
        <v>-91632</v>
      </c>
      <c r="CB16" s="53">
        <f t="shared" si="15"/>
        <v>-56792</v>
      </c>
      <c r="CC16" s="53">
        <f t="shared" si="15"/>
        <v>-1.5539153750000025</v>
      </c>
      <c r="CD16" s="53">
        <f t="shared" si="15"/>
        <v>-1.3533286250000032</v>
      </c>
      <c r="CE16" s="53">
        <f t="shared" si="15"/>
        <v>-0.60399412499999983</v>
      </c>
      <c r="CF16" s="53">
        <f t="shared" si="15"/>
        <v>-0.51579062500000106</v>
      </c>
      <c r="CG16" s="53">
        <f t="shared" si="15"/>
        <v>-0.64352462500000485</v>
      </c>
      <c r="CJ16" t="s">
        <v>233</v>
      </c>
    </row>
    <row r="17" spans="1:88" outlineLevel="1" x14ac:dyDescent="0.2">
      <c r="A17" s="52"/>
      <c r="B17" s="52" t="s">
        <v>64</v>
      </c>
      <c r="C17" s="9" t="s">
        <v>235</v>
      </c>
      <c r="D17" s="52">
        <v>322589704</v>
      </c>
      <c r="E17" s="9">
        <v>10</v>
      </c>
      <c r="F17" s="9">
        <v>32</v>
      </c>
      <c r="G17" s="9">
        <v>30</v>
      </c>
      <c r="I17" s="10">
        <f t="shared" si="0"/>
        <v>3.0166650000000002</v>
      </c>
      <c r="J17" s="11">
        <f t="shared" si="1"/>
        <v>9.9748254829608567E-3</v>
      </c>
      <c r="K17" s="11">
        <f t="shared" si="2"/>
        <v>6.6616633245058562E-3</v>
      </c>
      <c r="L17" s="11">
        <f t="shared" si="3"/>
        <v>4.5007264088006973E-3</v>
      </c>
      <c r="M17" s="11">
        <f t="shared" si="4"/>
        <v>3.3131621584550014E-3</v>
      </c>
      <c r="N17" s="52">
        <f t="shared" si="5"/>
        <v>2148984</v>
      </c>
      <c r="O17" s="11">
        <v>16</v>
      </c>
      <c r="P17" s="12">
        <v>33778649</v>
      </c>
      <c r="Q17" s="12">
        <v>1055582.78125</v>
      </c>
      <c r="R17" s="12">
        <v>37421.1875</v>
      </c>
      <c r="S17" s="13">
        <v>3217776</v>
      </c>
      <c r="T17" s="13">
        <v>1451888</v>
      </c>
      <c r="U17" s="13">
        <v>697096</v>
      </c>
      <c r="V17" s="13">
        <v>1068792</v>
      </c>
      <c r="W17" s="14">
        <v>69.351503125000008</v>
      </c>
      <c r="X17" s="14">
        <v>71.840315625000002</v>
      </c>
      <c r="Y17" s="14">
        <v>33.946487500000003</v>
      </c>
      <c r="Z17" s="14">
        <v>45.134740624999999</v>
      </c>
      <c r="AA17" s="14">
        <v>45.742221875000013</v>
      </c>
      <c r="AB17" s="15">
        <v>4720.22</v>
      </c>
      <c r="AC17" s="15">
        <v>5024.43</v>
      </c>
      <c r="AD17" s="15">
        <v>15.044</v>
      </c>
      <c r="AE17" s="15">
        <v>10.128</v>
      </c>
      <c r="AG17" s="10">
        <f t="shared" si="6"/>
        <v>2.7680099999999999</v>
      </c>
      <c r="AH17" s="11">
        <f t="shared" si="7"/>
        <v>9.1526293722009183E-3</v>
      </c>
      <c r="AI17" s="11">
        <f t="shared" si="8"/>
        <v>6.1810280218986781E-3</v>
      </c>
      <c r="AJ17" s="11">
        <f t="shared" si="9"/>
        <v>4.3041423293534503E-3</v>
      </c>
      <c r="AK17" s="11">
        <f t="shared" si="10"/>
        <v>2.9716013503022403E-3</v>
      </c>
      <c r="AL17" s="52">
        <f t="shared" si="11"/>
        <v>1993936</v>
      </c>
      <c r="AM17" s="11">
        <v>16</v>
      </c>
      <c r="AN17" s="12">
        <v>27718543</v>
      </c>
      <c r="AO17" s="12">
        <v>866204.46875</v>
      </c>
      <c r="AP17" s="12">
        <v>29002.46875</v>
      </c>
      <c r="AQ17" s="13">
        <v>2952544</v>
      </c>
      <c r="AR17" s="13">
        <v>1388472</v>
      </c>
      <c r="AS17" s="13">
        <v>605464</v>
      </c>
      <c r="AT17" s="13">
        <v>958608</v>
      </c>
      <c r="AU17" s="14">
        <v>67.531205999999997</v>
      </c>
      <c r="AV17" s="14">
        <v>70.128311999999994</v>
      </c>
      <c r="AW17" s="14">
        <v>33.115586999999998</v>
      </c>
      <c r="AX17" s="14">
        <v>44.819313000000001</v>
      </c>
      <c r="AY17" s="14">
        <v>45.267769000000001</v>
      </c>
      <c r="AZ17" s="15">
        <v>4812.62</v>
      </c>
      <c r="BA17" s="15">
        <v>3113</v>
      </c>
      <c r="BB17" s="15">
        <v>11.677</v>
      </c>
      <c r="BC17" s="15">
        <v>14.749000000000001</v>
      </c>
      <c r="BE17" s="50">
        <f t="shared" si="12"/>
        <v>0.92785055635593372</v>
      </c>
      <c r="BF17" s="16">
        <f t="shared" si="13"/>
        <v>-1.9684936666879704E-3</v>
      </c>
      <c r="BG17" s="16">
        <f t="shared" si="14"/>
        <v>7.4805172689426103E-3</v>
      </c>
      <c r="BH17" s="16"/>
      <c r="BJ17" s="50"/>
      <c r="BK17" s="50"/>
      <c r="BL17" s="50"/>
      <c r="BM17" s="50"/>
      <c r="BN17" s="50"/>
      <c r="BP17" s="50"/>
      <c r="BQ17" s="50"/>
      <c r="BR17" s="50"/>
      <c r="BS17" s="50"/>
      <c r="BT17" s="50"/>
      <c r="BV17" s="53">
        <f t="shared" si="16"/>
        <v>-6060106</v>
      </c>
      <c r="BW17" s="53">
        <f t="shared" si="15"/>
        <v>-189378.3125</v>
      </c>
      <c r="BX17" s="53">
        <f t="shared" si="15"/>
        <v>-8418.71875</v>
      </c>
      <c r="BY17" s="53">
        <f t="shared" si="15"/>
        <v>-265232</v>
      </c>
      <c r="BZ17" s="53">
        <f t="shared" si="15"/>
        <v>-63416</v>
      </c>
      <c r="CA17" s="53">
        <f t="shared" si="15"/>
        <v>-91632</v>
      </c>
      <c r="CB17" s="53">
        <f t="shared" si="15"/>
        <v>-110184</v>
      </c>
      <c r="CC17" s="53">
        <f t="shared" si="15"/>
        <v>-1.8202971250000104</v>
      </c>
      <c r="CD17" s="53">
        <f t="shared" si="15"/>
        <v>-1.7120036250000084</v>
      </c>
      <c r="CE17" s="53">
        <f t="shared" si="15"/>
        <v>-0.83090050000000559</v>
      </c>
      <c r="CF17" s="53">
        <f t="shared" si="15"/>
        <v>-0.3154276249999981</v>
      </c>
      <c r="CG17" s="53">
        <f t="shared" si="15"/>
        <v>-0.47445287500001143</v>
      </c>
      <c r="CJ17" t="s">
        <v>233</v>
      </c>
    </row>
    <row r="18" spans="1:88" outlineLevel="1" x14ac:dyDescent="0.2">
      <c r="A18" s="17"/>
      <c r="B18" s="17" t="s">
        <v>64</v>
      </c>
      <c r="C18" s="18" t="s">
        <v>236</v>
      </c>
      <c r="D18" s="17">
        <v>322589704</v>
      </c>
      <c r="E18" s="18">
        <v>10</v>
      </c>
      <c r="F18" s="18">
        <v>32</v>
      </c>
      <c r="G18" s="18">
        <v>30</v>
      </c>
      <c r="I18" s="19">
        <f t="shared" si="0"/>
        <v>5.3492249999999997</v>
      </c>
      <c r="J18" s="20">
        <f t="shared" si="1"/>
        <v>1.7687607289537052E-2</v>
      </c>
      <c r="K18" s="20">
        <f t="shared" si="2"/>
        <v>9.9237637168977967E-3</v>
      </c>
      <c r="L18" s="20">
        <f t="shared" si="3"/>
        <v>7.7628268011926379E-3</v>
      </c>
      <c r="M18" s="20">
        <f t="shared" si="4"/>
        <v>7.7638435726392558E-3</v>
      </c>
      <c r="N18" s="17">
        <f t="shared" si="5"/>
        <v>3201304</v>
      </c>
      <c r="O18" s="20">
        <v>16</v>
      </c>
      <c r="P18" s="21">
        <v>34914325</v>
      </c>
      <c r="Q18" s="21">
        <v>1091072.65625</v>
      </c>
      <c r="R18" s="21">
        <v>41603.21875</v>
      </c>
      <c r="S18" s="22">
        <v>5705840</v>
      </c>
      <c r="T18" s="22">
        <v>2504208</v>
      </c>
      <c r="U18" s="22">
        <v>697096</v>
      </c>
      <c r="V18" s="22">
        <v>2504536</v>
      </c>
      <c r="W18" s="23">
        <v>70.529849999999982</v>
      </c>
      <c r="X18" s="23">
        <v>73.133384375000006</v>
      </c>
      <c r="Y18" s="23">
        <v>36.289246875000003</v>
      </c>
      <c r="Z18" s="23">
        <v>46.428246874999992</v>
      </c>
      <c r="AA18" s="23">
        <v>46.981940625000007</v>
      </c>
      <c r="AB18" s="24">
        <v>4718.8</v>
      </c>
      <c r="AC18" s="24">
        <v>5503.41</v>
      </c>
      <c r="AD18" s="24">
        <v>15.26</v>
      </c>
      <c r="AE18" s="24">
        <v>10.62</v>
      </c>
      <c r="AG18" s="19">
        <f t="shared" si="6"/>
        <v>5.0034900000000002</v>
      </c>
      <c r="AH18" s="20">
        <f t="shared" si="7"/>
        <v>1.6544408993288885E-2</v>
      </c>
      <c r="AI18" s="20">
        <f t="shared" si="8"/>
        <v>9.3395417232535107E-3</v>
      </c>
      <c r="AJ18" s="20">
        <f t="shared" si="9"/>
        <v>7.4626560307082829E-3</v>
      </c>
      <c r="AK18" s="20">
        <f t="shared" si="10"/>
        <v>7.2048672700353762E-3</v>
      </c>
      <c r="AL18" s="17">
        <f t="shared" si="11"/>
        <v>3012840</v>
      </c>
      <c r="AM18" s="20">
        <v>16</v>
      </c>
      <c r="AN18" s="21">
        <v>28558164</v>
      </c>
      <c r="AO18" s="21">
        <v>892442.625</v>
      </c>
      <c r="AP18" s="21">
        <v>32186.5</v>
      </c>
      <c r="AQ18" s="22">
        <v>5337056</v>
      </c>
      <c r="AR18" s="22">
        <v>2407376</v>
      </c>
      <c r="AS18" s="22">
        <v>605464</v>
      </c>
      <c r="AT18" s="22">
        <v>2324216</v>
      </c>
      <c r="AU18" s="23">
        <v>68.416859000000002</v>
      </c>
      <c r="AV18" s="23">
        <v>71.072818999999996</v>
      </c>
      <c r="AW18" s="23">
        <v>35.137497000000003</v>
      </c>
      <c r="AX18" s="23">
        <v>46.082693999999996</v>
      </c>
      <c r="AY18" s="23">
        <v>46.633184</v>
      </c>
      <c r="AZ18" s="24">
        <v>5011.26</v>
      </c>
      <c r="BA18" s="24">
        <v>3528</v>
      </c>
      <c r="BB18" s="24">
        <v>12.346</v>
      </c>
      <c r="BC18" s="24">
        <v>16.641999999999999</v>
      </c>
      <c r="BE18" s="49">
        <f t="shared" si="12"/>
        <v>0.94112898993660077</v>
      </c>
      <c r="BF18" s="25">
        <f t="shared" si="13"/>
        <v>-2.0649429250950008E-3</v>
      </c>
      <c r="BG18" s="25">
        <f t="shared" si="14"/>
        <v>3.4560266976133569E-3</v>
      </c>
      <c r="BH18" s="25"/>
      <c r="BJ18" s="49"/>
      <c r="BK18" s="49"/>
      <c r="BL18" s="49"/>
      <c r="BM18" s="49"/>
      <c r="BN18" s="49"/>
      <c r="BP18" s="49"/>
      <c r="BQ18" s="49"/>
      <c r="BR18" s="49"/>
      <c r="BS18" s="49"/>
      <c r="BT18" s="49"/>
      <c r="BV18" s="53">
        <f t="shared" si="16"/>
        <v>-6356161</v>
      </c>
      <c r="BW18" s="53">
        <f t="shared" si="15"/>
        <v>-198630.03125</v>
      </c>
      <c r="BX18" s="53">
        <f t="shared" si="15"/>
        <v>-9416.71875</v>
      </c>
      <c r="BY18" s="53">
        <f t="shared" si="15"/>
        <v>-368784</v>
      </c>
      <c r="BZ18" s="53">
        <f t="shared" si="15"/>
        <v>-96832</v>
      </c>
      <c r="CA18" s="53">
        <f t="shared" si="15"/>
        <v>-91632</v>
      </c>
      <c r="CB18" s="53">
        <f t="shared" si="15"/>
        <v>-180320</v>
      </c>
      <c r="CC18" s="53">
        <f t="shared" si="15"/>
        <v>-2.1129909999999796</v>
      </c>
      <c r="CD18" s="53">
        <f t="shared" si="15"/>
        <v>-2.0605653750000101</v>
      </c>
      <c r="CE18" s="53">
        <f t="shared" si="15"/>
        <v>-1.1517498750000001</v>
      </c>
      <c r="CF18" s="53">
        <f t="shared" si="15"/>
        <v>-0.34555287499999565</v>
      </c>
      <c r="CG18" s="53">
        <f t="shared" si="15"/>
        <v>-0.34875662500000715</v>
      </c>
      <c r="CJ18" t="s">
        <v>233</v>
      </c>
    </row>
    <row r="19" spans="1:88" ht="16" outlineLevel="1" thickBot="1" x14ac:dyDescent="0.25">
      <c r="A19" s="52"/>
      <c r="B19" s="26" t="s">
        <v>64</v>
      </c>
      <c r="C19" s="27" t="s">
        <v>237</v>
      </c>
      <c r="D19" s="26">
        <v>322589704</v>
      </c>
      <c r="E19" s="27">
        <v>10</v>
      </c>
      <c r="F19" s="27">
        <v>32</v>
      </c>
      <c r="G19" s="27">
        <v>30</v>
      </c>
      <c r="I19" s="28">
        <f t="shared" si="0"/>
        <v>11.627325000000001</v>
      </c>
      <c r="J19" s="29">
        <f t="shared" si="1"/>
        <v>3.8446608326966322E-2</v>
      </c>
      <c r="K19" s="29">
        <f t="shared" si="2"/>
        <v>1.7450451549439409E-2</v>
      </c>
      <c r="L19" s="29">
        <f t="shared" si="3"/>
        <v>1.2811841012755943E-2</v>
      </c>
      <c r="M19" s="29">
        <f t="shared" si="4"/>
        <v>2.0996156777526909E-2</v>
      </c>
      <c r="N19" s="26">
        <f t="shared" si="5"/>
        <v>5629336</v>
      </c>
      <c r="O19" s="29">
        <v>16</v>
      </c>
      <c r="P19" s="30">
        <v>33019287</v>
      </c>
      <c r="Q19" s="30">
        <v>1031852.71875</v>
      </c>
      <c r="R19" s="30">
        <v>17790.15625</v>
      </c>
      <c r="S19" s="31">
        <v>12402480</v>
      </c>
      <c r="T19" s="31">
        <v>4132968</v>
      </c>
      <c r="U19" s="31">
        <v>1496368</v>
      </c>
      <c r="V19" s="31">
        <v>6773144</v>
      </c>
      <c r="W19" s="32">
        <v>71.185568750000016</v>
      </c>
      <c r="X19" s="32">
        <v>75.071018750000022</v>
      </c>
      <c r="Y19" s="32">
        <v>38.695609374999997</v>
      </c>
      <c r="Z19" s="32">
        <v>48.186309375</v>
      </c>
      <c r="AA19" s="32">
        <v>48.786537500000001</v>
      </c>
      <c r="AB19" s="33">
        <v>4633.71</v>
      </c>
      <c r="AC19" s="33">
        <v>5379.22</v>
      </c>
      <c r="AD19" s="33">
        <v>13.948</v>
      </c>
      <c r="AE19" s="33">
        <v>12.38</v>
      </c>
      <c r="AG19" s="28">
        <f t="shared" si="6"/>
        <v>11.0340975</v>
      </c>
      <c r="AH19" s="29">
        <f t="shared" si="7"/>
        <v>3.64850578120125E-2</v>
      </c>
      <c r="AI19" s="29">
        <f t="shared" si="8"/>
        <v>1.6324166378230101E-2</v>
      </c>
      <c r="AJ19" s="29">
        <f t="shared" si="9"/>
        <v>1.218585699188961E-2</v>
      </c>
      <c r="AK19" s="29">
        <f t="shared" si="10"/>
        <v>2.0160891433782399E-2</v>
      </c>
      <c r="AL19" s="26">
        <f t="shared" si="11"/>
        <v>5266008</v>
      </c>
      <c r="AM19" s="29">
        <v>16</v>
      </c>
      <c r="AN19" s="30">
        <v>26877731</v>
      </c>
      <c r="AO19" s="30">
        <v>839929.09375</v>
      </c>
      <c r="AP19" s="30">
        <v>13902.40625</v>
      </c>
      <c r="AQ19" s="31">
        <v>11769704</v>
      </c>
      <c r="AR19" s="31">
        <v>3931032</v>
      </c>
      <c r="AS19" s="31">
        <v>1334976</v>
      </c>
      <c r="AT19" s="31">
        <v>6503696</v>
      </c>
      <c r="AU19" s="32">
        <v>68.766846999999999</v>
      </c>
      <c r="AV19" s="32">
        <v>74.515853000000007</v>
      </c>
      <c r="AW19" s="32">
        <v>37.028630999999997</v>
      </c>
      <c r="AX19" s="32">
        <v>47.739986999999999</v>
      </c>
      <c r="AY19" s="32">
        <v>48.408791000000001</v>
      </c>
      <c r="AZ19" s="33">
        <v>5604.43</v>
      </c>
      <c r="BA19" s="33">
        <v>5126.8100000000004</v>
      </c>
      <c r="BB19" s="33">
        <v>15.363</v>
      </c>
      <c r="BC19" s="33">
        <v>24.709</v>
      </c>
      <c r="BE19" s="34">
        <f t="shared" si="12"/>
        <v>0.9354581073149657</v>
      </c>
      <c r="BF19" s="35">
        <f t="shared" si="13"/>
        <v>-6.8910322290825082E-4</v>
      </c>
      <c r="BG19" s="35">
        <f t="shared" si="14"/>
        <v>-6.4673342577846182E-3</v>
      </c>
      <c r="BH19" s="35"/>
      <c r="BJ19" s="34"/>
      <c r="BK19" s="34"/>
      <c r="BL19" s="34"/>
      <c r="BM19" s="34"/>
      <c r="BN19" s="34"/>
      <c r="BP19" s="34"/>
      <c r="BQ19" s="34"/>
      <c r="BR19" s="34"/>
      <c r="BS19" s="34"/>
      <c r="BT19" s="34"/>
      <c r="BV19" s="53">
        <f t="shared" si="16"/>
        <v>-6141556</v>
      </c>
      <c r="BW19" s="53">
        <f t="shared" si="15"/>
        <v>-191923.625</v>
      </c>
      <c r="BX19" s="53">
        <f t="shared" si="15"/>
        <v>-3887.75</v>
      </c>
      <c r="BY19" s="53">
        <f t="shared" si="15"/>
        <v>-632776</v>
      </c>
      <c r="BZ19" s="53">
        <f t="shared" si="15"/>
        <v>-201936</v>
      </c>
      <c r="CA19" s="53">
        <f t="shared" si="15"/>
        <v>-161392</v>
      </c>
      <c r="CB19" s="53">
        <f t="shared" si="15"/>
        <v>-269448</v>
      </c>
      <c r="CC19" s="53">
        <f t="shared" si="15"/>
        <v>-2.4187217500000173</v>
      </c>
      <c r="CD19" s="53">
        <f t="shared" si="15"/>
        <v>-0.55516575000001467</v>
      </c>
      <c r="CE19" s="53">
        <f t="shared" si="15"/>
        <v>-1.6669783749999993</v>
      </c>
      <c r="CF19" s="53">
        <f t="shared" si="15"/>
        <v>-0.44632237500000116</v>
      </c>
      <c r="CG19" s="53">
        <f t="shared" si="15"/>
        <v>-0.37774650000000065</v>
      </c>
      <c r="CJ19" t="s">
        <v>233</v>
      </c>
    </row>
    <row r="20" spans="1:88" x14ac:dyDescent="0.2">
      <c r="A20" s="17"/>
      <c r="B20" s="17" t="s">
        <v>70</v>
      </c>
      <c r="C20" s="18" t="s">
        <v>232</v>
      </c>
      <c r="D20" s="17">
        <v>250602891</v>
      </c>
      <c r="E20" s="18">
        <v>10</v>
      </c>
      <c r="F20" s="18">
        <v>32</v>
      </c>
      <c r="G20" s="18">
        <v>50</v>
      </c>
      <c r="I20" s="19">
        <f t="shared" si="0"/>
        <v>1.9899875</v>
      </c>
      <c r="J20" s="20">
        <f t="shared" si="1"/>
        <v>5.0821121612679241E-3</v>
      </c>
      <c r="K20" s="20">
        <f t="shared" si="2"/>
        <v>3.9497708747502037E-3</v>
      </c>
      <c r="L20" s="20">
        <f t="shared" si="3"/>
        <v>2.2980102013268476E-3</v>
      </c>
      <c r="M20" s="20">
        <f t="shared" si="4"/>
        <v>1.1323412865177202E-3</v>
      </c>
      <c r="N20" s="17">
        <f t="shared" si="5"/>
        <v>989824</v>
      </c>
      <c r="O20" s="20">
        <v>16</v>
      </c>
      <c r="P20" s="21">
        <v>30379563</v>
      </c>
      <c r="Q20" s="21">
        <v>949361.34375</v>
      </c>
      <c r="R20" s="21">
        <v>28806.71875</v>
      </c>
      <c r="S20" s="22">
        <v>1273592</v>
      </c>
      <c r="T20" s="22">
        <v>575888</v>
      </c>
      <c r="U20" s="22">
        <v>413936</v>
      </c>
      <c r="V20" s="22">
        <v>283768</v>
      </c>
      <c r="W20" s="23">
        <v>67.24823750000003</v>
      </c>
      <c r="X20" s="23">
        <v>68.985434374999997</v>
      </c>
      <c r="Y20" s="23">
        <v>30.072700000000001</v>
      </c>
      <c r="Z20" s="23">
        <v>39.540096875000003</v>
      </c>
      <c r="AA20" s="23">
        <v>38.074331249999993</v>
      </c>
      <c r="AB20" s="24">
        <v>4355.0600000000004</v>
      </c>
      <c r="AC20" s="24">
        <v>4618.49</v>
      </c>
      <c r="AD20" s="24">
        <v>13.348000000000001</v>
      </c>
      <c r="AE20" s="24">
        <v>9.4879999999999995</v>
      </c>
      <c r="AG20" s="19">
        <f t="shared" si="6"/>
        <v>1.8840874999999999</v>
      </c>
      <c r="AH20" s="20">
        <f t="shared" si="7"/>
        <v>4.8116603730640924E-3</v>
      </c>
      <c r="AI20" s="20">
        <f t="shared" si="8"/>
        <v>3.7413774288820954E-3</v>
      </c>
      <c r="AJ20" s="20">
        <f t="shared" si="9"/>
        <v>2.2076042211340652E-3</v>
      </c>
      <c r="AK20" s="20">
        <f t="shared" si="10"/>
        <v>1.0702829441819968E-3</v>
      </c>
      <c r="AL20" s="17">
        <f t="shared" si="11"/>
        <v>937600</v>
      </c>
      <c r="AM20" s="20">
        <v>16</v>
      </c>
      <c r="AN20" s="21">
        <v>26262735</v>
      </c>
      <c r="AO20" s="21">
        <v>820710.46875</v>
      </c>
      <c r="AP20" s="21">
        <v>23778.65625</v>
      </c>
      <c r="AQ20" s="22">
        <v>1205816</v>
      </c>
      <c r="AR20" s="22">
        <v>553232</v>
      </c>
      <c r="AS20" s="22">
        <v>384368</v>
      </c>
      <c r="AT20" s="22">
        <v>268216</v>
      </c>
      <c r="AU20" s="23">
        <v>66.467359000000002</v>
      </c>
      <c r="AV20" s="23">
        <v>68.584796999999995</v>
      </c>
      <c r="AW20" s="23">
        <v>29.89555</v>
      </c>
      <c r="AX20" s="23">
        <v>39.272094000000003</v>
      </c>
      <c r="AY20" s="23">
        <v>37.786240999999997</v>
      </c>
      <c r="AZ20" s="24">
        <v>4195.62</v>
      </c>
      <c r="BA20" s="24">
        <v>2775.16</v>
      </c>
      <c r="BB20" s="24">
        <v>10.361000000000001</v>
      </c>
      <c r="BC20" s="24">
        <v>14.634</v>
      </c>
      <c r="BE20" s="49">
        <f t="shared" si="12"/>
        <v>0.94723910513384202</v>
      </c>
      <c r="BF20" s="25">
        <f t="shared" si="13"/>
        <v>-1.3700025814987193E-3</v>
      </c>
      <c r="BG20" s="25">
        <f t="shared" si="14"/>
        <v>3.7392474492703442E-4</v>
      </c>
      <c r="BH20" s="25">
        <f t="array" ref="BH20">AVERAGE(AL20:AL24/AQ20:AQ24) - AVERAGE(N20:N24/S20:S24)</f>
        <v>-2.6260836605537241E-3</v>
      </c>
      <c r="BJ20" s="49">
        <f>IF( OR(ISBLANK(N20:N24),ISBLANK(AL20:AL24), ISBLANK(W20:W24),ISBLANK(AU20:AU24)), "·", bdRateExtend( N20:N24,W20:W24, AL20:AL24,AU20:AU24))</f>
        <v>0.2173455861125444</v>
      </c>
      <c r="BK20" s="49">
        <f>IF( OR(ISBLANK(N20:N24),ISBLANK(AL20:AL24), ISBLANK(X20:X24),ISBLANK(AV20:AV24)), "·", bdRateExtend( N20:N24,X20:X24, AL20:AL24,AV20:AV24))</f>
        <v>2.9448302629401457E-2</v>
      </c>
      <c r="BL20" s="49">
        <f>IF( OR(ISBLANK(V20:V24),ISBLANK(AT20:AT24), ISBLANK(Y20:Y24),ISBLANK(AW20:AW24)), "·", bdRateExtend( V20:V24,Y20:Y24, AT20:AT24,AW20:AW24))</f>
        <v>0.10062886559341022</v>
      </c>
      <c r="BM20" s="49">
        <f>IF( OR(ISBLANK(V20:V24),ISBLANK(AT20:AT24), ISBLANK(Z20:Z24),ISBLANK(AX20:AX24)), "·", bdRateExtend( V20:V24,Z20:Z24, AT20:AT24,AX20:AX24))</f>
        <v>0.15467634403507491</v>
      </c>
      <c r="BN20" s="49">
        <f>IF( OR(ISBLANK(V20:V24),ISBLANK(AT20:AT24), ISBLANK(AA20:AA24),ISBLANK(AY20:AY24)), "·", bdRateExtend( V20:V24,AA20:AA24, AT20:AT24,AY20:AY24))</f>
        <v>0.17395974844425321</v>
      </c>
      <c r="BP20" s="49">
        <f>IF( OR(ISBLANK(S20:S24),ISBLANK(AQ20:AQ24), ISBLANK(W20:W24),ISBLANK(AU20:AU24)), "·", bdRateExtend( S20:S24,W20:W24, AQ20:AQ24,AU20:AU24))</f>
        <v>0.59169085605840177</v>
      </c>
      <c r="BQ20" s="49">
        <f>IF( OR(ISBLANK(S20:S24),ISBLANK(AQ20:AQ24), ISBLANK(X20:X24),ISBLANK(AV20:AV24)), "·", bdRateExtend( S20:S24,X20:X24, AQ20:AQ24,AV20:AV24))</f>
        <v>0.10399877824947579</v>
      </c>
      <c r="BR20" s="49">
        <f>IF( OR(ISBLANK(S20:S24),ISBLANK(AQ20:AQ24), ISBLANK(Y20:Y24),ISBLANK(AW20:AW24)), "·", bdRateExtend( S20:S24,Y20:Y24, AQ20:AQ24,AW20:AW24))</f>
        <v>4.6739473562099398E-2</v>
      </c>
      <c r="BS20" s="49">
        <f>IF( OR(ISBLANK(S20:S24),ISBLANK(AQ20:AQ24), ISBLANK(Z20:Z24),ISBLANK(AX20:AX24)), "·", bdRateExtend( S20:S24,Z20:Z24, AQ20:AQ24,AX20:AX24))</f>
        <v>7.2498808322162933E-2</v>
      </c>
      <c r="BT20" s="49">
        <f>IF( OR(ISBLANK(S20:S24),ISBLANK(AQ20:AQ24), ISBLANK(AA20:AA24),ISBLANK(AY20:AY24)), "·", bdRateExtend( S20:S24,AA20:AA24, AQ20:AQ24,AY20:AY24))</f>
        <v>8.2722360095902614E-2</v>
      </c>
      <c r="BV20" s="53">
        <f t="shared" si="16"/>
        <v>-4116828</v>
      </c>
      <c r="BW20" s="53">
        <f t="shared" si="15"/>
        <v>-128650.875</v>
      </c>
      <c r="BX20" s="53">
        <f t="shared" si="15"/>
        <v>-5028.0625</v>
      </c>
      <c r="BY20" s="53">
        <f t="shared" si="15"/>
        <v>-67776</v>
      </c>
      <c r="BZ20" s="53">
        <f t="shared" si="15"/>
        <v>-22656</v>
      </c>
      <c r="CA20" s="53">
        <f t="shared" si="15"/>
        <v>-29568</v>
      </c>
      <c r="CB20" s="53">
        <f t="shared" si="15"/>
        <v>-15552</v>
      </c>
      <c r="CC20" s="53">
        <f t="shared" si="15"/>
        <v>-0.78087850000002845</v>
      </c>
      <c r="CD20" s="53">
        <f t="shared" si="15"/>
        <v>-0.40063737500000229</v>
      </c>
      <c r="CE20" s="53">
        <f t="shared" si="15"/>
        <v>-0.17715000000000103</v>
      </c>
      <c r="CF20" s="53">
        <f t="shared" si="15"/>
        <v>-0.26800287500000053</v>
      </c>
      <c r="CG20" s="53">
        <f t="shared" si="15"/>
        <v>-0.28809024999999622</v>
      </c>
      <c r="CJ20" t="s">
        <v>239</v>
      </c>
    </row>
    <row r="21" spans="1:88" outlineLevel="1" x14ac:dyDescent="0.2">
      <c r="A21" s="52"/>
      <c r="B21" s="52" t="s">
        <v>70</v>
      </c>
      <c r="C21" s="9" t="s">
        <v>234</v>
      </c>
      <c r="D21" s="52">
        <v>250602891</v>
      </c>
      <c r="E21" s="9">
        <v>10</v>
      </c>
      <c r="F21" s="9">
        <v>32</v>
      </c>
      <c r="G21" s="9">
        <v>50</v>
      </c>
      <c r="I21" s="10">
        <f t="shared" si="0"/>
        <v>2.6944124999999999</v>
      </c>
      <c r="J21" s="11">
        <f t="shared" si="1"/>
        <v>6.8811017826606001E-3</v>
      </c>
      <c r="K21" s="11">
        <f t="shared" si="2"/>
        <v>4.6939921375448142E-3</v>
      </c>
      <c r="L21" s="11">
        <f t="shared" si="3"/>
        <v>3.0422314641214573E-3</v>
      </c>
      <c r="M21" s="11">
        <f t="shared" si="4"/>
        <v>2.1871096451157859E-3</v>
      </c>
      <c r="N21" s="52">
        <f t="shared" si="5"/>
        <v>1176328</v>
      </c>
      <c r="O21" s="11">
        <v>16</v>
      </c>
      <c r="P21" s="12">
        <v>31696812</v>
      </c>
      <c r="Q21" s="12">
        <v>990525.375</v>
      </c>
      <c r="R21" s="12">
        <v>33593.15625</v>
      </c>
      <c r="S21" s="13">
        <v>1724424</v>
      </c>
      <c r="T21" s="13">
        <v>762392</v>
      </c>
      <c r="U21" s="13">
        <v>413936</v>
      </c>
      <c r="V21" s="13">
        <v>548096</v>
      </c>
      <c r="W21" s="14">
        <v>68.873231249999989</v>
      </c>
      <c r="X21" s="14">
        <v>70.998265625000002</v>
      </c>
      <c r="Y21" s="14">
        <v>31.541346874999999</v>
      </c>
      <c r="Z21" s="14">
        <v>40.515546875000013</v>
      </c>
      <c r="AA21" s="14">
        <v>39.215978124999992</v>
      </c>
      <c r="AB21" s="15">
        <v>4419.2700000000004</v>
      </c>
      <c r="AC21" s="15">
        <v>4896.28</v>
      </c>
      <c r="AD21" s="15">
        <v>15.196</v>
      </c>
      <c r="AE21" s="15">
        <v>9.2520000000000007</v>
      </c>
      <c r="AG21" s="10">
        <f t="shared" si="6"/>
        <v>2.5377999999999998</v>
      </c>
      <c r="AH21" s="11">
        <f t="shared" si="7"/>
        <v>6.4811383201481103E-3</v>
      </c>
      <c r="AI21" s="11">
        <f t="shared" si="8"/>
        <v>4.3911065654865088E-3</v>
      </c>
      <c r="AJ21" s="11">
        <f t="shared" si="9"/>
        <v>2.8573333577384787E-3</v>
      </c>
      <c r="AK21" s="11">
        <f t="shared" si="10"/>
        <v>2.0900317546616014E-3</v>
      </c>
      <c r="AL21" s="52">
        <f t="shared" si="11"/>
        <v>1100424</v>
      </c>
      <c r="AM21" s="11">
        <v>16</v>
      </c>
      <c r="AN21" s="12">
        <v>27089963</v>
      </c>
      <c r="AO21" s="12">
        <v>846561.34375</v>
      </c>
      <c r="AP21" s="12">
        <v>26691.875</v>
      </c>
      <c r="AQ21" s="13">
        <v>1624192</v>
      </c>
      <c r="AR21" s="13">
        <v>716056</v>
      </c>
      <c r="AS21" s="13">
        <v>384368</v>
      </c>
      <c r="AT21" s="13">
        <v>523768</v>
      </c>
      <c r="AU21" s="14">
        <v>67.657180999999994</v>
      </c>
      <c r="AV21" s="14">
        <v>70.521433999999999</v>
      </c>
      <c r="AW21" s="14">
        <v>31.348511999999999</v>
      </c>
      <c r="AX21" s="14">
        <v>40.241100000000003</v>
      </c>
      <c r="AY21" s="14">
        <v>38.971843999999997</v>
      </c>
      <c r="AZ21" s="15">
        <v>4346.75</v>
      </c>
      <c r="BA21" s="15">
        <v>2996.7</v>
      </c>
      <c r="BB21" s="15">
        <v>10.692</v>
      </c>
      <c r="BC21" s="15">
        <v>15.071999999999999</v>
      </c>
      <c r="BE21" s="50">
        <f t="shared" si="12"/>
        <v>0.93547377942206589</v>
      </c>
      <c r="BF21" s="16">
        <f t="shared" si="13"/>
        <v>-2.3847244347915825E-3</v>
      </c>
      <c r="BG21" s="16">
        <f t="shared" si="14"/>
        <v>-4.6361722707495279E-3</v>
      </c>
      <c r="BH21" s="16"/>
      <c r="BJ21" s="50"/>
      <c r="BK21" s="50"/>
      <c r="BL21" s="50"/>
      <c r="BM21" s="50"/>
      <c r="BN21" s="50"/>
      <c r="BP21" s="50"/>
      <c r="BQ21" s="50"/>
      <c r="BR21" s="50"/>
      <c r="BS21" s="50"/>
      <c r="BT21" s="50"/>
      <c r="BV21" s="53">
        <f t="shared" si="16"/>
        <v>-4606849</v>
      </c>
      <c r="BW21" s="53">
        <f t="shared" si="16"/>
        <v>-143964.03125</v>
      </c>
      <c r="BX21" s="53">
        <f t="shared" si="16"/>
        <v>-6901.28125</v>
      </c>
      <c r="BY21" s="53">
        <f t="shared" si="16"/>
        <v>-100232</v>
      </c>
      <c r="BZ21" s="53">
        <f t="shared" si="16"/>
        <v>-46336</v>
      </c>
      <c r="CA21" s="53">
        <f t="shared" si="16"/>
        <v>-29568</v>
      </c>
      <c r="CB21" s="53">
        <f t="shared" si="16"/>
        <v>-24328</v>
      </c>
      <c r="CC21" s="53">
        <f t="shared" si="16"/>
        <v>-1.216050249999995</v>
      </c>
      <c r="CD21" s="53">
        <f t="shared" si="16"/>
        <v>-0.47683162500000265</v>
      </c>
      <c r="CE21" s="53">
        <f t="shared" si="16"/>
        <v>-0.19283487499999907</v>
      </c>
      <c r="CF21" s="53">
        <f t="shared" si="16"/>
        <v>-0.27444687500000953</v>
      </c>
      <c r="CG21" s="53">
        <f t="shared" si="16"/>
        <v>-0.24413412499999509</v>
      </c>
      <c r="CJ21" t="s">
        <v>239</v>
      </c>
    </row>
    <row r="22" spans="1:88" outlineLevel="1" x14ac:dyDescent="0.2">
      <c r="A22" s="17"/>
      <c r="B22" s="17" t="s">
        <v>70</v>
      </c>
      <c r="C22" s="18" t="s">
        <v>235</v>
      </c>
      <c r="D22" s="17">
        <v>250602891</v>
      </c>
      <c r="E22" s="18">
        <v>10</v>
      </c>
      <c r="F22" s="18">
        <v>32</v>
      </c>
      <c r="G22" s="18">
        <v>50</v>
      </c>
      <c r="I22" s="19">
        <f t="shared" si="0"/>
        <v>4.1956749999999996</v>
      </c>
      <c r="J22" s="20">
        <f t="shared" si="1"/>
        <v>1.0715087879812209E-2</v>
      </c>
      <c r="K22" s="20">
        <f t="shared" si="2"/>
        <v>5.5723219888951722E-3</v>
      </c>
      <c r="L22" s="20">
        <f t="shared" si="3"/>
        <v>3.9205613154718157E-3</v>
      </c>
      <c r="M22" s="20">
        <f t="shared" si="4"/>
        <v>5.1427658909170369E-3</v>
      </c>
      <c r="N22" s="17">
        <f t="shared" si="5"/>
        <v>1396440</v>
      </c>
      <c r="O22" s="20">
        <v>16</v>
      </c>
      <c r="P22" s="21">
        <v>32604849</v>
      </c>
      <c r="Q22" s="21">
        <v>1018901.53125</v>
      </c>
      <c r="R22" s="21">
        <v>35090.5625</v>
      </c>
      <c r="S22" s="22">
        <v>2685232</v>
      </c>
      <c r="T22" s="22">
        <v>982504</v>
      </c>
      <c r="U22" s="22">
        <v>413936</v>
      </c>
      <c r="V22" s="22">
        <v>1288792</v>
      </c>
      <c r="W22" s="23">
        <v>70.092034374999997</v>
      </c>
      <c r="X22" s="23">
        <v>72.552462500000004</v>
      </c>
      <c r="Y22" s="23">
        <v>33.405968749999992</v>
      </c>
      <c r="Z22" s="23">
        <v>41.661025000000002</v>
      </c>
      <c r="AA22" s="23">
        <v>40.480746874999987</v>
      </c>
      <c r="AB22" s="24">
        <v>4440.7299999999996</v>
      </c>
      <c r="AC22" s="24">
        <v>5092.91</v>
      </c>
      <c r="AD22" s="24">
        <v>13.848000000000001</v>
      </c>
      <c r="AE22" s="24">
        <v>10.212</v>
      </c>
      <c r="AG22" s="19">
        <f t="shared" si="6"/>
        <v>3.9460000000000002</v>
      </c>
      <c r="AH22" s="20">
        <f t="shared" si="7"/>
        <v>1.0077457566122012E-2</v>
      </c>
      <c r="AI22" s="20">
        <f t="shared" si="8"/>
        <v>5.2343849457028016E-3</v>
      </c>
      <c r="AJ22" s="20">
        <f t="shared" si="9"/>
        <v>3.700611737954771E-3</v>
      </c>
      <c r="AK22" s="20">
        <f t="shared" si="10"/>
        <v>4.8430726204192111E-3</v>
      </c>
      <c r="AL22" s="17">
        <f t="shared" si="11"/>
        <v>1311752</v>
      </c>
      <c r="AM22" s="20">
        <v>16</v>
      </c>
      <c r="AN22" s="21">
        <v>28089572</v>
      </c>
      <c r="AO22" s="21">
        <v>877799.125</v>
      </c>
      <c r="AP22" s="21">
        <v>28445.9375</v>
      </c>
      <c r="AQ22" s="22">
        <v>2525440</v>
      </c>
      <c r="AR22" s="22">
        <v>927384</v>
      </c>
      <c r="AS22" s="22">
        <v>384368</v>
      </c>
      <c r="AT22" s="22">
        <v>1213688</v>
      </c>
      <c r="AU22" s="23">
        <v>68.633758999999998</v>
      </c>
      <c r="AV22" s="23">
        <v>72.046413000000001</v>
      </c>
      <c r="AW22" s="23">
        <v>33.099009000000002</v>
      </c>
      <c r="AX22" s="23">
        <v>41.484940999999999</v>
      </c>
      <c r="AY22" s="23">
        <v>40.180306000000002</v>
      </c>
      <c r="AZ22" s="24">
        <v>4568.66</v>
      </c>
      <c r="BA22" s="24">
        <v>3301.42</v>
      </c>
      <c r="BB22" s="24">
        <v>12.180999999999999</v>
      </c>
      <c r="BC22" s="24">
        <v>16.193000000000001</v>
      </c>
      <c r="BE22" s="49">
        <f t="shared" si="12"/>
        <v>0.9393543582252013</v>
      </c>
      <c r="BF22" s="25">
        <f t="shared" si="13"/>
        <v>-2.0336251603217115E-3</v>
      </c>
      <c r="BG22" s="25">
        <f t="shared" si="14"/>
        <v>-6.2921992209341582E-4</v>
      </c>
      <c r="BH22" s="25"/>
      <c r="BJ22" s="49"/>
      <c r="BK22" s="49"/>
      <c r="BL22" s="49"/>
      <c r="BM22" s="49"/>
      <c r="BN22" s="49"/>
      <c r="BP22" s="49"/>
      <c r="BQ22" s="49"/>
      <c r="BR22" s="49"/>
      <c r="BS22" s="49"/>
      <c r="BT22" s="49"/>
      <c r="BV22" s="53">
        <f t="shared" si="16"/>
        <v>-4515277</v>
      </c>
      <c r="BW22" s="53">
        <f t="shared" si="16"/>
        <v>-141102.40625</v>
      </c>
      <c r="BX22" s="53">
        <f t="shared" si="16"/>
        <v>-6644.625</v>
      </c>
      <c r="BY22" s="53">
        <f t="shared" si="16"/>
        <v>-159792</v>
      </c>
      <c r="BZ22" s="53">
        <f t="shared" si="16"/>
        <v>-55120</v>
      </c>
      <c r="CA22" s="53">
        <f t="shared" si="16"/>
        <v>-29568</v>
      </c>
      <c r="CB22" s="53">
        <f t="shared" si="16"/>
        <v>-75104</v>
      </c>
      <c r="CC22" s="53">
        <f t="shared" si="16"/>
        <v>-1.4582753749999995</v>
      </c>
      <c r="CD22" s="53">
        <f t="shared" si="16"/>
        <v>-0.50604950000000315</v>
      </c>
      <c r="CE22" s="53">
        <f t="shared" si="16"/>
        <v>-0.30695974999999009</v>
      </c>
      <c r="CF22" s="53">
        <f t="shared" si="16"/>
        <v>-0.17608400000000302</v>
      </c>
      <c r="CG22" s="53">
        <f t="shared" si="16"/>
        <v>-0.3004408749999854</v>
      </c>
      <c r="CJ22" t="s">
        <v>239</v>
      </c>
    </row>
    <row r="23" spans="1:88" outlineLevel="1" x14ac:dyDescent="0.2">
      <c r="A23" s="52"/>
      <c r="B23" s="52" t="s">
        <v>70</v>
      </c>
      <c r="C23" s="9" t="s">
        <v>236</v>
      </c>
      <c r="D23" s="52">
        <v>250602891</v>
      </c>
      <c r="E23" s="9">
        <v>10</v>
      </c>
      <c r="F23" s="9">
        <v>32</v>
      </c>
      <c r="G23" s="9">
        <v>50</v>
      </c>
      <c r="I23" s="10">
        <f t="shared" si="0"/>
        <v>7.9713250000000002</v>
      </c>
      <c r="J23" s="11">
        <f t="shared" si="1"/>
        <v>2.035749858927206E-2</v>
      </c>
      <c r="K23" s="11">
        <f t="shared" si="2"/>
        <v>8.2705829598749524E-3</v>
      </c>
      <c r="L23" s="11">
        <f t="shared" si="3"/>
        <v>6.6188222864515959E-3</v>
      </c>
      <c r="M23" s="11">
        <f t="shared" si="4"/>
        <v>1.2086915629397109E-2</v>
      </c>
      <c r="N23" s="52">
        <f t="shared" si="5"/>
        <v>2072632</v>
      </c>
      <c r="O23" s="11">
        <v>16</v>
      </c>
      <c r="P23" s="12">
        <v>32813316</v>
      </c>
      <c r="Q23" s="12">
        <v>1025416.125</v>
      </c>
      <c r="R23" s="12">
        <v>37028.40625</v>
      </c>
      <c r="S23" s="13">
        <v>5101648</v>
      </c>
      <c r="T23" s="13">
        <v>1658696</v>
      </c>
      <c r="U23" s="13">
        <v>413936</v>
      </c>
      <c r="V23" s="13">
        <v>3029016</v>
      </c>
      <c r="W23" s="14">
        <v>71.045559374999982</v>
      </c>
      <c r="X23" s="14">
        <v>73.797390624999977</v>
      </c>
      <c r="Y23" s="14">
        <v>35.293249999999993</v>
      </c>
      <c r="Z23" s="14">
        <v>42.754381250000002</v>
      </c>
      <c r="AA23" s="14">
        <v>41.481662500000013</v>
      </c>
      <c r="AB23" s="15">
        <v>3557.47</v>
      </c>
      <c r="AC23" s="15">
        <v>4099.84</v>
      </c>
      <c r="AD23" s="15">
        <v>15.272</v>
      </c>
      <c r="AE23" s="15">
        <v>9.9720000000000013</v>
      </c>
      <c r="AG23" s="10">
        <f t="shared" si="6"/>
        <v>7.597175</v>
      </c>
      <c r="AH23" s="11">
        <f t="shared" si="7"/>
        <v>1.9401978886189306E-2</v>
      </c>
      <c r="AI23" s="11">
        <f t="shared" si="8"/>
        <v>7.7993673265325577E-3</v>
      </c>
      <c r="AJ23" s="11">
        <f t="shared" si="9"/>
        <v>6.2655941187845276E-3</v>
      </c>
      <c r="AK23" s="11">
        <f t="shared" si="10"/>
        <v>1.1602611559656749E-2</v>
      </c>
      <c r="AL23" s="52">
        <f t="shared" si="11"/>
        <v>1954544</v>
      </c>
      <c r="AM23" s="11">
        <v>16</v>
      </c>
      <c r="AN23" s="12">
        <v>28254184</v>
      </c>
      <c r="AO23" s="12">
        <v>882943.25</v>
      </c>
      <c r="AP23" s="12">
        <v>30132.46875</v>
      </c>
      <c r="AQ23" s="13">
        <v>4862192</v>
      </c>
      <c r="AR23" s="13">
        <v>1570176</v>
      </c>
      <c r="AS23" s="13">
        <v>384368</v>
      </c>
      <c r="AT23" s="13">
        <v>2907648</v>
      </c>
      <c r="AU23" s="14">
        <v>69.364084000000005</v>
      </c>
      <c r="AV23" s="14">
        <v>73.278802999999996</v>
      </c>
      <c r="AW23" s="14">
        <v>34.896622000000001</v>
      </c>
      <c r="AX23" s="14">
        <v>42.486609000000001</v>
      </c>
      <c r="AY23" s="14">
        <v>41.220616</v>
      </c>
      <c r="AZ23" s="15">
        <v>4347.87</v>
      </c>
      <c r="BA23" s="15">
        <v>3426.28</v>
      </c>
      <c r="BB23" s="15">
        <v>10.964</v>
      </c>
      <c r="BC23" s="15">
        <v>15.879</v>
      </c>
      <c r="BE23" s="50">
        <f t="shared" si="12"/>
        <v>0.94302510045198562</v>
      </c>
      <c r="BF23" s="16">
        <f t="shared" si="13"/>
        <v>-1.9833148437255615E-3</v>
      </c>
      <c r="BG23" s="16">
        <f t="shared" si="14"/>
        <v>-4.2789122711309746E-3</v>
      </c>
      <c r="BH23" s="16"/>
      <c r="BJ23" s="50"/>
      <c r="BK23" s="50"/>
      <c r="BL23" s="50"/>
      <c r="BM23" s="50"/>
      <c r="BN23" s="50"/>
      <c r="BP23" s="50"/>
      <c r="BQ23" s="50"/>
      <c r="BR23" s="50"/>
      <c r="BS23" s="50"/>
      <c r="BT23" s="50"/>
      <c r="BV23" s="53">
        <f t="shared" si="16"/>
        <v>-4559132</v>
      </c>
      <c r="BW23" s="53">
        <f t="shared" si="16"/>
        <v>-142472.875</v>
      </c>
      <c r="BX23" s="53">
        <f t="shared" si="16"/>
        <v>-6895.9375</v>
      </c>
      <c r="BY23" s="53">
        <f t="shared" si="16"/>
        <v>-239456</v>
      </c>
      <c r="BZ23" s="53">
        <f t="shared" si="16"/>
        <v>-88520</v>
      </c>
      <c r="CA23" s="53">
        <f t="shared" si="16"/>
        <v>-29568</v>
      </c>
      <c r="CB23" s="53">
        <f t="shared" si="16"/>
        <v>-121368</v>
      </c>
      <c r="CC23" s="53">
        <f t="shared" si="16"/>
        <v>-1.6814753749999767</v>
      </c>
      <c r="CD23" s="53">
        <f t="shared" si="16"/>
        <v>-0.51858762499998079</v>
      </c>
      <c r="CE23" s="53">
        <f t="shared" si="16"/>
        <v>-0.39662799999999265</v>
      </c>
      <c r="CF23" s="53">
        <f t="shared" si="16"/>
        <v>-0.26777225000000016</v>
      </c>
      <c r="CG23" s="53">
        <f t="shared" si="16"/>
        <v>-0.26104650000001328</v>
      </c>
      <c r="CJ23" t="s">
        <v>239</v>
      </c>
    </row>
    <row r="24" spans="1:88" ht="16" outlineLevel="1" thickBot="1" x14ac:dyDescent="0.25">
      <c r="A24" s="36"/>
      <c r="B24" s="36" t="s">
        <v>70</v>
      </c>
      <c r="C24" s="37" t="s">
        <v>237</v>
      </c>
      <c r="D24" s="36">
        <v>250602891</v>
      </c>
      <c r="E24" s="37">
        <v>10</v>
      </c>
      <c r="F24" s="37">
        <v>32</v>
      </c>
      <c r="G24" s="37">
        <v>50</v>
      </c>
      <c r="I24" s="38">
        <f t="shared" si="0"/>
        <v>16.4397375</v>
      </c>
      <c r="J24" s="39">
        <f t="shared" si="1"/>
        <v>4.1984479740100042E-2</v>
      </c>
      <c r="K24" s="39">
        <f t="shared" si="2"/>
        <v>1.4241814951767656E-2</v>
      </c>
      <c r="L24" s="39">
        <f t="shared" si="3"/>
        <v>1.0614817687797545E-2</v>
      </c>
      <c r="M24" s="39">
        <f t="shared" si="4"/>
        <v>2.7742664788332389E-2</v>
      </c>
      <c r="N24" s="36">
        <f t="shared" si="5"/>
        <v>3569040</v>
      </c>
      <c r="O24" s="39">
        <v>16</v>
      </c>
      <c r="P24" s="40">
        <v>31274990</v>
      </c>
      <c r="Q24" s="40">
        <v>977343.4375</v>
      </c>
      <c r="R24" s="40">
        <v>17914.71875</v>
      </c>
      <c r="S24" s="41">
        <v>10521432</v>
      </c>
      <c r="T24" s="41">
        <v>2660104</v>
      </c>
      <c r="U24" s="41">
        <v>908936</v>
      </c>
      <c r="V24" s="41">
        <v>6952392</v>
      </c>
      <c r="W24" s="42">
        <v>71.767975000000021</v>
      </c>
      <c r="X24" s="42">
        <v>75.81079687499998</v>
      </c>
      <c r="Y24" s="42">
        <v>36.874640624999998</v>
      </c>
      <c r="Z24" s="42">
        <v>43.507331250000007</v>
      </c>
      <c r="AA24" s="42">
        <v>42.057256250000002</v>
      </c>
      <c r="AB24" s="43">
        <v>3591.91</v>
      </c>
      <c r="AC24" s="43">
        <v>4507.2</v>
      </c>
      <c r="AD24" s="43">
        <v>12.82</v>
      </c>
      <c r="AE24" s="43">
        <v>11.656000000000001</v>
      </c>
      <c r="AG24" s="38">
        <f t="shared" si="6"/>
        <v>15.6281625</v>
      </c>
      <c r="AH24" s="39">
        <f t="shared" si="7"/>
        <v>3.9911846028943057E-2</v>
      </c>
      <c r="AI24" s="39">
        <f t="shared" si="8"/>
        <v>1.3380691605828282E-2</v>
      </c>
      <c r="AJ24" s="39">
        <f t="shared" si="9"/>
        <v>9.9852958200709659E-3</v>
      </c>
      <c r="AK24" s="39">
        <f t="shared" si="10"/>
        <v>2.6531154423114777E-2</v>
      </c>
      <c r="AL24" s="36">
        <f t="shared" si="11"/>
        <v>3353240</v>
      </c>
      <c r="AM24" s="39">
        <v>16</v>
      </c>
      <c r="AN24" s="40">
        <v>26815580</v>
      </c>
      <c r="AO24" s="40">
        <v>837986.875</v>
      </c>
      <c r="AP24" s="40">
        <v>15005.71875</v>
      </c>
      <c r="AQ24" s="41">
        <v>10002024</v>
      </c>
      <c r="AR24" s="41">
        <v>2502344</v>
      </c>
      <c r="AS24" s="41">
        <v>850896</v>
      </c>
      <c r="AT24" s="41">
        <v>6648784</v>
      </c>
      <c r="AU24" s="42">
        <v>69.609971999999999</v>
      </c>
      <c r="AV24" s="42">
        <v>75.489366000000004</v>
      </c>
      <c r="AW24" s="42">
        <v>36.447752999999999</v>
      </c>
      <c r="AX24" s="42">
        <v>43.262897000000002</v>
      </c>
      <c r="AY24" s="42">
        <v>41.814441000000002</v>
      </c>
      <c r="AZ24" s="43">
        <v>4466.66</v>
      </c>
      <c r="BA24" s="43">
        <v>3708.03</v>
      </c>
      <c r="BB24" s="43">
        <v>10.026999999999999</v>
      </c>
      <c r="BC24" s="43">
        <v>16.687999999999999</v>
      </c>
      <c r="BE24" s="44">
        <f t="shared" si="12"/>
        <v>0.93953556138345318</v>
      </c>
      <c r="BF24" s="45">
        <f t="shared" si="13"/>
        <v>-4.231477714452328E-4</v>
      </c>
      <c r="BG24" s="45">
        <f t="shared" si="14"/>
        <v>-3.9600385837213481E-3</v>
      </c>
      <c r="BH24" s="45"/>
      <c r="BJ24" s="44"/>
      <c r="BK24" s="44"/>
      <c r="BL24" s="44"/>
      <c r="BM24" s="44"/>
      <c r="BN24" s="44"/>
      <c r="BP24" s="44"/>
      <c r="BQ24" s="44"/>
      <c r="BR24" s="44"/>
      <c r="BS24" s="44"/>
      <c r="BT24" s="44"/>
      <c r="BV24" s="53">
        <f t="shared" si="16"/>
        <v>-4459410</v>
      </c>
      <c r="BW24" s="53">
        <f t="shared" si="16"/>
        <v>-139356.5625</v>
      </c>
      <c r="BX24" s="53">
        <f t="shared" si="16"/>
        <v>-2909</v>
      </c>
      <c r="BY24" s="53">
        <f t="shared" si="16"/>
        <v>-519408</v>
      </c>
      <c r="BZ24" s="53">
        <f t="shared" si="16"/>
        <v>-157760</v>
      </c>
      <c r="CA24" s="53">
        <f t="shared" si="16"/>
        <v>-58040</v>
      </c>
      <c r="CB24" s="53">
        <f t="shared" si="16"/>
        <v>-303608</v>
      </c>
      <c r="CC24" s="53">
        <f t="shared" si="16"/>
        <v>-2.1580030000000221</v>
      </c>
      <c r="CD24" s="53">
        <f t="shared" si="16"/>
        <v>-0.32143087499997591</v>
      </c>
      <c r="CE24" s="53">
        <f t="shared" si="16"/>
        <v>-0.4268876249999991</v>
      </c>
      <c r="CF24" s="53">
        <f t="shared" si="16"/>
        <v>-0.24443425000000474</v>
      </c>
      <c r="CG24" s="53">
        <f t="shared" si="16"/>
        <v>-0.24281524999999959</v>
      </c>
      <c r="CJ24" t="s">
        <v>239</v>
      </c>
    </row>
    <row r="25" spans="1:88" x14ac:dyDescent="0.2">
      <c r="A25" s="52" t="s">
        <v>240</v>
      </c>
      <c r="B25" s="52" t="s">
        <v>73</v>
      </c>
      <c r="C25" s="9" t="s">
        <v>232</v>
      </c>
      <c r="D25" s="52">
        <v>250294582</v>
      </c>
      <c r="E25" s="9">
        <v>10</v>
      </c>
      <c r="F25" s="9">
        <v>32</v>
      </c>
      <c r="G25" s="9">
        <v>30</v>
      </c>
      <c r="I25" s="10">
        <f t="shared" si="0"/>
        <v>2.05959</v>
      </c>
      <c r="J25" s="11">
        <f t="shared" si="1"/>
        <v>8.7772415305417996E-3</v>
      </c>
      <c r="K25" s="11">
        <f t="shared" si="2"/>
        <v>5.7151217120632678E-3</v>
      </c>
      <c r="L25" s="11">
        <f t="shared" si="3"/>
        <v>3.5055013695821828E-3</v>
      </c>
      <c r="M25" s="11">
        <f t="shared" si="4"/>
        <v>3.0621198184785318E-3</v>
      </c>
      <c r="N25" s="52">
        <f t="shared" si="5"/>
        <v>1430464</v>
      </c>
      <c r="O25" s="11">
        <v>16</v>
      </c>
      <c r="P25" s="12">
        <v>23423729</v>
      </c>
      <c r="Q25" s="12">
        <v>731991.53125</v>
      </c>
      <c r="R25" s="12">
        <v>14601.28125</v>
      </c>
      <c r="S25" s="13">
        <v>2196896</v>
      </c>
      <c r="T25" s="13">
        <v>877408</v>
      </c>
      <c r="U25" s="13">
        <v>553056</v>
      </c>
      <c r="V25" s="13">
        <v>766432</v>
      </c>
      <c r="W25" s="14">
        <v>66.249556249999998</v>
      </c>
      <c r="X25" s="14">
        <v>68.002121874999986</v>
      </c>
      <c r="Y25" s="14">
        <v>25.895034374999991</v>
      </c>
      <c r="Z25" s="14">
        <v>32.454721874999997</v>
      </c>
      <c r="AA25" s="14">
        <v>31.646274999999999</v>
      </c>
      <c r="AB25" s="15">
        <v>1266.48</v>
      </c>
      <c r="AC25" s="15">
        <v>4491.72</v>
      </c>
      <c r="AD25" s="15">
        <v>12.516</v>
      </c>
      <c r="AE25" s="15">
        <v>10.683999999999999</v>
      </c>
      <c r="AG25" s="10">
        <f t="shared" si="6"/>
        <v>1.7601074999999999</v>
      </c>
      <c r="AH25" s="11">
        <f t="shared" si="7"/>
        <v>7.5009534165625686E-3</v>
      </c>
      <c r="AI25" s="11">
        <f t="shared" si="8"/>
        <v>5.0339403671150976E-3</v>
      </c>
      <c r="AJ25" s="11">
        <f t="shared" si="9"/>
        <v>3.0390110481896089E-3</v>
      </c>
      <c r="AK25" s="11">
        <f t="shared" si="10"/>
        <v>2.4670130494474705E-3</v>
      </c>
      <c r="AL25" s="52">
        <f t="shared" si="11"/>
        <v>1259968</v>
      </c>
      <c r="AM25" s="11">
        <v>16</v>
      </c>
      <c r="AN25" s="12">
        <v>16248312</v>
      </c>
      <c r="AO25" s="12">
        <v>507759.75</v>
      </c>
      <c r="AP25" s="12">
        <v>8984.8125</v>
      </c>
      <c r="AQ25" s="13">
        <v>1877448</v>
      </c>
      <c r="AR25" s="13">
        <v>760648</v>
      </c>
      <c r="AS25" s="13">
        <v>499320</v>
      </c>
      <c r="AT25" s="13">
        <v>617480</v>
      </c>
      <c r="AU25" s="14">
        <v>64.402058999999994</v>
      </c>
      <c r="AV25" s="14">
        <v>66.933899999999994</v>
      </c>
      <c r="AW25" s="14">
        <v>25.006983999999999</v>
      </c>
      <c r="AX25" s="14">
        <v>31.579628</v>
      </c>
      <c r="AY25" s="14">
        <v>30.652028000000001</v>
      </c>
      <c r="AZ25" s="15">
        <v>1508</v>
      </c>
      <c r="BA25" s="15">
        <v>3336.25</v>
      </c>
      <c r="BB25" s="15">
        <v>8.0020000000000007</v>
      </c>
      <c r="BC25" s="15">
        <v>14.592000000000001</v>
      </c>
      <c r="BE25" s="50">
        <f t="shared" si="12"/>
        <v>0.88081070198201417</v>
      </c>
      <c r="BF25" s="16">
        <f t="shared" si="13"/>
        <v>-2.2523289764303928E-3</v>
      </c>
      <c r="BG25" s="16">
        <f t="shared" si="14"/>
        <v>1.9977142624221012E-2</v>
      </c>
      <c r="BH25" s="16">
        <f t="array" ref="BH25">AVERAGE(AL25:AL29/AQ25:AQ29) - AVERAGE(N25:N29/S25:S29)</f>
        <v>1.2600222511853776E-2</v>
      </c>
      <c r="BJ25" s="50">
        <f>IF( OR(ISBLANK(N25:N29),ISBLANK(AL25:AL29), ISBLANK(W25:W29),ISBLANK(AU25:AU29)), "·", bdRateExtend( N25:N29,W25:W29, AL25:AL29,AU25:AU29))</f>
        <v>0.56690157757087611</v>
      </c>
      <c r="BK25" s="50">
        <f>IF( OR(ISBLANK(N25:N29),ISBLANK(AL25:AL29), ISBLANK(X25:X29),ISBLANK(AV25:AV29)), "·", bdRateExtend( N25:N29,X25:X29, AL25:AL29,AV25:AV29))</f>
        <v>8.135771793169666E-2</v>
      </c>
      <c r="BL25" s="50">
        <f>IF( OR(ISBLANK(V25:V29),ISBLANK(AT25:AT29), ISBLANK(Y25:Y29),ISBLANK(AW25:AW29)), "·", bdRateExtend( V25:V29,Y25:Y29, AT25:AT29,AW25:AW29))</f>
        <v>0.46127411062151991</v>
      </c>
      <c r="BM25" s="50">
        <f>IF( OR(ISBLANK(V25:V29),ISBLANK(AT25:AT29), ISBLANK(Z25:Z29),ISBLANK(AX25:AX29)), "·", bdRateExtend( V25:V29,Z25:Z29, AT25:AT29,AX25:AX29))</f>
        <v>0.58376886089893176</v>
      </c>
      <c r="BN25" s="50">
        <f>IF( OR(ISBLANK(V25:V29),ISBLANK(AT25:AT29), ISBLANK(AA25:AA29),ISBLANK(AY25:AY29)), "·", bdRateExtend( V25:V29,AA25:AA29, AT25:AT29,AY25:AY29))</f>
        <v>0.82456639213424454</v>
      </c>
      <c r="BP25" s="50">
        <f>IF( OR(ISBLANK(S25:S29),ISBLANK(AQ25:AQ29), ISBLANK(W25:W29),ISBLANK(AU25:AU29)), "·", bdRateExtend( S25:S29,W25:W29, AQ25:AQ29,AU25:AU29))</f>
        <v>1.6420364900514612</v>
      </c>
      <c r="BQ25" s="50">
        <f>IF( OR(ISBLANK(S25:S29),ISBLANK(AQ25:AQ29), ISBLANK(X25:X29),ISBLANK(AV25:AV29)), "·", bdRateExtend( S25:S29,X25:X29, AQ25:AQ29,AV25:AV29))</f>
        <v>0.26771298665571885</v>
      </c>
      <c r="BR25" s="50">
        <f>IF( OR(ISBLANK(S25:S29),ISBLANK(AQ25:AQ29), ISBLANK(Y25:Y29),ISBLANK(AW25:AW29)), "·", bdRateExtend( S25:S29,Y25:Y29, AQ25:AQ29,AW25:AW29))</f>
        <v>0.30032864516181634</v>
      </c>
      <c r="BS25" s="50">
        <f>IF( OR(ISBLANK(S25:S29),ISBLANK(AQ25:AQ29), ISBLANK(Z25:Z29),ISBLANK(AX25:AX29)), "·", bdRateExtend( S25:S29,Z25:Z29, AQ25:AQ29,AX25:AX29))</f>
        <v>0.38145327958256137</v>
      </c>
      <c r="BT25" s="50">
        <f>IF( OR(ISBLANK(S25:S29),ISBLANK(AQ25:AQ29), ISBLANK(AA25:AA29),ISBLANK(AY25:AY29)), "·", bdRateExtend( S25:S29,AA25:AA29, AQ25:AQ29,AY25:AY29))</f>
        <v>0.5325391595880351</v>
      </c>
      <c r="BV25" s="53">
        <f t="shared" si="16"/>
        <v>-7175417</v>
      </c>
      <c r="BW25" s="53">
        <f t="shared" si="16"/>
        <v>-224231.78125</v>
      </c>
      <c r="BX25" s="53">
        <f t="shared" si="16"/>
        <v>-5616.46875</v>
      </c>
      <c r="BY25" s="53">
        <f t="shared" si="16"/>
        <v>-319448</v>
      </c>
      <c r="BZ25" s="53">
        <f t="shared" si="16"/>
        <v>-116760</v>
      </c>
      <c r="CA25" s="53">
        <f t="shared" si="16"/>
        <v>-53736</v>
      </c>
      <c r="CB25" s="53">
        <f t="shared" si="16"/>
        <v>-148952</v>
      </c>
      <c r="CC25" s="53">
        <f t="shared" si="16"/>
        <v>-1.8474972500000035</v>
      </c>
      <c r="CD25" s="53">
        <f t="shared" si="16"/>
        <v>-1.0682218749999919</v>
      </c>
      <c r="CE25" s="53">
        <f t="shared" si="16"/>
        <v>-0.88805037499999173</v>
      </c>
      <c r="CF25" s="53">
        <f t="shared" si="16"/>
        <v>-0.87509387499999747</v>
      </c>
      <c r="CG25" s="53">
        <f t="shared" si="16"/>
        <v>-0.99424699999999788</v>
      </c>
      <c r="CJ25" t="s">
        <v>579</v>
      </c>
    </row>
    <row r="26" spans="1:88" outlineLevel="1" x14ac:dyDescent="0.2">
      <c r="A26" s="17"/>
      <c r="B26" s="17" t="s">
        <v>73</v>
      </c>
      <c r="C26" s="18" t="s">
        <v>234</v>
      </c>
      <c r="D26" s="17">
        <v>250294582</v>
      </c>
      <c r="E26" s="18">
        <v>10</v>
      </c>
      <c r="F26" s="18">
        <v>32</v>
      </c>
      <c r="G26" s="18">
        <v>30</v>
      </c>
      <c r="I26" s="19">
        <f t="shared" si="0"/>
        <v>3.1800600000000001</v>
      </c>
      <c r="J26" s="20">
        <f t="shared" si="1"/>
        <v>1.3552286960810043E-2</v>
      </c>
      <c r="K26" s="20">
        <f t="shared" si="2"/>
        <v>7.1894484715614021E-3</v>
      </c>
      <c r="L26" s="20">
        <f t="shared" si="3"/>
        <v>4.9798281290803171E-3</v>
      </c>
      <c r="M26" s="20">
        <f t="shared" si="4"/>
        <v>6.3628384892486407E-3</v>
      </c>
      <c r="N26" s="17">
        <f t="shared" si="5"/>
        <v>1799480</v>
      </c>
      <c r="O26" s="20">
        <v>16</v>
      </c>
      <c r="P26" s="21">
        <v>24642332</v>
      </c>
      <c r="Q26" s="21">
        <v>770072.875</v>
      </c>
      <c r="R26" s="21">
        <v>17838.375</v>
      </c>
      <c r="S26" s="22">
        <v>3392064</v>
      </c>
      <c r="T26" s="22">
        <v>1246424</v>
      </c>
      <c r="U26" s="22">
        <v>553056</v>
      </c>
      <c r="V26" s="22">
        <v>1592584</v>
      </c>
      <c r="W26" s="23">
        <v>68.005359375000012</v>
      </c>
      <c r="X26" s="23">
        <v>70.016609375000016</v>
      </c>
      <c r="Y26" s="23">
        <v>27.912871875</v>
      </c>
      <c r="Z26" s="23">
        <v>33.647859375000003</v>
      </c>
      <c r="AA26" s="23">
        <v>33.01885</v>
      </c>
      <c r="AB26" s="24">
        <v>1559.7</v>
      </c>
      <c r="AC26" s="24">
        <v>6437.68</v>
      </c>
      <c r="AD26" s="24">
        <v>12.676</v>
      </c>
      <c r="AE26" s="24">
        <v>11.528</v>
      </c>
      <c r="AG26" s="19">
        <f t="shared" si="6"/>
        <v>2.6993325000000001</v>
      </c>
      <c r="AH26" s="20">
        <f t="shared" si="7"/>
        <v>1.1503596989566479E-2</v>
      </c>
      <c r="AI26" s="20">
        <f t="shared" si="8"/>
        <v>6.2979869056853975E-3</v>
      </c>
      <c r="AJ26" s="20">
        <f t="shared" si="9"/>
        <v>4.3030575867599088E-3</v>
      </c>
      <c r="AK26" s="20">
        <f t="shared" si="10"/>
        <v>5.2056100838810803E-3</v>
      </c>
      <c r="AL26" s="17">
        <f t="shared" si="11"/>
        <v>1576352</v>
      </c>
      <c r="AM26" s="20">
        <v>16</v>
      </c>
      <c r="AN26" s="21">
        <v>17213404</v>
      </c>
      <c r="AO26" s="21">
        <v>537918.875</v>
      </c>
      <c r="AP26" s="21">
        <v>11132.1875</v>
      </c>
      <c r="AQ26" s="22">
        <v>2879288</v>
      </c>
      <c r="AR26" s="22">
        <v>1077032</v>
      </c>
      <c r="AS26" s="22">
        <v>499320</v>
      </c>
      <c r="AT26" s="22">
        <v>1302936</v>
      </c>
      <c r="AU26" s="23">
        <v>65.767553000000007</v>
      </c>
      <c r="AV26" s="23">
        <v>68.866299999999995</v>
      </c>
      <c r="AW26" s="23">
        <v>26.805087</v>
      </c>
      <c r="AX26" s="23">
        <v>32.762115999999999</v>
      </c>
      <c r="AY26" s="23">
        <v>31.958347</v>
      </c>
      <c r="AZ26" s="24">
        <v>1432.05</v>
      </c>
      <c r="BA26" s="24">
        <v>3357.93</v>
      </c>
      <c r="BB26" s="24">
        <v>7.827</v>
      </c>
      <c r="BC26" s="24">
        <v>14.147</v>
      </c>
      <c r="BE26" s="49">
        <f t="shared" si="12"/>
        <v>0.87600417898504013</v>
      </c>
      <c r="BF26" s="25">
        <f t="shared" si="13"/>
        <v>-2.4696095088754082E-3</v>
      </c>
      <c r="BG26" s="25">
        <f t="shared" si="14"/>
        <v>1.6982727522551366E-2</v>
      </c>
      <c r="BH26" s="25"/>
      <c r="BJ26" s="49"/>
      <c r="BK26" s="49"/>
      <c r="BL26" s="49"/>
      <c r="BM26" s="49"/>
      <c r="BN26" s="49"/>
      <c r="BP26" s="49"/>
      <c r="BQ26" s="49"/>
      <c r="BR26" s="49"/>
      <c r="BS26" s="49"/>
      <c r="BT26" s="49"/>
      <c r="BV26" s="53">
        <f t="shared" si="16"/>
        <v>-7428928</v>
      </c>
      <c r="BW26" s="53">
        <f t="shared" si="16"/>
        <v>-232154</v>
      </c>
      <c r="BX26" s="53">
        <f t="shared" si="16"/>
        <v>-6706.1875</v>
      </c>
      <c r="BY26" s="53">
        <f t="shared" si="16"/>
        <v>-512776</v>
      </c>
      <c r="BZ26" s="53">
        <f t="shared" si="16"/>
        <v>-169392</v>
      </c>
      <c r="CA26" s="53">
        <f t="shared" si="16"/>
        <v>-53736</v>
      </c>
      <c r="CB26" s="53">
        <f t="shared" si="16"/>
        <v>-289648</v>
      </c>
      <c r="CC26" s="53">
        <f t="shared" si="16"/>
        <v>-2.2378063750000052</v>
      </c>
      <c r="CD26" s="53">
        <f t="shared" si="16"/>
        <v>-1.1503093750000204</v>
      </c>
      <c r="CE26" s="53">
        <f t="shared" si="16"/>
        <v>-1.1077848750000001</v>
      </c>
      <c r="CF26" s="53">
        <f t="shared" si="16"/>
        <v>-0.88574337500000411</v>
      </c>
      <c r="CG26" s="53">
        <f t="shared" si="16"/>
        <v>-1.0605030000000006</v>
      </c>
      <c r="CJ26" t="s">
        <v>579</v>
      </c>
    </row>
    <row r="27" spans="1:88" outlineLevel="1" x14ac:dyDescent="0.2">
      <c r="A27" s="52"/>
      <c r="B27" s="52" t="s">
        <v>73</v>
      </c>
      <c r="C27" s="9" t="s">
        <v>235</v>
      </c>
      <c r="D27" s="52">
        <v>250294582</v>
      </c>
      <c r="E27" s="9">
        <v>10</v>
      </c>
      <c r="F27" s="9">
        <v>32</v>
      </c>
      <c r="G27" s="9">
        <v>30</v>
      </c>
      <c r="I27" s="10">
        <f t="shared" si="0"/>
        <v>5.3721525000000003</v>
      </c>
      <c r="J27" s="11">
        <f t="shared" si="1"/>
        <v>2.2894207114718929E-2</v>
      </c>
      <c r="K27" s="11">
        <f t="shared" si="2"/>
        <v>9.3524357630721706E-3</v>
      </c>
      <c r="L27" s="11">
        <f t="shared" si="3"/>
        <v>7.1428154205910857E-3</v>
      </c>
      <c r="M27" s="11">
        <f t="shared" si="4"/>
        <v>1.3541771351646756E-2</v>
      </c>
      <c r="N27" s="52">
        <f t="shared" si="5"/>
        <v>2340864</v>
      </c>
      <c r="O27" s="11">
        <v>16</v>
      </c>
      <c r="P27" s="12">
        <v>24875407</v>
      </c>
      <c r="Q27" s="12">
        <v>777356.46875</v>
      </c>
      <c r="R27" s="12">
        <v>18687.4375</v>
      </c>
      <c r="S27" s="13">
        <v>5730296</v>
      </c>
      <c r="T27" s="13">
        <v>1787808</v>
      </c>
      <c r="U27" s="13">
        <v>553056</v>
      </c>
      <c r="V27" s="13">
        <v>3389432</v>
      </c>
      <c r="W27" s="14">
        <v>69.301756250000011</v>
      </c>
      <c r="X27" s="14">
        <v>71.690518750000024</v>
      </c>
      <c r="Y27" s="14">
        <v>30.208674999999999</v>
      </c>
      <c r="Z27" s="14">
        <v>34.93565000000001</v>
      </c>
      <c r="AA27" s="14">
        <v>34.363496875000003</v>
      </c>
      <c r="AB27" s="15">
        <v>1363.24</v>
      </c>
      <c r="AC27" s="15">
        <v>6748.66</v>
      </c>
      <c r="AD27" s="15">
        <v>12.635999999999999</v>
      </c>
      <c r="AE27" s="15">
        <v>9.06</v>
      </c>
      <c r="AG27" s="10">
        <f t="shared" si="6"/>
        <v>4.5663524999999998</v>
      </c>
      <c r="AH27" s="11">
        <f t="shared" si="7"/>
        <v>1.9460173532641629E-2</v>
      </c>
      <c r="AI27" s="11">
        <f t="shared" si="8"/>
        <v>8.1625418483888719E-3</v>
      </c>
      <c r="AJ27" s="11">
        <f t="shared" si="9"/>
        <v>6.1676125294633823E-3</v>
      </c>
      <c r="AK27" s="11">
        <f t="shared" si="10"/>
        <v>1.1297631684252758E-2</v>
      </c>
      <c r="AL27" s="52">
        <f t="shared" si="11"/>
        <v>2043040</v>
      </c>
      <c r="AM27" s="11">
        <v>16</v>
      </c>
      <c r="AN27" s="12">
        <v>17336864</v>
      </c>
      <c r="AO27" s="12">
        <v>541777</v>
      </c>
      <c r="AP27" s="12">
        <v>11491.125</v>
      </c>
      <c r="AQ27" s="13">
        <v>4870776</v>
      </c>
      <c r="AR27" s="13">
        <v>1543720</v>
      </c>
      <c r="AS27" s="13">
        <v>499320</v>
      </c>
      <c r="AT27" s="13">
        <v>2827736</v>
      </c>
      <c r="AU27" s="14">
        <v>66.674147000000005</v>
      </c>
      <c r="AV27" s="14">
        <v>70.537653000000006</v>
      </c>
      <c r="AW27" s="14">
        <v>28.779506000000001</v>
      </c>
      <c r="AX27" s="14">
        <v>33.904024999999997</v>
      </c>
      <c r="AY27" s="14">
        <v>33.089396999999998</v>
      </c>
      <c r="AZ27" s="15">
        <v>1482.08</v>
      </c>
      <c r="BA27" s="15">
        <v>3702.05</v>
      </c>
      <c r="BB27" s="15">
        <v>7.9640000000000004</v>
      </c>
      <c r="BC27" s="15">
        <v>14.984999999999999</v>
      </c>
      <c r="BE27" s="50">
        <f t="shared" si="12"/>
        <v>0.87277176290463698</v>
      </c>
      <c r="BF27" s="16">
        <f t="shared" si="13"/>
        <v>-2.8296629811445893E-3</v>
      </c>
      <c r="BG27" s="16">
        <f t="shared" si="14"/>
        <v>1.0941918174400878E-2</v>
      </c>
      <c r="BH27" s="16"/>
      <c r="BJ27" s="50"/>
      <c r="BK27" s="50"/>
      <c r="BL27" s="50"/>
      <c r="BM27" s="50"/>
      <c r="BN27" s="50"/>
      <c r="BP27" s="50"/>
      <c r="BQ27" s="50"/>
      <c r="BR27" s="50"/>
      <c r="BS27" s="50"/>
      <c r="BT27" s="50"/>
      <c r="BV27" s="53">
        <f t="shared" si="16"/>
        <v>-7538543</v>
      </c>
      <c r="BW27" s="53">
        <f t="shared" si="16"/>
        <v>-235579.46875</v>
      </c>
      <c r="BX27" s="53">
        <f t="shared" si="16"/>
        <v>-7196.3125</v>
      </c>
      <c r="BY27" s="53">
        <f t="shared" si="16"/>
        <v>-859520</v>
      </c>
      <c r="BZ27" s="53">
        <f t="shared" si="16"/>
        <v>-244088</v>
      </c>
      <c r="CA27" s="53">
        <f t="shared" si="16"/>
        <v>-53736</v>
      </c>
      <c r="CB27" s="53">
        <f t="shared" si="16"/>
        <v>-561696</v>
      </c>
      <c r="CC27" s="53">
        <f t="shared" si="16"/>
        <v>-2.6276092500000061</v>
      </c>
      <c r="CD27" s="53">
        <f t="shared" si="16"/>
        <v>-1.1528657500000179</v>
      </c>
      <c r="CE27" s="53">
        <f t="shared" si="16"/>
        <v>-1.4291689999999981</v>
      </c>
      <c r="CF27" s="53">
        <f t="shared" si="16"/>
        <v>-1.0316250000000124</v>
      </c>
      <c r="CG27" s="53">
        <f t="shared" si="16"/>
        <v>-1.2740998750000045</v>
      </c>
      <c r="CJ27" t="s">
        <v>579</v>
      </c>
    </row>
    <row r="28" spans="1:88" outlineLevel="1" x14ac:dyDescent="0.2">
      <c r="A28" s="17"/>
      <c r="B28" s="17" t="s">
        <v>73</v>
      </c>
      <c r="C28" s="18" t="s">
        <v>236</v>
      </c>
      <c r="D28" s="17">
        <v>250294582</v>
      </c>
      <c r="E28" s="18">
        <v>10</v>
      </c>
      <c r="F28" s="18">
        <v>32</v>
      </c>
      <c r="G28" s="18">
        <v>30</v>
      </c>
      <c r="I28" s="19">
        <f t="shared" si="0"/>
        <v>10.3915275</v>
      </c>
      <c r="J28" s="20">
        <f t="shared" si="1"/>
        <v>4.4285001742466801E-2</v>
      </c>
      <c r="K28" s="20">
        <f t="shared" si="2"/>
        <v>1.318660585309833E-2</v>
      </c>
      <c r="L28" s="20">
        <f t="shared" si="3"/>
        <v>1.0976985510617245E-2</v>
      </c>
      <c r="M28" s="20">
        <f t="shared" si="4"/>
        <v>3.1098395889368472E-2</v>
      </c>
      <c r="N28" s="17">
        <f t="shared" si="5"/>
        <v>3300536</v>
      </c>
      <c r="O28" s="20">
        <v>16</v>
      </c>
      <c r="P28" s="21">
        <v>25558634</v>
      </c>
      <c r="Q28" s="21">
        <v>798707.3125</v>
      </c>
      <c r="R28" s="21">
        <v>21108.9375</v>
      </c>
      <c r="S28" s="22">
        <v>11084296</v>
      </c>
      <c r="T28" s="22">
        <v>2747480</v>
      </c>
      <c r="U28" s="22">
        <v>553056</v>
      </c>
      <c r="V28" s="22">
        <v>7783760</v>
      </c>
      <c r="W28" s="23">
        <v>70.462115625000024</v>
      </c>
      <c r="X28" s="23">
        <v>72.993593750000016</v>
      </c>
      <c r="Y28" s="23">
        <v>32.718546875000001</v>
      </c>
      <c r="Z28" s="23">
        <v>36.415940624999998</v>
      </c>
      <c r="AA28" s="23">
        <v>35.862046874999997</v>
      </c>
      <c r="AB28" s="24">
        <v>1412.37</v>
      </c>
      <c r="AC28" s="24">
        <v>6320.43</v>
      </c>
      <c r="AD28" s="24">
        <v>12.656000000000001</v>
      </c>
      <c r="AE28" s="24">
        <v>10.135999999999999</v>
      </c>
      <c r="AG28" s="19">
        <f t="shared" si="6"/>
        <v>8.9259599999999999</v>
      </c>
      <c r="AH28" s="20">
        <f t="shared" si="7"/>
        <v>3.8039273259219013E-2</v>
      </c>
      <c r="AI28" s="20">
        <f t="shared" si="8"/>
        <v>1.1509414135061062E-2</v>
      </c>
      <c r="AJ28" s="20">
        <f t="shared" si="9"/>
        <v>9.5144848161355725E-3</v>
      </c>
      <c r="AK28" s="20">
        <f t="shared" si="10"/>
        <v>2.6529859124157951E-2</v>
      </c>
      <c r="AL28" s="17">
        <f t="shared" si="11"/>
        <v>2880744</v>
      </c>
      <c r="AM28" s="20">
        <v>16</v>
      </c>
      <c r="AN28" s="21">
        <v>17851964</v>
      </c>
      <c r="AO28" s="21">
        <v>557873.875</v>
      </c>
      <c r="AP28" s="21">
        <v>13211.90625</v>
      </c>
      <c r="AQ28" s="22">
        <v>9521024</v>
      </c>
      <c r="AR28" s="22">
        <v>2381424</v>
      </c>
      <c r="AS28" s="22">
        <v>499320</v>
      </c>
      <c r="AT28" s="22">
        <v>6640280</v>
      </c>
      <c r="AU28" s="23">
        <v>67.389505999999997</v>
      </c>
      <c r="AV28" s="23">
        <v>71.802933999999993</v>
      </c>
      <c r="AW28" s="23">
        <v>30.735302999999998</v>
      </c>
      <c r="AX28" s="23">
        <v>35.213099999999997</v>
      </c>
      <c r="AY28" s="23">
        <v>34.317490999999997</v>
      </c>
      <c r="AZ28" s="24">
        <v>1632.3</v>
      </c>
      <c r="BA28" s="24">
        <v>5034.71</v>
      </c>
      <c r="BB28" s="24">
        <v>9.9499999999999993</v>
      </c>
      <c r="BC28" s="24">
        <v>21.638000000000002</v>
      </c>
      <c r="BE28" s="49">
        <f t="shared" si="12"/>
        <v>0.87281096161350769</v>
      </c>
      <c r="BF28" s="25">
        <f t="shared" si="13"/>
        <v>-2.7462728898545972E-3</v>
      </c>
      <c r="BG28" s="25">
        <f t="shared" si="14"/>
        <v>4.7997560575291365E-3</v>
      </c>
      <c r="BH28" s="25"/>
      <c r="BJ28" s="49"/>
      <c r="BK28" s="49"/>
      <c r="BL28" s="49"/>
      <c r="BM28" s="49"/>
      <c r="BN28" s="49"/>
      <c r="BP28" s="49"/>
      <c r="BQ28" s="49"/>
      <c r="BR28" s="49"/>
      <c r="BS28" s="49"/>
      <c r="BT28" s="49"/>
      <c r="BV28" s="53">
        <f t="shared" si="16"/>
        <v>-7706670</v>
      </c>
      <c r="BW28" s="53">
        <f t="shared" si="16"/>
        <v>-240833.4375</v>
      </c>
      <c r="BX28" s="53">
        <f t="shared" si="16"/>
        <v>-7897.03125</v>
      </c>
      <c r="BY28" s="53">
        <f t="shared" si="16"/>
        <v>-1563272</v>
      </c>
      <c r="BZ28" s="53">
        <f t="shared" si="16"/>
        <v>-366056</v>
      </c>
      <c r="CA28" s="53">
        <f t="shared" si="16"/>
        <v>-53736</v>
      </c>
      <c r="CB28" s="53">
        <f t="shared" si="16"/>
        <v>-1143480</v>
      </c>
      <c r="CC28" s="53">
        <f t="shared" si="16"/>
        <v>-3.0726096250000268</v>
      </c>
      <c r="CD28" s="53">
        <f t="shared" si="16"/>
        <v>-1.1906597500000231</v>
      </c>
      <c r="CE28" s="53">
        <f t="shared" si="16"/>
        <v>-1.983243875000003</v>
      </c>
      <c r="CF28" s="53">
        <f t="shared" si="16"/>
        <v>-1.2028406250000003</v>
      </c>
      <c r="CG28" s="53">
        <f t="shared" si="16"/>
        <v>-1.5445558750000004</v>
      </c>
      <c r="CJ28" t="s">
        <v>579</v>
      </c>
    </row>
    <row r="29" spans="1:88" ht="16" outlineLevel="1" thickBot="1" x14ac:dyDescent="0.25">
      <c r="A29" s="26"/>
      <c r="B29" s="26" t="s">
        <v>73</v>
      </c>
      <c r="C29" s="27" t="s">
        <v>237</v>
      </c>
      <c r="D29" s="26">
        <v>250294582</v>
      </c>
      <c r="E29" s="27">
        <v>10</v>
      </c>
      <c r="F29" s="27">
        <v>32</v>
      </c>
      <c r="G29" s="27">
        <v>30</v>
      </c>
      <c r="I29" s="28">
        <f t="shared" si="0"/>
        <v>23.949997499999998</v>
      </c>
      <c r="J29" s="29">
        <f t="shared" si="1"/>
        <v>0.10206638831678745</v>
      </c>
      <c r="K29" s="29">
        <f t="shared" si="2"/>
        <v>2.1642817661950031E-2</v>
      </c>
      <c r="L29" s="29">
        <f t="shared" si="3"/>
        <v>1.7231247938079619E-2</v>
      </c>
      <c r="M29" s="29">
        <f t="shared" si="4"/>
        <v>8.042357065483742E-2</v>
      </c>
      <c r="N29" s="26">
        <f t="shared" si="5"/>
        <v>5417080</v>
      </c>
      <c r="O29" s="29">
        <v>16</v>
      </c>
      <c r="P29" s="30">
        <v>24591050</v>
      </c>
      <c r="Q29" s="30">
        <v>768470.3125</v>
      </c>
      <c r="R29" s="30">
        <v>9839.84375</v>
      </c>
      <c r="S29" s="31">
        <v>25546664</v>
      </c>
      <c r="T29" s="31">
        <v>4312888</v>
      </c>
      <c r="U29" s="31">
        <v>1104192</v>
      </c>
      <c r="V29" s="31">
        <v>20129584</v>
      </c>
      <c r="W29" s="32">
        <v>71.138031249999997</v>
      </c>
      <c r="X29" s="32">
        <v>74.865934374999995</v>
      </c>
      <c r="Y29" s="32">
        <v>35.7631625</v>
      </c>
      <c r="Z29" s="32">
        <v>38.359853125000001</v>
      </c>
      <c r="AA29" s="32">
        <v>37.754875000000013</v>
      </c>
      <c r="AB29" s="33">
        <v>1406.36</v>
      </c>
      <c r="AC29" s="33">
        <v>7063.88</v>
      </c>
      <c r="AD29" s="33">
        <v>13.364000000000001</v>
      </c>
      <c r="AE29" s="33">
        <v>14.952</v>
      </c>
      <c r="AG29" s="28">
        <f t="shared" si="6"/>
        <v>19.935007500000001</v>
      </c>
      <c r="AH29" s="29">
        <f t="shared" si="7"/>
        <v>8.4955926053565153E-2</v>
      </c>
      <c r="AI29" s="29">
        <f t="shared" si="8"/>
        <v>1.8889613839104195E-2</v>
      </c>
      <c r="AJ29" s="29">
        <f t="shared" si="9"/>
        <v>1.4983176903126094E-2</v>
      </c>
      <c r="AK29" s="29">
        <f t="shared" si="10"/>
        <v>6.6066312214460965E-2</v>
      </c>
      <c r="AL29" s="26">
        <f t="shared" si="11"/>
        <v>4727968</v>
      </c>
      <c r="AM29" s="29">
        <v>16</v>
      </c>
      <c r="AN29" s="30">
        <v>17017893</v>
      </c>
      <c r="AO29" s="30">
        <v>531809.15625</v>
      </c>
      <c r="AP29" s="30">
        <v>6064.75</v>
      </c>
      <c r="AQ29" s="31">
        <v>21264008</v>
      </c>
      <c r="AR29" s="31">
        <v>3750208</v>
      </c>
      <c r="AS29" s="31">
        <v>977760</v>
      </c>
      <c r="AT29" s="31">
        <v>16536040</v>
      </c>
      <c r="AU29" s="32">
        <v>67.718856000000002</v>
      </c>
      <c r="AV29" s="32">
        <v>74.303218999999999</v>
      </c>
      <c r="AW29" s="32">
        <v>32.509819</v>
      </c>
      <c r="AX29" s="32">
        <v>36.795608999999999</v>
      </c>
      <c r="AY29" s="32">
        <v>35.745958999999999</v>
      </c>
      <c r="AZ29" s="33">
        <v>1679.67</v>
      </c>
      <c r="BA29" s="33">
        <v>5632.61</v>
      </c>
      <c r="BB29" s="33">
        <v>9.7149999999999999</v>
      </c>
      <c r="BC29" s="33">
        <v>23.152999999999999</v>
      </c>
      <c r="BE29" s="34">
        <f t="shared" si="12"/>
        <v>0.87278903025246068</v>
      </c>
      <c r="BF29" s="35">
        <f t="shared" si="13"/>
        <v>-1.4004583216711795E-3</v>
      </c>
      <c r="BG29" s="35">
        <f t="shared" si="14"/>
        <v>1.029956818056646E-2</v>
      </c>
      <c r="BH29" s="35"/>
      <c r="BJ29" s="34"/>
      <c r="BK29" s="34"/>
      <c r="BL29" s="34"/>
      <c r="BM29" s="34"/>
      <c r="BN29" s="34"/>
      <c r="BP29" s="34"/>
      <c r="BQ29" s="34"/>
      <c r="BR29" s="34"/>
      <c r="BS29" s="34"/>
      <c r="BT29" s="34"/>
      <c r="BV29" s="53">
        <f t="shared" si="16"/>
        <v>-7573157</v>
      </c>
      <c r="BW29" s="53">
        <f t="shared" si="16"/>
        <v>-236661.15625</v>
      </c>
      <c r="BX29" s="53">
        <f t="shared" si="16"/>
        <v>-3775.09375</v>
      </c>
      <c r="BY29" s="53">
        <f t="shared" si="16"/>
        <v>-4282656</v>
      </c>
      <c r="BZ29" s="53">
        <f t="shared" si="16"/>
        <v>-562680</v>
      </c>
      <c r="CA29" s="53">
        <f t="shared" si="16"/>
        <v>-126432</v>
      </c>
      <c r="CB29" s="53">
        <f t="shared" si="16"/>
        <v>-3593544</v>
      </c>
      <c r="CC29" s="53">
        <f t="shared" si="16"/>
        <v>-3.419175249999995</v>
      </c>
      <c r="CD29" s="53">
        <f t="shared" si="16"/>
        <v>-0.56271537499999624</v>
      </c>
      <c r="CE29" s="53">
        <f t="shared" si="16"/>
        <v>-3.2533434999999997</v>
      </c>
      <c r="CF29" s="53">
        <f t="shared" si="16"/>
        <v>-1.5642441250000019</v>
      </c>
      <c r="CG29" s="53">
        <f t="shared" si="16"/>
        <v>-2.0089160000000135</v>
      </c>
      <c r="CJ29" t="s">
        <v>579</v>
      </c>
    </row>
    <row r="30" spans="1:88" x14ac:dyDescent="0.2">
      <c r="A30" s="17" t="s">
        <v>242</v>
      </c>
      <c r="B30" s="17" t="s">
        <v>77</v>
      </c>
      <c r="C30" s="18" t="s">
        <v>232</v>
      </c>
      <c r="D30" s="17">
        <v>375422539</v>
      </c>
      <c r="E30" s="18">
        <v>11</v>
      </c>
      <c r="F30" s="18">
        <v>32</v>
      </c>
      <c r="G30" s="18">
        <v>30</v>
      </c>
      <c r="I30" s="19">
        <f t="shared" si="0"/>
        <v>3.71814</v>
      </c>
      <c r="J30" s="20">
        <f t="shared" si="1"/>
        <v>1.056413930437991E-2</v>
      </c>
      <c r="K30" s="20">
        <f t="shared" si="2"/>
        <v>8.3820433594158812E-3</v>
      </c>
      <c r="L30" s="20">
        <f t="shared" si="3"/>
        <v>5.2756768554058494E-3</v>
      </c>
      <c r="M30" s="20">
        <f t="shared" si="4"/>
        <v>2.1820959449640291E-3</v>
      </c>
      <c r="N30" s="17">
        <f t="shared" si="5"/>
        <v>3146808</v>
      </c>
      <c r="O30" s="20">
        <v>16</v>
      </c>
      <c r="P30" s="21">
        <v>86243398</v>
      </c>
      <c r="Q30" s="21">
        <v>2695106.1875</v>
      </c>
      <c r="R30" s="21">
        <v>33846.0625</v>
      </c>
      <c r="S30" s="22">
        <v>3966016</v>
      </c>
      <c r="T30" s="22">
        <v>1980608</v>
      </c>
      <c r="U30" s="22">
        <v>1166200</v>
      </c>
      <c r="V30" s="22">
        <v>819208</v>
      </c>
      <c r="W30" s="23">
        <v>73.637074999999996</v>
      </c>
      <c r="X30" s="23">
        <v>75.742599999999982</v>
      </c>
      <c r="Y30" s="23">
        <v>33.214593749999999</v>
      </c>
      <c r="Z30" s="23">
        <v>41.966721874999998</v>
      </c>
      <c r="AA30" s="23">
        <v>43.243725000000012</v>
      </c>
      <c r="AB30" s="24">
        <v>3276.62</v>
      </c>
      <c r="AC30" s="24">
        <v>21983.3</v>
      </c>
      <c r="AD30" s="24">
        <v>51.744</v>
      </c>
      <c r="AE30" s="24">
        <v>37.159999999999997</v>
      </c>
      <c r="AG30" s="19">
        <f t="shared" si="6"/>
        <v>3.1579199999999998</v>
      </c>
      <c r="AH30" s="20">
        <f t="shared" si="7"/>
        <v>8.9724181424280444E-3</v>
      </c>
      <c r="AI30" s="20">
        <f t="shared" si="8"/>
        <v>7.2187887472573934E-3</v>
      </c>
      <c r="AJ30" s="20">
        <f t="shared" si="9"/>
        <v>4.5690810268586455E-3</v>
      </c>
      <c r="AK30" s="20">
        <f t="shared" si="10"/>
        <v>1.7536293951706506E-3</v>
      </c>
      <c r="AL30" s="17">
        <f t="shared" si="11"/>
        <v>2710096</v>
      </c>
      <c r="AM30" s="20">
        <v>16</v>
      </c>
      <c r="AN30" s="21">
        <v>68832865</v>
      </c>
      <c r="AO30" s="21">
        <v>2151027.03125</v>
      </c>
      <c r="AP30" s="21">
        <v>24236.875</v>
      </c>
      <c r="AQ30" s="22">
        <v>3368448</v>
      </c>
      <c r="AR30" s="22">
        <v>1715336</v>
      </c>
      <c r="AS30" s="22">
        <v>994760</v>
      </c>
      <c r="AT30" s="22">
        <v>658352</v>
      </c>
      <c r="AU30" s="23">
        <v>72.138274999999993</v>
      </c>
      <c r="AV30" s="23">
        <v>75.261168999999995</v>
      </c>
      <c r="AW30" s="23">
        <v>32.746447000000003</v>
      </c>
      <c r="AX30" s="23">
        <v>41.803941000000002</v>
      </c>
      <c r="AY30" s="23">
        <v>43.074427999999997</v>
      </c>
      <c r="AZ30" s="24">
        <v>3434.63</v>
      </c>
      <c r="BA30" s="24">
        <v>10739.2</v>
      </c>
      <c r="BB30" s="24">
        <v>31.126999999999999</v>
      </c>
      <c r="BC30" s="24">
        <v>47.970999999999997</v>
      </c>
      <c r="BE30" s="49">
        <f t="shared" si="12"/>
        <v>0.8612206400898943</v>
      </c>
      <c r="BF30" s="25">
        <f t="shared" si="13"/>
        <v>-1.2907582709628974E-3</v>
      </c>
      <c r="BG30" s="25">
        <f t="shared" si="14"/>
        <v>1.1110221059492442E-2</v>
      </c>
      <c r="BH30" s="25">
        <f t="array" ref="BH30">AVERAGE(AL30:AL34/AQ30:AQ34) - AVERAGE(N30:N34/S30:S34)</f>
        <v>6.6746472159981973E-3</v>
      </c>
      <c r="BJ30" s="49">
        <f>IF( OR(ISBLANK(N30:N34),ISBLANK(AL30:AL34), ISBLANK(W30:W34),ISBLANK(AU30:AU34)), "·", bdRateExtend( N30:N34,W30:W34, AL30:AL34,AU30:AU34))</f>
        <v>0.48975358135038749</v>
      </c>
      <c r="BK30" s="49">
        <f>IF( OR(ISBLANK(N30:N34),ISBLANK(AL30:AL34), ISBLANK(X30:X34),ISBLANK(AV30:AV34)), "·", bdRateExtend( N30:N34,X30:X34, AL30:AL34,AV30:AV34))</f>
        <v>-3.9418809179911807E-2</v>
      </c>
      <c r="BL30" s="49">
        <f>IF( OR(ISBLANK(V30:V34),ISBLANK(AT30:AT34), ISBLANK(Y30:Y34),ISBLANK(AW30:AW34)), "·", bdRateExtend( V30:V34,Y30:Y34, AT30:AT34,AW30:AW34))</f>
        <v>5.464046627259056E-2</v>
      </c>
      <c r="BM30" s="49">
        <f>IF( OR(ISBLANK(V30:V34),ISBLANK(AT30:AT34), ISBLANK(Z30:Z34),ISBLANK(AX30:AX34)), "·", bdRateExtend( V30:V34,Z30:Z34, AT30:AT34,AX30:AX34))</f>
        <v>9.6569612460395637E-2</v>
      </c>
      <c r="BN30" s="49">
        <f>IF( OR(ISBLANK(V30:V34),ISBLANK(AT30:AT34), ISBLANK(AA30:AA34),ISBLANK(AY30:AY34)), "·", bdRateExtend( V30:V34,AA30:AA34, AT30:AT34,AY30:AY34))</f>
        <v>1.3505813496905716E-3</v>
      </c>
      <c r="BP30" s="49">
        <f>IF( OR(ISBLANK(S30:S34),ISBLANK(AQ30:AQ34), ISBLANK(W30:W34),ISBLANK(AU30:AU34)), "·", bdRateExtend( S30:S34,W30:W34, AQ30:AQ34,AU30:AU34))</f>
        <v>0.9031537917617225</v>
      </c>
      <c r="BQ30" s="49">
        <f>IF( OR(ISBLANK(S30:S34),ISBLANK(AQ30:AQ34), ISBLANK(X30:X34),ISBLANK(AV30:AV34)), "·", bdRateExtend( S30:S34,X30:X34, AQ30:AQ34,AV30:AV34))</f>
        <v>-6.0988889695646753E-3</v>
      </c>
      <c r="BR30" s="49">
        <f>IF( OR(ISBLANK(S30:S34),ISBLANK(AQ30:AQ34), ISBLANK(Y30:Y34),ISBLANK(AW30:AW34)), "·", bdRateExtend( S30:S34,Y30:Y34, AQ30:AQ34,AW30:AW34))</f>
        <v>1.0183272405774879E-3</v>
      </c>
      <c r="BS30" s="49">
        <f>IF( OR(ISBLANK(S30:S34),ISBLANK(AQ30:AQ34), ISBLANK(Z30:Z34),ISBLANK(AX30:AX34)), "·", bdRateExtend( S30:S34,Z30:Z34, AQ30:AQ34,AX30:AX34))</f>
        <v>2.4279959105570459E-2</v>
      </c>
      <c r="BT30" s="49">
        <f>IF( OR(ISBLANK(S30:S34),ISBLANK(AQ30:AQ34), ISBLANK(AA30:AA34),ISBLANK(AY30:AY34)), "·", bdRateExtend( S30:S34,AA30:AA34, AQ30:AQ34,AY30:AY34))</f>
        <v>-3.5693465546790204E-2</v>
      </c>
      <c r="BV30" s="53">
        <f t="shared" si="16"/>
        <v>-17410533</v>
      </c>
      <c r="BW30" s="53">
        <f t="shared" si="16"/>
        <v>-544079.15625</v>
      </c>
      <c r="BX30" s="53">
        <f t="shared" si="16"/>
        <v>-9609.1875</v>
      </c>
      <c r="BY30" s="53">
        <f t="shared" si="16"/>
        <v>-597568</v>
      </c>
      <c r="BZ30" s="53">
        <f t="shared" si="16"/>
        <v>-265272</v>
      </c>
      <c r="CA30" s="53">
        <f t="shared" si="16"/>
        <v>-171440</v>
      </c>
      <c r="CB30" s="53">
        <f t="shared" si="16"/>
        <v>-160856</v>
      </c>
      <c r="CC30" s="53">
        <f t="shared" si="16"/>
        <v>-1.4988000000000028</v>
      </c>
      <c r="CD30" s="53">
        <f t="shared" si="16"/>
        <v>-0.4814309999999864</v>
      </c>
      <c r="CE30" s="53">
        <f t="shared" si="16"/>
        <v>-0.46814674999999539</v>
      </c>
      <c r="CF30" s="53">
        <f t="shared" si="16"/>
        <v>-0.16278087499999572</v>
      </c>
      <c r="CG30" s="53">
        <f t="shared" si="16"/>
        <v>-0.16929700000001446</v>
      </c>
      <c r="CJ30" t="s">
        <v>588</v>
      </c>
    </row>
    <row r="31" spans="1:88" outlineLevel="1" x14ac:dyDescent="0.2">
      <c r="A31" s="52"/>
      <c r="B31" s="52" t="s">
        <v>77</v>
      </c>
      <c r="C31" s="9" t="s">
        <v>234</v>
      </c>
      <c r="D31" s="52">
        <v>375422539</v>
      </c>
      <c r="E31" s="9">
        <v>11</v>
      </c>
      <c r="F31" s="9">
        <v>32</v>
      </c>
      <c r="G31" s="9">
        <v>30</v>
      </c>
      <c r="I31" s="10">
        <f t="shared" si="0"/>
        <v>4.9612049999999996</v>
      </c>
      <c r="J31" s="11">
        <f t="shared" si="1"/>
        <v>1.4095989053017406E-2</v>
      </c>
      <c r="K31" s="11">
        <f t="shared" si="2"/>
        <v>1.0321894924907532E-2</v>
      </c>
      <c r="L31" s="11">
        <f t="shared" si="3"/>
        <v>7.2155284208974997E-3</v>
      </c>
      <c r="M31" s="11">
        <f t="shared" si="4"/>
        <v>3.7740941281098734E-3</v>
      </c>
      <c r="N31" s="52">
        <f t="shared" si="5"/>
        <v>3875072</v>
      </c>
      <c r="O31" s="11">
        <v>16</v>
      </c>
      <c r="P31" s="12">
        <v>90541792</v>
      </c>
      <c r="Q31" s="12">
        <v>2829431</v>
      </c>
      <c r="R31" s="12">
        <v>41460.6875</v>
      </c>
      <c r="S31" s="13">
        <v>5291952</v>
      </c>
      <c r="T31" s="13">
        <v>2708872</v>
      </c>
      <c r="U31" s="13">
        <v>1166200</v>
      </c>
      <c r="V31" s="13">
        <v>1416880</v>
      </c>
      <c r="W31" s="14">
        <v>75.252650000000017</v>
      </c>
      <c r="X31" s="14">
        <v>77.584662500000022</v>
      </c>
      <c r="Y31" s="14">
        <v>35.17078750000001</v>
      </c>
      <c r="Z31" s="14">
        <v>42.536018749999997</v>
      </c>
      <c r="AA31" s="14">
        <v>44.678146875000003</v>
      </c>
      <c r="AB31" s="15">
        <v>3365.1</v>
      </c>
      <c r="AC31" s="15">
        <v>22893.200000000001</v>
      </c>
      <c r="AD31" s="15">
        <v>42.663999999999987</v>
      </c>
      <c r="AE31" s="15">
        <v>28.776</v>
      </c>
      <c r="AG31" s="10">
        <f t="shared" si="6"/>
        <v>4.2465000000000002</v>
      </c>
      <c r="AH31" s="11">
        <f t="shared" si="7"/>
        <v>1.2065338463868841E-2</v>
      </c>
      <c r="AI31" s="11">
        <f t="shared" si="8"/>
        <v>8.9709691084903145E-3</v>
      </c>
      <c r="AJ31" s="11">
        <f t="shared" si="9"/>
        <v>6.3212613880915657E-3</v>
      </c>
      <c r="AK31" s="11">
        <f t="shared" si="10"/>
        <v>3.0943693553785274E-3</v>
      </c>
      <c r="AL31" s="52">
        <f t="shared" si="11"/>
        <v>3367904</v>
      </c>
      <c r="AM31" s="11">
        <v>16</v>
      </c>
      <c r="AN31" s="12">
        <v>72467687</v>
      </c>
      <c r="AO31" s="12">
        <v>2264615.21875</v>
      </c>
      <c r="AP31" s="12">
        <v>29855.875</v>
      </c>
      <c r="AQ31" s="13">
        <v>4529600</v>
      </c>
      <c r="AR31" s="13">
        <v>2373144</v>
      </c>
      <c r="AS31" s="13">
        <v>994760</v>
      </c>
      <c r="AT31" s="13">
        <v>1161696</v>
      </c>
      <c r="AU31" s="14">
        <v>73.366102999999995</v>
      </c>
      <c r="AV31" s="14">
        <v>77.110112000000001</v>
      </c>
      <c r="AW31" s="14">
        <v>34.698784000000003</v>
      </c>
      <c r="AX31" s="14">
        <v>42.343600000000002</v>
      </c>
      <c r="AY31" s="14">
        <v>44.297438</v>
      </c>
      <c r="AZ31" s="15">
        <v>4009.87</v>
      </c>
      <c r="BA31" s="15">
        <v>15138.5</v>
      </c>
      <c r="BB31" s="15">
        <v>39.728999999999999</v>
      </c>
      <c r="BC31" s="15">
        <v>69.266999999999996</v>
      </c>
      <c r="BE31" s="50">
        <f t="shared" si="12"/>
        <v>0.8691203673118848</v>
      </c>
      <c r="BF31" s="16">
        <f t="shared" si="13"/>
        <v>-1.4697243973125947E-3</v>
      </c>
      <c r="BG31" s="16">
        <f t="shared" si="14"/>
        <v>1.1274734120180541E-2</v>
      </c>
      <c r="BH31" s="16"/>
      <c r="BJ31" s="50"/>
      <c r="BK31" s="50"/>
      <c r="BL31" s="50"/>
      <c r="BM31" s="50"/>
      <c r="BN31" s="50"/>
      <c r="BP31" s="50"/>
      <c r="BQ31" s="50"/>
      <c r="BR31" s="50"/>
      <c r="BS31" s="50"/>
      <c r="BT31" s="50"/>
      <c r="BV31" s="53">
        <f t="shared" si="16"/>
        <v>-18074105</v>
      </c>
      <c r="BW31" s="53">
        <f t="shared" si="16"/>
        <v>-564815.78125</v>
      </c>
      <c r="BX31" s="53">
        <f t="shared" si="16"/>
        <v>-11604.8125</v>
      </c>
      <c r="BY31" s="53">
        <f t="shared" si="16"/>
        <v>-762352</v>
      </c>
      <c r="BZ31" s="53">
        <f t="shared" si="16"/>
        <v>-335728</v>
      </c>
      <c r="CA31" s="53">
        <f t="shared" si="16"/>
        <v>-171440</v>
      </c>
      <c r="CB31" s="53">
        <f t="shared" si="16"/>
        <v>-255184</v>
      </c>
      <c r="CC31" s="53">
        <f t="shared" si="16"/>
        <v>-1.8865470000000215</v>
      </c>
      <c r="CD31" s="53">
        <f t="shared" si="16"/>
        <v>-0.47455050000002075</v>
      </c>
      <c r="CE31" s="53">
        <f t="shared" si="16"/>
        <v>-0.47200350000000668</v>
      </c>
      <c r="CF31" s="53">
        <f t="shared" si="16"/>
        <v>-0.19241874999999453</v>
      </c>
      <c r="CG31" s="53">
        <f t="shared" si="16"/>
        <v>-0.38070887500000339</v>
      </c>
      <c r="CJ31" t="s">
        <v>588</v>
      </c>
    </row>
    <row r="32" spans="1:88" outlineLevel="1" x14ac:dyDescent="0.2">
      <c r="A32" s="17"/>
      <c r="B32" s="17" t="s">
        <v>77</v>
      </c>
      <c r="C32" s="18" t="s">
        <v>235</v>
      </c>
      <c r="D32" s="17">
        <v>375422539</v>
      </c>
      <c r="E32" s="18">
        <v>11</v>
      </c>
      <c r="F32" s="18">
        <v>32</v>
      </c>
      <c r="G32" s="18">
        <v>30</v>
      </c>
      <c r="I32" s="19">
        <f t="shared" si="0"/>
        <v>7.1719049999999998</v>
      </c>
      <c r="J32" s="20">
        <f t="shared" si="1"/>
        <v>2.0377124986627401E-2</v>
      </c>
      <c r="K32" s="20">
        <f t="shared" si="2"/>
        <v>1.3213229054422862E-2</v>
      </c>
      <c r="L32" s="20">
        <f t="shared" si="3"/>
        <v>1.0106862550412829E-2</v>
      </c>
      <c r="M32" s="20">
        <f t="shared" si="4"/>
        <v>7.1638959322045392E-3</v>
      </c>
      <c r="N32" s="17">
        <f t="shared" si="5"/>
        <v>4960544</v>
      </c>
      <c r="O32" s="20">
        <v>16</v>
      </c>
      <c r="P32" s="21">
        <v>91787366</v>
      </c>
      <c r="Q32" s="21">
        <v>2868355.1875</v>
      </c>
      <c r="R32" s="21">
        <v>44534.90625</v>
      </c>
      <c r="S32" s="22">
        <v>7650032</v>
      </c>
      <c r="T32" s="22">
        <v>3794344</v>
      </c>
      <c r="U32" s="22">
        <v>1166200</v>
      </c>
      <c r="V32" s="22">
        <v>2689488</v>
      </c>
      <c r="W32" s="23">
        <v>76.469399999999951</v>
      </c>
      <c r="X32" s="23">
        <v>79.114190624999978</v>
      </c>
      <c r="Y32" s="23">
        <v>36.955215625000001</v>
      </c>
      <c r="Z32" s="23">
        <v>43.140440624999997</v>
      </c>
      <c r="AA32" s="23">
        <v>45.958556250000008</v>
      </c>
      <c r="AB32" s="24">
        <v>3289.38</v>
      </c>
      <c r="AC32" s="24">
        <v>24032.1</v>
      </c>
      <c r="AD32" s="24">
        <v>52.823999999999998</v>
      </c>
      <c r="AE32" s="24">
        <v>40.9</v>
      </c>
      <c r="AG32" s="19">
        <f t="shared" si="6"/>
        <v>6.1837125000000004</v>
      </c>
      <c r="AH32" s="20">
        <f t="shared" si="7"/>
        <v>1.7569429948370789E-2</v>
      </c>
      <c r="AI32" s="20">
        <f t="shared" si="8"/>
        <v>1.1504498401999247E-2</v>
      </c>
      <c r="AJ32" s="20">
        <f t="shared" si="9"/>
        <v>8.8547906816004995E-3</v>
      </c>
      <c r="AK32" s="20">
        <f t="shared" si="10"/>
        <v>6.0649315463715409E-3</v>
      </c>
      <c r="AL32" s="17">
        <f t="shared" si="11"/>
        <v>4319048</v>
      </c>
      <c r="AM32" s="20">
        <v>16</v>
      </c>
      <c r="AN32" s="21">
        <v>73431190</v>
      </c>
      <c r="AO32" s="21">
        <v>2294724.6875</v>
      </c>
      <c r="AP32" s="21">
        <v>32220.21875</v>
      </c>
      <c r="AQ32" s="22">
        <v>6595960</v>
      </c>
      <c r="AR32" s="22">
        <v>3324288</v>
      </c>
      <c r="AS32" s="22">
        <v>994760</v>
      </c>
      <c r="AT32" s="22">
        <v>2276912</v>
      </c>
      <c r="AU32" s="23">
        <v>74.192344000000006</v>
      </c>
      <c r="AV32" s="23">
        <v>78.645459000000002</v>
      </c>
      <c r="AW32" s="23">
        <v>36.459741000000001</v>
      </c>
      <c r="AX32" s="23">
        <v>42.915269000000002</v>
      </c>
      <c r="AY32" s="23">
        <v>45.621271999999998</v>
      </c>
      <c r="AZ32" s="24">
        <v>3619.08</v>
      </c>
      <c r="BA32" s="24">
        <v>12101</v>
      </c>
      <c r="BB32" s="24">
        <v>32.680999999999997</v>
      </c>
      <c r="BC32" s="24">
        <v>52.284999999999997</v>
      </c>
      <c r="BE32" s="49">
        <f t="shared" si="12"/>
        <v>0.87068031248185673</v>
      </c>
      <c r="BF32" s="25">
        <f t="shared" si="13"/>
        <v>-1.4852917499998744E-3</v>
      </c>
      <c r="BG32" s="25">
        <f t="shared" si="14"/>
        <v>6.3676185560954668E-3</v>
      </c>
      <c r="BH32" s="25"/>
      <c r="BJ32" s="49"/>
      <c r="BK32" s="49"/>
      <c r="BL32" s="49"/>
      <c r="BM32" s="49"/>
      <c r="BN32" s="49"/>
      <c r="BP32" s="49"/>
      <c r="BQ32" s="49"/>
      <c r="BR32" s="49"/>
      <c r="BS32" s="49"/>
      <c r="BT32" s="49"/>
      <c r="BV32" s="53">
        <f t="shared" si="16"/>
        <v>-18356176</v>
      </c>
      <c r="BW32" s="53">
        <f t="shared" si="16"/>
        <v>-573630.5</v>
      </c>
      <c r="BX32" s="53">
        <f t="shared" si="16"/>
        <v>-12314.6875</v>
      </c>
      <c r="BY32" s="53">
        <f t="shared" si="16"/>
        <v>-1054072</v>
      </c>
      <c r="BZ32" s="53">
        <f t="shared" si="16"/>
        <v>-470056</v>
      </c>
      <c r="CA32" s="53">
        <f t="shared" si="16"/>
        <v>-171440</v>
      </c>
      <c r="CB32" s="53">
        <f t="shared" si="16"/>
        <v>-412576</v>
      </c>
      <c r="CC32" s="53">
        <f t="shared" si="16"/>
        <v>-2.2770559999999449</v>
      </c>
      <c r="CD32" s="53">
        <f t="shared" si="16"/>
        <v>-0.46873162499997534</v>
      </c>
      <c r="CE32" s="53">
        <f t="shared" si="16"/>
        <v>-0.49547462499999995</v>
      </c>
      <c r="CF32" s="53">
        <f t="shared" si="16"/>
        <v>-0.22517162499999444</v>
      </c>
      <c r="CG32" s="53">
        <f t="shared" si="16"/>
        <v>-0.33728425000001039</v>
      </c>
      <c r="CJ32" t="s">
        <v>588</v>
      </c>
    </row>
    <row r="33" spans="1:88" outlineLevel="1" x14ac:dyDescent="0.2">
      <c r="A33" s="52"/>
      <c r="B33" s="52" t="s">
        <v>77</v>
      </c>
      <c r="C33" s="9" t="s">
        <v>236</v>
      </c>
      <c r="D33" s="52">
        <v>375422539</v>
      </c>
      <c r="E33" s="9">
        <v>11</v>
      </c>
      <c r="F33" s="9">
        <v>32</v>
      </c>
      <c r="G33" s="9">
        <v>30</v>
      </c>
      <c r="I33" s="10">
        <f t="shared" si="0"/>
        <v>12.012074999999999</v>
      </c>
      <c r="J33" s="11">
        <f t="shared" si="1"/>
        <v>3.4129224191305145E-2</v>
      </c>
      <c r="K33" s="11">
        <f t="shared" si="2"/>
        <v>1.8543265991816223E-2</v>
      </c>
      <c r="L33" s="11">
        <f t="shared" si="3"/>
        <v>1.5436899487806192E-2</v>
      </c>
      <c r="M33" s="11">
        <f t="shared" si="4"/>
        <v>1.5585958199488922E-2</v>
      </c>
      <c r="N33" s="52">
        <f t="shared" si="5"/>
        <v>6961560</v>
      </c>
      <c r="O33" s="11">
        <v>16</v>
      </c>
      <c r="P33" s="12">
        <v>94114766</v>
      </c>
      <c r="Q33" s="12">
        <v>2941086.4375</v>
      </c>
      <c r="R33" s="12">
        <v>49715.25</v>
      </c>
      <c r="S33" s="13">
        <v>12812880</v>
      </c>
      <c r="T33" s="13">
        <v>5795360</v>
      </c>
      <c r="U33" s="13">
        <v>1166200</v>
      </c>
      <c r="V33" s="13">
        <v>5851320</v>
      </c>
      <c r="W33" s="14">
        <v>77.566353124999978</v>
      </c>
      <c r="X33" s="14">
        <v>80.266603124999975</v>
      </c>
      <c r="Y33" s="14">
        <v>38.719509375000001</v>
      </c>
      <c r="Z33" s="14">
        <v>43.700431250000001</v>
      </c>
      <c r="AA33" s="14">
        <v>47.37855312500001</v>
      </c>
      <c r="AB33" s="15">
        <v>3273.97</v>
      </c>
      <c r="AC33" s="15">
        <v>25351.9</v>
      </c>
      <c r="AD33" s="15">
        <v>53.54</v>
      </c>
      <c r="AE33" s="15">
        <v>44.095999999999997</v>
      </c>
      <c r="AG33" s="10">
        <f t="shared" si="6"/>
        <v>10.50381</v>
      </c>
      <c r="AH33" s="11">
        <f t="shared" si="7"/>
        <v>2.9843876795047727E-2</v>
      </c>
      <c r="AI33" s="11">
        <f t="shared" si="8"/>
        <v>1.6285159693089177E-2</v>
      </c>
      <c r="AJ33" s="11">
        <f t="shared" si="9"/>
        <v>1.363545197269043E-2</v>
      </c>
      <c r="AK33" s="11">
        <f t="shared" si="10"/>
        <v>1.3558717101958549E-2</v>
      </c>
      <c r="AL33" s="52">
        <f t="shared" si="11"/>
        <v>6113816</v>
      </c>
      <c r="AM33" s="11">
        <v>16</v>
      </c>
      <c r="AN33" s="12">
        <v>75281029</v>
      </c>
      <c r="AO33" s="12">
        <v>2352532.15625</v>
      </c>
      <c r="AP33" s="12">
        <v>36255.625</v>
      </c>
      <c r="AQ33" s="13">
        <v>11204064</v>
      </c>
      <c r="AR33" s="13">
        <v>5119056</v>
      </c>
      <c r="AS33" s="13">
        <v>994760</v>
      </c>
      <c r="AT33" s="13">
        <v>5090248</v>
      </c>
      <c r="AU33" s="14">
        <v>74.886616000000004</v>
      </c>
      <c r="AV33" s="14">
        <v>79.781722000000002</v>
      </c>
      <c r="AW33" s="14">
        <v>38.108680999999997</v>
      </c>
      <c r="AX33" s="14">
        <v>43.480794000000003</v>
      </c>
      <c r="AY33" s="14">
        <v>47.072496999999998</v>
      </c>
      <c r="AZ33" s="15">
        <v>3864</v>
      </c>
      <c r="BA33" s="15">
        <v>12984.5</v>
      </c>
      <c r="BB33" s="15">
        <v>34.381999999999998</v>
      </c>
      <c r="BC33" s="15">
        <v>53.125999999999998</v>
      </c>
      <c r="BE33" s="50">
        <f t="shared" si="12"/>
        <v>0.87822499554697508</v>
      </c>
      <c r="BF33" s="16">
        <f t="shared" si="13"/>
        <v>-1.4923828133856978E-3</v>
      </c>
      <c r="BG33" s="16">
        <f t="shared" si="14"/>
        <v>2.3532711933975659E-3</v>
      </c>
      <c r="BH33" s="16"/>
      <c r="BJ33" s="50"/>
      <c r="BK33" s="50"/>
      <c r="BL33" s="50"/>
      <c r="BM33" s="50"/>
      <c r="BN33" s="50"/>
      <c r="BP33" s="50"/>
      <c r="BQ33" s="50"/>
      <c r="BR33" s="50"/>
      <c r="BS33" s="50"/>
      <c r="BT33" s="50"/>
      <c r="BV33" s="53">
        <f t="shared" si="16"/>
        <v>-18833737</v>
      </c>
      <c r="BW33" s="53">
        <f t="shared" si="16"/>
        <v>-588554.28125</v>
      </c>
      <c r="BX33" s="53">
        <f t="shared" si="16"/>
        <v>-13459.625</v>
      </c>
      <c r="BY33" s="53">
        <f t="shared" si="16"/>
        <v>-1608816</v>
      </c>
      <c r="BZ33" s="53">
        <f t="shared" si="16"/>
        <v>-676304</v>
      </c>
      <c r="CA33" s="53">
        <f t="shared" si="16"/>
        <v>-171440</v>
      </c>
      <c r="CB33" s="53">
        <f t="shared" si="16"/>
        <v>-761072</v>
      </c>
      <c r="CC33" s="53">
        <f t="shared" si="16"/>
        <v>-2.6797371249999742</v>
      </c>
      <c r="CD33" s="53">
        <f t="shared" si="16"/>
        <v>-0.48488112499997271</v>
      </c>
      <c r="CE33" s="53">
        <f t="shared" si="16"/>
        <v>-0.61082837500000409</v>
      </c>
      <c r="CF33" s="53">
        <f t="shared" si="16"/>
        <v>-0.21963724999999812</v>
      </c>
      <c r="CG33" s="53">
        <f t="shared" si="16"/>
        <v>-0.306056125000012</v>
      </c>
      <c r="CJ33" t="s">
        <v>588</v>
      </c>
    </row>
    <row r="34" spans="1:88" ht="16" outlineLevel="1" thickBot="1" x14ac:dyDescent="0.25">
      <c r="A34" s="17"/>
      <c r="B34" s="36" t="s">
        <v>77</v>
      </c>
      <c r="C34" s="37" t="s">
        <v>237</v>
      </c>
      <c r="D34" s="36">
        <v>375422539</v>
      </c>
      <c r="E34" s="37">
        <v>11</v>
      </c>
      <c r="F34" s="37">
        <v>32</v>
      </c>
      <c r="G34" s="37">
        <v>30</v>
      </c>
      <c r="I34" s="38">
        <f t="shared" si="0"/>
        <v>24.639389999999999</v>
      </c>
      <c r="J34" s="39">
        <f t="shared" si="1"/>
        <v>7.0006494735256164E-2</v>
      </c>
      <c r="K34" s="39">
        <f t="shared" si="2"/>
        <v>3.0977404902160124E-2</v>
      </c>
      <c r="L34" s="39">
        <f t="shared" si="3"/>
        <v>2.459758549552615E-2</v>
      </c>
      <c r="M34" s="39">
        <f t="shared" si="4"/>
        <v>3.9029089833096033E-2</v>
      </c>
      <c r="N34" s="36">
        <f t="shared" si="5"/>
        <v>11629616</v>
      </c>
      <c r="O34" s="39">
        <v>16</v>
      </c>
      <c r="P34" s="40">
        <v>92205535</v>
      </c>
      <c r="Q34" s="40">
        <v>2881422.96875</v>
      </c>
      <c r="R34" s="40">
        <v>21180.46875</v>
      </c>
      <c r="S34" s="41">
        <v>26282016</v>
      </c>
      <c r="T34" s="41">
        <v>9234488</v>
      </c>
      <c r="U34" s="41">
        <v>2395128</v>
      </c>
      <c r="V34" s="41">
        <v>14652400</v>
      </c>
      <c r="W34" s="42">
        <v>78.500296874999975</v>
      </c>
      <c r="X34" s="42">
        <v>81.895681249999996</v>
      </c>
      <c r="Y34" s="42">
        <v>40.507659374999989</v>
      </c>
      <c r="Z34" s="42">
        <v>44.373981249999993</v>
      </c>
      <c r="AA34" s="42">
        <v>48.810296874999999</v>
      </c>
      <c r="AB34" s="43">
        <v>3500.64</v>
      </c>
      <c r="AC34" s="43">
        <v>32732.400000000001</v>
      </c>
      <c r="AD34" s="43">
        <v>52.696000000000012</v>
      </c>
      <c r="AE34" s="43">
        <v>50.276000000000003</v>
      </c>
      <c r="AG34" s="38">
        <f t="shared" si="6"/>
        <v>21.66555</v>
      </c>
      <c r="AH34" s="39">
        <f t="shared" si="7"/>
        <v>6.1557092607058418E-2</v>
      </c>
      <c r="AI34" s="39">
        <f t="shared" si="8"/>
        <v>2.7378175075418155E-2</v>
      </c>
      <c r="AJ34" s="39">
        <f t="shared" si="9"/>
        <v>2.1817954835151761E-2</v>
      </c>
      <c r="AK34" s="39">
        <f t="shared" si="10"/>
        <v>3.4178917531640263E-2</v>
      </c>
      <c r="AL34" s="36">
        <f t="shared" si="11"/>
        <v>10278384</v>
      </c>
      <c r="AM34" s="39">
        <v>16</v>
      </c>
      <c r="AN34" s="40">
        <v>73592469</v>
      </c>
      <c r="AO34" s="40">
        <v>2299764.65625</v>
      </c>
      <c r="AP34" s="40">
        <v>15876.34375</v>
      </c>
      <c r="AQ34" s="41">
        <v>23109920</v>
      </c>
      <c r="AR34" s="41">
        <v>8190952</v>
      </c>
      <c r="AS34" s="41">
        <v>2087432</v>
      </c>
      <c r="AT34" s="41">
        <v>12831536</v>
      </c>
      <c r="AU34" s="42">
        <v>75.318116000000003</v>
      </c>
      <c r="AV34" s="42">
        <v>81.646805999999998</v>
      </c>
      <c r="AW34" s="42">
        <v>39.655219000000002</v>
      </c>
      <c r="AX34" s="42">
        <v>44.161019000000003</v>
      </c>
      <c r="AY34" s="42">
        <v>48.537140999999998</v>
      </c>
      <c r="AZ34" s="43">
        <v>3337.32</v>
      </c>
      <c r="BA34" s="43">
        <v>13442.3</v>
      </c>
      <c r="BB34" s="43">
        <v>32.466999999999999</v>
      </c>
      <c r="BC34" s="43">
        <v>57.308999999999997</v>
      </c>
      <c r="BE34" s="44">
        <f t="shared" si="12"/>
        <v>0.88381112497609549</v>
      </c>
      <c r="BF34" s="45">
        <f t="shared" si="13"/>
        <v>-4.4723300967673164E-4</v>
      </c>
      <c r="BG34" s="45">
        <f t="shared" si="14"/>
        <v>2.2673911508247491E-3</v>
      </c>
      <c r="BH34" s="45"/>
      <c r="BJ34" s="44"/>
      <c r="BK34" s="44"/>
      <c r="BL34" s="44"/>
      <c r="BM34" s="44"/>
      <c r="BN34" s="44"/>
      <c r="BP34" s="44"/>
      <c r="BQ34" s="44"/>
      <c r="BR34" s="44"/>
      <c r="BS34" s="44"/>
      <c r="BT34" s="44"/>
      <c r="BV34" s="53">
        <f t="shared" si="16"/>
        <v>-18613066</v>
      </c>
      <c r="BW34" s="53">
        <f t="shared" si="16"/>
        <v>-581658.3125</v>
      </c>
      <c r="BX34" s="53">
        <f t="shared" si="16"/>
        <v>-5304.125</v>
      </c>
      <c r="BY34" s="53">
        <f t="shared" si="16"/>
        <v>-3172096</v>
      </c>
      <c r="BZ34" s="53">
        <f t="shared" si="16"/>
        <v>-1043536</v>
      </c>
      <c r="CA34" s="53">
        <f t="shared" si="16"/>
        <v>-307696</v>
      </c>
      <c r="CB34" s="53">
        <f t="shared" si="16"/>
        <v>-1820864</v>
      </c>
      <c r="CC34" s="53">
        <f t="shared" si="16"/>
        <v>-3.1821808749999718</v>
      </c>
      <c r="CD34" s="53">
        <f t="shared" si="16"/>
        <v>-0.24887524999999755</v>
      </c>
      <c r="CE34" s="53">
        <f t="shared" si="16"/>
        <v>-0.85244037499998626</v>
      </c>
      <c r="CF34" s="53">
        <f t="shared" si="16"/>
        <v>-0.21296224999998969</v>
      </c>
      <c r="CG34" s="53">
        <f t="shared" si="16"/>
        <v>-0.27315587500000049</v>
      </c>
      <c r="CJ34" t="s">
        <v>588</v>
      </c>
    </row>
    <row r="35" spans="1:88" x14ac:dyDescent="0.2">
      <c r="A35" s="52"/>
      <c r="B35" s="52" t="s">
        <v>82</v>
      </c>
      <c r="C35" s="9" t="s">
        <v>232</v>
      </c>
      <c r="D35" s="52">
        <v>333190689</v>
      </c>
      <c r="E35" s="9">
        <v>11</v>
      </c>
      <c r="F35" s="9">
        <v>32</v>
      </c>
      <c r="G35" s="9">
        <v>30</v>
      </c>
      <c r="I35" s="10">
        <f t="shared" si="0"/>
        <v>4.6569075</v>
      </c>
      <c r="J35" s="11">
        <f t="shared" si="1"/>
        <v>1.490848383221177E-2</v>
      </c>
      <c r="K35" s="11">
        <f t="shared" si="2"/>
        <v>1.1175390318305084E-2</v>
      </c>
      <c r="L35" s="11">
        <f t="shared" si="3"/>
        <v>7.155662143968255E-3</v>
      </c>
      <c r="M35" s="11">
        <f t="shared" si="4"/>
        <v>3.7330935139066866E-3</v>
      </c>
      <c r="N35" s="52">
        <f t="shared" si="5"/>
        <v>3723536</v>
      </c>
      <c r="O35" s="11">
        <v>16</v>
      </c>
      <c r="P35" s="12">
        <v>74793925</v>
      </c>
      <c r="Q35" s="12">
        <v>2337310.15625</v>
      </c>
      <c r="R35" s="12">
        <v>30824.78125</v>
      </c>
      <c r="S35" s="13">
        <v>4967368</v>
      </c>
      <c r="T35" s="13">
        <v>2384200</v>
      </c>
      <c r="U35" s="13">
        <v>1339336</v>
      </c>
      <c r="V35" s="13">
        <v>1243832</v>
      </c>
      <c r="W35" s="14">
        <v>73.186065624999998</v>
      </c>
      <c r="X35" s="14">
        <v>75.395090625000023</v>
      </c>
      <c r="Y35" s="14">
        <v>31.7822125</v>
      </c>
      <c r="Z35" s="14">
        <v>42.191984374999997</v>
      </c>
      <c r="AA35" s="14">
        <v>43.412915625000011</v>
      </c>
      <c r="AB35" s="15">
        <v>2965.69</v>
      </c>
      <c r="AC35" s="15">
        <v>24997</v>
      </c>
      <c r="AD35" s="15">
        <v>51.14</v>
      </c>
      <c r="AE35" s="15">
        <v>39.776000000000003</v>
      </c>
      <c r="AG35" s="10">
        <f t="shared" si="6"/>
        <v>4.2878699999999998</v>
      </c>
      <c r="AH35" s="11">
        <f t="shared" si="7"/>
        <v>1.37270582612229E-2</v>
      </c>
      <c r="AI35" s="11">
        <f t="shared" si="8"/>
        <v>1.0291692154698837E-2</v>
      </c>
      <c r="AJ35" s="11">
        <f t="shared" si="9"/>
        <v>6.5063522828514575E-3</v>
      </c>
      <c r="AK35" s="11">
        <f t="shared" si="10"/>
        <v>3.435366106524063E-3</v>
      </c>
      <c r="AL35" s="52">
        <f t="shared" si="11"/>
        <v>3429096</v>
      </c>
      <c r="AM35" s="11">
        <v>16</v>
      </c>
      <c r="AN35" s="12">
        <v>59957457</v>
      </c>
      <c r="AO35" s="12">
        <v>1873670.53125</v>
      </c>
      <c r="AP35" s="12">
        <v>23455.8125</v>
      </c>
      <c r="AQ35" s="13">
        <v>4573728</v>
      </c>
      <c r="AR35" s="13">
        <v>2167856</v>
      </c>
      <c r="AS35" s="13">
        <v>1261240</v>
      </c>
      <c r="AT35" s="13">
        <v>1144632</v>
      </c>
      <c r="AU35" s="14">
        <v>71.739884000000004</v>
      </c>
      <c r="AV35" s="14">
        <v>74.750174999999999</v>
      </c>
      <c r="AW35" s="14">
        <v>31.027031000000001</v>
      </c>
      <c r="AX35" s="14">
        <v>41.763744000000003</v>
      </c>
      <c r="AY35" s="14">
        <v>42.697119000000001</v>
      </c>
      <c r="AZ35" s="15">
        <v>3568.82</v>
      </c>
      <c r="BA35" s="15">
        <v>20320.7</v>
      </c>
      <c r="BB35" s="15">
        <v>38.368000000000002</v>
      </c>
      <c r="BC35" s="15">
        <v>87.79</v>
      </c>
      <c r="BE35" s="50">
        <f t="shared" si="12"/>
        <v>0.92092462648407314</v>
      </c>
      <c r="BF35" s="16">
        <f t="shared" si="13"/>
        <v>-6.695002778821027E-4</v>
      </c>
      <c r="BG35" s="16">
        <f t="shared" si="14"/>
        <v>1.3824654205429887E-4</v>
      </c>
      <c r="BH35" s="16">
        <f t="array" ref="BH35">AVERAGE(AL35:AL39/AQ35:AQ39) - AVERAGE(N35:N39/S35:S39)</f>
        <v>3.8406923226101952E-3</v>
      </c>
      <c r="BJ35" s="50">
        <f>IF( OR(ISBLANK(N35:N39),ISBLANK(AL35:AL39), ISBLANK(W35:W39),ISBLANK(AU35:AU39)), "·", bdRateExtend( N35:N39,W35:W39, AL35:AL39,AU35:AU39))</f>
        <v>0.42207192926424386</v>
      </c>
      <c r="BK35" s="50">
        <f>IF( OR(ISBLANK(N35:N39),ISBLANK(AL35:AL39), ISBLANK(X35:X39),ISBLANK(AV35:AV39)), "·", bdRateExtend( N35:N39,X35:X39, AL35:AL39,AV35:AV39))</f>
        <v>2.1424288699058769E-2</v>
      </c>
      <c r="BL35" s="50">
        <f>IF( OR(ISBLANK(V35:V39),ISBLANK(AT35:AT39), ISBLANK(Y35:Y39),ISBLANK(AW35:AW39)), "·", bdRateExtend( V35:V39,Y35:Y39, AT35:AT39,AW35:AW39))</f>
        <v>0.22002251249556504</v>
      </c>
      <c r="BM35" s="50">
        <f>IF( OR(ISBLANK(V35:V39),ISBLANK(AT35:AT39), ISBLANK(Z35:Z39),ISBLANK(AX35:AX39)), "·", bdRateExtend( V35:V39,Z35:Z39, AT35:AT39,AX35:AX39))</f>
        <v>0.17056684532755595</v>
      </c>
      <c r="BN35" s="50">
        <f>IF( OR(ISBLANK(V35:V39),ISBLANK(AT35:AT39), ISBLANK(AA35:AA39),ISBLANK(AY35:AY39)), "·", bdRateExtend( V35:V39,AA35:AA39, AT35:AT39,AY35:AY39))</f>
        <v>0.17313333053026336</v>
      </c>
      <c r="BP35" s="50">
        <f>IF( OR(ISBLANK(S35:S39),ISBLANK(AQ35:AQ39), ISBLANK(W35:W39),ISBLANK(AU35:AU39)), "·", bdRateExtend( S35:S39,W35:W39, AQ35:AQ39,AU35:AU39))</f>
        <v>0.7531811828856958</v>
      </c>
      <c r="BQ35" s="50">
        <f>IF( OR(ISBLANK(S35:S39),ISBLANK(AQ35:AQ39), ISBLANK(X35:X39),ISBLANK(AV35:AV39)), "·", bdRateExtend( S35:S39,X35:X39, AQ35:AQ39,AV35:AV39))</f>
        <v>6.6567080502950127E-2</v>
      </c>
      <c r="BR35" s="50">
        <f>IF( OR(ISBLANK(S35:S39),ISBLANK(AQ35:AQ39), ISBLANK(Y35:Y39),ISBLANK(AW35:AW39)), "·", bdRateExtend( S35:S39,Y35:Y39, AQ35:AQ39,AW35:AW39))</f>
        <v>0.11672528700053708</v>
      </c>
      <c r="BS35" s="50">
        <f>IF( OR(ISBLANK(S35:S39),ISBLANK(AQ35:AQ39), ISBLANK(Z35:Z39),ISBLANK(AX35:AX39)), "·", bdRateExtend( S35:S39,Z35:Z39, AQ35:AQ39,AX35:AX39))</f>
        <v>8.6914942422213759E-2</v>
      </c>
      <c r="BT35" s="50">
        <f>IF( OR(ISBLANK(S35:S39),ISBLANK(AQ35:AQ39), ISBLANK(AA35:AA39),ISBLANK(AY35:AY39)), "·", bdRateExtend( S35:S39,AA35:AA39, AQ35:AQ39,AY35:AY39))</f>
        <v>8.2957284148292176E-2</v>
      </c>
      <c r="BV35" s="53">
        <f t="shared" si="16"/>
        <v>-14836468</v>
      </c>
      <c r="BW35" s="53">
        <f t="shared" si="16"/>
        <v>-463639.625</v>
      </c>
      <c r="BX35" s="53">
        <f t="shared" si="16"/>
        <v>-7368.96875</v>
      </c>
      <c r="BY35" s="53">
        <f t="shared" si="16"/>
        <v>-393640</v>
      </c>
      <c r="BZ35" s="53">
        <f t="shared" si="16"/>
        <v>-216344</v>
      </c>
      <c r="CA35" s="53">
        <f t="shared" si="16"/>
        <v>-78096</v>
      </c>
      <c r="CB35" s="53">
        <f t="shared" si="16"/>
        <v>-99200</v>
      </c>
      <c r="CC35" s="53">
        <f t="shared" si="16"/>
        <v>-1.4461816249999941</v>
      </c>
      <c r="CD35" s="53">
        <f t="shared" si="16"/>
        <v>-0.64491562500002431</v>
      </c>
      <c r="CE35" s="53">
        <f t="shared" si="16"/>
        <v>-0.75518149999999906</v>
      </c>
      <c r="CF35" s="53">
        <f t="shared" si="16"/>
        <v>-0.42824037499999434</v>
      </c>
      <c r="CG35" s="53">
        <f t="shared" si="16"/>
        <v>-0.71579662500001007</v>
      </c>
      <c r="CJ35" t="s">
        <v>589</v>
      </c>
    </row>
    <row r="36" spans="1:88" outlineLevel="1" x14ac:dyDescent="0.2">
      <c r="A36" s="17"/>
      <c r="B36" s="17" t="s">
        <v>82</v>
      </c>
      <c r="C36" s="18" t="s">
        <v>234</v>
      </c>
      <c r="D36" s="17">
        <v>333190689</v>
      </c>
      <c r="E36" s="18">
        <v>11</v>
      </c>
      <c r="F36" s="18">
        <v>32</v>
      </c>
      <c r="G36" s="18">
        <v>30</v>
      </c>
      <c r="I36" s="19">
        <f t="shared" si="0"/>
        <v>6.2389275</v>
      </c>
      <c r="J36" s="20">
        <f t="shared" si="1"/>
        <v>1.9973115155087661E-2</v>
      </c>
      <c r="K36" s="20">
        <f t="shared" si="2"/>
        <v>1.3755462416298193E-2</v>
      </c>
      <c r="L36" s="20">
        <f t="shared" si="3"/>
        <v>9.7357342419613652E-3</v>
      </c>
      <c r="M36" s="20">
        <f t="shared" si="4"/>
        <v>6.2176527387894686E-3</v>
      </c>
      <c r="N36" s="17">
        <f t="shared" si="5"/>
        <v>4583192</v>
      </c>
      <c r="O36" s="20">
        <v>16</v>
      </c>
      <c r="P36" s="21">
        <v>79976742</v>
      </c>
      <c r="Q36" s="21">
        <v>2499273.1875</v>
      </c>
      <c r="R36" s="21">
        <v>39105.5</v>
      </c>
      <c r="S36" s="22">
        <v>6654856</v>
      </c>
      <c r="T36" s="22">
        <v>3243856</v>
      </c>
      <c r="U36" s="22">
        <v>1339336</v>
      </c>
      <c r="V36" s="22">
        <v>2071664</v>
      </c>
      <c r="W36" s="23">
        <v>74.938500000000019</v>
      </c>
      <c r="X36" s="23">
        <v>77.355887499999994</v>
      </c>
      <c r="Y36" s="23">
        <v>34.0428</v>
      </c>
      <c r="Z36" s="23">
        <v>42.958225000000013</v>
      </c>
      <c r="AA36" s="23">
        <v>44.998650000000012</v>
      </c>
      <c r="AB36" s="24">
        <v>3058.14</v>
      </c>
      <c r="AC36" s="24">
        <v>28595.9</v>
      </c>
      <c r="AD36" s="24">
        <v>53.223999999999997</v>
      </c>
      <c r="AE36" s="24">
        <v>36.747999999999998</v>
      </c>
      <c r="AG36" s="19">
        <f t="shared" si="6"/>
        <v>5.7307874999999999</v>
      </c>
      <c r="AH36" s="20">
        <f t="shared" si="7"/>
        <v>1.834637101758867E-2</v>
      </c>
      <c r="AI36" s="20">
        <f t="shared" si="8"/>
        <v>1.2648996923200337E-2</v>
      </c>
      <c r="AJ36" s="20">
        <f t="shared" si="9"/>
        <v>8.8636570513529571E-3</v>
      </c>
      <c r="AK36" s="20">
        <f t="shared" si="10"/>
        <v>5.6973740943883338E-3</v>
      </c>
      <c r="AL36" s="17">
        <f t="shared" si="11"/>
        <v>4214528</v>
      </c>
      <c r="AM36" s="20">
        <v>16</v>
      </c>
      <c r="AN36" s="21">
        <v>64107828</v>
      </c>
      <c r="AO36" s="21">
        <v>2003369.625</v>
      </c>
      <c r="AP36" s="21">
        <v>30108.8125</v>
      </c>
      <c r="AQ36" s="22">
        <v>6112840</v>
      </c>
      <c r="AR36" s="22">
        <v>2953288</v>
      </c>
      <c r="AS36" s="22">
        <v>1261240</v>
      </c>
      <c r="AT36" s="22">
        <v>1898312</v>
      </c>
      <c r="AU36" s="23">
        <v>73.145863000000006</v>
      </c>
      <c r="AV36" s="23">
        <v>76.760091000000003</v>
      </c>
      <c r="AW36" s="23">
        <v>33.218102999999999</v>
      </c>
      <c r="AX36" s="23">
        <v>42.690322000000002</v>
      </c>
      <c r="AY36" s="23">
        <v>44.228678000000002</v>
      </c>
      <c r="AZ36" s="24">
        <v>3825.49</v>
      </c>
      <c r="BA36" s="24">
        <v>22004.5</v>
      </c>
      <c r="BB36" s="24">
        <v>40.034999999999997</v>
      </c>
      <c r="BC36" s="24">
        <v>88.778000000000006</v>
      </c>
      <c r="BE36" s="49">
        <f t="shared" si="12"/>
        <v>0.91956173775831351</v>
      </c>
      <c r="BF36" s="25">
        <f t="shared" si="13"/>
        <v>-6.1766384144629032E-4</v>
      </c>
      <c r="BG36" s="25">
        <f t="shared" si="14"/>
        <v>7.5608431167939472E-4</v>
      </c>
      <c r="BH36" s="25"/>
      <c r="BJ36" s="49"/>
      <c r="BK36" s="49"/>
      <c r="BL36" s="49"/>
      <c r="BM36" s="49"/>
      <c r="BN36" s="49"/>
      <c r="BP36" s="49"/>
      <c r="BQ36" s="49"/>
      <c r="BR36" s="49"/>
      <c r="BS36" s="49"/>
      <c r="BT36" s="49"/>
      <c r="BV36" s="53">
        <f t="shared" si="16"/>
        <v>-15868914</v>
      </c>
      <c r="BW36" s="53">
        <f t="shared" si="16"/>
        <v>-495903.5625</v>
      </c>
      <c r="BX36" s="53">
        <f t="shared" si="16"/>
        <v>-8996.6875</v>
      </c>
      <c r="BY36" s="53">
        <f t="shared" si="16"/>
        <v>-542016</v>
      </c>
      <c r="BZ36" s="53">
        <f t="shared" si="16"/>
        <v>-290568</v>
      </c>
      <c r="CA36" s="53">
        <f t="shared" si="16"/>
        <v>-78096</v>
      </c>
      <c r="CB36" s="53">
        <f t="shared" si="16"/>
        <v>-173352</v>
      </c>
      <c r="CC36" s="53">
        <f t="shared" si="16"/>
        <v>-1.7926370000000134</v>
      </c>
      <c r="CD36" s="53">
        <f t="shared" si="16"/>
        <v>-0.59579649999999162</v>
      </c>
      <c r="CE36" s="53">
        <f t="shared" si="16"/>
        <v>-0.82469700000000046</v>
      </c>
      <c r="CF36" s="53">
        <f t="shared" si="16"/>
        <v>-0.2679030000000111</v>
      </c>
      <c r="CG36" s="53">
        <f t="shared" si="16"/>
        <v>-0.76997200000000987</v>
      </c>
      <c r="CJ36" t="s">
        <v>589</v>
      </c>
    </row>
    <row r="37" spans="1:88" outlineLevel="1" x14ac:dyDescent="0.2">
      <c r="A37" s="52"/>
      <c r="B37" s="52" t="s">
        <v>82</v>
      </c>
      <c r="C37" s="9" t="s">
        <v>235</v>
      </c>
      <c r="D37" s="52">
        <v>333190689</v>
      </c>
      <c r="E37" s="9">
        <v>11</v>
      </c>
      <c r="F37" s="9">
        <v>32</v>
      </c>
      <c r="G37" s="9">
        <v>30</v>
      </c>
      <c r="I37" s="10">
        <f t="shared" si="0"/>
        <v>8.9079599999999992</v>
      </c>
      <c r="J37" s="11">
        <f t="shared" si="1"/>
        <v>2.8517675654495856E-2</v>
      </c>
      <c r="K37" s="11">
        <f t="shared" si="2"/>
        <v>1.7446345867125956E-2</v>
      </c>
      <c r="L37" s="11">
        <f t="shared" si="3"/>
        <v>1.3426617692789128E-2</v>
      </c>
      <c r="M37" s="11">
        <f t="shared" si="4"/>
        <v>1.1071329787369898E-2</v>
      </c>
      <c r="N37" s="52">
        <f t="shared" si="5"/>
        <v>5812960</v>
      </c>
      <c r="O37" s="11">
        <v>16</v>
      </c>
      <c r="P37" s="12">
        <v>81787481</v>
      </c>
      <c r="Q37" s="12">
        <v>2555858.78125</v>
      </c>
      <c r="R37" s="12">
        <v>42911.78125</v>
      </c>
      <c r="S37" s="13">
        <v>9501824</v>
      </c>
      <c r="T37" s="13">
        <v>4473624</v>
      </c>
      <c r="U37" s="13">
        <v>1339336</v>
      </c>
      <c r="V37" s="13">
        <v>3688864</v>
      </c>
      <c r="W37" s="14">
        <v>76.246068749999978</v>
      </c>
      <c r="X37" s="14">
        <v>78.937634374999988</v>
      </c>
      <c r="Y37" s="14">
        <v>36.130121875</v>
      </c>
      <c r="Z37" s="14">
        <v>43.529096874999993</v>
      </c>
      <c r="AA37" s="14">
        <v>46.101628125000012</v>
      </c>
      <c r="AB37" s="15">
        <v>2962.69</v>
      </c>
      <c r="AC37" s="15">
        <v>27814.799999999999</v>
      </c>
      <c r="AD37" s="15">
        <v>53.636000000000003</v>
      </c>
      <c r="AE37" s="15">
        <v>39.192</v>
      </c>
      <c r="AG37" s="10">
        <f t="shared" si="6"/>
        <v>8.1746400000000001</v>
      </c>
      <c r="AH37" s="11">
        <f t="shared" si="7"/>
        <v>2.617004702673429E-2</v>
      </c>
      <c r="AI37" s="11">
        <f t="shared" si="8"/>
        <v>1.6052429364255133E-2</v>
      </c>
      <c r="AJ37" s="11">
        <f t="shared" si="9"/>
        <v>1.2267089492407755E-2</v>
      </c>
      <c r="AK37" s="11">
        <f t="shared" si="10"/>
        <v>1.0117617662479157E-2</v>
      </c>
      <c r="AL37" s="52">
        <f t="shared" si="11"/>
        <v>5348520</v>
      </c>
      <c r="AM37" s="11">
        <v>16</v>
      </c>
      <c r="AN37" s="12">
        <v>65624392</v>
      </c>
      <c r="AO37" s="12">
        <v>2050762.25</v>
      </c>
      <c r="AP37" s="12">
        <v>32726.71875</v>
      </c>
      <c r="AQ37" s="13">
        <v>8719616</v>
      </c>
      <c r="AR37" s="13">
        <v>4087280</v>
      </c>
      <c r="AS37" s="13">
        <v>1261240</v>
      </c>
      <c r="AT37" s="13">
        <v>3371096</v>
      </c>
      <c r="AU37" s="14">
        <v>74.086912999999996</v>
      </c>
      <c r="AV37" s="14">
        <v>78.382019</v>
      </c>
      <c r="AW37" s="14">
        <v>35.293975000000003</v>
      </c>
      <c r="AX37" s="14">
        <v>43.284287999999997</v>
      </c>
      <c r="AY37" s="14">
        <v>45.671430999999998</v>
      </c>
      <c r="AZ37" s="15">
        <v>3138.31</v>
      </c>
      <c r="BA37" s="15">
        <v>16792.2</v>
      </c>
      <c r="BB37" s="15">
        <v>31.474</v>
      </c>
      <c r="BC37" s="15">
        <v>65.025000000000006</v>
      </c>
      <c r="BE37" s="50">
        <f t="shared" si="12"/>
        <v>0.92010266714376154</v>
      </c>
      <c r="BF37" s="16">
        <f t="shared" si="13"/>
        <v>-8.312551551694497E-4</v>
      </c>
      <c r="BG37" s="16">
        <f t="shared" si="14"/>
        <v>1.6163310771308836E-3</v>
      </c>
      <c r="BH37" s="16"/>
      <c r="BJ37" s="50"/>
      <c r="BK37" s="50"/>
      <c r="BL37" s="50"/>
      <c r="BM37" s="50"/>
      <c r="BN37" s="50"/>
      <c r="BP37" s="50"/>
      <c r="BQ37" s="50"/>
      <c r="BR37" s="50"/>
      <c r="BS37" s="50"/>
      <c r="BT37" s="50"/>
      <c r="BV37" s="53">
        <f t="shared" si="16"/>
        <v>-16163089</v>
      </c>
      <c r="BW37" s="53">
        <f t="shared" si="16"/>
        <v>-505096.53125</v>
      </c>
      <c r="BX37" s="53">
        <f t="shared" si="16"/>
        <v>-10185.0625</v>
      </c>
      <c r="BY37" s="53">
        <f t="shared" si="16"/>
        <v>-782208</v>
      </c>
      <c r="BZ37" s="53">
        <f t="shared" si="16"/>
        <v>-386344</v>
      </c>
      <c r="CA37" s="53">
        <f t="shared" si="16"/>
        <v>-78096</v>
      </c>
      <c r="CB37" s="53">
        <f t="shared" si="16"/>
        <v>-317768</v>
      </c>
      <c r="CC37" s="53">
        <f t="shared" si="16"/>
        <v>-2.1591557499999823</v>
      </c>
      <c r="CD37" s="53">
        <f t="shared" si="16"/>
        <v>-0.55561537499998792</v>
      </c>
      <c r="CE37" s="53">
        <f t="shared" si="16"/>
        <v>-0.83614687499999718</v>
      </c>
      <c r="CF37" s="53">
        <f t="shared" si="16"/>
        <v>-0.24480887499999682</v>
      </c>
      <c r="CG37" s="53">
        <f t="shared" si="16"/>
        <v>-0.43019712500001361</v>
      </c>
      <c r="CJ37" t="s">
        <v>589</v>
      </c>
    </row>
    <row r="38" spans="1:88" outlineLevel="1" x14ac:dyDescent="0.2">
      <c r="A38" s="17"/>
      <c r="B38" s="17" t="s">
        <v>82</v>
      </c>
      <c r="C38" s="18" t="s">
        <v>236</v>
      </c>
      <c r="D38" s="17">
        <v>333190689</v>
      </c>
      <c r="E38" s="18">
        <v>11</v>
      </c>
      <c r="F38" s="18">
        <v>32</v>
      </c>
      <c r="G38" s="18">
        <v>30</v>
      </c>
      <c r="I38" s="19">
        <f t="shared" si="0"/>
        <v>14.434597500000001</v>
      </c>
      <c r="J38" s="20">
        <f t="shared" si="1"/>
        <v>4.6210486992330088E-2</v>
      </c>
      <c r="K38" s="20">
        <f t="shared" si="2"/>
        <v>2.3715596686436816E-2</v>
      </c>
      <c r="L38" s="20">
        <f t="shared" si="3"/>
        <v>1.9695868512099989E-2</v>
      </c>
      <c r="M38" s="20">
        <f t="shared" si="4"/>
        <v>2.2494890305893273E-2</v>
      </c>
      <c r="N38" s="17">
        <f t="shared" si="5"/>
        <v>7901816</v>
      </c>
      <c r="O38" s="20">
        <v>16</v>
      </c>
      <c r="P38" s="21">
        <v>83859347</v>
      </c>
      <c r="Q38" s="21">
        <v>2620604.59375</v>
      </c>
      <c r="R38" s="21">
        <v>48103.65625</v>
      </c>
      <c r="S38" s="22">
        <v>15396904</v>
      </c>
      <c r="T38" s="22">
        <v>6562480</v>
      </c>
      <c r="U38" s="22">
        <v>1339336</v>
      </c>
      <c r="V38" s="22">
        <v>7495088</v>
      </c>
      <c r="W38" s="23">
        <v>77.415709375000006</v>
      </c>
      <c r="X38" s="23">
        <v>80.131399999999999</v>
      </c>
      <c r="Y38" s="23">
        <v>38.085528125000003</v>
      </c>
      <c r="Z38" s="23">
        <v>44.206915625000008</v>
      </c>
      <c r="AA38" s="23">
        <v>47.257871874999999</v>
      </c>
      <c r="AB38" s="24">
        <v>3191.14</v>
      </c>
      <c r="AC38" s="24">
        <v>33916.300000000003</v>
      </c>
      <c r="AD38" s="24">
        <v>57.96</v>
      </c>
      <c r="AE38" s="24">
        <v>45.14</v>
      </c>
      <c r="AG38" s="19">
        <f t="shared" si="6"/>
        <v>13.130722499999999</v>
      </c>
      <c r="AH38" s="20">
        <f t="shared" si="7"/>
        <v>4.2036300720276129E-2</v>
      </c>
      <c r="AI38" s="20">
        <f t="shared" si="8"/>
        <v>2.180339439197234E-2</v>
      </c>
      <c r="AJ38" s="20">
        <f t="shared" si="9"/>
        <v>1.8018054520124959E-2</v>
      </c>
      <c r="AK38" s="20">
        <f t="shared" si="10"/>
        <v>2.0232906328303789E-2</v>
      </c>
      <c r="AL38" s="17">
        <f t="shared" si="11"/>
        <v>7264688</v>
      </c>
      <c r="AM38" s="20">
        <v>16</v>
      </c>
      <c r="AN38" s="21">
        <v>67578418</v>
      </c>
      <c r="AO38" s="21">
        <v>2111825.5625</v>
      </c>
      <c r="AP38" s="21">
        <v>36992.3125</v>
      </c>
      <c r="AQ38" s="22">
        <v>14006104</v>
      </c>
      <c r="AR38" s="22">
        <v>6003448</v>
      </c>
      <c r="AS38" s="22">
        <v>1261240</v>
      </c>
      <c r="AT38" s="22">
        <v>6741416</v>
      </c>
      <c r="AU38" s="23">
        <v>74.844230999999994</v>
      </c>
      <c r="AV38" s="23">
        <v>79.571059000000005</v>
      </c>
      <c r="AW38" s="23">
        <v>37.093055999999997</v>
      </c>
      <c r="AX38" s="23">
        <v>43.928024999999998</v>
      </c>
      <c r="AY38" s="23">
        <v>46.853912000000001</v>
      </c>
      <c r="AZ38" s="24">
        <v>3075.51</v>
      </c>
      <c r="BA38" s="24">
        <v>17691.2</v>
      </c>
      <c r="BB38" s="24">
        <v>32.658999999999999</v>
      </c>
      <c r="BC38" s="24">
        <v>66.161000000000001</v>
      </c>
      <c r="BE38" s="49">
        <f t="shared" si="12"/>
        <v>0.91936942090273943</v>
      </c>
      <c r="BF38" s="25">
        <f t="shared" si="13"/>
        <v>-8.3919205825193702E-4</v>
      </c>
      <c r="BG38" s="25">
        <f t="shared" si="14"/>
        <v>5.4720312825903283E-3</v>
      </c>
      <c r="BH38" s="25"/>
      <c r="BJ38" s="49"/>
      <c r="BK38" s="49"/>
      <c r="BL38" s="49"/>
      <c r="BM38" s="49"/>
      <c r="BN38" s="49"/>
      <c r="BP38" s="49"/>
      <c r="BQ38" s="49"/>
      <c r="BR38" s="49"/>
      <c r="BS38" s="49"/>
      <c r="BT38" s="49"/>
      <c r="BV38" s="53">
        <f t="shared" si="16"/>
        <v>-16280929</v>
      </c>
      <c r="BW38" s="53">
        <f t="shared" si="16"/>
        <v>-508779.03125</v>
      </c>
      <c r="BX38" s="53">
        <f t="shared" si="16"/>
        <v>-11111.34375</v>
      </c>
      <c r="BY38" s="53">
        <f t="shared" si="16"/>
        <v>-1390800</v>
      </c>
      <c r="BZ38" s="53">
        <f t="shared" si="16"/>
        <v>-559032</v>
      </c>
      <c r="CA38" s="53">
        <f t="shared" si="16"/>
        <v>-78096</v>
      </c>
      <c r="CB38" s="53">
        <f t="shared" si="16"/>
        <v>-753672</v>
      </c>
      <c r="CC38" s="53">
        <f t="shared" si="16"/>
        <v>-2.5714783750000123</v>
      </c>
      <c r="CD38" s="53">
        <f t="shared" si="16"/>
        <v>-0.56034099999999398</v>
      </c>
      <c r="CE38" s="53">
        <f t="shared" si="16"/>
        <v>-0.99247212500000614</v>
      </c>
      <c r="CF38" s="53">
        <f t="shared" si="16"/>
        <v>-0.27889062500000961</v>
      </c>
      <c r="CG38" s="53">
        <f t="shared" si="16"/>
        <v>-0.40395987499999819</v>
      </c>
      <c r="CJ38" t="s">
        <v>589</v>
      </c>
    </row>
    <row r="39" spans="1:88" ht="16" outlineLevel="1" thickBot="1" x14ac:dyDescent="0.25">
      <c r="A39" s="26"/>
      <c r="B39" s="26" t="s">
        <v>82</v>
      </c>
      <c r="C39" s="27" t="s">
        <v>237</v>
      </c>
      <c r="D39" s="26">
        <v>333190689</v>
      </c>
      <c r="E39" s="27">
        <v>11</v>
      </c>
      <c r="F39" s="27">
        <v>32</v>
      </c>
      <c r="G39" s="27">
        <v>30</v>
      </c>
      <c r="I39" s="28">
        <f t="shared" si="0"/>
        <v>28.660717500000001</v>
      </c>
      <c r="J39" s="29">
        <f t="shared" si="1"/>
        <v>9.175356037635253E-2</v>
      </c>
      <c r="K39" s="29">
        <f t="shared" si="2"/>
        <v>3.8473536095722051E-2</v>
      </c>
      <c r="L39" s="29">
        <f t="shared" si="3"/>
        <v>3.036807550165365E-2</v>
      </c>
      <c r="M39" s="29">
        <f t="shared" si="4"/>
        <v>5.3280024280630486E-2</v>
      </c>
      <c r="N39" s="26">
        <f t="shared" si="5"/>
        <v>12819024</v>
      </c>
      <c r="O39" s="29">
        <v>16</v>
      </c>
      <c r="P39" s="30">
        <v>82067544</v>
      </c>
      <c r="Q39" s="30">
        <v>2564610.75</v>
      </c>
      <c r="R39" s="30">
        <v>19264.46875</v>
      </c>
      <c r="S39" s="31">
        <v>30571432</v>
      </c>
      <c r="T39" s="31">
        <v>10118360</v>
      </c>
      <c r="U39" s="31">
        <v>2700664</v>
      </c>
      <c r="V39" s="31">
        <v>17752408</v>
      </c>
      <c r="W39" s="32">
        <v>78.311515624999998</v>
      </c>
      <c r="X39" s="32">
        <v>81.848193750000021</v>
      </c>
      <c r="Y39" s="32">
        <v>40.156068750000003</v>
      </c>
      <c r="Z39" s="32">
        <v>45.115956249999989</v>
      </c>
      <c r="AA39" s="32">
        <v>48.630465624999999</v>
      </c>
      <c r="AB39" s="33">
        <v>2964.08</v>
      </c>
      <c r="AC39" s="33">
        <v>31215.5</v>
      </c>
      <c r="AD39" s="33">
        <v>52.031999999999996</v>
      </c>
      <c r="AE39" s="33">
        <v>51.76</v>
      </c>
      <c r="AG39" s="28">
        <f t="shared" si="6"/>
        <v>25.63794</v>
      </c>
      <c r="AH39" s="29">
        <f t="shared" si="7"/>
        <v>8.2076531256250085E-2</v>
      </c>
      <c r="AI39" s="29">
        <f t="shared" si="8"/>
        <v>3.5336785776747801E-2</v>
      </c>
      <c r="AJ39" s="29">
        <f t="shared" si="9"/>
        <v>2.7794390136754391E-2</v>
      </c>
      <c r="AK39" s="29">
        <f t="shared" si="10"/>
        <v>4.6739745479502277E-2</v>
      </c>
      <c r="AL39" s="26">
        <f t="shared" si="11"/>
        <v>11773888</v>
      </c>
      <c r="AM39" s="29">
        <v>16</v>
      </c>
      <c r="AN39" s="30">
        <v>65861136</v>
      </c>
      <c r="AO39" s="30">
        <v>2058160.5</v>
      </c>
      <c r="AP39" s="30">
        <v>15058.03125</v>
      </c>
      <c r="AQ39" s="31">
        <v>27347136</v>
      </c>
      <c r="AR39" s="31">
        <v>9260832</v>
      </c>
      <c r="AS39" s="31">
        <v>2513056</v>
      </c>
      <c r="AT39" s="31">
        <v>15573248</v>
      </c>
      <c r="AU39" s="32">
        <v>75.307516000000007</v>
      </c>
      <c r="AV39" s="32">
        <v>81.441136999999998</v>
      </c>
      <c r="AW39" s="32">
        <v>38.685225000000003</v>
      </c>
      <c r="AX39" s="32">
        <v>44.788590999999997</v>
      </c>
      <c r="AY39" s="32">
        <v>48.250191000000001</v>
      </c>
      <c r="AZ39" s="33">
        <v>3495.95</v>
      </c>
      <c r="BA39" s="33">
        <v>19568.599999999999</v>
      </c>
      <c r="BB39" s="33">
        <v>32.753</v>
      </c>
      <c r="BC39" s="33">
        <v>77.213999999999999</v>
      </c>
      <c r="BE39" s="34">
        <f t="shared" si="12"/>
        <v>0.918469924075343</v>
      </c>
      <c r="BF39" s="35">
        <f t="shared" si="13"/>
        <v>-1.953970178246358E-4</v>
      </c>
      <c r="BG39" s="35">
        <f t="shared" si="14"/>
        <v>1.1220768399595404E-2</v>
      </c>
      <c r="BH39" s="35"/>
      <c r="BJ39" s="34"/>
      <c r="BK39" s="34"/>
      <c r="BL39" s="34"/>
      <c r="BM39" s="34"/>
      <c r="BN39" s="34"/>
      <c r="BP39" s="34"/>
      <c r="BQ39" s="34"/>
      <c r="BR39" s="34"/>
      <c r="BS39" s="34"/>
      <c r="BT39" s="34"/>
      <c r="BV39" s="53">
        <f t="shared" si="16"/>
        <v>-16206408</v>
      </c>
      <c r="BW39" s="53">
        <f t="shared" si="16"/>
        <v>-506450.25</v>
      </c>
      <c r="BX39" s="53">
        <f t="shared" si="16"/>
        <v>-4206.4375</v>
      </c>
      <c r="BY39" s="53">
        <f t="shared" si="16"/>
        <v>-3224296</v>
      </c>
      <c r="BZ39" s="53">
        <f t="shared" si="16"/>
        <v>-857528</v>
      </c>
      <c r="CA39" s="53">
        <f t="shared" si="16"/>
        <v>-187608</v>
      </c>
      <c r="CB39" s="53">
        <f t="shared" si="16"/>
        <v>-2179160</v>
      </c>
      <c r="CC39" s="53">
        <f t="shared" si="16"/>
        <v>-3.0039996249999916</v>
      </c>
      <c r="CD39" s="53">
        <f t="shared" si="16"/>
        <v>-0.40705675000002373</v>
      </c>
      <c r="CE39" s="53">
        <f t="shared" si="16"/>
        <v>-1.4708437500000002</v>
      </c>
      <c r="CF39" s="53">
        <f t="shared" si="16"/>
        <v>-0.32736524999999261</v>
      </c>
      <c r="CG39" s="53">
        <f t="shared" si="16"/>
        <v>-0.38027462499999842</v>
      </c>
      <c r="CJ39" t="s">
        <v>589</v>
      </c>
    </row>
    <row r="40" spans="1:88" ht="16" x14ac:dyDescent="0.2">
      <c r="B40" s="46" t="s">
        <v>16</v>
      </c>
      <c r="J40" s="47">
        <f>AVERAGE(J5:J24)</f>
        <v>1.7870143642272428E-2</v>
      </c>
      <c r="K40" s="47">
        <f>AVERAGE(K5:K24)</f>
        <v>9.5321793276372524E-3</v>
      </c>
      <c r="L40" s="47">
        <f>AVERAGE(L5:L24)</f>
        <v>6.9516832599163803E-3</v>
      </c>
      <c r="M40" s="47">
        <f>AVERAGE(M5:M24)</f>
        <v>8.3379643146351788E-3</v>
      </c>
      <c r="AH40" s="47">
        <f>AVERAGE(AH5:AH24)</f>
        <v>1.6304978184848329E-2</v>
      </c>
      <c r="AI40" s="47">
        <f>AVERAGE(AI5:AI24)</f>
        <v>8.6000557554135482E-3</v>
      </c>
      <c r="AJ40" s="47">
        <f>AVERAGE(AJ5:AJ24)</f>
        <v>6.2849014093203951E-3</v>
      </c>
      <c r="AK40" s="47">
        <f>AVERAGE(AK5:AK24)</f>
        <v>7.704922429434778E-3</v>
      </c>
      <c r="BE40" s="51">
        <f t="shared" si="12"/>
        <v>0.90221296303971754</v>
      </c>
      <c r="BH40" s="55">
        <f>AVERAGE(BH5:BH24)</f>
        <v>-2.328452194166164E-3</v>
      </c>
      <c r="BJ40" s="51">
        <f>AVERAGE(BJ5:BJ24)</f>
        <v>0.37621685060898941</v>
      </c>
      <c r="BK40" s="51">
        <f>AVERAGE(BK5:BK24)</f>
        <v>0.11577785693855541</v>
      </c>
      <c r="BL40" s="51">
        <f>AVERAGE(BL5:BL24)</f>
        <v>0.22316059645856046</v>
      </c>
      <c r="BM40" s="51">
        <f>AVERAGE(BM5:BM24)</f>
        <v>0.21156299475107021</v>
      </c>
      <c r="BN40" s="51">
        <f>AVERAGE(BN5:BN24)</f>
        <v>0.33273208370582014</v>
      </c>
      <c r="BP40" s="51">
        <f>AVERAGE(BP5:BP24)</f>
        <v>0.73268675591732335</v>
      </c>
      <c r="BQ40" s="51">
        <f>AVERAGE(BQ5:BQ24)</f>
        <v>0.23483725563243479</v>
      </c>
      <c r="BR40" s="51">
        <f>AVERAGE(BR5:BR24)</f>
        <v>9.6580670919269807E-2</v>
      </c>
      <c r="BS40" s="51">
        <f>AVERAGE(BS5:BS24)</f>
        <v>8.4671333427068451E-2</v>
      </c>
      <c r="BT40" s="51">
        <f>AVERAGE(BT5:BT24)</f>
        <v>0.15241661637306275</v>
      </c>
    </row>
    <row r="41" spans="1:88" ht="16" x14ac:dyDescent="0.2">
      <c r="B41" s="46" t="s">
        <v>17</v>
      </c>
      <c r="J41" s="47">
        <f>AVERAGE(J25:J29)</f>
        <v>3.8315025133065006E-2</v>
      </c>
      <c r="K41" s="47">
        <f>AVERAGE(K25:K29)</f>
        <v>1.1417285892349041E-2</v>
      </c>
      <c r="L41" s="47">
        <f>AVERAGE(L25:L29)</f>
        <v>8.7672756735900897E-3</v>
      </c>
      <c r="M41" s="47">
        <f>AVERAGE(M25:M29)</f>
        <v>2.6897739240715968E-2</v>
      </c>
      <c r="AH41" s="47">
        <f>AVERAGE(AH25:AH29)</f>
        <v>3.2291984650310968E-2</v>
      </c>
      <c r="AI41" s="47">
        <f>AVERAGE(AI25:AI29)</f>
        <v>9.9786994190709244E-3</v>
      </c>
      <c r="AJ41" s="47">
        <f>AVERAGE(AJ25:AJ29)</f>
        <v>7.6014685767349125E-3</v>
      </c>
      <c r="AK41" s="47">
        <f>AVERAGE(AK25:AK29)</f>
        <v>2.2313285231240043E-2</v>
      </c>
      <c r="BE41" s="51">
        <f t="shared" si="12"/>
        <v>0.87399925982039717</v>
      </c>
      <c r="BH41" s="55">
        <f>AVERAGE(BH25:BH29)</f>
        <v>1.2600222511853776E-2</v>
      </c>
      <c r="BJ41" s="51">
        <f>AVERAGE(BJ25:BJ29)</f>
        <v>0.56690157757087611</v>
      </c>
      <c r="BK41" s="51">
        <f>AVERAGE(BK25:BK29)</f>
        <v>8.135771793169666E-2</v>
      </c>
      <c r="BL41" s="51">
        <f>AVERAGE(BL25:BL29)</f>
        <v>0.46127411062151991</v>
      </c>
      <c r="BM41" s="51">
        <f>AVERAGE(BM25:BM29)</f>
        <v>0.58376886089893176</v>
      </c>
      <c r="BN41" s="51">
        <f>AVERAGE(BN25:BN29)</f>
        <v>0.82456639213424454</v>
      </c>
      <c r="BP41" s="51">
        <f>AVERAGE(BP25:BP29)</f>
        <v>1.6420364900514612</v>
      </c>
      <c r="BQ41" s="51">
        <f>AVERAGE(BQ25:BQ29)</f>
        <v>0.26771298665571885</v>
      </c>
      <c r="BR41" s="51">
        <f>AVERAGE(BR25:BR29)</f>
        <v>0.30032864516181634</v>
      </c>
      <c r="BS41" s="51">
        <f>AVERAGE(BS25:BS29)</f>
        <v>0.38145327958256137</v>
      </c>
      <c r="BT41" s="51">
        <f>AVERAGE(BT25:BT29)</f>
        <v>0.5325391595880351</v>
      </c>
    </row>
    <row r="42" spans="1:88" ht="16" x14ac:dyDescent="0.2">
      <c r="B42" s="46" t="s">
        <v>18</v>
      </c>
      <c r="J42" s="47">
        <f>AVERAGE(J30:J39)</f>
        <v>3.5053629428106393E-2</v>
      </c>
      <c r="K42" s="47">
        <f>AVERAGE(K30:K39)</f>
        <v>1.8600416961661072E-2</v>
      </c>
      <c r="L42" s="47">
        <f>AVERAGE(L30:L39)</f>
        <v>1.4301451090252094E-2</v>
      </c>
      <c r="M42" s="47">
        <f>AVERAGE(M30:M39)</f>
        <v>1.6453212466445322E-2</v>
      </c>
      <c r="AH42" s="47">
        <f>AVERAGE(AH30:AH39)</f>
        <v>3.1236446423884588E-2</v>
      </c>
      <c r="AI42" s="47">
        <f>AVERAGE(AI30:AI39)</f>
        <v>1.6749088963712872E-2</v>
      </c>
      <c r="AJ42" s="47">
        <f>AVERAGE(AJ30:AJ39)</f>
        <v>1.2864808338788444E-2</v>
      </c>
      <c r="AK42" s="47">
        <f>AVERAGE(AK30:AK39)</f>
        <v>1.4487357460171716E-2</v>
      </c>
      <c r="BE42" s="51">
        <f t="shared" si="12"/>
        <v>0.90046846789702983</v>
      </c>
      <c r="BH42" s="55">
        <f>AVERAGE(BH30:BH39)</f>
        <v>5.2576697693041963E-3</v>
      </c>
      <c r="BJ42" s="51">
        <f>AVERAGE(BJ30:BJ39)</f>
        <v>0.45591275530731568</v>
      </c>
      <c r="BK42" s="51">
        <f>AVERAGE(BK30:BK39)</f>
        <v>-8.997260240426519E-3</v>
      </c>
      <c r="BL42" s="51">
        <f>AVERAGE(BL30:BL39)</f>
        <v>0.1373314893840778</v>
      </c>
      <c r="BM42" s="51">
        <f>AVERAGE(BM30:BM39)</f>
        <v>0.13356822889397579</v>
      </c>
      <c r="BN42" s="51">
        <f>AVERAGE(BN30:BN39)</f>
        <v>8.7241955939976967E-2</v>
      </c>
      <c r="BP42" s="51">
        <f>AVERAGE(BP30:BP39)</f>
        <v>0.82816748732370915</v>
      </c>
      <c r="BQ42" s="51">
        <f>AVERAGE(BQ30:BQ39)</f>
        <v>3.0234095766692726E-2</v>
      </c>
      <c r="BR42" s="51">
        <f>AVERAGE(BR30:BR39)</f>
        <v>5.8871807120557285E-2</v>
      </c>
      <c r="BS42" s="51">
        <f>AVERAGE(BS30:BS39)</f>
        <v>5.5597450763892109E-2</v>
      </c>
      <c r="BT42" s="51">
        <f>AVERAGE(BT30:BT39)</f>
        <v>2.3631909300750986E-2</v>
      </c>
    </row>
    <row r="43" spans="1:88" ht="16" x14ac:dyDescent="0.2">
      <c r="B43" s="46" t="s">
        <v>19</v>
      </c>
      <c r="J43" s="47">
        <f>AVERAGE(J5:J39)</f>
        <v>2.5700408365481077E-2</v>
      </c>
      <c r="K43" s="47">
        <f>AVERAGE(K5:K39)</f>
        <v>1.2392405303745741E-2</v>
      </c>
      <c r="L43" s="47">
        <f>AVERAGE(L5:L39)</f>
        <v>9.3109872705371133E-3</v>
      </c>
      <c r="M43" s="47">
        <f>AVERAGE(M5:M39)</f>
        <v>1.3308003061735334E-2</v>
      </c>
      <c r="AH43" s="47">
        <f>AVERAGE(AH5:AH39)</f>
        <v>2.2854970033924778E-2</v>
      </c>
      <c r="AI43" s="47">
        <f>AVERAGE(AI5:AI39)</f>
        <v>1.1125300052592981E-2</v>
      </c>
      <c r="AJ43" s="47">
        <f>AVERAGE(AJ5:AJ39)</f>
        <v>8.3529558416561948E-3</v>
      </c>
      <c r="AK43" s="47">
        <f>AVERAGE(AK5:AK39)</f>
        <v>1.1729669981331797E-2</v>
      </c>
      <c r="BE43" s="51">
        <f t="shared" si="12"/>
        <v>0.89775146792771843</v>
      </c>
      <c r="BH43" s="55">
        <f>AVERAGE(BH5:BH39)</f>
        <v>1.9716790391139305E-3</v>
      </c>
      <c r="BJ43" s="51">
        <f>AVERAGE(BJ5:BJ39)</f>
        <v>0.42622778437449504</v>
      </c>
      <c r="BK43" s="51">
        <f>AVERAGE(BK5:BK39)</f>
        <v>7.5210660743580751E-2</v>
      </c>
      <c r="BL43" s="51">
        <f>AVERAGE(BL5:BL39)</f>
        <v>0.2326542107462739</v>
      </c>
      <c r="BM43" s="51">
        <f>AVERAGE(BM5:BM39)</f>
        <v>0.24245104252730917</v>
      </c>
      <c r="BN43" s="51">
        <f>AVERAGE(BN5:BN39)</f>
        <v>0.33285409126249704</v>
      </c>
      <c r="BP43" s="51">
        <f>AVERAGE(BP5:BP39)</f>
        <v>0.88987406976688177</v>
      </c>
      <c r="BQ43" s="51">
        <f>AVERAGE(BQ5:BQ39)</f>
        <v>0.18107574295983481</v>
      </c>
      <c r="BR43" s="51">
        <f>AVERAGE(BR5:BR39)</f>
        <v>0.11491356329714431</v>
      </c>
      <c r="BS43" s="51">
        <f>AVERAGE(BS5:BS39)</f>
        <v>0.11876193068837419</v>
      </c>
      <c r="BT43" s="51">
        <f>AVERAGE(BT5:BT39)</f>
        <v>0.16992420624025545</v>
      </c>
    </row>
    <row r="44" spans="1:88" ht="16" hidden="1" outlineLevel="2" x14ac:dyDescent="0.2">
      <c r="A44" s="46" t="s">
        <v>245</v>
      </c>
      <c r="B44" s="46" t="s">
        <v>246</v>
      </c>
      <c r="AB44" s="48">
        <f>SUM(AB5:AB24,AB25:AB29,AB30:AB39)</f>
        <v>114263.69</v>
      </c>
      <c r="AC44" s="48">
        <f>SUM(AC5:AC24,AC25:AC29,AC30:AC39)</f>
        <v>403877.78</v>
      </c>
      <c r="AD44" s="48">
        <f>SUM(AD5:AD24,AD25:AD29,AD30:AD39)</f>
        <v>845.60400000000016</v>
      </c>
      <c r="AE44" s="48">
        <f>SUM(AE5:AE24,AE25:AE29,AE30:AE39)</f>
        <v>659.41599999999994</v>
      </c>
      <c r="AZ44" s="48">
        <f>SUM(AZ5:AZ24,AZ25:AZ29,AZ30:AZ39)</f>
        <v>124814.79000000004</v>
      </c>
      <c r="BA44" s="48">
        <f>SUM(BA5:BA24,BA25:BA29,BA30:BA39)</f>
        <v>252568.15000000002</v>
      </c>
      <c r="BB44" s="48">
        <f>SUM(BB5:BB24,BB25:BB29,BB30:BB39)</f>
        <v>591.23500000000001</v>
      </c>
      <c r="BC44" s="48">
        <f>SUM(BC5:BC24,BC25:BC29,BC30:BC39)</f>
        <v>1078.5909999999999</v>
      </c>
    </row>
    <row r="45" spans="1:88" ht="16" hidden="1" outlineLevel="2" x14ac:dyDescent="0.2">
      <c r="B45" s="46" t="s">
        <v>247</v>
      </c>
      <c r="AZ45" s="55">
        <f>AZ44/AB44</f>
        <v>1.0923399200568442</v>
      </c>
      <c r="BA45" s="55">
        <f>BA44/AC44</f>
        <v>0.6253578743549596</v>
      </c>
      <c r="BB45" s="55">
        <f>BB44/AD44</f>
        <v>0.69918661690342043</v>
      </c>
      <c r="BC45" s="55">
        <f>BC44/AE44</f>
        <v>1.6356761134094411</v>
      </c>
    </row>
    <row r="46" spans="1:88" ht="16" hidden="1" outlineLevel="2" x14ac:dyDescent="0.2">
      <c r="B46" s="46" t="s">
        <v>248</v>
      </c>
      <c r="AB46" s="48">
        <f>GEOMEAN(AB5:AB24,AB25:AB29,AB30:AB39)</f>
        <v>3087.3746394952109</v>
      </c>
      <c r="AC46" s="48">
        <f>GEOMEAN(AC5:AC24,AC25:AC29,AC30:AC39)</f>
        <v>8261.5041431862574</v>
      </c>
      <c r="AD46" s="48">
        <f>GEOMEAN(AD5:AD24,AD25:AD29,AD30:AD39)</f>
        <v>19.2149967787654</v>
      </c>
      <c r="AE46" s="48">
        <f>GEOMEAN(AE5:AE24,AE25:AE29,AE30:AE39)</f>
        <v>14.558757596533441</v>
      </c>
      <c r="AZ46" s="48">
        <f>GEOMEAN(AZ5:AZ24,AZ25:AZ29,AZ30:AZ39)</f>
        <v>3380.1287082386707</v>
      </c>
      <c r="BA46" s="48">
        <f>GEOMEAN(BA5:BA24,BA25:BA29,BA30:BA39)</f>
        <v>5483.7997716976215</v>
      </c>
      <c r="BB46" s="48">
        <f>GEOMEAN(BB5:BB24,BB25:BB29,BB30:BB39)</f>
        <v>13.873050965204859</v>
      </c>
      <c r="BC46" s="48">
        <f>GEOMEAN(BC5:BC24,BC25:BC29,BC30:BC39)</f>
        <v>24.230555136662993</v>
      </c>
    </row>
    <row r="47" spans="1:88" ht="16" outlineLevel="2" collapsed="1" x14ac:dyDescent="0.2">
      <c r="B47" s="46" t="s">
        <v>249</v>
      </c>
      <c r="AZ47" s="55">
        <f>AZ46/AB46</f>
        <v>1.0948229816357258</v>
      </c>
      <c r="BA47" s="55">
        <f>BA46/AC46</f>
        <v>0.66377740380611316</v>
      </c>
      <c r="BB47" s="55">
        <f>BB46/AD46</f>
        <v>0.7219908035860847</v>
      </c>
      <c r="BC47" s="55">
        <f>BC46/AE46</f>
        <v>1.6643284961645688</v>
      </c>
    </row>
  </sheetData>
  <mergeCells count="48">
    <mergeCell ref="CE2:CG2"/>
    <mergeCell ref="BV2:BV3"/>
    <mergeCell ref="BW2:BW3"/>
    <mergeCell ref="BX2:BX3"/>
    <mergeCell ref="BY2:CB2"/>
    <mergeCell ref="CC2:CD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phoneticPr fontId="2"/>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2019-10-20T09:30:51Z</dcterms:modified>
</cp:coreProperties>
</file>