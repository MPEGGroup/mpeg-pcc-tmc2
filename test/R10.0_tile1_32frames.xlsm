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5"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Works/VPccf10_rebase/mpeg-pcc-tmc2/test/"/>
    </mc:Choice>
  </mc:AlternateContent>
  <xr:revisionPtr revIDLastSave="0" documentId="13_ncr:1_{60A48CFD-40C3-3D46-B3DF-D0076B1555C3}" xr6:coauthVersionLast="36" xr6:coauthVersionMax="36" xr10:uidLastSave="{00000000-0000-0000-0000-000000000000}"/>
  <bookViews>
    <workbookView xWindow="18960" yWindow="1720" windowWidth="44360" windowHeight="3262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AJ39" i="3" l="1"/>
  <c r="AG38" i="3"/>
  <c r="AL32" i="3"/>
  <c r="AL30" i="3"/>
  <c r="AL23" i="3"/>
  <c r="AH21" i="3"/>
  <c r="AK20" i="3"/>
  <c r="AL19" i="3"/>
  <c r="AI19" i="3" s="1"/>
  <c r="AG18" i="3"/>
  <c r="BC46" i="3"/>
  <c r="AK17" i="3"/>
  <c r="AJ15" i="3"/>
  <c r="AH14" i="3"/>
  <c r="AH13" i="3"/>
  <c r="AJ11" i="3"/>
  <c r="BF11" i="3"/>
  <c r="AL10" i="3"/>
  <c r="AH10" i="3"/>
  <c r="AG9" i="3"/>
  <c r="AJ7" i="3"/>
  <c r="BF7" i="3"/>
  <c r="AH6" i="3"/>
  <c r="AK5" i="3"/>
  <c r="AG5" i="3"/>
  <c r="AE46" i="3"/>
  <c r="AD46" i="3"/>
  <c r="AC46" i="3"/>
  <c r="AB46" i="3"/>
  <c r="AE44" i="3"/>
  <c r="AD44" i="3"/>
  <c r="AC44" i="3"/>
  <c r="AB44" i="3"/>
  <c r="AK39" i="3"/>
  <c r="AH39" i="3"/>
  <c r="AG39" i="3"/>
  <c r="N39" i="3"/>
  <c r="K39" i="3" s="1"/>
  <c r="M39" i="3"/>
  <c r="L39" i="3"/>
  <c r="J39" i="3"/>
  <c r="I39" i="3"/>
  <c r="BF38" i="3"/>
  <c r="AK38" i="3"/>
  <c r="AJ38" i="3"/>
  <c r="AH38" i="3"/>
  <c r="N38" i="3"/>
  <c r="K38" i="3" s="1"/>
  <c r="M38" i="3"/>
  <c r="L38" i="3"/>
  <c r="J38" i="3"/>
  <c r="I38" i="3"/>
  <c r="AL37" i="3"/>
  <c r="AH37" i="3"/>
  <c r="AG37" i="3"/>
  <c r="N37" i="3"/>
  <c r="K37" i="3" s="1"/>
  <c r="M37" i="3"/>
  <c r="L37" i="3"/>
  <c r="J37" i="3"/>
  <c r="I37" i="3"/>
  <c r="AH36" i="3"/>
  <c r="AL36" i="3"/>
  <c r="BG36" i="3" s="1"/>
  <c r="AK36" i="3"/>
  <c r="N36" i="3"/>
  <c r="K36" i="3" s="1"/>
  <c r="M36" i="3"/>
  <c r="L36" i="3"/>
  <c r="J36" i="3"/>
  <c r="I36" i="3"/>
  <c r="BF35" i="3"/>
  <c r="AK35" i="3"/>
  <c r="AH35" i="3"/>
  <c r="AG35" i="3"/>
  <c r="N35" i="3"/>
  <c r="K35" i="3" s="1"/>
  <c r="M35" i="3"/>
  <c r="L35" i="3"/>
  <c r="J35" i="3"/>
  <c r="I35" i="3"/>
  <c r="AK34" i="3"/>
  <c r="N34" i="3"/>
  <c r="K34" i="3" s="1"/>
  <c r="M34" i="3"/>
  <c r="L34" i="3"/>
  <c r="J34" i="3"/>
  <c r="I34" i="3"/>
  <c r="AJ33" i="3"/>
  <c r="AL33" i="3"/>
  <c r="N33" i="3"/>
  <c r="K33" i="3" s="1"/>
  <c r="M33" i="3"/>
  <c r="L33" i="3"/>
  <c r="J33" i="3"/>
  <c r="I33" i="3"/>
  <c r="AK32" i="3"/>
  <c r="AH32" i="3"/>
  <c r="AG32" i="3"/>
  <c r="N32" i="3"/>
  <c r="K32" i="3" s="1"/>
  <c r="M32" i="3"/>
  <c r="L32" i="3"/>
  <c r="J32" i="3"/>
  <c r="I32" i="3"/>
  <c r="BF31" i="3"/>
  <c r="AJ31" i="3"/>
  <c r="AH31" i="3"/>
  <c r="AG31" i="3"/>
  <c r="N31" i="3"/>
  <c r="M31" i="3"/>
  <c r="L31" i="3"/>
  <c r="K31" i="3"/>
  <c r="J31" i="3"/>
  <c r="I31" i="3"/>
  <c r="AK30" i="3"/>
  <c r="N30" i="3"/>
  <c r="K30" i="3" s="1"/>
  <c r="M30" i="3"/>
  <c r="L30" i="3"/>
  <c r="J30" i="3"/>
  <c r="I30" i="3"/>
  <c r="AJ29" i="3"/>
  <c r="AL29" i="3"/>
  <c r="AI29" i="3" s="1"/>
  <c r="N29" i="3"/>
  <c r="K29" i="3" s="1"/>
  <c r="M29" i="3"/>
  <c r="L29" i="3"/>
  <c r="J29" i="3"/>
  <c r="I29" i="3"/>
  <c r="AK28" i="3"/>
  <c r="AJ28" i="3"/>
  <c r="AH28" i="3"/>
  <c r="AG28" i="3"/>
  <c r="N28" i="3"/>
  <c r="K28" i="3" s="1"/>
  <c r="M28" i="3"/>
  <c r="L28" i="3"/>
  <c r="J28" i="3"/>
  <c r="I28" i="3"/>
  <c r="BF27" i="3"/>
  <c r="AK27" i="3"/>
  <c r="AH27" i="3"/>
  <c r="AG27" i="3"/>
  <c r="N27" i="3"/>
  <c r="K27" i="3" s="1"/>
  <c r="M27" i="3"/>
  <c r="L27" i="3"/>
  <c r="J27" i="3"/>
  <c r="I27" i="3"/>
  <c r="AL26" i="3"/>
  <c r="AK26" i="3"/>
  <c r="N26" i="3"/>
  <c r="K26" i="3" s="1"/>
  <c r="M26" i="3"/>
  <c r="L26" i="3"/>
  <c r="J26" i="3"/>
  <c r="I26" i="3"/>
  <c r="AL25" i="3"/>
  <c r="AJ25" i="3"/>
  <c r="AG25" i="3"/>
  <c r="N25" i="3"/>
  <c r="M25" i="3"/>
  <c r="L25" i="3"/>
  <c r="J25" i="3"/>
  <c r="I25" i="3"/>
  <c r="AJ24" i="3"/>
  <c r="AH24" i="3"/>
  <c r="AG24" i="3"/>
  <c r="N24" i="3"/>
  <c r="K24" i="3" s="1"/>
  <c r="M24" i="3"/>
  <c r="L24" i="3"/>
  <c r="J24" i="3"/>
  <c r="I24" i="3"/>
  <c r="AK23" i="3"/>
  <c r="N23" i="3"/>
  <c r="K23" i="3" s="1"/>
  <c r="M23" i="3"/>
  <c r="L23" i="3"/>
  <c r="J23" i="3"/>
  <c r="I23" i="3"/>
  <c r="AK22" i="3"/>
  <c r="N22" i="3"/>
  <c r="K22" i="3" s="1"/>
  <c r="M22" i="3"/>
  <c r="L22" i="3"/>
  <c r="J22" i="3"/>
  <c r="I22" i="3"/>
  <c r="AL21" i="3"/>
  <c r="AI21" i="3" s="1"/>
  <c r="AK21" i="3"/>
  <c r="AJ21" i="3"/>
  <c r="AG21" i="3"/>
  <c r="N21" i="3"/>
  <c r="K21" i="3" s="1"/>
  <c r="M21" i="3"/>
  <c r="L21" i="3"/>
  <c r="J21" i="3"/>
  <c r="I21" i="3"/>
  <c r="AH20" i="3"/>
  <c r="N20" i="3"/>
  <c r="K20" i="3" s="1"/>
  <c r="M20" i="3"/>
  <c r="L20" i="3"/>
  <c r="J20" i="3"/>
  <c r="I20" i="3"/>
  <c r="AK19" i="3"/>
  <c r="N19" i="3"/>
  <c r="K19" i="3" s="1"/>
  <c r="M19" i="3"/>
  <c r="L19" i="3"/>
  <c r="J19" i="3"/>
  <c r="I19" i="3"/>
  <c r="AJ18" i="3"/>
  <c r="AH18" i="3"/>
  <c r="N18" i="3"/>
  <c r="K18" i="3" s="1"/>
  <c r="M18" i="3"/>
  <c r="L18" i="3"/>
  <c r="J18" i="3"/>
  <c r="I18" i="3"/>
  <c r="AL17" i="3"/>
  <c r="AJ17" i="3"/>
  <c r="AH17" i="3"/>
  <c r="AG17" i="3"/>
  <c r="N17" i="3"/>
  <c r="K17" i="3" s="1"/>
  <c r="M17" i="3"/>
  <c r="L17" i="3"/>
  <c r="J17" i="3"/>
  <c r="I17" i="3"/>
  <c r="AJ16" i="3"/>
  <c r="AK16" i="3"/>
  <c r="N16" i="3"/>
  <c r="K16" i="3" s="1"/>
  <c r="M16" i="3"/>
  <c r="L16" i="3"/>
  <c r="J16" i="3"/>
  <c r="I16" i="3"/>
  <c r="AH15" i="3"/>
  <c r="AG15" i="3"/>
  <c r="N15" i="3"/>
  <c r="M15" i="3"/>
  <c r="L15" i="3"/>
  <c r="J15" i="3"/>
  <c r="I15" i="3"/>
  <c r="AK14" i="3"/>
  <c r="AJ14" i="3"/>
  <c r="N14" i="3"/>
  <c r="K14" i="3" s="1"/>
  <c r="M14" i="3"/>
  <c r="L14" i="3"/>
  <c r="J14" i="3"/>
  <c r="I14" i="3"/>
  <c r="AK13" i="3"/>
  <c r="N13" i="3"/>
  <c r="K13" i="3" s="1"/>
  <c r="M13" i="3"/>
  <c r="L13" i="3"/>
  <c r="J13" i="3"/>
  <c r="I13" i="3"/>
  <c r="AJ12" i="3"/>
  <c r="AK12" i="3"/>
  <c r="N12" i="3"/>
  <c r="K12" i="3" s="1"/>
  <c r="M12" i="3"/>
  <c r="L12" i="3"/>
  <c r="J12" i="3"/>
  <c r="I12" i="3"/>
  <c r="AH11" i="3"/>
  <c r="AG11" i="3"/>
  <c r="N11" i="3"/>
  <c r="K11" i="3" s="1"/>
  <c r="M11" i="3"/>
  <c r="L11" i="3"/>
  <c r="J11" i="3"/>
  <c r="I11" i="3"/>
  <c r="AK10" i="3"/>
  <c r="N10" i="3"/>
  <c r="M10" i="3"/>
  <c r="L10" i="3"/>
  <c r="J10" i="3"/>
  <c r="I10" i="3"/>
  <c r="AH9" i="3"/>
  <c r="AL9" i="3"/>
  <c r="AK9" i="3"/>
  <c r="N9" i="3"/>
  <c r="K9" i="3" s="1"/>
  <c r="M9" i="3"/>
  <c r="L9" i="3"/>
  <c r="J9" i="3"/>
  <c r="I9" i="3"/>
  <c r="AJ8" i="3"/>
  <c r="AH8" i="3"/>
  <c r="AG8" i="3"/>
  <c r="N8" i="3"/>
  <c r="K8" i="3" s="1"/>
  <c r="M8" i="3"/>
  <c r="L8" i="3"/>
  <c r="J8" i="3"/>
  <c r="I8" i="3"/>
  <c r="AH7" i="3"/>
  <c r="AG7" i="3"/>
  <c r="N7" i="3"/>
  <c r="K7" i="3" s="1"/>
  <c r="M7" i="3"/>
  <c r="L7" i="3"/>
  <c r="J7" i="3"/>
  <c r="I7" i="3"/>
  <c r="AL6" i="3"/>
  <c r="AK6" i="3"/>
  <c r="N6" i="3"/>
  <c r="K6" i="3" s="1"/>
  <c r="M6" i="3"/>
  <c r="L6" i="3"/>
  <c r="J6" i="3"/>
  <c r="I6" i="3"/>
  <c r="AL5" i="3"/>
  <c r="AI5" i="3" s="1"/>
  <c r="AJ5" i="3"/>
  <c r="N5" i="3"/>
  <c r="M5" i="3"/>
  <c r="L5" i="3"/>
  <c r="K5" i="3"/>
  <c r="J5" i="3"/>
  <c r="I5" i="3"/>
  <c r="AG1" i="3"/>
  <c r="I1" i="3"/>
  <c r="BP15" i="3"/>
  <c r="BQ25" i="3"/>
  <c r="BM20" i="3"/>
  <c r="BT25" i="3"/>
  <c r="BR20" i="3"/>
  <c r="BR30" i="3"/>
  <c r="BP35" i="3"/>
  <c r="BQ35" i="3"/>
  <c r="BT15" i="3"/>
  <c r="BN20" i="3"/>
  <c r="BS5" i="3"/>
  <c r="BT35" i="3"/>
  <c r="BP25" i="3"/>
  <c r="BM30" i="3"/>
  <c r="BL5" i="3"/>
  <c r="BQ15" i="3"/>
  <c r="BS30" i="3"/>
  <c r="BS20" i="3"/>
  <c r="BM5" i="3"/>
  <c r="BL35" i="3"/>
  <c r="BM10" i="3"/>
  <c r="BG9" i="3" l="1"/>
  <c r="BG26" i="3"/>
  <c r="BC47" i="3"/>
  <c r="M42" i="3"/>
  <c r="M40" i="3"/>
  <c r="J41" i="3"/>
  <c r="M41" i="3"/>
  <c r="L41" i="3"/>
  <c r="L42" i="3"/>
  <c r="BG33" i="3"/>
  <c r="BG37" i="3"/>
  <c r="BG10" i="3"/>
  <c r="J40" i="3"/>
  <c r="BE29" i="3"/>
  <c r="BE19" i="3"/>
  <c r="BG23" i="3"/>
  <c r="BB46" i="3"/>
  <c r="BB47" i="3" s="1"/>
  <c r="AL12" i="3"/>
  <c r="AI12" i="3" s="1"/>
  <c r="BE12" i="3" s="1"/>
  <c r="BF24" i="3"/>
  <c r="AI32" i="3"/>
  <c r="BE32" i="3" s="1"/>
  <c r="BG32" i="3"/>
  <c r="BG6" i="3"/>
  <c r="AL15" i="3"/>
  <c r="AI15" i="3" s="1"/>
  <c r="AK29" i="3"/>
  <c r="AG34" i="3"/>
  <c r="AK8" i="3"/>
  <c r="AG14" i="3"/>
  <c r="AK24" i="3"/>
  <c r="AH25" i="3"/>
  <c r="BG30" i="3"/>
  <c r="AK33" i="3"/>
  <c r="AH34" i="3"/>
  <c r="BF21" i="3"/>
  <c r="BF5" i="3"/>
  <c r="BB44" i="3"/>
  <c r="BB45" i="3" s="1"/>
  <c r="AL16" i="3"/>
  <c r="AJ35" i="3"/>
  <c r="AK37" i="3"/>
  <c r="AL22" i="3"/>
  <c r="AI22" i="3" s="1"/>
  <c r="BE22" i="3" s="1"/>
  <c r="AL39" i="3"/>
  <c r="AI39" i="3" s="1"/>
  <c r="BE39" i="3" s="1"/>
  <c r="AI23" i="3"/>
  <c r="BE23" i="3" s="1"/>
  <c r="AI30" i="3"/>
  <c r="BH30" i="3"/>
  <c r="BG39" i="3"/>
  <c r="BF28" i="3"/>
  <c r="BF8" i="3"/>
  <c r="BF9" i="3"/>
  <c r="BF20" i="3"/>
  <c r="BT41" i="3"/>
  <c r="BP41" i="3"/>
  <c r="BQ41" i="3"/>
  <c r="AL31" i="3"/>
  <c r="AG33" i="3"/>
  <c r="AL34" i="3"/>
  <c r="AJ36" i="3"/>
  <c r="AI37" i="3"/>
  <c r="BE37" i="3" s="1"/>
  <c r="BF37" i="3"/>
  <c r="AL38" i="3"/>
  <c r="BC44" i="3"/>
  <c r="BC45" i="3" s="1"/>
  <c r="BE5" i="3"/>
  <c r="AG6" i="3"/>
  <c r="AG10" i="3"/>
  <c r="BF12" i="3"/>
  <c r="AJ13" i="3"/>
  <c r="BF14" i="3"/>
  <c r="BH15" i="3"/>
  <c r="BG15" i="3"/>
  <c r="BF19" i="3"/>
  <c r="AG36" i="3"/>
  <c r="AH5" i="3"/>
  <c r="AK7" i="3"/>
  <c r="AJ9" i="3"/>
  <c r="AI10" i="3"/>
  <c r="AK25" i="3"/>
  <c r="AG26" i="3"/>
  <c r="AL27" i="3"/>
  <c r="BF6" i="3"/>
  <c r="AL28" i="3"/>
  <c r="AH29" i="3"/>
  <c r="K42" i="3"/>
  <c r="AG30" i="3"/>
  <c r="BF32" i="3"/>
  <c r="AH33" i="3"/>
  <c r="BF34" i="3"/>
  <c r="AL35" i="3"/>
  <c r="AI36" i="3"/>
  <c r="BE36" i="3" s="1"/>
  <c r="AJ37" i="3"/>
  <c r="BF39" i="3"/>
  <c r="AJ20" i="3"/>
  <c r="L40" i="3"/>
  <c r="L43" i="3"/>
  <c r="AI6" i="3"/>
  <c r="BE6" i="3" s="1"/>
  <c r="AK11" i="3"/>
  <c r="AK18" i="3"/>
  <c r="AG22" i="3"/>
  <c r="AG29" i="3"/>
  <c r="BG29" i="3"/>
  <c r="M43" i="3"/>
  <c r="BA46" i="3"/>
  <c r="BA47" i="3" s="1"/>
  <c r="BA44" i="3"/>
  <c r="BA45" i="3" s="1"/>
  <c r="BG5" i="3"/>
  <c r="AJ6" i="3"/>
  <c r="AL7" i="3"/>
  <c r="AI9" i="3"/>
  <c r="BE9" i="3" s="1"/>
  <c r="AJ10" i="3"/>
  <c r="BF10" i="3"/>
  <c r="BH10" i="3"/>
  <c r="AG12" i="3"/>
  <c r="BG12" i="3"/>
  <c r="AK15" i="3"/>
  <c r="AG16" i="3"/>
  <c r="BG17" i="3"/>
  <c r="BF18" i="3"/>
  <c r="AG19" i="3"/>
  <c r="BG19" i="3"/>
  <c r="BE21" i="3"/>
  <c r="BG21" i="3"/>
  <c r="AH22" i="3"/>
  <c r="AG23" i="3"/>
  <c r="AL24" i="3"/>
  <c r="K25" i="3"/>
  <c r="K41" i="3" s="1"/>
  <c r="BF25" i="3"/>
  <c r="AH26" i="3"/>
  <c r="AJ26" i="3"/>
  <c r="J43" i="3"/>
  <c r="BH5" i="3"/>
  <c r="AL8" i="3"/>
  <c r="K10" i="3"/>
  <c r="AL11" i="3"/>
  <c r="AH12" i="3"/>
  <c r="AL13" i="3"/>
  <c r="AG13" i="3"/>
  <c r="AL14" i="3"/>
  <c r="K15" i="3"/>
  <c r="BF15" i="3"/>
  <c r="AH16" i="3"/>
  <c r="AI17" i="3"/>
  <c r="BE17" i="3" s="1"/>
  <c r="BF17" i="3"/>
  <c r="AL18" i="3"/>
  <c r="AH19" i="3"/>
  <c r="AL20" i="3"/>
  <c r="AG20" i="3"/>
  <c r="BF22" i="3"/>
  <c r="AH23" i="3"/>
  <c r="AJ23" i="3"/>
  <c r="AI25" i="3"/>
  <c r="BH25" i="3"/>
  <c r="BH41" i="3" s="1"/>
  <c r="BG25" i="3"/>
  <c r="AI26" i="3"/>
  <c r="BE26" i="3" s="1"/>
  <c r="AJ27" i="3"/>
  <c r="BF29" i="3"/>
  <c r="AH30" i="3"/>
  <c r="AJ30" i="3"/>
  <c r="BE30" i="3"/>
  <c r="AK31" i="3"/>
  <c r="AI33" i="3"/>
  <c r="BE33" i="3" s="1"/>
  <c r="AJ34" i="3"/>
  <c r="BF23" i="3"/>
  <c r="BF26" i="3"/>
  <c r="J42" i="3"/>
  <c r="BF30" i="3"/>
  <c r="BF33" i="3"/>
  <c r="BF36" i="3"/>
  <c r="BF13" i="3"/>
  <c r="BF16" i="3"/>
  <c r="AZ46" i="3"/>
  <c r="AZ47" i="3" s="1"/>
  <c r="AZ44" i="3"/>
  <c r="AZ45" i="3" s="1"/>
  <c r="AJ19" i="3"/>
  <c r="AJ22" i="3"/>
  <c r="AJ32" i="3"/>
  <c r="BC46" i="7"/>
  <c r="BB46" i="7"/>
  <c r="BA46" i="7"/>
  <c r="AZ46" i="7"/>
  <c r="AE46" i="7"/>
  <c r="AD46" i="7"/>
  <c r="AC46" i="7"/>
  <c r="AB46" i="7"/>
  <c r="BC44" i="7"/>
  <c r="BB44" i="7"/>
  <c r="BA44" i="7"/>
  <c r="AZ44" i="7"/>
  <c r="AE44" i="7"/>
  <c r="AD44" i="7"/>
  <c r="AC44" i="7"/>
  <c r="AB44" i="7"/>
  <c r="BF39" i="7"/>
  <c r="AL39" i="7"/>
  <c r="BG39" i="7" s="1"/>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K36" i="7"/>
  <c r="AJ36" i="7"/>
  <c r="AH36" i="7"/>
  <c r="AG36" i="7"/>
  <c r="N36" i="7"/>
  <c r="K36" i="7" s="1"/>
  <c r="M36" i="7"/>
  <c r="L36" i="7"/>
  <c r="J36" i="7"/>
  <c r="I36" i="7"/>
  <c r="BF35" i="7"/>
  <c r="AL35" i="7"/>
  <c r="BH35" i="7" s="1" a="1"/>
  <c r="AK35" i="7"/>
  <c r="AJ35" i="7"/>
  <c r="AH35" i="7"/>
  <c r="AG35" i="7"/>
  <c r="N35" i="7"/>
  <c r="K35" i="7" s="1"/>
  <c r="M35" i="7"/>
  <c r="L35" i="7"/>
  <c r="J35" i="7"/>
  <c r="I35" i="7"/>
  <c r="BF34" i="7"/>
  <c r="AL34" i="7"/>
  <c r="AK34" i="7"/>
  <c r="AJ34" i="7"/>
  <c r="AH34" i="7"/>
  <c r="AG34" i="7"/>
  <c r="N34" i="7"/>
  <c r="K34" i="7" s="1"/>
  <c r="M34" i="7"/>
  <c r="L34" i="7"/>
  <c r="J34" i="7"/>
  <c r="I34" i="7"/>
  <c r="BF33" i="7"/>
  <c r="AL33" i="7"/>
  <c r="AK33" i="7"/>
  <c r="AJ33" i="7"/>
  <c r="AH33" i="7"/>
  <c r="AG33" i="7"/>
  <c r="N33" i="7"/>
  <c r="K33" i="7" s="1"/>
  <c r="M33" i="7"/>
  <c r="L33" i="7"/>
  <c r="J33" i="7"/>
  <c r="I33" i="7"/>
  <c r="BF32" i="7"/>
  <c r="AL32" i="7"/>
  <c r="AI32" i="7" s="1"/>
  <c r="AK32" i="7"/>
  <c r="AJ32" i="7"/>
  <c r="AH32" i="7"/>
  <c r="AG32" i="7"/>
  <c r="N32" i="7"/>
  <c r="K32" i="7" s="1"/>
  <c r="M32" i="7"/>
  <c r="L32" i="7"/>
  <c r="J32" i="7"/>
  <c r="I32" i="7"/>
  <c r="BF31" i="7"/>
  <c r="AL31" i="7"/>
  <c r="AI31" i="7" s="1"/>
  <c r="AK31" i="7"/>
  <c r="AJ31" i="7"/>
  <c r="AH31" i="7"/>
  <c r="AG31" i="7"/>
  <c r="N31" i="7"/>
  <c r="M31" i="7"/>
  <c r="L31" i="7"/>
  <c r="K31" i="7"/>
  <c r="J31" i="7"/>
  <c r="I31" i="7"/>
  <c r="BF30" i="7"/>
  <c r="AL30" i="7"/>
  <c r="AK30" i="7"/>
  <c r="AJ30" i="7"/>
  <c r="AH30" i="7"/>
  <c r="AG30" i="7"/>
  <c r="N30" i="7"/>
  <c r="M30" i="7"/>
  <c r="L30" i="7"/>
  <c r="J30" i="7"/>
  <c r="J42" i="7" s="1"/>
  <c r="I30" i="7"/>
  <c r="BF29" i="7"/>
  <c r="AL29" i="7"/>
  <c r="AI29" i="7" s="1"/>
  <c r="AK29" i="7"/>
  <c r="AJ29" i="7"/>
  <c r="AH29" i="7"/>
  <c r="AG29" i="7"/>
  <c r="N29" i="7"/>
  <c r="K29" i="7" s="1"/>
  <c r="M29" i="7"/>
  <c r="L29" i="7"/>
  <c r="J29" i="7"/>
  <c r="I29" i="7"/>
  <c r="BF28" i="7"/>
  <c r="AL28" i="7"/>
  <c r="AI28" i="7" s="1"/>
  <c r="AK28" i="7"/>
  <c r="AJ28" i="7"/>
  <c r="AH28" i="7"/>
  <c r="AG28" i="7"/>
  <c r="N28" i="7"/>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I25" i="7" s="1"/>
  <c r="AK25" i="7"/>
  <c r="AJ25" i="7"/>
  <c r="AH25" i="7"/>
  <c r="AG25" i="7"/>
  <c r="N25" i="7"/>
  <c r="K25" i="7" s="1"/>
  <c r="M25" i="7"/>
  <c r="L25" i="7"/>
  <c r="J25" i="7"/>
  <c r="I25" i="7"/>
  <c r="BF24" i="7"/>
  <c r="AL24" i="7"/>
  <c r="AI24" i="7" s="1"/>
  <c r="AK24" i="7"/>
  <c r="AJ24" i="7"/>
  <c r="AH24" i="7"/>
  <c r="AG24" i="7"/>
  <c r="N24" i="7"/>
  <c r="M24" i="7"/>
  <c r="L24" i="7"/>
  <c r="J24" i="7"/>
  <c r="I24" i="7"/>
  <c r="BF23" i="7"/>
  <c r="AL23" i="7"/>
  <c r="AI23" i="7" s="1"/>
  <c r="AK23" i="7"/>
  <c r="AJ23" i="7"/>
  <c r="AH23" i="7"/>
  <c r="AG23" i="7"/>
  <c r="N23" i="7"/>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I20" i="7" s="1"/>
  <c r="AK20" i="7"/>
  <c r="AJ20" i="7"/>
  <c r="AH20" i="7"/>
  <c r="AG20" i="7"/>
  <c r="N20" i="7"/>
  <c r="M20" i="7"/>
  <c r="L20" i="7"/>
  <c r="J20" i="7"/>
  <c r="I20" i="7"/>
  <c r="BF19" i="7"/>
  <c r="AL19" i="7"/>
  <c r="AI19" i="7" s="1"/>
  <c r="AK19" i="7"/>
  <c r="AJ19" i="7"/>
  <c r="AH19" i="7"/>
  <c r="AG19" i="7"/>
  <c r="N19" i="7"/>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BH15" i="7" s="1" a="1"/>
  <c r="AK15" i="7"/>
  <c r="AJ15" i="7"/>
  <c r="AH15" i="7"/>
  <c r="AG15" i="7"/>
  <c r="N15" i="7"/>
  <c r="M15" i="7"/>
  <c r="L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I12" i="7" s="1"/>
  <c r="AK12" i="7"/>
  <c r="AJ12" i="7"/>
  <c r="AH12" i="7"/>
  <c r="AG12" i="7"/>
  <c r="N12" i="7"/>
  <c r="M12" i="7"/>
  <c r="L12" i="7"/>
  <c r="J12" i="7"/>
  <c r="I12" i="7"/>
  <c r="BF11" i="7"/>
  <c r="AL11" i="7"/>
  <c r="AI11" i="7" s="1"/>
  <c r="AK11" i="7"/>
  <c r="AJ11" i="7"/>
  <c r="AH11" i="7"/>
  <c r="AG11" i="7"/>
  <c r="N11" i="7"/>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I7" i="7" s="1"/>
  <c r="AK7" i="7"/>
  <c r="AJ7" i="7"/>
  <c r="AH7" i="7"/>
  <c r="AG7" i="7"/>
  <c r="N7" i="7"/>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G1" i="7"/>
  <c r="I1" i="7"/>
  <c r="AZ18" i="6"/>
  <c r="AZ19" i="6" s="1"/>
  <c r="AY18" i="6"/>
  <c r="AX18" i="6"/>
  <c r="AW18" i="6"/>
  <c r="AW19" i="6" s="1"/>
  <c r="AC18" i="6"/>
  <c r="AB18" i="6"/>
  <c r="AA18" i="6"/>
  <c r="AX19" i="6" s="1"/>
  <c r="Z18" i="6"/>
  <c r="AZ16" i="6"/>
  <c r="AY16" i="6"/>
  <c r="AX16" i="6"/>
  <c r="AW16" i="6"/>
  <c r="AW17" i="6" s="1"/>
  <c r="AC16" i="6"/>
  <c r="AZ17" i="6" s="1"/>
  <c r="AB16" i="6"/>
  <c r="AA16" i="6"/>
  <c r="Z16" i="6"/>
  <c r="AJ13" i="6"/>
  <c r="AH13" i="6"/>
  <c r="BG11" i="6" a="1"/>
  <c r="AK11" i="6"/>
  <c r="AJ11" i="6"/>
  <c r="AI11" i="6"/>
  <c r="AH11" i="6"/>
  <c r="AG11" i="6"/>
  <c r="AF11" i="6"/>
  <c r="AE11" i="6"/>
  <c r="N11" i="6"/>
  <c r="BF11" i="6" s="1"/>
  <c r="M11" i="6"/>
  <c r="M14" i="6" s="1"/>
  <c r="L11" i="6"/>
  <c r="J11" i="6"/>
  <c r="I11" i="6"/>
  <c r="H11" i="6"/>
  <c r="AK10" i="6"/>
  <c r="AH10" i="6" s="1"/>
  <c r="AJ10" i="6"/>
  <c r="AI10" i="6"/>
  <c r="AI14" i="6" s="1"/>
  <c r="AG10" i="6"/>
  <c r="AF10" i="6"/>
  <c r="AE10" i="6"/>
  <c r="N10" i="6"/>
  <c r="BF10" i="6" s="1"/>
  <c r="M10" i="6"/>
  <c r="L10" i="6"/>
  <c r="L14" i="6" s="1"/>
  <c r="J10" i="6"/>
  <c r="I10" i="6"/>
  <c r="H10" i="6"/>
  <c r="BG9" i="6" a="1"/>
  <c r="AK9" i="6"/>
  <c r="AH9" i="6" s="1"/>
  <c r="AJ9" i="6"/>
  <c r="AI9" i="6"/>
  <c r="AG9" i="6"/>
  <c r="AF9" i="6"/>
  <c r="AE9" i="6"/>
  <c r="N9" i="6"/>
  <c r="M9" i="6"/>
  <c r="M13" i="6" s="1"/>
  <c r="L9" i="6"/>
  <c r="L13" i="6" s="1"/>
  <c r="J9" i="6"/>
  <c r="J13" i="6" s="1"/>
  <c r="I9" i="6"/>
  <c r="H9" i="6"/>
  <c r="AK8" i="6"/>
  <c r="AH8" i="6" s="1"/>
  <c r="AJ8" i="6"/>
  <c r="BE8" i="6" s="1"/>
  <c r="AI8" i="6"/>
  <c r="BD8" i="6" s="1"/>
  <c r="AG8" i="6"/>
  <c r="AF8" i="6"/>
  <c r="AE8" i="6"/>
  <c r="N8" i="6"/>
  <c r="K8" i="6" s="1"/>
  <c r="M8" i="6"/>
  <c r="L8" i="6"/>
  <c r="J8" i="6"/>
  <c r="I8" i="6"/>
  <c r="H8" i="6"/>
  <c r="BG7" i="6" a="1"/>
  <c r="BG7" i="6"/>
  <c r="AK7" i="6"/>
  <c r="AH7" i="6" s="1"/>
  <c r="AJ7" i="6"/>
  <c r="AI7" i="6"/>
  <c r="AG7" i="6"/>
  <c r="AF7" i="6"/>
  <c r="AE7" i="6"/>
  <c r="N7" i="6"/>
  <c r="M7" i="6"/>
  <c r="L7" i="6"/>
  <c r="K7" i="6"/>
  <c r="J7" i="6"/>
  <c r="I7" i="6"/>
  <c r="H7" i="6"/>
  <c r="AK6" i="6"/>
  <c r="AH6" i="6" s="1"/>
  <c r="AJ6" i="6"/>
  <c r="AI6" i="6"/>
  <c r="AG6" i="6"/>
  <c r="AF6" i="6"/>
  <c r="AE6" i="6"/>
  <c r="N6" i="6"/>
  <c r="M6" i="6"/>
  <c r="L6" i="6"/>
  <c r="J6" i="6"/>
  <c r="I6" i="6"/>
  <c r="H6" i="6"/>
  <c r="BG5" i="6" a="1"/>
  <c r="AK5" i="6"/>
  <c r="AH5" i="6" s="1"/>
  <c r="AJ5" i="6"/>
  <c r="AJ12" i="6" s="1"/>
  <c r="AI5" i="6"/>
  <c r="AG5" i="6"/>
  <c r="AF5" i="6"/>
  <c r="AE5" i="6"/>
  <c r="N5" i="6"/>
  <c r="BF5" i="6" s="1"/>
  <c r="M5" i="6"/>
  <c r="L5" i="6"/>
  <c r="L12" i="6" s="1"/>
  <c r="J5" i="6"/>
  <c r="I5" i="6"/>
  <c r="H5" i="6"/>
  <c r="AE1" i="6"/>
  <c r="H1" i="6"/>
  <c r="AZ18" i="5"/>
  <c r="AY18" i="5"/>
  <c r="AX18" i="5"/>
  <c r="AX19" i="5" s="1"/>
  <c r="AW18" i="5"/>
  <c r="AC18" i="5"/>
  <c r="AB18" i="5"/>
  <c r="AY19" i="5" s="1"/>
  <c r="C24" i="1" s="1"/>
  <c r="AA18" i="5"/>
  <c r="Z18" i="5"/>
  <c r="AW19" i="5" s="1"/>
  <c r="C23" i="1" s="1"/>
  <c r="AZ16" i="5"/>
  <c r="AY16" i="5"/>
  <c r="AX16" i="5"/>
  <c r="AW16" i="5"/>
  <c r="AW17" i="5" s="1"/>
  <c r="AC16" i="5"/>
  <c r="AZ17" i="5" s="1"/>
  <c r="AB16" i="5"/>
  <c r="AY17" i="5" s="1"/>
  <c r="AA16" i="5"/>
  <c r="Z16" i="5"/>
  <c r="AJ14" i="5"/>
  <c r="AK11" i="5"/>
  <c r="AH11" i="5" s="1"/>
  <c r="AJ11" i="5"/>
  <c r="BE11" i="5" s="1"/>
  <c r="AI11" i="5"/>
  <c r="BD11" i="5" s="1"/>
  <c r="AG11" i="5"/>
  <c r="AF11" i="5"/>
  <c r="AE11" i="5"/>
  <c r="N11" i="5"/>
  <c r="M11" i="5"/>
  <c r="L11" i="5"/>
  <c r="J11" i="5"/>
  <c r="I11" i="5"/>
  <c r="H11" i="5"/>
  <c r="BG10" i="5" a="1"/>
  <c r="BG10" i="5" s="1"/>
  <c r="AK10" i="5"/>
  <c r="AH10" i="5" s="1"/>
  <c r="BC10" i="5" s="1"/>
  <c r="AJ10" i="5"/>
  <c r="AI10" i="5"/>
  <c r="AG10" i="5"/>
  <c r="AF10" i="5"/>
  <c r="AE10" i="5"/>
  <c r="N10" i="5"/>
  <c r="BF10" i="5" s="1"/>
  <c r="M10" i="5"/>
  <c r="M14" i="5" s="1"/>
  <c r="L10" i="5"/>
  <c r="L14" i="5" s="1"/>
  <c r="K10" i="5"/>
  <c r="J10" i="5"/>
  <c r="I10" i="5"/>
  <c r="H10" i="5"/>
  <c r="BG9" i="5" a="1"/>
  <c r="AK9" i="5"/>
  <c r="AH9" i="5" s="1"/>
  <c r="AH13" i="5" s="1"/>
  <c r="AJ9" i="5"/>
  <c r="AI9" i="5"/>
  <c r="AG9" i="5"/>
  <c r="AG13" i="5" s="1"/>
  <c r="AF9" i="5"/>
  <c r="AE9" i="5"/>
  <c r="N9" i="5"/>
  <c r="K9" i="5" s="1"/>
  <c r="M9" i="5"/>
  <c r="M13" i="5" s="1"/>
  <c r="L9" i="5"/>
  <c r="L13" i="5" s="1"/>
  <c r="J9" i="5"/>
  <c r="J13" i="5" s="1"/>
  <c r="I9" i="5"/>
  <c r="H9" i="5"/>
  <c r="BG8" i="5" a="1"/>
  <c r="BG8" i="5"/>
  <c r="AK8" i="5"/>
  <c r="AJ8" i="5"/>
  <c r="BE8" i="5" s="1"/>
  <c r="AI8" i="5"/>
  <c r="BD8" i="5" s="1"/>
  <c r="AH8" i="5"/>
  <c r="AG8" i="5"/>
  <c r="BB8" i="5" s="1"/>
  <c r="AF8" i="5"/>
  <c r="AE8" i="5"/>
  <c r="N8" i="5"/>
  <c r="BF8" i="5" s="1"/>
  <c r="M8" i="5"/>
  <c r="L8" i="5"/>
  <c r="K8" i="5"/>
  <c r="BC8" i="5" s="1"/>
  <c r="J8" i="5"/>
  <c r="I8" i="5"/>
  <c r="H8" i="5"/>
  <c r="AK7" i="5"/>
  <c r="AH7" i="5" s="1"/>
  <c r="AJ7" i="5"/>
  <c r="BE7" i="5" s="1"/>
  <c r="AI7" i="5"/>
  <c r="BD7" i="5" s="1"/>
  <c r="AG7" i="5"/>
  <c r="BB7" i="5" s="1"/>
  <c r="AF7" i="5"/>
  <c r="AE7" i="5"/>
  <c r="N7" i="5"/>
  <c r="M7" i="5"/>
  <c r="L7" i="5"/>
  <c r="J7" i="5"/>
  <c r="I7" i="5"/>
  <c r="H7" i="5"/>
  <c r="BG6" i="5" a="1"/>
  <c r="AK6" i="5"/>
  <c r="AH6" i="5" s="1"/>
  <c r="AH12" i="5" s="1"/>
  <c r="AJ6" i="5"/>
  <c r="BE6" i="5" s="1"/>
  <c r="AI6" i="5"/>
  <c r="AG6" i="5"/>
  <c r="AF6" i="5"/>
  <c r="AE6" i="5"/>
  <c r="N6" i="5"/>
  <c r="BF6" i="5" s="1"/>
  <c r="M6" i="5"/>
  <c r="L6" i="5"/>
  <c r="J6" i="5"/>
  <c r="I6" i="5"/>
  <c r="H6" i="5"/>
  <c r="BF5" i="5"/>
  <c r="AK5" i="5"/>
  <c r="AJ5" i="5"/>
  <c r="AI5" i="5"/>
  <c r="AH5" i="5"/>
  <c r="AG5" i="5"/>
  <c r="AF5" i="5"/>
  <c r="AE5" i="5"/>
  <c r="N5" i="5"/>
  <c r="K5" i="5" s="1"/>
  <c r="M5" i="5"/>
  <c r="M15" i="5" s="1"/>
  <c r="L5" i="5"/>
  <c r="L12" i="5" s="1"/>
  <c r="J5" i="5"/>
  <c r="I5" i="5"/>
  <c r="H5" i="5"/>
  <c r="AE1" i="5"/>
  <c r="H1" i="5"/>
  <c r="C14" i="1"/>
  <c r="B1" i="2"/>
  <c r="B2" i="2" s="1"/>
  <c r="BN10" i="3"/>
  <c r="BJ15" i="3"/>
  <c r="BQ5" i="3"/>
  <c r="BS15" i="3"/>
  <c r="BN25" i="3"/>
  <c r="BR10" i="3"/>
  <c r="BR35" i="3"/>
  <c r="BQ20" i="3"/>
  <c r="BL25" i="3"/>
  <c r="BP5" i="3"/>
  <c r="BR15" i="3"/>
  <c r="BN30" i="3"/>
  <c r="BL10" i="7"/>
  <c r="BT5" i="7"/>
  <c r="BK30" i="7"/>
  <c r="BN5" i="7"/>
  <c r="BP30" i="7"/>
  <c r="BQ20" i="7"/>
  <c r="BM35" i="7"/>
  <c r="BR15" i="7"/>
  <c r="BM30" i="7"/>
  <c r="BL15" i="7"/>
  <c r="BN20" i="7"/>
  <c r="BM10" i="7"/>
  <c r="BS5" i="7"/>
  <c r="BL30" i="7"/>
  <c r="BQ25" i="7"/>
  <c r="BN25" i="7"/>
  <c r="BM25" i="7"/>
  <c r="BT5" i="3"/>
  <c r="BQ10" i="3"/>
  <c r="BK15" i="3"/>
  <c r="BM35" i="3"/>
  <c r="BT35" i="7"/>
  <c r="BP35" i="7"/>
  <c r="BP10" i="7"/>
  <c r="BR5" i="7"/>
  <c r="BR35" i="7"/>
  <c r="BN30" i="7"/>
  <c r="BS35" i="7"/>
  <c r="BS10" i="7"/>
  <c r="BJ25" i="7"/>
  <c r="BJ35" i="3"/>
  <c r="BS10" i="3"/>
  <c r="BT10" i="3"/>
  <c r="BJ30" i="3"/>
  <c r="BK25" i="3"/>
  <c r="BK10" i="3"/>
  <c r="BL20" i="3"/>
  <c r="BR25" i="3"/>
  <c r="BP30" i="3"/>
  <c r="BL10" i="3"/>
  <c r="BS35" i="3"/>
  <c r="BK30" i="3"/>
  <c r="BQ10" i="7"/>
  <c r="BT15" i="7"/>
  <c r="BN15" i="7"/>
  <c r="BS15" i="7"/>
  <c r="BN35" i="7"/>
  <c r="BM15" i="7"/>
  <c r="BK15" i="7"/>
  <c r="BN10" i="7"/>
  <c r="BK35" i="7"/>
  <c r="BJ5" i="7"/>
  <c r="BM20" i="7"/>
  <c r="BQ35" i="7"/>
  <c r="BS20" i="7"/>
  <c r="BP5" i="7"/>
  <c r="BL25" i="7"/>
  <c r="BP10" i="3"/>
  <c r="BK35" i="3"/>
  <c r="BN35" i="3"/>
  <c r="BJ5" i="3"/>
  <c r="BR5" i="3"/>
  <c r="BK20" i="3"/>
  <c r="BJ10" i="3"/>
  <c r="BK5" i="3"/>
  <c r="BJ25" i="3"/>
  <c r="BT20" i="3"/>
  <c r="BQ30" i="3"/>
  <c r="BM25" i="3"/>
  <c r="BL15" i="3"/>
  <c r="BP20" i="3"/>
  <c r="BM15" i="3"/>
  <c r="BS25" i="3"/>
  <c r="BS30" i="7"/>
  <c r="BQ30" i="7"/>
  <c r="BL5" i="7"/>
  <c r="BM5" i="7"/>
  <c r="BQ15" i="7"/>
  <c r="BR10" i="7"/>
  <c r="BT10" i="7"/>
  <c r="BP20" i="7"/>
  <c r="BT20" i="7"/>
  <c r="BQ5" i="7"/>
  <c r="BL20" i="7"/>
  <c r="BL35" i="7"/>
  <c r="BP15" i="7"/>
  <c r="BP25" i="7"/>
  <c r="BS25" i="7"/>
  <c r="BT25" i="7"/>
  <c r="BL30" i="3"/>
  <c r="BT30" i="3"/>
  <c r="BN15" i="3"/>
  <c r="BN5" i="3"/>
  <c r="BK5" i="7"/>
  <c r="BJ10" i="7"/>
  <c r="BJ35" i="7"/>
  <c r="BT30" i="7"/>
  <c r="BR20" i="7"/>
  <c r="BR30" i="7"/>
  <c r="BR25" i="7"/>
  <c r="BK25" i="7"/>
  <c r="BG36" i="7" l="1"/>
  <c r="L42" i="7"/>
  <c r="M41" i="7"/>
  <c r="AH42" i="3"/>
  <c r="K43" i="3"/>
  <c r="AJ41" i="3"/>
  <c r="BE10" i="3"/>
  <c r="AH41" i="3"/>
  <c r="AK42" i="3"/>
  <c r="BG16" i="3"/>
  <c r="AI16" i="3"/>
  <c r="BE16" i="3" s="1"/>
  <c r="AK41" i="3"/>
  <c r="BG22" i="3"/>
  <c r="M40" i="7"/>
  <c r="BA45" i="7"/>
  <c r="BE9" i="7"/>
  <c r="J41" i="7"/>
  <c r="BG33" i="7"/>
  <c r="BC45" i="7"/>
  <c r="BC47" i="7"/>
  <c r="AZ47" i="7"/>
  <c r="C47" i="1" s="1"/>
  <c r="BS41" i="3"/>
  <c r="BK42" i="3"/>
  <c r="D11" i="1" s="1"/>
  <c r="BN42" i="3"/>
  <c r="BN40" i="3"/>
  <c r="G9" i="1" s="1"/>
  <c r="BN43" i="3"/>
  <c r="G12" i="1" s="1"/>
  <c r="BM43" i="3"/>
  <c r="BM40" i="3"/>
  <c r="BS42" i="3"/>
  <c r="BM42" i="3"/>
  <c r="F11" i="1" s="1"/>
  <c r="BL43" i="3"/>
  <c r="BL40" i="3"/>
  <c r="BP43" i="3"/>
  <c r="BP40" i="3"/>
  <c r="BP42" i="3"/>
  <c r="BL41" i="3"/>
  <c r="E10" i="1" s="1"/>
  <c r="BM41" i="3"/>
  <c r="F10" i="1" s="1"/>
  <c r="BR41" i="3"/>
  <c r="BQ42" i="3"/>
  <c r="BR42" i="3"/>
  <c r="BT42" i="3"/>
  <c r="BJ41" i="3"/>
  <c r="C10" i="1" s="1"/>
  <c r="BK41" i="3"/>
  <c r="D10" i="1" s="1"/>
  <c r="BN41" i="3"/>
  <c r="G10" i="1" s="1"/>
  <c r="BK43" i="3"/>
  <c r="BK40" i="3"/>
  <c r="BJ42" i="3"/>
  <c r="BQ43" i="3"/>
  <c r="BQ40" i="3"/>
  <c r="BL42" i="3"/>
  <c r="BS40" i="3"/>
  <c r="BS43" i="3"/>
  <c r="BT43" i="3"/>
  <c r="BT40" i="3"/>
  <c r="BR43" i="3"/>
  <c r="BR40" i="3"/>
  <c r="AI7" i="3"/>
  <c r="BE7" i="3" s="1"/>
  <c r="BG7" i="3"/>
  <c r="AI11" i="3"/>
  <c r="BE11" i="3" s="1"/>
  <c r="BG11" i="3"/>
  <c r="BE15" i="3"/>
  <c r="K40" i="3"/>
  <c r="AI8" i="3"/>
  <c r="BE8" i="3" s="1"/>
  <c r="BG8" i="3"/>
  <c r="AJ42" i="3"/>
  <c r="BG20" i="3"/>
  <c r="BH20" i="3"/>
  <c r="BH40" i="3" s="1"/>
  <c r="AI20" i="3"/>
  <c r="BE20" i="3" s="1"/>
  <c r="AJ43" i="3"/>
  <c r="BG27" i="3"/>
  <c r="AI27" i="3"/>
  <c r="BE27" i="3" s="1"/>
  <c r="BG34" i="3"/>
  <c r="AI34" i="3"/>
  <c r="BE34" i="3" s="1"/>
  <c r="AI31" i="3"/>
  <c r="BG31" i="3"/>
  <c r="AI18" i="3"/>
  <c r="BE18" i="3" s="1"/>
  <c r="BG18" i="3"/>
  <c r="BG24" i="3"/>
  <c r="AI24" i="3"/>
  <c r="BE24" i="3" s="1"/>
  <c r="AI28" i="3"/>
  <c r="BE28" i="3" s="1"/>
  <c r="BG28" i="3"/>
  <c r="AH43" i="3"/>
  <c r="AH40" i="3"/>
  <c r="AI38" i="3"/>
  <c r="BE38" i="3" s="1"/>
  <c r="BG38" i="3"/>
  <c r="BE25" i="3"/>
  <c r="BG14" i="3"/>
  <c r="AI14" i="3"/>
  <c r="BE14" i="3" s="1"/>
  <c r="BG13" i="3"/>
  <c r="AI13" i="3"/>
  <c r="BE13" i="3" s="1"/>
  <c r="AI35" i="3"/>
  <c r="BE35" i="3" s="1"/>
  <c r="BH35" i="3"/>
  <c r="BH42" i="3" s="1"/>
  <c r="BG35" i="3"/>
  <c r="AJ40" i="3"/>
  <c r="AK40" i="3"/>
  <c r="AK43" i="3"/>
  <c r="BH15" i="7"/>
  <c r="BG31" i="7"/>
  <c r="AK43" i="7"/>
  <c r="BG9" i="7"/>
  <c r="BG15" i="7"/>
  <c r="BG23" i="7"/>
  <c r="AK41" i="7"/>
  <c r="AJ42" i="7"/>
  <c r="AI33" i="7"/>
  <c r="BE33" i="7" s="1"/>
  <c r="BG38" i="7"/>
  <c r="AI15" i="7"/>
  <c r="BG17" i="7"/>
  <c r="BG19" i="7"/>
  <c r="AI35" i="7"/>
  <c r="BE35" i="7" s="1"/>
  <c r="AI36" i="7"/>
  <c r="BE36" i="7" s="1"/>
  <c r="AH42" i="7"/>
  <c r="AH41" i="7"/>
  <c r="AK42" i="7"/>
  <c r="BG11" i="7"/>
  <c r="BG7" i="7"/>
  <c r="BG25" i="7"/>
  <c r="AZ45" i="7"/>
  <c r="BG21" i="7"/>
  <c r="AH43" i="7"/>
  <c r="BG29" i="7"/>
  <c r="BH35" i="7"/>
  <c r="BE38" i="7"/>
  <c r="BB45" i="7"/>
  <c r="BE13" i="7"/>
  <c r="BG13" i="7"/>
  <c r="M42" i="7"/>
  <c r="BG5" i="7"/>
  <c r="BE27" i="7"/>
  <c r="BE31" i="7"/>
  <c r="BA47" i="7"/>
  <c r="J43" i="7"/>
  <c r="M43" i="7"/>
  <c r="BE29" i="7"/>
  <c r="BB47" i="7"/>
  <c r="C48" i="1" s="1"/>
  <c r="BG27" i="7"/>
  <c r="AX17" i="6"/>
  <c r="BB6" i="6"/>
  <c r="BE5" i="6"/>
  <c r="BC7" i="6"/>
  <c r="BF7" i="6"/>
  <c r="BB8" i="6"/>
  <c r="BF6" i="6"/>
  <c r="BC8" i="6"/>
  <c r="BD14" i="6"/>
  <c r="AH12" i="6"/>
  <c r="BF9" i="6"/>
  <c r="BG11" i="6"/>
  <c r="M12" i="6"/>
  <c r="BE12" i="6" s="1"/>
  <c r="D31" i="1" s="1"/>
  <c r="BD10" i="6"/>
  <c r="J12" i="6"/>
  <c r="BD6" i="6"/>
  <c r="BB11" i="6"/>
  <c r="BE13" i="6"/>
  <c r="BG9" i="6"/>
  <c r="BG13" i="6" s="1"/>
  <c r="BG5" i="6"/>
  <c r="BB7" i="6"/>
  <c r="K9" i="6"/>
  <c r="BD11" i="6"/>
  <c r="L15" i="6"/>
  <c r="K5" i="6"/>
  <c r="BC5" i="6" s="1"/>
  <c r="BD7" i="6"/>
  <c r="J14" i="6"/>
  <c r="K11" i="6"/>
  <c r="BC11" i="6" s="1"/>
  <c r="BE11" i="6"/>
  <c r="BB13" i="5"/>
  <c r="E20" i="1" s="1"/>
  <c r="BF11" i="5"/>
  <c r="AZ19" i="5"/>
  <c r="J14" i="5"/>
  <c r="M12" i="5"/>
  <c r="J15" i="5"/>
  <c r="BB9" i="5"/>
  <c r="BB5" i="5"/>
  <c r="BD5" i="5"/>
  <c r="BE14" i="5"/>
  <c r="D21" i="1" s="1"/>
  <c r="BD9" i="5"/>
  <c r="L15" i="5"/>
  <c r="BD6" i="5"/>
  <c r="BG9" i="5"/>
  <c r="BG13" i="5" s="1"/>
  <c r="BE10" i="5"/>
  <c r="J12" i="5"/>
  <c r="BG6" i="5"/>
  <c r="K6" i="5"/>
  <c r="BC6" i="5" s="1"/>
  <c r="C13" i="1"/>
  <c r="BP41" i="7"/>
  <c r="E11" i="1"/>
  <c r="BR41" i="7"/>
  <c r="G11" i="1"/>
  <c r="BL43" i="7"/>
  <c r="E46" i="1" s="1"/>
  <c r="BM42" i="7"/>
  <c r="F45" i="1" s="1"/>
  <c r="BL42" i="7"/>
  <c r="E45" i="1" s="1"/>
  <c r="BM43" i="7"/>
  <c r="F46" i="1" s="1"/>
  <c r="BN42" i="7"/>
  <c r="G45" i="1" s="1"/>
  <c r="BJ41" i="7"/>
  <c r="C44" i="1" s="1"/>
  <c r="BN43" i="7"/>
  <c r="G46" i="1" s="1"/>
  <c r="BP42" i="7"/>
  <c r="BP43" i="7"/>
  <c r="BP40" i="7"/>
  <c r="BK41" i="7"/>
  <c r="D44" i="1" s="1"/>
  <c r="BK42" i="7"/>
  <c r="D45" i="1" s="1"/>
  <c r="BR42" i="7"/>
  <c r="BL41" i="7"/>
  <c r="E44" i="1" s="1"/>
  <c r="BS42" i="7"/>
  <c r="BM41" i="7"/>
  <c r="F44" i="1" s="1"/>
  <c r="BT42" i="7"/>
  <c r="BQ41" i="7"/>
  <c r="BN41" i="7"/>
  <c r="G44" i="1" s="1"/>
  <c r="D32" i="1"/>
  <c r="C35" i="1"/>
  <c r="BB9" i="6"/>
  <c r="AG13" i="6"/>
  <c r="BB13" i="6" s="1"/>
  <c r="AI15" i="5"/>
  <c r="BD15" i="5" s="1"/>
  <c r="BD5" i="6"/>
  <c r="AI15" i="6"/>
  <c r="BG10" i="6" a="1"/>
  <c r="BG10" i="6" s="1"/>
  <c r="BG14" i="6" s="1"/>
  <c r="K10" i="6"/>
  <c r="AY17" i="6"/>
  <c r="AJ43" i="7"/>
  <c r="BG16" i="7"/>
  <c r="K16" i="7"/>
  <c r="BE16" i="7" s="1"/>
  <c r="BG20" i="7"/>
  <c r="K20" i="7"/>
  <c r="BE20" i="7" s="1"/>
  <c r="AJ41" i="7"/>
  <c r="BT41" i="7"/>
  <c r="BB6" i="5"/>
  <c r="AG15" i="5"/>
  <c r="BF8" i="6"/>
  <c r="BD9" i="6"/>
  <c r="AI13" i="6"/>
  <c r="BD13" i="6" s="1"/>
  <c r="BE5" i="7"/>
  <c r="BE21" i="7"/>
  <c r="BG22" i="7"/>
  <c r="AI22" i="7"/>
  <c r="BE22" i="7" s="1"/>
  <c r="BE25" i="7"/>
  <c r="BT43" i="7"/>
  <c r="BT40" i="7"/>
  <c r="AJ13" i="5"/>
  <c r="BE13" i="5" s="1"/>
  <c r="BE9" i="5"/>
  <c r="BG11" i="5" a="1"/>
  <c r="BG11" i="5" s="1"/>
  <c r="BG14" i="5" s="1"/>
  <c r="K11" i="5"/>
  <c r="K14" i="5" s="1"/>
  <c r="BE6" i="6"/>
  <c r="AJ15" i="6"/>
  <c r="BG8" i="6" a="1"/>
  <c r="BG8" i="6" s="1"/>
  <c r="M15" i="6"/>
  <c r="BG12" i="7"/>
  <c r="K12" i="7"/>
  <c r="BE12" i="7" s="1"/>
  <c r="AJ15" i="5"/>
  <c r="BE15" i="5" s="1"/>
  <c r="AJ12" i="5"/>
  <c r="BE12" i="5" s="1"/>
  <c r="BE5" i="5"/>
  <c r="BG5" i="5" a="1"/>
  <c r="BG5" i="5" s="1"/>
  <c r="BB10" i="5"/>
  <c r="AG14" i="5"/>
  <c r="BB14" i="5" s="1"/>
  <c r="J15" i="6"/>
  <c r="AI12" i="6"/>
  <c r="BD12" i="6" s="1"/>
  <c r="AH15" i="6"/>
  <c r="BF9" i="5"/>
  <c r="BD10" i="5"/>
  <c r="AI14" i="5"/>
  <c r="BD14" i="5" s="1"/>
  <c r="K12" i="6"/>
  <c r="BC12" i="6" s="1"/>
  <c r="BE10" i="6"/>
  <c r="AJ14" i="6"/>
  <c r="BE14" i="6" s="1"/>
  <c r="BE17" i="7"/>
  <c r="BG18" i="7"/>
  <c r="AI18" i="7"/>
  <c r="BE18" i="7" s="1"/>
  <c r="BC10" i="6"/>
  <c r="AH14" i="6"/>
  <c r="BG8" i="7"/>
  <c r="K8" i="7"/>
  <c r="BE8" i="7" s="1"/>
  <c r="BG28" i="7"/>
  <c r="K28" i="7"/>
  <c r="K41" i="7" s="1"/>
  <c r="BQ42" i="7"/>
  <c r="BC5" i="5"/>
  <c r="BC7" i="5"/>
  <c r="AH14" i="5"/>
  <c r="AX17" i="5"/>
  <c r="BB10" i="6"/>
  <c r="L43" i="7"/>
  <c r="L41" i="7"/>
  <c r="BG7" i="5" a="1"/>
  <c r="BG7" i="5" s="1"/>
  <c r="K7" i="5"/>
  <c r="E12" i="1"/>
  <c r="E9" i="1"/>
  <c r="BG14" i="7"/>
  <c r="AI14" i="7"/>
  <c r="BE14" i="7" s="1"/>
  <c r="F12" i="1"/>
  <c r="F9" i="1"/>
  <c r="BF7" i="5"/>
  <c r="BC9" i="5"/>
  <c r="K13" i="5"/>
  <c r="BC13" i="5" s="1"/>
  <c r="BC11" i="5"/>
  <c r="BG24" i="7"/>
  <c r="K24" i="7"/>
  <c r="BE24" i="7" s="1"/>
  <c r="BB11" i="5"/>
  <c r="BG6" i="6" a="1"/>
  <c r="BG6" i="6" s="1"/>
  <c r="K6" i="6"/>
  <c r="BC6" i="6" s="1"/>
  <c r="BE7" i="6"/>
  <c r="AY19" i="6"/>
  <c r="BE32" i="7"/>
  <c r="AH15" i="5"/>
  <c r="AG12" i="6"/>
  <c r="BB12" i="6" s="1"/>
  <c r="BB5" i="6"/>
  <c r="AG15" i="6"/>
  <c r="AG14" i="6"/>
  <c r="BB14" i="6" s="1"/>
  <c r="BG6" i="7"/>
  <c r="AI6" i="7"/>
  <c r="BE6" i="7" s="1"/>
  <c r="BH10" i="7" a="1"/>
  <c r="BH10" i="7" s="1"/>
  <c r="BG10" i="7"/>
  <c r="AI10" i="7"/>
  <c r="BG26" i="7"/>
  <c r="AI26" i="7"/>
  <c r="BE26" i="7" s="1"/>
  <c r="BH30" i="7" a="1"/>
  <c r="BH30" i="7" s="1"/>
  <c r="BH42" i="7" s="1"/>
  <c r="BG30" i="7"/>
  <c r="AI30" i="7"/>
  <c r="BG34" i="7"/>
  <c r="AI34" i="7"/>
  <c r="BE34" i="7" s="1"/>
  <c r="BE37" i="7"/>
  <c r="BG32" i="7"/>
  <c r="L40" i="7"/>
  <c r="BN40" i="7"/>
  <c r="G43" i="1" s="1"/>
  <c r="BS41" i="7"/>
  <c r="AG12" i="5"/>
  <c r="BB12" i="5" s="1"/>
  <c r="BH20" i="7" a="1"/>
  <c r="BH20" i="7" s="1"/>
  <c r="AH40" i="7"/>
  <c r="BQ40" i="7"/>
  <c r="BQ43" i="7"/>
  <c r="BG37" i="7"/>
  <c r="AI39" i="7"/>
  <c r="BE39" i="7" s="1"/>
  <c r="BR40" i="7"/>
  <c r="BR43" i="7"/>
  <c r="AI12" i="5"/>
  <c r="BD12" i="5" s="1"/>
  <c r="AJ40" i="7"/>
  <c r="BS40" i="7"/>
  <c r="BS43" i="7"/>
  <c r="AI13" i="5"/>
  <c r="BD13" i="5" s="1"/>
  <c r="BH5" i="7" a="1"/>
  <c r="BH5" i="7" s="1"/>
  <c r="BH25" i="7" a="1"/>
  <c r="BH25" i="7" s="1"/>
  <c r="BH41" i="7" s="1"/>
  <c r="AK40" i="7"/>
  <c r="K10" i="7"/>
  <c r="K30" i="7"/>
  <c r="K42" i="7" s="1"/>
  <c r="BE9" i="6"/>
  <c r="K7" i="7"/>
  <c r="BE7" i="7" s="1"/>
  <c r="K11" i="7"/>
  <c r="BE11" i="7" s="1"/>
  <c r="K15" i="7"/>
  <c r="K19" i="7"/>
  <c r="BE19" i="7" s="1"/>
  <c r="K23" i="7"/>
  <c r="BE23" i="7" s="1"/>
  <c r="BG35" i="7"/>
  <c r="J40" i="7"/>
  <c r="BL40" i="7"/>
  <c r="E43" i="1" s="1"/>
  <c r="BM40" i="7"/>
  <c r="F43" i="1" s="1"/>
  <c r="BJ30" i="7"/>
  <c r="BJ20" i="3"/>
  <c r="BJ20" i="7"/>
  <c r="BK20" i="7"/>
  <c r="BJ15" i="7"/>
  <c r="BK10" i="7"/>
  <c r="BE15" i="7" l="1"/>
  <c r="AI41" i="3"/>
  <c r="BE41" i="3" s="1"/>
  <c r="BJ40" i="3"/>
  <c r="BJ43" i="3"/>
  <c r="BH43" i="3"/>
  <c r="BE31" i="3"/>
  <c r="AI42" i="3"/>
  <c r="BE42" i="3" s="1"/>
  <c r="AI43" i="3"/>
  <c r="BE43" i="3" s="1"/>
  <c r="AI40" i="3"/>
  <c r="BE40" i="3" s="1"/>
  <c r="AI40" i="7"/>
  <c r="BE28" i="7"/>
  <c r="BG12" i="6"/>
  <c r="K13" i="6"/>
  <c r="BC13" i="6" s="1"/>
  <c r="C32" i="1" s="1"/>
  <c r="BC9" i="6"/>
  <c r="BD15" i="6"/>
  <c r="BB15" i="6"/>
  <c r="BE15" i="6"/>
  <c r="BG15" i="6"/>
  <c r="K14" i="6"/>
  <c r="BC14" i="6" s="1"/>
  <c r="C33" i="1" s="1"/>
  <c r="BB15" i="5"/>
  <c r="E22" i="1" s="1"/>
  <c r="K15" i="5"/>
  <c r="BJ42" i="7"/>
  <c r="C45" i="1" s="1"/>
  <c r="D12" i="1"/>
  <c r="D9" i="1"/>
  <c r="BJ40" i="7"/>
  <c r="C43" i="1" s="1"/>
  <c r="BJ43" i="7"/>
  <c r="C46" i="1" s="1"/>
  <c r="BK43" i="7"/>
  <c r="D46" i="1" s="1"/>
  <c r="BK40" i="7"/>
  <c r="D43" i="1" s="1"/>
  <c r="C11" i="1"/>
  <c r="H43" i="1"/>
  <c r="K45" i="1"/>
  <c r="H46" i="1"/>
  <c r="I44" i="1"/>
  <c r="I10" i="1"/>
  <c r="K11" i="1"/>
  <c r="J44" i="1"/>
  <c r="J45" i="1"/>
  <c r="H45" i="1"/>
  <c r="L45" i="1"/>
  <c r="L10" i="1"/>
  <c r="I11" i="1"/>
  <c r="H44" i="1"/>
  <c r="C31" i="1"/>
  <c r="J12" i="1"/>
  <c r="AI42" i="7"/>
  <c r="BE42" i="7" s="1"/>
  <c r="BE30" i="7"/>
  <c r="E19" i="1"/>
  <c r="E33" i="1"/>
  <c r="C36" i="1"/>
  <c r="L11" i="1"/>
  <c r="K12" i="5"/>
  <c r="BC12" i="5" s="1"/>
  <c r="K15" i="6"/>
  <c r="BC15" i="6" s="1"/>
  <c r="D34" i="1"/>
  <c r="AI41" i="7"/>
  <c r="BE41" i="7" s="1"/>
  <c r="E34" i="1"/>
  <c r="C9" i="1"/>
  <c r="C12" i="1"/>
  <c r="H12" i="1"/>
  <c r="I12" i="1"/>
  <c r="E21" i="1"/>
  <c r="I45" i="1"/>
  <c r="J46" i="1"/>
  <c r="BC15" i="5"/>
  <c r="J11" i="1"/>
  <c r="H11" i="1"/>
  <c r="D19" i="1"/>
  <c r="I43" i="1"/>
  <c r="H9" i="1"/>
  <c r="K44" i="1"/>
  <c r="E31" i="1"/>
  <c r="J43" i="1"/>
  <c r="BE10" i="7"/>
  <c r="BG12" i="5"/>
  <c r="BG15" i="5"/>
  <c r="D22" i="1"/>
  <c r="D20" i="1"/>
  <c r="L9" i="1"/>
  <c r="I9" i="1"/>
  <c r="K12" i="1"/>
  <c r="L12" i="1"/>
  <c r="E32" i="1"/>
  <c r="BH43" i="7"/>
  <c r="BH40" i="7"/>
  <c r="C20" i="1"/>
  <c r="K40" i="7"/>
  <c r="H10" i="1"/>
  <c r="AI43" i="7"/>
  <c r="I46" i="1"/>
  <c r="J9" i="1"/>
  <c r="BC14" i="5"/>
  <c r="K43" i="7"/>
  <c r="L43" i="1"/>
  <c r="D33" i="1"/>
  <c r="K10" i="1"/>
  <c r="L46" i="1"/>
  <c r="K46" i="1"/>
  <c r="K9" i="1"/>
  <c r="J10" i="1"/>
  <c r="L44" i="1"/>
  <c r="K43" i="1"/>
  <c r="BE40" i="7" l="1"/>
  <c r="C34" i="1"/>
  <c r="C21" i="1"/>
  <c r="C22" i="1"/>
  <c r="C19" i="1"/>
  <c r="BE43" i="7"/>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<sst xmlns="http://schemas.openxmlformats.org/spreadsheetml/2006/main" count="1459" uniqueCount="575">
  <si>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</si>
  <si>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</si>
  <si>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</si>
  <si>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</si>
  <si>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</si>
  <si>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</si>
  <si>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</si>
  <si>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</si>
  <si>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</si>
  <si>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</si>
  <si>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</si>
  <si>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</si>
  <si>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</si>
  <si>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</si>
  <si>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</si>
  <si>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</si>
  <si>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</si>
  <si>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</si>
  <si>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</si>
  <si>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</si>
  <si>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</si>
  <si>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</si>
  <si>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</si>
  <si>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</si>
  <si>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</si>
  <si>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</si>
  <si>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</si>
  <si>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</si>
  <si>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</si>
  <si>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</si>
  <si>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</si>
  <si>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</si>
  <si>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</si>
  <si>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</si>
  <si>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</si>
  <si>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</si>
  <si>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</si>
  <si>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</si>
  <si>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</si>
  <si>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</si>
  <si>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</si>
  <si>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</si>
  <si>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</si>
  <si>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</si>
  <si>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</si>
  <si>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</si>
  <si>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</si>
  <si>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</si>
  <si>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</si>
  <si>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</si>
  <si>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</si>
  <si>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</si>
  <si>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</si>
  <si>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</si>
  <si>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</si>
  <si>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</si>
  <si>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</si>
  <si>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</si>
  <si>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</si>
  <si>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</si>
  <si>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</si>
  <si>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</si>
  <si>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</si>
  <si>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</si>
  <si>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</si>
  <si>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</si>
  <si>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</si>
  <si>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</si>
  <si>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</si>
  <si>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</si>
  <si>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</si>
  <si>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</si>
  <si>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</si>
  <si>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</si>
  <si>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</si>
  <si>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</si>
  <si>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</si>
  <si>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</si>
  <si>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</si>
  <si>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</si>
  <si>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</si>
  <si>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</si>
  <si>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</si>
  <si>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</si>
  <si>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</si>
  <si>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</si>
  <si>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</si>
  <si>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</si>
  <si>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</si>
  <si>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</si>
  <si>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</si>
  <si>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</si>
  <si>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</si>
  <si>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</si>
  <si>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</si>
  <si>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</si>
  <si>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</si>
  <si>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</si>
  <si>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</si>
  <si>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</si>
  <si>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</si>
  <si>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</si>
  <si>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</si>
  <si>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</si>
  <si>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</si>
  <si>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</si>
  <si>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</si>
  <si>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</si>
  <si>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</si>
  <si>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</si>
  <si>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</si>
  <si>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</si>
  <si>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</si>
  <si>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</si>
  <si>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</si>
  <si>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</si>
  <si>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</si>
  <si>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</si>
  <si>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</si>
  <si>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</si>
  <si>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</si>
  <si>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</si>
  <si>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</si>
  <si>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</si>
  <si>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</si>
  <si>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</si>
  <si>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</si>
  <si>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</si>
  <si>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</si>
  <si>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</si>
  <si>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</si>
  <si>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</si>
  <si>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</si>
  <si>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</si>
  <si>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</si>
  <si>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</si>
  <si>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</si>
  <si>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</si>
  <si>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</si>
  <si>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</si>
  <si>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</si>
  <si>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</si>
  <si>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</si>
  <si>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</si>
  <si>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</si>
  <si>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</si>
  <si>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</si>
  <si>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</si>
  <si>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</si>
  <si>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</si>
  <si>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</si>
  <si>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</si>
  <si>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</si>
  <si>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</si>
  <si>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</si>
  <si>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</si>
  <si>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</si>
  <si>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</si>
  <si>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</si>
  <si>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</si>
  <si>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</si>
  <si>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</si>
  <si>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</si>
  <si>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</si>
  <si>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</si>
  <si>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</si>
  <si>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</si>
  <si>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</si>
  <si>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</si>
  <si>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</si>
  <si>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</si>
  <si>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</si>
  <si>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</si>
  <si>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</si>
  <si>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</si>
  <si>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</si>
  <si>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</si>
  <si>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</si>
  <si>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</si>
  <si>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</si>
  <si>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</si>
  <si>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</si>
  <si>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</si>
  <si>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</si>
  <si>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</si>
  <si>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</si>
  <si>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</si>
  <si>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</si>
  <si>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</si>
  <si>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</si>
  <si>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</si>
  <si>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</si>
  <si>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</si>
  <si>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</si>
  <si>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</si>
  <si>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</si>
  <si>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</si>
  <si>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</si>
  <si>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</si>
  <si>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</si>
  <si>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</si>
  <si>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</si>
  <si>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</si>
  <si>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</si>
  <si>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</si>
  <si>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</si>
  <si>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</si>
  <si>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</si>
  <si>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</si>
  <si>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</si>
  <si>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</si>
  <si>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</si>
  <si>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</si>
  <si>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</si>
  <si>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</si>
  <si>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</si>
  <si>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</si>
  <si>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</si>
  <si>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</si>
  <si>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</si>
  <si>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</si>
  <si>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</si>
  <si>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</si>
  <si>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</si>
  <si>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</si>
  <si>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</si>
  <si>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</si>
  <si>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</si>
  <si>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</si>
  <si>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</si>
  <si>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</si>
  <si>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</si>
  <si>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</si>
  <si>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</si>
  <si>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</si>
  <si>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</si>
  <si>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</si>
  <si>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</si>
  <si>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</si>
  <si>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</si>
  <si>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</si>
  <si>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</si>
  <si>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</si>
  <si>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</si>
  <si>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</si>
  <si>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</si>
  <si>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</si>
  <si>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</si>
  <si>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</si>
  <si>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</si>
  <si>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</si>
  <si>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</si>
  <si>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</si>
  <si>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</si>
  <si>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</si>
  <si>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</si>
  <si>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</si>
  <si>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</si>
  <si>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</si>
  <si>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</si>
  <si>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</si>
  <si>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</si>
  <si>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</si>
  <si>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</si>
  <si>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</si>
  <si>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</si>
  <si>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</si>
  <si>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</si>
  <si>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</si>
  <si>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</si>
  <si>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</si>
  <si>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</si>
  <si>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</si>
  <si>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</si>
  <si>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</si>
  <si>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</si>
  <si>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</si>
  <si>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</si>
  <si>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</si>
  <si>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</si>
  <si>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</si>
  <si>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</si>
  <si>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</si>
  <si>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</si>
  <si>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</si>
  <si>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</si>
  <si>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</si>
  <si>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</si>
  <si>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</si>
  <si>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</si>
  <si>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</si>
  <si>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</si>
  <si>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</si>
  <si>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</si>
  <si>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</si>
  <si>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</si>
  <si>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</si>
  <si>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</si>
  <si>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</si>
  <si>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</si>
  <si>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</si>
  <si>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</si>
  <si>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</si>
  <si>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</si>
  <si>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</si>
  <si>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</si>
  <si>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</si>
  <si>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</si>
  <si>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</si>
  <si>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</si>
  <si>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</si>
  <si>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</si>
  <si>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</si>
  <si>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</si>
  <si>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</si>
  <si>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</si>
  <si>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</si>
  <si>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</si>
  <si>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</si>
  <si>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</si>
  <si>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</si>
  <si>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</si>
  <si>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</si>
  <si>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</si>
  <si>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</si>
  <si>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</si>
  <si>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</si>
  <si>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</si>
  <si>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</si>
  <si>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</si>
  <si>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</si>
  <si>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</si>
  <si>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</si>
  <si>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</si>
  <si>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</si>
  <si>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</si>
  <si>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</si>
  <si>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</si>
  <si>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</si>
  <si>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</si>
  <si>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</si>
  <si>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</si>
  <si>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</si>
  <si>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</si>
  <si>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</si>
  <si>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</si>
  <si>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</si>
  <si>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</si>
  <si>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</si>
  <si>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</si>
  <si>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</si>
  <si>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</si>
  <si>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</si>
  <si>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</si>
  <si>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</si>
  <si>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</si>
  <si>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</si>
  <si>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</si>
  <si>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</si>
  <si>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</si>
  <si>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</si>
  <si>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</si>
  <si>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</si>
  <si>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</si>
  <si>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</si>
  <si>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</si>
  <si>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</si>
  <si>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</si>
  <si>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</si>
  <si>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</si>
  <si>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</si>
  <si>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</si>
  <si>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</si>
  <si>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</si>
  <si>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</si>
  <si>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</si>
  <si>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</si>
  <si>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</si>
  <si>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</si>
  <si>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</si>
  <si>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</si>
  <si>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</si>
  <si>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</si>
  <si>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</si>
  <si>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</si>
  <si>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</si>
  <si>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</si>
  <si>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</si>
  <si>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</si>
  <si>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</si>
  <si>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</si>
  <si>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</si>
  <si>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</si>
  <si>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</si>
  <si>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</si>
  <si>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</si>
  <si>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</si>
  <si>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</si>
  <si>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</si>
  <si>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</si>
  <si>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</si>
  <si>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</si>
  <si>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</si>
  <si>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</si>
  <si>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</si>
  <si>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</si>
  <si>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</si>
  <si>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</si>
  <si>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</si>
  <si>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</si>
  <si>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</si>
  <si>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</si>
  <si>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</si>
  <si>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</si>
  <si>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</si>
  <si>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</si>
  <si>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</si>
  <si>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</si>
  <si>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</si>
  <si>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</si>
  <si>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</si>
  <si>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</si>
  <si>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</si>
  <si>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</si>
  <si>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</si>
  <si>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</si>
  <si>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</si>
  <si>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</si>
  <si>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</si>
  <si>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</si>
  <si>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</si>
  <si>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</si>
  <si>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</si>
  <si>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</si>
  <si>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</si>
  <si>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</si>
  <si>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</si>
  <si>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</si>
  <si>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</si>
  <si>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</si>
  <si>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</si>
  <si>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</si>
  <si>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</si>
  <si>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</si>
  <si>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</si>
  <si>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</si>
  <si>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</si>
  <si>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</si>
  <si>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</si>
  <si>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</si>
  <si>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</si>
  <si>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</si>
  <si>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</si>
  <si>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</si>
  <si>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</si>
  <si>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</si>
  <si>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</si>
  <si>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</si>
  <si>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</si>
  <si>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</si>
  <si>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</si>
  <si>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</si>
  <si>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</si>
  <si>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</si>
  <si>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</si>
  <si>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</si>
  <si>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</si>
  <si>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</si>
  <si>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</si>
  <si>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</si>
  <si>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</si>
  <si>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</si>
  <si>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</si>
  <si>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</si>
  <si>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</si>
  <si>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</si>
  <si>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</si>
  <si>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</si>
  <si>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</si>
  <si>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</si>
  <si>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</si>
  <si>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</si>
  <si>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</si>
  <si>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</si>
  <si>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</si>
  <si>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</si>
  <si>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</si>
  <si>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</si>
  <si>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</si>
  <si>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</si>
  <si>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</si>
  <si>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</si>
  <si>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</si>
  <si>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</si>
  <si>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</si>
  <si>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</si>
  <si>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</si>
  <si>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</si>
  <si>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</si>
  <si>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</si>
  <si>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</si>
  <si>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</si>
  <si>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</si>
  <si>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</si>
  <si>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</si>
  <si>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</si>
  <si>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</si>
  <si>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</si>
  <si>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</si>
  <si>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</si>
  <si>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</si>
  <si>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</si>
  <si>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</si>
  <si>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</si>
  <si>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</si>
  <si>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</si>
  <si>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</si>
  <si>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</si>
  <si>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</si>
  <si>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</si>
  <si>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</si>
  <si>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</si>
  <si>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</si>
  <si>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</si>
  <si>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</si>
  <si>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</si>
  <si>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</si>
  <si>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</si>
  <si>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</si>
  <si>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</si>
  <si>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</si>
  <si>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</si>
  <si>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</si>
  <si>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</si>
  <si>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</si>
  <si>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</si>
  <si>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</si>
  <si>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</si>
  <si>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</si>
  <si>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</si>
  <si>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</si>
  <si>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</si>
  <si>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</si>
  <si>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</si>
  <si>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</si>
  <si>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</si>
  <si>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</si>
  <si>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</si>
  <si>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</si>
  <si>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</si>
  <si>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</si>
  <si>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</si>
  <si>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</si>
  <si>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</si>
  <si>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</si>
  <si>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</si>
  <si>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</si>
  <si>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</si>
  <si>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</si>
  <si>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</si>
  <si>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</si>
  <si>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</si>
  <si>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</si>
  <si>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</si>
  <si>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</si>
  <si>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</si>
  <si>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</si>
  <si>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</si>
  <si>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</si>
  <si>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</si>
  <si>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</si>
  <si>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</si>
  <si>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</si>
  <si>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</si>
  <si>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R10.0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</si>
</sst>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R10.0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66.354630999999998</c:v>
                </c:pt>
                <c:pt idx="1">
                  <c:v>68.255983999999998</c:v>
                </c:pt>
                <c:pt idx="2">
                  <c:v>69.683722000000003</c:v>
                </c:pt>
                <c:pt idx="3">
                  <c:v>70.836841000000007</c:v>
                </c:pt>
                <c:pt idx="4">
                  <c:v>71.945244000000002</c:v>
                </c:pt>
              </c:numCache>
            </c:numRef>
          </c:yVal>
          <c:smooth val="1"/>
          <c:extLst>
            <c:ext xmlns:c16="http://schemas.microsoft.com/office/drawing/2014/chart" uri="{C3380CC4-5D6E-409C-BE32-E72D297353CC}">
              <c16:uniqueId val="{00000000-1B1C-4825-A003-8D632F3FCDD5}"/>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66.354630999999998</c:v>
                </c:pt>
                <c:pt idx="1">
                  <c:v>68.255983999999998</c:v>
                </c:pt>
                <c:pt idx="2">
                  <c:v>69.683722000000003</c:v>
                </c:pt>
                <c:pt idx="3">
                  <c:v>70.836841000000007</c:v>
                </c:pt>
                <c:pt idx="4">
                  <c:v>71.945244000000002</c:v>
                </c:pt>
              </c:numCache>
            </c:numRef>
          </c:yVal>
          <c:smooth val="1"/>
          <c:extLst>
            <c:ext xmlns:c16="http://schemas.microsoft.com/office/drawing/2014/chart" uri="{C3380CC4-5D6E-409C-BE32-E72D297353CC}">
              <c16:uniqueId val="{00000001-1B1C-4825-A003-8D632F3FCDD5}"/>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R10.0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68.478521999999998</c:v>
                </c:pt>
                <c:pt idx="1">
                  <c:v>70.438462000000001</c:v>
                </c:pt>
                <c:pt idx="2">
                  <c:v>72.129402999999996</c:v>
                </c:pt>
                <c:pt idx="3">
                  <c:v>73.406981000000002</c:v>
                </c:pt>
                <c:pt idx="4">
                  <c:v>75.319247000000004</c:v>
                </c:pt>
              </c:numCache>
            </c:numRef>
          </c:yVal>
          <c:smooth val="1"/>
          <c:extLst>
            <c:ext xmlns:c16="http://schemas.microsoft.com/office/drawing/2014/chart" uri="{C3380CC4-5D6E-409C-BE32-E72D297353CC}">
              <c16:uniqueId val="{00000000-03AA-41B2-874B-C1C104D89B86}"/>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68.478521999999998</c:v>
                </c:pt>
                <c:pt idx="1">
                  <c:v>70.438462000000001</c:v>
                </c:pt>
                <c:pt idx="2">
                  <c:v>72.129402999999996</c:v>
                </c:pt>
                <c:pt idx="3">
                  <c:v>73.406981000000002</c:v>
                </c:pt>
                <c:pt idx="4">
                  <c:v>75.319247000000004</c:v>
                </c:pt>
              </c:numCache>
            </c:numRef>
          </c:yVal>
          <c:smooth val="1"/>
          <c:extLst>
            <c:ext xmlns:c16="http://schemas.microsoft.com/office/drawing/2014/chart" uri="{C3380CC4-5D6E-409C-BE32-E72D297353CC}">
              <c16:uniqueId val="{00000001-03AA-41B2-874B-C1C104D89B86}"/>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R10.0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32.105369000000003</c:v>
                </c:pt>
                <c:pt idx="1">
                  <c:v>34.355713000000002</c:v>
                </c:pt>
                <c:pt idx="2">
                  <c:v>36.896805999999998</c:v>
                </c:pt>
                <c:pt idx="3">
                  <c:v>39.524644000000002</c:v>
                </c:pt>
                <c:pt idx="4">
                  <c:v>42.092658999999998</c:v>
                </c:pt>
              </c:numCache>
            </c:numRef>
          </c:yVal>
          <c:smooth val="1"/>
          <c:extLst>
            <c:ext xmlns:c16="http://schemas.microsoft.com/office/drawing/2014/chart" uri="{C3380CC4-5D6E-409C-BE32-E72D297353CC}">
              <c16:uniqueId val="{00000000-CF10-4A70-B600-B6FF69353759}"/>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32.105369000000003</c:v>
                </c:pt>
                <c:pt idx="1">
                  <c:v>34.355713000000002</c:v>
                </c:pt>
                <c:pt idx="2">
                  <c:v>36.896805999999998</c:v>
                </c:pt>
                <c:pt idx="3">
                  <c:v>39.524644000000002</c:v>
                </c:pt>
                <c:pt idx="4">
                  <c:v>42.092658999999998</c:v>
                </c:pt>
              </c:numCache>
            </c:numRef>
          </c:yVal>
          <c:smooth val="1"/>
          <c:extLst>
            <c:ext xmlns:c16="http://schemas.microsoft.com/office/drawing/2014/chart" uri="{C3380CC4-5D6E-409C-BE32-E72D297353CC}">
              <c16:uniqueId val="{00000001-CF10-4A70-B600-B6FF69353759}"/>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R10.0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44.165405999999997</c:v>
                </c:pt>
                <c:pt idx="1">
                  <c:v>45.462941000000001</c:v>
                </c:pt>
                <c:pt idx="2">
                  <c:v>46.595978000000002</c:v>
                </c:pt>
                <c:pt idx="3">
                  <c:v>47.911166000000001</c:v>
                </c:pt>
                <c:pt idx="4">
                  <c:v>49.412694000000002</c:v>
                </c:pt>
              </c:numCache>
            </c:numRef>
          </c:yVal>
          <c:smooth val="1"/>
          <c:extLst>
            <c:ext xmlns:c16="http://schemas.microsoft.com/office/drawing/2014/chart" uri="{C3380CC4-5D6E-409C-BE32-E72D297353CC}">
              <c16:uniqueId val="{00000000-B44F-41EE-9127-D7546B1FE7F3}"/>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44.165405999999997</c:v>
                </c:pt>
                <c:pt idx="1">
                  <c:v>45.462941000000001</c:v>
                </c:pt>
                <c:pt idx="2">
                  <c:v>46.595978000000002</c:v>
                </c:pt>
                <c:pt idx="3">
                  <c:v>47.911166000000001</c:v>
                </c:pt>
                <c:pt idx="4">
                  <c:v>49.412694000000002</c:v>
                </c:pt>
              </c:numCache>
            </c:numRef>
          </c:yVal>
          <c:smooth val="1"/>
          <c:extLst>
            <c:ext xmlns:c16="http://schemas.microsoft.com/office/drawing/2014/chart" uri="{C3380CC4-5D6E-409C-BE32-E72D297353CC}">
              <c16:uniqueId val="{00000001-B44F-41EE-9127-D7546B1FE7F3}"/>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R10.0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43.847447000000003</c:v>
                </c:pt>
                <c:pt idx="1">
                  <c:v>45.263540999999996</c:v>
                </c:pt>
                <c:pt idx="2">
                  <c:v>46.493755999999998</c:v>
                </c:pt>
                <c:pt idx="3">
                  <c:v>47.950046999999998</c:v>
                </c:pt>
                <c:pt idx="4">
                  <c:v>49.544708999999997</c:v>
                </c:pt>
              </c:numCache>
            </c:numRef>
          </c:yVal>
          <c:smooth val="1"/>
          <c:extLst>
            <c:ext xmlns:c16="http://schemas.microsoft.com/office/drawing/2014/chart" uri="{C3380CC4-5D6E-409C-BE32-E72D297353CC}">
              <c16:uniqueId val="{00000000-7C2D-427E-9623-C31BB42FFF52}"/>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43.847447000000003</c:v>
                </c:pt>
                <c:pt idx="1">
                  <c:v>45.263540999999996</c:v>
                </c:pt>
                <c:pt idx="2">
                  <c:v>46.493755999999998</c:v>
                </c:pt>
                <c:pt idx="3">
                  <c:v>47.950046999999998</c:v>
                </c:pt>
                <c:pt idx="4">
                  <c:v>49.544708999999997</c:v>
                </c:pt>
              </c:numCache>
            </c:numRef>
          </c:yVal>
          <c:smooth val="1"/>
          <c:extLst>
            <c:ext xmlns:c16="http://schemas.microsoft.com/office/drawing/2014/chart" uri="{C3380CC4-5D6E-409C-BE32-E72D297353CC}">
              <c16:uniqueId val="{00000001-7C2D-427E-9623-C31BB42FFF5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R10.0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6A78-4897-B5AF-94E18345D521}"/>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6A78-4897-B5AF-94E18345D52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58" t="s">
        <v>574</v>
      </c>
      <c r="D1" s="59"/>
      <c r="E1" s="59"/>
    </row>
    <row r="2" spans="2:12" x14ac:dyDescent="0.2">
      <c r="B2" t="s">
        <v>1</v>
      </c>
      <c r="C2" s="60"/>
      <c r="D2" s="59"/>
      <c r="E2" s="59"/>
    </row>
    <row r="4" spans="2:12" s="1" customFormat="1" x14ac:dyDescent="0.2">
      <c r="B4" s="1" t="s">
        <v>2</v>
      </c>
    </row>
    <row r="6" spans="2:12" x14ac:dyDescent="0.2">
      <c r="B6" s="61" t="s">
        <v>3</v>
      </c>
      <c r="C6" s="63" t="s">
        <v>4</v>
      </c>
      <c r="D6" s="64"/>
      <c r="E6" s="64"/>
      <c r="F6" s="64"/>
      <c r="G6" s="64"/>
      <c r="H6" s="64"/>
      <c r="I6" s="64"/>
      <c r="J6" s="64"/>
      <c r="K6" s="64"/>
      <c r="L6" s="64"/>
    </row>
    <row r="7" spans="2:12" x14ac:dyDescent="0.2">
      <c r="B7" s="59"/>
      <c r="C7" s="65" t="s">
        <v>5</v>
      </c>
      <c r="D7" s="59"/>
      <c r="E7" s="66" t="s">
        <v>6</v>
      </c>
      <c r="F7" s="59"/>
      <c r="G7" s="59"/>
      <c r="H7" s="65" t="s">
        <v>7</v>
      </c>
      <c r="I7" s="59"/>
      <c r="J7" s="66" t="s">
        <v>8</v>
      </c>
      <c r="K7" s="59"/>
      <c r="L7" s="59"/>
    </row>
    <row r="8" spans="2:12" ht="16" x14ac:dyDescent="0.2">
      <c r="B8" s="62"/>
      <c r="C8" s="2" t="s">
        <v>9</v>
      </c>
      <c r="D8" s="2" t="s">
        <v>10</v>
      </c>
      <c r="E8" s="3" t="s">
        <v>11</v>
      </c>
      <c r="F8" s="3" t="s">
        <v>12</v>
      </c>
      <c r="G8" s="3" t="s">
        <v>13</v>
      </c>
      <c r="H8" s="2" t="s">
        <v>9</v>
      </c>
      <c r="I8" s="2" t="s">
        <v>10</v>
      </c>
      <c r="J8" s="3" t="s">
        <v>11</v>
      </c>
      <c r="K8" s="3" t="s">
        <v>12</v>
      </c>
      <c r="L8" s="3" t="s">
        <v>13</v>
      </c>
    </row>
    <row r="9" spans="2:12" x14ac:dyDescent="0.2">
      <c r="B9" t="s">
        <v>14</v>
      </c>
      <c r="C9" s="52">
        <f>'C2 lossyG,lossyA,intra'!$BJ$40:$BJ$40</f>
        <v>-3.0122713554348035E-6</v>
      </c>
      <c r="D9" s="52">
        <f>'C2 lossyG,lossyA,intra'!$BK$40:$BK$40</f>
        <v>-2.8043081052586682E-6</v>
      </c>
      <c r="E9" s="52">
        <f>'C2 lossyG,lossyA,intra'!$BL$40:$BL$40</f>
        <v>0</v>
      </c>
      <c r="F9" s="52">
        <f>'C2 lossyG,lossyA,intra'!$BM$40:$BM$40</f>
        <v>0</v>
      </c>
      <c r="G9" s="52">
        <f>'C2 lossyG,lossyA,intra'!$BN$40:$BN$40</f>
        <v>0</v>
      </c>
      <c r="H9" s="52">
        <f>'C2 lossyG,lossyA,intra'!$BP$40:$BP$40</f>
        <v>-1.3004181184383956E-6</v>
      </c>
      <c r="I9" s="52">
        <f>'C2 lossyG,lossyA,intra'!$BQ$40:$BQ$40</f>
        <v>-1.1671771568688705E-6</v>
      </c>
      <c r="J9" s="52">
        <f>'C2 lossyG,lossyA,intra'!$BR$40:$BR$40</f>
        <v>-1.1548527271421083E-6</v>
      </c>
      <c r="K9" s="52">
        <f>'C2 lossyG,lossyA,intra'!$BS$40:$BS$40</f>
        <v>-1.0939840235091314E-6</v>
      </c>
      <c r="L9" s="52">
        <f>'C2 lossyG,lossyA,intra'!$BT$40:$BT$40</f>
        <v>-1.1533273640562669E-6</v>
      </c>
    </row>
    <row r="10" spans="2:12" x14ac:dyDescent="0.2">
      <c r="B10" t="s">
        <v>15</v>
      </c>
      <c r="C10" s="52">
        <f>'C2 lossyG,lossyA,intra'!$BJ$41:$BJ$41</f>
        <v>-3.1095777458062246E-3</v>
      </c>
      <c r="D10" s="52">
        <f>'C2 lossyG,lossyA,intra'!$BK$41:$BK$41</f>
        <v>-2.926627267056392E-3</v>
      </c>
      <c r="E10" s="52">
        <f>'C2 lossyG,lossyA,intra'!$BL$41:$BL$41</f>
        <v>-3.3482811804153023E-5</v>
      </c>
      <c r="F10" s="52">
        <f>'C2 lossyG,lossyA,intra'!$BM$41:$BM$41</f>
        <v>2.3802827424157513E-4</v>
      </c>
      <c r="G10" s="52">
        <f>'C2 lossyG,lossyA,intra'!$BN$41:$BN$41</f>
        <v>-4.7008424936989535E-5</v>
      </c>
      <c r="H10" s="52">
        <f>'C2 lossyG,lossyA,intra'!$BP$41:$BP$41</f>
        <v>-7.965147679489526E-4</v>
      </c>
      <c r="I10" s="52">
        <f>'C2 lossyG,lossyA,intra'!$BQ$41:$BQ$41</f>
        <v>-6.7318515581382687E-4</v>
      </c>
      <c r="J10" s="52">
        <f>'C2 lossyG,lossyA,intra'!$BR$41:$BR$41</f>
        <v>-6.2837445625796295E-4</v>
      </c>
      <c r="K10" s="52">
        <f>'C2 lossyG,lossyA,intra'!$BS$41:$BS$41</f>
        <v>-3.4114285963460222E-4</v>
      </c>
      <c r="L10" s="52">
        <f>'C2 lossyG,lossyA,intra'!$BT$41:$BT$41</f>
        <v>-5.9908010573117565E-4</v>
      </c>
    </row>
    <row r="11" spans="2:12" x14ac:dyDescent="0.2">
      <c r="B11" t="s">
        <v>16</v>
      </c>
      <c r="C11" s="52">
        <f>'C2 lossyG,lossyA,intra'!$BJ$42:$BJ$42</f>
        <v>-2.05179449787396E-3</v>
      </c>
      <c r="D11" s="52">
        <f>'C2 lossyG,lossyA,intra'!$BK$42:$BK$42</f>
        <v>-2.0045263892702336E-3</v>
      </c>
      <c r="E11" s="52">
        <f>'C2 lossyG,lossyA,intra'!$BL$42:$BL$42</f>
        <v>2.6288778340510799E-4</v>
      </c>
      <c r="F11" s="52">
        <f>'C2 lossyG,lossyA,intra'!$BM$42:$BM$42</f>
        <v>3.3297973620323162E-3</v>
      </c>
      <c r="G11" s="52">
        <f>'C2 lossyG,lossyA,intra'!$BN$42:$BN$42</f>
        <v>2.1662262606274574E-3</v>
      </c>
      <c r="H11" s="52">
        <f>'C2 lossyG,lossyA,intra'!$BP$42:$BP$42</f>
        <v>-7.4969884572917422E-4</v>
      </c>
      <c r="I11" s="52">
        <f>'C2 lossyG,lossyA,intra'!$BQ$42:$BQ$42</f>
        <v>-6.7480843570355553E-4</v>
      </c>
      <c r="J11" s="52">
        <f>'C2 lossyG,lossyA,intra'!$BR$42:$BR$42</f>
        <v>-7.2210557093926875E-4</v>
      </c>
      <c r="K11" s="52">
        <f>'C2 lossyG,lossyA,intra'!$BS$42:$BS$42</f>
        <v>1.5572560704923966E-3</v>
      </c>
      <c r="L11" s="52">
        <f>'C2 lossyG,lossyA,intra'!$BT$42:$BT$42</f>
        <v>7.4130477826350738E-4</v>
      </c>
    </row>
    <row r="12" spans="2:12" x14ac:dyDescent="0.2">
      <c r="B12" s="4" t="s">
        <v>17</v>
      </c>
      <c r="C12" s="5">
        <f>'C2 lossyG,lossyA,intra'!$BJ$43:$BJ$43</f>
        <v>-1.0321736895679834E-3</v>
      </c>
      <c r="D12" s="5">
        <f>'C2 lossyG,lossyA,intra'!$BK$43:$BK$43</f>
        <v>-9.9241389685969907E-4</v>
      </c>
      <c r="E12" s="5">
        <f>'C2 lossyG,lossyA,intra'!$BL$43:$BL$43</f>
        <v>7.0327536429437565E-5</v>
      </c>
      <c r="F12" s="5">
        <f>'C2 lossyG,lossyA,intra'!$BM$43:$BM$43</f>
        <v>9.8537471404374385E-4</v>
      </c>
      <c r="G12" s="5">
        <f>'C2 lossyG,lossyA,intra'!$BN$43:$BN$43</f>
        <v>6.1220629947398935E-4</v>
      </c>
      <c r="H12" s="5">
        <f>'C2 lossyG,lossyA,intra'!$BP$43:$BP$43</f>
        <v>-3.2873059026872209E-4</v>
      </c>
      <c r="I12" s="5">
        <f>'C2 lossyG,lossyA,intra'!$BQ$43:$BQ$43</f>
        <v>-2.8963867654977334E-4</v>
      </c>
      <c r="J12" s="5">
        <f>'C2 lossyG,lossyA,intra'!$BR$43:$BR$43</f>
        <v>-2.9674357272072412E-4</v>
      </c>
      <c r="K12" s="5">
        <f>'C2 lossyG,lossyA,intra'!$BS$43:$BS$43</f>
        <v>3.9557047789373634E-4</v>
      </c>
      <c r="L12" s="5">
        <f>'C2 lossyG,lossyA,intra'!$BT$43:$BT$43</f>
        <v>1.2555944876280201E-4</v>
      </c>
    </row>
    <row r="13" spans="2:12" x14ac:dyDescent="0.2">
      <c r="B13" t="s">
        <v>18</v>
      </c>
      <c r="C13" s="67">
        <f>'C2 lossyG,lossyA,intra'!AZ47</f>
        <v>1.0162322850530161</v>
      </c>
      <c r="D13" s="59"/>
      <c r="E13" s="59"/>
      <c r="F13" s="59"/>
      <c r="G13" s="59"/>
      <c r="H13" s="59"/>
      <c r="I13" s="59"/>
      <c r="J13" s="59"/>
      <c r="K13" s="59"/>
      <c r="L13" s="59"/>
    </row>
    <row r="14" spans="2:12" x14ac:dyDescent="0.2">
      <c r="B14" s="6" t="s">
        <v>19</v>
      </c>
      <c r="C14" s="68">
        <f>'C2 lossyG,lossyA,intra'!BB47</f>
        <v>1.0573286834119391</v>
      </c>
      <c r="D14" s="62"/>
      <c r="E14" s="62"/>
      <c r="F14" s="62"/>
      <c r="G14" s="62"/>
      <c r="H14" s="62"/>
      <c r="I14" s="62"/>
      <c r="J14" s="62"/>
      <c r="K14" s="62"/>
      <c r="L14" s="62"/>
    </row>
    <row r="16" spans="2:12" x14ac:dyDescent="0.2">
      <c r="B16" s="61" t="s">
        <v>20</v>
      </c>
      <c r="C16" s="63" t="s">
        <v>21</v>
      </c>
      <c r="D16" s="64"/>
      <c r="E16" s="64"/>
    </row>
    <row r="17" spans="2:5" x14ac:dyDescent="0.2">
      <c r="B17" s="59"/>
      <c r="C17" s="65" t="s">
        <v>22</v>
      </c>
      <c r="D17" s="59"/>
      <c r="E17" s="59"/>
    </row>
    <row r="18" spans="2:5" ht="16" x14ac:dyDescent="0.2">
      <c r="B18" s="62"/>
      <c r="C18" s="2" t="s">
        <v>23</v>
      </c>
      <c r="D18" s="2" t="s">
        <v>24</v>
      </c>
      <c r="E18" s="2" t="s">
        <v>25</v>
      </c>
    </row>
    <row r="19" spans="2:5" x14ac:dyDescent="0.2">
      <c r="B19" t="s">
        <v>14</v>
      </c>
      <c r="C19" s="52" t="e">
        <f>'CW losslG,losslA,intra'!BC12</f>
        <v>#DIV/0!</v>
      </c>
      <c r="D19" s="52" t="e">
        <f>'CW losslG,losslA,intra'!BE12</f>
        <v>#DIV/0!</v>
      </c>
      <c r="E19" s="52" t="e">
        <f>'CW losslG,losslA,intra'!BB12</f>
        <v>#DIV/0!</v>
      </c>
    </row>
    <row r="20" spans="2:5" x14ac:dyDescent="0.2">
      <c r="B20" t="s">
        <v>15</v>
      </c>
      <c r="C20" s="52" t="e">
        <f>'CW losslG,losslA,intra'!BC13</f>
        <v>#DIV/0!</v>
      </c>
      <c r="D20" s="52" t="e">
        <f>'CW losslG,losslA,intra'!BE13</f>
        <v>#DIV/0!</v>
      </c>
      <c r="E20" s="52" t="e">
        <f>'CW losslG,losslA,intra'!BB13</f>
        <v>#DIV/0!</v>
      </c>
    </row>
    <row r="21" spans="2:5" x14ac:dyDescent="0.2">
      <c r="B21" t="s">
        <v>16</v>
      </c>
      <c r="C21" s="52" t="e">
        <f>'CW losslG,losslA,intra'!BC14</f>
        <v>#DIV/0!</v>
      </c>
      <c r="D21" s="52" t="e">
        <f>'CW losslG,losslA,intra'!BE14</f>
        <v>#DIV/0!</v>
      </c>
      <c r="E21" s="52" t="e">
        <f>'CW losslG,losslA,intra'!BB14</f>
        <v>#DIV/0!</v>
      </c>
    </row>
    <row r="22" spans="2:5" x14ac:dyDescent="0.2">
      <c r="B22" s="4" t="s">
        <v>17</v>
      </c>
      <c r="C22" s="5" t="e">
        <f>'CW losslG,losslA,intra'!BC15</f>
        <v>#DIV/0!</v>
      </c>
      <c r="D22" s="5" t="e">
        <f>'CW losslG,losslA,intra'!BE15</f>
        <v>#DIV/0!</v>
      </c>
      <c r="E22" s="5" t="e">
        <f>'CW losslG,losslA,intra'!BB15</f>
        <v>#DIV/0!</v>
      </c>
    </row>
    <row r="23" spans="2:5" x14ac:dyDescent="0.2">
      <c r="B23" t="s">
        <v>18</v>
      </c>
      <c r="C23" s="67" t="e">
        <f>'CW losslG,losslA,intra'!AW19</f>
        <v>#NUM!</v>
      </c>
      <c r="D23" s="59"/>
      <c r="E23" s="59"/>
    </row>
    <row r="24" spans="2:5" x14ac:dyDescent="0.2">
      <c r="B24" s="6" t="s">
        <v>19</v>
      </c>
      <c r="C24" s="68" t="e">
        <f>'CW losslG,losslA,intra'!AY19</f>
        <v>#NUM!</v>
      </c>
      <c r="D24" s="62"/>
      <c r="E24" s="62"/>
    </row>
    <row r="26" spans="2:5" s="1" customFormat="1" x14ac:dyDescent="0.2">
      <c r="B26" s="1" t="s">
        <v>26</v>
      </c>
    </row>
    <row r="28" spans="2:5" x14ac:dyDescent="0.2">
      <c r="B28" s="61" t="s">
        <v>27</v>
      </c>
      <c r="C28" s="63" t="s">
        <v>28</v>
      </c>
      <c r="D28" s="64"/>
      <c r="E28" s="64"/>
    </row>
    <row r="29" spans="2:5" x14ac:dyDescent="0.2">
      <c r="B29" s="59"/>
      <c r="C29" s="65" t="s">
        <v>22</v>
      </c>
      <c r="D29" s="59"/>
      <c r="E29" s="59"/>
    </row>
    <row r="30" spans="2:5" ht="16" x14ac:dyDescent="0.2">
      <c r="B30" s="62"/>
      <c r="C30" s="2" t="s">
        <v>23</v>
      </c>
      <c r="D30" s="2" t="s">
        <v>24</v>
      </c>
      <c r="E30" s="2" t="s">
        <v>25</v>
      </c>
    </row>
    <row r="31" spans="2:5" x14ac:dyDescent="0.2">
      <c r="B31" t="s">
        <v>14</v>
      </c>
      <c r="C31" s="52" t="e">
        <f>'CW losslG,losslA,interLD'!BC12</f>
        <v>#DIV/0!</v>
      </c>
      <c r="D31" s="52" t="e">
        <f>'CW losslG,losslA,interLD'!BE12</f>
        <v>#DIV/0!</v>
      </c>
      <c r="E31" s="52" t="e">
        <f>'CW losslG,losslA,interLD'!BB12</f>
        <v>#DIV/0!</v>
      </c>
    </row>
    <row r="32" spans="2:5" x14ac:dyDescent="0.2">
      <c r="B32" t="s">
        <v>15</v>
      </c>
      <c r="C32" s="52" t="e">
        <f>'CW losslG,losslA,interLD'!BC13</f>
        <v>#DIV/0!</v>
      </c>
      <c r="D32" s="52" t="e">
        <f>'CW losslG,losslA,interLD'!BE13</f>
        <v>#DIV/0!</v>
      </c>
      <c r="E32" s="52" t="e">
        <f>'CW losslG,losslA,interLD'!BB13</f>
        <v>#DIV/0!</v>
      </c>
    </row>
    <row r="33" spans="2:12" x14ac:dyDescent="0.2">
      <c r="B33" t="s">
        <v>16</v>
      </c>
      <c r="C33" s="52" t="e">
        <f>'CW losslG,losslA,interLD'!BC14</f>
        <v>#DIV/0!</v>
      </c>
      <c r="D33" s="52" t="e">
        <f>'CW losslG,losslA,interLD'!BE14</f>
        <v>#DIV/0!</v>
      </c>
      <c r="E33" s="52" t="e">
        <f>'CW losslG,losslA,interLD'!BB14</f>
        <v>#DIV/0!</v>
      </c>
    </row>
    <row r="34" spans="2:12" x14ac:dyDescent="0.2">
      <c r="B34" s="4" t="s">
        <v>17</v>
      </c>
      <c r="C34" s="5" t="e">
        <f>'CW losslG,losslA,interLD'!BC15</f>
        <v>#DIV/0!</v>
      </c>
      <c r="D34" s="5" t="e">
        <f>'CW losslG,losslA,interLD'!BE15</f>
        <v>#DIV/0!</v>
      </c>
      <c r="E34" s="5" t="e">
        <f>'CW losslG,losslA,interLD'!BB15</f>
        <v>#DIV/0!</v>
      </c>
    </row>
    <row r="35" spans="2:12" x14ac:dyDescent="0.2">
      <c r="B35" t="s">
        <v>18</v>
      </c>
      <c r="C35" s="67" t="e">
        <f>'CW losslG,losslA,interLD'!AW19</f>
        <v>#NUM!</v>
      </c>
      <c r="D35" s="59"/>
      <c r="E35" s="59"/>
    </row>
    <row r="36" spans="2:12" x14ac:dyDescent="0.2">
      <c r="B36" s="6" t="s">
        <v>19</v>
      </c>
      <c r="C36" s="68" t="e">
        <f>'CW losslG,losslA,interLD'!AY19</f>
        <v>#NUM!</v>
      </c>
      <c r="D36" s="62"/>
      <c r="E36" s="62"/>
    </row>
    <row r="38" spans="2:12" s="1" customFormat="1" x14ac:dyDescent="0.2">
      <c r="B38" s="1" t="s">
        <v>29</v>
      </c>
    </row>
    <row r="40" spans="2:12" x14ac:dyDescent="0.2">
      <c r="B40" s="61" t="s">
        <v>30</v>
      </c>
      <c r="C40" s="63" t="s">
        <v>31</v>
      </c>
      <c r="D40" s="64"/>
      <c r="E40" s="64"/>
      <c r="F40" s="64"/>
      <c r="G40" s="64"/>
      <c r="H40" s="64"/>
      <c r="I40" s="64"/>
      <c r="J40" s="64"/>
      <c r="K40" s="64"/>
      <c r="L40" s="64"/>
    </row>
    <row r="41" spans="2:12" x14ac:dyDescent="0.2">
      <c r="B41" s="59"/>
      <c r="C41" s="65" t="s">
        <v>5</v>
      </c>
      <c r="D41" s="59"/>
      <c r="E41" s="66" t="s">
        <v>6</v>
      </c>
      <c r="F41" s="59"/>
      <c r="G41" s="59"/>
      <c r="H41" s="65" t="s">
        <v>7</v>
      </c>
      <c r="I41" s="59"/>
      <c r="J41" s="66" t="s">
        <v>8</v>
      </c>
      <c r="K41" s="59"/>
      <c r="L41" s="59"/>
    </row>
    <row r="42" spans="2:12" ht="16" x14ac:dyDescent="0.2">
      <c r="B42" s="62"/>
      <c r="C42" s="2" t="s">
        <v>9</v>
      </c>
      <c r="D42" s="2" t="s">
        <v>10</v>
      </c>
      <c r="E42" s="3" t="s">
        <v>11</v>
      </c>
      <c r="F42" s="3" t="s">
        <v>12</v>
      </c>
      <c r="G42" s="3" t="s">
        <v>13</v>
      </c>
      <c r="H42" s="2" t="s">
        <v>9</v>
      </c>
      <c r="I42" s="2" t="s">
        <v>10</v>
      </c>
      <c r="J42" s="3" t="s">
        <v>11</v>
      </c>
      <c r="K42" s="3" t="s">
        <v>12</v>
      </c>
      <c r="L42" s="3" t="s">
        <v>13</v>
      </c>
    </row>
    <row r="43" spans="2:12" x14ac:dyDescent="0.2">
      <c r="B43" t="s">
        <v>14</v>
      </c>
      <c r="C43" s="52">
        <f>'C2 lossyG,lossyA,interRA'!$BJ$40:$BJ$40</f>
        <v>-1.3057021372069044E-3</v>
      </c>
      <c r="D43" s="52">
        <f>'C2 lossyG,lossyA,interRA'!$BK$40:$BK$40</f>
        <v>-1.3427786521772733E-3</v>
      </c>
      <c r="E43" s="52">
        <f>'C2 lossyG,lossyA,interRA'!$BL$40:$BL$40</f>
        <v>-1.5044060958378569E-2</v>
      </c>
      <c r="F43" s="52">
        <f>'C2 lossyG,lossyA,interRA'!$BM$40:$BM$40</f>
        <v>-2.5062572130885835E-2</v>
      </c>
      <c r="G43" s="52">
        <f>'C2 lossyG,lossyA,interRA'!$BN$40:$BN$40</f>
        <v>-1.5546406263098528E-2</v>
      </c>
      <c r="H43" s="52">
        <f>'C2 lossyG,lossyA,interRA'!$BP$40:$BP$40</f>
        <v>-6.9453255289815274E-3</v>
      </c>
      <c r="I43" s="52">
        <f>'C2 lossyG,lossyA,interRA'!$BQ$40:$BQ$40</f>
        <v>-6.9691805094203307E-3</v>
      </c>
      <c r="J43" s="52">
        <f>'C2 lossyG,lossyA,interRA'!$BR$40:$BR$40</f>
        <v>-4.0173607261031474E-3</v>
      </c>
      <c r="K43" s="52">
        <f>'C2 lossyG,lossyA,interRA'!$BS$40:$BS$40</f>
        <v>-1.1355739993504727E-2</v>
      </c>
      <c r="L43" s="52">
        <f>'C2 lossyG,lossyA,interRA'!$BT$40:$BT$40</f>
        <v>-4.8107033033047697E-3</v>
      </c>
    </row>
    <row r="44" spans="2:12" x14ac:dyDescent="0.2">
      <c r="B44" t="s">
        <v>15</v>
      </c>
      <c r="C44" s="52">
        <f>'C2 lossyG,lossyA,interRA'!$BJ$41:$BJ$41</f>
        <v>1.8370461865762078E-3</v>
      </c>
      <c r="D44" s="52">
        <f>'C2 lossyG,lossyA,interRA'!$BK$41:$BK$41</f>
        <v>2.3533713586687544E-3</v>
      </c>
      <c r="E44" s="52">
        <f>'C2 lossyG,lossyA,interRA'!$BL$41:$BL$41</f>
        <v>-3.0310210114082858E-3</v>
      </c>
      <c r="F44" s="52">
        <f>'C2 lossyG,lossyA,interRA'!$BM$41:$BM$41</f>
        <v>6.6544099190637418E-3</v>
      </c>
      <c r="G44" s="52">
        <f>'C2 lossyG,lossyA,interRA'!$BN$41:$BN$41</f>
        <v>1.5224279155376941E-3</v>
      </c>
      <c r="H44" s="52">
        <f>'C2 lossyG,lossyA,interRA'!$BP$41:$BP$41</f>
        <v>-3.4732512212900524E-3</v>
      </c>
      <c r="I44" s="52">
        <f>'C2 lossyG,lossyA,interRA'!$BQ$41:$BQ$41</f>
        <v>-3.8864058618816033E-3</v>
      </c>
      <c r="J44" s="52">
        <f>'C2 lossyG,lossyA,interRA'!$BR$41:$BR$41</f>
        <v>-4.3689468399721321E-5</v>
      </c>
      <c r="K44" s="52">
        <f>'C2 lossyG,lossyA,interRA'!$BS$41:$BS$41</f>
        <v>7.0754514286259784E-3</v>
      </c>
      <c r="L44" s="52">
        <f>'C2 lossyG,lossyA,interRA'!$BT$41:$BT$41</f>
        <v>3.1090497008767759E-3</v>
      </c>
    </row>
    <row r="45" spans="2:12" x14ac:dyDescent="0.2">
      <c r="B45" t="s">
        <v>16</v>
      </c>
      <c r="C45" s="52">
        <f>'C2 lossyG,lossyA,interRA'!$BJ$42:$BJ$42</f>
        <v>-3.3754160559845703E-4</v>
      </c>
      <c r="D45" s="52">
        <f>'C2 lossyG,lossyA,interRA'!$BK$42:$BK$42</f>
        <v>-2.0030991743286153E-4</v>
      </c>
      <c r="E45" s="52">
        <f>'C2 lossyG,lossyA,interRA'!$BL$42:$BL$42</f>
        <v>-2.6405824089348329E-4</v>
      </c>
      <c r="F45" s="52">
        <f>'C2 lossyG,lossyA,interRA'!$BM$42:$BM$42</f>
        <v>-6.0290816515193857E-3</v>
      </c>
      <c r="G45" s="52">
        <f>'C2 lossyG,lossyA,interRA'!$BN$42:$BN$42</f>
        <v>1.1692420030301465E-3</v>
      </c>
      <c r="H45" s="52">
        <f>'C2 lossyG,lossyA,interRA'!$BP$42:$BP$42</f>
        <v>1.5354651919302631E-4</v>
      </c>
      <c r="I45" s="52">
        <f>'C2 lossyG,lossyA,interRA'!$BQ$42:$BQ$42</f>
        <v>3.0790184255991004E-4</v>
      </c>
      <c r="J45" s="52">
        <f>'C2 lossyG,lossyA,interRA'!$BR$42:$BR$42</f>
        <v>-6.8765455188213309E-4</v>
      </c>
      <c r="K45" s="52">
        <f>'C2 lossyG,lossyA,interRA'!$BS$42:$BS$42</f>
        <v>-4.089539030020295E-3</v>
      </c>
      <c r="L45" s="52">
        <f>'C2 lossyG,lossyA,interRA'!$BT$42:$BT$42</f>
        <v>5.1549948733181639E-4</v>
      </c>
    </row>
    <row r="46" spans="2:12" x14ac:dyDescent="0.2">
      <c r="B46" s="4" t="s">
        <v>17</v>
      </c>
      <c r="C46" s="5">
        <f>'C2 lossyG,lossyA,interRA'!$BJ$43:$BJ$43</f>
        <v>-5.8012079620690341E-4</v>
      </c>
      <c r="D46" s="5">
        <f>'C2 lossyG,lossyA,interRA'!$BK$43:$BK$43</f>
        <v>-4.8833758355800881E-4</v>
      </c>
      <c r="E46" s="5">
        <f>'C2 lossyG,lossyA,interRA'!$BL$43:$BL$43</f>
        <v>-9.1050544752442186E-3</v>
      </c>
      <c r="F46" s="5">
        <f>'C2 lossyG,lossyA,interRA'!$BM$43:$BM$43</f>
        <v>-1.509343455821691E-2</v>
      </c>
      <c r="G46" s="5">
        <f>'C2 lossyG,lossyA,interRA'!$BN$43:$BN$43</f>
        <v>-8.3321018758280175E-3</v>
      </c>
      <c r="H46" s="5">
        <f>'C2 lossyG,lossyA,interRA'!$BP$43:$BP$43</f>
        <v>-4.4210657569757296E-3</v>
      </c>
      <c r="I46" s="5">
        <f>'C2 lossyG,lossyA,interRA'!$BQ$43:$BQ$43</f>
        <v>-4.4496177449204434E-3</v>
      </c>
      <c r="J46" s="5">
        <f>'C2 lossyG,lossyA,interRA'!$BR$43:$BR$43</f>
        <v>-2.4983487823680823E-3</v>
      </c>
      <c r="K46" s="5">
        <f>'C2 lossyG,lossyA,interRA'!$BS$43:$BS$43</f>
        <v>-6.6466552293476455E-3</v>
      </c>
      <c r="L46" s="5">
        <f>'C2 lossyG,lossyA,interRA'!$BT$43:$BT$43</f>
        <v>-2.1575377910969529E-3</v>
      </c>
    </row>
    <row r="47" spans="2:12" x14ac:dyDescent="0.2">
      <c r="B47" t="s">
        <v>18</v>
      </c>
      <c r="C47" s="67">
        <f>'C2 lossyG,lossyA,interRA'!AZ47</f>
        <v>0.97628935830203967</v>
      </c>
      <c r="D47" s="59"/>
      <c r="E47" s="59"/>
      <c r="F47" s="59"/>
      <c r="G47" s="59"/>
      <c r="H47" s="59"/>
      <c r="I47" s="59"/>
      <c r="J47" s="59"/>
      <c r="K47" s="59"/>
      <c r="L47" s="59"/>
    </row>
    <row r="48" spans="2:12" x14ac:dyDescent="0.2">
      <c r="B48" s="6" t="s">
        <v>19</v>
      </c>
      <c r="C48" s="68">
        <f>'C2 lossyG,lossyA,interRA'!BB47</f>
        <v>1.0318843508602429</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32</v>
      </c>
      <c r="B1" s="7" t="str">
        <f>M1</f>
        <v>C2 lossyG,lossyA,intra</v>
      </c>
      <c r="C1" t="s">
        <v>33</v>
      </c>
      <c r="I1" t="s">
        <v>34</v>
      </c>
      <c r="M1" t="s">
        <v>35</v>
      </c>
      <c r="N1" t="s">
        <v>36</v>
      </c>
      <c r="O1" t="s">
        <v>37</v>
      </c>
      <c r="P1" t="s">
        <v>38</v>
      </c>
    </row>
    <row r="2" spans="1:16" x14ac:dyDescent="0.2">
      <c r="A2" t="s">
        <v>39</v>
      </c>
      <c r="B2" s="7" t="str">
        <f>HLOOKUP(B1,M1:ZZ3,3,0)</f>
        <v>8ivfbv2_loot_vox10</v>
      </c>
      <c r="C2" t="s">
        <v>40</v>
      </c>
      <c r="I2" t="s">
        <v>41</v>
      </c>
      <c r="J2" t="s">
        <v>42</v>
      </c>
      <c r="M2" t="s">
        <v>43</v>
      </c>
      <c r="N2" t="s">
        <v>44</v>
      </c>
      <c r="O2" t="s">
        <v>45</v>
      </c>
      <c r="P2" t="s">
        <v>46</v>
      </c>
    </row>
    <row r="3" spans="1:16" x14ac:dyDescent="0.2">
      <c r="I3" t="s">
        <v>47</v>
      </c>
      <c r="J3" t="s">
        <v>48</v>
      </c>
      <c r="M3" t="s">
        <v>49</v>
      </c>
      <c r="N3" t="s">
        <v>49</v>
      </c>
      <c r="O3" t="s">
        <v>49</v>
      </c>
      <c r="P3" t="s">
        <v>49</v>
      </c>
    </row>
    <row r="4" spans="1:16" x14ac:dyDescent="0.2">
      <c r="A4" t="s">
        <v>50</v>
      </c>
      <c r="B4" s="7" t="s">
        <v>51</v>
      </c>
      <c r="C4" t="s">
        <v>52</v>
      </c>
      <c r="D4" s="7" t="s">
        <v>53</v>
      </c>
      <c r="E4" t="s">
        <v>54</v>
      </c>
      <c r="I4" t="s">
        <v>55</v>
      </c>
      <c r="J4" t="s">
        <v>56</v>
      </c>
      <c r="M4" t="s">
        <v>57</v>
      </c>
      <c r="N4" t="s">
        <v>57</v>
      </c>
      <c r="O4" t="s">
        <v>57</v>
      </c>
      <c r="P4" t="s">
        <v>57</v>
      </c>
    </row>
    <row r="5" spans="1:16" x14ac:dyDescent="0.2">
      <c r="A5" t="s">
        <v>50</v>
      </c>
      <c r="B5" s="7" t="s">
        <v>51</v>
      </c>
      <c r="C5" t="s">
        <v>52</v>
      </c>
      <c r="D5" s="7" t="s">
        <v>58</v>
      </c>
      <c r="E5" t="s">
        <v>59</v>
      </c>
      <c r="I5" t="s">
        <v>60</v>
      </c>
      <c r="J5" t="s">
        <v>61</v>
      </c>
      <c r="M5" t="s">
        <v>62</v>
      </c>
      <c r="N5" t="s">
        <v>62</v>
      </c>
      <c r="O5" t="s">
        <v>62</v>
      </c>
      <c r="P5" t="s">
        <v>62</v>
      </c>
    </row>
    <row r="6" spans="1:16" x14ac:dyDescent="0.2">
      <c r="A6" t="s">
        <v>50</v>
      </c>
      <c r="B6" s="7" t="s">
        <v>63</v>
      </c>
      <c r="C6" t="s">
        <v>52</v>
      </c>
      <c r="D6" s="7" t="s">
        <v>64</v>
      </c>
      <c r="E6" t="s">
        <v>65</v>
      </c>
      <c r="I6" t="s">
        <v>66</v>
      </c>
      <c r="J6" t="s">
        <v>67</v>
      </c>
      <c r="M6" t="s">
        <v>68</v>
      </c>
      <c r="N6" t="s">
        <v>68</v>
      </c>
      <c r="O6" t="s">
        <v>68</v>
      </c>
      <c r="P6" t="s">
        <v>68</v>
      </c>
    </row>
    <row r="7" spans="1:16" x14ac:dyDescent="0.2">
      <c r="A7" t="s">
        <v>50</v>
      </c>
      <c r="B7" s="7" t="s">
        <v>63</v>
      </c>
      <c r="C7" t="s">
        <v>52</v>
      </c>
      <c r="D7" s="7" t="s">
        <v>47</v>
      </c>
      <c r="E7" t="s">
        <v>69</v>
      </c>
      <c r="I7" t="s">
        <v>53</v>
      </c>
      <c r="J7" t="s">
        <v>70</v>
      </c>
      <c r="M7" t="s">
        <v>71</v>
      </c>
      <c r="N7" t="s">
        <v>71</v>
      </c>
      <c r="O7" t="s">
        <v>71</v>
      </c>
      <c r="P7" t="s">
        <v>71</v>
      </c>
    </row>
    <row r="8" spans="1:16" x14ac:dyDescent="0.2">
      <c r="A8" t="s">
        <v>50</v>
      </c>
      <c r="B8" s="7" t="s">
        <v>63</v>
      </c>
      <c r="C8" t="s">
        <v>52</v>
      </c>
      <c r="D8" s="7" t="s">
        <v>60</v>
      </c>
      <c r="E8" t="s">
        <v>72</v>
      </c>
      <c r="I8" t="s">
        <v>73</v>
      </c>
      <c r="J8" t="s">
        <v>74</v>
      </c>
      <c r="M8" t="s">
        <v>75</v>
      </c>
      <c r="N8" t="s">
        <v>75</v>
      </c>
      <c r="O8" t="s">
        <v>75</v>
      </c>
      <c r="P8" t="s">
        <v>75</v>
      </c>
    </row>
    <row r="9" spans="1:16" x14ac:dyDescent="0.2">
      <c r="A9" t="s">
        <v>50</v>
      </c>
      <c r="B9" s="7" t="s">
        <v>76</v>
      </c>
      <c r="C9" t="s">
        <v>52</v>
      </c>
      <c r="D9" s="7" t="s">
        <v>77</v>
      </c>
      <c r="E9" t="s">
        <v>78</v>
      </c>
      <c r="I9" t="s">
        <v>58</v>
      </c>
      <c r="J9" t="s">
        <v>79</v>
      </c>
      <c r="M9" t="s">
        <v>80</v>
      </c>
      <c r="N9" t="s">
        <v>80</v>
      </c>
      <c r="O9" t="s">
        <v>80</v>
      </c>
      <c r="P9" t="s">
        <v>80</v>
      </c>
    </row>
    <row r="10" spans="1:16" x14ac:dyDescent="0.2">
      <c r="I10" t="s">
        <v>81</v>
      </c>
      <c r="J10" t="s">
        <v>82</v>
      </c>
    </row>
    <row r="11" spans="1:16" x14ac:dyDescent="0.2">
      <c r="I11" t="s">
        <v>83</v>
      </c>
      <c r="J11" t="s">
        <v>84</v>
      </c>
    </row>
    <row r="12" spans="1:16" x14ac:dyDescent="0.2">
      <c r="I12" t="s">
        <v>85</v>
      </c>
      <c r="J12" t="s">
        <v>86</v>
      </c>
    </row>
    <row r="13" spans="1:16" x14ac:dyDescent="0.2">
      <c r="I13" t="s">
        <v>87</v>
      </c>
      <c r="J13" t="s">
        <v>88</v>
      </c>
    </row>
    <row r="14" spans="1:16" x14ac:dyDescent="0.2">
      <c r="I14" t="s">
        <v>89</v>
      </c>
      <c r="J14" t="s">
        <v>90</v>
      </c>
    </row>
    <row r="15" spans="1:16" x14ac:dyDescent="0.2">
      <c r="I15" t="s">
        <v>91</v>
      </c>
      <c r="J15" t="s">
        <v>92</v>
      </c>
    </row>
    <row r="16" spans="1:16" x14ac:dyDescent="0.2">
      <c r="I16" t="s">
        <v>93</v>
      </c>
      <c r="J16" t="s">
        <v>94</v>
      </c>
    </row>
    <row r="17" spans="9:10" x14ac:dyDescent="0.2">
      <c r="I17" t="s">
        <v>77</v>
      </c>
      <c r="J17" t="s">
        <v>95</v>
      </c>
    </row>
    <row r="18" spans="9:10" x14ac:dyDescent="0.2">
      <c r="I18" t="s">
        <v>96</v>
      </c>
      <c r="J18" t="s">
        <v>97</v>
      </c>
    </row>
    <row r="19" spans="9:10" x14ac:dyDescent="0.2">
      <c r="I19" t="s">
        <v>98</v>
      </c>
      <c r="J19" t="s">
        <v>99</v>
      </c>
    </row>
    <row r="20" spans="9:10" x14ac:dyDescent="0.2">
      <c r="I20" t="s">
        <v>100</v>
      </c>
      <c r="J20" t="s">
        <v>101</v>
      </c>
    </row>
    <row r="21" spans="9:10" x14ac:dyDescent="0.2">
      <c r="I21" t="s">
        <v>102</v>
      </c>
      <c r="J21" t="s">
        <v>103</v>
      </c>
    </row>
    <row r="22" spans="9:10" x14ac:dyDescent="0.2">
      <c r="I22" t="s">
        <v>64</v>
      </c>
      <c r="J22" t="s">
        <v>104</v>
      </c>
    </row>
    <row r="23" spans="9:10" x14ac:dyDescent="0.2">
      <c r="I23" t="s">
        <v>105</v>
      </c>
      <c r="J23" t="s">
        <v>106</v>
      </c>
    </row>
    <row r="24" spans="9:10" x14ac:dyDescent="0.2">
      <c r="I24" t="s">
        <v>107</v>
      </c>
      <c r="J24" t="s">
        <v>108</v>
      </c>
    </row>
    <row r="25" spans="9:10" x14ac:dyDescent="0.2">
      <c r="I25" t="s">
        <v>109</v>
      </c>
      <c r="J25" t="s">
        <v>110</v>
      </c>
    </row>
    <row r="26" spans="9:10" x14ac:dyDescent="0.2">
      <c r="I26" t="s">
        <v>111</v>
      </c>
      <c r="J26" t="s">
        <v>112</v>
      </c>
    </row>
    <row r="27" spans="9:10" x14ac:dyDescent="0.2">
      <c r="I27" t="s">
        <v>113</v>
      </c>
      <c r="J27" t="s">
        <v>114</v>
      </c>
    </row>
    <row r="28" spans="9:10" x14ac:dyDescent="0.2">
      <c r="I28" t="s">
        <v>115</v>
      </c>
      <c r="J28" t="s">
        <v>116</v>
      </c>
    </row>
    <row r="29" spans="9:10" x14ac:dyDescent="0.2">
      <c r="I29" t="s">
        <v>117</v>
      </c>
      <c r="J29" t="s">
        <v>118</v>
      </c>
    </row>
    <row r="30" spans="9:10" x14ac:dyDescent="0.2">
      <c r="I30" t="s">
        <v>119</v>
      </c>
      <c r="J30" t="s">
        <v>120</v>
      </c>
    </row>
    <row r="31" spans="9:10" x14ac:dyDescent="0.2">
      <c r="I31" t="s">
        <v>121</v>
      </c>
      <c r="J31" t="s">
        <v>122</v>
      </c>
    </row>
    <row r="32" spans="9:10" x14ac:dyDescent="0.2">
      <c r="I32" t="s">
        <v>123</v>
      </c>
      <c r="J32" t="s">
        <v>124</v>
      </c>
    </row>
    <row r="33" spans="9:10" x14ac:dyDescent="0.2">
      <c r="I33" t="s">
        <v>125</v>
      </c>
      <c r="J33" t="s">
        <v>126</v>
      </c>
    </row>
    <row r="34" spans="9:10" x14ac:dyDescent="0.2">
      <c r="I34" t="s">
        <v>127</v>
      </c>
      <c r="J34" t="s">
        <v>128</v>
      </c>
    </row>
    <row r="35" spans="9:10" x14ac:dyDescent="0.2">
      <c r="I35" t="s">
        <v>63</v>
      </c>
      <c r="J35" t="s">
        <v>129</v>
      </c>
    </row>
    <row r="36" spans="9:10" x14ac:dyDescent="0.2">
      <c r="I36" t="s">
        <v>51</v>
      </c>
      <c r="J36" t="s">
        <v>130</v>
      </c>
    </row>
    <row r="37" spans="9:10" x14ac:dyDescent="0.2">
      <c r="I37" t="s">
        <v>131</v>
      </c>
      <c r="J37" t="s">
        <v>132</v>
      </c>
    </row>
    <row r="38" spans="9:10" x14ac:dyDescent="0.2">
      <c r="I38" t="s">
        <v>76</v>
      </c>
      <c r="J38" t="s">
        <v>133</v>
      </c>
    </row>
    <row r="39" spans="9:10" x14ac:dyDescent="0.2">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99"/>
  <sheetViews>
    <sheetView zoomScale="90" zoomScaleNormal="90" workbookViewId="0">
      <pane xSplit="2" ySplit="4" topLeftCell="AG5" activePane="bottomRight" state="frozen"/>
      <selection pane="topRight" activeCell="C1" sqref="C1"/>
      <selection pane="bottomLeft" activeCell="A5" sqref="A5"/>
      <selection pane="bottomRight" activeCell="AM53" sqref="AM53"/>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2">
      <c r="A1" s="73" t="s">
        <v>136</v>
      </c>
      <c r="B1" s="59"/>
      <c r="C1" s="59"/>
      <c r="D1" s="59"/>
      <c r="E1" s="59"/>
      <c r="F1" s="59"/>
      <c r="G1" s="59"/>
      <c r="I1" s="58" t="str">
        <f>Summary!$C$1</f>
        <v>R10.0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ht="17" thickBot="1"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
      <c r="A5" s="54" t="s">
        <v>229</v>
      </c>
      <c r="B5" s="54" t="s">
        <v>49</v>
      </c>
      <c r="C5" s="10" t="s">
        <v>230</v>
      </c>
      <c r="D5" s="54">
        <v>238146391</v>
      </c>
      <c r="E5" s="10">
        <v>10</v>
      </c>
      <c r="F5" s="10">
        <v>32</v>
      </c>
      <c r="G5" s="10">
        <v>30</v>
      </c>
      <c r="I5" s="11">
        <f t="shared" ref="I5:I39" si="0">IF(OR(ISBLANK(S5),ISBLANK(G5)),"·",S5*G5/F5/1000000)</f>
        <v>2.1803775000000001</v>
      </c>
      <c r="J5" s="12">
        <f t="shared" ref="J5:J39" si="1">IF(ISBLANK(S5),"·",S5/D5)</f>
        <v>9.7659930525674024E-3</v>
      </c>
      <c r="K5" s="12">
        <f t="shared" ref="K5:K39" si="2">IF(N5="","·",N5/D5)</f>
        <v>6.1874546736255184E-3</v>
      </c>
      <c r="L5" s="12">
        <f t="shared" ref="L5:L39" si="3">IF(T5="","·",T5/D5)</f>
        <v>3.5272086067430685E-3</v>
      </c>
      <c r="M5" s="12">
        <f t="shared" ref="M5:M39" si="4">IF(ISBLANK(V5),"·",V5/D5)</f>
        <v>3.5785383789418835E-3</v>
      </c>
      <c r="N5" s="54">
        <f t="shared" ref="N5:N39" si="5">IF(OR(ISBLANK(T5),ISBLANK(U5)),"",T5+U5)</f>
        <v>1473520</v>
      </c>
      <c r="O5" s="12">
        <v>16</v>
      </c>
      <c r="P5" s="13">
        <v>21785839</v>
      </c>
      <c r="Q5" s="13">
        <v>680807.46875</v>
      </c>
      <c r="R5" s="13">
        <v>13493.71875</v>
      </c>
      <c r="S5" s="14">
        <v>2325736</v>
      </c>
      <c r="T5" s="14">
        <v>839992</v>
      </c>
      <c r="U5" s="14">
        <v>633528</v>
      </c>
      <c r="V5" s="14">
        <v>852216</v>
      </c>
      <c r="W5" s="15">
        <v>66.354630999999998</v>
      </c>
      <c r="X5" s="15">
        <v>68.478521999999998</v>
      </c>
      <c r="Y5" s="15">
        <v>32.105369000000003</v>
      </c>
      <c r="Z5" s="15">
        <v>44.165405999999997</v>
      </c>
      <c r="AA5" s="15">
        <v>43.847447000000003</v>
      </c>
      <c r="AB5" s="16">
        <v>3100.68</v>
      </c>
      <c r="AC5" s="16">
        <v>0</v>
      </c>
      <c r="AD5" s="16">
        <v>41.987000000000002</v>
      </c>
      <c r="AE5" s="16">
        <v>0</v>
      </c>
      <c r="AG5" s="11">
        <f t="shared" ref="AG5:AG39" si="6">IF(OR(ISBLANK(AQ5),ISBLANK(G5)),"·",AQ5*G5/F5/1000000)</f>
        <v>2.1803699999999999</v>
      </c>
      <c r="AH5" s="12">
        <f t="shared" ref="AH5:AH39" si="7">IF(ISBLANK(AQ5),"·",AQ5/D5)</f>
        <v>9.7659594597845484E-3</v>
      </c>
      <c r="AI5" s="12">
        <f t="shared" ref="AI5:AI39" si="8">IF(AL5="","·",AL5/D5)</f>
        <v>6.1874210808426653E-3</v>
      </c>
      <c r="AJ5" s="12">
        <f t="shared" ref="AJ5:AJ39" si="9">IF(AR5="","·",AR5/D5)</f>
        <v>3.5272086067430685E-3</v>
      </c>
      <c r="AK5" s="12">
        <f t="shared" ref="AK5:AK39" si="10">IF(ISBLANK(AT5),"·",AT5/D5)</f>
        <v>3.5785383789418835E-3</v>
      </c>
      <c r="AL5" s="54">
        <f t="shared" ref="AL5:AL39" si="11">IF(OR(ISBLANK(AR5),ISBLANK(AS5)),"",AR5+AS5)</f>
        <v>1473512</v>
      </c>
      <c r="AM5" s="12">
        <v>16</v>
      </c>
      <c r="AN5" s="13">
        <v>21785839</v>
      </c>
      <c r="AO5" s="13">
        <v>680807.46875</v>
      </c>
      <c r="AP5" s="13">
        <v>13493.71875</v>
      </c>
      <c r="AQ5" s="14">
        <v>2325728</v>
      </c>
      <c r="AR5" s="14">
        <v>839992</v>
      </c>
      <c r="AS5" s="14">
        <v>633520</v>
      </c>
      <c r="AT5" s="14">
        <v>852216</v>
      </c>
      <c r="AU5" s="15">
        <v>66.354630999999998</v>
      </c>
      <c r="AV5" s="15">
        <v>68.478521999999998</v>
      </c>
      <c r="AW5" s="15">
        <v>32.105369000000003</v>
      </c>
      <c r="AX5" s="15">
        <v>44.165405999999997</v>
      </c>
      <c r="AY5" s="15">
        <v>43.847447000000003</v>
      </c>
      <c r="AZ5" s="16">
        <v>3169.72</v>
      </c>
      <c r="BA5" s="16">
        <v>0</v>
      </c>
      <c r="BB5" s="16">
        <v>44.930999999999997</v>
      </c>
      <c r="BC5" s="16">
        <v>0</v>
      </c>
      <c r="BE5" s="51">
        <f t="shared" ref="BE5:BE43" si="12">AI5/K5</f>
        <v>0.99999457082360599</v>
      </c>
      <c r="BF5" s="17">
        <f t="shared" ref="BF5:BF39" si="13">(AP5/AO5) - (R5/Q5)</f>
        <v>0</v>
      </c>
      <c r="BG5" s="17">
        <f t="shared" ref="BG5:BG39" si="14">(AL5/AQ5) - (N5/S5)</f>
        <v>-1.2604346504296871E-6</v>
      </c>
      <c r="BH5" s="17">
        <f>AVERAGE(AL5:AL9/AQ5:AQ9) - AVERAGE(N5:N9/S5:S9)</f>
        <v>-1.2604346504296871E-6</v>
      </c>
      <c r="BJ5" s="51">
        <f>IF( OR(ISBLANK(N5:N9),ISBLANK(AL5:AL9), ISBLANK(W5:W9),ISBLANK(AU5:AU9)), "·", bdRateExtend( N5:N9,W5:W9, AL5:AL9,AU5:AU9))</f>
        <v>-3.7738291208677666E-6</v>
      </c>
      <c r="BK5" s="51">
        <f>IF( OR(ISBLANK(N5:N9),ISBLANK(AL5:AL9), ISBLANK(X5:X9),ISBLANK(AV5:AV9)), "·", bdRateExtend( N5:N9,X5:X9, AL5:AL9,AV5:AV9))</f>
        <v>-3.5693269594405663E-6</v>
      </c>
      <c r="BL5" s="51">
        <f>IF( OR(ISBLANK(V5:V9),ISBLANK(AT5:AT9), ISBLANK(Y5:Y9),ISBLANK(AW5:AW9)), "·", bdRateExtend( V5:V9,Y5:Y9, AT5:AT9,AW5:AW9))</f>
        <v>0</v>
      </c>
      <c r="BM5" s="51">
        <f>IF( OR(ISBLANK(V5:V9),ISBLANK(AT5:AT9), ISBLANK(Z5:Z9),ISBLANK(AX5:AX9)), "·", bdRateExtend( V5:V9,Z5:Z9, AT5:AT9,AX5:AX9))</f>
        <v>0</v>
      </c>
      <c r="BN5" s="51">
        <f>IF( OR(ISBLANK(V5:V9),ISBLANK(AT5:AT9), ISBLANK(AA5:AA9),ISBLANK(AY5:AY9)), "·", bdRateExtend( V5:V9,AA5:AA9, AT5:AT9,AY5:AY9))</f>
        <v>0</v>
      </c>
      <c r="BP5" s="51">
        <f>IF( OR(ISBLANK(S5:S9),ISBLANK(AQ5:AQ9), ISBLANK(W5:W9),ISBLANK(AU5:AU9)), "·", bdRateExtend( S5:S9,W5:W9, AQ5:AQ9,AU5:AU9))</f>
        <v>-1.7482348116937274E-6</v>
      </c>
      <c r="BQ5" s="51">
        <f>IF( OR(ISBLANK(S5:S9),ISBLANK(AQ5:AQ9), ISBLANK(X5:X9),ISBLANK(AV5:AV9)), "·", bdRateExtend( S5:S9,X5:X9, AQ5:AQ9,AV5:AV9))</f>
        <v>-1.5983880894410163E-6</v>
      </c>
      <c r="BR5" s="51">
        <f>IF( OR(ISBLANK(S5:S9),ISBLANK(AQ5:AQ9), ISBLANK(Y5:Y9),ISBLANK(AW5:AW9)), "·", bdRateExtend( S5:S9,Y5:Y9, AQ5:AQ9,AW5:AW9))</f>
        <v>-1.5021625282551909E-6</v>
      </c>
      <c r="BS5" s="51">
        <f>IF( OR(ISBLANK(S5:S9),ISBLANK(AQ5:AQ9), ISBLANK(Z5:Z9),ISBLANK(AX5:AX9)), "·", bdRateExtend( S5:S9,Z5:Z9, AQ5:AQ9,AX5:AX9))</f>
        <v>-1.5034392520929529E-6</v>
      </c>
      <c r="BT5" s="51">
        <f>IF( OR(ISBLANK(S5:S9),ISBLANK(AQ5:AQ9), ISBLANK(AA5:AA9),ISBLANK(AY5:AY9)), "·", bdRateExtend( S5:S9,AA5:AA9, AQ5:AQ9,AY5:AY9))</f>
        <v>-1.5091798383215504E-6</v>
      </c>
    </row>
    <row r="6" spans="1:72" outlineLevel="1" x14ac:dyDescent="0.2">
      <c r="A6" s="18"/>
      <c r="B6" s="18" t="s">
        <v>49</v>
      </c>
      <c r="C6" s="19" t="s">
        <v>231</v>
      </c>
      <c r="D6" s="18">
        <v>238146391</v>
      </c>
      <c r="E6" s="19">
        <v>10</v>
      </c>
      <c r="F6" s="19">
        <v>32</v>
      </c>
      <c r="G6" s="19">
        <v>30</v>
      </c>
      <c r="I6" s="20">
        <f t="shared" si="0"/>
        <v>3.3961874999999999</v>
      </c>
      <c r="J6" s="21">
        <f t="shared" si="1"/>
        <v>1.5211651895241192E-2</v>
      </c>
      <c r="K6" s="21">
        <f t="shared" si="2"/>
        <v>7.5516575852707336E-3</v>
      </c>
      <c r="L6" s="21">
        <f t="shared" si="3"/>
        <v>4.8914115183882837E-3</v>
      </c>
      <c r="M6" s="21">
        <f t="shared" si="4"/>
        <v>7.6599943099704589E-3</v>
      </c>
      <c r="N6" s="18">
        <f t="shared" si="5"/>
        <v>1798400</v>
      </c>
      <c r="O6" s="21">
        <v>16</v>
      </c>
      <c r="P6" s="22">
        <v>24191962</v>
      </c>
      <c r="Q6" s="22">
        <v>755998.8125</v>
      </c>
      <c r="R6" s="22">
        <v>19085.96875</v>
      </c>
      <c r="S6" s="23">
        <v>3622600</v>
      </c>
      <c r="T6" s="23">
        <v>1164872</v>
      </c>
      <c r="U6" s="23">
        <v>633528</v>
      </c>
      <c r="V6" s="23">
        <v>1824200</v>
      </c>
      <c r="W6" s="24">
        <v>68.255983999999998</v>
      </c>
      <c r="X6" s="24">
        <v>70.438462000000001</v>
      </c>
      <c r="Y6" s="24">
        <v>34.355713000000002</v>
      </c>
      <c r="Z6" s="24">
        <v>45.462941000000001</v>
      </c>
      <c r="AA6" s="24">
        <v>45.263540999999996</v>
      </c>
      <c r="AB6" s="25">
        <v>3365.47</v>
      </c>
      <c r="AC6" s="25">
        <v>0</v>
      </c>
      <c r="AD6" s="25">
        <v>49.368000000000002</v>
      </c>
      <c r="AE6" s="25">
        <v>0</v>
      </c>
      <c r="AG6" s="20">
        <f t="shared" si="6"/>
        <v>3.3961800000000002</v>
      </c>
      <c r="AH6" s="21">
        <f t="shared" si="7"/>
        <v>1.5211618302458339E-2</v>
      </c>
      <c r="AI6" s="21">
        <f t="shared" si="8"/>
        <v>7.5516239924878813E-3</v>
      </c>
      <c r="AJ6" s="21">
        <f t="shared" si="9"/>
        <v>4.8914115183882837E-3</v>
      </c>
      <c r="AK6" s="21">
        <f t="shared" si="10"/>
        <v>7.6599943099704589E-3</v>
      </c>
      <c r="AL6" s="18">
        <f t="shared" si="11"/>
        <v>1798392</v>
      </c>
      <c r="AM6" s="21">
        <v>16</v>
      </c>
      <c r="AN6" s="22">
        <v>24191962</v>
      </c>
      <c r="AO6" s="22">
        <v>755998.8125</v>
      </c>
      <c r="AP6" s="22">
        <v>19085.96875</v>
      </c>
      <c r="AQ6" s="23">
        <v>3622592</v>
      </c>
      <c r="AR6" s="23">
        <v>1164872</v>
      </c>
      <c r="AS6" s="23">
        <v>633520</v>
      </c>
      <c r="AT6" s="23">
        <v>1824200</v>
      </c>
      <c r="AU6" s="24">
        <v>68.255983999999998</v>
      </c>
      <c r="AV6" s="24">
        <v>70.438462000000001</v>
      </c>
      <c r="AW6" s="24">
        <v>34.355713000000002</v>
      </c>
      <c r="AX6" s="24">
        <v>45.462941000000001</v>
      </c>
      <c r="AY6" s="24">
        <v>45.263540999999996</v>
      </c>
      <c r="AZ6" s="25">
        <v>2888.13</v>
      </c>
      <c r="BA6" s="25">
        <v>0</v>
      </c>
      <c r="BB6" s="25">
        <v>42.564999999999998</v>
      </c>
      <c r="BC6" s="25">
        <v>0</v>
      </c>
      <c r="BE6" s="50">
        <f t="shared" si="12"/>
        <v>0.9999955516014235</v>
      </c>
      <c r="BF6" s="26">
        <f t="shared" si="13"/>
        <v>0</v>
      </c>
      <c r="BG6" s="26">
        <f t="shared" si="14"/>
        <v>-1.1120456916979826E-6</v>
      </c>
      <c r="BH6" s="26"/>
      <c r="BJ6" s="50"/>
      <c r="BK6" s="50"/>
      <c r="BL6" s="50"/>
      <c r="BM6" s="50"/>
      <c r="BN6" s="50"/>
      <c r="BP6" s="50"/>
      <c r="BQ6" s="50"/>
      <c r="BR6" s="50"/>
      <c r="BS6" s="50"/>
      <c r="BT6" s="50"/>
    </row>
    <row r="7" spans="1:72" outlineLevel="1" x14ac:dyDescent="0.2">
      <c r="A7" s="54"/>
      <c r="B7" s="54" t="s">
        <v>49</v>
      </c>
      <c r="C7" s="10" t="s">
        <v>232</v>
      </c>
      <c r="D7" s="54">
        <v>238146391</v>
      </c>
      <c r="E7" s="10">
        <v>10</v>
      </c>
      <c r="F7" s="10">
        <v>32</v>
      </c>
      <c r="G7" s="10">
        <v>30</v>
      </c>
      <c r="I7" s="11">
        <f t="shared" si="0"/>
        <v>5.5718399999999999</v>
      </c>
      <c r="J7" s="12">
        <f t="shared" si="1"/>
        <v>2.4956481494611438E-2</v>
      </c>
      <c r="K7" s="12">
        <f t="shared" si="2"/>
        <v>9.4989640216718626E-3</v>
      </c>
      <c r="L7" s="12">
        <f t="shared" si="3"/>
        <v>6.8387179547894136E-3</v>
      </c>
      <c r="M7" s="12">
        <f t="shared" si="4"/>
        <v>1.5457517472939575E-2</v>
      </c>
      <c r="N7" s="54">
        <f t="shared" si="5"/>
        <v>2262144</v>
      </c>
      <c r="O7" s="12">
        <v>16</v>
      </c>
      <c r="P7" s="13">
        <v>24808216</v>
      </c>
      <c r="Q7" s="13">
        <v>775256.75</v>
      </c>
      <c r="R7" s="13">
        <v>20954.78125</v>
      </c>
      <c r="S7" s="14">
        <v>5943296</v>
      </c>
      <c r="T7" s="14">
        <v>1628616</v>
      </c>
      <c r="U7" s="14">
        <v>633528</v>
      </c>
      <c r="V7" s="14">
        <v>3681152</v>
      </c>
      <c r="W7" s="15">
        <v>69.683722000000003</v>
      </c>
      <c r="X7" s="15">
        <v>72.129402999999996</v>
      </c>
      <c r="Y7" s="15">
        <v>36.896805999999998</v>
      </c>
      <c r="Z7" s="15">
        <v>46.595978000000002</v>
      </c>
      <c r="AA7" s="15">
        <v>46.493755999999998</v>
      </c>
      <c r="AB7" s="16">
        <v>3272.41</v>
      </c>
      <c r="AC7" s="16">
        <v>0</v>
      </c>
      <c r="AD7" s="16">
        <v>45.173999999999999</v>
      </c>
      <c r="AE7" s="16">
        <v>0</v>
      </c>
      <c r="AG7" s="11">
        <f t="shared" si="6"/>
        <v>5.5718325000000002</v>
      </c>
      <c r="AH7" s="12">
        <f t="shared" si="7"/>
        <v>2.4956447901828587E-2</v>
      </c>
      <c r="AI7" s="12">
        <f t="shared" si="8"/>
        <v>9.4989304288890103E-3</v>
      </c>
      <c r="AJ7" s="12">
        <f t="shared" si="9"/>
        <v>6.8387179547894136E-3</v>
      </c>
      <c r="AK7" s="12">
        <f t="shared" si="10"/>
        <v>1.5457517472939575E-2</v>
      </c>
      <c r="AL7" s="54">
        <f t="shared" si="11"/>
        <v>2262136</v>
      </c>
      <c r="AM7" s="12">
        <v>16</v>
      </c>
      <c r="AN7" s="13">
        <v>24808216</v>
      </c>
      <c r="AO7" s="13">
        <v>775256.75</v>
      </c>
      <c r="AP7" s="13">
        <v>20954.78125</v>
      </c>
      <c r="AQ7" s="14">
        <v>5943288</v>
      </c>
      <c r="AR7" s="14">
        <v>1628616</v>
      </c>
      <c r="AS7" s="14">
        <v>633520</v>
      </c>
      <c r="AT7" s="14">
        <v>3681152</v>
      </c>
      <c r="AU7" s="15">
        <v>69.683722000000003</v>
      </c>
      <c r="AV7" s="15">
        <v>72.129402999999996</v>
      </c>
      <c r="AW7" s="15">
        <v>36.896805999999998</v>
      </c>
      <c r="AX7" s="15">
        <v>46.595978000000002</v>
      </c>
      <c r="AY7" s="15">
        <v>46.493755999999998</v>
      </c>
      <c r="AZ7" s="16">
        <v>3333.9</v>
      </c>
      <c r="BA7" s="16">
        <v>0</v>
      </c>
      <c r="BB7" s="16">
        <v>50.581000000000003</v>
      </c>
      <c r="BC7" s="16">
        <v>0</v>
      </c>
      <c r="BE7" s="51">
        <f t="shared" si="12"/>
        <v>0.99999646353194138</v>
      </c>
      <c r="BF7" s="17">
        <f t="shared" si="13"/>
        <v>0</v>
      </c>
      <c r="BG7" s="17">
        <f t="shared" si="14"/>
        <v>-8.3371881243188284E-7</v>
      </c>
      <c r="BH7" s="17"/>
      <c r="BJ7" s="51"/>
      <c r="BK7" s="51"/>
      <c r="BL7" s="51"/>
      <c r="BM7" s="51"/>
      <c r="BN7" s="51"/>
      <c r="BP7" s="51"/>
      <c r="BQ7" s="51"/>
      <c r="BR7" s="51"/>
      <c r="BS7" s="51"/>
      <c r="BT7" s="51"/>
    </row>
    <row r="8" spans="1:72" outlineLevel="1" x14ac:dyDescent="0.2">
      <c r="A8" s="18"/>
      <c r="B8" s="18" t="s">
        <v>49</v>
      </c>
      <c r="C8" s="19" t="s">
        <v>233</v>
      </c>
      <c r="D8" s="18">
        <v>238146391</v>
      </c>
      <c r="E8" s="19">
        <v>10</v>
      </c>
      <c r="F8" s="19">
        <v>32</v>
      </c>
      <c r="G8" s="19">
        <v>30</v>
      </c>
      <c r="I8" s="20">
        <f t="shared" si="0"/>
        <v>9.4360125000000004</v>
      </c>
      <c r="J8" s="21">
        <f t="shared" si="1"/>
        <v>4.2264255854290902E-2</v>
      </c>
      <c r="K8" s="21">
        <f t="shared" si="2"/>
        <v>1.2760991200576288E-2</v>
      </c>
      <c r="L8" s="21">
        <f t="shared" si="3"/>
        <v>1.0100745133693839E-2</v>
      </c>
      <c r="M8" s="21">
        <f t="shared" si="4"/>
        <v>2.9503264653714615E-2</v>
      </c>
      <c r="N8" s="18">
        <f t="shared" si="5"/>
        <v>3038984</v>
      </c>
      <c r="O8" s="21">
        <v>16</v>
      </c>
      <c r="P8" s="22">
        <v>25797809</v>
      </c>
      <c r="Q8" s="22">
        <v>806181.53125</v>
      </c>
      <c r="R8" s="22">
        <v>24199.84375</v>
      </c>
      <c r="S8" s="23">
        <v>10065080</v>
      </c>
      <c r="T8" s="23">
        <v>2405456</v>
      </c>
      <c r="U8" s="23">
        <v>633528</v>
      </c>
      <c r="V8" s="23">
        <v>7026096</v>
      </c>
      <c r="W8" s="24">
        <v>70.836841000000007</v>
      </c>
      <c r="X8" s="24">
        <v>73.406981000000002</v>
      </c>
      <c r="Y8" s="24">
        <v>39.524644000000002</v>
      </c>
      <c r="Z8" s="24">
        <v>47.911166000000001</v>
      </c>
      <c r="AA8" s="24">
        <v>47.950046999999998</v>
      </c>
      <c r="AB8" s="25">
        <v>3356.01</v>
      </c>
      <c r="AC8" s="25">
        <v>0</v>
      </c>
      <c r="AD8" s="25">
        <v>50.183</v>
      </c>
      <c r="AE8" s="25">
        <v>0</v>
      </c>
      <c r="AG8" s="20">
        <f t="shared" si="6"/>
        <v>9.4360049999999998</v>
      </c>
      <c r="AH8" s="21">
        <f t="shared" si="7"/>
        <v>4.2264222261508048E-2</v>
      </c>
      <c r="AI8" s="21">
        <f t="shared" si="8"/>
        <v>1.2760957607793435E-2</v>
      </c>
      <c r="AJ8" s="21">
        <f t="shared" si="9"/>
        <v>1.0100745133693839E-2</v>
      </c>
      <c r="AK8" s="21">
        <f t="shared" si="10"/>
        <v>2.9503264653714615E-2</v>
      </c>
      <c r="AL8" s="18">
        <f t="shared" si="11"/>
        <v>3038976</v>
      </c>
      <c r="AM8" s="21">
        <v>16</v>
      </c>
      <c r="AN8" s="22">
        <v>25797809</v>
      </c>
      <c r="AO8" s="22">
        <v>806181.53125</v>
      </c>
      <c r="AP8" s="22">
        <v>24199.84375</v>
      </c>
      <c r="AQ8" s="23">
        <v>10065072</v>
      </c>
      <c r="AR8" s="23">
        <v>2405456</v>
      </c>
      <c r="AS8" s="23">
        <v>633520</v>
      </c>
      <c r="AT8" s="23">
        <v>7026096</v>
      </c>
      <c r="AU8" s="24">
        <v>70.836841000000007</v>
      </c>
      <c r="AV8" s="24">
        <v>73.406981000000002</v>
      </c>
      <c r="AW8" s="24">
        <v>39.524644000000002</v>
      </c>
      <c r="AX8" s="24">
        <v>47.911166000000001</v>
      </c>
      <c r="AY8" s="24">
        <v>47.950046999999998</v>
      </c>
      <c r="AZ8" s="25">
        <v>3417.6</v>
      </c>
      <c r="BA8" s="25">
        <v>0</v>
      </c>
      <c r="BB8" s="25">
        <v>51.783999999999999</v>
      </c>
      <c r="BC8" s="25">
        <v>0</v>
      </c>
      <c r="BE8" s="50">
        <f t="shared" si="12"/>
        <v>0.99999736754125723</v>
      </c>
      <c r="BF8" s="26">
        <f t="shared" si="13"/>
        <v>0</v>
      </c>
      <c r="BG8" s="26">
        <f t="shared" si="14"/>
        <v>-5.5484279309903073E-7</v>
      </c>
      <c r="BH8" s="26"/>
      <c r="BJ8" s="50"/>
      <c r="BK8" s="50"/>
      <c r="BL8" s="50"/>
      <c r="BM8" s="50"/>
      <c r="BN8" s="50"/>
      <c r="BP8" s="50"/>
      <c r="BQ8" s="50"/>
      <c r="BR8" s="50"/>
      <c r="BS8" s="50"/>
      <c r="BT8" s="50"/>
    </row>
    <row r="9" spans="1:72" ht="16" outlineLevel="1" thickBot="1" x14ac:dyDescent="0.25">
      <c r="A9" s="54"/>
      <c r="B9" s="27" t="s">
        <v>49</v>
      </c>
      <c r="C9" s="28" t="s">
        <v>234</v>
      </c>
      <c r="D9" s="27">
        <v>238146391</v>
      </c>
      <c r="E9" s="28">
        <v>10</v>
      </c>
      <c r="F9" s="28">
        <v>32</v>
      </c>
      <c r="G9" s="28">
        <v>30</v>
      </c>
      <c r="I9" s="29">
        <f t="shared" si="0"/>
        <v>16.8135525</v>
      </c>
      <c r="J9" s="30">
        <f t="shared" si="1"/>
        <v>7.5308535748501007E-2</v>
      </c>
      <c r="K9" s="30">
        <f t="shared" si="2"/>
        <v>2.0666212825370928E-2</v>
      </c>
      <c r="L9" s="30">
        <f t="shared" si="3"/>
        <v>1.5547781280464586E-2</v>
      </c>
      <c r="M9" s="30">
        <f t="shared" si="4"/>
        <v>5.4642322923130086E-2</v>
      </c>
      <c r="N9" s="27">
        <f t="shared" si="5"/>
        <v>4921584</v>
      </c>
      <c r="O9" s="30">
        <v>16</v>
      </c>
      <c r="P9" s="31">
        <v>24868389</v>
      </c>
      <c r="Q9" s="31">
        <v>777137.15625</v>
      </c>
      <c r="R9" s="31">
        <v>10635.96875</v>
      </c>
      <c r="S9" s="32">
        <v>17934456</v>
      </c>
      <c r="T9" s="32">
        <v>3702648</v>
      </c>
      <c r="U9" s="32">
        <v>1218936</v>
      </c>
      <c r="V9" s="32">
        <v>13012872</v>
      </c>
      <c r="W9" s="33">
        <v>71.945244000000002</v>
      </c>
      <c r="X9" s="33">
        <v>75.319247000000004</v>
      </c>
      <c r="Y9" s="33">
        <v>42.092658999999998</v>
      </c>
      <c r="Z9" s="33">
        <v>49.412694000000002</v>
      </c>
      <c r="AA9" s="33">
        <v>49.544708999999997</v>
      </c>
      <c r="AB9" s="34">
        <v>3440.83</v>
      </c>
      <c r="AC9" s="34">
        <v>0</v>
      </c>
      <c r="AD9" s="34">
        <v>45.908999999999999</v>
      </c>
      <c r="AE9" s="34">
        <v>0</v>
      </c>
      <c r="AG9" s="29">
        <f t="shared" si="6"/>
        <v>16.813545000000001</v>
      </c>
      <c r="AH9" s="30">
        <f t="shared" si="7"/>
        <v>7.530850215571816E-2</v>
      </c>
      <c r="AI9" s="30">
        <f t="shared" si="8"/>
        <v>2.0666179232588077E-2</v>
      </c>
      <c r="AJ9" s="30">
        <f t="shared" si="9"/>
        <v>1.5547781280464586E-2</v>
      </c>
      <c r="AK9" s="30">
        <f t="shared" si="10"/>
        <v>5.4642322923130086E-2</v>
      </c>
      <c r="AL9" s="27">
        <f t="shared" si="11"/>
        <v>4921576</v>
      </c>
      <c r="AM9" s="30">
        <v>16</v>
      </c>
      <c r="AN9" s="31">
        <v>24868389</v>
      </c>
      <c r="AO9" s="31">
        <v>777137.15625</v>
      </c>
      <c r="AP9" s="31">
        <v>10635.96875</v>
      </c>
      <c r="AQ9" s="32">
        <v>17934448</v>
      </c>
      <c r="AR9" s="32">
        <v>3702648</v>
      </c>
      <c r="AS9" s="32">
        <v>1218928</v>
      </c>
      <c r="AT9" s="32">
        <v>13012872</v>
      </c>
      <c r="AU9" s="33">
        <v>71.945244000000002</v>
      </c>
      <c r="AV9" s="33">
        <v>75.319247000000004</v>
      </c>
      <c r="AW9" s="33">
        <v>42.092658999999998</v>
      </c>
      <c r="AX9" s="33">
        <v>49.412694000000002</v>
      </c>
      <c r="AY9" s="33">
        <v>49.544708999999997</v>
      </c>
      <c r="AZ9" s="34">
        <v>3391.28</v>
      </c>
      <c r="BA9" s="34">
        <v>0</v>
      </c>
      <c r="BB9" s="34">
        <v>47.131999999999998</v>
      </c>
      <c r="BC9" s="34">
        <v>0</v>
      </c>
      <c r="BE9" s="35">
        <f t="shared" si="12"/>
        <v>0.99999837450706941</v>
      </c>
      <c r="BF9" s="36">
        <f t="shared" si="13"/>
        <v>0</v>
      </c>
      <c r="BG9" s="36">
        <f t="shared" si="14"/>
        <v>-3.2365842977943871E-7</v>
      </c>
      <c r="BH9" s="36"/>
      <c r="BJ9" s="35"/>
      <c r="BK9" s="35"/>
      <c r="BL9" s="35"/>
      <c r="BM9" s="35"/>
      <c r="BN9" s="35"/>
      <c r="BP9" s="35"/>
      <c r="BQ9" s="35"/>
      <c r="BR9" s="35"/>
      <c r="BS9" s="35"/>
      <c r="BT9" s="35"/>
    </row>
    <row r="10" spans="1:72" x14ac:dyDescent="0.2">
      <c r="A10" s="18"/>
      <c r="B10" s="18" t="s">
        <v>57</v>
      </c>
      <c r="C10" s="19" t="s">
        <v>230</v>
      </c>
      <c r="D10" s="18">
        <v>218121242</v>
      </c>
      <c r="E10" s="19">
        <v>10</v>
      </c>
      <c r="F10" s="19">
        <v>32</v>
      </c>
      <c r="G10" s="19">
        <v>30</v>
      </c>
      <c r="I10" s="20">
        <f t="shared" si="0"/>
        <v>3.1915425000000002</v>
      </c>
      <c r="J10" s="21">
        <f t="shared" si="1"/>
        <v>1.5607429926517657E-2</v>
      </c>
      <c r="K10" s="21">
        <f t="shared" si="2"/>
        <v>8.0864017819960877E-3</v>
      </c>
      <c r="L10" s="21">
        <f t="shared" si="3"/>
        <v>4.2808118615059046E-3</v>
      </c>
      <c r="M10" s="21">
        <f t="shared" si="4"/>
        <v>7.5210281445215682E-3</v>
      </c>
      <c r="N10" s="18">
        <f t="shared" si="5"/>
        <v>1763816</v>
      </c>
      <c r="O10" s="21">
        <v>16</v>
      </c>
      <c r="P10" s="22">
        <v>20669095</v>
      </c>
      <c r="Q10" s="22">
        <v>645909.21875</v>
      </c>
      <c r="R10" s="22">
        <v>18184.71875</v>
      </c>
      <c r="S10" s="23">
        <v>3404312</v>
      </c>
      <c r="T10" s="23">
        <v>933736</v>
      </c>
      <c r="U10" s="23">
        <v>830080</v>
      </c>
      <c r="V10" s="23">
        <v>1640496</v>
      </c>
      <c r="W10" s="24">
        <v>65.902412999999996</v>
      </c>
      <c r="X10" s="24">
        <v>67.818875000000006</v>
      </c>
      <c r="Y10" s="24">
        <v>32.387411999999998</v>
      </c>
      <c r="Z10" s="24">
        <v>39.175156000000001</v>
      </c>
      <c r="AA10" s="24">
        <v>32.088763</v>
      </c>
      <c r="AB10" s="25">
        <v>2874.2</v>
      </c>
      <c r="AC10" s="25">
        <v>0</v>
      </c>
      <c r="AD10" s="25">
        <v>38.091999999999999</v>
      </c>
      <c r="AE10" s="25">
        <v>0</v>
      </c>
      <c r="AG10" s="20">
        <f t="shared" si="6"/>
        <v>3.191535</v>
      </c>
      <c r="AH10" s="21">
        <f t="shared" si="7"/>
        <v>1.5607393249667999E-2</v>
      </c>
      <c r="AI10" s="21">
        <f t="shared" si="8"/>
        <v>8.0863651051464296E-3</v>
      </c>
      <c r="AJ10" s="21">
        <f t="shared" si="9"/>
        <v>4.2808118615059046E-3</v>
      </c>
      <c r="AK10" s="21">
        <f t="shared" si="10"/>
        <v>7.5210281445215682E-3</v>
      </c>
      <c r="AL10" s="18">
        <f t="shared" si="11"/>
        <v>1763808</v>
      </c>
      <c r="AM10" s="21">
        <v>16</v>
      </c>
      <c r="AN10" s="22">
        <v>20669095</v>
      </c>
      <c r="AO10" s="22">
        <v>645909.21875</v>
      </c>
      <c r="AP10" s="22">
        <v>18184.71875</v>
      </c>
      <c r="AQ10" s="23">
        <v>3404304</v>
      </c>
      <c r="AR10" s="23">
        <v>933736</v>
      </c>
      <c r="AS10" s="23">
        <v>830072</v>
      </c>
      <c r="AT10" s="23">
        <v>1640496</v>
      </c>
      <c r="AU10" s="24">
        <v>65.902412999999996</v>
      </c>
      <c r="AV10" s="24">
        <v>67.818875000000006</v>
      </c>
      <c r="AW10" s="24">
        <v>32.387411999999998</v>
      </c>
      <c r="AX10" s="24">
        <v>39.175156000000001</v>
      </c>
      <c r="AY10" s="24">
        <v>32.088763</v>
      </c>
      <c r="AZ10" s="25">
        <v>3457.68</v>
      </c>
      <c r="BA10" s="25">
        <v>0</v>
      </c>
      <c r="BB10" s="25">
        <v>46.905999999999999</v>
      </c>
      <c r="BC10" s="25">
        <v>0</v>
      </c>
      <c r="BE10" s="50">
        <f t="shared" si="12"/>
        <v>0.99999546437950437</v>
      </c>
      <c r="BF10" s="26">
        <f t="shared" si="13"/>
        <v>0</v>
      </c>
      <c r="BG10" s="26">
        <f t="shared" si="14"/>
        <v>-1.132419846339161E-6</v>
      </c>
      <c r="BH10" s="26">
        <f>AVERAGE(AL10:AL14/AQ10:AQ14) - AVERAGE(N10:N14/S10:S14)</f>
        <v>-1.132419846339161E-6</v>
      </c>
      <c r="BJ10" s="50">
        <f>IF( OR(ISBLANK(N10:N14),ISBLANK(AL10:AL14), ISBLANK(W10:W14),ISBLANK(AU10:AU14)), "·", bdRateExtend( N10:N14,W10:W14, AL10:AL14,AU10:AU14))</f>
        <v>-3.1669967209824179E-6</v>
      </c>
      <c r="BK10" s="50">
        <f>IF( OR(ISBLANK(N10:N14),ISBLANK(AL10:AL14), ISBLANK(X10:X14),ISBLANK(AV10:AV14)), "·", bdRateExtend( N10:N14,X10:X14, AL10:AL14,AV10:AV14))</f>
        <v>-2.9008584319090147E-6</v>
      </c>
      <c r="BL10" s="50">
        <f>IF( OR(ISBLANK(V10:V14),ISBLANK(AT10:AT14), ISBLANK(Y10:Y14),ISBLANK(AW10:AW14)), "·", bdRateExtend( V10:V14,Y10:Y14, AT10:AT14,AW10:AW14))</f>
        <v>0</v>
      </c>
      <c r="BM10" s="50">
        <f>IF( OR(ISBLANK(V10:V14),ISBLANK(AT10:AT14), ISBLANK(Z10:Z14),ISBLANK(AX10:AX14)), "·", bdRateExtend( V10:V14,Z10:Z14, AT10:AT14,AX10:AX14))</f>
        <v>0</v>
      </c>
      <c r="BN10" s="50">
        <f>IF( OR(ISBLANK(V10:V14),ISBLANK(AT10:AT14), ISBLANK(AA10:AA14),ISBLANK(AY10:AY14)), "·", bdRateExtend( V10:V14,AA10:AA14, AT10:AT14,AY10:AY14))</f>
        <v>0</v>
      </c>
      <c r="BP10" s="50">
        <f>IF( OR(ISBLANK(S10:S14),ISBLANK(AQ10:AQ14), ISBLANK(W10:W14),ISBLANK(AU10:AU14)), "·", bdRateExtend( S10:S14,W10:W14, AQ10:AQ14,AU10:AU14))</f>
        <v>-1.3029858771940184E-6</v>
      </c>
      <c r="BQ10" s="50">
        <f>IF( OR(ISBLANK(S10:S14),ISBLANK(AQ10:AQ14), ISBLANK(X10:X14),ISBLANK(AV10:AV14)), "·", bdRateExtend( S10:S14,X10:X14, AQ10:AQ14,AV10:AV14))</f>
        <v>-1.1502478954872331E-6</v>
      </c>
      <c r="BR10" s="50">
        <f>IF( OR(ISBLANK(S10:S14),ISBLANK(AQ10:AQ14), ISBLANK(Y10:Y14),ISBLANK(AW10:AW14)), "·", bdRateExtend( S10:S14,Y10:Y14, AQ10:AQ14,AW10:AW14))</f>
        <v>-1.1039232282739064E-6</v>
      </c>
      <c r="BS10" s="50">
        <f>IF( OR(ISBLANK(S10:S14),ISBLANK(AQ10:AQ14), ISBLANK(Z10:Z14),ISBLANK(AX10:AX14)), "·", bdRateExtend( S10:S14,Z10:Z14, AQ10:AQ14,AX10:AX14))</f>
        <v>-1.0480425175485308E-6</v>
      </c>
      <c r="BT10" s="50">
        <f>IF( OR(ISBLANK(S10:S14),ISBLANK(AQ10:AQ14), ISBLANK(AA10:AA14),ISBLANK(AY10:AY14)), "·", bdRateExtend( S10:S14,AA10:AA14, AQ10:AQ14,AY10:AY14))</f>
        <v>-1.136775075627483E-6</v>
      </c>
    </row>
    <row r="11" spans="1:72" outlineLevel="1" x14ac:dyDescent="0.2">
      <c r="A11" s="54"/>
      <c r="B11" s="54" t="s">
        <v>57</v>
      </c>
      <c r="C11" s="10" t="s">
        <v>231</v>
      </c>
      <c r="D11" s="54">
        <v>218121242</v>
      </c>
      <c r="E11" s="10">
        <v>10</v>
      </c>
      <c r="F11" s="10">
        <v>32</v>
      </c>
      <c r="G11" s="10">
        <v>30</v>
      </c>
      <c r="I11" s="11">
        <f t="shared" si="0"/>
        <v>4.6062975000000002</v>
      </c>
      <c r="J11" s="12">
        <f t="shared" si="1"/>
        <v>2.2525930784861384E-2</v>
      </c>
      <c r="K11" s="12">
        <f t="shared" si="2"/>
        <v>9.8408755622251595E-3</v>
      </c>
      <c r="L11" s="12">
        <f t="shared" si="3"/>
        <v>6.0352856417349764E-3</v>
      </c>
      <c r="M11" s="12">
        <f t="shared" si="4"/>
        <v>1.2685055222636226E-2</v>
      </c>
      <c r="N11" s="54">
        <f t="shared" si="5"/>
        <v>2146504</v>
      </c>
      <c r="O11" s="12">
        <v>16</v>
      </c>
      <c r="P11" s="13">
        <v>22097416</v>
      </c>
      <c r="Q11" s="13">
        <v>690544.25</v>
      </c>
      <c r="R11" s="13">
        <v>22962.71875</v>
      </c>
      <c r="S11" s="14">
        <v>4913384</v>
      </c>
      <c r="T11" s="14">
        <v>1316424</v>
      </c>
      <c r="U11" s="14">
        <v>830080</v>
      </c>
      <c r="V11" s="14">
        <v>2766880</v>
      </c>
      <c r="W11" s="15">
        <v>67.609744000000006</v>
      </c>
      <c r="X11" s="15">
        <v>69.703928000000005</v>
      </c>
      <c r="Y11" s="15">
        <v>34.243777999999999</v>
      </c>
      <c r="Z11" s="15">
        <v>40.024016000000003</v>
      </c>
      <c r="AA11" s="15">
        <v>33.861578000000002</v>
      </c>
      <c r="AB11" s="16">
        <v>3284.58</v>
      </c>
      <c r="AC11" s="16">
        <v>0</v>
      </c>
      <c r="AD11" s="16">
        <v>46.152999999999999</v>
      </c>
      <c r="AE11" s="16">
        <v>0</v>
      </c>
      <c r="AG11" s="11">
        <f t="shared" si="6"/>
        <v>4.6062900000000004</v>
      </c>
      <c r="AH11" s="12">
        <f t="shared" si="7"/>
        <v>2.2525894108011726E-2</v>
      </c>
      <c r="AI11" s="12">
        <f t="shared" si="8"/>
        <v>9.8408388853755014E-3</v>
      </c>
      <c r="AJ11" s="12">
        <f t="shared" si="9"/>
        <v>6.0352856417349764E-3</v>
      </c>
      <c r="AK11" s="12">
        <f t="shared" si="10"/>
        <v>1.2685055222636226E-2</v>
      </c>
      <c r="AL11" s="54">
        <f t="shared" si="11"/>
        <v>2146496</v>
      </c>
      <c r="AM11" s="12">
        <v>16</v>
      </c>
      <c r="AN11" s="13">
        <v>22097416</v>
      </c>
      <c r="AO11" s="13">
        <v>690544.25</v>
      </c>
      <c r="AP11" s="13">
        <v>22962.71875</v>
      </c>
      <c r="AQ11" s="14">
        <v>4913376</v>
      </c>
      <c r="AR11" s="14">
        <v>1316424</v>
      </c>
      <c r="AS11" s="14">
        <v>830072</v>
      </c>
      <c r="AT11" s="14">
        <v>2766880</v>
      </c>
      <c r="AU11" s="15">
        <v>67.609744000000006</v>
      </c>
      <c r="AV11" s="15">
        <v>69.703928000000005</v>
      </c>
      <c r="AW11" s="15">
        <v>34.243777999999999</v>
      </c>
      <c r="AX11" s="15">
        <v>40.024016000000003</v>
      </c>
      <c r="AY11" s="15">
        <v>33.861578000000002</v>
      </c>
      <c r="AZ11" s="16">
        <v>3289.34</v>
      </c>
      <c r="BA11" s="16">
        <v>0</v>
      </c>
      <c r="BB11" s="16">
        <v>44.555</v>
      </c>
      <c r="BC11" s="16">
        <v>0</v>
      </c>
      <c r="BE11" s="51">
        <f t="shared" si="12"/>
        <v>0.99999627300950755</v>
      </c>
      <c r="BF11" s="17">
        <f t="shared" si="13"/>
        <v>0</v>
      </c>
      <c r="BG11" s="17">
        <f t="shared" si="14"/>
        <v>-9.1689499848168765E-7</v>
      </c>
      <c r="BH11" s="17"/>
      <c r="BJ11" s="51"/>
      <c r="BK11" s="51"/>
      <c r="BL11" s="51"/>
      <c r="BM11" s="51"/>
      <c r="BN11" s="51"/>
      <c r="BP11" s="51"/>
      <c r="BQ11" s="51"/>
      <c r="BR11" s="51"/>
      <c r="BS11" s="51"/>
      <c r="BT11" s="51"/>
    </row>
    <row r="12" spans="1:72" outlineLevel="1" x14ac:dyDescent="0.2">
      <c r="A12" s="18"/>
      <c r="B12" s="18" t="s">
        <v>57</v>
      </c>
      <c r="C12" s="19" t="s">
        <v>232</v>
      </c>
      <c r="D12" s="18">
        <v>218121242</v>
      </c>
      <c r="E12" s="19">
        <v>10</v>
      </c>
      <c r="F12" s="19">
        <v>32</v>
      </c>
      <c r="G12" s="19">
        <v>30</v>
      </c>
      <c r="I12" s="20">
        <f t="shared" si="0"/>
        <v>7.1249775</v>
      </c>
      <c r="J12" s="21">
        <f t="shared" si="1"/>
        <v>3.4842897144332231E-2</v>
      </c>
      <c r="K12" s="21">
        <f t="shared" si="2"/>
        <v>1.2516231683661512E-2</v>
      </c>
      <c r="L12" s="21">
        <f t="shared" si="3"/>
        <v>8.7106417631713281E-3</v>
      </c>
      <c r="M12" s="21">
        <f t="shared" si="4"/>
        <v>2.2326665460670723E-2</v>
      </c>
      <c r="N12" s="18">
        <f t="shared" si="5"/>
        <v>2730056</v>
      </c>
      <c r="O12" s="21">
        <v>16</v>
      </c>
      <c r="P12" s="22">
        <v>22514733</v>
      </c>
      <c r="Q12" s="22">
        <v>703585.40625</v>
      </c>
      <c r="R12" s="22">
        <v>24682.8125</v>
      </c>
      <c r="S12" s="23">
        <v>7599976</v>
      </c>
      <c r="T12" s="23">
        <v>1899976</v>
      </c>
      <c r="U12" s="23">
        <v>830080</v>
      </c>
      <c r="V12" s="23">
        <v>4869920</v>
      </c>
      <c r="W12" s="24">
        <v>68.954471999999996</v>
      </c>
      <c r="X12" s="24">
        <v>71.328387000000006</v>
      </c>
      <c r="Y12" s="24">
        <v>36.344050000000003</v>
      </c>
      <c r="Z12" s="24">
        <v>40.924225</v>
      </c>
      <c r="AA12" s="24">
        <v>35.641858999999997</v>
      </c>
      <c r="AB12" s="25">
        <v>3387.87</v>
      </c>
      <c r="AC12" s="25">
        <v>0</v>
      </c>
      <c r="AD12" s="25">
        <v>48.688000000000002</v>
      </c>
      <c r="AE12" s="25">
        <v>0</v>
      </c>
      <c r="AG12" s="20">
        <f t="shared" si="6"/>
        <v>7.1249700000000002</v>
      </c>
      <c r="AH12" s="21">
        <f t="shared" si="7"/>
        <v>3.4842860467482577E-2</v>
      </c>
      <c r="AI12" s="21">
        <f t="shared" si="8"/>
        <v>1.2516195006811854E-2</v>
      </c>
      <c r="AJ12" s="21">
        <f t="shared" si="9"/>
        <v>8.7106417631713281E-3</v>
      </c>
      <c r="AK12" s="21">
        <f t="shared" si="10"/>
        <v>2.2326665460670723E-2</v>
      </c>
      <c r="AL12" s="18">
        <f t="shared" si="11"/>
        <v>2730048</v>
      </c>
      <c r="AM12" s="21">
        <v>16</v>
      </c>
      <c r="AN12" s="22">
        <v>22514733</v>
      </c>
      <c r="AO12" s="22">
        <v>703585.40625</v>
      </c>
      <c r="AP12" s="22">
        <v>24682.8125</v>
      </c>
      <c r="AQ12" s="23">
        <v>7599968</v>
      </c>
      <c r="AR12" s="23">
        <v>1899976</v>
      </c>
      <c r="AS12" s="23">
        <v>830072</v>
      </c>
      <c r="AT12" s="23">
        <v>4869920</v>
      </c>
      <c r="AU12" s="24">
        <v>68.954471999999996</v>
      </c>
      <c r="AV12" s="24">
        <v>71.328387000000006</v>
      </c>
      <c r="AW12" s="24">
        <v>36.344050000000003</v>
      </c>
      <c r="AX12" s="24">
        <v>40.924225</v>
      </c>
      <c r="AY12" s="24">
        <v>35.641858999999997</v>
      </c>
      <c r="AZ12" s="25">
        <v>3505.79</v>
      </c>
      <c r="BA12" s="25">
        <v>0</v>
      </c>
      <c r="BB12" s="25">
        <v>53.015999999999998</v>
      </c>
      <c r="BC12" s="25">
        <v>0</v>
      </c>
      <c r="BE12" s="50">
        <f t="shared" si="12"/>
        <v>0.99999706965717916</v>
      </c>
      <c r="BF12" s="26">
        <f t="shared" si="13"/>
        <v>0</v>
      </c>
      <c r="BG12" s="26">
        <f t="shared" si="14"/>
        <v>-6.7450912516475725E-7</v>
      </c>
      <c r="BH12" s="26"/>
      <c r="BJ12" s="50"/>
      <c r="BK12" s="50"/>
      <c r="BL12" s="50"/>
      <c r="BM12" s="50"/>
      <c r="BN12" s="50"/>
      <c r="BP12" s="50"/>
      <c r="BQ12" s="50"/>
      <c r="BR12" s="50"/>
      <c r="BS12" s="50"/>
      <c r="BT12" s="50"/>
    </row>
    <row r="13" spans="1:72" outlineLevel="1" x14ac:dyDescent="0.2">
      <c r="A13" s="54"/>
      <c r="B13" s="54" t="s">
        <v>57</v>
      </c>
      <c r="C13" s="10" t="s">
        <v>233</v>
      </c>
      <c r="D13" s="54">
        <v>218121242</v>
      </c>
      <c r="E13" s="10">
        <v>10</v>
      </c>
      <c r="F13" s="10">
        <v>32</v>
      </c>
      <c r="G13" s="10">
        <v>30</v>
      </c>
      <c r="I13" s="11">
        <f t="shared" si="0"/>
        <v>12.0092625</v>
      </c>
      <c r="J13" s="12">
        <f t="shared" si="1"/>
        <v>5.8728255361758852E-2</v>
      </c>
      <c r="K13" s="12">
        <f t="shared" si="2"/>
        <v>1.7200415537703569E-2</v>
      </c>
      <c r="L13" s="12">
        <f t="shared" si="3"/>
        <v>1.3394825617213384E-2</v>
      </c>
      <c r="M13" s="12">
        <f t="shared" si="4"/>
        <v>4.1527839824055286E-2</v>
      </c>
      <c r="N13" s="54">
        <f t="shared" si="5"/>
        <v>3751776</v>
      </c>
      <c r="O13" s="12">
        <v>16</v>
      </c>
      <c r="P13" s="13">
        <v>23299291</v>
      </c>
      <c r="Q13" s="13">
        <v>728102.84375</v>
      </c>
      <c r="R13" s="13">
        <v>28059</v>
      </c>
      <c r="S13" s="14">
        <v>12809880</v>
      </c>
      <c r="T13" s="14">
        <v>2921696</v>
      </c>
      <c r="U13" s="14">
        <v>830080</v>
      </c>
      <c r="V13" s="14">
        <v>9058104</v>
      </c>
      <c r="W13" s="15">
        <v>70.067155999999997</v>
      </c>
      <c r="X13" s="15">
        <v>72.583797000000004</v>
      </c>
      <c r="Y13" s="15">
        <v>38.661591000000001</v>
      </c>
      <c r="Z13" s="15">
        <v>42.108584</v>
      </c>
      <c r="AA13" s="15">
        <v>37.692183999999997</v>
      </c>
      <c r="AB13" s="16">
        <v>3106.74</v>
      </c>
      <c r="AC13" s="16">
        <v>0</v>
      </c>
      <c r="AD13" s="16">
        <v>42.616</v>
      </c>
      <c r="AE13" s="16">
        <v>0</v>
      </c>
      <c r="AG13" s="11">
        <f t="shared" si="6"/>
        <v>12.009255</v>
      </c>
      <c r="AH13" s="12">
        <f t="shared" si="7"/>
        <v>5.8728218684909191E-2</v>
      </c>
      <c r="AI13" s="12">
        <f t="shared" si="8"/>
        <v>1.7200378860853911E-2</v>
      </c>
      <c r="AJ13" s="12">
        <f t="shared" si="9"/>
        <v>1.3394825617213384E-2</v>
      </c>
      <c r="AK13" s="12">
        <f t="shared" si="10"/>
        <v>4.1527839824055286E-2</v>
      </c>
      <c r="AL13" s="54">
        <f t="shared" si="11"/>
        <v>3751768</v>
      </c>
      <c r="AM13" s="12">
        <v>16</v>
      </c>
      <c r="AN13" s="13">
        <v>23299291</v>
      </c>
      <c r="AO13" s="13">
        <v>728102.84375</v>
      </c>
      <c r="AP13" s="13">
        <v>28059</v>
      </c>
      <c r="AQ13" s="14">
        <v>12809872</v>
      </c>
      <c r="AR13" s="14">
        <v>2921696</v>
      </c>
      <c r="AS13" s="14">
        <v>830072</v>
      </c>
      <c r="AT13" s="14">
        <v>9058104</v>
      </c>
      <c r="AU13" s="15">
        <v>70.067155999999997</v>
      </c>
      <c r="AV13" s="15">
        <v>72.583797000000004</v>
      </c>
      <c r="AW13" s="15">
        <v>38.661591000000001</v>
      </c>
      <c r="AX13" s="15">
        <v>42.108584</v>
      </c>
      <c r="AY13" s="15">
        <v>37.692183999999997</v>
      </c>
      <c r="AZ13" s="16">
        <v>3357.82</v>
      </c>
      <c r="BA13" s="16">
        <v>0</v>
      </c>
      <c r="BB13" s="16">
        <v>50.548999999999999</v>
      </c>
      <c r="BC13" s="16">
        <v>0</v>
      </c>
      <c r="BE13" s="51">
        <f t="shared" si="12"/>
        <v>0.99999786767653509</v>
      </c>
      <c r="BF13" s="17">
        <f t="shared" si="13"/>
        <v>0</v>
      </c>
      <c r="BG13" s="17">
        <f t="shared" si="14"/>
        <v>-4.4160851436769732E-7</v>
      </c>
      <c r="BH13" s="17"/>
      <c r="BJ13" s="51"/>
      <c r="BK13" s="51"/>
      <c r="BL13" s="51"/>
      <c r="BM13" s="51"/>
      <c r="BN13" s="51"/>
      <c r="BP13" s="51"/>
      <c r="BQ13" s="51"/>
      <c r="BR13" s="51"/>
      <c r="BS13" s="51"/>
      <c r="BT13" s="51"/>
    </row>
    <row r="14" spans="1:72" ht="16" outlineLevel="1" thickBot="1" x14ac:dyDescent="0.25">
      <c r="A14" s="18"/>
      <c r="B14" s="37" t="s">
        <v>57</v>
      </c>
      <c r="C14" s="38" t="s">
        <v>234</v>
      </c>
      <c r="D14" s="37">
        <v>218121242</v>
      </c>
      <c r="E14" s="38">
        <v>10</v>
      </c>
      <c r="F14" s="38">
        <v>32</v>
      </c>
      <c r="G14" s="38">
        <v>30</v>
      </c>
      <c r="I14" s="39">
        <f t="shared" si="0"/>
        <v>21.5641575</v>
      </c>
      <c r="J14" s="40">
        <f t="shared" si="1"/>
        <v>0.10545404834986223</v>
      </c>
      <c r="K14" s="40">
        <f t="shared" si="2"/>
        <v>2.8278804684231534E-2</v>
      </c>
      <c r="L14" s="40">
        <f t="shared" si="3"/>
        <v>2.115271285682483E-2</v>
      </c>
      <c r="M14" s="40">
        <f t="shared" si="4"/>
        <v>7.7175243665630694E-2</v>
      </c>
      <c r="N14" s="37">
        <f t="shared" si="5"/>
        <v>6168208</v>
      </c>
      <c r="O14" s="40">
        <v>16</v>
      </c>
      <c r="P14" s="41">
        <v>22125335</v>
      </c>
      <c r="Q14" s="41">
        <v>691416.71875</v>
      </c>
      <c r="R14" s="41">
        <v>13294.1875</v>
      </c>
      <c r="S14" s="42">
        <v>23001768</v>
      </c>
      <c r="T14" s="42">
        <v>4613856</v>
      </c>
      <c r="U14" s="42">
        <v>1554352</v>
      </c>
      <c r="V14" s="42">
        <v>16833560</v>
      </c>
      <c r="W14" s="43">
        <v>70.921865999999994</v>
      </c>
      <c r="X14" s="43">
        <v>74.681325000000001</v>
      </c>
      <c r="Y14" s="43">
        <v>40.919333999999999</v>
      </c>
      <c r="Z14" s="43">
        <v>43.42165</v>
      </c>
      <c r="AA14" s="43">
        <v>39.491033999999999</v>
      </c>
      <c r="AB14" s="44">
        <v>3035.9</v>
      </c>
      <c r="AC14" s="44">
        <v>0</v>
      </c>
      <c r="AD14" s="44">
        <v>40.433999999999997</v>
      </c>
      <c r="AE14" s="44">
        <v>0</v>
      </c>
      <c r="AG14" s="39">
        <f t="shared" si="6"/>
        <v>21.564150000000001</v>
      </c>
      <c r="AH14" s="40">
        <f t="shared" si="7"/>
        <v>0.10545401167301258</v>
      </c>
      <c r="AI14" s="40">
        <f t="shared" si="8"/>
        <v>2.8278768007381876E-2</v>
      </c>
      <c r="AJ14" s="40">
        <f t="shared" si="9"/>
        <v>2.115271285682483E-2</v>
      </c>
      <c r="AK14" s="40">
        <f t="shared" si="10"/>
        <v>7.7175243665630694E-2</v>
      </c>
      <c r="AL14" s="37">
        <f t="shared" si="11"/>
        <v>6168200</v>
      </c>
      <c r="AM14" s="40">
        <v>16</v>
      </c>
      <c r="AN14" s="41">
        <v>22125335</v>
      </c>
      <c r="AO14" s="41">
        <v>691416.71875</v>
      </c>
      <c r="AP14" s="41">
        <v>13294.1875</v>
      </c>
      <c r="AQ14" s="42">
        <v>23001760</v>
      </c>
      <c r="AR14" s="42">
        <v>4613856</v>
      </c>
      <c r="AS14" s="42">
        <v>1554344</v>
      </c>
      <c r="AT14" s="42">
        <v>16833560</v>
      </c>
      <c r="AU14" s="43">
        <v>70.921865999999994</v>
      </c>
      <c r="AV14" s="43">
        <v>74.681325000000001</v>
      </c>
      <c r="AW14" s="43">
        <v>40.919333999999999</v>
      </c>
      <c r="AX14" s="43">
        <v>43.42165</v>
      </c>
      <c r="AY14" s="43">
        <v>39.491033999999999</v>
      </c>
      <c r="AZ14" s="44">
        <v>3693.07</v>
      </c>
      <c r="BA14" s="44">
        <v>0</v>
      </c>
      <c r="BB14" s="44">
        <v>48.802</v>
      </c>
      <c r="BC14" s="44">
        <v>0</v>
      </c>
      <c r="BE14" s="45">
        <f t="shared" si="12"/>
        <v>0.99999870302687588</v>
      </c>
      <c r="BF14" s="46">
        <f t="shared" si="13"/>
        <v>0</v>
      </c>
      <c r="BG14" s="46">
        <f t="shared" si="14"/>
        <v>-2.5453275126485764E-7</v>
      </c>
      <c r="BH14" s="46"/>
      <c r="BJ14" s="45"/>
      <c r="BK14" s="45"/>
      <c r="BL14" s="45"/>
      <c r="BM14" s="45"/>
      <c r="BN14" s="45"/>
      <c r="BP14" s="45"/>
      <c r="BQ14" s="45"/>
      <c r="BR14" s="45"/>
      <c r="BS14" s="45"/>
      <c r="BT14" s="45"/>
    </row>
    <row r="15" spans="1:72" x14ac:dyDescent="0.2">
      <c r="A15" s="54"/>
      <c r="B15" s="54" t="s">
        <v>62</v>
      </c>
      <c r="C15" s="10" t="s">
        <v>230</v>
      </c>
      <c r="D15" s="54">
        <v>322589704</v>
      </c>
      <c r="E15" s="10">
        <v>10</v>
      </c>
      <c r="F15" s="10">
        <v>32</v>
      </c>
      <c r="G15" s="10">
        <v>30</v>
      </c>
      <c r="I15" s="11">
        <f t="shared" si="0"/>
        <v>4.4097675000000001</v>
      </c>
      <c r="J15" s="12">
        <f t="shared" si="1"/>
        <v>1.458122172429905E-2</v>
      </c>
      <c r="K15" s="12">
        <f t="shared" si="2"/>
        <v>8.2601272358029127E-3</v>
      </c>
      <c r="L15" s="12">
        <f t="shared" si="3"/>
        <v>4.3923534521734149E-3</v>
      </c>
      <c r="M15" s="12">
        <f t="shared" si="4"/>
        <v>6.3210944884961361E-3</v>
      </c>
      <c r="N15" s="54">
        <f t="shared" si="5"/>
        <v>2664632</v>
      </c>
      <c r="O15" s="12">
        <v>16</v>
      </c>
      <c r="P15" s="13">
        <v>31086837</v>
      </c>
      <c r="Q15" s="13">
        <v>971463.65625</v>
      </c>
      <c r="R15" s="13">
        <v>27944.34375</v>
      </c>
      <c r="S15" s="14">
        <v>4703752</v>
      </c>
      <c r="T15" s="14">
        <v>1416928</v>
      </c>
      <c r="U15" s="14">
        <v>1247704</v>
      </c>
      <c r="V15" s="14">
        <v>2039120</v>
      </c>
      <c r="W15" s="15">
        <v>65.923106000000004</v>
      </c>
      <c r="X15" s="15">
        <v>67.661797000000007</v>
      </c>
      <c r="Y15" s="15">
        <v>29.416015999999999</v>
      </c>
      <c r="Z15" s="15">
        <v>43.127603000000001</v>
      </c>
      <c r="AA15" s="15">
        <v>43.264449999999997</v>
      </c>
      <c r="AB15" s="16">
        <v>3402.52</v>
      </c>
      <c r="AC15" s="16">
        <v>0</v>
      </c>
      <c r="AD15" s="16">
        <v>46.881</v>
      </c>
      <c r="AE15" s="16">
        <v>0</v>
      </c>
      <c r="AG15" s="11">
        <f t="shared" si="6"/>
        <v>4.4097600000000003</v>
      </c>
      <c r="AH15" s="12">
        <f t="shared" si="7"/>
        <v>1.4581196924995474E-2</v>
      </c>
      <c r="AI15" s="12">
        <f t="shared" si="8"/>
        <v>8.2601024364993367E-3</v>
      </c>
      <c r="AJ15" s="12">
        <f t="shared" si="9"/>
        <v>4.3923534521734149E-3</v>
      </c>
      <c r="AK15" s="12">
        <f t="shared" si="10"/>
        <v>6.3210944884961361E-3</v>
      </c>
      <c r="AL15" s="54">
        <f t="shared" si="11"/>
        <v>2664624</v>
      </c>
      <c r="AM15" s="12">
        <v>16</v>
      </c>
      <c r="AN15" s="13">
        <v>31086837</v>
      </c>
      <c r="AO15" s="13">
        <v>971463.65625</v>
      </c>
      <c r="AP15" s="13">
        <v>27944.34375</v>
      </c>
      <c r="AQ15" s="14">
        <v>4703744</v>
      </c>
      <c r="AR15" s="14">
        <v>1416928</v>
      </c>
      <c r="AS15" s="14">
        <v>1247696</v>
      </c>
      <c r="AT15" s="14">
        <v>2039120</v>
      </c>
      <c r="AU15" s="15">
        <v>65.923106000000004</v>
      </c>
      <c r="AV15" s="15">
        <v>67.661797000000007</v>
      </c>
      <c r="AW15" s="15">
        <v>29.416015999999999</v>
      </c>
      <c r="AX15" s="15">
        <v>43.127603000000001</v>
      </c>
      <c r="AY15" s="15">
        <v>43.264449999999997</v>
      </c>
      <c r="AZ15" s="16">
        <v>3788.84</v>
      </c>
      <c r="BA15" s="16">
        <v>0</v>
      </c>
      <c r="BB15" s="16">
        <v>52.328000000000003</v>
      </c>
      <c r="BC15" s="16">
        <v>0</v>
      </c>
      <c r="BE15" s="51">
        <f t="shared" si="12"/>
        <v>0.99999699770925221</v>
      </c>
      <c r="BF15" s="17">
        <f t="shared" si="13"/>
        <v>0</v>
      </c>
      <c r="BG15" s="17">
        <f t="shared" si="14"/>
        <v>-7.373007537836429E-7</v>
      </c>
      <c r="BH15" s="17">
        <f>AVERAGE(AL15:AL19/AQ15:AQ19) - AVERAGE(N15:N19/S15:S19)</f>
        <v>-7.373007537836429E-7</v>
      </c>
      <c r="BJ15" s="51">
        <f>IF( OR(ISBLANK(N15:N19),ISBLANK(AL15:AL19), ISBLANK(W15:W19),ISBLANK(AU15:AU19)), "·", bdRateExtend( N15:N19,W15:W19, AL15:AL19,AU15:AU19))</f>
        <v>-2.1171221509241889E-6</v>
      </c>
      <c r="BK15" s="51">
        <f>IF( OR(ISBLANK(N15:N19),ISBLANK(AL15:AL19), ISBLANK(X15:X19),ISBLANK(AV15:AV19)), "·", bdRateExtend( N15:N19,X15:X19, AL15:AL19,AV15:AV19))</f>
        <v>-1.9626128595628956E-6</v>
      </c>
      <c r="BL15" s="51">
        <f>IF( OR(ISBLANK(V15:V19),ISBLANK(AT15:AT19), ISBLANK(Y15:Y19),ISBLANK(AW15:AW19)), "·", bdRateExtend( V15:V19,Y15:Y19, AT15:AT19,AW15:AW19))</f>
        <v>0</v>
      </c>
      <c r="BM15" s="51">
        <f>IF( OR(ISBLANK(V15:V19),ISBLANK(AT15:AT19), ISBLANK(Z15:Z19),ISBLANK(AX15:AX19)), "·", bdRateExtend( V15:V19,Z15:Z19, AT15:AT19,AX15:AX19))</f>
        <v>0</v>
      </c>
      <c r="BN15" s="51">
        <f>IF( OR(ISBLANK(V15:V19),ISBLANK(AT15:AT19), ISBLANK(AA15:AA19),ISBLANK(AY15:AY19)), "·", bdRateExtend( V15:V19,AA15:AA19, AT15:AT19,AY15:AY19))</f>
        <v>0</v>
      </c>
      <c r="BP15" s="51">
        <f>IF( OR(ISBLANK(S15:S19),ISBLANK(AQ15:AQ19), ISBLANK(W15:W19),ISBLANK(AU15:AU19)), "·", bdRateExtend( S15:S19,W15:W19, AQ15:AQ19,AU15:AU19))</f>
        <v>-8.6509866326078821E-7</v>
      </c>
      <c r="BQ15" s="51">
        <f>IF( OR(ISBLANK(S15:S19),ISBLANK(AQ15:AQ19), ISBLANK(X15:X19),ISBLANK(AV15:AV19)), "·", bdRateExtend( S15:S19,X15:X19, AQ15:AQ19,AV15:AV19))</f>
        <v>-7.7081278493373873E-7</v>
      </c>
      <c r="BR15" s="51">
        <f>IF( OR(ISBLANK(S15:S19),ISBLANK(AQ15:AQ19), ISBLANK(Y15:Y19),ISBLANK(AW15:AW19)), "·", bdRateExtend( S15:S19,Y15:Y19, AQ15:AQ19,AW15:AW19))</f>
        <v>-7.3741965644913421E-7</v>
      </c>
      <c r="BS15" s="51">
        <f>IF( OR(ISBLANK(S15:S19),ISBLANK(AQ15:AQ19), ISBLANK(Z15:Z19),ISBLANK(AX15:AX19)), "·", bdRateExtend( S15:S19,Z15:Z19, AQ15:AQ19,AX15:AX19))</f>
        <v>-6.2827004831955691E-7</v>
      </c>
      <c r="BT15" s="51">
        <f>IF( OR(ISBLANK(S15:S19),ISBLANK(AQ15:AQ19), ISBLANK(AA15:AA19),ISBLANK(AY15:AY19)), "·", bdRateExtend( S15:S19,AA15:AA19, AQ15:AQ19,AY15:AY19))</f>
        <v>-6.4635283159031331E-7</v>
      </c>
    </row>
    <row r="16" spans="1:72" outlineLevel="1" x14ac:dyDescent="0.2">
      <c r="A16" s="18"/>
      <c r="B16" s="18" t="s">
        <v>62</v>
      </c>
      <c r="C16" s="19" t="s">
        <v>231</v>
      </c>
      <c r="D16" s="18">
        <v>322589704</v>
      </c>
      <c r="E16" s="19">
        <v>10</v>
      </c>
      <c r="F16" s="19">
        <v>32</v>
      </c>
      <c r="G16" s="19">
        <v>30</v>
      </c>
      <c r="I16" s="20">
        <f t="shared" si="0"/>
        <v>7.0058100000000003</v>
      </c>
      <c r="J16" s="21">
        <f t="shared" si="1"/>
        <v>2.3165227864805009E-2</v>
      </c>
      <c r="K16" s="21">
        <f t="shared" si="2"/>
        <v>1.0065516536138425E-2</v>
      </c>
      <c r="L16" s="21">
        <f t="shared" si="3"/>
        <v>6.1977427525089267E-3</v>
      </c>
      <c r="M16" s="21">
        <f t="shared" si="4"/>
        <v>1.3099711328666584E-2</v>
      </c>
      <c r="N16" s="18">
        <f t="shared" si="5"/>
        <v>3247032</v>
      </c>
      <c r="O16" s="21">
        <v>16</v>
      </c>
      <c r="P16" s="22">
        <v>33185472</v>
      </c>
      <c r="Q16" s="22">
        <v>1037046</v>
      </c>
      <c r="R16" s="22">
        <v>34748.53125</v>
      </c>
      <c r="S16" s="23">
        <v>7472864</v>
      </c>
      <c r="T16" s="23">
        <v>1999328</v>
      </c>
      <c r="U16" s="23">
        <v>1247704</v>
      </c>
      <c r="V16" s="23">
        <v>4225832</v>
      </c>
      <c r="W16" s="24">
        <v>67.712850000000003</v>
      </c>
      <c r="X16" s="24">
        <v>69.741403000000005</v>
      </c>
      <c r="Y16" s="24">
        <v>31.808668999999998</v>
      </c>
      <c r="Z16" s="24">
        <v>43.978478000000003</v>
      </c>
      <c r="AA16" s="24">
        <v>44.264780999999999</v>
      </c>
      <c r="AB16" s="25">
        <v>4001.66</v>
      </c>
      <c r="AC16" s="25">
        <v>0</v>
      </c>
      <c r="AD16" s="25">
        <v>56.463000000000001</v>
      </c>
      <c r="AE16" s="25">
        <v>0</v>
      </c>
      <c r="AG16" s="20">
        <f t="shared" si="6"/>
        <v>7.0058024999999997</v>
      </c>
      <c r="AH16" s="21">
        <f t="shared" si="7"/>
        <v>2.3165203065501433E-2</v>
      </c>
      <c r="AI16" s="21">
        <f t="shared" si="8"/>
        <v>1.0065491736834849E-2</v>
      </c>
      <c r="AJ16" s="21">
        <f t="shared" si="9"/>
        <v>6.1977427525089267E-3</v>
      </c>
      <c r="AK16" s="21">
        <f t="shared" si="10"/>
        <v>1.3099711328666584E-2</v>
      </c>
      <c r="AL16" s="18">
        <f t="shared" si="11"/>
        <v>3247024</v>
      </c>
      <c r="AM16" s="21">
        <v>16</v>
      </c>
      <c r="AN16" s="22">
        <v>33185472</v>
      </c>
      <c r="AO16" s="22">
        <v>1037046</v>
      </c>
      <c r="AP16" s="22">
        <v>34748.53125</v>
      </c>
      <c r="AQ16" s="23">
        <v>7472856</v>
      </c>
      <c r="AR16" s="23">
        <v>1999328</v>
      </c>
      <c r="AS16" s="23">
        <v>1247696</v>
      </c>
      <c r="AT16" s="23">
        <v>4225832</v>
      </c>
      <c r="AU16" s="24">
        <v>67.712850000000003</v>
      </c>
      <c r="AV16" s="24">
        <v>69.741403000000005</v>
      </c>
      <c r="AW16" s="24">
        <v>31.808668999999998</v>
      </c>
      <c r="AX16" s="24">
        <v>43.978478000000003</v>
      </c>
      <c r="AY16" s="24">
        <v>44.264780999999999</v>
      </c>
      <c r="AZ16" s="25">
        <v>4079.12</v>
      </c>
      <c r="BA16" s="25">
        <v>0</v>
      </c>
      <c r="BB16" s="25">
        <v>56.619</v>
      </c>
      <c r="BC16" s="25">
        <v>0</v>
      </c>
      <c r="BE16" s="50">
        <f t="shared" si="12"/>
        <v>0.99999753621153098</v>
      </c>
      <c r="BF16" s="26">
        <f t="shared" si="13"/>
        <v>0</v>
      </c>
      <c r="BG16" s="26">
        <f t="shared" si="14"/>
        <v>-6.0538063190174185E-7</v>
      </c>
      <c r="BH16" s="26"/>
      <c r="BJ16" s="50"/>
      <c r="BK16" s="50"/>
      <c r="BL16" s="50"/>
      <c r="BM16" s="50"/>
      <c r="BN16" s="50"/>
      <c r="BP16" s="50"/>
      <c r="BQ16" s="50"/>
      <c r="BR16" s="50"/>
      <c r="BS16" s="50"/>
      <c r="BT16" s="50"/>
    </row>
    <row r="17" spans="1:72" outlineLevel="1" x14ac:dyDescent="0.2">
      <c r="A17" s="54"/>
      <c r="B17" s="54" t="s">
        <v>62</v>
      </c>
      <c r="C17" s="10" t="s">
        <v>232</v>
      </c>
      <c r="D17" s="54">
        <v>322589704</v>
      </c>
      <c r="E17" s="10">
        <v>10</v>
      </c>
      <c r="F17" s="10">
        <v>32</v>
      </c>
      <c r="G17" s="10">
        <v>30</v>
      </c>
      <c r="I17" s="11">
        <f t="shared" si="0"/>
        <v>11.691255</v>
      </c>
      <c r="J17" s="12">
        <f t="shared" si="1"/>
        <v>3.865799759064846E-2</v>
      </c>
      <c r="K17" s="12">
        <f t="shared" si="2"/>
        <v>1.2823893474293897E-2</v>
      </c>
      <c r="L17" s="12">
        <f t="shared" si="3"/>
        <v>8.9561196906643992E-3</v>
      </c>
      <c r="M17" s="12">
        <f t="shared" si="4"/>
        <v>2.5834104116354561E-2</v>
      </c>
      <c r="N17" s="54">
        <f t="shared" si="5"/>
        <v>4136856</v>
      </c>
      <c r="O17" s="12">
        <v>16</v>
      </c>
      <c r="P17" s="13">
        <v>33602137</v>
      </c>
      <c r="Q17" s="13">
        <v>1050066.78125</v>
      </c>
      <c r="R17" s="13">
        <v>36579.4375</v>
      </c>
      <c r="S17" s="14">
        <v>12470672</v>
      </c>
      <c r="T17" s="14">
        <v>2889152</v>
      </c>
      <c r="U17" s="14">
        <v>1247704</v>
      </c>
      <c r="V17" s="14">
        <v>8333816</v>
      </c>
      <c r="W17" s="15">
        <v>69.134241000000003</v>
      </c>
      <c r="X17" s="15">
        <v>71.597499999999997</v>
      </c>
      <c r="Y17" s="15">
        <v>34.351258999999999</v>
      </c>
      <c r="Z17" s="15">
        <v>44.801000000000002</v>
      </c>
      <c r="AA17" s="15">
        <v>45.210155999999998</v>
      </c>
      <c r="AB17" s="16">
        <v>4118.7299999999996</v>
      </c>
      <c r="AC17" s="16">
        <v>0</v>
      </c>
      <c r="AD17" s="16">
        <v>56.244999999999997</v>
      </c>
      <c r="AE17" s="16">
        <v>0</v>
      </c>
      <c r="AG17" s="11">
        <f t="shared" si="6"/>
        <v>11.691247499999999</v>
      </c>
      <c r="AH17" s="12">
        <f t="shared" si="7"/>
        <v>3.8657972791344884E-2</v>
      </c>
      <c r="AI17" s="12">
        <f t="shared" si="8"/>
        <v>1.2823868674990321E-2</v>
      </c>
      <c r="AJ17" s="12">
        <f t="shared" si="9"/>
        <v>8.9561196906643992E-3</v>
      </c>
      <c r="AK17" s="12">
        <f t="shared" si="10"/>
        <v>2.5834104116354561E-2</v>
      </c>
      <c r="AL17" s="54">
        <f t="shared" si="11"/>
        <v>4136848</v>
      </c>
      <c r="AM17" s="12">
        <v>16</v>
      </c>
      <c r="AN17" s="13">
        <v>33602137</v>
      </c>
      <c r="AO17" s="13">
        <v>1050066.78125</v>
      </c>
      <c r="AP17" s="13">
        <v>36579.4375</v>
      </c>
      <c r="AQ17" s="14">
        <v>12470664</v>
      </c>
      <c r="AR17" s="14">
        <v>2889152</v>
      </c>
      <c r="AS17" s="14">
        <v>1247696</v>
      </c>
      <c r="AT17" s="14">
        <v>8333816</v>
      </c>
      <c r="AU17" s="15">
        <v>69.134241000000003</v>
      </c>
      <c r="AV17" s="15">
        <v>71.597499999999997</v>
      </c>
      <c r="AW17" s="15">
        <v>34.351258999999999</v>
      </c>
      <c r="AX17" s="15">
        <v>44.801000000000002</v>
      </c>
      <c r="AY17" s="15">
        <v>45.210155999999998</v>
      </c>
      <c r="AZ17" s="16">
        <v>4688.2700000000004</v>
      </c>
      <c r="BA17" s="16">
        <v>0</v>
      </c>
      <c r="BB17" s="16">
        <v>67.932000000000002</v>
      </c>
      <c r="BC17" s="16">
        <v>0</v>
      </c>
      <c r="BE17" s="51">
        <f t="shared" si="12"/>
        <v>0.99999806616425613</v>
      </c>
      <c r="BF17" s="17">
        <f t="shared" si="13"/>
        <v>0</v>
      </c>
      <c r="BG17" s="17">
        <f t="shared" si="14"/>
        <v>-4.2870096367275679E-7</v>
      </c>
      <c r="BH17" s="17"/>
      <c r="BJ17" s="51"/>
      <c r="BK17" s="51"/>
      <c r="BL17" s="51"/>
      <c r="BM17" s="51"/>
      <c r="BN17" s="51"/>
      <c r="BP17" s="51"/>
      <c r="BQ17" s="51"/>
      <c r="BR17" s="51"/>
      <c r="BS17" s="51"/>
      <c r="BT17" s="51"/>
    </row>
    <row r="18" spans="1:72" outlineLevel="1" x14ac:dyDescent="0.2">
      <c r="A18" s="18"/>
      <c r="B18" s="18" t="s">
        <v>62</v>
      </c>
      <c r="C18" s="19" t="s">
        <v>233</v>
      </c>
      <c r="D18" s="18">
        <v>322589704</v>
      </c>
      <c r="E18" s="19">
        <v>10</v>
      </c>
      <c r="F18" s="19">
        <v>32</v>
      </c>
      <c r="G18" s="19">
        <v>30</v>
      </c>
      <c r="I18" s="20">
        <f t="shared" si="0"/>
        <v>20.179739999999999</v>
      </c>
      <c r="J18" s="21">
        <f t="shared" si="1"/>
        <v>6.6725799779400269E-2</v>
      </c>
      <c r="K18" s="21">
        <f t="shared" si="2"/>
        <v>1.7327843792559479E-2</v>
      </c>
      <c r="L18" s="21">
        <f t="shared" si="3"/>
        <v>1.3460070008929981E-2</v>
      </c>
      <c r="M18" s="21">
        <f t="shared" si="4"/>
        <v>4.9397955986840797E-2</v>
      </c>
      <c r="N18" s="18">
        <f t="shared" si="5"/>
        <v>5589784</v>
      </c>
      <c r="O18" s="21">
        <v>16</v>
      </c>
      <c r="P18" s="22">
        <v>34802570</v>
      </c>
      <c r="Q18" s="22">
        <v>1087580.3125</v>
      </c>
      <c r="R18" s="22">
        <v>40873.28125</v>
      </c>
      <c r="S18" s="23">
        <v>21525056</v>
      </c>
      <c r="T18" s="23">
        <v>4342080</v>
      </c>
      <c r="U18" s="23">
        <v>1247704</v>
      </c>
      <c r="V18" s="23">
        <v>15935272</v>
      </c>
      <c r="W18" s="24">
        <v>70.372422</v>
      </c>
      <c r="X18" s="24">
        <v>72.950705999999997</v>
      </c>
      <c r="Y18" s="24">
        <v>37.032699999999998</v>
      </c>
      <c r="Z18" s="24">
        <v>46.141669</v>
      </c>
      <c r="AA18" s="24">
        <v>46.647602999999997</v>
      </c>
      <c r="AB18" s="25">
        <v>4547.47</v>
      </c>
      <c r="AC18" s="25">
        <v>0</v>
      </c>
      <c r="AD18" s="25">
        <v>67.001000000000005</v>
      </c>
      <c r="AE18" s="25">
        <v>0</v>
      </c>
      <c r="AG18" s="20">
        <f t="shared" si="6"/>
        <v>20.1797325</v>
      </c>
      <c r="AH18" s="21">
        <f t="shared" si="7"/>
        <v>6.67257749800967E-2</v>
      </c>
      <c r="AI18" s="21">
        <f t="shared" si="8"/>
        <v>1.7327818993255903E-2</v>
      </c>
      <c r="AJ18" s="21">
        <f t="shared" si="9"/>
        <v>1.3460070008929981E-2</v>
      </c>
      <c r="AK18" s="21">
        <f t="shared" si="10"/>
        <v>4.9397955986840797E-2</v>
      </c>
      <c r="AL18" s="18">
        <f t="shared" si="11"/>
        <v>5589776</v>
      </c>
      <c r="AM18" s="21">
        <v>16</v>
      </c>
      <c r="AN18" s="22">
        <v>34802570</v>
      </c>
      <c r="AO18" s="22">
        <v>1087580.3125</v>
      </c>
      <c r="AP18" s="22">
        <v>40873.28125</v>
      </c>
      <c r="AQ18" s="23">
        <v>21525048</v>
      </c>
      <c r="AR18" s="23">
        <v>4342080</v>
      </c>
      <c r="AS18" s="23">
        <v>1247696</v>
      </c>
      <c r="AT18" s="23">
        <v>15935272</v>
      </c>
      <c r="AU18" s="24">
        <v>70.372422</v>
      </c>
      <c r="AV18" s="24">
        <v>72.950705999999997</v>
      </c>
      <c r="AW18" s="24">
        <v>37.032699999999998</v>
      </c>
      <c r="AX18" s="24">
        <v>46.141669</v>
      </c>
      <c r="AY18" s="24">
        <v>46.647602999999997</v>
      </c>
      <c r="AZ18" s="25">
        <v>4520.09</v>
      </c>
      <c r="BA18" s="25">
        <v>0</v>
      </c>
      <c r="BB18" s="25">
        <v>66.712999999999994</v>
      </c>
      <c r="BC18" s="25">
        <v>0</v>
      </c>
      <c r="BE18" s="50">
        <f t="shared" si="12"/>
        <v>0.99999856881768601</v>
      </c>
      <c r="BF18" s="26">
        <f t="shared" si="13"/>
        <v>0</v>
      </c>
      <c r="BG18" s="26">
        <f t="shared" si="14"/>
        <v>-2.7514463518674148E-7</v>
      </c>
      <c r="BH18" s="26"/>
      <c r="BJ18" s="50"/>
      <c r="BK18" s="50"/>
      <c r="BL18" s="50"/>
      <c r="BM18" s="50"/>
      <c r="BN18" s="50"/>
      <c r="BP18" s="50"/>
      <c r="BQ18" s="50"/>
      <c r="BR18" s="50"/>
      <c r="BS18" s="50"/>
      <c r="BT18" s="50"/>
    </row>
    <row r="19" spans="1:72" ht="16" outlineLevel="1" thickBot="1" x14ac:dyDescent="0.25">
      <c r="A19" s="54"/>
      <c r="B19" s="27" t="s">
        <v>62</v>
      </c>
      <c r="C19" s="28" t="s">
        <v>234</v>
      </c>
      <c r="D19" s="27">
        <v>322589704</v>
      </c>
      <c r="E19" s="28">
        <v>10</v>
      </c>
      <c r="F19" s="28">
        <v>32</v>
      </c>
      <c r="G19" s="28">
        <v>30</v>
      </c>
      <c r="I19" s="29">
        <f t="shared" si="0"/>
        <v>35.694254999999998</v>
      </c>
      <c r="J19" s="30">
        <f t="shared" si="1"/>
        <v>0.11802568875539809</v>
      </c>
      <c r="K19" s="30">
        <f t="shared" si="2"/>
        <v>2.7797117790219369E-2</v>
      </c>
      <c r="L19" s="30">
        <f t="shared" si="3"/>
        <v>2.0647478569247826E-2</v>
      </c>
      <c r="M19" s="30">
        <f t="shared" si="4"/>
        <v>9.0228570965178723E-2</v>
      </c>
      <c r="N19" s="27">
        <f t="shared" si="5"/>
        <v>8967064</v>
      </c>
      <c r="O19" s="30">
        <v>16</v>
      </c>
      <c r="P19" s="31">
        <v>33042374</v>
      </c>
      <c r="Q19" s="31">
        <v>1032574.1875</v>
      </c>
      <c r="R19" s="31">
        <v>17761.0625</v>
      </c>
      <c r="S19" s="32">
        <v>38073872</v>
      </c>
      <c r="T19" s="32">
        <v>6660664</v>
      </c>
      <c r="U19" s="32">
        <v>2306400</v>
      </c>
      <c r="V19" s="32">
        <v>29106808</v>
      </c>
      <c r="W19" s="33">
        <v>71.149422000000001</v>
      </c>
      <c r="X19" s="33">
        <v>75.002240999999998</v>
      </c>
      <c r="Y19" s="33">
        <v>39.490022000000003</v>
      </c>
      <c r="Z19" s="33">
        <v>47.872225</v>
      </c>
      <c r="AA19" s="33">
        <v>48.471881000000003</v>
      </c>
      <c r="AB19" s="34">
        <v>4919.59</v>
      </c>
      <c r="AC19" s="34">
        <v>0</v>
      </c>
      <c r="AD19" s="34">
        <v>64.694999999999993</v>
      </c>
      <c r="AE19" s="34">
        <v>0</v>
      </c>
      <c r="AG19" s="29">
        <f t="shared" si="6"/>
        <v>35.694247500000003</v>
      </c>
      <c r="AH19" s="30">
        <f t="shared" si="7"/>
        <v>0.11802566395609453</v>
      </c>
      <c r="AI19" s="30">
        <f t="shared" si="8"/>
        <v>2.7797092990915793E-2</v>
      </c>
      <c r="AJ19" s="30">
        <f t="shared" si="9"/>
        <v>2.0647478569247826E-2</v>
      </c>
      <c r="AK19" s="30">
        <f t="shared" si="10"/>
        <v>9.0228570965178723E-2</v>
      </c>
      <c r="AL19" s="27">
        <f t="shared" si="11"/>
        <v>8967056</v>
      </c>
      <c r="AM19" s="30">
        <v>16</v>
      </c>
      <c r="AN19" s="31">
        <v>33042374</v>
      </c>
      <c r="AO19" s="31">
        <v>1032574.1875</v>
      </c>
      <c r="AP19" s="31">
        <v>17761.0625</v>
      </c>
      <c r="AQ19" s="32">
        <v>38073864</v>
      </c>
      <c r="AR19" s="32">
        <v>6660664</v>
      </c>
      <c r="AS19" s="32">
        <v>2306392</v>
      </c>
      <c r="AT19" s="32">
        <v>29106808</v>
      </c>
      <c r="AU19" s="33">
        <v>71.149422000000001</v>
      </c>
      <c r="AV19" s="33">
        <v>75.002240999999998</v>
      </c>
      <c r="AW19" s="33">
        <v>39.490022000000003</v>
      </c>
      <c r="AX19" s="33">
        <v>47.872225</v>
      </c>
      <c r="AY19" s="33">
        <v>48.471881000000003</v>
      </c>
      <c r="AZ19" s="34">
        <v>4493.34</v>
      </c>
      <c r="BA19" s="34">
        <v>0</v>
      </c>
      <c r="BB19" s="34">
        <v>59.073999999999998</v>
      </c>
      <c r="BC19" s="34">
        <v>0</v>
      </c>
      <c r="BE19" s="35">
        <f t="shared" si="12"/>
        <v>0.99999910784622481</v>
      </c>
      <c r="BF19" s="36">
        <f t="shared" si="13"/>
        <v>0</v>
      </c>
      <c r="BG19" s="36">
        <f t="shared" si="14"/>
        <v>-1.6063144578359889E-7</v>
      </c>
      <c r="BH19" s="36"/>
      <c r="BJ19" s="35"/>
      <c r="BK19" s="35"/>
      <c r="BL19" s="35"/>
      <c r="BM19" s="35"/>
      <c r="BN19" s="35"/>
      <c r="BP19" s="35"/>
      <c r="BQ19" s="35"/>
      <c r="BR19" s="35"/>
      <c r="BS19" s="35"/>
      <c r="BT19" s="35"/>
    </row>
    <row r="20" spans="1:72" x14ac:dyDescent="0.2">
      <c r="A20" s="18"/>
      <c r="B20" s="18" t="s">
        <v>68</v>
      </c>
      <c r="C20" s="19" t="s">
        <v>230</v>
      </c>
      <c r="D20" s="18">
        <v>250602891</v>
      </c>
      <c r="E20" s="19">
        <v>10</v>
      </c>
      <c r="F20" s="19">
        <v>32</v>
      </c>
      <c r="G20" s="19">
        <v>50</v>
      </c>
      <c r="I20" s="20">
        <f t="shared" si="0"/>
        <v>5.1034875</v>
      </c>
      <c r="J20" s="21">
        <f t="shared" si="1"/>
        <v>1.3033496888110521E-2</v>
      </c>
      <c r="K20" s="21">
        <f t="shared" si="2"/>
        <v>7.604732700390116E-3</v>
      </c>
      <c r="L20" s="21">
        <f t="shared" si="3"/>
        <v>3.776045823828904E-3</v>
      </c>
      <c r="M20" s="21">
        <f t="shared" si="4"/>
        <v>5.4287641877204043E-3</v>
      </c>
      <c r="N20" s="18">
        <f t="shared" si="5"/>
        <v>1905768</v>
      </c>
      <c r="O20" s="21">
        <v>16</v>
      </c>
      <c r="P20" s="22">
        <v>30323913</v>
      </c>
      <c r="Q20" s="22">
        <v>947622.28125</v>
      </c>
      <c r="R20" s="22">
        <v>27816.5625</v>
      </c>
      <c r="S20" s="23">
        <v>3266232</v>
      </c>
      <c r="T20" s="23">
        <v>946288</v>
      </c>
      <c r="U20" s="23">
        <v>959480</v>
      </c>
      <c r="V20" s="23">
        <v>1360464</v>
      </c>
      <c r="W20" s="24">
        <v>67.129975000000002</v>
      </c>
      <c r="X20" s="24">
        <v>68.823369</v>
      </c>
      <c r="Y20" s="24">
        <v>30.707647000000001</v>
      </c>
      <c r="Z20" s="24">
        <v>39.523800000000001</v>
      </c>
      <c r="AA20" s="24">
        <v>38.234321999999999</v>
      </c>
      <c r="AB20" s="25">
        <v>3697.55</v>
      </c>
      <c r="AC20" s="25">
        <v>0</v>
      </c>
      <c r="AD20" s="25">
        <v>49.156999999999996</v>
      </c>
      <c r="AE20" s="25">
        <v>0</v>
      </c>
      <c r="AG20" s="20">
        <f t="shared" si="6"/>
        <v>5.1034750000000004</v>
      </c>
      <c r="AH20" s="21">
        <f t="shared" si="7"/>
        <v>1.3033464965094915E-2</v>
      </c>
      <c r="AI20" s="21">
        <f t="shared" si="8"/>
        <v>7.6047007773745118E-3</v>
      </c>
      <c r="AJ20" s="21">
        <f t="shared" si="9"/>
        <v>3.776045823828904E-3</v>
      </c>
      <c r="AK20" s="21">
        <f t="shared" si="10"/>
        <v>5.4287641877204043E-3</v>
      </c>
      <c r="AL20" s="18">
        <f t="shared" si="11"/>
        <v>1905760</v>
      </c>
      <c r="AM20" s="21">
        <v>16</v>
      </c>
      <c r="AN20" s="22">
        <v>30323913</v>
      </c>
      <c r="AO20" s="22">
        <v>947622.28125</v>
      </c>
      <c r="AP20" s="22">
        <v>27816.5625</v>
      </c>
      <c r="AQ20" s="23">
        <v>3266224</v>
      </c>
      <c r="AR20" s="23">
        <v>946288</v>
      </c>
      <c r="AS20" s="23">
        <v>959472</v>
      </c>
      <c r="AT20" s="23">
        <v>1360464</v>
      </c>
      <c r="AU20" s="24">
        <v>67.129975000000002</v>
      </c>
      <c r="AV20" s="24">
        <v>68.823369</v>
      </c>
      <c r="AW20" s="24">
        <v>30.707647000000001</v>
      </c>
      <c r="AX20" s="24">
        <v>39.523800000000001</v>
      </c>
      <c r="AY20" s="24">
        <v>38.234321999999999</v>
      </c>
      <c r="AZ20" s="25">
        <v>4136.47</v>
      </c>
      <c r="BA20" s="25">
        <v>0</v>
      </c>
      <c r="BB20" s="25">
        <v>57.356999999999999</v>
      </c>
      <c r="BC20" s="25">
        <v>0</v>
      </c>
      <c r="BE20" s="50">
        <f t="shared" si="12"/>
        <v>0.99999580221726891</v>
      </c>
      <c r="BF20" s="26">
        <f t="shared" si="13"/>
        <v>0</v>
      </c>
      <c r="BG20" s="26">
        <f t="shared" si="14"/>
        <v>-1.0201970094270152E-6</v>
      </c>
      <c r="BH20" s="26">
        <f>AVERAGE(AL20:AL24/AQ20:AQ24) - AVERAGE(N20:N24/S20:S24)</f>
        <v>-1.0201970094270152E-6</v>
      </c>
      <c r="BJ20" s="50">
        <f>IF( OR(ISBLANK(N20:N24),ISBLANK(AL20:AL24), ISBLANK(W20:W24),ISBLANK(AU20:AU24)), "·", bdRateExtend( N20:N24,W20:W24, AL20:AL24,AU20:AU24))</f>
        <v>-2.9911374289648407E-6</v>
      </c>
      <c r="BK20" s="50">
        <f>IF( OR(ISBLANK(N20:N24),ISBLANK(AL20:AL24), ISBLANK(X20:X24),ISBLANK(AV20:AV24)), "·", bdRateExtend( N20:N24,X20:X24, AL20:AL24,AV20:AV24))</f>
        <v>-2.7844341701221964E-6</v>
      </c>
      <c r="BL20" s="50">
        <f>IF( OR(ISBLANK(V20:V24),ISBLANK(AT20:AT24), ISBLANK(Y20:Y24),ISBLANK(AW20:AW24)), "·", bdRateExtend( V20:V24,Y20:Y24, AT20:AT24,AW20:AW24))</f>
        <v>0</v>
      </c>
      <c r="BM20" s="50">
        <f>IF( OR(ISBLANK(V20:V24),ISBLANK(AT20:AT24), ISBLANK(Z20:Z24),ISBLANK(AX20:AX24)), "·", bdRateExtend( V20:V24,Z20:Z24, AT20:AT24,AX20:AX24))</f>
        <v>0</v>
      </c>
      <c r="BN20" s="50">
        <f>IF( OR(ISBLANK(V20:V24),ISBLANK(AT20:AT24), ISBLANK(AA20:AA24),ISBLANK(AY20:AY24)), "·", bdRateExtend( V20:V24,AA20:AA24, AT20:AT24,AY20:AY24))</f>
        <v>0</v>
      </c>
      <c r="BP20" s="50">
        <f>IF( OR(ISBLANK(S20:S24),ISBLANK(AQ20:AQ24), ISBLANK(W20:W24),ISBLANK(AU20:AU24)), "·", bdRateExtend( S20:S24,W20:W24, AQ20:AQ24,AU20:AU24))</f>
        <v>-1.2853531216050484E-6</v>
      </c>
      <c r="BQ20" s="50">
        <f>IF( OR(ISBLANK(S20:S24),ISBLANK(AQ20:AQ24), ISBLANK(X20:X24),ISBLANK(AV20:AV24)), "·", bdRateExtend( S20:S24,X20:X24, AQ20:AQ24,AV20:AV24))</f>
        <v>-1.1492598576134938E-6</v>
      </c>
      <c r="BR20" s="50">
        <f>IF( OR(ISBLANK(S20:S24),ISBLANK(AQ20:AQ24), ISBLANK(Y20:Y24),ISBLANK(AW20:AW24)), "·", bdRateExtend( S20:S24,Y20:Y24, AQ20:AQ24,AW20:AW24))</f>
        <v>-1.2759054955902016E-6</v>
      </c>
      <c r="BS20" s="50">
        <f>IF( OR(ISBLANK(S20:S24),ISBLANK(AQ20:AQ24), ISBLANK(Z20:Z24),ISBLANK(AX20:AX24)), "·", bdRateExtend( S20:S24,Z20:Z24, AQ20:AQ24,AX20:AX24))</f>
        <v>-1.1961842760754848E-6</v>
      </c>
      <c r="BT20" s="50">
        <f>IF( OR(ISBLANK(S20:S24),ISBLANK(AQ20:AQ24), ISBLANK(AA20:AA24),ISBLANK(AY20:AY24)), "·", bdRateExtend( S20:S24,AA20:AA24, AQ20:AQ24,AY20:AY24))</f>
        <v>-1.3210017106857208E-6</v>
      </c>
    </row>
    <row r="21" spans="1:72" outlineLevel="1" x14ac:dyDescent="0.2">
      <c r="A21" s="54"/>
      <c r="B21" s="54" t="s">
        <v>68</v>
      </c>
      <c r="C21" s="10" t="s">
        <v>231</v>
      </c>
      <c r="D21" s="54">
        <v>250602891</v>
      </c>
      <c r="E21" s="10">
        <v>10</v>
      </c>
      <c r="F21" s="10">
        <v>32</v>
      </c>
      <c r="G21" s="10">
        <v>50</v>
      </c>
      <c r="I21" s="11">
        <f t="shared" si="0"/>
        <v>7.6043000000000003</v>
      </c>
      <c r="J21" s="12">
        <f t="shared" si="1"/>
        <v>1.9420175005084039E-2</v>
      </c>
      <c r="K21" s="12">
        <f t="shared" si="2"/>
        <v>9.05438876201951E-3</v>
      </c>
      <c r="L21" s="12">
        <f t="shared" si="3"/>
        <v>5.2257018854582962E-3</v>
      </c>
      <c r="M21" s="12">
        <f t="shared" si="4"/>
        <v>1.036578624306453E-2</v>
      </c>
      <c r="N21" s="54">
        <f t="shared" si="5"/>
        <v>2269056</v>
      </c>
      <c r="O21" s="12">
        <v>16</v>
      </c>
      <c r="P21" s="13">
        <v>31547254</v>
      </c>
      <c r="Q21" s="13">
        <v>985851.6875</v>
      </c>
      <c r="R21" s="13">
        <v>32992.53125</v>
      </c>
      <c r="S21" s="14">
        <v>4866752</v>
      </c>
      <c r="T21" s="14">
        <v>1309576</v>
      </c>
      <c r="U21" s="14">
        <v>959480</v>
      </c>
      <c r="V21" s="14">
        <v>2597696</v>
      </c>
      <c r="W21" s="15">
        <v>68.684825000000004</v>
      </c>
      <c r="X21" s="15">
        <v>70.763768999999996</v>
      </c>
      <c r="Y21" s="15">
        <v>32.498399999999997</v>
      </c>
      <c r="Z21" s="15">
        <v>40.653236999999997</v>
      </c>
      <c r="AA21" s="15">
        <v>39.544649999999997</v>
      </c>
      <c r="AB21" s="16">
        <v>4240.74</v>
      </c>
      <c r="AC21" s="16">
        <v>0</v>
      </c>
      <c r="AD21" s="16">
        <v>59.896999999999998</v>
      </c>
      <c r="AE21" s="16">
        <v>0</v>
      </c>
      <c r="AG21" s="11">
        <f t="shared" si="6"/>
        <v>7.6042874999999999</v>
      </c>
      <c r="AH21" s="12">
        <f t="shared" si="7"/>
        <v>1.9420143082068436E-2</v>
      </c>
      <c r="AI21" s="12">
        <f t="shared" si="8"/>
        <v>9.0543568390039041E-3</v>
      </c>
      <c r="AJ21" s="12">
        <f t="shared" si="9"/>
        <v>5.2257018854582962E-3</v>
      </c>
      <c r="AK21" s="12">
        <f t="shared" si="10"/>
        <v>1.036578624306453E-2</v>
      </c>
      <c r="AL21" s="54">
        <f t="shared" si="11"/>
        <v>2269048</v>
      </c>
      <c r="AM21" s="12">
        <v>16</v>
      </c>
      <c r="AN21" s="13">
        <v>31547254</v>
      </c>
      <c r="AO21" s="13">
        <v>985851.6875</v>
      </c>
      <c r="AP21" s="13">
        <v>32992.53125</v>
      </c>
      <c r="AQ21" s="14">
        <v>4866744</v>
      </c>
      <c r="AR21" s="14">
        <v>1309576</v>
      </c>
      <c r="AS21" s="14">
        <v>959472</v>
      </c>
      <c r="AT21" s="14">
        <v>2597696</v>
      </c>
      <c r="AU21" s="15">
        <v>68.684825000000004</v>
      </c>
      <c r="AV21" s="15">
        <v>70.763768999999996</v>
      </c>
      <c r="AW21" s="15">
        <v>32.498399999999997</v>
      </c>
      <c r="AX21" s="15">
        <v>40.653236999999997</v>
      </c>
      <c r="AY21" s="15">
        <v>39.544649999999997</v>
      </c>
      <c r="AZ21" s="16">
        <v>4227.0200000000004</v>
      </c>
      <c r="BA21" s="16">
        <v>0</v>
      </c>
      <c r="BB21" s="16">
        <v>63.139000000000003</v>
      </c>
      <c r="BC21" s="16">
        <v>0</v>
      </c>
      <c r="BE21" s="51">
        <f t="shared" si="12"/>
        <v>0.99999647430473282</v>
      </c>
      <c r="BF21" s="17">
        <f t="shared" si="13"/>
        <v>0</v>
      </c>
      <c r="BG21" s="17">
        <f t="shared" si="14"/>
        <v>-8.7740598897489974E-7</v>
      </c>
      <c r="BH21" s="17"/>
      <c r="BJ21" s="51"/>
      <c r="BK21" s="51"/>
      <c r="BL21" s="51"/>
      <c r="BM21" s="51"/>
      <c r="BN21" s="51"/>
      <c r="BP21" s="51"/>
      <c r="BQ21" s="51"/>
      <c r="BR21" s="51"/>
      <c r="BS21" s="51"/>
      <c r="BT21" s="51"/>
    </row>
    <row r="22" spans="1:72" outlineLevel="1" x14ac:dyDescent="0.2">
      <c r="A22" s="18"/>
      <c r="B22" s="18" t="s">
        <v>68</v>
      </c>
      <c r="C22" s="19" t="s">
        <v>232</v>
      </c>
      <c r="D22" s="18">
        <v>250602891</v>
      </c>
      <c r="E22" s="19">
        <v>10</v>
      </c>
      <c r="F22" s="19">
        <v>32</v>
      </c>
      <c r="G22" s="19">
        <v>50</v>
      </c>
      <c r="I22" s="20">
        <f t="shared" si="0"/>
        <v>12.370912499999999</v>
      </c>
      <c r="J22" s="21">
        <f t="shared" si="1"/>
        <v>3.1593346622645305E-2</v>
      </c>
      <c r="K22" s="21">
        <f t="shared" si="2"/>
        <v>1.1314410574776649E-2</v>
      </c>
      <c r="L22" s="21">
        <f t="shared" si="3"/>
        <v>7.4857236982154365E-3</v>
      </c>
      <c r="M22" s="21">
        <f t="shared" si="4"/>
        <v>2.0278936047868658E-2</v>
      </c>
      <c r="N22" s="18">
        <f t="shared" si="5"/>
        <v>2835424</v>
      </c>
      <c r="O22" s="21">
        <v>16</v>
      </c>
      <c r="P22" s="22">
        <v>32778173</v>
      </c>
      <c r="Q22" s="22">
        <v>1024317.90625</v>
      </c>
      <c r="R22" s="22">
        <v>35188.46875</v>
      </c>
      <c r="S22" s="23">
        <v>7917384</v>
      </c>
      <c r="T22" s="23">
        <v>1875944</v>
      </c>
      <c r="U22" s="23">
        <v>959480</v>
      </c>
      <c r="V22" s="23">
        <v>5081960</v>
      </c>
      <c r="W22" s="24">
        <v>69.862159000000005</v>
      </c>
      <c r="X22" s="24">
        <v>72.260553000000002</v>
      </c>
      <c r="Y22" s="24">
        <v>34.237662</v>
      </c>
      <c r="Z22" s="24">
        <v>41.667447000000003</v>
      </c>
      <c r="AA22" s="24">
        <v>40.554246999999997</v>
      </c>
      <c r="AB22" s="25">
        <v>3689.59</v>
      </c>
      <c r="AC22" s="25">
        <v>0</v>
      </c>
      <c r="AD22" s="25">
        <v>50.884</v>
      </c>
      <c r="AE22" s="25">
        <v>0</v>
      </c>
      <c r="AG22" s="20">
        <f t="shared" si="6"/>
        <v>12.370900000000001</v>
      </c>
      <c r="AH22" s="21">
        <f t="shared" si="7"/>
        <v>3.1593314699629699E-2</v>
      </c>
      <c r="AI22" s="21">
        <f t="shared" si="8"/>
        <v>1.1314378651761044E-2</v>
      </c>
      <c r="AJ22" s="21">
        <f t="shared" si="9"/>
        <v>7.4857236982154365E-3</v>
      </c>
      <c r="AK22" s="21">
        <f t="shared" si="10"/>
        <v>2.0278936047868658E-2</v>
      </c>
      <c r="AL22" s="18">
        <f t="shared" si="11"/>
        <v>2835416</v>
      </c>
      <c r="AM22" s="21">
        <v>16</v>
      </c>
      <c r="AN22" s="22">
        <v>32778173</v>
      </c>
      <c r="AO22" s="22">
        <v>1024317.90625</v>
      </c>
      <c r="AP22" s="22">
        <v>35188.46875</v>
      </c>
      <c r="AQ22" s="23">
        <v>7917376</v>
      </c>
      <c r="AR22" s="23">
        <v>1875944</v>
      </c>
      <c r="AS22" s="23">
        <v>959472</v>
      </c>
      <c r="AT22" s="23">
        <v>5081960</v>
      </c>
      <c r="AU22" s="24">
        <v>69.862159000000005</v>
      </c>
      <c r="AV22" s="24">
        <v>72.260553000000002</v>
      </c>
      <c r="AW22" s="24">
        <v>34.237662</v>
      </c>
      <c r="AX22" s="24">
        <v>41.667447000000003</v>
      </c>
      <c r="AY22" s="24">
        <v>40.554246999999997</v>
      </c>
      <c r="AZ22" s="25">
        <v>4627.88</v>
      </c>
      <c r="BA22" s="25">
        <v>0</v>
      </c>
      <c r="BB22" s="25">
        <v>71.594999999999999</v>
      </c>
      <c r="BC22" s="25">
        <v>0</v>
      </c>
      <c r="BE22" s="50">
        <f t="shared" si="12"/>
        <v>0.9999971785524846</v>
      </c>
      <c r="BF22" s="26">
        <f t="shared" si="13"/>
        <v>0</v>
      </c>
      <c r="BG22" s="26">
        <f t="shared" si="14"/>
        <v>-6.4857208142976575E-7</v>
      </c>
      <c r="BH22" s="26"/>
      <c r="BJ22" s="50"/>
      <c r="BK22" s="50"/>
      <c r="BL22" s="50"/>
      <c r="BM22" s="50"/>
      <c r="BN22" s="50"/>
      <c r="BP22" s="50"/>
      <c r="BQ22" s="50"/>
      <c r="BR22" s="50"/>
      <c r="BS22" s="50"/>
      <c r="BT22" s="50"/>
    </row>
    <row r="23" spans="1:72" outlineLevel="1" x14ac:dyDescent="0.2">
      <c r="A23" s="54"/>
      <c r="B23" s="54" t="s">
        <v>68</v>
      </c>
      <c r="C23" s="10" t="s">
        <v>233</v>
      </c>
      <c r="D23" s="54">
        <v>250602891</v>
      </c>
      <c r="E23" s="10">
        <v>10</v>
      </c>
      <c r="F23" s="10">
        <v>32</v>
      </c>
      <c r="G23" s="10">
        <v>50</v>
      </c>
      <c r="I23" s="11">
        <f t="shared" si="0"/>
        <v>22.013349999999999</v>
      </c>
      <c r="J23" s="12">
        <f t="shared" si="1"/>
        <v>5.6218601245106942E-2</v>
      </c>
      <c r="K23" s="12">
        <f t="shared" si="2"/>
        <v>1.5235833811669795E-2</v>
      </c>
      <c r="L23" s="12">
        <f t="shared" si="3"/>
        <v>1.1407146935108583E-2</v>
      </c>
      <c r="M23" s="12">
        <f t="shared" si="4"/>
        <v>4.0982767433437151E-2</v>
      </c>
      <c r="N23" s="54">
        <f t="shared" si="5"/>
        <v>3818144</v>
      </c>
      <c r="O23" s="12">
        <v>16</v>
      </c>
      <c r="P23" s="13">
        <v>32789353</v>
      </c>
      <c r="Q23" s="13">
        <v>1024667.28125</v>
      </c>
      <c r="R23" s="13">
        <v>36955.375</v>
      </c>
      <c r="S23" s="14">
        <v>14088544</v>
      </c>
      <c r="T23" s="14">
        <v>2858664</v>
      </c>
      <c r="U23" s="14">
        <v>959480</v>
      </c>
      <c r="V23" s="14">
        <v>10270400</v>
      </c>
      <c r="W23" s="15">
        <v>70.885131000000001</v>
      </c>
      <c r="X23" s="15">
        <v>73.609525000000005</v>
      </c>
      <c r="Y23" s="15">
        <v>35.685465999999998</v>
      </c>
      <c r="Z23" s="15">
        <v>42.817408999999998</v>
      </c>
      <c r="AA23" s="15">
        <v>41.612730999999997</v>
      </c>
      <c r="AB23" s="16">
        <v>3434.1</v>
      </c>
      <c r="AC23" s="16">
        <v>0</v>
      </c>
      <c r="AD23" s="16">
        <v>49.662999999999997</v>
      </c>
      <c r="AE23" s="16">
        <v>0</v>
      </c>
      <c r="AG23" s="11">
        <f t="shared" si="6"/>
        <v>22.013337499999999</v>
      </c>
      <c r="AH23" s="12">
        <f t="shared" si="7"/>
        <v>5.6218569322091343E-2</v>
      </c>
      <c r="AI23" s="12">
        <f t="shared" si="8"/>
        <v>1.523580188865419E-2</v>
      </c>
      <c r="AJ23" s="12">
        <f t="shared" si="9"/>
        <v>1.1407146935108583E-2</v>
      </c>
      <c r="AK23" s="12">
        <f t="shared" si="10"/>
        <v>4.0982767433437151E-2</v>
      </c>
      <c r="AL23" s="54">
        <f t="shared" si="11"/>
        <v>3818136</v>
      </c>
      <c r="AM23" s="12">
        <v>16</v>
      </c>
      <c r="AN23" s="13">
        <v>32789353</v>
      </c>
      <c r="AO23" s="13">
        <v>1024667.28125</v>
      </c>
      <c r="AP23" s="13">
        <v>36955.375</v>
      </c>
      <c r="AQ23" s="14">
        <v>14088536</v>
      </c>
      <c r="AR23" s="14">
        <v>2858664</v>
      </c>
      <c r="AS23" s="14">
        <v>959472</v>
      </c>
      <c r="AT23" s="14">
        <v>10270400</v>
      </c>
      <c r="AU23" s="15">
        <v>70.885131000000001</v>
      </c>
      <c r="AV23" s="15">
        <v>73.609525000000005</v>
      </c>
      <c r="AW23" s="15">
        <v>35.685465999999998</v>
      </c>
      <c r="AX23" s="15">
        <v>42.817408999999998</v>
      </c>
      <c r="AY23" s="15">
        <v>41.612730999999997</v>
      </c>
      <c r="AZ23" s="16">
        <v>3813.08</v>
      </c>
      <c r="BA23" s="16">
        <v>0</v>
      </c>
      <c r="BB23" s="16">
        <v>55.255000000000003</v>
      </c>
      <c r="BC23" s="16">
        <v>0</v>
      </c>
      <c r="BE23" s="51">
        <f t="shared" si="12"/>
        <v>0.9999979047411518</v>
      </c>
      <c r="BF23" s="17">
        <f t="shared" si="13"/>
        <v>0</v>
      </c>
      <c r="BG23" s="17">
        <f t="shared" si="14"/>
        <v>-4.1394759775492673E-7</v>
      </c>
      <c r="BH23" s="17"/>
      <c r="BJ23" s="51"/>
      <c r="BK23" s="51"/>
      <c r="BL23" s="51"/>
      <c r="BM23" s="51"/>
      <c r="BN23" s="51"/>
      <c r="BP23" s="51"/>
      <c r="BQ23" s="51"/>
      <c r="BR23" s="51"/>
      <c r="BS23" s="51"/>
      <c r="BT23" s="51"/>
    </row>
    <row r="24" spans="1:72" ht="16" outlineLevel="1" thickBot="1" x14ac:dyDescent="0.25">
      <c r="A24" s="37"/>
      <c r="B24" s="37" t="s">
        <v>68</v>
      </c>
      <c r="C24" s="38" t="s">
        <v>234</v>
      </c>
      <c r="D24" s="37">
        <v>250602891</v>
      </c>
      <c r="E24" s="38">
        <v>10</v>
      </c>
      <c r="F24" s="38">
        <v>32</v>
      </c>
      <c r="G24" s="38">
        <v>50</v>
      </c>
      <c r="I24" s="39">
        <f t="shared" si="0"/>
        <v>38.644087499999998</v>
      </c>
      <c r="J24" s="40">
        <f t="shared" si="1"/>
        <v>9.8690864663648278E-2</v>
      </c>
      <c r="K24" s="40">
        <f t="shared" si="2"/>
        <v>2.529554218111554E-2</v>
      </c>
      <c r="L24" s="40">
        <f t="shared" si="3"/>
        <v>1.7938755542927873E-2</v>
      </c>
      <c r="M24" s="40">
        <f t="shared" si="4"/>
        <v>7.3395322482532735E-2</v>
      </c>
      <c r="N24" s="37">
        <f t="shared" si="5"/>
        <v>6339136</v>
      </c>
      <c r="O24" s="40">
        <v>16</v>
      </c>
      <c r="P24" s="41">
        <v>31420466</v>
      </c>
      <c r="Q24" s="41">
        <v>981889.5625</v>
      </c>
      <c r="R24" s="41">
        <v>18332.15625</v>
      </c>
      <c r="S24" s="42">
        <v>24732216</v>
      </c>
      <c r="T24" s="42">
        <v>4495504</v>
      </c>
      <c r="U24" s="42">
        <v>1843632</v>
      </c>
      <c r="V24" s="42">
        <v>18393080</v>
      </c>
      <c r="W24" s="43">
        <v>71.729253</v>
      </c>
      <c r="X24" s="43">
        <v>75.633027999999996</v>
      </c>
      <c r="Y24" s="43">
        <v>36.551428000000001</v>
      </c>
      <c r="Z24" s="43">
        <v>43.594028000000002</v>
      </c>
      <c r="AA24" s="43">
        <v>42.058259</v>
      </c>
      <c r="AB24" s="44">
        <v>4677.7700000000004</v>
      </c>
      <c r="AC24" s="44">
        <v>0</v>
      </c>
      <c r="AD24" s="44">
        <v>56.386000000000003</v>
      </c>
      <c r="AE24" s="44">
        <v>0</v>
      </c>
      <c r="AG24" s="39">
        <f t="shared" si="6"/>
        <v>38.644075000000001</v>
      </c>
      <c r="AH24" s="40">
        <f t="shared" si="7"/>
        <v>9.8690832740632672E-2</v>
      </c>
      <c r="AI24" s="40">
        <f t="shared" si="8"/>
        <v>2.5295510258099934E-2</v>
      </c>
      <c r="AJ24" s="40">
        <f t="shared" si="9"/>
        <v>1.7938755542927873E-2</v>
      </c>
      <c r="AK24" s="40">
        <f t="shared" si="10"/>
        <v>7.3395322482532735E-2</v>
      </c>
      <c r="AL24" s="37">
        <f t="shared" si="11"/>
        <v>6339128</v>
      </c>
      <c r="AM24" s="40">
        <v>16</v>
      </c>
      <c r="AN24" s="41">
        <v>31420466</v>
      </c>
      <c r="AO24" s="41">
        <v>981889.5625</v>
      </c>
      <c r="AP24" s="41">
        <v>18332.15625</v>
      </c>
      <c r="AQ24" s="42">
        <v>24732208</v>
      </c>
      <c r="AR24" s="42">
        <v>4495504</v>
      </c>
      <c r="AS24" s="42">
        <v>1843624</v>
      </c>
      <c r="AT24" s="42">
        <v>18393080</v>
      </c>
      <c r="AU24" s="43">
        <v>71.729253</v>
      </c>
      <c r="AV24" s="43">
        <v>75.633027999999996</v>
      </c>
      <c r="AW24" s="43">
        <v>36.551428000000001</v>
      </c>
      <c r="AX24" s="43">
        <v>43.594028000000002</v>
      </c>
      <c r="AY24" s="43">
        <v>42.058259</v>
      </c>
      <c r="AZ24" s="44">
        <v>4671.68</v>
      </c>
      <c r="BA24" s="44">
        <v>0</v>
      </c>
      <c r="BB24" s="44">
        <v>60.887999999999998</v>
      </c>
      <c r="BC24" s="44">
        <v>0</v>
      </c>
      <c r="BE24" s="45">
        <f t="shared" si="12"/>
        <v>0.99999873799836436</v>
      </c>
      <c r="BF24" s="46">
        <f t="shared" si="13"/>
        <v>0</v>
      </c>
      <c r="BG24" s="46">
        <f t="shared" si="14"/>
        <v>-2.4055729175298524E-7</v>
      </c>
      <c r="BH24" s="46"/>
      <c r="BJ24" s="45"/>
      <c r="BK24" s="45"/>
      <c r="BL24" s="45"/>
      <c r="BM24" s="45"/>
      <c r="BN24" s="45"/>
      <c r="BP24" s="45"/>
      <c r="BQ24" s="45"/>
      <c r="BR24" s="45"/>
      <c r="BS24" s="45"/>
      <c r="BT24" s="45"/>
    </row>
    <row r="25" spans="1:72" x14ac:dyDescent="0.2">
      <c r="A25" s="54" t="s">
        <v>235</v>
      </c>
      <c r="B25" s="54" t="s">
        <v>71</v>
      </c>
      <c r="C25" s="10" t="s">
        <v>230</v>
      </c>
      <c r="D25" s="54">
        <v>250294582</v>
      </c>
      <c r="E25" s="10">
        <v>10</v>
      </c>
      <c r="F25" s="10">
        <v>32</v>
      </c>
      <c r="G25" s="10">
        <v>30</v>
      </c>
      <c r="I25" s="11">
        <f t="shared" si="0"/>
        <v>4.3771199999999997</v>
      </c>
      <c r="J25" s="12">
        <f t="shared" si="1"/>
        <v>1.8653731785532618E-2</v>
      </c>
      <c r="K25" s="12">
        <f t="shared" si="2"/>
        <v>6.5164814474489904E-3</v>
      </c>
      <c r="L25" s="12">
        <f t="shared" si="3"/>
        <v>3.7288222243660072E-3</v>
      </c>
      <c r="M25" s="12">
        <f t="shared" si="4"/>
        <v>1.2137250338083626E-2</v>
      </c>
      <c r="N25" s="54">
        <f t="shared" si="5"/>
        <v>1631040</v>
      </c>
      <c r="O25" s="12">
        <v>16</v>
      </c>
      <c r="P25" s="13">
        <v>23138864</v>
      </c>
      <c r="Q25" s="13">
        <v>723089.5</v>
      </c>
      <c r="R25" s="13">
        <v>14043.03125</v>
      </c>
      <c r="S25" s="14">
        <v>4668928</v>
      </c>
      <c r="T25" s="14">
        <v>933304</v>
      </c>
      <c r="U25" s="14">
        <v>697736</v>
      </c>
      <c r="V25" s="14">
        <v>3037888</v>
      </c>
      <c r="W25" s="15">
        <v>66.207505999999995</v>
      </c>
      <c r="X25" s="15">
        <v>67.988172000000006</v>
      </c>
      <c r="Y25" s="15">
        <v>27.335397</v>
      </c>
      <c r="Z25" s="15">
        <v>33.163116000000002</v>
      </c>
      <c r="AA25" s="15">
        <v>32.596747000000001</v>
      </c>
      <c r="AB25" s="16">
        <v>2418.4</v>
      </c>
      <c r="AC25" s="16">
        <v>0</v>
      </c>
      <c r="AD25" s="16">
        <v>49.781999999999996</v>
      </c>
      <c r="AE25" s="16">
        <v>0</v>
      </c>
      <c r="AG25" s="11">
        <f t="shared" si="6"/>
        <v>4.3680750000000002</v>
      </c>
      <c r="AH25" s="12">
        <f t="shared" si="7"/>
        <v>1.861518520604653E-2</v>
      </c>
      <c r="AI25" s="12">
        <f t="shared" si="8"/>
        <v>6.4878431927064247E-3</v>
      </c>
      <c r="AJ25" s="12">
        <f t="shared" si="9"/>
        <v>3.7129049801006078E-3</v>
      </c>
      <c r="AK25" s="12">
        <f t="shared" si="10"/>
        <v>1.2127342013340104E-2</v>
      </c>
      <c r="AL25" s="54">
        <f t="shared" si="11"/>
        <v>1623872</v>
      </c>
      <c r="AM25" s="12">
        <v>16</v>
      </c>
      <c r="AN25" s="13">
        <v>23138862</v>
      </c>
      <c r="AO25" s="13">
        <v>723089.4375</v>
      </c>
      <c r="AP25" s="13">
        <v>14043</v>
      </c>
      <c r="AQ25" s="14">
        <v>4659280</v>
      </c>
      <c r="AR25" s="14">
        <v>929320</v>
      </c>
      <c r="AS25" s="14">
        <v>694552</v>
      </c>
      <c r="AT25" s="14">
        <v>3035408</v>
      </c>
      <c r="AU25" s="15">
        <v>66.207503000000003</v>
      </c>
      <c r="AV25" s="15">
        <v>67.988172000000006</v>
      </c>
      <c r="AW25" s="15">
        <v>27.334253</v>
      </c>
      <c r="AX25" s="15">
        <v>33.162241000000002</v>
      </c>
      <c r="AY25" s="15">
        <v>32.598315999999997</v>
      </c>
      <c r="AZ25" s="16">
        <v>2524.88</v>
      </c>
      <c r="BA25" s="16">
        <v>0</v>
      </c>
      <c r="BB25" s="16">
        <v>50.658999999999999</v>
      </c>
      <c r="BC25" s="16">
        <v>0</v>
      </c>
      <c r="BE25" s="51">
        <f t="shared" si="12"/>
        <v>0.99560525799489896</v>
      </c>
      <c r="BF25" s="17">
        <f t="shared" si="13"/>
        <v>-4.1538700076837465E-8</v>
      </c>
      <c r="BG25" s="17">
        <f t="shared" si="14"/>
        <v>-8.1505608479193192E-4</v>
      </c>
      <c r="BH25" s="17">
        <f>AVERAGE(AL25:AL29/AQ25:AQ29) - AVERAGE(N25:N29/S25:S29)</f>
        <v>-8.1505608479193192E-4</v>
      </c>
      <c r="BJ25" s="51">
        <f>IF( OR(ISBLANK(N25:N29),ISBLANK(AL25:AL29), ISBLANK(W25:W29),ISBLANK(AU25:AU29)), "·", bdRateExtend( N25:N29,W25:W29, AL25:AL29,AU25:AU29))</f>
        <v>-3.1095777458062246E-3</v>
      </c>
      <c r="BK25" s="51">
        <f>IF( OR(ISBLANK(N25:N29),ISBLANK(AL25:AL29), ISBLANK(X25:X29),ISBLANK(AV25:AV29)), "·", bdRateExtend( N25:N29,X25:X29, AL25:AL29,AV25:AV29))</f>
        <v>-2.926627267056392E-3</v>
      </c>
      <c r="BL25" s="51">
        <f>IF( OR(ISBLANK(V25:V29),ISBLANK(AT25:AT29), ISBLANK(Y25:Y29),ISBLANK(AW25:AW29)), "·", bdRateExtend( V25:V29,Y25:Y29, AT25:AT29,AW25:AW29))</f>
        <v>-3.3482811804153023E-5</v>
      </c>
      <c r="BM25" s="51">
        <f>IF( OR(ISBLANK(V25:V29),ISBLANK(AT25:AT29), ISBLANK(Z25:Z29),ISBLANK(AX25:AX29)), "·", bdRateExtend( V25:V29,Z25:Z29, AT25:AT29,AX25:AX29))</f>
        <v>2.3802827424157513E-4</v>
      </c>
      <c r="BN25" s="51">
        <f>IF( OR(ISBLANK(V25:V29),ISBLANK(AT25:AT29), ISBLANK(AA25:AA29),ISBLANK(AY25:AY29)), "·", bdRateExtend( V25:V29,AA25:AA29, AT25:AT29,AY25:AY29))</f>
        <v>-4.7008424936989535E-5</v>
      </c>
      <c r="BP25" s="51">
        <f>IF( OR(ISBLANK(S25:S29),ISBLANK(AQ25:AQ29), ISBLANK(W25:W29),ISBLANK(AU25:AU29)), "·", bdRateExtend( S25:S29,W25:W29, AQ25:AQ29,AU25:AU29))</f>
        <v>-7.965147679489526E-4</v>
      </c>
      <c r="BQ25" s="51">
        <f>IF( OR(ISBLANK(S25:S29),ISBLANK(AQ25:AQ29), ISBLANK(X25:X29),ISBLANK(AV25:AV29)), "·", bdRateExtend( S25:S29,X25:X29, AQ25:AQ29,AV25:AV29))</f>
        <v>-6.7318515581382687E-4</v>
      </c>
      <c r="BR25" s="51">
        <f>IF( OR(ISBLANK(S25:S29),ISBLANK(AQ25:AQ29), ISBLANK(Y25:Y29),ISBLANK(AW25:AW29)), "·", bdRateExtend( S25:S29,Y25:Y29, AQ25:AQ29,AW25:AW29))</f>
        <v>-6.2837445625796295E-4</v>
      </c>
      <c r="BS25" s="51">
        <f>IF( OR(ISBLANK(S25:S29),ISBLANK(AQ25:AQ29), ISBLANK(Z25:Z29),ISBLANK(AX25:AX29)), "·", bdRateExtend( S25:S29,Z25:Z29, AQ25:AQ29,AX25:AX29))</f>
        <v>-3.4114285963460222E-4</v>
      </c>
      <c r="BT25" s="51">
        <f>IF( OR(ISBLANK(S25:S29),ISBLANK(AQ25:AQ29), ISBLANK(AA25:AA29),ISBLANK(AY25:AY29)), "·", bdRateExtend( S25:S29,AA25:AA29, AQ25:AQ29,AY25:AY29))</f>
        <v>-5.9908010573117565E-4</v>
      </c>
    </row>
    <row r="26" spans="1:72" outlineLevel="1" x14ac:dyDescent="0.2">
      <c r="A26" s="18"/>
      <c r="B26" s="18" t="s">
        <v>71</v>
      </c>
      <c r="C26" s="19" t="s">
        <v>231</v>
      </c>
      <c r="D26" s="18">
        <v>250294582</v>
      </c>
      <c r="E26" s="19">
        <v>10</v>
      </c>
      <c r="F26" s="19">
        <v>32</v>
      </c>
      <c r="G26" s="19">
        <v>30</v>
      </c>
      <c r="I26" s="20">
        <f t="shared" si="0"/>
        <v>7.5037950000000002</v>
      </c>
      <c r="J26" s="21">
        <f t="shared" si="1"/>
        <v>3.197851082529625E-2</v>
      </c>
      <c r="K26" s="21">
        <f t="shared" si="2"/>
        <v>8.0389115254600272E-3</v>
      </c>
      <c r="L26" s="21">
        <f t="shared" si="3"/>
        <v>5.2512523023770449E-3</v>
      </c>
      <c r="M26" s="21">
        <f t="shared" si="4"/>
        <v>2.3939599299836224E-2</v>
      </c>
      <c r="N26" s="18">
        <f t="shared" si="5"/>
        <v>2012096</v>
      </c>
      <c r="O26" s="21">
        <v>16</v>
      </c>
      <c r="P26" s="22">
        <v>24580782</v>
      </c>
      <c r="Q26" s="22">
        <v>768149.4375</v>
      </c>
      <c r="R26" s="22">
        <v>17704.59375</v>
      </c>
      <c r="S26" s="23">
        <v>8004048</v>
      </c>
      <c r="T26" s="23">
        <v>1314360</v>
      </c>
      <c r="U26" s="23">
        <v>697736</v>
      </c>
      <c r="V26" s="23">
        <v>5991952</v>
      </c>
      <c r="W26" s="24">
        <v>67.944759000000005</v>
      </c>
      <c r="X26" s="24">
        <v>69.940765999999996</v>
      </c>
      <c r="Y26" s="24">
        <v>29.714928</v>
      </c>
      <c r="Z26" s="24">
        <v>34.341006</v>
      </c>
      <c r="AA26" s="24">
        <v>33.890861999999998</v>
      </c>
      <c r="AB26" s="25">
        <v>2457.39</v>
      </c>
      <c r="AC26" s="25">
        <v>0</v>
      </c>
      <c r="AD26" s="25">
        <v>50.445</v>
      </c>
      <c r="AE26" s="25">
        <v>0</v>
      </c>
      <c r="AG26" s="20">
        <f t="shared" si="6"/>
        <v>7.4964750000000002</v>
      </c>
      <c r="AH26" s="21">
        <f t="shared" si="7"/>
        <v>3.1947315583523102E-2</v>
      </c>
      <c r="AI26" s="21">
        <f t="shared" si="8"/>
        <v>8.0104011200689915E-3</v>
      </c>
      <c r="AJ26" s="21">
        <f t="shared" si="9"/>
        <v>5.2354629074631747E-3</v>
      </c>
      <c r="AK26" s="21">
        <f t="shared" si="10"/>
        <v>2.3936914463454109E-2</v>
      </c>
      <c r="AL26" s="18">
        <f t="shared" si="11"/>
        <v>2004960</v>
      </c>
      <c r="AM26" s="21">
        <v>16</v>
      </c>
      <c r="AN26" s="22">
        <v>24580782</v>
      </c>
      <c r="AO26" s="22">
        <v>768149.4375</v>
      </c>
      <c r="AP26" s="22">
        <v>17704.5625</v>
      </c>
      <c r="AQ26" s="23">
        <v>7996240</v>
      </c>
      <c r="AR26" s="23">
        <v>1310408</v>
      </c>
      <c r="AS26" s="23">
        <v>694552</v>
      </c>
      <c r="AT26" s="23">
        <v>5991280</v>
      </c>
      <c r="AU26" s="24">
        <v>67.944759000000005</v>
      </c>
      <c r="AV26" s="24">
        <v>69.940765999999996</v>
      </c>
      <c r="AW26" s="24">
        <v>29.715568999999999</v>
      </c>
      <c r="AX26" s="24">
        <v>34.339241000000001</v>
      </c>
      <c r="AY26" s="24">
        <v>33.890011999999999</v>
      </c>
      <c r="AZ26" s="25">
        <v>2051.9699999999998</v>
      </c>
      <c r="BA26" s="25">
        <v>0</v>
      </c>
      <c r="BB26" s="25">
        <v>43.238999999999997</v>
      </c>
      <c r="BC26" s="25">
        <v>0</v>
      </c>
      <c r="BE26" s="50">
        <f t="shared" si="12"/>
        <v>0.99645344953719917</v>
      </c>
      <c r="BF26" s="26">
        <f t="shared" si="13"/>
        <v>-4.0682188222340709E-8</v>
      </c>
      <c r="BG26" s="26">
        <f t="shared" si="14"/>
        <v>-6.4695250356811007E-4</v>
      </c>
      <c r="BH26" s="26"/>
      <c r="BJ26" s="50"/>
      <c r="BK26" s="50"/>
      <c r="BL26" s="50"/>
      <c r="BM26" s="50"/>
      <c r="BN26" s="50"/>
      <c r="BP26" s="50"/>
      <c r="BQ26" s="50"/>
      <c r="BR26" s="50"/>
      <c r="BS26" s="50"/>
      <c r="BT26" s="50"/>
    </row>
    <row r="27" spans="1:72" outlineLevel="1" x14ac:dyDescent="0.2">
      <c r="A27" s="54"/>
      <c r="B27" s="54" t="s">
        <v>71</v>
      </c>
      <c r="C27" s="10" t="s">
        <v>232</v>
      </c>
      <c r="D27" s="54">
        <v>250294582</v>
      </c>
      <c r="E27" s="10">
        <v>10</v>
      </c>
      <c r="F27" s="10">
        <v>32</v>
      </c>
      <c r="G27" s="10">
        <v>30</v>
      </c>
      <c r="I27" s="11">
        <f t="shared" si="0"/>
        <v>13.2015525</v>
      </c>
      <c r="J27" s="12">
        <f t="shared" si="1"/>
        <v>5.6260330876838557E-2</v>
      </c>
      <c r="K27" s="12">
        <f t="shared" si="2"/>
        <v>1.033856977375563E-2</v>
      </c>
      <c r="L27" s="12">
        <f t="shared" si="3"/>
        <v>7.5509105506726473E-3</v>
      </c>
      <c r="M27" s="12">
        <f t="shared" si="4"/>
        <v>4.592176110308293E-2</v>
      </c>
      <c r="N27" s="54">
        <f t="shared" si="5"/>
        <v>2587688</v>
      </c>
      <c r="O27" s="12">
        <v>16</v>
      </c>
      <c r="P27" s="13">
        <v>24854017</v>
      </c>
      <c r="Q27" s="13">
        <v>776688.03125</v>
      </c>
      <c r="R27" s="13">
        <v>18708.96875</v>
      </c>
      <c r="S27" s="14">
        <v>14081656</v>
      </c>
      <c r="T27" s="14">
        <v>1889952</v>
      </c>
      <c r="U27" s="14">
        <v>697736</v>
      </c>
      <c r="V27" s="14">
        <v>11493968</v>
      </c>
      <c r="W27" s="15">
        <v>69.264531000000005</v>
      </c>
      <c r="X27" s="15">
        <v>71.652259000000001</v>
      </c>
      <c r="Y27" s="15">
        <v>32.213558999999997</v>
      </c>
      <c r="Z27" s="15">
        <v>35.579383999999997</v>
      </c>
      <c r="AA27" s="15">
        <v>35.201922000000003</v>
      </c>
      <c r="AB27" s="16">
        <v>2793.66</v>
      </c>
      <c r="AC27" s="16">
        <v>0</v>
      </c>
      <c r="AD27" s="16">
        <v>53.933</v>
      </c>
      <c r="AE27" s="16">
        <v>0</v>
      </c>
      <c r="AG27" s="11">
        <f t="shared" si="6"/>
        <v>13.1953725</v>
      </c>
      <c r="AH27" s="12">
        <f t="shared" si="7"/>
        <v>5.6233993910423517E-2</v>
      </c>
      <c r="AI27" s="12">
        <f t="shared" si="8"/>
        <v>1.0310219180054005E-2</v>
      </c>
      <c r="AJ27" s="12">
        <f t="shared" si="9"/>
        <v>7.5352809674481885E-3</v>
      </c>
      <c r="AK27" s="12">
        <f t="shared" si="10"/>
        <v>4.5923774730369515E-2</v>
      </c>
      <c r="AL27" s="54">
        <f t="shared" si="11"/>
        <v>2580592</v>
      </c>
      <c r="AM27" s="12">
        <v>16</v>
      </c>
      <c r="AN27" s="13">
        <v>24854010</v>
      </c>
      <c r="AO27" s="13">
        <v>776687.8125</v>
      </c>
      <c r="AP27" s="13">
        <v>18708.78125</v>
      </c>
      <c r="AQ27" s="14">
        <v>14075064</v>
      </c>
      <c r="AR27" s="14">
        <v>1886040</v>
      </c>
      <c r="AS27" s="14">
        <v>694552</v>
      </c>
      <c r="AT27" s="14">
        <v>11494472</v>
      </c>
      <c r="AU27" s="15">
        <v>69.264525000000006</v>
      </c>
      <c r="AV27" s="15">
        <v>71.652259000000001</v>
      </c>
      <c r="AW27" s="15">
        <v>32.213275000000003</v>
      </c>
      <c r="AX27" s="15">
        <v>35.579071999999996</v>
      </c>
      <c r="AY27" s="15">
        <v>35.202162999999999</v>
      </c>
      <c r="AZ27" s="16">
        <v>2270.2199999999998</v>
      </c>
      <c r="BA27" s="16">
        <v>0</v>
      </c>
      <c r="BB27" s="16">
        <v>47.2</v>
      </c>
      <c r="BC27" s="16">
        <v>0</v>
      </c>
      <c r="BE27" s="51">
        <f t="shared" si="12"/>
        <v>0.99725778378227981</v>
      </c>
      <c r="BF27" s="17">
        <f t="shared" si="13"/>
        <v>-2.3462543998278851E-7</v>
      </c>
      <c r="BG27" s="17">
        <f t="shared" si="14"/>
        <v>-4.1808932452691572E-4</v>
      </c>
      <c r="BH27" s="17"/>
      <c r="BJ27" s="51"/>
      <c r="BK27" s="51"/>
      <c r="BL27" s="51"/>
      <c r="BM27" s="51"/>
      <c r="BN27" s="51"/>
      <c r="BP27" s="51"/>
      <c r="BQ27" s="51"/>
      <c r="BR27" s="51"/>
      <c r="BS27" s="51"/>
      <c r="BT27" s="51"/>
    </row>
    <row r="28" spans="1:72" outlineLevel="1" x14ac:dyDescent="0.2">
      <c r="A28" s="18"/>
      <c r="B28" s="18" t="s">
        <v>71</v>
      </c>
      <c r="C28" s="19" t="s">
        <v>233</v>
      </c>
      <c r="D28" s="18">
        <v>250294582</v>
      </c>
      <c r="E28" s="19">
        <v>10</v>
      </c>
      <c r="F28" s="19">
        <v>32</v>
      </c>
      <c r="G28" s="19">
        <v>30</v>
      </c>
      <c r="I28" s="20">
        <f t="shared" si="0"/>
        <v>24.4649775</v>
      </c>
      <c r="J28" s="21">
        <f t="shared" si="1"/>
        <v>0.10426105028513961</v>
      </c>
      <c r="K28" s="21">
        <f t="shared" si="2"/>
        <v>1.419140586910507E-2</v>
      </c>
      <c r="L28" s="21">
        <f t="shared" si="3"/>
        <v>1.1403746646022086E-2</v>
      </c>
      <c r="M28" s="21">
        <f t="shared" si="4"/>
        <v>9.0069644416034544E-2</v>
      </c>
      <c r="N28" s="18">
        <f t="shared" si="5"/>
        <v>3552032</v>
      </c>
      <c r="O28" s="21">
        <v>16</v>
      </c>
      <c r="P28" s="22">
        <v>25513364</v>
      </c>
      <c r="Q28" s="22">
        <v>797292.625</v>
      </c>
      <c r="R28" s="22">
        <v>20938.9375</v>
      </c>
      <c r="S28" s="23">
        <v>26095976</v>
      </c>
      <c r="T28" s="23">
        <v>2854296</v>
      </c>
      <c r="U28" s="23">
        <v>697736</v>
      </c>
      <c r="V28" s="23">
        <v>22543944</v>
      </c>
      <c r="W28" s="24">
        <v>70.431272000000007</v>
      </c>
      <c r="X28" s="24">
        <v>72.970453000000006</v>
      </c>
      <c r="Y28" s="24">
        <v>34.907536999999998</v>
      </c>
      <c r="Z28" s="24">
        <v>37.368341000000001</v>
      </c>
      <c r="AA28" s="24">
        <v>36.934368999999997</v>
      </c>
      <c r="AB28" s="25">
        <v>2227.41</v>
      </c>
      <c r="AC28" s="25">
        <v>0</v>
      </c>
      <c r="AD28" s="25">
        <v>44.619</v>
      </c>
      <c r="AE28" s="25">
        <v>0</v>
      </c>
      <c r="AG28" s="20">
        <f t="shared" si="6"/>
        <v>24.461047499999999</v>
      </c>
      <c r="AH28" s="21">
        <f t="shared" si="7"/>
        <v>0.10424430202008927</v>
      </c>
      <c r="AI28" s="21">
        <f t="shared" si="8"/>
        <v>1.4162639765010974E-2</v>
      </c>
      <c r="AJ28" s="21">
        <f t="shared" si="9"/>
        <v>1.1387701552405158E-2</v>
      </c>
      <c r="AK28" s="21">
        <f t="shared" si="10"/>
        <v>9.0081662255078299E-2</v>
      </c>
      <c r="AL28" s="18">
        <f t="shared" si="11"/>
        <v>3544832</v>
      </c>
      <c r="AM28" s="21">
        <v>16</v>
      </c>
      <c r="AN28" s="22">
        <v>25513363</v>
      </c>
      <c r="AO28" s="22">
        <v>797292.59375</v>
      </c>
      <c r="AP28" s="22">
        <v>20938.96875</v>
      </c>
      <c r="AQ28" s="23">
        <v>26091784</v>
      </c>
      <c r="AR28" s="23">
        <v>2850280</v>
      </c>
      <c r="AS28" s="23">
        <v>694552</v>
      </c>
      <c r="AT28" s="23">
        <v>22546952</v>
      </c>
      <c r="AU28" s="24">
        <v>70.431274999999999</v>
      </c>
      <c r="AV28" s="24">
        <v>72.970459000000005</v>
      </c>
      <c r="AW28" s="24">
        <v>34.907443999999998</v>
      </c>
      <c r="AX28" s="24">
        <v>37.368850000000002</v>
      </c>
      <c r="AY28" s="24">
        <v>36.934975000000001</v>
      </c>
      <c r="AZ28" s="25">
        <v>2395.79</v>
      </c>
      <c r="BA28" s="25">
        <v>0</v>
      </c>
      <c r="BB28" s="25">
        <v>49.296999999999997</v>
      </c>
      <c r="BC28" s="25">
        <v>0</v>
      </c>
      <c r="BE28" s="50">
        <f t="shared" si="12"/>
        <v>0.99797299123431316</v>
      </c>
      <c r="BF28" s="26">
        <f t="shared" si="13"/>
        <v>4.0224510979014472E-8</v>
      </c>
      <c r="BG28" s="26">
        <f t="shared" si="14"/>
        <v>-2.5408034259385981E-4</v>
      </c>
      <c r="BH28" s="26"/>
      <c r="BJ28" s="50"/>
      <c r="BK28" s="50"/>
      <c r="BL28" s="50"/>
      <c r="BM28" s="50"/>
      <c r="BN28" s="50"/>
      <c r="BP28" s="50"/>
      <c r="BQ28" s="50"/>
      <c r="BR28" s="50"/>
      <c r="BS28" s="50"/>
      <c r="BT28" s="50"/>
    </row>
    <row r="29" spans="1:72" ht="16" outlineLevel="1" thickBot="1" x14ac:dyDescent="0.25">
      <c r="A29" s="27"/>
      <c r="B29" s="27" t="s">
        <v>71</v>
      </c>
      <c r="C29" s="28" t="s">
        <v>234</v>
      </c>
      <c r="D29" s="27">
        <v>250294582</v>
      </c>
      <c r="E29" s="28">
        <v>10</v>
      </c>
      <c r="F29" s="28">
        <v>32</v>
      </c>
      <c r="G29" s="28">
        <v>30</v>
      </c>
      <c r="I29" s="29">
        <f t="shared" si="0"/>
        <v>44.188012499999999</v>
      </c>
      <c r="J29" s="30">
        <f t="shared" si="1"/>
        <v>0.18831362478313654</v>
      </c>
      <c r="K29" s="30">
        <f t="shared" si="2"/>
        <v>2.2931666974717015E-2</v>
      </c>
      <c r="L29" s="30">
        <f t="shared" si="3"/>
        <v>1.7641484544799295E-2</v>
      </c>
      <c r="M29" s="30">
        <f t="shared" si="4"/>
        <v>0.16538195780841952</v>
      </c>
      <c r="N29" s="27">
        <f t="shared" si="5"/>
        <v>5739672</v>
      </c>
      <c r="O29" s="30">
        <v>16</v>
      </c>
      <c r="P29" s="31">
        <v>24573689</v>
      </c>
      <c r="Q29" s="31">
        <v>767927.78125</v>
      </c>
      <c r="R29" s="31">
        <v>9762.53125</v>
      </c>
      <c r="S29" s="32">
        <v>47133880</v>
      </c>
      <c r="T29" s="32">
        <v>4415568</v>
      </c>
      <c r="U29" s="32">
        <v>1324104</v>
      </c>
      <c r="V29" s="32">
        <v>41394208</v>
      </c>
      <c r="W29" s="33">
        <v>71.151606000000001</v>
      </c>
      <c r="X29" s="33">
        <v>74.903306000000001</v>
      </c>
      <c r="Y29" s="33">
        <v>37.339855999999997</v>
      </c>
      <c r="Z29" s="33">
        <v>39.402506000000002</v>
      </c>
      <c r="AA29" s="33">
        <v>38.756596999999999</v>
      </c>
      <c r="AB29" s="34">
        <v>2364.7199999999998</v>
      </c>
      <c r="AC29" s="34">
        <v>0</v>
      </c>
      <c r="AD29" s="34">
        <v>42.906999999999996</v>
      </c>
      <c r="AE29" s="34">
        <v>0</v>
      </c>
      <c r="AG29" s="29">
        <f t="shared" si="6"/>
        <v>44.184525000000001</v>
      </c>
      <c r="AH29" s="30">
        <f t="shared" si="7"/>
        <v>0.18829876229602124</v>
      </c>
      <c r="AI29" s="30">
        <f t="shared" si="8"/>
        <v>2.2878002209412586E-2</v>
      </c>
      <c r="AJ29" s="30">
        <f t="shared" si="9"/>
        <v>1.7625567300533898E-2</v>
      </c>
      <c r="AK29" s="30">
        <f t="shared" si="10"/>
        <v>0.16542076008660866</v>
      </c>
      <c r="AL29" s="27">
        <f t="shared" si="11"/>
        <v>5726240</v>
      </c>
      <c r="AM29" s="30">
        <v>16</v>
      </c>
      <c r="AN29" s="31">
        <v>24573675</v>
      </c>
      <c r="AO29" s="31">
        <v>767927.34375</v>
      </c>
      <c r="AP29" s="31">
        <v>9762.375</v>
      </c>
      <c r="AQ29" s="32">
        <v>47130160</v>
      </c>
      <c r="AR29" s="32">
        <v>4411584</v>
      </c>
      <c r="AS29" s="32">
        <v>1314656</v>
      </c>
      <c r="AT29" s="32">
        <v>41403920</v>
      </c>
      <c r="AU29" s="33">
        <v>71.151588000000004</v>
      </c>
      <c r="AV29" s="33">
        <v>74.903300000000002</v>
      </c>
      <c r="AW29" s="33">
        <v>37.340156</v>
      </c>
      <c r="AX29" s="33">
        <v>39.402133999999997</v>
      </c>
      <c r="AY29" s="33">
        <v>38.755974999999999</v>
      </c>
      <c r="AZ29" s="34">
        <v>3212.54</v>
      </c>
      <c r="BA29" s="34">
        <v>0</v>
      </c>
      <c r="BB29" s="34">
        <v>58.805999999999997</v>
      </c>
      <c r="BC29" s="34">
        <v>0</v>
      </c>
      <c r="BE29" s="35">
        <f t="shared" si="12"/>
        <v>0.99765979658767956</v>
      </c>
      <c r="BF29" s="36">
        <f t="shared" si="13"/>
        <v>-1.9622707854959065E-7</v>
      </c>
      <c r="BG29" s="36">
        <f t="shared" si="14"/>
        <v>-2.7538632244100691E-4</v>
      </c>
      <c r="BH29" s="36"/>
      <c r="BJ29" s="35"/>
      <c r="BK29" s="35"/>
      <c r="BL29" s="35"/>
      <c r="BM29" s="35"/>
      <c r="BN29" s="35"/>
      <c r="BP29" s="35"/>
      <c r="BQ29" s="35"/>
      <c r="BR29" s="35"/>
      <c r="BS29" s="35"/>
      <c r="BT29" s="35"/>
    </row>
    <row r="30" spans="1:72" x14ac:dyDescent="0.2">
      <c r="A30" s="18" t="s">
        <v>236</v>
      </c>
      <c r="B30" s="18" t="s">
        <v>75</v>
      </c>
      <c r="C30" s="19" t="s">
        <v>230</v>
      </c>
      <c r="D30" s="18">
        <v>375422539</v>
      </c>
      <c r="E30" s="19">
        <v>11</v>
      </c>
      <c r="F30" s="19">
        <v>32</v>
      </c>
      <c r="G30" s="19">
        <v>30</v>
      </c>
      <c r="I30" s="20">
        <f t="shared" si="0"/>
        <v>1.73217</v>
      </c>
      <c r="J30" s="21">
        <f t="shared" si="1"/>
        <v>4.9215159135663931E-3</v>
      </c>
      <c r="K30" s="21">
        <f t="shared" si="2"/>
        <v>3.0075338657277579E-3</v>
      </c>
      <c r="L30" s="21">
        <f t="shared" si="3"/>
        <v>1.8745384916807033E-3</v>
      </c>
      <c r="M30" s="21">
        <f t="shared" si="4"/>
        <v>1.9139820478386354E-3</v>
      </c>
      <c r="N30" s="18">
        <f t="shared" si="5"/>
        <v>1129096</v>
      </c>
      <c r="O30" s="21">
        <v>16</v>
      </c>
      <c r="P30" s="22">
        <v>26177974</v>
      </c>
      <c r="Q30" s="22">
        <v>2617797.4</v>
      </c>
      <c r="R30" s="22">
        <v>31010.1</v>
      </c>
      <c r="S30" s="23">
        <v>1847648</v>
      </c>
      <c r="T30" s="23">
        <v>703744</v>
      </c>
      <c r="U30" s="23">
        <v>425352</v>
      </c>
      <c r="V30" s="23">
        <v>718552</v>
      </c>
      <c r="W30" s="24">
        <v>73.489350000000002</v>
      </c>
      <c r="X30" s="24">
        <v>75.680970000000002</v>
      </c>
      <c r="Y30" s="24">
        <v>34.575859999999999</v>
      </c>
      <c r="Z30" s="24">
        <v>41.83428</v>
      </c>
      <c r="AA30" s="24">
        <v>43.574680000000001</v>
      </c>
      <c r="AB30" s="25">
        <v>1643.66</v>
      </c>
      <c r="AC30" s="25">
        <v>0</v>
      </c>
      <c r="AD30" s="25">
        <v>39.201000000000001</v>
      </c>
      <c r="AE30" s="25">
        <v>0</v>
      </c>
      <c r="AG30" s="20">
        <f t="shared" si="6"/>
        <v>1.7272125</v>
      </c>
      <c r="AH30" s="21">
        <f t="shared" si="7"/>
        <v>4.9074304513187471E-3</v>
      </c>
      <c r="AI30" s="21">
        <f t="shared" si="8"/>
        <v>2.9975824120671668E-3</v>
      </c>
      <c r="AJ30" s="21">
        <f t="shared" si="9"/>
        <v>1.8646083473427258E-3</v>
      </c>
      <c r="AK30" s="21">
        <f t="shared" si="10"/>
        <v>1.9098480392515805E-3</v>
      </c>
      <c r="AL30" s="18">
        <f t="shared" si="11"/>
        <v>1125360</v>
      </c>
      <c r="AM30" s="21">
        <v>16</v>
      </c>
      <c r="AN30" s="22">
        <v>26177927</v>
      </c>
      <c r="AO30" s="22">
        <v>2617792.7000000002</v>
      </c>
      <c r="AP30" s="22">
        <v>31010.2</v>
      </c>
      <c r="AQ30" s="23">
        <v>1842360</v>
      </c>
      <c r="AR30" s="23">
        <v>700016</v>
      </c>
      <c r="AS30" s="23">
        <v>425344</v>
      </c>
      <c r="AT30" s="23">
        <v>717000</v>
      </c>
      <c r="AU30" s="24">
        <v>73.489310000000003</v>
      </c>
      <c r="AV30" s="24">
        <v>75.680940000000007</v>
      </c>
      <c r="AW30" s="24">
        <v>34.578240000000001</v>
      </c>
      <c r="AX30" s="24">
        <v>41.818750000000001</v>
      </c>
      <c r="AY30" s="24">
        <v>43.588929999999998</v>
      </c>
      <c r="AZ30" s="25">
        <v>1562.46</v>
      </c>
      <c r="BA30" s="25">
        <v>0</v>
      </c>
      <c r="BB30" s="25">
        <v>39.514000000000003</v>
      </c>
      <c r="BC30" s="25">
        <v>0</v>
      </c>
      <c r="BE30" s="50">
        <f t="shared" si="12"/>
        <v>0.99669115823632359</v>
      </c>
      <c r="BF30" s="26">
        <f t="shared" si="13"/>
        <v>5.9468273062857069E-8</v>
      </c>
      <c r="BG30" s="26">
        <f t="shared" si="14"/>
        <v>-2.7383792788726602E-4</v>
      </c>
      <c r="BH30" s="26">
        <f>AVERAGE(AL30:AL34/AQ30:AQ34) - AVERAGE(N30:N34/S30:S34)</f>
        <v>-2.7383792788726602E-4</v>
      </c>
      <c r="BJ30" s="50">
        <f>IF( OR(ISBLANK(N30:N34),ISBLANK(AL30:AL34), ISBLANK(W30:W34),ISBLANK(AU30:AU34)), "·", bdRateExtend( N30:N34,W30:W34, AL30:AL34,AU30:AU34))</f>
        <v>-2.5201220770384447E-3</v>
      </c>
      <c r="BK30" s="50">
        <f>IF( OR(ISBLANK(N30:N34),ISBLANK(AL30:AL34), ISBLANK(X30:X34),ISBLANK(AV30:AV34)), "·", bdRateExtend( N30:N34,X30:X34, AL30:AL34,AV30:AV34))</f>
        <v>-2.4938657743158732E-3</v>
      </c>
      <c r="BL30" s="50">
        <f>IF( OR(ISBLANK(V30:V34),ISBLANK(AT30:AT34), ISBLANK(Y30:Y34),ISBLANK(AW30:AW34)), "·", bdRateExtend( V30:V34,Y30:Y34, AT30:AT34,AW30:AW34))</f>
        <v>-8.1683536289944847E-4</v>
      </c>
      <c r="BM30" s="50">
        <f>IF( OR(ISBLANK(V30:V34),ISBLANK(AT30:AT34), ISBLANK(Z30:Z34),ISBLANK(AX30:AX34)), "·", bdRateExtend( V30:V34,Z30:Z34, AT30:AT34,AX30:AX34))</f>
        <v>2.0566625695954688E-3</v>
      </c>
      <c r="BN30" s="50">
        <f>IF( OR(ISBLANK(V30:V34),ISBLANK(AT30:AT34), ISBLANK(AA30:AA34),ISBLANK(AY30:AY34)), "·", bdRateExtend( V30:V34,AA30:AA34, AT30:AT34,AY30:AY34))</f>
        <v>4.6983195242080722E-3</v>
      </c>
      <c r="BP30" s="50">
        <f>IF( OR(ISBLANK(S30:S34),ISBLANK(AQ30:AQ34), ISBLANK(W30:W34),ISBLANK(AU30:AU34)), "·", bdRateExtend( S30:S34,W30:W34, AQ30:AQ34,AU30:AU34))</f>
        <v>-1.6322912170418924E-3</v>
      </c>
      <c r="BQ30" s="50">
        <f>IF( OR(ISBLANK(S30:S34),ISBLANK(AQ30:AQ34), ISBLANK(X30:X34),ISBLANK(AV30:AV34)), "·", bdRateExtend( S30:S34,X30:X34, AQ30:AQ34,AV30:AV34))</f>
        <v>-1.5154204078191569E-3</v>
      </c>
      <c r="BR30" s="50">
        <f>IF( OR(ISBLANK(S30:S34),ISBLANK(AQ30:AQ34), ISBLANK(Y30:Y34),ISBLANK(AW30:AW34)), "·", bdRateExtend( S30:S34,Y30:Y34, AQ30:AQ34,AW30:AW34))</f>
        <v>-1.476270501535315E-3</v>
      </c>
      <c r="BS30" s="50">
        <f>IF( OR(ISBLANK(S30:S34),ISBLANK(AQ30:AQ34), ISBLANK(Z30:Z34),ISBLANK(AX30:AX34)), "·", bdRateExtend( S30:S34,Z30:Z34, AQ30:AQ34,AX30:AX34))</f>
        <v>6.464195416728824E-4</v>
      </c>
      <c r="BT30" s="50">
        <f>IF( OR(ISBLANK(S30:S34),ISBLANK(AQ30:AQ34), ISBLANK(AA30:AA34),ISBLANK(AY30:AY34)), "·", bdRateExtend( S30:S34,AA30:AA34, AQ30:AQ34,AY30:AY34))</f>
        <v>2.5680924466100485E-3</v>
      </c>
    </row>
    <row r="31" spans="1:72" outlineLevel="1" x14ac:dyDescent="0.2">
      <c r="A31" s="54"/>
      <c r="B31" s="54" t="s">
        <v>75</v>
      </c>
      <c r="C31" s="10" t="s">
        <v>231</v>
      </c>
      <c r="D31" s="54">
        <v>375422539</v>
      </c>
      <c r="E31" s="10">
        <v>11</v>
      </c>
      <c r="F31" s="10">
        <v>32</v>
      </c>
      <c r="G31" s="10">
        <v>30</v>
      </c>
      <c r="I31" s="11">
        <f t="shared" si="0"/>
        <v>2.4918075000000002</v>
      </c>
      <c r="J31" s="12">
        <f t="shared" si="1"/>
        <v>7.0798306544935493E-3</v>
      </c>
      <c r="K31" s="12">
        <f t="shared" si="2"/>
        <v>3.7036668168716424E-3</v>
      </c>
      <c r="L31" s="12">
        <f t="shared" si="3"/>
        <v>2.5706714428245874E-3</v>
      </c>
      <c r="M31" s="12">
        <f t="shared" si="4"/>
        <v>3.3761638376219069E-3</v>
      </c>
      <c r="N31" s="54">
        <f t="shared" si="5"/>
        <v>1390440</v>
      </c>
      <c r="O31" s="12">
        <v>16</v>
      </c>
      <c r="P31" s="13">
        <v>27910119</v>
      </c>
      <c r="Q31" s="13">
        <v>2791011.9</v>
      </c>
      <c r="R31" s="13">
        <v>39066.300000000003</v>
      </c>
      <c r="S31" s="14">
        <v>2657928</v>
      </c>
      <c r="T31" s="14">
        <v>965088</v>
      </c>
      <c r="U31" s="14">
        <v>425352</v>
      </c>
      <c r="V31" s="14">
        <v>1267488</v>
      </c>
      <c r="W31" s="15">
        <v>75.191879999999998</v>
      </c>
      <c r="X31" s="15">
        <v>77.558199999999999</v>
      </c>
      <c r="Y31" s="15">
        <v>36.462440000000001</v>
      </c>
      <c r="Z31" s="15">
        <v>42.35351</v>
      </c>
      <c r="AA31" s="15">
        <v>44.876240000000003</v>
      </c>
      <c r="AB31" s="16">
        <v>1857.09</v>
      </c>
      <c r="AC31" s="16">
        <v>0</v>
      </c>
      <c r="AD31" s="16">
        <v>41.726999999999997</v>
      </c>
      <c r="AE31" s="16">
        <v>0</v>
      </c>
      <c r="AG31" s="11">
        <f t="shared" si="6"/>
        <v>2.4861</v>
      </c>
      <c r="AH31" s="12">
        <f t="shared" si="7"/>
        <v>7.0636142599845341E-3</v>
      </c>
      <c r="AI31" s="12">
        <f t="shared" si="8"/>
        <v>3.6935875072753692E-3</v>
      </c>
      <c r="AJ31" s="12">
        <f t="shared" si="9"/>
        <v>2.560613442550928E-3</v>
      </c>
      <c r="AK31" s="12">
        <f t="shared" si="10"/>
        <v>3.3700267527091653E-3</v>
      </c>
      <c r="AL31" s="54">
        <f t="shared" si="11"/>
        <v>1386656</v>
      </c>
      <c r="AM31" s="12">
        <v>16</v>
      </c>
      <c r="AN31" s="13">
        <v>27910383</v>
      </c>
      <c r="AO31" s="13">
        <v>2791038.3</v>
      </c>
      <c r="AP31" s="13">
        <v>39067.4</v>
      </c>
      <c r="AQ31" s="14">
        <v>2651840</v>
      </c>
      <c r="AR31" s="14">
        <v>961312</v>
      </c>
      <c r="AS31" s="14">
        <v>425344</v>
      </c>
      <c r="AT31" s="14">
        <v>1265184</v>
      </c>
      <c r="AU31" s="15">
        <v>75.192049999999995</v>
      </c>
      <c r="AV31" s="15">
        <v>77.558369999999996</v>
      </c>
      <c r="AW31" s="15">
        <v>36.460250000000002</v>
      </c>
      <c r="AX31" s="15">
        <v>42.354709999999997</v>
      </c>
      <c r="AY31" s="15">
        <v>44.840089999999996</v>
      </c>
      <c r="AZ31" s="16">
        <v>1626.55</v>
      </c>
      <c r="BA31" s="16">
        <v>0</v>
      </c>
      <c r="BB31" s="16">
        <v>40.956000000000003</v>
      </c>
      <c r="BC31" s="16">
        <v>0</v>
      </c>
      <c r="BE31" s="51">
        <f t="shared" si="12"/>
        <v>0.99727855930496823</v>
      </c>
      <c r="BF31" s="17">
        <f t="shared" si="13"/>
        <v>2.6172138506766474E-7</v>
      </c>
      <c r="BG31" s="17">
        <f t="shared" si="14"/>
        <v>-2.259521139563736E-4</v>
      </c>
      <c r="BH31" s="17"/>
      <c r="BJ31" s="51"/>
      <c r="BK31" s="51"/>
      <c r="BL31" s="51"/>
      <c r="BM31" s="51"/>
      <c r="BN31" s="51"/>
      <c r="BP31" s="51"/>
      <c r="BQ31" s="51"/>
      <c r="BR31" s="51"/>
      <c r="BS31" s="51"/>
      <c r="BT31" s="51"/>
    </row>
    <row r="32" spans="1:72" outlineLevel="1" x14ac:dyDescent="0.2">
      <c r="A32" s="18"/>
      <c r="B32" s="18" t="s">
        <v>75</v>
      </c>
      <c r="C32" s="19" t="s">
        <v>232</v>
      </c>
      <c r="D32" s="18">
        <v>375422539</v>
      </c>
      <c r="E32" s="19">
        <v>11</v>
      </c>
      <c r="F32" s="19">
        <v>32</v>
      </c>
      <c r="G32" s="19">
        <v>30</v>
      </c>
      <c r="I32" s="20">
        <f t="shared" si="0"/>
        <v>3.8917125000000001</v>
      </c>
      <c r="J32" s="21">
        <f t="shared" si="1"/>
        <v>1.1057300957628439E-2</v>
      </c>
      <c r="K32" s="21">
        <f t="shared" si="2"/>
        <v>4.7099782679803359E-3</v>
      </c>
      <c r="L32" s="21">
        <f t="shared" si="3"/>
        <v>3.5769828939332809E-3</v>
      </c>
      <c r="M32" s="21">
        <f t="shared" si="4"/>
        <v>6.3473226896481032E-3</v>
      </c>
      <c r="N32" s="18">
        <f t="shared" si="5"/>
        <v>1768232</v>
      </c>
      <c r="O32" s="21">
        <v>16</v>
      </c>
      <c r="P32" s="22">
        <v>28438428</v>
      </c>
      <c r="Q32" s="22">
        <v>2843842.8</v>
      </c>
      <c r="R32" s="22">
        <v>42113.8</v>
      </c>
      <c r="S32" s="23">
        <v>4151160</v>
      </c>
      <c r="T32" s="23">
        <v>1342880</v>
      </c>
      <c r="U32" s="23">
        <v>425352</v>
      </c>
      <c r="V32" s="23">
        <v>2382928</v>
      </c>
      <c r="W32" s="24">
        <v>76.469800000000006</v>
      </c>
      <c r="X32" s="24">
        <v>79.123850000000004</v>
      </c>
      <c r="Y32" s="24">
        <v>38.19267</v>
      </c>
      <c r="Z32" s="24">
        <v>42.848939999999999</v>
      </c>
      <c r="AA32" s="24">
        <v>46.05415</v>
      </c>
      <c r="AB32" s="25">
        <v>2186.3200000000002</v>
      </c>
      <c r="AC32" s="25">
        <v>0</v>
      </c>
      <c r="AD32" s="25">
        <v>52.499000000000002</v>
      </c>
      <c r="AE32" s="25">
        <v>0</v>
      </c>
      <c r="AG32" s="20">
        <f t="shared" si="6"/>
        <v>3.8875799999999998</v>
      </c>
      <c r="AH32" s="21">
        <f t="shared" si="7"/>
        <v>1.1045559520868298E-2</v>
      </c>
      <c r="AI32" s="21">
        <f t="shared" si="8"/>
        <v>4.6997497931257669E-3</v>
      </c>
      <c r="AJ32" s="21">
        <f t="shared" si="9"/>
        <v>3.5667757284013253E-3</v>
      </c>
      <c r="AK32" s="21">
        <f t="shared" si="10"/>
        <v>6.345809727742532E-3</v>
      </c>
      <c r="AL32" s="18">
        <f t="shared" si="11"/>
        <v>1764392</v>
      </c>
      <c r="AM32" s="21">
        <v>16</v>
      </c>
      <c r="AN32" s="22">
        <v>28439064</v>
      </c>
      <c r="AO32" s="22">
        <v>2843906.4</v>
      </c>
      <c r="AP32" s="22">
        <v>42120.2</v>
      </c>
      <c r="AQ32" s="23">
        <v>4146752</v>
      </c>
      <c r="AR32" s="23">
        <v>1339048</v>
      </c>
      <c r="AS32" s="23">
        <v>425344</v>
      </c>
      <c r="AT32" s="23">
        <v>2382360</v>
      </c>
      <c r="AU32" s="24">
        <v>76.470010000000002</v>
      </c>
      <c r="AV32" s="24">
        <v>79.12379</v>
      </c>
      <c r="AW32" s="24">
        <v>38.19529</v>
      </c>
      <c r="AX32" s="24">
        <v>42.844119999999997</v>
      </c>
      <c r="AY32" s="24">
        <v>46.059919999999998</v>
      </c>
      <c r="AZ32" s="25">
        <v>1896.31</v>
      </c>
      <c r="BA32" s="25">
        <v>0</v>
      </c>
      <c r="BB32" s="25">
        <v>48.793999999999997</v>
      </c>
      <c r="BC32" s="25">
        <v>0</v>
      </c>
      <c r="BE32" s="50">
        <f t="shared" si="12"/>
        <v>0.99782833926769798</v>
      </c>
      <c r="BF32" s="26">
        <f t="shared" si="13"/>
        <v>1.9192483057036552E-6</v>
      </c>
      <c r="BG32" s="26">
        <f t="shared" si="14"/>
        <v>-4.7322921485082325E-4</v>
      </c>
      <c r="BH32" s="26"/>
      <c r="BJ32" s="50"/>
      <c r="BK32" s="50"/>
      <c r="BL32" s="50"/>
      <c r="BM32" s="50"/>
      <c r="BN32" s="50"/>
      <c r="BP32" s="50"/>
      <c r="BQ32" s="50"/>
      <c r="BR32" s="50"/>
      <c r="BS32" s="50"/>
      <c r="BT32" s="50"/>
    </row>
    <row r="33" spans="1:72" outlineLevel="1" x14ac:dyDescent="0.2">
      <c r="A33" s="54"/>
      <c r="B33" s="54" t="s">
        <v>75</v>
      </c>
      <c r="C33" s="10" t="s">
        <v>233</v>
      </c>
      <c r="D33" s="54">
        <v>375422539</v>
      </c>
      <c r="E33" s="10">
        <v>11</v>
      </c>
      <c r="F33" s="10">
        <v>32</v>
      </c>
      <c r="G33" s="10">
        <v>30</v>
      </c>
      <c r="I33" s="11">
        <f t="shared" si="0"/>
        <v>6.5984325000000004</v>
      </c>
      <c r="J33" s="12">
        <f t="shared" si="1"/>
        <v>1.8747750251617151E-2</v>
      </c>
      <c r="K33" s="12">
        <f t="shared" si="2"/>
        <v>6.3872137415809226E-3</v>
      </c>
      <c r="L33" s="12">
        <f t="shared" si="3"/>
        <v>5.2542183675338685E-3</v>
      </c>
      <c r="M33" s="12">
        <f t="shared" si="4"/>
        <v>1.2360536510036229E-2</v>
      </c>
      <c r="N33" s="54">
        <f t="shared" si="5"/>
        <v>2397904</v>
      </c>
      <c r="O33" s="12">
        <v>16</v>
      </c>
      <c r="P33" s="13">
        <v>29099802</v>
      </c>
      <c r="Q33" s="13">
        <v>2909980.2</v>
      </c>
      <c r="R33" s="13">
        <v>46565.9</v>
      </c>
      <c r="S33" s="14">
        <v>7038328</v>
      </c>
      <c r="T33" s="14">
        <v>1972552</v>
      </c>
      <c r="U33" s="14">
        <v>425352</v>
      </c>
      <c r="V33" s="14">
        <v>4640424</v>
      </c>
      <c r="W33" s="15">
        <v>77.588589999999996</v>
      </c>
      <c r="X33" s="15">
        <v>80.302030000000002</v>
      </c>
      <c r="Y33" s="15">
        <v>39.782409999999999</v>
      </c>
      <c r="Z33" s="15">
        <v>43.569400000000002</v>
      </c>
      <c r="AA33" s="15">
        <v>47.688049999999997</v>
      </c>
      <c r="AB33" s="16">
        <v>1838.1</v>
      </c>
      <c r="AC33" s="16">
        <v>0</v>
      </c>
      <c r="AD33" s="16">
        <v>43.866</v>
      </c>
      <c r="AE33" s="16">
        <v>0</v>
      </c>
      <c r="AG33" s="11">
        <f t="shared" si="6"/>
        <v>6.5953724999999999</v>
      </c>
      <c r="AH33" s="12">
        <f t="shared" si="7"/>
        <v>1.8739056047990768E-2</v>
      </c>
      <c r="AI33" s="12">
        <f t="shared" si="8"/>
        <v>6.3763886056931703E-3</v>
      </c>
      <c r="AJ33" s="12">
        <f t="shared" si="9"/>
        <v>5.2434145409687299E-3</v>
      </c>
      <c r="AK33" s="12">
        <f t="shared" si="10"/>
        <v>1.2362667442297597E-2</v>
      </c>
      <c r="AL33" s="54">
        <f t="shared" si="11"/>
        <v>2393840</v>
      </c>
      <c r="AM33" s="12">
        <v>16</v>
      </c>
      <c r="AN33" s="13">
        <v>29099774</v>
      </c>
      <c r="AO33" s="13">
        <v>2909977.4</v>
      </c>
      <c r="AP33" s="13">
        <v>46569.7</v>
      </c>
      <c r="AQ33" s="14">
        <v>7035064</v>
      </c>
      <c r="AR33" s="14">
        <v>1968496</v>
      </c>
      <c r="AS33" s="14">
        <v>425344</v>
      </c>
      <c r="AT33" s="14">
        <v>4641224</v>
      </c>
      <c r="AU33" s="15">
        <v>77.588579999999993</v>
      </c>
      <c r="AV33" s="15">
        <v>80.302030000000002</v>
      </c>
      <c r="AW33" s="15">
        <v>39.782339999999998</v>
      </c>
      <c r="AX33" s="15">
        <v>43.56785</v>
      </c>
      <c r="AY33" s="15">
        <v>47.677140000000001</v>
      </c>
      <c r="AZ33" s="16">
        <v>2080.75</v>
      </c>
      <c r="BA33" s="16">
        <v>0</v>
      </c>
      <c r="BB33" s="16">
        <v>52.094000000000001</v>
      </c>
      <c r="BC33" s="16">
        <v>0</v>
      </c>
      <c r="BE33" s="51">
        <f t="shared" si="12"/>
        <v>0.99830518652956912</v>
      </c>
      <c r="BF33" s="17">
        <f t="shared" si="13"/>
        <v>1.3212494302701494E-6</v>
      </c>
      <c r="BG33" s="17">
        <f t="shared" si="14"/>
        <v>-4.1960960190795538E-4</v>
      </c>
      <c r="BH33" s="17"/>
      <c r="BJ33" s="51"/>
      <c r="BK33" s="51"/>
      <c r="BL33" s="51"/>
      <c r="BM33" s="51"/>
      <c r="BN33" s="51"/>
      <c r="BP33" s="51"/>
      <c r="BQ33" s="51"/>
      <c r="BR33" s="51"/>
      <c r="BS33" s="51"/>
      <c r="BT33" s="51"/>
    </row>
    <row r="34" spans="1:72" ht="16" outlineLevel="1" thickBot="1" x14ac:dyDescent="0.25">
      <c r="A34" s="18"/>
      <c r="B34" s="37" t="s">
        <v>75</v>
      </c>
      <c r="C34" s="38" t="s">
        <v>234</v>
      </c>
      <c r="D34" s="37">
        <v>375422539</v>
      </c>
      <c r="E34" s="38">
        <v>11</v>
      </c>
      <c r="F34" s="38">
        <v>32</v>
      </c>
      <c r="G34" s="38">
        <v>30</v>
      </c>
      <c r="I34" s="39">
        <f t="shared" si="0"/>
        <v>12.6314475</v>
      </c>
      <c r="J34" s="40">
        <f t="shared" si="1"/>
        <v>3.588901198071115E-2</v>
      </c>
      <c r="K34" s="40">
        <f t="shared" si="2"/>
        <v>1.0259309444391138E-2</v>
      </c>
      <c r="L34" s="40">
        <f t="shared" si="3"/>
        <v>7.9796594205016544E-3</v>
      </c>
      <c r="M34" s="40">
        <f t="shared" si="4"/>
        <v>2.5629702536320017E-2</v>
      </c>
      <c r="N34" s="37">
        <f t="shared" si="5"/>
        <v>3851576</v>
      </c>
      <c r="O34" s="40">
        <v>16</v>
      </c>
      <c r="P34" s="41">
        <v>28538916</v>
      </c>
      <c r="Q34" s="41">
        <v>2853891.6</v>
      </c>
      <c r="R34" s="41">
        <v>18544.599999999999</v>
      </c>
      <c r="S34" s="42">
        <v>13473544</v>
      </c>
      <c r="T34" s="42">
        <v>2995744</v>
      </c>
      <c r="U34" s="42">
        <v>855832</v>
      </c>
      <c r="V34" s="42">
        <v>9621968</v>
      </c>
      <c r="W34" s="43">
        <v>78.543419999999998</v>
      </c>
      <c r="X34" s="43">
        <v>81.987719999999996</v>
      </c>
      <c r="Y34" s="43">
        <v>41.320259999999998</v>
      </c>
      <c r="Z34" s="43">
        <v>44.355899999999998</v>
      </c>
      <c r="AA34" s="43">
        <v>49.101460000000003</v>
      </c>
      <c r="AB34" s="44">
        <v>2439.2199999999998</v>
      </c>
      <c r="AC34" s="44">
        <v>0</v>
      </c>
      <c r="AD34" s="44">
        <v>50.389000000000003</v>
      </c>
      <c r="AE34" s="44">
        <v>0</v>
      </c>
      <c r="AG34" s="39">
        <f t="shared" si="6"/>
        <v>12.6187875</v>
      </c>
      <c r="AH34" s="40">
        <f t="shared" si="7"/>
        <v>3.5853041844139254E-2</v>
      </c>
      <c r="AI34" s="40">
        <f t="shared" si="8"/>
        <v>1.0223445854432304E-2</v>
      </c>
      <c r="AJ34" s="40">
        <f t="shared" si="9"/>
        <v>7.9691539244531075E-3</v>
      </c>
      <c r="AK34" s="40">
        <f t="shared" si="10"/>
        <v>2.5629595989706946E-2</v>
      </c>
      <c r="AL34" s="37">
        <f t="shared" si="11"/>
        <v>3838112</v>
      </c>
      <c r="AM34" s="40">
        <v>16</v>
      </c>
      <c r="AN34" s="41">
        <v>28538804</v>
      </c>
      <c r="AO34" s="41">
        <v>2853880.4</v>
      </c>
      <c r="AP34" s="41">
        <v>18545.599999999999</v>
      </c>
      <c r="AQ34" s="42">
        <v>13460040</v>
      </c>
      <c r="AR34" s="42">
        <v>2991800</v>
      </c>
      <c r="AS34" s="42">
        <v>846312</v>
      </c>
      <c r="AT34" s="42">
        <v>9621928</v>
      </c>
      <c r="AU34" s="43">
        <v>78.543369999999996</v>
      </c>
      <c r="AV34" s="43">
        <v>81.987740000000002</v>
      </c>
      <c r="AW34" s="43">
        <v>41.318939999999998</v>
      </c>
      <c r="AX34" s="43">
        <v>44.354349999999997</v>
      </c>
      <c r="AY34" s="43">
        <v>49.096519999999998</v>
      </c>
      <c r="AZ34" s="44">
        <v>2056.98</v>
      </c>
      <c r="BA34" s="44">
        <v>0</v>
      </c>
      <c r="BB34" s="44">
        <v>45.365000000000002</v>
      </c>
      <c r="BC34" s="44">
        <v>0</v>
      </c>
      <c r="BE34" s="45">
        <f t="shared" si="12"/>
        <v>0.9965042881147872</v>
      </c>
      <c r="BF34" s="46">
        <f t="shared" si="13"/>
        <v>3.7590140378618991E-7</v>
      </c>
      <c r="BG34" s="46">
        <f t="shared" si="14"/>
        <v>-7.1349845787516131E-4</v>
      </c>
      <c r="BH34" s="46"/>
      <c r="BJ34" s="45"/>
      <c r="BK34" s="45"/>
      <c r="BL34" s="45"/>
      <c r="BM34" s="45"/>
      <c r="BN34" s="45"/>
      <c r="BP34" s="45"/>
      <c r="BQ34" s="45"/>
      <c r="BR34" s="45"/>
      <c r="BS34" s="45"/>
      <c r="BT34" s="45"/>
    </row>
    <row r="35" spans="1:72" x14ac:dyDescent="0.2">
      <c r="A35" s="54"/>
      <c r="B35" s="54" t="s">
        <v>80</v>
      </c>
      <c r="C35" s="10" t="s">
        <v>230</v>
      </c>
      <c r="D35" s="54">
        <v>333190689</v>
      </c>
      <c r="E35" s="10">
        <v>11</v>
      </c>
      <c r="F35" s="10">
        <v>32</v>
      </c>
      <c r="G35" s="10">
        <v>30</v>
      </c>
      <c r="I35" s="11">
        <f t="shared" si="0"/>
        <v>1.8660675</v>
      </c>
      <c r="J35" s="12">
        <f t="shared" si="1"/>
        <v>5.9739724599567065E-3</v>
      </c>
      <c r="K35" s="12">
        <f t="shared" si="2"/>
        <v>3.5123910680469224E-3</v>
      </c>
      <c r="L35" s="12">
        <f t="shared" si="3"/>
        <v>2.1516087443848109E-3</v>
      </c>
      <c r="M35" s="12">
        <f t="shared" si="4"/>
        <v>2.4615813919097842E-3</v>
      </c>
      <c r="N35" s="54">
        <f t="shared" si="5"/>
        <v>1170296</v>
      </c>
      <c r="O35" s="12">
        <v>16</v>
      </c>
      <c r="P35" s="13">
        <v>23194018</v>
      </c>
      <c r="Q35" s="13">
        <v>2319401.7999999998</v>
      </c>
      <c r="R35" s="13">
        <v>29254.6</v>
      </c>
      <c r="S35" s="14">
        <v>1990472</v>
      </c>
      <c r="T35" s="14">
        <v>716896</v>
      </c>
      <c r="U35" s="14">
        <v>453400</v>
      </c>
      <c r="V35" s="14">
        <v>820176</v>
      </c>
      <c r="W35" s="15">
        <v>73.210250000000002</v>
      </c>
      <c r="X35" s="15">
        <v>75.419640000000001</v>
      </c>
      <c r="Y35" s="15">
        <v>33.994929999999997</v>
      </c>
      <c r="Z35" s="15">
        <v>42.583410000000001</v>
      </c>
      <c r="AA35" s="15">
        <v>44.026319999999998</v>
      </c>
      <c r="AB35" s="16">
        <v>1720.85</v>
      </c>
      <c r="AC35" s="16">
        <v>0</v>
      </c>
      <c r="AD35" s="16">
        <v>40.167999999999999</v>
      </c>
      <c r="AE35" s="16">
        <v>0</v>
      </c>
      <c r="AG35" s="11">
        <f t="shared" si="6"/>
        <v>1.86429</v>
      </c>
      <c r="AH35" s="12">
        <f t="shared" si="7"/>
        <v>5.9682820248317323E-3</v>
      </c>
      <c r="AI35" s="12">
        <f t="shared" si="8"/>
        <v>3.5040595026951666E-3</v>
      </c>
      <c r="AJ35" s="12">
        <f t="shared" si="9"/>
        <v>2.1489676141580294E-3</v>
      </c>
      <c r="AK35" s="12">
        <f t="shared" si="10"/>
        <v>2.4642225221365656E-3</v>
      </c>
      <c r="AL35" s="54">
        <f t="shared" si="11"/>
        <v>1167520</v>
      </c>
      <c r="AM35" s="12">
        <v>16</v>
      </c>
      <c r="AN35" s="13">
        <v>23194106</v>
      </c>
      <c r="AO35" s="13">
        <v>2319410.6</v>
      </c>
      <c r="AP35" s="13">
        <v>29257.200000000001</v>
      </c>
      <c r="AQ35" s="14">
        <v>1988576</v>
      </c>
      <c r="AR35" s="14">
        <v>716016</v>
      </c>
      <c r="AS35" s="14">
        <v>451504</v>
      </c>
      <c r="AT35" s="14">
        <v>821056</v>
      </c>
      <c r="AU35" s="15">
        <v>73.210290000000001</v>
      </c>
      <c r="AV35" s="15">
        <v>75.419700000000006</v>
      </c>
      <c r="AW35" s="15">
        <v>33.995809999999999</v>
      </c>
      <c r="AX35" s="15">
        <v>42.586329999999997</v>
      </c>
      <c r="AY35" s="15">
        <v>44.023420000000002</v>
      </c>
      <c r="AZ35" s="16">
        <v>1762.62</v>
      </c>
      <c r="BA35" s="16">
        <v>0</v>
      </c>
      <c r="BB35" s="16">
        <v>41.994</v>
      </c>
      <c r="BC35" s="16">
        <v>0</v>
      </c>
      <c r="BE35" s="51">
        <f t="shared" si="12"/>
        <v>0.99762795053559095</v>
      </c>
      <c r="BF35" s="17">
        <f t="shared" si="13"/>
        <v>1.0731198937102837E-6</v>
      </c>
      <c r="BG35" s="17">
        <f t="shared" si="14"/>
        <v>-8.3539614120209382E-4</v>
      </c>
      <c r="BH35" s="17">
        <f>AVERAGE(AL35:AL39/AQ35:AQ39) - AVERAGE(N35:N39/S35:S39)</f>
        <v>-8.3539614120209382E-4</v>
      </c>
      <c r="BJ35" s="51">
        <f>IF( OR(ISBLANK(N35:N39),ISBLANK(AL35:AL39), ISBLANK(W35:W39),ISBLANK(AU35:AU39)), "·", bdRateExtend( N35:N39,W35:W39, AL35:AL39,AU35:AU39))</f>
        <v>-1.5834669187094752E-3</v>
      </c>
      <c r="BK35" s="51">
        <f>IF( OR(ISBLANK(N35:N39),ISBLANK(AL35:AL39), ISBLANK(X35:X39),ISBLANK(AV35:AV39)), "·", bdRateExtend( N35:N39,X35:X39, AL35:AL39,AV35:AV39))</f>
        <v>-1.5151870042245941E-3</v>
      </c>
      <c r="BL35" s="51">
        <f>IF( OR(ISBLANK(V35:V39),ISBLANK(AT35:AT39), ISBLANK(Y35:Y39),ISBLANK(AW35:AW39)), "·", bdRateExtend( V35:V39,Y35:Y39, AT35:AT39,AW35:AW39))</f>
        <v>1.3426109297096644E-3</v>
      </c>
      <c r="BM35" s="51">
        <f>IF( OR(ISBLANK(V35:V39),ISBLANK(AT35:AT39), ISBLANK(Z35:Z39),ISBLANK(AX35:AX39)), "·", bdRateExtend( V35:V39,Z35:Z39, AT35:AT39,AX35:AX39))</f>
        <v>4.6029321544691637E-3</v>
      </c>
      <c r="BN35" s="51">
        <f>IF( OR(ISBLANK(V35:V39),ISBLANK(AT35:AT39), ISBLANK(AA35:AA39),ISBLANK(AY35:AY39)), "·", bdRateExtend( V35:V39,AA35:AA39, AT35:AT39,AY35:AY39))</f>
        <v>-3.6586700295315744E-4</v>
      </c>
      <c r="BP35" s="51">
        <f>IF( OR(ISBLANK(S35:S39),ISBLANK(AQ35:AQ39), ISBLANK(W35:W39),ISBLANK(AU35:AU39)), "·", bdRateExtend( S35:S39,W35:W39, AQ35:AQ39,AU35:AU39))</f>
        <v>1.3289352558354395E-4</v>
      </c>
      <c r="BQ35" s="51">
        <f>IF( OR(ISBLANK(S35:S39),ISBLANK(AQ35:AQ39), ISBLANK(X35:X39),ISBLANK(AV35:AV39)), "·", bdRateExtend( S35:S39,X35:X39, AQ35:AQ39,AV35:AV39))</f>
        <v>1.6580353641204582E-4</v>
      </c>
      <c r="BR35" s="51">
        <f>IF( OR(ISBLANK(S35:S39),ISBLANK(AQ35:AQ39), ISBLANK(Y35:Y39),ISBLANK(AW35:AW39)), "·", bdRateExtend( S35:S39,Y35:Y39, AQ35:AQ39,AW35:AW39))</f>
        <v>3.2059359656777531E-5</v>
      </c>
      <c r="BS35" s="51">
        <f>IF( OR(ISBLANK(S35:S39),ISBLANK(AQ35:AQ39), ISBLANK(Z35:Z39),ISBLANK(AX35:AX39)), "·", bdRateExtend( S35:S39,Z35:Z39, AQ35:AQ39,AX35:AX39))</f>
        <v>2.4680925993119107E-3</v>
      </c>
      <c r="BT35" s="51">
        <f>IF( OR(ISBLANK(S35:S39),ISBLANK(AQ35:AQ39), ISBLANK(AA35:AA39),ISBLANK(AY35:AY39)), "·", bdRateExtend( S35:S39,AA35:AA39, AQ35:AQ39,AY35:AY39))</f>
        <v>-1.0854828900830338E-3</v>
      </c>
    </row>
    <row r="36" spans="1:72" outlineLevel="1" x14ac:dyDescent="0.2">
      <c r="A36" s="18"/>
      <c r="B36" s="18" t="s">
        <v>80</v>
      </c>
      <c r="C36" s="19" t="s">
        <v>231</v>
      </c>
      <c r="D36" s="18">
        <v>333190689</v>
      </c>
      <c r="E36" s="19">
        <v>11</v>
      </c>
      <c r="F36" s="19">
        <v>32</v>
      </c>
      <c r="G36" s="19">
        <v>30</v>
      </c>
      <c r="I36" s="20">
        <f t="shared" si="0"/>
        <v>2.6743649999999999</v>
      </c>
      <c r="J36" s="21">
        <f t="shared" si="1"/>
        <v>8.561631804783117E-3</v>
      </c>
      <c r="K36" s="21">
        <f t="shared" si="2"/>
        <v>4.3183199516118528E-3</v>
      </c>
      <c r="L36" s="21">
        <f t="shared" si="3"/>
        <v>2.9575376279497414E-3</v>
      </c>
      <c r="M36" s="21">
        <f t="shared" si="4"/>
        <v>4.2433118531712633E-3</v>
      </c>
      <c r="N36" s="18">
        <f t="shared" si="5"/>
        <v>1438824</v>
      </c>
      <c r="O36" s="21">
        <v>16</v>
      </c>
      <c r="P36" s="22">
        <v>24823074</v>
      </c>
      <c r="Q36" s="22">
        <v>2482307.4</v>
      </c>
      <c r="R36" s="22">
        <v>37436.1</v>
      </c>
      <c r="S36" s="23">
        <v>2852656</v>
      </c>
      <c r="T36" s="23">
        <v>985424</v>
      </c>
      <c r="U36" s="23">
        <v>453400</v>
      </c>
      <c r="V36" s="23">
        <v>1413832</v>
      </c>
      <c r="W36" s="24">
        <v>74.951400000000007</v>
      </c>
      <c r="X36" s="24">
        <v>77.346739999999997</v>
      </c>
      <c r="Y36" s="24">
        <v>36.097679999999997</v>
      </c>
      <c r="Z36" s="24">
        <v>43.279299999999999</v>
      </c>
      <c r="AA36" s="24">
        <v>45.514580000000002</v>
      </c>
      <c r="AB36" s="25">
        <v>2197.4499999999998</v>
      </c>
      <c r="AC36" s="25">
        <v>0</v>
      </c>
      <c r="AD36" s="25">
        <v>49.197000000000003</v>
      </c>
      <c r="AE36" s="25">
        <v>0</v>
      </c>
      <c r="AG36" s="20">
        <f t="shared" si="6"/>
        <v>2.6737350000000002</v>
      </c>
      <c r="AH36" s="21">
        <f t="shared" si="7"/>
        <v>8.5596149417008476E-3</v>
      </c>
      <c r="AI36" s="21">
        <f t="shared" si="8"/>
        <v>4.3101804684584086E-3</v>
      </c>
      <c r="AJ36" s="21">
        <f t="shared" si="9"/>
        <v>2.9550885799212714E-3</v>
      </c>
      <c r="AK36" s="21">
        <f t="shared" si="10"/>
        <v>4.2494344732424381E-3</v>
      </c>
      <c r="AL36" s="18">
        <f t="shared" si="11"/>
        <v>1436112</v>
      </c>
      <c r="AM36" s="21">
        <v>16</v>
      </c>
      <c r="AN36" s="22">
        <v>24823109</v>
      </c>
      <c r="AO36" s="22">
        <v>2482310.9</v>
      </c>
      <c r="AP36" s="22">
        <v>37439</v>
      </c>
      <c r="AQ36" s="23">
        <v>2851984</v>
      </c>
      <c r="AR36" s="23">
        <v>984608</v>
      </c>
      <c r="AS36" s="23">
        <v>451504</v>
      </c>
      <c r="AT36" s="23">
        <v>1415872</v>
      </c>
      <c r="AU36" s="24">
        <v>74.951359999999994</v>
      </c>
      <c r="AV36" s="24">
        <v>77.346720000000005</v>
      </c>
      <c r="AW36" s="24">
        <v>36.09798</v>
      </c>
      <c r="AX36" s="24">
        <v>43.267510000000001</v>
      </c>
      <c r="AY36" s="24">
        <v>45.526119999999999</v>
      </c>
      <c r="AZ36" s="25">
        <v>1612.51</v>
      </c>
      <c r="BA36" s="25">
        <v>0</v>
      </c>
      <c r="BB36" s="25">
        <v>40.722000000000001</v>
      </c>
      <c r="BC36" s="25">
        <v>0</v>
      </c>
      <c r="BE36" s="50">
        <f t="shared" si="12"/>
        <v>0.99811512735400576</v>
      </c>
      <c r="BF36" s="26">
        <f t="shared" si="13"/>
        <v>1.1470021361332378E-6</v>
      </c>
      <c r="BG36" s="26">
        <f t="shared" si="14"/>
        <v>-8.3207210069968784E-4</v>
      </c>
      <c r="BH36" s="26"/>
      <c r="BJ36" s="50"/>
      <c r="BK36" s="50"/>
      <c r="BL36" s="50"/>
      <c r="BM36" s="50"/>
      <c r="BN36" s="50"/>
      <c r="BP36" s="50"/>
      <c r="BQ36" s="50"/>
      <c r="BR36" s="50"/>
      <c r="BS36" s="50"/>
      <c r="BT36" s="50"/>
    </row>
    <row r="37" spans="1:72" outlineLevel="1" x14ac:dyDescent="0.2">
      <c r="A37" s="54"/>
      <c r="B37" s="54" t="s">
        <v>80</v>
      </c>
      <c r="C37" s="10" t="s">
        <v>232</v>
      </c>
      <c r="D37" s="54">
        <v>333190689</v>
      </c>
      <c r="E37" s="10">
        <v>11</v>
      </c>
      <c r="F37" s="10">
        <v>32</v>
      </c>
      <c r="G37" s="10">
        <v>30</v>
      </c>
      <c r="I37" s="11">
        <f t="shared" si="0"/>
        <v>4.0800524999999999</v>
      </c>
      <c r="J37" s="12">
        <f t="shared" si="1"/>
        <v>1.3061757557096682E-2</v>
      </c>
      <c r="K37" s="12">
        <f t="shared" si="2"/>
        <v>5.4570312437512321E-3</v>
      </c>
      <c r="L37" s="12">
        <f t="shared" si="3"/>
        <v>4.0962489200891206E-3</v>
      </c>
      <c r="M37" s="12">
        <f t="shared" si="4"/>
        <v>7.6047263133454486E-3</v>
      </c>
      <c r="N37" s="54">
        <f t="shared" si="5"/>
        <v>1818232</v>
      </c>
      <c r="O37" s="12">
        <v>16</v>
      </c>
      <c r="P37" s="13">
        <v>25311121</v>
      </c>
      <c r="Q37" s="13">
        <v>2531112.1</v>
      </c>
      <c r="R37" s="13">
        <v>40405.5</v>
      </c>
      <c r="S37" s="14">
        <v>4352056</v>
      </c>
      <c r="T37" s="14">
        <v>1364832</v>
      </c>
      <c r="U37" s="14">
        <v>453400</v>
      </c>
      <c r="V37" s="14">
        <v>2533824</v>
      </c>
      <c r="W37" s="15">
        <v>76.245040000000003</v>
      </c>
      <c r="X37" s="15">
        <v>78.963070000000002</v>
      </c>
      <c r="Y37" s="15">
        <v>37.913530000000002</v>
      </c>
      <c r="Z37" s="15">
        <v>43.782910000000001</v>
      </c>
      <c r="AA37" s="15">
        <v>46.492319999999999</v>
      </c>
      <c r="AB37" s="16">
        <v>2076.7399999999998</v>
      </c>
      <c r="AC37" s="16">
        <v>0</v>
      </c>
      <c r="AD37" s="16">
        <v>47.442</v>
      </c>
      <c r="AE37" s="16">
        <v>0</v>
      </c>
      <c r="AG37" s="11">
        <f t="shared" si="6"/>
        <v>4.0826849999999997</v>
      </c>
      <c r="AH37" s="12">
        <f t="shared" si="7"/>
        <v>1.3070185163547592E-2</v>
      </c>
      <c r="AI37" s="12">
        <f t="shared" si="8"/>
        <v>5.4491078530708881E-3</v>
      </c>
      <c r="AJ37" s="12">
        <f t="shared" si="9"/>
        <v>4.0940159645337509E-3</v>
      </c>
      <c r="AK37" s="12">
        <f t="shared" si="10"/>
        <v>7.6210773104767046E-3</v>
      </c>
      <c r="AL37" s="54">
        <f t="shared" si="11"/>
        <v>1815592</v>
      </c>
      <c r="AM37" s="12">
        <v>16</v>
      </c>
      <c r="AN37" s="13">
        <v>25310882</v>
      </c>
      <c r="AO37" s="13">
        <v>2531088.2000000002</v>
      </c>
      <c r="AP37" s="13">
        <v>40407.800000000003</v>
      </c>
      <c r="AQ37" s="14">
        <v>4354864</v>
      </c>
      <c r="AR37" s="14">
        <v>1364088</v>
      </c>
      <c r="AS37" s="14">
        <v>451504</v>
      </c>
      <c r="AT37" s="14">
        <v>2539272</v>
      </c>
      <c r="AU37" s="15">
        <v>76.245000000000005</v>
      </c>
      <c r="AV37" s="15">
        <v>78.96311</v>
      </c>
      <c r="AW37" s="15">
        <v>37.915849999999999</v>
      </c>
      <c r="AX37" s="15">
        <v>43.780389999999997</v>
      </c>
      <c r="AY37" s="15">
        <v>46.504060000000003</v>
      </c>
      <c r="AZ37" s="16">
        <v>2083.77</v>
      </c>
      <c r="BA37" s="16">
        <v>0</v>
      </c>
      <c r="BB37" s="16">
        <v>50.101999999999997</v>
      </c>
      <c r="BC37" s="16">
        <v>0</v>
      </c>
      <c r="BE37" s="51">
        <f t="shared" si="12"/>
        <v>0.99854804007409392</v>
      </c>
      <c r="BF37" s="17">
        <f t="shared" si="13"/>
        <v>1.0594370115704632E-6</v>
      </c>
      <c r="BG37" s="17">
        <f t="shared" si="14"/>
        <v>-8.7560613258291786E-4</v>
      </c>
      <c r="BH37" s="17"/>
      <c r="BJ37" s="51"/>
      <c r="BK37" s="51"/>
      <c r="BL37" s="51"/>
      <c r="BM37" s="51"/>
      <c r="BN37" s="51"/>
      <c r="BP37" s="51"/>
      <c r="BQ37" s="51"/>
      <c r="BR37" s="51"/>
      <c r="BS37" s="51"/>
      <c r="BT37" s="51"/>
    </row>
    <row r="38" spans="1:72" outlineLevel="1" x14ac:dyDescent="0.2">
      <c r="A38" s="18"/>
      <c r="B38" s="18" t="s">
        <v>80</v>
      </c>
      <c r="C38" s="19" t="s">
        <v>233</v>
      </c>
      <c r="D38" s="18">
        <v>333190689</v>
      </c>
      <c r="E38" s="19">
        <v>11</v>
      </c>
      <c r="F38" s="19">
        <v>32</v>
      </c>
      <c r="G38" s="19">
        <v>30</v>
      </c>
      <c r="I38" s="20">
        <f t="shared" si="0"/>
        <v>6.8914724999999999</v>
      </c>
      <c r="J38" s="21">
        <f t="shared" si="1"/>
        <v>2.2062153123372546E-2</v>
      </c>
      <c r="K38" s="21">
        <f t="shared" si="2"/>
        <v>7.3867370285368326E-3</v>
      </c>
      <c r="L38" s="21">
        <f t="shared" si="3"/>
        <v>6.0259547048747211E-3</v>
      </c>
      <c r="M38" s="21">
        <f t="shared" si="4"/>
        <v>1.4675416094835711E-2</v>
      </c>
      <c r="N38" s="18">
        <f t="shared" si="5"/>
        <v>2461192</v>
      </c>
      <c r="O38" s="21">
        <v>16</v>
      </c>
      <c r="P38" s="22">
        <v>25894716</v>
      </c>
      <c r="Q38" s="22">
        <v>2589471.6</v>
      </c>
      <c r="R38" s="22">
        <v>44961</v>
      </c>
      <c r="S38" s="23">
        <v>7350904</v>
      </c>
      <c r="T38" s="23">
        <v>2007792</v>
      </c>
      <c r="U38" s="23">
        <v>453400</v>
      </c>
      <c r="V38" s="23">
        <v>4889712</v>
      </c>
      <c r="W38" s="24">
        <v>77.420320000000004</v>
      </c>
      <c r="X38" s="24">
        <v>80.20241</v>
      </c>
      <c r="Y38" s="24">
        <v>39.679130000000001</v>
      </c>
      <c r="Z38" s="24">
        <v>44.56588</v>
      </c>
      <c r="AA38" s="24">
        <v>47.820889999999999</v>
      </c>
      <c r="AB38" s="25">
        <v>1849.96</v>
      </c>
      <c r="AC38" s="25">
        <v>0</v>
      </c>
      <c r="AD38" s="25">
        <v>42.844999999999999</v>
      </c>
      <c r="AE38" s="25">
        <v>0</v>
      </c>
      <c r="AG38" s="20">
        <f t="shared" si="6"/>
        <v>6.8964749999999997</v>
      </c>
      <c r="AH38" s="21">
        <f t="shared" si="7"/>
        <v>2.2078167976656755E-2</v>
      </c>
      <c r="AI38" s="21">
        <f t="shared" si="8"/>
        <v>7.3790057200548006E-3</v>
      </c>
      <c r="AJ38" s="21">
        <f t="shared" si="9"/>
        <v>6.0239138315176625E-3</v>
      </c>
      <c r="AK38" s="21">
        <f t="shared" si="10"/>
        <v>1.4699162256601955E-2</v>
      </c>
      <c r="AL38" s="18">
        <f t="shared" si="11"/>
        <v>2458616</v>
      </c>
      <c r="AM38" s="21">
        <v>16</v>
      </c>
      <c r="AN38" s="22">
        <v>25894365</v>
      </c>
      <c r="AO38" s="22">
        <v>2589436.5</v>
      </c>
      <c r="AP38" s="22">
        <v>44957.8</v>
      </c>
      <c r="AQ38" s="23">
        <v>7356240</v>
      </c>
      <c r="AR38" s="23">
        <v>2007112</v>
      </c>
      <c r="AS38" s="23">
        <v>451504</v>
      </c>
      <c r="AT38" s="23">
        <v>4897624</v>
      </c>
      <c r="AU38" s="24">
        <v>77.420209999999997</v>
      </c>
      <c r="AV38" s="24">
        <v>80.202439999999996</v>
      </c>
      <c r="AW38" s="24">
        <v>39.679070000000003</v>
      </c>
      <c r="AX38" s="24">
        <v>44.56615</v>
      </c>
      <c r="AY38" s="24">
        <v>47.813670000000002</v>
      </c>
      <c r="AZ38" s="25">
        <v>1832.13</v>
      </c>
      <c r="BA38" s="25">
        <v>0</v>
      </c>
      <c r="BB38" s="25">
        <v>44.845999999999997</v>
      </c>
      <c r="BC38" s="25">
        <v>0</v>
      </c>
      <c r="BE38" s="50">
        <f t="shared" si="12"/>
        <v>0.99895335268439045</v>
      </c>
      <c r="BF38" s="26">
        <f t="shared" si="13"/>
        <v>-1.0004333520115261E-6</v>
      </c>
      <c r="BG38" s="26">
        <f t="shared" si="14"/>
        <v>-5.9304375199437098E-4</v>
      </c>
      <c r="BH38" s="26"/>
      <c r="BJ38" s="50"/>
      <c r="BK38" s="50"/>
      <c r="BL38" s="50"/>
      <c r="BM38" s="50"/>
      <c r="BN38" s="50"/>
      <c r="BP38" s="50"/>
      <c r="BQ38" s="50"/>
      <c r="BR38" s="50"/>
      <c r="BS38" s="50"/>
      <c r="BT38" s="50"/>
    </row>
    <row r="39" spans="1:72" ht="16" outlineLevel="1" thickBot="1" x14ac:dyDescent="0.25">
      <c r="A39" s="27"/>
      <c r="B39" s="27" t="s">
        <v>80</v>
      </c>
      <c r="C39" s="28" t="s">
        <v>234</v>
      </c>
      <c r="D39" s="27">
        <v>333190689</v>
      </c>
      <c r="E39" s="28">
        <v>11</v>
      </c>
      <c r="F39" s="28">
        <v>32</v>
      </c>
      <c r="G39" s="28">
        <v>30</v>
      </c>
      <c r="I39" s="29">
        <f t="shared" si="0"/>
        <v>12.784672499999999</v>
      </c>
      <c r="J39" s="30">
        <f t="shared" si="1"/>
        <v>4.0928466641515303E-2</v>
      </c>
      <c r="K39" s="30">
        <f t="shared" si="2"/>
        <v>1.1840522950507779E-2</v>
      </c>
      <c r="L39" s="30">
        <f t="shared" si="3"/>
        <v>9.1389828723575164E-3</v>
      </c>
      <c r="M39" s="30">
        <f t="shared" si="4"/>
        <v>2.9087943691007524E-2</v>
      </c>
      <c r="N39" s="27">
        <f t="shared" si="5"/>
        <v>3945152</v>
      </c>
      <c r="O39" s="30">
        <v>16</v>
      </c>
      <c r="P39" s="31">
        <v>25419918</v>
      </c>
      <c r="Q39" s="31">
        <v>2541991.7999999998</v>
      </c>
      <c r="R39" s="31">
        <v>17971.3</v>
      </c>
      <c r="S39" s="32">
        <v>13636984</v>
      </c>
      <c r="T39" s="32">
        <v>3045024</v>
      </c>
      <c r="U39" s="32">
        <v>900128</v>
      </c>
      <c r="V39" s="32">
        <v>9691832</v>
      </c>
      <c r="W39" s="33">
        <v>78.311610000000002</v>
      </c>
      <c r="X39" s="33">
        <v>81.872630000000001</v>
      </c>
      <c r="Y39" s="33">
        <v>41.295999999999999</v>
      </c>
      <c r="Z39" s="33">
        <v>45.569659999999999</v>
      </c>
      <c r="AA39" s="33">
        <v>49.144440000000003</v>
      </c>
      <c r="AB39" s="34">
        <v>1961.17</v>
      </c>
      <c r="AC39" s="34">
        <v>0</v>
      </c>
      <c r="AD39" s="34">
        <v>41.347999999999999</v>
      </c>
      <c r="AE39" s="34">
        <v>0</v>
      </c>
      <c r="AG39" s="29">
        <f t="shared" si="6"/>
        <v>12.79095</v>
      </c>
      <c r="AH39" s="30">
        <f t="shared" si="7"/>
        <v>4.0948563241513629E-2</v>
      </c>
      <c r="AI39" s="30">
        <f t="shared" si="8"/>
        <v>1.1832911693399692E-2</v>
      </c>
      <c r="AJ39" s="30">
        <f t="shared" si="9"/>
        <v>9.1368939784508812E-3</v>
      </c>
      <c r="AK39" s="30">
        <f t="shared" si="10"/>
        <v>2.9115651548113939E-2</v>
      </c>
      <c r="AL39" s="27">
        <f t="shared" si="11"/>
        <v>3942616</v>
      </c>
      <c r="AM39" s="30">
        <v>16</v>
      </c>
      <c r="AN39" s="31">
        <v>25419987</v>
      </c>
      <c r="AO39" s="31">
        <v>2541998.7000000002</v>
      </c>
      <c r="AP39" s="31">
        <v>17970.3</v>
      </c>
      <c r="AQ39" s="32">
        <v>13643680</v>
      </c>
      <c r="AR39" s="32">
        <v>3044328</v>
      </c>
      <c r="AS39" s="32">
        <v>898288</v>
      </c>
      <c r="AT39" s="32">
        <v>9701064</v>
      </c>
      <c r="AU39" s="33">
        <v>78.311710000000005</v>
      </c>
      <c r="AV39" s="33">
        <v>81.872669999999999</v>
      </c>
      <c r="AW39" s="33">
        <v>41.29598</v>
      </c>
      <c r="AX39" s="33">
        <v>45.569029999999998</v>
      </c>
      <c r="AY39" s="33">
        <v>49.148449999999997</v>
      </c>
      <c r="AZ39" s="34">
        <v>2416.5500000000002</v>
      </c>
      <c r="BA39" s="34">
        <v>0</v>
      </c>
      <c r="BB39" s="34">
        <v>51.639000000000003</v>
      </c>
      <c r="BC39" s="34">
        <v>0</v>
      </c>
      <c r="BE39" s="35">
        <f t="shared" si="12"/>
        <v>0.99935718573073995</v>
      </c>
      <c r="BF39" s="36">
        <f t="shared" si="13"/>
        <v>-4.1258141483205973E-7</v>
      </c>
      <c r="BG39" s="36">
        <f t="shared" si="14"/>
        <v>-3.2785431138487864E-4</v>
      </c>
      <c r="BH39" s="36"/>
      <c r="BJ39" s="35"/>
      <c r="BK39" s="35"/>
      <c r="BL39" s="35"/>
      <c r="BM39" s="35"/>
      <c r="BN39" s="35"/>
      <c r="BP39" s="35"/>
      <c r="BQ39" s="35"/>
      <c r="BR39" s="35"/>
      <c r="BS39" s="35"/>
      <c r="BT39" s="35"/>
    </row>
    <row r="40" spans="1:72" ht="16" x14ac:dyDescent="0.2">
      <c r="B40" s="47" t="s">
        <v>14</v>
      </c>
      <c r="J40" s="48">
        <f>AVERAGE(J5:J24)</f>
        <v>4.4238894987584515E-2</v>
      </c>
      <c r="K40" s="48">
        <f>AVERAGE(K5:K24)</f>
        <v>1.3868370820765941E-2</v>
      </c>
      <c r="L40" s="48">
        <f>AVERAGE(L5:L24)</f>
        <v>9.6983640296796608E-3</v>
      </c>
      <c r="M40" s="48">
        <f>AVERAGE(M5:M24)</f>
        <v>3.0370524166818579E-2</v>
      </c>
      <c r="AH40" s="48">
        <f>AVERAGE(AH5:AH24)</f>
        <v>4.4238863239596582E-2</v>
      </c>
      <c r="AI40" s="48">
        <f>AVERAGE(AI5:AI24)</f>
        <v>1.3868339072778022E-2</v>
      </c>
      <c r="AJ40" s="48">
        <f>AVERAGE(AJ5:AJ24)</f>
        <v>9.6983640296796608E-3</v>
      </c>
      <c r="AK40" s="48">
        <f>AVERAGE(AK5:AK24)</f>
        <v>3.0370524166818579E-2</v>
      </c>
      <c r="BE40" s="52">
        <f t="shared" si="12"/>
        <v>0.99999771076297794</v>
      </c>
      <c r="BH40" s="55">
        <f>AVERAGE(BH5:BH24)</f>
        <v>-1.0375880649948765E-6</v>
      </c>
      <c r="BJ40" s="52">
        <f>AVERAGE(BJ5:BJ24)</f>
        <v>-3.0122713554348035E-6</v>
      </c>
      <c r="BK40" s="52">
        <f>AVERAGE(BK5:BK24)</f>
        <v>-2.8043081052586682E-6</v>
      </c>
      <c r="BL40" s="52">
        <f>AVERAGE(BL5:BL24)</f>
        <v>0</v>
      </c>
      <c r="BM40" s="52">
        <f>AVERAGE(BM5:BM24)</f>
        <v>0</v>
      </c>
      <c r="BN40" s="52">
        <f>AVERAGE(BN5:BN24)</f>
        <v>0</v>
      </c>
      <c r="BP40" s="52">
        <f>AVERAGE(BP5:BP24)</f>
        <v>-1.3004181184383956E-6</v>
      </c>
      <c r="BQ40" s="52">
        <f>AVERAGE(BQ5:BQ24)</f>
        <v>-1.1671771568688705E-6</v>
      </c>
      <c r="BR40" s="52">
        <f>AVERAGE(BR5:BR24)</f>
        <v>-1.1548527271421083E-6</v>
      </c>
      <c r="BS40" s="52">
        <f>AVERAGE(BS5:BS24)</f>
        <v>-1.0939840235091314E-6</v>
      </c>
      <c r="BT40" s="52">
        <f>AVERAGE(BT5:BT24)</f>
        <v>-1.1533273640562669E-6</v>
      </c>
    </row>
    <row r="41" spans="1:72" ht="16" x14ac:dyDescent="0.2">
      <c r="B41" s="47" t="s">
        <v>15</v>
      </c>
      <c r="J41" s="48">
        <f>AVERAGE(J25:J29)</f>
        <v>7.9893449711188724E-2</v>
      </c>
      <c r="K41" s="48">
        <f>AVERAGE(K25:K29)</f>
        <v>1.2403407118097346E-2</v>
      </c>
      <c r="L41" s="48">
        <f>AVERAGE(L25:L29)</f>
        <v>9.1152432536474159E-3</v>
      </c>
      <c r="M41" s="48">
        <f>AVERAGE(M25:M29)</f>
        <v>6.7490042593091368E-2</v>
      </c>
      <c r="AH41" s="48">
        <f>AVERAGE(AH25:AH29)</f>
        <v>7.9867911803220726E-2</v>
      </c>
      <c r="AI41" s="48">
        <f>AVERAGE(AI25:AI29)</f>
        <v>1.2369821093450596E-2</v>
      </c>
      <c r="AJ41" s="48">
        <f>AVERAGE(AJ25:AJ29)</f>
        <v>9.0993835415902058E-3</v>
      </c>
      <c r="AK41" s="48">
        <f>AVERAGE(AK25:AK29)</f>
        <v>6.7498090709770128E-2</v>
      </c>
      <c r="BE41" s="52">
        <f t="shared" si="12"/>
        <v>0.99729219364268495</v>
      </c>
      <c r="BH41" s="55">
        <f>AVERAGE(BH25:BH29)</f>
        <v>-8.1505608479193192E-4</v>
      </c>
      <c r="BJ41" s="52">
        <f>AVERAGE(BJ25:BJ29)</f>
        <v>-3.1095777458062246E-3</v>
      </c>
      <c r="BK41" s="52">
        <f>AVERAGE(BK25:BK29)</f>
        <v>-2.926627267056392E-3</v>
      </c>
      <c r="BL41" s="52">
        <f>AVERAGE(BL25:BL29)</f>
        <v>-3.3482811804153023E-5</v>
      </c>
      <c r="BM41" s="52">
        <f>AVERAGE(BM25:BM29)</f>
        <v>2.3802827424157513E-4</v>
      </c>
      <c r="BN41" s="52">
        <f>AVERAGE(BN25:BN29)</f>
        <v>-4.7008424936989535E-5</v>
      </c>
      <c r="BP41" s="52">
        <f>AVERAGE(BP25:BP29)</f>
        <v>-7.965147679489526E-4</v>
      </c>
      <c r="BQ41" s="52">
        <f>AVERAGE(BQ25:BQ29)</f>
        <v>-6.7318515581382687E-4</v>
      </c>
      <c r="BR41" s="52">
        <f>AVERAGE(BR25:BR29)</f>
        <v>-6.2837445625796295E-4</v>
      </c>
      <c r="BS41" s="52">
        <f>AVERAGE(BS25:BS29)</f>
        <v>-3.4114285963460222E-4</v>
      </c>
      <c r="BT41" s="52">
        <f>AVERAGE(BT25:BT29)</f>
        <v>-5.9908010573117565E-4</v>
      </c>
    </row>
    <row r="42" spans="1:72" ht="16" x14ac:dyDescent="0.2">
      <c r="B42" s="47" t="s">
        <v>16</v>
      </c>
      <c r="J42" s="48">
        <f>AVERAGE(J30:J39)</f>
        <v>1.6828339134474103E-2</v>
      </c>
      <c r="K42" s="48">
        <f>AVERAGE(K30:K39)</f>
        <v>6.0582704379006412E-3</v>
      </c>
      <c r="L42" s="48">
        <f>AVERAGE(L30:L39)</f>
        <v>4.5626403486130002E-3</v>
      </c>
      <c r="M42" s="48">
        <f>AVERAGE(M30:M39)</f>
        <v>1.0770068696573461E-2</v>
      </c>
      <c r="AH42" s="48">
        <f>AVERAGE(AH30:AH39)</f>
        <v>1.6823351547255217E-2</v>
      </c>
      <c r="AI42" s="48">
        <f>AVERAGE(AI30:AI39)</f>
        <v>6.046601941027273E-3</v>
      </c>
      <c r="AJ42" s="48">
        <f>AVERAGE(AJ30:AJ39)</f>
        <v>4.5563445952298415E-3</v>
      </c>
      <c r="AK42" s="48">
        <f>AVERAGE(AK30:AK39)</f>
        <v>1.0776749606227942E-2</v>
      </c>
      <c r="BE42" s="52">
        <f t="shared" si="12"/>
        <v>0.99807395576130609</v>
      </c>
      <c r="BH42" s="55">
        <f>AVERAGE(BH30:BH39)</f>
        <v>-5.5461703454467992E-4</v>
      </c>
      <c r="BJ42" s="52">
        <f>AVERAGE(BJ30:BJ39)</f>
        <v>-2.05179449787396E-3</v>
      </c>
      <c r="BK42" s="52">
        <f>AVERAGE(BK30:BK39)</f>
        <v>-2.0045263892702336E-3</v>
      </c>
      <c r="BL42" s="52">
        <f>AVERAGE(BL30:BL39)</f>
        <v>2.6288778340510799E-4</v>
      </c>
      <c r="BM42" s="52">
        <f>AVERAGE(BM30:BM39)</f>
        <v>3.3297973620323162E-3</v>
      </c>
      <c r="BN42" s="52">
        <f>AVERAGE(BN30:BN39)</f>
        <v>2.1662262606274574E-3</v>
      </c>
      <c r="BP42" s="52">
        <f>AVERAGE(BP30:BP39)</f>
        <v>-7.4969884572917422E-4</v>
      </c>
      <c r="BQ42" s="52">
        <f>AVERAGE(BQ30:BQ39)</f>
        <v>-6.7480843570355553E-4</v>
      </c>
      <c r="BR42" s="52">
        <f>AVERAGE(BR30:BR39)</f>
        <v>-7.2210557093926875E-4</v>
      </c>
      <c r="BS42" s="52">
        <f>AVERAGE(BS30:BS39)</f>
        <v>1.5572560704923966E-3</v>
      </c>
      <c r="BT42" s="52">
        <f>AVERAGE(BT30:BT39)</f>
        <v>7.4130477826350738E-4</v>
      </c>
    </row>
    <row r="43" spans="1:72" ht="16" x14ac:dyDescent="0.2">
      <c r="B43" s="47" t="s">
        <v>17</v>
      </c>
      <c r="J43" s="48">
        <f>AVERAGE(J5:J39)</f>
        <v>4.1500815418639279E-2</v>
      </c>
      <c r="K43" s="48">
        <f>AVERAGE(K5:K39)</f>
        <v>1.1427633039566057E-2</v>
      </c>
      <c r="L43" s="48">
        <f>AVERAGE(L5:L39)</f>
        <v>8.1477114385131531E-3</v>
      </c>
      <c r="M43" s="48">
        <f>AVERAGE(M5:M39)</f>
        <v>3.0073182379073225E-2</v>
      </c>
      <c r="AH43" s="48">
        <f>AVERAGE(AH5:AH39)</f>
        <v>4.1495723979445356E-2</v>
      </c>
      <c r="AI43" s="48">
        <f>AVERAGE(AI5:AI39)</f>
        <v>1.1419483038088176E-2</v>
      </c>
      <c r="AJ43" s="48">
        <f>AVERAGE(AJ5:AJ39)</f>
        <v>8.1436469786812186E-3</v>
      </c>
      <c r="AK43" s="48">
        <f>AVERAGE(AK5:AK39)</f>
        <v>3.0076240941357187E-2</v>
      </c>
      <c r="BE43" s="52">
        <f t="shared" si="12"/>
        <v>0.99928681631185889</v>
      </c>
      <c r="BH43" s="55">
        <f>AVERAGE(BH5:BH39)</f>
        <v>-2.7549150087732448E-4</v>
      </c>
      <c r="BJ43" s="52">
        <f>AVERAGE(BJ5:BJ39)</f>
        <v>-1.0321736895679834E-3</v>
      </c>
      <c r="BK43" s="52">
        <f>AVERAGE(BK5:BK39)</f>
        <v>-9.9241389685969907E-4</v>
      </c>
      <c r="BL43" s="52">
        <f>AVERAGE(BL5:BL39)</f>
        <v>7.0327536429437565E-5</v>
      </c>
      <c r="BM43" s="52">
        <f>AVERAGE(BM5:BM39)</f>
        <v>9.8537471404374385E-4</v>
      </c>
      <c r="BN43" s="52">
        <f>AVERAGE(BN5:BN39)</f>
        <v>6.1220629947398935E-4</v>
      </c>
      <c r="BP43" s="52">
        <f>AVERAGE(BP5:BP39)</f>
        <v>-3.2873059026872209E-4</v>
      </c>
      <c r="BQ43" s="52">
        <f>AVERAGE(BQ5:BQ39)</f>
        <v>-2.8963867654977334E-4</v>
      </c>
      <c r="BR43" s="52">
        <f>AVERAGE(BR5:BR39)</f>
        <v>-2.9674357272072412E-4</v>
      </c>
      <c r="BS43" s="52">
        <f>AVERAGE(BS5:BS39)</f>
        <v>3.9557047789373634E-4</v>
      </c>
      <c r="BT43" s="52">
        <f>AVERAGE(BT5:BT39)</f>
        <v>1.2555944876280201E-4</v>
      </c>
    </row>
    <row r="44" spans="1:72" ht="16" hidden="1" outlineLevel="2" x14ac:dyDescent="0.2">
      <c r="A44" s="47" t="s">
        <v>237</v>
      </c>
      <c r="B44" s="47" t="s">
        <v>238</v>
      </c>
      <c r="AB44" s="49">
        <f>SUM(AB5:AB24,AB25:AB29,AB30:AB39)</f>
        <v>104986.55000000003</v>
      </c>
      <c r="AC44" s="49">
        <f>SUM(AC5:AC24,AC25:AC29,AC30:AC39)</f>
        <v>0</v>
      </c>
      <c r="AD44" s="49">
        <f>SUM(AD5:AD24,AD25:AD29,AD30:AD39)</f>
        <v>1696.2439999999995</v>
      </c>
      <c r="AE44" s="49">
        <f>SUM(AE5:AE24,AE25:AE29,AE30:AE39)</f>
        <v>0</v>
      </c>
      <c r="AZ44" s="49">
        <f>SUM(AZ5:AZ24,AZ25:AZ29,AZ30:AZ39)</f>
        <v>107936.15</v>
      </c>
      <c r="BA44" s="49">
        <f>SUM(BA5:BA24,BA25:BA29,BA30:BA39)</f>
        <v>0</v>
      </c>
      <c r="BB44" s="49">
        <f>SUM(BB5:BB24,BB25:BB29,BB30:BB39)</f>
        <v>1796.9480000000001</v>
      </c>
      <c r="BC44" s="49">
        <f>SUM(BC5:BC24,BC25:BC29,BC30:BC39)</f>
        <v>0</v>
      </c>
    </row>
    <row r="45" spans="1:72" ht="16" hidden="1" outlineLevel="2" x14ac:dyDescent="0.2">
      <c r="B45" s="47" t="s">
        <v>239</v>
      </c>
      <c r="AZ45" s="55">
        <f>AZ44/AB44</f>
        <v>1.0280950274106537</v>
      </c>
      <c r="BA45" s="55" t="e">
        <f>BA44/AC44</f>
        <v>#DIV/0!</v>
      </c>
      <c r="BB45" s="55">
        <f>BB44/AD44</f>
        <v>1.059368817222051</v>
      </c>
      <c r="BC45" s="55" t="e">
        <f>BC44/AE44</f>
        <v>#DIV/0!</v>
      </c>
    </row>
    <row r="46" spans="1:72" ht="16" hidden="1" outlineLevel="2" x14ac:dyDescent="0.2">
      <c r="B46" s="47" t="s">
        <v>240</v>
      </c>
      <c r="AB46" s="49">
        <f>GEOMEAN(AB5:AB24,AB25:AB29,AB30:AB39)</f>
        <v>2867.8579945438059</v>
      </c>
      <c r="AC46" s="49" t="e">
        <f>GEOMEAN(AC5:AC24,AC25:AC29,AC30:AC39)</f>
        <v>#NUM!</v>
      </c>
      <c r="AD46" s="49">
        <f>GEOMEAN(AD5:AD24,AD25:AD29,AD30:AD39)</f>
        <v>48.013474411143463</v>
      </c>
      <c r="AE46" s="49" t="e">
        <f>GEOMEAN(AE5:AE24,AE25:AE29,AE30:AE39)</f>
        <v>#NUM!</v>
      </c>
      <c r="AZ46" s="49">
        <f>GEOMEAN(AZ5:AZ24,AZ25:AZ29,AZ30:AZ39)</f>
        <v>2914.4098830028124</v>
      </c>
      <c r="BA46" s="49" t="e">
        <f>GEOMEAN(BA5:BA24,BA25:BA29,BA30:BA39)</f>
        <v>#NUM!</v>
      </c>
      <c r="BB46" s="49">
        <f>GEOMEAN(BB5:BB24,BB25:BB29,BB30:BB39)</f>
        <v>50.766023685167141</v>
      </c>
      <c r="BC46" s="49" t="e">
        <f>GEOMEAN(BC5:BC24,BC25:BC29,BC30:BC39)</f>
        <v>#NUM!</v>
      </c>
    </row>
    <row r="47" spans="1:72" ht="16" outlineLevel="2" collapsed="1" x14ac:dyDescent="0.2">
      <c r="B47" s="47" t="s">
        <v>241</v>
      </c>
      <c r="AZ47" s="55">
        <f>AZ46/AB46</f>
        <v>1.0162322850530161</v>
      </c>
      <c r="BA47" s="55" t="e">
        <f>BA46/AC46</f>
        <v>#NUM!</v>
      </c>
      <c r="BB47" s="55">
        <f>BB46/AD46</f>
        <v>1.0573286834119391</v>
      </c>
      <c r="BC47" s="55" t="e">
        <f>BC46/AE46</f>
        <v>#NUM!</v>
      </c>
    </row>
    <row r="59" spans="36:73" x14ac:dyDescent="0.2">
      <c r="AJ59"/>
      <c r="AL59"/>
      <c r="AM59"/>
      <c r="AN59"/>
      <c r="AP59" s="53"/>
      <c r="AQ59"/>
      <c r="AR59"/>
      <c r="AW59"/>
      <c r="AX59"/>
      <c r="AZ59" s="53"/>
      <c r="BA59" s="53"/>
      <c r="BB59" s="53"/>
      <c r="BD59"/>
      <c r="BI59"/>
      <c r="BL59"/>
      <c r="BM59"/>
      <c r="BN59"/>
      <c r="BO59"/>
      <c r="BR59"/>
      <c r="BS59"/>
      <c r="BT59"/>
      <c r="BU59"/>
    </row>
    <row r="60" spans="36:73" x14ac:dyDescent="0.2">
      <c r="AJ60"/>
      <c r="AL60"/>
      <c r="AM60"/>
      <c r="AN60"/>
      <c r="AP60" s="53"/>
      <c r="AQ60"/>
      <c r="AR60"/>
      <c r="AW60"/>
      <c r="AX60"/>
      <c r="AZ60" s="53"/>
      <c r="BA60" s="53"/>
      <c r="BB60" s="53"/>
      <c r="BD60"/>
      <c r="BI60"/>
      <c r="BL60"/>
      <c r="BM60"/>
      <c r="BN60"/>
      <c r="BO60"/>
      <c r="BR60"/>
      <c r="BS60"/>
      <c r="BT60"/>
      <c r="BU60"/>
    </row>
    <row r="61" spans="36:73" x14ac:dyDescent="0.2">
      <c r="AJ61"/>
      <c r="AL61"/>
      <c r="AM61"/>
      <c r="AN61"/>
      <c r="AP61" s="53"/>
      <c r="AQ61"/>
      <c r="AR61"/>
      <c r="AW61"/>
      <c r="AX61"/>
      <c r="AZ61" s="53"/>
      <c r="BA61" s="53"/>
      <c r="BB61" s="53"/>
      <c r="BD61"/>
      <c r="BI61"/>
      <c r="BL61"/>
      <c r="BM61"/>
      <c r="BN61"/>
      <c r="BO61"/>
      <c r="BR61"/>
      <c r="BS61"/>
      <c r="BT61"/>
      <c r="BU61"/>
    </row>
    <row r="62" spans="36:73" x14ac:dyDescent="0.2">
      <c r="AJ62"/>
      <c r="AL62"/>
      <c r="AM62"/>
      <c r="AN62"/>
      <c r="AP62" s="53"/>
      <c r="AQ62"/>
      <c r="AR62"/>
      <c r="AW62"/>
      <c r="AX62"/>
      <c r="AZ62" s="53"/>
      <c r="BA62" s="53"/>
      <c r="BB62" s="53"/>
      <c r="BD62"/>
      <c r="BI62"/>
      <c r="BL62"/>
      <c r="BM62"/>
      <c r="BN62"/>
      <c r="BO62"/>
      <c r="BR62"/>
      <c r="BS62"/>
      <c r="BT62"/>
      <c r="BU62"/>
    </row>
    <row r="63" spans="36:73" x14ac:dyDescent="0.2">
      <c r="AJ63"/>
      <c r="AL63"/>
      <c r="AM63"/>
      <c r="AN63"/>
      <c r="AP63" s="53"/>
      <c r="AQ63"/>
      <c r="AR63"/>
      <c r="AW63"/>
      <c r="AX63"/>
      <c r="AZ63" s="53"/>
      <c r="BA63" s="53"/>
      <c r="BB63" s="53"/>
      <c r="BD63"/>
      <c r="BI63"/>
      <c r="BL63"/>
      <c r="BM63"/>
      <c r="BN63"/>
      <c r="BO63"/>
      <c r="BR63"/>
      <c r="BS63"/>
      <c r="BT63"/>
      <c r="BU63"/>
    </row>
    <row r="64" spans="36:73" x14ac:dyDescent="0.2">
      <c r="AJ64"/>
      <c r="AL64"/>
      <c r="AM64"/>
      <c r="AN64"/>
      <c r="AP64" s="53"/>
      <c r="AQ64"/>
      <c r="AR64"/>
      <c r="AW64"/>
      <c r="AX64"/>
      <c r="AZ64" s="53"/>
      <c r="BA64" s="53"/>
      <c r="BB64" s="53"/>
      <c r="BD64"/>
      <c r="BI64"/>
      <c r="BL64"/>
      <c r="BM64"/>
      <c r="BN64"/>
      <c r="BO64"/>
      <c r="BR64"/>
      <c r="BS64"/>
      <c r="BT64"/>
      <c r="BU64"/>
    </row>
    <row r="65" spans="36:73" x14ac:dyDescent="0.2">
      <c r="AJ65"/>
      <c r="AL65"/>
      <c r="AM65"/>
      <c r="AN65"/>
      <c r="AP65" s="53"/>
      <c r="AQ65"/>
      <c r="AR65"/>
      <c r="AW65"/>
      <c r="AX65"/>
      <c r="AZ65" s="53"/>
      <c r="BA65" s="53"/>
      <c r="BB65" s="53"/>
      <c r="BD65"/>
      <c r="BI65"/>
      <c r="BL65"/>
      <c r="BM65"/>
      <c r="BN65"/>
      <c r="BO65"/>
      <c r="BR65"/>
      <c r="BS65"/>
      <c r="BT65"/>
      <c r="BU65"/>
    </row>
    <row r="66" spans="36:73" x14ac:dyDescent="0.2">
      <c r="AJ66"/>
      <c r="AL66"/>
      <c r="AM66"/>
      <c r="AN66"/>
      <c r="AP66" s="53"/>
      <c r="AQ66"/>
      <c r="AR66"/>
      <c r="AW66"/>
      <c r="AX66"/>
      <c r="AZ66" s="53"/>
      <c r="BA66" s="53"/>
      <c r="BB66" s="53"/>
      <c r="BD66"/>
      <c r="BI66"/>
      <c r="BL66"/>
      <c r="BM66"/>
      <c r="BN66"/>
      <c r="BO66"/>
      <c r="BR66"/>
      <c r="BS66"/>
      <c r="BT66"/>
      <c r="BU66"/>
    </row>
    <row r="67" spans="36:73" x14ac:dyDescent="0.2">
      <c r="AJ67"/>
      <c r="AL67"/>
      <c r="AM67"/>
      <c r="AN67"/>
      <c r="AP67" s="53"/>
      <c r="AQ67"/>
      <c r="AR67"/>
      <c r="AW67"/>
      <c r="AX67"/>
      <c r="AZ67" s="53"/>
      <c r="BA67" s="53"/>
      <c r="BB67" s="53"/>
      <c r="BD67"/>
      <c r="BI67"/>
      <c r="BL67"/>
      <c r="BM67"/>
      <c r="BN67"/>
      <c r="BO67"/>
      <c r="BR67"/>
      <c r="BS67"/>
      <c r="BT67"/>
      <c r="BU67"/>
    </row>
    <row r="68" spans="36:73" x14ac:dyDescent="0.2">
      <c r="AJ68"/>
      <c r="AL68"/>
      <c r="AM68"/>
      <c r="AN68"/>
      <c r="AP68" s="53"/>
      <c r="AQ68"/>
      <c r="AR68"/>
      <c r="AW68"/>
      <c r="AX68"/>
      <c r="AZ68" s="53"/>
      <c r="BA68" s="53"/>
      <c r="BB68" s="53"/>
      <c r="BD68"/>
      <c r="BI68"/>
      <c r="BL68"/>
      <c r="BM68"/>
      <c r="BN68"/>
      <c r="BO68"/>
      <c r="BR68"/>
      <c r="BS68"/>
      <c r="BT68"/>
      <c r="BU68"/>
    </row>
    <row r="69" spans="36:73" x14ac:dyDescent="0.2">
      <c r="AJ69"/>
      <c r="AL69"/>
      <c r="AM69"/>
      <c r="AN69"/>
      <c r="AP69" s="53"/>
      <c r="AQ69"/>
      <c r="AR69"/>
      <c r="AW69"/>
      <c r="AX69"/>
      <c r="AZ69" s="53"/>
      <c r="BA69" s="53"/>
      <c r="BB69" s="53"/>
      <c r="BD69"/>
      <c r="BI69"/>
      <c r="BL69"/>
      <c r="BM69"/>
      <c r="BN69"/>
      <c r="BO69"/>
      <c r="BR69"/>
      <c r="BS69"/>
      <c r="BT69"/>
      <c r="BU69"/>
    </row>
    <row r="70" spans="36:73" x14ac:dyDescent="0.2">
      <c r="AJ70"/>
      <c r="AL70"/>
      <c r="AM70"/>
      <c r="AN70"/>
      <c r="AP70" s="53"/>
      <c r="AQ70"/>
      <c r="AR70"/>
      <c r="AW70"/>
      <c r="AX70"/>
      <c r="AZ70" s="53"/>
      <c r="BA70" s="53"/>
      <c r="BB70" s="53"/>
      <c r="BD70"/>
      <c r="BI70"/>
      <c r="BL70"/>
      <c r="BM70"/>
      <c r="BN70"/>
      <c r="BO70"/>
      <c r="BR70"/>
      <c r="BS70"/>
      <c r="BT70"/>
      <c r="BU70"/>
    </row>
    <row r="71" spans="36:73" x14ac:dyDescent="0.2">
      <c r="AJ71"/>
      <c r="AL71"/>
      <c r="AM71"/>
      <c r="AN71"/>
      <c r="AP71" s="53"/>
      <c r="AQ71"/>
      <c r="AR71"/>
      <c r="AW71"/>
      <c r="AX71"/>
      <c r="AZ71" s="53"/>
      <c r="BA71" s="53"/>
      <c r="BB71" s="53"/>
      <c r="BD71"/>
      <c r="BI71"/>
      <c r="BL71"/>
      <c r="BM71"/>
      <c r="BN71"/>
      <c r="BO71"/>
      <c r="BR71"/>
      <c r="BS71"/>
      <c r="BT71"/>
      <c r="BU71"/>
    </row>
    <row r="72" spans="36:73" x14ac:dyDescent="0.2">
      <c r="AJ72"/>
      <c r="AL72"/>
      <c r="AM72"/>
      <c r="AN72"/>
      <c r="AP72" s="53"/>
      <c r="AQ72"/>
      <c r="AR72"/>
      <c r="AW72"/>
      <c r="AX72"/>
      <c r="AZ72" s="53"/>
      <c r="BA72" s="53"/>
      <c r="BB72" s="53"/>
      <c r="BD72"/>
      <c r="BI72"/>
      <c r="BL72"/>
      <c r="BM72"/>
      <c r="BN72"/>
      <c r="BO72"/>
      <c r="BR72"/>
      <c r="BS72"/>
      <c r="BT72"/>
      <c r="BU72"/>
    </row>
    <row r="73" spans="36:73" x14ac:dyDescent="0.2">
      <c r="AJ73"/>
      <c r="AL73"/>
      <c r="AM73"/>
      <c r="AN73"/>
      <c r="AP73" s="53"/>
      <c r="AQ73"/>
      <c r="AR73"/>
      <c r="AW73"/>
      <c r="AX73"/>
      <c r="AZ73" s="53"/>
      <c r="BA73" s="53"/>
      <c r="BB73" s="53"/>
      <c r="BD73"/>
      <c r="BI73"/>
      <c r="BL73"/>
      <c r="BM73"/>
      <c r="BN73"/>
      <c r="BO73"/>
      <c r="BR73"/>
      <c r="BS73"/>
      <c r="BT73"/>
      <c r="BU73"/>
    </row>
    <row r="74" spans="36:73" x14ac:dyDescent="0.2">
      <c r="AJ74"/>
      <c r="AL74"/>
      <c r="AM74"/>
      <c r="AN74"/>
      <c r="AP74" s="53"/>
      <c r="AQ74"/>
      <c r="AR74"/>
      <c r="AW74"/>
      <c r="AX74"/>
      <c r="AZ74" s="53"/>
      <c r="BA74" s="53"/>
      <c r="BB74" s="53"/>
      <c r="BD74"/>
      <c r="BI74"/>
      <c r="BL74"/>
      <c r="BM74"/>
      <c r="BN74"/>
      <c r="BO74"/>
      <c r="BR74"/>
      <c r="BS74"/>
      <c r="BT74"/>
      <c r="BU74"/>
    </row>
    <row r="75" spans="36:73" x14ac:dyDescent="0.2">
      <c r="AJ75"/>
      <c r="AL75"/>
      <c r="AM75"/>
      <c r="AN75"/>
      <c r="AP75" s="53"/>
      <c r="AQ75"/>
      <c r="AR75"/>
      <c r="AW75"/>
      <c r="AX75"/>
      <c r="AZ75" s="53"/>
      <c r="BA75" s="53"/>
      <c r="BB75" s="53"/>
      <c r="BD75"/>
      <c r="BI75"/>
      <c r="BL75"/>
      <c r="BM75"/>
      <c r="BN75"/>
      <c r="BO75"/>
      <c r="BR75"/>
      <c r="BS75"/>
      <c r="BT75"/>
      <c r="BU75"/>
    </row>
    <row r="76" spans="36:73" x14ac:dyDescent="0.2">
      <c r="AJ76"/>
      <c r="AL76"/>
      <c r="AM76"/>
      <c r="AN76"/>
      <c r="AP76" s="53"/>
      <c r="AQ76"/>
      <c r="AR76"/>
      <c r="AW76"/>
      <c r="AX76"/>
      <c r="AZ76" s="53"/>
      <c r="BA76" s="53"/>
      <c r="BB76" s="53"/>
      <c r="BD76"/>
      <c r="BI76"/>
      <c r="BL76"/>
      <c r="BM76"/>
      <c r="BN76"/>
      <c r="BO76"/>
      <c r="BR76"/>
      <c r="BS76"/>
      <c r="BT76"/>
      <c r="BU76"/>
    </row>
    <row r="77" spans="36:73" x14ac:dyDescent="0.2">
      <c r="AJ77"/>
      <c r="AL77"/>
      <c r="AM77"/>
      <c r="AN77"/>
      <c r="AP77" s="53"/>
      <c r="AQ77"/>
      <c r="AR77"/>
      <c r="AW77"/>
      <c r="AX77"/>
      <c r="AZ77" s="53"/>
      <c r="BA77" s="53"/>
      <c r="BB77" s="53"/>
      <c r="BD77"/>
      <c r="BI77"/>
      <c r="BL77"/>
      <c r="BM77"/>
      <c r="BN77"/>
      <c r="BO77"/>
      <c r="BR77"/>
      <c r="BS77"/>
      <c r="BT77"/>
      <c r="BU77"/>
    </row>
    <row r="78" spans="36:73" x14ac:dyDescent="0.2">
      <c r="AJ78"/>
      <c r="AL78"/>
      <c r="AM78"/>
      <c r="AN78"/>
      <c r="AP78" s="53"/>
      <c r="AQ78"/>
      <c r="AR78"/>
      <c r="AW78"/>
      <c r="AX78"/>
      <c r="AZ78" s="53"/>
      <c r="BA78" s="53"/>
      <c r="BB78" s="53"/>
      <c r="BD78"/>
      <c r="BI78"/>
      <c r="BL78"/>
      <c r="BM78"/>
      <c r="BN78"/>
      <c r="BO78"/>
      <c r="BR78"/>
      <c r="BS78"/>
      <c r="BT78"/>
      <c r="BU78"/>
    </row>
    <row r="79" spans="36:73" x14ac:dyDescent="0.2">
      <c r="AJ79"/>
      <c r="AL79"/>
      <c r="AM79"/>
      <c r="AN79"/>
      <c r="AP79" s="53"/>
      <c r="AQ79"/>
      <c r="AR79"/>
      <c r="AW79"/>
      <c r="AX79"/>
      <c r="AZ79" s="53"/>
      <c r="BA79" s="53"/>
      <c r="BB79" s="53"/>
      <c r="BD79"/>
      <c r="BI79"/>
      <c r="BL79"/>
      <c r="BM79"/>
      <c r="BN79"/>
      <c r="BO79"/>
      <c r="BR79"/>
      <c r="BS79"/>
      <c r="BT79"/>
      <c r="BU79"/>
    </row>
    <row r="80" spans="36:73" x14ac:dyDescent="0.2">
      <c r="AJ80"/>
      <c r="AL80"/>
      <c r="AM80"/>
      <c r="AN80"/>
      <c r="AP80" s="53"/>
      <c r="AQ80"/>
      <c r="AR80"/>
      <c r="AW80"/>
      <c r="AX80"/>
      <c r="AZ80" s="53"/>
      <c r="BA80" s="53"/>
      <c r="BB80" s="53"/>
      <c r="BD80"/>
      <c r="BI80"/>
      <c r="BL80"/>
      <c r="BM80"/>
      <c r="BN80"/>
      <c r="BO80"/>
      <c r="BR80"/>
      <c r="BS80"/>
      <c r="BT80"/>
      <c r="BU80"/>
    </row>
    <row r="81" spans="36:73" x14ac:dyDescent="0.2">
      <c r="AJ81"/>
      <c r="AL81"/>
      <c r="AM81"/>
      <c r="AN81"/>
      <c r="AP81" s="53"/>
      <c r="AQ81"/>
      <c r="AR81"/>
      <c r="AW81"/>
      <c r="AX81"/>
      <c r="AZ81" s="53"/>
      <c r="BA81" s="53"/>
      <c r="BB81" s="53"/>
      <c r="BD81"/>
      <c r="BI81"/>
      <c r="BL81"/>
      <c r="BM81"/>
      <c r="BN81"/>
      <c r="BO81"/>
      <c r="BR81"/>
      <c r="BS81"/>
      <c r="BT81"/>
      <c r="BU81"/>
    </row>
    <row r="82" spans="36:73" x14ac:dyDescent="0.2">
      <c r="AJ82"/>
      <c r="AL82"/>
      <c r="AM82"/>
      <c r="AN82"/>
      <c r="AP82" s="53"/>
      <c r="AQ82"/>
      <c r="AR82"/>
      <c r="AW82"/>
      <c r="AX82"/>
      <c r="AZ82" s="53"/>
      <c r="BA82" s="53"/>
      <c r="BB82" s="53"/>
      <c r="BD82"/>
      <c r="BI82"/>
      <c r="BL82"/>
      <c r="BM82"/>
      <c r="BN82"/>
      <c r="BO82"/>
      <c r="BR82"/>
      <c r="BS82"/>
      <c r="BT82"/>
      <c r="BU82"/>
    </row>
    <row r="83" spans="36:73" x14ac:dyDescent="0.2">
      <c r="AJ83"/>
      <c r="AL83"/>
      <c r="AM83"/>
      <c r="AN83"/>
      <c r="AP83" s="53"/>
      <c r="AQ83"/>
      <c r="AR83"/>
      <c r="AW83"/>
      <c r="AX83"/>
      <c r="AZ83" s="53"/>
      <c r="BA83" s="53"/>
      <c r="BB83" s="53"/>
      <c r="BD83"/>
      <c r="BI83"/>
      <c r="BL83"/>
      <c r="BM83"/>
      <c r="BN83"/>
      <c r="BO83"/>
      <c r="BR83"/>
      <c r="BS83"/>
      <c r="BT83"/>
      <c r="BU83"/>
    </row>
    <row r="84" spans="36:73" x14ac:dyDescent="0.2">
      <c r="AJ84"/>
      <c r="AL84"/>
      <c r="AM84"/>
      <c r="AN84"/>
      <c r="AP84" s="53"/>
      <c r="AQ84"/>
      <c r="AR84"/>
      <c r="AW84"/>
      <c r="AX84"/>
      <c r="AZ84" s="53"/>
      <c r="BA84" s="53"/>
      <c r="BB84" s="53"/>
      <c r="BD84"/>
      <c r="BI84"/>
      <c r="BL84"/>
      <c r="BM84"/>
      <c r="BN84"/>
      <c r="BO84"/>
      <c r="BR84"/>
      <c r="BS84"/>
      <c r="BT84"/>
      <c r="BU84"/>
    </row>
    <row r="85" spans="36:73" x14ac:dyDescent="0.2">
      <c r="AJ85"/>
      <c r="AL85"/>
      <c r="AM85"/>
      <c r="AN85"/>
      <c r="AP85" s="53"/>
      <c r="AQ85"/>
      <c r="AR85"/>
      <c r="AW85"/>
      <c r="AX85"/>
      <c r="AZ85" s="53"/>
      <c r="BA85" s="53"/>
      <c r="BB85" s="53"/>
      <c r="BD85"/>
      <c r="BI85"/>
      <c r="BL85"/>
      <c r="BM85"/>
      <c r="BN85"/>
      <c r="BO85"/>
      <c r="BR85"/>
      <c r="BS85"/>
      <c r="BT85"/>
      <c r="BU85"/>
    </row>
    <row r="86" spans="36:73" x14ac:dyDescent="0.2">
      <c r="AJ86"/>
      <c r="AL86"/>
      <c r="AM86"/>
      <c r="AN86"/>
      <c r="AP86" s="53"/>
      <c r="AQ86"/>
      <c r="AR86"/>
      <c r="AW86"/>
      <c r="AX86"/>
      <c r="AZ86" s="53"/>
      <c r="BA86" s="53"/>
      <c r="BB86" s="53"/>
      <c r="BD86"/>
      <c r="BI86"/>
      <c r="BL86"/>
      <c r="BM86"/>
      <c r="BN86"/>
      <c r="BO86"/>
      <c r="BR86"/>
      <c r="BS86"/>
      <c r="BT86"/>
      <c r="BU86"/>
    </row>
    <row r="87" spans="36:73" x14ac:dyDescent="0.2">
      <c r="AJ87"/>
      <c r="AL87"/>
      <c r="AM87"/>
      <c r="AN87"/>
      <c r="AP87" s="53"/>
      <c r="AQ87"/>
      <c r="AR87"/>
      <c r="AW87"/>
      <c r="AX87"/>
      <c r="AZ87" s="53"/>
      <c r="BA87" s="53"/>
      <c r="BB87" s="53"/>
      <c r="BD87"/>
      <c r="BI87"/>
      <c r="BL87"/>
      <c r="BM87"/>
      <c r="BN87"/>
      <c r="BO87"/>
      <c r="BR87"/>
      <c r="BS87"/>
      <c r="BT87"/>
      <c r="BU87"/>
    </row>
    <row r="88" spans="36:73" x14ac:dyDescent="0.2">
      <c r="AJ88"/>
      <c r="AL88"/>
      <c r="AM88"/>
      <c r="AN88"/>
      <c r="AP88" s="53"/>
      <c r="AQ88"/>
      <c r="AR88"/>
      <c r="AW88"/>
      <c r="AX88"/>
      <c r="AZ88" s="53"/>
      <c r="BA88" s="53"/>
      <c r="BB88" s="53"/>
      <c r="BD88"/>
      <c r="BI88"/>
      <c r="BL88"/>
      <c r="BM88"/>
      <c r="BN88"/>
      <c r="BO88"/>
      <c r="BR88"/>
      <c r="BS88"/>
      <c r="BT88"/>
      <c r="BU88"/>
    </row>
    <row r="89" spans="36:73" x14ac:dyDescent="0.2">
      <c r="AJ89"/>
      <c r="AL89"/>
      <c r="AM89"/>
      <c r="AN89"/>
      <c r="AP89" s="53"/>
      <c r="AQ89"/>
      <c r="AR89"/>
      <c r="AW89"/>
      <c r="AX89"/>
      <c r="AZ89" s="53"/>
      <c r="BA89" s="53"/>
      <c r="BB89" s="53"/>
      <c r="BD89"/>
      <c r="BI89"/>
      <c r="BL89"/>
      <c r="BM89"/>
      <c r="BN89"/>
      <c r="BO89"/>
      <c r="BR89"/>
      <c r="BS89"/>
      <c r="BT89"/>
      <c r="BU89"/>
    </row>
    <row r="90" spans="36:73" x14ac:dyDescent="0.2">
      <c r="AJ90"/>
      <c r="AL90"/>
      <c r="AM90"/>
      <c r="AN90"/>
      <c r="AP90" s="53"/>
      <c r="AQ90"/>
      <c r="AR90"/>
      <c r="AW90"/>
      <c r="AX90"/>
      <c r="AZ90" s="53"/>
      <c r="BA90" s="53"/>
      <c r="BB90" s="53"/>
      <c r="BD90"/>
      <c r="BI90"/>
      <c r="BL90"/>
      <c r="BM90"/>
      <c r="BN90"/>
      <c r="BO90"/>
      <c r="BR90"/>
      <c r="BS90"/>
      <c r="BT90"/>
      <c r="BU90"/>
    </row>
    <row r="91" spans="36:73" x14ac:dyDescent="0.2">
      <c r="AJ91"/>
      <c r="AL91"/>
      <c r="AM91"/>
      <c r="AN91"/>
      <c r="AP91" s="53"/>
      <c r="AQ91"/>
      <c r="AR91"/>
      <c r="AW91"/>
      <c r="AX91"/>
      <c r="AZ91" s="53"/>
      <c r="BA91" s="53"/>
      <c r="BB91" s="53"/>
      <c r="BD91"/>
      <c r="BI91"/>
      <c r="BL91"/>
      <c r="BM91"/>
      <c r="BN91"/>
      <c r="BO91"/>
      <c r="BR91"/>
      <c r="BS91"/>
      <c r="BT91"/>
      <c r="BU91"/>
    </row>
    <row r="92" spans="36:73" x14ac:dyDescent="0.2">
      <c r="AJ92"/>
      <c r="AL92"/>
      <c r="AM92"/>
      <c r="AN92"/>
      <c r="AP92" s="53"/>
      <c r="AQ92"/>
      <c r="AR92"/>
      <c r="AW92"/>
      <c r="AX92"/>
      <c r="AZ92" s="53"/>
      <c r="BA92" s="53"/>
      <c r="BB92" s="53"/>
      <c r="BD92"/>
      <c r="BI92"/>
      <c r="BL92"/>
      <c r="BM92"/>
      <c r="BN92"/>
      <c r="BO92"/>
      <c r="BR92"/>
      <c r="BS92"/>
      <c r="BT92"/>
      <c r="BU92"/>
    </row>
    <row r="93" spans="36:73" x14ac:dyDescent="0.2">
      <c r="AJ93"/>
      <c r="AL93"/>
      <c r="AM93"/>
      <c r="AN93"/>
      <c r="AP93" s="53"/>
      <c r="AQ93"/>
      <c r="AR93"/>
      <c r="AW93"/>
      <c r="AX93"/>
      <c r="AZ93" s="53"/>
      <c r="BA93" s="53"/>
      <c r="BB93" s="53"/>
      <c r="BD93"/>
      <c r="BI93"/>
      <c r="BL93"/>
      <c r="BM93"/>
      <c r="BN93"/>
      <c r="BO93"/>
      <c r="BR93"/>
      <c r="BS93"/>
      <c r="BT93"/>
      <c r="BU93"/>
    </row>
    <row r="94" spans="36:73" x14ac:dyDescent="0.2">
      <c r="AJ94"/>
      <c r="AL94"/>
      <c r="AM94"/>
      <c r="AN94"/>
      <c r="AP94" s="53"/>
      <c r="AQ94"/>
      <c r="AR94"/>
      <c r="AW94"/>
      <c r="AX94"/>
      <c r="AZ94" s="53"/>
      <c r="BA94" s="53"/>
      <c r="BB94" s="53"/>
      <c r="BD94"/>
      <c r="BI94"/>
      <c r="BL94"/>
      <c r="BM94"/>
      <c r="BN94"/>
      <c r="BO94"/>
      <c r="BR94"/>
      <c r="BS94"/>
      <c r="BT94"/>
      <c r="BU94"/>
    </row>
    <row r="95" spans="36:73" x14ac:dyDescent="0.2">
      <c r="AJ95"/>
      <c r="AL95"/>
      <c r="AM95"/>
      <c r="AN95"/>
      <c r="AP95" s="53"/>
      <c r="AQ95"/>
      <c r="AR95"/>
      <c r="AW95"/>
      <c r="AX95"/>
      <c r="AZ95" s="53"/>
      <c r="BA95" s="53"/>
      <c r="BB95" s="53"/>
      <c r="BD95"/>
      <c r="BI95"/>
      <c r="BL95"/>
      <c r="BM95"/>
      <c r="BN95"/>
      <c r="BO95"/>
      <c r="BR95"/>
      <c r="BS95"/>
      <c r="BT95"/>
      <c r="BU95"/>
    </row>
    <row r="96" spans="36:73" x14ac:dyDescent="0.2">
      <c r="AJ96"/>
      <c r="AL96"/>
      <c r="AM96"/>
      <c r="AN96"/>
      <c r="AP96" s="53"/>
      <c r="AQ96"/>
      <c r="AR96"/>
      <c r="AW96"/>
      <c r="AX96"/>
      <c r="AZ96" s="53"/>
      <c r="BA96" s="53"/>
      <c r="BB96" s="53"/>
      <c r="BD96"/>
      <c r="BI96"/>
      <c r="BL96"/>
      <c r="BM96"/>
      <c r="BN96"/>
      <c r="BO96"/>
      <c r="BR96"/>
      <c r="BS96"/>
      <c r="BT96"/>
      <c r="BU96"/>
    </row>
    <row r="97" spans="36:73" x14ac:dyDescent="0.2">
      <c r="AJ97"/>
      <c r="AL97"/>
      <c r="AM97"/>
      <c r="AN97"/>
      <c r="AP97" s="53"/>
      <c r="AQ97"/>
      <c r="AR97"/>
      <c r="AW97"/>
      <c r="AX97"/>
      <c r="AZ97" s="53"/>
      <c r="BA97" s="53"/>
      <c r="BB97" s="53"/>
      <c r="BD97"/>
      <c r="BI97"/>
      <c r="BL97"/>
      <c r="BM97"/>
      <c r="BN97"/>
      <c r="BO97"/>
      <c r="BR97"/>
      <c r="BS97"/>
      <c r="BT97"/>
      <c r="BU97"/>
    </row>
    <row r="98" spans="36:73" x14ac:dyDescent="0.2">
      <c r="AJ98"/>
      <c r="AL98"/>
      <c r="AM98"/>
      <c r="AN98"/>
      <c r="AP98" s="53"/>
      <c r="AQ98"/>
      <c r="AR98"/>
      <c r="AW98"/>
      <c r="AX98"/>
      <c r="AZ98" s="53"/>
      <c r="BA98" s="53"/>
      <c r="BB98" s="53"/>
      <c r="BD98"/>
      <c r="BI98"/>
      <c r="BL98"/>
      <c r="BM98"/>
      <c r="BN98"/>
      <c r="BO98"/>
      <c r="BR98"/>
      <c r="BS98"/>
      <c r="BT98"/>
      <c r="BU98"/>
    </row>
    <row r="99" spans="36:73" x14ac:dyDescent="0.2">
      <c r="AJ99"/>
      <c r="AL99"/>
      <c r="AM99"/>
      <c r="AN99"/>
      <c r="AP99" s="53"/>
      <c r="AQ99"/>
      <c r="AR99"/>
      <c r="AW99"/>
      <c r="AX99"/>
      <c r="AZ99" s="53"/>
      <c r="BA99" s="53"/>
      <c r="BB99" s="53"/>
      <c r="BD99"/>
      <c r="BI99"/>
      <c r="BL99"/>
      <c r="BM99"/>
      <c r="BN99"/>
      <c r="BO99"/>
      <c r="BR99"/>
      <c r="BS99"/>
      <c r="BT99"/>
      <c r="BU99"/>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242</v>
      </c>
      <c r="B1">
        <v>1</v>
      </c>
    </row>
    <row r="2" spans="1:2" x14ac:dyDescent="0.2">
      <c r="A2" t="s">
        <v>243</v>
      </c>
      <c r="B2">
        <v>2</v>
      </c>
    </row>
    <row r="3" spans="1:2" x14ac:dyDescent="0.2">
      <c r="A3" t="s">
        <v>244</v>
      </c>
      <c r="B3">
        <v>3</v>
      </c>
    </row>
    <row r="4" spans="1:2" x14ac:dyDescent="0.2">
      <c r="A4" t="s">
        <v>245</v>
      </c>
      <c r="B4">
        <v>4</v>
      </c>
    </row>
    <row r="5" spans="1:2" x14ac:dyDescent="0.2">
      <c r="A5" t="s">
        <v>246</v>
      </c>
      <c r="B5">
        <v>5</v>
      </c>
    </row>
    <row r="6" spans="1:2" x14ac:dyDescent="0.2">
      <c r="A6" t="s">
        <v>247</v>
      </c>
      <c r="B6">
        <v>6</v>
      </c>
    </row>
    <row r="7" spans="1:2" x14ac:dyDescent="0.2">
      <c r="A7" t="s">
        <v>248</v>
      </c>
      <c r="B7">
        <v>7</v>
      </c>
    </row>
    <row r="8" spans="1:2" x14ac:dyDescent="0.2">
      <c r="A8" t="s">
        <v>249</v>
      </c>
      <c r="B8">
        <v>9</v>
      </c>
    </row>
    <row r="9" spans="1:2" x14ac:dyDescent="0.2">
      <c r="A9" t="s">
        <v>250</v>
      </c>
      <c r="B9">
        <v>10</v>
      </c>
    </row>
    <row r="10" spans="1:2" x14ac:dyDescent="0.2">
      <c r="A10" t="s">
        <v>251</v>
      </c>
      <c r="B10">
        <v>11</v>
      </c>
    </row>
    <row r="11" spans="1:2" x14ac:dyDescent="0.2">
      <c r="A11" t="s">
        <v>252</v>
      </c>
      <c r="B11">
        <v>12</v>
      </c>
    </row>
    <row r="12" spans="1:2" x14ac:dyDescent="0.2">
      <c r="A12" t="s">
        <v>253</v>
      </c>
      <c r="B12">
        <v>13</v>
      </c>
    </row>
    <row r="13" spans="1:2" x14ac:dyDescent="0.2">
      <c r="A13" t="s">
        <v>254</v>
      </c>
      <c r="B13">
        <v>14</v>
      </c>
    </row>
    <row r="14" spans="1:2" x14ac:dyDescent="0.2">
      <c r="A14" t="s">
        <v>255</v>
      </c>
      <c r="B14">
        <v>15</v>
      </c>
    </row>
    <row r="15" spans="1:2" x14ac:dyDescent="0.2">
      <c r="A15" t="s">
        <v>256</v>
      </c>
      <c r="B15">
        <v>16</v>
      </c>
    </row>
    <row r="16" spans="1:2" x14ac:dyDescent="0.2">
      <c r="A16" t="s">
        <v>257</v>
      </c>
      <c r="B16">
        <v>17</v>
      </c>
    </row>
    <row r="17" spans="1:2" x14ac:dyDescent="0.2">
      <c r="A17" t="s">
        <v>258</v>
      </c>
      <c r="B17">
        <v>18</v>
      </c>
    </row>
    <row r="18" spans="1:2" x14ac:dyDescent="0.2">
      <c r="A18" t="s">
        <v>259</v>
      </c>
      <c r="B18">
        <v>19</v>
      </c>
    </row>
    <row r="19" spans="1:2" x14ac:dyDescent="0.2">
      <c r="A19" t="s">
        <v>260</v>
      </c>
      <c r="B19">
        <v>20</v>
      </c>
    </row>
    <row r="20" spans="1:2" x14ac:dyDescent="0.2">
      <c r="A20" t="s">
        <v>261</v>
      </c>
      <c r="B20">
        <v>21</v>
      </c>
    </row>
    <row r="21" spans="1:2" x14ac:dyDescent="0.2">
      <c r="A21" t="s">
        <v>262</v>
      </c>
      <c r="B21">
        <v>22</v>
      </c>
    </row>
    <row r="22" spans="1:2" x14ac:dyDescent="0.2">
      <c r="A22" t="s">
        <v>263</v>
      </c>
      <c r="B22">
        <v>23</v>
      </c>
    </row>
    <row r="23" spans="1:2" x14ac:dyDescent="0.2">
      <c r="A23" t="s">
        <v>264</v>
      </c>
      <c r="B23">
        <v>24</v>
      </c>
    </row>
    <row r="24" spans="1:2" x14ac:dyDescent="0.2">
      <c r="A24" t="s">
        <v>265</v>
      </c>
      <c r="B24">
        <v>25</v>
      </c>
    </row>
    <row r="25" spans="1:2" x14ac:dyDescent="0.2">
      <c r="A25" t="s">
        <v>266</v>
      </c>
      <c r="B25">
        <v>26</v>
      </c>
    </row>
    <row r="26" spans="1:2" x14ac:dyDescent="0.2">
      <c r="A26" t="s">
        <v>267</v>
      </c>
      <c r="B26">
        <v>27</v>
      </c>
    </row>
    <row r="27" spans="1:2" x14ac:dyDescent="0.2">
      <c r="A27" t="s">
        <v>268</v>
      </c>
      <c r="B27">
        <v>28</v>
      </c>
    </row>
    <row r="28" spans="1:2" x14ac:dyDescent="0.2">
      <c r="A28" t="s">
        <v>269</v>
      </c>
      <c r="B28">
        <v>29</v>
      </c>
    </row>
    <row r="29" spans="1:2" x14ac:dyDescent="0.2">
      <c r="A29" t="s">
        <v>270</v>
      </c>
      <c r="B29">
        <v>30</v>
      </c>
    </row>
    <row r="30" spans="1:2" x14ac:dyDescent="0.2">
      <c r="A30" t="s">
        <v>271</v>
      </c>
      <c r="B30">
        <v>31</v>
      </c>
    </row>
    <row r="31" spans="1:2" x14ac:dyDescent="0.2">
      <c r="A31" t="s">
        <v>272</v>
      </c>
      <c r="B31">
        <v>33</v>
      </c>
    </row>
    <row r="32" spans="1:2" x14ac:dyDescent="0.2">
      <c r="A32" t="s">
        <v>273</v>
      </c>
      <c r="B32">
        <v>34</v>
      </c>
    </row>
    <row r="33" spans="1:2" x14ac:dyDescent="0.2">
      <c r="A33" t="s">
        <v>274</v>
      </c>
      <c r="B33">
        <v>35</v>
      </c>
    </row>
    <row r="34" spans="1:2" x14ac:dyDescent="0.2">
      <c r="A34" t="s">
        <v>275</v>
      </c>
      <c r="B34">
        <v>36</v>
      </c>
    </row>
    <row r="35" spans="1:2" x14ac:dyDescent="0.2">
      <c r="A35" t="s">
        <v>276</v>
      </c>
      <c r="B35">
        <v>37</v>
      </c>
    </row>
    <row r="36" spans="1:2" x14ac:dyDescent="0.2">
      <c r="A36" t="s">
        <v>277</v>
      </c>
      <c r="B36">
        <v>38</v>
      </c>
    </row>
    <row r="37" spans="1:2" x14ac:dyDescent="0.2">
      <c r="A37" t="s">
        <v>278</v>
      </c>
      <c r="B37">
        <v>39</v>
      </c>
    </row>
    <row r="38" spans="1:2" x14ac:dyDescent="0.2">
      <c r="A38" t="s">
        <v>279</v>
      </c>
      <c r="B38">
        <v>40</v>
      </c>
    </row>
    <row r="39" spans="1:2" x14ac:dyDescent="0.2">
      <c r="A39" t="s">
        <v>280</v>
      </c>
      <c r="B39">
        <v>41</v>
      </c>
    </row>
    <row r="40" spans="1:2" x14ac:dyDescent="0.2">
      <c r="A40" t="s">
        <v>281</v>
      </c>
      <c r="B40">
        <v>42</v>
      </c>
    </row>
    <row r="41" spans="1:2" x14ac:dyDescent="0.2">
      <c r="A41" t="s">
        <v>282</v>
      </c>
      <c r="B41">
        <v>43</v>
      </c>
    </row>
    <row r="42" spans="1:2" x14ac:dyDescent="0.2">
      <c r="A42" t="s">
        <v>283</v>
      </c>
      <c r="B42">
        <v>44</v>
      </c>
    </row>
    <row r="43" spans="1:2" x14ac:dyDescent="0.2">
      <c r="A43" t="s">
        <v>284</v>
      </c>
      <c r="B43">
        <v>45</v>
      </c>
    </row>
    <row r="44" spans="1:2" x14ac:dyDescent="0.2">
      <c r="A44" t="s">
        <v>285</v>
      </c>
      <c r="B44">
        <v>46</v>
      </c>
    </row>
    <row r="45" spans="1:2" x14ac:dyDescent="0.2">
      <c r="A45" t="s">
        <v>286</v>
      </c>
      <c r="B45">
        <v>47</v>
      </c>
    </row>
    <row r="46" spans="1:2" x14ac:dyDescent="0.2">
      <c r="A46" t="s">
        <v>287</v>
      </c>
      <c r="B46">
        <v>48</v>
      </c>
    </row>
    <row r="47" spans="1:2" x14ac:dyDescent="0.2">
      <c r="A47" t="s">
        <v>288</v>
      </c>
      <c r="B47">
        <v>49</v>
      </c>
    </row>
    <row r="48" spans="1:2" x14ac:dyDescent="0.2">
      <c r="A48" t="s">
        <v>289</v>
      </c>
      <c r="B48">
        <v>50</v>
      </c>
    </row>
    <row r="49" spans="1:2" x14ac:dyDescent="0.2">
      <c r="A49" t="s">
        <v>290</v>
      </c>
      <c r="B49">
        <v>51</v>
      </c>
    </row>
    <row r="50" spans="1:2" x14ac:dyDescent="0.2">
      <c r="A50" t="s">
        <v>291</v>
      </c>
      <c r="B50">
        <v>52</v>
      </c>
    </row>
    <row r="51" spans="1:2" x14ac:dyDescent="0.2">
      <c r="A51" t="s">
        <v>292</v>
      </c>
      <c r="B51">
        <v>53</v>
      </c>
    </row>
    <row r="52" spans="1:2" x14ac:dyDescent="0.2">
      <c r="A52" t="s">
        <v>293</v>
      </c>
      <c r="B52">
        <v>54</v>
      </c>
    </row>
    <row r="53" spans="1:2" x14ac:dyDescent="0.2">
      <c r="A53" t="s">
        <v>294</v>
      </c>
      <c r="B53">
        <v>55</v>
      </c>
    </row>
    <row r="54" spans="1:2" x14ac:dyDescent="0.2">
      <c r="A54" t="s">
        <v>295</v>
      </c>
      <c r="B54">
        <v>57</v>
      </c>
    </row>
    <row r="55" spans="1:2" x14ac:dyDescent="0.2">
      <c r="A55" t="s">
        <v>296</v>
      </c>
      <c r="B55">
        <v>58</v>
      </c>
    </row>
    <row r="56" spans="1:2" x14ac:dyDescent="0.2">
      <c r="A56" t="s">
        <v>297</v>
      </c>
      <c r="B56">
        <v>59</v>
      </c>
    </row>
    <row r="57" spans="1:2" x14ac:dyDescent="0.2">
      <c r="A57" t="s">
        <v>298</v>
      </c>
      <c r="B57">
        <v>60</v>
      </c>
    </row>
    <row r="58" spans="1:2" x14ac:dyDescent="0.2">
      <c r="A58" t="s">
        <v>299</v>
      </c>
      <c r="B58">
        <v>62</v>
      </c>
    </row>
    <row r="59" spans="1:2" x14ac:dyDescent="0.2">
      <c r="A59" t="s">
        <v>300</v>
      </c>
      <c r="B59">
        <v>63</v>
      </c>
    </row>
    <row r="60" spans="1:2" x14ac:dyDescent="0.2">
      <c r="A60" t="s">
        <v>301</v>
      </c>
      <c r="B60">
        <v>64</v>
      </c>
    </row>
    <row r="61" spans="1:2" x14ac:dyDescent="0.2">
      <c r="A61" t="s">
        <v>302</v>
      </c>
      <c r="B61">
        <v>65</v>
      </c>
    </row>
    <row r="62" spans="1:2" x14ac:dyDescent="0.2">
      <c r="A62" t="s">
        <v>303</v>
      </c>
      <c r="B62">
        <v>66</v>
      </c>
    </row>
    <row r="63" spans="1:2" x14ac:dyDescent="0.2">
      <c r="A63" t="s">
        <v>304</v>
      </c>
      <c r="B63">
        <v>68</v>
      </c>
    </row>
    <row r="64" spans="1:2" x14ac:dyDescent="0.2">
      <c r="A64" t="s">
        <v>305</v>
      </c>
      <c r="B64">
        <v>69</v>
      </c>
    </row>
    <row r="65" spans="1:24" x14ac:dyDescent="0.2">
      <c r="A65" t="s">
        <v>306</v>
      </c>
      <c r="B65">
        <v>70</v>
      </c>
    </row>
    <row r="66" spans="1:24" x14ac:dyDescent="0.2">
      <c r="A66" t="s">
        <v>307</v>
      </c>
      <c r="B66">
        <v>71</v>
      </c>
    </row>
    <row r="67" spans="1:24" x14ac:dyDescent="0.2">
      <c r="A67" t="s">
        <v>308</v>
      </c>
      <c r="B67">
        <v>72</v>
      </c>
    </row>
    <row r="68" spans="1:24" x14ac:dyDescent="0.2">
      <c r="A68" t="s">
        <v>309</v>
      </c>
      <c r="B68" t="s">
        <v>310</v>
      </c>
    </row>
    <row r="69" spans="1:24" x14ac:dyDescent="0.2">
      <c r="A69" t="s">
        <v>311</v>
      </c>
      <c r="B69" t="s">
        <v>312</v>
      </c>
    </row>
    <row r="70" spans="1:24" x14ac:dyDescent="0.2">
      <c r="A70" t="s">
        <v>313</v>
      </c>
      <c r="B70" t="s">
        <v>314</v>
      </c>
    </row>
    <row r="71" spans="1:24" x14ac:dyDescent="0.2">
      <c r="A71" t="s">
        <v>315</v>
      </c>
      <c r="B71" t="s">
        <v>316</v>
      </c>
    </row>
    <row r="72" spans="1:24" x14ac:dyDescent="0.2">
      <c r="A72" t="s">
        <v>317</v>
      </c>
      <c r="B72" t="s">
        <v>318</v>
      </c>
    </row>
    <row r="73" spans="1:24" x14ac:dyDescent="0.2">
      <c r="A73" t="s">
        <v>319</v>
      </c>
      <c r="B73" t="s">
        <v>320</v>
      </c>
    </row>
    <row r="74" spans="1:24" x14ac:dyDescent="0.2">
      <c r="A74" t="s">
        <v>321</v>
      </c>
      <c r="B74" t="s">
        <v>322</v>
      </c>
    </row>
    <row r="75" spans="1:24" x14ac:dyDescent="0.2">
      <c r="A75" t="s">
        <v>323</v>
      </c>
      <c r="B75" t="s">
        <v>324</v>
      </c>
    </row>
    <row r="76" spans="1:24" x14ac:dyDescent="0.2">
      <c r="A76" t="s">
        <v>325</v>
      </c>
      <c r="B76" t="s">
        <v>326</v>
      </c>
    </row>
    <row r="77" spans="1:24" x14ac:dyDescent="0.2">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
      <c r="A78" t="s">
        <v>328</v>
      </c>
      <c r="B78">
        <v>1</v>
      </c>
    </row>
    <row r="79" spans="1:24" x14ac:dyDescent="0.2">
      <c r="A79" t="s">
        <v>329</v>
      </c>
      <c r="B79">
        <v>2</v>
      </c>
    </row>
    <row r="80" spans="1:24" x14ac:dyDescent="0.2">
      <c r="A80" t="s">
        <v>330</v>
      </c>
      <c r="B80">
        <v>3</v>
      </c>
    </row>
    <row r="81" spans="1:2" x14ac:dyDescent="0.2">
      <c r="A81" t="s">
        <v>331</v>
      </c>
      <c r="B81">
        <v>4</v>
      </c>
    </row>
    <row r="82" spans="1:2" x14ac:dyDescent="0.2">
      <c r="A82" t="s">
        <v>332</v>
      </c>
      <c r="B82">
        <v>5</v>
      </c>
    </row>
    <row r="83" spans="1:2" x14ac:dyDescent="0.2">
      <c r="A83" t="s">
        <v>333</v>
      </c>
      <c r="B83">
        <v>6</v>
      </c>
    </row>
    <row r="84" spans="1:2" x14ac:dyDescent="0.2">
      <c r="A84" t="s">
        <v>334</v>
      </c>
      <c r="B84">
        <v>8</v>
      </c>
    </row>
    <row r="85" spans="1:2" x14ac:dyDescent="0.2">
      <c r="A85" t="s">
        <v>335</v>
      </c>
      <c r="B85">
        <v>9</v>
      </c>
    </row>
    <row r="86" spans="1:2" x14ac:dyDescent="0.2">
      <c r="A86" t="s">
        <v>336</v>
      </c>
      <c r="B86">
        <v>10</v>
      </c>
    </row>
    <row r="87" spans="1:2" x14ac:dyDescent="0.2">
      <c r="A87" t="s">
        <v>337</v>
      </c>
      <c r="B87">
        <v>11</v>
      </c>
    </row>
    <row r="88" spans="1:2" x14ac:dyDescent="0.2">
      <c r="A88" t="s">
        <v>338</v>
      </c>
      <c r="B88">
        <v>12</v>
      </c>
    </row>
    <row r="89" spans="1:2" x14ac:dyDescent="0.2">
      <c r="A89" t="s">
        <v>339</v>
      </c>
      <c r="B89">
        <v>13</v>
      </c>
    </row>
    <row r="90" spans="1:2" x14ac:dyDescent="0.2">
      <c r="A90" t="s">
        <v>340</v>
      </c>
      <c r="B90">
        <v>14</v>
      </c>
    </row>
    <row r="91" spans="1:2" x14ac:dyDescent="0.2">
      <c r="A91" t="s">
        <v>341</v>
      </c>
      <c r="B91">
        <v>15</v>
      </c>
    </row>
    <row r="92" spans="1:2" x14ac:dyDescent="0.2">
      <c r="A92" t="s">
        <v>342</v>
      </c>
      <c r="B92">
        <v>16</v>
      </c>
    </row>
    <row r="93" spans="1:2" x14ac:dyDescent="0.2">
      <c r="A93" t="s">
        <v>343</v>
      </c>
      <c r="B93">
        <v>17</v>
      </c>
    </row>
    <row r="94" spans="1:2" x14ac:dyDescent="0.2">
      <c r="A94" t="s">
        <v>344</v>
      </c>
      <c r="B94">
        <v>18</v>
      </c>
    </row>
    <row r="95" spans="1:2" x14ac:dyDescent="0.2">
      <c r="A95" t="s">
        <v>345</v>
      </c>
      <c r="B95">
        <v>19</v>
      </c>
    </row>
    <row r="96" spans="1:2" x14ac:dyDescent="0.2">
      <c r="A96" t="s">
        <v>346</v>
      </c>
      <c r="B96">
        <v>20</v>
      </c>
    </row>
    <row r="97" spans="1:2" x14ac:dyDescent="0.2">
      <c r="A97" t="s">
        <v>347</v>
      </c>
      <c r="B97">
        <v>21</v>
      </c>
    </row>
    <row r="98" spans="1:2" x14ac:dyDescent="0.2">
      <c r="A98" t="s">
        <v>348</v>
      </c>
      <c r="B98">
        <v>22</v>
      </c>
    </row>
    <row r="99" spans="1:2" x14ac:dyDescent="0.2">
      <c r="A99" t="s">
        <v>349</v>
      </c>
      <c r="B99">
        <v>23</v>
      </c>
    </row>
    <row r="100" spans="1:2" x14ac:dyDescent="0.2">
      <c r="A100" t="s">
        <v>350</v>
      </c>
      <c r="B100">
        <v>24</v>
      </c>
    </row>
    <row r="101" spans="1:2" x14ac:dyDescent="0.2">
      <c r="A101" t="s">
        <v>351</v>
      </c>
      <c r="B101">
        <v>25</v>
      </c>
    </row>
    <row r="102" spans="1:2" x14ac:dyDescent="0.2">
      <c r="A102" t="s">
        <v>352</v>
      </c>
      <c r="B102">
        <v>26</v>
      </c>
    </row>
    <row r="103" spans="1:2" x14ac:dyDescent="0.2">
      <c r="A103" t="s">
        <v>353</v>
      </c>
      <c r="B103">
        <v>27</v>
      </c>
    </row>
    <row r="104" spans="1:2" x14ac:dyDescent="0.2">
      <c r="A104" t="s">
        <v>354</v>
      </c>
      <c r="B104">
        <v>28</v>
      </c>
    </row>
    <row r="105" spans="1:2" x14ac:dyDescent="0.2">
      <c r="A105" t="s">
        <v>355</v>
      </c>
      <c r="B105">
        <v>29</v>
      </c>
    </row>
    <row r="106" spans="1:2" x14ac:dyDescent="0.2">
      <c r="A106" t="s">
        <v>356</v>
      </c>
      <c r="B106">
        <v>31</v>
      </c>
    </row>
    <row r="107" spans="1:2" x14ac:dyDescent="0.2">
      <c r="A107" t="s">
        <v>357</v>
      </c>
      <c r="B107">
        <v>32</v>
      </c>
    </row>
    <row r="108" spans="1:2" x14ac:dyDescent="0.2">
      <c r="A108" t="s">
        <v>358</v>
      </c>
      <c r="B108">
        <v>33</v>
      </c>
    </row>
    <row r="109" spans="1:2" x14ac:dyDescent="0.2">
      <c r="A109" t="s">
        <v>359</v>
      </c>
      <c r="B109">
        <v>34</v>
      </c>
    </row>
    <row r="110" spans="1:2" x14ac:dyDescent="0.2">
      <c r="A110" t="s">
        <v>360</v>
      </c>
      <c r="B110">
        <v>35</v>
      </c>
    </row>
    <row r="111" spans="1:2" x14ac:dyDescent="0.2">
      <c r="A111" t="s">
        <v>361</v>
      </c>
      <c r="B111">
        <v>36</v>
      </c>
    </row>
    <row r="112" spans="1:2" x14ac:dyDescent="0.2">
      <c r="A112" t="s">
        <v>362</v>
      </c>
      <c r="B112">
        <v>37</v>
      </c>
    </row>
    <row r="113" spans="1:2" x14ac:dyDescent="0.2">
      <c r="A113" t="s">
        <v>363</v>
      </c>
      <c r="B113">
        <v>38</v>
      </c>
    </row>
    <row r="114" spans="1:2" x14ac:dyDescent="0.2">
      <c r="A114" t="s">
        <v>364</v>
      </c>
      <c r="B114">
        <v>39</v>
      </c>
    </row>
    <row r="115" spans="1:2" x14ac:dyDescent="0.2">
      <c r="A115" t="s">
        <v>365</v>
      </c>
      <c r="B115">
        <v>40</v>
      </c>
    </row>
    <row r="116" spans="1:2" x14ac:dyDescent="0.2">
      <c r="A116" t="s">
        <v>366</v>
      </c>
      <c r="B116">
        <v>41</v>
      </c>
    </row>
    <row r="117" spans="1:2" x14ac:dyDescent="0.2">
      <c r="A117" t="s">
        <v>367</v>
      </c>
      <c r="B117">
        <v>42</v>
      </c>
    </row>
    <row r="118" spans="1:2" x14ac:dyDescent="0.2">
      <c r="A118" t="s">
        <v>368</v>
      </c>
      <c r="B118">
        <v>43</v>
      </c>
    </row>
    <row r="119" spans="1:2" x14ac:dyDescent="0.2">
      <c r="A119" t="s">
        <v>369</v>
      </c>
      <c r="B119">
        <v>44</v>
      </c>
    </row>
    <row r="120" spans="1:2" x14ac:dyDescent="0.2">
      <c r="A120" t="s">
        <v>370</v>
      </c>
      <c r="B120">
        <v>45</v>
      </c>
    </row>
    <row r="121" spans="1:2" x14ac:dyDescent="0.2">
      <c r="A121" t="s">
        <v>371</v>
      </c>
      <c r="B121">
        <v>46</v>
      </c>
    </row>
    <row r="122" spans="1:2" x14ac:dyDescent="0.2">
      <c r="A122" t="s">
        <v>372</v>
      </c>
      <c r="B122">
        <v>47</v>
      </c>
    </row>
    <row r="123" spans="1:2" x14ac:dyDescent="0.2">
      <c r="A123" t="s">
        <v>373</v>
      </c>
      <c r="B123">
        <v>48</v>
      </c>
    </row>
    <row r="124" spans="1:2" x14ac:dyDescent="0.2">
      <c r="A124" t="s">
        <v>374</v>
      </c>
      <c r="B124">
        <v>49</v>
      </c>
    </row>
    <row r="125" spans="1:2" x14ac:dyDescent="0.2">
      <c r="A125" t="s">
        <v>375</v>
      </c>
      <c r="B125">
        <v>50</v>
      </c>
    </row>
    <row r="126" spans="1:2" x14ac:dyDescent="0.2">
      <c r="A126" t="s">
        <v>376</v>
      </c>
      <c r="B126">
        <v>51</v>
      </c>
    </row>
    <row r="127" spans="1:2" x14ac:dyDescent="0.2">
      <c r="A127" t="s">
        <v>377</v>
      </c>
      <c r="B127">
        <v>52</v>
      </c>
    </row>
    <row r="128" spans="1:2" x14ac:dyDescent="0.2">
      <c r="A128" t="s">
        <v>378</v>
      </c>
      <c r="B128">
        <v>54</v>
      </c>
    </row>
    <row r="129" spans="1:23" x14ac:dyDescent="0.2">
      <c r="A129" t="s">
        <v>379</v>
      </c>
      <c r="B129">
        <v>55</v>
      </c>
    </row>
    <row r="130" spans="1:23" x14ac:dyDescent="0.2">
      <c r="A130" t="s">
        <v>380</v>
      </c>
      <c r="B130">
        <v>56</v>
      </c>
    </row>
    <row r="131" spans="1:23" x14ac:dyDescent="0.2">
      <c r="A131" t="s">
        <v>381</v>
      </c>
      <c r="B131">
        <v>57</v>
      </c>
    </row>
    <row r="132" spans="1:23" x14ac:dyDescent="0.2">
      <c r="A132" t="s">
        <v>382</v>
      </c>
      <c r="B132">
        <v>58</v>
      </c>
    </row>
    <row r="133" spans="1:23" x14ac:dyDescent="0.2">
      <c r="A133" t="s">
        <v>383</v>
      </c>
      <c r="B133">
        <v>59</v>
      </c>
    </row>
    <row r="134" spans="1:23" x14ac:dyDescent="0.2">
      <c r="A134" t="s">
        <v>384</v>
      </c>
      <c r="B134" t="s">
        <v>385</v>
      </c>
    </row>
    <row r="135" spans="1:23" x14ac:dyDescent="0.2">
      <c r="A135" t="s">
        <v>386</v>
      </c>
      <c r="B135" t="s">
        <v>387</v>
      </c>
    </row>
    <row r="136" spans="1:23" x14ac:dyDescent="0.2">
      <c r="A136" t="s">
        <v>388</v>
      </c>
      <c r="B136" t="s">
        <v>389</v>
      </c>
    </row>
    <row r="137" spans="1:23" x14ac:dyDescent="0.2">
      <c r="A137" t="s">
        <v>390</v>
      </c>
      <c r="B137" t="s">
        <v>391</v>
      </c>
    </row>
    <row r="138" spans="1:23" x14ac:dyDescent="0.2">
      <c r="A138" t="s">
        <v>392</v>
      </c>
      <c r="B138" t="s">
        <v>393</v>
      </c>
    </row>
    <row r="139" spans="1:23" x14ac:dyDescent="0.2">
      <c r="A139" t="s">
        <v>394</v>
      </c>
      <c r="B139" t="s">
        <v>395</v>
      </c>
    </row>
    <row r="140" spans="1:23" x14ac:dyDescent="0.2">
      <c r="A140" t="s">
        <v>396</v>
      </c>
      <c r="B140" t="s">
        <v>397</v>
      </c>
    </row>
    <row r="141" spans="1:23" x14ac:dyDescent="0.2">
      <c r="A141" t="s">
        <v>398</v>
      </c>
      <c r="B141" t="s">
        <v>399</v>
      </c>
    </row>
    <row r="142" spans="1:23" x14ac:dyDescent="0.2">
      <c r="A142" t="s">
        <v>400</v>
      </c>
      <c r="B142" t="s">
        <v>401</v>
      </c>
    </row>
    <row r="143" spans="1:23" x14ac:dyDescent="0.2">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
      <c r="A144" t="s">
        <v>403</v>
      </c>
      <c r="B144">
        <v>1</v>
      </c>
    </row>
    <row r="145" spans="1:2" x14ac:dyDescent="0.2">
      <c r="A145" t="s">
        <v>404</v>
      </c>
      <c r="B145">
        <v>2</v>
      </c>
    </row>
    <row r="146" spans="1:2" x14ac:dyDescent="0.2">
      <c r="A146" t="s">
        <v>405</v>
      </c>
      <c r="B146">
        <v>3</v>
      </c>
    </row>
    <row r="147" spans="1:2" x14ac:dyDescent="0.2">
      <c r="A147" t="s">
        <v>406</v>
      </c>
      <c r="B147">
        <v>4</v>
      </c>
    </row>
    <row r="148" spans="1:2" x14ac:dyDescent="0.2">
      <c r="A148" t="s">
        <v>407</v>
      </c>
      <c r="B148">
        <v>5</v>
      </c>
    </row>
    <row r="149" spans="1:2" x14ac:dyDescent="0.2">
      <c r="A149" t="s">
        <v>408</v>
      </c>
      <c r="B149">
        <v>6</v>
      </c>
    </row>
    <row r="150" spans="1:2" x14ac:dyDescent="0.2">
      <c r="A150" t="s">
        <v>409</v>
      </c>
      <c r="B150">
        <v>8</v>
      </c>
    </row>
    <row r="151" spans="1:2" x14ac:dyDescent="0.2">
      <c r="A151" t="s">
        <v>410</v>
      </c>
      <c r="B151">
        <v>9</v>
      </c>
    </row>
    <row r="152" spans="1:2" x14ac:dyDescent="0.2">
      <c r="A152" t="s">
        <v>411</v>
      </c>
      <c r="B152">
        <v>10</v>
      </c>
    </row>
    <row r="153" spans="1:2" x14ac:dyDescent="0.2">
      <c r="A153" t="s">
        <v>412</v>
      </c>
      <c r="B153">
        <v>11</v>
      </c>
    </row>
    <row r="154" spans="1:2" x14ac:dyDescent="0.2">
      <c r="A154" t="s">
        <v>413</v>
      </c>
      <c r="B154">
        <v>12</v>
      </c>
    </row>
    <row r="155" spans="1:2" x14ac:dyDescent="0.2">
      <c r="A155" t="s">
        <v>414</v>
      </c>
      <c r="B155">
        <v>13</v>
      </c>
    </row>
    <row r="156" spans="1:2" x14ac:dyDescent="0.2">
      <c r="A156" t="s">
        <v>415</v>
      </c>
      <c r="B156">
        <v>14</v>
      </c>
    </row>
    <row r="157" spans="1:2" x14ac:dyDescent="0.2">
      <c r="A157" t="s">
        <v>416</v>
      </c>
      <c r="B157">
        <v>15</v>
      </c>
    </row>
    <row r="158" spans="1:2" x14ac:dyDescent="0.2">
      <c r="A158" t="s">
        <v>417</v>
      </c>
      <c r="B158">
        <v>16</v>
      </c>
    </row>
    <row r="159" spans="1:2" x14ac:dyDescent="0.2">
      <c r="A159" t="s">
        <v>418</v>
      </c>
      <c r="B159">
        <v>17</v>
      </c>
    </row>
    <row r="160" spans="1:2" x14ac:dyDescent="0.2">
      <c r="A160" t="s">
        <v>419</v>
      </c>
      <c r="B160">
        <v>18</v>
      </c>
    </row>
    <row r="161" spans="1:2" x14ac:dyDescent="0.2">
      <c r="A161" t="s">
        <v>420</v>
      </c>
      <c r="B161">
        <v>19</v>
      </c>
    </row>
    <row r="162" spans="1:2" x14ac:dyDescent="0.2">
      <c r="A162" t="s">
        <v>421</v>
      </c>
      <c r="B162">
        <v>20</v>
      </c>
    </row>
    <row r="163" spans="1:2" x14ac:dyDescent="0.2">
      <c r="A163" t="s">
        <v>422</v>
      </c>
      <c r="B163">
        <v>21</v>
      </c>
    </row>
    <row r="164" spans="1:2" x14ac:dyDescent="0.2">
      <c r="A164" t="s">
        <v>423</v>
      </c>
      <c r="B164">
        <v>22</v>
      </c>
    </row>
    <row r="165" spans="1:2" x14ac:dyDescent="0.2">
      <c r="A165" t="s">
        <v>424</v>
      </c>
      <c r="B165">
        <v>23</v>
      </c>
    </row>
    <row r="166" spans="1:2" x14ac:dyDescent="0.2">
      <c r="A166" t="s">
        <v>425</v>
      </c>
      <c r="B166">
        <v>24</v>
      </c>
    </row>
    <row r="167" spans="1:2" x14ac:dyDescent="0.2">
      <c r="A167" t="s">
        <v>426</v>
      </c>
      <c r="B167">
        <v>25</v>
      </c>
    </row>
    <row r="168" spans="1:2" x14ac:dyDescent="0.2">
      <c r="A168" t="s">
        <v>427</v>
      </c>
      <c r="B168">
        <v>26</v>
      </c>
    </row>
    <row r="169" spans="1:2" x14ac:dyDescent="0.2">
      <c r="A169" t="s">
        <v>428</v>
      </c>
      <c r="B169">
        <v>27</v>
      </c>
    </row>
    <row r="170" spans="1:2" x14ac:dyDescent="0.2">
      <c r="A170" t="s">
        <v>429</v>
      </c>
      <c r="B170">
        <v>28</v>
      </c>
    </row>
    <row r="171" spans="1:2" x14ac:dyDescent="0.2">
      <c r="A171" t="s">
        <v>430</v>
      </c>
      <c r="B171">
        <v>29</v>
      </c>
    </row>
    <row r="172" spans="1:2" x14ac:dyDescent="0.2">
      <c r="A172" t="s">
        <v>431</v>
      </c>
      <c r="B172">
        <v>31</v>
      </c>
    </row>
    <row r="173" spans="1:2" x14ac:dyDescent="0.2">
      <c r="A173" t="s">
        <v>432</v>
      </c>
      <c r="B173">
        <v>32</v>
      </c>
    </row>
    <row r="174" spans="1:2" x14ac:dyDescent="0.2">
      <c r="A174" t="s">
        <v>433</v>
      </c>
      <c r="B174">
        <v>33</v>
      </c>
    </row>
    <row r="175" spans="1:2" x14ac:dyDescent="0.2">
      <c r="A175" t="s">
        <v>434</v>
      </c>
      <c r="B175">
        <v>34</v>
      </c>
    </row>
    <row r="176" spans="1:2" x14ac:dyDescent="0.2">
      <c r="A176" t="s">
        <v>435</v>
      </c>
      <c r="B176">
        <v>35</v>
      </c>
    </row>
    <row r="177" spans="1:2" x14ac:dyDescent="0.2">
      <c r="A177" t="s">
        <v>436</v>
      </c>
      <c r="B177">
        <v>36</v>
      </c>
    </row>
    <row r="178" spans="1:2" x14ac:dyDescent="0.2">
      <c r="A178" t="s">
        <v>437</v>
      </c>
      <c r="B178">
        <v>37</v>
      </c>
    </row>
    <row r="179" spans="1:2" x14ac:dyDescent="0.2">
      <c r="A179" t="s">
        <v>438</v>
      </c>
      <c r="B179">
        <v>38</v>
      </c>
    </row>
    <row r="180" spans="1:2" x14ac:dyDescent="0.2">
      <c r="A180" t="s">
        <v>439</v>
      </c>
      <c r="B180">
        <v>39</v>
      </c>
    </row>
    <row r="181" spans="1:2" x14ac:dyDescent="0.2">
      <c r="A181" t="s">
        <v>440</v>
      </c>
      <c r="B181">
        <v>40</v>
      </c>
    </row>
    <row r="182" spans="1:2" x14ac:dyDescent="0.2">
      <c r="A182" t="s">
        <v>441</v>
      </c>
      <c r="B182">
        <v>41</v>
      </c>
    </row>
    <row r="183" spans="1:2" x14ac:dyDescent="0.2">
      <c r="A183" t="s">
        <v>442</v>
      </c>
      <c r="B183">
        <v>42</v>
      </c>
    </row>
    <row r="184" spans="1:2" x14ac:dyDescent="0.2">
      <c r="A184" t="s">
        <v>443</v>
      </c>
      <c r="B184">
        <v>43</v>
      </c>
    </row>
    <row r="185" spans="1:2" x14ac:dyDescent="0.2">
      <c r="A185" t="s">
        <v>444</v>
      </c>
      <c r="B185">
        <v>44</v>
      </c>
    </row>
    <row r="186" spans="1:2" x14ac:dyDescent="0.2">
      <c r="A186" t="s">
        <v>445</v>
      </c>
      <c r="B186">
        <v>45</v>
      </c>
    </row>
    <row r="187" spans="1:2" x14ac:dyDescent="0.2">
      <c r="A187" t="s">
        <v>446</v>
      </c>
      <c r="B187">
        <v>46</v>
      </c>
    </row>
    <row r="188" spans="1:2" x14ac:dyDescent="0.2">
      <c r="A188" t="s">
        <v>447</v>
      </c>
      <c r="B188">
        <v>47</v>
      </c>
    </row>
    <row r="189" spans="1:2" x14ac:dyDescent="0.2">
      <c r="A189" t="s">
        <v>448</v>
      </c>
      <c r="B189">
        <v>48</v>
      </c>
    </row>
    <row r="190" spans="1:2" x14ac:dyDescent="0.2">
      <c r="A190" t="s">
        <v>449</v>
      </c>
      <c r="B190">
        <v>49</v>
      </c>
    </row>
    <row r="191" spans="1:2" x14ac:dyDescent="0.2">
      <c r="A191" t="s">
        <v>450</v>
      </c>
      <c r="B191">
        <v>50</v>
      </c>
    </row>
    <row r="192" spans="1:2" x14ac:dyDescent="0.2">
      <c r="A192" t="s">
        <v>451</v>
      </c>
      <c r="B192">
        <v>51</v>
      </c>
    </row>
    <row r="193" spans="1:2" x14ac:dyDescent="0.2">
      <c r="A193" t="s">
        <v>452</v>
      </c>
      <c r="B193">
        <v>52</v>
      </c>
    </row>
    <row r="194" spans="1:2" x14ac:dyDescent="0.2">
      <c r="A194" t="s">
        <v>453</v>
      </c>
      <c r="B194">
        <v>54</v>
      </c>
    </row>
    <row r="195" spans="1:2" x14ac:dyDescent="0.2">
      <c r="A195" t="s">
        <v>454</v>
      </c>
      <c r="B195">
        <v>55</v>
      </c>
    </row>
    <row r="196" spans="1:2" x14ac:dyDescent="0.2">
      <c r="A196" t="s">
        <v>455</v>
      </c>
      <c r="B196">
        <v>56</v>
      </c>
    </row>
    <row r="197" spans="1:2" x14ac:dyDescent="0.2">
      <c r="A197" t="s">
        <v>456</v>
      </c>
      <c r="B197">
        <v>57</v>
      </c>
    </row>
    <row r="198" spans="1:2" x14ac:dyDescent="0.2">
      <c r="A198" t="s">
        <v>457</v>
      </c>
      <c r="B198">
        <v>58</v>
      </c>
    </row>
    <row r="199" spans="1:2" x14ac:dyDescent="0.2">
      <c r="A199" t="s">
        <v>458</v>
      </c>
      <c r="B199">
        <v>59</v>
      </c>
    </row>
    <row r="200" spans="1:2" x14ac:dyDescent="0.2">
      <c r="A200" t="s">
        <v>459</v>
      </c>
      <c r="B200" t="s">
        <v>460</v>
      </c>
    </row>
    <row r="201" spans="1:2" x14ac:dyDescent="0.2">
      <c r="A201" t="s">
        <v>461</v>
      </c>
      <c r="B201" t="s">
        <v>462</v>
      </c>
    </row>
    <row r="202" spans="1:2" x14ac:dyDescent="0.2">
      <c r="A202" t="s">
        <v>463</v>
      </c>
      <c r="B202" t="s">
        <v>464</v>
      </c>
    </row>
    <row r="203" spans="1:2" x14ac:dyDescent="0.2">
      <c r="A203" t="s">
        <v>465</v>
      </c>
      <c r="B203" t="s">
        <v>466</v>
      </c>
    </row>
    <row r="204" spans="1:2" x14ac:dyDescent="0.2">
      <c r="A204" t="s">
        <v>467</v>
      </c>
      <c r="B204" t="s">
        <v>468</v>
      </c>
    </row>
    <row r="205" spans="1:2" x14ac:dyDescent="0.2">
      <c r="A205" t="s">
        <v>469</v>
      </c>
      <c r="B205" t="s">
        <v>470</v>
      </c>
    </row>
    <row r="206" spans="1:2" x14ac:dyDescent="0.2">
      <c r="A206" t="s">
        <v>471</v>
      </c>
      <c r="B206" t="s">
        <v>472</v>
      </c>
    </row>
    <row r="207" spans="1:2" x14ac:dyDescent="0.2">
      <c r="A207" t="s">
        <v>473</v>
      </c>
      <c r="B207" t="s">
        <v>474</v>
      </c>
    </row>
    <row r="208" spans="1:2" x14ac:dyDescent="0.2">
      <c r="A208" t="s">
        <v>475</v>
      </c>
      <c r="B208" t="s">
        <v>476</v>
      </c>
    </row>
    <row r="209" spans="1:23" x14ac:dyDescent="0.2">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
      <c r="A210" t="s">
        <v>478</v>
      </c>
      <c r="B210">
        <v>1</v>
      </c>
    </row>
    <row r="211" spans="1:23" x14ac:dyDescent="0.2">
      <c r="A211" t="s">
        <v>479</v>
      </c>
      <c r="B211">
        <v>2</v>
      </c>
    </row>
    <row r="212" spans="1:23" x14ac:dyDescent="0.2">
      <c r="A212" t="s">
        <v>480</v>
      </c>
      <c r="B212">
        <v>3</v>
      </c>
    </row>
    <row r="213" spans="1:23" x14ac:dyDescent="0.2">
      <c r="A213" t="s">
        <v>481</v>
      </c>
      <c r="B213">
        <v>4</v>
      </c>
    </row>
    <row r="214" spans="1:23" x14ac:dyDescent="0.2">
      <c r="A214" t="s">
        <v>482</v>
      </c>
      <c r="B214">
        <v>5</v>
      </c>
    </row>
    <row r="215" spans="1:23" x14ac:dyDescent="0.2">
      <c r="A215" t="s">
        <v>483</v>
      </c>
      <c r="B215">
        <v>6</v>
      </c>
    </row>
    <row r="216" spans="1:23" x14ac:dyDescent="0.2">
      <c r="A216" t="s">
        <v>484</v>
      </c>
      <c r="B216">
        <v>7</v>
      </c>
    </row>
    <row r="217" spans="1:23" x14ac:dyDescent="0.2">
      <c r="A217" t="s">
        <v>485</v>
      </c>
      <c r="B217">
        <v>9</v>
      </c>
    </row>
    <row r="218" spans="1:23" x14ac:dyDescent="0.2">
      <c r="A218" t="s">
        <v>486</v>
      </c>
      <c r="B218">
        <v>10</v>
      </c>
    </row>
    <row r="219" spans="1:23" x14ac:dyDescent="0.2">
      <c r="A219" t="s">
        <v>487</v>
      </c>
      <c r="B219">
        <v>11</v>
      </c>
    </row>
    <row r="220" spans="1:23" x14ac:dyDescent="0.2">
      <c r="A220" t="s">
        <v>488</v>
      </c>
      <c r="B220">
        <v>12</v>
      </c>
    </row>
    <row r="221" spans="1:23" x14ac:dyDescent="0.2">
      <c r="A221" t="s">
        <v>489</v>
      </c>
      <c r="B221">
        <v>13</v>
      </c>
    </row>
    <row r="222" spans="1:23" x14ac:dyDescent="0.2">
      <c r="A222" t="s">
        <v>490</v>
      </c>
      <c r="B222">
        <v>14</v>
      </c>
    </row>
    <row r="223" spans="1:23" x14ac:dyDescent="0.2">
      <c r="A223" t="s">
        <v>491</v>
      </c>
      <c r="B223">
        <v>15</v>
      </c>
    </row>
    <row r="224" spans="1:23" x14ac:dyDescent="0.2">
      <c r="A224" t="s">
        <v>492</v>
      </c>
      <c r="B224">
        <v>16</v>
      </c>
    </row>
    <row r="225" spans="1:2" x14ac:dyDescent="0.2">
      <c r="A225" t="s">
        <v>493</v>
      </c>
      <c r="B225">
        <v>17</v>
      </c>
    </row>
    <row r="226" spans="1:2" x14ac:dyDescent="0.2">
      <c r="A226" t="s">
        <v>494</v>
      </c>
      <c r="B226">
        <v>18</v>
      </c>
    </row>
    <row r="227" spans="1:2" x14ac:dyDescent="0.2">
      <c r="A227" t="s">
        <v>495</v>
      </c>
      <c r="B227">
        <v>19</v>
      </c>
    </row>
    <row r="228" spans="1:2" x14ac:dyDescent="0.2">
      <c r="A228" t="s">
        <v>496</v>
      </c>
      <c r="B228">
        <v>20</v>
      </c>
    </row>
    <row r="229" spans="1:2" x14ac:dyDescent="0.2">
      <c r="A229" t="s">
        <v>497</v>
      </c>
      <c r="B229">
        <v>21</v>
      </c>
    </row>
    <row r="230" spans="1:2" x14ac:dyDescent="0.2">
      <c r="A230" t="s">
        <v>498</v>
      </c>
      <c r="B230">
        <v>22</v>
      </c>
    </row>
    <row r="231" spans="1:2" x14ac:dyDescent="0.2">
      <c r="A231" t="s">
        <v>499</v>
      </c>
      <c r="B231">
        <v>23</v>
      </c>
    </row>
    <row r="232" spans="1:2" x14ac:dyDescent="0.2">
      <c r="A232" t="s">
        <v>500</v>
      </c>
      <c r="B232">
        <v>24</v>
      </c>
    </row>
    <row r="233" spans="1:2" x14ac:dyDescent="0.2">
      <c r="A233" t="s">
        <v>501</v>
      </c>
      <c r="B233">
        <v>25</v>
      </c>
    </row>
    <row r="234" spans="1:2" x14ac:dyDescent="0.2">
      <c r="A234" t="s">
        <v>502</v>
      </c>
      <c r="B234">
        <v>26</v>
      </c>
    </row>
    <row r="235" spans="1:2" x14ac:dyDescent="0.2">
      <c r="A235" t="s">
        <v>503</v>
      </c>
      <c r="B235">
        <v>27</v>
      </c>
    </row>
    <row r="236" spans="1:2" x14ac:dyDescent="0.2">
      <c r="A236" t="s">
        <v>504</v>
      </c>
      <c r="B236">
        <v>28</v>
      </c>
    </row>
    <row r="237" spans="1:2" x14ac:dyDescent="0.2">
      <c r="A237" t="s">
        <v>505</v>
      </c>
      <c r="B237">
        <v>29</v>
      </c>
    </row>
    <row r="238" spans="1:2" x14ac:dyDescent="0.2">
      <c r="A238" t="s">
        <v>506</v>
      </c>
      <c r="B238">
        <v>30</v>
      </c>
    </row>
    <row r="239" spans="1:2" x14ac:dyDescent="0.2">
      <c r="A239" t="s">
        <v>507</v>
      </c>
      <c r="B239">
        <v>31</v>
      </c>
    </row>
    <row r="240" spans="1:2" x14ac:dyDescent="0.2">
      <c r="A240" t="s">
        <v>508</v>
      </c>
      <c r="B240">
        <v>33</v>
      </c>
    </row>
    <row r="241" spans="1:2" x14ac:dyDescent="0.2">
      <c r="A241" t="s">
        <v>509</v>
      </c>
      <c r="B241">
        <v>34</v>
      </c>
    </row>
    <row r="242" spans="1:2" x14ac:dyDescent="0.2">
      <c r="A242" t="s">
        <v>510</v>
      </c>
      <c r="B242">
        <v>35</v>
      </c>
    </row>
    <row r="243" spans="1:2" x14ac:dyDescent="0.2">
      <c r="A243" t="s">
        <v>511</v>
      </c>
      <c r="B243">
        <v>36</v>
      </c>
    </row>
    <row r="244" spans="1:2" x14ac:dyDescent="0.2">
      <c r="A244" t="s">
        <v>512</v>
      </c>
      <c r="B244">
        <v>37</v>
      </c>
    </row>
    <row r="245" spans="1:2" x14ac:dyDescent="0.2">
      <c r="A245" t="s">
        <v>513</v>
      </c>
      <c r="B245">
        <v>38</v>
      </c>
    </row>
    <row r="246" spans="1:2" x14ac:dyDescent="0.2">
      <c r="A246" t="s">
        <v>514</v>
      </c>
      <c r="B246">
        <v>39</v>
      </c>
    </row>
    <row r="247" spans="1:2" x14ac:dyDescent="0.2">
      <c r="A247" t="s">
        <v>515</v>
      </c>
      <c r="B247">
        <v>40</v>
      </c>
    </row>
    <row r="248" spans="1:2" x14ac:dyDescent="0.2">
      <c r="A248" t="s">
        <v>516</v>
      </c>
      <c r="B248">
        <v>41</v>
      </c>
    </row>
    <row r="249" spans="1:2" x14ac:dyDescent="0.2">
      <c r="A249" t="s">
        <v>517</v>
      </c>
      <c r="B249">
        <v>42</v>
      </c>
    </row>
    <row r="250" spans="1:2" x14ac:dyDescent="0.2">
      <c r="A250" t="s">
        <v>518</v>
      </c>
      <c r="B250">
        <v>43</v>
      </c>
    </row>
    <row r="251" spans="1:2" x14ac:dyDescent="0.2">
      <c r="A251" t="s">
        <v>519</v>
      </c>
      <c r="B251">
        <v>44</v>
      </c>
    </row>
    <row r="252" spans="1:2" x14ac:dyDescent="0.2">
      <c r="A252" t="s">
        <v>520</v>
      </c>
      <c r="B252">
        <v>45</v>
      </c>
    </row>
    <row r="253" spans="1:2" x14ac:dyDescent="0.2">
      <c r="A253" t="s">
        <v>521</v>
      </c>
      <c r="B253">
        <v>46</v>
      </c>
    </row>
    <row r="254" spans="1:2" x14ac:dyDescent="0.2">
      <c r="A254" t="s">
        <v>522</v>
      </c>
      <c r="B254">
        <v>47</v>
      </c>
    </row>
    <row r="255" spans="1:2" x14ac:dyDescent="0.2">
      <c r="A255" t="s">
        <v>523</v>
      </c>
      <c r="B255">
        <v>48</v>
      </c>
    </row>
    <row r="256" spans="1:2" x14ac:dyDescent="0.2">
      <c r="A256" t="s">
        <v>524</v>
      </c>
      <c r="B256">
        <v>49</v>
      </c>
    </row>
    <row r="257" spans="1:2" x14ac:dyDescent="0.2">
      <c r="A257" t="s">
        <v>525</v>
      </c>
      <c r="B257">
        <v>50</v>
      </c>
    </row>
    <row r="258" spans="1:2" x14ac:dyDescent="0.2">
      <c r="A258" t="s">
        <v>526</v>
      </c>
      <c r="B258">
        <v>51</v>
      </c>
    </row>
    <row r="259" spans="1:2" x14ac:dyDescent="0.2">
      <c r="A259" t="s">
        <v>527</v>
      </c>
      <c r="B259">
        <v>52</v>
      </c>
    </row>
    <row r="260" spans="1:2" x14ac:dyDescent="0.2">
      <c r="A260" t="s">
        <v>528</v>
      </c>
      <c r="B260">
        <v>53</v>
      </c>
    </row>
    <row r="261" spans="1:2" x14ac:dyDescent="0.2">
      <c r="A261" t="s">
        <v>529</v>
      </c>
      <c r="B261">
        <v>54</v>
      </c>
    </row>
    <row r="262" spans="1:2" x14ac:dyDescent="0.2">
      <c r="A262" t="s">
        <v>530</v>
      </c>
      <c r="B262">
        <v>55</v>
      </c>
    </row>
    <row r="263" spans="1:2" x14ac:dyDescent="0.2">
      <c r="A263" t="s">
        <v>531</v>
      </c>
      <c r="B263">
        <v>57</v>
      </c>
    </row>
    <row r="264" spans="1:2" x14ac:dyDescent="0.2">
      <c r="A264" t="s">
        <v>532</v>
      </c>
      <c r="B264">
        <v>58</v>
      </c>
    </row>
    <row r="265" spans="1:2" x14ac:dyDescent="0.2">
      <c r="A265" t="s">
        <v>533</v>
      </c>
      <c r="B265">
        <v>59</v>
      </c>
    </row>
    <row r="266" spans="1:2" x14ac:dyDescent="0.2">
      <c r="A266" t="s">
        <v>534</v>
      </c>
      <c r="B266">
        <v>60</v>
      </c>
    </row>
    <row r="267" spans="1:2" x14ac:dyDescent="0.2">
      <c r="A267" t="s">
        <v>535</v>
      </c>
      <c r="B267">
        <v>62</v>
      </c>
    </row>
    <row r="268" spans="1:2" x14ac:dyDescent="0.2">
      <c r="A268" t="s">
        <v>536</v>
      </c>
      <c r="B268">
        <v>63</v>
      </c>
    </row>
    <row r="269" spans="1:2" x14ac:dyDescent="0.2">
      <c r="A269" t="s">
        <v>537</v>
      </c>
      <c r="B269">
        <v>64</v>
      </c>
    </row>
    <row r="270" spans="1:2" x14ac:dyDescent="0.2">
      <c r="A270" t="s">
        <v>538</v>
      </c>
      <c r="B270">
        <v>65</v>
      </c>
    </row>
    <row r="271" spans="1:2" x14ac:dyDescent="0.2">
      <c r="A271" t="s">
        <v>539</v>
      </c>
      <c r="B271">
        <v>66</v>
      </c>
    </row>
    <row r="272" spans="1:2" x14ac:dyDescent="0.2">
      <c r="A272" t="s">
        <v>540</v>
      </c>
      <c r="B272">
        <v>68</v>
      </c>
    </row>
    <row r="273" spans="1:24" x14ac:dyDescent="0.2">
      <c r="A273" t="s">
        <v>541</v>
      </c>
      <c r="B273">
        <v>69</v>
      </c>
    </row>
    <row r="274" spans="1:24" x14ac:dyDescent="0.2">
      <c r="A274" t="s">
        <v>542</v>
      </c>
      <c r="B274">
        <v>70</v>
      </c>
    </row>
    <row r="275" spans="1:24" x14ac:dyDescent="0.2">
      <c r="A275" t="s">
        <v>543</v>
      </c>
      <c r="B275">
        <v>71</v>
      </c>
    </row>
    <row r="276" spans="1:24" x14ac:dyDescent="0.2">
      <c r="A276" t="s">
        <v>544</v>
      </c>
      <c r="B276">
        <v>72</v>
      </c>
    </row>
    <row r="277" spans="1:24" x14ac:dyDescent="0.2">
      <c r="A277" t="s">
        <v>545</v>
      </c>
      <c r="B277" t="s">
        <v>546</v>
      </c>
    </row>
    <row r="278" spans="1:24" x14ac:dyDescent="0.2">
      <c r="A278" t="s">
        <v>547</v>
      </c>
      <c r="B278" t="s">
        <v>548</v>
      </c>
    </row>
    <row r="279" spans="1:24" x14ac:dyDescent="0.2">
      <c r="A279" t="s">
        <v>549</v>
      </c>
      <c r="B279" t="s">
        <v>550</v>
      </c>
    </row>
    <row r="280" spans="1:24" x14ac:dyDescent="0.2">
      <c r="A280" t="s">
        <v>551</v>
      </c>
      <c r="B280" t="s">
        <v>552</v>
      </c>
    </row>
    <row r="281" spans="1:24" x14ac:dyDescent="0.2">
      <c r="A281" t="s">
        <v>553</v>
      </c>
      <c r="B281" t="s">
        <v>554</v>
      </c>
    </row>
    <row r="282" spans="1:24" x14ac:dyDescent="0.2">
      <c r="A282" t="s">
        <v>555</v>
      </c>
      <c r="B282" t="s">
        <v>556</v>
      </c>
    </row>
    <row r="283" spans="1:24" x14ac:dyDescent="0.2">
      <c r="A283" t="s">
        <v>557</v>
      </c>
      <c r="B283" t="s">
        <v>558</v>
      </c>
    </row>
    <row r="284" spans="1:24" x14ac:dyDescent="0.2">
      <c r="A284" t="s">
        <v>559</v>
      </c>
      <c r="B284" t="s">
        <v>560</v>
      </c>
    </row>
    <row r="285" spans="1:24" x14ac:dyDescent="0.2">
      <c r="A285" t="s">
        <v>561</v>
      </c>
      <c r="B285" t="s">
        <v>562</v>
      </c>
    </row>
    <row r="286" spans="1:24" x14ac:dyDescent="0.2">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P5" activePane="bottomRight" state="frozen"/>
      <selection pane="topRight" activeCell="C1" sqref="C1"/>
      <selection pane="bottomLeft" activeCell="A5" sqref="A5"/>
      <selection pane="bottomRight" activeCell="AU37" sqref="AU37"/>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2">
      <c r="A1" s="73" t="s">
        <v>564</v>
      </c>
      <c r="B1" s="59"/>
      <c r="C1" s="59"/>
      <c r="D1" s="59"/>
      <c r="E1" s="59"/>
      <c r="F1" s="59"/>
      <c r="H1" s="58" t="str">
        <f>Summary!$C$1</f>
        <v>R10.0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9" customHeight="1" x14ac:dyDescent="0.2">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4" t="s">
        <v>229</v>
      </c>
      <c r="B5" s="54" t="s">
        <v>49</v>
      </c>
      <c r="C5" s="54">
        <v>238146391</v>
      </c>
      <c r="D5" s="10">
        <v>10</v>
      </c>
      <c r="E5" s="10">
        <v>32</v>
      </c>
      <c r="F5" s="10">
        <v>30</v>
      </c>
      <c r="H5" s="17">
        <f t="shared" ref="H5:H11" si="0">IF(ISBLANK(Q5),"·",Q5/(C5*(D5*3+IF(AND(ISNUMBER(T5),T5&gt;0),24,0))))</f>
        <v>1.73086701672222E-2</v>
      </c>
      <c r="I5" s="11">
        <f t="shared" ref="I5:I11" si="1">IF(OR(ISBLANK(Q5),ISBLANK(F5)),"·",Q5*F5/E5/1000000)</f>
        <v>208.67611500000001</v>
      </c>
      <c r="J5" s="12">
        <f t="shared" ref="J5:J11" si="2">IF(ISBLANK(Q5),"·",Q5/C5)</f>
        <v>0.93466818902999882</v>
      </c>
      <c r="K5" s="12">
        <f t="shared" ref="K5:K11" si="3">IF(N5="","·",N5/C5)</f>
        <v>0.14561477020241723</v>
      </c>
      <c r="L5" s="12">
        <f t="shared" ref="L5:L11" si="4">IF(R5="","·",R5/C5)</f>
        <v>0.13670905472592276</v>
      </c>
      <c r="M5" s="12">
        <f t="shared" ref="M5:M11" si="5">IF(ISBLANK(T5),"·",T5/C5)</f>
        <v>0.78905341882758151</v>
      </c>
      <c r="N5" s="54">
        <f t="shared" ref="N5:N11" si="6">IF(OR(ISBLANK(R5),ISBLANK(S5)),"",R5+S5)</f>
        <v>34677632</v>
      </c>
      <c r="O5" s="12">
        <v>16</v>
      </c>
      <c r="P5" s="13">
        <v>24964341</v>
      </c>
      <c r="Q5" s="14">
        <v>222587856</v>
      </c>
      <c r="R5" s="14">
        <v>32556768</v>
      </c>
      <c r="S5" s="14">
        <v>2120864</v>
      </c>
      <c r="T5" s="14">
        <v>187910224</v>
      </c>
      <c r="U5" s="15" t="s">
        <v>571</v>
      </c>
      <c r="V5" s="15" t="s">
        <v>571</v>
      </c>
      <c r="W5" s="15" t="s">
        <v>571</v>
      </c>
      <c r="X5" s="15" t="s">
        <v>571</v>
      </c>
      <c r="Y5" s="15" t="s">
        <v>571</v>
      </c>
      <c r="Z5" s="16">
        <v>7478.09</v>
      </c>
      <c r="AA5" s="16">
        <v>0</v>
      </c>
      <c r="AB5" s="16">
        <v>33.706000000000003</v>
      </c>
      <c r="AC5" s="16">
        <v>0</v>
      </c>
      <c r="AE5" s="17">
        <f t="shared" ref="AE5:AE11" si="7">IF(ISBLANK(Q5),"·",Q5/(C5*(D5*3+IF(AND(ISNUMBER(T5),T5&gt;0),24,0))))</f>
        <v>1.73086701672222E-2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
      <c r="A6" s="18"/>
      <c r="B6" s="18" t="s">
        <v>57</v>
      </c>
      <c r="C6" s="18">
        <v>218121242</v>
      </c>
      <c r="D6" s="19">
        <v>10</v>
      </c>
      <c r="E6" s="19">
        <v>32</v>
      </c>
      <c r="F6" s="19">
        <v>30</v>
      </c>
      <c r="H6" s="26">
        <f t="shared" si="0"/>
        <v>2.4677551681198579E-2</v>
      </c>
      <c r="I6" s="20">
        <f t="shared" si="1"/>
        <v>272.4990975</v>
      </c>
      <c r="J6" s="21">
        <f t="shared" si="2"/>
        <v>1.3325877907847232</v>
      </c>
      <c r="K6" s="21">
        <f t="shared" si="3"/>
        <v>0.17693403744693514</v>
      </c>
      <c r="L6" s="21">
        <f t="shared" si="4"/>
        <v>0.16169106537546674</v>
      </c>
      <c r="M6" s="21">
        <f t="shared" si="5"/>
        <v>1.1556537533377882</v>
      </c>
      <c r="N6" s="18">
        <f t="shared" si="6"/>
        <v>38593072</v>
      </c>
      <c r="O6" s="21">
        <v>16</v>
      </c>
      <c r="P6" s="22">
        <v>22654789</v>
      </c>
      <c r="Q6" s="23">
        <v>290665704</v>
      </c>
      <c r="R6" s="23">
        <v>35268256</v>
      </c>
      <c r="S6" s="23">
        <v>3324816</v>
      </c>
      <c r="T6" s="23">
        <v>252072632</v>
      </c>
      <c r="U6" s="24" t="s">
        <v>571</v>
      </c>
      <c r="V6" s="24" t="s">
        <v>571</v>
      </c>
      <c r="W6" s="24" t="s">
        <v>571</v>
      </c>
      <c r="X6" s="24" t="s">
        <v>571</v>
      </c>
      <c r="Y6" s="24" t="s">
        <v>571</v>
      </c>
      <c r="Z6" s="25">
        <v>7403.54</v>
      </c>
      <c r="AA6" s="25">
        <v>0</v>
      </c>
      <c r="AB6" s="25">
        <v>34.661999999999999</v>
      </c>
      <c r="AC6" s="25">
        <v>0</v>
      </c>
      <c r="AE6" s="26">
        <f t="shared" si="7"/>
        <v>2.4677551681198579E-2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
      <c r="A7" s="54"/>
      <c r="B7" s="54" t="s">
        <v>62</v>
      </c>
      <c r="C7" s="54">
        <v>322589704</v>
      </c>
      <c r="D7" s="10">
        <v>10</v>
      </c>
      <c r="E7" s="10">
        <v>32</v>
      </c>
      <c r="F7" s="10">
        <v>30</v>
      </c>
      <c r="H7" s="17">
        <f t="shared" si="0"/>
        <v>1.9522027389432855E-2</v>
      </c>
      <c r="I7" s="11">
        <f t="shared" si="1"/>
        <v>318.81625500000001</v>
      </c>
      <c r="J7" s="12">
        <f t="shared" si="2"/>
        <v>1.0541894790293742</v>
      </c>
      <c r="K7" s="12">
        <f t="shared" si="3"/>
        <v>0.17336595466791463</v>
      </c>
      <c r="L7" s="12">
        <f t="shared" si="4"/>
        <v>0.16059818201761331</v>
      </c>
      <c r="M7" s="12">
        <f t="shared" si="5"/>
        <v>0.8808235243614595</v>
      </c>
      <c r="N7" s="54">
        <f t="shared" si="6"/>
        <v>55926072</v>
      </c>
      <c r="O7" s="12">
        <v>16</v>
      </c>
      <c r="P7" s="13">
        <v>33947718</v>
      </c>
      <c r="Q7" s="14">
        <v>340070672</v>
      </c>
      <c r="R7" s="14">
        <v>51807320</v>
      </c>
      <c r="S7" s="14">
        <v>4118752</v>
      </c>
      <c r="T7" s="14">
        <v>284144600</v>
      </c>
      <c r="U7" s="15" t="s">
        <v>571</v>
      </c>
      <c r="V7" s="15" t="s">
        <v>571</v>
      </c>
      <c r="W7" s="15" t="s">
        <v>571</v>
      </c>
      <c r="X7" s="15" t="s">
        <v>571</v>
      </c>
      <c r="Y7" s="15" t="s">
        <v>571</v>
      </c>
      <c r="Z7" s="16">
        <v>10008.4</v>
      </c>
      <c r="AA7" s="16">
        <v>0</v>
      </c>
      <c r="AB7" s="16">
        <v>40.581000000000003</v>
      </c>
      <c r="AC7" s="16">
        <v>0</v>
      </c>
      <c r="AE7" s="17">
        <f t="shared" si="7"/>
        <v>1.9522027389432855E-2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
      <c r="A8" s="37"/>
      <c r="B8" s="37" t="s">
        <v>68</v>
      </c>
      <c r="C8" s="37">
        <v>250602891</v>
      </c>
      <c r="D8" s="38">
        <v>10</v>
      </c>
      <c r="E8" s="38">
        <v>32</v>
      </c>
      <c r="F8" s="38">
        <v>50</v>
      </c>
      <c r="H8" s="46">
        <f t="shared" si="0"/>
        <v>1.9446596029832654E-2</v>
      </c>
      <c r="I8" s="39">
        <f t="shared" si="1"/>
        <v>411.19086249999998</v>
      </c>
      <c r="J8" s="40">
        <f t="shared" si="2"/>
        <v>1.0501161856109633</v>
      </c>
      <c r="K8" s="40">
        <f t="shared" si="3"/>
        <v>0.16356890312171218</v>
      </c>
      <c r="L8" s="40">
        <f t="shared" si="4"/>
        <v>0.14347990901669208</v>
      </c>
      <c r="M8" s="40">
        <f t="shared" si="5"/>
        <v>0.88654728248925108</v>
      </c>
      <c r="N8" s="37">
        <f t="shared" si="6"/>
        <v>40990840</v>
      </c>
      <c r="O8" s="40">
        <v>16</v>
      </c>
      <c r="P8" s="41">
        <v>32209643</v>
      </c>
      <c r="Q8" s="42">
        <v>263162152</v>
      </c>
      <c r="R8" s="42">
        <v>35956480</v>
      </c>
      <c r="S8" s="42">
        <v>5034360</v>
      </c>
      <c r="T8" s="42">
        <v>222171312</v>
      </c>
      <c r="U8" s="43" t="s">
        <v>571</v>
      </c>
      <c r="V8" s="43" t="s">
        <v>571</v>
      </c>
      <c r="W8" s="43" t="s">
        <v>571</v>
      </c>
      <c r="X8" s="43" t="s">
        <v>571</v>
      </c>
      <c r="Y8" s="43" t="s">
        <v>571</v>
      </c>
      <c r="Z8" s="44">
        <v>8458.75</v>
      </c>
      <c r="AA8" s="44">
        <v>0</v>
      </c>
      <c r="AB8" s="44">
        <v>38.003999999999998</v>
      </c>
      <c r="AC8" s="44">
        <v>0</v>
      </c>
      <c r="AE8" s="46">
        <f t="shared" si="7"/>
        <v>1.9446596029832654E-2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
      <c r="A9" s="27" t="s">
        <v>235</v>
      </c>
      <c r="B9" s="27" t="s">
        <v>71</v>
      </c>
      <c r="C9" s="27">
        <v>250294582</v>
      </c>
      <c r="D9" s="28">
        <v>10</v>
      </c>
      <c r="E9" s="28">
        <v>32</v>
      </c>
      <c r="F9" s="28">
        <v>30</v>
      </c>
      <c r="H9" s="36">
        <f t="shared" si="0"/>
        <v>2.8068877655529914E-2</v>
      </c>
      <c r="I9" s="29">
        <f t="shared" si="1"/>
        <v>355.66532999999998</v>
      </c>
      <c r="J9" s="30">
        <f t="shared" si="2"/>
        <v>1.5157193933986155</v>
      </c>
      <c r="K9" s="30">
        <f t="shared" si="3"/>
        <v>0.15212938168993206</v>
      </c>
      <c r="L9" s="30">
        <f t="shared" si="4"/>
        <v>0.14250548979122529</v>
      </c>
      <c r="M9" s="30">
        <f t="shared" si="5"/>
        <v>1.3635900117086834</v>
      </c>
      <c r="N9" s="27">
        <f t="shared" si="6"/>
        <v>38077160</v>
      </c>
      <c r="O9" s="30">
        <v>16</v>
      </c>
      <c r="P9" s="31">
        <v>25312408</v>
      </c>
      <c r="Q9" s="32">
        <v>379376352</v>
      </c>
      <c r="R9" s="32">
        <v>35668352</v>
      </c>
      <c r="S9" s="32">
        <v>2408808</v>
      </c>
      <c r="T9" s="32">
        <v>341299192</v>
      </c>
      <c r="U9" s="33" t="s">
        <v>571</v>
      </c>
      <c r="V9" s="33" t="s">
        <v>571</v>
      </c>
      <c r="W9" s="33" t="s">
        <v>571</v>
      </c>
      <c r="X9" s="33" t="s">
        <v>571</v>
      </c>
      <c r="Y9" s="33" t="s">
        <v>571</v>
      </c>
      <c r="Z9" s="34">
        <v>7174.35</v>
      </c>
      <c r="AA9" s="34">
        <v>0</v>
      </c>
      <c r="AB9" s="34">
        <v>37.54</v>
      </c>
      <c r="AC9" s="34">
        <v>0</v>
      </c>
      <c r="AE9" s="36">
        <f t="shared" si="7"/>
        <v>2.8068877655529914E-2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
      <c r="A10" s="18" t="s">
        <v>236</v>
      </c>
      <c r="B10" s="18" t="s">
        <v>75</v>
      </c>
      <c r="C10" s="18">
        <v>375422539</v>
      </c>
      <c r="D10" s="19">
        <v>11</v>
      </c>
      <c r="E10" s="19">
        <v>32</v>
      </c>
      <c r="F10" s="19">
        <v>30</v>
      </c>
      <c r="H10" s="26">
        <f t="shared" si="0"/>
        <v>4.2552341830830558E-2</v>
      </c>
      <c r="I10" s="20">
        <f t="shared" si="1"/>
        <v>853.66984500000001</v>
      </c>
      <c r="J10" s="21">
        <f t="shared" si="2"/>
        <v>2.4254834843573416</v>
      </c>
      <c r="K10" s="21">
        <f t="shared" si="3"/>
        <v>0.27628090811031458</v>
      </c>
      <c r="L10" s="21">
        <f t="shared" si="4"/>
        <v>0.26399395269126341</v>
      </c>
      <c r="M10" s="21">
        <f t="shared" si="5"/>
        <v>2.1492025762470273</v>
      </c>
      <c r="N10" s="18">
        <f t="shared" si="6"/>
        <v>103722080</v>
      </c>
      <c r="O10" s="21">
        <v>16</v>
      </c>
      <c r="P10" s="22">
        <v>92854683</v>
      </c>
      <c r="Q10" s="23">
        <v>910581168</v>
      </c>
      <c r="R10" s="23">
        <v>99109280</v>
      </c>
      <c r="S10" s="23">
        <v>4612800</v>
      </c>
      <c r="T10" s="23">
        <v>806859088</v>
      </c>
      <c r="U10" s="24" t="s">
        <v>571</v>
      </c>
      <c r="V10" s="24" t="s">
        <v>571</v>
      </c>
      <c r="W10" s="24" t="s">
        <v>571</v>
      </c>
      <c r="X10" s="24" t="s">
        <v>571</v>
      </c>
      <c r="Y10" s="24" t="s">
        <v>571</v>
      </c>
      <c r="Z10" s="25">
        <v>21469.8</v>
      </c>
      <c r="AA10" s="25">
        <v>0</v>
      </c>
      <c r="AB10" s="25">
        <v>108.318</v>
      </c>
      <c r="AC10" s="25">
        <v>0</v>
      </c>
      <c r="AE10" s="26">
        <f t="shared" si="7"/>
        <v>4.2552341830830558E-2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
      <c r="A11" s="27"/>
      <c r="B11" s="27" t="s">
        <v>80</v>
      </c>
      <c r="C11" s="27">
        <v>333190689</v>
      </c>
      <c r="D11" s="28">
        <v>11</v>
      </c>
      <c r="E11" s="28">
        <v>32</v>
      </c>
      <c r="F11" s="28">
        <v>30</v>
      </c>
      <c r="H11" s="36">
        <f t="shared" si="0"/>
        <v>4.373233387725415E-2</v>
      </c>
      <c r="I11" s="29">
        <f t="shared" si="1"/>
        <v>778.64884500000005</v>
      </c>
      <c r="J11" s="30">
        <f t="shared" si="2"/>
        <v>2.4927430310034864</v>
      </c>
      <c r="K11" s="30">
        <f t="shared" si="3"/>
        <v>0.29579477234431362</v>
      </c>
      <c r="L11" s="30">
        <f t="shared" si="4"/>
        <v>0.28154784361336099</v>
      </c>
      <c r="M11" s="30">
        <f t="shared" si="5"/>
        <v>2.1969482586591726</v>
      </c>
      <c r="N11" s="27">
        <f t="shared" si="6"/>
        <v>98556064</v>
      </c>
      <c r="O11" s="30">
        <v>16</v>
      </c>
      <c r="P11" s="31">
        <v>83104648</v>
      </c>
      <c r="Q11" s="32">
        <v>830558768</v>
      </c>
      <c r="R11" s="32">
        <v>93809120</v>
      </c>
      <c r="S11" s="32">
        <v>4746944</v>
      </c>
      <c r="T11" s="32">
        <v>732002704</v>
      </c>
      <c r="U11" s="33" t="s">
        <v>571</v>
      </c>
      <c r="V11" s="33" t="s">
        <v>571</v>
      </c>
      <c r="W11" s="33" t="s">
        <v>571</v>
      </c>
      <c r="X11" s="33" t="s">
        <v>571</v>
      </c>
      <c r="Y11" s="33" t="s">
        <v>571</v>
      </c>
      <c r="Z11" s="34">
        <v>19930.2</v>
      </c>
      <c r="AA11" s="34">
        <v>0</v>
      </c>
      <c r="AB11" s="34">
        <v>108.73399999999999</v>
      </c>
      <c r="AC11" s="34">
        <v>0</v>
      </c>
      <c r="AE11" s="36">
        <f t="shared" si="7"/>
        <v>4.373233387725415E-2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x14ac:dyDescent="0.2">
      <c r="B12" s="47" t="s">
        <v>14</v>
      </c>
      <c r="J12" s="48">
        <f>AVERAGE(J5:J8)</f>
        <v>1.0928904111137649</v>
      </c>
      <c r="K12" s="48">
        <f>AVERAGE(K5:K8)</f>
        <v>0.16487091635974477</v>
      </c>
      <c r="L12" s="48">
        <f>AVERAGE(L5:L8)</f>
        <v>0.15061955278392372</v>
      </c>
      <c r="M12" s="48">
        <f>AVERAGE(M5:M8)</f>
        <v>0.92801949475402012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ht="16" x14ac:dyDescent="0.2">
      <c r="B13" s="47" t="s">
        <v>15</v>
      </c>
      <c r="J13" s="48">
        <f>AVERAGE(J9:J9)</f>
        <v>1.5157193933986155</v>
      </c>
      <c r="K13" s="48">
        <f>AVERAGE(K9:K9)</f>
        <v>0.15212938168993206</v>
      </c>
      <c r="L13" s="48">
        <f>AVERAGE(L9:L9)</f>
        <v>0.14250548979122529</v>
      </c>
      <c r="M13" s="48">
        <f>AVERAGE(M9:M9)</f>
        <v>1.3635900117086834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ht="16" x14ac:dyDescent="0.2">
      <c r="B14" s="47" t="s">
        <v>16</v>
      </c>
      <c r="J14" s="48">
        <f>AVERAGE(J10:J11)</f>
        <v>2.4591132576804142</v>
      </c>
      <c r="K14" s="48">
        <f>AVERAGE(K10:K11)</f>
        <v>0.2860378402273141</v>
      </c>
      <c r="L14" s="48">
        <f>AVERAGE(L10:L11)</f>
        <v>0.2727708981523122</v>
      </c>
      <c r="M14" s="48">
        <f>AVERAGE(M10:M11)</f>
        <v>2.1730754174531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ht="16" x14ac:dyDescent="0.2">
      <c r="B15" s="47" t="s">
        <v>17</v>
      </c>
      <c r="J15" s="48">
        <f>AVERAGE(J5:J11)</f>
        <v>1.5436439361735006</v>
      </c>
      <c r="K15" s="48">
        <f>AVERAGE(K5:K11)</f>
        <v>0.19766981822621993</v>
      </c>
      <c r="L15" s="48">
        <f>AVERAGE(L5:L11)</f>
        <v>0.18436078531879208</v>
      </c>
      <c r="M15" s="48">
        <f>AVERAGE(M5:M11)</f>
        <v>1.3459741179472806</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t="16" hidden="1" outlineLevel="2" x14ac:dyDescent="0.2">
      <c r="A16" s="47" t="s">
        <v>237</v>
      </c>
      <c r="B16" s="47" t="s">
        <v>238</v>
      </c>
      <c r="Z16" s="49">
        <f>SUM(Z5:Z8,Z9:Z9,Z10:Z11)</f>
        <v>81923.12999999999</v>
      </c>
      <c r="AA16" s="49">
        <f>SUM(AA5:AA8,AA9:AA9,AA10:AA11)</f>
        <v>0</v>
      </c>
      <c r="AB16" s="49">
        <f>SUM(AB5:AB8,AB9:AB9,AB10:AB11)</f>
        <v>401.54499999999996</v>
      </c>
      <c r="AC16" s="49">
        <f>SUM(AC5:AC8,AC9:AC9,AC10:AC11)</f>
        <v>0</v>
      </c>
      <c r="AW16" s="49">
        <f>SUM(AW5:AW8,AW9:AW9,AW10:AW11)</f>
        <v>0</v>
      </c>
      <c r="AX16" s="49">
        <f>SUM(AX5:AX8,AX9:AX9,AX10:AX11)</f>
        <v>0</v>
      </c>
      <c r="AY16" s="49">
        <f>SUM(AY5:AY8,AY9:AY9,AY10:AY11)</f>
        <v>0</v>
      </c>
      <c r="AZ16" s="49">
        <f>SUM(AZ5:AZ8,AZ9:AZ9,AZ10:AZ11)</f>
        <v>0</v>
      </c>
    </row>
    <row r="17" spans="2:52" ht="16" hidden="1" outlineLevel="2" x14ac:dyDescent="0.2">
      <c r="B17" s="47" t="s">
        <v>239</v>
      </c>
      <c r="AW17" s="55">
        <f>AW16/Z16</f>
        <v>0</v>
      </c>
      <c r="AX17" s="55" t="e">
        <f>AX16/AA16</f>
        <v>#DIV/0!</v>
      </c>
      <c r="AY17" s="55">
        <f>AY16/AB16</f>
        <v>0</v>
      </c>
      <c r="AZ17" s="55" t="e">
        <f>AZ16/AC16</f>
        <v>#DIV/0!</v>
      </c>
    </row>
    <row r="18" spans="2:52" ht="16" hidden="1" outlineLevel="2" x14ac:dyDescent="0.2">
      <c r="B18" s="47" t="s">
        <v>240</v>
      </c>
      <c r="Z18" s="49">
        <f>GEOMEAN(Z5:Z8,Z9:Z9,Z10:Z11)</f>
        <v>10533.54946826342</v>
      </c>
      <c r="AA18" s="49" t="e">
        <f>GEOMEAN(AA5:AA8,AA9:AA9,AA10:AA11)</f>
        <v>#NUM!</v>
      </c>
      <c r="AB18" s="49">
        <f>GEOMEAN(AB5:AB8,AB9:AB9,AB10:AB11)</f>
        <v>50.139717090421236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ht="16" outlineLevel="2" collapsed="1" x14ac:dyDescent="0.2">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M5" sqref="AM5:AZ1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2">
      <c r="A1" s="73" t="s">
        <v>572</v>
      </c>
      <c r="B1" s="59"/>
      <c r="C1" s="59"/>
      <c r="D1" s="59"/>
      <c r="E1" s="59"/>
      <c r="F1" s="59"/>
      <c r="H1" s="58" t="str">
        <f>Summary!$C$1</f>
        <v>R10.0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9" customHeight="1" x14ac:dyDescent="0.2">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4" t="s">
        <v>229</v>
      </c>
      <c r="B5" s="54" t="s">
        <v>49</v>
      </c>
      <c r="C5" s="54">
        <v>238146391</v>
      </c>
      <c r="D5" s="10">
        <v>10</v>
      </c>
      <c r="E5" s="10">
        <v>32</v>
      </c>
      <c r="F5" s="10">
        <v>30</v>
      </c>
      <c r="H5" s="17">
        <f t="shared" ref="H5:H11" si="0">IF(ISBLANK(Q5),"·",Q5/(C5*(D5*3+IF(AND(ISNUMBER(T5),T5&gt;0),24,0))))</f>
        <v>1.7166145942995641E-2</v>
      </c>
      <c r="I5" s="11">
        <f t="shared" ref="I5:I11" si="1">IF(OR(ISBLANK(Q5),ISBLANK(F5)),"·",Q5*F5/E5/1000000)</f>
        <v>206.95782</v>
      </c>
      <c r="J5" s="12">
        <f t="shared" ref="J5:J11" si="2">IF(ISBLANK(Q5),"·",Q5/C5)</f>
        <v>0.92697188092176463</v>
      </c>
      <c r="K5" s="12">
        <f t="shared" ref="K5:K11" si="3">IF(N5="","·",N5/C5)</f>
        <v>0.14288229965240162</v>
      </c>
      <c r="L5" s="12">
        <f t="shared" ref="L5:L11" si="4">IF(R5="","·",R5/C5)</f>
        <v>0.13400974025258269</v>
      </c>
      <c r="M5" s="12">
        <f t="shared" ref="M5:M11" si="5">IF(ISBLANK(T5),"·",T5/C5)</f>
        <v>0.78408958126936301</v>
      </c>
      <c r="N5" s="54">
        <f t="shared" ref="N5:N11" si="6">IF(OR(ISBLANK(R5),ISBLANK(S5)),"",R5+S5)</f>
        <v>34026904</v>
      </c>
      <c r="O5" s="12">
        <v>16</v>
      </c>
      <c r="P5" s="13">
        <v>24964341</v>
      </c>
      <c r="Q5" s="14">
        <v>220755008</v>
      </c>
      <c r="R5" s="14">
        <v>31913936</v>
      </c>
      <c r="S5" s="14">
        <v>2112968</v>
      </c>
      <c r="T5" s="14">
        <v>186728104</v>
      </c>
      <c r="U5" s="15" t="s">
        <v>571</v>
      </c>
      <c r="V5" s="15" t="s">
        <v>571</v>
      </c>
      <c r="W5" s="15" t="s">
        <v>571</v>
      </c>
      <c r="X5" s="15" t="s">
        <v>571</v>
      </c>
      <c r="Y5" s="15" t="s">
        <v>571</v>
      </c>
      <c r="Z5" s="16">
        <v>9478.43</v>
      </c>
      <c r="AA5" s="16">
        <v>0</v>
      </c>
      <c r="AB5" s="16">
        <v>32.844999999999999</v>
      </c>
      <c r="AC5" s="16">
        <v>0</v>
      </c>
      <c r="AE5" s="17">
        <f t="shared" ref="AE5:AE11" si="7">IF(ISBLANK(Q5),"·",Q5/(C5*(D5*3+IF(AND(ISNUMBER(T5),T5&gt;0),24,0))))</f>
        <v>1.7166145942995641E-2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
      <c r="A6" s="18"/>
      <c r="B6" s="18" t="s">
        <v>57</v>
      </c>
      <c r="C6" s="18">
        <v>218121242</v>
      </c>
      <c r="D6" s="19">
        <v>10</v>
      </c>
      <c r="E6" s="19">
        <v>32</v>
      </c>
      <c r="F6" s="19">
        <v>30</v>
      </c>
      <c r="H6" s="26">
        <f t="shared" si="0"/>
        <v>2.4555506067957752E-2</v>
      </c>
      <c r="I6" s="20">
        <f t="shared" si="1"/>
        <v>271.15142250000002</v>
      </c>
      <c r="J6" s="21">
        <f t="shared" si="2"/>
        <v>1.3259973276697186</v>
      </c>
      <c r="K6" s="21">
        <f t="shared" si="3"/>
        <v>0.17650231424961352</v>
      </c>
      <c r="L6" s="21">
        <f t="shared" si="4"/>
        <v>0.16081034418463472</v>
      </c>
      <c r="M6" s="21">
        <f t="shared" si="5"/>
        <v>1.1494950134201052</v>
      </c>
      <c r="N6" s="18">
        <f t="shared" si="6"/>
        <v>38498904</v>
      </c>
      <c r="O6" s="21">
        <v>16</v>
      </c>
      <c r="P6" s="22">
        <v>22654789</v>
      </c>
      <c r="Q6" s="23">
        <v>289228184</v>
      </c>
      <c r="R6" s="23">
        <v>35076152</v>
      </c>
      <c r="S6" s="23">
        <v>3422752</v>
      </c>
      <c r="T6" s="23">
        <v>250729280</v>
      </c>
      <c r="U6" s="24" t="s">
        <v>571</v>
      </c>
      <c r="V6" s="24" t="s">
        <v>571</v>
      </c>
      <c r="W6" s="24" t="s">
        <v>571</v>
      </c>
      <c r="X6" s="24" t="s">
        <v>571</v>
      </c>
      <c r="Y6" s="24" t="s">
        <v>571</v>
      </c>
      <c r="Z6" s="25">
        <v>11321.6</v>
      </c>
      <c r="AA6" s="25">
        <v>0</v>
      </c>
      <c r="AB6" s="25">
        <v>32.271999999999998</v>
      </c>
      <c r="AC6" s="25">
        <v>0</v>
      </c>
      <c r="AE6" s="26">
        <f t="shared" si="7"/>
        <v>2.4555506067957752E-2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
      <c r="A7" s="54"/>
      <c r="B7" s="54" t="s">
        <v>62</v>
      </c>
      <c r="C7" s="54">
        <v>322589704</v>
      </c>
      <c r="D7" s="10">
        <v>10</v>
      </c>
      <c r="E7" s="10">
        <v>32</v>
      </c>
      <c r="F7" s="10">
        <v>30</v>
      </c>
      <c r="H7" s="17">
        <f t="shared" si="0"/>
        <v>1.8930890523308118E-2</v>
      </c>
      <c r="I7" s="11">
        <f t="shared" si="1"/>
        <v>309.16233749999998</v>
      </c>
      <c r="J7" s="12">
        <f t="shared" si="2"/>
        <v>1.0222680882586384</v>
      </c>
      <c r="K7" s="12">
        <f t="shared" si="3"/>
        <v>0.156932844949075</v>
      </c>
      <c r="L7" s="12">
        <f t="shared" si="4"/>
        <v>0.14511364566055709</v>
      </c>
      <c r="M7" s="12">
        <f t="shared" si="5"/>
        <v>0.86533524330956324</v>
      </c>
      <c r="N7" s="54">
        <f t="shared" si="6"/>
        <v>50624920</v>
      </c>
      <c r="O7" s="12">
        <v>16</v>
      </c>
      <c r="P7" s="13">
        <v>33947718</v>
      </c>
      <c r="Q7" s="14">
        <v>329773160</v>
      </c>
      <c r="R7" s="14">
        <v>46812168</v>
      </c>
      <c r="S7" s="14">
        <v>3812752</v>
      </c>
      <c r="T7" s="14">
        <v>279148240</v>
      </c>
      <c r="U7" s="15" t="s">
        <v>571</v>
      </c>
      <c r="V7" s="15" t="s">
        <v>571</v>
      </c>
      <c r="W7" s="15" t="s">
        <v>571</v>
      </c>
      <c r="X7" s="15" t="s">
        <v>571</v>
      </c>
      <c r="Y7" s="15" t="s">
        <v>571</v>
      </c>
      <c r="Z7" s="16">
        <v>12277.5</v>
      </c>
      <c r="AA7" s="16">
        <v>0</v>
      </c>
      <c r="AB7" s="16">
        <v>38.872999999999998</v>
      </c>
      <c r="AC7" s="16">
        <v>0</v>
      </c>
      <c r="AE7" s="17">
        <f t="shared" si="7"/>
        <v>1.8930890523308118E-2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
      <c r="A8" s="37"/>
      <c r="B8" s="37" t="s">
        <v>68</v>
      </c>
      <c r="C8" s="37">
        <v>250602891</v>
      </c>
      <c r="D8" s="38">
        <v>10</v>
      </c>
      <c r="E8" s="38">
        <v>32</v>
      </c>
      <c r="F8" s="38">
        <v>50</v>
      </c>
      <c r="H8" s="46">
        <f t="shared" si="0"/>
        <v>1.7451269221465282E-2</v>
      </c>
      <c r="I8" s="39">
        <f t="shared" si="1"/>
        <v>369.00043749999998</v>
      </c>
      <c r="J8" s="40">
        <f t="shared" si="2"/>
        <v>0.94236853795912512</v>
      </c>
      <c r="K8" s="40">
        <f t="shared" si="3"/>
        <v>0.11764796440436914</v>
      </c>
      <c r="L8" s="40">
        <f t="shared" si="4"/>
        <v>0.10443241055826447</v>
      </c>
      <c r="M8" s="40">
        <f t="shared" si="5"/>
        <v>0.82472057355475603</v>
      </c>
      <c r="N8" s="37">
        <f t="shared" si="6"/>
        <v>29482920</v>
      </c>
      <c r="O8" s="40">
        <v>16</v>
      </c>
      <c r="P8" s="41">
        <v>32209643</v>
      </c>
      <c r="Q8" s="42">
        <v>236160280</v>
      </c>
      <c r="R8" s="42">
        <v>26171064</v>
      </c>
      <c r="S8" s="42">
        <v>3311856</v>
      </c>
      <c r="T8" s="42">
        <v>206677360</v>
      </c>
      <c r="U8" s="43" t="s">
        <v>571</v>
      </c>
      <c r="V8" s="43" t="s">
        <v>571</v>
      </c>
      <c r="W8" s="43" t="s">
        <v>571</v>
      </c>
      <c r="X8" s="43" t="s">
        <v>571</v>
      </c>
      <c r="Y8" s="43" t="s">
        <v>571</v>
      </c>
      <c r="Z8" s="44">
        <v>10219.9</v>
      </c>
      <c r="AA8" s="44">
        <v>0</v>
      </c>
      <c r="AB8" s="44">
        <v>38.936999999999998</v>
      </c>
      <c r="AC8" s="44">
        <v>0</v>
      </c>
      <c r="AE8" s="46">
        <f t="shared" si="7"/>
        <v>1.7451269221465282E-2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
      <c r="A9" s="27" t="s">
        <v>235</v>
      </c>
      <c r="B9" s="27" t="s">
        <v>71</v>
      </c>
      <c r="C9" s="27">
        <v>250294582</v>
      </c>
      <c r="D9" s="28">
        <v>10</v>
      </c>
      <c r="E9" s="28">
        <v>32</v>
      </c>
      <c r="F9" s="28">
        <v>30</v>
      </c>
      <c r="H9" s="36">
        <f t="shared" si="0"/>
        <v>2.7896888907280256E-2</v>
      </c>
      <c r="I9" s="29">
        <f t="shared" si="1"/>
        <v>353.48603250000002</v>
      </c>
      <c r="J9" s="30">
        <f t="shared" si="2"/>
        <v>1.5064320009931338</v>
      </c>
      <c r="K9" s="30">
        <f t="shared" si="3"/>
        <v>0.15198814011883005</v>
      </c>
      <c r="L9" s="30">
        <f t="shared" si="4"/>
        <v>0.14215230595762557</v>
      </c>
      <c r="M9" s="30">
        <f t="shared" si="5"/>
        <v>1.3544438608743037</v>
      </c>
      <c r="N9" s="27">
        <f t="shared" si="6"/>
        <v>38041808</v>
      </c>
      <c r="O9" s="30">
        <v>16</v>
      </c>
      <c r="P9" s="31">
        <v>25312408</v>
      </c>
      <c r="Q9" s="32">
        <v>377051768</v>
      </c>
      <c r="R9" s="32">
        <v>35579952</v>
      </c>
      <c r="S9" s="32">
        <v>2461856</v>
      </c>
      <c r="T9" s="32">
        <v>339009960</v>
      </c>
      <c r="U9" s="33" t="s">
        <v>571</v>
      </c>
      <c r="V9" s="33" t="s">
        <v>571</v>
      </c>
      <c r="W9" s="33" t="s">
        <v>571</v>
      </c>
      <c r="X9" s="33" t="s">
        <v>571</v>
      </c>
      <c r="Y9" s="33" t="s">
        <v>571</v>
      </c>
      <c r="Z9" s="34">
        <v>11602.3</v>
      </c>
      <c r="AA9" s="34">
        <v>0</v>
      </c>
      <c r="AB9" s="34">
        <v>38.192</v>
      </c>
      <c r="AC9" s="34">
        <v>0</v>
      </c>
      <c r="AE9" s="36">
        <f t="shared" si="7"/>
        <v>2.7896888907280256E-2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
      <c r="A10" s="18" t="s">
        <v>236</v>
      </c>
      <c r="B10" s="18" t="s">
        <v>75</v>
      </c>
      <c r="C10" s="18">
        <v>375422539</v>
      </c>
      <c r="D10" s="19">
        <v>11</v>
      </c>
      <c r="E10" s="19">
        <v>32</v>
      </c>
      <c r="F10" s="19">
        <v>30</v>
      </c>
      <c r="H10" s="26">
        <f t="shared" si="0"/>
        <v>4.252670970650841E-2</v>
      </c>
      <c r="I10" s="20">
        <f t="shared" si="1"/>
        <v>853.15562250000005</v>
      </c>
      <c r="J10" s="21">
        <f t="shared" si="2"/>
        <v>2.4240224532709798</v>
      </c>
      <c r="K10" s="21">
        <f t="shared" si="3"/>
        <v>0.27542335704037207</v>
      </c>
      <c r="L10" s="21">
        <f t="shared" si="4"/>
        <v>0.26290847710664489</v>
      </c>
      <c r="M10" s="21">
        <f t="shared" si="5"/>
        <v>2.1485990962306074</v>
      </c>
      <c r="N10" s="18">
        <f t="shared" si="6"/>
        <v>103400136</v>
      </c>
      <c r="O10" s="21">
        <v>16</v>
      </c>
      <c r="P10" s="22">
        <v>92854683</v>
      </c>
      <c r="Q10" s="23">
        <v>910032664</v>
      </c>
      <c r="R10" s="23">
        <v>98701768</v>
      </c>
      <c r="S10" s="23">
        <v>4698368</v>
      </c>
      <c r="T10" s="23">
        <v>806632528</v>
      </c>
      <c r="U10" s="24" t="s">
        <v>571</v>
      </c>
      <c r="V10" s="24" t="s">
        <v>571</v>
      </c>
      <c r="W10" s="24" t="s">
        <v>571</v>
      </c>
      <c r="X10" s="24" t="s">
        <v>571</v>
      </c>
      <c r="Y10" s="24" t="s">
        <v>571</v>
      </c>
      <c r="Z10" s="25">
        <v>35288.6</v>
      </c>
      <c r="AA10" s="25">
        <v>0</v>
      </c>
      <c r="AB10" s="25">
        <v>110.01600000000001</v>
      </c>
      <c r="AC10" s="25">
        <v>0</v>
      </c>
      <c r="AE10" s="26">
        <f t="shared" si="7"/>
        <v>4.252670970650841E-2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
      <c r="A11" s="27"/>
      <c r="B11" s="27" t="s">
        <v>80</v>
      </c>
      <c r="C11" s="27">
        <v>333190689</v>
      </c>
      <c r="D11" s="28">
        <v>11</v>
      </c>
      <c r="E11" s="28">
        <v>32</v>
      </c>
      <c r="F11" s="28">
        <v>30</v>
      </c>
      <c r="H11" s="36">
        <f t="shared" si="0"/>
        <v>4.3721351072086224E-2</v>
      </c>
      <c r="I11" s="29">
        <f t="shared" si="1"/>
        <v>778.45329749999996</v>
      </c>
      <c r="J11" s="30">
        <f t="shared" si="2"/>
        <v>2.492117011108915</v>
      </c>
      <c r="K11" s="30">
        <f t="shared" si="3"/>
        <v>0.29562830910920201</v>
      </c>
      <c r="L11" s="30">
        <f t="shared" si="4"/>
        <v>0.28101527170826796</v>
      </c>
      <c r="M11" s="30">
        <f t="shared" si="5"/>
        <v>2.196488701999713</v>
      </c>
      <c r="N11" s="27">
        <f t="shared" si="6"/>
        <v>98500600</v>
      </c>
      <c r="O11" s="30">
        <v>16</v>
      </c>
      <c r="P11" s="31">
        <v>83104648</v>
      </c>
      <c r="Q11" s="32">
        <v>830350184</v>
      </c>
      <c r="R11" s="32">
        <v>93631672</v>
      </c>
      <c r="S11" s="32">
        <v>4868928</v>
      </c>
      <c r="T11" s="32">
        <v>731849584</v>
      </c>
      <c r="U11" s="33" t="s">
        <v>571</v>
      </c>
      <c r="V11" s="33" t="s">
        <v>571</v>
      </c>
      <c r="W11" s="33" t="s">
        <v>571</v>
      </c>
      <c r="X11" s="33" t="s">
        <v>571</v>
      </c>
      <c r="Y11" s="33" t="s">
        <v>571</v>
      </c>
      <c r="Z11" s="34">
        <v>37760.300000000003</v>
      </c>
      <c r="AA11" s="34">
        <v>0</v>
      </c>
      <c r="AB11" s="34">
        <v>109.95</v>
      </c>
      <c r="AC11" s="34">
        <v>0</v>
      </c>
      <c r="AE11" s="36">
        <f t="shared" si="7"/>
        <v>4.3721351072086224E-2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x14ac:dyDescent="0.2">
      <c r="B12" s="47" t="s">
        <v>14</v>
      </c>
      <c r="J12" s="48">
        <f>AVERAGE(J5:J8)</f>
        <v>1.0544014587023116</v>
      </c>
      <c r="K12" s="48">
        <f>AVERAGE(K5:K8)</f>
        <v>0.1484913558138648</v>
      </c>
      <c r="L12" s="48">
        <f>AVERAGE(L5:L8)</f>
        <v>0.13609153516400974</v>
      </c>
      <c r="M12" s="48">
        <f>AVERAGE(M5:M8)</f>
        <v>0.90591010288844687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ht="16" x14ac:dyDescent="0.2">
      <c r="B13" s="47" t="s">
        <v>15</v>
      </c>
      <c r="J13" s="48">
        <f>AVERAGE(J9:J9)</f>
        <v>1.5064320009931338</v>
      </c>
      <c r="K13" s="48">
        <f>AVERAGE(K9:K9)</f>
        <v>0.15198814011883005</v>
      </c>
      <c r="L13" s="48">
        <f>AVERAGE(L9:L9)</f>
        <v>0.14215230595762557</v>
      </c>
      <c r="M13" s="48">
        <f>AVERAGE(M9:M9)</f>
        <v>1.3544438608743037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ht="16" x14ac:dyDescent="0.2">
      <c r="B14" s="47" t="s">
        <v>16</v>
      </c>
      <c r="J14" s="48">
        <f>AVERAGE(J10:J11)</f>
        <v>2.4580697321899474</v>
      </c>
      <c r="K14" s="48">
        <f>AVERAGE(K10:K11)</f>
        <v>0.28552583307478707</v>
      </c>
      <c r="L14" s="48">
        <f>AVERAGE(L10:L11)</f>
        <v>0.27196187440745645</v>
      </c>
      <c r="M14" s="48">
        <f>AVERAGE(M10:M11)</f>
        <v>2.1725438991151602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ht="16" x14ac:dyDescent="0.2">
      <c r="B15" s="47" t="s">
        <v>17</v>
      </c>
      <c r="J15" s="48">
        <f>AVERAGE(J5:J11)</f>
        <v>1.5200253285974679</v>
      </c>
      <c r="K15" s="48">
        <f>AVERAGE(K5:K11)</f>
        <v>0.18814360421769477</v>
      </c>
      <c r="L15" s="48">
        <f>AVERAGE(L5:L11)</f>
        <v>0.17577745648979676</v>
      </c>
      <c r="M15" s="48">
        <f>AVERAGE(M5:M11)</f>
        <v>1.3318817243797731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t="16" hidden="1" outlineLevel="2" x14ac:dyDescent="0.2">
      <c r="A16" s="47" t="s">
        <v>237</v>
      </c>
      <c r="B16" s="47" t="s">
        <v>238</v>
      </c>
      <c r="Z16" s="49">
        <f>SUM(Z5:Z8,Z9:Z9,Z10:Z11)</f>
        <v>127948.62999999999</v>
      </c>
      <c r="AA16" s="49">
        <f>SUM(AA5:AA8,AA9:AA9,AA10:AA11)</f>
        <v>0</v>
      </c>
      <c r="AB16" s="49">
        <f>SUM(AB5:AB8,AB9:AB9,AB10:AB11)</f>
        <v>401.08499999999998</v>
      </c>
      <c r="AC16" s="49">
        <f>SUM(AC5:AC8,AC9:AC9,AC10:AC11)</f>
        <v>0</v>
      </c>
      <c r="AW16" s="49">
        <f>SUM(AW5:AW8,AW9:AW9,AW10:AW11)</f>
        <v>0</v>
      </c>
      <c r="AX16" s="49">
        <f>SUM(AX5:AX8,AX9:AX9,AX10:AX11)</f>
        <v>0</v>
      </c>
      <c r="AY16" s="49">
        <f>SUM(AY5:AY8,AY9:AY9,AY10:AY11)</f>
        <v>0</v>
      </c>
      <c r="AZ16" s="49">
        <f>SUM(AZ5:AZ8,AZ9:AZ9,AZ10:AZ11)</f>
        <v>0</v>
      </c>
    </row>
    <row r="17" spans="2:52" ht="16" hidden="1" outlineLevel="2" x14ac:dyDescent="0.2">
      <c r="B17" s="47" t="s">
        <v>239</v>
      </c>
      <c r="AW17" s="55">
        <f>AW16/Z16</f>
        <v>0</v>
      </c>
      <c r="AX17" s="55" t="e">
        <f>AX16/AA16</f>
        <v>#DIV/0!</v>
      </c>
      <c r="AY17" s="55">
        <f>AY16/AB16</f>
        <v>0</v>
      </c>
      <c r="AZ17" s="55" t="e">
        <f>AZ16/AC16</f>
        <v>#DIV/0!</v>
      </c>
    </row>
    <row r="18" spans="2:52" ht="16" hidden="1" outlineLevel="2" x14ac:dyDescent="0.2">
      <c r="B18" s="47" t="s">
        <v>240</v>
      </c>
      <c r="Z18" s="49">
        <f>GEOMEAN(Z5:Z8,Z9:Z9,Z10:Z11)</f>
        <v>15429.25531473352</v>
      </c>
      <c r="AA18" s="49" t="e">
        <f>GEOMEAN(AA5:AA8,AA9:AA9,AA10:AA11)</f>
        <v>#NUM!</v>
      </c>
      <c r="AB18" s="49">
        <f>GEOMEAN(AB5:AB8,AB9:AB9,AB10:AB11)</f>
        <v>49.625416911774785</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ht="16" outlineLevel="2" collapsed="1" x14ac:dyDescent="0.2">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97"/>
  <sheetViews>
    <sheetView tabSelected="1" zoomScale="90" zoomScaleNormal="90" workbookViewId="0">
      <pane xSplit="2" ySplit="4" topLeftCell="Y5" activePane="bottomRight" state="frozen"/>
      <selection pane="topRight" activeCell="C1" sqref="C1"/>
      <selection pane="bottomLeft" activeCell="A5" sqref="A5"/>
      <selection pane="bottomRight" activeCell="AS64" sqref="AS64"/>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2">
      <c r="A1" s="73" t="s">
        <v>573</v>
      </c>
      <c r="B1" s="59"/>
      <c r="C1" s="59"/>
      <c r="D1" s="59"/>
      <c r="E1" s="59"/>
      <c r="F1" s="59"/>
      <c r="G1" s="59"/>
      <c r="I1" s="58" t="str">
        <f>Summary!$C$1</f>
        <v>R10.0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ht="17" thickBot="1"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
      <c r="A5" s="54" t="s">
        <v>229</v>
      </c>
      <c r="B5" s="54" t="s">
        <v>49</v>
      </c>
      <c r="C5" s="10" t="s">
        <v>230</v>
      </c>
      <c r="D5" s="54">
        <v>238146391</v>
      </c>
      <c r="E5" s="10">
        <v>10</v>
      </c>
      <c r="F5" s="10">
        <v>32</v>
      </c>
      <c r="G5" s="10">
        <v>30</v>
      </c>
      <c r="I5" s="11">
        <f t="shared" ref="I5:I39" si="0">IF(OR(ISBLANK(S5),ISBLANK(G5)),"·",S5*G5/F5/1000000)</f>
        <v>1.0418099999999999</v>
      </c>
      <c r="J5" s="12">
        <f t="shared" ref="J5:J39" si="1">IF(ISBLANK(S5),"·",S5/D5)</f>
        <v>4.6663062804928254E-3</v>
      </c>
      <c r="K5" s="12">
        <f t="shared" ref="K5:K39" si="2">IF(N5="","·",N5/D5)</f>
        <v>4.0539098490894199E-3</v>
      </c>
      <c r="L5" s="12">
        <f t="shared" ref="L5:L39" si="3">IF(T5="","·",T5/D5)</f>
        <v>2.5510359298285567E-3</v>
      </c>
      <c r="M5" s="12">
        <f t="shared" ref="M5:M39" si="4">IF(ISBLANK(V5),"·",V5/D5)</f>
        <v>6.1239643140340516E-4</v>
      </c>
      <c r="N5" s="54">
        <f t="shared" ref="N5:N39" si="5">IF(OR(ISBLANK(T5),ISBLANK(U5)),"",T5+U5)</f>
        <v>965424</v>
      </c>
      <c r="O5" s="12">
        <v>16</v>
      </c>
      <c r="P5" s="13">
        <v>23582209</v>
      </c>
      <c r="Q5" s="13">
        <v>736944.03125</v>
      </c>
      <c r="R5" s="13">
        <v>16985</v>
      </c>
      <c r="S5" s="13">
        <v>1111264</v>
      </c>
      <c r="T5" s="13">
        <v>607520</v>
      </c>
      <c r="U5" s="13">
        <v>357904</v>
      </c>
      <c r="V5" s="13">
        <v>145840</v>
      </c>
      <c r="W5" s="13">
        <v>66.845706000000007</v>
      </c>
      <c r="X5" s="13">
        <v>68.619978000000003</v>
      </c>
      <c r="Y5" s="13">
        <v>31.7209</v>
      </c>
      <c r="Z5" s="13">
        <v>44.575055999999996</v>
      </c>
      <c r="AA5" s="13">
        <v>44.244737999999998</v>
      </c>
      <c r="AB5" s="13">
        <v>5499.89</v>
      </c>
      <c r="AC5" s="13">
        <v>0</v>
      </c>
      <c r="AD5" s="13">
        <v>45.43</v>
      </c>
      <c r="AE5" s="13">
        <v>0</v>
      </c>
      <c r="AG5" s="11">
        <f t="shared" ref="AG5:AG39" si="6">IF(OR(ISBLANK(AQ5),ISBLANK(G5)),"·",AQ5*G5/F5/1000000)</f>
        <v>1.0518225000000001</v>
      </c>
      <c r="AH5" s="12">
        <f t="shared" ref="AH5:AH39" si="7">IF(ISBLANK(AQ5),"·",AQ5/D5)</f>
        <v>4.7111526456010836E-3</v>
      </c>
      <c r="AI5" s="12">
        <f t="shared" ref="AI5:AI39" si="8">IF(AL5="","·",AL5/D5)</f>
        <v>4.1211626003603806E-3</v>
      </c>
      <c r="AJ5" s="12">
        <f t="shared" ref="AJ5:AJ39" si="9">IF(AR5="","·",AR5/D5)</f>
        <v>2.6308523818864005E-3</v>
      </c>
      <c r="AK5" s="12">
        <f t="shared" ref="AK5:AK39" si="10">IF(ISBLANK(AT5),"·",AT5/D5)</f>
        <v>5.8999004524070244E-4</v>
      </c>
      <c r="AL5" s="54">
        <f t="shared" ref="AL5:AL39" si="11">IF(OR(ISBLANK(AR5),ISBLANK(AS5)),"",AR5+AS5)</f>
        <v>981440</v>
      </c>
      <c r="AM5" s="12">
        <v>16</v>
      </c>
      <c r="AN5" s="13">
        <v>23692128</v>
      </c>
      <c r="AO5" s="13">
        <v>740379</v>
      </c>
      <c r="AP5" s="13">
        <v>17288.65625</v>
      </c>
      <c r="AQ5" s="13">
        <v>1121944</v>
      </c>
      <c r="AR5" s="13">
        <v>626528</v>
      </c>
      <c r="AS5" s="13">
        <v>354912</v>
      </c>
      <c r="AT5" s="13">
        <v>140504</v>
      </c>
      <c r="AU5" s="13">
        <v>66.884269000000003</v>
      </c>
      <c r="AV5" s="13">
        <v>68.636793999999995</v>
      </c>
      <c r="AW5" s="13">
        <v>31.751981000000001</v>
      </c>
      <c r="AX5" s="13">
        <v>44.612749999999998</v>
      </c>
      <c r="AY5" s="13">
        <v>44.223821999999998</v>
      </c>
      <c r="AZ5" s="13">
        <v>4149.7700000000004</v>
      </c>
      <c r="BA5" s="13">
        <v>0</v>
      </c>
      <c r="BB5" s="13">
        <v>39.409999999999997</v>
      </c>
      <c r="BC5" s="13">
        <v>0</v>
      </c>
      <c r="BE5" s="51">
        <f t="shared" ref="BE5:BE43" si="12">AI5/K5</f>
        <v>1.0165896020815723</v>
      </c>
      <c r="BF5" s="17">
        <f t="shared" ref="BF5:BF39" si="13">(AP5/AO5) - (R5/Q5)</f>
        <v>3.0320618393389967E-4</v>
      </c>
      <c r="BG5" s="17">
        <f t="shared" ref="BG5:BG39" si="14">(AL5/AQ5) - (N5/S5)</f>
        <v>6.0053097275091227E-3</v>
      </c>
      <c r="BH5" s="17">
        <f t="array" ref="BH5">AVERAGE(AL5:AL9/AQ5:AQ9) - AVERAGE(N5:N9/S5:S9)</f>
        <v>5.6556052537997115E-3</v>
      </c>
      <c r="BJ5" s="51">
        <f>IF( OR(ISBLANK(N5:N9),ISBLANK(AL5:AL9), ISBLANK(W5:W9),ISBLANK(AU5:AU9)), "·", bdRateExtend( N5:N9,W5:W9, AL5:AL9,AU5:AU9))</f>
        <v>6.4155816690085743E-3</v>
      </c>
      <c r="BK5" s="51">
        <f>IF( OR(ISBLANK(N5:N9),ISBLANK(AL5:AL9), ISBLANK(X5:X9),ISBLANK(AV5:AV9)), "·", bdRateExtend( N5:N9,X5:X9, AL5:AL9,AV5:AV9))</f>
        <v>5.8946894258582461E-3</v>
      </c>
      <c r="BL5" s="51">
        <f>IF( OR(ISBLANK(V5:V9),ISBLANK(AT5:AT9), ISBLANK(Y5:Y9),ISBLANK(AW5:AW9)), "·", bdRateExtend( V5:V9,Y5:Y9, AT5:AT9,AW5:AW9))</f>
        <v>-3.8197495333411102E-2</v>
      </c>
      <c r="BM5" s="51">
        <f>IF( OR(ISBLANK(V5:V9),ISBLANK(AT5:AT9), ISBLANK(Z5:Z9),ISBLANK(AX5:AX9)), "·", bdRateExtend( V5:V9,Z5:Z9, AT5:AT9,AX5:AX9))</f>
        <v>-3.7425157575598722E-2</v>
      </c>
      <c r="BN5" s="51">
        <f>IF( OR(ISBLANK(V5:V9),ISBLANK(AT5:AT9), ISBLANK(AA5:AA9),ISBLANK(AY5:AY9)), "·", bdRateExtend( V5:V9,AA5:AA9, AT5:AT9,AY5:AY9))</f>
        <v>-1.7784473847249016E-2</v>
      </c>
      <c r="BP5" s="51">
        <f>IF( OR(ISBLANK(S5:S9),ISBLANK(AQ5:AQ9), ISBLANK(W5:W9),ISBLANK(AU5:AU9)), "·", bdRateExtend( S5:S9,W5:W9, AQ5:AQ9,AU5:AU9))</f>
        <v>-2.4555209084783369E-3</v>
      </c>
      <c r="BQ5" s="51">
        <f>IF( OR(ISBLANK(S5:S9),ISBLANK(AQ5:AQ9), ISBLANK(X5:X9),ISBLANK(AV5:AV9)), "·", bdRateExtend( S5:S9,X5:X9, AQ5:AQ9,AV5:AV9))</f>
        <v>-3.3092849428025817E-3</v>
      </c>
      <c r="BR5" s="51">
        <f>IF( OR(ISBLANK(S5:S9),ISBLANK(AQ5:AQ9), ISBLANK(Y5:Y9),ISBLANK(AW5:AW9)), "·", bdRateExtend( S5:S9,Y5:Y9, AQ5:AQ9,AW5:AW9))</f>
        <v>-7.2515919307962751E-3</v>
      </c>
      <c r="BS5" s="51">
        <f>IF( OR(ISBLANK(S5:S9),ISBLANK(AQ5:AQ9), ISBLANK(Z5:Z9),ISBLANK(AX5:AX9)), "·", bdRateExtend( S5:S9,Z5:Z9, AQ5:AQ9,AX5:AX9))</f>
        <v>-1.0703732808041933E-2</v>
      </c>
      <c r="BT5" s="51">
        <f>IF( OR(ISBLANK(S5:S9),ISBLANK(AQ5:AQ9), ISBLANK(AA5:AA9),ISBLANK(AY5:AY9)), "·", bdRateExtend( S5:S9,AA5:AA9, AQ5:AQ9,AY5:AY9))</f>
        <v>4.5758958978163733E-3</v>
      </c>
    </row>
    <row r="6" spans="1:72" outlineLevel="1" x14ac:dyDescent="0.2">
      <c r="A6" s="18"/>
      <c r="B6" s="18" t="s">
        <v>49</v>
      </c>
      <c r="C6" s="19" t="s">
        <v>231</v>
      </c>
      <c r="D6" s="18">
        <v>238146391</v>
      </c>
      <c r="E6" s="19">
        <v>10</v>
      </c>
      <c r="F6" s="19">
        <v>32</v>
      </c>
      <c r="G6" s="19">
        <v>30</v>
      </c>
      <c r="I6" s="20">
        <f t="shared" si="0"/>
        <v>1.354425</v>
      </c>
      <c r="J6" s="21">
        <f t="shared" si="1"/>
        <v>6.0665206553560582E-3</v>
      </c>
      <c r="K6" s="21">
        <f t="shared" si="2"/>
        <v>4.9441521874669095E-3</v>
      </c>
      <c r="L6" s="21">
        <f t="shared" si="3"/>
        <v>3.4412782682060462E-3</v>
      </c>
      <c r="M6" s="21">
        <f t="shared" si="4"/>
        <v>1.1223684678891481E-3</v>
      </c>
      <c r="N6" s="18">
        <f t="shared" si="5"/>
        <v>1177432</v>
      </c>
      <c r="O6" s="21">
        <v>16</v>
      </c>
      <c r="P6" s="22">
        <v>24777501</v>
      </c>
      <c r="Q6" s="22">
        <v>774296.90625</v>
      </c>
      <c r="R6" s="22">
        <v>19924.375</v>
      </c>
      <c r="S6" s="22">
        <v>1444720</v>
      </c>
      <c r="T6" s="22">
        <v>819528</v>
      </c>
      <c r="U6" s="22">
        <v>357904</v>
      </c>
      <c r="V6" s="22">
        <v>267288</v>
      </c>
      <c r="W6" s="22">
        <v>68.552899999999994</v>
      </c>
      <c r="X6" s="22">
        <v>70.622062</v>
      </c>
      <c r="Y6" s="22">
        <v>33.798977999999998</v>
      </c>
      <c r="Z6" s="22">
        <v>45.497103000000003</v>
      </c>
      <c r="AA6" s="22">
        <v>45.158875000000002</v>
      </c>
      <c r="AB6" s="22">
        <v>4830.21</v>
      </c>
      <c r="AC6" s="22">
        <v>0</v>
      </c>
      <c r="AD6" s="22">
        <v>40.957000000000001</v>
      </c>
      <c r="AE6" s="22">
        <v>0</v>
      </c>
      <c r="AG6" s="20">
        <f t="shared" si="6"/>
        <v>1.35792</v>
      </c>
      <c r="AH6" s="21">
        <f t="shared" si="7"/>
        <v>6.0821748921653825E-3</v>
      </c>
      <c r="AI6" s="21">
        <f t="shared" si="8"/>
        <v>4.9992443513452193E-3</v>
      </c>
      <c r="AJ6" s="21">
        <f t="shared" si="9"/>
        <v>3.5089341328712388E-3</v>
      </c>
      <c r="AK6" s="21">
        <f t="shared" si="10"/>
        <v>1.0829305408201629E-3</v>
      </c>
      <c r="AL6" s="18">
        <f t="shared" si="11"/>
        <v>1190552</v>
      </c>
      <c r="AM6" s="21">
        <v>16</v>
      </c>
      <c r="AN6" s="22">
        <v>24701037</v>
      </c>
      <c r="AO6" s="22">
        <v>771907.40625</v>
      </c>
      <c r="AP6" s="22">
        <v>20068</v>
      </c>
      <c r="AQ6" s="22">
        <v>1448448</v>
      </c>
      <c r="AR6" s="22">
        <v>835640</v>
      </c>
      <c r="AS6" s="22">
        <v>354912</v>
      </c>
      <c r="AT6" s="22">
        <v>257896</v>
      </c>
      <c r="AU6" s="22">
        <v>68.546019000000001</v>
      </c>
      <c r="AV6" s="22">
        <v>70.637450000000001</v>
      </c>
      <c r="AW6" s="22">
        <v>33.860399999999998</v>
      </c>
      <c r="AX6" s="22">
        <v>45.447197000000003</v>
      </c>
      <c r="AY6" s="22">
        <v>45.140855999999999</v>
      </c>
      <c r="AZ6" s="22">
        <v>5066.68</v>
      </c>
      <c r="BA6" s="22">
        <v>0</v>
      </c>
      <c r="BB6" s="22">
        <v>42.378999999999998</v>
      </c>
      <c r="BC6" s="22">
        <v>0</v>
      </c>
      <c r="BE6" s="50">
        <f t="shared" si="12"/>
        <v>1.0111428940270011</v>
      </c>
      <c r="BF6" s="26">
        <f t="shared" si="13"/>
        <v>2.6572115739705027E-4</v>
      </c>
      <c r="BG6" s="26">
        <f t="shared" si="14"/>
        <v>6.960359081151779E-3</v>
      </c>
      <c r="BH6" s="26"/>
      <c r="BJ6" s="50"/>
      <c r="BK6" s="50"/>
      <c r="BL6" s="50"/>
      <c r="BM6" s="50"/>
      <c r="BN6" s="50"/>
      <c r="BP6" s="50"/>
      <c r="BQ6" s="50"/>
      <c r="BR6" s="50"/>
      <c r="BS6" s="50"/>
      <c r="BT6" s="50"/>
    </row>
    <row r="7" spans="1:72" outlineLevel="1" x14ac:dyDescent="0.2">
      <c r="A7" s="54"/>
      <c r="B7" s="54" t="s">
        <v>49</v>
      </c>
      <c r="C7" s="10" t="s">
        <v>232</v>
      </c>
      <c r="D7" s="54">
        <v>238146391</v>
      </c>
      <c r="E7" s="10">
        <v>10</v>
      </c>
      <c r="F7" s="10">
        <v>32</v>
      </c>
      <c r="G7" s="10">
        <v>30</v>
      </c>
      <c r="I7" s="11">
        <f t="shared" si="0"/>
        <v>1.874655</v>
      </c>
      <c r="J7" s="12">
        <f t="shared" si="1"/>
        <v>8.3966504451457331E-3</v>
      </c>
      <c r="K7" s="12">
        <f t="shared" si="2"/>
        <v>6.1427762724315226E-3</v>
      </c>
      <c r="L7" s="12">
        <f t="shared" si="3"/>
        <v>4.6399023531706598E-3</v>
      </c>
      <c r="M7" s="12">
        <f t="shared" si="4"/>
        <v>2.2538741727142109E-3</v>
      </c>
      <c r="N7" s="54">
        <f t="shared" si="5"/>
        <v>1462880</v>
      </c>
      <c r="O7" s="12">
        <v>16</v>
      </c>
      <c r="P7" s="13">
        <v>24923704</v>
      </c>
      <c r="Q7" s="13">
        <v>778865.75</v>
      </c>
      <c r="R7" s="13">
        <v>21104.84375</v>
      </c>
      <c r="S7" s="13">
        <v>1999632</v>
      </c>
      <c r="T7" s="13">
        <v>1104976</v>
      </c>
      <c r="U7" s="13">
        <v>357904</v>
      </c>
      <c r="V7" s="13">
        <v>536752</v>
      </c>
      <c r="W7" s="13">
        <v>69.837428000000003</v>
      </c>
      <c r="X7" s="13">
        <v>72.274171999999993</v>
      </c>
      <c r="Y7" s="13">
        <v>36.190461999999997</v>
      </c>
      <c r="Z7" s="13">
        <v>46.891187000000002</v>
      </c>
      <c r="AA7" s="13">
        <v>46.671833999999997</v>
      </c>
      <c r="AB7" s="13">
        <v>5082.29</v>
      </c>
      <c r="AC7" s="13">
        <v>0</v>
      </c>
      <c r="AD7" s="13">
        <v>40.502000000000002</v>
      </c>
      <c r="AE7" s="13">
        <v>0</v>
      </c>
      <c r="AG7" s="11">
        <f t="shared" si="6"/>
        <v>1.8591899999999999</v>
      </c>
      <c r="AH7" s="12">
        <f t="shared" si="7"/>
        <v>8.3273821269036156E-3</v>
      </c>
      <c r="AI7" s="12">
        <f t="shared" si="8"/>
        <v>6.1481175249050906E-3</v>
      </c>
      <c r="AJ7" s="12">
        <f t="shared" si="9"/>
        <v>4.6578073064311104E-3</v>
      </c>
      <c r="AK7" s="12">
        <f t="shared" si="10"/>
        <v>2.1792646019985246E-3</v>
      </c>
      <c r="AL7" s="54">
        <f t="shared" si="11"/>
        <v>1464152</v>
      </c>
      <c r="AM7" s="12">
        <v>16</v>
      </c>
      <c r="AN7" s="13">
        <v>24903160</v>
      </c>
      <c r="AO7" s="13">
        <v>778223.75</v>
      </c>
      <c r="AP7" s="13">
        <v>21295.71875</v>
      </c>
      <c r="AQ7" s="13">
        <v>1983136</v>
      </c>
      <c r="AR7" s="13">
        <v>1109240</v>
      </c>
      <c r="AS7" s="13">
        <v>354912</v>
      </c>
      <c r="AT7" s="13">
        <v>518984</v>
      </c>
      <c r="AU7" s="13">
        <v>69.834219000000004</v>
      </c>
      <c r="AV7" s="13">
        <v>72.284884000000005</v>
      </c>
      <c r="AW7" s="13">
        <v>36.229993999999998</v>
      </c>
      <c r="AX7" s="13">
        <v>46.909219</v>
      </c>
      <c r="AY7" s="13">
        <v>46.723337999999998</v>
      </c>
      <c r="AZ7" s="13">
        <v>4533.53</v>
      </c>
      <c r="BA7" s="13">
        <v>0</v>
      </c>
      <c r="BB7" s="13">
        <v>47.070999999999998</v>
      </c>
      <c r="BC7" s="13">
        <v>0</v>
      </c>
      <c r="BE7" s="51">
        <f t="shared" si="12"/>
        <v>1.0008695176637865</v>
      </c>
      <c r="BF7" s="17">
        <f t="shared" si="13"/>
        <v>2.6762381235458446E-4</v>
      </c>
      <c r="BG7" s="17">
        <f t="shared" si="14"/>
        <v>6.7267473143930445E-3</v>
      </c>
      <c r="BH7" s="17"/>
      <c r="BJ7" s="51"/>
      <c r="BK7" s="51"/>
      <c r="BL7" s="51"/>
      <c r="BM7" s="51"/>
      <c r="BN7" s="51"/>
      <c r="BP7" s="51"/>
      <c r="BQ7" s="51"/>
      <c r="BR7" s="51"/>
      <c r="BS7" s="51"/>
      <c r="BT7" s="51"/>
    </row>
    <row r="8" spans="1:72" outlineLevel="1" x14ac:dyDescent="0.2">
      <c r="A8" s="18"/>
      <c r="B8" s="18" t="s">
        <v>49</v>
      </c>
      <c r="C8" s="19" t="s">
        <v>233</v>
      </c>
      <c r="D8" s="18">
        <v>238146391</v>
      </c>
      <c r="E8" s="19">
        <v>10</v>
      </c>
      <c r="F8" s="19">
        <v>32</v>
      </c>
      <c r="G8" s="19">
        <v>30</v>
      </c>
      <c r="I8" s="20">
        <f t="shared" si="0"/>
        <v>3.0921375000000002</v>
      </c>
      <c r="J8" s="21">
        <f t="shared" si="1"/>
        <v>1.3849800478395661E-2</v>
      </c>
      <c r="K8" s="21">
        <f t="shared" si="2"/>
        <v>8.8572746836209672E-3</v>
      </c>
      <c r="L8" s="21">
        <f t="shared" si="3"/>
        <v>7.3544007643601035E-3</v>
      </c>
      <c r="M8" s="21">
        <f t="shared" si="4"/>
        <v>4.9925257947746942E-3</v>
      </c>
      <c r="N8" s="18">
        <f t="shared" si="5"/>
        <v>2109328</v>
      </c>
      <c r="O8" s="21">
        <v>16</v>
      </c>
      <c r="P8" s="22">
        <v>25894561</v>
      </c>
      <c r="Q8" s="22">
        <v>809205.03125</v>
      </c>
      <c r="R8" s="22">
        <v>24362.6875</v>
      </c>
      <c r="S8" s="22">
        <v>3298280</v>
      </c>
      <c r="T8" s="22">
        <v>1751424</v>
      </c>
      <c r="U8" s="22">
        <v>357904</v>
      </c>
      <c r="V8" s="22">
        <v>1188952</v>
      </c>
      <c r="W8" s="22">
        <v>70.899375000000006</v>
      </c>
      <c r="X8" s="22">
        <v>73.460280999999995</v>
      </c>
      <c r="Y8" s="22">
        <v>38.672027999999997</v>
      </c>
      <c r="Z8" s="22">
        <v>48.127665999999998</v>
      </c>
      <c r="AA8" s="22">
        <v>48.148988000000003</v>
      </c>
      <c r="AB8" s="22">
        <v>5084.68</v>
      </c>
      <c r="AC8" s="22">
        <v>0</v>
      </c>
      <c r="AD8" s="22">
        <v>42.003</v>
      </c>
      <c r="AE8" s="22">
        <v>0</v>
      </c>
      <c r="AG8" s="20">
        <f t="shared" si="6"/>
        <v>3.0872925000000002</v>
      </c>
      <c r="AH8" s="21">
        <f t="shared" si="7"/>
        <v>1.3828099540672862E-2</v>
      </c>
      <c r="AI8" s="21">
        <f t="shared" si="8"/>
        <v>8.9335974862621362E-3</v>
      </c>
      <c r="AJ8" s="21">
        <f t="shared" si="9"/>
        <v>7.4432872677881561E-3</v>
      </c>
      <c r="AK8" s="21">
        <f t="shared" si="10"/>
        <v>4.8945020544107262E-3</v>
      </c>
      <c r="AL8" s="18">
        <f t="shared" si="11"/>
        <v>2127504</v>
      </c>
      <c r="AM8" s="21">
        <v>16</v>
      </c>
      <c r="AN8" s="22">
        <v>25904948</v>
      </c>
      <c r="AO8" s="22">
        <v>809529.625</v>
      </c>
      <c r="AP8" s="22">
        <v>24484.125</v>
      </c>
      <c r="AQ8" s="22">
        <v>3293112</v>
      </c>
      <c r="AR8" s="22">
        <v>1772592</v>
      </c>
      <c r="AS8" s="22">
        <v>354912</v>
      </c>
      <c r="AT8" s="22">
        <v>1165608</v>
      </c>
      <c r="AU8" s="22">
        <v>70.909125000000003</v>
      </c>
      <c r="AV8" s="22">
        <v>73.473293999999996</v>
      </c>
      <c r="AW8" s="22">
        <v>38.688724999999998</v>
      </c>
      <c r="AX8" s="22">
        <v>48.180072000000003</v>
      </c>
      <c r="AY8" s="22">
        <v>48.078344000000001</v>
      </c>
      <c r="AZ8" s="22">
        <v>4996.34</v>
      </c>
      <c r="BA8" s="22">
        <v>0</v>
      </c>
      <c r="BB8" s="22">
        <v>40.960999999999999</v>
      </c>
      <c r="BC8" s="22">
        <v>0</v>
      </c>
      <c r="BE8" s="50">
        <f t="shared" si="12"/>
        <v>1.0086169623690577</v>
      </c>
      <c r="BF8" s="26">
        <f t="shared" si="13"/>
        <v>1.3793809630326115E-4</v>
      </c>
      <c r="BG8" s="26">
        <f t="shared" si="14"/>
        <v>6.5230268883704756E-3</v>
      </c>
      <c r="BH8" s="26"/>
      <c r="BJ8" s="50"/>
      <c r="BK8" s="50"/>
      <c r="BL8" s="50"/>
      <c r="BM8" s="50"/>
      <c r="BN8" s="50"/>
      <c r="BP8" s="50"/>
      <c r="BQ8" s="50"/>
      <c r="BR8" s="50"/>
      <c r="BS8" s="50"/>
      <c r="BT8" s="50"/>
    </row>
    <row r="9" spans="1:72" ht="16" outlineLevel="1" thickBot="1" x14ac:dyDescent="0.25">
      <c r="A9" s="54"/>
      <c r="B9" s="27" t="s">
        <v>49</v>
      </c>
      <c r="C9" s="28" t="s">
        <v>234</v>
      </c>
      <c r="D9" s="27">
        <v>238146391</v>
      </c>
      <c r="E9" s="28">
        <v>10</v>
      </c>
      <c r="F9" s="28">
        <v>32</v>
      </c>
      <c r="G9" s="28">
        <v>30</v>
      </c>
      <c r="I9" s="29">
        <f t="shared" si="0"/>
        <v>6.3075225000000001</v>
      </c>
      <c r="J9" s="30">
        <f t="shared" si="1"/>
        <v>2.8251631157408554E-2</v>
      </c>
      <c r="K9" s="30">
        <f t="shared" si="2"/>
        <v>1.5566324496599237E-2</v>
      </c>
      <c r="L9" s="30">
        <f t="shared" si="3"/>
        <v>1.2147654171253009E-2</v>
      </c>
      <c r="M9" s="30">
        <f t="shared" si="4"/>
        <v>1.2685306660809317E-2</v>
      </c>
      <c r="N9" s="27">
        <f t="shared" si="5"/>
        <v>3707064</v>
      </c>
      <c r="O9" s="30">
        <v>16</v>
      </c>
      <c r="P9" s="31">
        <v>24903158</v>
      </c>
      <c r="Q9" s="31">
        <v>778223.6875</v>
      </c>
      <c r="R9" s="31">
        <v>10582.96875</v>
      </c>
      <c r="S9" s="31">
        <v>6728024</v>
      </c>
      <c r="T9" s="31">
        <v>2892920</v>
      </c>
      <c r="U9" s="31">
        <v>814144</v>
      </c>
      <c r="V9" s="31">
        <v>3020960</v>
      </c>
      <c r="W9" s="31">
        <v>71.932040999999998</v>
      </c>
      <c r="X9" s="31">
        <v>75.246168999999995</v>
      </c>
      <c r="Y9" s="31">
        <v>41.106161999999998</v>
      </c>
      <c r="Z9" s="31">
        <v>49.546553000000003</v>
      </c>
      <c r="AA9" s="31">
        <v>49.676209</v>
      </c>
      <c r="AB9" s="31">
        <v>5235.1499999999996</v>
      </c>
      <c r="AC9" s="31">
        <v>0</v>
      </c>
      <c r="AD9" s="31">
        <v>39.481000000000002</v>
      </c>
      <c r="AE9" s="31">
        <v>0</v>
      </c>
      <c r="AG9" s="29">
        <f t="shared" si="6"/>
        <v>6.2711699999999997</v>
      </c>
      <c r="AH9" s="30">
        <f t="shared" si="7"/>
        <v>2.8088806938921868E-2</v>
      </c>
      <c r="AI9" s="30">
        <f t="shared" si="8"/>
        <v>1.5534545724020651E-2</v>
      </c>
      <c r="AJ9" s="30">
        <f t="shared" si="9"/>
        <v>1.2126121197444474E-2</v>
      </c>
      <c r="AK9" s="30">
        <f t="shared" si="10"/>
        <v>1.2554261214901215E-2</v>
      </c>
      <c r="AL9" s="27">
        <f t="shared" si="11"/>
        <v>3699496</v>
      </c>
      <c r="AM9" s="30">
        <v>16</v>
      </c>
      <c r="AN9" s="31">
        <v>24929633</v>
      </c>
      <c r="AO9" s="31">
        <v>779051.03125</v>
      </c>
      <c r="AP9" s="31">
        <v>10646</v>
      </c>
      <c r="AQ9" s="31">
        <v>6689248</v>
      </c>
      <c r="AR9" s="31">
        <v>2887792</v>
      </c>
      <c r="AS9" s="31">
        <v>811704</v>
      </c>
      <c r="AT9" s="31">
        <v>2989752</v>
      </c>
      <c r="AU9" s="31">
        <v>71.948430999999999</v>
      </c>
      <c r="AV9" s="31">
        <v>75.243146999999993</v>
      </c>
      <c r="AW9" s="31">
        <v>41.120331</v>
      </c>
      <c r="AX9" s="31">
        <v>49.584375000000001</v>
      </c>
      <c r="AY9" s="31">
        <v>49.687880999999997</v>
      </c>
      <c r="AZ9" s="31">
        <v>6129.49</v>
      </c>
      <c r="BA9" s="31">
        <v>0</v>
      </c>
      <c r="BB9" s="31">
        <v>46.706000000000003</v>
      </c>
      <c r="BC9" s="31">
        <v>0</v>
      </c>
      <c r="BE9" s="35">
        <f t="shared" si="12"/>
        <v>0.99795849221917943</v>
      </c>
      <c r="BF9" s="36">
        <f t="shared" si="13"/>
        <v>6.6465868666312419E-5</v>
      </c>
      <c r="BG9" s="36">
        <f t="shared" si="14"/>
        <v>2.0625832575750236E-3</v>
      </c>
      <c r="BH9" s="36"/>
      <c r="BJ9" s="35"/>
      <c r="BK9" s="35"/>
      <c r="BL9" s="35"/>
      <c r="BM9" s="35"/>
      <c r="BN9" s="35"/>
      <c r="BP9" s="35"/>
      <c r="BQ9" s="35"/>
      <c r="BR9" s="35"/>
      <c r="BS9" s="35"/>
      <c r="BT9" s="35"/>
    </row>
    <row r="10" spans="1:72" x14ac:dyDescent="0.2">
      <c r="A10" s="18"/>
      <c r="B10" s="18" t="s">
        <v>57</v>
      </c>
      <c r="C10" s="19" t="s">
        <v>230</v>
      </c>
      <c r="D10" s="18">
        <v>218121242</v>
      </c>
      <c r="E10" s="19">
        <v>10</v>
      </c>
      <c r="F10" s="19">
        <v>32</v>
      </c>
      <c r="G10" s="19">
        <v>30</v>
      </c>
      <c r="I10" s="20">
        <f t="shared" si="0"/>
        <v>1.962405</v>
      </c>
      <c r="J10" s="21">
        <f t="shared" si="1"/>
        <v>9.5966444203540707E-3</v>
      </c>
      <c r="K10" s="21">
        <f t="shared" si="2"/>
        <v>7.1823541147817234E-3</v>
      </c>
      <c r="L10" s="21">
        <f t="shared" si="3"/>
        <v>4.1200939063055584E-3</v>
      </c>
      <c r="M10" s="21">
        <f t="shared" si="4"/>
        <v>2.4142903055723477E-3</v>
      </c>
      <c r="N10" s="18">
        <f t="shared" si="5"/>
        <v>1566624</v>
      </c>
      <c r="O10" s="21">
        <v>16</v>
      </c>
      <c r="P10" s="22">
        <v>21022693</v>
      </c>
      <c r="Q10" s="22">
        <v>656959.15625</v>
      </c>
      <c r="R10" s="22">
        <v>19029.53125</v>
      </c>
      <c r="S10" s="22">
        <v>2093232</v>
      </c>
      <c r="T10" s="22">
        <v>898680</v>
      </c>
      <c r="U10" s="22">
        <v>667944</v>
      </c>
      <c r="V10" s="22">
        <v>526608</v>
      </c>
      <c r="W10" s="22">
        <v>65.986408999999995</v>
      </c>
      <c r="X10" s="22">
        <v>67.859938</v>
      </c>
      <c r="Y10" s="22">
        <v>31.011700000000001</v>
      </c>
      <c r="Z10" s="22">
        <v>38.738852999999999</v>
      </c>
      <c r="AA10" s="22">
        <v>30.108955999999999</v>
      </c>
      <c r="AB10" s="22">
        <v>6157.05</v>
      </c>
      <c r="AC10" s="22">
        <v>0</v>
      </c>
      <c r="AD10" s="22">
        <v>44.917999999999999</v>
      </c>
      <c r="AE10" s="22">
        <v>0</v>
      </c>
      <c r="AG10" s="20">
        <f t="shared" si="6"/>
        <v>1.93764</v>
      </c>
      <c r="AH10" s="21">
        <f t="shared" si="7"/>
        <v>9.4755374627841157E-3</v>
      </c>
      <c r="AI10" s="21">
        <f t="shared" si="8"/>
        <v>7.1203702388600923E-3</v>
      </c>
      <c r="AJ10" s="21">
        <f t="shared" si="9"/>
        <v>4.0859110824245171E-3</v>
      </c>
      <c r="AK10" s="21">
        <f t="shared" si="10"/>
        <v>2.355167223924023E-3</v>
      </c>
      <c r="AL10" s="18">
        <f t="shared" si="11"/>
        <v>1553104</v>
      </c>
      <c r="AM10" s="21">
        <v>16</v>
      </c>
      <c r="AN10" s="22">
        <v>21010633</v>
      </c>
      <c r="AO10" s="22">
        <v>656582.28125</v>
      </c>
      <c r="AP10" s="22">
        <v>18991.84375</v>
      </c>
      <c r="AQ10" s="22">
        <v>2066816</v>
      </c>
      <c r="AR10" s="22">
        <v>891224</v>
      </c>
      <c r="AS10" s="22">
        <v>661880</v>
      </c>
      <c r="AT10" s="22">
        <v>513712</v>
      </c>
      <c r="AU10" s="22">
        <v>65.981356000000005</v>
      </c>
      <c r="AV10" s="22">
        <v>67.847628</v>
      </c>
      <c r="AW10" s="22">
        <v>31.015684</v>
      </c>
      <c r="AX10" s="22">
        <v>38.759784000000003</v>
      </c>
      <c r="AY10" s="22">
        <v>30.117090999999999</v>
      </c>
      <c r="AZ10" s="22">
        <v>5723.9</v>
      </c>
      <c r="BA10" s="22">
        <v>0</v>
      </c>
      <c r="BB10" s="22">
        <v>47.281999999999996</v>
      </c>
      <c r="BC10" s="22">
        <v>0</v>
      </c>
      <c r="BE10" s="50">
        <f t="shared" si="12"/>
        <v>0.99136997773556379</v>
      </c>
      <c r="BF10" s="26">
        <f t="shared" si="13"/>
        <v>-4.077312089364668E-5</v>
      </c>
      <c r="BG10" s="26">
        <f t="shared" si="14"/>
        <v>3.0241467681376699E-3</v>
      </c>
      <c r="BH10" s="26">
        <f t="array" ref="BH10">AVERAGE(AL10:AL14/AQ10:AQ14) - AVERAGE(N10:N14/S10:S14)</f>
        <v>2.2156131751526198E-3</v>
      </c>
      <c r="BJ10" s="50">
        <f>IF( OR(ISBLANK(N10:N14),ISBLANK(AL10:AL14), ISBLANK(W10:W14),ISBLANK(AU10:AU14)), "·", bdRateExtend( N10:N14,W10:W14, AL10:AL14,AU10:AU14))</f>
        <v>-5.3832712606378674E-3</v>
      </c>
      <c r="BK10" s="50">
        <f>IF( OR(ISBLANK(N10:N14),ISBLANK(AL10:AL14), ISBLANK(X10:X14),ISBLANK(AV10:AV14)), "·", bdRateExtend( N10:N14,X10:X14, AL10:AL14,AV10:AV14))</f>
        <v>-6.4274232168530787E-3</v>
      </c>
      <c r="BL10" s="50">
        <f>IF( OR(ISBLANK(V10:V14),ISBLANK(AT10:AT14), ISBLANK(Y10:Y14),ISBLANK(AW10:AW14)), "·", bdRateExtend( V10:V14,Y10:Y14, AT10:AT14,AW10:AW14))</f>
        <v>-1.5752361179604435E-2</v>
      </c>
      <c r="BM10" s="50">
        <f>IF( OR(ISBLANK(V10:V14),ISBLANK(AT10:AT14), ISBLANK(Z10:Z14),ISBLANK(AX10:AX14)), "·", bdRateExtend( V10:V14,Z10:Z14, AT10:AT14,AX10:AX14))</f>
        <v>-2.2548747218617549E-2</v>
      </c>
      <c r="BN10" s="50">
        <f>IF( OR(ISBLANK(V10:V14),ISBLANK(AT10:AT14), ISBLANK(AA10:AA14),ISBLANK(AY10:AY14)), "·", bdRateExtend( V10:V14,AA10:AA14, AT10:AT14,AY10:AY14))</f>
        <v>-1.8452182765929304E-2</v>
      </c>
      <c r="BP10" s="50">
        <f>IF( OR(ISBLANK(S10:S14),ISBLANK(AQ10:AQ14), ISBLANK(W10:W14),ISBLANK(AU10:AU14)), "·", bdRateExtend( S10:S14,W10:W14, AQ10:AQ14,AU10:AU14))</f>
        <v>-1.0194733351318153E-2</v>
      </c>
      <c r="BQ10" s="50">
        <f>IF( OR(ISBLANK(S10:S14),ISBLANK(AQ10:AQ14), ISBLANK(X10:X14),ISBLANK(AV10:AV14)), "·", bdRateExtend( S10:S14,X10:X14, AQ10:AQ14,AV10:AV14))</f>
        <v>-1.2271698890380822E-2</v>
      </c>
      <c r="BR10" s="50">
        <f>IF( OR(ISBLANK(S10:S14),ISBLANK(AQ10:AQ14), ISBLANK(Y10:Y14),ISBLANK(AW10:AW14)), "·", bdRateExtend( S10:S14,Y10:Y14, AQ10:AQ14,AW10:AW14))</f>
        <v>-8.2339059686671323E-3</v>
      </c>
      <c r="BS10" s="50">
        <f>IF( OR(ISBLANK(S10:S14),ISBLANK(AQ10:AQ14), ISBLANK(Z10:Z14),ISBLANK(AX10:AX14)), "·", bdRateExtend( S10:S14,Z10:Z14, AQ10:AQ14,AX10:AX14))</f>
        <v>-1.3062715117735824E-2</v>
      </c>
      <c r="BT10" s="50">
        <f>IF( OR(ISBLANK(S10:S14),ISBLANK(AQ10:AQ14), ISBLANK(AA10:AA14),ISBLANK(AY10:AY14)), "·", bdRateExtend( S10:S14,AA10:AA14, AQ10:AQ14,AY10:AY14))</f>
        <v>-9.6322249952901506E-3</v>
      </c>
    </row>
    <row r="11" spans="1:72" outlineLevel="1" x14ac:dyDescent="0.2">
      <c r="A11" s="54"/>
      <c r="B11" s="54" t="s">
        <v>57</v>
      </c>
      <c r="C11" s="10" t="s">
        <v>231</v>
      </c>
      <c r="D11" s="54">
        <v>218121242</v>
      </c>
      <c r="E11" s="10">
        <v>10</v>
      </c>
      <c r="F11" s="10">
        <v>32</v>
      </c>
      <c r="G11" s="10">
        <v>30</v>
      </c>
      <c r="I11" s="11">
        <f t="shared" si="0"/>
        <v>2.6842575000000002</v>
      </c>
      <c r="J11" s="12">
        <f t="shared" si="1"/>
        <v>1.3126681169365431E-2</v>
      </c>
      <c r="K11" s="12">
        <f t="shared" si="2"/>
        <v>8.8252935952015162E-3</v>
      </c>
      <c r="L11" s="12">
        <f t="shared" si="3"/>
        <v>5.7630333867253513E-3</v>
      </c>
      <c r="M11" s="12">
        <f t="shared" si="4"/>
        <v>4.3013875741639137E-3</v>
      </c>
      <c r="N11" s="54">
        <f t="shared" si="5"/>
        <v>1924984</v>
      </c>
      <c r="O11" s="12">
        <v>16</v>
      </c>
      <c r="P11" s="13">
        <v>22225091</v>
      </c>
      <c r="Q11" s="13">
        <v>694534.09375</v>
      </c>
      <c r="R11" s="13">
        <v>23225.96875</v>
      </c>
      <c r="S11" s="13">
        <v>2863208</v>
      </c>
      <c r="T11" s="13">
        <v>1257040</v>
      </c>
      <c r="U11" s="13">
        <v>667944</v>
      </c>
      <c r="V11" s="13">
        <v>938224</v>
      </c>
      <c r="W11" s="13">
        <v>67.670468999999997</v>
      </c>
      <c r="X11" s="13">
        <v>69.746769</v>
      </c>
      <c r="Y11" s="13">
        <v>32.851759000000001</v>
      </c>
      <c r="Z11" s="13">
        <v>39.672181000000002</v>
      </c>
      <c r="AA11" s="13">
        <v>32.236640999999999</v>
      </c>
      <c r="AB11" s="13">
        <v>7005.5</v>
      </c>
      <c r="AC11" s="13">
        <v>0</v>
      </c>
      <c r="AD11" s="13">
        <v>50.396999999999998</v>
      </c>
      <c r="AE11" s="13">
        <v>0</v>
      </c>
      <c r="AG11" s="11">
        <f t="shared" si="6"/>
        <v>2.6539725000000001</v>
      </c>
      <c r="AH11" s="12">
        <f t="shared" si="7"/>
        <v>1.2978580050447356E-2</v>
      </c>
      <c r="AI11" s="12">
        <f t="shared" si="8"/>
        <v>8.7740927130792699E-3</v>
      </c>
      <c r="AJ11" s="12">
        <f t="shared" si="9"/>
        <v>5.7396335566436947E-3</v>
      </c>
      <c r="AK11" s="12">
        <f t="shared" si="10"/>
        <v>4.2044873373680864E-3</v>
      </c>
      <c r="AL11" s="54">
        <f t="shared" si="11"/>
        <v>1913816</v>
      </c>
      <c r="AM11" s="12">
        <v>16</v>
      </c>
      <c r="AN11" s="13">
        <v>22231592</v>
      </c>
      <c r="AO11" s="13">
        <v>694737.25</v>
      </c>
      <c r="AP11" s="13">
        <v>23343.46875</v>
      </c>
      <c r="AQ11" s="13">
        <v>2830904</v>
      </c>
      <c r="AR11" s="13">
        <v>1251936</v>
      </c>
      <c r="AS11" s="13">
        <v>661880</v>
      </c>
      <c r="AT11" s="13">
        <v>917088</v>
      </c>
      <c r="AU11" s="13">
        <v>67.669937000000004</v>
      </c>
      <c r="AV11" s="13">
        <v>69.741881000000006</v>
      </c>
      <c r="AW11" s="13">
        <v>32.857475000000001</v>
      </c>
      <c r="AX11" s="13">
        <v>39.657640999999998</v>
      </c>
      <c r="AY11" s="13">
        <v>32.276203000000002</v>
      </c>
      <c r="AZ11" s="13">
        <v>4743.72</v>
      </c>
      <c r="BA11" s="13">
        <v>0</v>
      </c>
      <c r="BB11" s="13">
        <v>39.023000000000003</v>
      </c>
      <c r="BC11" s="13">
        <v>0</v>
      </c>
      <c r="BE11" s="51">
        <f t="shared" si="12"/>
        <v>0.99419839333729532</v>
      </c>
      <c r="BF11" s="17">
        <f t="shared" si="13"/>
        <v>1.5934979161257717E-4</v>
      </c>
      <c r="BG11" s="17">
        <f t="shared" si="14"/>
        <v>3.7269137319810852E-3</v>
      </c>
      <c r="BH11" s="17"/>
      <c r="BJ11" s="51"/>
      <c r="BK11" s="51"/>
      <c r="BL11" s="51"/>
      <c r="BM11" s="51"/>
      <c r="BN11" s="51"/>
      <c r="BP11" s="51"/>
      <c r="BQ11" s="51"/>
      <c r="BR11" s="51"/>
      <c r="BS11" s="51"/>
      <c r="BT11" s="51"/>
    </row>
    <row r="12" spans="1:72" outlineLevel="1" x14ac:dyDescent="0.2">
      <c r="A12" s="18"/>
      <c r="B12" s="18" t="s">
        <v>57</v>
      </c>
      <c r="C12" s="19" t="s">
        <v>232</v>
      </c>
      <c r="D12" s="18">
        <v>218121242</v>
      </c>
      <c r="E12" s="19">
        <v>10</v>
      </c>
      <c r="F12" s="19">
        <v>32</v>
      </c>
      <c r="G12" s="19">
        <v>30</v>
      </c>
      <c r="I12" s="20">
        <f t="shared" si="0"/>
        <v>3.8273625</v>
      </c>
      <c r="J12" s="21">
        <f t="shared" si="1"/>
        <v>1.871674653310474E-2</v>
      </c>
      <c r="K12" s="21">
        <f t="shared" si="2"/>
        <v>1.1331789500813497E-2</v>
      </c>
      <c r="L12" s="21">
        <f t="shared" si="3"/>
        <v>8.2695292923373326E-3</v>
      </c>
      <c r="M12" s="21">
        <f t="shared" si="4"/>
        <v>7.3849570322912427E-3</v>
      </c>
      <c r="N12" s="18">
        <f t="shared" si="5"/>
        <v>2471704</v>
      </c>
      <c r="O12" s="21">
        <v>16</v>
      </c>
      <c r="P12" s="22">
        <v>22547007</v>
      </c>
      <c r="Q12" s="22">
        <v>704593.96875</v>
      </c>
      <c r="R12" s="22">
        <v>24701.21875</v>
      </c>
      <c r="S12" s="22">
        <v>4082520</v>
      </c>
      <c r="T12" s="22">
        <v>1803760</v>
      </c>
      <c r="U12" s="22">
        <v>667944</v>
      </c>
      <c r="V12" s="22">
        <v>1610816</v>
      </c>
      <c r="W12" s="22">
        <v>69.008019000000004</v>
      </c>
      <c r="X12" s="22">
        <v>71.384221999999994</v>
      </c>
      <c r="Y12" s="22">
        <v>34.861624999999997</v>
      </c>
      <c r="Z12" s="22">
        <v>40.634022000000002</v>
      </c>
      <c r="AA12" s="22">
        <v>34.136197000000003</v>
      </c>
      <c r="AB12" s="22">
        <v>5321.62</v>
      </c>
      <c r="AC12" s="22">
        <v>0</v>
      </c>
      <c r="AD12" s="22">
        <v>39.158000000000001</v>
      </c>
      <c r="AE12" s="22">
        <v>0</v>
      </c>
      <c r="AG12" s="20">
        <f t="shared" si="6"/>
        <v>3.8015249999999998</v>
      </c>
      <c r="AH12" s="21">
        <f t="shared" si="7"/>
        <v>1.8590394786033724E-2</v>
      </c>
      <c r="AI12" s="21">
        <f t="shared" si="8"/>
        <v>1.1265881201978484E-2</v>
      </c>
      <c r="AJ12" s="21">
        <f t="shared" si="9"/>
        <v>8.2314220455429101E-3</v>
      </c>
      <c r="AK12" s="21">
        <f t="shared" si="10"/>
        <v>7.3245135840552386E-3</v>
      </c>
      <c r="AL12" s="18">
        <f t="shared" si="11"/>
        <v>2457328</v>
      </c>
      <c r="AM12" s="21">
        <v>16</v>
      </c>
      <c r="AN12" s="22">
        <v>22533731</v>
      </c>
      <c r="AO12" s="22">
        <v>704179.09375</v>
      </c>
      <c r="AP12" s="22">
        <v>24743.71875</v>
      </c>
      <c r="AQ12" s="22">
        <v>4054960</v>
      </c>
      <c r="AR12" s="22">
        <v>1795448</v>
      </c>
      <c r="AS12" s="22">
        <v>661880</v>
      </c>
      <c r="AT12" s="22">
        <v>1597632</v>
      </c>
      <c r="AU12" s="22">
        <v>68.980999999999995</v>
      </c>
      <c r="AV12" s="22">
        <v>71.364709000000005</v>
      </c>
      <c r="AW12" s="22">
        <v>34.877780999999999</v>
      </c>
      <c r="AX12" s="22">
        <v>40.698321999999997</v>
      </c>
      <c r="AY12" s="22">
        <v>34.148456000000003</v>
      </c>
      <c r="AZ12" s="22">
        <v>6026.43</v>
      </c>
      <c r="BA12" s="22">
        <v>0</v>
      </c>
      <c r="BB12" s="22">
        <v>50.924999999999997</v>
      </c>
      <c r="BC12" s="22">
        <v>0</v>
      </c>
      <c r="BE12" s="50">
        <f t="shared" si="12"/>
        <v>0.99418376957758692</v>
      </c>
      <c r="BF12" s="26">
        <f t="shared" si="13"/>
        <v>8.1008412740724012E-5</v>
      </c>
      <c r="BG12" s="26">
        <f t="shared" si="14"/>
        <v>5.6962639661450876E-4</v>
      </c>
      <c r="BH12" s="26"/>
      <c r="BJ12" s="50"/>
      <c r="BK12" s="50"/>
      <c r="BL12" s="50"/>
      <c r="BM12" s="50"/>
      <c r="BN12" s="50"/>
      <c r="BP12" s="50"/>
      <c r="BQ12" s="50"/>
      <c r="BR12" s="50"/>
      <c r="BS12" s="50"/>
      <c r="BT12" s="50"/>
    </row>
    <row r="13" spans="1:72" outlineLevel="1" x14ac:dyDescent="0.2">
      <c r="A13" s="54"/>
      <c r="B13" s="54" t="s">
        <v>57</v>
      </c>
      <c r="C13" s="10" t="s">
        <v>233</v>
      </c>
      <c r="D13" s="54">
        <v>218121242</v>
      </c>
      <c r="E13" s="10">
        <v>10</v>
      </c>
      <c r="F13" s="10">
        <v>32</v>
      </c>
      <c r="G13" s="10">
        <v>30</v>
      </c>
      <c r="I13" s="11">
        <f t="shared" si="0"/>
        <v>6.1985774999999999</v>
      </c>
      <c r="J13" s="12">
        <f t="shared" si="1"/>
        <v>3.0312572674604521E-2</v>
      </c>
      <c r="K13" s="12">
        <f t="shared" si="2"/>
        <v>1.5866001716604933E-2</v>
      </c>
      <c r="L13" s="12">
        <f t="shared" si="3"/>
        <v>1.2803741508128769E-2</v>
      </c>
      <c r="M13" s="12">
        <f t="shared" si="4"/>
        <v>1.4446570957999588E-2</v>
      </c>
      <c r="N13" s="54">
        <f t="shared" si="5"/>
        <v>3460712</v>
      </c>
      <c r="O13" s="12">
        <v>16</v>
      </c>
      <c r="P13" s="13">
        <v>23302548</v>
      </c>
      <c r="Q13" s="13">
        <v>728204.625</v>
      </c>
      <c r="R13" s="13">
        <v>28114</v>
      </c>
      <c r="S13" s="13">
        <v>6611816</v>
      </c>
      <c r="T13" s="13">
        <v>2792768</v>
      </c>
      <c r="U13" s="13">
        <v>667944</v>
      </c>
      <c r="V13" s="13">
        <v>3151104</v>
      </c>
      <c r="W13" s="13">
        <v>70.065494000000001</v>
      </c>
      <c r="X13" s="13">
        <v>72.574931000000007</v>
      </c>
      <c r="Y13" s="13">
        <v>37.046802999999997</v>
      </c>
      <c r="Z13" s="13">
        <v>41.695096999999997</v>
      </c>
      <c r="AA13" s="13">
        <v>36.089156000000003</v>
      </c>
      <c r="AB13" s="13">
        <v>5750.77</v>
      </c>
      <c r="AC13" s="13">
        <v>0</v>
      </c>
      <c r="AD13" s="13">
        <v>44.235999999999997</v>
      </c>
      <c r="AE13" s="13">
        <v>0</v>
      </c>
      <c r="AG13" s="11">
        <f t="shared" si="6"/>
        <v>6.1928324999999997</v>
      </c>
      <c r="AH13" s="12">
        <f t="shared" si="7"/>
        <v>3.0284478207766669E-2</v>
      </c>
      <c r="AI13" s="12">
        <f t="shared" si="8"/>
        <v>1.5953989478933922E-2</v>
      </c>
      <c r="AJ13" s="12">
        <f t="shared" si="9"/>
        <v>1.2919530322498348E-2</v>
      </c>
      <c r="AK13" s="12">
        <f t="shared" si="10"/>
        <v>1.4330488728832746E-2</v>
      </c>
      <c r="AL13" s="54">
        <f t="shared" si="11"/>
        <v>3479904</v>
      </c>
      <c r="AM13" s="12">
        <v>16</v>
      </c>
      <c r="AN13" s="13">
        <v>23333808</v>
      </c>
      <c r="AO13" s="13">
        <v>729181.5</v>
      </c>
      <c r="AP13" s="13">
        <v>28094.8125</v>
      </c>
      <c r="AQ13" s="13">
        <v>6605688</v>
      </c>
      <c r="AR13" s="13">
        <v>2818024</v>
      </c>
      <c r="AS13" s="13">
        <v>661880</v>
      </c>
      <c r="AT13" s="13">
        <v>3125784</v>
      </c>
      <c r="AU13" s="13">
        <v>70.104118999999997</v>
      </c>
      <c r="AV13" s="13">
        <v>72.629740999999996</v>
      </c>
      <c r="AW13" s="13">
        <v>37.063299999999998</v>
      </c>
      <c r="AX13" s="13">
        <v>41.710718999999997</v>
      </c>
      <c r="AY13" s="13">
        <v>36.097518999999998</v>
      </c>
      <c r="AZ13" s="13">
        <v>6494.13</v>
      </c>
      <c r="BA13" s="13">
        <v>0</v>
      </c>
      <c r="BB13" s="13">
        <v>50.164000000000001</v>
      </c>
      <c r="BC13" s="13">
        <v>0</v>
      </c>
      <c r="BE13" s="51">
        <f t="shared" si="12"/>
        <v>1.0055456796173736</v>
      </c>
      <c r="BF13" s="17">
        <f t="shared" si="13"/>
        <v>-7.8035423066766252E-5</v>
      </c>
      <c r="BG13" s="17">
        <f t="shared" si="14"/>
        <v>3.3909376740811625E-3</v>
      </c>
      <c r="BH13" s="17"/>
      <c r="BJ13" s="51"/>
      <c r="BK13" s="51"/>
      <c r="BL13" s="51"/>
      <c r="BM13" s="51"/>
      <c r="BN13" s="51"/>
      <c r="BP13" s="51"/>
      <c r="BQ13" s="51"/>
      <c r="BR13" s="51"/>
      <c r="BS13" s="51"/>
      <c r="BT13" s="51"/>
    </row>
    <row r="14" spans="1:72" ht="16" outlineLevel="1" thickBot="1" x14ac:dyDescent="0.25">
      <c r="A14" s="18"/>
      <c r="B14" s="37" t="s">
        <v>57</v>
      </c>
      <c r="C14" s="38" t="s">
        <v>234</v>
      </c>
      <c r="D14" s="37">
        <v>218121242</v>
      </c>
      <c r="E14" s="38">
        <v>10</v>
      </c>
      <c r="F14" s="38">
        <v>32</v>
      </c>
      <c r="G14" s="38">
        <v>30</v>
      </c>
      <c r="I14" s="39">
        <f t="shared" si="0"/>
        <v>12.2189175</v>
      </c>
      <c r="J14" s="40">
        <f t="shared" si="1"/>
        <v>5.9753520017092145E-2</v>
      </c>
      <c r="K14" s="40">
        <f t="shared" si="2"/>
        <v>2.6747729595267937E-2</v>
      </c>
      <c r="L14" s="40">
        <f t="shared" si="3"/>
        <v>2.0743655952591724E-2</v>
      </c>
      <c r="M14" s="40">
        <f t="shared" si="4"/>
        <v>3.3005790421824208E-2</v>
      </c>
      <c r="N14" s="37">
        <f t="shared" si="5"/>
        <v>5834248</v>
      </c>
      <c r="O14" s="40">
        <v>16</v>
      </c>
      <c r="P14" s="41">
        <v>22137685</v>
      </c>
      <c r="Q14" s="41">
        <v>691802.65625</v>
      </c>
      <c r="R14" s="41">
        <v>13319.59375</v>
      </c>
      <c r="S14" s="41">
        <v>13033512</v>
      </c>
      <c r="T14" s="41">
        <v>4524632</v>
      </c>
      <c r="U14" s="41">
        <v>1309616</v>
      </c>
      <c r="V14" s="41">
        <v>7199264</v>
      </c>
      <c r="W14" s="41">
        <v>70.915209000000004</v>
      </c>
      <c r="X14" s="41">
        <v>74.637884</v>
      </c>
      <c r="Y14" s="41">
        <v>39.451509000000001</v>
      </c>
      <c r="Z14" s="41">
        <v>42.978534000000003</v>
      </c>
      <c r="AA14" s="41">
        <v>38.253678000000001</v>
      </c>
      <c r="AB14" s="41">
        <v>5967.03</v>
      </c>
      <c r="AC14" s="41">
        <v>0</v>
      </c>
      <c r="AD14" s="41">
        <v>39.764000000000003</v>
      </c>
      <c r="AE14" s="41">
        <v>0</v>
      </c>
      <c r="AG14" s="39">
        <f t="shared" si="6"/>
        <v>12.19923</v>
      </c>
      <c r="AH14" s="40">
        <f t="shared" si="7"/>
        <v>5.9657243286740498E-2</v>
      </c>
      <c r="AI14" s="40">
        <f t="shared" si="8"/>
        <v>2.6726493699316088E-2</v>
      </c>
      <c r="AJ14" s="40">
        <f t="shared" si="9"/>
        <v>2.0755172483384265E-2</v>
      </c>
      <c r="AK14" s="40">
        <f t="shared" si="10"/>
        <v>3.293074958742441E-2</v>
      </c>
      <c r="AL14" s="37">
        <f t="shared" si="11"/>
        <v>5829616</v>
      </c>
      <c r="AM14" s="40">
        <v>16</v>
      </c>
      <c r="AN14" s="41">
        <v>22138009</v>
      </c>
      <c r="AO14" s="41">
        <v>691812.78125</v>
      </c>
      <c r="AP14" s="41">
        <v>13346.5625</v>
      </c>
      <c r="AQ14" s="41">
        <v>13012512</v>
      </c>
      <c r="AR14" s="41">
        <v>4527144</v>
      </c>
      <c r="AS14" s="41">
        <v>1302472</v>
      </c>
      <c r="AT14" s="41">
        <v>7182896</v>
      </c>
      <c r="AU14" s="41">
        <v>70.909638000000001</v>
      </c>
      <c r="AV14" s="41">
        <v>74.660719</v>
      </c>
      <c r="AW14" s="41">
        <v>39.448805999999998</v>
      </c>
      <c r="AX14" s="41">
        <v>42.977103</v>
      </c>
      <c r="AY14" s="41">
        <v>38.252502999999997</v>
      </c>
      <c r="AZ14" s="41">
        <v>7672.2</v>
      </c>
      <c r="BA14" s="41">
        <v>0</v>
      </c>
      <c r="BB14" s="41">
        <v>50.38</v>
      </c>
      <c r="BC14" s="41">
        <v>0</v>
      </c>
      <c r="BE14" s="45">
        <f t="shared" si="12"/>
        <v>0.99920606734578299</v>
      </c>
      <c r="BF14" s="46">
        <f t="shared" si="13"/>
        <v>3.87009454842005E-5</v>
      </c>
      <c r="BG14" s="46">
        <f t="shared" si="14"/>
        <v>3.6644130494872806E-4</v>
      </c>
      <c r="BH14" s="46"/>
      <c r="BJ14" s="45"/>
      <c r="BK14" s="45"/>
      <c r="BL14" s="45"/>
      <c r="BM14" s="45"/>
      <c r="BN14" s="45"/>
      <c r="BP14" s="45"/>
      <c r="BQ14" s="45"/>
      <c r="BR14" s="45"/>
      <c r="BS14" s="45"/>
      <c r="BT14" s="45"/>
    </row>
    <row r="15" spans="1:72" x14ac:dyDescent="0.2">
      <c r="A15" s="54"/>
      <c r="B15" s="54" t="s">
        <v>62</v>
      </c>
      <c r="C15" s="10" t="s">
        <v>230</v>
      </c>
      <c r="D15" s="54">
        <v>322589704</v>
      </c>
      <c r="E15" s="10">
        <v>10</v>
      </c>
      <c r="F15" s="10">
        <v>32</v>
      </c>
      <c r="G15" s="10">
        <v>30</v>
      </c>
      <c r="I15" s="11">
        <f t="shared" si="0"/>
        <v>1.61961</v>
      </c>
      <c r="J15" s="12">
        <f t="shared" si="1"/>
        <v>5.3553600086380937E-3</v>
      </c>
      <c r="K15" s="12">
        <f t="shared" si="2"/>
        <v>4.5031071419439975E-3</v>
      </c>
      <c r="L15" s="12">
        <f t="shared" si="3"/>
        <v>2.3656551667253461E-3</v>
      </c>
      <c r="M15" s="12">
        <f t="shared" si="4"/>
        <v>8.5225286669409633E-4</v>
      </c>
      <c r="N15" s="54">
        <f t="shared" si="5"/>
        <v>1452656</v>
      </c>
      <c r="O15" s="12">
        <v>16</v>
      </c>
      <c r="P15" s="13">
        <v>32415907</v>
      </c>
      <c r="Q15" s="13">
        <v>1012997.09375</v>
      </c>
      <c r="R15" s="13">
        <v>32038.0625</v>
      </c>
      <c r="S15" s="13">
        <v>1727584</v>
      </c>
      <c r="T15" s="13">
        <v>763136</v>
      </c>
      <c r="U15" s="13">
        <v>689520</v>
      </c>
      <c r="V15" s="13">
        <v>274928</v>
      </c>
      <c r="W15" s="13">
        <v>66.298768999999993</v>
      </c>
      <c r="X15" s="13">
        <v>67.850188000000003</v>
      </c>
      <c r="Y15" s="13">
        <v>29.254943999999998</v>
      </c>
      <c r="Z15" s="13">
        <v>43.489891</v>
      </c>
      <c r="AA15" s="13">
        <v>43.7181</v>
      </c>
      <c r="AB15" s="13">
        <v>6612.9</v>
      </c>
      <c r="AC15" s="13">
        <v>0</v>
      </c>
      <c r="AD15" s="13">
        <v>61.539000000000001</v>
      </c>
      <c r="AE15" s="13">
        <v>0</v>
      </c>
      <c r="AG15" s="11">
        <f t="shared" si="6"/>
        <v>1.6180275</v>
      </c>
      <c r="AH15" s="12">
        <f t="shared" si="7"/>
        <v>5.3501273555835492E-3</v>
      </c>
      <c r="AI15" s="12">
        <f t="shared" si="8"/>
        <v>4.5087613831593333E-3</v>
      </c>
      <c r="AJ15" s="12">
        <f t="shared" si="9"/>
        <v>2.39097525567648E-3</v>
      </c>
      <c r="AK15" s="12">
        <f t="shared" si="10"/>
        <v>8.4136597242421597E-4</v>
      </c>
      <c r="AL15" s="54">
        <f t="shared" si="11"/>
        <v>1454480</v>
      </c>
      <c r="AM15" s="12">
        <v>16</v>
      </c>
      <c r="AN15" s="13">
        <v>32449704</v>
      </c>
      <c r="AO15" s="13">
        <v>1014053.25</v>
      </c>
      <c r="AP15" s="13">
        <v>31893.9375</v>
      </c>
      <c r="AQ15" s="13">
        <v>1725896</v>
      </c>
      <c r="AR15" s="13">
        <v>771304</v>
      </c>
      <c r="AS15" s="13">
        <v>683176</v>
      </c>
      <c r="AT15" s="13">
        <v>271416</v>
      </c>
      <c r="AU15" s="13">
        <v>66.318218999999999</v>
      </c>
      <c r="AV15" s="13">
        <v>67.870740999999995</v>
      </c>
      <c r="AW15" s="13">
        <v>29.276081000000001</v>
      </c>
      <c r="AX15" s="13">
        <v>43.339097000000002</v>
      </c>
      <c r="AY15" s="13">
        <v>43.597250000000003</v>
      </c>
      <c r="AZ15" s="13">
        <v>5339.54</v>
      </c>
      <c r="BA15" s="13">
        <v>0</v>
      </c>
      <c r="BB15" s="13">
        <v>58.915999999999997</v>
      </c>
      <c r="BC15" s="13">
        <v>0</v>
      </c>
      <c r="BE15" s="51">
        <f t="shared" si="12"/>
        <v>1.0012556310647529</v>
      </c>
      <c r="BF15" s="17">
        <f t="shared" si="13"/>
        <v>-1.7506778591781097E-4</v>
      </c>
      <c r="BG15" s="17">
        <f t="shared" si="14"/>
        <v>1.8792391918325269E-3</v>
      </c>
      <c r="BH15" s="17">
        <f t="array" ref="BH15">AVERAGE(AL15:AL19/AQ15:AQ19) - AVERAGE(N15:N19/S15:S19)</f>
        <v>1.3535133383668629E-3</v>
      </c>
      <c r="BJ15" s="51">
        <f>IF( OR(ISBLANK(N15:N19),ISBLANK(AL15:AL19), ISBLANK(W15:W19),ISBLANK(AU15:AU19)), "·", bdRateExtend( N15:N19,W15:W19, AL15:AL19,AU15:AU19))</f>
        <v>-5.0675852725201587E-4</v>
      </c>
      <c r="BK15" s="51">
        <f>IF( OR(ISBLANK(N15:N19),ISBLANK(AL15:AL19), ISBLANK(X15:X19),ISBLANK(AV15:AV19)), "·", bdRateExtend( N15:N19,X15:X19, AL15:AL19,AV15:AV19))</f>
        <v>-6.8464247270649814E-4</v>
      </c>
      <c r="BL15" s="51">
        <f>IF( OR(ISBLANK(V15:V19),ISBLANK(AT15:AT19), ISBLANK(Y15:Y19),ISBLANK(AW15:AW19)), "·", bdRateExtend( V15:V19,Y15:Y19, AT15:AT19,AW15:AW19))</f>
        <v>-8.6416712888176539E-3</v>
      </c>
      <c r="BM15" s="51">
        <f>IF( OR(ISBLANK(V15:V19),ISBLANK(AT15:AT19), ISBLANK(Z15:Z19),ISBLANK(AX15:AX19)), "·", bdRateExtend( V15:V19,Z15:Z19, AT15:AT19,AX15:AX19))</f>
        <v>8.8343932841317141E-4</v>
      </c>
      <c r="BN15" s="51">
        <f>IF( OR(ISBLANK(V15:V19),ISBLANK(AT15:AT19), ISBLANK(AA15:AA19),ISBLANK(AY15:AY19)), "·", bdRateExtend( V15:V19,AA15:AA19, AT15:AT19,AY15:AY19))</f>
        <v>8.4163777859562749E-3</v>
      </c>
      <c r="BP15" s="51">
        <f>IF( OR(ISBLANK(S15:S19),ISBLANK(AQ15:AQ19), ISBLANK(W15:W19),ISBLANK(AU15:AU19)), "·", bdRateExtend( S15:S19,W15:W19, AQ15:AQ19,AU15:AU19))</f>
        <v>-2.3762079689818583E-3</v>
      </c>
      <c r="BQ15" s="51">
        <f>IF( OR(ISBLANK(S15:S19),ISBLANK(AQ15:AQ19), ISBLANK(X15:X19),ISBLANK(AV15:AV19)), "·", bdRateExtend( S15:S19,X15:X19, AQ15:AQ19,AV15:AV19))</f>
        <v>-2.4786314388424158E-3</v>
      </c>
      <c r="BR15" s="51">
        <f>IF( OR(ISBLANK(S15:S19),ISBLANK(AQ15:AQ19), ISBLANK(Y15:Y19),ISBLANK(AW15:AW19)), "·", bdRateExtend( S15:S19,Y15:Y19, AQ15:AQ19,AW15:AW19))</f>
        <v>-3.0096445616805134E-3</v>
      </c>
      <c r="BS15" s="51">
        <f>IF( OR(ISBLANK(S15:S19),ISBLANK(AQ15:AQ19), ISBLANK(Z15:Z19),ISBLANK(AX15:AX19)), "·", bdRateExtend( S15:S19,Z15:Z19, AQ15:AQ19,AX15:AX19))</f>
        <v>-4.6810250844064871E-4</v>
      </c>
      <c r="BT15" s="51">
        <f>IF( OR(ISBLANK(S15:S19),ISBLANK(AQ15:AQ19), ISBLANK(AA15:AA19),ISBLANK(AY15:AY19)), "·", bdRateExtend( S15:S19,AA15:AA19, AQ15:AQ19,AY15:AY19))</f>
        <v>4.6230425065505454E-3</v>
      </c>
    </row>
    <row r="16" spans="1:72" outlineLevel="1" x14ac:dyDescent="0.2">
      <c r="A16" s="18"/>
      <c r="B16" s="18" t="s">
        <v>62</v>
      </c>
      <c r="C16" s="19" t="s">
        <v>231</v>
      </c>
      <c r="D16" s="18">
        <v>322589704</v>
      </c>
      <c r="E16" s="19">
        <v>10</v>
      </c>
      <c r="F16" s="19">
        <v>32</v>
      </c>
      <c r="G16" s="19">
        <v>30</v>
      </c>
      <c r="I16" s="20">
        <f t="shared" si="0"/>
        <v>2.1226799999999999</v>
      </c>
      <c r="J16" s="21">
        <f t="shared" si="1"/>
        <v>7.0187980953043683E-3</v>
      </c>
      <c r="K16" s="21">
        <f t="shared" si="2"/>
        <v>5.4336514100276432E-3</v>
      </c>
      <c r="L16" s="21">
        <f t="shared" si="3"/>
        <v>3.2961994348089919E-3</v>
      </c>
      <c r="M16" s="21">
        <f t="shared" si="4"/>
        <v>1.5851466852767253E-3</v>
      </c>
      <c r="N16" s="18">
        <f t="shared" si="5"/>
        <v>1752840</v>
      </c>
      <c r="O16" s="21">
        <v>16</v>
      </c>
      <c r="P16" s="22">
        <v>33875717</v>
      </c>
      <c r="Q16" s="22">
        <v>1058616.15625</v>
      </c>
      <c r="R16" s="22">
        <v>36874.3125</v>
      </c>
      <c r="S16" s="22">
        <v>2264192</v>
      </c>
      <c r="T16" s="22">
        <v>1063320</v>
      </c>
      <c r="U16" s="22">
        <v>689520</v>
      </c>
      <c r="V16" s="22">
        <v>511352</v>
      </c>
      <c r="W16" s="22">
        <v>68.029883999999996</v>
      </c>
      <c r="X16" s="22">
        <v>70.006803000000005</v>
      </c>
      <c r="Y16" s="22">
        <v>31.572084</v>
      </c>
      <c r="Z16" s="22">
        <v>44.071680999999998</v>
      </c>
      <c r="AA16" s="22">
        <v>44.425502999999999</v>
      </c>
      <c r="AB16" s="22">
        <v>4945.7700000000004</v>
      </c>
      <c r="AC16" s="22">
        <v>0</v>
      </c>
      <c r="AD16" s="22">
        <v>49.167999999999999</v>
      </c>
      <c r="AE16" s="22">
        <v>0</v>
      </c>
      <c r="AG16" s="20">
        <f t="shared" si="6"/>
        <v>2.1130125</v>
      </c>
      <c r="AH16" s="21">
        <f t="shared" si="7"/>
        <v>6.9868317929948562E-3</v>
      </c>
      <c r="AI16" s="21">
        <f t="shared" si="8"/>
        <v>5.4236572906865002E-3</v>
      </c>
      <c r="AJ16" s="21">
        <f t="shared" si="9"/>
        <v>3.3058711632036465E-3</v>
      </c>
      <c r="AK16" s="21">
        <f t="shared" si="10"/>
        <v>1.5631745023083564E-3</v>
      </c>
      <c r="AL16" s="18">
        <f t="shared" si="11"/>
        <v>1749616</v>
      </c>
      <c r="AM16" s="21">
        <v>16</v>
      </c>
      <c r="AN16" s="22">
        <v>33687750</v>
      </c>
      <c r="AO16" s="22">
        <v>1052742.1875</v>
      </c>
      <c r="AP16" s="22">
        <v>36252.375</v>
      </c>
      <c r="AQ16" s="22">
        <v>2253880</v>
      </c>
      <c r="AR16" s="22">
        <v>1066440</v>
      </c>
      <c r="AS16" s="22">
        <v>683176</v>
      </c>
      <c r="AT16" s="22">
        <v>504264</v>
      </c>
      <c r="AU16" s="22">
        <v>68.014847000000003</v>
      </c>
      <c r="AV16" s="22">
        <v>70.014628000000002</v>
      </c>
      <c r="AW16" s="22">
        <v>31.575555999999999</v>
      </c>
      <c r="AX16" s="22">
        <v>44.024524999999997</v>
      </c>
      <c r="AY16" s="22">
        <v>44.307521999999999</v>
      </c>
      <c r="AZ16" s="22">
        <v>5929.44</v>
      </c>
      <c r="BA16" s="22">
        <v>0</v>
      </c>
      <c r="BB16" s="22">
        <v>59.109000000000002</v>
      </c>
      <c r="BC16" s="22">
        <v>0</v>
      </c>
      <c r="BE16" s="50">
        <f t="shared" si="12"/>
        <v>0.99816069920814221</v>
      </c>
      <c r="BF16" s="26">
        <f t="shared" si="13"/>
        <v>-3.9642385997871316E-4</v>
      </c>
      <c r="BG16" s="26">
        <f t="shared" si="14"/>
        <v>2.1115172909236257E-3</v>
      </c>
      <c r="BH16" s="26"/>
      <c r="BJ16" s="50"/>
      <c r="BK16" s="50"/>
      <c r="BL16" s="50"/>
      <c r="BM16" s="50"/>
      <c r="BN16" s="50"/>
      <c r="BP16" s="50"/>
      <c r="BQ16" s="50"/>
      <c r="BR16" s="50"/>
      <c r="BS16" s="50"/>
      <c r="BT16" s="50"/>
    </row>
    <row r="17" spans="1:72" outlineLevel="1" x14ac:dyDescent="0.2">
      <c r="A17" s="54"/>
      <c r="B17" s="54" t="s">
        <v>62</v>
      </c>
      <c r="C17" s="10" t="s">
        <v>232</v>
      </c>
      <c r="D17" s="54">
        <v>322589704</v>
      </c>
      <c r="E17" s="10">
        <v>10</v>
      </c>
      <c r="F17" s="10">
        <v>32</v>
      </c>
      <c r="G17" s="10">
        <v>30</v>
      </c>
      <c r="I17" s="11">
        <f t="shared" si="0"/>
        <v>2.992515</v>
      </c>
      <c r="J17" s="12">
        <f t="shared" si="1"/>
        <v>9.8949717254460182E-3</v>
      </c>
      <c r="K17" s="12">
        <f t="shared" si="2"/>
        <v>6.6381783840193482E-3</v>
      </c>
      <c r="L17" s="12">
        <f t="shared" si="3"/>
        <v>4.5007264088006973E-3</v>
      </c>
      <c r="M17" s="12">
        <f t="shared" si="4"/>
        <v>3.2567933414266686E-3</v>
      </c>
      <c r="N17" s="54">
        <f t="shared" si="5"/>
        <v>2141408</v>
      </c>
      <c r="O17" s="12">
        <v>16</v>
      </c>
      <c r="P17" s="13">
        <v>33778649</v>
      </c>
      <c r="Q17" s="13">
        <v>1055582.78125</v>
      </c>
      <c r="R17" s="13">
        <v>37421.15625</v>
      </c>
      <c r="S17" s="13">
        <v>3192016</v>
      </c>
      <c r="T17" s="13">
        <v>1451888</v>
      </c>
      <c r="U17" s="13">
        <v>689520</v>
      </c>
      <c r="V17" s="13">
        <v>1050608</v>
      </c>
      <c r="W17" s="13">
        <v>69.351502999999994</v>
      </c>
      <c r="X17" s="13">
        <v>71.840318999999994</v>
      </c>
      <c r="Y17" s="13">
        <v>33.953462999999999</v>
      </c>
      <c r="Z17" s="13">
        <v>45.161952999999997</v>
      </c>
      <c r="AA17" s="13">
        <v>45.541066000000001</v>
      </c>
      <c r="AB17" s="13">
        <v>5390.44</v>
      </c>
      <c r="AC17" s="13">
        <v>0</v>
      </c>
      <c r="AD17" s="13">
        <v>53.951000000000001</v>
      </c>
      <c r="AE17" s="13">
        <v>0</v>
      </c>
      <c r="AG17" s="11">
        <f t="shared" si="6"/>
        <v>2.989185</v>
      </c>
      <c r="AH17" s="12">
        <f t="shared" si="7"/>
        <v>9.8839608346582564E-3</v>
      </c>
      <c r="AI17" s="12">
        <f t="shared" si="8"/>
        <v>6.6461141611636803E-3</v>
      </c>
      <c r="AJ17" s="12">
        <f t="shared" si="9"/>
        <v>4.5283280336808271E-3</v>
      </c>
      <c r="AK17" s="12">
        <f t="shared" si="10"/>
        <v>3.2378466734945765E-3</v>
      </c>
      <c r="AL17" s="54">
        <f t="shared" si="11"/>
        <v>2143968</v>
      </c>
      <c r="AM17" s="12">
        <v>16</v>
      </c>
      <c r="AN17" s="13">
        <v>33827594</v>
      </c>
      <c r="AO17" s="13">
        <v>1057112.3125</v>
      </c>
      <c r="AP17" s="13">
        <v>37441.25</v>
      </c>
      <c r="AQ17" s="13">
        <v>3188464</v>
      </c>
      <c r="AR17" s="13">
        <v>1460792</v>
      </c>
      <c r="AS17" s="13">
        <v>683176</v>
      </c>
      <c r="AT17" s="13">
        <v>1044496</v>
      </c>
      <c r="AU17" s="13">
        <v>69.352247000000006</v>
      </c>
      <c r="AV17" s="13">
        <v>71.824134000000001</v>
      </c>
      <c r="AW17" s="13">
        <v>33.946993999999997</v>
      </c>
      <c r="AX17" s="13">
        <v>45.172356000000001</v>
      </c>
      <c r="AY17" s="13">
        <v>45.643025000000002</v>
      </c>
      <c r="AZ17" s="13">
        <v>6195.35</v>
      </c>
      <c r="BA17" s="13">
        <v>0</v>
      </c>
      <c r="BB17" s="13">
        <v>57.183</v>
      </c>
      <c r="BC17" s="13">
        <v>0</v>
      </c>
      <c r="BE17" s="51">
        <f t="shared" si="12"/>
        <v>1.0011954751266456</v>
      </c>
      <c r="BF17" s="17">
        <f t="shared" si="13"/>
        <v>-3.2285325131276021E-5</v>
      </c>
      <c r="BG17" s="17">
        <f t="shared" si="14"/>
        <v>1.5502474658797283E-3</v>
      </c>
      <c r="BH17" s="17"/>
      <c r="BJ17" s="51"/>
      <c r="BK17" s="51"/>
      <c r="BL17" s="51"/>
      <c r="BM17" s="51"/>
      <c r="BN17" s="51"/>
      <c r="BP17" s="51"/>
      <c r="BQ17" s="51"/>
      <c r="BR17" s="51"/>
      <c r="BS17" s="51"/>
      <c r="BT17" s="51"/>
    </row>
    <row r="18" spans="1:72" outlineLevel="1" x14ac:dyDescent="0.2">
      <c r="A18" s="18"/>
      <c r="B18" s="18" t="s">
        <v>62</v>
      </c>
      <c r="C18" s="19" t="s">
        <v>233</v>
      </c>
      <c r="D18" s="18">
        <v>322589704</v>
      </c>
      <c r="E18" s="19">
        <v>10</v>
      </c>
      <c r="F18" s="19">
        <v>32</v>
      </c>
      <c r="G18" s="19">
        <v>30</v>
      </c>
      <c r="I18" s="20">
        <f t="shared" si="0"/>
        <v>5.2693275000000002</v>
      </c>
      <c r="J18" s="21">
        <f t="shared" si="1"/>
        <v>1.7423420308541528E-2</v>
      </c>
      <c r="K18" s="21">
        <f t="shared" si="2"/>
        <v>9.8991380084467919E-3</v>
      </c>
      <c r="L18" s="21">
        <f t="shared" si="3"/>
        <v>7.7616860332281401E-3</v>
      </c>
      <c r="M18" s="21">
        <f t="shared" si="4"/>
        <v>7.5242823000947357E-3</v>
      </c>
      <c r="N18" s="18">
        <f t="shared" si="5"/>
        <v>3193360</v>
      </c>
      <c r="O18" s="21">
        <v>16</v>
      </c>
      <c r="P18" s="22">
        <v>34914211</v>
      </c>
      <c r="Q18" s="22">
        <v>1091069.09375</v>
      </c>
      <c r="R18" s="22">
        <v>41605.03125</v>
      </c>
      <c r="S18" s="22">
        <v>5620616</v>
      </c>
      <c r="T18" s="22">
        <v>2503840</v>
      </c>
      <c r="U18" s="22">
        <v>689520</v>
      </c>
      <c r="V18" s="22">
        <v>2427256</v>
      </c>
      <c r="W18" s="22">
        <v>70.529827999999995</v>
      </c>
      <c r="X18" s="22">
        <v>73.133280999999997</v>
      </c>
      <c r="Y18" s="22">
        <v>36.286499999999997</v>
      </c>
      <c r="Z18" s="22">
        <v>46.415525000000002</v>
      </c>
      <c r="AA18" s="22">
        <v>47.009934000000001</v>
      </c>
      <c r="AB18" s="22">
        <v>5802.28</v>
      </c>
      <c r="AC18" s="22">
        <v>0</v>
      </c>
      <c r="AD18" s="22">
        <v>54.237000000000002</v>
      </c>
      <c r="AE18" s="22">
        <v>0</v>
      </c>
      <c r="AG18" s="20">
        <f t="shared" si="6"/>
        <v>5.2608600000000001</v>
      </c>
      <c r="AH18" s="21">
        <f t="shared" si="7"/>
        <v>1.739542189480418E-2</v>
      </c>
      <c r="AI18" s="21">
        <f t="shared" si="8"/>
        <v>9.8859695782479162E-3</v>
      </c>
      <c r="AJ18" s="21">
        <f t="shared" si="9"/>
        <v>7.7681834507650621E-3</v>
      </c>
      <c r="AK18" s="21">
        <f t="shared" si="10"/>
        <v>7.5094523165562654E-3</v>
      </c>
      <c r="AL18" s="18">
        <f t="shared" si="11"/>
        <v>3189112</v>
      </c>
      <c r="AM18" s="21">
        <v>16</v>
      </c>
      <c r="AN18" s="22">
        <v>34900469</v>
      </c>
      <c r="AO18" s="22">
        <v>1090639.65625</v>
      </c>
      <c r="AP18" s="22">
        <v>41535.15625</v>
      </c>
      <c r="AQ18" s="22">
        <v>5611584</v>
      </c>
      <c r="AR18" s="22">
        <v>2505936</v>
      </c>
      <c r="AS18" s="22">
        <v>683176</v>
      </c>
      <c r="AT18" s="22">
        <v>2422472</v>
      </c>
      <c r="AU18" s="22">
        <v>70.536619000000002</v>
      </c>
      <c r="AV18" s="22">
        <v>73.133397000000002</v>
      </c>
      <c r="AW18" s="22">
        <v>36.295881000000001</v>
      </c>
      <c r="AX18" s="22">
        <v>46.443097000000002</v>
      </c>
      <c r="AY18" s="22">
        <v>46.985112000000001</v>
      </c>
      <c r="AZ18" s="22">
        <v>6836.78</v>
      </c>
      <c r="BA18" s="22">
        <v>0</v>
      </c>
      <c r="BB18" s="22">
        <v>64.375</v>
      </c>
      <c r="BC18" s="22">
        <v>0</v>
      </c>
      <c r="BE18" s="50">
        <f t="shared" si="12"/>
        <v>0.99866973970989803</v>
      </c>
      <c r="BF18" s="26">
        <f t="shared" si="13"/>
        <v>-4.9053358348344345E-5</v>
      </c>
      <c r="BG18" s="26">
        <f t="shared" si="14"/>
        <v>1.5744967554354172E-4</v>
      </c>
      <c r="BH18" s="26"/>
      <c r="BJ18" s="50"/>
      <c r="BK18" s="50"/>
      <c r="BL18" s="50"/>
      <c r="BM18" s="50"/>
      <c r="BN18" s="50"/>
      <c r="BP18" s="50"/>
      <c r="BQ18" s="50"/>
      <c r="BR18" s="50"/>
      <c r="BS18" s="50"/>
      <c r="BT18" s="50"/>
    </row>
    <row r="19" spans="1:72" ht="16" outlineLevel="1" thickBot="1" x14ac:dyDescent="0.25">
      <c r="A19" s="54"/>
      <c r="B19" s="27" t="s">
        <v>62</v>
      </c>
      <c r="C19" s="28" t="s">
        <v>234</v>
      </c>
      <c r="D19" s="27">
        <v>322589704</v>
      </c>
      <c r="E19" s="28">
        <v>10</v>
      </c>
      <c r="F19" s="28">
        <v>32</v>
      </c>
      <c r="G19" s="28">
        <v>30</v>
      </c>
      <c r="I19" s="29">
        <f t="shared" si="0"/>
        <v>11.4073875</v>
      </c>
      <c r="J19" s="30">
        <f t="shared" si="1"/>
        <v>3.7719368749599025E-2</v>
      </c>
      <c r="K19" s="30">
        <f t="shared" si="2"/>
        <v>1.742828097204243E-2</v>
      </c>
      <c r="L19" s="30">
        <f t="shared" si="3"/>
        <v>1.2813155375845474E-2</v>
      </c>
      <c r="M19" s="30">
        <f t="shared" si="4"/>
        <v>2.0291087777556595E-2</v>
      </c>
      <c r="N19" s="27">
        <f t="shared" si="5"/>
        <v>5622184</v>
      </c>
      <c r="O19" s="30">
        <v>16</v>
      </c>
      <c r="P19" s="31">
        <v>33017129</v>
      </c>
      <c r="Q19" s="31">
        <v>1031785.28125</v>
      </c>
      <c r="R19" s="31">
        <v>17789.875</v>
      </c>
      <c r="S19" s="31">
        <v>12167880</v>
      </c>
      <c r="T19" s="31">
        <v>4133392</v>
      </c>
      <c r="U19" s="31">
        <v>1488792</v>
      </c>
      <c r="V19" s="31">
        <v>6545696</v>
      </c>
      <c r="W19" s="31">
        <v>71.185462999999999</v>
      </c>
      <c r="X19" s="31">
        <v>75.071727999999993</v>
      </c>
      <c r="Y19" s="31">
        <v>38.667636999999999</v>
      </c>
      <c r="Z19" s="31">
        <v>48.193178000000003</v>
      </c>
      <c r="AA19" s="31">
        <v>48.815303</v>
      </c>
      <c r="AB19" s="31">
        <v>7537.85</v>
      </c>
      <c r="AC19" s="31">
        <v>0</v>
      </c>
      <c r="AD19" s="31">
        <v>58.921999999999997</v>
      </c>
      <c r="AE19" s="31">
        <v>0</v>
      </c>
      <c r="AG19" s="29">
        <f t="shared" si="6"/>
        <v>11.38209</v>
      </c>
      <c r="AH19" s="30">
        <f t="shared" si="7"/>
        <v>3.7635720698637055E-2</v>
      </c>
      <c r="AI19" s="30">
        <f t="shared" si="8"/>
        <v>1.7429868127471299E-2</v>
      </c>
      <c r="AJ19" s="30">
        <f t="shared" si="9"/>
        <v>1.2824042270115354E-2</v>
      </c>
      <c r="AK19" s="30">
        <f t="shared" si="10"/>
        <v>2.0205852571165757E-2</v>
      </c>
      <c r="AL19" s="27">
        <f t="shared" si="11"/>
        <v>5622696</v>
      </c>
      <c r="AM19" s="30">
        <v>16</v>
      </c>
      <c r="AN19" s="31">
        <v>33005293</v>
      </c>
      <c r="AO19" s="31">
        <v>1031415.40625</v>
      </c>
      <c r="AP19" s="31">
        <v>17821.6875</v>
      </c>
      <c r="AQ19" s="31">
        <v>12140896</v>
      </c>
      <c r="AR19" s="31">
        <v>4136904</v>
      </c>
      <c r="AS19" s="31">
        <v>1485792</v>
      </c>
      <c r="AT19" s="31">
        <v>6518200</v>
      </c>
      <c r="AU19" s="31">
        <v>71.179922000000005</v>
      </c>
      <c r="AV19" s="31">
        <v>75.073774999999998</v>
      </c>
      <c r="AW19" s="31">
        <v>38.662796999999998</v>
      </c>
      <c r="AX19" s="31">
        <v>48.158563000000001</v>
      </c>
      <c r="AY19" s="31">
        <v>48.796384000000003</v>
      </c>
      <c r="AZ19" s="31">
        <v>6770.49</v>
      </c>
      <c r="BA19" s="31">
        <v>0</v>
      </c>
      <c r="BB19" s="31">
        <v>55.405999999999999</v>
      </c>
      <c r="BC19" s="31">
        <v>0</v>
      </c>
      <c r="BE19" s="35">
        <f t="shared" si="12"/>
        <v>1.0000910678127932</v>
      </c>
      <c r="BF19" s="36">
        <f t="shared" si="13"/>
        <v>3.7026618680598838E-5</v>
      </c>
      <c r="BG19" s="36">
        <f t="shared" si="14"/>
        <v>1.0691130676549476E-3</v>
      </c>
      <c r="BH19" s="36"/>
      <c r="BJ19" s="35"/>
      <c r="BK19" s="35"/>
      <c r="BL19" s="35"/>
      <c r="BM19" s="35"/>
      <c r="BN19" s="35"/>
      <c r="BP19" s="35"/>
      <c r="BQ19" s="35"/>
      <c r="BR19" s="35"/>
      <c r="BS19" s="35"/>
      <c r="BT19" s="35"/>
    </row>
    <row r="20" spans="1:72" x14ac:dyDescent="0.2">
      <c r="A20" s="18"/>
      <c r="B20" s="18" t="s">
        <v>68</v>
      </c>
      <c r="C20" s="19" t="s">
        <v>230</v>
      </c>
      <c r="D20" s="18">
        <v>250602891</v>
      </c>
      <c r="E20" s="19">
        <v>10</v>
      </c>
      <c r="F20" s="19">
        <v>32</v>
      </c>
      <c r="G20" s="19">
        <v>50</v>
      </c>
      <c r="I20" s="20">
        <f t="shared" si="0"/>
        <v>1.9657374999999999</v>
      </c>
      <c r="J20" s="21">
        <f t="shared" si="1"/>
        <v>5.0201815109946202E-3</v>
      </c>
      <c r="K20" s="21">
        <f t="shared" si="2"/>
        <v>3.9046636537006271E-3</v>
      </c>
      <c r="L20" s="21">
        <f t="shared" si="3"/>
        <v>2.2613625794125417E-3</v>
      </c>
      <c r="M20" s="21">
        <f t="shared" si="4"/>
        <v>1.1155178572939926E-3</v>
      </c>
      <c r="N20" s="18">
        <f t="shared" si="5"/>
        <v>978520</v>
      </c>
      <c r="O20" s="21">
        <v>16</v>
      </c>
      <c r="P20" s="22">
        <v>30601694</v>
      </c>
      <c r="Q20" s="22">
        <v>956302.9375</v>
      </c>
      <c r="R20" s="22">
        <v>28916.46875</v>
      </c>
      <c r="S20" s="22">
        <v>1258072</v>
      </c>
      <c r="T20" s="22">
        <v>566704</v>
      </c>
      <c r="U20" s="22">
        <v>411816</v>
      </c>
      <c r="V20" s="22">
        <v>279552</v>
      </c>
      <c r="W20" s="22">
        <v>67.295671999999996</v>
      </c>
      <c r="X20" s="22">
        <v>69.019294000000002</v>
      </c>
      <c r="Y20" s="22">
        <v>30.055969000000001</v>
      </c>
      <c r="Z20" s="22">
        <v>39.455378000000003</v>
      </c>
      <c r="AA20" s="22">
        <v>38.054138000000002</v>
      </c>
      <c r="AB20" s="22">
        <v>5025.47</v>
      </c>
      <c r="AC20" s="22">
        <v>0</v>
      </c>
      <c r="AD20" s="22">
        <v>48.448</v>
      </c>
      <c r="AE20" s="22">
        <v>0</v>
      </c>
      <c r="AG20" s="20">
        <f t="shared" si="6"/>
        <v>1.9671624999999999</v>
      </c>
      <c r="AH20" s="21">
        <f t="shared" si="7"/>
        <v>5.0238207347735667E-3</v>
      </c>
      <c r="AI20" s="21">
        <f t="shared" si="8"/>
        <v>3.9145278655225088E-3</v>
      </c>
      <c r="AJ20" s="21">
        <f t="shared" si="9"/>
        <v>2.3050332647599025E-3</v>
      </c>
      <c r="AK20" s="21">
        <f t="shared" si="10"/>
        <v>1.1092928692510574E-3</v>
      </c>
      <c r="AL20" s="18">
        <f t="shared" si="11"/>
        <v>980992</v>
      </c>
      <c r="AM20" s="21">
        <v>16</v>
      </c>
      <c r="AN20" s="22">
        <v>30276530</v>
      </c>
      <c r="AO20" s="22">
        <v>946141.5625</v>
      </c>
      <c r="AP20" s="22">
        <v>28243.625</v>
      </c>
      <c r="AQ20" s="22">
        <v>1258984</v>
      </c>
      <c r="AR20" s="22">
        <v>577648</v>
      </c>
      <c r="AS20" s="22">
        <v>403344</v>
      </c>
      <c r="AT20" s="22">
        <v>277992</v>
      </c>
      <c r="AU20" s="22">
        <v>67.313171999999994</v>
      </c>
      <c r="AV20" s="22">
        <v>69.047369000000003</v>
      </c>
      <c r="AW20" s="22">
        <v>30.001075</v>
      </c>
      <c r="AX20" s="22">
        <v>39.608258999999997</v>
      </c>
      <c r="AY20" s="22">
        <v>38.146408999999998</v>
      </c>
      <c r="AZ20" s="22">
        <v>5240.7299999999996</v>
      </c>
      <c r="BA20" s="22">
        <v>0</v>
      </c>
      <c r="BB20" s="22">
        <v>49.454999999999998</v>
      </c>
      <c r="BC20" s="22">
        <v>0</v>
      </c>
      <c r="BE20" s="50">
        <f t="shared" si="12"/>
        <v>1.0025262641540285</v>
      </c>
      <c r="BF20" s="26">
        <f t="shared" si="13"/>
        <v>-3.8639717279431718E-4</v>
      </c>
      <c r="BG20" s="26">
        <f t="shared" si="14"/>
        <v>1.400059484852556E-3</v>
      </c>
      <c r="BH20" s="26">
        <f t="array" ref="BH20">AVERAGE(AL20:AL24/AQ20:AQ24) - AVERAGE(N20:N24/S20:S24)</f>
        <v>4.9376061715877828E-4</v>
      </c>
      <c r="BJ20" s="50">
        <f>IF( OR(ISBLANK(N20:N24),ISBLANK(AL20:AL24), ISBLANK(W20:W24),ISBLANK(AU20:AU24)), "·", bdRateExtend( N20:N24,W20:W24, AL20:AL24,AU20:AU24))</f>
        <v>-5.7483604299463087E-3</v>
      </c>
      <c r="BK20" s="50">
        <f>IF( OR(ISBLANK(N20:N24),ISBLANK(AL20:AL24), ISBLANK(X20:X24),ISBLANK(AV20:AV24)), "·", bdRateExtend( N20:N24,X20:X24, AL20:AL24,AV20:AV24))</f>
        <v>-4.1537383450077625E-3</v>
      </c>
      <c r="BL20" s="50">
        <f>IF( OR(ISBLANK(V20:V24),ISBLANK(AT20:AT24), ISBLANK(Y20:Y24),ISBLANK(AW20:AW24)), "·", bdRateExtend( V20:V24,Y20:Y24, AT20:AT24,AW20:AW24))</f>
        <v>2.4152839683189153E-3</v>
      </c>
      <c r="BM20" s="50">
        <f>IF( OR(ISBLANK(V20:V24),ISBLANK(AT20:AT24), ISBLANK(Z20:Z24),ISBLANK(AX20:AX24)), "·", bdRateExtend( V20:V24,Z20:Z24, AT20:AT24,AX20:AX24))</f>
        <v>-4.1159823057740241E-2</v>
      </c>
      <c r="BN20" s="50">
        <f>IF( OR(ISBLANK(V20:V24),ISBLANK(AT20:AT24), ISBLANK(AA20:AA24),ISBLANK(AY20:AY24)), "·", bdRateExtend( V20:V24,AA20:AA24, AT20:AT24,AY20:AY24))</f>
        <v>-3.4365346225172066E-2</v>
      </c>
      <c r="BP20" s="50">
        <f>IF( OR(ISBLANK(S20:S24),ISBLANK(AQ20:AQ24), ISBLANK(W20:W24),ISBLANK(AU20:AU24)), "·", bdRateExtend( S20:S24,W20:W24, AQ20:AQ24,AU20:AU24))</f>
        <v>-1.2754839887147762E-2</v>
      </c>
      <c r="BQ20" s="50">
        <f>IF( OR(ISBLANK(S20:S24),ISBLANK(AQ20:AQ24), ISBLANK(X20:X24),ISBLANK(AV20:AV24)), "·", bdRateExtend( S20:S24,X20:X24, AQ20:AQ24,AV20:AV24))</f>
        <v>-9.8171067656555033E-3</v>
      </c>
      <c r="BR20" s="50">
        <f>IF( OR(ISBLANK(S20:S24),ISBLANK(AQ20:AQ24), ISBLANK(Y20:Y24),ISBLANK(AW20:AW24)), "·", bdRateExtend( S20:S24,Y20:Y24, AQ20:AQ24,AW20:AW24))</f>
        <v>2.4256995567313311E-3</v>
      </c>
      <c r="BS20" s="50">
        <f>IF( OR(ISBLANK(S20:S24),ISBLANK(AQ20:AQ24), ISBLANK(Z20:Z24),ISBLANK(AX20:AX24)), "·", bdRateExtend( S20:S24,Z20:Z24, AQ20:AQ24,AX20:AX24))</f>
        <v>-2.1188409539800501E-2</v>
      </c>
      <c r="BT20" s="50">
        <f>IF( OR(ISBLANK(S20:S24),ISBLANK(AQ20:AQ24), ISBLANK(AA20:AA24),ISBLANK(AY20:AY24)), "·", bdRateExtend( S20:S24,AA20:AA24, AQ20:AQ24,AY20:AY24))</f>
        <v>-1.8809526622295847E-2</v>
      </c>
    </row>
    <row r="21" spans="1:72" outlineLevel="1" x14ac:dyDescent="0.2">
      <c r="A21" s="54"/>
      <c r="B21" s="54" t="s">
        <v>68</v>
      </c>
      <c r="C21" s="10" t="s">
        <v>231</v>
      </c>
      <c r="D21" s="54">
        <v>250602891</v>
      </c>
      <c r="E21" s="10">
        <v>10</v>
      </c>
      <c r="F21" s="10">
        <v>32</v>
      </c>
      <c r="G21" s="10">
        <v>50</v>
      </c>
      <c r="I21" s="11">
        <f t="shared" si="0"/>
        <v>2.6321374999999998</v>
      </c>
      <c r="J21" s="12">
        <f t="shared" si="1"/>
        <v>6.7220613189175058E-3</v>
      </c>
      <c r="K21" s="12">
        <f t="shared" si="2"/>
        <v>4.6413191617969002E-3</v>
      </c>
      <c r="L21" s="12">
        <f t="shared" si="3"/>
        <v>2.9980180875088147E-3</v>
      </c>
      <c r="M21" s="12">
        <f t="shared" si="4"/>
        <v>2.0807421571206056E-3</v>
      </c>
      <c r="N21" s="54">
        <f t="shared" si="5"/>
        <v>1163128</v>
      </c>
      <c r="O21" s="12">
        <v>16</v>
      </c>
      <c r="P21" s="13">
        <v>31545436</v>
      </c>
      <c r="Q21" s="13">
        <v>985794.875</v>
      </c>
      <c r="R21" s="13">
        <v>33037.84375</v>
      </c>
      <c r="S21" s="13">
        <v>1684568</v>
      </c>
      <c r="T21" s="13">
        <v>751312</v>
      </c>
      <c r="U21" s="13">
        <v>411816</v>
      </c>
      <c r="V21" s="13">
        <v>521440</v>
      </c>
      <c r="W21" s="13">
        <v>68.839996999999997</v>
      </c>
      <c r="X21" s="13">
        <v>70.960471999999996</v>
      </c>
      <c r="Y21" s="13">
        <v>31.511980999999999</v>
      </c>
      <c r="Z21" s="13">
        <v>40.439912</v>
      </c>
      <c r="AA21" s="13">
        <v>39.227077999999999</v>
      </c>
      <c r="AB21" s="13">
        <v>6135</v>
      </c>
      <c r="AC21" s="13">
        <v>0</v>
      </c>
      <c r="AD21" s="13">
        <v>56.921999999999997</v>
      </c>
      <c r="AE21" s="13">
        <v>0</v>
      </c>
      <c r="AG21" s="11">
        <f t="shared" si="6"/>
        <v>2.6500875000000002</v>
      </c>
      <c r="AH21" s="12">
        <f t="shared" si="7"/>
        <v>6.7679027693259928E-3</v>
      </c>
      <c r="AI21" s="12">
        <f t="shared" si="8"/>
        <v>4.6621648909868319E-3</v>
      </c>
      <c r="AJ21" s="12">
        <f t="shared" si="9"/>
        <v>3.0526702902242257E-3</v>
      </c>
      <c r="AK21" s="12">
        <f t="shared" si="10"/>
        <v>2.1057378783391608E-3</v>
      </c>
      <c r="AL21" s="54">
        <f t="shared" si="11"/>
        <v>1168352</v>
      </c>
      <c r="AM21" s="12">
        <v>16</v>
      </c>
      <c r="AN21" s="13">
        <v>31490570</v>
      </c>
      <c r="AO21" s="13">
        <v>984080.3125</v>
      </c>
      <c r="AP21" s="13">
        <v>33475.375</v>
      </c>
      <c r="AQ21" s="13">
        <v>1696056</v>
      </c>
      <c r="AR21" s="13">
        <v>765008</v>
      </c>
      <c r="AS21" s="13">
        <v>403344</v>
      </c>
      <c r="AT21" s="13">
        <v>527704</v>
      </c>
      <c r="AU21" s="13">
        <v>68.918284</v>
      </c>
      <c r="AV21" s="13">
        <v>71.058824999999999</v>
      </c>
      <c r="AW21" s="13">
        <v>31.511780999999999</v>
      </c>
      <c r="AX21" s="13">
        <v>40.562375000000003</v>
      </c>
      <c r="AY21" s="13">
        <v>39.295687999999998</v>
      </c>
      <c r="AZ21" s="13">
        <v>6415.41</v>
      </c>
      <c r="BA21" s="13">
        <v>0</v>
      </c>
      <c r="BB21" s="13">
        <v>59.737000000000002</v>
      </c>
      <c r="BC21" s="13">
        <v>0</v>
      </c>
      <c r="BE21" s="51">
        <f t="shared" si="12"/>
        <v>1.0044913371529187</v>
      </c>
      <c r="BF21" s="17">
        <f t="shared" si="13"/>
        <v>5.0300056031832296E-4</v>
      </c>
      <c r="BG21" s="17">
        <f t="shared" si="14"/>
        <v>-1.5966527746389403E-3</v>
      </c>
      <c r="BH21" s="17"/>
      <c r="BJ21" s="51"/>
      <c r="BK21" s="51"/>
      <c r="BL21" s="51"/>
      <c r="BM21" s="51"/>
      <c r="BN21" s="51"/>
      <c r="BP21" s="51"/>
      <c r="BQ21" s="51"/>
      <c r="BR21" s="51"/>
      <c r="BS21" s="51"/>
      <c r="BT21" s="51"/>
    </row>
    <row r="22" spans="1:72" outlineLevel="1" x14ac:dyDescent="0.2">
      <c r="A22" s="18"/>
      <c r="B22" s="18" t="s">
        <v>68</v>
      </c>
      <c r="C22" s="19" t="s">
        <v>232</v>
      </c>
      <c r="D22" s="18">
        <v>250602891</v>
      </c>
      <c r="E22" s="19">
        <v>10</v>
      </c>
      <c r="F22" s="19">
        <v>32</v>
      </c>
      <c r="G22" s="19">
        <v>50</v>
      </c>
      <c r="I22" s="20">
        <f t="shared" si="0"/>
        <v>4.0659875000000003</v>
      </c>
      <c r="J22" s="21">
        <f t="shared" si="1"/>
        <v>1.038388659291245E-2</v>
      </c>
      <c r="K22" s="21">
        <f t="shared" si="2"/>
        <v>5.5820265856390298E-3</v>
      </c>
      <c r="L22" s="21">
        <f t="shared" si="3"/>
        <v>3.9387255113509448E-3</v>
      </c>
      <c r="M22" s="21">
        <f t="shared" si="4"/>
        <v>4.8018600072734195E-3</v>
      </c>
      <c r="N22" s="18">
        <f t="shared" si="5"/>
        <v>1398872</v>
      </c>
      <c r="O22" s="21">
        <v>16</v>
      </c>
      <c r="P22" s="22">
        <v>32600579</v>
      </c>
      <c r="Q22" s="22">
        <v>1018768.09375</v>
      </c>
      <c r="R22" s="22">
        <v>35285.59375</v>
      </c>
      <c r="S22" s="22">
        <v>2602232</v>
      </c>
      <c r="T22" s="22">
        <v>987056</v>
      </c>
      <c r="U22" s="22">
        <v>411816</v>
      </c>
      <c r="V22" s="22">
        <v>1203360</v>
      </c>
      <c r="W22" s="22">
        <v>70.051181</v>
      </c>
      <c r="X22" s="22">
        <v>72.501681000000005</v>
      </c>
      <c r="Y22" s="22">
        <v>33.310659000000001</v>
      </c>
      <c r="Z22" s="22">
        <v>41.682622000000002</v>
      </c>
      <c r="AA22" s="22">
        <v>40.405306000000003</v>
      </c>
      <c r="AB22" s="22">
        <v>6059.12</v>
      </c>
      <c r="AC22" s="22">
        <v>0</v>
      </c>
      <c r="AD22" s="22">
        <v>52.511000000000003</v>
      </c>
      <c r="AE22" s="22">
        <v>0</v>
      </c>
      <c r="AG22" s="20">
        <f t="shared" si="6"/>
        <v>4.0462749999999996</v>
      </c>
      <c r="AH22" s="21">
        <f t="shared" si="7"/>
        <v>1.0333543997303686E-2</v>
      </c>
      <c r="AI22" s="21">
        <f t="shared" si="8"/>
        <v>5.5641177738847396E-3</v>
      </c>
      <c r="AJ22" s="21">
        <f t="shared" si="9"/>
        <v>3.9546231731221329E-3</v>
      </c>
      <c r="AK22" s="21">
        <f t="shared" si="10"/>
        <v>4.7694262234189468E-3</v>
      </c>
      <c r="AL22" s="18">
        <f t="shared" si="11"/>
        <v>1394384</v>
      </c>
      <c r="AM22" s="21">
        <v>16</v>
      </c>
      <c r="AN22" s="22">
        <v>32659642</v>
      </c>
      <c r="AO22" s="22">
        <v>1020613.8125</v>
      </c>
      <c r="AP22" s="22">
        <v>35250.375</v>
      </c>
      <c r="AQ22" s="22">
        <v>2589616</v>
      </c>
      <c r="AR22" s="22">
        <v>991040</v>
      </c>
      <c r="AS22" s="22">
        <v>403344</v>
      </c>
      <c r="AT22" s="22">
        <v>1195232</v>
      </c>
      <c r="AU22" s="22">
        <v>70.088358999999997</v>
      </c>
      <c r="AV22" s="22">
        <v>72.539978000000005</v>
      </c>
      <c r="AW22" s="22">
        <v>33.344799999999999</v>
      </c>
      <c r="AX22" s="22">
        <v>41.713075000000003</v>
      </c>
      <c r="AY22" s="22">
        <v>40.467458999999998</v>
      </c>
      <c r="AZ22" s="22">
        <v>5623.87</v>
      </c>
      <c r="BA22" s="22">
        <v>0</v>
      </c>
      <c r="BB22" s="22">
        <v>51.945</v>
      </c>
      <c r="BC22" s="22">
        <v>0</v>
      </c>
      <c r="BE22" s="50">
        <f t="shared" si="12"/>
        <v>0.99679170074174062</v>
      </c>
      <c r="BF22" s="26">
        <f t="shared" si="13"/>
        <v>-9.7143732275678518E-5</v>
      </c>
      <c r="BG22" s="26">
        <f t="shared" si="14"/>
        <v>8.8582065275777389E-4</v>
      </c>
      <c r="BH22" s="26"/>
      <c r="BJ22" s="50"/>
      <c r="BK22" s="50"/>
      <c r="BL22" s="50"/>
      <c r="BM22" s="50"/>
      <c r="BN22" s="50"/>
      <c r="BP22" s="50"/>
      <c r="BQ22" s="50"/>
      <c r="BR22" s="50"/>
      <c r="BS22" s="50"/>
      <c r="BT22" s="50"/>
    </row>
    <row r="23" spans="1:72" outlineLevel="1" x14ac:dyDescent="0.2">
      <c r="A23" s="54"/>
      <c r="B23" s="54" t="s">
        <v>68</v>
      </c>
      <c r="C23" s="10" t="s">
        <v>233</v>
      </c>
      <c r="D23" s="54">
        <v>250602891</v>
      </c>
      <c r="E23" s="10">
        <v>10</v>
      </c>
      <c r="F23" s="10">
        <v>32</v>
      </c>
      <c r="G23" s="10">
        <v>50</v>
      </c>
      <c r="I23" s="11">
        <f t="shared" si="0"/>
        <v>7.6340374999999998</v>
      </c>
      <c r="J23" s="12">
        <f t="shared" si="1"/>
        <v>1.949611985920785E-2</v>
      </c>
      <c r="K23" s="12">
        <f t="shared" si="2"/>
        <v>8.2543979909633202E-3</v>
      </c>
      <c r="L23" s="12">
        <f t="shared" si="3"/>
        <v>6.6110969166752352E-3</v>
      </c>
      <c r="M23" s="12">
        <f t="shared" si="4"/>
        <v>1.1241721868244528E-2</v>
      </c>
      <c r="N23" s="54">
        <f t="shared" si="5"/>
        <v>2068576</v>
      </c>
      <c r="O23" s="12">
        <v>16</v>
      </c>
      <c r="P23" s="13">
        <v>32844561</v>
      </c>
      <c r="Q23" s="13">
        <v>1026392.53125</v>
      </c>
      <c r="R23" s="13">
        <v>37184.71875</v>
      </c>
      <c r="S23" s="13">
        <v>4885784</v>
      </c>
      <c r="T23" s="13">
        <v>1656760</v>
      </c>
      <c r="U23" s="13">
        <v>411816</v>
      </c>
      <c r="V23" s="13">
        <v>2817208</v>
      </c>
      <c r="W23" s="13">
        <v>71.043290999999996</v>
      </c>
      <c r="X23" s="13">
        <v>73.804866000000004</v>
      </c>
      <c r="Y23" s="13">
        <v>35.156069000000002</v>
      </c>
      <c r="Z23" s="13">
        <v>42.689112999999999</v>
      </c>
      <c r="AA23" s="13">
        <v>41.408472000000003</v>
      </c>
      <c r="AB23" s="13">
        <v>5889.38</v>
      </c>
      <c r="AC23" s="13">
        <v>0</v>
      </c>
      <c r="AD23" s="13">
        <v>51.354999999999997</v>
      </c>
      <c r="AE23" s="13">
        <v>0</v>
      </c>
      <c r="AG23" s="11">
        <f t="shared" si="6"/>
        <v>7.6313124999999999</v>
      </c>
      <c r="AH23" s="12">
        <f t="shared" si="7"/>
        <v>1.9489160641806003E-2</v>
      </c>
      <c r="AI23" s="12">
        <f t="shared" si="8"/>
        <v>8.2647729710348793E-3</v>
      </c>
      <c r="AJ23" s="12">
        <f t="shared" si="9"/>
        <v>6.6552783702722726E-3</v>
      </c>
      <c r="AK23" s="12">
        <f t="shared" si="10"/>
        <v>1.1224387670771125E-2</v>
      </c>
      <c r="AL23" s="54">
        <f t="shared" si="11"/>
        <v>2071176</v>
      </c>
      <c r="AM23" s="12">
        <v>16</v>
      </c>
      <c r="AN23" s="13">
        <v>32814375</v>
      </c>
      <c r="AO23" s="13">
        <v>1025449.21875</v>
      </c>
      <c r="AP23" s="13">
        <v>37498.3125</v>
      </c>
      <c r="AQ23" s="13">
        <v>4884040</v>
      </c>
      <c r="AR23" s="13">
        <v>1667832</v>
      </c>
      <c r="AS23" s="13">
        <v>403344</v>
      </c>
      <c r="AT23" s="13">
        <v>2812864</v>
      </c>
      <c r="AU23" s="13">
        <v>71.052947000000003</v>
      </c>
      <c r="AV23" s="13">
        <v>73.810550000000006</v>
      </c>
      <c r="AW23" s="13">
        <v>35.141599999999997</v>
      </c>
      <c r="AX23" s="13">
        <v>42.709344000000002</v>
      </c>
      <c r="AY23" s="13">
        <v>41.421455999999999</v>
      </c>
      <c r="AZ23" s="13">
        <v>5817.22</v>
      </c>
      <c r="BA23" s="13">
        <v>0</v>
      </c>
      <c r="BB23" s="13">
        <v>53.598999999999997</v>
      </c>
      <c r="BC23" s="13">
        <v>0</v>
      </c>
      <c r="BE23" s="51">
        <f t="shared" si="12"/>
        <v>1.0012569032996612</v>
      </c>
      <c r="BF23" s="17">
        <f t="shared" si="13"/>
        <v>3.3913780699304508E-4</v>
      </c>
      <c r="BG23" s="17">
        <f t="shared" si="14"/>
        <v>6.8352970438617655E-4</v>
      </c>
      <c r="BH23" s="17"/>
      <c r="BJ23" s="51"/>
      <c r="BK23" s="51"/>
      <c r="BL23" s="51"/>
      <c r="BM23" s="51"/>
      <c r="BN23" s="51"/>
      <c r="BP23" s="51"/>
      <c r="BQ23" s="51"/>
      <c r="BR23" s="51"/>
      <c r="BS23" s="51"/>
      <c r="BT23" s="51"/>
    </row>
    <row r="24" spans="1:72" ht="16" outlineLevel="1" thickBot="1" x14ac:dyDescent="0.25">
      <c r="A24" s="37"/>
      <c r="B24" s="37" t="s">
        <v>68</v>
      </c>
      <c r="C24" s="38" t="s">
        <v>234</v>
      </c>
      <c r="D24" s="37">
        <v>250602891</v>
      </c>
      <c r="E24" s="38">
        <v>10</v>
      </c>
      <c r="F24" s="38">
        <v>32</v>
      </c>
      <c r="G24" s="38">
        <v>50</v>
      </c>
      <c r="I24" s="39">
        <f t="shared" si="0"/>
        <v>15.6280625</v>
      </c>
      <c r="J24" s="40">
        <f t="shared" si="1"/>
        <v>3.9911590644818216E-2</v>
      </c>
      <c r="K24" s="40">
        <f t="shared" si="2"/>
        <v>1.4311790201973368E-2</v>
      </c>
      <c r="L24" s="40">
        <f t="shared" si="3"/>
        <v>1.0695040226012397E-2</v>
      </c>
      <c r="M24" s="40">
        <f t="shared" si="4"/>
        <v>2.559980044284485E-2</v>
      </c>
      <c r="N24" s="37">
        <f t="shared" si="5"/>
        <v>3586576</v>
      </c>
      <c r="O24" s="40">
        <v>16</v>
      </c>
      <c r="P24" s="41">
        <v>31330577</v>
      </c>
      <c r="Q24" s="41">
        <v>979080.53125</v>
      </c>
      <c r="R24" s="41">
        <v>17954.65625</v>
      </c>
      <c r="S24" s="41">
        <v>10001960</v>
      </c>
      <c r="T24" s="41">
        <v>2680208</v>
      </c>
      <c r="U24" s="41">
        <v>906368</v>
      </c>
      <c r="V24" s="41">
        <v>6415384</v>
      </c>
      <c r="W24" s="41">
        <v>71.781302999999994</v>
      </c>
      <c r="X24" s="41">
        <v>75.790836999999996</v>
      </c>
      <c r="Y24" s="41">
        <v>36.237465999999998</v>
      </c>
      <c r="Z24" s="41">
        <v>43.457822</v>
      </c>
      <c r="AA24" s="41">
        <v>41.899444000000003</v>
      </c>
      <c r="AB24" s="41">
        <v>7003.57</v>
      </c>
      <c r="AC24" s="41">
        <v>0</v>
      </c>
      <c r="AD24" s="41">
        <v>51.677</v>
      </c>
      <c r="AE24" s="41">
        <v>0</v>
      </c>
      <c r="AG24" s="39">
        <f t="shared" si="6"/>
        <v>15.569875</v>
      </c>
      <c r="AH24" s="40">
        <f t="shared" si="7"/>
        <v>3.9762989007177896E-2</v>
      </c>
      <c r="AI24" s="40">
        <f t="shared" si="8"/>
        <v>1.430208560522951E-2</v>
      </c>
      <c r="AJ24" s="40">
        <f t="shared" si="9"/>
        <v>1.0721312867855144E-2</v>
      </c>
      <c r="AK24" s="40">
        <f t="shared" si="10"/>
        <v>2.5460903401948384E-2</v>
      </c>
      <c r="AL24" s="37">
        <f t="shared" si="11"/>
        <v>3584144</v>
      </c>
      <c r="AM24" s="40">
        <v>16</v>
      </c>
      <c r="AN24" s="41">
        <v>31315849</v>
      </c>
      <c r="AO24" s="41">
        <v>978620.28125</v>
      </c>
      <c r="AP24" s="41">
        <v>17899.90625</v>
      </c>
      <c r="AQ24" s="41">
        <v>9964720</v>
      </c>
      <c r="AR24" s="41">
        <v>2686792</v>
      </c>
      <c r="AS24" s="41">
        <v>897352</v>
      </c>
      <c r="AT24" s="41">
        <v>6380576</v>
      </c>
      <c r="AU24" s="41">
        <v>71.785381000000001</v>
      </c>
      <c r="AV24" s="41">
        <v>75.816868999999997</v>
      </c>
      <c r="AW24" s="41">
        <v>36.188825000000001</v>
      </c>
      <c r="AX24" s="41">
        <v>43.432305999999997</v>
      </c>
      <c r="AY24" s="41">
        <v>41.892533999999998</v>
      </c>
      <c r="AZ24" s="41">
        <v>5677.6</v>
      </c>
      <c r="BA24" s="41">
        <v>0</v>
      </c>
      <c r="BB24" s="41">
        <v>48.698</v>
      </c>
      <c r="BC24" s="41">
        <v>0</v>
      </c>
      <c r="BE24" s="45">
        <f t="shared" si="12"/>
        <v>0.9993219159443435</v>
      </c>
      <c r="BF24" s="46">
        <f t="shared" si="13"/>
        <v>-4.7321525983128054E-5</v>
      </c>
      <c r="BG24" s="46">
        <f t="shared" si="14"/>
        <v>1.0960460184361032E-3</v>
      </c>
      <c r="BH24" s="46"/>
      <c r="BJ24" s="45"/>
      <c r="BK24" s="45"/>
      <c r="BL24" s="45"/>
      <c r="BM24" s="45"/>
      <c r="BN24" s="45"/>
      <c r="BP24" s="45"/>
      <c r="BQ24" s="45"/>
      <c r="BR24" s="45"/>
      <c r="BS24" s="45"/>
      <c r="BT24" s="45"/>
    </row>
    <row r="25" spans="1:72" x14ac:dyDescent="0.2">
      <c r="A25" s="54" t="s">
        <v>235</v>
      </c>
      <c r="B25" s="54" t="s">
        <v>71</v>
      </c>
      <c r="C25" s="10" t="s">
        <v>230</v>
      </c>
      <c r="D25" s="54">
        <v>250294582</v>
      </c>
      <c r="E25" s="10">
        <v>10</v>
      </c>
      <c r="F25" s="10">
        <v>32</v>
      </c>
      <c r="G25" s="10">
        <v>30</v>
      </c>
      <c r="I25" s="11">
        <f t="shared" si="0"/>
        <v>2.0489025000000001</v>
      </c>
      <c r="J25" s="12">
        <f t="shared" si="1"/>
        <v>8.7316951990594818E-3</v>
      </c>
      <c r="K25" s="12">
        <f t="shared" si="2"/>
        <v>5.6727716143691832E-3</v>
      </c>
      <c r="L25" s="12">
        <f t="shared" si="3"/>
        <v>3.5053415578927714E-3</v>
      </c>
      <c r="M25" s="12">
        <f t="shared" si="4"/>
        <v>3.0589235846902991E-3</v>
      </c>
      <c r="N25" s="54">
        <f t="shared" si="5"/>
        <v>1419864</v>
      </c>
      <c r="O25" s="12">
        <v>16</v>
      </c>
      <c r="P25" s="13">
        <v>23412684</v>
      </c>
      <c r="Q25" s="13">
        <v>731646.375</v>
      </c>
      <c r="R25" s="13">
        <v>14608.71875</v>
      </c>
      <c r="S25" s="13">
        <v>2185496</v>
      </c>
      <c r="T25" s="13">
        <v>877368</v>
      </c>
      <c r="U25" s="13">
        <v>542496</v>
      </c>
      <c r="V25" s="13">
        <v>765632</v>
      </c>
      <c r="W25" s="13">
        <v>66.251328000000001</v>
      </c>
      <c r="X25" s="13">
        <v>68.010480999999999</v>
      </c>
      <c r="Y25" s="13">
        <v>25.910527999999999</v>
      </c>
      <c r="Z25" s="13">
        <v>32.464300000000001</v>
      </c>
      <c r="AA25" s="13">
        <v>31.666947</v>
      </c>
      <c r="AB25" s="13">
        <v>5844.48</v>
      </c>
      <c r="AC25" s="13">
        <v>0</v>
      </c>
      <c r="AD25" s="13">
        <v>49.573999999999998</v>
      </c>
      <c r="AE25" s="13">
        <v>0</v>
      </c>
      <c r="AG25" s="11">
        <f t="shared" si="6"/>
        <v>2.0544150000000001</v>
      </c>
      <c r="AH25" s="12">
        <f t="shared" si="7"/>
        <v>8.7551875174029931E-3</v>
      </c>
      <c r="AI25" s="12">
        <f t="shared" si="8"/>
        <v>5.6891682937028178E-3</v>
      </c>
      <c r="AJ25" s="12">
        <f t="shared" si="9"/>
        <v>3.5222176722946403E-3</v>
      </c>
      <c r="AK25" s="12">
        <f t="shared" si="10"/>
        <v>3.0660192237001757E-3</v>
      </c>
      <c r="AL25" s="54">
        <f t="shared" si="11"/>
        <v>1423968</v>
      </c>
      <c r="AM25" s="12">
        <v>16</v>
      </c>
      <c r="AN25" s="13">
        <v>23471131</v>
      </c>
      <c r="AO25" s="13">
        <v>733472.84375</v>
      </c>
      <c r="AP25" s="13">
        <v>14485.53125</v>
      </c>
      <c r="AQ25" s="13">
        <v>2191376</v>
      </c>
      <c r="AR25" s="13">
        <v>881592</v>
      </c>
      <c r="AS25" s="13">
        <v>542376</v>
      </c>
      <c r="AT25" s="13">
        <v>767408</v>
      </c>
      <c r="AU25" s="13">
        <v>66.278818999999999</v>
      </c>
      <c r="AV25" s="13">
        <v>68.012412999999995</v>
      </c>
      <c r="AW25" s="13">
        <v>25.920352999999999</v>
      </c>
      <c r="AX25" s="13">
        <v>32.470756000000002</v>
      </c>
      <c r="AY25" s="13">
        <v>31.677741000000001</v>
      </c>
      <c r="AZ25" s="13">
        <v>5534.86</v>
      </c>
      <c r="BA25" s="13">
        <v>0</v>
      </c>
      <c r="BB25" s="13">
        <v>50.96</v>
      </c>
      <c r="BC25" s="13">
        <v>0</v>
      </c>
      <c r="BE25" s="51">
        <f t="shared" si="12"/>
        <v>1.0028904176738054</v>
      </c>
      <c r="BF25" s="17">
        <f t="shared" si="13"/>
        <v>-2.1767191802084598E-4</v>
      </c>
      <c r="BG25" s="17">
        <f t="shared" si="14"/>
        <v>1.2955600738773221E-4</v>
      </c>
      <c r="BH25" s="17">
        <f t="array" ref="BH25">AVERAGE(AL25:AL29/AQ25:AQ29) - AVERAGE(N25:N29/S25:S29)</f>
        <v>7.7146004897621356E-4</v>
      </c>
      <c r="BJ25" s="51">
        <f>IF( OR(ISBLANK(N25:N29),ISBLANK(AL25:AL29), ISBLANK(W25:W29),ISBLANK(AU25:AU29)), "·", bdRateExtend( N25:N29,W25:W29, AL25:AL29,AU25:AU29))</f>
        <v>1.8370461865762078E-3</v>
      </c>
      <c r="BK25" s="51">
        <f>IF( OR(ISBLANK(N25:N29),ISBLANK(AL25:AL29), ISBLANK(X25:X29),ISBLANK(AV25:AV29)), "·", bdRateExtend( N25:N29,X25:X29, AL25:AL29,AV25:AV29))</f>
        <v>2.3533713586687544E-3</v>
      </c>
      <c r="BL25" s="51">
        <f>IF( OR(ISBLANK(V25:V29),ISBLANK(AT25:AT29), ISBLANK(Y25:Y29),ISBLANK(AW25:AW29)), "·", bdRateExtend( V25:V29,Y25:Y29, AT25:AT29,AW25:AW29))</f>
        <v>-3.0310210114082858E-3</v>
      </c>
      <c r="BM25" s="51">
        <f>IF( OR(ISBLANK(V25:V29),ISBLANK(AT25:AT29), ISBLANK(Z25:Z29),ISBLANK(AX25:AX29)), "·", bdRateExtend( V25:V29,Z25:Z29, AT25:AT29,AX25:AX29))</f>
        <v>6.6544099190637418E-3</v>
      </c>
      <c r="BN25" s="51">
        <f>IF( OR(ISBLANK(V25:V29),ISBLANK(AT25:AT29), ISBLANK(AA25:AA29),ISBLANK(AY25:AY29)), "·", bdRateExtend( V25:V29,AA25:AA29, AT25:AT29,AY25:AY29))</f>
        <v>1.5224279155376941E-3</v>
      </c>
      <c r="BP25" s="51">
        <f>IF( OR(ISBLANK(S25:S29),ISBLANK(AQ25:AQ29), ISBLANK(W25:W29),ISBLANK(AU25:AU29)), "·", bdRateExtend( S25:S29,W25:W29, AQ25:AQ29,AU25:AU29))</f>
        <v>-3.4732512212900524E-3</v>
      </c>
      <c r="BQ25" s="51">
        <f>IF( OR(ISBLANK(S25:S29),ISBLANK(AQ25:AQ29), ISBLANK(X25:X29),ISBLANK(AV25:AV29)), "·", bdRateExtend( S25:S29,X25:X29, AQ25:AQ29,AV25:AV29))</f>
        <v>-3.8864058618816033E-3</v>
      </c>
      <c r="BR25" s="51">
        <f>IF( OR(ISBLANK(S25:S29),ISBLANK(AQ25:AQ29), ISBLANK(Y25:Y29),ISBLANK(AW25:AW29)), "·", bdRateExtend( S25:S29,Y25:Y29, AQ25:AQ29,AW25:AW29))</f>
        <v>-4.3689468399721321E-5</v>
      </c>
      <c r="BS25" s="51">
        <f>IF( OR(ISBLANK(S25:S29),ISBLANK(AQ25:AQ29), ISBLANK(Z25:Z29),ISBLANK(AX25:AX29)), "·", bdRateExtend( S25:S29,Z25:Z29, AQ25:AQ29,AX25:AX29))</f>
        <v>7.0754514286259784E-3</v>
      </c>
      <c r="BT25" s="51">
        <f>IF( OR(ISBLANK(S25:S29),ISBLANK(AQ25:AQ29), ISBLANK(AA25:AA29),ISBLANK(AY25:AY29)), "·", bdRateExtend( S25:S29,AA25:AA29, AQ25:AQ29,AY25:AY29))</f>
        <v>3.1090497008767759E-3</v>
      </c>
    </row>
    <row r="26" spans="1:72" outlineLevel="1" x14ac:dyDescent="0.2">
      <c r="A26" s="18"/>
      <c r="B26" s="18" t="s">
        <v>71</v>
      </c>
      <c r="C26" s="19" t="s">
        <v>231</v>
      </c>
      <c r="D26" s="18">
        <v>250294582</v>
      </c>
      <c r="E26" s="19">
        <v>10</v>
      </c>
      <c r="F26" s="19">
        <v>32</v>
      </c>
      <c r="G26" s="19">
        <v>30</v>
      </c>
      <c r="I26" s="20">
        <f t="shared" si="0"/>
        <v>3.1637849999999998</v>
      </c>
      <c r="J26" s="21">
        <f t="shared" si="1"/>
        <v>1.3482928687605391E-2</v>
      </c>
      <c r="K26" s="21">
        <f t="shared" si="2"/>
        <v>7.144669236188261E-3</v>
      </c>
      <c r="L26" s="21">
        <f t="shared" si="3"/>
        <v>4.9772391797118483E-3</v>
      </c>
      <c r="M26" s="21">
        <f t="shared" si="4"/>
        <v>6.3382594514171308E-3</v>
      </c>
      <c r="N26" s="18">
        <f t="shared" si="5"/>
        <v>1788272</v>
      </c>
      <c r="O26" s="21">
        <v>16</v>
      </c>
      <c r="P26" s="22">
        <v>24648707</v>
      </c>
      <c r="Q26" s="22">
        <v>770272.09375</v>
      </c>
      <c r="R26" s="22">
        <v>17797.59375</v>
      </c>
      <c r="S26" s="22">
        <v>3374704</v>
      </c>
      <c r="T26" s="22">
        <v>1245776</v>
      </c>
      <c r="U26" s="22">
        <v>542496</v>
      </c>
      <c r="V26" s="22">
        <v>1586432</v>
      </c>
      <c r="W26" s="22">
        <v>68.002734000000004</v>
      </c>
      <c r="X26" s="22">
        <v>70.010191000000006</v>
      </c>
      <c r="Y26" s="22">
        <v>27.926349999999999</v>
      </c>
      <c r="Z26" s="22">
        <v>33.678341000000003</v>
      </c>
      <c r="AA26" s="22">
        <v>33.052799999999998</v>
      </c>
      <c r="AB26" s="22">
        <v>5005.29</v>
      </c>
      <c r="AC26" s="22">
        <v>0</v>
      </c>
      <c r="AD26" s="22">
        <v>46.179000000000002</v>
      </c>
      <c r="AE26" s="22">
        <v>0</v>
      </c>
      <c r="AG26" s="20">
        <f t="shared" si="6"/>
        <v>3.1757550000000001</v>
      </c>
      <c r="AH26" s="21">
        <f t="shared" si="7"/>
        <v>1.3533940578865587E-2</v>
      </c>
      <c r="AI26" s="21">
        <f t="shared" si="8"/>
        <v>7.1765356870569412E-3</v>
      </c>
      <c r="AJ26" s="21">
        <f t="shared" si="9"/>
        <v>5.0095850656487646E-3</v>
      </c>
      <c r="AK26" s="21">
        <f t="shared" si="10"/>
        <v>6.3574048918086448E-3</v>
      </c>
      <c r="AL26" s="18">
        <f t="shared" si="11"/>
        <v>1796248</v>
      </c>
      <c r="AM26" s="21">
        <v>16</v>
      </c>
      <c r="AN26" s="22">
        <v>24603925</v>
      </c>
      <c r="AO26" s="22">
        <v>768872.65625</v>
      </c>
      <c r="AP26" s="22">
        <v>17675.15625</v>
      </c>
      <c r="AQ26" s="22">
        <v>3387472</v>
      </c>
      <c r="AR26" s="22">
        <v>1253872</v>
      </c>
      <c r="AS26" s="22">
        <v>542376</v>
      </c>
      <c r="AT26" s="22">
        <v>1591224</v>
      </c>
      <c r="AU26" s="22">
        <v>67.993459000000001</v>
      </c>
      <c r="AV26" s="22">
        <v>70.001113000000004</v>
      </c>
      <c r="AW26" s="22">
        <v>27.948222000000001</v>
      </c>
      <c r="AX26" s="22">
        <v>33.660603000000002</v>
      </c>
      <c r="AY26" s="22">
        <v>33.040697000000002</v>
      </c>
      <c r="AZ26" s="22">
        <v>5903.29</v>
      </c>
      <c r="BA26" s="22">
        <v>0</v>
      </c>
      <c r="BB26" s="22">
        <v>51.487000000000002</v>
      </c>
      <c r="BC26" s="22">
        <v>0</v>
      </c>
      <c r="BE26" s="50">
        <f t="shared" si="12"/>
        <v>1.0044601716070038</v>
      </c>
      <c r="BF26" s="26">
        <f t="shared" si="13"/>
        <v>-1.1718802262610656E-4</v>
      </c>
      <c r="BG26" s="26">
        <f t="shared" si="14"/>
        <v>3.5725016743892724E-4</v>
      </c>
      <c r="BH26" s="26"/>
      <c r="BJ26" s="50"/>
      <c r="BK26" s="50"/>
      <c r="BL26" s="50"/>
      <c r="BM26" s="50"/>
      <c r="BN26" s="50"/>
      <c r="BP26" s="50"/>
      <c r="BQ26" s="50"/>
      <c r="BR26" s="50"/>
      <c r="BS26" s="50"/>
      <c r="BT26" s="50"/>
    </row>
    <row r="27" spans="1:72" outlineLevel="1" x14ac:dyDescent="0.2">
      <c r="A27" s="54"/>
      <c r="B27" s="54" t="s">
        <v>71</v>
      </c>
      <c r="C27" s="10" t="s">
        <v>232</v>
      </c>
      <c r="D27" s="54">
        <v>250294582</v>
      </c>
      <c r="E27" s="10">
        <v>10</v>
      </c>
      <c r="F27" s="10">
        <v>32</v>
      </c>
      <c r="G27" s="10">
        <v>30</v>
      </c>
      <c r="I27" s="11">
        <f t="shared" si="0"/>
        <v>5.3403450000000001</v>
      </c>
      <c r="J27" s="12">
        <f t="shared" si="1"/>
        <v>2.2758654839759977E-2</v>
      </c>
      <c r="K27" s="12">
        <f t="shared" si="2"/>
        <v>9.3072410173065598E-3</v>
      </c>
      <c r="L27" s="12">
        <f t="shared" si="3"/>
        <v>7.1398109608301471E-3</v>
      </c>
      <c r="M27" s="12">
        <f t="shared" si="4"/>
        <v>1.3451413822453417E-2</v>
      </c>
      <c r="N27" s="54">
        <f t="shared" si="5"/>
        <v>2329552</v>
      </c>
      <c r="O27" s="12">
        <v>16</v>
      </c>
      <c r="P27" s="13">
        <v>24857847</v>
      </c>
      <c r="Q27" s="13">
        <v>776807.71875</v>
      </c>
      <c r="R27" s="13">
        <v>18658.4375</v>
      </c>
      <c r="S27" s="13">
        <v>5696368</v>
      </c>
      <c r="T27" s="13">
        <v>1787056</v>
      </c>
      <c r="U27" s="13">
        <v>542496</v>
      </c>
      <c r="V27" s="13">
        <v>3366816</v>
      </c>
      <c r="W27" s="13">
        <v>69.296153000000004</v>
      </c>
      <c r="X27" s="13">
        <v>71.689296999999996</v>
      </c>
      <c r="Y27" s="13">
        <v>30.202444</v>
      </c>
      <c r="Z27" s="13">
        <v>34.930669000000002</v>
      </c>
      <c r="AA27" s="13">
        <v>34.361666</v>
      </c>
      <c r="AB27" s="13">
        <v>4657.3</v>
      </c>
      <c r="AC27" s="13">
        <v>0</v>
      </c>
      <c r="AD27" s="13">
        <v>43.698999999999998</v>
      </c>
      <c r="AE27" s="13">
        <v>0</v>
      </c>
      <c r="AG27" s="11">
        <f t="shared" si="6"/>
        <v>5.3505975000000001</v>
      </c>
      <c r="AH27" s="12">
        <f t="shared" si="7"/>
        <v>2.2802347355645118E-2</v>
      </c>
      <c r="AI27" s="12">
        <f t="shared" si="8"/>
        <v>9.335591611008184E-3</v>
      </c>
      <c r="AJ27" s="12">
        <f t="shared" si="9"/>
        <v>7.1686409896000065E-3</v>
      </c>
      <c r="AK27" s="12">
        <f t="shared" si="10"/>
        <v>1.3466755744636934E-2</v>
      </c>
      <c r="AL27" s="54">
        <f t="shared" si="11"/>
        <v>2336648</v>
      </c>
      <c r="AM27" s="12">
        <v>16</v>
      </c>
      <c r="AN27" s="13">
        <v>24855934</v>
      </c>
      <c r="AO27" s="13">
        <v>776747.9375</v>
      </c>
      <c r="AP27" s="13">
        <v>18614.96875</v>
      </c>
      <c r="AQ27" s="13">
        <v>5707304</v>
      </c>
      <c r="AR27" s="13">
        <v>1794272</v>
      </c>
      <c r="AS27" s="13">
        <v>542376</v>
      </c>
      <c r="AT27" s="13">
        <v>3370656</v>
      </c>
      <c r="AU27" s="13">
        <v>69.298418999999996</v>
      </c>
      <c r="AV27" s="13">
        <v>71.688096999999999</v>
      </c>
      <c r="AW27" s="13">
        <v>30.214378</v>
      </c>
      <c r="AX27" s="13">
        <v>34.915359000000002</v>
      </c>
      <c r="AY27" s="13">
        <v>34.364088000000002</v>
      </c>
      <c r="AZ27" s="13">
        <v>5509.91</v>
      </c>
      <c r="BA27" s="13">
        <v>0</v>
      </c>
      <c r="BB27" s="13">
        <v>45.48</v>
      </c>
      <c r="BC27" s="13">
        <v>0</v>
      </c>
      <c r="BE27" s="51">
        <f t="shared" si="12"/>
        <v>1.0030460792461382</v>
      </c>
      <c r="BF27" s="17">
        <f t="shared" si="13"/>
        <v>-5.4113876054050214E-5</v>
      </c>
      <c r="BG27" s="17">
        <f t="shared" si="14"/>
        <v>4.5970566413350289E-4</v>
      </c>
      <c r="BH27" s="17"/>
      <c r="BJ27" s="51"/>
      <c r="BK27" s="51"/>
      <c r="BL27" s="51"/>
      <c r="BM27" s="51"/>
      <c r="BN27" s="51"/>
      <c r="BP27" s="51"/>
      <c r="BQ27" s="51"/>
      <c r="BR27" s="51"/>
      <c r="BS27" s="51"/>
      <c r="BT27" s="51"/>
    </row>
    <row r="28" spans="1:72" outlineLevel="1" x14ac:dyDescent="0.2">
      <c r="A28" s="18"/>
      <c r="B28" s="18" t="s">
        <v>71</v>
      </c>
      <c r="C28" s="19" t="s">
        <v>233</v>
      </c>
      <c r="D28" s="18">
        <v>250294582</v>
      </c>
      <c r="E28" s="19">
        <v>10</v>
      </c>
      <c r="F28" s="19">
        <v>32</v>
      </c>
      <c r="G28" s="19">
        <v>30</v>
      </c>
      <c r="I28" s="20">
        <f t="shared" si="0"/>
        <v>10.294499999999999</v>
      </c>
      <c r="J28" s="21">
        <f t="shared" si="1"/>
        <v>4.3871504977283128E-2</v>
      </c>
      <c r="K28" s="21">
        <f t="shared" si="2"/>
        <v>1.3065148969145485E-2</v>
      </c>
      <c r="L28" s="21">
        <f t="shared" si="3"/>
        <v>1.0897718912669073E-2</v>
      </c>
      <c r="M28" s="21">
        <f t="shared" si="4"/>
        <v>3.0806356008137643E-2</v>
      </c>
      <c r="N28" s="18">
        <f t="shared" si="5"/>
        <v>3270136</v>
      </c>
      <c r="O28" s="21">
        <v>16</v>
      </c>
      <c r="P28" s="22">
        <v>25537404</v>
      </c>
      <c r="Q28" s="22">
        <v>798043.875</v>
      </c>
      <c r="R28" s="22">
        <v>21046.25</v>
      </c>
      <c r="S28" s="22">
        <v>10980800</v>
      </c>
      <c r="T28" s="22">
        <v>2727640</v>
      </c>
      <c r="U28" s="22">
        <v>542496</v>
      </c>
      <c r="V28" s="22">
        <v>7710664</v>
      </c>
      <c r="W28" s="22">
        <v>70.432884000000001</v>
      </c>
      <c r="X28" s="22">
        <v>72.951308999999995</v>
      </c>
      <c r="Y28" s="22">
        <v>32.697575000000001</v>
      </c>
      <c r="Z28" s="22">
        <v>36.426772</v>
      </c>
      <c r="AA28" s="22">
        <v>35.862791000000001</v>
      </c>
      <c r="AB28" s="22">
        <v>5232.01</v>
      </c>
      <c r="AC28" s="22">
        <v>0</v>
      </c>
      <c r="AD28" s="22">
        <v>45.082000000000001</v>
      </c>
      <c r="AE28" s="22">
        <v>0</v>
      </c>
      <c r="AG28" s="20">
        <f t="shared" si="6"/>
        <v>10.31625</v>
      </c>
      <c r="AH28" s="21">
        <f t="shared" si="7"/>
        <v>4.3964195757141881E-2</v>
      </c>
      <c r="AI28" s="21">
        <f t="shared" si="8"/>
        <v>1.3232407883283706E-2</v>
      </c>
      <c r="AJ28" s="21">
        <f t="shared" si="9"/>
        <v>1.1065457261875529E-2</v>
      </c>
      <c r="AK28" s="21">
        <f t="shared" si="10"/>
        <v>3.0731787873858173E-2</v>
      </c>
      <c r="AL28" s="18">
        <f t="shared" si="11"/>
        <v>3312000</v>
      </c>
      <c r="AM28" s="21">
        <v>16</v>
      </c>
      <c r="AN28" s="22">
        <v>25575001</v>
      </c>
      <c r="AO28" s="22">
        <v>799218.78125</v>
      </c>
      <c r="AP28" s="22">
        <v>20984.21875</v>
      </c>
      <c r="AQ28" s="22">
        <v>11004000</v>
      </c>
      <c r="AR28" s="22">
        <v>2769624</v>
      </c>
      <c r="AS28" s="22">
        <v>542376</v>
      </c>
      <c r="AT28" s="22">
        <v>7692000</v>
      </c>
      <c r="AU28" s="22">
        <v>70.470590999999999</v>
      </c>
      <c r="AV28" s="22">
        <v>73.003634000000005</v>
      </c>
      <c r="AW28" s="22">
        <v>32.702041000000001</v>
      </c>
      <c r="AX28" s="22">
        <v>36.418225</v>
      </c>
      <c r="AY28" s="22">
        <v>35.864283999999998</v>
      </c>
      <c r="AZ28" s="22">
        <v>5514.15</v>
      </c>
      <c r="BA28" s="22">
        <v>0</v>
      </c>
      <c r="BB28" s="22">
        <v>49.116999999999997</v>
      </c>
      <c r="BC28" s="22">
        <v>0</v>
      </c>
      <c r="BE28" s="50">
        <f t="shared" si="12"/>
        <v>1.0128019140488347</v>
      </c>
      <c r="BF28" s="26">
        <f t="shared" si="13"/>
        <v>-1.1638393468856381E-4</v>
      </c>
      <c r="BG28" s="26">
        <f t="shared" si="14"/>
        <v>3.1765654686494726E-3</v>
      </c>
      <c r="BH28" s="26"/>
      <c r="BJ28" s="50"/>
      <c r="BK28" s="50"/>
      <c r="BL28" s="50"/>
      <c r="BM28" s="50"/>
      <c r="BN28" s="50"/>
      <c r="BP28" s="50"/>
      <c r="BQ28" s="50"/>
      <c r="BR28" s="50"/>
      <c r="BS28" s="50"/>
      <c r="BT28" s="50"/>
    </row>
    <row r="29" spans="1:72" ht="16" outlineLevel="1" thickBot="1" x14ac:dyDescent="0.25">
      <c r="A29" s="27"/>
      <c r="B29" s="27" t="s">
        <v>71</v>
      </c>
      <c r="C29" s="28" t="s">
        <v>234</v>
      </c>
      <c r="D29" s="27">
        <v>250294582</v>
      </c>
      <c r="E29" s="28">
        <v>10</v>
      </c>
      <c r="F29" s="28">
        <v>32</v>
      </c>
      <c r="G29" s="28">
        <v>30</v>
      </c>
      <c r="I29" s="29">
        <f t="shared" si="0"/>
        <v>23.850157500000002</v>
      </c>
      <c r="J29" s="30">
        <f t="shared" si="1"/>
        <v>0.10164090567489791</v>
      </c>
      <c r="K29" s="30">
        <f t="shared" si="2"/>
        <v>2.1618398435807932E-2</v>
      </c>
      <c r="L29" s="30">
        <f t="shared" si="3"/>
        <v>1.7254836143436775E-2</v>
      </c>
      <c r="M29" s="30">
        <f t="shared" si="4"/>
        <v>8.0022507239089977E-2</v>
      </c>
      <c r="N29" s="27">
        <f t="shared" si="5"/>
        <v>5410968</v>
      </c>
      <c r="O29" s="30">
        <v>16</v>
      </c>
      <c r="P29" s="31">
        <v>24583774</v>
      </c>
      <c r="Q29" s="31">
        <v>768242.9375</v>
      </c>
      <c r="R29" s="31">
        <v>9806.6875</v>
      </c>
      <c r="S29" s="31">
        <v>25440168</v>
      </c>
      <c r="T29" s="31">
        <v>4318792</v>
      </c>
      <c r="U29" s="31">
        <v>1092176</v>
      </c>
      <c r="V29" s="31">
        <v>20029200</v>
      </c>
      <c r="W29" s="31">
        <v>71.135999999999996</v>
      </c>
      <c r="X29" s="31">
        <v>74.866600000000005</v>
      </c>
      <c r="Y29" s="31">
        <v>35.733812</v>
      </c>
      <c r="Z29" s="31">
        <v>38.377409</v>
      </c>
      <c r="AA29" s="31">
        <v>37.761606</v>
      </c>
      <c r="AB29" s="31">
        <v>7839.24</v>
      </c>
      <c r="AC29" s="31">
        <v>0</v>
      </c>
      <c r="AD29" s="31">
        <v>55.000999999999998</v>
      </c>
      <c r="AE29" s="31">
        <v>0</v>
      </c>
      <c r="AG29" s="29">
        <f t="shared" si="6"/>
        <v>23.887799999999999</v>
      </c>
      <c r="AH29" s="30">
        <f t="shared" si="7"/>
        <v>0.10180132464872932</v>
      </c>
      <c r="AI29" s="30">
        <f t="shared" si="8"/>
        <v>2.1625462112479926E-2</v>
      </c>
      <c r="AJ29" s="30">
        <f t="shared" si="9"/>
        <v>1.7259214983726654E-2</v>
      </c>
      <c r="AK29" s="30">
        <f t="shared" si="10"/>
        <v>8.0175862536249393E-2</v>
      </c>
      <c r="AL29" s="27">
        <f t="shared" si="11"/>
        <v>5412736</v>
      </c>
      <c r="AM29" s="30">
        <v>16</v>
      </c>
      <c r="AN29" s="31">
        <v>24584027</v>
      </c>
      <c r="AO29" s="31">
        <v>768250.84375</v>
      </c>
      <c r="AP29" s="31">
        <v>9800.96875</v>
      </c>
      <c r="AQ29" s="31">
        <v>25480320</v>
      </c>
      <c r="AR29" s="31">
        <v>4319888</v>
      </c>
      <c r="AS29" s="31">
        <v>1092848</v>
      </c>
      <c r="AT29" s="31">
        <v>20067584</v>
      </c>
      <c r="AU29" s="31">
        <v>71.136791000000002</v>
      </c>
      <c r="AV29" s="31">
        <v>74.864338000000004</v>
      </c>
      <c r="AW29" s="31">
        <v>35.736902999999998</v>
      </c>
      <c r="AX29" s="31">
        <v>38.368868999999997</v>
      </c>
      <c r="AY29" s="31">
        <v>37.758083999999997</v>
      </c>
      <c r="AZ29" s="31">
        <v>5944.02</v>
      </c>
      <c r="BA29" s="31">
        <v>0</v>
      </c>
      <c r="BB29" s="31">
        <v>48.259</v>
      </c>
      <c r="BC29" s="31">
        <v>0</v>
      </c>
      <c r="BE29" s="35">
        <f t="shared" si="12"/>
        <v>1.0003267437545371</v>
      </c>
      <c r="BF29" s="36">
        <f t="shared" si="13"/>
        <v>-7.5752262584140306E-6</v>
      </c>
      <c r="BG29" s="36">
        <f t="shared" si="14"/>
        <v>-2.6577706272873369E-4</v>
      </c>
      <c r="BH29" s="36"/>
      <c r="BJ29" s="35"/>
      <c r="BK29" s="35"/>
      <c r="BL29" s="35"/>
      <c r="BM29" s="35"/>
      <c r="BN29" s="35"/>
      <c r="BP29" s="35"/>
      <c r="BQ29" s="35"/>
      <c r="BR29" s="35"/>
      <c r="BS29" s="35"/>
      <c r="BT29" s="35"/>
    </row>
    <row r="30" spans="1:72" x14ac:dyDescent="0.2">
      <c r="A30" s="18" t="s">
        <v>236</v>
      </c>
      <c r="B30" s="18" t="s">
        <v>75</v>
      </c>
      <c r="C30" s="19" t="s">
        <v>230</v>
      </c>
      <c r="D30" s="18">
        <v>375422539</v>
      </c>
      <c r="E30" s="19">
        <v>11</v>
      </c>
      <c r="F30" s="19">
        <v>32</v>
      </c>
      <c r="G30" s="19">
        <v>30</v>
      </c>
      <c r="I30" s="20">
        <f t="shared" si="0"/>
        <v>0.9597675</v>
      </c>
      <c r="J30" s="21">
        <f t="shared" si="1"/>
        <v>2.7269327055507446E-3</v>
      </c>
      <c r="K30" s="21">
        <f t="shared" si="2"/>
        <v>2.2093079499417054E-3</v>
      </c>
      <c r="L30" s="21">
        <f t="shared" si="3"/>
        <v>1.3359666719424111E-3</v>
      </c>
      <c r="M30" s="21">
        <f t="shared" si="4"/>
        <v>5.1762475560903926E-4</v>
      </c>
      <c r="N30" s="18">
        <f t="shared" si="5"/>
        <v>829424</v>
      </c>
      <c r="O30" s="21">
        <v>16</v>
      </c>
      <c r="P30" s="22">
        <v>27115729</v>
      </c>
      <c r="Q30" s="22">
        <v>2711572.9</v>
      </c>
      <c r="R30" s="22">
        <v>33844.300000000003</v>
      </c>
      <c r="S30" s="22">
        <v>1023752</v>
      </c>
      <c r="T30" s="22">
        <v>501552</v>
      </c>
      <c r="U30" s="22">
        <v>327872</v>
      </c>
      <c r="V30" s="22">
        <v>194328</v>
      </c>
      <c r="W30" s="22">
        <v>73.790270000000007</v>
      </c>
      <c r="X30" s="22">
        <v>75.742109999999997</v>
      </c>
      <c r="Y30" s="22">
        <v>33.882390000000001</v>
      </c>
      <c r="Z30" s="22">
        <v>41.903590000000001</v>
      </c>
      <c r="AA30" s="22">
        <v>43.804400000000001</v>
      </c>
      <c r="AB30" s="22">
        <v>3000</v>
      </c>
      <c r="AC30" s="22">
        <v>0</v>
      </c>
      <c r="AD30" s="22">
        <v>41.597000000000001</v>
      </c>
      <c r="AE30" s="22">
        <v>0</v>
      </c>
      <c r="AG30" s="20">
        <f t="shared" si="6"/>
        <v>0.95975999999999995</v>
      </c>
      <c r="AH30" s="21">
        <f t="shared" si="7"/>
        <v>2.7269113962281313E-3</v>
      </c>
      <c r="AI30" s="21">
        <f t="shared" si="8"/>
        <v>2.209286640619092E-3</v>
      </c>
      <c r="AJ30" s="21">
        <f t="shared" si="9"/>
        <v>1.3359666719424111E-3</v>
      </c>
      <c r="AK30" s="21">
        <f t="shared" si="10"/>
        <v>5.1762475560903926E-4</v>
      </c>
      <c r="AL30" s="18">
        <f t="shared" si="11"/>
        <v>829416</v>
      </c>
      <c r="AM30" s="21">
        <v>16</v>
      </c>
      <c r="AN30" s="22">
        <v>27115729</v>
      </c>
      <c r="AO30" s="22">
        <v>2711572.9</v>
      </c>
      <c r="AP30" s="22">
        <v>33844.300000000003</v>
      </c>
      <c r="AQ30" s="22">
        <v>1023744</v>
      </c>
      <c r="AR30" s="22">
        <v>501552</v>
      </c>
      <c r="AS30" s="22">
        <v>327864</v>
      </c>
      <c r="AT30" s="22">
        <v>194328</v>
      </c>
      <c r="AU30" s="22">
        <v>73.790270000000007</v>
      </c>
      <c r="AV30" s="22">
        <v>75.742109999999997</v>
      </c>
      <c r="AW30" s="22">
        <v>33.882390000000001</v>
      </c>
      <c r="AX30" s="22">
        <v>41.903590000000001</v>
      </c>
      <c r="AY30" s="22">
        <v>43.804400000000001</v>
      </c>
      <c r="AZ30" s="22">
        <v>3056.06</v>
      </c>
      <c r="BA30" s="22">
        <v>0</v>
      </c>
      <c r="BB30" s="22">
        <v>45.601999999999997</v>
      </c>
      <c r="BC30" s="22">
        <v>0</v>
      </c>
      <c r="BE30" s="50">
        <f t="shared" si="12"/>
        <v>0.99999035475221376</v>
      </c>
      <c r="BF30" s="26">
        <f t="shared" si="13"/>
        <v>0</v>
      </c>
      <c r="BG30" s="26">
        <f t="shared" si="14"/>
        <v>-1.4833349696319331E-6</v>
      </c>
      <c r="BH30" s="26">
        <f t="array" ref="BH30">AVERAGE(AL30:AL34/AQ30:AQ34) - AVERAGE(N30:N34/S30:S34)</f>
        <v>-1.1958276129320211E-6</v>
      </c>
      <c r="BJ30" s="50">
        <f>IF( OR(ISBLANK(N30:N34),ISBLANK(AL30:AL34), ISBLANK(W30:W34),ISBLANK(AU30:AU34)), "·", bdRateExtend( N30:N34,W30:W34, AL30:AL34,AU30:AU34))</f>
        <v>-6.4414963388825797E-6</v>
      </c>
      <c r="BK30" s="50">
        <f>IF( OR(ISBLANK(N30:N34),ISBLANK(AL30:AL34), ISBLANK(X30:X34),ISBLANK(AV30:AV34)), "·", bdRateExtend( N30:N34,X30:X34, AL30:AL34,AV30:AV34))</f>
        <v>-6.1874823296115267E-6</v>
      </c>
      <c r="BL30" s="50">
        <f>IF( OR(ISBLANK(V30:V34),ISBLANK(AT30:AT34), ISBLANK(Y30:Y34),ISBLANK(AW30:AW34)), "·", bdRateExtend( V30:V34,Y30:Y34, AT30:AT34,AW30:AW34))</f>
        <v>0</v>
      </c>
      <c r="BM30" s="50">
        <f>IF( OR(ISBLANK(V30:V34),ISBLANK(AT30:AT34), ISBLANK(Z30:Z34),ISBLANK(AX30:AX34)), "·", bdRateExtend( V30:V34,Z30:Z34, AT30:AT34,AX30:AX34))</f>
        <v>0</v>
      </c>
      <c r="BN30" s="50">
        <f>IF( OR(ISBLANK(V30:V34),ISBLANK(AT30:AT34), ISBLANK(AA30:AA34),ISBLANK(AY30:AY34)), "·", bdRateExtend( V30:V34,AA30:AA34, AT30:AT34,AY30:AY34))</f>
        <v>0</v>
      </c>
      <c r="BP30" s="50">
        <f>IF( OR(ISBLANK(S30:S34),ISBLANK(AQ30:AQ34), ISBLANK(W30:W34),ISBLANK(AU30:AU34)), "·", bdRateExtend( S30:S34,W30:W34, AQ30:AQ34,AU30:AU34))</f>
        <v>-4.4945934963847023E-6</v>
      </c>
      <c r="BQ30" s="50">
        <f>IF( OR(ISBLANK(S30:S34),ISBLANK(AQ30:AQ34), ISBLANK(X30:X34),ISBLANK(AV30:AV34)), "·", bdRateExtend( S30:S34,X30:X34, AQ30:AQ34,AV30:AV34))</f>
        <v>-4.2666145372294295E-6</v>
      </c>
      <c r="BR30" s="50">
        <f>IF( OR(ISBLANK(S30:S34),ISBLANK(AQ30:AQ34), ISBLANK(Y30:Y34),ISBLANK(AW30:AW34)), "·", bdRateExtend( S30:S34,Y30:Y34, AQ30:AQ34,AW30:AW34))</f>
        <v>-4.1194813917844186E-6</v>
      </c>
      <c r="BS30" s="50">
        <f>IF( OR(ISBLANK(S30:S34),ISBLANK(AQ30:AQ34), ISBLANK(Z30:Z34),ISBLANK(AX30:AX34)), "·", bdRateExtend( S30:S34,Z30:Z34, AQ30:AQ34,AX30:AX34))</f>
        <v>-3.824311550770787E-6</v>
      </c>
      <c r="BT30" s="50">
        <f>IF( OR(ISBLANK(S30:S34),ISBLANK(AQ30:AQ34), ISBLANK(AA30:AA34),ISBLANK(AY30:AY34)), "·", bdRateExtend( S30:S34,AA30:AA34, AQ30:AQ34,AY30:AY34))</f>
        <v>-3.9670516208678563E-6</v>
      </c>
    </row>
    <row r="31" spans="1:72" outlineLevel="1" x14ac:dyDescent="0.2">
      <c r="A31" s="54"/>
      <c r="B31" s="54" t="s">
        <v>75</v>
      </c>
      <c r="C31" s="10" t="s">
        <v>231</v>
      </c>
      <c r="D31" s="54">
        <v>375422539</v>
      </c>
      <c r="E31" s="10">
        <v>11</v>
      </c>
      <c r="F31" s="10">
        <v>32</v>
      </c>
      <c r="G31" s="10">
        <v>30</v>
      </c>
      <c r="I31" s="11">
        <f t="shared" si="0"/>
        <v>1.292205</v>
      </c>
      <c r="J31" s="12">
        <f t="shared" si="1"/>
        <v>3.6714684304023633E-3</v>
      </c>
      <c r="K31" s="12">
        <f t="shared" si="2"/>
        <v>2.7304487437820029E-3</v>
      </c>
      <c r="L31" s="12">
        <f t="shared" si="3"/>
        <v>1.8570009191696399E-3</v>
      </c>
      <c r="M31" s="12">
        <f t="shared" si="4"/>
        <v>9.4101968662036036E-4</v>
      </c>
      <c r="N31" s="54">
        <f t="shared" si="5"/>
        <v>1025072</v>
      </c>
      <c r="O31" s="12">
        <v>16</v>
      </c>
      <c r="P31" s="13">
        <v>28279111</v>
      </c>
      <c r="Q31" s="13">
        <v>2827911.1</v>
      </c>
      <c r="R31" s="13">
        <v>39723.800000000003</v>
      </c>
      <c r="S31" s="13">
        <v>1378352</v>
      </c>
      <c r="T31" s="13">
        <v>697160</v>
      </c>
      <c r="U31" s="13">
        <v>327912</v>
      </c>
      <c r="V31" s="13">
        <v>353280</v>
      </c>
      <c r="W31" s="13">
        <v>75.345650000000006</v>
      </c>
      <c r="X31" s="13">
        <v>77.61627</v>
      </c>
      <c r="Y31" s="13">
        <v>35.648099999999999</v>
      </c>
      <c r="Z31" s="13">
        <v>42.289969999999997</v>
      </c>
      <c r="AA31" s="13">
        <v>44.97296</v>
      </c>
      <c r="AB31" s="13">
        <v>3541.17</v>
      </c>
      <c r="AC31" s="13">
        <v>0</v>
      </c>
      <c r="AD31" s="13">
        <v>47.179000000000002</v>
      </c>
      <c r="AE31" s="13">
        <v>0</v>
      </c>
      <c r="AG31" s="11">
        <f t="shared" si="6"/>
        <v>1.2921975000000001</v>
      </c>
      <c r="AH31" s="12">
        <f t="shared" si="7"/>
        <v>3.6714471210797495E-3</v>
      </c>
      <c r="AI31" s="12">
        <f t="shared" si="8"/>
        <v>2.7304274344593892E-3</v>
      </c>
      <c r="AJ31" s="12">
        <f t="shared" si="9"/>
        <v>1.8570009191696399E-3</v>
      </c>
      <c r="AK31" s="12">
        <f t="shared" si="10"/>
        <v>9.4101968662036036E-4</v>
      </c>
      <c r="AL31" s="54">
        <f t="shared" si="11"/>
        <v>1025064</v>
      </c>
      <c r="AM31" s="12">
        <v>16</v>
      </c>
      <c r="AN31" s="13">
        <v>28279111</v>
      </c>
      <c r="AO31" s="13">
        <v>2827911.1</v>
      </c>
      <c r="AP31" s="13">
        <v>39723.800000000003</v>
      </c>
      <c r="AQ31" s="13">
        <v>1378344</v>
      </c>
      <c r="AR31" s="13">
        <v>697160</v>
      </c>
      <c r="AS31" s="13">
        <v>327904</v>
      </c>
      <c r="AT31" s="13">
        <v>353280</v>
      </c>
      <c r="AU31" s="13">
        <v>75.345650000000006</v>
      </c>
      <c r="AV31" s="13">
        <v>77.61627</v>
      </c>
      <c r="AW31" s="13">
        <v>35.648099999999999</v>
      </c>
      <c r="AX31" s="13">
        <v>42.289969999999997</v>
      </c>
      <c r="AY31" s="13">
        <v>44.97296</v>
      </c>
      <c r="AZ31" s="13">
        <v>3064.84</v>
      </c>
      <c r="BA31" s="13">
        <v>0</v>
      </c>
      <c r="BB31" s="13">
        <v>42.774000000000001</v>
      </c>
      <c r="BC31" s="13">
        <v>0</v>
      </c>
      <c r="BE31" s="51">
        <f t="shared" si="12"/>
        <v>0.99999219567015774</v>
      </c>
      <c r="BF31" s="17">
        <f t="shared" si="13"/>
        <v>0</v>
      </c>
      <c r="BG31" s="17">
        <f t="shared" si="14"/>
        <v>-1.4876174974087775E-6</v>
      </c>
      <c r="BH31" s="17"/>
      <c r="BJ31" s="51"/>
      <c r="BK31" s="51"/>
      <c r="BL31" s="51"/>
      <c r="BM31" s="51"/>
      <c r="BN31" s="51"/>
      <c r="BP31" s="51"/>
      <c r="BQ31" s="51"/>
      <c r="BR31" s="51"/>
      <c r="BS31" s="51"/>
      <c r="BT31" s="51"/>
    </row>
    <row r="32" spans="1:72" outlineLevel="1" x14ac:dyDescent="0.2">
      <c r="A32" s="18"/>
      <c r="B32" s="18" t="s">
        <v>75</v>
      </c>
      <c r="C32" s="19" t="s">
        <v>232</v>
      </c>
      <c r="D32" s="18">
        <v>375422539</v>
      </c>
      <c r="E32" s="19">
        <v>11</v>
      </c>
      <c r="F32" s="19">
        <v>32</v>
      </c>
      <c r="G32" s="19">
        <v>30</v>
      </c>
      <c r="I32" s="20">
        <f t="shared" si="0"/>
        <v>1.9187924999999999</v>
      </c>
      <c r="J32" s="21">
        <f t="shared" si="1"/>
        <v>5.4517557881627347E-3</v>
      </c>
      <c r="K32" s="21">
        <f t="shared" si="2"/>
        <v>3.5302089307962408E-3</v>
      </c>
      <c r="L32" s="21">
        <f t="shared" si="3"/>
        <v>2.6567611061838778E-3</v>
      </c>
      <c r="M32" s="21">
        <f t="shared" si="4"/>
        <v>1.9215468573664939E-3</v>
      </c>
      <c r="N32" s="18">
        <f t="shared" si="5"/>
        <v>1325320</v>
      </c>
      <c r="O32" s="21">
        <v>16</v>
      </c>
      <c r="P32" s="22">
        <v>28454039</v>
      </c>
      <c r="Q32" s="22">
        <v>2845403.9</v>
      </c>
      <c r="R32" s="22">
        <v>42076.5</v>
      </c>
      <c r="S32" s="22">
        <v>2046712</v>
      </c>
      <c r="T32" s="22">
        <v>997408</v>
      </c>
      <c r="U32" s="22">
        <v>327912</v>
      </c>
      <c r="V32" s="22">
        <v>721392</v>
      </c>
      <c r="W32" s="22">
        <v>76.502629999999996</v>
      </c>
      <c r="X32" s="22">
        <v>79.137299999999996</v>
      </c>
      <c r="Y32" s="22">
        <v>37.191980000000001</v>
      </c>
      <c r="Z32" s="22">
        <v>42.975479999999997</v>
      </c>
      <c r="AA32" s="22">
        <v>46.259619999999998</v>
      </c>
      <c r="AB32" s="22">
        <v>3697.82</v>
      </c>
      <c r="AC32" s="22">
        <v>0</v>
      </c>
      <c r="AD32" s="22">
        <v>44.002000000000002</v>
      </c>
      <c r="AE32" s="22">
        <v>0</v>
      </c>
      <c r="AG32" s="20">
        <f t="shared" si="6"/>
        <v>1.918785</v>
      </c>
      <c r="AH32" s="21">
        <f t="shared" si="7"/>
        <v>5.4517344788401209E-3</v>
      </c>
      <c r="AI32" s="21">
        <f t="shared" si="8"/>
        <v>3.5301876214736271E-3</v>
      </c>
      <c r="AJ32" s="21">
        <f t="shared" si="9"/>
        <v>2.6567611061838778E-3</v>
      </c>
      <c r="AK32" s="21">
        <f t="shared" si="10"/>
        <v>1.9215468573664939E-3</v>
      </c>
      <c r="AL32" s="18">
        <f t="shared" si="11"/>
        <v>1325312</v>
      </c>
      <c r="AM32" s="21">
        <v>16</v>
      </c>
      <c r="AN32" s="22">
        <v>28454039</v>
      </c>
      <c r="AO32" s="22">
        <v>2845403.9</v>
      </c>
      <c r="AP32" s="22">
        <v>42076.5</v>
      </c>
      <c r="AQ32" s="22">
        <v>2046704</v>
      </c>
      <c r="AR32" s="22">
        <v>997408</v>
      </c>
      <c r="AS32" s="22">
        <v>327904</v>
      </c>
      <c r="AT32" s="22">
        <v>721392</v>
      </c>
      <c r="AU32" s="22">
        <v>76.502629999999996</v>
      </c>
      <c r="AV32" s="22">
        <v>79.137299999999996</v>
      </c>
      <c r="AW32" s="22">
        <v>37.191980000000001</v>
      </c>
      <c r="AX32" s="22">
        <v>42.975479999999997</v>
      </c>
      <c r="AY32" s="22">
        <v>46.259619999999998</v>
      </c>
      <c r="AZ32" s="22">
        <v>2687.27</v>
      </c>
      <c r="BA32" s="22">
        <v>0</v>
      </c>
      <c r="BB32" s="22">
        <v>39.337000000000003</v>
      </c>
      <c r="BC32" s="22">
        <v>0</v>
      </c>
      <c r="BE32" s="50">
        <f t="shared" si="12"/>
        <v>0.99999396372196903</v>
      </c>
      <c r="BF32" s="26">
        <f t="shared" si="13"/>
        <v>0</v>
      </c>
      <c r="BG32" s="26">
        <f t="shared" si="14"/>
        <v>-1.3776837459733571E-6</v>
      </c>
      <c r="BH32" s="26"/>
      <c r="BJ32" s="50"/>
      <c r="BK32" s="50"/>
      <c r="BL32" s="50"/>
      <c r="BM32" s="50"/>
      <c r="BN32" s="50"/>
      <c r="BP32" s="50"/>
      <c r="BQ32" s="50"/>
      <c r="BR32" s="50"/>
      <c r="BS32" s="50"/>
      <c r="BT32" s="50"/>
    </row>
    <row r="33" spans="1:72" outlineLevel="1" x14ac:dyDescent="0.2">
      <c r="A33" s="54"/>
      <c r="B33" s="54" t="s">
        <v>75</v>
      </c>
      <c r="C33" s="10" t="s">
        <v>233</v>
      </c>
      <c r="D33" s="54">
        <v>375422539</v>
      </c>
      <c r="E33" s="10">
        <v>11</v>
      </c>
      <c r="F33" s="10">
        <v>32</v>
      </c>
      <c r="G33" s="10">
        <v>30</v>
      </c>
      <c r="I33" s="11">
        <f t="shared" si="0"/>
        <v>3.3483675000000002</v>
      </c>
      <c r="J33" s="12">
        <f t="shared" si="1"/>
        <v>9.513525771557365E-3</v>
      </c>
      <c r="K33" s="12">
        <f t="shared" si="2"/>
        <v>5.1068217830150045E-3</v>
      </c>
      <c r="L33" s="12">
        <f t="shared" si="3"/>
        <v>4.2333739584026414E-3</v>
      </c>
      <c r="M33" s="12">
        <f t="shared" si="4"/>
        <v>4.4067039885423605E-3</v>
      </c>
      <c r="N33" s="54">
        <f t="shared" si="5"/>
        <v>1917216</v>
      </c>
      <c r="O33" s="12">
        <v>16</v>
      </c>
      <c r="P33" s="13">
        <v>29135264</v>
      </c>
      <c r="Q33" s="13">
        <v>2913526.4</v>
      </c>
      <c r="R33" s="13">
        <v>46620.800000000003</v>
      </c>
      <c r="S33" s="13">
        <v>3571592</v>
      </c>
      <c r="T33" s="13">
        <v>1589304</v>
      </c>
      <c r="U33" s="13">
        <v>327912</v>
      </c>
      <c r="V33" s="13">
        <v>1654376</v>
      </c>
      <c r="W33" s="13">
        <v>77.603250000000003</v>
      </c>
      <c r="X33" s="13">
        <v>80.286950000000004</v>
      </c>
      <c r="Y33" s="13">
        <v>38.738869999999999</v>
      </c>
      <c r="Z33" s="13">
        <v>43.518880000000003</v>
      </c>
      <c r="AA33" s="13">
        <v>47.62847</v>
      </c>
      <c r="AB33" s="13">
        <v>3115.68</v>
      </c>
      <c r="AC33" s="13">
        <v>0</v>
      </c>
      <c r="AD33" s="13">
        <v>40.143000000000001</v>
      </c>
      <c r="AE33" s="13">
        <v>0</v>
      </c>
      <c r="AG33" s="11">
        <f t="shared" si="6"/>
        <v>3.34836</v>
      </c>
      <c r="AH33" s="12">
        <f t="shared" si="7"/>
        <v>9.5135044622347512E-3</v>
      </c>
      <c r="AI33" s="12">
        <f t="shared" si="8"/>
        <v>5.1068004736923907E-3</v>
      </c>
      <c r="AJ33" s="12">
        <f t="shared" si="9"/>
        <v>4.2333739584026414E-3</v>
      </c>
      <c r="AK33" s="12">
        <f t="shared" si="10"/>
        <v>4.4067039885423605E-3</v>
      </c>
      <c r="AL33" s="54">
        <f t="shared" si="11"/>
        <v>1917208</v>
      </c>
      <c r="AM33" s="12">
        <v>16</v>
      </c>
      <c r="AN33" s="13">
        <v>29135264</v>
      </c>
      <c r="AO33" s="13">
        <v>2913526.4</v>
      </c>
      <c r="AP33" s="13">
        <v>46620.800000000003</v>
      </c>
      <c r="AQ33" s="13">
        <v>3571584</v>
      </c>
      <c r="AR33" s="13">
        <v>1589304</v>
      </c>
      <c r="AS33" s="13">
        <v>327904</v>
      </c>
      <c r="AT33" s="13">
        <v>1654376</v>
      </c>
      <c r="AU33" s="13">
        <v>77.603250000000003</v>
      </c>
      <c r="AV33" s="13">
        <v>80.286950000000004</v>
      </c>
      <c r="AW33" s="13">
        <v>38.738869999999999</v>
      </c>
      <c r="AX33" s="13">
        <v>43.518880000000003</v>
      </c>
      <c r="AY33" s="13">
        <v>47.62847</v>
      </c>
      <c r="AZ33" s="13">
        <v>3006.83</v>
      </c>
      <c r="BA33" s="13">
        <v>0</v>
      </c>
      <c r="BB33" s="13">
        <v>41.13</v>
      </c>
      <c r="BC33" s="13">
        <v>0</v>
      </c>
      <c r="BE33" s="51">
        <f t="shared" si="12"/>
        <v>0.99999582728289349</v>
      </c>
      <c r="BF33" s="17">
        <f t="shared" si="13"/>
        <v>0</v>
      </c>
      <c r="BG33" s="17">
        <f t="shared" si="14"/>
        <v>-1.0375319942079742E-6</v>
      </c>
      <c r="BH33" s="17"/>
      <c r="BJ33" s="51"/>
      <c r="BK33" s="51"/>
      <c r="BL33" s="51"/>
      <c r="BM33" s="51"/>
      <c r="BN33" s="51"/>
      <c r="BP33" s="51"/>
      <c r="BQ33" s="51"/>
      <c r="BR33" s="51"/>
      <c r="BS33" s="51"/>
      <c r="BT33" s="51"/>
    </row>
    <row r="34" spans="1:72" ht="16" outlineLevel="1" thickBot="1" x14ac:dyDescent="0.25">
      <c r="A34" s="18"/>
      <c r="B34" s="37" t="s">
        <v>75</v>
      </c>
      <c r="C34" s="38" t="s">
        <v>234</v>
      </c>
      <c r="D34" s="37">
        <v>375422539</v>
      </c>
      <c r="E34" s="38">
        <v>11</v>
      </c>
      <c r="F34" s="38">
        <v>32</v>
      </c>
      <c r="G34" s="38">
        <v>30</v>
      </c>
      <c r="I34" s="39">
        <f t="shared" si="0"/>
        <v>7.2521924999999996</v>
      </c>
      <c r="J34" s="40">
        <f t="shared" si="1"/>
        <v>2.0605241285206907E-2</v>
      </c>
      <c r="K34" s="40">
        <f t="shared" si="2"/>
        <v>8.7906709298559184E-3</v>
      </c>
      <c r="L34" s="40">
        <f t="shared" si="3"/>
        <v>6.9591346512096336E-3</v>
      </c>
      <c r="M34" s="40">
        <f t="shared" si="4"/>
        <v>1.1814570355350988E-2</v>
      </c>
      <c r="N34" s="37">
        <f t="shared" si="5"/>
        <v>3300216</v>
      </c>
      <c r="O34" s="40">
        <v>16</v>
      </c>
      <c r="P34" s="41">
        <v>28550363</v>
      </c>
      <c r="Q34" s="41">
        <v>2855036.3</v>
      </c>
      <c r="R34" s="41">
        <v>18364</v>
      </c>
      <c r="S34" s="41">
        <v>7735672</v>
      </c>
      <c r="T34" s="41">
        <v>2612616</v>
      </c>
      <c r="U34" s="41">
        <v>687600</v>
      </c>
      <c r="V34" s="41">
        <v>4435456</v>
      </c>
      <c r="W34" s="41">
        <v>78.487920000000003</v>
      </c>
      <c r="X34" s="41">
        <v>81.884450000000001</v>
      </c>
      <c r="Y34" s="41">
        <v>40.411610000000003</v>
      </c>
      <c r="Z34" s="41">
        <v>44.133719999999997</v>
      </c>
      <c r="AA34" s="41">
        <v>48.955060000000003</v>
      </c>
      <c r="AB34" s="41">
        <v>3990.14</v>
      </c>
      <c r="AC34" s="41">
        <v>0</v>
      </c>
      <c r="AD34" s="41">
        <v>45.345999999999997</v>
      </c>
      <c r="AE34" s="41">
        <v>0</v>
      </c>
      <c r="AG34" s="39">
        <f t="shared" si="6"/>
        <v>7.2521849999999999</v>
      </c>
      <c r="AH34" s="40">
        <f t="shared" si="7"/>
        <v>2.0605219975884295E-2</v>
      </c>
      <c r="AI34" s="40">
        <f t="shared" si="8"/>
        <v>8.7906496205333046E-3</v>
      </c>
      <c r="AJ34" s="40">
        <f t="shared" si="9"/>
        <v>6.9591346512096336E-3</v>
      </c>
      <c r="AK34" s="40">
        <f t="shared" si="10"/>
        <v>1.1814570355350988E-2</v>
      </c>
      <c r="AL34" s="37">
        <f t="shared" si="11"/>
        <v>3300208</v>
      </c>
      <c r="AM34" s="40">
        <v>16</v>
      </c>
      <c r="AN34" s="41">
        <v>28550363</v>
      </c>
      <c r="AO34" s="41">
        <v>2855036.3</v>
      </c>
      <c r="AP34" s="41">
        <v>18364</v>
      </c>
      <c r="AQ34" s="41">
        <v>7735664</v>
      </c>
      <c r="AR34" s="41">
        <v>2612616</v>
      </c>
      <c r="AS34" s="41">
        <v>687592</v>
      </c>
      <c r="AT34" s="41">
        <v>4435456</v>
      </c>
      <c r="AU34" s="41">
        <v>78.487920000000003</v>
      </c>
      <c r="AV34" s="41">
        <v>81.884450000000001</v>
      </c>
      <c r="AW34" s="41">
        <v>40.411610000000003</v>
      </c>
      <c r="AX34" s="41">
        <v>44.133719999999997</v>
      </c>
      <c r="AY34" s="41">
        <v>48.955060000000003</v>
      </c>
      <c r="AZ34" s="41">
        <v>4344.9799999999996</v>
      </c>
      <c r="BA34" s="41">
        <v>0</v>
      </c>
      <c r="BB34" s="41">
        <v>51.344000000000001</v>
      </c>
      <c r="BC34" s="41">
        <v>0</v>
      </c>
      <c r="BE34" s="45">
        <f t="shared" si="12"/>
        <v>0.99999757591624305</v>
      </c>
      <c r="BF34" s="46">
        <f t="shared" si="13"/>
        <v>0</v>
      </c>
      <c r="BG34" s="46">
        <f t="shared" si="14"/>
        <v>-5.9296985777113065E-7</v>
      </c>
      <c r="BH34" s="46"/>
      <c r="BJ34" s="45"/>
      <c r="BK34" s="45"/>
      <c r="BL34" s="45"/>
      <c r="BM34" s="45"/>
      <c r="BN34" s="45"/>
      <c r="BP34" s="45"/>
      <c r="BQ34" s="45"/>
      <c r="BR34" s="45"/>
      <c r="BS34" s="45"/>
      <c r="BT34" s="45"/>
    </row>
    <row r="35" spans="1:72" x14ac:dyDescent="0.2">
      <c r="A35" s="54"/>
      <c r="B35" s="54" t="s">
        <v>80</v>
      </c>
      <c r="C35" s="10" t="s">
        <v>230</v>
      </c>
      <c r="D35" s="54">
        <v>333190689</v>
      </c>
      <c r="E35" s="10">
        <v>11</v>
      </c>
      <c r="F35" s="10">
        <v>32</v>
      </c>
      <c r="G35" s="10">
        <v>30</v>
      </c>
      <c r="I35" s="11">
        <f t="shared" si="0"/>
        <v>1.356975</v>
      </c>
      <c r="J35" s="12">
        <f t="shared" si="1"/>
        <v>4.3441790175595216E-3</v>
      </c>
      <c r="K35" s="12">
        <f t="shared" si="2"/>
        <v>3.2544726962643305E-3</v>
      </c>
      <c r="L35" s="12">
        <f t="shared" si="3"/>
        <v>2.0918711807099747E-3</v>
      </c>
      <c r="M35" s="12">
        <f t="shared" si="4"/>
        <v>1.0897063212951907E-3</v>
      </c>
      <c r="N35" s="54">
        <f t="shared" si="5"/>
        <v>1084360</v>
      </c>
      <c r="O35" s="12">
        <v>16</v>
      </c>
      <c r="P35" s="13">
        <v>23326429</v>
      </c>
      <c r="Q35" s="13">
        <v>2332642.9</v>
      </c>
      <c r="R35" s="13">
        <v>29464.799999999999</v>
      </c>
      <c r="S35" s="13">
        <v>1447440</v>
      </c>
      <c r="T35" s="13">
        <v>696992</v>
      </c>
      <c r="U35" s="13">
        <v>387368</v>
      </c>
      <c r="V35" s="13">
        <v>363080</v>
      </c>
      <c r="W35" s="13">
        <v>73.246139999999997</v>
      </c>
      <c r="X35" s="13">
        <v>75.423330000000007</v>
      </c>
      <c r="Y35" s="13">
        <v>32.071190000000001</v>
      </c>
      <c r="Z35" s="13">
        <v>42.268889999999999</v>
      </c>
      <c r="AA35" s="13">
        <v>43.74241</v>
      </c>
      <c r="AB35" s="13">
        <v>3521.82</v>
      </c>
      <c r="AC35" s="13">
        <v>0</v>
      </c>
      <c r="AD35" s="13">
        <v>38.588000000000001</v>
      </c>
      <c r="AE35" s="13">
        <v>0</v>
      </c>
      <c r="AG35" s="11">
        <f t="shared" si="6"/>
        <v>1.3561574999999999</v>
      </c>
      <c r="AH35" s="12">
        <f t="shared" si="7"/>
        <v>4.341561897607529E-3</v>
      </c>
      <c r="AI35" s="12">
        <f t="shared" si="8"/>
        <v>3.2523838023576944E-3</v>
      </c>
      <c r="AJ35" s="12">
        <f t="shared" si="9"/>
        <v>2.090526605321795E-3</v>
      </c>
      <c r="AK35" s="12">
        <f t="shared" si="10"/>
        <v>1.0891780952498346E-3</v>
      </c>
      <c r="AL35" s="54">
        <f t="shared" si="11"/>
        <v>1083664</v>
      </c>
      <c r="AM35" s="12">
        <v>16</v>
      </c>
      <c r="AN35" s="13">
        <v>23327056</v>
      </c>
      <c r="AO35" s="13">
        <v>2332705.6</v>
      </c>
      <c r="AP35" s="13">
        <v>29498.5</v>
      </c>
      <c r="AQ35" s="13">
        <v>1446568</v>
      </c>
      <c r="AR35" s="13">
        <v>696544</v>
      </c>
      <c r="AS35" s="13">
        <v>387120</v>
      </c>
      <c r="AT35" s="13">
        <v>362904</v>
      </c>
      <c r="AU35" s="13">
        <v>73.247069999999994</v>
      </c>
      <c r="AV35" s="13">
        <v>75.423950000000005</v>
      </c>
      <c r="AW35" s="13">
        <v>32.079659999999997</v>
      </c>
      <c r="AX35" s="13">
        <v>42.297730000000001</v>
      </c>
      <c r="AY35" s="13">
        <v>43.734639999999999</v>
      </c>
      <c r="AZ35" s="13">
        <v>3470.76</v>
      </c>
      <c r="BA35" s="13">
        <v>0</v>
      </c>
      <c r="BB35" s="13">
        <v>38.237000000000002</v>
      </c>
      <c r="BC35" s="13">
        <v>0</v>
      </c>
      <c r="BE35" s="51">
        <f t="shared" si="12"/>
        <v>0.99935814674093471</v>
      </c>
      <c r="BF35" s="17">
        <f t="shared" si="13"/>
        <v>1.4107225695314182E-5</v>
      </c>
      <c r="BG35" s="17">
        <f t="shared" si="14"/>
        <v>-2.9542323886078137E-5</v>
      </c>
      <c r="BH35" s="17">
        <f t="array" ref="BH35">AVERAGE(AL35:AL39/AQ35:AQ39) - AVERAGE(N35:N39/S35:S39)</f>
        <v>-4.6419510911610562E-4</v>
      </c>
      <c r="BJ35" s="51">
        <f>IF( OR(ISBLANK(N35:N39),ISBLANK(AL35:AL39), ISBLANK(W35:W39),ISBLANK(AU35:AU39)), "·", bdRateExtend( N35:N39,W35:W39, AL35:AL39,AU35:AU39))</f>
        <v>-6.6864171485803148E-4</v>
      </c>
      <c r="BK35" s="51">
        <f>IF( OR(ISBLANK(N35:N39),ISBLANK(AL35:AL39), ISBLANK(X35:X39),ISBLANK(AV35:AV39)), "·", bdRateExtend( N35:N39,X35:X39, AL35:AL39,AV35:AV39))</f>
        <v>-3.9443235253611153E-4</v>
      </c>
      <c r="BL35" s="51">
        <f>IF( OR(ISBLANK(V35:V39),ISBLANK(AT35:AT39), ISBLANK(Y35:Y39),ISBLANK(AW35:AW39)), "·", bdRateExtend( V35:V39,Y35:Y39, AT35:AT39,AW35:AW39))</f>
        <v>-5.2811648178696657E-4</v>
      </c>
      <c r="BM35" s="51">
        <f>IF( OR(ISBLANK(V35:V39),ISBLANK(AT35:AT39), ISBLANK(Z35:Z39),ISBLANK(AX35:AX39)), "·", bdRateExtend( V35:V39,Z35:Z39, AT35:AT39,AX35:AX39))</f>
        <v>-1.2058163303038771E-2</v>
      </c>
      <c r="BN35" s="51">
        <f>IF( OR(ISBLANK(V35:V39),ISBLANK(AT35:AT39), ISBLANK(AA35:AA39),ISBLANK(AY35:AY39)), "·", bdRateExtend( V35:V39,AA35:AA39, AT35:AT39,AY35:AY39))</f>
        <v>2.3384840060602929E-3</v>
      </c>
      <c r="BP35" s="51">
        <f>IF( OR(ISBLANK(S35:S39),ISBLANK(AQ35:AQ39), ISBLANK(W35:W39),ISBLANK(AU35:AU39)), "·", bdRateExtend( S35:S39,W35:W39, AQ35:AQ39,AU35:AU39))</f>
        <v>3.1158763188243732E-4</v>
      </c>
      <c r="BQ35" s="51">
        <f>IF( OR(ISBLANK(S35:S39),ISBLANK(AQ35:AQ39), ISBLANK(X35:X39),ISBLANK(AV35:AV39)), "·", bdRateExtend( S35:S39,X35:X39, AQ35:AQ39,AV35:AV39))</f>
        <v>6.2007029965704952E-4</v>
      </c>
      <c r="BR35" s="51">
        <f>IF( OR(ISBLANK(S35:S39),ISBLANK(AQ35:AQ39), ISBLANK(Y35:Y39),ISBLANK(AW35:AW39)), "·", bdRateExtend( S35:S39,Y35:Y39, AQ35:AQ39,AW35:AW39))</f>
        <v>-1.3711896223724818E-3</v>
      </c>
      <c r="BS35" s="51">
        <f>IF( OR(ISBLANK(S35:S39),ISBLANK(AQ35:AQ39), ISBLANK(Z35:Z39),ISBLANK(AX35:AX39)), "·", bdRateExtend( S35:S39,Z35:Z39, AQ35:AQ39,AX35:AX39))</f>
        <v>-8.1752537484898191E-3</v>
      </c>
      <c r="BT35" s="51">
        <f>IF( OR(ISBLANK(S35:S39),ISBLANK(AQ35:AQ39), ISBLANK(AA35:AA39),ISBLANK(AY35:AY39)), "·", bdRateExtend( S35:S39,AA35:AA39, AQ35:AQ39,AY35:AY39))</f>
        <v>1.0349660262845006E-3</v>
      </c>
    </row>
    <row r="36" spans="1:72" outlineLevel="1" x14ac:dyDescent="0.2">
      <c r="A36" s="18"/>
      <c r="B36" s="18" t="s">
        <v>80</v>
      </c>
      <c r="C36" s="19" t="s">
        <v>231</v>
      </c>
      <c r="D36" s="18">
        <v>333190689</v>
      </c>
      <c r="E36" s="19">
        <v>11</v>
      </c>
      <c r="F36" s="19">
        <v>32</v>
      </c>
      <c r="G36" s="19">
        <v>30</v>
      </c>
      <c r="I36" s="20">
        <f t="shared" si="0"/>
        <v>1.84314</v>
      </c>
      <c r="J36" s="21">
        <f t="shared" si="1"/>
        <v>5.9005730499269741E-3</v>
      </c>
      <c r="K36" s="21">
        <f t="shared" si="2"/>
        <v>4.0426099662106705E-3</v>
      </c>
      <c r="L36" s="21">
        <f t="shared" si="3"/>
        <v>2.8800084506563147E-3</v>
      </c>
      <c r="M36" s="21">
        <f t="shared" si="4"/>
        <v>1.8579630837163039E-3</v>
      </c>
      <c r="N36" s="18">
        <f t="shared" si="5"/>
        <v>1346960</v>
      </c>
      <c r="O36" s="21">
        <v>16</v>
      </c>
      <c r="P36" s="22">
        <v>24805783</v>
      </c>
      <c r="Q36" s="22">
        <v>2480578.2999999998</v>
      </c>
      <c r="R36" s="22">
        <v>37097.699999999997</v>
      </c>
      <c r="S36" s="22">
        <v>1966016</v>
      </c>
      <c r="T36" s="22">
        <v>959592</v>
      </c>
      <c r="U36" s="22">
        <v>387368</v>
      </c>
      <c r="V36" s="22">
        <v>619056</v>
      </c>
      <c r="W36" s="22">
        <v>74.970370000000003</v>
      </c>
      <c r="X36" s="22">
        <v>77.379379999999998</v>
      </c>
      <c r="Y36" s="22">
        <v>34.298430000000003</v>
      </c>
      <c r="Z36" s="22">
        <v>43.028700000000001</v>
      </c>
      <c r="AA36" s="22">
        <v>44.893380000000001</v>
      </c>
      <c r="AB36" s="22">
        <v>4867.26</v>
      </c>
      <c r="AC36" s="22">
        <v>0</v>
      </c>
      <c r="AD36" s="22">
        <v>47.646999999999998</v>
      </c>
      <c r="AE36" s="22">
        <v>0</v>
      </c>
      <c r="AG36" s="20">
        <f t="shared" si="6"/>
        <v>1.8439950000000001</v>
      </c>
      <c r="AH36" s="21">
        <f t="shared" si="7"/>
        <v>5.9033102212529111E-3</v>
      </c>
      <c r="AI36" s="21">
        <f t="shared" si="8"/>
        <v>4.0389604044427548E-3</v>
      </c>
      <c r="AJ36" s="21">
        <f t="shared" si="9"/>
        <v>2.8771032074068554E-3</v>
      </c>
      <c r="AK36" s="21">
        <f t="shared" si="10"/>
        <v>1.864349816810157E-3</v>
      </c>
      <c r="AL36" s="18">
        <f t="shared" si="11"/>
        <v>1345744</v>
      </c>
      <c r="AM36" s="21">
        <v>16</v>
      </c>
      <c r="AN36" s="22">
        <v>24817824</v>
      </c>
      <c r="AO36" s="22">
        <v>2481782.4</v>
      </c>
      <c r="AP36" s="22">
        <v>37057.199999999997</v>
      </c>
      <c r="AQ36" s="22">
        <v>1966928</v>
      </c>
      <c r="AR36" s="22">
        <v>958624</v>
      </c>
      <c r="AS36" s="22">
        <v>387120</v>
      </c>
      <c r="AT36" s="22">
        <v>621184</v>
      </c>
      <c r="AU36" s="22">
        <v>74.970010000000002</v>
      </c>
      <c r="AV36" s="22">
        <v>77.37491</v>
      </c>
      <c r="AW36" s="22">
        <v>34.304989999999997</v>
      </c>
      <c r="AX36" s="22">
        <v>43.068579999999997</v>
      </c>
      <c r="AY36" s="22">
        <v>44.949779999999997</v>
      </c>
      <c r="AZ36" s="22">
        <v>3929.79</v>
      </c>
      <c r="BA36" s="22">
        <v>0</v>
      </c>
      <c r="BB36" s="22">
        <v>43.781999999999996</v>
      </c>
      <c r="BC36" s="22">
        <v>0</v>
      </c>
      <c r="BE36" s="50">
        <f t="shared" si="12"/>
        <v>0.99909722634673648</v>
      </c>
      <c r="BF36" s="26">
        <f t="shared" si="13"/>
        <v>-2.3574843530471332E-5</v>
      </c>
      <c r="BG36" s="26">
        <f t="shared" si="14"/>
        <v>-9.3589134244975725E-4</v>
      </c>
      <c r="BH36" s="26"/>
      <c r="BJ36" s="50"/>
      <c r="BK36" s="50"/>
      <c r="BL36" s="50"/>
      <c r="BM36" s="50"/>
      <c r="BN36" s="50"/>
      <c r="BP36" s="50"/>
      <c r="BQ36" s="50"/>
      <c r="BR36" s="50"/>
      <c r="BS36" s="50"/>
      <c r="BT36" s="50"/>
    </row>
    <row r="37" spans="1:72" outlineLevel="1" x14ac:dyDescent="0.2">
      <c r="A37" s="54"/>
      <c r="B37" s="54" t="s">
        <v>80</v>
      </c>
      <c r="C37" s="10" t="s">
        <v>232</v>
      </c>
      <c r="D37" s="54">
        <v>333190689</v>
      </c>
      <c r="E37" s="10">
        <v>11</v>
      </c>
      <c r="F37" s="10">
        <v>32</v>
      </c>
      <c r="G37" s="10">
        <v>30</v>
      </c>
      <c r="I37" s="11">
        <f t="shared" si="0"/>
        <v>2.6722950000000001</v>
      </c>
      <c r="J37" s="12">
        <f t="shared" si="1"/>
        <v>8.5550049689413748E-3</v>
      </c>
      <c r="K37" s="12">
        <f t="shared" si="2"/>
        <v>5.1758229054233865E-3</v>
      </c>
      <c r="L37" s="12">
        <f t="shared" si="3"/>
        <v>4.0132213898690311E-3</v>
      </c>
      <c r="M37" s="12">
        <f t="shared" si="4"/>
        <v>3.3791820635179874E-3</v>
      </c>
      <c r="N37" s="54">
        <f t="shared" si="5"/>
        <v>1724536</v>
      </c>
      <c r="O37" s="12">
        <v>16</v>
      </c>
      <c r="P37" s="13">
        <v>25326350</v>
      </c>
      <c r="Q37" s="13">
        <v>2532635</v>
      </c>
      <c r="R37" s="13">
        <v>40277.599999999999</v>
      </c>
      <c r="S37" s="13">
        <v>2850448</v>
      </c>
      <c r="T37" s="13">
        <v>1337168</v>
      </c>
      <c r="U37" s="13">
        <v>387368</v>
      </c>
      <c r="V37" s="13">
        <v>1125912</v>
      </c>
      <c r="W37" s="13">
        <v>76.280869999999993</v>
      </c>
      <c r="X37" s="13">
        <v>78.988659999999996</v>
      </c>
      <c r="Y37" s="13">
        <v>36.303870000000003</v>
      </c>
      <c r="Z37" s="13">
        <v>43.66028</v>
      </c>
      <c r="AA37" s="13">
        <v>46.282760000000003</v>
      </c>
      <c r="AB37" s="13">
        <v>3757.76</v>
      </c>
      <c r="AC37" s="13">
        <v>0</v>
      </c>
      <c r="AD37" s="13">
        <v>38.212000000000003</v>
      </c>
      <c r="AE37" s="13">
        <v>0</v>
      </c>
      <c r="AG37" s="11">
        <f t="shared" si="6"/>
        <v>2.6734800000000001</v>
      </c>
      <c r="AH37" s="12">
        <f t="shared" si="7"/>
        <v>8.5587985923580231E-3</v>
      </c>
      <c r="AI37" s="12">
        <f t="shared" si="8"/>
        <v>5.1709007990916574E-3</v>
      </c>
      <c r="AJ37" s="12">
        <f t="shared" si="9"/>
        <v>4.0090436020557589E-3</v>
      </c>
      <c r="AK37" s="12">
        <f t="shared" si="10"/>
        <v>3.3878977932663657E-3</v>
      </c>
      <c r="AL37" s="54">
        <f t="shared" si="11"/>
        <v>1722896</v>
      </c>
      <c r="AM37" s="12">
        <v>16</v>
      </c>
      <c r="AN37" s="13">
        <v>25325729</v>
      </c>
      <c r="AO37" s="13">
        <v>2532572.9</v>
      </c>
      <c r="AP37" s="13">
        <v>40265.300000000003</v>
      </c>
      <c r="AQ37" s="13">
        <v>2851712</v>
      </c>
      <c r="AR37" s="13">
        <v>1335776</v>
      </c>
      <c r="AS37" s="13">
        <v>387120</v>
      </c>
      <c r="AT37" s="13">
        <v>1128816</v>
      </c>
      <c r="AU37" s="13">
        <v>76.279970000000006</v>
      </c>
      <c r="AV37" s="13">
        <v>78.987650000000002</v>
      </c>
      <c r="AW37" s="13">
        <v>36.313079999999999</v>
      </c>
      <c r="AX37" s="13">
        <v>43.669879999999999</v>
      </c>
      <c r="AY37" s="13">
        <v>46.233370000000001</v>
      </c>
      <c r="AZ37" s="13">
        <v>4604.12</v>
      </c>
      <c r="BA37" s="13">
        <v>0</v>
      </c>
      <c r="BB37" s="13">
        <v>48.204000000000001</v>
      </c>
      <c r="BC37" s="13">
        <v>0</v>
      </c>
      <c r="BE37" s="51">
        <f t="shared" si="12"/>
        <v>0.99904901956236336</v>
      </c>
      <c r="BF37" s="17">
        <f t="shared" si="13"/>
        <v>-4.4667604991339982E-6</v>
      </c>
      <c r="BG37" s="17">
        <f t="shared" si="14"/>
        <v>-8.4325718510436243E-4</v>
      </c>
      <c r="BH37" s="17"/>
      <c r="BJ37" s="51"/>
      <c r="BK37" s="51"/>
      <c r="BL37" s="51"/>
      <c r="BM37" s="51"/>
      <c r="BN37" s="51"/>
      <c r="BP37" s="51"/>
      <c r="BQ37" s="51"/>
      <c r="BR37" s="51"/>
      <c r="BS37" s="51"/>
      <c r="BT37" s="51"/>
    </row>
    <row r="38" spans="1:72" outlineLevel="1" x14ac:dyDescent="0.2">
      <c r="A38" s="18"/>
      <c r="B38" s="18" t="s">
        <v>80</v>
      </c>
      <c r="C38" s="19" t="s">
        <v>233</v>
      </c>
      <c r="D38" s="18">
        <v>333190689</v>
      </c>
      <c r="E38" s="19">
        <v>11</v>
      </c>
      <c r="F38" s="19">
        <v>32</v>
      </c>
      <c r="G38" s="19">
        <v>30</v>
      </c>
      <c r="I38" s="20">
        <f t="shared" si="0"/>
        <v>4.37331</v>
      </c>
      <c r="J38" s="21">
        <f t="shared" si="1"/>
        <v>1.4000583311618291E-2</v>
      </c>
      <c r="K38" s="21">
        <f t="shared" si="2"/>
        <v>7.0905942992902779E-3</v>
      </c>
      <c r="L38" s="21">
        <f t="shared" si="3"/>
        <v>5.9279927837359225E-3</v>
      </c>
      <c r="M38" s="21">
        <f t="shared" si="4"/>
        <v>6.9099890123280128E-3</v>
      </c>
      <c r="N38" s="18">
        <f t="shared" si="5"/>
        <v>2362520</v>
      </c>
      <c r="O38" s="21">
        <v>16</v>
      </c>
      <c r="P38" s="22">
        <v>25955836</v>
      </c>
      <c r="Q38" s="22">
        <v>2595583.6</v>
      </c>
      <c r="R38" s="22">
        <v>45091.9</v>
      </c>
      <c r="S38" s="22">
        <v>4664864</v>
      </c>
      <c r="T38" s="22">
        <v>1975152</v>
      </c>
      <c r="U38" s="22">
        <v>387368</v>
      </c>
      <c r="V38" s="22">
        <v>2302344</v>
      </c>
      <c r="W38" s="22">
        <v>77.441730000000007</v>
      </c>
      <c r="X38" s="22">
        <v>80.17568</v>
      </c>
      <c r="Y38" s="22">
        <v>38.171619999999997</v>
      </c>
      <c r="Z38" s="22">
        <v>44.305129999999998</v>
      </c>
      <c r="AA38" s="22">
        <v>47.390219999999999</v>
      </c>
      <c r="AB38" s="22">
        <v>4040.35</v>
      </c>
      <c r="AC38" s="22">
        <v>0</v>
      </c>
      <c r="AD38" s="22">
        <v>43.728999999999999</v>
      </c>
      <c r="AE38" s="22">
        <v>0</v>
      </c>
      <c r="AG38" s="20">
        <f t="shared" si="6"/>
        <v>4.3742700000000001</v>
      </c>
      <c r="AH38" s="21">
        <f t="shared" si="7"/>
        <v>1.4003656626791273E-2</v>
      </c>
      <c r="AI38" s="21">
        <f t="shared" si="8"/>
        <v>7.0886974875819537E-3</v>
      </c>
      <c r="AJ38" s="21">
        <f t="shared" si="9"/>
        <v>5.9268402905460543E-3</v>
      </c>
      <c r="AK38" s="21">
        <f t="shared" si="10"/>
        <v>6.9149591392093195E-3</v>
      </c>
      <c r="AL38" s="18">
        <f t="shared" si="11"/>
        <v>2361888</v>
      </c>
      <c r="AM38" s="21">
        <v>16</v>
      </c>
      <c r="AN38" s="22">
        <v>25958053</v>
      </c>
      <c r="AO38" s="22">
        <v>2595805.2999999998</v>
      </c>
      <c r="AP38" s="22">
        <v>45093.8</v>
      </c>
      <c r="AQ38" s="22">
        <v>4665888</v>
      </c>
      <c r="AR38" s="22">
        <v>1974768</v>
      </c>
      <c r="AS38" s="22">
        <v>387120</v>
      </c>
      <c r="AT38" s="22">
        <v>2304000</v>
      </c>
      <c r="AU38" s="22">
        <v>77.441820000000007</v>
      </c>
      <c r="AV38" s="22">
        <v>80.175520000000006</v>
      </c>
      <c r="AW38" s="22">
        <v>38.174190000000003</v>
      </c>
      <c r="AX38" s="22">
        <v>44.30574</v>
      </c>
      <c r="AY38" s="22">
        <v>47.377949999999998</v>
      </c>
      <c r="AZ38" s="22">
        <v>3919.95</v>
      </c>
      <c r="BA38" s="22">
        <v>0</v>
      </c>
      <c r="BB38" s="22">
        <v>39.774000000000001</v>
      </c>
      <c r="BC38" s="22">
        <v>0</v>
      </c>
      <c r="BE38" s="50">
        <f t="shared" si="12"/>
        <v>0.99973248903712997</v>
      </c>
      <c r="BF38" s="26">
        <f t="shared" si="13"/>
        <v>-7.5178744476586679E-7</v>
      </c>
      <c r="BG38" s="26">
        <f t="shared" si="14"/>
        <v>-2.4659930074732994E-4</v>
      </c>
      <c r="BH38" s="26"/>
      <c r="BJ38" s="50"/>
      <c r="BK38" s="50"/>
      <c r="BL38" s="50"/>
      <c r="BM38" s="50"/>
      <c r="BN38" s="50"/>
      <c r="BP38" s="50"/>
      <c r="BQ38" s="50"/>
      <c r="BR38" s="50"/>
      <c r="BS38" s="50"/>
      <c r="BT38" s="50"/>
    </row>
    <row r="39" spans="1:72" ht="16" outlineLevel="1" thickBot="1" x14ac:dyDescent="0.25">
      <c r="A39" s="27"/>
      <c r="B39" s="27" t="s">
        <v>80</v>
      </c>
      <c r="C39" s="28" t="s">
        <v>234</v>
      </c>
      <c r="D39" s="27">
        <v>333190689</v>
      </c>
      <c r="E39" s="28">
        <v>11</v>
      </c>
      <c r="F39" s="28">
        <v>32</v>
      </c>
      <c r="G39" s="28">
        <v>30</v>
      </c>
      <c r="I39" s="29">
        <f t="shared" si="0"/>
        <v>8.7629474999999992</v>
      </c>
      <c r="J39" s="30">
        <f t="shared" si="1"/>
        <v>2.8053436991452064E-2</v>
      </c>
      <c r="K39" s="30">
        <f t="shared" si="2"/>
        <v>1.1497031959377473E-2</v>
      </c>
      <c r="L39" s="30">
        <f t="shared" si="3"/>
        <v>9.1409997354397858E-3</v>
      </c>
      <c r="M39" s="30">
        <f t="shared" si="4"/>
        <v>1.6556405032074589E-2</v>
      </c>
      <c r="N39" s="27">
        <f t="shared" si="5"/>
        <v>3830704</v>
      </c>
      <c r="O39" s="30">
        <v>16</v>
      </c>
      <c r="P39" s="31">
        <v>25380172</v>
      </c>
      <c r="Q39" s="31">
        <v>2538017.2000000002</v>
      </c>
      <c r="R39" s="31">
        <v>17741.3</v>
      </c>
      <c r="S39" s="31">
        <v>9347144</v>
      </c>
      <c r="T39" s="31">
        <v>3045696</v>
      </c>
      <c r="U39" s="31">
        <v>785008</v>
      </c>
      <c r="V39" s="31">
        <v>5516440</v>
      </c>
      <c r="W39" s="31">
        <v>78.292199999999994</v>
      </c>
      <c r="X39" s="31">
        <v>81.885210000000001</v>
      </c>
      <c r="Y39" s="31">
        <v>40.198549999999997</v>
      </c>
      <c r="Z39" s="31">
        <v>45.216859999999997</v>
      </c>
      <c r="AA39" s="31">
        <v>48.702869999999997</v>
      </c>
      <c r="AB39" s="31">
        <v>5717.07</v>
      </c>
      <c r="AC39" s="31">
        <v>0</v>
      </c>
      <c r="AD39" s="31">
        <v>46.616</v>
      </c>
      <c r="AE39" s="31">
        <v>0</v>
      </c>
      <c r="AG39" s="29">
        <f t="shared" si="6"/>
        <v>8.7661049999999996</v>
      </c>
      <c r="AH39" s="30">
        <f t="shared" si="7"/>
        <v>2.80635453171382E-2</v>
      </c>
      <c r="AI39" s="30">
        <f t="shared" si="8"/>
        <v>1.1493718541456602E-2</v>
      </c>
      <c r="AJ39" s="30">
        <f t="shared" si="9"/>
        <v>9.1397031806011841E-3</v>
      </c>
      <c r="AK39" s="30">
        <f t="shared" si="10"/>
        <v>1.6569826775681598E-2</v>
      </c>
      <c r="AL39" s="27">
        <f t="shared" si="11"/>
        <v>3829600</v>
      </c>
      <c r="AM39" s="30">
        <v>16</v>
      </c>
      <c r="AN39" s="31">
        <v>25380848</v>
      </c>
      <c r="AO39" s="31">
        <v>2538084.7999999998</v>
      </c>
      <c r="AP39" s="31">
        <v>17743.099999999999</v>
      </c>
      <c r="AQ39" s="31">
        <v>9350512</v>
      </c>
      <c r="AR39" s="31">
        <v>3045264</v>
      </c>
      <c r="AS39" s="31">
        <v>784336</v>
      </c>
      <c r="AT39" s="31">
        <v>5520912</v>
      </c>
      <c r="AU39" s="31">
        <v>78.292439999999999</v>
      </c>
      <c r="AV39" s="31">
        <v>81.884839999999997</v>
      </c>
      <c r="AW39" s="31">
        <v>40.214359999999999</v>
      </c>
      <c r="AX39" s="31">
        <v>45.22419</v>
      </c>
      <c r="AY39" s="31">
        <v>48.712789999999998</v>
      </c>
      <c r="AZ39" s="31">
        <v>4574.7299999999996</v>
      </c>
      <c r="BA39" s="31">
        <v>0</v>
      </c>
      <c r="BB39" s="31">
        <v>43.781999999999996</v>
      </c>
      <c r="BC39" s="31">
        <v>0</v>
      </c>
      <c r="BE39" s="35">
        <f t="shared" si="12"/>
        <v>0.99971180232145318</v>
      </c>
      <c r="BF39" s="36">
        <f t="shared" si="13"/>
        <v>5.230168395060214E-7</v>
      </c>
      <c r="BG39" s="36">
        <f t="shared" si="14"/>
        <v>-2.6568539339255626E-4</v>
      </c>
      <c r="BH39" s="36"/>
      <c r="BJ39" s="35"/>
      <c r="BK39" s="35"/>
      <c r="BL39" s="35"/>
      <c r="BM39" s="35"/>
      <c r="BN39" s="35"/>
      <c r="BP39" s="35"/>
      <c r="BQ39" s="35"/>
      <c r="BR39" s="35"/>
      <c r="BS39" s="35"/>
      <c r="BT39" s="35"/>
    </row>
    <row r="40" spans="1:72" ht="16" x14ac:dyDescent="0.2">
      <c r="B40" s="47" t="s">
        <v>14</v>
      </c>
      <c r="J40" s="48">
        <f>AVERAGE(J5:J24)</f>
        <v>1.7584141632284965E-2</v>
      </c>
      <c r="K40" s="48">
        <f>AVERAGE(K5:K24)</f>
        <v>9.5057079761215555E-3</v>
      </c>
      <c r="L40" s="48">
        <f>AVERAGE(L5:L24)</f>
        <v>6.9537995636637859E-3</v>
      </c>
      <c r="M40" s="48">
        <f>AVERAGE(M5:M24)</f>
        <v>8.0784336561634147E-3</v>
      </c>
      <c r="AH40" s="48">
        <f>AVERAGE(AH5:AH24)</f>
        <v>1.7532666483255112E-2</v>
      </c>
      <c r="AI40" s="48">
        <f>AVERAGE(AI5:AI24)</f>
        <v>9.5089767333224259E-3</v>
      </c>
      <c r="AJ40" s="48">
        <f>AVERAGE(AJ5:AJ24)</f>
        <v>6.9802494958295085E-3</v>
      </c>
      <c r="AK40" s="48">
        <f>AVERAGE(AK5:AK24)</f>
        <v>8.0236897499326859E-3</v>
      </c>
      <c r="BE40" s="52">
        <f t="shared" si="12"/>
        <v>1.0003438730927861</v>
      </c>
      <c r="BH40" s="55">
        <f>AVERAGE(BH5:BH24)</f>
        <v>2.4296230961194931E-3</v>
      </c>
      <c r="BJ40" s="52">
        <f>AVERAGE(BJ5:BJ24)</f>
        <v>-1.3057021372069044E-3</v>
      </c>
      <c r="BK40" s="52">
        <f>AVERAGE(BK5:BK24)</f>
        <v>-1.3427786521772733E-3</v>
      </c>
      <c r="BL40" s="52">
        <f>AVERAGE(BL5:BL24)</f>
        <v>-1.5044060958378569E-2</v>
      </c>
      <c r="BM40" s="52">
        <f>AVERAGE(BM5:BM24)</f>
        <v>-2.5062572130885835E-2</v>
      </c>
      <c r="BN40" s="52">
        <f>AVERAGE(BN5:BN24)</f>
        <v>-1.5546406263098528E-2</v>
      </c>
      <c r="BP40" s="52">
        <f>AVERAGE(BP5:BP24)</f>
        <v>-6.9453255289815274E-3</v>
      </c>
      <c r="BQ40" s="52">
        <f>AVERAGE(BQ5:BQ24)</f>
        <v>-6.9691805094203307E-3</v>
      </c>
      <c r="BR40" s="52">
        <f>AVERAGE(BR5:BR24)</f>
        <v>-4.0173607261031474E-3</v>
      </c>
      <c r="BS40" s="52">
        <f>AVERAGE(BS5:BS24)</f>
        <v>-1.1355739993504727E-2</v>
      </c>
      <c r="BT40" s="52">
        <f>AVERAGE(BT5:BT24)</f>
        <v>-4.8107033033047697E-3</v>
      </c>
    </row>
    <row r="41" spans="1:72" ht="16" x14ac:dyDescent="0.2">
      <c r="B41" s="47" t="s">
        <v>15</v>
      </c>
      <c r="J41" s="48">
        <f>AVERAGE(J25:J29)</f>
        <v>3.8097137875721179E-2</v>
      </c>
      <c r="K41" s="48">
        <f>AVERAGE(K25:K29)</f>
        <v>1.1361645854563484E-2</v>
      </c>
      <c r="L41" s="48">
        <f>AVERAGE(L25:L29)</f>
        <v>8.7549893509081232E-3</v>
      </c>
      <c r="M41" s="48">
        <f>AVERAGE(M25:M29)</f>
        <v>2.6735492021157693E-2</v>
      </c>
      <c r="AH41" s="48">
        <f>AVERAGE(AH25:AH29)</f>
        <v>3.8171399171556979E-2</v>
      </c>
      <c r="AI41" s="48">
        <f>AVERAGE(AI25:AI29)</f>
        <v>1.1411833117506315E-2</v>
      </c>
      <c r="AJ41" s="48">
        <f>AVERAGE(AJ25:AJ29)</f>
        <v>8.8050231946291187E-3</v>
      </c>
      <c r="AK41" s="48">
        <f>AVERAGE(AK25:AK29)</f>
        <v>2.6759566054050665E-2</v>
      </c>
      <c r="BE41" s="52">
        <f t="shared" si="12"/>
        <v>1.0044172528861806</v>
      </c>
      <c r="BH41" s="55">
        <f>AVERAGE(BH25:BH29)</f>
        <v>7.7146004897621356E-4</v>
      </c>
      <c r="BJ41" s="52">
        <f>AVERAGE(BJ25:BJ29)</f>
        <v>1.8370461865762078E-3</v>
      </c>
      <c r="BK41" s="52">
        <f>AVERAGE(BK25:BK29)</f>
        <v>2.3533713586687544E-3</v>
      </c>
      <c r="BL41" s="52">
        <f>AVERAGE(BL25:BL29)</f>
        <v>-3.0310210114082858E-3</v>
      </c>
      <c r="BM41" s="52">
        <f>AVERAGE(BM25:BM29)</f>
        <v>6.6544099190637418E-3</v>
      </c>
      <c r="BN41" s="52">
        <f>AVERAGE(BN25:BN29)</f>
        <v>1.5224279155376941E-3</v>
      </c>
      <c r="BP41" s="52">
        <f>AVERAGE(BP25:BP29)</f>
        <v>-3.4732512212900524E-3</v>
      </c>
      <c r="BQ41" s="52">
        <f>AVERAGE(BQ25:BQ29)</f>
        <v>-3.8864058618816033E-3</v>
      </c>
      <c r="BR41" s="52">
        <f>AVERAGE(BR25:BR29)</f>
        <v>-4.3689468399721321E-5</v>
      </c>
      <c r="BS41" s="52">
        <f>AVERAGE(BS25:BS29)</f>
        <v>7.0754514286259784E-3</v>
      </c>
      <c r="BT41" s="52">
        <f>AVERAGE(BT25:BT29)</f>
        <v>3.1090497008767759E-3</v>
      </c>
    </row>
    <row r="42" spans="1:72" ht="16" x14ac:dyDescent="0.2">
      <c r="B42" s="47" t="s">
        <v>16</v>
      </c>
      <c r="J42" s="48">
        <f>AVERAGE(J30:J39)</f>
        <v>1.0282270132037833E-2</v>
      </c>
      <c r="K42" s="48">
        <f>AVERAGE(K30:K39)</f>
        <v>5.3427990163957013E-3</v>
      </c>
      <c r="L42" s="48">
        <f>AVERAGE(L30:L39)</f>
        <v>4.1096330847319226E-3</v>
      </c>
      <c r="M42" s="48">
        <f>AVERAGE(M30:M39)</f>
        <v>4.939471115642133E-3</v>
      </c>
      <c r="AH42" s="48">
        <f>AVERAGE(AH30:AH39)</f>
        <v>1.0283969008941499E-2</v>
      </c>
      <c r="AI42" s="48">
        <f>AVERAGE(AI30:AI39)</f>
        <v>5.3412012825708472E-3</v>
      </c>
      <c r="AJ42" s="48">
        <f>AVERAGE(AJ30:AJ39)</f>
        <v>4.108545419283985E-3</v>
      </c>
      <c r="AK42" s="48">
        <f>AVERAGE(AK30:AK39)</f>
        <v>4.9427677263706518E-3</v>
      </c>
      <c r="BE42" s="52">
        <f t="shared" si="12"/>
        <v>0.99970095565639827</v>
      </c>
      <c r="BH42" s="55">
        <f>AVERAGE(BH30:BH39)</f>
        <v>-2.3269546836451882E-4</v>
      </c>
      <c r="BJ42" s="52">
        <f>AVERAGE(BJ30:BJ39)</f>
        <v>-3.3754160559845703E-4</v>
      </c>
      <c r="BK42" s="52">
        <f>AVERAGE(BK30:BK39)</f>
        <v>-2.0030991743286153E-4</v>
      </c>
      <c r="BL42" s="52">
        <f>AVERAGE(BL30:BL39)</f>
        <v>-2.6405824089348329E-4</v>
      </c>
      <c r="BM42" s="52">
        <f>AVERAGE(BM30:BM39)</f>
        <v>-6.0290816515193857E-3</v>
      </c>
      <c r="BN42" s="52">
        <f>AVERAGE(BN30:BN39)</f>
        <v>1.1692420030301465E-3</v>
      </c>
      <c r="BP42" s="52">
        <f>AVERAGE(BP30:BP39)</f>
        <v>1.5354651919302631E-4</v>
      </c>
      <c r="BQ42" s="52">
        <f>AVERAGE(BQ30:BQ39)</f>
        <v>3.0790184255991004E-4</v>
      </c>
      <c r="BR42" s="52">
        <f>AVERAGE(BR30:BR39)</f>
        <v>-6.8765455188213309E-4</v>
      </c>
      <c r="BS42" s="52">
        <f>AVERAGE(BS30:BS39)</f>
        <v>-4.089539030020295E-3</v>
      </c>
      <c r="BT42" s="52">
        <f>AVERAGE(BT30:BT39)</f>
        <v>5.1549948733181639E-4</v>
      </c>
    </row>
    <row r="43" spans="1:72" ht="16" x14ac:dyDescent="0.2">
      <c r="B43" s="47" t="s">
        <v>17</v>
      </c>
      <c r="J43" s="48">
        <f>AVERAGE(J5:J39)</f>
        <v>1.8428320666990957E-2</v>
      </c>
      <c r="K43" s="48">
        <f>AVERAGE(K5:K39)</f>
        <v>8.5814393988344444E-3</v>
      </c>
      <c r="L43" s="48">
        <f>AVERAGE(L5:L39)</f>
        <v>6.3984933964324449E-3</v>
      </c>
      <c r="M43" s="48">
        <f>AVERAGE(M5:M39)</f>
        <v>9.8468812681565179E-3</v>
      </c>
      <c r="AH43" s="48">
        <f>AVERAGE(AH5:AH39)</f>
        <v>1.841000044606577E-2</v>
      </c>
      <c r="AI43" s="48">
        <f>AVERAGE(AI5:AI39)</f>
        <v>8.5900203737053864E-3</v>
      </c>
      <c r="AJ43" s="48">
        <f>AVERAGE(AJ5:AJ39)</f>
        <v>6.420444573787874E-3</v>
      </c>
      <c r="AK43" s="48">
        <f>AVERAGE(AK5:AK39)</f>
        <v>9.8199800723603875E-3</v>
      </c>
      <c r="BE43" s="52">
        <f t="shared" si="12"/>
        <v>1.0009999458683012</v>
      </c>
      <c r="BH43" s="55">
        <f>AVERAGE(BH5:BH39)</f>
        <v>1.4320802138178784E-3</v>
      </c>
      <c r="BJ43" s="52">
        <f>AVERAGE(BJ5:BJ39)</f>
        <v>-5.8012079620690341E-4</v>
      </c>
      <c r="BK43" s="52">
        <f>AVERAGE(BK5:BK39)</f>
        <v>-4.8833758355800881E-4</v>
      </c>
      <c r="BL43" s="52">
        <f>AVERAGE(BL5:BL39)</f>
        <v>-9.1050544752442186E-3</v>
      </c>
      <c r="BM43" s="52">
        <f>AVERAGE(BM5:BM39)</f>
        <v>-1.509343455821691E-2</v>
      </c>
      <c r="BN43" s="52">
        <f>AVERAGE(BN5:BN39)</f>
        <v>-8.3321018758280175E-3</v>
      </c>
      <c r="BP43" s="52">
        <f>AVERAGE(BP5:BP39)</f>
        <v>-4.4210657569757296E-3</v>
      </c>
      <c r="BQ43" s="52">
        <f>AVERAGE(BQ5:BQ39)</f>
        <v>-4.4496177449204434E-3</v>
      </c>
      <c r="BR43" s="52">
        <f>AVERAGE(BR5:BR39)</f>
        <v>-2.4983487823680823E-3</v>
      </c>
      <c r="BS43" s="52">
        <f>AVERAGE(BS5:BS39)</f>
        <v>-6.6466552293476455E-3</v>
      </c>
      <c r="BT43" s="52">
        <f>AVERAGE(BT5:BT39)</f>
        <v>-2.1575377910969529E-3</v>
      </c>
    </row>
    <row r="44" spans="1:72" ht="16" hidden="1" outlineLevel="2" x14ac:dyDescent="0.2">
      <c r="A44" s="47" t="s">
        <v>237</v>
      </c>
      <c r="B44" s="47" t="s">
        <v>238</v>
      </c>
      <c r="AB44" s="49">
        <f>SUM(AB5:AB24,AB25:AB29,AB30:AB39)</f>
        <v>184163.36000000004</v>
      </c>
      <c r="AC44" s="49">
        <f>SUM(AC5:AC24,AC25:AC29,AC30:AC39)</f>
        <v>0</v>
      </c>
      <c r="AD44" s="49">
        <f>SUM(AD5:AD24,AD25:AD29,AD30:AD39)</f>
        <v>1638.17</v>
      </c>
      <c r="AE44" s="49">
        <f>SUM(AE5:AE24,AE25:AE29,AE30:AE39)</f>
        <v>0</v>
      </c>
      <c r="AZ44" s="49">
        <f>SUM(AZ5:AZ24,AZ25:AZ29,AZ30:AZ39)</f>
        <v>180448.18</v>
      </c>
      <c r="BA44" s="49">
        <f>SUM(BA5:BA24,BA25:BA29,BA30:BA39)</f>
        <v>0</v>
      </c>
      <c r="BB44" s="49">
        <f>SUM(BB5:BB24,BB25:BB29,BB30:BB39)</f>
        <v>1691.9930000000002</v>
      </c>
      <c r="BC44" s="49">
        <f>SUM(BC5:BC24,BC25:BC29,BC30:BC39)</f>
        <v>0</v>
      </c>
    </row>
    <row r="45" spans="1:72" ht="16" hidden="1" outlineLevel="2" x14ac:dyDescent="0.2">
      <c r="B45" s="47" t="s">
        <v>239</v>
      </c>
      <c r="AZ45" s="55">
        <f>AZ44/AB44</f>
        <v>0.97982671471675986</v>
      </c>
      <c r="BA45" s="55" t="e">
        <f>BA44/AC44</f>
        <v>#DIV/0!</v>
      </c>
      <c r="BB45" s="55">
        <f>BB44/AD44</f>
        <v>1.0328555644408091</v>
      </c>
      <c r="BC45" s="55" t="e">
        <f>BC44/AE44</f>
        <v>#DIV/0!</v>
      </c>
    </row>
    <row r="46" spans="1:72" ht="16" hidden="1" outlineLevel="2" x14ac:dyDescent="0.2">
      <c r="B46" s="47" t="s">
        <v>240</v>
      </c>
      <c r="AB46" s="49">
        <f>GEOMEAN(AB5:AB24,AB25:AB29,AB30:AB39)</f>
        <v>5123.3456901912668</v>
      </c>
      <c r="AC46" s="49" t="e">
        <f>GEOMEAN(AC5:AC24,AC25:AC29,AC30:AC39)</f>
        <v>#NUM!</v>
      </c>
      <c r="AD46" s="49">
        <f>GEOMEAN(AD5:AD24,AD25:AD29,AD30:AD39)</f>
        <v>46.432545064725687</v>
      </c>
      <c r="AE46" s="49" t="e">
        <f>GEOMEAN(AE5:AE24,AE25:AE29,AE30:AE39)</f>
        <v>#NUM!</v>
      </c>
      <c r="AZ46" s="49">
        <f>GEOMEAN(AZ5:AZ24,AZ25:AZ29,AZ30:AZ39)</f>
        <v>5001.8678762363525</v>
      </c>
      <c r="BA46" s="49" t="e">
        <f>GEOMEAN(BA5:BA24,BA25:BA29,BA30:BA39)</f>
        <v>#NUM!</v>
      </c>
      <c r="BB46" s="49">
        <f>GEOMEAN(BB5:BB24,BB25:BB29,BB30:BB39)</f>
        <v>47.913016622903442</v>
      </c>
      <c r="BC46" s="49" t="e">
        <f>GEOMEAN(BC5:BC24,BC25:BC29,BC30:BC39)</f>
        <v>#NUM!</v>
      </c>
    </row>
    <row r="47" spans="1:72" ht="16" outlineLevel="2" collapsed="1" x14ac:dyDescent="0.2">
      <c r="B47" s="47" t="s">
        <v>241</v>
      </c>
      <c r="AZ47" s="55">
        <f>AZ46/AB46</f>
        <v>0.97628935830203967</v>
      </c>
      <c r="BA47" s="55" t="e">
        <f>BA46/AC46</f>
        <v>#NUM!</v>
      </c>
      <c r="BB47" s="55">
        <f>BB46/AD46</f>
        <v>1.0318843508602429</v>
      </c>
      <c r="BC47" s="55" t="e">
        <f>BC46/AE46</f>
        <v>#NUM!</v>
      </c>
    </row>
    <row r="57" spans="37:73" x14ac:dyDescent="0.2">
      <c r="AK57"/>
      <c r="AL57"/>
      <c r="AM57"/>
      <c r="AN57"/>
      <c r="AO57" s="53"/>
      <c r="AQ57"/>
      <c r="AR57"/>
      <c r="AS57"/>
      <c r="AU57"/>
      <c r="AV57"/>
      <c r="AZ57" s="53"/>
      <c r="BC57" s="53"/>
      <c r="BE57" s="53"/>
      <c r="BF57" s="53"/>
      <c r="BI57"/>
      <c r="BL57"/>
      <c r="BM57"/>
      <c r="BN57"/>
      <c r="BO57"/>
      <c r="BR57"/>
      <c r="BS57"/>
      <c r="BT57"/>
      <c r="BU57"/>
    </row>
    <row r="58" spans="37:73" x14ac:dyDescent="0.2">
      <c r="AK58"/>
      <c r="AL58"/>
      <c r="AM58"/>
      <c r="AN58"/>
      <c r="AO58" s="53"/>
      <c r="AQ58"/>
      <c r="AR58"/>
      <c r="AS58"/>
      <c r="AU58"/>
      <c r="AV58"/>
      <c r="AZ58" s="53"/>
      <c r="BC58" s="53"/>
      <c r="BE58" s="53"/>
      <c r="BF58" s="53"/>
      <c r="BI58"/>
      <c r="BL58"/>
      <c r="BM58"/>
      <c r="BN58"/>
      <c r="BO58"/>
      <c r="BR58"/>
      <c r="BS58"/>
      <c r="BT58"/>
      <c r="BU58"/>
    </row>
    <row r="59" spans="37:73" x14ac:dyDescent="0.2">
      <c r="AK59"/>
      <c r="AL59"/>
      <c r="AM59"/>
      <c r="AN59"/>
      <c r="AO59" s="53"/>
      <c r="AQ59"/>
      <c r="AR59"/>
      <c r="AS59"/>
      <c r="AU59"/>
      <c r="AV59"/>
      <c r="AZ59" s="53"/>
      <c r="BC59" s="53"/>
      <c r="BE59" s="53"/>
      <c r="BF59" s="53"/>
      <c r="BI59"/>
      <c r="BL59"/>
      <c r="BM59"/>
      <c r="BN59"/>
      <c r="BO59"/>
      <c r="BR59"/>
      <c r="BS59"/>
      <c r="BT59"/>
      <c r="BU59"/>
    </row>
    <row r="60" spans="37:73" x14ac:dyDescent="0.2">
      <c r="AK60"/>
      <c r="AL60"/>
      <c r="AM60"/>
      <c r="AN60"/>
      <c r="AO60" s="53"/>
      <c r="AQ60"/>
      <c r="AR60"/>
      <c r="AS60"/>
      <c r="AU60"/>
      <c r="AV60"/>
      <c r="AZ60" s="53"/>
      <c r="BC60" s="53"/>
      <c r="BE60" s="53"/>
      <c r="BF60" s="53"/>
      <c r="BI60"/>
      <c r="BL60"/>
      <c r="BM60"/>
      <c r="BN60"/>
      <c r="BO60"/>
      <c r="BR60"/>
      <c r="BS60"/>
      <c r="BT60"/>
      <c r="BU60"/>
    </row>
    <row r="61" spans="37:73" x14ac:dyDescent="0.2">
      <c r="AK61"/>
      <c r="AL61"/>
      <c r="AM61"/>
      <c r="AN61"/>
      <c r="AO61" s="53"/>
      <c r="AQ61"/>
      <c r="AR61"/>
      <c r="AS61"/>
      <c r="AU61"/>
      <c r="AV61"/>
      <c r="AZ61" s="53"/>
      <c r="BC61" s="53"/>
      <c r="BE61" s="53"/>
      <c r="BF61" s="53"/>
      <c r="BI61"/>
      <c r="BL61"/>
      <c r="BM61"/>
      <c r="BN61"/>
      <c r="BO61"/>
      <c r="BR61"/>
      <c r="BS61"/>
      <c r="BT61"/>
      <c r="BU61"/>
    </row>
    <row r="62" spans="37:73" x14ac:dyDescent="0.2">
      <c r="AK62"/>
      <c r="AL62"/>
      <c r="AM62"/>
      <c r="AN62"/>
      <c r="AO62" s="53"/>
      <c r="AQ62"/>
      <c r="AR62"/>
      <c r="AS62"/>
      <c r="AU62"/>
      <c r="AV62"/>
      <c r="AZ62" s="53"/>
      <c r="BC62" s="53"/>
      <c r="BE62" s="53"/>
      <c r="BF62" s="53"/>
      <c r="BI62"/>
      <c r="BL62"/>
      <c r="BM62"/>
      <c r="BN62"/>
      <c r="BO62"/>
      <c r="BR62"/>
      <c r="BS62"/>
      <c r="BT62"/>
      <c r="BU62"/>
    </row>
    <row r="63" spans="37:73" x14ac:dyDescent="0.2">
      <c r="AK63"/>
      <c r="AL63"/>
      <c r="AM63"/>
      <c r="AN63"/>
      <c r="AO63" s="53"/>
      <c r="AQ63"/>
      <c r="AR63"/>
      <c r="AS63"/>
      <c r="AU63"/>
      <c r="AV63"/>
      <c r="AZ63" s="53"/>
      <c r="BC63" s="53"/>
      <c r="BE63" s="53"/>
      <c r="BF63" s="53"/>
      <c r="BI63"/>
      <c r="BL63"/>
      <c r="BM63"/>
      <c r="BN63"/>
      <c r="BO63"/>
      <c r="BR63"/>
      <c r="BS63"/>
      <c r="BT63"/>
      <c r="BU63"/>
    </row>
    <row r="64" spans="37:73" x14ac:dyDescent="0.2">
      <c r="AK64"/>
      <c r="AL64"/>
      <c r="AM64"/>
      <c r="AN64"/>
      <c r="AO64" s="53"/>
      <c r="AQ64"/>
      <c r="AR64"/>
      <c r="AS64"/>
      <c r="AU64"/>
      <c r="AV64"/>
      <c r="AZ64" s="53"/>
      <c r="BC64" s="53"/>
      <c r="BE64" s="53"/>
      <c r="BF64" s="53"/>
      <c r="BI64"/>
      <c r="BL64"/>
      <c r="BM64"/>
      <c r="BN64"/>
      <c r="BO64"/>
      <c r="BR64"/>
      <c r="BS64"/>
      <c r="BT64"/>
      <c r="BU64"/>
    </row>
    <row r="65" spans="37:73" x14ac:dyDescent="0.2">
      <c r="AK65"/>
      <c r="AL65"/>
      <c r="AM65"/>
      <c r="AN65"/>
      <c r="AO65" s="53"/>
      <c r="AQ65"/>
      <c r="AR65"/>
      <c r="AS65"/>
      <c r="AU65"/>
      <c r="AV65"/>
      <c r="AZ65" s="53"/>
      <c r="BC65" s="53"/>
      <c r="BE65" s="53"/>
      <c r="BF65" s="53"/>
      <c r="BI65"/>
      <c r="BL65"/>
      <c r="BM65"/>
      <c r="BN65"/>
      <c r="BO65"/>
      <c r="BR65"/>
      <c r="BS65"/>
      <c r="BT65"/>
      <c r="BU65"/>
    </row>
    <row r="66" spans="37:73" x14ac:dyDescent="0.2">
      <c r="AK66"/>
      <c r="AL66"/>
      <c r="AM66"/>
      <c r="AN66"/>
      <c r="AO66" s="53"/>
      <c r="AQ66"/>
      <c r="AR66"/>
      <c r="AS66"/>
      <c r="AU66"/>
      <c r="AV66"/>
      <c r="AZ66" s="53"/>
      <c r="BC66" s="53"/>
      <c r="BE66" s="53"/>
      <c r="BF66" s="53"/>
      <c r="BI66"/>
      <c r="BL66"/>
      <c r="BM66"/>
      <c r="BN66"/>
      <c r="BO66"/>
      <c r="BR66"/>
      <c r="BS66"/>
      <c r="BT66"/>
      <c r="BU66"/>
    </row>
    <row r="67" spans="37:73" x14ac:dyDescent="0.2">
      <c r="AK67"/>
      <c r="AL67"/>
      <c r="AM67"/>
      <c r="AN67"/>
      <c r="AO67" s="53"/>
      <c r="AQ67"/>
      <c r="AR67"/>
      <c r="AS67"/>
      <c r="AU67"/>
      <c r="AV67"/>
      <c r="AZ67" s="53"/>
      <c r="BC67" s="53"/>
      <c r="BE67" s="53"/>
      <c r="BF67" s="53"/>
      <c r="BI67"/>
      <c r="BL67"/>
      <c r="BM67"/>
      <c r="BN67"/>
      <c r="BO67"/>
      <c r="BR67"/>
      <c r="BS67"/>
      <c r="BT67"/>
      <c r="BU67"/>
    </row>
    <row r="68" spans="37:73" x14ac:dyDescent="0.2">
      <c r="AK68"/>
      <c r="AL68"/>
      <c r="AM68"/>
      <c r="AN68"/>
      <c r="AO68" s="53"/>
      <c r="AQ68"/>
      <c r="AR68"/>
      <c r="AS68"/>
      <c r="AU68"/>
      <c r="AV68"/>
      <c r="AZ68" s="53"/>
      <c r="BC68" s="53"/>
      <c r="BE68" s="53"/>
      <c r="BF68" s="53"/>
      <c r="BI68"/>
      <c r="BL68"/>
      <c r="BM68"/>
      <c r="BN68"/>
      <c r="BO68"/>
      <c r="BR68"/>
      <c r="BS68"/>
      <c r="BT68"/>
      <c r="BU68"/>
    </row>
    <row r="69" spans="37:73" x14ac:dyDescent="0.2">
      <c r="AK69"/>
      <c r="AL69"/>
      <c r="AM69"/>
      <c r="AN69"/>
      <c r="AO69" s="53"/>
      <c r="AQ69"/>
      <c r="AR69"/>
      <c r="AS69"/>
      <c r="AU69"/>
      <c r="AV69"/>
      <c r="AZ69" s="53"/>
      <c r="BC69" s="53"/>
      <c r="BE69" s="53"/>
      <c r="BF69" s="53"/>
      <c r="BI69"/>
      <c r="BL69"/>
      <c r="BM69"/>
      <c r="BN69"/>
      <c r="BO69"/>
      <c r="BR69"/>
      <c r="BS69"/>
      <c r="BT69"/>
      <c r="BU69"/>
    </row>
    <row r="70" spans="37:73" x14ac:dyDescent="0.2">
      <c r="AK70"/>
      <c r="AL70"/>
      <c r="AM70"/>
      <c r="AN70"/>
      <c r="AO70" s="53"/>
      <c r="AQ70"/>
      <c r="AR70"/>
      <c r="AS70"/>
      <c r="AU70"/>
      <c r="AV70"/>
      <c r="AZ70" s="53"/>
      <c r="BC70" s="53"/>
      <c r="BE70" s="53"/>
      <c r="BF70" s="53"/>
      <c r="BI70"/>
      <c r="BL70"/>
      <c r="BM70"/>
      <c r="BN70"/>
      <c r="BO70"/>
      <c r="BR70"/>
      <c r="BS70"/>
      <c r="BT70"/>
      <c r="BU70"/>
    </row>
    <row r="71" spans="37:73" x14ac:dyDescent="0.2">
      <c r="AK71"/>
      <c r="AL71"/>
      <c r="AM71"/>
      <c r="AN71"/>
      <c r="AO71" s="53"/>
      <c r="AQ71"/>
      <c r="AR71"/>
      <c r="AS71"/>
      <c r="AU71"/>
      <c r="AV71"/>
      <c r="AZ71" s="53"/>
      <c r="BC71" s="53"/>
      <c r="BE71" s="53"/>
      <c r="BF71" s="53"/>
      <c r="BI71"/>
      <c r="BL71"/>
      <c r="BM71"/>
      <c r="BN71"/>
      <c r="BO71"/>
      <c r="BR71"/>
      <c r="BS71"/>
      <c r="BT71"/>
      <c r="BU71"/>
    </row>
    <row r="72" spans="37:73" x14ac:dyDescent="0.2">
      <c r="AK72"/>
      <c r="AL72"/>
      <c r="AM72"/>
      <c r="AN72"/>
      <c r="AO72" s="53"/>
      <c r="AQ72"/>
      <c r="AR72"/>
      <c r="AS72"/>
      <c r="AU72"/>
      <c r="AV72"/>
      <c r="AZ72" s="53"/>
      <c r="BC72" s="53"/>
      <c r="BE72" s="53"/>
      <c r="BF72" s="53"/>
      <c r="BI72"/>
      <c r="BL72"/>
      <c r="BM72"/>
      <c r="BN72"/>
      <c r="BO72"/>
      <c r="BR72"/>
      <c r="BS72"/>
      <c r="BT72"/>
      <c r="BU72"/>
    </row>
    <row r="73" spans="37:73" x14ac:dyDescent="0.2">
      <c r="AK73"/>
      <c r="AL73"/>
      <c r="AM73"/>
      <c r="AN73"/>
      <c r="AO73" s="53"/>
      <c r="AQ73"/>
      <c r="AR73"/>
      <c r="AS73"/>
      <c r="AU73"/>
      <c r="AV73"/>
      <c r="AZ73" s="53"/>
      <c r="BC73" s="53"/>
      <c r="BE73" s="53"/>
      <c r="BF73" s="53"/>
      <c r="BI73"/>
      <c r="BL73"/>
      <c r="BM73"/>
      <c r="BN73"/>
      <c r="BO73"/>
      <c r="BR73"/>
      <c r="BS73"/>
      <c r="BT73"/>
      <c r="BU73"/>
    </row>
    <row r="74" spans="37:73" x14ac:dyDescent="0.2">
      <c r="AK74"/>
      <c r="AL74"/>
      <c r="AM74"/>
      <c r="AN74"/>
      <c r="AO74" s="53"/>
      <c r="AQ74"/>
      <c r="AR74"/>
      <c r="AS74"/>
      <c r="AU74"/>
      <c r="AV74"/>
      <c r="AZ74" s="53"/>
      <c r="BC74" s="53"/>
      <c r="BE74" s="53"/>
      <c r="BF74" s="53"/>
      <c r="BI74"/>
      <c r="BL74"/>
      <c r="BM74"/>
      <c r="BN74"/>
      <c r="BO74"/>
      <c r="BR74"/>
      <c r="BS74"/>
      <c r="BT74"/>
      <c r="BU74"/>
    </row>
    <row r="75" spans="37:73" x14ac:dyDescent="0.2">
      <c r="AK75"/>
      <c r="AL75"/>
      <c r="AM75"/>
      <c r="AN75"/>
      <c r="AO75" s="53"/>
      <c r="AQ75"/>
      <c r="AR75"/>
      <c r="AS75"/>
      <c r="AU75"/>
      <c r="AV75"/>
      <c r="AZ75" s="53"/>
      <c r="BC75" s="53"/>
      <c r="BE75" s="53"/>
      <c r="BF75" s="53"/>
      <c r="BI75"/>
      <c r="BL75"/>
      <c r="BM75"/>
      <c r="BN75"/>
      <c r="BO75"/>
      <c r="BR75"/>
      <c r="BS75"/>
      <c r="BT75"/>
      <c r="BU75"/>
    </row>
    <row r="76" spans="37:73" x14ac:dyDescent="0.2">
      <c r="AK76"/>
      <c r="AL76"/>
      <c r="AM76"/>
      <c r="AN76"/>
      <c r="AO76" s="53"/>
      <c r="AQ76"/>
      <c r="AR76"/>
      <c r="AS76"/>
      <c r="AU76"/>
      <c r="AV76"/>
      <c r="AZ76" s="53"/>
      <c r="BC76" s="53"/>
      <c r="BE76" s="53"/>
      <c r="BF76" s="53"/>
      <c r="BI76"/>
      <c r="BL76"/>
      <c r="BM76"/>
      <c r="BN76"/>
      <c r="BO76"/>
      <c r="BR76"/>
      <c r="BS76"/>
      <c r="BT76"/>
      <c r="BU76"/>
    </row>
    <row r="77" spans="37:73" x14ac:dyDescent="0.2">
      <c r="AK77"/>
      <c r="AL77"/>
      <c r="AM77"/>
      <c r="AN77"/>
      <c r="AO77" s="53"/>
      <c r="AQ77"/>
      <c r="AR77"/>
      <c r="AS77"/>
      <c r="AU77"/>
      <c r="AV77"/>
      <c r="AZ77" s="53"/>
      <c r="BC77" s="53"/>
      <c r="BE77" s="53"/>
      <c r="BF77" s="53"/>
      <c r="BI77"/>
      <c r="BL77"/>
      <c r="BM77"/>
      <c r="BN77"/>
      <c r="BO77"/>
      <c r="BR77"/>
      <c r="BS77"/>
      <c r="BT77"/>
      <c r="BU77"/>
    </row>
    <row r="78" spans="37:73" x14ac:dyDescent="0.2">
      <c r="AK78"/>
      <c r="AL78"/>
      <c r="AM78"/>
      <c r="AN78"/>
      <c r="AO78" s="53"/>
      <c r="AQ78"/>
      <c r="AR78"/>
      <c r="AS78"/>
      <c r="AU78"/>
      <c r="AV78"/>
      <c r="AZ78" s="53"/>
      <c r="BC78" s="53"/>
      <c r="BE78" s="53"/>
      <c r="BF78" s="53"/>
      <c r="BI78"/>
      <c r="BL78"/>
      <c r="BM78"/>
      <c r="BN78"/>
      <c r="BO78"/>
      <c r="BR78"/>
      <c r="BS78"/>
      <c r="BT78"/>
      <c r="BU78"/>
    </row>
    <row r="79" spans="37:73" x14ac:dyDescent="0.2">
      <c r="AK79"/>
      <c r="AL79"/>
      <c r="AM79"/>
      <c r="AN79"/>
      <c r="AO79" s="53"/>
      <c r="AQ79"/>
      <c r="AR79"/>
      <c r="AS79"/>
      <c r="AU79"/>
      <c r="AV79"/>
      <c r="AZ79" s="53"/>
      <c r="BC79" s="53"/>
      <c r="BE79" s="53"/>
      <c r="BF79" s="53"/>
      <c r="BI79"/>
      <c r="BL79"/>
      <c r="BM79"/>
      <c r="BN79"/>
      <c r="BO79"/>
      <c r="BR79"/>
      <c r="BS79"/>
      <c r="BT79"/>
      <c r="BU79"/>
    </row>
    <row r="80" spans="37:73" x14ac:dyDescent="0.2">
      <c r="AK80"/>
      <c r="AL80"/>
      <c r="AM80"/>
      <c r="AN80"/>
      <c r="AO80" s="53"/>
      <c r="AQ80"/>
      <c r="AR80"/>
      <c r="AS80"/>
      <c r="AU80"/>
      <c r="AV80"/>
      <c r="AZ80" s="53"/>
      <c r="BC80" s="53"/>
      <c r="BE80" s="53"/>
      <c r="BF80" s="53"/>
      <c r="BI80"/>
      <c r="BL80"/>
      <c r="BM80"/>
      <c r="BN80"/>
      <c r="BO80"/>
      <c r="BR80"/>
      <c r="BS80"/>
      <c r="BT80"/>
      <c r="BU80"/>
    </row>
    <row r="81" spans="37:73" x14ac:dyDescent="0.2">
      <c r="AK81"/>
      <c r="AL81"/>
      <c r="AM81"/>
      <c r="AN81"/>
      <c r="AO81" s="53"/>
      <c r="AQ81"/>
      <c r="AR81"/>
      <c r="AS81"/>
      <c r="AU81"/>
      <c r="AV81"/>
      <c r="AZ81" s="53"/>
      <c r="BC81" s="53"/>
      <c r="BE81" s="53"/>
      <c r="BF81" s="53"/>
      <c r="BI81"/>
      <c r="BL81"/>
      <c r="BM81"/>
      <c r="BN81"/>
      <c r="BO81"/>
      <c r="BR81"/>
      <c r="BS81"/>
      <c r="BT81"/>
      <c r="BU81"/>
    </row>
    <row r="82" spans="37:73" x14ac:dyDescent="0.2">
      <c r="AK82"/>
      <c r="AL82"/>
      <c r="AM82"/>
      <c r="AN82"/>
      <c r="AO82" s="53"/>
      <c r="AQ82"/>
      <c r="AR82"/>
      <c r="AS82"/>
      <c r="AU82"/>
      <c r="AV82"/>
      <c r="AZ82" s="53"/>
      <c r="BC82" s="53"/>
      <c r="BE82" s="53"/>
      <c r="BF82" s="53"/>
      <c r="BI82"/>
      <c r="BL82"/>
      <c r="BM82"/>
      <c r="BN82"/>
      <c r="BO82"/>
      <c r="BR82"/>
      <c r="BS82"/>
      <c r="BT82"/>
      <c r="BU82"/>
    </row>
    <row r="83" spans="37:73" x14ac:dyDescent="0.2">
      <c r="AK83"/>
      <c r="AL83"/>
      <c r="AM83"/>
      <c r="AN83"/>
      <c r="AO83" s="53"/>
      <c r="AQ83"/>
      <c r="AR83"/>
      <c r="AS83"/>
      <c r="AU83"/>
      <c r="AV83"/>
      <c r="AZ83" s="53"/>
      <c r="BC83" s="53"/>
      <c r="BE83" s="53"/>
      <c r="BF83" s="53"/>
      <c r="BI83"/>
      <c r="BL83"/>
      <c r="BM83"/>
      <c r="BN83"/>
      <c r="BO83"/>
      <c r="BR83"/>
      <c r="BS83"/>
      <c r="BT83"/>
      <c r="BU83"/>
    </row>
    <row r="84" spans="37:73" x14ac:dyDescent="0.2">
      <c r="AK84"/>
      <c r="AL84"/>
      <c r="AM84"/>
      <c r="AN84"/>
      <c r="AO84" s="53"/>
      <c r="AQ84"/>
      <c r="AR84"/>
      <c r="AS84"/>
      <c r="AU84"/>
      <c r="AV84"/>
      <c r="AZ84" s="53"/>
      <c r="BC84" s="53"/>
      <c r="BE84" s="53"/>
      <c r="BF84" s="53"/>
      <c r="BI84"/>
      <c r="BL84"/>
      <c r="BM84"/>
      <c r="BN84"/>
      <c r="BO84"/>
      <c r="BR84"/>
      <c r="BS84"/>
      <c r="BT84"/>
      <c r="BU84"/>
    </row>
    <row r="85" spans="37:73" x14ac:dyDescent="0.2">
      <c r="AK85"/>
      <c r="AL85"/>
      <c r="AM85"/>
      <c r="AN85"/>
      <c r="AO85" s="53"/>
      <c r="AQ85"/>
      <c r="AR85"/>
      <c r="AS85"/>
      <c r="AU85"/>
      <c r="AV85"/>
      <c r="AZ85" s="53"/>
      <c r="BC85" s="53"/>
      <c r="BE85" s="53"/>
      <c r="BF85" s="53"/>
      <c r="BI85"/>
      <c r="BL85"/>
      <c r="BM85"/>
      <c r="BN85"/>
      <c r="BO85"/>
      <c r="BR85"/>
      <c r="BS85"/>
      <c r="BT85"/>
      <c r="BU85"/>
    </row>
    <row r="86" spans="37:73" x14ac:dyDescent="0.2">
      <c r="AK86"/>
      <c r="AL86"/>
      <c r="AM86"/>
      <c r="AN86"/>
      <c r="AO86" s="53"/>
      <c r="AQ86"/>
      <c r="AR86"/>
      <c r="AS86"/>
      <c r="AU86"/>
      <c r="AV86"/>
      <c r="AZ86" s="53"/>
      <c r="BC86" s="53"/>
      <c r="BE86" s="53"/>
      <c r="BF86" s="53"/>
      <c r="BI86"/>
      <c r="BL86"/>
      <c r="BM86"/>
      <c r="BN86"/>
      <c r="BO86"/>
      <c r="BR86"/>
      <c r="BS86"/>
      <c r="BT86"/>
      <c r="BU86"/>
    </row>
    <row r="87" spans="37:73" x14ac:dyDescent="0.2">
      <c r="AK87"/>
      <c r="AL87"/>
      <c r="AM87"/>
      <c r="AN87"/>
      <c r="AO87" s="53"/>
      <c r="AQ87"/>
      <c r="AR87"/>
      <c r="AS87"/>
      <c r="AU87"/>
      <c r="AV87"/>
      <c r="AZ87" s="53"/>
      <c r="BC87" s="53"/>
      <c r="BE87" s="53"/>
      <c r="BF87" s="53"/>
      <c r="BI87"/>
      <c r="BL87"/>
      <c r="BM87"/>
      <c r="BN87"/>
      <c r="BO87"/>
      <c r="BR87"/>
      <c r="BS87"/>
      <c r="BT87"/>
      <c r="BU87"/>
    </row>
    <row r="88" spans="37:73" x14ac:dyDescent="0.2">
      <c r="AK88"/>
      <c r="AL88"/>
      <c r="AM88"/>
      <c r="AN88"/>
      <c r="AO88" s="53"/>
      <c r="AQ88"/>
      <c r="AR88"/>
      <c r="AS88"/>
      <c r="AU88"/>
      <c r="AV88"/>
      <c r="AZ88" s="53"/>
      <c r="BC88" s="53"/>
      <c r="BE88" s="53"/>
      <c r="BF88" s="53"/>
      <c r="BI88"/>
      <c r="BL88"/>
      <c r="BM88"/>
      <c r="BN88"/>
      <c r="BO88"/>
      <c r="BR88"/>
      <c r="BS88"/>
      <c r="BT88"/>
      <c r="BU88"/>
    </row>
    <row r="89" spans="37:73" x14ac:dyDescent="0.2">
      <c r="AK89"/>
      <c r="AL89"/>
      <c r="AM89"/>
      <c r="AN89"/>
      <c r="AO89" s="53"/>
      <c r="AQ89"/>
      <c r="AR89"/>
      <c r="AS89"/>
      <c r="AU89"/>
      <c r="AV89"/>
      <c r="AZ89" s="53"/>
      <c r="BC89" s="53"/>
      <c r="BE89" s="53"/>
      <c r="BF89" s="53"/>
      <c r="BI89"/>
      <c r="BL89"/>
      <c r="BM89"/>
      <c r="BN89"/>
      <c r="BO89"/>
      <c r="BR89"/>
      <c r="BS89"/>
      <c r="BT89"/>
      <c r="BU89"/>
    </row>
    <row r="90" spans="37:73" x14ac:dyDescent="0.2">
      <c r="AK90"/>
      <c r="AL90"/>
      <c r="AM90"/>
      <c r="AN90"/>
      <c r="AO90" s="53"/>
      <c r="AQ90"/>
      <c r="AR90"/>
      <c r="AS90"/>
      <c r="AU90"/>
      <c r="AV90"/>
      <c r="AZ90" s="53"/>
      <c r="BC90" s="53"/>
      <c r="BE90" s="53"/>
      <c r="BF90" s="53"/>
      <c r="BI90"/>
      <c r="BL90"/>
      <c r="BM90"/>
      <c r="BN90"/>
      <c r="BO90"/>
      <c r="BR90"/>
      <c r="BS90"/>
      <c r="BT90"/>
      <c r="BU90"/>
    </row>
    <row r="91" spans="37:73" x14ac:dyDescent="0.2">
      <c r="AK91"/>
      <c r="AL91"/>
      <c r="AM91"/>
      <c r="AN91"/>
      <c r="AO91" s="53"/>
      <c r="AQ91"/>
      <c r="AR91"/>
      <c r="AS91"/>
      <c r="AU91"/>
      <c r="AV91"/>
      <c r="AZ91" s="53"/>
      <c r="BC91" s="53"/>
      <c r="BE91" s="53"/>
      <c r="BF91" s="53"/>
      <c r="BI91"/>
      <c r="BL91"/>
      <c r="BM91"/>
      <c r="BN91"/>
      <c r="BO91"/>
      <c r="BR91"/>
      <c r="BS91"/>
      <c r="BT91"/>
      <c r="BU91"/>
    </row>
    <row r="92" spans="37:73" x14ac:dyDescent="0.2">
      <c r="AK92"/>
      <c r="AL92"/>
      <c r="AM92"/>
      <c r="AN92"/>
      <c r="AO92" s="53"/>
      <c r="AQ92"/>
      <c r="AR92"/>
      <c r="AS92"/>
      <c r="AU92"/>
      <c r="AV92"/>
      <c r="AZ92" s="53"/>
      <c r="BC92" s="53"/>
      <c r="BE92" s="53"/>
      <c r="BF92" s="53"/>
      <c r="BI92"/>
      <c r="BL92"/>
      <c r="BM92"/>
      <c r="BN92"/>
      <c r="BO92"/>
      <c r="BR92"/>
      <c r="BS92"/>
      <c r="BT92"/>
      <c r="BU92"/>
    </row>
    <row r="93" spans="37:73" x14ac:dyDescent="0.2">
      <c r="AK93"/>
      <c r="AL93"/>
      <c r="AM93"/>
      <c r="AN93"/>
      <c r="AO93" s="53"/>
      <c r="AQ93"/>
      <c r="AR93"/>
      <c r="AS93"/>
      <c r="AU93"/>
      <c r="AV93"/>
      <c r="AZ93" s="53"/>
      <c r="BC93" s="53"/>
      <c r="BE93" s="53"/>
      <c r="BF93" s="53"/>
      <c r="BI93"/>
      <c r="BL93"/>
      <c r="BM93"/>
      <c r="BN93"/>
      <c r="BO93"/>
      <c r="BR93"/>
      <c r="BS93"/>
      <c r="BT93"/>
      <c r="BU93"/>
    </row>
    <row r="94" spans="37:73" x14ac:dyDescent="0.2">
      <c r="AK94"/>
      <c r="AL94"/>
      <c r="AM94"/>
      <c r="AN94"/>
      <c r="AO94" s="53"/>
      <c r="AQ94"/>
      <c r="AR94"/>
      <c r="AS94"/>
      <c r="AU94"/>
      <c r="AV94"/>
      <c r="AZ94" s="53"/>
      <c r="BC94" s="53"/>
      <c r="BE94" s="53"/>
      <c r="BF94" s="53"/>
      <c r="BI94"/>
      <c r="BL94"/>
      <c r="BM94"/>
      <c r="BN94"/>
      <c r="BO94"/>
      <c r="BR94"/>
      <c r="BS94"/>
      <c r="BT94"/>
      <c r="BU94"/>
    </row>
    <row r="95" spans="37:73" x14ac:dyDescent="0.2">
      <c r="AK95"/>
      <c r="AL95"/>
      <c r="AM95"/>
      <c r="AN95"/>
      <c r="AO95" s="53"/>
      <c r="AQ95"/>
      <c r="AR95"/>
      <c r="AS95"/>
      <c r="AU95"/>
      <c r="AV95"/>
      <c r="AZ95" s="53"/>
      <c r="BC95" s="53"/>
      <c r="BE95" s="53"/>
      <c r="BF95" s="53"/>
      <c r="BI95"/>
      <c r="BL95"/>
      <c r="BM95"/>
      <c r="BN95"/>
      <c r="BO95"/>
      <c r="BR95"/>
      <c r="BS95"/>
      <c r="BT95"/>
      <c r="BU95"/>
    </row>
    <row r="96" spans="37:73" x14ac:dyDescent="0.2">
      <c r="AK96"/>
      <c r="AL96"/>
      <c r="AM96"/>
      <c r="AN96"/>
      <c r="AO96" s="53"/>
      <c r="AQ96"/>
      <c r="AR96"/>
      <c r="AS96"/>
      <c r="AU96"/>
      <c r="AV96"/>
      <c r="AZ96" s="53"/>
      <c r="BC96" s="53"/>
      <c r="BE96" s="53"/>
      <c r="BF96" s="53"/>
      <c r="BI96"/>
      <c r="BL96"/>
      <c r="BM96"/>
      <c r="BN96"/>
      <c r="BO96"/>
      <c r="BR96"/>
      <c r="BS96"/>
      <c r="BT96"/>
      <c r="BU96"/>
    </row>
    <row r="97" spans="37:73" x14ac:dyDescent="0.2">
      <c r="AK97"/>
      <c r="AL97"/>
      <c r="AM97"/>
      <c r="AN97"/>
      <c r="AO97" s="53"/>
      <c r="AQ97"/>
      <c r="AR97"/>
      <c r="AS97"/>
      <c r="AU97"/>
      <c r="AV97"/>
      <c r="AZ97" s="53"/>
      <c r="BC97" s="53"/>
      <c r="BE97" s="53"/>
      <c r="BF97" s="53"/>
      <c r="BI97"/>
      <c r="BL97"/>
      <c r="BM97"/>
      <c r="BN97"/>
      <c r="BO97"/>
      <c r="BR97"/>
      <c r="BS97"/>
      <c r="BT97"/>
      <c r="BU97"/>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Jungsun Kim</cp:lastModifiedBy>
  <dcterms:created xsi:type="dcterms:W3CDTF">2019-04-23T13:57:55Z</dcterms:created>
  <dcterms:modified xsi:type="dcterms:W3CDTF">2020-06-18T16:01:52Z</dcterms:modified>
</cp:coreProperties>
</file>