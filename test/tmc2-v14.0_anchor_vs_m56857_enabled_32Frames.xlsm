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1" defaultThemeVersion="124226"/>
  <mc:AlternateContent xmlns:mc="http://schemas.openxmlformats.org/markup-compatibility/2006">
    <mc:Choice Requires="x15">
      <x15ac:absPath xmlns:x15ac="http://schemas.microsoft.com/office/spreadsheetml/2010/11/ac" url="C:\Users\E4830~1.FAR\AppData\Local\Temp\scp38692\SMI_SCRATCH2\users\esmaeil\tmc2v14.0_integration_gbs\gbs_enabled\spreadsheets\"/>
    </mc:Choice>
  </mc:AlternateContent>
  <bookViews>
    <workbookView xWindow="57480" yWindow="-120" windowWidth="29040" windowHeight="17640" firstSheet="1" activeTab="2"/>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8"/>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C46" i="7" l="1"/>
  <c r="BB46" i="7"/>
  <c r="BA46" i="7"/>
  <c r="AZ46" i="7"/>
  <c r="AE46" i="7"/>
  <c r="AD46" i="7"/>
  <c r="AC46" i="7"/>
  <c r="AB46" i="7"/>
  <c r="BC44" i="7"/>
  <c r="BB44" i="7"/>
  <c r="BA44" i="7"/>
  <c r="AZ44" i="7"/>
  <c r="AE44" i="7"/>
  <c r="AD44" i="7"/>
  <c r="AC44" i="7"/>
  <c r="AB44" i="7"/>
  <c r="BF39" i="7"/>
  <c r="AL39" i="7"/>
  <c r="AK39" i="7"/>
  <c r="AJ39" i="7"/>
  <c r="AH39" i="7"/>
  <c r="AG39" i="7"/>
  <c r="N39" i="7"/>
  <c r="K39" i="7" s="1"/>
  <c r="M39" i="7"/>
  <c r="L39" i="7"/>
  <c r="J39" i="7"/>
  <c r="I39" i="7"/>
  <c r="BF38" i="7"/>
  <c r="AL38" i="7"/>
  <c r="AI38" i="7" s="1"/>
  <c r="AK38" i="7"/>
  <c r="AJ38" i="7"/>
  <c r="AH38" i="7"/>
  <c r="AG38" i="7"/>
  <c r="N38" i="7"/>
  <c r="M38" i="7"/>
  <c r="L38" i="7"/>
  <c r="K38" i="7"/>
  <c r="J38" i="7"/>
  <c r="I38" i="7"/>
  <c r="BF37" i="7"/>
  <c r="AL37" i="7"/>
  <c r="AI37" i="7" s="1"/>
  <c r="AK37" i="7"/>
  <c r="AJ37" i="7"/>
  <c r="AH37" i="7"/>
  <c r="AG37" i="7"/>
  <c r="N37" i="7"/>
  <c r="M37" i="7"/>
  <c r="L37" i="7"/>
  <c r="J37" i="7"/>
  <c r="I37" i="7"/>
  <c r="BF36" i="7"/>
  <c r="AL36" i="7"/>
  <c r="AI36" i="7" s="1"/>
  <c r="AK36" i="7"/>
  <c r="AJ36" i="7"/>
  <c r="AH36" i="7"/>
  <c r="AG36" i="7"/>
  <c r="N36" i="7"/>
  <c r="M36" i="7"/>
  <c r="L36" i="7"/>
  <c r="J36" i="7"/>
  <c r="I36" i="7"/>
  <c r="BF35" i="7"/>
  <c r="AL35" i="7"/>
  <c r="BH35" i="7" s="1" a="1"/>
  <c r="AK35" i="7"/>
  <c r="AJ35" i="7"/>
  <c r="AH35" i="7"/>
  <c r="AG35" i="7"/>
  <c r="N35" i="7"/>
  <c r="M35" i="7"/>
  <c r="L35" i="7"/>
  <c r="K35" i="7"/>
  <c r="J35" i="7"/>
  <c r="I35" i="7"/>
  <c r="BF34" i="7"/>
  <c r="AL34" i="7"/>
  <c r="AK34" i="7"/>
  <c r="AJ34" i="7"/>
  <c r="AH34" i="7"/>
  <c r="AG34" i="7"/>
  <c r="N34" i="7"/>
  <c r="K34" i="7" s="1"/>
  <c r="M34" i="7"/>
  <c r="L34" i="7"/>
  <c r="J34" i="7"/>
  <c r="I34" i="7"/>
  <c r="BF33" i="7"/>
  <c r="AL33" i="7"/>
  <c r="AI33" i="7" s="1"/>
  <c r="AK33" i="7"/>
  <c r="AJ33" i="7"/>
  <c r="AH33" i="7"/>
  <c r="AG33" i="7"/>
  <c r="N33" i="7"/>
  <c r="M33" i="7"/>
  <c r="L33" i="7"/>
  <c r="J33" i="7"/>
  <c r="I33" i="7"/>
  <c r="BF32" i="7"/>
  <c r="AL32" i="7"/>
  <c r="AI32" i="7" s="1"/>
  <c r="AK32" i="7"/>
  <c r="AJ32" i="7"/>
  <c r="AH32" i="7"/>
  <c r="AG32" i="7"/>
  <c r="N32" i="7"/>
  <c r="K32" i="7" s="1"/>
  <c r="M32" i="7"/>
  <c r="L32" i="7"/>
  <c r="J32" i="7"/>
  <c r="I32" i="7"/>
  <c r="BF31" i="7"/>
  <c r="AL31" i="7"/>
  <c r="AI31" i="7" s="1"/>
  <c r="AK31" i="7"/>
  <c r="AJ31" i="7"/>
  <c r="AH31" i="7"/>
  <c r="AG31" i="7"/>
  <c r="N31" i="7"/>
  <c r="K31" i="7" s="1"/>
  <c r="M31" i="7"/>
  <c r="L31" i="7"/>
  <c r="J31" i="7"/>
  <c r="I31" i="7"/>
  <c r="BH30" i="7" a="1"/>
  <c r="BF30" i="7"/>
  <c r="AL30" i="7"/>
  <c r="AK30" i="7"/>
  <c r="AJ30" i="7"/>
  <c r="AH30" i="7"/>
  <c r="AG30" i="7"/>
  <c r="N30" i="7"/>
  <c r="M30" i="7"/>
  <c r="L30" i="7"/>
  <c r="J30" i="7"/>
  <c r="I30" i="7"/>
  <c r="BF29" i="7"/>
  <c r="AL29" i="7"/>
  <c r="AI29" i="7" s="1"/>
  <c r="AK29" i="7"/>
  <c r="AJ29" i="7"/>
  <c r="AH29" i="7"/>
  <c r="AG29" i="7"/>
  <c r="N29" i="7"/>
  <c r="M29" i="7"/>
  <c r="L29" i="7"/>
  <c r="J29" i="7"/>
  <c r="I29" i="7"/>
  <c r="BF28" i="7"/>
  <c r="AL28" i="7"/>
  <c r="AI28" i="7" s="1"/>
  <c r="AK28" i="7"/>
  <c r="AJ28" i="7"/>
  <c r="AH28" i="7"/>
  <c r="AG28" i="7"/>
  <c r="N28" i="7"/>
  <c r="K28" i="7" s="1"/>
  <c r="M28" i="7"/>
  <c r="L28" i="7"/>
  <c r="J28" i="7"/>
  <c r="I28" i="7"/>
  <c r="BF27" i="7"/>
  <c r="AL27" i="7"/>
  <c r="AI27" i="7" s="1"/>
  <c r="AK27" i="7"/>
  <c r="AJ27" i="7"/>
  <c r="AH27" i="7"/>
  <c r="AG27" i="7"/>
  <c r="N27" i="7"/>
  <c r="K27" i="7" s="1"/>
  <c r="M27" i="7"/>
  <c r="L27" i="7"/>
  <c r="J27" i="7"/>
  <c r="I27" i="7"/>
  <c r="BF26" i="7"/>
  <c r="AL26" i="7"/>
  <c r="AK26" i="7"/>
  <c r="AJ26" i="7"/>
  <c r="AH26" i="7"/>
  <c r="AG26" i="7"/>
  <c r="N26" i="7"/>
  <c r="K26" i="7" s="1"/>
  <c r="M26" i="7"/>
  <c r="L26" i="7"/>
  <c r="J26" i="7"/>
  <c r="I26" i="7"/>
  <c r="BH25" i="7" a="1"/>
  <c r="BF25" i="7"/>
  <c r="AL25" i="7"/>
  <c r="AI25" i="7" s="1"/>
  <c r="AK25" i="7"/>
  <c r="AJ25" i="7"/>
  <c r="AH25" i="7"/>
  <c r="AG25" i="7"/>
  <c r="N25" i="7"/>
  <c r="M25" i="7"/>
  <c r="L25" i="7"/>
  <c r="J25" i="7"/>
  <c r="I25" i="7"/>
  <c r="BF24" i="7"/>
  <c r="AL24" i="7"/>
  <c r="AI24" i="7" s="1"/>
  <c r="AK24" i="7"/>
  <c r="AJ24" i="7"/>
  <c r="AH24" i="7"/>
  <c r="AG24" i="7"/>
  <c r="N24" i="7"/>
  <c r="K24" i="7" s="1"/>
  <c r="M24" i="7"/>
  <c r="L24" i="7"/>
  <c r="J24" i="7"/>
  <c r="I24" i="7"/>
  <c r="BF23" i="7"/>
  <c r="AL23" i="7"/>
  <c r="AI23" i="7" s="1"/>
  <c r="AK23" i="7"/>
  <c r="AJ23" i="7"/>
  <c r="AH23" i="7"/>
  <c r="AG23" i="7"/>
  <c r="N23" i="7"/>
  <c r="M23" i="7"/>
  <c r="L23" i="7"/>
  <c r="K23" i="7"/>
  <c r="J23" i="7"/>
  <c r="I23" i="7"/>
  <c r="BF22" i="7"/>
  <c r="AL22" i="7"/>
  <c r="AK22" i="7"/>
  <c r="AJ22" i="7"/>
  <c r="AH22" i="7"/>
  <c r="AG22" i="7"/>
  <c r="N22" i="7"/>
  <c r="K22" i="7" s="1"/>
  <c r="M22" i="7"/>
  <c r="L22" i="7"/>
  <c r="J22" i="7"/>
  <c r="I22" i="7"/>
  <c r="BF21" i="7"/>
  <c r="AL21" i="7"/>
  <c r="AI21" i="7" s="1"/>
  <c r="AK21" i="7"/>
  <c r="AJ21" i="7"/>
  <c r="AH21" i="7"/>
  <c r="AG21" i="7"/>
  <c r="N21" i="7"/>
  <c r="K21" i="7" s="1"/>
  <c r="M21" i="7"/>
  <c r="L21" i="7"/>
  <c r="J21" i="7"/>
  <c r="I21" i="7"/>
  <c r="BH20" i="7" a="1"/>
  <c r="BF20" i="7"/>
  <c r="AL20" i="7"/>
  <c r="AI20" i="7" s="1"/>
  <c r="AK20" i="7"/>
  <c r="AJ20" i="7"/>
  <c r="AH20" i="7"/>
  <c r="AG20" i="7"/>
  <c r="N20" i="7"/>
  <c r="M20" i="7"/>
  <c r="L20" i="7"/>
  <c r="J20" i="7"/>
  <c r="I20" i="7"/>
  <c r="BF19" i="7"/>
  <c r="AL19" i="7"/>
  <c r="AI19" i="7" s="1"/>
  <c r="AK19" i="7"/>
  <c r="AJ19" i="7"/>
  <c r="AH19" i="7"/>
  <c r="AG19" i="7"/>
  <c r="N19" i="7"/>
  <c r="M19" i="7"/>
  <c r="L19" i="7"/>
  <c r="J19" i="7"/>
  <c r="I19" i="7"/>
  <c r="BF18" i="7"/>
  <c r="AL18" i="7"/>
  <c r="AK18" i="7"/>
  <c r="AJ18" i="7"/>
  <c r="AH18" i="7"/>
  <c r="AG18" i="7"/>
  <c r="N18" i="7"/>
  <c r="K18" i="7" s="1"/>
  <c r="M18" i="7"/>
  <c r="L18" i="7"/>
  <c r="J18" i="7"/>
  <c r="I18" i="7"/>
  <c r="BF17" i="7"/>
  <c r="AL17" i="7"/>
  <c r="AK17" i="7"/>
  <c r="AJ17" i="7"/>
  <c r="AH17" i="7"/>
  <c r="AG17" i="7"/>
  <c r="N17" i="7"/>
  <c r="K17" i="7" s="1"/>
  <c r="M17" i="7"/>
  <c r="L17" i="7"/>
  <c r="J17" i="7"/>
  <c r="I17" i="7"/>
  <c r="BF16" i="7"/>
  <c r="AL16" i="7"/>
  <c r="AI16" i="7" s="1"/>
  <c r="AK16" i="7"/>
  <c r="AJ16" i="7"/>
  <c r="AH16" i="7"/>
  <c r="AG16" i="7"/>
  <c r="N16" i="7"/>
  <c r="K16" i="7" s="1"/>
  <c r="M16" i="7"/>
  <c r="L16" i="7"/>
  <c r="J16" i="7"/>
  <c r="I16" i="7"/>
  <c r="BF15" i="7"/>
  <c r="AL15" i="7"/>
  <c r="BH15" i="7" s="1" a="1"/>
  <c r="AK15" i="7"/>
  <c r="AJ15" i="7"/>
  <c r="AH15" i="7"/>
  <c r="AG15" i="7"/>
  <c r="N15" i="7"/>
  <c r="K15" i="7" s="1"/>
  <c r="M15" i="7"/>
  <c r="L15" i="7"/>
  <c r="J15" i="7"/>
  <c r="I15" i="7"/>
  <c r="BF14" i="7"/>
  <c r="AL14" i="7"/>
  <c r="AK14" i="7"/>
  <c r="AJ14" i="7"/>
  <c r="AH14" i="7"/>
  <c r="AG14" i="7"/>
  <c r="N14" i="7"/>
  <c r="K14" i="7" s="1"/>
  <c r="M14" i="7"/>
  <c r="L14" i="7"/>
  <c r="J14" i="7"/>
  <c r="I14" i="7"/>
  <c r="BF13" i="7"/>
  <c r="AL13" i="7"/>
  <c r="AI13" i="7" s="1"/>
  <c r="AK13" i="7"/>
  <c r="AJ13" i="7"/>
  <c r="AH13" i="7"/>
  <c r="AG13" i="7"/>
  <c r="N13" i="7"/>
  <c r="M13" i="7"/>
  <c r="L13" i="7"/>
  <c r="J13" i="7"/>
  <c r="I13" i="7"/>
  <c r="BF12" i="7"/>
  <c r="AL12" i="7"/>
  <c r="AI12" i="7" s="1"/>
  <c r="AK12" i="7"/>
  <c r="AJ12" i="7"/>
  <c r="AH12" i="7"/>
  <c r="AG12" i="7"/>
  <c r="N12" i="7"/>
  <c r="K12" i="7" s="1"/>
  <c r="M12" i="7"/>
  <c r="L12" i="7"/>
  <c r="J12" i="7"/>
  <c r="I12" i="7"/>
  <c r="BF11" i="7"/>
  <c r="AL11" i="7"/>
  <c r="AI11" i="7" s="1"/>
  <c r="AK11" i="7"/>
  <c r="AJ11" i="7"/>
  <c r="AH11" i="7"/>
  <c r="AG11" i="7"/>
  <c r="N11" i="7"/>
  <c r="K11" i="7" s="1"/>
  <c r="M11" i="7"/>
  <c r="L11" i="7"/>
  <c r="J11" i="7"/>
  <c r="I11" i="7"/>
  <c r="BH10" i="7" a="1"/>
  <c r="BF10" i="7"/>
  <c r="AL10" i="7"/>
  <c r="AK10" i="7"/>
  <c r="AJ10" i="7"/>
  <c r="AH10" i="7"/>
  <c r="AG10" i="7"/>
  <c r="N10" i="7"/>
  <c r="M10" i="7"/>
  <c r="L10" i="7"/>
  <c r="J10" i="7"/>
  <c r="I10" i="7"/>
  <c r="BG9" i="7"/>
  <c r="BF9" i="7"/>
  <c r="AL9" i="7"/>
  <c r="AI9" i="7" s="1"/>
  <c r="AK9" i="7"/>
  <c r="AJ9" i="7"/>
  <c r="AH9" i="7"/>
  <c r="AG9" i="7"/>
  <c r="N9" i="7"/>
  <c r="K9" i="7" s="1"/>
  <c r="M9" i="7"/>
  <c r="L9" i="7"/>
  <c r="J9" i="7"/>
  <c r="I9" i="7"/>
  <c r="BF8" i="7"/>
  <c r="AL8" i="7"/>
  <c r="AI8" i="7" s="1"/>
  <c r="AK8" i="7"/>
  <c r="AJ8" i="7"/>
  <c r="AH8" i="7"/>
  <c r="AG8" i="7"/>
  <c r="N8" i="7"/>
  <c r="K8" i="7" s="1"/>
  <c r="M8" i="7"/>
  <c r="L8" i="7"/>
  <c r="J8" i="7"/>
  <c r="I8" i="7"/>
  <c r="BF7" i="7"/>
  <c r="AL7" i="7"/>
  <c r="AK7" i="7"/>
  <c r="AJ7" i="7"/>
  <c r="AH7" i="7"/>
  <c r="AG7" i="7"/>
  <c r="N7" i="7"/>
  <c r="K7" i="7" s="1"/>
  <c r="M7" i="7"/>
  <c r="L7" i="7"/>
  <c r="J7" i="7"/>
  <c r="I7" i="7"/>
  <c r="BF6" i="7"/>
  <c r="AL6" i="7"/>
  <c r="AK6" i="7"/>
  <c r="AJ6" i="7"/>
  <c r="AH6" i="7"/>
  <c r="AG6" i="7"/>
  <c r="N6" i="7"/>
  <c r="K6" i="7" s="1"/>
  <c r="M6" i="7"/>
  <c r="L6" i="7"/>
  <c r="J6" i="7"/>
  <c r="I6" i="7"/>
  <c r="BH5" i="7" a="1"/>
  <c r="BF5" i="7"/>
  <c r="AL5" i="7"/>
  <c r="AI5" i="7" s="1"/>
  <c r="AK5" i="7"/>
  <c r="AJ5" i="7"/>
  <c r="AH5" i="7"/>
  <c r="AG5" i="7"/>
  <c r="N5" i="7"/>
  <c r="K5" i="7" s="1"/>
  <c r="M5" i="7"/>
  <c r="L5" i="7"/>
  <c r="J5" i="7"/>
  <c r="I5" i="7"/>
  <c r="AG1" i="7"/>
  <c r="I1" i="7"/>
  <c r="AZ18" i="6"/>
  <c r="AY18" i="6"/>
  <c r="AX18" i="6"/>
  <c r="AW18" i="6"/>
  <c r="AC18" i="6"/>
  <c r="AB18" i="6"/>
  <c r="AA18" i="6"/>
  <c r="AX19" i="6" s="1"/>
  <c r="Z18" i="6"/>
  <c r="AZ16" i="6"/>
  <c r="AY16" i="6"/>
  <c r="AX16" i="6"/>
  <c r="AW16" i="6"/>
  <c r="AC16" i="6"/>
  <c r="AB16" i="6"/>
  <c r="AA16" i="6"/>
  <c r="AX17" i="6" s="1"/>
  <c r="Z16" i="6"/>
  <c r="M15" i="6"/>
  <c r="AI14" i="6"/>
  <c r="AI13" i="6"/>
  <c r="AI12" i="6"/>
  <c r="AK11" i="6"/>
  <c r="BG11" i="6" s="1" a="1"/>
  <c r="AJ11" i="6"/>
  <c r="AI11" i="6"/>
  <c r="AG11" i="6"/>
  <c r="BB11" i="6" s="1"/>
  <c r="AF11" i="6"/>
  <c r="AE11" i="6"/>
  <c r="N11" i="6"/>
  <c r="K11" i="6" s="1"/>
  <c r="M11" i="6"/>
  <c r="BE11" i="6" s="1"/>
  <c r="L11" i="6"/>
  <c r="BD11" i="6" s="1"/>
  <c r="J11" i="6"/>
  <c r="I11" i="6"/>
  <c r="H11" i="6"/>
  <c r="AK10" i="6"/>
  <c r="AJ10" i="6"/>
  <c r="BE10" i="6" s="1"/>
  <c r="AI10" i="6"/>
  <c r="AG10" i="6"/>
  <c r="AF10" i="6"/>
  <c r="AE10" i="6"/>
  <c r="N10" i="6"/>
  <c r="K10" i="6" s="1"/>
  <c r="K14" i="6" s="1"/>
  <c r="M10" i="6"/>
  <c r="L10" i="6"/>
  <c r="L14" i="6" s="1"/>
  <c r="J10" i="6"/>
  <c r="J14" i="6" s="1"/>
  <c r="I10" i="6"/>
  <c r="H10" i="6"/>
  <c r="AK9" i="6"/>
  <c r="BG9" i="6" s="1" a="1"/>
  <c r="BG9" i="6" s="1"/>
  <c r="BG13" i="6" s="1"/>
  <c r="AJ9" i="6"/>
  <c r="AJ13" i="6" s="1"/>
  <c r="AI9" i="6"/>
  <c r="AG9" i="6"/>
  <c r="AF9" i="6"/>
  <c r="AE9" i="6"/>
  <c r="N9" i="6"/>
  <c r="K9" i="6" s="1"/>
  <c r="K13" i="6" s="1"/>
  <c r="M9" i="6"/>
  <c r="M13" i="6" s="1"/>
  <c r="L9" i="6"/>
  <c r="L13" i="6" s="1"/>
  <c r="J9" i="6"/>
  <c r="J13" i="6" s="1"/>
  <c r="I9" i="6"/>
  <c r="H9" i="6"/>
  <c r="AK8" i="6"/>
  <c r="AH8" i="6" s="1"/>
  <c r="BC8" i="6" s="1"/>
  <c r="AJ8" i="6"/>
  <c r="AI8" i="6"/>
  <c r="BD8" i="6" s="1"/>
  <c r="AG8" i="6"/>
  <c r="AF8" i="6"/>
  <c r="AE8" i="6"/>
  <c r="N8" i="6"/>
  <c r="K8" i="6" s="1"/>
  <c r="M8" i="6"/>
  <c r="BE8" i="6" s="1"/>
  <c r="L8" i="6"/>
  <c r="J8" i="6"/>
  <c r="I8" i="6"/>
  <c r="H8" i="6"/>
  <c r="AK7" i="6"/>
  <c r="BG7" i="6" s="1" a="1"/>
  <c r="BG7" i="6" s="1"/>
  <c r="AJ7" i="6"/>
  <c r="BE7" i="6" s="1"/>
  <c r="AI7" i="6"/>
  <c r="AG7" i="6"/>
  <c r="AF7" i="6"/>
  <c r="AE7" i="6"/>
  <c r="N7" i="6"/>
  <c r="K7" i="6" s="1"/>
  <c r="M7" i="6"/>
  <c r="L7" i="6"/>
  <c r="J7" i="6"/>
  <c r="I7" i="6"/>
  <c r="H7" i="6"/>
  <c r="BD6" i="6"/>
  <c r="AK6" i="6"/>
  <c r="AH6" i="6" s="1"/>
  <c r="BC6" i="6" s="1"/>
  <c r="AJ6" i="6"/>
  <c r="BE6" i="6" s="1"/>
  <c r="AI6" i="6"/>
  <c r="AG6" i="6"/>
  <c r="AF6" i="6"/>
  <c r="AE6" i="6"/>
  <c r="N6" i="6"/>
  <c r="K6" i="6" s="1"/>
  <c r="M6" i="6"/>
  <c r="L6" i="6"/>
  <c r="J6" i="6"/>
  <c r="I6" i="6"/>
  <c r="H6" i="6"/>
  <c r="AK5" i="6"/>
  <c r="BG5" i="6" s="1" a="1"/>
  <c r="BG5" i="6" s="1"/>
  <c r="AJ5" i="6"/>
  <c r="BE5" i="6" s="1"/>
  <c r="AI5" i="6"/>
  <c r="AG5" i="6"/>
  <c r="AF5" i="6"/>
  <c r="AE5" i="6"/>
  <c r="N5" i="6"/>
  <c r="K5" i="6" s="1"/>
  <c r="M5" i="6"/>
  <c r="M12" i="6" s="1"/>
  <c r="L5" i="6"/>
  <c r="BD5" i="6" s="1"/>
  <c r="J5" i="6"/>
  <c r="I5" i="6"/>
  <c r="H5" i="6"/>
  <c r="AE1" i="6"/>
  <c r="H1" i="6"/>
  <c r="AZ18" i="5"/>
  <c r="AY18" i="5"/>
  <c r="AX18" i="5"/>
  <c r="AW18" i="5"/>
  <c r="AC18" i="5"/>
  <c r="AB18" i="5"/>
  <c r="AA18" i="5"/>
  <c r="Z18" i="5"/>
  <c r="AZ16" i="5"/>
  <c r="AY16" i="5"/>
  <c r="AX16" i="5"/>
  <c r="AX17" i="5" s="1"/>
  <c r="AW16" i="5"/>
  <c r="AC16" i="5"/>
  <c r="AZ17" i="5" s="1"/>
  <c r="AB16" i="5"/>
  <c r="AA16" i="5"/>
  <c r="Z16" i="5"/>
  <c r="AI13" i="5"/>
  <c r="AK11" i="5"/>
  <c r="AH11" i="5" s="1"/>
  <c r="AJ11" i="5"/>
  <c r="BE11" i="5" s="1"/>
  <c r="AI11" i="5"/>
  <c r="AG11" i="5"/>
  <c r="BB11" i="5" s="1"/>
  <c r="AF11" i="5"/>
  <c r="AE11" i="5"/>
  <c r="N11" i="5"/>
  <c r="K11" i="5" s="1"/>
  <c r="M11" i="5"/>
  <c r="L11" i="5"/>
  <c r="BD11" i="5" s="1"/>
  <c r="J11" i="5"/>
  <c r="I11" i="5"/>
  <c r="H11" i="5"/>
  <c r="AK10" i="5"/>
  <c r="AH10" i="5" s="1"/>
  <c r="AJ10" i="5"/>
  <c r="BE10" i="5" s="1"/>
  <c r="AI10" i="5"/>
  <c r="AI14" i="5" s="1"/>
  <c r="AG10" i="5"/>
  <c r="BB10" i="5" s="1"/>
  <c r="AF10" i="5"/>
  <c r="AE10" i="5"/>
  <c r="N10" i="5"/>
  <c r="K10" i="5" s="1"/>
  <c r="M10" i="5"/>
  <c r="M14" i="5" s="1"/>
  <c r="L10" i="5"/>
  <c r="J10" i="5"/>
  <c r="J14" i="5" s="1"/>
  <c r="I10" i="5"/>
  <c r="H10" i="5"/>
  <c r="AK9" i="5"/>
  <c r="AH9" i="5" s="1"/>
  <c r="AJ9" i="5"/>
  <c r="AI9" i="5"/>
  <c r="AG9" i="5"/>
  <c r="AF9" i="5"/>
  <c r="AE9" i="5"/>
  <c r="N9" i="5"/>
  <c r="K9" i="5" s="1"/>
  <c r="K13" i="5" s="1"/>
  <c r="M9" i="5"/>
  <c r="M13" i="5" s="1"/>
  <c r="L9" i="5"/>
  <c r="J9" i="5"/>
  <c r="J13" i="5" s="1"/>
  <c r="I9" i="5"/>
  <c r="H9" i="5"/>
  <c r="BD8" i="5"/>
  <c r="AK8" i="5"/>
  <c r="AH8" i="5" s="1"/>
  <c r="BC8" i="5" s="1"/>
  <c r="AJ8" i="5"/>
  <c r="BE8" i="5" s="1"/>
  <c r="AI8" i="5"/>
  <c r="AG8" i="5"/>
  <c r="BB8" i="5" s="1"/>
  <c r="AF8" i="5"/>
  <c r="AE8" i="5"/>
  <c r="N8" i="5"/>
  <c r="K8" i="5" s="1"/>
  <c r="M8" i="5"/>
  <c r="L8" i="5"/>
  <c r="J8" i="5"/>
  <c r="I8" i="5"/>
  <c r="H8" i="5"/>
  <c r="BD7" i="5"/>
  <c r="AK7" i="5"/>
  <c r="AH7" i="5" s="1"/>
  <c r="BC7" i="5" s="1"/>
  <c r="AJ7" i="5"/>
  <c r="BE7" i="5" s="1"/>
  <c r="AI7" i="5"/>
  <c r="AG7" i="5"/>
  <c r="AF7" i="5"/>
  <c r="AE7" i="5"/>
  <c r="N7" i="5"/>
  <c r="K7" i="5" s="1"/>
  <c r="M7" i="5"/>
  <c r="L7" i="5"/>
  <c r="J7" i="5"/>
  <c r="I7" i="5"/>
  <c r="H7" i="5"/>
  <c r="BD6" i="5"/>
  <c r="AK6" i="5"/>
  <c r="AH6" i="5" s="1"/>
  <c r="BC6" i="5" s="1"/>
  <c r="AJ6" i="5"/>
  <c r="BE6" i="5" s="1"/>
  <c r="AI6" i="5"/>
  <c r="AG6" i="5"/>
  <c r="AF6" i="5"/>
  <c r="AE6" i="5"/>
  <c r="N6" i="5"/>
  <c r="K6" i="5" s="1"/>
  <c r="M6" i="5"/>
  <c r="L6" i="5"/>
  <c r="J6" i="5"/>
  <c r="I6" i="5"/>
  <c r="H6" i="5"/>
  <c r="BD5" i="5"/>
  <c r="AK5" i="5"/>
  <c r="AH5" i="5" s="1"/>
  <c r="AJ5" i="5"/>
  <c r="AI5" i="5"/>
  <c r="AI15" i="5" s="1"/>
  <c r="AG5" i="5"/>
  <c r="AF5" i="5"/>
  <c r="AE5" i="5"/>
  <c r="N5" i="5"/>
  <c r="K5" i="5" s="1"/>
  <c r="M5" i="5"/>
  <c r="M12" i="5" s="1"/>
  <c r="L5" i="5"/>
  <c r="J5" i="5"/>
  <c r="J12" i="5" s="1"/>
  <c r="I5" i="5"/>
  <c r="H5" i="5"/>
  <c r="AE1" i="5"/>
  <c r="H1" i="5"/>
  <c r="BC46" i="3"/>
  <c r="BB46" i="3"/>
  <c r="BA46" i="3"/>
  <c r="AZ46" i="3"/>
  <c r="AE46" i="3"/>
  <c r="AD46" i="3"/>
  <c r="AC46" i="3"/>
  <c r="AB46" i="3"/>
  <c r="BC44" i="3"/>
  <c r="BB44" i="3"/>
  <c r="BA44" i="3"/>
  <c r="AZ44" i="3"/>
  <c r="AE44" i="3"/>
  <c r="AD44" i="3"/>
  <c r="AC44" i="3"/>
  <c r="AB44" i="3"/>
  <c r="BF39" i="3"/>
  <c r="AL39" i="3"/>
  <c r="AI39" i="3" s="1"/>
  <c r="AK39" i="3"/>
  <c r="AJ39" i="3"/>
  <c r="AH39" i="3"/>
  <c r="AG39" i="3"/>
  <c r="N39" i="3"/>
  <c r="K39" i="3" s="1"/>
  <c r="M39" i="3"/>
  <c r="L39" i="3"/>
  <c r="J39" i="3"/>
  <c r="I39" i="3"/>
  <c r="BF38" i="3"/>
  <c r="AL38" i="3"/>
  <c r="AI38" i="3" s="1"/>
  <c r="AK38" i="3"/>
  <c r="AJ38" i="3"/>
  <c r="AH38" i="3"/>
  <c r="AG38" i="3"/>
  <c r="N38" i="3"/>
  <c r="K38" i="3" s="1"/>
  <c r="M38" i="3"/>
  <c r="L38" i="3"/>
  <c r="J38" i="3"/>
  <c r="I38" i="3"/>
  <c r="BF37" i="3"/>
  <c r="AL37" i="3"/>
  <c r="AK37" i="3"/>
  <c r="AJ37" i="3"/>
  <c r="AH37" i="3"/>
  <c r="AG37" i="3"/>
  <c r="N37" i="3"/>
  <c r="K37" i="3" s="1"/>
  <c r="M37" i="3"/>
  <c r="L37" i="3"/>
  <c r="J37" i="3"/>
  <c r="I37" i="3"/>
  <c r="BF36" i="3"/>
  <c r="AL36" i="3"/>
  <c r="BG36" i="3" s="1"/>
  <c r="AK36" i="3"/>
  <c r="AJ36" i="3"/>
  <c r="AH36" i="3"/>
  <c r="AG36" i="3"/>
  <c r="N36" i="3"/>
  <c r="M36" i="3"/>
  <c r="L36" i="3"/>
  <c r="K36" i="3"/>
  <c r="J36" i="3"/>
  <c r="I36" i="3"/>
  <c r="BF35" i="3"/>
  <c r="AL35" i="3"/>
  <c r="AK35" i="3"/>
  <c r="AJ35" i="3"/>
  <c r="AH35" i="3"/>
  <c r="AG35" i="3"/>
  <c r="N35" i="3"/>
  <c r="M35" i="3"/>
  <c r="L35" i="3"/>
  <c r="J35" i="3"/>
  <c r="I35" i="3"/>
  <c r="BF34" i="3"/>
  <c r="AL34" i="3"/>
  <c r="AK34" i="3"/>
  <c r="AJ34" i="3"/>
  <c r="AH34" i="3"/>
  <c r="AG34" i="3"/>
  <c r="N34" i="3"/>
  <c r="K34" i="3" s="1"/>
  <c r="M34" i="3"/>
  <c r="L34" i="3"/>
  <c r="J34" i="3"/>
  <c r="I34" i="3"/>
  <c r="BF33" i="3"/>
  <c r="AL33" i="3"/>
  <c r="AI33" i="3" s="1"/>
  <c r="AK33" i="3"/>
  <c r="AJ33" i="3"/>
  <c r="AH33" i="3"/>
  <c r="AG33" i="3"/>
  <c r="N33" i="3"/>
  <c r="K33" i="3" s="1"/>
  <c r="M33" i="3"/>
  <c r="L33" i="3"/>
  <c r="J33" i="3"/>
  <c r="I33" i="3"/>
  <c r="BF32" i="3"/>
  <c r="AL32" i="3"/>
  <c r="AK32" i="3"/>
  <c r="AJ32" i="3"/>
  <c r="AI32" i="3"/>
  <c r="AH32" i="3"/>
  <c r="AG32" i="3"/>
  <c r="N32" i="3"/>
  <c r="M32" i="3"/>
  <c r="L32" i="3"/>
  <c r="K32" i="3"/>
  <c r="J32" i="3"/>
  <c r="I32" i="3"/>
  <c r="BF31" i="3"/>
  <c r="AL31" i="3"/>
  <c r="AK31" i="3"/>
  <c r="AJ31" i="3"/>
  <c r="AH31" i="3"/>
  <c r="AG31" i="3"/>
  <c r="N31" i="3"/>
  <c r="K31" i="3" s="1"/>
  <c r="M31" i="3"/>
  <c r="L31" i="3"/>
  <c r="J31" i="3"/>
  <c r="I31" i="3"/>
  <c r="BF30" i="3"/>
  <c r="AL30" i="3"/>
  <c r="AK30" i="3"/>
  <c r="AJ30" i="3"/>
  <c r="AH30" i="3"/>
  <c r="AG30" i="3"/>
  <c r="N30" i="3"/>
  <c r="M30" i="3"/>
  <c r="L30" i="3"/>
  <c r="J30" i="3"/>
  <c r="I30" i="3"/>
  <c r="BF29" i="3"/>
  <c r="AL29" i="3"/>
  <c r="AI29" i="3" s="1"/>
  <c r="AK29" i="3"/>
  <c r="AJ29" i="3"/>
  <c r="AH29" i="3"/>
  <c r="AG29" i="3"/>
  <c r="N29" i="3"/>
  <c r="K29" i="3" s="1"/>
  <c r="M29" i="3"/>
  <c r="L29" i="3"/>
  <c r="J29" i="3"/>
  <c r="I29" i="3"/>
  <c r="BF28" i="3"/>
  <c r="AL28" i="3"/>
  <c r="AI28" i="3" s="1"/>
  <c r="AK28" i="3"/>
  <c r="AJ28" i="3"/>
  <c r="AH28" i="3"/>
  <c r="AG28" i="3"/>
  <c r="N28" i="3"/>
  <c r="K28" i="3" s="1"/>
  <c r="M28" i="3"/>
  <c r="L28" i="3"/>
  <c r="J28" i="3"/>
  <c r="I28" i="3"/>
  <c r="BF27" i="3"/>
  <c r="AL27" i="3"/>
  <c r="BG27" i="3" s="1"/>
  <c r="AK27" i="3"/>
  <c r="AJ27" i="3"/>
  <c r="AH27" i="3"/>
  <c r="AG27" i="3"/>
  <c r="N27" i="3"/>
  <c r="K27" i="3" s="1"/>
  <c r="M27" i="3"/>
  <c r="L27" i="3"/>
  <c r="J27" i="3"/>
  <c r="I27" i="3"/>
  <c r="BF26" i="3"/>
  <c r="AL26" i="3"/>
  <c r="AK26" i="3"/>
  <c r="AJ26" i="3"/>
  <c r="AH26" i="3"/>
  <c r="AG26" i="3"/>
  <c r="N26" i="3"/>
  <c r="K26" i="3" s="1"/>
  <c r="M26" i="3"/>
  <c r="L26" i="3"/>
  <c r="J26" i="3"/>
  <c r="I26" i="3"/>
  <c r="BF25" i="3"/>
  <c r="AL25" i="3"/>
  <c r="BH25" i="3" s="1" a="1"/>
  <c r="AK25" i="3"/>
  <c r="AJ25" i="3"/>
  <c r="AH25" i="3"/>
  <c r="AG25" i="3"/>
  <c r="N25" i="3"/>
  <c r="M25" i="3"/>
  <c r="L25" i="3"/>
  <c r="K25" i="3"/>
  <c r="J25" i="3"/>
  <c r="I25" i="3"/>
  <c r="BF24" i="3"/>
  <c r="AL24" i="3"/>
  <c r="AI24" i="3" s="1"/>
  <c r="AK24" i="3"/>
  <c r="AJ24" i="3"/>
  <c r="AH24" i="3"/>
  <c r="AG24" i="3"/>
  <c r="N24" i="3"/>
  <c r="K24" i="3" s="1"/>
  <c r="M24" i="3"/>
  <c r="L24" i="3"/>
  <c r="J24" i="3"/>
  <c r="I24" i="3"/>
  <c r="BF23" i="3"/>
  <c r="AL23" i="3"/>
  <c r="AI23" i="3" s="1"/>
  <c r="AK23" i="3"/>
  <c r="AJ23" i="3"/>
  <c r="AH23" i="3"/>
  <c r="AG23" i="3"/>
  <c r="N23" i="3"/>
  <c r="M23" i="3"/>
  <c r="L23" i="3"/>
  <c r="K23" i="3"/>
  <c r="J23" i="3"/>
  <c r="I23" i="3"/>
  <c r="BF22" i="3"/>
  <c r="AL22" i="3"/>
  <c r="AK22" i="3"/>
  <c r="AJ22" i="3"/>
  <c r="AH22" i="3"/>
  <c r="AG22" i="3"/>
  <c r="N22" i="3"/>
  <c r="K22" i="3" s="1"/>
  <c r="M22" i="3"/>
  <c r="L22" i="3"/>
  <c r="J22" i="3"/>
  <c r="I22" i="3"/>
  <c r="BF21" i="3"/>
  <c r="AL21" i="3"/>
  <c r="AI21" i="3" s="1"/>
  <c r="AK21" i="3"/>
  <c r="AJ21" i="3"/>
  <c r="AH21" i="3"/>
  <c r="AG21" i="3"/>
  <c r="N21" i="3"/>
  <c r="K21" i="3" s="1"/>
  <c r="M21" i="3"/>
  <c r="L21" i="3"/>
  <c r="J21" i="3"/>
  <c r="I21" i="3"/>
  <c r="BF20" i="3"/>
  <c r="AL20" i="3"/>
  <c r="AI20" i="3" s="1"/>
  <c r="AK20" i="3"/>
  <c r="AJ20" i="3"/>
  <c r="AH20" i="3"/>
  <c r="AG20" i="3"/>
  <c r="N20" i="3"/>
  <c r="M20" i="3"/>
  <c r="L20" i="3"/>
  <c r="J20" i="3"/>
  <c r="I20" i="3"/>
  <c r="BF19" i="3"/>
  <c r="AL19" i="3"/>
  <c r="AI19" i="3" s="1"/>
  <c r="AK19" i="3"/>
  <c r="AJ19" i="3"/>
  <c r="AH19" i="3"/>
  <c r="AG19" i="3"/>
  <c r="N19" i="3"/>
  <c r="K19" i="3" s="1"/>
  <c r="M19" i="3"/>
  <c r="L19" i="3"/>
  <c r="J19" i="3"/>
  <c r="I19" i="3"/>
  <c r="BF18" i="3"/>
  <c r="AL18" i="3"/>
  <c r="AK18" i="3"/>
  <c r="AJ18" i="3"/>
  <c r="AH18" i="3"/>
  <c r="AG18" i="3"/>
  <c r="N18" i="3"/>
  <c r="K18" i="3" s="1"/>
  <c r="M18" i="3"/>
  <c r="L18" i="3"/>
  <c r="J18" i="3"/>
  <c r="I18" i="3"/>
  <c r="BF17" i="3"/>
  <c r="AL17" i="3"/>
  <c r="AI17" i="3" s="1"/>
  <c r="AK17" i="3"/>
  <c r="AJ17" i="3"/>
  <c r="AH17" i="3"/>
  <c r="AG17" i="3"/>
  <c r="N17" i="3"/>
  <c r="K17" i="3" s="1"/>
  <c r="M17" i="3"/>
  <c r="L17" i="3"/>
  <c r="J17" i="3"/>
  <c r="I17" i="3"/>
  <c r="BF16" i="3"/>
  <c r="AL16" i="3"/>
  <c r="AI16" i="3" s="1"/>
  <c r="AK16" i="3"/>
  <c r="AJ16" i="3"/>
  <c r="AH16" i="3"/>
  <c r="AG16" i="3"/>
  <c r="N16" i="3"/>
  <c r="K16" i="3" s="1"/>
  <c r="M16" i="3"/>
  <c r="L16" i="3"/>
  <c r="J16" i="3"/>
  <c r="I16" i="3"/>
  <c r="BF15" i="3"/>
  <c r="AL15" i="3"/>
  <c r="BH15" i="3" s="1" a="1"/>
  <c r="AK15" i="3"/>
  <c r="AJ15" i="3"/>
  <c r="AH15" i="3"/>
  <c r="AG15" i="3"/>
  <c r="N15" i="3"/>
  <c r="K15" i="3" s="1"/>
  <c r="M15" i="3"/>
  <c r="L15" i="3"/>
  <c r="J15" i="3"/>
  <c r="I15" i="3"/>
  <c r="BF14" i="3"/>
  <c r="AL14" i="3"/>
  <c r="AK14" i="3"/>
  <c r="AJ14" i="3"/>
  <c r="AH14" i="3"/>
  <c r="AG14" i="3"/>
  <c r="N14" i="3"/>
  <c r="K14" i="3" s="1"/>
  <c r="M14" i="3"/>
  <c r="L14" i="3"/>
  <c r="J14" i="3"/>
  <c r="I14" i="3"/>
  <c r="BF13" i="3"/>
  <c r="AL13" i="3"/>
  <c r="AI13" i="3" s="1"/>
  <c r="AK13" i="3"/>
  <c r="AJ13" i="3"/>
  <c r="AH13" i="3"/>
  <c r="AG13" i="3"/>
  <c r="N13" i="3"/>
  <c r="K13" i="3" s="1"/>
  <c r="M13" i="3"/>
  <c r="L13" i="3"/>
  <c r="J13" i="3"/>
  <c r="I13" i="3"/>
  <c r="BF12" i="3"/>
  <c r="AL12" i="3"/>
  <c r="AI12" i="3" s="1"/>
  <c r="AK12" i="3"/>
  <c r="AJ12" i="3"/>
  <c r="AH12" i="3"/>
  <c r="AG12" i="3"/>
  <c r="N12" i="3"/>
  <c r="K12" i="3" s="1"/>
  <c r="M12" i="3"/>
  <c r="L12" i="3"/>
  <c r="J12" i="3"/>
  <c r="I12" i="3"/>
  <c r="BF11" i="3"/>
  <c r="AL11" i="3"/>
  <c r="AI11" i="3" s="1"/>
  <c r="AK11" i="3"/>
  <c r="AJ11" i="3"/>
  <c r="AH11" i="3"/>
  <c r="AG11" i="3"/>
  <c r="N11" i="3"/>
  <c r="K11" i="3" s="1"/>
  <c r="M11" i="3"/>
  <c r="L11" i="3"/>
  <c r="J11" i="3"/>
  <c r="I11" i="3"/>
  <c r="BH10" i="3" a="1"/>
  <c r="BF10" i="3"/>
  <c r="AL10" i="3"/>
  <c r="AK10" i="3"/>
  <c r="AJ10" i="3"/>
  <c r="AH10" i="3"/>
  <c r="AG10" i="3"/>
  <c r="N10" i="3"/>
  <c r="K10" i="3" s="1"/>
  <c r="M10" i="3"/>
  <c r="L10" i="3"/>
  <c r="J10" i="3"/>
  <c r="I10" i="3"/>
  <c r="BF9" i="3"/>
  <c r="AL9" i="3"/>
  <c r="AI9" i="3" s="1"/>
  <c r="AK9" i="3"/>
  <c r="AJ9" i="3"/>
  <c r="AH9" i="3"/>
  <c r="AG9" i="3"/>
  <c r="N9" i="3"/>
  <c r="K9" i="3" s="1"/>
  <c r="M9" i="3"/>
  <c r="L9" i="3"/>
  <c r="J9" i="3"/>
  <c r="I9" i="3"/>
  <c r="BF8" i="3"/>
  <c r="AL8" i="3"/>
  <c r="AI8" i="3" s="1"/>
  <c r="AK8" i="3"/>
  <c r="AJ8" i="3"/>
  <c r="AH8" i="3"/>
  <c r="AG8" i="3"/>
  <c r="N8" i="3"/>
  <c r="K8" i="3" s="1"/>
  <c r="M8" i="3"/>
  <c r="L8" i="3"/>
  <c r="J8" i="3"/>
  <c r="I8" i="3"/>
  <c r="BF7" i="3"/>
  <c r="AL7" i="3"/>
  <c r="AI7" i="3" s="1"/>
  <c r="AK7" i="3"/>
  <c r="AJ7" i="3"/>
  <c r="AH7" i="3"/>
  <c r="AG7" i="3"/>
  <c r="N7" i="3"/>
  <c r="K7" i="3" s="1"/>
  <c r="M7" i="3"/>
  <c r="L7" i="3"/>
  <c r="J7" i="3"/>
  <c r="I7" i="3"/>
  <c r="BF6" i="3"/>
  <c r="AL6" i="3"/>
  <c r="AK6" i="3"/>
  <c r="AJ6" i="3"/>
  <c r="AH6" i="3"/>
  <c r="AG6" i="3"/>
  <c r="N6" i="3"/>
  <c r="K6" i="3" s="1"/>
  <c r="M6" i="3"/>
  <c r="L6" i="3"/>
  <c r="J6" i="3"/>
  <c r="I6" i="3"/>
  <c r="BF5" i="3"/>
  <c r="AL5" i="3"/>
  <c r="AK5" i="3"/>
  <c r="AJ5" i="3"/>
  <c r="AH5" i="3"/>
  <c r="AG5" i="3"/>
  <c r="N5" i="3"/>
  <c r="M5" i="3"/>
  <c r="L5" i="3"/>
  <c r="J5" i="3"/>
  <c r="I5" i="3"/>
  <c r="AG1" i="3"/>
  <c r="I1" i="3"/>
  <c r="B1" i="2"/>
  <c r="B2" i="2" s="1"/>
  <c r="BL35" i="7"/>
  <c r="BL15" i="7"/>
  <c r="BQ10" i="7"/>
  <c r="BT35" i="7"/>
  <c r="BK20" i="7"/>
  <c r="BP5" i="7"/>
  <c r="BR20" i="7"/>
  <c r="BR25" i="7"/>
  <c r="BT20" i="3"/>
  <c r="BQ10" i="3"/>
  <c r="BS25" i="3"/>
  <c r="BK5" i="3"/>
  <c r="BL15" i="3"/>
  <c r="BM35" i="3"/>
  <c r="BN20" i="3"/>
  <c r="BN30" i="7"/>
  <c r="BR5" i="3"/>
  <c r="BP25" i="7"/>
  <c r="BT25" i="7"/>
  <c r="BN10" i="7"/>
  <c r="BS35" i="7"/>
  <c r="BQ35" i="7"/>
  <c r="BM35" i="7"/>
  <c r="BL25" i="7"/>
  <c r="BL30" i="3"/>
  <c r="BS15" i="3"/>
  <c r="BL20" i="3"/>
  <c r="BM15" i="3"/>
  <c r="BN10" i="3"/>
  <c r="BN25" i="3"/>
  <c r="BP30" i="3"/>
  <c r="BQ30" i="3"/>
  <c r="BT25" i="3"/>
  <c r="BL20" i="7"/>
  <c r="BN15" i="3"/>
  <c r="BN25" i="7"/>
  <c r="BT20" i="7"/>
  <c r="BL10" i="7"/>
  <c r="BR35" i="7"/>
  <c r="BT5" i="7"/>
  <c r="BS25" i="7"/>
  <c r="BL30" i="7"/>
  <c r="BR15" i="3"/>
  <c r="BS10" i="3"/>
  <c r="BK35" i="3"/>
  <c r="BR30" i="3"/>
  <c r="BK30" i="3"/>
  <c r="BS35" i="3"/>
  <c r="BS5" i="3"/>
  <c r="BN5" i="7"/>
  <c r="BQ20" i="3"/>
  <c r="BT10" i="7"/>
  <c r="BL5" i="7"/>
  <c r="BP10" i="7"/>
  <c r="BR30" i="7"/>
  <c r="BQ5" i="7"/>
  <c r="BN35" i="7"/>
  <c r="BT15" i="7"/>
  <c r="BP35" i="7"/>
  <c r="BQ15" i="3"/>
  <c r="BR10" i="3"/>
  <c r="BM20" i="3"/>
  <c r="BN30" i="3"/>
  <c r="BL10" i="3"/>
  <c r="BQ35" i="3"/>
  <c r="BP15" i="3"/>
  <c r="BT5" i="3"/>
  <c r="BR5" i="7"/>
  <c r="BQ25" i="3"/>
  <c r="BS10" i="7"/>
  <c r="BS5" i="7"/>
  <c r="BK25" i="7"/>
  <c r="BM30" i="7"/>
  <c r="BK10" i="7"/>
  <c r="BP30" i="7"/>
  <c r="BM25" i="7"/>
  <c r="BM10" i="7"/>
  <c r="BP10" i="3"/>
  <c r="BM5" i="3"/>
  <c r="BP35" i="3"/>
  <c r="BM30" i="3"/>
  <c r="BT15" i="3"/>
  <c r="BN35" i="3"/>
  <c r="BL35" i="3"/>
  <c r="BM25" i="3"/>
  <c r="BK30" i="7"/>
  <c r="BS20" i="3"/>
  <c r="BQ20" i="7"/>
  <c r="BP20" i="7"/>
  <c r="BP15" i="7"/>
  <c r="BM15" i="7"/>
  <c r="BQ15" i="7"/>
  <c r="BT30" i="7"/>
  <c r="BJ35" i="7"/>
  <c r="BJ25" i="7"/>
  <c r="BS15" i="7"/>
  <c r="BS30" i="3"/>
  <c r="BP25" i="3"/>
  <c r="BQ5" i="3"/>
  <c r="BP20" i="3"/>
  <c r="BR25" i="3"/>
  <c r="BK15" i="3"/>
  <c r="BR20" i="3"/>
  <c r="BT30" i="3"/>
  <c r="BM5" i="7"/>
  <c r="BT10" i="3"/>
  <c r="BN5" i="3"/>
  <c r="BM20" i="7"/>
  <c r="BN15" i="7"/>
  <c r="BR10" i="7"/>
  <c r="BQ30" i="7"/>
  <c r="BQ25" i="7"/>
  <c r="BN20" i="7"/>
  <c r="BS20" i="7"/>
  <c r="BR15" i="7"/>
  <c r="BL25" i="3"/>
  <c r="BT35" i="3"/>
  <c r="BP5" i="3"/>
  <c r="BJ15" i="3"/>
  <c r="BL5" i="3"/>
  <c r="BR35" i="3"/>
  <c r="BM10" i="3"/>
  <c r="BJ35" i="3"/>
  <c r="BS30" i="7"/>
  <c r="BK20" i="3"/>
  <c r="BG19" i="7" l="1"/>
  <c r="AZ45" i="7"/>
  <c r="BB45" i="7"/>
  <c r="BG5" i="7"/>
  <c r="BG32" i="3"/>
  <c r="BA45" i="7"/>
  <c r="AH42" i="7"/>
  <c r="AJ41" i="7"/>
  <c r="AI35" i="3"/>
  <c r="AI15" i="3"/>
  <c r="AZ47" i="3"/>
  <c r="C13" i="1" s="1"/>
  <c r="AI27" i="3"/>
  <c r="AI25" i="3"/>
  <c r="BG35" i="3"/>
  <c r="AJ41" i="3"/>
  <c r="AH42" i="3"/>
  <c r="BH35" i="7"/>
  <c r="K19" i="7"/>
  <c r="BG17" i="7"/>
  <c r="BE8" i="7"/>
  <c r="BG6" i="7"/>
  <c r="K35" i="3"/>
  <c r="BE12" i="3"/>
  <c r="L42" i="3"/>
  <c r="BH5" i="7"/>
  <c r="BE23" i="7"/>
  <c r="BE21" i="7"/>
  <c r="AZ47" i="7"/>
  <c r="BG18" i="7"/>
  <c r="BG22" i="7"/>
  <c r="BG34" i="7"/>
  <c r="BB47" i="7"/>
  <c r="C48" i="1" s="1"/>
  <c r="BG7" i="7"/>
  <c r="BH20" i="7"/>
  <c r="J42" i="7"/>
  <c r="BE11" i="3"/>
  <c r="M42" i="3"/>
  <c r="BB45" i="3"/>
  <c r="K5" i="3"/>
  <c r="BG5" i="3"/>
  <c r="BG7" i="3"/>
  <c r="BG9" i="3"/>
  <c r="BG13" i="3"/>
  <c r="BG11" i="3"/>
  <c r="J41" i="3"/>
  <c r="BG37" i="3"/>
  <c r="BE8" i="3"/>
  <c r="BG14" i="3"/>
  <c r="M41" i="3"/>
  <c r="BG10" i="3"/>
  <c r="BG30" i="3"/>
  <c r="C47" i="1"/>
  <c r="AK41" i="7"/>
  <c r="BH30" i="7"/>
  <c r="BH42" i="7" s="1"/>
  <c r="BG21" i="7"/>
  <c r="BG13" i="7"/>
  <c r="BG23" i="7"/>
  <c r="BG31" i="7"/>
  <c r="BE9" i="7"/>
  <c r="AJ43" i="7"/>
  <c r="BE31" i="7"/>
  <c r="AI7" i="7"/>
  <c r="BE7" i="7" s="1"/>
  <c r="AI15" i="7"/>
  <c r="BE15" i="7" s="1"/>
  <c r="AI17" i="7"/>
  <c r="BE17" i="7" s="1"/>
  <c r="BG29" i="7"/>
  <c r="BG36" i="7"/>
  <c r="BG37" i="7"/>
  <c r="BG38" i="7"/>
  <c r="BG25" i="7"/>
  <c r="BG33" i="7"/>
  <c r="AJ42" i="7"/>
  <c r="BA47" i="7"/>
  <c r="BE5" i="7"/>
  <c r="AK42" i="7"/>
  <c r="L43" i="7"/>
  <c r="BE11" i="7"/>
  <c r="L42" i="7"/>
  <c r="BG10" i="7"/>
  <c r="BE24" i="7"/>
  <c r="M42" i="7"/>
  <c r="BE27" i="7"/>
  <c r="BC47" i="7"/>
  <c r="BH10" i="7"/>
  <c r="BE12" i="7"/>
  <c r="J41" i="7"/>
  <c r="BG26" i="7"/>
  <c r="BC45" i="7"/>
  <c r="BG11" i="7"/>
  <c r="BG14" i="7"/>
  <c r="K25" i="7"/>
  <c r="BE25" i="7" s="1"/>
  <c r="BE28" i="7"/>
  <c r="BH15" i="7"/>
  <c r="BH40" i="7" s="1"/>
  <c r="BE16" i="7"/>
  <c r="BE19" i="7"/>
  <c r="L41" i="7"/>
  <c r="BH25" i="7"/>
  <c r="BH41" i="7" s="1"/>
  <c r="K13" i="7"/>
  <c r="BE13" i="7" s="1"/>
  <c r="M41" i="7"/>
  <c r="BG27" i="7"/>
  <c r="BG30" i="7"/>
  <c r="BE38" i="7"/>
  <c r="BG39" i="7"/>
  <c r="BG15" i="7"/>
  <c r="K29" i="7"/>
  <c r="BE29" i="7" s="1"/>
  <c r="BE32" i="7"/>
  <c r="BD7" i="6"/>
  <c r="AI15" i="6"/>
  <c r="AH11" i="6"/>
  <c r="J15" i="6"/>
  <c r="BD9" i="6"/>
  <c r="BC11" i="6"/>
  <c r="AW19" i="6"/>
  <c r="AY19" i="6"/>
  <c r="BG11" i="6"/>
  <c r="AW17" i="6"/>
  <c r="AZ19" i="6"/>
  <c r="AY17" i="6"/>
  <c r="BB6" i="6"/>
  <c r="BB7" i="6"/>
  <c r="BB8" i="6"/>
  <c r="BD10" i="5"/>
  <c r="AI12" i="5"/>
  <c r="BD9" i="5"/>
  <c r="AG14" i="5"/>
  <c r="BB14" i="5" s="1"/>
  <c r="AW19" i="5"/>
  <c r="AW17" i="5"/>
  <c r="AZ19" i="5"/>
  <c r="C23" i="1"/>
  <c r="J15" i="5"/>
  <c r="M15" i="5"/>
  <c r="AX19" i="5"/>
  <c r="BB5" i="5"/>
  <c r="BB6" i="5"/>
  <c r="BE5" i="5"/>
  <c r="BB7" i="5"/>
  <c r="AY17" i="5"/>
  <c r="AI5" i="3"/>
  <c r="AH41" i="3"/>
  <c r="AK43" i="3"/>
  <c r="AK42" i="3"/>
  <c r="AI36" i="3"/>
  <c r="AJ42" i="3"/>
  <c r="BG25" i="3"/>
  <c r="BC47" i="3"/>
  <c r="AZ45" i="3"/>
  <c r="BH10" i="3"/>
  <c r="BG23" i="3"/>
  <c r="BC45" i="3"/>
  <c r="AH43" i="3"/>
  <c r="BG29" i="3"/>
  <c r="BE13" i="3"/>
  <c r="BE39" i="3"/>
  <c r="BE15" i="3"/>
  <c r="L41" i="3"/>
  <c r="BE38" i="3"/>
  <c r="BE17" i="3"/>
  <c r="BE19" i="3"/>
  <c r="J42" i="3"/>
  <c r="BH15" i="3"/>
  <c r="BE16" i="3"/>
  <c r="BE21" i="3"/>
  <c r="BG39" i="3"/>
  <c r="BG18" i="3"/>
  <c r="BE23" i="3"/>
  <c r="BG15" i="3"/>
  <c r="BA47" i="3"/>
  <c r="L43" i="3"/>
  <c r="BG17" i="3"/>
  <c r="BG22" i="3"/>
  <c r="BE27" i="3"/>
  <c r="BB47" i="3"/>
  <c r="BG19" i="3"/>
  <c r="BE24" i="3"/>
  <c r="BE29" i="3"/>
  <c r="BE7" i="3"/>
  <c r="BE9" i="3"/>
  <c r="BG21" i="3"/>
  <c r="BH25" i="3"/>
  <c r="BH41" i="3" s="1"/>
  <c r="BG26" i="3"/>
  <c r="BG6" i="3"/>
  <c r="BE28" i="3"/>
  <c r="BG31" i="3"/>
  <c r="BG34" i="3"/>
  <c r="BA45" i="3"/>
  <c r="BQ42" i="7"/>
  <c r="BL41" i="3"/>
  <c r="E10" i="1" s="1"/>
  <c r="BQ41" i="7"/>
  <c r="BR42" i="7"/>
  <c r="BN42" i="3"/>
  <c r="G11" i="1" s="1"/>
  <c r="BP41" i="7"/>
  <c r="BM41" i="3"/>
  <c r="F10" i="1" s="1"/>
  <c r="BR41" i="7"/>
  <c r="BS42" i="7"/>
  <c r="BN41" i="3"/>
  <c r="G10" i="1" s="1"/>
  <c r="BK42" i="3"/>
  <c r="D11" i="1" s="1"/>
  <c r="BT42" i="7"/>
  <c r="BM40" i="3"/>
  <c r="F9" i="1" s="1"/>
  <c r="BM43" i="7"/>
  <c r="F46" i="1" s="1"/>
  <c r="BN43" i="3"/>
  <c r="G12" i="1" s="1"/>
  <c r="BK41" i="7"/>
  <c r="D44" i="1" s="1"/>
  <c r="BL42" i="7"/>
  <c r="E45" i="1" s="1"/>
  <c r="BJ41" i="7"/>
  <c r="C44" i="1" s="1"/>
  <c r="BL41" i="7"/>
  <c r="E44" i="1" s="1"/>
  <c r="BM42" i="7"/>
  <c r="F45" i="1" s="1"/>
  <c r="BL42" i="3"/>
  <c r="E11" i="1" s="1"/>
  <c r="BM41" i="7"/>
  <c r="F44" i="1" s="1"/>
  <c r="BN42" i="7"/>
  <c r="G45" i="1" s="1"/>
  <c r="BN43" i="7"/>
  <c r="G46" i="1" s="1"/>
  <c r="BM42" i="3"/>
  <c r="F11" i="1" s="1"/>
  <c r="BN41" i="7"/>
  <c r="G44" i="1" s="1"/>
  <c r="BP42" i="7"/>
  <c r="BQ40" i="3"/>
  <c r="I9" i="1" s="1"/>
  <c r="BR40" i="3"/>
  <c r="J9" i="1" s="1"/>
  <c r="BP41" i="3"/>
  <c r="BC9" i="5"/>
  <c r="AH13" i="5"/>
  <c r="BC13" i="5" s="1"/>
  <c r="AH14" i="5"/>
  <c r="BC10" i="5"/>
  <c r="BC11" i="5"/>
  <c r="K15" i="5"/>
  <c r="K12" i="5"/>
  <c r="K15" i="6"/>
  <c r="K12" i="6"/>
  <c r="BE33" i="3"/>
  <c r="AH15" i="5"/>
  <c r="AH12" i="5"/>
  <c r="BC5" i="5"/>
  <c r="K14" i="5"/>
  <c r="AJ12" i="6"/>
  <c r="BE12" i="6" s="1"/>
  <c r="E21" i="1"/>
  <c r="BH30" i="3" a="1"/>
  <c r="BH30" i="3" s="1"/>
  <c r="AI34" i="3"/>
  <c r="BE34" i="3" s="1"/>
  <c r="BG38" i="3"/>
  <c r="BN40" i="3"/>
  <c r="G9" i="1" s="1"/>
  <c r="L15" i="5"/>
  <c r="BD15" i="5" s="1"/>
  <c r="L12" i="5"/>
  <c r="BD12" i="5" s="1"/>
  <c r="BF5" i="5"/>
  <c r="BF7" i="5"/>
  <c r="BF9" i="5"/>
  <c r="BF11" i="5"/>
  <c r="L13" i="5"/>
  <c r="AJ14" i="5"/>
  <c r="BE14" i="5" s="1"/>
  <c r="AJ43" i="3"/>
  <c r="AJ40" i="3"/>
  <c r="BG33" i="3"/>
  <c r="BE35" i="3"/>
  <c r="BE36" i="3"/>
  <c r="BT40" i="3"/>
  <c r="BR41" i="3"/>
  <c r="BP42" i="3"/>
  <c r="BM43" i="3"/>
  <c r="F12" i="1" s="1"/>
  <c r="BG6" i="5" a="1"/>
  <c r="BG6" i="5" s="1"/>
  <c r="BG8" i="5" a="1"/>
  <c r="BG8" i="5" s="1"/>
  <c r="BG10" i="5" a="1"/>
  <c r="BG10" i="5" s="1"/>
  <c r="BD13" i="5"/>
  <c r="BF9" i="6"/>
  <c r="BP43" i="3"/>
  <c r="BP40" i="3"/>
  <c r="AK41" i="3"/>
  <c r="AI30" i="3"/>
  <c r="L40" i="3"/>
  <c r="BS41" i="3"/>
  <c r="BQ42" i="3"/>
  <c r="AH10" i="6"/>
  <c r="BG10" i="6" a="1"/>
  <c r="BG10" i="6" s="1"/>
  <c r="BG14" i="6" s="1"/>
  <c r="BF10" i="6"/>
  <c r="BD13" i="6"/>
  <c r="M43" i="7"/>
  <c r="M40" i="7"/>
  <c r="BB10" i="6"/>
  <c r="AG14" i="6"/>
  <c r="BB14" i="6" s="1"/>
  <c r="AI6" i="3"/>
  <c r="BE6" i="3" s="1"/>
  <c r="BG8" i="3"/>
  <c r="AI10" i="3"/>
  <c r="BE10" i="3" s="1"/>
  <c r="BG12" i="3"/>
  <c r="AI14" i="3"/>
  <c r="BE14" i="3" s="1"/>
  <c r="BG16" i="3"/>
  <c r="AI18" i="3"/>
  <c r="BE18" i="3" s="1"/>
  <c r="K20" i="3"/>
  <c r="K40" i="3" s="1"/>
  <c r="BG20" i="3"/>
  <c r="AI22" i="3"/>
  <c r="BE22" i="3" s="1"/>
  <c r="BG24" i="3"/>
  <c r="BQ41" i="3"/>
  <c r="AI26" i="3"/>
  <c r="BE26" i="3" s="1"/>
  <c r="BG28" i="3"/>
  <c r="AI37" i="3"/>
  <c r="BE37" i="3" s="1"/>
  <c r="AH40" i="3"/>
  <c r="BS42" i="3"/>
  <c r="BQ43" i="3"/>
  <c r="BB9" i="5"/>
  <c r="AG13" i="5"/>
  <c r="BB13" i="5" s="1"/>
  <c r="AG12" i="5"/>
  <c r="BB12" i="5" s="1"/>
  <c r="L12" i="6"/>
  <c r="BD12" i="6" s="1"/>
  <c r="L15" i="6"/>
  <c r="BD15" i="6" s="1"/>
  <c r="BF5" i="6"/>
  <c r="BF7" i="6"/>
  <c r="BD10" i="6"/>
  <c r="BE13" i="6"/>
  <c r="BL43" i="7"/>
  <c r="E46" i="1" s="1"/>
  <c r="BL40" i="7"/>
  <c r="E43" i="1" s="1"/>
  <c r="BE5" i="3"/>
  <c r="BE25" i="3"/>
  <c r="AI31" i="3"/>
  <c r="BE31" i="3" s="1"/>
  <c r="BT42" i="3"/>
  <c r="BR43" i="3"/>
  <c r="BF6" i="5"/>
  <c r="BF8" i="5"/>
  <c r="BF10" i="5"/>
  <c r="AY19" i="5"/>
  <c r="BH20" i="3" a="1"/>
  <c r="BH20" i="3" s="1"/>
  <c r="BR42" i="3"/>
  <c r="AK40" i="3"/>
  <c r="BT43" i="3"/>
  <c r="AJ12" i="5"/>
  <c r="BE12" i="5" s="1"/>
  <c r="AG15" i="5"/>
  <c r="BB15" i="5" s="1"/>
  <c r="AH43" i="7"/>
  <c r="AH40" i="7"/>
  <c r="AG15" i="6"/>
  <c r="BB15" i="6" s="1"/>
  <c r="AJ15" i="6"/>
  <c r="BE15" i="6" s="1"/>
  <c r="K41" i="3"/>
  <c r="BT41" i="3"/>
  <c r="BE32" i="3"/>
  <c r="AJ13" i="5"/>
  <c r="BE13" i="5" s="1"/>
  <c r="BE9" i="5"/>
  <c r="BG6" i="6" a="1"/>
  <c r="BG6" i="6" s="1"/>
  <c r="BG8" i="6" a="1"/>
  <c r="BG8" i="6" s="1"/>
  <c r="BH35" i="3" a="1"/>
  <c r="BH35" i="3" s="1"/>
  <c r="BG5" i="5" a="1"/>
  <c r="BG5" i="5" s="1"/>
  <c r="BG7" i="5" a="1"/>
  <c r="BG7" i="5" s="1"/>
  <c r="BG9" i="5" a="1"/>
  <c r="BG9" i="5" s="1"/>
  <c r="BG13" i="5" s="1"/>
  <c r="BG11" i="5" a="1"/>
  <c r="BG11" i="5" s="1"/>
  <c r="L14" i="5"/>
  <c r="BD14" i="5" s="1"/>
  <c r="AJ15" i="5"/>
  <c r="BE15" i="5" s="1"/>
  <c r="BB9" i="6"/>
  <c r="AG13" i="6"/>
  <c r="BB13" i="6" s="1"/>
  <c r="BD14" i="6"/>
  <c r="BL43" i="3"/>
  <c r="E12" i="1" s="1"/>
  <c r="BL40" i="3"/>
  <c r="E9" i="1" s="1"/>
  <c r="J43" i="3"/>
  <c r="J40" i="3"/>
  <c r="BH5" i="3" a="1"/>
  <c r="BH5" i="3" s="1"/>
  <c r="K30" i="3"/>
  <c r="K42" i="3" s="1"/>
  <c r="AG12" i="6"/>
  <c r="BB5" i="6"/>
  <c r="AH9" i="6"/>
  <c r="AK43" i="7"/>
  <c r="J43" i="7"/>
  <c r="J40" i="7"/>
  <c r="BS43" i="3"/>
  <c r="BS40" i="3"/>
  <c r="M43" i="3"/>
  <c r="M40" i="3"/>
  <c r="J45" i="1"/>
  <c r="AH5" i="6"/>
  <c r="BF6" i="6"/>
  <c r="AH7" i="6"/>
  <c r="BC7" i="6" s="1"/>
  <c r="BF8" i="6"/>
  <c r="AZ17" i="6"/>
  <c r="BS43" i="7"/>
  <c r="BS40" i="7"/>
  <c r="AH41" i="7"/>
  <c r="M14" i="6"/>
  <c r="AI6" i="7"/>
  <c r="BE6" i="7" s="1"/>
  <c r="BG8" i="7"/>
  <c r="AI10" i="7"/>
  <c r="BG12" i="7"/>
  <c r="AI14" i="7"/>
  <c r="BE14" i="7" s="1"/>
  <c r="BG16" i="7"/>
  <c r="AI18" i="7"/>
  <c r="BE18" i="7" s="1"/>
  <c r="K20" i="7"/>
  <c r="BE20" i="7" s="1"/>
  <c r="BG20" i="7"/>
  <c r="AI22" i="7"/>
  <c r="BE22" i="7" s="1"/>
  <c r="BG24" i="7"/>
  <c r="AI26" i="7"/>
  <c r="BE26" i="7" s="1"/>
  <c r="BG28" i="7"/>
  <c r="AI30" i="7"/>
  <c r="BG32" i="7"/>
  <c r="AI34" i="7"/>
  <c r="BE34" i="7" s="1"/>
  <c r="K36" i="7"/>
  <c r="BE36" i="7" s="1"/>
  <c r="L40" i="7"/>
  <c r="BN40" i="7"/>
  <c r="G43" i="1" s="1"/>
  <c r="BS41" i="7"/>
  <c r="BP40" i="7"/>
  <c r="BT41" i="7"/>
  <c r="BP43" i="7"/>
  <c r="BQ40" i="7"/>
  <c r="BQ43" i="7"/>
  <c r="K33" i="7"/>
  <c r="BE33" i="7" s="1"/>
  <c r="AI35" i="7"/>
  <c r="BE35" i="7" s="1"/>
  <c r="K37" i="7"/>
  <c r="BE37" i="7" s="1"/>
  <c r="AI39" i="7"/>
  <c r="BE39" i="7" s="1"/>
  <c r="BR40" i="7"/>
  <c r="BR43" i="7"/>
  <c r="BF11" i="6"/>
  <c r="AJ14" i="6"/>
  <c r="AJ40" i="7"/>
  <c r="AK40" i="7"/>
  <c r="BT40" i="7"/>
  <c r="BT43" i="7"/>
  <c r="K10" i="7"/>
  <c r="K30" i="7"/>
  <c r="J12" i="6"/>
  <c r="BE9" i="6"/>
  <c r="BG35" i="7"/>
  <c r="BM40" i="7"/>
  <c r="F43" i="1" s="1"/>
  <c r="BJ15" i="7"/>
  <c r="BK10" i="3"/>
  <c r="BK5" i="7"/>
  <c r="BJ25" i="3"/>
  <c r="BK15" i="7"/>
  <c r="BJ5" i="3"/>
  <c r="BJ5" i="7"/>
  <c r="BJ30" i="7"/>
  <c r="BJ20" i="7"/>
  <c r="BK35" i="7"/>
  <c r="BJ10" i="3"/>
  <c r="BJ30" i="3"/>
  <c r="BJ10" i="7"/>
  <c r="BK25" i="3"/>
  <c r="BJ20" i="3"/>
  <c r="BK40" i="7" l="1"/>
  <c r="D43" i="1" s="1"/>
  <c r="BJ41" i="3"/>
  <c r="C10" i="1" s="1"/>
  <c r="K41" i="7"/>
  <c r="K43" i="7"/>
  <c r="BH43" i="7"/>
  <c r="K45" i="1"/>
  <c r="K42" i="7"/>
  <c r="C36" i="1"/>
  <c r="C35" i="1"/>
  <c r="BG15" i="6"/>
  <c r="BC14" i="5"/>
  <c r="BC12" i="5"/>
  <c r="BC15" i="5"/>
  <c r="C14" i="1"/>
  <c r="K43" i="3"/>
  <c r="BE20" i="3"/>
  <c r="BJ43" i="7"/>
  <c r="C46" i="1" s="1"/>
  <c r="BJ40" i="7"/>
  <c r="C43" i="1" s="1"/>
  <c r="BK40" i="3"/>
  <c r="D9" i="1" s="1"/>
  <c r="BK43" i="3"/>
  <c r="D12" i="1" s="1"/>
  <c r="BJ42" i="7"/>
  <c r="C45" i="1" s="1"/>
  <c r="BK41" i="3"/>
  <c r="D10" i="1" s="1"/>
  <c r="BJ40" i="3"/>
  <c r="C9" i="1" s="1"/>
  <c r="BJ43" i="3"/>
  <c r="C12" i="1" s="1"/>
  <c r="BK42" i="7"/>
  <c r="D45" i="1" s="1"/>
  <c r="BK43" i="7"/>
  <c r="D46" i="1" s="1"/>
  <c r="BJ42" i="3"/>
  <c r="C11" i="1" s="1"/>
  <c r="I44" i="1"/>
  <c r="J44" i="1"/>
  <c r="H45" i="1"/>
  <c r="L45" i="1"/>
  <c r="H44" i="1"/>
  <c r="I45" i="1"/>
  <c r="H10" i="1"/>
  <c r="H46" i="1"/>
  <c r="J11" i="1"/>
  <c r="I10" i="1"/>
  <c r="AI42" i="3"/>
  <c r="BE42" i="3" s="1"/>
  <c r="BE30" i="3"/>
  <c r="C22" i="1"/>
  <c r="C21" i="1"/>
  <c r="L12" i="1"/>
  <c r="K10" i="1"/>
  <c r="K40" i="7"/>
  <c r="K46" i="1"/>
  <c r="D34" i="1"/>
  <c r="E19" i="1"/>
  <c r="H9" i="1"/>
  <c r="AI41" i="7"/>
  <c r="BE41" i="7" s="1"/>
  <c r="BH42" i="3"/>
  <c r="BH43" i="3"/>
  <c r="BH40" i="3"/>
  <c r="L46" i="1"/>
  <c r="J10" i="1"/>
  <c r="L11" i="1"/>
  <c r="L44" i="1"/>
  <c r="H43" i="1"/>
  <c r="E33" i="1"/>
  <c r="E20" i="1"/>
  <c r="D21" i="1"/>
  <c r="C24" i="1"/>
  <c r="I12" i="1"/>
  <c r="L9" i="1"/>
  <c r="AI41" i="3"/>
  <c r="BE41" i="3" s="1"/>
  <c r="AI40" i="3"/>
  <c r="BE40" i="3" s="1"/>
  <c r="BG12" i="5"/>
  <c r="BG15" i="5"/>
  <c r="C20" i="1"/>
  <c r="BC9" i="6"/>
  <c r="AH13" i="6"/>
  <c r="BC13" i="6" s="1"/>
  <c r="E32" i="1"/>
  <c r="K11" i="1"/>
  <c r="C19" i="1"/>
  <c r="K43" i="1"/>
  <c r="L10" i="1"/>
  <c r="K44" i="1"/>
  <c r="E34" i="1"/>
  <c r="H11" i="1"/>
  <c r="L43" i="1"/>
  <c r="BE14" i="6"/>
  <c r="I46" i="1"/>
  <c r="BE10" i="7"/>
  <c r="AH15" i="6"/>
  <c r="BC15" i="6" s="1"/>
  <c r="AH12" i="6"/>
  <c r="BC12" i="6" s="1"/>
  <c r="BC5" i="6"/>
  <c r="BB12" i="6"/>
  <c r="D22" i="1"/>
  <c r="D20" i="1"/>
  <c r="E22" i="1"/>
  <c r="D32" i="1"/>
  <c r="BC10" i="6"/>
  <c r="AH14" i="6"/>
  <c r="BC14" i="6" s="1"/>
  <c r="D31" i="1"/>
  <c r="BG12" i="6"/>
  <c r="J46" i="1"/>
  <c r="BG14" i="5"/>
  <c r="J43" i="1"/>
  <c r="K9" i="1"/>
  <c r="AI40" i="7"/>
  <c r="K12" i="1"/>
  <c r="AI43" i="7"/>
  <c r="H12" i="1"/>
  <c r="I43" i="1"/>
  <c r="AI42" i="7"/>
  <c r="BE42" i="7" s="1"/>
  <c r="BE30" i="7"/>
  <c r="D19" i="1"/>
  <c r="J12" i="1"/>
  <c r="I11" i="1"/>
  <c r="AI43" i="3"/>
  <c r="BE43" i="7" l="1"/>
  <c r="BE43" i="3"/>
  <c r="BE40" i="7"/>
  <c r="C31" i="1"/>
  <c r="C34" i="1"/>
  <c r="C32" i="1"/>
  <c r="C33" i="1"/>
  <c r="D33" i="1"/>
  <c r="E31" i="1"/>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<sst xmlns="http://schemas.openxmlformats.org/spreadsheetml/2006/main" count="1459" uniqueCount="575">
  <si>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</si>
  <si>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</si>
  <si>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</si>
  <si>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</si>
  <si>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</si>
  <si>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</si>
  <si>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</si>
  <si>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</si>
  <si>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</si>
  <si>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</si>
  <si>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</si>
  <si>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</si>
  <si>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</si>
  <si>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</si>
  <si>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</si>
  <si>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</si>
  <si>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</si>
  <si>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</si>
  <si>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</si>
  <si>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</si>
  <si>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</si>
  <si>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</si>
  <si>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</si>
  <si>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</si>
  <si>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</si>
  <si>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</si>
  <si>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</si>
  <si>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</si>
  <si>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</si>
  <si>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</si>
  <si>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</si>
  <si>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</si>
  <si>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</si>
  <si>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</si>
  <si>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</si>
  <si>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</si>
  <si>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</si>
  <si>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</si>
  <si>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</si>
  <si>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</si>
  <si>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</si>
  <si>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</si>
  <si>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</si>
  <si>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</si>
  <si>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</si>
  <si>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</si>
  <si>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</si>
  <si>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</si>
  <si>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</si>
  <si>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</si>
  <si>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</si>
  <si>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</si>
  <si>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</si>
  <si>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</si>
  <si>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</si>
  <si>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</si>
  <si>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</si>
  <si>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</si>
  <si>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</si>
  <si>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</si>
  <si>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</si>
  <si>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</si>
  <si>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</si>
  <si>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</si>
  <si>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</si>
  <si>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</si>
  <si>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</si>
  <si>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</si>
  <si>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</si>
  <si>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</si>
  <si>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</si>
  <si>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</si>
  <si>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</si>
  <si>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</si>
  <si>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</si>
  <si>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</si>
  <si>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</si>
  <si>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</si>
  <si>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</si>
  <si>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</si>
  <si>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</si>
  <si>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</si>
  <si>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</si>
  <si>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</si>
  <si>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</si>
  <si>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</si>
  <si>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</si>
  <si>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</si>
  <si>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</si>
  <si>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</si>
  <si>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</si>
  <si>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</si>
  <si>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</si>
  <si>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</si>
  <si>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</si>
  <si>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</si>
  <si>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</si>
  <si>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</si>
  <si>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</si>
  <si>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</si>
  <si>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</si>
  <si>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</si>
  <si>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</si>
  <si>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</si>
  <si>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</si>
  <si>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</si>
  <si>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</si>
  <si>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</si>
  <si>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</si>
  <si>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</si>
  <si>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</si>
  <si>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</si>
  <si>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</si>
  <si>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</si>
  <si>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</si>
  <si>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</si>
  <si>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</si>
  <si>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</si>
  <si>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</si>
  <si>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</si>
  <si>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</si>
  <si>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</si>
  <si>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</si>
  <si>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</si>
  <si>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</si>
  <si>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</si>
  <si>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</si>
  <si>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</si>
  <si>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</si>
  <si>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</si>
  <si>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</si>
  <si>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</si>
  <si>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</si>
  <si>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</si>
  <si>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</si>
  <si>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</si>
  <si>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</si>
  <si>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</si>
  <si>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</si>
  <si>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</si>
  <si>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</si>
  <si>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</si>
  <si>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</si>
  <si>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</si>
  <si>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</si>
  <si>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</si>
  <si>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</si>
  <si>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</si>
  <si>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</si>
  <si>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</si>
  <si>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</si>
  <si>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</si>
  <si>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</si>
  <si>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</si>
  <si>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</si>
  <si>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</si>
  <si>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</si>
  <si>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</si>
  <si>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</si>
  <si>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</si>
  <si>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</si>
  <si>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</si>
  <si>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</si>
  <si>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</si>
  <si>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</si>
  <si>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</si>
  <si>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</si>
  <si>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</si>
  <si>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</si>
  <si>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</si>
  <si>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</si>
  <si>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</si>
  <si>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</si>
  <si>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</si>
  <si>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</si>
  <si>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</si>
  <si>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</si>
  <si>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</si>
  <si>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</si>
  <si>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</si>
  <si>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</si>
  <si>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</si>
  <si>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</si>
  <si>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</si>
  <si>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</si>
  <si>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</si>
  <si>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</si>
  <si>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</si>
  <si>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</si>
  <si>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</si>
  <si>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</si>
  <si>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</si>
  <si>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</si>
  <si>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</si>
  <si>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</si>
  <si>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</si>
  <si>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</si>
  <si>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</si>
  <si>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</si>
  <si>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</si>
  <si>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</si>
  <si>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</si>
  <si>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</si>
  <si>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</si>
  <si>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</si>
  <si>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</si>
  <si>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</si>
  <si>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</si>
  <si>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</si>
  <si>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</si>
  <si>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</si>
  <si>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</si>
  <si>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</si>
  <si>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</si>
  <si>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</si>
  <si>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</si>
  <si>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</si>
  <si>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</si>
  <si>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</si>
  <si>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</si>
  <si>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</si>
  <si>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</si>
  <si>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</si>
  <si>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</si>
  <si>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</si>
  <si>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</si>
  <si>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</si>
  <si>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</si>
  <si>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</si>
  <si>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</si>
  <si>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</si>
  <si>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</si>
  <si>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</si>
  <si>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</si>
  <si>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</si>
  <si>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</si>
  <si>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</si>
  <si>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</si>
  <si>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</si>
  <si>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</si>
  <si>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</si>
  <si>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</si>
  <si>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</si>
  <si>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</si>
  <si>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</si>
  <si>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</si>
  <si>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</si>
  <si>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</si>
  <si>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</si>
  <si>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</si>
  <si>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</si>
  <si>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</si>
  <si>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</si>
  <si>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</si>
  <si>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</si>
  <si>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</si>
  <si>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</si>
  <si>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</si>
  <si>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</si>
  <si>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</si>
  <si>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</si>
  <si>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</si>
  <si>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</si>
  <si>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</si>
  <si>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</si>
  <si>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</si>
  <si>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</si>
  <si>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</si>
  <si>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</si>
  <si>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</si>
  <si>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</si>
  <si>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</si>
  <si>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</si>
  <si>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</si>
  <si>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</si>
  <si>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</si>
  <si>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</si>
  <si>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</si>
  <si>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</si>
  <si>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</si>
  <si>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</si>
  <si>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</si>
  <si>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</si>
  <si>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</si>
  <si>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</si>
  <si>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</si>
  <si>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</si>
  <si>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</si>
  <si>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</si>
  <si>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</si>
  <si>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</si>
  <si>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</si>
  <si>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</si>
  <si>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</si>
  <si>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</si>
  <si>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</si>
  <si>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</si>
  <si>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</si>
  <si>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</si>
  <si>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</si>
  <si>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</si>
  <si>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</si>
  <si>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</si>
  <si>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</si>
  <si>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</si>
  <si>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</si>
  <si>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</si>
  <si>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</si>
  <si>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</si>
  <si>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</si>
  <si>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</si>
  <si>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</si>
  <si>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</si>
  <si>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</si>
  <si>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</si>
  <si>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</si>
  <si>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</si>
  <si>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</si>
  <si>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</si>
  <si>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</si>
  <si>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</si>
  <si>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</si>
  <si>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</si>
  <si>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</si>
  <si>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</si>
  <si>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</si>
  <si>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</si>
  <si>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</si>
  <si>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</si>
  <si>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</si>
  <si>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</si>
  <si>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</si>
  <si>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</si>
  <si>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</si>
  <si>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</si>
  <si>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</si>
  <si>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</si>
  <si>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</si>
  <si>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</si>
  <si>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</si>
  <si>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</si>
  <si>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</si>
  <si>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</si>
  <si>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</si>
  <si>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</si>
  <si>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</si>
  <si>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</si>
  <si>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</si>
  <si>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</si>
  <si>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</si>
  <si>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</si>
  <si>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</si>
  <si>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</si>
  <si>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</si>
  <si>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</si>
  <si>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</si>
  <si>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</si>
  <si>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</si>
  <si>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</si>
  <si>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</si>
  <si>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</si>
  <si>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</si>
  <si>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</si>
  <si>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</si>
  <si>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</si>
  <si>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</si>
  <si>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</si>
  <si>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</si>
  <si>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</si>
  <si>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</si>
  <si>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</si>
  <si>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</si>
  <si>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</si>
  <si>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</si>
  <si>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</si>
  <si>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</si>
  <si>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</si>
  <si>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</si>
  <si>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</si>
  <si>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</si>
  <si>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</si>
  <si>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</si>
  <si>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</si>
  <si>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</si>
  <si>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</si>
  <si>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</si>
  <si>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</si>
  <si>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</si>
  <si>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</si>
  <si>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</si>
  <si>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</si>
  <si>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</si>
  <si>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</si>
  <si>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</si>
  <si>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</si>
  <si>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</si>
  <si>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</si>
  <si>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</si>
  <si>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</si>
  <si>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</si>
  <si>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</si>
  <si>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</si>
  <si>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</si>
  <si>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</si>
  <si>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</si>
  <si>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</si>
  <si>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</si>
  <si>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</si>
  <si>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</si>
  <si>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</si>
  <si>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</si>
  <si>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</si>
  <si>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</si>
  <si>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</si>
  <si>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</si>
  <si>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</si>
  <si>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</si>
  <si>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</si>
  <si>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</si>
  <si>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</si>
  <si>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</si>
  <si>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</si>
  <si>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</si>
  <si>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</si>
  <si>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</si>
  <si>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</si>
  <si>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</si>
  <si>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</si>
  <si>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</si>
  <si>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</si>
  <si>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</si>
  <si>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</si>
  <si>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</si>
  <si>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</si>
  <si>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</si>
  <si>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</si>
  <si>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</si>
  <si>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</si>
  <si>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</si>
  <si>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</si>
  <si>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</si>
  <si>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</si>
  <si>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</si>
  <si>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</si>
  <si>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</si>
  <si>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</si>
  <si>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</si>
  <si>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</si>
  <si>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</si>
  <si>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</si>
  <si>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</si>
  <si>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</si>
  <si>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</si>
  <si>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</si>
  <si>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</si>
  <si>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</si>
  <si>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</si>
  <si>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</si>
  <si>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</si>
  <si>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</si>
  <si>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</si>
  <si>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</si>
  <si>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</si>
  <si>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</si>
  <si>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</si>
  <si>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</si>
  <si>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</si>
  <si>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</si>
  <si>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</si>
  <si>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</si>
  <si>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</si>
  <si>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</si>
  <si>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</si>
  <si>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</si>
  <si>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</si>
  <si>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</si>
  <si>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</si>
  <si>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</si>
  <si>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</si>
  <si>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</si>
  <si>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</si>
  <si>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</si>
  <si>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</si>
  <si>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</si>
  <si>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</si>
  <si>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</si>
  <si>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</si>
  <si>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</si>
  <si>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</si>
  <si>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</si>
  <si>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</si>
  <si>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</si>
  <si>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</si>
  <si>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</si>
  <si>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</si>
  <si>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</si>
  <si>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</si>
  <si>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</si>
  <si>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</si>
  <si>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</si>
  <si>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</si>
  <si>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</si>
  <si>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</si>
  <si>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</si>
  <si>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</si>
  <si>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</si>
  <si>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</si>
  <si>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</si>
  <si>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</si>
  <si>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</si>
  <si>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</si>
  <si>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</si>
  <si>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</si>
  <si>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</si>
  <si>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</si>
  <si>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</si>
  <si>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</si>
  <si>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</si>
  <si>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</si>
  <si>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</si>
  <si>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</si>
  <si>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</si>
  <si>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</si>
  <si>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</si>
  <si>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</si>
  <si>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</si>
  <si>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</si>
  <si>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</si>
  <si>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</si>
  <si>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</si>
  <si>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</si>
  <si>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</si>
  <si>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</si>
  <si>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</si>
  <si>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</si>
  <si>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</si>
  <si>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</si>
  <si>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</si>
  <si>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</si>
  <si>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</si>
  <si>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</si>
  <si>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</si>
  <si>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</si>
  <si>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</si>
  <si>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</si>
  <si>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</si>
  <si>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</si>
  <si>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</si>
  <si>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</si>
  <si>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</si>
  <si>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</si>
  <si>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</si>
  <si>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</si>
  <si>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</si>
  <si>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</si>
  <si>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</si>
  <si>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</si>
  <si>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</si>
  <si>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</si>
  <si>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</si>
  <si>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</si>
  <si>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</si>
  <si>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</si>
  <si>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</si>
  <si>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</si>
  <si>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</si>
  <si>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</si>
  <si>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</si>
  <si>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</si>
  <si>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</si>
  <si>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</si>
  <si>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</si>
  <si>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</si>
  <si>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</si>
  <si>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ALL_master+r130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</si>
</sst>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6">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0" fillId="0" borderId="0" xfId="0"/>
    <xf numFmtId="0" fontId="0" fillId="0" borderId="0" xfId="0"/>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ALL_master+r130</c:v>
                </c:pt>
              </c:strCache>
            </c:strRef>
          </c:tx>
          <c:spPr>
            <a:ln>
              <a:prstDash val="solid"/>
            </a:ln>
          </c:spPr>
          <c:marker>
            <c:symbol val="none"/>
          </c:marker>
          <c:xVal>
            <c:numRef>
              <c:f>Graphs!graph_a_x_range_A</c:f>
              <c:numCache>
                <c:formatCode>0.00</c:formatCode>
                <c:ptCount val="5"/>
                <c:pt idx="0">
                  <c:v>3.5270742356116581E-3</c:v>
                </c:pt>
                <c:pt idx="1">
                  <c:v>4.8762611733217491E-3</c:v>
                </c:pt>
                <c:pt idx="2">
                  <c:v>6.8207794087461106E-3</c:v>
                </c:pt>
                <c:pt idx="3">
                  <c:v>1.0085494010278745E-2</c:v>
                </c:pt>
                <c:pt idx="4">
                  <c:v>1.5548050022727408E-2</c:v>
                </c:pt>
              </c:numCache>
            </c:numRef>
          </c:xVal>
          <c:yVal>
            <c:numRef>
              <c:f>Graphs!graph_a_y_range_A</c:f>
              <c:numCache>
                <c:formatCode>0.00</c:formatCode>
                <c:ptCount val="5"/>
                <c:pt idx="0">
                  <c:v>66.319749999999999</c:v>
                </c:pt>
                <c:pt idx="1">
                  <c:v>67.857106250000001</c:v>
                </c:pt>
                <c:pt idx="2">
                  <c:v>69.135781249999994</c:v>
                </c:pt>
                <c:pt idx="3">
                  <c:v>69.983175000000003</c:v>
                </c:pt>
                <c:pt idx="4">
                  <c:v>72.049068750000004</c:v>
                </c:pt>
              </c:numCache>
            </c:numRef>
          </c:yVal>
          <c:smooth val="1"/>
          <c:extLst>
            <c:ext xmlns:c16="http://schemas.microsoft.com/office/drawing/2014/chart" uri="{C3380CC4-5D6E-409C-BE32-E72D297353CC}">
              <c16:uniqueId val="{00000000-621F-4830-A67C-2514D80169CB}"/>
            </c:ext>
          </c:extLst>
        </c:ser>
        <c:ser>
          <c:idx val="1"/>
          <c:order val="1"/>
          <c:tx>
            <c:strRef>
              <c:f>Graphs!graph_a_B_title</c:f>
              <c:strCache>
                <c:ptCount val="1"/>
                <c:pt idx="0">
                  <c:v>0</c:v>
                </c:pt>
              </c:strCache>
            </c:strRef>
          </c:tx>
          <c:spPr>
            <a:ln>
              <a:prstDash val="solid"/>
            </a:ln>
          </c:spPr>
          <c:marker>
            <c:symbol val="none"/>
          </c:marker>
          <c:xVal>
            <c:numRef>
              <c:f>Graphs!graph_a_x_range_B</c:f>
              <c:numCache>
                <c:formatCode>0.00</c:formatCode>
                <c:ptCount val="5"/>
                <c:pt idx="0">
                  <c:v>3.6027251825957759E-3</c:v>
                </c:pt>
                <c:pt idx="1">
                  <c:v>5.0243045673532801E-3</c:v>
                </c:pt>
                <c:pt idx="2">
                  <c:v>7.0846171252706494E-3</c:v>
                </c:pt>
                <c:pt idx="3">
                  <c:v>1.0539567656097716E-2</c:v>
                </c:pt>
                <c:pt idx="4">
                  <c:v>1.6203411623399323E-2</c:v>
                </c:pt>
              </c:numCache>
            </c:numRef>
          </c:xVal>
          <c:yVal>
            <c:numRef>
              <c:f>Graphs!graph_a_y_range_B</c:f>
              <c:numCache>
                <c:formatCode>0.00</c:formatCode>
                <c:ptCount val="5"/>
                <c:pt idx="0">
                  <c:v>66.341781249999997</c:v>
                </c:pt>
                <c:pt idx="1">
                  <c:v>67.954740624999999</c:v>
                </c:pt>
                <c:pt idx="2">
                  <c:v>69.221828125000002</c:v>
                </c:pt>
                <c:pt idx="3">
                  <c:v>70.089703125</c:v>
                </c:pt>
                <c:pt idx="4">
                  <c:v>71.998531249999999</c:v>
                </c:pt>
              </c:numCache>
            </c:numRef>
          </c:yVal>
          <c:smooth val="1"/>
          <c:extLst>
            <c:ext xmlns:c16="http://schemas.microsoft.com/office/drawing/2014/chart" uri="{C3380CC4-5D6E-409C-BE32-E72D297353CC}">
              <c16:uniqueId val="{00000001-621F-4830-A67C-2514D80169CB}"/>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ALL_master+r130</c:v>
                </c:pt>
              </c:strCache>
            </c:strRef>
          </c:tx>
          <c:spPr>
            <a:ln>
              <a:prstDash val="solid"/>
            </a:ln>
          </c:spPr>
          <c:marker>
            <c:symbol val="none"/>
          </c:marker>
          <c:xVal>
            <c:numRef>
              <c:f>Graphs!graph_b_x_range_A</c:f>
              <c:numCache>
                <c:formatCode>0.00</c:formatCode>
                <c:ptCount val="5"/>
                <c:pt idx="0">
                  <c:v>3.5270742356116581E-3</c:v>
                </c:pt>
                <c:pt idx="1">
                  <c:v>4.8762611733217491E-3</c:v>
                </c:pt>
                <c:pt idx="2">
                  <c:v>6.8207794087461106E-3</c:v>
                </c:pt>
                <c:pt idx="3">
                  <c:v>1.0085494010278745E-2</c:v>
                </c:pt>
                <c:pt idx="4">
                  <c:v>1.5548050022727408E-2</c:v>
                </c:pt>
              </c:numCache>
            </c:numRef>
          </c:xVal>
          <c:yVal>
            <c:numRef>
              <c:f>Graphs!graph_b_y_range_A</c:f>
              <c:numCache>
                <c:formatCode>0.00</c:formatCode>
                <c:ptCount val="5"/>
                <c:pt idx="0">
                  <c:v>67.862046875000004</c:v>
                </c:pt>
                <c:pt idx="1">
                  <c:v>69.591706250000001</c:v>
                </c:pt>
                <c:pt idx="2">
                  <c:v>71.143009375000005</c:v>
                </c:pt>
                <c:pt idx="3">
                  <c:v>72.145768750000002</c:v>
                </c:pt>
                <c:pt idx="4">
                  <c:v>75.365546875000007</c:v>
                </c:pt>
              </c:numCache>
            </c:numRef>
          </c:yVal>
          <c:smooth val="1"/>
          <c:extLst>
            <c:ext xmlns:c16="http://schemas.microsoft.com/office/drawing/2014/chart" uri="{C3380CC4-5D6E-409C-BE32-E72D297353CC}">
              <c16:uniqueId val="{00000000-A447-4C22-A339-0EBD44A5E631}"/>
            </c:ext>
          </c:extLst>
        </c:ser>
        <c:ser>
          <c:idx val="1"/>
          <c:order val="1"/>
          <c:tx>
            <c:strRef>
              <c:f>Graphs!graph_b_B_title</c:f>
              <c:strCache>
                <c:ptCount val="1"/>
                <c:pt idx="0">
                  <c:v>0</c:v>
                </c:pt>
              </c:strCache>
            </c:strRef>
          </c:tx>
          <c:spPr>
            <a:ln>
              <a:prstDash val="solid"/>
            </a:ln>
          </c:spPr>
          <c:marker>
            <c:symbol val="none"/>
          </c:marker>
          <c:xVal>
            <c:numRef>
              <c:f>Graphs!graph_b_x_range_B</c:f>
              <c:numCache>
                <c:formatCode>0.00</c:formatCode>
                <c:ptCount val="5"/>
                <c:pt idx="0">
                  <c:v>3.6027251825957759E-3</c:v>
                </c:pt>
                <c:pt idx="1">
                  <c:v>5.0243045673532801E-3</c:v>
                </c:pt>
                <c:pt idx="2">
                  <c:v>7.0846171252706494E-3</c:v>
                </c:pt>
                <c:pt idx="3">
                  <c:v>1.0539567656097716E-2</c:v>
                </c:pt>
                <c:pt idx="4">
                  <c:v>1.6203411623399323E-2</c:v>
                </c:pt>
              </c:numCache>
            </c:numRef>
          </c:xVal>
          <c:yVal>
            <c:numRef>
              <c:f>Graphs!graph_b_y_range_B</c:f>
              <c:numCache>
                <c:formatCode>0.00</c:formatCode>
                <c:ptCount val="5"/>
                <c:pt idx="0">
                  <c:v>67.932506250000003</c:v>
                </c:pt>
                <c:pt idx="1">
                  <c:v>69.712103124999999</c:v>
                </c:pt>
                <c:pt idx="2">
                  <c:v>71.25798125</c:v>
                </c:pt>
                <c:pt idx="3">
                  <c:v>72.285231249999995</c:v>
                </c:pt>
                <c:pt idx="4">
                  <c:v>75.330171875000005</c:v>
                </c:pt>
              </c:numCache>
            </c:numRef>
          </c:yVal>
          <c:smooth val="1"/>
          <c:extLst>
            <c:ext xmlns:c16="http://schemas.microsoft.com/office/drawing/2014/chart" uri="{C3380CC4-5D6E-409C-BE32-E72D297353CC}">
              <c16:uniqueId val="{00000001-A447-4C22-A339-0EBD44A5E631}"/>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ALL_master+r130</c:v>
                </c:pt>
              </c:strCache>
            </c:strRef>
          </c:tx>
          <c:spPr>
            <a:ln>
              <a:prstDash val="solid"/>
            </a:ln>
          </c:spPr>
          <c:marker>
            <c:symbol val="none"/>
          </c:marker>
          <c:xVal>
            <c:numRef>
              <c:f>Graphs!graph_c_x_range_A</c:f>
              <c:numCache>
                <c:formatCode>0.00</c:formatCode>
                <c:ptCount val="5"/>
                <c:pt idx="0">
                  <c:v>3.5556281010363914E-3</c:v>
                </c:pt>
                <c:pt idx="1">
                  <c:v>7.6057419656634642E-3</c:v>
                </c:pt>
                <c:pt idx="2">
                  <c:v>1.5359426547009902E-2</c:v>
                </c:pt>
                <c:pt idx="3">
                  <c:v>2.9399227805220026E-2</c:v>
                </c:pt>
                <c:pt idx="4">
                  <c:v>5.4620789949321548E-2</c:v>
                </c:pt>
              </c:numCache>
            </c:numRef>
          </c:xVal>
          <c:yVal>
            <c:numRef>
              <c:f>Graphs!graph_c_y_range_A</c:f>
              <c:numCache>
                <c:formatCode>0.00</c:formatCode>
                <c:ptCount val="5"/>
                <c:pt idx="0">
                  <c:v>32.082587500000002</c:v>
                </c:pt>
                <c:pt idx="1">
                  <c:v>34.3171125</c:v>
                </c:pt>
                <c:pt idx="2">
                  <c:v>36.857534375</c:v>
                </c:pt>
                <c:pt idx="3">
                  <c:v>39.507840625</c:v>
                </c:pt>
                <c:pt idx="4">
                  <c:v>42.193762499999998</c:v>
                </c:pt>
              </c:numCache>
            </c:numRef>
          </c:yVal>
          <c:smooth val="1"/>
          <c:extLst>
            <c:ext xmlns:c16="http://schemas.microsoft.com/office/drawing/2014/chart" uri="{C3380CC4-5D6E-409C-BE32-E72D297353CC}">
              <c16:uniqueId val="{00000000-1B1D-4DEF-99A4-DE5EB705E720}"/>
            </c:ext>
          </c:extLst>
        </c:ser>
        <c:ser>
          <c:idx val="1"/>
          <c:order val="1"/>
          <c:tx>
            <c:strRef>
              <c:f>Graphs!graph_c_B_title</c:f>
              <c:strCache>
                <c:ptCount val="1"/>
                <c:pt idx="0">
                  <c:v>0</c:v>
                </c:pt>
              </c:strCache>
            </c:strRef>
          </c:tx>
          <c:spPr>
            <a:ln>
              <a:prstDash val="solid"/>
            </a:ln>
          </c:spPr>
          <c:marker>
            <c:symbol val="none"/>
          </c:marker>
          <c:xVal>
            <c:numRef>
              <c:f>Graphs!graph_c_x_range_B</c:f>
              <c:numCache>
                <c:formatCode>0.00</c:formatCode>
                <c:ptCount val="5"/>
                <c:pt idx="0">
                  <c:v>3.5574421113104336E-3</c:v>
                </c:pt>
                <c:pt idx="1">
                  <c:v>7.5974445482988656E-3</c:v>
                </c:pt>
                <c:pt idx="2">
                  <c:v>1.5337859980418514E-2</c:v>
                </c:pt>
                <c:pt idx="3">
                  <c:v>2.9428856639696042E-2</c:v>
                </c:pt>
                <c:pt idx="4">
                  <c:v>5.4711960761983584E-2</c:v>
                </c:pt>
              </c:numCache>
            </c:numRef>
          </c:xVal>
          <c:yVal>
            <c:numRef>
              <c:f>Graphs!graph_c_y_range_B</c:f>
              <c:numCache>
                <c:formatCode>0.00</c:formatCode>
                <c:ptCount val="5"/>
                <c:pt idx="0">
                  <c:v>32.060324999999999</c:v>
                </c:pt>
                <c:pt idx="1">
                  <c:v>34.301553124999998</c:v>
                </c:pt>
                <c:pt idx="2">
                  <c:v>36.836287499999997</c:v>
                </c:pt>
                <c:pt idx="3">
                  <c:v>39.48955625</c:v>
                </c:pt>
                <c:pt idx="4">
                  <c:v>42.154118750000002</c:v>
                </c:pt>
              </c:numCache>
            </c:numRef>
          </c:yVal>
          <c:smooth val="1"/>
          <c:extLst>
            <c:ext xmlns:c16="http://schemas.microsoft.com/office/drawing/2014/chart" uri="{C3380CC4-5D6E-409C-BE32-E72D297353CC}">
              <c16:uniqueId val="{00000001-1B1D-4DEF-99A4-DE5EB705E720}"/>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ALL_master+r130</c:v>
                </c:pt>
              </c:strCache>
            </c:strRef>
          </c:tx>
          <c:spPr>
            <a:ln>
              <a:prstDash val="solid"/>
            </a:ln>
          </c:spPr>
          <c:marker>
            <c:symbol val="none"/>
          </c:marker>
          <c:xVal>
            <c:numRef>
              <c:f>Graphs!graph_d_x_range_A</c:f>
              <c:numCache>
                <c:formatCode>0.00</c:formatCode>
                <c:ptCount val="5"/>
                <c:pt idx="0">
                  <c:v>3.5556281010363914E-3</c:v>
                </c:pt>
                <c:pt idx="1">
                  <c:v>7.6057419656634642E-3</c:v>
                </c:pt>
                <c:pt idx="2">
                  <c:v>1.5359426547009902E-2</c:v>
                </c:pt>
                <c:pt idx="3">
                  <c:v>2.9399227805220026E-2</c:v>
                </c:pt>
                <c:pt idx="4">
                  <c:v>5.4620789949321548E-2</c:v>
                </c:pt>
              </c:numCache>
            </c:numRef>
          </c:xVal>
          <c:yVal>
            <c:numRef>
              <c:f>Graphs!graph_d_y_range_A</c:f>
              <c:numCache>
                <c:formatCode>0.00</c:formatCode>
                <c:ptCount val="5"/>
                <c:pt idx="0">
                  <c:v>44.119087499999999</c:v>
                </c:pt>
                <c:pt idx="1">
                  <c:v>45.440356250000001</c:v>
                </c:pt>
                <c:pt idx="2">
                  <c:v>46.547699999999999</c:v>
                </c:pt>
                <c:pt idx="3">
                  <c:v>47.880112500000003</c:v>
                </c:pt>
                <c:pt idx="4">
                  <c:v>49.417203125</c:v>
                </c:pt>
              </c:numCache>
            </c:numRef>
          </c:yVal>
          <c:smooth val="1"/>
          <c:extLst>
            <c:ext xmlns:c16="http://schemas.microsoft.com/office/drawing/2014/chart" uri="{C3380CC4-5D6E-409C-BE32-E72D297353CC}">
              <c16:uniqueId val="{00000000-1D01-495D-BD11-42472F7589AB}"/>
            </c:ext>
          </c:extLst>
        </c:ser>
        <c:ser>
          <c:idx val="1"/>
          <c:order val="1"/>
          <c:tx>
            <c:strRef>
              <c:f>Graphs!graph_d_B_title</c:f>
              <c:strCache>
                <c:ptCount val="1"/>
                <c:pt idx="0">
                  <c:v>0</c:v>
                </c:pt>
              </c:strCache>
            </c:strRef>
          </c:tx>
          <c:spPr>
            <a:ln>
              <a:prstDash val="solid"/>
            </a:ln>
          </c:spPr>
          <c:marker>
            <c:symbol val="none"/>
          </c:marker>
          <c:xVal>
            <c:numRef>
              <c:f>Graphs!graph_d_x_range_B</c:f>
              <c:numCache>
                <c:formatCode>0.00</c:formatCode>
                <c:ptCount val="5"/>
                <c:pt idx="0">
                  <c:v>3.5574421113104336E-3</c:v>
                </c:pt>
                <c:pt idx="1">
                  <c:v>7.5974445482988656E-3</c:v>
                </c:pt>
                <c:pt idx="2">
                  <c:v>1.5337859980418514E-2</c:v>
                </c:pt>
                <c:pt idx="3">
                  <c:v>2.9428856639696042E-2</c:v>
                </c:pt>
                <c:pt idx="4">
                  <c:v>5.4711960761983584E-2</c:v>
                </c:pt>
              </c:numCache>
            </c:numRef>
          </c:xVal>
          <c:yVal>
            <c:numRef>
              <c:f>Graphs!graph_d_y_range_B</c:f>
              <c:numCache>
                <c:formatCode>0.00</c:formatCode>
                <c:ptCount val="5"/>
                <c:pt idx="0">
                  <c:v>44.133768750000002</c:v>
                </c:pt>
                <c:pt idx="1">
                  <c:v>45.389765625000003</c:v>
                </c:pt>
                <c:pt idx="2">
                  <c:v>46.521493749999998</c:v>
                </c:pt>
                <c:pt idx="3">
                  <c:v>47.855071875</c:v>
                </c:pt>
                <c:pt idx="4">
                  <c:v>49.399615625000003</c:v>
                </c:pt>
              </c:numCache>
            </c:numRef>
          </c:yVal>
          <c:smooth val="1"/>
          <c:extLst>
            <c:ext xmlns:c16="http://schemas.microsoft.com/office/drawing/2014/chart" uri="{C3380CC4-5D6E-409C-BE32-E72D297353CC}">
              <c16:uniqueId val="{00000001-1D01-495D-BD11-42472F7589AB}"/>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ALL_master+r130</c:v>
                </c:pt>
              </c:strCache>
            </c:strRef>
          </c:tx>
          <c:spPr>
            <a:ln>
              <a:prstDash val="solid"/>
            </a:ln>
          </c:spPr>
          <c:marker>
            <c:symbol val="none"/>
          </c:marker>
          <c:xVal>
            <c:numRef>
              <c:f>Graphs!graph_e_x_range_A</c:f>
              <c:numCache>
                <c:formatCode>0.00</c:formatCode>
                <c:ptCount val="5"/>
                <c:pt idx="0">
                  <c:v>3.5556281010363914E-3</c:v>
                </c:pt>
                <c:pt idx="1">
                  <c:v>7.6057419656634642E-3</c:v>
                </c:pt>
                <c:pt idx="2">
                  <c:v>1.5359426547009902E-2</c:v>
                </c:pt>
                <c:pt idx="3">
                  <c:v>2.9399227805220026E-2</c:v>
                </c:pt>
                <c:pt idx="4">
                  <c:v>5.4620789949321548E-2</c:v>
                </c:pt>
              </c:numCache>
            </c:numRef>
          </c:xVal>
          <c:yVal>
            <c:numRef>
              <c:f>Graphs!graph_e_y_range_A</c:f>
              <c:numCache>
                <c:formatCode>0.00</c:formatCode>
                <c:ptCount val="5"/>
                <c:pt idx="0">
                  <c:v>43.797281249999997</c:v>
                </c:pt>
                <c:pt idx="1">
                  <c:v>45.145074999999999</c:v>
                </c:pt>
                <c:pt idx="2">
                  <c:v>46.388743750000003</c:v>
                </c:pt>
                <c:pt idx="3">
                  <c:v>47.908843750000003</c:v>
                </c:pt>
                <c:pt idx="4">
                  <c:v>49.562796874999997</c:v>
                </c:pt>
              </c:numCache>
            </c:numRef>
          </c:yVal>
          <c:smooth val="1"/>
          <c:extLst>
            <c:ext xmlns:c16="http://schemas.microsoft.com/office/drawing/2014/chart" uri="{C3380CC4-5D6E-409C-BE32-E72D297353CC}">
              <c16:uniqueId val="{00000000-1804-40D5-995B-A4F7B7386165}"/>
            </c:ext>
          </c:extLst>
        </c:ser>
        <c:ser>
          <c:idx val="1"/>
          <c:order val="1"/>
          <c:tx>
            <c:strRef>
              <c:f>Graphs!graph_e_B_title</c:f>
              <c:strCache>
                <c:ptCount val="1"/>
                <c:pt idx="0">
                  <c:v>0</c:v>
                </c:pt>
              </c:strCache>
            </c:strRef>
          </c:tx>
          <c:spPr>
            <a:ln>
              <a:prstDash val="solid"/>
            </a:ln>
          </c:spPr>
          <c:marker>
            <c:symbol val="none"/>
          </c:marker>
          <c:xVal>
            <c:numRef>
              <c:f>Graphs!graph_e_x_range_B</c:f>
              <c:numCache>
                <c:formatCode>0.00</c:formatCode>
                <c:ptCount val="5"/>
                <c:pt idx="0">
                  <c:v>3.5574421113104336E-3</c:v>
                </c:pt>
                <c:pt idx="1">
                  <c:v>7.5974445482988656E-3</c:v>
                </c:pt>
                <c:pt idx="2">
                  <c:v>1.5337859980418514E-2</c:v>
                </c:pt>
                <c:pt idx="3">
                  <c:v>2.9428856639696042E-2</c:v>
                </c:pt>
                <c:pt idx="4">
                  <c:v>5.4711960761983584E-2</c:v>
                </c:pt>
              </c:numCache>
            </c:numRef>
          </c:xVal>
          <c:yVal>
            <c:numRef>
              <c:f>Graphs!graph_e_y_range_B</c:f>
              <c:numCache>
                <c:formatCode>0.00</c:formatCode>
                <c:ptCount val="5"/>
                <c:pt idx="0">
                  <c:v>43.743662499999999</c:v>
                </c:pt>
                <c:pt idx="1">
                  <c:v>45.141737499999998</c:v>
                </c:pt>
                <c:pt idx="2">
                  <c:v>46.372993749999999</c:v>
                </c:pt>
                <c:pt idx="3">
                  <c:v>47.86285625</c:v>
                </c:pt>
                <c:pt idx="4">
                  <c:v>49.52850625</c:v>
                </c:pt>
              </c:numCache>
            </c:numRef>
          </c:yVal>
          <c:smooth val="1"/>
          <c:extLst>
            <c:ext xmlns:c16="http://schemas.microsoft.com/office/drawing/2014/chart" uri="{C3380CC4-5D6E-409C-BE32-E72D297353CC}">
              <c16:uniqueId val="{00000001-1804-40D5-995B-A4F7B7386165}"/>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ALL_master+r130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F925-4CBC-81C0-E792F0ED8A1A}"/>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F925-4CBC-81C0-E792F0ED8A1A}"/>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48"/>
  <sheetViews>
    <sheetView workbookViewId="0">
      <selection activeCell="C2" sqref="C2:E2"/>
    </sheetView>
  </sheetViews>
  <sheetFormatPr defaultRowHeight="14.4" x14ac:dyDescent="0.3"/>
  <cols>
    <col min="2" max="2" width="16.6640625" style="53" customWidth="1"/>
    <col min="3" max="12" width="24.6640625" style="53" customWidth="1"/>
  </cols>
  <sheetData>
    <row r="1" spans="2:12" x14ac:dyDescent="0.3">
      <c r="B1" t="s">
        <v>0</v>
      </c>
      <c r="C1" s="69" t="s">
        <v>574</v>
      </c>
      <c r="D1" s="61"/>
      <c r="E1" s="61"/>
    </row>
    <row r="2" spans="2:12" x14ac:dyDescent="0.3">
      <c r="B2" t="s">
        <v>1</v>
      </c>
      <c r="C2" s="70"/>
      <c r="D2" s="61"/>
      <c r="E2" s="61"/>
    </row>
    <row r="4" spans="2:12" s="1" customFormat="1" x14ac:dyDescent="0.3">
      <c r="B4" s="1" t="s">
        <v>2</v>
      </c>
    </row>
    <row r="6" spans="2:12" x14ac:dyDescent="0.3">
      <c r="B6" s="64" t="s">
        <v>3</v>
      </c>
      <c r="C6" s="65" t="s">
        <v>4</v>
      </c>
      <c r="D6" s="66"/>
      <c r="E6" s="66"/>
      <c r="F6" s="66"/>
      <c r="G6" s="66"/>
      <c r="H6" s="66"/>
      <c r="I6" s="66"/>
      <c r="J6" s="66"/>
      <c r="K6" s="66"/>
      <c r="L6" s="66"/>
    </row>
    <row r="7" spans="2:12" x14ac:dyDescent="0.3">
      <c r="B7" s="61"/>
      <c r="C7" s="67" t="s">
        <v>5</v>
      </c>
      <c r="D7" s="61"/>
      <c r="E7" s="68" t="s">
        <v>6</v>
      </c>
      <c r="F7" s="61"/>
      <c r="G7" s="61"/>
      <c r="H7" s="67" t="s">
        <v>7</v>
      </c>
      <c r="I7" s="61"/>
      <c r="J7" s="68" t="s">
        <v>8</v>
      </c>
      <c r="K7" s="61"/>
      <c r="L7" s="61"/>
    </row>
    <row r="8" spans="2:12" x14ac:dyDescent="0.3">
      <c r="B8" s="63"/>
      <c r="C8" s="2" t="s">
        <v>9</v>
      </c>
      <c r="D8" s="2" t="s">
        <v>10</v>
      </c>
      <c r="E8" s="3" t="s">
        <v>11</v>
      </c>
      <c r="F8" s="3" t="s">
        <v>12</v>
      </c>
      <c r="G8" s="3" t="s">
        <v>13</v>
      </c>
      <c r="H8" s="2" t="s">
        <v>9</v>
      </c>
      <c r="I8" s="2" t="s">
        <v>10</v>
      </c>
      <c r="J8" s="3" t="s">
        <v>11</v>
      </c>
      <c r="K8" s="3" t="s">
        <v>12</v>
      </c>
      <c r="L8" s="3" t="s">
        <v>13</v>
      </c>
    </row>
    <row r="9" spans="2:12" x14ac:dyDescent="0.3">
      <c r="B9" t="s">
        <v>14</v>
      </c>
      <c r="C9" s="52">
        <f>'C2 lossyG,lossyA,intra'!$BJ$40:$BJ$40</f>
        <v>2.0423156973521206E-2</v>
      </c>
      <c r="D9" s="52">
        <f>'C2 lossyG,lossyA,intra'!$BK$40:$BK$40</f>
        <v>2.0723148807317793E-2</v>
      </c>
      <c r="E9" s="52">
        <f>'C2 lossyG,lossyA,intra'!$BL$40:$BL$40</f>
        <v>2.2603210526253359E-2</v>
      </c>
      <c r="F9" s="52">
        <f>'C2 lossyG,lossyA,intra'!$BM$40:$BM$40</f>
        <v>4.0093653167949772E-2</v>
      </c>
      <c r="G9" s="52">
        <f>'C2 lossyG,lossyA,intra'!$BN$40:$BN$40</f>
        <v>4.9521518904267536E-2</v>
      </c>
      <c r="H9" s="52">
        <f>'C2 lossyG,lossyA,intra'!$BP$40:$BP$40</f>
        <v>-8.2830767883002032E-3</v>
      </c>
      <c r="I9" s="52">
        <f>'C2 lossyG,lossyA,intra'!$BQ$40:$BQ$40</f>
        <v>-5.6224954207889644E-3</v>
      </c>
      <c r="J9" s="52">
        <f>'C2 lossyG,lossyA,intra'!$BR$40:$BR$40</f>
        <v>2.8041808597020212E-2</v>
      </c>
      <c r="K9" s="52">
        <f>'C2 lossyG,lossyA,intra'!$BS$40:$BS$40</f>
        <v>3.9613992672149434E-2</v>
      </c>
      <c r="L9" s="52">
        <f>'C2 lossyG,lossyA,intra'!$BT$40:$BT$40</f>
        <v>4.6194659787230141E-2</v>
      </c>
    </row>
    <row r="10" spans="2:12" x14ac:dyDescent="0.3">
      <c r="B10" t="s">
        <v>15</v>
      </c>
      <c r="C10" s="52">
        <f>'C2 lossyG,lossyA,intra'!$BJ$41:$BJ$41</f>
        <v>7.5574393591145261E-2</v>
      </c>
      <c r="D10" s="52">
        <f>'C2 lossyG,lossyA,intra'!$BK$41:$BK$41</f>
        <v>7.7094254307419785E-2</v>
      </c>
      <c r="E10" s="52">
        <f>'C2 lossyG,lossyA,intra'!$BL$41:$BL$41</f>
        <v>6.85684392301944E-3</v>
      </c>
      <c r="F10" s="52">
        <f>'C2 lossyG,lossyA,intra'!$BM$41:$BM$41</f>
        <v>-1.4880451802289363E-3</v>
      </c>
      <c r="G10" s="52">
        <f>'C2 lossyG,lossyA,intra'!$BN$41:$BN$41</f>
        <v>-7.7755048241896496E-3</v>
      </c>
      <c r="H10" s="52">
        <f>'C2 lossyG,lossyA,intra'!$BP$41:$BP$41</f>
        <v>4.6827499805724537E-2</v>
      </c>
      <c r="I10" s="52">
        <f>'C2 lossyG,lossyA,intra'!$BQ$41:$BQ$41</f>
        <v>4.3780490926555782E-2</v>
      </c>
      <c r="J10" s="52">
        <f>'C2 lossyG,lossyA,intra'!$BR$41:$BR$41</f>
        <v>1.7659807802592908E-2</v>
      </c>
      <c r="K10" s="52">
        <f>'C2 lossyG,lossyA,intra'!$BS$41:$BS$41</f>
        <v>9.2555255748278942E-3</v>
      </c>
      <c r="L10" s="52">
        <f>'C2 lossyG,lossyA,intra'!$BT$41:$BT$41</f>
        <v>3.8110067152319349E-3</v>
      </c>
    </row>
    <row r="11" spans="2:12" x14ac:dyDescent="0.3">
      <c r="B11" t="s">
        <v>16</v>
      </c>
      <c r="C11" s="52">
        <f>'C2 lossyG,lossyA,intra'!$BJ$42:$BJ$42</f>
        <v>3.164273074174262E-2</v>
      </c>
      <c r="D11" s="52">
        <f>'C2 lossyG,lossyA,intra'!$BK$42:$BK$42</f>
        <v>3.0919460973282908E-2</v>
      </c>
      <c r="E11" s="52">
        <f>'C2 lossyG,lossyA,intra'!$BL$42:$BL$42</f>
        <v>3.4913149731559678E-3</v>
      </c>
      <c r="F11" s="52">
        <f>'C2 lossyG,lossyA,intra'!$BM$42:$BM$42</f>
        <v>1.0046532777583383E-2</v>
      </c>
      <c r="G11" s="52">
        <f>'C2 lossyG,lossyA,intra'!$BN$42:$BN$42</f>
        <v>1.2375227579826564E-2</v>
      </c>
      <c r="H11" s="52">
        <f>'C2 lossyG,lossyA,intra'!$BP$42:$BP$42</f>
        <v>1.3867376491252914E-2</v>
      </c>
      <c r="I11" s="52">
        <f>'C2 lossyG,lossyA,intra'!$BQ$42:$BQ$42</f>
        <v>1.1548392880041836E-2</v>
      </c>
      <c r="J11" s="52">
        <f>'C2 lossyG,lossyA,intra'!$BR$42:$BR$42</f>
        <v>1.5841542310662038E-2</v>
      </c>
      <c r="K11" s="52">
        <f>'C2 lossyG,lossyA,intra'!$BS$42:$BS$42</f>
        <v>2.0811660963180989E-2</v>
      </c>
      <c r="L11" s="52">
        <f>'C2 lossyG,lossyA,intra'!$BT$42:$BT$42</f>
        <v>2.1899563016248624E-2</v>
      </c>
    </row>
    <row r="12" spans="2:12" x14ac:dyDescent="0.3">
      <c r="B12" s="4" t="s">
        <v>17</v>
      </c>
      <c r="C12" s="5">
        <f>'C2 lossyG,lossyA,intra'!$BJ$43:$BJ$43</f>
        <v>3.1507497566959329E-2</v>
      </c>
      <c r="D12" s="5">
        <f>'C2 lossyG,lossyA,intra'!$BK$43:$BK$43</f>
        <v>3.1689395926179538E-2</v>
      </c>
      <c r="E12" s="5">
        <f>'C2 lossyG,lossyA,intra'!$BL$43:$BL$43</f>
        <v>1.4893187996334973E-2</v>
      </c>
      <c r="F12" s="5">
        <f>'C2 lossyG,lossyA,intra'!$BM$43:$BM$43</f>
        <v>2.5568519006676702E-2</v>
      </c>
      <c r="G12" s="5">
        <f>'C2 lossyG,lossyA,intra'!$BN$43:$BN$43</f>
        <v>3.0723003707504803E-2</v>
      </c>
      <c r="H12" s="5">
        <f>'C2 lossyG,lossyA,intra'!$BP$43:$BP$43</f>
        <v>5.9185636621470793E-3</v>
      </c>
      <c r="I12" s="5">
        <f>'C2 lossyG,lossyA,intra'!$BQ$43:$BQ$43</f>
        <v>6.3410421433547992E-3</v>
      </c>
      <c r="J12" s="5">
        <f>'C2 lossyG,lossyA,intra'!$BR$43:$BR$43</f>
        <v>2.3072875258856835E-2</v>
      </c>
      <c r="K12" s="5">
        <f>'C2 lossyG,lossyA,intra'!$BS$43:$BS$43</f>
        <v>2.9904974027112514E-2</v>
      </c>
      <c r="L12" s="5">
        <f>'C2 lossyG,lossyA,intra'!$BT$43:$BT$43</f>
        <v>3.3198395985235676E-2</v>
      </c>
    </row>
    <row r="13" spans="2:12" x14ac:dyDescent="0.3">
      <c r="B13" t="s">
        <v>18</v>
      </c>
      <c r="C13" s="60">
        <f>'C2 lossyG,lossyA,intra'!AZ47</f>
        <v>0.84049217618261352</v>
      </c>
      <c r="D13" s="61"/>
      <c r="E13" s="61"/>
      <c r="F13" s="61"/>
      <c r="G13" s="61"/>
      <c r="H13" s="61"/>
      <c r="I13" s="61"/>
      <c r="J13" s="61"/>
      <c r="K13" s="61"/>
      <c r="L13" s="61"/>
    </row>
    <row r="14" spans="2:12" x14ac:dyDescent="0.3">
      <c r="B14" s="6" t="s">
        <v>19</v>
      </c>
      <c r="C14" s="62">
        <f>'C2 lossyG,lossyA,intra'!BB47</f>
        <v>1.0050027368918004</v>
      </c>
      <c r="D14" s="63"/>
      <c r="E14" s="63"/>
      <c r="F14" s="63"/>
      <c r="G14" s="63"/>
      <c r="H14" s="63"/>
      <c r="I14" s="63"/>
      <c r="J14" s="63"/>
      <c r="K14" s="63"/>
      <c r="L14" s="63"/>
    </row>
    <row r="16" spans="2:12" x14ac:dyDescent="0.3">
      <c r="B16" s="64" t="s">
        <v>20</v>
      </c>
      <c r="C16" s="65" t="s">
        <v>21</v>
      </c>
      <c r="D16" s="66"/>
      <c r="E16" s="66"/>
    </row>
    <row r="17" spans="2:5" x14ac:dyDescent="0.3">
      <c r="B17" s="61"/>
      <c r="C17" s="67" t="s">
        <v>22</v>
      </c>
      <c r="D17" s="61"/>
      <c r="E17" s="61"/>
    </row>
    <row r="18" spans="2:5" x14ac:dyDescent="0.3">
      <c r="B18" s="63"/>
      <c r="C18" s="2" t="s">
        <v>23</v>
      </c>
      <c r="D18" s="2" t="s">
        <v>24</v>
      </c>
      <c r="E18" s="2" t="s">
        <v>25</v>
      </c>
    </row>
    <row r="19" spans="2:5" x14ac:dyDescent="0.3">
      <c r="B19" t="s">
        <v>14</v>
      </c>
      <c r="C19" s="52" t="e">
        <f>'CW losslG,losslA,intra'!BC12</f>
        <v>#DIV/0!</v>
      </c>
      <c r="D19" s="52" t="e">
        <f>'CW losslG,losslA,intra'!BE12</f>
        <v>#DIV/0!</v>
      </c>
      <c r="E19" s="52" t="e">
        <f>'CW losslG,losslA,intra'!BB12</f>
        <v>#DIV/0!</v>
      </c>
    </row>
    <row r="20" spans="2:5" x14ac:dyDescent="0.3">
      <c r="B20" t="s">
        <v>15</v>
      </c>
      <c r="C20" s="52" t="e">
        <f>'CW losslG,losslA,intra'!BC13</f>
        <v>#DIV/0!</v>
      </c>
      <c r="D20" s="52" t="e">
        <f>'CW losslG,losslA,intra'!BE13</f>
        <v>#DIV/0!</v>
      </c>
      <c r="E20" s="52" t="e">
        <f>'CW losslG,losslA,intra'!BB13</f>
        <v>#DIV/0!</v>
      </c>
    </row>
    <row r="21" spans="2:5" x14ac:dyDescent="0.3">
      <c r="B21" t="s">
        <v>16</v>
      </c>
      <c r="C21" s="52" t="e">
        <f>'CW losslG,losslA,intra'!BC14</f>
        <v>#DIV/0!</v>
      </c>
      <c r="D21" s="52" t="e">
        <f>'CW losslG,losslA,intra'!BE14</f>
        <v>#DIV/0!</v>
      </c>
      <c r="E21" s="52" t="e">
        <f>'CW losslG,losslA,intra'!BB14</f>
        <v>#DIV/0!</v>
      </c>
    </row>
    <row r="22" spans="2:5" x14ac:dyDescent="0.3">
      <c r="B22" s="4" t="s">
        <v>17</v>
      </c>
      <c r="C22" s="5" t="e">
        <f>'CW losslG,losslA,intra'!BC15</f>
        <v>#DIV/0!</v>
      </c>
      <c r="D22" s="5" t="e">
        <f>'CW losslG,losslA,intra'!BE15</f>
        <v>#DIV/0!</v>
      </c>
      <c r="E22" s="5" t="e">
        <f>'CW losslG,losslA,intra'!BB15</f>
        <v>#DIV/0!</v>
      </c>
    </row>
    <row r="23" spans="2:5" x14ac:dyDescent="0.3">
      <c r="B23" t="s">
        <v>18</v>
      </c>
      <c r="C23" s="60" t="e">
        <f>'CW losslG,losslA,intra'!AW19</f>
        <v>#NUM!</v>
      </c>
      <c r="D23" s="61"/>
      <c r="E23" s="61"/>
    </row>
    <row r="24" spans="2:5" x14ac:dyDescent="0.3">
      <c r="B24" s="6" t="s">
        <v>19</v>
      </c>
      <c r="C24" s="62" t="e">
        <f>'CW losslG,losslA,intra'!AY19</f>
        <v>#NUM!</v>
      </c>
      <c r="D24" s="63"/>
      <c r="E24" s="63"/>
    </row>
    <row r="26" spans="2:5" s="1" customFormat="1" x14ac:dyDescent="0.3">
      <c r="B26" s="1" t="s">
        <v>26</v>
      </c>
    </row>
    <row r="28" spans="2:5" x14ac:dyDescent="0.3">
      <c r="B28" s="64" t="s">
        <v>27</v>
      </c>
      <c r="C28" s="65" t="s">
        <v>28</v>
      </c>
      <c r="D28" s="66"/>
      <c r="E28" s="66"/>
    </row>
    <row r="29" spans="2:5" x14ac:dyDescent="0.3">
      <c r="B29" s="61"/>
      <c r="C29" s="67" t="s">
        <v>22</v>
      </c>
      <c r="D29" s="61"/>
      <c r="E29" s="61"/>
    </row>
    <row r="30" spans="2:5" x14ac:dyDescent="0.3">
      <c r="B30" s="63"/>
      <c r="C30" s="2" t="s">
        <v>23</v>
      </c>
      <c r="D30" s="2" t="s">
        <v>24</v>
      </c>
      <c r="E30" s="2" t="s">
        <v>25</v>
      </c>
    </row>
    <row r="31" spans="2:5" x14ac:dyDescent="0.3">
      <c r="B31" t="s">
        <v>14</v>
      </c>
      <c r="C31" s="52" t="e">
        <f>'CW losslG,losslA,interLD'!BC12</f>
        <v>#DIV/0!</v>
      </c>
      <c r="D31" s="52" t="e">
        <f>'CW losslG,losslA,interLD'!BE12</f>
        <v>#DIV/0!</v>
      </c>
      <c r="E31" s="52" t="e">
        <f>'CW losslG,losslA,interLD'!BB12</f>
        <v>#DIV/0!</v>
      </c>
    </row>
    <row r="32" spans="2:5" x14ac:dyDescent="0.3">
      <c r="B32" t="s">
        <v>15</v>
      </c>
      <c r="C32" s="52" t="e">
        <f>'CW losslG,losslA,interLD'!BC13</f>
        <v>#DIV/0!</v>
      </c>
      <c r="D32" s="52" t="e">
        <f>'CW losslG,losslA,interLD'!BE13</f>
        <v>#DIV/0!</v>
      </c>
      <c r="E32" s="52" t="e">
        <f>'CW losslG,losslA,interLD'!BB13</f>
        <v>#DIV/0!</v>
      </c>
    </row>
    <row r="33" spans="2:12" x14ac:dyDescent="0.3">
      <c r="B33" t="s">
        <v>16</v>
      </c>
      <c r="C33" s="52" t="e">
        <f>'CW losslG,losslA,interLD'!BC14</f>
        <v>#DIV/0!</v>
      </c>
      <c r="D33" s="52" t="e">
        <f>'CW losslG,losslA,interLD'!BE14</f>
        <v>#DIV/0!</v>
      </c>
      <c r="E33" s="52" t="e">
        <f>'CW losslG,losslA,interLD'!BB14</f>
        <v>#DIV/0!</v>
      </c>
    </row>
    <row r="34" spans="2:12" x14ac:dyDescent="0.3">
      <c r="B34" s="4" t="s">
        <v>17</v>
      </c>
      <c r="C34" s="5" t="e">
        <f>'CW losslG,losslA,interLD'!BC15</f>
        <v>#DIV/0!</v>
      </c>
      <c r="D34" s="5" t="e">
        <f>'CW losslG,losslA,interLD'!BE15</f>
        <v>#DIV/0!</v>
      </c>
      <c r="E34" s="5" t="e">
        <f>'CW losslG,losslA,interLD'!BB15</f>
        <v>#DIV/0!</v>
      </c>
    </row>
    <row r="35" spans="2:12" x14ac:dyDescent="0.3">
      <c r="B35" t="s">
        <v>18</v>
      </c>
      <c r="C35" s="60" t="e">
        <f>'CW losslG,losslA,interLD'!AW19</f>
        <v>#NUM!</v>
      </c>
      <c r="D35" s="61"/>
      <c r="E35" s="61"/>
    </row>
    <row r="36" spans="2:12" x14ac:dyDescent="0.3">
      <c r="B36" s="6" t="s">
        <v>19</v>
      </c>
      <c r="C36" s="62" t="e">
        <f>'CW losslG,losslA,interLD'!AY19</f>
        <v>#NUM!</v>
      </c>
      <c r="D36" s="63"/>
      <c r="E36" s="63"/>
    </row>
    <row r="38" spans="2:12" s="1" customFormat="1" x14ac:dyDescent="0.3">
      <c r="B38" s="1" t="s">
        <v>29</v>
      </c>
    </row>
    <row r="40" spans="2:12" x14ac:dyDescent="0.3">
      <c r="B40" s="64" t="s">
        <v>30</v>
      </c>
      <c r="C40" s="65" t="s">
        <v>31</v>
      </c>
      <c r="D40" s="66"/>
      <c r="E40" s="66"/>
      <c r="F40" s="66"/>
      <c r="G40" s="66"/>
      <c r="H40" s="66"/>
      <c r="I40" s="66"/>
      <c r="J40" s="66"/>
      <c r="K40" s="66"/>
      <c r="L40" s="66"/>
    </row>
    <row r="41" spans="2:12" x14ac:dyDescent="0.3">
      <c r="B41" s="61"/>
      <c r="C41" s="67" t="s">
        <v>5</v>
      </c>
      <c r="D41" s="61"/>
      <c r="E41" s="68" t="s">
        <v>6</v>
      </c>
      <c r="F41" s="61"/>
      <c r="G41" s="61"/>
      <c r="H41" s="67" t="s">
        <v>7</v>
      </c>
      <c r="I41" s="61"/>
      <c r="J41" s="68" t="s">
        <v>8</v>
      </c>
      <c r="K41" s="61"/>
      <c r="L41" s="61"/>
    </row>
    <row r="42" spans="2:12" x14ac:dyDescent="0.3">
      <c r="B42" s="63"/>
      <c r="C42" s="2" t="s">
        <v>9</v>
      </c>
      <c r="D42" s="2" t="s">
        <v>10</v>
      </c>
      <c r="E42" s="3" t="s">
        <v>11</v>
      </c>
      <c r="F42" s="3" t="s">
        <v>12</v>
      </c>
      <c r="G42" s="3" t="s">
        <v>13</v>
      </c>
      <c r="H42" s="2" t="s">
        <v>9</v>
      </c>
      <c r="I42" s="2" t="s">
        <v>10</v>
      </c>
      <c r="J42" s="3" t="s">
        <v>11</v>
      </c>
      <c r="K42" s="3" t="s">
        <v>12</v>
      </c>
      <c r="L42" s="3" t="s">
        <v>13</v>
      </c>
    </row>
    <row r="43" spans="2:12" x14ac:dyDescent="0.3">
      <c r="B43" t="s">
        <v>14</v>
      </c>
      <c r="C43" s="52">
        <f>'C2 lossyG,lossyA,interRA'!$BJ$40:$BJ$40</f>
        <v>6.3874741436930949E-2</v>
      </c>
      <c r="D43" s="52">
        <f>'C2 lossyG,lossyA,interRA'!$BK$40:$BK$40</f>
        <v>6.4986402589519598E-2</v>
      </c>
      <c r="E43" s="52">
        <f>'C2 lossyG,lossyA,interRA'!$BL$40:$BL$40</f>
        <v>8.2494852294247023E-2</v>
      </c>
      <c r="F43" s="52">
        <f>'C2 lossyG,lossyA,interRA'!$BM$40:$BM$40</f>
        <v>0.12034413490022985</v>
      </c>
      <c r="G43" s="52">
        <f>'C2 lossyG,lossyA,interRA'!$BN$40:$BN$40</f>
        <v>0.12972362002977311</v>
      </c>
      <c r="H43" s="52">
        <f>'C2 lossyG,lossyA,interRA'!$BP$40:$BP$40</f>
        <v>4.047045792322726E-2</v>
      </c>
      <c r="I43" s="52">
        <f>'C2 lossyG,lossyA,interRA'!$BQ$40:$BQ$40</f>
        <v>4.1294265919515322E-2</v>
      </c>
      <c r="J43" s="52">
        <f>'C2 lossyG,lossyA,interRA'!$BR$40:$BR$40</f>
        <v>9.3455506156577217E-2</v>
      </c>
      <c r="K43" s="52">
        <f>'C2 lossyG,lossyA,interRA'!$BS$40:$BS$40</f>
        <v>0.11164550352334729</v>
      </c>
      <c r="L43" s="52">
        <f>'C2 lossyG,lossyA,interRA'!$BT$40:$BT$40</f>
        <v>0.11929070926796398</v>
      </c>
    </row>
    <row r="44" spans="2:12" x14ac:dyDescent="0.3">
      <c r="B44" t="s">
        <v>15</v>
      </c>
      <c r="C44" s="52">
        <f>'C2 lossyG,lossyA,interRA'!$BJ$41:$BJ$41</f>
        <v>8.1215545650700882E-2</v>
      </c>
      <c r="D44" s="52">
        <f>'C2 lossyG,lossyA,interRA'!$BK$41:$BK$41</f>
        <v>8.1965505488226231E-2</v>
      </c>
      <c r="E44" s="52">
        <f>'C2 lossyG,lossyA,interRA'!$BL$41:$BL$41</f>
        <v>2.6008437415253827E-2</v>
      </c>
      <c r="F44" s="52">
        <f>'C2 lossyG,lossyA,interRA'!$BM$41:$BM$41</f>
        <v>3.1305207162936277E-2</v>
      </c>
      <c r="G44" s="52">
        <f>'C2 lossyG,lossyA,interRA'!$BN$41:$BN$41</f>
        <v>1.9760741005879323E-2</v>
      </c>
      <c r="H44" s="52">
        <f>'C2 lossyG,lossyA,interRA'!$BP$41:$BP$41</f>
        <v>7.7062752436675819E-2</v>
      </c>
      <c r="I44" s="52">
        <f>'C2 lossyG,lossyA,interRA'!$BQ$41:$BQ$41</f>
        <v>7.3933138866467463E-2</v>
      </c>
      <c r="J44" s="52">
        <f>'C2 lossyG,lossyA,interRA'!$BR$41:$BR$41</f>
        <v>3.8836664945602672E-2</v>
      </c>
      <c r="K44" s="52">
        <f>'C2 lossyG,lossyA,interRA'!$BS$41:$BS$41</f>
        <v>4.2021361184222394E-2</v>
      </c>
      <c r="L44" s="52">
        <f>'C2 lossyG,lossyA,interRA'!$BT$41:$BT$41</f>
        <v>3.3582108567782099E-2</v>
      </c>
    </row>
    <row r="45" spans="2:12" x14ac:dyDescent="0.3">
      <c r="B45" t="s">
        <v>16</v>
      </c>
      <c r="C45" s="52">
        <f>'C2 lossyG,lossyA,interRA'!$BJ$42:$BJ$42</f>
        <v>3.6425428602465892E-2</v>
      </c>
      <c r="D45" s="52">
        <f>'C2 lossyG,lossyA,interRA'!$BK$42:$BK$42</f>
        <v>3.621941315042454E-2</v>
      </c>
      <c r="E45" s="52">
        <f>'C2 lossyG,lossyA,interRA'!$BL$42:$BL$42</f>
        <v>2.2447443067895867E-2</v>
      </c>
      <c r="F45" s="52">
        <f>'C2 lossyG,lossyA,interRA'!$BM$42:$BM$42</f>
        <v>1.4202592590040641E-2</v>
      </c>
      <c r="G45" s="52">
        <f>'C2 lossyG,lossyA,interRA'!$BN$42:$BN$42</f>
        <v>3.390098924863405E-2</v>
      </c>
      <c r="H45" s="52">
        <f>'C2 lossyG,lossyA,interRA'!$BP$42:$BP$42</f>
        <v>2.9493269232369834E-2</v>
      </c>
      <c r="I45" s="52">
        <f>'C2 lossyG,lossyA,interRA'!$BQ$42:$BQ$42</f>
        <v>2.8103850443628398E-2</v>
      </c>
      <c r="J45" s="52">
        <f>'C2 lossyG,lossyA,interRA'!$BR$42:$BR$42</f>
        <v>3.059501769333306E-2</v>
      </c>
      <c r="K45" s="52">
        <f>'C2 lossyG,lossyA,interRA'!$BS$42:$BS$42</f>
        <v>2.5595902942115001E-2</v>
      </c>
      <c r="L45" s="52">
        <f>'C2 lossyG,lossyA,interRA'!$BT$42:$BT$42</f>
        <v>3.7993344654734473E-2</v>
      </c>
    </row>
    <row r="46" spans="2:12" x14ac:dyDescent="0.3">
      <c r="B46" s="4" t="s">
        <v>17</v>
      </c>
      <c r="C46" s="5">
        <f>'C2 lossyG,lossyA,interRA'!$BJ$43:$BJ$43</f>
        <v>5.8509338371908068E-2</v>
      </c>
      <c r="D46" s="5">
        <f>'C2 lossyG,lossyA,interRA'!$BK$43:$BK$43</f>
        <v>5.9192848878164818E-2</v>
      </c>
      <c r="E46" s="5">
        <f>'C2 lossyG,lossyA,interRA'!$BL$43:$BL$43</f>
        <v>5.7268961818290519E-2</v>
      </c>
      <c r="F46" s="5">
        <f>'C2 lossyG,lossyA,interRA'!$BM$43:$BM$43</f>
        <v>7.7298133134848138E-2</v>
      </c>
      <c r="G46" s="5">
        <f>'C2 lossyG,lossyA,interRA'!$BN$43:$BN$43</f>
        <v>8.6636742803177125E-2</v>
      </c>
      <c r="H46" s="5">
        <f>'C2 lossyG,lossyA,interRA'!$BP$43:$BP$43</f>
        <v>4.2561588942046362E-2</v>
      </c>
      <c r="I46" s="5">
        <f>'C2 lossyG,lossyA,interRA'!$BQ$43:$BQ$43</f>
        <v>4.2188271918826507E-2</v>
      </c>
      <c r="J46" s="5">
        <f>'C2 lossyG,lossyA,interRA'!$BR$43:$BR$43</f>
        <v>6.7692674994082519E-2</v>
      </c>
      <c r="K46" s="5">
        <f>'C2 lossyG,lossyA,interRA'!$BS$43:$BS$43</f>
        <v>7.7113597308834506E-2</v>
      </c>
      <c r="L46" s="5">
        <f>'C2 lossyG,lossyA,interRA'!$BT$43:$BT$43</f>
        <v>8.3818804992729562E-2</v>
      </c>
    </row>
    <row r="47" spans="2:12" x14ac:dyDescent="0.3">
      <c r="B47" t="s">
        <v>18</v>
      </c>
      <c r="C47" s="60">
        <f>'C2 lossyG,lossyA,interRA'!AZ47</f>
        <v>0.93174362379803521</v>
      </c>
      <c r="D47" s="61"/>
      <c r="E47" s="61"/>
      <c r="F47" s="61"/>
      <c r="G47" s="61"/>
      <c r="H47" s="61"/>
      <c r="I47" s="61"/>
      <c r="J47" s="61"/>
      <c r="K47" s="61"/>
      <c r="L47" s="61"/>
    </row>
    <row r="48" spans="2:12" x14ac:dyDescent="0.3">
      <c r="B48" s="6" t="s">
        <v>19</v>
      </c>
      <c r="C48" s="62">
        <f>'C2 lossyG,lossyA,interRA'!BB47</f>
        <v>0.99331643690741434</v>
      </c>
      <c r="D48" s="63"/>
      <c r="E48" s="63"/>
      <c r="F48" s="63"/>
      <c r="G48" s="63"/>
      <c r="H48" s="63"/>
      <c r="I48" s="63"/>
      <c r="J48" s="63"/>
      <c r="K48" s="63"/>
      <c r="L48" s="63"/>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39"/>
  <sheetViews>
    <sheetView workbookViewId="0"/>
  </sheetViews>
  <sheetFormatPr defaultRowHeight="14.4" x14ac:dyDescent="0.3"/>
  <cols>
    <col min="1" max="1" width="12.6640625" style="53" customWidth="1"/>
    <col min="2" max="2" width="24.6640625" style="53" customWidth="1"/>
    <col min="4" max="4" width="24.6640625" style="53" customWidth="1"/>
    <col min="9" max="9" width="16.6640625" style="53" customWidth="1"/>
  </cols>
  <sheetData>
    <row r="1" spans="1:16" x14ac:dyDescent="0.3">
      <c r="A1" t="s">
        <v>32</v>
      </c>
      <c r="B1" s="7" t="str">
        <f>M1</f>
        <v>C2 lossyG,lossyA,intra</v>
      </c>
      <c r="C1" t="s">
        <v>33</v>
      </c>
      <c r="I1" t="s">
        <v>34</v>
      </c>
      <c r="M1" t="s">
        <v>35</v>
      </c>
      <c r="N1" t="s">
        <v>36</v>
      </c>
      <c r="O1" t="s">
        <v>37</v>
      </c>
      <c r="P1" t="s">
        <v>38</v>
      </c>
    </row>
    <row r="2" spans="1:16" x14ac:dyDescent="0.3">
      <c r="A2" t="s">
        <v>39</v>
      </c>
      <c r="B2" s="7" t="str">
        <f>HLOOKUP(B1,M1:ZZ3,3,0)</f>
        <v>8ivfbv2_loot_vox10</v>
      </c>
      <c r="C2" t="s">
        <v>40</v>
      </c>
      <c r="I2" t="s">
        <v>41</v>
      </c>
      <c r="J2" t="s">
        <v>42</v>
      </c>
      <c r="M2" t="s">
        <v>43</v>
      </c>
      <c r="N2" t="s">
        <v>44</v>
      </c>
      <c r="O2" t="s">
        <v>45</v>
      </c>
      <c r="P2" t="s">
        <v>46</v>
      </c>
    </row>
    <row r="3" spans="1:16" x14ac:dyDescent="0.3">
      <c r="I3" t="s">
        <v>47</v>
      </c>
      <c r="J3" t="s">
        <v>48</v>
      </c>
      <c r="M3" t="s">
        <v>49</v>
      </c>
      <c r="N3" t="s">
        <v>49</v>
      </c>
      <c r="O3" t="s">
        <v>49</v>
      </c>
      <c r="P3" t="s">
        <v>49</v>
      </c>
    </row>
    <row r="4" spans="1:16" x14ac:dyDescent="0.3">
      <c r="A4" t="s">
        <v>50</v>
      </c>
      <c r="B4" s="7" t="s">
        <v>51</v>
      </c>
      <c r="C4" t="s">
        <v>52</v>
      </c>
      <c r="D4" s="7" t="s">
        <v>53</v>
      </c>
      <c r="E4" t="s">
        <v>54</v>
      </c>
      <c r="I4" t="s">
        <v>55</v>
      </c>
      <c r="J4" t="s">
        <v>56</v>
      </c>
      <c r="M4" t="s">
        <v>57</v>
      </c>
      <c r="N4" t="s">
        <v>57</v>
      </c>
      <c r="O4" t="s">
        <v>57</v>
      </c>
      <c r="P4" t="s">
        <v>57</v>
      </c>
    </row>
    <row r="5" spans="1:16" x14ac:dyDescent="0.3">
      <c r="A5" t="s">
        <v>50</v>
      </c>
      <c r="B5" s="7" t="s">
        <v>51</v>
      </c>
      <c r="C5" t="s">
        <v>52</v>
      </c>
      <c r="D5" s="7" t="s">
        <v>58</v>
      </c>
      <c r="E5" t="s">
        <v>59</v>
      </c>
      <c r="I5" t="s">
        <v>60</v>
      </c>
      <c r="J5" t="s">
        <v>61</v>
      </c>
      <c r="M5" t="s">
        <v>62</v>
      </c>
      <c r="N5" t="s">
        <v>62</v>
      </c>
      <c r="O5" t="s">
        <v>62</v>
      </c>
      <c r="P5" t="s">
        <v>62</v>
      </c>
    </row>
    <row r="6" spans="1:16" x14ac:dyDescent="0.3">
      <c r="A6" t="s">
        <v>50</v>
      </c>
      <c r="B6" s="7" t="s">
        <v>63</v>
      </c>
      <c r="C6" t="s">
        <v>52</v>
      </c>
      <c r="D6" s="7" t="s">
        <v>64</v>
      </c>
      <c r="E6" t="s">
        <v>65</v>
      </c>
      <c r="I6" t="s">
        <v>66</v>
      </c>
      <c r="J6" t="s">
        <v>67</v>
      </c>
      <c r="M6" t="s">
        <v>68</v>
      </c>
      <c r="N6" t="s">
        <v>68</v>
      </c>
      <c r="O6" t="s">
        <v>68</v>
      </c>
      <c r="P6" t="s">
        <v>68</v>
      </c>
    </row>
    <row r="7" spans="1:16" x14ac:dyDescent="0.3">
      <c r="A7" t="s">
        <v>50</v>
      </c>
      <c r="B7" s="7" t="s">
        <v>63</v>
      </c>
      <c r="C7" t="s">
        <v>52</v>
      </c>
      <c r="D7" s="7" t="s">
        <v>47</v>
      </c>
      <c r="E7" t="s">
        <v>69</v>
      </c>
      <c r="I7" t="s">
        <v>53</v>
      </c>
      <c r="J7" t="s">
        <v>70</v>
      </c>
      <c r="M7" t="s">
        <v>71</v>
      </c>
      <c r="N7" t="s">
        <v>71</v>
      </c>
      <c r="O7" t="s">
        <v>71</v>
      </c>
      <c r="P7" t="s">
        <v>71</v>
      </c>
    </row>
    <row r="8" spans="1:16" x14ac:dyDescent="0.3">
      <c r="A8" t="s">
        <v>50</v>
      </c>
      <c r="B8" s="7" t="s">
        <v>63</v>
      </c>
      <c r="C8" t="s">
        <v>52</v>
      </c>
      <c r="D8" s="7" t="s">
        <v>60</v>
      </c>
      <c r="E8" t="s">
        <v>72</v>
      </c>
      <c r="I8" t="s">
        <v>73</v>
      </c>
      <c r="J8" t="s">
        <v>74</v>
      </c>
      <c r="M8" t="s">
        <v>75</v>
      </c>
      <c r="N8" t="s">
        <v>75</v>
      </c>
      <c r="O8" t="s">
        <v>75</v>
      </c>
      <c r="P8" t="s">
        <v>75</v>
      </c>
    </row>
    <row r="9" spans="1:16" x14ac:dyDescent="0.3">
      <c r="A9" t="s">
        <v>50</v>
      </c>
      <c r="B9" s="7" t="s">
        <v>76</v>
      </c>
      <c r="C9" t="s">
        <v>52</v>
      </c>
      <c r="D9" s="7" t="s">
        <v>77</v>
      </c>
      <c r="E9" t="s">
        <v>78</v>
      </c>
      <c r="I9" t="s">
        <v>58</v>
      </c>
      <c r="J9" t="s">
        <v>79</v>
      </c>
      <c r="M9" t="s">
        <v>80</v>
      </c>
      <c r="N9" t="s">
        <v>80</v>
      </c>
      <c r="O9" t="s">
        <v>80</v>
      </c>
      <c r="P9" t="s">
        <v>80</v>
      </c>
    </row>
    <row r="10" spans="1:16" x14ac:dyDescent="0.3">
      <c r="I10" t="s">
        <v>81</v>
      </c>
      <c r="J10" t="s">
        <v>82</v>
      </c>
    </row>
    <row r="11" spans="1:16" x14ac:dyDescent="0.3">
      <c r="I11" t="s">
        <v>83</v>
      </c>
      <c r="J11" t="s">
        <v>84</v>
      </c>
    </row>
    <row r="12" spans="1:16" x14ac:dyDescent="0.3">
      <c r="I12" t="s">
        <v>85</v>
      </c>
      <c r="J12" t="s">
        <v>86</v>
      </c>
    </row>
    <row r="13" spans="1:16" x14ac:dyDescent="0.3">
      <c r="I13" t="s">
        <v>87</v>
      </c>
      <c r="J13" t="s">
        <v>88</v>
      </c>
    </row>
    <row r="14" spans="1:16" x14ac:dyDescent="0.3">
      <c r="I14" t="s">
        <v>89</v>
      </c>
      <c r="J14" t="s">
        <v>90</v>
      </c>
    </row>
    <row r="15" spans="1:16" x14ac:dyDescent="0.3">
      <c r="I15" t="s">
        <v>91</v>
      </c>
      <c r="J15" t="s">
        <v>92</v>
      </c>
    </row>
    <row r="16" spans="1:16" x14ac:dyDescent="0.3">
      <c r="I16" t="s">
        <v>93</v>
      </c>
      <c r="J16" t="s">
        <v>94</v>
      </c>
    </row>
    <row r="17" spans="9:10" x14ac:dyDescent="0.3">
      <c r="I17" t="s">
        <v>77</v>
      </c>
      <c r="J17" t="s">
        <v>95</v>
      </c>
    </row>
    <row r="18" spans="9:10" x14ac:dyDescent="0.3">
      <c r="I18" t="s">
        <v>96</v>
      </c>
      <c r="J18" t="s">
        <v>97</v>
      </c>
    </row>
    <row r="19" spans="9:10" x14ac:dyDescent="0.3">
      <c r="I19" t="s">
        <v>98</v>
      </c>
      <c r="J19" t="s">
        <v>99</v>
      </c>
    </row>
    <row r="20" spans="9:10" x14ac:dyDescent="0.3">
      <c r="I20" t="s">
        <v>100</v>
      </c>
      <c r="J20" t="s">
        <v>101</v>
      </c>
    </row>
    <row r="21" spans="9:10" x14ac:dyDescent="0.3">
      <c r="I21" t="s">
        <v>102</v>
      </c>
      <c r="J21" t="s">
        <v>103</v>
      </c>
    </row>
    <row r="22" spans="9:10" x14ac:dyDescent="0.3">
      <c r="I22" t="s">
        <v>64</v>
      </c>
      <c r="J22" t="s">
        <v>104</v>
      </c>
    </row>
    <row r="23" spans="9:10" x14ac:dyDescent="0.3">
      <c r="I23" t="s">
        <v>105</v>
      </c>
      <c r="J23" t="s">
        <v>106</v>
      </c>
    </row>
    <row r="24" spans="9:10" x14ac:dyDescent="0.3">
      <c r="I24" t="s">
        <v>107</v>
      </c>
      <c r="J24" t="s">
        <v>108</v>
      </c>
    </row>
    <row r="25" spans="9:10" x14ac:dyDescent="0.3">
      <c r="I25" t="s">
        <v>109</v>
      </c>
      <c r="J25" t="s">
        <v>110</v>
      </c>
    </row>
    <row r="26" spans="9:10" x14ac:dyDescent="0.3">
      <c r="I26" t="s">
        <v>111</v>
      </c>
      <c r="J26" t="s">
        <v>112</v>
      </c>
    </row>
    <row r="27" spans="9:10" x14ac:dyDescent="0.3">
      <c r="I27" t="s">
        <v>113</v>
      </c>
      <c r="J27" t="s">
        <v>114</v>
      </c>
    </row>
    <row r="28" spans="9:10" x14ac:dyDescent="0.3">
      <c r="I28" t="s">
        <v>115</v>
      </c>
      <c r="J28" t="s">
        <v>116</v>
      </c>
    </row>
    <row r="29" spans="9:10" x14ac:dyDescent="0.3">
      <c r="I29" t="s">
        <v>117</v>
      </c>
      <c r="J29" t="s">
        <v>118</v>
      </c>
    </row>
    <row r="30" spans="9:10" x14ac:dyDescent="0.3">
      <c r="I30" t="s">
        <v>119</v>
      </c>
      <c r="J30" t="s">
        <v>120</v>
      </c>
    </row>
    <row r="31" spans="9:10" x14ac:dyDescent="0.3">
      <c r="I31" t="s">
        <v>121</v>
      </c>
      <c r="J31" t="s">
        <v>122</v>
      </c>
    </row>
    <row r="32" spans="9:10" x14ac:dyDescent="0.3">
      <c r="I32" t="s">
        <v>123</v>
      </c>
      <c r="J32" t="s">
        <v>124</v>
      </c>
    </row>
    <row r="33" spans="9:10" x14ac:dyDescent="0.3">
      <c r="I33" t="s">
        <v>125</v>
      </c>
      <c r="J33" t="s">
        <v>126</v>
      </c>
    </row>
    <row r="34" spans="9:10" x14ac:dyDescent="0.3">
      <c r="I34" t="s">
        <v>127</v>
      </c>
      <c r="J34" t="s">
        <v>128</v>
      </c>
    </row>
    <row r="35" spans="9:10" x14ac:dyDescent="0.3">
      <c r="I35" t="s">
        <v>63</v>
      </c>
      <c r="J35" t="s">
        <v>129</v>
      </c>
    </row>
    <row r="36" spans="9:10" x14ac:dyDescent="0.3">
      <c r="I36" t="s">
        <v>51</v>
      </c>
      <c r="J36" t="s">
        <v>130</v>
      </c>
    </row>
    <row r="37" spans="9:10" x14ac:dyDescent="0.3">
      <c r="I37" t="s">
        <v>131</v>
      </c>
      <c r="J37" t="s">
        <v>132</v>
      </c>
    </row>
    <row r="38" spans="9:10" x14ac:dyDescent="0.3">
      <c r="I38" t="s">
        <v>76</v>
      </c>
      <c r="J38" t="s">
        <v>133</v>
      </c>
    </row>
    <row r="39" spans="9:10" x14ac:dyDescent="0.3">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formula1>OFFSET(1:1,0,COLUMN(M1)-1,1,COUNTA(M1:ZZ1))</formula1>
    </dataValidation>
    <dataValidation type="list" showInputMessage="1" showErrorMessage="1" sqref="B2">
      <formula1>OFFSET(M:M,2,MATCH(B1,M1:ZZ1,0)-1,COUNTA(INDEX(M:ZZ,,MATCH(B1,M1:ZZ1,0)))-2)</formula1>
    </dataValidation>
    <dataValidation type="list" showInputMessage="1" showErrorMessage="1" sqref="B4:B9 D4:D9">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U47"/>
  <sheetViews>
    <sheetView tabSelected="1" zoomScale="55" zoomScaleNormal="55" workbookViewId="0">
      <pane xSplit="2" ySplit="4" topLeftCell="AM5" activePane="bottomRight" state="frozen"/>
      <selection pane="topRight" activeCell="C1" sqref="C1"/>
      <selection pane="bottomLeft" activeCell="A5" sqref="A5"/>
      <selection pane="bottomRight" activeCell="AN5" sqref="AN5:BD39"/>
    </sheetView>
  </sheetViews>
  <sheetFormatPr defaultRowHeight="14.4" outlineLevelRow="2" x14ac:dyDescent="0.3"/>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72" x14ac:dyDescent="0.3">
      <c r="A1" s="73" t="s">
        <v>136</v>
      </c>
      <c r="B1" s="61"/>
      <c r="C1" s="61"/>
      <c r="D1" s="61"/>
      <c r="E1" s="61"/>
      <c r="F1" s="61"/>
      <c r="G1" s="61"/>
      <c r="I1" s="69" t="str">
        <f>Summary!$C$1</f>
        <v>ALL_master+r130</v>
      </c>
      <c r="J1" s="61"/>
      <c r="K1" s="61"/>
      <c r="L1" s="61"/>
      <c r="M1" s="61"/>
      <c r="N1" s="61"/>
      <c r="O1" s="61"/>
      <c r="P1" s="61"/>
      <c r="Q1" s="61"/>
      <c r="R1" s="61"/>
      <c r="S1" s="61"/>
      <c r="T1" s="61"/>
      <c r="U1" s="61"/>
      <c r="V1" s="61"/>
      <c r="W1" s="61"/>
      <c r="X1" s="61"/>
      <c r="Y1" s="61"/>
      <c r="Z1" s="61"/>
      <c r="AA1" s="61"/>
      <c r="AB1" s="61"/>
      <c r="AC1" s="61"/>
      <c r="AD1" s="61"/>
      <c r="AE1" s="61"/>
      <c r="AG1" s="70">
        <f>Summary!$C$2</f>
        <v>0</v>
      </c>
      <c r="AH1" s="61"/>
      <c r="AI1" s="61"/>
      <c r="AJ1" s="61"/>
      <c r="AK1" s="61"/>
      <c r="AL1" s="61"/>
      <c r="AM1" s="61"/>
      <c r="AN1" s="61"/>
      <c r="AO1" s="61"/>
      <c r="AP1" s="61"/>
      <c r="AQ1" s="61"/>
      <c r="AR1" s="61"/>
      <c r="AS1" s="61"/>
      <c r="AT1" s="61"/>
      <c r="AU1" s="61"/>
      <c r="AV1" s="61"/>
      <c r="AW1" s="61"/>
      <c r="AX1" s="61"/>
      <c r="AY1" s="61"/>
      <c r="AZ1" s="61"/>
      <c r="BA1" s="61"/>
      <c r="BB1" s="61"/>
      <c r="BC1" s="61"/>
    </row>
    <row r="2" spans="1:72" ht="30" customHeight="1" x14ac:dyDescent="0.3">
      <c r="A2" s="75" t="s">
        <v>137</v>
      </c>
      <c r="B2" s="74" t="s">
        <v>138</v>
      </c>
      <c r="C2" s="75" t="s">
        <v>139</v>
      </c>
      <c r="D2" s="74" t="s">
        <v>140</v>
      </c>
      <c r="E2" s="75" t="s">
        <v>141</v>
      </c>
      <c r="F2" s="74" t="s">
        <v>142</v>
      </c>
      <c r="G2" s="75" t="s">
        <v>143</v>
      </c>
      <c r="I2" s="74" t="s">
        <v>144</v>
      </c>
      <c r="J2" s="72" t="s">
        <v>145</v>
      </c>
      <c r="K2" s="61"/>
      <c r="L2" s="61"/>
      <c r="M2" s="61"/>
      <c r="N2" s="75" t="s">
        <v>146</v>
      </c>
      <c r="O2" s="74" t="s">
        <v>147</v>
      </c>
      <c r="P2" s="75" t="s">
        <v>84</v>
      </c>
      <c r="Q2" s="74" t="s">
        <v>86</v>
      </c>
      <c r="R2" s="75" t="s">
        <v>82</v>
      </c>
      <c r="S2" s="71" t="s">
        <v>148</v>
      </c>
      <c r="T2" s="61"/>
      <c r="U2" s="61"/>
      <c r="V2" s="61"/>
      <c r="W2" s="72" t="s">
        <v>149</v>
      </c>
      <c r="X2" s="61"/>
      <c r="Y2" s="71" t="s">
        <v>150</v>
      </c>
      <c r="Z2" s="61"/>
      <c r="AA2" s="61"/>
      <c r="AB2" s="72" t="s">
        <v>151</v>
      </c>
      <c r="AC2" s="61"/>
      <c r="AD2" s="71" t="s">
        <v>152</v>
      </c>
      <c r="AE2" s="61"/>
      <c r="AG2" s="75" t="s">
        <v>144</v>
      </c>
      <c r="AH2" s="71" t="s">
        <v>145</v>
      </c>
      <c r="AI2" s="61"/>
      <c r="AJ2" s="61"/>
      <c r="AK2" s="61"/>
      <c r="AL2" s="74" t="s">
        <v>153</v>
      </c>
      <c r="AM2" s="75" t="s">
        <v>147</v>
      </c>
      <c r="AN2" s="74" t="s">
        <v>84</v>
      </c>
      <c r="AO2" s="75" t="s">
        <v>86</v>
      </c>
      <c r="AP2" s="74" t="s">
        <v>82</v>
      </c>
      <c r="AQ2" s="72" t="s">
        <v>148</v>
      </c>
      <c r="AR2" s="61"/>
      <c r="AS2" s="61"/>
      <c r="AT2" s="61"/>
      <c r="AU2" s="71" t="s">
        <v>149</v>
      </c>
      <c r="AV2" s="61"/>
      <c r="AW2" s="72" t="s">
        <v>150</v>
      </c>
      <c r="AX2" s="61"/>
      <c r="AY2" s="61"/>
      <c r="AZ2" s="71" t="s">
        <v>151</v>
      </c>
      <c r="BA2" s="61"/>
      <c r="BB2" s="72" t="s">
        <v>152</v>
      </c>
      <c r="BC2" s="61"/>
      <c r="BE2" s="74" t="s">
        <v>154</v>
      </c>
      <c r="BF2" s="75" t="s">
        <v>155</v>
      </c>
      <c r="BG2" s="74" t="s">
        <v>156</v>
      </c>
      <c r="BH2" s="75" t="s">
        <v>156</v>
      </c>
      <c r="BJ2" s="71" t="s">
        <v>5</v>
      </c>
      <c r="BK2" s="61"/>
      <c r="BL2" s="72" t="s">
        <v>6</v>
      </c>
      <c r="BM2" s="61"/>
      <c r="BN2" s="61"/>
      <c r="BP2" s="71" t="s">
        <v>7</v>
      </c>
      <c r="BQ2" s="61"/>
      <c r="BR2" s="72" t="s">
        <v>8</v>
      </c>
      <c r="BS2" s="61"/>
      <c r="BT2" s="61"/>
    </row>
    <row r="3" spans="1:72" x14ac:dyDescent="0.3">
      <c r="A3" s="63"/>
      <c r="B3" s="63"/>
      <c r="C3" s="63"/>
      <c r="D3" s="63"/>
      <c r="E3" s="63"/>
      <c r="F3" s="63"/>
      <c r="G3" s="63"/>
      <c r="I3" s="63"/>
      <c r="J3" s="56" t="s">
        <v>25</v>
      </c>
      <c r="K3" s="56" t="s">
        <v>23</v>
      </c>
      <c r="L3" s="56" t="s">
        <v>157</v>
      </c>
      <c r="M3" s="56" t="s">
        <v>158</v>
      </c>
      <c r="N3" s="63"/>
      <c r="O3" s="63"/>
      <c r="P3" s="63"/>
      <c r="Q3" s="63"/>
      <c r="R3" s="63"/>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3"/>
      <c r="AH3" s="57" t="s">
        <v>25</v>
      </c>
      <c r="AI3" s="57" t="s">
        <v>23</v>
      </c>
      <c r="AJ3" s="57" t="s">
        <v>157</v>
      </c>
      <c r="AK3" s="57" t="s">
        <v>158</v>
      </c>
      <c r="AL3" s="63"/>
      <c r="AM3" s="63"/>
      <c r="AN3" s="63"/>
      <c r="AO3" s="63"/>
      <c r="AP3" s="63"/>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3"/>
      <c r="BF3" s="63"/>
      <c r="BG3" s="63"/>
      <c r="BH3" s="63"/>
      <c r="BJ3" s="57" t="s">
        <v>9</v>
      </c>
      <c r="BK3" s="57" t="s">
        <v>10</v>
      </c>
      <c r="BL3" s="56" t="s">
        <v>11</v>
      </c>
      <c r="BM3" s="56" t="s">
        <v>12</v>
      </c>
      <c r="BN3" s="56" t="s">
        <v>13</v>
      </c>
      <c r="BP3" s="57" t="s">
        <v>9</v>
      </c>
      <c r="BQ3" s="57" t="s">
        <v>10</v>
      </c>
      <c r="BR3" s="56" t="s">
        <v>11</v>
      </c>
      <c r="BS3" s="56" t="s">
        <v>12</v>
      </c>
      <c r="BT3" s="56" t="s">
        <v>13</v>
      </c>
    </row>
    <row r="4" spans="1:72" ht="123" hidden="1" customHeight="1" x14ac:dyDescent="0.3">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3">
      <c r="A5" s="54" t="s">
        <v>229</v>
      </c>
      <c r="B5" s="54" t="s">
        <v>49</v>
      </c>
      <c r="C5" s="10" t="s">
        <v>230</v>
      </c>
      <c r="D5" s="54">
        <v>238146391</v>
      </c>
      <c r="E5" s="10">
        <v>10</v>
      </c>
      <c r="F5" s="10">
        <v>32</v>
      </c>
      <c r="G5" s="10">
        <v>30</v>
      </c>
      <c r="I5" s="11">
        <f t="shared" ref="I5:I39" si="0">IF(OR(ISBLANK(S5),ISBLANK(G5)),"·",S5*G5/F5/1000000)</f>
        <v>2.1715575</v>
      </c>
      <c r="J5" s="12">
        <f t="shared" ref="J5:J39" si="1">IF(ISBLANK(S5),"·",S5/D5)</f>
        <v>9.7264879399327122E-3</v>
      </c>
      <c r="K5" s="12">
        <f t="shared" ref="K5:K39" si="2">IF(N5="","·",N5/D5)</f>
        <v>6.1708598388963195E-3</v>
      </c>
      <c r="L5" s="12">
        <f t="shared" ref="L5:L39" si="3">IF(T5="","·",T5/D5)</f>
        <v>3.5270742356116581E-3</v>
      </c>
      <c r="M5" s="12">
        <f t="shared" ref="M5:M39" si="4">IF(ISBLANK(V5),"·",V5/D5)</f>
        <v>3.5556281010363914E-3</v>
      </c>
      <c r="N5" s="54">
        <f t="shared" ref="N5:N39" si="5">IF(OR(ISBLANK(T5),ISBLANK(U5)),"",T5+U5)</f>
        <v>1469568</v>
      </c>
      <c r="O5" s="12">
        <v>16</v>
      </c>
      <c r="P5" s="13">
        <v>37882688</v>
      </c>
      <c r="Q5" s="13">
        <v>1183834</v>
      </c>
      <c r="R5" s="13">
        <v>510522.9375</v>
      </c>
      <c r="S5" s="14">
        <v>2316328</v>
      </c>
      <c r="T5" s="14">
        <v>839960</v>
      </c>
      <c r="U5" s="14">
        <v>629608</v>
      </c>
      <c r="V5" s="14">
        <v>846760</v>
      </c>
      <c r="W5" s="15">
        <v>66.319749999999999</v>
      </c>
      <c r="X5" s="15">
        <v>67.862046875000004</v>
      </c>
      <c r="Y5" s="15">
        <v>32.082587500000002</v>
      </c>
      <c r="Z5" s="15">
        <v>44.119087499999999</v>
      </c>
      <c r="AA5" s="15">
        <v>43.797281249999997</v>
      </c>
      <c r="AB5" s="16">
        <v>2147.79</v>
      </c>
      <c r="AC5" s="16">
        <v>0</v>
      </c>
      <c r="AD5" s="16">
        <v>65.846999999999994</v>
      </c>
      <c r="AE5" s="16">
        <v>0</v>
      </c>
      <c r="AF5" s="58">
        <v>0</v>
      </c>
      <c r="AG5" s="11">
        <f t="shared" ref="AG5:AG39" si="6">IF(OR(ISBLANK(AQ5),ISBLANK(G5)),"·",AQ5*G5/F5/1000000)</f>
        <v>2.2108124999999998</v>
      </c>
      <c r="AH5" s="12">
        <f t="shared" ref="AH5:AH39" si="7">IF(ISBLANK(AQ5),"·",AQ5/D5)</f>
        <v>9.902312565383365E-3</v>
      </c>
      <c r="AI5" s="12">
        <f t="shared" ref="AI5:AI39" si="8">IF(AL5="","·",AL5/D5)</f>
        <v>6.3448704540729319E-3</v>
      </c>
      <c r="AJ5" s="12">
        <f t="shared" ref="AJ5:AJ39" si="9">IF(AR5="","·",AR5/D5)</f>
        <v>3.6027251825957759E-3</v>
      </c>
      <c r="AK5" s="12">
        <f t="shared" ref="AK5:AK39" si="10">IF(ISBLANK(AT5),"·",AT5/D5)</f>
        <v>3.5574421113104336E-3</v>
      </c>
      <c r="AL5" s="54">
        <f t="shared" ref="AL5:AL39" si="11">IF(OR(ISBLANK(AR5),ISBLANK(AS5)),"",AR5+AS5)</f>
        <v>1511008</v>
      </c>
      <c r="AM5" s="12">
        <v>-12</v>
      </c>
      <c r="AN5" s="13">
        <v>37486752</v>
      </c>
      <c r="AO5" s="13">
        <v>1171461</v>
      </c>
      <c r="AP5" s="13">
        <v>493757.1875</v>
      </c>
      <c r="AQ5" s="14">
        <v>2358200</v>
      </c>
      <c r="AR5" s="14">
        <v>857976</v>
      </c>
      <c r="AS5" s="14">
        <v>653032</v>
      </c>
      <c r="AT5" s="14">
        <v>847192</v>
      </c>
      <c r="AU5" s="15">
        <v>66.341781249999997</v>
      </c>
      <c r="AV5" s="15">
        <v>67.932506250000003</v>
      </c>
      <c r="AW5" s="15">
        <v>32.060324999999999</v>
      </c>
      <c r="AX5" s="15">
        <v>44.133768750000002</v>
      </c>
      <c r="AY5" s="15">
        <v>43.743662499999999</v>
      </c>
      <c r="AZ5" s="16">
        <v>1701.57</v>
      </c>
      <c r="BA5" s="16">
        <v>0</v>
      </c>
      <c r="BB5" s="16">
        <v>65.738</v>
      </c>
      <c r="BC5" s="16">
        <v>0</v>
      </c>
      <c r="BD5" s="59">
        <v>0</v>
      </c>
      <c r="BE5" s="51">
        <f t="shared" ref="BE5:BE43" si="12">AI5/K5</f>
        <v>1.0281987631739395</v>
      </c>
      <c r="BF5" s="17">
        <f t="shared" ref="BF5:BF39" si="13">(AP5/AO5) - (R5/Q5)</f>
        <v>-9.7570051181367634E-3</v>
      </c>
      <c r="BG5" s="17">
        <f t="shared" ref="BG5:BG39" si="14">(AL5/AQ5) - (N5/S5)</f>
        <v>6.3076859532282814E-3</v>
      </c>
      <c r="BH5" s="17">
        <f t="array" ref="BH5">AVERAGE(AL5:AL9/AQ5:AQ9) - AVERAGE(N5:N9/S5:S9)</f>
        <v>8.4867407157896424E-3</v>
      </c>
      <c r="BJ5" s="51">
        <f>IF( OR(ISBLANK(N5:N9),ISBLANK(AL5:AL9), ISBLANK(W5:W9),ISBLANK(AU5:AU9)), "·", bdRateExtend( N5:N9,W5:W9, AL5:AL9,AU5:AU9))</f>
        <v>2.1463329826150845E-2</v>
      </c>
      <c r="BK5" s="51">
        <f>IF( OR(ISBLANK(N5:N9),ISBLANK(AL5:AL9), ISBLANK(X5:X9),ISBLANK(AV5:AV9)), "·", bdRateExtend( N5:N9,X5:X9, AL5:AL9,AV5:AV9))</f>
        <v>2.0555037893821515E-2</v>
      </c>
      <c r="BL5" s="51">
        <f>IF( OR(ISBLANK(V5:V9),ISBLANK(AT5:AT9), ISBLANK(Y5:Y9),ISBLANK(AW5:AW9)), "·", bdRateExtend( V5:V9,Y5:Y9, AT5:AT9,AW5:AW9))</f>
        <v>5.3898231100049099E-3</v>
      </c>
      <c r="BM5" s="51">
        <f>IF( OR(ISBLANK(V5:V9),ISBLANK(AT5:AT9), ISBLANK(Z5:Z9),ISBLANK(AX5:AX9)), "·", bdRateExtend( V5:V9,Z5:Z9, AT5:AT9,AX5:AX9))</f>
        <v>1.5085809353161839E-2</v>
      </c>
      <c r="BN5" s="51">
        <f>IF( OR(ISBLANK(V5:V9),ISBLANK(AT5:AT9), ISBLANK(AA5:AA9),ISBLANK(AY5:AY9)), "·", bdRateExtend( V5:V9,AA5:AA9, AT5:AT9,AY5:AY9))</f>
        <v>1.2077275270937271E-2</v>
      </c>
      <c r="BP5" s="51">
        <f>IF( OR(ISBLANK(S5:S9),ISBLANK(AQ5:AQ9), ISBLANK(W5:W9),ISBLANK(AU5:AU9)), "·", bdRateExtend( S5:S9,W5:W9, AQ5:AQ9,AU5:AU9))</f>
        <v>-1.6354950325371931E-2</v>
      </c>
      <c r="BQ5" s="51">
        <f>IF( OR(ISBLANK(S5:S9),ISBLANK(AQ5:AQ9), ISBLANK(X5:X9),ISBLANK(AV5:AV9)), "·", bdRateExtend( S5:S9,X5:X9, AQ5:AQ9,AV5:AV9))</f>
        <v>-1.4952024699230071E-2</v>
      </c>
      <c r="BR5" s="51">
        <f>IF( OR(ISBLANK(S5:S9),ISBLANK(AQ5:AQ9), ISBLANK(Y5:Y9),ISBLANK(AW5:AW9)), "·", bdRateExtend( S5:S9,Y5:Y9, AQ5:AQ9,AW5:AW9))</f>
        <v>1.9105316373809078E-2</v>
      </c>
      <c r="BS5" s="51">
        <f>IF( OR(ISBLANK(S5:S9),ISBLANK(AQ5:AQ9), ISBLANK(Z5:Z9),ISBLANK(AX5:AX9)), "·", bdRateExtend( S5:S9,Z5:Z9, AQ5:AQ9,AX5:AX9))</f>
        <v>2.6261948021222503E-2</v>
      </c>
      <c r="BT5" s="51">
        <f>IF( OR(ISBLANK(S5:S9),ISBLANK(AQ5:AQ9), ISBLANK(AA5:AA9),ISBLANK(AY5:AY9)), "·", bdRateExtend( S5:S9,AA5:AA9, AQ5:AQ9,AY5:AY9))</f>
        <v>2.4501518528180055E-2</v>
      </c>
    </row>
    <row r="6" spans="1:72" outlineLevel="1" x14ac:dyDescent="0.3">
      <c r="A6" s="18"/>
      <c r="B6" s="18" t="s">
        <v>49</v>
      </c>
      <c r="C6" s="19" t="s">
        <v>231</v>
      </c>
      <c r="D6" s="18">
        <v>238146391</v>
      </c>
      <c r="E6" s="19">
        <v>10</v>
      </c>
      <c r="F6" s="19">
        <v>32</v>
      </c>
      <c r="G6" s="19">
        <v>30</v>
      </c>
      <c r="I6" s="20">
        <f t="shared" si="0"/>
        <v>3.3770175</v>
      </c>
      <c r="J6" s="21">
        <f t="shared" si="1"/>
        <v>1.5125788742269875E-2</v>
      </c>
      <c r="K6" s="21">
        <f t="shared" si="2"/>
        <v>7.520046776606411E-3</v>
      </c>
      <c r="L6" s="21">
        <f t="shared" si="3"/>
        <v>4.8762611733217491E-3</v>
      </c>
      <c r="M6" s="21">
        <f t="shared" si="4"/>
        <v>7.6057419656634642E-3</v>
      </c>
      <c r="N6" s="18">
        <f t="shared" si="5"/>
        <v>1790872</v>
      </c>
      <c r="O6" s="21">
        <v>16</v>
      </c>
      <c r="P6" s="22">
        <v>37882688</v>
      </c>
      <c r="Q6" s="22">
        <v>1183834</v>
      </c>
      <c r="R6" s="22">
        <v>439313.28125</v>
      </c>
      <c r="S6" s="23">
        <v>3602152</v>
      </c>
      <c r="T6" s="23">
        <v>1161264</v>
      </c>
      <c r="U6" s="23">
        <v>629608</v>
      </c>
      <c r="V6" s="23">
        <v>1811280</v>
      </c>
      <c r="W6" s="24">
        <v>67.857106250000001</v>
      </c>
      <c r="X6" s="24">
        <v>69.591706250000001</v>
      </c>
      <c r="Y6" s="24">
        <v>34.3171125</v>
      </c>
      <c r="Z6" s="24">
        <v>45.440356250000001</v>
      </c>
      <c r="AA6" s="24">
        <v>45.145074999999999</v>
      </c>
      <c r="AB6" s="25">
        <v>2242.96</v>
      </c>
      <c r="AC6" s="25">
        <v>0</v>
      </c>
      <c r="AD6" s="25">
        <v>70.244</v>
      </c>
      <c r="AE6" s="25">
        <v>0</v>
      </c>
      <c r="AF6" s="58">
        <v>0</v>
      </c>
      <c r="AG6" s="20">
        <f t="shared" si="6"/>
        <v>3.4301775000000001</v>
      </c>
      <c r="AH6" s="21">
        <f t="shared" si="7"/>
        <v>1.5363894387129302E-2</v>
      </c>
      <c r="AI6" s="21">
        <f t="shared" si="8"/>
        <v>7.7664498388304365E-3</v>
      </c>
      <c r="AJ6" s="21">
        <f t="shared" si="9"/>
        <v>5.0243045673532801E-3</v>
      </c>
      <c r="AK6" s="21">
        <f t="shared" si="10"/>
        <v>7.5974445482988656E-3</v>
      </c>
      <c r="AL6" s="18">
        <f t="shared" si="11"/>
        <v>1849552</v>
      </c>
      <c r="AM6" s="21">
        <v>-12</v>
      </c>
      <c r="AN6" s="22">
        <v>37486752</v>
      </c>
      <c r="AO6" s="22">
        <v>1171461</v>
      </c>
      <c r="AP6" s="22">
        <v>429917.125</v>
      </c>
      <c r="AQ6" s="23">
        <v>3658856</v>
      </c>
      <c r="AR6" s="23">
        <v>1196520</v>
      </c>
      <c r="AS6" s="23">
        <v>653032</v>
      </c>
      <c r="AT6" s="23">
        <v>1809304</v>
      </c>
      <c r="AU6" s="24">
        <v>67.954740624999999</v>
      </c>
      <c r="AV6" s="24">
        <v>69.712103124999999</v>
      </c>
      <c r="AW6" s="24">
        <v>34.301553124999998</v>
      </c>
      <c r="AX6" s="24">
        <v>45.389765625000003</v>
      </c>
      <c r="AY6" s="24">
        <v>45.141737499999998</v>
      </c>
      <c r="AZ6" s="25">
        <v>1754.7</v>
      </c>
      <c r="BA6" s="25">
        <v>0</v>
      </c>
      <c r="BB6" s="25">
        <v>69.63</v>
      </c>
      <c r="BC6" s="25">
        <v>0</v>
      </c>
      <c r="BD6" s="59">
        <v>0</v>
      </c>
      <c r="BE6" s="50">
        <f t="shared" si="12"/>
        <v>1.032766160842316</v>
      </c>
      <c r="BF6" s="26">
        <f t="shared" si="13"/>
        <v>-4.1013866497057183E-3</v>
      </c>
      <c r="BG6" s="26">
        <f t="shared" si="14"/>
        <v>8.3328308951592933E-3</v>
      </c>
      <c r="BH6" s="26"/>
      <c r="BJ6" s="50"/>
      <c r="BK6" s="50"/>
      <c r="BL6" s="50"/>
      <c r="BM6" s="50"/>
      <c r="BN6" s="50"/>
      <c r="BP6" s="50"/>
      <c r="BQ6" s="50"/>
      <c r="BR6" s="50"/>
      <c r="BS6" s="50"/>
      <c r="BT6" s="50"/>
    </row>
    <row r="7" spans="1:72" outlineLevel="1" x14ac:dyDescent="0.3">
      <c r="A7" s="54"/>
      <c r="B7" s="54" t="s">
        <v>49</v>
      </c>
      <c r="C7" s="10" t="s">
        <v>232</v>
      </c>
      <c r="D7" s="54">
        <v>238146391</v>
      </c>
      <c r="E7" s="10">
        <v>10</v>
      </c>
      <c r="F7" s="10">
        <v>32</v>
      </c>
      <c r="G7" s="10">
        <v>30</v>
      </c>
      <c r="I7" s="11">
        <f t="shared" si="0"/>
        <v>5.5422599999999997</v>
      </c>
      <c r="J7" s="12">
        <f t="shared" si="1"/>
        <v>2.4823991559040675E-2</v>
      </c>
      <c r="K7" s="12">
        <f t="shared" si="2"/>
        <v>9.4645650120307716E-3</v>
      </c>
      <c r="L7" s="12">
        <f t="shared" si="3"/>
        <v>6.8207794087461106E-3</v>
      </c>
      <c r="M7" s="12">
        <f t="shared" si="4"/>
        <v>1.5359426547009902E-2</v>
      </c>
      <c r="N7" s="54">
        <f t="shared" si="5"/>
        <v>2253952</v>
      </c>
      <c r="O7" s="12">
        <v>16</v>
      </c>
      <c r="P7" s="13">
        <v>37882688</v>
      </c>
      <c r="Q7" s="13">
        <v>1183834</v>
      </c>
      <c r="R7" s="13">
        <v>420609.9375</v>
      </c>
      <c r="S7" s="14">
        <v>5911744</v>
      </c>
      <c r="T7" s="14">
        <v>1624344</v>
      </c>
      <c r="U7" s="14">
        <v>629608</v>
      </c>
      <c r="V7" s="14">
        <v>3657792</v>
      </c>
      <c r="W7" s="15">
        <v>69.135781249999994</v>
      </c>
      <c r="X7" s="15">
        <v>71.143009375000005</v>
      </c>
      <c r="Y7" s="15">
        <v>36.857534375</v>
      </c>
      <c r="Z7" s="15">
        <v>46.547699999999999</v>
      </c>
      <c r="AA7" s="15">
        <v>46.388743750000003</v>
      </c>
      <c r="AB7" s="16">
        <v>2310.2800000000002</v>
      </c>
      <c r="AC7" s="16">
        <v>0</v>
      </c>
      <c r="AD7" s="16">
        <v>70.739000000000004</v>
      </c>
      <c r="AE7" s="16">
        <v>0</v>
      </c>
      <c r="AF7" s="58">
        <v>0</v>
      </c>
      <c r="AG7" s="11">
        <f t="shared" si="6"/>
        <v>5.6183100000000001</v>
      </c>
      <c r="AH7" s="12">
        <f t="shared" si="7"/>
        <v>2.516462237716632E-2</v>
      </c>
      <c r="AI7" s="12">
        <f t="shared" si="8"/>
        <v>9.8267623967478058E-3</v>
      </c>
      <c r="AJ7" s="12">
        <f t="shared" si="9"/>
        <v>7.0846171252706494E-3</v>
      </c>
      <c r="AK7" s="12">
        <f t="shared" si="10"/>
        <v>1.5337859980418514E-2</v>
      </c>
      <c r="AL7" s="54">
        <f t="shared" si="11"/>
        <v>2340208</v>
      </c>
      <c r="AM7" s="12">
        <v>-12</v>
      </c>
      <c r="AN7" s="13">
        <v>37486752</v>
      </c>
      <c r="AO7" s="13">
        <v>1171461</v>
      </c>
      <c r="AP7" s="13">
        <v>410846.1875</v>
      </c>
      <c r="AQ7" s="14">
        <v>5992864</v>
      </c>
      <c r="AR7" s="14">
        <v>1687176</v>
      </c>
      <c r="AS7" s="14">
        <v>653032</v>
      </c>
      <c r="AT7" s="14">
        <v>3652656</v>
      </c>
      <c r="AU7" s="15">
        <v>69.221828125000002</v>
      </c>
      <c r="AV7" s="15">
        <v>71.25798125</v>
      </c>
      <c r="AW7" s="15">
        <v>36.836287499999997</v>
      </c>
      <c r="AX7" s="15">
        <v>46.521493749999998</v>
      </c>
      <c r="AY7" s="15">
        <v>46.372993749999999</v>
      </c>
      <c r="AZ7" s="16">
        <v>1801.66</v>
      </c>
      <c r="BA7" s="16">
        <v>0</v>
      </c>
      <c r="BB7" s="16">
        <v>69.120999999999995</v>
      </c>
      <c r="BC7" s="16">
        <v>0</v>
      </c>
      <c r="BD7" s="59">
        <v>0</v>
      </c>
      <c r="BE7" s="51">
        <f t="shared" si="12"/>
        <v>1.0382687830086887</v>
      </c>
      <c r="BF7" s="17">
        <f t="shared" si="13"/>
        <v>-4.582046491076186E-3</v>
      </c>
      <c r="BG7" s="17">
        <f t="shared" si="14"/>
        <v>9.2322524430430986E-3</v>
      </c>
      <c r="BH7" s="17"/>
      <c r="BJ7" s="51"/>
      <c r="BK7" s="51"/>
      <c r="BL7" s="51"/>
      <c r="BM7" s="51"/>
      <c r="BN7" s="51"/>
      <c r="BP7" s="51"/>
      <c r="BQ7" s="51"/>
      <c r="BR7" s="51"/>
      <c r="BS7" s="51"/>
      <c r="BT7" s="51"/>
    </row>
    <row r="8" spans="1:72" outlineLevel="1" x14ac:dyDescent="0.3">
      <c r="A8" s="18"/>
      <c r="B8" s="18" t="s">
        <v>49</v>
      </c>
      <c r="C8" s="19" t="s">
        <v>233</v>
      </c>
      <c r="D8" s="18">
        <v>238146391</v>
      </c>
      <c r="E8" s="19">
        <v>10</v>
      </c>
      <c r="F8" s="19">
        <v>32</v>
      </c>
      <c r="G8" s="19">
        <v>30</v>
      </c>
      <c r="I8" s="20">
        <f t="shared" si="0"/>
        <v>9.4057049999999993</v>
      </c>
      <c r="J8" s="21">
        <f t="shared" si="1"/>
        <v>4.2128507418783434E-2</v>
      </c>
      <c r="K8" s="21">
        <f t="shared" si="2"/>
        <v>1.2729279613563406E-2</v>
      </c>
      <c r="L8" s="21">
        <f t="shared" si="3"/>
        <v>1.0085494010278745E-2</v>
      </c>
      <c r="M8" s="21">
        <f t="shared" si="4"/>
        <v>2.9399227805220026E-2</v>
      </c>
      <c r="N8" s="18">
        <f t="shared" si="5"/>
        <v>3031432</v>
      </c>
      <c r="O8" s="21">
        <v>16</v>
      </c>
      <c r="P8" s="22">
        <v>37882688</v>
      </c>
      <c r="Q8" s="22">
        <v>1183834</v>
      </c>
      <c r="R8" s="22">
        <v>391154.59375</v>
      </c>
      <c r="S8" s="23">
        <v>10032752</v>
      </c>
      <c r="T8" s="23">
        <v>2401824</v>
      </c>
      <c r="U8" s="23">
        <v>629608</v>
      </c>
      <c r="V8" s="23">
        <v>7001320</v>
      </c>
      <c r="W8" s="24">
        <v>69.983175000000003</v>
      </c>
      <c r="X8" s="24">
        <v>72.145768750000002</v>
      </c>
      <c r="Y8" s="24">
        <v>39.507840625</v>
      </c>
      <c r="Z8" s="24">
        <v>47.880112500000003</v>
      </c>
      <c r="AA8" s="24">
        <v>47.908843750000003</v>
      </c>
      <c r="AB8" s="25">
        <v>2424.3000000000002</v>
      </c>
      <c r="AC8" s="25">
        <v>0</v>
      </c>
      <c r="AD8" s="25">
        <v>71.433999999999997</v>
      </c>
      <c r="AE8" s="25">
        <v>0</v>
      </c>
      <c r="AF8" s="58">
        <v>0</v>
      </c>
      <c r="AG8" s="20">
        <f t="shared" si="6"/>
        <v>9.5356574999999992</v>
      </c>
      <c r="AH8" s="21">
        <f t="shared" si="7"/>
        <v>4.2710569567270915E-2</v>
      </c>
      <c r="AI8" s="21">
        <f t="shared" si="8"/>
        <v>1.3281712927574872E-2</v>
      </c>
      <c r="AJ8" s="21">
        <f t="shared" si="9"/>
        <v>1.0539567656097716E-2</v>
      </c>
      <c r="AK8" s="21">
        <f t="shared" si="10"/>
        <v>2.9428856639696042E-2</v>
      </c>
      <c r="AL8" s="18">
        <f t="shared" si="11"/>
        <v>3162992</v>
      </c>
      <c r="AM8" s="21">
        <v>-12</v>
      </c>
      <c r="AN8" s="22">
        <v>37486752</v>
      </c>
      <c r="AO8" s="22">
        <v>1171461</v>
      </c>
      <c r="AP8" s="22">
        <v>382549.21875</v>
      </c>
      <c r="AQ8" s="23">
        <v>10171368</v>
      </c>
      <c r="AR8" s="23">
        <v>2509960</v>
      </c>
      <c r="AS8" s="23">
        <v>653032</v>
      </c>
      <c r="AT8" s="23">
        <v>7008376</v>
      </c>
      <c r="AU8" s="24">
        <v>70.089703125</v>
      </c>
      <c r="AV8" s="24">
        <v>72.285231249999995</v>
      </c>
      <c r="AW8" s="24">
        <v>39.48955625</v>
      </c>
      <c r="AX8" s="24">
        <v>47.855071875</v>
      </c>
      <c r="AY8" s="24">
        <v>47.86285625</v>
      </c>
      <c r="AZ8" s="25">
        <v>1885.55</v>
      </c>
      <c r="BA8" s="25">
        <v>0</v>
      </c>
      <c r="BB8" s="25">
        <v>71.561999999999998</v>
      </c>
      <c r="BC8" s="25">
        <v>0</v>
      </c>
      <c r="BD8" s="59">
        <v>0</v>
      </c>
      <c r="BE8" s="50">
        <f t="shared" si="12"/>
        <v>1.0433986314058836</v>
      </c>
      <c r="BF8" s="26">
        <f t="shared" si="13"/>
        <v>-3.8560141947068249E-3</v>
      </c>
      <c r="BG8" s="26">
        <f t="shared" si="14"/>
        <v>8.8165798782977589E-3</v>
      </c>
      <c r="BH8" s="26"/>
      <c r="BJ8" s="50"/>
      <c r="BK8" s="50"/>
      <c r="BL8" s="50"/>
      <c r="BM8" s="50"/>
      <c r="BN8" s="50"/>
      <c r="BP8" s="50"/>
      <c r="BQ8" s="50"/>
      <c r="BR8" s="50"/>
      <c r="BS8" s="50"/>
      <c r="BT8" s="50"/>
    </row>
    <row r="9" spans="1:72" outlineLevel="1" x14ac:dyDescent="0.3">
      <c r="A9" s="54"/>
      <c r="B9" s="27" t="s">
        <v>49</v>
      </c>
      <c r="C9" s="28" t="s">
        <v>234</v>
      </c>
      <c r="D9" s="27">
        <v>238146391</v>
      </c>
      <c r="E9" s="28">
        <v>10</v>
      </c>
      <c r="F9" s="28">
        <v>32</v>
      </c>
      <c r="G9" s="28">
        <v>30</v>
      </c>
      <c r="I9" s="29">
        <f t="shared" si="0"/>
        <v>16.806899999999999</v>
      </c>
      <c r="J9" s="30">
        <f t="shared" si="1"/>
        <v>7.5278738950110738E-2</v>
      </c>
      <c r="K9" s="30">
        <f t="shared" si="2"/>
        <v>2.0657949000789183E-2</v>
      </c>
      <c r="L9" s="30">
        <f t="shared" si="3"/>
        <v>1.5548050022727408E-2</v>
      </c>
      <c r="M9" s="30">
        <f t="shared" si="4"/>
        <v>5.4620789949321548E-2</v>
      </c>
      <c r="N9" s="27">
        <f t="shared" si="5"/>
        <v>4919616</v>
      </c>
      <c r="O9" s="30">
        <v>16</v>
      </c>
      <c r="P9" s="31">
        <v>36276640</v>
      </c>
      <c r="Q9" s="31">
        <v>1133645</v>
      </c>
      <c r="R9" s="31">
        <v>364351.90625</v>
      </c>
      <c r="S9" s="32">
        <v>17927360</v>
      </c>
      <c r="T9" s="32">
        <v>3702712</v>
      </c>
      <c r="U9" s="32">
        <v>1216904</v>
      </c>
      <c r="V9" s="32">
        <v>13007744</v>
      </c>
      <c r="W9" s="33">
        <v>72.049068750000004</v>
      </c>
      <c r="X9" s="33">
        <v>75.365546875000007</v>
      </c>
      <c r="Y9" s="33">
        <v>42.193762499999998</v>
      </c>
      <c r="Z9" s="33">
        <v>49.417203125</v>
      </c>
      <c r="AA9" s="33">
        <v>49.562796874999997</v>
      </c>
      <c r="AB9" s="34">
        <v>2496.89</v>
      </c>
      <c r="AC9" s="34">
        <v>0</v>
      </c>
      <c r="AD9" s="34">
        <v>71.89</v>
      </c>
      <c r="AE9" s="34">
        <v>0</v>
      </c>
      <c r="AF9" s="58">
        <v>0</v>
      </c>
      <c r="AG9" s="29">
        <f t="shared" si="6"/>
        <v>17.064119999999999</v>
      </c>
      <c r="AH9" s="30">
        <f t="shared" si="7"/>
        <v>7.6430837030824456E-2</v>
      </c>
      <c r="AI9" s="30">
        <f t="shared" si="8"/>
        <v>2.1718876268840875E-2</v>
      </c>
      <c r="AJ9" s="30">
        <f t="shared" si="9"/>
        <v>1.6203411623399323E-2</v>
      </c>
      <c r="AK9" s="30">
        <f t="shared" si="10"/>
        <v>5.4711960761983584E-2</v>
      </c>
      <c r="AL9" s="27">
        <f t="shared" si="11"/>
        <v>5172272</v>
      </c>
      <c r="AM9" s="30">
        <v>-12</v>
      </c>
      <c r="AN9" s="31">
        <v>36019496</v>
      </c>
      <c r="AO9" s="31">
        <v>1125609.25</v>
      </c>
      <c r="AP9" s="31">
        <v>357701</v>
      </c>
      <c r="AQ9" s="32">
        <v>18201728</v>
      </c>
      <c r="AR9" s="32">
        <v>3858784</v>
      </c>
      <c r="AS9" s="32">
        <v>1313488</v>
      </c>
      <c r="AT9" s="32">
        <v>13029456</v>
      </c>
      <c r="AU9" s="33">
        <v>71.998531249999999</v>
      </c>
      <c r="AV9" s="33">
        <v>75.330171875000005</v>
      </c>
      <c r="AW9" s="33">
        <v>42.154118750000002</v>
      </c>
      <c r="AX9" s="33">
        <v>49.399615625000003</v>
      </c>
      <c r="AY9" s="33">
        <v>49.52850625</v>
      </c>
      <c r="AZ9" s="34">
        <v>2084.86</v>
      </c>
      <c r="BA9" s="34">
        <v>0</v>
      </c>
      <c r="BB9" s="34">
        <v>71.143000000000001</v>
      </c>
      <c r="BC9" s="34">
        <v>0</v>
      </c>
      <c r="BD9" s="59">
        <v>0</v>
      </c>
      <c r="BE9" s="35">
        <f t="shared" si="12"/>
        <v>1.0513568538682694</v>
      </c>
      <c r="BF9" s="36">
        <f t="shared" si="13"/>
        <v>-3.6142449241883257E-3</v>
      </c>
      <c r="BG9" s="36">
        <f t="shared" si="14"/>
        <v>9.7443544092201684E-3</v>
      </c>
      <c r="BH9" s="36"/>
      <c r="BJ9" s="35"/>
      <c r="BK9" s="35"/>
      <c r="BL9" s="35"/>
      <c r="BM9" s="35"/>
      <c r="BN9" s="35"/>
      <c r="BP9" s="35"/>
      <c r="BQ9" s="35"/>
      <c r="BR9" s="35"/>
      <c r="BS9" s="35"/>
      <c r="BT9" s="35"/>
    </row>
    <row r="10" spans="1:72" x14ac:dyDescent="0.3">
      <c r="A10" s="18"/>
      <c r="B10" s="18" t="s">
        <v>57</v>
      </c>
      <c r="C10" s="19" t="s">
        <v>230</v>
      </c>
      <c r="D10" s="18">
        <v>218121242</v>
      </c>
      <c r="E10" s="19">
        <v>10</v>
      </c>
      <c r="F10" s="19">
        <v>32</v>
      </c>
      <c r="G10" s="19">
        <v>30</v>
      </c>
      <c r="I10" s="20">
        <f t="shared" si="0"/>
        <v>3.1719824999999999</v>
      </c>
      <c r="J10" s="21">
        <f t="shared" si="1"/>
        <v>1.5511776702610194E-2</v>
      </c>
      <c r="K10" s="21">
        <f t="shared" si="2"/>
        <v>8.0385018163430418E-3</v>
      </c>
      <c r="L10" s="21">
        <f t="shared" si="3"/>
        <v>4.2751636266586089E-3</v>
      </c>
      <c r="M10" s="21">
        <f t="shared" si="4"/>
        <v>7.4732748862671519E-3</v>
      </c>
      <c r="N10" s="18">
        <f t="shared" si="5"/>
        <v>1753368</v>
      </c>
      <c r="O10" s="21">
        <v>16</v>
      </c>
      <c r="P10" s="22">
        <v>33275520</v>
      </c>
      <c r="Q10" s="22">
        <v>1039860</v>
      </c>
      <c r="R10" s="22">
        <v>402968.71875</v>
      </c>
      <c r="S10" s="23">
        <v>3383448</v>
      </c>
      <c r="T10" s="23">
        <v>932504</v>
      </c>
      <c r="U10" s="23">
        <v>820864</v>
      </c>
      <c r="V10" s="23">
        <v>1630080</v>
      </c>
      <c r="W10" s="24">
        <v>65.663659374999995</v>
      </c>
      <c r="X10" s="24">
        <v>67.076425</v>
      </c>
      <c r="Y10" s="24">
        <v>32.352856250000002</v>
      </c>
      <c r="Z10" s="24">
        <v>39.163262500000002</v>
      </c>
      <c r="AA10" s="24">
        <v>32.049700000000001</v>
      </c>
      <c r="AB10" s="25">
        <v>2217.59</v>
      </c>
      <c r="AC10" s="25">
        <v>0</v>
      </c>
      <c r="AD10" s="25">
        <v>61.045999999999999</v>
      </c>
      <c r="AE10" s="25">
        <v>0</v>
      </c>
      <c r="AF10" s="58">
        <v>0</v>
      </c>
      <c r="AG10" s="20">
        <f t="shared" si="6"/>
        <v>3.1991325000000002</v>
      </c>
      <c r="AH10" s="21">
        <f t="shared" si="7"/>
        <v>1.5644546898371321E-2</v>
      </c>
      <c r="AI10" s="21">
        <f t="shared" si="8"/>
        <v>8.2104062106890079E-3</v>
      </c>
      <c r="AJ10" s="21">
        <f t="shared" si="9"/>
        <v>4.3437860123682953E-3</v>
      </c>
      <c r="AK10" s="21">
        <f t="shared" si="10"/>
        <v>7.4341406876823118E-3</v>
      </c>
      <c r="AL10" s="18">
        <f t="shared" si="11"/>
        <v>1790864</v>
      </c>
      <c r="AM10" s="21">
        <v>-12</v>
      </c>
      <c r="AN10" s="22">
        <v>32891040</v>
      </c>
      <c r="AO10" s="22">
        <v>1027845</v>
      </c>
      <c r="AP10" s="22">
        <v>390158.15625</v>
      </c>
      <c r="AQ10" s="23">
        <v>3412408</v>
      </c>
      <c r="AR10" s="23">
        <v>947472</v>
      </c>
      <c r="AS10" s="23">
        <v>843392</v>
      </c>
      <c r="AT10" s="23">
        <v>1621544</v>
      </c>
      <c r="AU10" s="24">
        <v>65.694453124999995</v>
      </c>
      <c r="AV10" s="24">
        <v>67.125459375000005</v>
      </c>
      <c r="AW10" s="24">
        <v>32.313249999999996</v>
      </c>
      <c r="AX10" s="24">
        <v>39.133115625000002</v>
      </c>
      <c r="AY10" s="24">
        <v>32.036612499999997</v>
      </c>
      <c r="AZ10" s="25">
        <v>1773.74</v>
      </c>
      <c r="BA10" s="25">
        <v>0</v>
      </c>
      <c r="BB10" s="25">
        <v>61.923000000000002</v>
      </c>
      <c r="BC10" s="25">
        <v>0</v>
      </c>
      <c r="BD10" s="59">
        <v>0</v>
      </c>
      <c r="BE10" s="50">
        <f t="shared" si="12"/>
        <v>1.0213851285069648</v>
      </c>
      <c r="BF10" s="26">
        <f t="shared" si="13"/>
        <v>-7.9335742343989435E-3</v>
      </c>
      <c r="BG10" s="26">
        <f t="shared" si="14"/>
        <v>6.5901760678841459E-3</v>
      </c>
      <c r="BH10" s="26">
        <f t="array" ref="BH10">AVERAGE(AL10:AL14/AQ10:AQ14) - AVERAGE(N10:N14/S10:S14)</f>
        <v>7.1398675229635278E-3</v>
      </c>
      <c r="BJ10" s="50">
        <f>IF( OR(ISBLANK(N10:N14),ISBLANK(AL10:AL14), ISBLANK(W10:W14),ISBLANK(AU10:AU14)), "·", bdRateExtend( N10:N14,W10:W14, AL10:AL14,AU10:AU14))</f>
        <v>1.7489350900562473E-2</v>
      </c>
      <c r="BK10" s="50">
        <f>IF( OR(ISBLANK(N10:N14),ISBLANK(AL10:AL14), ISBLANK(X10:X14),ISBLANK(AV10:AV14)), "·", bdRateExtend( N10:N14,X10:X14, AL10:AL14,AV10:AV14))</f>
        <v>1.876953728245101E-2</v>
      </c>
      <c r="BL10" s="50">
        <f>IF( OR(ISBLANK(V10:V14),ISBLANK(AT10:AT14), ISBLANK(Y10:Y14),ISBLANK(AW10:AW14)), "·", bdRateExtend( V10:V14,Y10:Y14, AT10:AT14,AW10:AW14))</f>
        <v>8.3712153152668556E-3</v>
      </c>
      <c r="BM10" s="50">
        <f>IF( OR(ISBLANK(V10:V14),ISBLANK(AT10:AT14), ISBLANK(Z10:Z14),ISBLANK(AX10:AX14)), "·", bdRateExtend( V10:V14,Z10:Z14, AT10:AT14,AX10:AX14))</f>
        <v>9.0573068528623235E-3</v>
      </c>
      <c r="BN10" s="50">
        <f>IF( OR(ISBLANK(V10:V14),ISBLANK(AT10:AT14), ISBLANK(AA10:AA14),ISBLANK(AY10:AY14)), "·", bdRateExtend( V10:V14,AA10:AA14, AT10:AT14,AY10:AY14))</f>
        <v>5.7030902199470823E-3</v>
      </c>
      <c r="BP10" s="50">
        <f>IF( OR(ISBLANK(S10:S14),ISBLANK(AQ10:AQ14), ISBLANK(W10:W14),ISBLANK(AU10:AU14)), "·", bdRateExtend( S10:S14,W10:W14, AQ10:AQ14,AU10:AU14))</f>
        <v>-1.1738035561000393E-2</v>
      </c>
      <c r="BQ10" s="50">
        <f>IF( OR(ISBLANK(S10:S14),ISBLANK(AQ10:AQ14), ISBLANK(X10:X14),ISBLANK(AV10:AV14)), "·", bdRateExtend( S10:S14,X10:X14, AQ10:AQ14,AV10:AV14))</f>
        <v>-8.6853438936069782E-3</v>
      </c>
      <c r="BR10" s="50">
        <f>IF( OR(ISBLANK(S10:S14),ISBLANK(AQ10:AQ14), ISBLANK(Y10:Y14),ISBLANK(AW10:AW14)), "·", bdRateExtend( S10:S14,Y10:Y14, AQ10:AQ14,AW10:AW14))</f>
        <v>1.8032853910333158E-2</v>
      </c>
      <c r="BS10" s="50">
        <f>IF( OR(ISBLANK(S10:S14),ISBLANK(AQ10:AQ14), ISBLANK(Z10:Z14),ISBLANK(AX10:AX14)), "·", bdRateExtend( S10:S14,Z10:Z14, AQ10:AQ14,AX10:AX14))</f>
        <v>1.8086900485246193E-2</v>
      </c>
      <c r="BT10" s="50">
        <f>IF( OR(ISBLANK(S10:S14),ISBLANK(AQ10:AQ14), ISBLANK(AA10:AA14),ISBLANK(AY10:AY14)), "·", bdRateExtend( S10:S14,AA10:AA14, AQ10:AQ14,AY10:AY14))</f>
        <v>1.5683748726234903E-2</v>
      </c>
    </row>
    <row r="11" spans="1:72" outlineLevel="1" x14ac:dyDescent="0.3">
      <c r="A11" s="54"/>
      <c r="B11" s="54" t="s">
        <v>57</v>
      </c>
      <c r="C11" s="10" t="s">
        <v>231</v>
      </c>
      <c r="D11" s="54">
        <v>218121242</v>
      </c>
      <c r="E11" s="10">
        <v>10</v>
      </c>
      <c r="F11" s="10">
        <v>32</v>
      </c>
      <c r="G11" s="10">
        <v>30</v>
      </c>
      <c r="I11" s="11">
        <f t="shared" si="0"/>
        <v>4.5852525000000002</v>
      </c>
      <c r="J11" s="12">
        <f t="shared" si="1"/>
        <v>2.2423015544721682E-2</v>
      </c>
      <c r="K11" s="12">
        <f t="shared" si="2"/>
        <v>9.7878041607703664E-3</v>
      </c>
      <c r="L11" s="12">
        <f t="shared" si="3"/>
        <v>6.0244659710859336E-3</v>
      </c>
      <c r="M11" s="12">
        <f t="shared" si="4"/>
        <v>1.2635211383951316E-2</v>
      </c>
      <c r="N11" s="54">
        <f t="shared" si="5"/>
        <v>2134928</v>
      </c>
      <c r="O11" s="12">
        <v>16</v>
      </c>
      <c r="P11" s="13">
        <v>33275520</v>
      </c>
      <c r="Q11" s="13">
        <v>1039860</v>
      </c>
      <c r="R11" s="13">
        <v>359002.90625</v>
      </c>
      <c r="S11" s="14">
        <v>4890936</v>
      </c>
      <c r="T11" s="14">
        <v>1314064</v>
      </c>
      <c r="U11" s="14">
        <v>820864</v>
      </c>
      <c r="V11" s="14">
        <v>2756008</v>
      </c>
      <c r="W11" s="15">
        <v>67.035537500000004</v>
      </c>
      <c r="X11" s="15">
        <v>68.731103125000004</v>
      </c>
      <c r="Y11" s="15">
        <v>34.223971874999997</v>
      </c>
      <c r="Z11" s="15">
        <v>40.030650000000001</v>
      </c>
      <c r="AA11" s="15">
        <v>33.82645625</v>
      </c>
      <c r="AB11" s="16">
        <v>2268</v>
      </c>
      <c r="AC11" s="16">
        <v>0</v>
      </c>
      <c r="AD11" s="16">
        <v>64.057000000000002</v>
      </c>
      <c r="AE11" s="16">
        <v>0</v>
      </c>
      <c r="AF11" s="58">
        <v>0</v>
      </c>
      <c r="AG11" s="11">
        <f t="shared" si="6"/>
        <v>4.6162799999999997</v>
      </c>
      <c r="AH11" s="12">
        <f t="shared" si="7"/>
        <v>2.2574747671755876E-2</v>
      </c>
      <c r="AI11" s="12">
        <f t="shared" si="8"/>
        <v>1.000515117184231E-2</v>
      </c>
      <c r="AJ11" s="12">
        <f t="shared" si="9"/>
        <v>6.1385309735215981E-3</v>
      </c>
      <c r="AK11" s="12">
        <f t="shared" si="10"/>
        <v>1.2569596499913566E-2</v>
      </c>
      <c r="AL11" s="54">
        <f t="shared" si="11"/>
        <v>2182336</v>
      </c>
      <c r="AM11" s="12">
        <v>-12</v>
      </c>
      <c r="AN11" s="13">
        <v>32891040</v>
      </c>
      <c r="AO11" s="13">
        <v>1027845</v>
      </c>
      <c r="AP11" s="13">
        <v>349981.875</v>
      </c>
      <c r="AQ11" s="14">
        <v>4924032</v>
      </c>
      <c r="AR11" s="14">
        <v>1338944</v>
      </c>
      <c r="AS11" s="14">
        <v>843392</v>
      </c>
      <c r="AT11" s="14">
        <v>2741696</v>
      </c>
      <c r="AU11" s="15">
        <v>67.088331249999996</v>
      </c>
      <c r="AV11" s="15">
        <v>68.794768750000003</v>
      </c>
      <c r="AW11" s="15">
        <v>34.191490625</v>
      </c>
      <c r="AX11" s="15">
        <v>40.004609375000001</v>
      </c>
      <c r="AY11" s="15">
        <v>33.796512499999999</v>
      </c>
      <c r="AZ11" s="16">
        <v>1834.92</v>
      </c>
      <c r="BA11" s="16">
        <v>0</v>
      </c>
      <c r="BB11" s="16">
        <v>63.795000000000002</v>
      </c>
      <c r="BC11" s="16">
        <v>0</v>
      </c>
      <c r="BD11" s="59">
        <v>0</v>
      </c>
      <c r="BE11" s="51">
        <f t="shared" si="12"/>
        <v>1.0222059010889359</v>
      </c>
      <c r="BF11" s="17">
        <f t="shared" si="13"/>
        <v>-4.7409421677894747E-3</v>
      </c>
      <c r="BG11" s="17">
        <f t="shared" si="14"/>
        <v>6.6939782232070533E-3</v>
      </c>
      <c r="BH11" s="17"/>
      <c r="BJ11" s="51"/>
      <c r="BK11" s="51"/>
      <c r="BL11" s="51"/>
      <c r="BM11" s="51"/>
      <c r="BN11" s="51"/>
      <c r="BP11" s="51"/>
      <c r="BQ11" s="51"/>
      <c r="BR11" s="51"/>
      <c r="BS11" s="51"/>
      <c r="BT11" s="51"/>
    </row>
    <row r="12" spans="1:72" outlineLevel="1" x14ac:dyDescent="0.3">
      <c r="A12" s="18"/>
      <c r="B12" s="18" t="s">
        <v>57</v>
      </c>
      <c r="C12" s="19" t="s">
        <v>232</v>
      </c>
      <c r="D12" s="18">
        <v>218121242</v>
      </c>
      <c r="E12" s="19">
        <v>10</v>
      </c>
      <c r="F12" s="19">
        <v>32</v>
      </c>
      <c r="G12" s="19">
        <v>30</v>
      </c>
      <c r="I12" s="20">
        <f t="shared" si="0"/>
        <v>7.0910399999999996</v>
      </c>
      <c r="J12" s="21">
        <f t="shared" si="1"/>
        <v>3.4676934399630828E-2</v>
      </c>
      <c r="K12" s="21">
        <f t="shared" si="2"/>
        <v>1.2486780173386322E-2</v>
      </c>
      <c r="L12" s="21">
        <f t="shared" si="3"/>
        <v>8.7234419837018892E-3</v>
      </c>
      <c r="M12" s="21">
        <f t="shared" si="4"/>
        <v>2.2190154226244502E-2</v>
      </c>
      <c r="N12" s="18">
        <f t="shared" si="5"/>
        <v>2723632</v>
      </c>
      <c r="O12" s="21">
        <v>16</v>
      </c>
      <c r="P12" s="22">
        <v>33275520</v>
      </c>
      <c r="Q12" s="22">
        <v>1039860</v>
      </c>
      <c r="R12" s="22">
        <v>348804.125</v>
      </c>
      <c r="S12" s="23">
        <v>7563776</v>
      </c>
      <c r="T12" s="23">
        <v>1902768</v>
      </c>
      <c r="U12" s="23">
        <v>820864</v>
      </c>
      <c r="V12" s="23">
        <v>4840144</v>
      </c>
      <c r="W12" s="24">
        <v>68.257228124999997</v>
      </c>
      <c r="X12" s="24">
        <v>70.220287499999998</v>
      </c>
      <c r="Y12" s="24">
        <v>36.318518750000003</v>
      </c>
      <c r="Z12" s="24">
        <v>40.924328125000002</v>
      </c>
      <c r="AA12" s="24">
        <v>35.610362500000001</v>
      </c>
      <c r="AB12" s="25">
        <v>2275.35</v>
      </c>
      <c r="AC12" s="25">
        <v>0</v>
      </c>
      <c r="AD12" s="25">
        <v>64.771000000000001</v>
      </c>
      <c r="AE12" s="25">
        <v>0</v>
      </c>
      <c r="AF12" s="58">
        <v>0</v>
      </c>
      <c r="AG12" s="20">
        <f t="shared" si="6"/>
        <v>7.1513099999999996</v>
      </c>
      <c r="AH12" s="21">
        <f t="shared" si="7"/>
        <v>3.4971669563480662E-2</v>
      </c>
      <c r="AI12" s="21">
        <f t="shared" si="8"/>
        <v>1.2842105492870796E-2</v>
      </c>
      <c r="AJ12" s="21">
        <f t="shared" si="9"/>
        <v>8.975485294550084E-3</v>
      </c>
      <c r="AK12" s="21">
        <f t="shared" si="10"/>
        <v>2.2129564070609866E-2</v>
      </c>
      <c r="AL12" s="18">
        <f t="shared" si="11"/>
        <v>2801136</v>
      </c>
      <c r="AM12" s="21">
        <v>-12</v>
      </c>
      <c r="AN12" s="22">
        <v>32891040</v>
      </c>
      <c r="AO12" s="22">
        <v>1027845</v>
      </c>
      <c r="AP12" s="22">
        <v>337827.59375</v>
      </c>
      <c r="AQ12" s="23">
        <v>7628064</v>
      </c>
      <c r="AR12" s="23">
        <v>1957744</v>
      </c>
      <c r="AS12" s="23">
        <v>843392</v>
      </c>
      <c r="AT12" s="23">
        <v>4826928</v>
      </c>
      <c r="AU12" s="24">
        <v>68.322846874999996</v>
      </c>
      <c r="AV12" s="24">
        <v>70.303806249999994</v>
      </c>
      <c r="AW12" s="24">
        <v>36.288306249999998</v>
      </c>
      <c r="AX12" s="24">
        <v>40.901834375</v>
      </c>
      <c r="AY12" s="24">
        <v>35.580315624999997</v>
      </c>
      <c r="AZ12" s="25">
        <v>1886.14</v>
      </c>
      <c r="BA12" s="25">
        <v>0</v>
      </c>
      <c r="BB12" s="25">
        <v>70.385000000000005</v>
      </c>
      <c r="BC12" s="25">
        <v>0</v>
      </c>
      <c r="BD12" s="59">
        <v>0</v>
      </c>
      <c r="BE12" s="50">
        <f t="shared" si="12"/>
        <v>1.0284561203569351</v>
      </c>
      <c r="BF12" s="26">
        <f t="shared" si="13"/>
        <v>-6.7581151911909054E-3</v>
      </c>
      <c r="BG12" s="26">
        <f t="shared" si="14"/>
        <v>7.1256091878953431E-3</v>
      </c>
      <c r="BH12" s="26"/>
      <c r="BJ12" s="50"/>
      <c r="BK12" s="50"/>
      <c r="BL12" s="50"/>
      <c r="BM12" s="50"/>
      <c r="BN12" s="50"/>
      <c r="BP12" s="50"/>
      <c r="BQ12" s="50"/>
      <c r="BR12" s="50"/>
      <c r="BS12" s="50"/>
      <c r="BT12" s="50"/>
    </row>
    <row r="13" spans="1:72" outlineLevel="1" x14ac:dyDescent="0.3">
      <c r="A13" s="54"/>
      <c r="B13" s="54" t="s">
        <v>57</v>
      </c>
      <c r="C13" s="10" t="s">
        <v>233</v>
      </c>
      <c r="D13" s="54">
        <v>218121242</v>
      </c>
      <c r="E13" s="10">
        <v>10</v>
      </c>
      <c r="F13" s="10">
        <v>32</v>
      </c>
      <c r="G13" s="10">
        <v>30</v>
      </c>
      <c r="I13" s="11">
        <f t="shared" si="0"/>
        <v>11.985300000000001</v>
      </c>
      <c r="J13" s="12">
        <f t="shared" si="1"/>
        <v>5.8611072827102276E-2</v>
      </c>
      <c r="K13" s="12">
        <f t="shared" si="2"/>
        <v>1.7163005151052641E-2</v>
      </c>
      <c r="L13" s="12">
        <f t="shared" si="3"/>
        <v>1.339966696136821E-2</v>
      </c>
      <c r="M13" s="12">
        <f t="shared" si="4"/>
        <v>4.1448067676049638E-2</v>
      </c>
      <c r="N13" s="54">
        <f t="shared" si="5"/>
        <v>3743616</v>
      </c>
      <c r="O13" s="12">
        <v>16</v>
      </c>
      <c r="P13" s="13">
        <v>33275520</v>
      </c>
      <c r="Q13" s="13">
        <v>1039860</v>
      </c>
      <c r="R13" s="13">
        <v>326679.46875</v>
      </c>
      <c r="S13" s="14">
        <v>12784320</v>
      </c>
      <c r="T13" s="14">
        <v>2922752</v>
      </c>
      <c r="U13" s="14">
        <v>820864</v>
      </c>
      <c r="V13" s="14">
        <v>9040704</v>
      </c>
      <c r="W13" s="15">
        <v>69.089931250000006</v>
      </c>
      <c r="X13" s="15">
        <v>71.207653124999993</v>
      </c>
      <c r="Y13" s="15">
        <v>38.671903125</v>
      </c>
      <c r="Z13" s="15">
        <v>42.107975000000003</v>
      </c>
      <c r="AA13" s="15">
        <v>37.681224999999998</v>
      </c>
      <c r="AB13" s="16">
        <v>2489.31</v>
      </c>
      <c r="AC13" s="16">
        <v>0</v>
      </c>
      <c r="AD13" s="16">
        <v>66.873999999999995</v>
      </c>
      <c r="AE13" s="16">
        <v>0</v>
      </c>
      <c r="AF13" s="58">
        <v>0</v>
      </c>
      <c r="AG13" s="11">
        <f t="shared" si="6"/>
        <v>12.0985125</v>
      </c>
      <c r="AH13" s="12">
        <f t="shared" si="7"/>
        <v>5.9164709872686308E-2</v>
      </c>
      <c r="AI13" s="12">
        <f t="shared" si="8"/>
        <v>1.7749944776125931E-2</v>
      </c>
      <c r="AJ13" s="12">
        <f t="shared" si="9"/>
        <v>1.3883324577805219E-2</v>
      </c>
      <c r="AK13" s="12">
        <f t="shared" si="10"/>
        <v>4.1414765096560377E-2</v>
      </c>
      <c r="AL13" s="54">
        <f t="shared" si="11"/>
        <v>3871640</v>
      </c>
      <c r="AM13" s="12">
        <v>-12</v>
      </c>
      <c r="AN13" s="13">
        <v>32891040</v>
      </c>
      <c r="AO13" s="13">
        <v>1027845</v>
      </c>
      <c r="AP13" s="13">
        <v>315937.21875</v>
      </c>
      <c r="AQ13" s="14">
        <v>12905080</v>
      </c>
      <c r="AR13" s="14">
        <v>3028248</v>
      </c>
      <c r="AS13" s="14">
        <v>843392</v>
      </c>
      <c r="AT13" s="14">
        <v>9033440</v>
      </c>
      <c r="AU13" s="15">
        <v>69.164928125000003</v>
      </c>
      <c r="AV13" s="15">
        <v>71.302796874999999</v>
      </c>
      <c r="AW13" s="15">
        <v>38.625006249999998</v>
      </c>
      <c r="AX13" s="15">
        <v>42.093587499999998</v>
      </c>
      <c r="AY13" s="15">
        <v>37.660231250000002</v>
      </c>
      <c r="AZ13" s="16">
        <v>1972.53</v>
      </c>
      <c r="BA13" s="16">
        <v>0</v>
      </c>
      <c r="BB13" s="16">
        <v>65.879000000000005</v>
      </c>
      <c r="BC13" s="16">
        <v>0</v>
      </c>
      <c r="BD13" s="59">
        <v>0</v>
      </c>
      <c r="BE13" s="51">
        <f t="shared" si="12"/>
        <v>1.0341979519266935</v>
      </c>
      <c r="BF13" s="17">
        <f t="shared" si="13"/>
        <v>-6.7788933859779243E-3</v>
      </c>
      <c r="BG13" s="17">
        <f t="shared" si="14"/>
        <v>7.1802735322318845E-3</v>
      </c>
      <c r="BH13" s="17"/>
      <c r="BJ13" s="51"/>
      <c r="BK13" s="51"/>
      <c r="BL13" s="51"/>
      <c r="BM13" s="51"/>
      <c r="BN13" s="51"/>
      <c r="BP13" s="51"/>
      <c r="BQ13" s="51"/>
      <c r="BR13" s="51"/>
      <c r="BS13" s="51"/>
      <c r="BT13" s="51"/>
    </row>
    <row r="14" spans="1:72" outlineLevel="1" x14ac:dyDescent="0.3">
      <c r="A14" s="18"/>
      <c r="B14" s="37" t="s">
        <v>57</v>
      </c>
      <c r="C14" s="38" t="s">
        <v>234</v>
      </c>
      <c r="D14" s="37">
        <v>218121242</v>
      </c>
      <c r="E14" s="38">
        <v>10</v>
      </c>
      <c r="F14" s="38">
        <v>32</v>
      </c>
      <c r="G14" s="38">
        <v>30</v>
      </c>
      <c r="I14" s="39">
        <f t="shared" si="0"/>
        <v>21.5616825</v>
      </c>
      <c r="J14" s="40">
        <f t="shared" si="1"/>
        <v>0.10544194498947516</v>
      </c>
      <c r="K14" s="40">
        <f t="shared" si="2"/>
        <v>2.8263913883270479E-2</v>
      </c>
      <c r="L14" s="40">
        <f t="shared" si="3"/>
        <v>2.1175159088815385E-2</v>
      </c>
      <c r="M14" s="40">
        <f t="shared" si="4"/>
        <v>7.7178031106204692E-2</v>
      </c>
      <c r="N14" s="37">
        <f t="shared" si="5"/>
        <v>6164960</v>
      </c>
      <c r="O14" s="40">
        <v>16</v>
      </c>
      <c r="P14" s="41">
        <v>31405520</v>
      </c>
      <c r="Q14" s="41">
        <v>981422.5</v>
      </c>
      <c r="R14" s="41">
        <v>298364.78125</v>
      </c>
      <c r="S14" s="42">
        <v>22999128</v>
      </c>
      <c r="T14" s="42">
        <v>4618752</v>
      </c>
      <c r="U14" s="42">
        <v>1546208</v>
      </c>
      <c r="V14" s="42">
        <v>16834168</v>
      </c>
      <c r="W14" s="43">
        <v>71.140312499999993</v>
      </c>
      <c r="X14" s="43">
        <v>74.8136875</v>
      </c>
      <c r="Y14" s="43">
        <v>41.055978125000003</v>
      </c>
      <c r="Z14" s="43">
        <v>43.431465625000001</v>
      </c>
      <c r="AA14" s="43">
        <v>39.527096874999998</v>
      </c>
      <c r="AB14" s="44">
        <v>2531.75</v>
      </c>
      <c r="AC14" s="44">
        <v>0</v>
      </c>
      <c r="AD14" s="44">
        <v>65.721999999999994</v>
      </c>
      <c r="AE14" s="44">
        <v>0</v>
      </c>
      <c r="AF14" s="58">
        <v>0</v>
      </c>
      <c r="AG14" s="39">
        <f t="shared" si="6"/>
        <v>21.784477500000001</v>
      </c>
      <c r="AH14" s="40">
        <f t="shared" si="7"/>
        <v>0.10653146748540887</v>
      </c>
      <c r="AI14" s="40">
        <f t="shared" si="8"/>
        <v>2.9419858153934407E-2</v>
      </c>
      <c r="AJ14" s="40">
        <f t="shared" si="9"/>
        <v>2.1917131757392065E-2</v>
      </c>
      <c r="AK14" s="40">
        <f t="shared" si="10"/>
        <v>7.711160933147447E-2</v>
      </c>
      <c r="AL14" s="37">
        <f t="shared" si="11"/>
        <v>6417096</v>
      </c>
      <c r="AM14" s="40">
        <v>-12</v>
      </c>
      <c r="AN14" s="41">
        <v>31068272</v>
      </c>
      <c r="AO14" s="41">
        <v>970883.5</v>
      </c>
      <c r="AP14" s="41">
        <v>290106.5625</v>
      </c>
      <c r="AQ14" s="42">
        <v>23236776</v>
      </c>
      <c r="AR14" s="42">
        <v>4780592</v>
      </c>
      <c r="AS14" s="42">
        <v>1636504</v>
      </c>
      <c r="AT14" s="42">
        <v>16819680</v>
      </c>
      <c r="AU14" s="43">
        <v>71.072171874999995</v>
      </c>
      <c r="AV14" s="43">
        <v>74.777818749999994</v>
      </c>
      <c r="AW14" s="43">
        <v>40.979593749999999</v>
      </c>
      <c r="AX14" s="43">
        <v>43.411181249999998</v>
      </c>
      <c r="AY14" s="43">
        <v>39.481918749999998</v>
      </c>
      <c r="AZ14" s="44">
        <v>2110.0700000000002</v>
      </c>
      <c r="BA14" s="44">
        <v>0</v>
      </c>
      <c r="BB14" s="44">
        <v>70.417000000000002</v>
      </c>
      <c r="BC14" s="44">
        <v>0</v>
      </c>
      <c r="BD14" s="59">
        <v>0</v>
      </c>
      <c r="BE14" s="45">
        <f t="shared" si="12"/>
        <v>1.0408982377825646</v>
      </c>
      <c r="BF14" s="46">
        <f t="shared" si="13"/>
        <v>-5.2058050461833982E-3</v>
      </c>
      <c r="BG14" s="46">
        <f t="shared" si="14"/>
        <v>8.1093006035991011E-3</v>
      </c>
      <c r="BH14" s="46"/>
      <c r="BJ14" s="45"/>
      <c r="BK14" s="45"/>
      <c r="BL14" s="45"/>
      <c r="BM14" s="45"/>
      <c r="BN14" s="45"/>
      <c r="BP14" s="45"/>
      <c r="BQ14" s="45"/>
      <c r="BR14" s="45"/>
      <c r="BS14" s="45"/>
      <c r="BT14" s="45"/>
    </row>
    <row r="15" spans="1:72" x14ac:dyDescent="0.3">
      <c r="A15" s="54"/>
      <c r="B15" s="54" t="s">
        <v>62</v>
      </c>
      <c r="C15" s="10" t="s">
        <v>230</v>
      </c>
      <c r="D15" s="54">
        <v>322589704</v>
      </c>
      <c r="E15" s="10">
        <v>10</v>
      </c>
      <c r="F15" s="10">
        <v>32</v>
      </c>
      <c r="G15" s="10">
        <v>30</v>
      </c>
      <c r="I15" s="11">
        <f t="shared" si="0"/>
        <v>4.3898025000000001</v>
      </c>
      <c r="J15" s="12">
        <f t="shared" si="1"/>
        <v>1.4515205978179638E-2</v>
      </c>
      <c r="K15" s="12">
        <f t="shared" si="2"/>
        <v>8.2286073209577697E-3</v>
      </c>
      <c r="L15" s="12">
        <f t="shared" si="3"/>
        <v>4.3908902932624288E-3</v>
      </c>
      <c r="M15" s="12">
        <f t="shared" si="4"/>
        <v>6.2865986572218681E-3</v>
      </c>
      <c r="N15" s="54">
        <f t="shared" si="5"/>
        <v>2654464</v>
      </c>
      <c r="O15" s="12">
        <v>16</v>
      </c>
      <c r="P15" s="13">
        <v>49229856</v>
      </c>
      <c r="Q15" s="13">
        <v>1538433</v>
      </c>
      <c r="R15" s="13">
        <v>585687.5</v>
      </c>
      <c r="S15" s="14">
        <v>4682456</v>
      </c>
      <c r="T15" s="14">
        <v>1416456</v>
      </c>
      <c r="U15" s="14">
        <v>1238008</v>
      </c>
      <c r="V15" s="14">
        <v>2027992</v>
      </c>
      <c r="W15" s="15">
        <v>65.56833125</v>
      </c>
      <c r="X15" s="15">
        <v>66.917349999999999</v>
      </c>
      <c r="Y15" s="15">
        <v>29.376531249999999</v>
      </c>
      <c r="Z15" s="15">
        <v>43.131071875000004</v>
      </c>
      <c r="AA15" s="15">
        <v>43.317262499999998</v>
      </c>
      <c r="AB15" s="16">
        <v>2608.5700000000002</v>
      </c>
      <c r="AC15" s="16">
        <v>0</v>
      </c>
      <c r="AD15" s="16">
        <v>84.143000000000001</v>
      </c>
      <c r="AE15" s="16">
        <v>0</v>
      </c>
      <c r="AF15" s="58">
        <v>0</v>
      </c>
      <c r="AG15" s="11">
        <f t="shared" si="6"/>
        <v>4.4446950000000003</v>
      </c>
      <c r="AH15" s="12">
        <f t="shared" si="7"/>
        <v>1.4696712081052655E-2</v>
      </c>
      <c r="AI15" s="12">
        <f t="shared" si="8"/>
        <v>8.4241746289584005E-3</v>
      </c>
      <c r="AJ15" s="12">
        <f t="shared" si="9"/>
        <v>4.4817797408686052E-3</v>
      </c>
      <c r="AK15" s="12">
        <f t="shared" si="10"/>
        <v>6.2725374520942552E-3</v>
      </c>
      <c r="AL15" s="54">
        <f t="shared" si="11"/>
        <v>2717552</v>
      </c>
      <c r="AM15" s="12">
        <v>-12</v>
      </c>
      <c r="AN15" s="13">
        <v>48444576</v>
      </c>
      <c r="AO15" s="13">
        <v>1513893</v>
      </c>
      <c r="AP15" s="13">
        <v>564505.5</v>
      </c>
      <c r="AQ15" s="14">
        <v>4741008</v>
      </c>
      <c r="AR15" s="14">
        <v>1445776</v>
      </c>
      <c r="AS15" s="14">
        <v>1271776</v>
      </c>
      <c r="AT15" s="14">
        <v>2023456</v>
      </c>
      <c r="AU15" s="15">
        <v>65.629515624999996</v>
      </c>
      <c r="AV15" s="15">
        <v>66.986853124999996</v>
      </c>
      <c r="AW15" s="15">
        <v>29.330584375000001</v>
      </c>
      <c r="AX15" s="15">
        <v>43.049925000000002</v>
      </c>
      <c r="AY15" s="15">
        <v>43.237050000000004</v>
      </c>
      <c r="AZ15" s="16">
        <v>1963.96</v>
      </c>
      <c r="BA15" s="16">
        <v>0</v>
      </c>
      <c r="BB15" s="16">
        <v>85.278999999999996</v>
      </c>
      <c r="BC15" s="16">
        <v>0</v>
      </c>
      <c r="BD15" s="59">
        <v>0</v>
      </c>
      <c r="BE15" s="51">
        <f t="shared" si="12"/>
        <v>1.0237667566785613</v>
      </c>
      <c r="BF15" s="17">
        <f t="shared" si="13"/>
        <v>-7.8205826862240979E-3</v>
      </c>
      <c r="BG15" s="17">
        <f t="shared" si="14"/>
        <v>6.3056474746239211E-3</v>
      </c>
      <c r="BH15" s="17">
        <f t="array" ref="BH15">AVERAGE(AL15:AL19/AQ15:AQ19) - AVERAGE(N15:N19/S15:S19)</f>
        <v>7.5698953490306309E-3</v>
      </c>
      <c r="BJ15" s="51">
        <f>IF( OR(ISBLANK(N15:N19),ISBLANK(AL15:AL19), ISBLANK(W15:W19),ISBLANK(AU15:AU19)), "·", bdRateExtend( N15:N19,W15:W19, AL15:AL19,AU15:AU19))</f>
        <v>2.2553336177245642E-2</v>
      </c>
      <c r="BK15" s="51">
        <f>IF( OR(ISBLANK(N15:N19),ISBLANK(AL15:AL19), ISBLANK(X15:X19),ISBLANK(AV15:AV19)), "·", bdRateExtend( N15:N19,X15:X19, AL15:AL19,AV15:AV19))</f>
        <v>2.3472798533778816E-2</v>
      </c>
      <c r="BL15" s="51">
        <f>IF( OR(ISBLANK(V15:V19),ISBLANK(AT15:AT19), ISBLANK(Y15:Y19),ISBLANK(AW15:AW19)), "·", bdRateExtend( V15:V19,Y15:Y19, AT15:AT19,AW15:AW19))</f>
        <v>1.5420630035164251E-2</v>
      </c>
      <c r="BM15" s="51">
        <f>IF( OR(ISBLANK(V15:V19),ISBLANK(AT15:AT19), ISBLANK(Z15:Z19),ISBLANK(AX15:AX19)), "·", bdRateExtend( V15:V19,Z15:Z19, AT15:AT19,AX15:AX19))</f>
        <v>3.2475889401289093E-2</v>
      </c>
      <c r="BN15" s="51">
        <f>IF( OR(ISBLANK(V15:V19),ISBLANK(AT15:AT19), ISBLANK(AA15:AA19),ISBLANK(AY15:AY19)), "·", bdRateExtend( V15:V19,AA15:AA19, AT15:AT19,AY15:AY19))</f>
        <v>3.3698058754906279E-2</v>
      </c>
      <c r="BP15" s="51">
        <f>IF( OR(ISBLANK(S15:S19),ISBLANK(AQ15:AQ19), ISBLANK(W15:W19),ISBLANK(AU15:AU19)), "·", bdRateExtend( S15:S19,W15:W19, AQ15:AQ19,AU15:AU19))</f>
        <v>-1.5164648366047473E-2</v>
      </c>
      <c r="BQ15" s="51">
        <f>IF( OR(ISBLANK(S15:S19),ISBLANK(AQ15:AQ19), ISBLANK(X15:X19),ISBLANK(AV15:AV19)), "·", bdRateExtend( S15:S19,X15:X19, AQ15:AQ19,AV15:AV19))</f>
        <v>-1.0730544882020521E-2</v>
      </c>
      <c r="BR15" s="51">
        <f>IF( OR(ISBLANK(S15:S19),ISBLANK(AQ15:AQ19), ISBLANK(Y15:Y19),ISBLANK(AW15:AW19)), "·", bdRateExtend( S15:S19,Y15:Y19, AQ15:AQ19,AW15:AW19))</f>
        <v>2.4448273488187011E-2</v>
      </c>
      <c r="BS15" s="51">
        <f>IF( OR(ISBLANK(S15:S19),ISBLANK(AQ15:AQ19), ISBLANK(Z15:Z19),ISBLANK(AX15:AX19)), "·", bdRateExtend( S15:S19,Z15:Z19, AQ15:AQ19,AX15:AX19))</f>
        <v>3.6234349775559727E-2</v>
      </c>
      <c r="BT15" s="51">
        <f>IF( OR(ISBLANK(S15:S19),ISBLANK(AQ15:AQ19), ISBLANK(AA15:AA19),ISBLANK(AY15:AY19)), "·", bdRateExtend( S15:S19,AA15:AA19, AQ15:AQ19,AY15:AY19))</f>
        <v>3.8145443891315356E-2</v>
      </c>
    </row>
    <row r="16" spans="1:72" outlineLevel="1" x14ac:dyDescent="0.3">
      <c r="A16" s="18"/>
      <c r="B16" s="18" t="s">
        <v>62</v>
      </c>
      <c r="C16" s="19" t="s">
        <v>231</v>
      </c>
      <c r="D16" s="18">
        <v>322589704</v>
      </c>
      <c r="E16" s="19">
        <v>10</v>
      </c>
      <c r="F16" s="19">
        <v>32</v>
      </c>
      <c r="G16" s="19">
        <v>30</v>
      </c>
      <c r="I16" s="20">
        <f t="shared" si="0"/>
        <v>6.9721574999999998</v>
      </c>
      <c r="J16" s="21">
        <f t="shared" si="1"/>
        <v>2.3053953389659331E-2</v>
      </c>
      <c r="K16" s="21">
        <f t="shared" si="2"/>
        <v>1.0042750775455623E-2</v>
      </c>
      <c r="L16" s="21">
        <f t="shared" si="3"/>
        <v>6.2050337477602821E-3</v>
      </c>
      <c r="M16" s="21">
        <f t="shared" si="4"/>
        <v>1.3011202614203706E-2</v>
      </c>
      <c r="N16" s="18">
        <f t="shared" si="5"/>
        <v>3239688</v>
      </c>
      <c r="O16" s="21">
        <v>16</v>
      </c>
      <c r="P16" s="22">
        <v>49229856</v>
      </c>
      <c r="Q16" s="22">
        <v>1538433</v>
      </c>
      <c r="R16" s="22">
        <v>518337.15625</v>
      </c>
      <c r="S16" s="23">
        <v>7436968</v>
      </c>
      <c r="T16" s="23">
        <v>2001680</v>
      </c>
      <c r="U16" s="23">
        <v>1238008</v>
      </c>
      <c r="V16" s="23">
        <v>4197280</v>
      </c>
      <c r="W16" s="24">
        <v>67.104037500000004</v>
      </c>
      <c r="X16" s="24">
        <v>68.780528125000004</v>
      </c>
      <c r="Y16" s="24">
        <v>31.768056250000001</v>
      </c>
      <c r="Z16" s="24">
        <v>43.989249999999998</v>
      </c>
      <c r="AA16" s="24">
        <v>44.264440624999999</v>
      </c>
      <c r="AB16" s="25">
        <v>2695.97</v>
      </c>
      <c r="AC16" s="25">
        <v>0</v>
      </c>
      <c r="AD16" s="25">
        <v>89.424000000000007</v>
      </c>
      <c r="AE16" s="25">
        <v>0</v>
      </c>
      <c r="AF16" s="58">
        <v>0</v>
      </c>
      <c r="AG16" s="20">
        <f t="shared" si="6"/>
        <v>7.0626825000000002</v>
      </c>
      <c r="AH16" s="21">
        <f t="shared" si="7"/>
        <v>2.3353280983822101E-2</v>
      </c>
      <c r="AI16" s="21">
        <f t="shared" si="8"/>
        <v>1.0334043395259757E-2</v>
      </c>
      <c r="AJ16" s="21">
        <f t="shared" si="9"/>
        <v>6.3916485071699621E-3</v>
      </c>
      <c r="AK16" s="21">
        <f t="shared" si="10"/>
        <v>1.3019237588562342E-2</v>
      </c>
      <c r="AL16" s="18">
        <f t="shared" si="11"/>
        <v>3333656</v>
      </c>
      <c r="AM16" s="21">
        <v>-12</v>
      </c>
      <c r="AN16" s="22">
        <v>48444576</v>
      </c>
      <c r="AO16" s="22">
        <v>1513893</v>
      </c>
      <c r="AP16" s="22">
        <v>502042.09375</v>
      </c>
      <c r="AQ16" s="23">
        <v>7533528</v>
      </c>
      <c r="AR16" s="23">
        <v>2061880</v>
      </c>
      <c r="AS16" s="23">
        <v>1271776</v>
      </c>
      <c r="AT16" s="23">
        <v>4199872</v>
      </c>
      <c r="AU16" s="24">
        <v>67.179575</v>
      </c>
      <c r="AV16" s="24">
        <v>68.868778125000006</v>
      </c>
      <c r="AW16" s="24">
        <v>31.718990625</v>
      </c>
      <c r="AX16" s="24">
        <v>43.907343750000003</v>
      </c>
      <c r="AY16" s="24">
        <v>44.199768749999997</v>
      </c>
      <c r="AZ16" s="25">
        <v>2022.28</v>
      </c>
      <c r="BA16" s="25">
        <v>0</v>
      </c>
      <c r="BB16" s="25">
        <v>88.319000000000003</v>
      </c>
      <c r="BC16" s="25">
        <v>0</v>
      </c>
      <c r="BD16" s="59">
        <v>0</v>
      </c>
      <c r="BE16" s="50">
        <f t="shared" si="12"/>
        <v>1.0290052622351289</v>
      </c>
      <c r="BF16" s="26">
        <f t="shared" si="13"/>
        <v>-5.3021667624368329E-3</v>
      </c>
      <c r="BG16" s="26">
        <f t="shared" si="14"/>
        <v>6.8898110868136353E-3</v>
      </c>
      <c r="BH16" s="26"/>
      <c r="BJ16" s="50"/>
      <c r="BK16" s="50"/>
      <c r="BL16" s="50"/>
      <c r="BM16" s="50"/>
      <c r="BN16" s="50"/>
      <c r="BP16" s="50"/>
      <c r="BQ16" s="50"/>
      <c r="BR16" s="50"/>
      <c r="BS16" s="50"/>
      <c r="BT16" s="50"/>
    </row>
    <row r="17" spans="1:72" outlineLevel="1" x14ac:dyDescent="0.3">
      <c r="A17" s="54"/>
      <c r="B17" s="54" t="s">
        <v>62</v>
      </c>
      <c r="C17" s="10" t="s">
        <v>232</v>
      </c>
      <c r="D17" s="54">
        <v>322589704</v>
      </c>
      <c r="E17" s="10">
        <v>10</v>
      </c>
      <c r="F17" s="10">
        <v>32</v>
      </c>
      <c r="G17" s="10">
        <v>30</v>
      </c>
      <c r="I17" s="11">
        <f t="shared" si="0"/>
        <v>11.633625</v>
      </c>
      <c r="J17" s="12">
        <f t="shared" si="1"/>
        <v>3.8467439741970193E-2</v>
      </c>
      <c r="K17" s="12">
        <f t="shared" si="2"/>
        <v>1.2780693087464441E-2</v>
      </c>
      <c r="L17" s="12">
        <f t="shared" si="3"/>
        <v>8.9429760597690994E-3</v>
      </c>
      <c r="M17" s="12">
        <f t="shared" si="4"/>
        <v>2.5686746654505748E-2</v>
      </c>
      <c r="N17" s="54">
        <f t="shared" si="5"/>
        <v>4122920</v>
      </c>
      <c r="O17" s="12">
        <v>16</v>
      </c>
      <c r="P17" s="13">
        <v>49229856</v>
      </c>
      <c r="Q17" s="13">
        <v>1538433</v>
      </c>
      <c r="R17" s="13">
        <v>508855.0625</v>
      </c>
      <c r="S17" s="14">
        <v>12409200</v>
      </c>
      <c r="T17" s="14">
        <v>2884912</v>
      </c>
      <c r="U17" s="14">
        <v>1238008</v>
      </c>
      <c r="V17" s="14">
        <v>8286280</v>
      </c>
      <c r="W17" s="15">
        <v>68.457956249999995</v>
      </c>
      <c r="X17" s="15">
        <v>70.426640625000005</v>
      </c>
      <c r="Y17" s="15">
        <v>34.321278124999999</v>
      </c>
      <c r="Z17" s="15">
        <v>44.824112499999998</v>
      </c>
      <c r="AA17" s="15">
        <v>45.216625000000001</v>
      </c>
      <c r="AB17" s="16">
        <v>2853.77</v>
      </c>
      <c r="AC17" s="16">
        <v>0</v>
      </c>
      <c r="AD17" s="16">
        <v>90.143000000000001</v>
      </c>
      <c r="AE17" s="16">
        <v>0</v>
      </c>
      <c r="AF17" s="58">
        <v>0</v>
      </c>
      <c r="AG17" s="11">
        <f t="shared" si="6"/>
        <v>11.7803475</v>
      </c>
      <c r="AH17" s="12">
        <f t="shared" si="7"/>
        <v>3.8952588517828207E-2</v>
      </c>
      <c r="AI17" s="12">
        <f t="shared" si="8"/>
        <v>1.3230329260601572E-2</v>
      </c>
      <c r="AJ17" s="12">
        <f t="shared" si="9"/>
        <v>9.2879343725117778E-3</v>
      </c>
      <c r="AK17" s="12">
        <f t="shared" si="10"/>
        <v>2.5722259257226633E-2</v>
      </c>
      <c r="AL17" s="54">
        <f t="shared" si="11"/>
        <v>4267968</v>
      </c>
      <c r="AM17" s="12">
        <v>-12</v>
      </c>
      <c r="AN17" s="13">
        <v>48444576</v>
      </c>
      <c r="AO17" s="13">
        <v>1513893</v>
      </c>
      <c r="AP17" s="13">
        <v>487102.21875</v>
      </c>
      <c r="AQ17" s="14">
        <v>12565704</v>
      </c>
      <c r="AR17" s="14">
        <v>2996192</v>
      </c>
      <c r="AS17" s="14">
        <v>1271776</v>
      </c>
      <c r="AT17" s="14">
        <v>8297736</v>
      </c>
      <c r="AU17" s="15">
        <v>68.543609375000003</v>
      </c>
      <c r="AV17" s="15">
        <v>70.534146875000005</v>
      </c>
      <c r="AW17" s="15">
        <v>34.264534374999997</v>
      </c>
      <c r="AX17" s="15">
        <v>44.767343750000002</v>
      </c>
      <c r="AY17" s="15">
        <v>45.146321874999998</v>
      </c>
      <c r="AZ17" s="16">
        <v>2129.7399999999998</v>
      </c>
      <c r="BA17" s="16">
        <v>0</v>
      </c>
      <c r="BB17" s="16">
        <v>88.606999999999999</v>
      </c>
      <c r="BC17" s="16">
        <v>0</v>
      </c>
      <c r="BD17" s="59">
        <v>0</v>
      </c>
      <c r="BE17" s="51">
        <f t="shared" si="12"/>
        <v>1.0351808912130238</v>
      </c>
      <c r="BF17" s="17">
        <f t="shared" si="13"/>
        <v>-9.0072059779724434E-3</v>
      </c>
      <c r="BG17" s="17">
        <f t="shared" si="14"/>
        <v>7.4050772529691833E-3</v>
      </c>
      <c r="BH17" s="17"/>
      <c r="BJ17" s="51"/>
      <c r="BK17" s="51"/>
      <c r="BL17" s="51"/>
      <c r="BM17" s="51"/>
      <c r="BN17" s="51"/>
      <c r="BP17" s="51"/>
      <c r="BQ17" s="51"/>
      <c r="BR17" s="51"/>
      <c r="BS17" s="51"/>
      <c r="BT17" s="51"/>
    </row>
    <row r="18" spans="1:72" outlineLevel="1" x14ac:dyDescent="0.3">
      <c r="A18" s="18"/>
      <c r="B18" s="18" t="s">
        <v>62</v>
      </c>
      <c r="C18" s="19" t="s">
        <v>233</v>
      </c>
      <c r="D18" s="18">
        <v>322589704</v>
      </c>
      <c r="E18" s="19">
        <v>10</v>
      </c>
      <c r="F18" s="19">
        <v>32</v>
      </c>
      <c r="G18" s="19">
        <v>30</v>
      </c>
      <c r="I18" s="20">
        <f t="shared" si="0"/>
        <v>20.131162499999999</v>
      </c>
      <c r="J18" s="21">
        <f t="shared" si="1"/>
        <v>6.6565174690138285E-2</v>
      </c>
      <c r="K18" s="21">
        <f t="shared" si="2"/>
        <v>1.7279881939443423E-2</v>
      </c>
      <c r="L18" s="21">
        <f t="shared" si="3"/>
        <v>1.3442164911748083E-2</v>
      </c>
      <c r="M18" s="21">
        <f t="shared" si="4"/>
        <v>4.9285292750694855E-2</v>
      </c>
      <c r="N18" s="18">
        <f t="shared" si="5"/>
        <v>5574312</v>
      </c>
      <c r="O18" s="21">
        <v>16</v>
      </c>
      <c r="P18" s="22">
        <v>49229856</v>
      </c>
      <c r="Q18" s="22">
        <v>1538433</v>
      </c>
      <c r="R18" s="22">
        <v>472045.8125</v>
      </c>
      <c r="S18" s="23">
        <v>21473240</v>
      </c>
      <c r="T18" s="23">
        <v>4336304</v>
      </c>
      <c r="U18" s="23">
        <v>1238008</v>
      </c>
      <c r="V18" s="23">
        <v>15898928</v>
      </c>
      <c r="W18" s="24">
        <v>69.350909375000001</v>
      </c>
      <c r="X18" s="24">
        <v>71.46506875</v>
      </c>
      <c r="Y18" s="24">
        <v>37.034628124999998</v>
      </c>
      <c r="Z18" s="24">
        <v>46.129209375000002</v>
      </c>
      <c r="AA18" s="24">
        <v>46.647946875000002</v>
      </c>
      <c r="AB18" s="25">
        <v>2946.7</v>
      </c>
      <c r="AC18" s="25">
        <v>0</v>
      </c>
      <c r="AD18" s="25">
        <v>93.616</v>
      </c>
      <c r="AE18" s="25">
        <v>0</v>
      </c>
      <c r="AF18" s="58">
        <v>0</v>
      </c>
      <c r="AG18" s="20">
        <f t="shared" si="6"/>
        <v>20.402744999999999</v>
      </c>
      <c r="AH18" s="21">
        <f t="shared" si="7"/>
        <v>6.7463182271930169E-2</v>
      </c>
      <c r="AI18" s="21">
        <f t="shared" si="8"/>
        <v>1.8028126526939619E-2</v>
      </c>
      <c r="AJ18" s="21">
        <f t="shared" si="9"/>
        <v>1.4085731638849824E-2</v>
      </c>
      <c r="AK18" s="21">
        <f t="shared" si="10"/>
        <v>4.9435055744990547E-2</v>
      </c>
      <c r="AL18" s="18">
        <f t="shared" si="11"/>
        <v>5815688</v>
      </c>
      <c r="AM18" s="21">
        <v>-12</v>
      </c>
      <c r="AN18" s="22">
        <v>48444576</v>
      </c>
      <c r="AO18" s="22">
        <v>1513893</v>
      </c>
      <c r="AP18" s="22">
        <v>454897.65625</v>
      </c>
      <c r="AQ18" s="23">
        <v>21762928</v>
      </c>
      <c r="AR18" s="23">
        <v>4543912</v>
      </c>
      <c r="AS18" s="23">
        <v>1271776</v>
      </c>
      <c r="AT18" s="23">
        <v>15947240</v>
      </c>
      <c r="AU18" s="24">
        <v>69.451306250000002</v>
      </c>
      <c r="AV18" s="24">
        <v>71.593484375000003</v>
      </c>
      <c r="AW18" s="24">
        <v>36.980621874999997</v>
      </c>
      <c r="AX18" s="24">
        <v>46.113671875000001</v>
      </c>
      <c r="AY18" s="24">
        <v>46.602240625</v>
      </c>
      <c r="AZ18" s="25">
        <v>2296.2199999999998</v>
      </c>
      <c r="BA18" s="25">
        <v>0</v>
      </c>
      <c r="BB18" s="25">
        <v>91.519000000000005</v>
      </c>
      <c r="BC18" s="25">
        <v>0</v>
      </c>
      <c r="BD18" s="59">
        <v>0</v>
      </c>
      <c r="BE18" s="50">
        <f t="shared" si="12"/>
        <v>1.0433014872508033</v>
      </c>
      <c r="BF18" s="26">
        <f t="shared" si="13"/>
        <v>-6.3534304063037061E-3</v>
      </c>
      <c r="BG18" s="26">
        <f t="shared" si="14"/>
        <v>7.6356866495586595E-3</v>
      </c>
      <c r="BH18" s="26"/>
      <c r="BJ18" s="50"/>
      <c r="BK18" s="50"/>
      <c r="BL18" s="50"/>
      <c r="BM18" s="50"/>
      <c r="BN18" s="50"/>
      <c r="BP18" s="50"/>
      <c r="BQ18" s="50"/>
      <c r="BR18" s="50"/>
      <c r="BS18" s="50"/>
      <c r="BT18" s="50"/>
    </row>
    <row r="19" spans="1:72" outlineLevel="1" x14ac:dyDescent="0.3">
      <c r="A19" s="54"/>
      <c r="B19" s="27" t="s">
        <v>62</v>
      </c>
      <c r="C19" s="28" t="s">
        <v>234</v>
      </c>
      <c r="D19" s="27">
        <v>322589704</v>
      </c>
      <c r="E19" s="28">
        <v>10</v>
      </c>
      <c r="F19" s="28">
        <v>32</v>
      </c>
      <c r="G19" s="28">
        <v>30</v>
      </c>
      <c r="I19" s="29">
        <f t="shared" si="0"/>
        <v>35.736937500000003</v>
      </c>
      <c r="J19" s="30">
        <f t="shared" si="1"/>
        <v>0.11816682159204932</v>
      </c>
      <c r="K19" s="30">
        <f t="shared" si="2"/>
        <v>2.7760340423016106E-2</v>
      </c>
      <c r="L19" s="30">
        <f t="shared" si="3"/>
        <v>2.064958651005179E-2</v>
      </c>
      <c r="M19" s="30">
        <f t="shared" si="4"/>
        <v>9.0406481169033215E-2</v>
      </c>
      <c r="N19" s="27">
        <f t="shared" si="5"/>
        <v>8955200</v>
      </c>
      <c r="O19" s="30">
        <v>16</v>
      </c>
      <c r="P19" s="31">
        <v>46470040</v>
      </c>
      <c r="Q19" s="31">
        <v>1452188.75</v>
      </c>
      <c r="R19" s="31">
        <v>430516.78125</v>
      </c>
      <c r="S19" s="32">
        <v>38119400</v>
      </c>
      <c r="T19" s="32">
        <v>6661344</v>
      </c>
      <c r="U19" s="32">
        <v>2293856</v>
      </c>
      <c r="V19" s="32">
        <v>29164200</v>
      </c>
      <c r="W19" s="33">
        <v>71.345403125000004</v>
      </c>
      <c r="X19" s="33">
        <v>75.149940624999999</v>
      </c>
      <c r="Y19" s="33">
        <v>39.685934375000002</v>
      </c>
      <c r="Z19" s="33">
        <v>47.867106249999999</v>
      </c>
      <c r="AA19" s="33">
        <v>48.469115625000001</v>
      </c>
      <c r="AB19" s="34">
        <v>3185.79</v>
      </c>
      <c r="AC19" s="34">
        <v>0</v>
      </c>
      <c r="AD19" s="34">
        <v>90.677000000000007</v>
      </c>
      <c r="AE19" s="34">
        <v>0</v>
      </c>
      <c r="AF19" s="58">
        <v>0</v>
      </c>
      <c r="AG19" s="29">
        <f t="shared" si="6"/>
        <v>36.291960000000003</v>
      </c>
      <c r="AH19" s="30">
        <f t="shared" si="7"/>
        <v>0.12000204445458681</v>
      </c>
      <c r="AI19" s="30">
        <f t="shared" si="8"/>
        <v>2.9345090319435614E-2</v>
      </c>
      <c r="AJ19" s="30">
        <f t="shared" si="9"/>
        <v>2.1700209006050609E-2</v>
      </c>
      <c r="AK19" s="30">
        <f t="shared" si="10"/>
        <v>9.0656954135151194E-2</v>
      </c>
      <c r="AL19" s="27">
        <f t="shared" si="11"/>
        <v>9466424</v>
      </c>
      <c r="AM19" s="30">
        <v>-12</v>
      </c>
      <c r="AN19" s="31">
        <v>45905264</v>
      </c>
      <c r="AO19" s="31">
        <v>1434539.5</v>
      </c>
      <c r="AP19" s="31">
        <v>417531.46875</v>
      </c>
      <c r="AQ19" s="32">
        <v>38711424</v>
      </c>
      <c r="AR19" s="32">
        <v>7000264</v>
      </c>
      <c r="AS19" s="32">
        <v>2466160</v>
      </c>
      <c r="AT19" s="32">
        <v>29245000</v>
      </c>
      <c r="AU19" s="33">
        <v>71.245459374999996</v>
      </c>
      <c r="AV19" s="33">
        <v>75.111184374999993</v>
      </c>
      <c r="AW19" s="33">
        <v>39.619462499999997</v>
      </c>
      <c r="AX19" s="33">
        <v>47.820684374999999</v>
      </c>
      <c r="AY19" s="33">
        <v>48.419184375</v>
      </c>
      <c r="AZ19" s="34">
        <v>2563.06</v>
      </c>
      <c r="BA19" s="34">
        <v>0</v>
      </c>
      <c r="BB19" s="34">
        <v>88.117999999999995</v>
      </c>
      <c r="BC19" s="34">
        <v>0</v>
      </c>
      <c r="BD19" s="59">
        <v>0</v>
      </c>
      <c r="BE19" s="35">
        <f t="shared" si="12"/>
        <v>1.0570868322315525</v>
      </c>
      <c r="BF19" s="36">
        <f t="shared" si="13"/>
        <v>-5.4045251824886842E-3</v>
      </c>
      <c r="BG19" s="36">
        <f t="shared" si="14"/>
        <v>9.6132542811880328E-3</v>
      </c>
      <c r="BH19" s="36"/>
      <c r="BJ19" s="35"/>
      <c r="BK19" s="35"/>
      <c r="BL19" s="35"/>
      <c r="BM19" s="35"/>
      <c r="BN19" s="35"/>
      <c r="BP19" s="35"/>
      <c r="BQ19" s="35"/>
      <c r="BR19" s="35"/>
      <c r="BS19" s="35"/>
      <c r="BT19" s="35"/>
    </row>
    <row r="20" spans="1:72" x14ac:dyDescent="0.3">
      <c r="A20" s="18"/>
      <c r="B20" s="18" t="s">
        <v>68</v>
      </c>
      <c r="C20" s="19" t="s">
        <v>230</v>
      </c>
      <c r="D20" s="18">
        <v>250602891</v>
      </c>
      <c r="E20" s="19">
        <v>10</v>
      </c>
      <c r="F20" s="19">
        <v>32</v>
      </c>
      <c r="G20" s="19">
        <v>50</v>
      </c>
      <c r="I20" s="20">
        <f t="shared" si="0"/>
        <v>5.0908875</v>
      </c>
      <c r="J20" s="21">
        <f t="shared" si="1"/>
        <v>1.3001318488380886E-2</v>
      </c>
      <c r="K20" s="21">
        <f t="shared" si="2"/>
        <v>7.5827058196228075E-3</v>
      </c>
      <c r="L20" s="21">
        <f t="shared" si="3"/>
        <v>3.7914646403660202E-3</v>
      </c>
      <c r="M20" s="21">
        <f t="shared" si="4"/>
        <v>5.418612668758079E-3</v>
      </c>
      <c r="N20" s="18">
        <f t="shared" si="5"/>
        <v>1900248</v>
      </c>
      <c r="O20" s="21">
        <v>16</v>
      </c>
      <c r="P20" s="22">
        <v>40685984</v>
      </c>
      <c r="Q20" s="22">
        <v>1271437</v>
      </c>
      <c r="R20" s="22">
        <v>340596.46875</v>
      </c>
      <c r="S20" s="23">
        <v>3258168</v>
      </c>
      <c r="T20" s="23">
        <v>950152</v>
      </c>
      <c r="U20" s="23">
        <v>950096</v>
      </c>
      <c r="V20" s="23">
        <v>1357920</v>
      </c>
      <c r="W20" s="24">
        <v>66.443431250000003</v>
      </c>
      <c r="X20" s="24">
        <v>67.960268749999997</v>
      </c>
      <c r="Y20" s="24">
        <v>30.722740625</v>
      </c>
      <c r="Z20" s="24">
        <v>39.511896874999998</v>
      </c>
      <c r="AA20" s="24">
        <v>38.274156249999997</v>
      </c>
      <c r="AB20" s="25">
        <v>2711.52</v>
      </c>
      <c r="AC20" s="25">
        <v>0</v>
      </c>
      <c r="AD20" s="25">
        <v>72.498000000000005</v>
      </c>
      <c r="AE20" s="25">
        <v>0</v>
      </c>
      <c r="AF20" s="58">
        <v>0</v>
      </c>
      <c r="AG20" s="20">
        <f t="shared" si="6"/>
        <v>5.2262500000000003</v>
      </c>
      <c r="AH20" s="21">
        <f t="shared" si="7"/>
        <v>1.3347012824365222E-2</v>
      </c>
      <c r="AI20" s="21">
        <f t="shared" si="8"/>
        <v>7.7529512618431844E-3</v>
      </c>
      <c r="AJ20" s="21">
        <f t="shared" si="9"/>
        <v>3.8491495295638867E-3</v>
      </c>
      <c r="AK20" s="21">
        <f t="shared" si="10"/>
        <v>5.5940615625220385E-3</v>
      </c>
      <c r="AL20" s="18">
        <f t="shared" si="11"/>
        <v>1942912</v>
      </c>
      <c r="AM20" s="21">
        <v>-12</v>
      </c>
      <c r="AN20" s="22">
        <v>40542720</v>
      </c>
      <c r="AO20" s="22">
        <v>1266960</v>
      </c>
      <c r="AP20" s="22">
        <v>341188.0625</v>
      </c>
      <c r="AQ20" s="23">
        <v>3344800</v>
      </c>
      <c r="AR20" s="23">
        <v>964608</v>
      </c>
      <c r="AS20" s="23">
        <v>978304</v>
      </c>
      <c r="AT20" s="23">
        <v>1401888</v>
      </c>
      <c r="AU20" s="24">
        <v>66.485306249999994</v>
      </c>
      <c r="AV20" s="24">
        <v>68.004178124999996</v>
      </c>
      <c r="AW20" s="24">
        <v>30.568312500000001</v>
      </c>
      <c r="AX20" s="24">
        <v>39.299465625000003</v>
      </c>
      <c r="AY20" s="24">
        <v>37.969034375</v>
      </c>
      <c r="AZ20" s="25">
        <v>2054.98</v>
      </c>
      <c r="BA20" s="25">
        <v>0</v>
      </c>
      <c r="BB20" s="25">
        <v>72.825999999999993</v>
      </c>
      <c r="BC20" s="25">
        <v>0</v>
      </c>
      <c r="BD20" s="59">
        <v>0</v>
      </c>
      <c r="BE20" s="50">
        <f t="shared" si="12"/>
        <v>1.0224518062905472</v>
      </c>
      <c r="BF20" s="26">
        <f t="shared" si="13"/>
        <v>1.4135460720374748E-3</v>
      </c>
      <c r="BG20" s="26">
        <f t="shared" si="14"/>
        <v>-2.3505223397483066E-3</v>
      </c>
      <c r="BH20" s="26">
        <f t="array" ref="BH20">AVERAGE(AL20:AL24/AQ20:AQ24) - AVERAGE(N20:N24/S20:S24)</f>
        <v>-5.2525661047309047E-4</v>
      </c>
      <c r="BJ20" s="50">
        <f>IF( OR(ISBLANK(N20:N24),ISBLANK(AL20:AL24), ISBLANK(W20:W24),ISBLANK(AU20:AU24)), "·", bdRateExtend( N20:N24,W20:W24, AL20:AL24,AU20:AU24))</f>
        <v>2.0186610990125864E-2</v>
      </c>
      <c r="BK20" s="50">
        <f>IF( OR(ISBLANK(N20:N24),ISBLANK(AL20:AL24), ISBLANK(X20:X24),ISBLANK(AV20:AV24)), "·", bdRateExtend( N20:N24,X20:X24, AL20:AL24,AV20:AV24))</f>
        <v>2.009522151921983E-2</v>
      </c>
      <c r="BL20" s="50">
        <f>IF( OR(ISBLANK(V20:V24),ISBLANK(AT20:AT24), ISBLANK(Y20:Y24),ISBLANK(AW20:AW24)), "·", bdRateExtend( V20:V24,Y20:Y24, AT20:AT24,AW20:AW24))</f>
        <v>6.1231173644577419E-2</v>
      </c>
      <c r="BM20" s="50">
        <f>IF( OR(ISBLANK(V20:V24),ISBLANK(AT20:AT24), ISBLANK(Z20:Z24),ISBLANK(AX20:AX24)), "·", bdRateExtend( V20:V24,Z20:Z24, AT20:AT24,AX20:AX24))</f>
        <v>0.10375560706448583</v>
      </c>
      <c r="BN20" s="50">
        <f>IF( OR(ISBLANK(V20:V24),ISBLANK(AT20:AT24), ISBLANK(AA20:AA24),ISBLANK(AY20:AY24)), "·", bdRateExtend( V20:V24,AA20:AA24, AT20:AT24,AY20:AY24))</f>
        <v>0.14660765137127951</v>
      </c>
      <c r="BP20" s="50">
        <f>IF( OR(ISBLANK(S20:S24),ISBLANK(AQ20:AQ24), ISBLANK(W20:W24),ISBLANK(AU20:AU24)), "·", bdRateExtend( S20:S24,W20:W24, AQ20:AQ24,AU20:AU24))</f>
        <v>1.0125327099218984E-2</v>
      </c>
      <c r="BQ20" s="50">
        <f>IF( OR(ISBLANK(S20:S24),ISBLANK(AQ20:AQ24), ISBLANK(X20:X24),ISBLANK(AV20:AV24)), "·", bdRateExtend( S20:S24,X20:X24, AQ20:AQ24,AV20:AV24))</f>
        <v>1.1877931791701712E-2</v>
      </c>
      <c r="BR20" s="50">
        <f>IF( OR(ISBLANK(S20:S24),ISBLANK(AQ20:AQ24), ISBLANK(Y20:Y24),ISBLANK(AW20:AW24)), "·", bdRateExtend( S20:S24,Y20:Y24, AQ20:AQ24,AW20:AW24))</f>
        <v>5.0580790615751603E-2</v>
      </c>
      <c r="BS20" s="50">
        <f>IF( OR(ISBLANK(S20:S24),ISBLANK(AQ20:AQ24), ISBLANK(Z20:Z24),ISBLANK(AX20:AX24)), "·", bdRateExtend( S20:S24,Z20:Z24, AQ20:AQ24,AX20:AX24))</f>
        <v>7.7872772406569313E-2</v>
      </c>
      <c r="BT20" s="50">
        <f>IF( OR(ISBLANK(S20:S24),ISBLANK(AQ20:AQ24), ISBLANK(AA20:AA24),ISBLANK(AY20:AY24)), "·", bdRateExtend( S20:S24,AA20:AA24, AQ20:AQ24,AY20:AY24))</f>
        <v>0.10644792800319025</v>
      </c>
    </row>
    <row r="21" spans="1:72" outlineLevel="1" x14ac:dyDescent="0.3">
      <c r="A21" s="54"/>
      <c r="B21" s="54" t="s">
        <v>68</v>
      </c>
      <c r="C21" s="10" t="s">
        <v>231</v>
      </c>
      <c r="D21" s="54">
        <v>250602891</v>
      </c>
      <c r="E21" s="10">
        <v>10</v>
      </c>
      <c r="F21" s="10">
        <v>32</v>
      </c>
      <c r="G21" s="10">
        <v>50</v>
      </c>
      <c r="I21" s="11">
        <f t="shared" si="0"/>
        <v>7.567475</v>
      </c>
      <c r="J21" s="12">
        <f t="shared" si="1"/>
        <v>1.9326129801112309E-2</v>
      </c>
      <c r="K21" s="12">
        <f t="shared" si="2"/>
        <v>9.0183796004172992E-3</v>
      </c>
      <c r="L21" s="12">
        <f t="shared" si="3"/>
        <v>5.2271384211605128E-3</v>
      </c>
      <c r="M21" s="12">
        <f t="shared" si="4"/>
        <v>1.0307750200695012E-2</v>
      </c>
      <c r="N21" s="54">
        <f t="shared" si="5"/>
        <v>2260032</v>
      </c>
      <c r="O21" s="12">
        <v>16</v>
      </c>
      <c r="P21" s="13">
        <v>40685984</v>
      </c>
      <c r="Q21" s="13">
        <v>1271437</v>
      </c>
      <c r="R21" s="13">
        <v>304180.3125</v>
      </c>
      <c r="S21" s="14">
        <v>4843184</v>
      </c>
      <c r="T21" s="14">
        <v>1309936</v>
      </c>
      <c r="U21" s="14">
        <v>950096</v>
      </c>
      <c r="V21" s="14">
        <v>2583152</v>
      </c>
      <c r="W21" s="15">
        <v>67.911165624999995</v>
      </c>
      <c r="X21" s="15">
        <v>69.766625000000005</v>
      </c>
      <c r="Y21" s="15">
        <v>32.561021875000002</v>
      </c>
      <c r="Z21" s="15">
        <v>40.697315625000002</v>
      </c>
      <c r="AA21" s="15">
        <v>39.632271875000001</v>
      </c>
      <c r="AB21" s="16">
        <v>2794.74</v>
      </c>
      <c r="AC21" s="16">
        <v>0</v>
      </c>
      <c r="AD21" s="16">
        <v>73.998999999999995</v>
      </c>
      <c r="AE21" s="16">
        <v>0</v>
      </c>
      <c r="AF21" s="58">
        <v>0</v>
      </c>
      <c r="AG21" s="11">
        <f t="shared" si="6"/>
        <v>7.8491125000000004</v>
      </c>
      <c r="AH21" s="12">
        <f t="shared" si="7"/>
        <v>2.0045387265703971E-2</v>
      </c>
      <c r="AI21" s="12">
        <f t="shared" si="8"/>
        <v>9.2477464675377579E-3</v>
      </c>
      <c r="AJ21" s="12">
        <f t="shared" si="9"/>
        <v>5.3439447352584615E-3</v>
      </c>
      <c r="AK21" s="12">
        <f t="shared" si="10"/>
        <v>1.0797640798166211E-2</v>
      </c>
      <c r="AL21" s="54">
        <f t="shared" si="11"/>
        <v>2317512</v>
      </c>
      <c r="AM21" s="12">
        <v>-12</v>
      </c>
      <c r="AN21" s="13">
        <v>40542720</v>
      </c>
      <c r="AO21" s="13">
        <v>1266960</v>
      </c>
      <c r="AP21" s="13">
        <v>300813.65625</v>
      </c>
      <c r="AQ21" s="14">
        <v>5023432</v>
      </c>
      <c r="AR21" s="14">
        <v>1339208</v>
      </c>
      <c r="AS21" s="14">
        <v>978304</v>
      </c>
      <c r="AT21" s="14">
        <v>2705920</v>
      </c>
      <c r="AU21" s="15">
        <v>67.952550000000002</v>
      </c>
      <c r="AV21" s="15">
        <v>69.815799999999996</v>
      </c>
      <c r="AW21" s="15">
        <v>32.4801</v>
      </c>
      <c r="AX21" s="15">
        <v>40.483028124999997</v>
      </c>
      <c r="AY21" s="15">
        <v>39.319584374999998</v>
      </c>
      <c r="AZ21" s="16">
        <v>2143.73</v>
      </c>
      <c r="BA21" s="16">
        <v>0</v>
      </c>
      <c r="BB21" s="16">
        <v>74.816000000000003</v>
      </c>
      <c r="BC21" s="16">
        <v>0</v>
      </c>
      <c r="BD21" s="59">
        <v>0</v>
      </c>
      <c r="BE21" s="51">
        <f t="shared" si="12"/>
        <v>1.0254332682015121</v>
      </c>
      <c r="BF21" s="17">
        <f t="shared" si="13"/>
        <v>-1.8118746426456223E-3</v>
      </c>
      <c r="BG21" s="17">
        <f t="shared" si="14"/>
        <v>-5.3014049883928216E-3</v>
      </c>
      <c r="BH21" s="17"/>
      <c r="BJ21" s="51"/>
      <c r="BK21" s="51"/>
      <c r="BL21" s="51"/>
      <c r="BM21" s="51"/>
      <c r="BN21" s="51"/>
      <c r="BP21" s="51"/>
      <c r="BQ21" s="51"/>
      <c r="BR21" s="51"/>
      <c r="BS21" s="51"/>
      <c r="BT21" s="51"/>
    </row>
    <row r="22" spans="1:72" outlineLevel="1" x14ac:dyDescent="0.3">
      <c r="A22" s="18"/>
      <c r="B22" s="18" t="s">
        <v>68</v>
      </c>
      <c r="C22" s="19" t="s">
        <v>232</v>
      </c>
      <c r="D22" s="18">
        <v>250602891</v>
      </c>
      <c r="E22" s="19">
        <v>10</v>
      </c>
      <c r="F22" s="19">
        <v>32</v>
      </c>
      <c r="G22" s="19">
        <v>50</v>
      </c>
      <c r="I22" s="20">
        <f t="shared" si="0"/>
        <v>12.424725</v>
      </c>
      <c r="J22" s="21">
        <f t="shared" si="1"/>
        <v>3.1730775204823952E-2</v>
      </c>
      <c r="K22" s="21">
        <f t="shared" si="2"/>
        <v>1.1264706439479981E-2</v>
      </c>
      <c r="L22" s="21">
        <f t="shared" si="3"/>
        <v>7.4734652602231949E-3</v>
      </c>
      <c r="M22" s="21">
        <f t="shared" si="4"/>
        <v>2.0466068765343973E-2</v>
      </c>
      <c r="N22" s="18">
        <f t="shared" si="5"/>
        <v>2822968</v>
      </c>
      <c r="O22" s="21">
        <v>16</v>
      </c>
      <c r="P22" s="22">
        <v>40685984</v>
      </c>
      <c r="Q22" s="22">
        <v>1271437</v>
      </c>
      <c r="R22" s="22">
        <v>265569.40625</v>
      </c>
      <c r="S22" s="23">
        <v>7951824</v>
      </c>
      <c r="T22" s="23">
        <v>1872872</v>
      </c>
      <c r="U22" s="23">
        <v>950096</v>
      </c>
      <c r="V22" s="23">
        <v>5128856</v>
      </c>
      <c r="W22" s="24">
        <v>69.115356250000005</v>
      </c>
      <c r="X22" s="24">
        <v>71.277799999999999</v>
      </c>
      <c r="Y22" s="24">
        <v>34.390265624999998</v>
      </c>
      <c r="Z22" s="24">
        <v>41.737987500000003</v>
      </c>
      <c r="AA22" s="24">
        <v>40.709474999999998</v>
      </c>
      <c r="AB22" s="25">
        <v>2861.55</v>
      </c>
      <c r="AC22" s="25">
        <v>0</v>
      </c>
      <c r="AD22" s="25">
        <v>76.254999999999995</v>
      </c>
      <c r="AE22" s="25">
        <v>0</v>
      </c>
      <c r="AF22" s="58">
        <v>0</v>
      </c>
      <c r="AG22" s="20">
        <f t="shared" si="6"/>
        <v>12.828075</v>
      </c>
      <c r="AH22" s="21">
        <f t="shared" si="7"/>
        <v>3.2760867072359513E-2</v>
      </c>
      <c r="AI22" s="21">
        <f t="shared" si="8"/>
        <v>1.1588054664540961E-2</v>
      </c>
      <c r="AJ22" s="21">
        <f t="shared" si="9"/>
        <v>7.6842529322616636E-3</v>
      </c>
      <c r="AK22" s="21">
        <f t="shared" si="10"/>
        <v>2.1172812407818552E-2</v>
      </c>
      <c r="AL22" s="18">
        <f t="shared" si="11"/>
        <v>2904000</v>
      </c>
      <c r="AM22" s="21">
        <v>-12</v>
      </c>
      <c r="AN22" s="22">
        <v>40542720</v>
      </c>
      <c r="AO22" s="22">
        <v>1266960</v>
      </c>
      <c r="AP22" s="22">
        <v>262932.875</v>
      </c>
      <c r="AQ22" s="23">
        <v>8209968</v>
      </c>
      <c r="AR22" s="23">
        <v>1925696</v>
      </c>
      <c r="AS22" s="23">
        <v>978304</v>
      </c>
      <c r="AT22" s="23">
        <v>5305968</v>
      </c>
      <c r="AU22" s="24">
        <v>69.182684374999994</v>
      </c>
      <c r="AV22" s="24">
        <v>71.362887499999999</v>
      </c>
      <c r="AW22" s="24">
        <v>34.345996874999997</v>
      </c>
      <c r="AX22" s="24">
        <v>41.601687499999997</v>
      </c>
      <c r="AY22" s="24">
        <v>40.498393749999998</v>
      </c>
      <c r="AZ22" s="25">
        <v>2159.64</v>
      </c>
      <c r="BA22" s="25">
        <v>0</v>
      </c>
      <c r="BB22" s="25">
        <v>76.411000000000001</v>
      </c>
      <c r="BC22" s="25">
        <v>0</v>
      </c>
      <c r="BD22" s="59">
        <v>0</v>
      </c>
      <c r="BE22" s="50">
        <f t="shared" si="12"/>
        <v>1.028704540752853</v>
      </c>
      <c r="BF22" s="26">
        <f t="shared" si="13"/>
        <v>-1.3429034123427219E-3</v>
      </c>
      <c r="BG22" s="26">
        <f t="shared" si="14"/>
        <v>-1.2925029704304869E-3</v>
      </c>
      <c r="BH22" s="26"/>
      <c r="BJ22" s="50"/>
      <c r="BK22" s="50"/>
      <c r="BL22" s="50"/>
      <c r="BM22" s="50"/>
      <c r="BN22" s="50"/>
      <c r="BP22" s="50"/>
      <c r="BQ22" s="50"/>
      <c r="BR22" s="50"/>
      <c r="BS22" s="50"/>
      <c r="BT22" s="50"/>
    </row>
    <row r="23" spans="1:72" outlineLevel="1" x14ac:dyDescent="0.3">
      <c r="A23" s="54"/>
      <c r="B23" s="54" t="s">
        <v>68</v>
      </c>
      <c r="C23" s="10" t="s">
        <v>233</v>
      </c>
      <c r="D23" s="54">
        <v>250602891</v>
      </c>
      <c r="E23" s="10">
        <v>10</v>
      </c>
      <c r="F23" s="10">
        <v>32</v>
      </c>
      <c r="G23" s="10">
        <v>50</v>
      </c>
      <c r="I23" s="11">
        <f t="shared" si="0"/>
        <v>22.335525000000001</v>
      </c>
      <c r="J23" s="12">
        <f t="shared" si="1"/>
        <v>5.7041385049304956E-2</v>
      </c>
      <c r="K23" s="12">
        <f t="shared" si="2"/>
        <v>1.5193120816790577E-2</v>
      </c>
      <c r="L23" s="12">
        <f t="shared" si="3"/>
        <v>1.140187963753379E-2</v>
      </c>
      <c r="M23" s="12">
        <f t="shared" si="4"/>
        <v>4.1848264232514379E-2</v>
      </c>
      <c r="N23" s="54">
        <f t="shared" si="5"/>
        <v>3807440</v>
      </c>
      <c r="O23" s="12">
        <v>16</v>
      </c>
      <c r="P23" s="13">
        <v>40685984</v>
      </c>
      <c r="Q23" s="13">
        <v>1271437</v>
      </c>
      <c r="R23" s="13">
        <v>266877.1875</v>
      </c>
      <c r="S23" s="14">
        <v>14294736</v>
      </c>
      <c r="T23" s="14">
        <v>2857344</v>
      </c>
      <c r="U23" s="14">
        <v>950096</v>
      </c>
      <c r="V23" s="14">
        <v>10487296</v>
      </c>
      <c r="W23" s="15">
        <v>70.003062499999999</v>
      </c>
      <c r="X23" s="15">
        <v>72.386859375</v>
      </c>
      <c r="Y23" s="15">
        <v>36.085459374999999</v>
      </c>
      <c r="Z23" s="15">
        <v>42.927556250000002</v>
      </c>
      <c r="AA23" s="15">
        <v>41.798271874999998</v>
      </c>
      <c r="AB23" s="16">
        <v>3022.76</v>
      </c>
      <c r="AC23" s="16">
        <v>0</v>
      </c>
      <c r="AD23" s="16">
        <v>75.533000000000001</v>
      </c>
      <c r="AE23" s="16">
        <v>0</v>
      </c>
      <c r="AF23" s="58">
        <v>0</v>
      </c>
      <c r="AG23" s="11">
        <f t="shared" si="6"/>
        <v>22.918787500000001</v>
      </c>
      <c r="AH23" s="12">
        <f t="shared" si="7"/>
        <v>5.8530944880440347E-2</v>
      </c>
      <c r="AI23" s="12">
        <f t="shared" si="8"/>
        <v>1.5676946041296866E-2</v>
      </c>
      <c r="AJ23" s="12">
        <f t="shared" si="9"/>
        <v>1.1773144309017568E-2</v>
      </c>
      <c r="AK23" s="12">
        <f t="shared" si="10"/>
        <v>4.2853998839143481E-2</v>
      </c>
      <c r="AL23" s="54">
        <f t="shared" si="11"/>
        <v>3928688</v>
      </c>
      <c r="AM23" s="12">
        <v>-12</v>
      </c>
      <c r="AN23" s="13">
        <v>40542720</v>
      </c>
      <c r="AO23" s="13">
        <v>1266960</v>
      </c>
      <c r="AP23" s="13">
        <v>263335.3125</v>
      </c>
      <c r="AQ23" s="14">
        <v>14668024</v>
      </c>
      <c r="AR23" s="14">
        <v>2950384</v>
      </c>
      <c r="AS23" s="14">
        <v>978304</v>
      </c>
      <c r="AT23" s="14">
        <v>10739336</v>
      </c>
      <c r="AU23" s="15">
        <v>70.066781250000005</v>
      </c>
      <c r="AV23" s="15">
        <v>72.485578125000004</v>
      </c>
      <c r="AW23" s="15">
        <v>36.036303125000003</v>
      </c>
      <c r="AX23" s="15">
        <v>42.916831250000001</v>
      </c>
      <c r="AY23" s="15">
        <v>41.741237499999997</v>
      </c>
      <c r="AZ23" s="16">
        <v>2345.91</v>
      </c>
      <c r="BA23" s="16">
        <v>0</v>
      </c>
      <c r="BB23" s="16">
        <v>75.828000000000003</v>
      </c>
      <c r="BC23" s="16">
        <v>0</v>
      </c>
      <c r="BD23" s="59">
        <v>0</v>
      </c>
      <c r="BE23" s="51">
        <f t="shared" si="12"/>
        <v>1.0318450192255164</v>
      </c>
      <c r="BF23" s="17">
        <f t="shared" si="13"/>
        <v>-2.0538483310209021E-3</v>
      </c>
      <c r="BG23" s="17">
        <f t="shared" si="14"/>
        <v>1.4877104959952758E-3</v>
      </c>
      <c r="BH23" s="17"/>
      <c r="BJ23" s="51"/>
      <c r="BK23" s="51"/>
      <c r="BL23" s="51"/>
      <c r="BM23" s="51"/>
      <c r="BN23" s="51"/>
      <c r="BP23" s="51"/>
      <c r="BQ23" s="51"/>
      <c r="BR23" s="51"/>
      <c r="BS23" s="51"/>
      <c r="BT23" s="51"/>
    </row>
    <row r="24" spans="1:72" outlineLevel="1" x14ac:dyDescent="0.3">
      <c r="A24" s="37"/>
      <c r="B24" s="37" t="s">
        <v>68</v>
      </c>
      <c r="C24" s="38" t="s">
        <v>234</v>
      </c>
      <c r="D24" s="37">
        <v>250602891</v>
      </c>
      <c r="E24" s="38">
        <v>10</v>
      </c>
      <c r="F24" s="38">
        <v>32</v>
      </c>
      <c r="G24" s="38">
        <v>50</v>
      </c>
      <c r="I24" s="39">
        <f t="shared" si="0"/>
        <v>39.292999999999999</v>
      </c>
      <c r="J24" s="40">
        <f t="shared" si="1"/>
        <v>0.10034808417274005</v>
      </c>
      <c r="K24" s="40">
        <f t="shared" si="2"/>
        <v>2.5280378748703262E-2</v>
      </c>
      <c r="L24" s="40">
        <f t="shared" si="3"/>
        <v>1.7958835119743291E-2</v>
      </c>
      <c r="M24" s="40">
        <f t="shared" si="4"/>
        <v>7.506770542403679E-2</v>
      </c>
      <c r="N24" s="37">
        <f t="shared" si="5"/>
        <v>6335336</v>
      </c>
      <c r="O24" s="40">
        <v>16</v>
      </c>
      <c r="P24" s="41">
        <v>38287000</v>
      </c>
      <c r="Q24" s="41">
        <v>1196468.75</v>
      </c>
      <c r="R24" s="41">
        <v>225251.90625</v>
      </c>
      <c r="S24" s="42">
        <v>25147520</v>
      </c>
      <c r="T24" s="42">
        <v>4500536</v>
      </c>
      <c r="U24" s="42">
        <v>1834800</v>
      </c>
      <c r="V24" s="42">
        <v>18812184</v>
      </c>
      <c r="W24" s="43">
        <v>72.085549999999998</v>
      </c>
      <c r="X24" s="43">
        <v>75.98850625</v>
      </c>
      <c r="Y24" s="43">
        <v>37.424437500000003</v>
      </c>
      <c r="Z24" s="43">
        <v>43.961909374999998</v>
      </c>
      <c r="AA24" s="43">
        <v>42.636009375</v>
      </c>
      <c r="AB24" s="44">
        <v>3204.26</v>
      </c>
      <c r="AC24" s="44">
        <v>0</v>
      </c>
      <c r="AD24" s="44">
        <v>76.119</v>
      </c>
      <c r="AE24" s="44">
        <v>0</v>
      </c>
      <c r="AF24" s="58">
        <v>0</v>
      </c>
      <c r="AG24" s="39">
        <f t="shared" si="6"/>
        <v>40.239312499999997</v>
      </c>
      <c r="AH24" s="40">
        <f t="shared" si="7"/>
        <v>0.10276481606910114</v>
      </c>
      <c r="AI24" s="40">
        <f t="shared" si="8"/>
        <v>2.638561739497251E-2</v>
      </c>
      <c r="AJ24" s="40">
        <f t="shared" si="9"/>
        <v>1.8627366912538929E-2</v>
      </c>
      <c r="AK24" s="40">
        <f t="shared" si="10"/>
        <v>7.6379198674128623E-2</v>
      </c>
      <c r="AL24" s="37">
        <f t="shared" si="11"/>
        <v>6612312</v>
      </c>
      <c r="AM24" s="40">
        <v>-12</v>
      </c>
      <c r="AN24" s="41">
        <v>38131016</v>
      </c>
      <c r="AO24" s="41">
        <v>1191594.25</v>
      </c>
      <c r="AP24" s="41">
        <v>221383.125</v>
      </c>
      <c r="AQ24" s="42">
        <v>25753160</v>
      </c>
      <c r="AR24" s="42">
        <v>4668072</v>
      </c>
      <c r="AS24" s="42">
        <v>1944240</v>
      </c>
      <c r="AT24" s="42">
        <v>19140848</v>
      </c>
      <c r="AU24" s="43">
        <v>72.054915625000007</v>
      </c>
      <c r="AV24" s="43">
        <v>75.933471874999995</v>
      </c>
      <c r="AW24" s="43">
        <v>37.385431250000003</v>
      </c>
      <c r="AX24" s="43">
        <v>44.020390624999997</v>
      </c>
      <c r="AY24" s="43">
        <v>42.830015625000001</v>
      </c>
      <c r="AZ24" s="44">
        <v>2504.9299999999998</v>
      </c>
      <c r="BA24" s="44">
        <v>0</v>
      </c>
      <c r="BB24" s="44">
        <v>75.149000000000001</v>
      </c>
      <c r="BC24" s="44">
        <v>0</v>
      </c>
      <c r="BD24" s="59">
        <v>0</v>
      </c>
      <c r="BE24" s="45">
        <f t="shared" si="12"/>
        <v>1.0437192281514351</v>
      </c>
      <c r="BF24" s="46">
        <f t="shared" si="13"/>
        <v>-2.4765885991873959E-3</v>
      </c>
      <c r="BG24" s="46">
        <f t="shared" si="14"/>
        <v>4.8304367502106094E-3</v>
      </c>
      <c r="BH24" s="46"/>
      <c r="BJ24" s="45"/>
      <c r="BK24" s="45"/>
      <c r="BL24" s="45"/>
      <c r="BM24" s="45"/>
      <c r="BN24" s="45"/>
      <c r="BP24" s="45"/>
      <c r="BQ24" s="45"/>
      <c r="BR24" s="45"/>
      <c r="BS24" s="45"/>
      <c r="BT24" s="45"/>
    </row>
    <row r="25" spans="1:72" x14ac:dyDescent="0.3">
      <c r="A25" s="54" t="s">
        <v>235</v>
      </c>
      <c r="B25" s="54" t="s">
        <v>71</v>
      </c>
      <c r="C25" s="10" t="s">
        <v>230</v>
      </c>
      <c r="D25" s="54">
        <v>250294582</v>
      </c>
      <c r="E25" s="10">
        <v>10</v>
      </c>
      <c r="F25" s="10">
        <v>32</v>
      </c>
      <c r="G25" s="10">
        <v>30</v>
      </c>
      <c r="I25" s="11">
        <f t="shared" si="0"/>
        <v>4.3321350000000001</v>
      </c>
      <c r="J25" s="12">
        <f t="shared" si="1"/>
        <v>1.8462021682914415E-2</v>
      </c>
      <c r="K25" s="12">
        <f t="shared" si="2"/>
        <v>6.4492646508824553E-3</v>
      </c>
      <c r="L25" s="12">
        <f t="shared" si="3"/>
        <v>3.6966041877806209E-3</v>
      </c>
      <c r="M25" s="12">
        <f t="shared" si="4"/>
        <v>1.2012757032031959E-2</v>
      </c>
      <c r="N25" s="54">
        <f t="shared" si="5"/>
        <v>1614216</v>
      </c>
      <c r="O25" s="12">
        <v>16</v>
      </c>
      <c r="P25" s="13">
        <v>35965984</v>
      </c>
      <c r="Q25" s="13">
        <v>1123937</v>
      </c>
      <c r="R25" s="13">
        <v>406781.5</v>
      </c>
      <c r="S25" s="14">
        <v>4620944</v>
      </c>
      <c r="T25" s="14">
        <v>925240</v>
      </c>
      <c r="U25" s="14">
        <v>688976</v>
      </c>
      <c r="V25" s="14">
        <v>3006728</v>
      </c>
      <c r="W25" s="15">
        <v>66.00690625</v>
      </c>
      <c r="X25" s="15">
        <v>67.411503124999996</v>
      </c>
      <c r="Y25" s="15">
        <v>27.282903125000001</v>
      </c>
      <c r="Z25" s="15">
        <v>33.155328124999997</v>
      </c>
      <c r="AA25" s="15">
        <v>32.570596875</v>
      </c>
      <c r="AB25" s="16">
        <v>1956.69</v>
      </c>
      <c r="AC25" s="16">
        <v>0</v>
      </c>
      <c r="AD25" s="16">
        <v>71.316000000000003</v>
      </c>
      <c r="AE25" s="16">
        <v>0</v>
      </c>
      <c r="AF25" s="58">
        <v>0</v>
      </c>
      <c r="AG25" s="11">
        <f t="shared" si="6"/>
        <v>4.5354374999999996</v>
      </c>
      <c r="AH25" s="12">
        <f t="shared" si="7"/>
        <v>1.9328424775890675E-2</v>
      </c>
      <c r="AI25" s="12">
        <f t="shared" si="8"/>
        <v>6.978848627254744E-3</v>
      </c>
      <c r="AJ25" s="12">
        <f t="shared" si="9"/>
        <v>3.8659726162190758E-3</v>
      </c>
      <c r="AK25" s="12">
        <f t="shared" si="10"/>
        <v>1.2349576148635931E-2</v>
      </c>
      <c r="AL25" s="54">
        <f t="shared" si="11"/>
        <v>1746768</v>
      </c>
      <c r="AM25" s="12">
        <v>-12</v>
      </c>
      <c r="AN25" s="13">
        <v>36616544</v>
      </c>
      <c r="AO25" s="13">
        <v>1144267</v>
      </c>
      <c r="AP25" s="13">
        <v>427975.75</v>
      </c>
      <c r="AQ25" s="14">
        <v>4837800</v>
      </c>
      <c r="AR25" s="14">
        <v>967632</v>
      </c>
      <c r="AS25" s="14">
        <v>779136</v>
      </c>
      <c r="AT25" s="14">
        <v>3091032</v>
      </c>
      <c r="AU25" s="15">
        <v>65.946290625000003</v>
      </c>
      <c r="AV25" s="15">
        <v>67.334531249999998</v>
      </c>
      <c r="AW25" s="15">
        <v>27.30719375</v>
      </c>
      <c r="AX25" s="15">
        <v>33.188162499999997</v>
      </c>
      <c r="AY25" s="15">
        <v>32.607409375000003</v>
      </c>
      <c r="AZ25" s="16">
        <v>1937.18</v>
      </c>
      <c r="BA25" s="16">
        <v>0</v>
      </c>
      <c r="BB25" s="16">
        <v>78.66</v>
      </c>
      <c r="BC25" s="16">
        <v>0</v>
      </c>
      <c r="BD25" s="59">
        <v>0</v>
      </c>
      <c r="BE25" s="51">
        <f t="shared" si="12"/>
        <v>1.0821154046298636</v>
      </c>
      <c r="BF25" s="17">
        <f t="shared" si="13"/>
        <v>1.2091849082439765E-2</v>
      </c>
      <c r="BG25" s="17">
        <f t="shared" si="14"/>
        <v>1.1740575362402195E-2</v>
      </c>
      <c r="BH25" s="17">
        <f t="array" ref="BH25">AVERAGE(AL25:AL29/AQ25:AQ29) - AVERAGE(N25:N29/S25:S29)</f>
        <v>7.7170695265202371E-3</v>
      </c>
      <c r="BJ25" s="51">
        <f>IF( OR(ISBLANK(N25:N29),ISBLANK(AL25:AL29), ISBLANK(W25:W29),ISBLANK(AU25:AU29)), "·", bdRateExtend( N25:N29,W25:W29, AL25:AL29,AU25:AU29))</f>
        <v>7.5574393591145261E-2</v>
      </c>
      <c r="BK25" s="51">
        <f>IF( OR(ISBLANK(N25:N29),ISBLANK(AL25:AL29), ISBLANK(X25:X29),ISBLANK(AV25:AV29)), "·", bdRateExtend( N25:N29,X25:X29, AL25:AL29,AV25:AV29))</f>
        <v>7.7094254307419785E-2</v>
      </c>
      <c r="BL25" s="51">
        <f>IF( OR(ISBLANK(V25:V29),ISBLANK(AT25:AT29), ISBLANK(Y25:Y29),ISBLANK(AW25:AW29)), "·", bdRateExtend( V25:V29,Y25:Y29, AT25:AT29,AW25:AW29))</f>
        <v>6.85684392301944E-3</v>
      </c>
      <c r="BM25" s="51">
        <f>IF( OR(ISBLANK(V25:V29),ISBLANK(AT25:AT29), ISBLANK(Z25:Z29),ISBLANK(AX25:AX29)), "·", bdRateExtend( V25:V29,Z25:Z29, AT25:AT29,AX25:AX29))</f>
        <v>-1.4880451802289363E-3</v>
      </c>
      <c r="BN25" s="51">
        <f>IF( OR(ISBLANK(V25:V29),ISBLANK(AT25:AT29), ISBLANK(AA25:AA29),ISBLANK(AY25:AY29)), "·", bdRateExtend( V25:V29,AA25:AA29, AT25:AT29,AY25:AY29))</f>
        <v>-7.7755048241896496E-3</v>
      </c>
      <c r="BP25" s="51">
        <f>IF( OR(ISBLANK(S25:S29),ISBLANK(AQ25:AQ29), ISBLANK(W25:W29),ISBLANK(AU25:AU29)), "·", bdRateExtend( S25:S29,W25:W29, AQ25:AQ29,AU25:AU29))</f>
        <v>4.6827499805724537E-2</v>
      </c>
      <c r="BQ25" s="51">
        <f>IF( OR(ISBLANK(S25:S29),ISBLANK(AQ25:AQ29), ISBLANK(X25:X29),ISBLANK(AV25:AV29)), "·", bdRateExtend( S25:S29,X25:X29, AQ25:AQ29,AV25:AV29))</f>
        <v>4.3780490926555782E-2</v>
      </c>
      <c r="BR25" s="51">
        <f>IF( OR(ISBLANK(S25:S29),ISBLANK(AQ25:AQ29), ISBLANK(Y25:Y29),ISBLANK(AW25:AW29)), "·", bdRateExtend( S25:S29,Y25:Y29, AQ25:AQ29,AW25:AW29))</f>
        <v>1.7659807802592908E-2</v>
      </c>
      <c r="BS25" s="51">
        <f>IF( OR(ISBLANK(S25:S29),ISBLANK(AQ25:AQ29), ISBLANK(Z25:Z29),ISBLANK(AX25:AX29)), "·", bdRateExtend( S25:S29,Z25:Z29, AQ25:AQ29,AX25:AX29))</f>
        <v>9.2555255748278942E-3</v>
      </c>
      <c r="BT25" s="51">
        <f>IF( OR(ISBLANK(S25:S29),ISBLANK(AQ25:AQ29), ISBLANK(AA25:AA29),ISBLANK(AY25:AY29)), "·", bdRateExtend( S25:S29,AA25:AA29, AQ25:AQ29,AY25:AY29))</f>
        <v>3.8110067152319349E-3</v>
      </c>
    </row>
    <row r="26" spans="1:72" outlineLevel="1" x14ac:dyDescent="0.3">
      <c r="A26" s="18"/>
      <c r="B26" s="18" t="s">
        <v>71</v>
      </c>
      <c r="C26" s="19" t="s">
        <v>231</v>
      </c>
      <c r="D26" s="18">
        <v>250294582</v>
      </c>
      <c r="E26" s="19">
        <v>10</v>
      </c>
      <c r="F26" s="19">
        <v>32</v>
      </c>
      <c r="G26" s="19">
        <v>30</v>
      </c>
      <c r="I26" s="20">
        <f t="shared" si="0"/>
        <v>7.4315249999999997</v>
      </c>
      <c r="J26" s="21">
        <f t="shared" si="1"/>
        <v>3.167052173746214E-2</v>
      </c>
      <c r="K26" s="21">
        <f t="shared" si="2"/>
        <v>7.9824660367598371E-3</v>
      </c>
      <c r="L26" s="21">
        <f t="shared" si="3"/>
        <v>5.2298055736580027E-3</v>
      </c>
      <c r="M26" s="21">
        <f t="shared" si="4"/>
        <v>2.3688055700702301E-2</v>
      </c>
      <c r="N26" s="18">
        <f t="shared" si="5"/>
        <v>1997968</v>
      </c>
      <c r="O26" s="21">
        <v>16</v>
      </c>
      <c r="P26" s="22">
        <v>35965984</v>
      </c>
      <c r="Q26" s="22">
        <v>1123937</v>
      </c>
      <c r="R26" s="22">
        <v>363345.53125</v>
      </c>
      <c r="S26" s="23">
        <v>7926960</v>
      </c>
      <c r="T26" s="23">
        <v>1308992</v>
      </c>
      <c r="U26" s="23">
        <v>688976</v>
      </c>
      <c r="V26" s="23">
        <v>5928992</v>
      </c>
      <c r="W26" s="24">
        <v>67.453931249999997</v>
      </c>
      <c r="X26" s="24">
        <v>69.160274999999999</v>
      </c>
      <c r="Y26" s="24">
        <v>29.65118125</v>
      </c>
      <c r="Z26" s="24">
        <v>34.333340624999998</v>
      </c>
      <c r="AA26" s="24">
        <v>33.879081249999999</v>
      </c>
      <c r="AB26" s="25">
        <v>2048</v>
      </c>
      <c r="AC26" s="25">
        <v>0</v>
      </c>
      <c r="AD26" s="25">
        <v>73.33</v>
      </c>
      <c r="AE26" s="25">
        <v>0</v>
      </c>
      <c r="AF26" s="58">
        <v>0</v>
      </c>
      <c r="AG26" s="20">
        <f t="shared" si="6"/>
        <v>7.7002125000000001</v>
      </c>
      <c r="AH26" s="21">
        <f t="shared" si="7"/>
        <v>3.2815572492096531E-2</v>
      </c>
      <c r="AI26" s="21">
        <f t="shared" si="8"/>
        <v>8.5696781083339623E-3</v>
      </c>
      <c r="AJ26" s="21">
        <f t="shared" si="9"/>
        <v>5.4568020972982946E-3</v>
      </c>
      <c r="AK26" s="21">
        <f t="shared" si="10"/>
        <v>2.4245894383762571E-2</v>
      </c>
      <c r="AL26" s="18">
        <f t="shared" si="11"/>
        <v>2144944</v>
      </c>
      <c r="AM26" s="21">
        <v>-12</v>
      </c>
      <c r="AN26" s="22">
        <v>36616544</v>
      </c>
      <c r="AO26" s="22">
        <v>1144267</v>
      </c>
      <c r="AP26" s="22">
        <v>379477.75</v>
      </c>
      <c r="AQ26" s="23">
        <v>8213560</v>
      </c>
      <c r="AR26" s="23">
        <v>1365808</v>
      </c>
      <c r="AS26" s="23">
        <v>779136</v>
      </c>
      <c r="AT26" s="23">
        <v>6068616</v>
      </c>
      <c r="AU26" s="24">
        <v>67.398728125000005</v>
      </c>
      <c r="AV26" s="24">
        <v>69.089578125000003</v>
      </c>
      <c r="AW26" s="24">
        <v>29.694234375000001</v>
      </c>
      <c r="AX26" s="24">
        <v>34.365328124999998</v>
      </c>
      <c r="AY26" s="24">
        <v>33.920143750000001</v>
      </c>
      <c r="AZ26" s="25">
        <v>1991.42</v>
      </c>
      <c r="BA26" s="25">
        <v>0</v>
      </c>
      <c r="BB26" s="25">
        <v>73.626999999999995</v>
      </c>
      <c r="BC26" s="25">
        <v>0</v>
      </c>
      <c r="BD26" s="59">
        <v>0</v>
      </c>
      <c r="BE26" s="50">
        <f t="shared" si="12"/>
        <v>1.0735627397435794</v>
      </c>
      <c r="BF26" s="26">
        <f t="shared" si="13"/>
        <v>8.3546508118228502E-3</v>
      </c>
      <c r="BG26" s="26">
        <f t="shared" si="14"/>
        <v>9.099498281095908E-3</v>
      </c>
      <c r="BH26" s="26"/>
      <c r="BJ26" s="50"/>
      <c r="BK26" s="50"/>
      <c r="BL26" s="50"/>
      <c r="BM26" s="50"/>
      <c r="BN26" s="50"/>
      <c r="BP26" s="50"/>
      <c r="BQ26" s="50"/>
      <c r="BR26" s="50"/>
      <c r="BS26" s="50"/>
      <c r="BT26" s="50"/>
    </row>
    <row r="27" spans="1:72" outlineLevel="1" x14ac:dyDescent="0.3">
      <c r="A27" s="54"/>
      <c r="B27" s="54" t="s">
        <v>71</v>
      </c>
      <c r="C27" s="10" t="s">
        <v>232</v>
      </c>
      <c r="D27" s="54">
        <v>250294582</v>
      </c>
      <c r="E27" s="10">
        <v>10</v>
      </c>
      <c r="F27" s="10">
        <v>32</v>
      </c>
      <c r="G27" s="10">
        <v>30</v>
      </c>
      <c r="I27" s="11">
        <f t="shared" si="0"/>
        <v>13.121174999999999</v>
      </c>
      <c r="J27" s="12">
        <f t="shared" si="1"/>
        <v>5.5917790501753648E-2</v>
      </c>
      <c r="K27" s="12">
        <f t="shared" si="2"/>
        <v>1.0287941430550023E-2</v>
      </c>
      <c r="L27" s="12">
        <f t="shared" si="3"/>
        <v>7.5352809674481885E-3</v>
      </c>
      <c r="M27" s="12">
        <f t="shared" si="4"/>
        <v>4.5629849071203626E-2</v>
      </c>
      <c r="N27" s="54">
        <f t="shared" si="5"/>
        <v>2575016</v>
      </c>
      <c r="O27" s="12">
        <v>16</v>
      </c>
      <c r="P27" s="13">
        <v>35965984</v>
      </c>
      <c r="Q27" s="13">
        <v>1123937</v>
      </c>
      <c r="R27" s="13">
        <v>355772.28125</v>
      </c>
      <c r="S27" s="14">
        <v>13995920</v>
      </c>
      <c r="T27" s="14">
        <v>1886040</v>
      </c>
      <c r="U27" s="14">
        <v>688976</v>
      </c>
      <c r="V27" s="14">
        <v>11420904</v>
      </c>
      <c r="W27" s="15">
        <v>68.724056250000004</v>
      </c>
      <c r="X27" s="15">
        <v>70.701321875000005</v>
      </c>
      <c r="Y27" s="15">
        <v>32.165621874999999</v>
      </c>
      <c r="Z27" s="15">
        <v>35.579974999999997</v>
      </c>
      <c r="AA27" s="15">
        <v>35.186093749999998</v>
      </c>
      <c r="AB27" s="16">
        <v>2144.7399999999998</v>
      </c>
      <c r="AC27" s="16">
        <v>0</v>
      </c>
      <c r="AD27" s="16">
        <v>72.091999999999999</v>
      </c>
      <c r="AE27" s="16">
        <v>0</v>
      </c>
      <c r="AF27" s="58">
        <v>0</v>
      </c>
      <c r="AG27" s="11">
        <f t="shared" si="6"/>
        <v>13.485345000000001</v>
      </c>
      <c r="AH27" s="12">
        <f t="shared" si="7"/>
        <v>5.7469753779967957E-2</v>
      </c>
      <c r="AI27" s="12">
        <f t="shared" si="8"/>
        <v>1.0956273915669498E-2</v>
      </c>
      <c r="AJ27" s="12">
        <f t="shared" si="9"/>
        <v>7.8433979046338281E-3</v>
      </c>
      <c r="AK27" s="12">
        <f t="shared" si="10"/>
        <v>4.6513479864298463E-2</v>
      </c>
      <c r="AL27" s="54">
        <f t="shared" si="11"/>
        <v>2742296</v>
      </c>
      <c r="AM27" s="12">
        <v>-12</v>
      </c>
      <c r="AN27" s="13">
        <v>36616544</v>
      </c>
      <c r="AO27" s="13">
        <v>1144267</v>
      </c>
      <c r="AP27" s="13">
        <v>371334.71875</v>
      </c>
      <c r="AQ27" s="14">
        <v>14384368</v>
      </c>
      <c r="AR27" s="14">
        <v>1963160</v>
      </c>
      <c r="AS27" s="14">
        <v>779136</v>
      </c>
      <c r="AT27" s="14">
        <v>11642072</v>
      </c>
      <c r="AU27" s="15">
        <v>68.694640625000005</v>
      </c>
      <c r="AV27" s="15">
        <v>70.667746875000006</v>
      </c>
      <c r="AW27" s="15">
        <v>32.211865625000002</v>
      </c>
      <c r="AX27" s="15">
        <v>35.626412500000001</v>
      </c>
      <c r="AY27" s="15">
        <v>35.25753125</v>
      </c>
      <c r="AZ27" s="16">
        <v>2073.27</v>
      </c>
      <c r="BA27" s="16">
        <v>0</v>
      </c>
      <c r="BB27" s="16">
        <v>75.004000000000005</v>
      </c>
      <c r="BC27" s="16">
        <v>0</v>
      </c>
      <c r="BD27" s="59">
        <v>0</v>
      </c>
      <c r="BE27" s="51">
        <f t="shared" si="12"/>
        <v>1.0649627031443689</v>
      </c>
      <c r="BF27" s="17">
        <f t="shared" si="13"/>
        <v>7.9764219799369207E-3</v>
      </c>
      <c r="BG27" s="17">
        <f t="shared" si="14"/>
        <v>6.6608447823635619E-3</v>
      </c>
      <c r="BH27" s="17"/>
      <c r="BJ27" s="51"/>
      <c r="BK27" s="51"/>
      <c r="BL27" s="51"/>
      <c r="BM27" s="51"/>
      <c r="BN27" s="51"/>
      <c r="BP27" s="51"/>
      <c r="BQ27" s="51"/>
      <c r="BR27" s="51"/>
      <c r="BS27" s="51"/>
      <c r="BT27" s="51"/>
    </row>
    <row r="28" spans="1:72" outlineLevel="1" x14ac:dyDescent="0.3">
      <c r="A28" s="18"/>
      <c r="B28" s="18" t="s">
        <v>71</v>
      </c>
      <c r="C28" s="19" t="s">
        <v>233</v>
      </c>
      <c r="D28" s="18">
        <v>250294582</v>
      </c>
      <c r="E28" s="19">
        <v>10</v>
      </c>
      <c r="F28" s="19">
        <v>32</v>
      </c>
      <c r="G28" s="19">
        <v>30</v>
      </c>
      <c r="I28" s="20">
        <f t="shared" si="0"/>
        <v>24.476610000000001</v>
      </c>
      <c r="J28" s="21">
        <f t="shared" si="1"/>
        <v>0.10431062387119511</v>
      </c>
      <c r="K28" s="21">
        <f t="shared" si="2"/>
        <v>1.4138252501206759E-2</v>
      </c>
      <c r="L28" s="21">
        <f t="shared" si="3"/>
        <v>1.1385592038104924E-2</v>
      </c>
      <c r="M28" s="21">
        <f t="shared" si="4"/>
        <v>9.0172371369988347E-2</v>
      </c>
      <c r="N28" s="18">
        <f t="shared" si="5"/>
        <v>3538728</v>
      </c>
      <c r="O28" s="21">
        <v>16</v>
      </c>
      <c r="P28" s="22">
        <v>35965984</v>
      </c>
      <c r="Q28" s="22">
        <v>1123937</v>
      </c>
      <c r="R28" s="22">
        <v>337268.28125</v>
      </c>
      <c r="S28" s="23">
        <v>26108384</v>
      </c>
      <c r="T28" s="23">
        <v>2849752</v>
      </c>
      <c r="U28" s="23">
        <v>688976</v>
      </c>
      <c r="V28" s="23">
        <v>22569656</v>
      </c>
      <c r="W28" s="24">
        <v>69.623440625000001</v>
      </c>
      <c r="X28" s="24">
        <v>71.757112500000005</v>
      </c>
      <c r="Y28" s="24">
        <v>34.892218749999998</v>
      </c>
      <c r="Z28" s="24">
        <v>37.370818749999998</v>
      </c>
      <c r="AA28" s="24">
        <v>36.931337499999998</v>
      </c>
      <c r="AB28" s="25">
        <v>2324.16</v>
      </c>
      <c r="AC28" s="25">
        <v>0</v>
      </c>
      <c r="AD28" s="25">
        <v>73.616</v>
      </c>
      <c r="AE28" s="25">
        <v>0</v>
      </c>
      <c r="AF28" s="58">
        <v>0</v>
      </c>
      <c r="AG28" s="20">
        <f t="shared" si="6"/>
        <v>25.0176075</v>
      </c>
      <c r="AH28" s="21">
        <f t="shared" si="7"/>
        <v>0.10661616318966105</v>
      </c>
      <c r="AI28" s="21">
        <f t="shared" si="8"/>
        <v>1.500427204612843E-2</v>
      </c>
      <c r="AJ28" s="21">
        <f t="shared" si="9"/>
        <v>1.1891396035092761E-2</v>
      </c>
      <c r="AK28" s="21">
        <f t="shared" si="10"/>
        <v>9.1611891143532617E-2</v>
      </c>
      <c r="AL28" s="18">
        <f t="shared" si="11"/>
        <v>3755488</v>
      </c>
      <c r="AM28" s="21">
        <v>-12</v>
      </c>
      <c r="AN28" s="22">
        <v>36616544</v>
      </c>
      <c r="AO28" s="22">
        <v>1144267</v>
      </c>
      <c r="AP28" s="22">
        <v>348068.75</v>
      </c>
      <c r="AQ28" s="23">
        <v>26685448</v>
      </c>
      <c r="AR28" s="23">
        <v>2976352</v>
      </c>
      <c r="AS28" s="23">
        <v>779136</v>
      </c>
      <c r="AT28" s="23">
        <v>22929960</v>
      </c>
      <c r="AU28" s="24">
        <v>69.578256249999995</v>
      </c>
      <c r="AV28" s="24">
        <v>71.707559375000002</v>
      </c>
      <c r="AW28" s="24">
        <v>34.954931250000001</v>
      </c>
      <c r="AX28" s="24">
        <v>37.433334375000001</v>
      </c>
      <c r="AY28" s="24">
        <v>37.010878124999998</v>
      </c>
      <c r="AZ28" s="25">
        <v>2310.87</v>
      </c>
      <c r="BA28" s="25">
        <v>0</v>
      </c>
      <c r="BB28" s="25">
        <v>74.120999999999995</v>
      </c>
      <c r="BC28" s="25">
        <v>0</v>
      </c>
      <c r="BD28" s="59">
        <v>0</v>
      </c>
      <c r="BE28" s="50">
        <f t="shared" si="12"/>
        <v>1.0612536482035353</v>
      </c>
      <c r="BF28" s="26">
        <f t="shared" si="13"/>
        <v>4.1073384078191277E-3</v>
      </c>
      <c r="BG28" s="26">
        <f t="shared" si="14"/>
        <v>5.1917733502127028E-3</v>
      </c>
      <c r="BH28" s="26"/>
      <c r="BJ28" s="50"/>
      <c r="BK28" s="50"/>
      <c r="BL28" s="50"/>
      <c r="BM28" s="50"/>
      <c r="BN28" s="50"/>
      <c r="BP28" s="50"/>
      <c r="BQ28" s="50"/>
      <c r="BR28" s="50"/>
      <c r="BS28" s="50"/>
      <c r="BT28" s="50"/>
    </row>
    <row r="29" spans="1:72" outlineLevel="1" x14ac:dyDescent="0.3">
      <c r="A29" s="27"/>
      <c r="B29" s="27" t="s">
        <v>71</v>
      </c>
      <c r="C29" s="28" t="s">
        <v>234</v>
      </c>
      <c r="D29" s="27">
        <v>250294582</v>
      </c>
      <c r="E29" s="28">
        <v>10</v>
      </c>
      <c r="F29" s="28">
        <v>32</v>
      </c>
      <c r="G29" s="28">
        <v>30</v>
      </c>
      <c r="I29" s="29">
        <f t="shared" si="0"/>
        <v>44.310052499999998</v>
      </c>
      <c r="J29" s="30">
        <f t="shared" si="1"/>
        <v>0.18883371594515777</v>
      </c>
      <c r="K29" s="30">
        <f t="shared" si="2"/>
        <v>2.2856012120949547E-2</v>
      </c>
      <c r="L29" s="30">
        <f t="shared" si="3"/>
        <v>1.7621859669339546E-2</v>
      </c>
      <c r="M29" s="30">
        <f t="shared" si="4"/>
        <v>0.16597770382420823</v>
      </c>
      <c r="N29" s="27">
        <f t="shared" si="5"/>
        <v>5720736</v>
      </c>
      <c r="O29" s="30">
        <v>16</v>
      </c>
      <c r="P29" s="31">
        <v>34517616</v>
      </c>
      <c r="Q29" s="31">
        <v>1078675.5</v>
      </c>
      <c r="R29" s="31">
        <v>316986.6875</v>
      </c>
      <c r="S29" s="32">
        <v>47264056</v>
      </c>
      <c r="T29" s="32">
        <v>4410656</v>
      </c>
      <c r="U29" s="32">
        <v>1310080</v>
      </c>
      <c r="V29" s="32">
        <v>41543320</v>
      </c>
      <c r="W29" s="33">
        <v>71.322306249999997</v>
      </c>
      <c r="X29" s="33">
        <v>75.056931250000005</v>
      </c>
      <c r="Y29" s="33">
        <v>37.444031250000002</v>
      </c>
      <c r="Z29" s="33">
        <v>39.412381250000003</v>
      </c>
      <c r="AA29" s="33">
        <v>38.773575000000001</v>
      </c>
      <c r="AB29" s="34">
        <v>2562.02</v>
      </c>
      <c r="AC29" s="34">
        <v>0</v>
      </c>
      <c r="AD29" s="34">
        <v>75.483000000000004</v>
      </c>
      <c r="AE29" s="34">
        <v>0</v>
      </c>
      <c r="AF29" s="58">
        <v>0</v>
      </c>
      <c r="AG29" s="29">
        <f t="shared" si="6"/>
        <v>45.202755000000003</v>
      </c>
      <c r="AH29" s="30">
        <f t="shared" si="7"/>
        <v>0.19263809713627761</v>
      </c>
      <c r="AI29" s="30">
        <f t="shared" si="8"/>
        <v>2.4451635952711114E-2</v>
      </c>
      <c r="AJ29" s="30">
        <f t="shared" si="9"/>
        <v>1.8407014499418929E-2</v>
      </c>
      <c r="AK29" s="30">
        <f t="shared" si="10"/>
        <v>0.16818646118356648</v>
      </c>
      <c r="AL29" s="27">
        <f t="shared" si="11"/>
        <v>6120112</v>
      </c>
      <c r="AM29" s="30">
        <v>-12</v>
      </c>
      <c r="AN29" s="31">
        <v>34934304</v>
      </c>
      <c r="AO29" s="31">
        <v>1091697</v>
      </c>
      <c r="AP29" s="31">
        <v>325445.875</v>
      </c>
      <c r="AQ29" s="32">
        <v>48216272</v>
      </c>
      <c r="AR29" s="32">
        <v>4607176</v>
      </c>
      <c r="AS29" s="32">
        <v>1512936</v>
      </c>
      <c r="AT29" s="32">
        <v>42096160</v>
      </c>
      <c r="AU29" s="33">
        <v>71.431581249999994</v>
      </c>
      <c r="AV29" s="33">
        <v>75.056359375</v>
      </c>
      <c r="AW29" s="33">
        <v>37.506915624999998</v>
      </c>
      <c r="AX29" s="33">
        <v>39.493659375</v>
      </c>
      <c r="AY29" s="33">
        <v>38.875165625000001</v>
      </c>
      <c r="AZ29" s="34">
        <v>2545.39</v>
      </c>
      <c r="BA29" s="34">
        <v>0</v>
      </c>
      <c r="BB29" s="34">
        <v>74.858999999999995</v>
      </c>
      <c r="BC29" s="34">
        <v>0</v>
      </c>
      <c r="BD29" s="59">
        <v>0</v>
      </c>
      <c r="BE29" s="35">
        <f t="shared" si="12"/>
        <v>1.0698119962186683</v>
      </c>
      <c r="BF29" s="36">
        <f t="shared" si="13"/>
        <v>4.2434885681444934E-3</v>
      </c>
      <c r="BG29" s="36">
        <f t="shared" si="14"/>
        <v>5.8926558565268183E-3</v>
      </c>
      <c r="BH29" s="36"/>
      <c r="BJ29" s="35"/>
      <c r="BK29" s="35"/>
      <c r="BL29" s="35"/>
      <c r="BM29" s="35"/>
      <c r="BN29" s="35"/>
      <c r="BP29" s="35"/>
      <c r="BQ29" s="35"/>
      <c r="BR29" s="35"/>
      <c r="BS29" s="35"/>
      <c r="BT29" s="35"/>
    </row>
    <row r="30" spans="1:72" x14ac:dyDescent="0.3">
      <c r="A30" s="18" t="s">
        <v>236</v>
      </c>
      <c r="B30" s="18" t="s">
        <v>75</v>
      </c>
      <c r="C30" s="19" t="s">
        <v>230</v>
      </c>
      <c r="D30" s="18">
        <v>375422539</v>
      </c>
      <c r="E30" s="19">
        <v>11</v>
      </c>
      <c r="F30" s="19">
        <v>32</v>
      </c>
      <c r="G30" s="19">
        <v>30</v>
      </c>
      <c r="I30" s="20">
        <f t="shared" si="0"/>
        <v>5.7060899999999997</v>
      </c>
      <c r="J30" s="21">
        <f t="shared" si="1"/>
        <v>1.621238835636344E-2</v>
      </c>
      <c r="K30" s="21">
        <f t="shared" si="2"/>
        <v>9.8547093359250861E-3</v>
      </c>
      <c r="L30" s="21">
        <f t="shared" si="3"/>
        <v>6.1517883453449237E-3</v>
      </c>
      <c r="M30" s="21">
        <f t="shared" si="4"/>
        <v>6.3576790204383548E-3</v>
      </c>
      <c r="N30" s="18">
        <f t="shared" si="5"/>
        <v>3699680</v>
      </c>
      <c r="O30" s="21">
        <v>16</v>
      </c>
      <c r="P30" s="22">
        <v>132024544</v>
      </c>
      <c r="Q30" s="22">
        <v>4125767</v>
      </c>
      <c r="R30" s="22">
        <v>1509546</v>
      </c>
      <c r="S30" s="23">
        <v>6086496</v>
      </c>
      <c r="T30" s="23">
        <v>2309520</v>
      </c>
      <c r="U30" s="23">
        <v>1390160</v>
      </c>
      <c r="V30" s="23">
        <v>2386816</v>
      </c>
      <c r="W30" s="24">
        <v>73.421859374999997</v>
      </c>
      <c r="X30" s="24">
        <v>75.127806250000006</v>
      </c>
      <c r="Y30" s="24">
        <v>34.699784375</v>
      </c>
      <c r="Z30" s="24">
        <v>42.112987500000003</v>
      </c>
      <c r="AA30" s="24">
        <v>43.7976375</v>
      </c>
      <c r="AB30" s="25">
        <v>5821.76</v>
      </c>
      <c r="AC30" s="25">
        <v>0</v>
      </c>
      <c r="AD30" s="25">
        <v>242.67500000000001</v>
      </c>
      <c r="AE30" s="25">
        <v>0</v>
      </c>
      <c r="AF30" s="58">
        <v>0</v>
      </c>
      <c r="AG30" s="20">
        <f t="shared" si="6"/>
        <v>5.7941775</v>
      </c>
      <c r="AH30" s="21">
        <f t="shared" si="7"/>
        <v>1.6462666350461178E-2</v>
      </c>
      <c r="AI30" s="21">
        <f t="shared" si="8"/>
        <v>1.0152571047419186E-2</v>
      </c>
      <c r="AJ30" s="21">
        <f t="shared" si="9"/>
        <v>6.2629590814205216E-3</v>
      </c>
      <c r="AK30" s="21">
        <f t="shared" si="10"/>
        <v>6.3100953030419942E-3</v>
      </c>
      <c r="AL30" s="18">
        <f t="shared" si="11"/>
        <v>3811504</v>
      </c>
      <c r="AM30" s="21">
        <v>-12</v>
      </c>
      <c r="AN30" s="22">
        <v>131739424</v>
      </c>
      <c r="AO30" s="22">
        <v>4116857</v>
      </c>
      <c r="AP30" s="22">
        <v>1510026.71875</v>
      </c>
      <c r="AQ30" s="23">
        <v>6180456</v>
      </c>
      <c r="AR30" s="23">
        <v>2351256</v>
      </c>
      <c r="AS30" s="23">
        <v>1460248</v>
      </c>
      <c r="AT30" s="23">
        <v>2368952</v>
      </c>
      <c r="AU30" s="24">
        <v>73.406315625000005</v>
      </c>
      <c r="AV30" s="24">
        <v>75.175643750000006</v>
      </c>
      <c r="AW30" s="24">
        <v>34.702128125000002</v>
      </c>
      <c r="AX30" s="24">
        <v>42.122156250000003</v>
      </c>
      <c r="AY30" s="24">
        <v>43.788709375000003</v>
      </c>
      <c r="AZ30" s="25">
        <v>4993.2700000000004</v>
      </c>
      <c r="BA30" s="25">
        <v>0</v>
      </c>
      <c r="BB30" s="25">
        <v>235.411</v>
      </c>
      <c r="BC30" s="25">
        <v>0</v>
      </c>
      <c r="BD30" s="59">
        <v>0</v>
      </c>
      <c r="BE30" s="50">
        <f t="shared" si="12"/>
        <v>1.0302253167841544</v>
      </c>
      <c r="BF30" s="26">
        <f t="shared" si="13"/>
        <v>9.0863781402228394E-4</v>
      </c>
      <c r="BG30" s="26">
        <f t="shared" si="14"/>
        <v>8.8521561214670585E-3</v>
      </c>
      <c r="BH30" s="26">
        <f t="array" ref="BH30">AVERAGE(AL30:AL34/AQ30:AQ34) - AVERAGE(N30:N34/S30:S34)</f>
        <v>9.0553684559875336E-3</v>
      </c>
      <c r="BJ30" s="50">
        <f>IF( OR(ISBLANK(N30:N34),ISBLANK(AL30:AL34), ISBLANK(W30:W34),ISBLANK(AU30:AU34)), "·", bdRateExtend( N30:N34,W30:W34, AL30:AL34,AU30:AU34))</f>
        <v>3.0136283725639368E-2</v>
      </c>
      <c r="BK30" s="50">
        <f>IF( OR(ISBLANK(N30:N34),ISBLANK(AL30:AL34), ISBLANK(X30:X34),ISBLANK(AV30:AV34)), "·", bdRateExtend( N30:N34,X30:X34, AL30:AL34,AV30:AV34))</f>
        <v>2.8746651511943222E-2</v>
      </c>
      <c r="BL30" s="50">
        <f>IF( OR(ISBLANK(V30:V34),ISBLANK(AT30:AT34), ISBLANK(Y30:Y34),ISBLANK(AW30:AW34)), "·", bdRateExtend( V30:V34,Y30:Y34, AT30:AT34,AW30:AW34))</f>
        <v>-3.6951554689458321E-3</v>
      </c>
      <c r="BM30" s="50">
        <f>IF( OR(ISBLANK(V30:V34),ISBLANK(AT30:AT34), ISBLANK(Z30:Z34),ISBLANK(AX30:AX34)), "·", bdRateExtend( V30:V34,Z30:Z34, AT30:AT34,AX30:AX34))</f>
        <v>2.6623353904018376E-3</v>
      </c>
      <c r="BN30" s="50">
        <f>IF( OR(ISBLANK(V30:V34),ISBLANK(AT30:AT34), ISBLANK(AA30:AA34),ISBLANK(AY30:AY34)), "·", bdRateExtend( V30:V34,AA30:AA34, AT30:AT34,AY30:AY34))</f>
        <v>7.0222305366500759E-3</v>
      </c>
      <c r="BP30" s="50">
        <f>IF( OR(ISBLANK(S30:S34),ISBLANK(AQ30:AQ34), ISBLANK(W30:W34),ISBLANK(AU30:AU34)), "·", bdRateExtend( S30:S34,W30:W34, AQ30:AQ34,AU30:AU34))</f>
        <v>5.1387567973324444E-3</v>
      </c>
      <c r="BQ30" s="50">
        <f>IF( OR(ISBLANK(S30:S34),ISBLANK(AQ30:AQ34), ISBLANK(X30:X34),ISBLANK(AV30:AV34)), "·", bdRateExtend( S30:S34,X30:X34, AQ30:AQ34,AV30:AV34))</f>
        <v>2.0614645889631689E-3</v>
      </c>
      <c r="BR30" s="50">
        <f>IF( OR(ISBLANK(S30:S34),ISBLANK(AQ30:AQ34), ISBLANK(Y30:Y34),ISBLANK(AW30:AW34)), "·", bdRateExtend( S30:S34,Y30:Y34, AQ30:AQ34,AW30:AW34))</f>
        <v>1.3316117656976045E-2</v>
      </c>
      <c r="BS30" s="50">
        <f>IF( OR(ISBLANK(S30:S34),ISBLANK(AQ30:AQ34), ISBLANK(Z30:Z34),ISBLANK(AX30:AX34)), "·", bdRateExtend( S30:S34,Z30:Z34, AQ30:AQ34,AX30:AX34))</f>
        <v>1.782001740818373E-2</v>
      </c>
      <c r="BT30" s="50">
        <f>IF( OR(ISBLANK(S30:S34),ISBLANK(AQ30:AQ34), ISBLANK(AA30:AA34),ISBLANK(AY30:AY34)), "·", bdRateExtend( S30:S34,AA30:AA34, AQ30:AQ34,AY30:AY34))</f>
        <v>2.0550177385168622E-2</v>
      </c>
    </row>
    <row r="31" spans="1:72" outlineLevel="1" x14ac:dyDescent="0.3">
      <c r="A31" s="54"/>
      <c r="B31" s="54" t="s">
        <v>75</v>
      </c>
      <c r="C31" s="10" t="s">
        <v>231</v>
      </c>
      <c r="D31" s="54">
        <v>375422539</v>
      </c>
      <c r="E31" s="10">
        <v>11</v>
      </c>
      <c r="F31" s="10">
        <v>32</v>
      </c>
      <c r="G31" s="10">
        <v>30</v>
      </c>
      <c r="I31" s="11">
        <f t="shared" si="0"/>
        <v>8.1541650000000008</v>
      </c>
      <c r="J31" s="12">
        <f t="shared" si="1"/>
        <v>2.3167964350696589E-2</v>
      </c>
      <c r="K31" s="12">
        <f t="shared" si="2"/>
        <v>1.2125494681607276E-2</v>
      </c>
      <c r="L31" s="12">
        <f t="shared" si="3"/>
        <v>8.4225736910271114E-3</v>
      </c>
      <c r="M31" s="12">
        <f t="shared" si="4"/>
        <v>1.1042469669089314E-2</v>
      </c>
      <c r="N31" s="54">
        <f t="shared" si="5"/>
        <v>4552184</v>
      </c>
      <c r="O31" s="12">
        <v>16</v>
      </c>
      <c r="P31" s="13">
        <v>132024544</v>
      </c>
      <c r="Q31" s="13">
        <v>4125767</v>
      </c>
      <c r="R31" s="13">
        <v>1341965.59375</v>
      </c>
      <c r="S31" s="14">
        <v>8697776</v>
      </c>
      <c r="T31" s="14">
        <v>3162024</v>
      </c>
      <c r="U31" s="14">
        <v>1390160</v>
      </c>
      <c r="V31" s="14">
        <v>4145592</v>
      </c>
      <c r="W31" s="15">
        <v>74.972721875000005</v>
      </c>
      <c r="X31" s="15">
        <v>76.923543749999993</v>
      </c>
      <c r="Y31" s="15">
        <v>36.624253125000003</v>
      </c>
      <c r="Z31" s="15">
        <v>42.657350000000001</v>
      </c>
      <c r="AA31" s="15">
        <v>45.010993749999997</v>
      </c>
      <c r="AB31" s="16">
        <v>5924.33</v>
      </c>
      <c r="AC31" s="16">
        <v>0</v>
      </c>
      <c r="AD31" s="16">
        <v>242.03399999999999</v>
      </c>
      <c r="AE31" s="16">
        <v>0</v>
      </c>
      <c r="AF31" s="58">
        <v>0</v>
      </c>
      <c r="AG31" s="11">
        <f t="shared" si="6"/>
        <v>8.2723875000000007</v>
      </c>
      <c r="AH31" s="12">
        <f t="shared" si="7"/>
        <v>2.3503863203056117E-2</v>
      </c>
      <c r="AI31" s="12">
        <f t="shared" si="8"/>
        <v>1.2522508671222853E-2</v>
      </c>
      <c r="AJ31" s="12">
        <f t="shared" si="9"/>
        <v>8.6328967052241908E-3</v>
      </c>
      <c r="AK31" s="12">
        <f t="shared" si="10"/>
        <v>1.0981354531833264E-2</v>
      </c>
      <c r="AL31" s="54">
        <f t="shared" si="11"/>
        <v>4701232</v>
      </c>
      <c r="AM31" s="12">
        <v>-12</v>
      </c>
      <c r="AN31" s="13">
        <v>131739424</v>
      </c>
      <c r="AO31" s="13">
        <v>4116857</v>
      </c>
      <c r="AP31" s="13">
        <v>1341844.8125</v>
      </c>
      <c r="AQ31" s="14">
        <v>8823880</v>
      </c>
      <c r="AR31" s="14">
        <v>3240984</v>
      </c>
      <c r="AS31" s="14">
        <v>1460248</v>
      </c>
      <c r="AT31" s="14">
        <v>4122648</v>
      </c>
      <c r="AU31" s="15">
        <v>75.003065625000005</v>
      </c>
      <c r="AV31" s="15">
        <v>76.966075000000004</v>
      </c>
      <c r="AW31" s="15">
        <v>36.627499999999998</v>
      </c>
      <c r="AX31" s="15">
        <v>42.661040624999998</v>
      </c>
      <c r="AY31" s="15">
        <v>44.986409375000001</v>
      </c>
      <c r="AZ31" s="16">
        <v>5154.37</v>
      </c>
      <c r="BA31" s="16">
        <v>0</v>
      </c>
      <c r="BB31" s="16">
        <v>241.57599999999999</v>
      </c>
      <c r="BC31" s="16">
        <v>0</v>
      </c>
      <c r="BD31" s="59">
        <v>0</v>
      </c>
      <c r="BE31" s="51">
        <f t="shared" si="12"/>
        <v>1.0327420859965237</v>
      </c>
      <c r="BF31" s="17">
        <f t="shared" si="13"/>
        <v>6.7462279119145929E-4</v>
      </c>
      <c r="BG31" s="17">
        <f t="shared" si="14"/>
        <v>9.4117927068423368E-3</v>
      </c>
      <c r="BH31" s="17"/>
      <c r="BJ31" s="51"/>
      <c r="BK31" s="51"/>
      <c r="BL31" s="51"/>
      <c r="BM31" s="51"/>
      <c r="BN31" s="51"/>
      <c r="BP31" s="51"/>
      <c r="BQ31" s="51"/>
      <c r="BR31" s="51"/>
      <c r="BS31" s="51"/>
      <c r="BT31" s="51"/>
    </row>
    <row r="32" spans="1:72" outlineLevel="1" x14ac:dyDescent="0.3">
      <c r="A32" s="18"/>
      <c r="B32" s="18" t="s">
        <v>75</v>
      </c>
      <c r="C32" s="19" t="s">
        <v>232</v>
      </c>
      <c r="D32" s="18">
        <v>375422539</v>
      </c>
      <c r="E32" s="19">
        <v>11</v>
      </c>
      <c r="F32" s="19">
        <v>32</v>
      </c>
      <c r="G32" s="19">
        <v>30</v>
      </c>
      <c r="I32" s="20">
        <f t="shared" si="0"/>
        <v>12.6403125</v>
      </c>
      <c r="J32" s="21">
        <f t="shared" si="1"/>
        <v>3.5914199600040532E-2</v>
      </c>
      <c r="K32" s="21">
        <f t="shared" si="2"/>
        <v>1.5403401232657477E-2</v>
      </c>
      <c r="L32" s="21">
        <f t="shared" si="3"/>
        <v>1.1700480242077314E-2</v>
      </c>
      <c r="M32" s="21">
        <f t="shared" si="4"/>
        <v>2.0510798367383051E-2</v>
      </c>
      <c r="N32" s="18">
        <f t="shared" si="5"/>
        <v>5782784</v>
      </c>
      <c r="O32" s="21">
        <v>16</v>
      </c>
      <c r="P32" s="22">
        <v>132024544</v>
      </c>
      <c r="Q32" s="22">
        <v>4125767</v>
      </c>
      <c r="R32" s="22">
        <v>1290195.1875</v>
      </c>
      <c r="S32" s="23">
        <v>13483000</v>
      </c>
      <c r="T32" s="23">
        <v>4392624</v>
      </c>
      <c r="U32" s="23">
        <v>1390160</v>
      </c>
      <c r="V32" s="23">
        <v>7700216</v>
      </c>
      <c r="W32" s="24">
        <v>76.201656249999999</v>
      </c>
      <c r="X32" s="24">
        <v>78.450253125000003</v>
      </c>
      <c r="Y32" s="24">
        <v>38.383621875000003</v>
      </c>
      <c r="Z32" s="24">
        <v>43.198428125</v>
      </c>
      <c r="AA32" s="24">
        <v>46.219306250000002</v>
      </c>
      <c r="AB32" s="25">
        <v>6027.02</v>
      </c>
      <c r="AC32" s="25">
        <v>0</v>
      </c>
      <c r="AD32" s="25">
        <v>253.87299999999999</v>
      </c>
      <c r="AE32" s="25">
        <v>0</v>
      </c>
      <c r="AF32" s="58">
        <v>0</v>
      </c>
      <c r="AG32" s="20">
        <f t="shared" si="6"/>
        <v>12.77394</v>
      </c>
      <c r="AH32" s="21">
        <f t="shared" si="7"/>
        <v>3.6293867801048568E-2</v>
      </c>
      <c r="AI32" s="21">
        <f t="shared" si="8"/>
        <v>1.5897053000326119E-2</v>
      </c>
      <c r="AJ32" s="21">
        <f t="shared" si="9"/>
        <v>1.2007441034327456E-2</v>
      </c>
      <c r="AK32" s="21">
        <f t="shared" si="10"/>
        <v>2.0396814800722446E-2</v>
      </c>
      <c r="AL32" s="18">
        <f t="shared" si="11"/>
        <v>5968112</v>
      </c>
      <c r="AM32" s="21">
        <v>-12</v>
      </c>
      <c r="AN32" s="22">
        <v>131739424</v>
      </c>
      <c r="AO32" s="22">
        <v>4116857</v>
      </c>
      <c r="AP32" s="22">
        <v>1290822.90625</v>
      </c>
      <c r="AQ32" s="23">
        <v>13625536</v>
      </c>
      <c r="AR32" s="23">
        <v>4507864</v>
      </c>
      <c r="AS32" s="23">
        <v>1460248</v>
      </c>
      <c r="AT32" s="23">
        <v>7657424</v>
      </c>
      <c r="AU32" s="24">
        <v>76.230028125000004</v>
      </c>
      <c r="AV32" s="24">
        <v>78.486800000000002</v>
      </c>
      <c r="AW32" s="24">
        <v>38.375971874999998</v>
      </c>
      <c r="AX32" s="24">
        <v>43.176937500000001</v>
      </c>
      <c r="AY32" s="24">
        <v>46.152984375000003</v>
      </c>
      <c r="AZ32" s="25">
        <v>5304.27</v>
      </c>
      <c r="BA32" s="25">
        <v>0</v>
      </c>
      <c r="BB32" s="25">
        <v>245.922</v>
      </c>
      <c r="BC32" s="25">
        <v>0</v>
      </c>
      <c r="BD32" s="59">
        <v>0</v>
      </c>
      <c r="BE32" s="50">
        <f t="shared" si="12"/>
        <v>1.0320482314400814</v>
      </c>
      <c r="BF32" s="26">
        <f t="shared" si="13"/>
        <v>8.2927880939559495E-4</v>
      </c>
      <c r="BG32" s="26">
        <f t="shared" si="14"/>
        <v>9.1148780711179933E-3</v>
      </c>
      <c r="BH32" s="26"/>
      <c r="BJ32" s="50"/>
      <c r="BK32" s="50"/>
      <c r="BL32" s="50"/>
      <c r="BM32" s="50"/>
      <c r="BN32" s="50"/>
      <c r="BP32" s="50"/>
      <c r="BQ32" s="50"/>
      <c r="BR32" s="50"/>
      <c r="BS32" s="50"/>
      <c r="BT32" s="50"/>
    </row>
    <row r="33" spans="1:72" outlineLevel="1" x14ac:dyDescent="0.3">
      <c r="A33" s="54"/>
      <c r="B33" s="54" t="s">
        <v>75</v>
      </c>
      <c r="C33" s="10" t="s">
        <v>233</v>
      </c>
      <c r="D33" s="54">
        <v>375422539</v>
      </c>
      <c r="E33" s="10">
        <v>11</v>
      </c>
      <c r="F33" s="10">
        <v>32</v>
      </c>
      <c r="G33" s="10">
        <v>30</v>
      </c>
      <c r="I33" s="11">
        <f t="shared" si="0"/>
        <v>21.194504999999999</v>
      </c>
      <c r="J33" s="12">
        <f t="shared" si="1"/>
        <v>6.0218739290983272E-2</v>
      </c>
      <c r="K33" s="12">
        <f t="shared" si="2"/>
        <v>2.0888079924258358E-2</v>
      </c>
      <c r="L33" s="12">
        <f t="shared" si="3"/>
        <v>1.7185158933678193E-2</v>
      </c>
      <c r="M33" s="12">
        <f t="shared" si="4"/>
        <v>3.9330659366724918E-2</v>
      </c>
      <c r="N33" s="54">
        <f t="shared" si="5"/>
        <v>7841856</v>
      </c>
      <c r="O33" s="12">
        <v>16</v>
      </c>
      <c r="P33" s="13">
        <v>132024544</v>
      </c>
      <c r="Q33" s="13">
        <v>4125767</v>
      </c>
      <c r="R33" s="13">
        <v>1221978.09375</v>
      </c>
      <c r="S33" s="14">
        <v>22607472</v>
      </c>
      <c r="T33" s="14">
        <v>6451696</v>
      </c>
      <c r="U33" s="14">
        <v>1390160</v>
      </c>
      <c r="V33" s="14">
        <v>14765616</v>
      </c>
      <c r="W33" s="15">
        <v>77.052718749999997</v>
      </c>
      <c r="X33" s="15">
        <v>79.470375000000004</v>
      </c>
      <c r="Y33" s="15">
        <v>39.998603125000002</v>
      </c>
      <c r="Z33" s="15">
        <v>43.903906249999999</v>
      </c>
      <c r="AA33" s="15">
        <v>47.816990625000003</v>
      </c>
      <c r="AB33" s="16">
        <v>6320.96</v>
      </c>
      <c r="AC33" s="16">
        <v>0</v>
      </c>
      <c r="AD33" s="16">
        <v>248.887</v>
      </c>
      <c r="AE33" s="16">
        <v>0</v>
      </c>
      <c r="AF33" s="58">
        <v>0</v>
      </c>
      <c r="AG33" s="11">
        <f t="shared" si="6"/>
        <v>21.431227499999999</v>
      </c>
      <c r="AH33" s="12">
        <f t="shared" si="7"/>
        <v>6.0891325440639035E-2</v>
      </c>
      <c r="AI33" s="12">
        <f t="shared" si="8"/>
        <v>2.164202506765317E-2</v>
      </c>
      <c r="AJ33" s="12">
        <f t="shared" si="9"/>
        <v>1.7752413101654506E-2</v>
      </c>
      <c r="AK33" s="12">
        <f t="shared" si="10"/>
        <v>3.9249300372985865E-2</v>
      </c>
      <c r="AL33" s="54">
        <f t="shared" si="11"/>
        <v>8124904</v>
      </c>
      <c r="AM33" s="12">
        <v>-12</v>
      </c>
      <c r="AN33" s="13">
        <v>131739424</v>
      </c>
      <c r="AO33" s="13">
        <v>4116857</v>
      </c>
      <c r="AP33" s="13">
        <v>1214105.09375</v>
      </c>
      <c r="AQ33" s="14">
        <v>22859976</v>
      </c>
      <c r="AR33" s="14">
        <v>6664656</v>
      </c>
      <c r="AS33" s="14">
        <v>1460248</v>
      </c>
      <c r="AT33" s="14">
        <v>14735072</v>
      </c>
      <c r="AU33" s="15">
        <v>77.078581249999999</v>
      </c>
      <c r="AV33" s="15">
        <v>79.508559375000004</v>
      </c>
      <c r="AW33" s="15">
        <v>39.993871875000004</v>
      </c>
      <c r="AX33" s="15">
        <v>43.893346874999999</v>
      </c>
      <c r="AY33" s="15">
        <v>47.812893750000001</v>
      </c>
      <c r="AZ33" s="16">
        <v>5513.42</v>
      </c>
      <c r="BA33" s="16">
        <v>0</v>
      </c>
      <c r="BB33" s="16">
        <v>249.661</v>
      </c>
      <c r="BC33" s="16">
        <v>0</v>
      </c>
      <c r="BD33" s="59">
        <v>0</v>
      </c>
      <c r="BE33" s="51">
        <f t="shared" si="12"/>
        <v>1.0360945164001991</v>
      </c>
      <c r="BF33" s="17">
        <f t="shared" si="13"/>
        <v>-1.2713625972949893E-3</v>
      </c>
      <c r="BG33" s="17">
        <f t="shared" si="14"/>
        <v>8.5503988757147376E-3</v>
      </c>
      <c r="BH33" s="17"/>
      <c r="BJ33" s="51"/>
      <c r="BK33" s="51"/>
      <c r="BL33" s="51"/>
      <c r="BM33" s="51"/>
      <c r="BN33" s="51"/>
      <c r="BP33" s="51"/>
      <c r="BQ33" s="51"/>
      <c r="BR33" s="51"/>
      <c r="BS33" s="51"/>
      <c r="BT33" s="51"/>
    </row>
    <row r="34" spans="1:72" outlineLevel="1" x14ac:dyDescent="0.3">
      <c r="A34" s="18"/>
      <c r="B34" s="37" t="s">
        <v>75</v>
      </c>
      <c r="C34" s="38" t="s">
        <v>234</v>
      </c>
      <c r="D34" s="37">
        <v>375422539</v>
      </c>
      <c r="E34" s="38">
        <v>11</v>
      </c>
      <c r="F34" s="38">
        <v>32</v>
      </c>
      <c r="G34" s="38">
        <v>30</v>
      </c>
      <c r="I34" s="39">
        <f t="shared" si="0"/>
        <v>39.902625</v>
      </c>
      <c r="J34" s="40">
        <f t="shared" si="1"/>
        <v>0.11337305456772269</v>
      </c>
      <c r="K34" s="40">
        <f t="shared" si="2"/>
        <v>3.3539467378648782E-2</v>
      </c>
      <c r="L34" s="40">
        <f t="shared" si="3"/>
        <v>2.6117238528398531E-2</v>
      </c>
      <c r="M34" s="40">
        <f t="shared" si="4"/>
        <v>7.9833587189073907E-2</v>
      </c>
      <c r="N34" s="37">
        <f t="shared" si="5"/>
        <v>12591472</v>
      </c>
      <c r="O34" s="40">
        <v>16</v>
      </c>
      <c r="P34" s="41">
        <v>128666208</v>
      </c>
      <c r="Q34" s="41">
        <v>4020819</v>
      </c>
      <c r="R34" s="41">
        <v>1162561.03125</v>
      </c>
      <c r="S34" s="42">
        <v>42562800</v>
      </c>
      <c r="T34" s="42">
        <v>9805000</v>
      </c>
      <c r="U34" s="42">
        <v>2786472</v>
      </c>
      <c r="V34" s="42">
        <v>29971328</v>
      </c>
      <c r="W34" s="43">
        <v>78.547437500000001</v>
      </c>
      <c r="X34" s="43">
        <v>81.962928125000005</v>
      </c>
      <c r="Y34" s="43">
        <v>41.527671875000003</v>
      </c>
      <c r="Z34" s="43">
        <v>44.693290625000003</v>
      </c>
      <c r="AA34" s="43">
        <v>49.221803125000001</v>
      </c>
      <c r="AB34" s="44">
        <v>6701.95</v>
      </c>
      <c r="AC34" s="44">
        <v>0</v>
      </c>
      <c r="AD34" s="44">
        <v>255.13900000000001</v>
      </c>
      <c r="AE34" s="44">
        <v>0</v>
      </c>
      <c r="AF34" s="58">
        <v>0</v>
      </c>
      <c r="AG34" s="39">
        <f t="shared" si="6"/>
        <v>40.373159999999999</v>
      </c>
      <c r="AH34" s="40">
        <f t="shared" si="7"/>
        <v>0.1147099588498601</v>
      </c>
      <c r="AI34" s="40">
        <f t="shared" si="8"/>
        <v>3.5007232210956842E-2</v>
      </c>
      <c r="AJ34" s="40">
        <f t="shared" si="9"/>
        <v>2.7044087515480791E-2</v>
      </c>
      <c r="AK34" s="40">
        <f t="shared" si="10"/>
        <v>7.9702726638903265E-2</v>
      </c>
      <c r="AL34" s="37">
        <f t="shared" si="11"/>
        <v>13142504</v>
      </c>
      <c r="AM34" s="40">
        <v>-12</v>
      </c>
      <c r="AN34" s="41">
        <v>128423856</v>
      </c>
      <c r="AO34" s="41">
        <v>4013245.5</v>
      </c>
      <c r="AP34" s="41">
        <v>1158725.84375</v>
      </c>
      <c r="AQ34" s="42">
        <v>43064704</v>
      </c>
      <c r="AR34" s="42">
        <v>10152960</v>
      </c>
      <c r="AS34" s="42">
        <v>2989544</v>
      </c>
      <c r="AT34" s="42">
        <v>29922200</v>
      </c>
      <c r="AU34" s="43">
        <v>78.520556249999998</v>
      </c>
      <c r="AV34" s="43">
        <v>81.958699999999993</v>
      </c>
      <c r="AW34" s="43">
        <v>41.527187499999997</v>
      </c>
      <c r="AX34" s="43">
        <v>44.691537500000003</v>
      </c>
      <c r="AY34" s="43">
        <v>49.224012500000001</v>
      </c>
      <c r="AZ34" s="44">
        <v>5923.44</v>
      </c>
      <c r="BA34" s="44">
        <v>0</v>
      </c>
      <c r="BB34" s="44">
        <v>252.33</v>
      </c>
      <c r="BC34" s="44">
        <v>0</v>
      </c>
      <c r="BD34" s="59">
        <v>0</v>
      </c>
      <c r="BE34" s="45">
        <f t="shared" si="12"/>
        <v>1.0437623178608506</v>
      </c>
      <c r="BF34" s="46">
        <f t="shared" si="13"/>
        <v>-4.0999751852432986E-4</v>
      </c>
      <c r="BG34" s="46">
        <f t="shared" si="14"/>
        <v>9.3476165047955972E-3</v>
      </c>
      <c r="BH34" s="46"/>
      <c r="BJ34" s="45"/>
      <c r="BK34" s="45"/>
      <c r="BL34" s="45"/>
      <c r="BM34" s="45"/>
      <c r="BN34" s="45"/>
      <c r="BP34" s="45"/>
      <c r="BQ34" s="45"/>
      <c r="BR34" s="45"/>
      <c r="BS34" s="45"/>
      <c r="BT34" s="45"/>
    </row>
    <row r="35" spans="1:72" x14ac:dyDescent="0.3">
      <c r="A35" s="54"/>
      <c r="B35" s="54" t="s">
        <v>80</v>
      </c>
      <c r="C35" s="10" t="s">
        <v>230</v>
      </c>
      <c r="D35" s="54">
        <v>333190689</v>
      </c>
      <c r="E35" s="10">
        <v>11</v>
      </c>
      <c r="F35" s="10">
        <v>32</v>
      </c>
      <c r="G35" s="10">
        <v>30</v>
      </c>
      <c r="I35" s="11">
        <f t="shared" si="0"/>
        <v>6.0596100000000002</v>
      </c>
      <c r="J35" s="12">
        <f t="shared" si="1"/>
        <v>1.9399053495159344E-2</v>
      </c>
      <c r="K35" s="12">
        <f t="shared" si="2"/>
        <v>1.1406441192598872E-2</v>
      </c>
      <c r="L35" s="12">
        <f t="shared" si="3"/>
        <v>6.982235929167877E-3</v>
      </c>
      <c r="M35" s="12">
        <f t="shared" si="4"/>
        <v>7.9926123025604711E-3</v>
      </c>
      <c r="N35" s="54">
        <f t="shared" si="5"/>
        <v>3800520</v>
      </c>
      <c r="O35" s="12">
        <v>16</v>
      </c>
      <c r="P35" s="13">
        <v>117619072</v>
      </c>
      <c r="Q35" s="13">
        <v>3675596</v>
      </c>
      <c r="R35" s="13">
        <v>1350463.09375</v>
      </c>
      <c r="S35" s="14">
        <v>6463584</v>
      </c>
      <c r="T35" s="14">
        <v>2326416</v>
      </c>
      <c r="U35" s="14">
        <v>1474104</v>
      </c>
      <c r="V35" s="14">
        <v>2663064</v>
      </c>
      <c r="W35" s="15">
        <v>73.170074999999997</v>
      </c>
      <c r="X35" s="15">
        <v>74.868518750000007</v>
      </c>
      <c r="Y35" s="15">
        <v>33.978225000000002</v>
      </c>
      <c r="Z35" s="15">
        <v>42.551740625000001</v>
      </c>
      <c r="AA35" s="15">
        <v>43.964778125000002</v>
      </c>
      <c r="AB35" s="16">
        <v>5480.42</v>
      </c>
      <c r="AC35" s="16">
        <v>0</v>
      </c>
      <c r="AD35" s="16">
        <v>207.64400000000001</v>
      </c>
      <c r="AE35" s="16">
        <v>0</v>
      </c>
      <c r="AF35" s="58">
        <v>0</v>
      </c>
      <c r="AG35" s="11">
        <f t="shared" si="6"/>
        <v>6.1875450000000001</v>
      </c>
      <c r="AH35" s="12">
        <f t="shared" si="7"/>
        <v>1.9808620762508763E-2</v>
      </c>
      <c r="AI35" s="12">
        <f t="shared" si="8"/>
        <v>1.1709042685763647E-2</v>
      </c>
      <c r="AJ35" s="12">
        <f t="shared" si="9"/>
        <v>7.0820706517402115E-3</v>
      </c>
      <c r="AK35" s="12">
        <f t="shared" si="10"/>
        <v>8.0995780767451151E-3</v>
      </c>
      <c r="AL35" s="54">
        <f t="shared" si="11"/>
        <v>3901344</v>
      </c>
      <c r="AM35" s="12">
        <v>-12</v>
      </c>
      <c r="AN35" s="13">
        <v>117569408</v>
      </c>
      <c r="AO35" s="13">
        <v>3674044</v>
      </c>
      <c r="AP35" s="13">
        <v>1355528.09375</v>
      </c>
      <c r="AQ35" s="14">
        <v>6600048</v>
      </c>
      <c r="AR35" s="14">
        <v>2359680</v>
      </c>
      <c r="AS35" s="14">
        <v>1541664</v>
      </c>
      <c r="AT35" s="14">
        <v>2698704</v>
      </c>
      <c r="AU35" s="15">
        <v>73.162181250000003</v>
      </c>
      <c r="AV35" s="15">
        <v>74.879471874999993</v>
      </c>
      <c r="AW35" s="15">
        <v>33.964765624999998</v>
      </c>
      <c r="AX35" s="15">
        <v>42.538062500000002</v>
      </c>
      <c r="AY35" s="15">
        <v>43.922331249999999</v>
      </c>
      <c r="AZ35" s="16">
        <v>4934.26</v>
      </c>
      <c r="BA35" s="16">
        <v>0</v>
      </c>
      <c r="BB35" s="16">
        <v>218.625</v>
      </c>
      <c r="BC35" s="16">
        <v>0</v>
      </c>
      <c r="BD35" s="59">
        <v>0</v>
      </c>
      <c r="BE35" s="51">
        <f t="shared" si="12"/>
        <v>1.0265290012945596</v>
      </c>
      <c r="BF35" s="17">
        <f t="shared" si="13"/>
        <v>1.5337937003644386E-3</v>
      </c>
      <c r="BG35" s="17">
        <f t="shared" si="14"/>
        <v>3.1188547159207713E-3</v>
      </c>
      <c r="BH35" s="17">
        <f t="array" ref="BH35">AVERAGE(AL35:AL39/AQ35:AQ39) - AVERAGE(N35:N39/S35:S39)</f>
        <v>4.8584126299162644E-3</v>
      </c>
      <c r="BJ35" s="51">
        <f>IF( OR(ISBLANK(N35:N39),ISBLANK(AL35:AL39), ISBLANK(W35:W39),ISBLANK(AU35:AU39)), "·", bdRateExtend( N35:N39,W35:W39, AL35:AL39,AU35:AU39))</f>
        <v>3.3149177757845871E-2</v>
      </c>
      <c r="BK35" s="51">
        <f>IF( OR(ISBLANK(N35:N39),ISBLANK(AL35:AL39), ISBLANK(X35:X39),ISBLANK(AV35:AV39)), "·", bdRateExtend( N35:N39,X35:X39, AL35:AL39,AV35:AV39))</f>
        <v>3.3092270434622595E-2</v>
      </c>
      <c r="BL35" s="51">
        <f>IF( OR(ISBLANK(V35:V39),ISBLANK(AT35:AT39), ISBLANK(Y35:Y39),ISBLANK(AW35:AW39)), "·", bdRateExtend( V35:V39,Y35:Y39, AT35:AT39,AW35:AW39))</f>
        <v>1.0677785415257768E-2</v>
      </c>
      <c r="BM35" s="51">
        <f>IF( OR(ISBLANK(V35:V39),ISBLANK(AT35:AT39), ISBLANK(Z35:Z39),ISBLANK(AX35:AX39)), "·", bdRateExtend( V35:V39,Z35:Z39, AT35:AT39,AX35:AX39))</f>
        <v>1.7430730164764929E-2</v>
      </c>
      <c r="BN35" s="51">
        <f>IF( OR(ISBLANK(V35:V39),ISBLANK(AT35:AT39), ISBLANK(AA35:AA39),ISBLANK(AY35:AY39)), "·", bdRateExtend( V35:V39,AA35:AA39, AT35:AT39,AY35:AY39))</f>
        <v>1.7728224623003053E-2</v>
      </c>
      <c r="BP35" s="51">
        <f>IF( OR(ISBLANK(S35:S39),ISBLANK(AQ35:AQ39), ISBLANK(W35:W39),ISBLANK(AU35:AU39)), "·", bdRateExtend( S35:S39,W35:W39, AQ35:AQ39,AU35:AU39))</f>
        <v>2.2595996185173384E-2</v>
      </c>
      <c r="BQ35" s="51">
        <f>IF( OR(ISBLANK(S35:S39),ISBLANK(AQ35:AQ39), ISBLANK(X35:X39),ISBLANK(AV35:AV39)), "·", bdRateExtend( S35:S39,X35:X39, AQ35:AQ39,AV35:AV39))</f>
        <v>2.1035321171120502E-2</v>
      </c>
      <c r="BR35" s="51">
        <f>IF( OR(ISBLANK(S35:S39),ISBLANK(AQ35:AQ39), ISBLANK(Y35:Y39),ISBLANK(AW35:AW39)), "·", bdRateExtend( S35:S39,Y35:Y39, AQ35:AQ39,AW35:AW39))</f>
        <v>1.836696696434803E-2</v>
      </c>
      <c r="BS35" s="51">
        <f>IF( OR(ISBLANK(S35:S39),ISBLANK(AQ35:AQ39), ISBLANK(Z35:Z39),ISBLANK(AX35:AX39)), "·", bdRateExtend( S35:S39,Z35:Z39, AQ35:AQ39,AX35:AX39))</f>
        <v>2.3803304518178248E-2</v>
      </c>
      <c r="BT35" s="51">
        <f>IF( OR(ISBLANK(S35:S39),ISBLANK(AQ35:AQ39), ISBLANK(AA35:AA39),ISBLANK(AY35:AY39)), "·", bdRateExtend( S35:S39,AA35:AA39, AQ35:AQ39,AY35:AY39))</f>
        <v>2.3248948647328627E-2</v>
      </c>
    </row>
    <row r="36" spans="1:72" outlineLevel="1" x14ac:dyDescent="0.3">
      <c r="A36" s="18"/>
      <c r="B36" s="18" t="s">
        <v>80</v>
      </c>
      <c r="C36" s="19" t="s">
        <v>231</v>
      </c>
      <c r="D36" s="18">
        <v>333190689</v>
      </c>
      <c r="E36" s="19">
        <v>11</v>
      </c>
      <c r="F36" s="19">
        <v>32</v>
      </c>
      <c r="G36" s="19">
        <v>30</v>
      </c>
      <c r="I36" s="20">
        <f t="shared" si="0"/>
        <v>8.6808224999999997</v>
      </c>
      <c r="J36" s="21">
        <f t="shared" si="1"/>
        <v>2.7790524482513377E-2</v>
      </c>
      <c r="K36" s="21">
        <f t="shared" si="2"/>
        <v>1.3988506143399464E-2</v>
      </c>
      <c r="L36" s="21">
        <f t="shared" si="3"/>
        <v>9.5643008799684674E-3</v>
      </c>
      <c r="M36" s="21">
        <f t="shared" si="4"/>
        <v>1.3802018339113912E-2</v>
      </c>
      <c r="N36" s="18">
        <f t="shared" si="5"/>
        <v>4660840</v>
      </c>
      <c r="O36" s="21">
        <v>16</v>
      </c>
      <c r="P36" s="22">
        <v>117619072</v>
      </c>
      <c r="Q36" s="22">
        <v>3675596</v>
      </c>
      <c r="R36" s="22">
        <v>1200351.3125</v>
      </c>
      <c r="S36" s="23">
        <v>9259544</v>
      </c>
      <c r="T36" s="23">
        <v>3186736</v>
      </c>
      <c r="U36" s="23">
        <v>1474104</v>
      </c>
      <c r="V36" s="23">
        <v>4598704</v>
      </c>
      <c r="W36" s="24">
        <v>74.763106250000007</v>
      </c>
      <c r="X36" s="24">
        <v>76.695484375000007</v>
      </c>
      <c r="Y36" s="24">
        <v>36.081150000000001</v>
      </c>
      <c r="Z36" s="24">
        <v>43.18721875</v>
      </c>
      <c r="AA36" s="24">
        <v>45.314862499999997</v>
      </c>
      <c r="AB36" s="25">
        <v>5655.73</v>
      </c>
      <c r="AC36" s="25">
        <v>0</v>
      </c>
      <c r="AD36" s="25">
        <v>217.66499999999999</v>
      </c>
      <c r="AE36" s="25">
        <v>0</v>
      </c>
      <c r="AF36" s="58">
        <v>0</v>
      </c>
      <c r="AG36" s="20">
        <f t="shared" si="6"/>
        <v>8.8353824999999997</v>
      </c>
      <c r="AH36" s="21">
        <f t="shared" si="7"/>
        <v>2.8285328225363466E-2</v>
      </c>
      <c r="AI36" s="21">
        <f t="shared" si="8"/>
        <v>1.4349740727598783E-2</v>
      </c>
      <c r="AJ36" s="21">
        <f t="shared" si="9"/>
        <v>9.7227686935753479E-3</v>
      </c>
      <c r="AK36" s="21">
        <f t="shared" si="10"/>
        <v>1.3935587497764681E-2</v>
      </c>
      <c r="AL36" s="18">
        <f t="shared" si="11"/>
        <v>4781200</v>
      </c>
      <c r="AM36" s="21">
        <v>-12</v>
      </c>
      <c r="AN36" s="22">
        <v>117569408</v>
      </c>
      <c r="AO36" s="22">
        <v>3674044</v>
      </c>
      <c r="AP36" s="22">
        <v>1200154.84375</v>
      </c>
      <c r="AQ36" s="23">
        <v>9424408</v>
      </c>
      <c r="AR36" s="23">
        <v>3239536</v>
      </c>
      <c r="AS36" s="23">
        <v>1541664</v>
      </c>
      <c r="AT36" s="23">
        <v>4643208</v>
      </c>
      <c r="AU36" s="24">
        <v>74.758787499999997</v>
      </c>
      <c r="AV36" s="24">
        <v>76.690318750000003</v>
      </c>
      <c r="AW36" s="24">
        <v>36.071768749999997</v>
      </c>
      <c r="AX36" s="24">
        <v>43.178221874999998</v>
      </c>
      <c r="AY36" s="24">
        <v>45.275656249999997</v>
      </c>
      <c r="AZ36" s="25">
        <v>5092.43</v>
      </c>
      <c r="BA36" s="25">
        <v>0</v>
      </c>
      <c r="BB36" s="25">
        <v>214.441</v>
      </c>
      <c r="BC36" s="25">
        <v>0</v>
      </c>
      <c r="BD36" s="59">
        <v>0</v>
      </c>
      <c r="BE36" s="50">
        <f t="shared" si="12"/>
        <v>1.0258236712695565</v>
      </c>
      <c r="BF36" s="26">
        <f t="shared" si="13"/>
        <v>8.4477193527554562E-5</v>
      </c>
      <c r="BG36" s="26">
        <f t="shared" si="14"/>
        <v>3.9657495279822319E-3</v>
      </c>
      <c r="BH36" s="26"/>
      <c r="BJ36" s="50"/>
      <c r="BK36" s="50"/>
      <c r="BL36" s="50"/>
      <c r="BM36" s="50"/>
      <c r="BN36" s="50"/>
      <c r="BP36" s="50"/>
      <c r="BQ36" s="50"/>
      <c r="BR36" s="50"/>
      <c r="BS36" s="50"/>
      <c r="BT36" s="50"/>
    </row>
    <row r="37" spans="1:72" outlineLevel="1" x14ac:dyDescent="0.3">
      <c r="A37" s="54"/>
      <c r="B37" s="54" t="s">
        <v>80</v>
      </c>
      <c r="C37" s="10" t="s">
        <v>232</v>
      </c>
      <c r="D37" s="54">
        <v>333190689</v>
      </c>
      <c r="E37" s="10">
        <v>11</v>
      </c>
      <c r="F37" s="10">
        <v>32</v>
      </c>
      <c r="G37" s="10">
        <v>30</v>
      </c>
      <c r="I37" s="11">
        <f t="shared" si="0"/>
        <v>13.2614175</v>
      </c>
      <c r="J37" s="12">
        <f t="shared" si="1"/>
        <v>4.2454703768747874E-2</v>
      </c>
      <c r="K37" s="12">
        <f t="shared" si="2"/>
        <v>1.7697805474990329E-2</v>
      </c>
      <c r="L37" s="12">
        <f t="shared" si="3"/>
        <v>1.3273600211559333E-2</v>
      </c>
      <c r="M37" s="12">
        <f t="shared" si="4"/>
        <v>2.4756898293757542E-2</v>
      </c>
      <c r="N37" s="54">
        <f t="shared" si="5"/>
        <v>5896744</v>
      </c>
      <c r="O37" s="12">
        <v>16</v>
      </c>
      <c r="P37" s="13">
        <v>117619072</v>
      </c>
      <c r="Q37" s="13">
        <v>3675596</v>
      </c>
      <c r="R37" s="13">
        <v>1147170.5625</v>
      </c>
      <c r="S37" s="14">
        <v>14145512</v>
      </c>
      <c r="T37" s="14">
        <v>4422640</v>
      </c>
      <c r="U37" s="14">
        <v>1474104</v>
      </c>
      <c r="V37" s="14">
        <v>8248768</v>
      </c>
      <c r="W37" s="15">
        <v>76.00068125</v>
      </c>
      <c r="X37" s="15">
        <v>78.228321875000006</v>
      </c>
      <c r="Y37" s="15">
        <v>37.927656249999998</v>
      </c>
      <c r="Z37" s="15">
        <v>43.758221874999997</v>
      </c>
      <c r="AA37" s="15">
        <v>46.517428125000002</v>
      </c>
      <c r="AB37" s="16">
        <v>5730.98</v>
      </c>
      <c r="AC37" s="16">
        <v>0</v>
      </c>
      <c r="AD37" s="16">
        <v>220.875</v>
      </c>
      <c r="AE37" s="16">
        <v>0</v>
      </c>
      <c r="AF37" s="58">
        <v>0</v>
      </c>
      <c r="AG37" s="11">
        <f t="shared" si="6"/>
        <v>13.471807500000001</v>
      </c>
      <c r="AH37" s="12">
        <f t="shared" si="7"/>
        <v>4.3128239997126692E-2</v>
      </c>
      <c r="AI37" s="12">
        <f t="shared" si="8"/>
        <v>1.816987148761531E-2</v>
      </c>
      <c r="AJ37" s="12">
        <f t="shared" si="9"/>
        <v>1.3542899453591875E-2</v>
      </c>
      <c r="AK37" s="12">
        <f t="shared" si="10"/>
        <v>2.4958368509511379E-2</v>
      </c>
      <c r="AL37" s="54">
        <f t="shared" si="11"/>
        <v>6054032</v>
      </c>
      <c r="AM37" s="12">
        <v>-12</v>
      </c>
      <c r="AN37" s="13">
        <v>117569408</v>
      </c>
      <c r="AO37" s="13">
        <v>3674044</v>
      </c>
      <c r="AP37" s="13">
        <v>1146022.03125</v>
      </c>
      <c r="AQ37" s="14">
        <v>14369928</v>
      </c>
      <c r="AR37" s="14">
        <v>4512368</v>
      </c>
      <c r="AS37" s="14">
        <v>1541664</v>
      </c>
      <c r="AT37" s="14">
        <v>8315896</v>
      </c>
      <c r="AU37" s="15">
        <v>75.984837499999998</v>
      </c>
      <c r="AV37" s="15">
        <v>78.207593750000001</v>
      </c>
      <c r="AW37" s="15">
        <v>37.922924999999999</v>
      </c>
      <c r="AX37" s="15">
        <v>43.753306250000001</v>
      </c>
      <c r="AY37" s="15">
        <v>46.497834374999996</v>
      </c>
      <c r="AZ37" s="16">
        <v>5217.0600000000004</v>
      </c>
      <c r="BA37" s="16">
        <v>0</v>
      </c>
      <c r="BB37" s="16">
        <v>220.48699999999999</v>
      </c>
      <c r="BC37" s="16">
        <v>0</v>
      </c>
      <c r="BD37" s="59">
        <v>0</v>
      </c>
      <c r="BE37" s="51">
        <f t="shared" si="12"/>
        <v>1.0266737033183058</v>
      </c>
      <c r="BF37" s="17">
        <f t="shared" si="13"/>
        <v>-1.8076671110967002E-4</v>
      </c>
      <c r="BG37" s="17">
        <f t="shared" si="14"/>
        <v>4.4354584488884297E-3</v>
      </c>
      <c r="BH37" s="17"/>
      <c r="BJ37" s="51"/>
      <c r="BK37" s="51"/>
      <c r="BL37" s="51"/>
      <c r="BM37" s="51"/>
      <c r="BN37" s="51"/>
      <c r="BP37" s="51"/>
      <c r="BQ37" s="51"/>
      <c r="BR37" s="51"/>
      <c r="BS37" s="51"/>
      <c r="BT37" s="51"/>
    </row>
    <row r="38" spans="1:72" outlineLevel="1" x14ac:dyDescent="0.3">
      <c r="A38" s="18"/>
      <c r="B38" s="18" t="s">
        <v>80</v>
      </c>
      <c r="C38" s="19" t="s">
        <v>233</v>
      </c>
      <c r="D38" s="18">
        <v>333190689</v>
      </c>
      <c r="E38" s="19">
        <v>11</v>
      </c>
      <c r="F38" s="19">
        <v>32</v>
      </c>
      <c r="G38" s="19">
        <v>30</v>
      </c>
      <c r="I38" s="20">
        <f t="shared" si="0"/>
        <v>22.357927499999999</v>
      </c>
      <c r="J38" s="21">
        <f t="shared" si="1"/>
        <v>7.1575997731437205E-2</v>
      </c>
      <c r="K38" s="21">
        <f t="shared" si="2"/>
        <v>2.3929120060134694E-2</v>
      </c>
      <c r="L38" s="21">
        <f t="shared" si="3"/>
        <v>1.9504914796703698E-2</v>
      </c>
      <c r="M38" s="21">
        <f t="shared" si="4"/>
        <v>4.7646877671302511E-2</v>
      </c>
      <c r="N38" s="18">
        <f t="shared" si="5"/>
        <v>7972960</v>
      </c>
      <c r="O38" s="21">
        <v>16</v>
      </c>
      <c r="P38" s="22">
        <v>117619072</v>
      </c>
      <c r="Q38" s="22">
        <v>3675596</v>
      </c>
      <c r="R38" s="22">
        <v>1085724.90625</v>
      </c>
      <c r="S38" s="23">
        <v>23848456</v>
      </c>
      <c r="T38" s="23">
        <v>6498856</v>
      </c>
      <c r="U38" s="23">
        <v>1474104</v>
      </c>
      <c r="V38" s="23">
        <v>15875496</v>
      </c>
      <c r="W38" s="24">
        <v>76.869740625000006</v>
      </c>
      <c r="X38" s="24">
        <v>79.267384375000006</v>
      </c>
      <c r="Y38" s="24">
        <v>39.702237500000003</v>
      </c>
      <c r="Z38" s="24">
        <v>44.545900000000003</v>
      </c>
      <c r="AA38" s="24">
        <v>47.794103124999999</v>
      </c>
      <c r="AB38" s="25">
        <v>5926.97</v>
      </c>
      <c r="AC38" s="25">
        <v>0</v>
      </c>
      <c r="AD38" s="25">
        <v>228.51300000000001</v>
      </c>
      <c r="AE38" s="25">
        <v>0</v>
      </c>
      <c r="AF38" s="58">
        <v>0</v>
      </c>
      <c r="AG38" s="20">
        <f t="shared" si="6"/>
        <v>22.68993</v>
      </c>
      <c r="AH38" s="21">
        <f t="shared" si="7"/>
        <v>7.2638860565518382E-2</v>
      </c>
      <c r="AI38" s="21">
        <f t="shared" si="8"/>
        <v>2.4669092718854459E-2</v>
      </c>
      <c r="AJ38" s="21">
        <f t="shared" si="9"/>
        <v>2.0042120684831022E-2</v>
      </c>
      <c r="AK38" s="21">
        <f t="shared" si="10"/>
        <v>4.796976784666393E-2</v>
      </c>
      <c r="AL38" s="18">
        <f t="shared" si="11"/>
        <v>8219512</v>
      </c>
      <c r="AM38" s="21">
        <v>-12</v>
      </c>
      <c r="AN38" s="22">
        <v>117569408</v>
      </c>
      <c r="AO38" s="22">
        <v>3674044</v>
      </c>
      <c r="AP38" s="22">
        <v>1081140.90625</v>
      </c>
      <c r="AQ38" s="23">
        <v>24202592</v>
      </c>
      <c r="AR38" s="23">
        <v>6677848</v>
      </c>
      <c r="AS38" s="23">
        <v>1541664</v>
      </c>
      <c r="AT38" s="23">
        <v>15983080</v>
      </c>
      <c r="AU38" s="24">
        <v>76.849284374999996</v>
      </c>
      <c r="AV38" s="24">
        <v>79.242687500000002</v>
      </c>
      <c r="AW38" s="24">
        <v>39.702100000000002</v>
      </c>
      <c r="AX38" s="24">
        <v>44.526524999999999</v>
      </c>
      <c r="AY38" s="24">
        <v>47.791471874999999</v>
      </c>
      <c r="AZ38" s="25">
        <v>5434.89</v>
      </c>
      <c r="BA38" s="25">
        <v>0</v>
      </c>
      <c r="BB38" s="25">
        <v>235.547</v>
      </c>
      <c r="BC38" s="25">
        <v>0</v>
      </c>
      <c r="BD38" s="59">
        <v>0</v>
      </c>
      <c r="BE38" s="50">
        <f t="shared" si="12"/>
        <v>1.0309235215026791</v>
      </c>
      <c r="BF38" s="26">
        <f t="shared" si="13"/>
        <v>-1.1228931083810956E-3</v>
      </c>
      <c r="BG38" s="26">
        <f t="shared" si="14"/>
        <v>5.2952213228050771E-3</v>
      </c>
      <c r="BH38" s="26"/>
      <c r="BJ38" s="50"/>
      <c r="BK38" s="50"/>
      <c r="BL38" s="50"/>
      <c r="BM38" s="50"/>
      <c r="BN38" s="50"/>
      <c r="BP38" s="50"/>
      <c r="BQ38" s="50"/>
      <c r="BR38" s="50"/>
      <c r="BS38" s="50"/>
      <c r="BT38" s="50"/>
    </row>
    <row r="39" spans="1:72" outlineLevel="1" x14ac:dyDescent="0.3">
      <c r="A39" s="27"/>
      <c r="B39" s="27" t="s">
        <v>80</v>
      </c>
      <c r="C39" s="28" t="s">
        <v>234</v>
      </c>
      <c r="D39" s="27">
        <v>333190689</v>
      </c>
      <c r="E39" s="28">
        <v>11</v>
      </c>
      <c r="F39" s="28">
        <v>32</v>
      </c>
      <c r="G39" s="28">
        <v>30</v>
      </c>
      <c r="I39" s="29">
        <f t="shared" si="0"/>
        <v>41.276647500000003</v>
      </c>
      <c r="J39" s="30">
        <f t="shared" si="1"/>
        <v>0.13214181984539189</v>
      </c>
      <c r="K39" s="30">
        <f t="shared" si="2"/>
        <v>3.8444843817349292E-2</v>
      </c>
      <c r="L39" s="30">
        <f t="shared" si="3"/>
        <v>2.9609230766949792E-2</v>
      </c>
      <c r="M39" s="30">
        <f t="shared" si="4"/>
        <v>9.3696976028042611E-2</v>
      </c>
      <c r="N39" s="27">
        <f t="shared" si="5"/>
        <v>12809464</v>
      </c>
      <c r="O39" s="30">
        <v>16</v>
      </c>
      <c r="P39" s="31">
        <v>114250072</v>
      </c>
      <c r="Q39" s="31">
        <v>3570314.75</v>
      </c>
      <c r="R39" s="31">
        <v>1023397.6875</v>
      </c>
      <c r="S39" s="32">
        <v>44028424</v>
      </c>
      <c r="T39" s="32">
        <v>9865520</v>
      </c>
      <c r="U39" s="32">
        <v>2943944</v>
      </c>
      <c r="V39" s="32">
        <v>31218960</v>
      </c>
      <c r="W39" s="33">
        <v>78.337428125000002</v>
      </c>
      <c r="X39" s="33">
        <v>81.847878124999994</v>
      </c>
      <c r="Y39" s="33">
        <v>41.338256250000001</v>
      </c>
      <c r="Z39" s="33">
        <v>45.540721875000003</v>
      </c>
      <c r="AA39" s="33">
        <v>49.126856250000003</v>
      </c>
      <c r="AB39" s="34">
        <v>6313.3</v>
      </c>
      <c r="AC39" s="34">
        <v>0</v>
      </c>
      <c r="AD39" s="34">
        <v>223.02</v>
      </c>
      <c r="AE39" s="34">
        <v>0</v>
      </c>
      <c r="AF39" s="58">
        <v>0</v>
      </c>
      <c r="AG39" s="29">
        <f t="shared" si="6"/>
        <v>41.889367499999999</v>
      </c>
      <c r="AH39" s="30">
        <f t="shared" si="7"/>
        <v>0.13410336325454761</v>
      </c>
      <c r="AI39" s="30">
        <f t="shared" si="8"/>
        <v>4.0018189103717725E-2</v>
      </c>
      <c r="AJ39" s="30">
        <f t="shared" si="9"/>
        <v>3.0551465980491431E-2</v>
      </c>
      <c r="AK39" s="30">
        <f t="shared" si="10"/>
        <v>9.4085174150829884E-2</v>
      </c>
      <c r="AL39" s="27">
        <f t="shared" si="11"/>
        <v>13333688</v>
      </c>
      <c r="AM39" s="30">
        <v>-12</v>
      </c>
      <c r="AN39" s="31">
        <v>113955216</v>
      </c>
      <c r="AO39" s="31">
        <v>3561100.5</v>
      </c>
      <c r="AP39" s="31">
        <v>1017201.1875</v>
      </c>
      <c r="AQ39" s="32">
        <v>44681992</v>
      </c>
      <c r="AR39" s="32">
        <v>10179464</v>
      </c>
      <c r="AS39" s="32">
        <v>3154224</v>
      </c>
      <c r="AT39" s="32">
        <v>31348304</v>
      </c>
      <c r="AU39" s="33">
        <v>78.311009374999998</v>
      </c>
      <c r="AV39" s="33">
        <v>81.839856249999997</v>
      </c>
      <c r="AW39" s="33">
        <v>41.322412499999999</v>
      </c>
      <c r="AX39" s="33">
        <v>45.5371375</v>
      </c>
      <c r="AY39" s="33">
        <v>49.122865625000003</v>
      </c>
      <c r="AZ39" s="34">
        <v>5853.6</v>
      </c>
      <c r="BA39" s="34">
        <v>0</v>
      </c>
      <c r="BB39" s="34">
        <v>221.94800000000001</v>
      </c>
      <c r="BC39" s="34">
        <v>0</v>
      </c>
      <c r="BD39" s="59">
        <v>0</v>
      </c>
      <c r="BE39" s="35">
        <f t="shared" si="12"/>
        <v>1.040924741269424</v>
      </c>
      <c r="BF39" s="36">
        <f t="shared" si="13"/>
        <v>-9.9837690499743337E-4</v>
      </c>
      <c r="BG39" s="36">
        <f t="shared" si="14"/>
        <v>7.4767791339843126E-3</v>
      </c>
      <c r="BH39" s="36"/>
      <c r="BJ39" s="35"/>
      <c r="BK39" s="35"/>
      <c r="BL39" s="35"/>
      <c r="BM39" s="35"/>
      <c r="BN39" s="35"/>
      <c r="BP39" s="35"/>
      <c r="BQ39" s="35"/>
      <c r="BR39" s="35"/>
      <c r="BS39" s="35"/>
      <c r="BT39" s="35"/>
    </row>
    <row r="40" spans="1:72" x14ac:dyDescent="0.3">
      <c r="B40" s="47" t="s">
        <v>14</v>
      </c>
      <c r="J40" s="48">
        <f>AVERAGE(J5:J24)</f>
        <v>4.4298227359101827E-2</v>
      </c>
      <c r="K40" s="48">
        <f>AVERAGE(K5:K24)</f>
        <v>1.3835713519903012E-2</v>
      </c>
      <c r="L40" s="48">
        <f>AVERAGE(L5:L24)</f>
        <v>9.6969495541967075E-3</v>
      </c>
      <c r="M40" s="48">
        <f>AVERAGE(M5:M24)</f>
        <v>3.0462513839198811E-2</v>
      </c>
      <c r="AH40" s="48">
        <f>AVERAGE(AH5:AH24)</f>
        <v>4.5018810692033374E-2</v>
      </c>
      <c r="AI40" s="48">
        <f>AVERAGE(AI5:AI24)</f>
        <v>1.4358960882645783E-2</v>
      </c>
      <c r="AJ40" s="48">
        <f>AVERAGE(AJ5:AJ24)</f>
        <v>1.0046902322722265E-2</v>
      </c>
      <c r="AK40" s="48">
        <f>AVERAGE(AK5:AK24)</f>
        <v>3.0659849809387595E-2</v>
      </c>
      <c r="BE40" s="52">
        <f t="shared" si="12"/>
        <v>1.0378186034272874</v>
      </c>
      <c r="BH40" s="55">
        <f>AVERAGE(BH5:BH24)</f>
        <v>5.6678117443276776E-3</v>
      </c>
      <c r="BJ40" s="52">
        <f>AVERAGE(BJ5:BJ24)</f>
        <v>2.0423156973521206E-2</v>
      </c>
      <c r="BK40" s="52">
        <f>AVERAGE(BK5:BK24)</f>
        <v>2.0723148807317793E-2</v>
      </c>
      <c r="BL40" s="52">
        <f>AVERAGE(BL5:BL24)</f>
        <v>2.2603210526253359E-2</v>
      </c>
      <c r="BM40" s="52">
        <f>AVERAGE(BM5:BM24)</f>
        <v>4.0093653167949772E-2</v>
      </c>
      <c r="BN40" s="52">
        <f>AVERAGE(BN5:BN24)</f>
        <v>4.9521518904267536E-2</v>
      </c>
      <c r="BP40" s="52">
        <f>AVERAGE(BP5:BP24)</f>
        <v>-8.2830767883002032E-3</v>
      </c>
      <c r="BQ40" s="52">
        <f>AVERAGE(BQ5:BQ24)</f>
        <v>-5.6224954207889644E-3</v>
      </c>
      <c r="BR40" s="52">
        <f>AVERAGE(BR5:BR24)</f>
        <v>2.8041808597020212E-2</v>
      </c>
      <c r="BS40" s="52">
        <f>AVERAGE(BS5:BS24)</f>
        <v>3.9613992672149434E-2</v>
      </c>
      <c r="BT40" s="52">
        <f>AVERAGE(BT5:BT24)</f>
        <v>4.6194659787230141E-2</v>
      </c>
    </row>
    <row r="41" spans="1:72" x14ac:dyDescent="0.3">
      <c r="B41" s="47" t="s">
        <v>15</v>
      </c>
      <c r="J41" s="48">
        <f>AVERAGE(J25:J29)</f>
        <v>7.9838934747696613E-2</v>
      </c>
      <c r="K41" s="48">
        <f>AVERAGE(K25:K29)</f>
        <v>1.2342787348069725E-2</v>
      </c>
      <c r="L41" s="48">
        <f>AVERAGE(L25:L29)</f>
        <v>9.0938284872662568E-3</v>
      </c>
      <c r="M41" s="48">
        <f>AVERAGE(M25:M29)</f>
        <v>6.7496147399626893E-2</v>
      </c>
      <c r="AH41" s="48">
        <f>AVERAGE(AH25:AH29)</f>
        <v>8.177360227477877E-2</v>
      </c>
      <c r="AI41" s="48">
        <f>AVERAGE(AI25:AI29)</f>
        <v>1.3192141730019549E-2</v>
      </c>
      <c r="AJ41" s="48">
        <f>AVERAGE(AJ25:AJ29)</f>
        <v>9.4929166305325781E-3</v>
      </c>
      <c r="AK41" s="48">
        <f>AVERAGE(AK25:AK29)</f>
        <v>6.8581460544759221E-2</v>
      </c>
      <c r="BE41" s="52">
        <f t="shared" si="12"/>
        <v>1.0688138228422654</v>
      </c>
      <c r="BH41" s="55">
        <f>AVERAGE(BH25:BH29)</f>
        <v>7.7170695265202371E-3</v>
      </c>
      <c r="BJ41" s="52">
        <f>AVERAGE(BJ25:BJ29)</f>
        <v>7.5574393591145261E-2</v>
      </c>
      <c r="BK41" s="52">
        <f>AVERAGE(BK25:BK29)</f>
        <v>7.7094254307419785E-2</v>
      </c>
      <c r="BL41" s="52">
        <f>AVERAGE(BL25:BL29)</f>
        <v>6.85684392301944E-3</v>
      </c>
      <c r="BM41" s="52">
        <f>AVERAGE(BM25:BM29)</f>
        <v>-1.4880451802289363E-3</v>
      </c>
      <c r="BN41" s="52">
        <f>AVERAGE(BN25:BN29)</f>
        <v>-7.7755048241896496E-3</v>
      </c>
      <c r="BP41" s="52">
        <f>AVERAGE(BP25:BP29)</f>
        <v>4.6827499805724537E-2</v>
      </c>
      <c r="BQ41" s="52">
        <f>AVERAGE(BQ25:BQ29)</f>
        <v>4.3780490926555782E-2</v>
      </c>
      <c r="BR41" s="52">
        <f>AVERAGE(BR25:BR29)</f>
        <v>1.7659807802592908E-2</v>
      </c>
      <c r="BS41" s="52">
        <f>AVERAGE(BS25:BS29)</f>
        <v>9.2555255748278942E-3</v>
      </c>
      <c r="BT41" s="52">
        <f>AVERAGE(BT25:BT29)</f>
        <v>3.8110067152319349E-3</v>
      </c>
    </row>
    <row r="42" spans="1:72" x14ac:dyDescent="0.3">
      <c r="B42" s="47" t="s">
        <v>16</v>
      </c>
      <c r="J42" s="48">
        <f>AVERAGE(J30:J39)</f>
        <v>5.4224844548905624E-2</v>
      </c>
      <c r="K42" s="48">
        <f>AVERAGE(K30:K39)</f>
        <v>1.9727786924156963E-2</v>
      </c>
      <c r="L42" s="48">
        <f>AVERAGE(L30:L39)</f>
        <v>1.4851152232487525E-2</v>
      </c>
      <c r="M42" s="48">
        <f>AVERAGE(M30:M39)</f>
        <v>3.4497057624748653E-2</v>
      </c>
      <c r="AH42" s="48">
        <f>AVERAGE(AH30:AH39)</f>
        <v>5.4982609445012987E-2</v>
      </c>
      <c r="AI42" s="48">
        <f>AVERAGE(AI30:AI39)</f>
        <v>2.041373267211281E-2</v>
      </c>
      <c r="AJ42" s="48">
        <f>AVERAGE(AJ30:AJ39)</f>
        <v>1.5264112290233733E-2</v>
      </c>
      <c r="AK42" s="48">
        <f>AVERAGE(AK30:AK39)</f>
        <v>3.4568876772900187E-2</v>
      </c>
      <c r="BE42" s="52">
        <f t="shared" si="12"/>
        <v>1.0347705371409854</v>
      </c>
      <c r="BH42" s="55">
        <f>AVERAGE(BH30:BH39)</f>
        <v>6.956890542951899E-3</v>
      </c>
      <c r="BJ42" s="52">
        <f>AVERAGE(BJ30:BJ39)</f>
        <v>3.164273074174262E-2</v>
      </c>
      <c r="BK42" s="52">
        <f>AVERAGE(BK30:BK39)</f>
        <v>3.0919460973282908E-2</v>
      </c>
      <c r="BL42" s="52">
        <f>AVERAGE(BL30:BL39)</f>
        <v>3.4913149731559678E-3</v>
      </c>
      <c r="BM42" s="52">
        <f>AVERAGE(BM30:BM39)</f>
        <v>1.0046532777583383E-2</v>
      </c>
      <c r="BN42" s="52">
        <f>AVERAGE(BN30:BN39)</f>
        <v>1.2375227579826564E-2</v>
      </c>
      <c r="BP42" s="52">
        <f>AVERAGE(BP30:BP39)</f>
        <v>1.3867376491252914E-2</v>
      </c>
      <c r="BQ42" s="52">
        <f>AVERAGE(BQ30:BQ39)</f>
        <v>1.1548392880041836E-2</v>
      </c>
      <c r="BR42" s="52">
        <f>AVERAGE(BR30:BR39)</f>
        <v>1.5841542310662038E-2</v>
      </c>
      <c r="BS42" s="52">
        <f>AVERAGE(BS30:BS39)</f>
        <v>2.0811660963180989E-2</v>
      </c>
      <c r="BT42" s="52">
        <f>AVERAGE(BT30:BT39)</f>
        <v>2.1899563016248624E-2</v>
      </c>
    </row>
    <row r="43" spans="1:72" collapsed="1" x14ac:dyDescent="0.3">
      <c r="B43" s="47" t="s">
        <v>17</v>
      </c>
      <c r="J43" s="48">
        <f>AVERAGE(J5:J39)</f>
        <v>5.2211647611702161E-2</v>
      </c>
      <c r="K43" s="48">
        <f>AVERAGE(K5:K39)</f>
        <v>1.5305887896570813E-2</v>
      </c>
      <c r="L43" s="48">
        <f>AVERAGE(L5:L39)</f>
        <v>1.1083418738432587E-2</v>
      </c>
      <c r="M43" s="48">
        <f>AVERAGE(M5:M39)</f>
        <v>3.6905759715131353E-2</v>
      </c>
      <c r="AH43" s="48">
        <f>AVERAGE(AH5:AH39)</f>
        <v>5.3116294847562605E-2</v>
      </c>
      <c r="AI43" s="48">
        <f>AVERAGE(AI5:AI39)</f>
        <v>1.5922207229261184E-2</v>
      </c>
      <c r="AJ43" s="48">
        <f>AVERAGE(AJ5:AJ39)</f>
        <v>1.14583929288413E-2</v>
      </c>
      <c r="AK43" s="48">
        <f>AVERAGE(AK5:AK39)</f>
        <v>3.7194087618301425E-2</v>
      </c>
      <c r="BE43" s="52">
        <f t="shared" si="12"/>
        <v>1.0402668134547395</v>
      </c>
      <c r="BH43" s="55">
        <f>AVERAGE(BH5:BH39)</f>
        <v>6.3288710842478212E-3</v>
      </c>
      <c r="BJ43" s="52">
        <f>AVERAGE(BJ5:BJ39)</f>
        <v>3.1507497566959329E-2</v>
      </c>
      <c r="BK43" s="52">
        <f>AVERAGE(BK5:BK39)</f>
        <v>3.1689395926179538E-2</v>
      </c>
      <c r="BL43" s="52">
        <f>AVERAGE(BL5:BL39)</f>
        <v>1.4893187996334973E-2</v>
      </c>
      <c r="BM43" s="52">
        <f>AVERAGE(BM5:BM39)</f>
        <v>2.5568519006676702E-2</v>
      </c>
      <c r="BN43" s="52">
        <f>AVERAGE(BN5:BN39)</f>
        <v>3.0723003707504803E-2</v>
      </c>
      <c r="BP43" s="52">
        <f>AVERAGE(BP5:BP39)</f>
        <v>5.9185636621470793E-3</v>
      </c>
      <c r="BQ43" s="52">
        <f>AVERAGE(BQ5:BQ39)</f>
        <v>6.3410421433547992E-3</v>
      </c>
      <c r="BR43" s="52">
        <f>AVERAGE(BR5:BR39)</f>
        <v>2.3072875258856835E-2</v>
      </c>
      <c r="BS43" s="52">
        <f>AVERAGE(BS5:BS39)</f>
        <v>2.9904974027112514E-2</v>
      </c>
      <c r="BT43" s="52">
        <f>AVERAGE(BT5:BT39)</f>
        <v>3.3198395985235676E-2</v>
      </c>
    </row>
    <row r="44" spans="1:72" hidden="1" outlineLevel="2" x14ac:dyDescent="0.3">
      <c r="A44" s="47" t="s">
        <v>237</v>
      </c>
      <c r="B44" s="47" t="s">
        <v>238</v>
      </c>
      <c r="AB44" s="49">
        <f>SUM(AB5:AB24,AB25:AB29,AB30:AB39)</f>
        <v>123228.88</v>
      </c>
      <c r="AC44" s="49">
        <f>SUM(AC5:AC24,AC25:AC29,AC30:AC39)</f>
        <v>0</v>
      </c>
      <c r="AD44" s="49">
        <f>SUM(AD5:AD24,AD25:AD29,AD30:AD39)</f>
        <v>4201.1930000000002</v>
      </c>
      <c r="AE44" s="49">
        <f>SUM(AE5:AE24,AE25:AE29,AE30:AE39)</f>
        <v>0</v>
      </c>
      <c r="AZ44" s="49">
        <f>SUM(AZ5:AZ24,AZ25:AZ29,AZ30:AZ39)</f>
        <v>105269.33</v>
      </c>
      <c r="BA44" s="49">
        <f>SUM(BA5:BA24,BA25:BA29,BA30:BA39)</f>
        <v>0</v>
      </c>
      <c r="BB44" s="49">
        <f>SUM(BB5:BB24,BB25:BB29,BB30:BB39)</f>
        <v>4208.6840000000002</v>
      </c>
      <c r="BC44" s="49">
        <f>SUM(BC5:BC24,BC25:BC29,BC30:BC39)</f>
        <v>0</v>
      </c>
    </row>
    <row r="45" spans="1:72" hidden="1" outlineLevel="2" x14ac:dyDescent="0.3">
      <c r="B45" s="47" t="s">
        <v>239</v>
      </c>
      <c r="AZ45" s="55">
        <f>AZ44/AB44</f>
        <v>0.8542585958746034</v>
      </c>
      <c r="BA45" s="55" t="e">
        <f>BA44/AC44</f>
        <v>#DIV/0!</v>
      </c>
      <c r="BB45" s="55">
        <f>BB44/AD44</f>
        <v>1.0017830649532169</v>
      </c>
      <c r="BC45" s="55" t="e">
        <f>BC44/AE44</f>
        <v>#DIV/0!</v>
      </c>
    </row>
    <row r="46" spans="1:72" hidden="1" outlineLevel="2" x14ac:dyDescent="0.3">
      <c r="B46" s="47" t="s">
        <v>240</v>
      </c>
      <c r="AB46" s="49">
        <f>GEOMEAN(AB5:AB24,AB25:AB29,AB30:AB39)</f>
        <v>3216.9156854063858</v>
      </c>
      <c r="AC46" s="49" t="e">
        <f>GEOMEAN(AC5:AC24,AC25:AC29,AC30:AC39)</f>
        <v>#NUM!</v>
      </c>
      <c r="AD46" s="49">
        <f>GEOMEAN(AD5:AD24,AD25:AD29,AD30:AD39)</f>
        <v>102.71803621649386</v>
      </c>
      <c r="AE46" s="49" t="e">
        <f>GEOMEAN(AE5:AE24,AE25:AE29,AE30:AE39)</f>
        <v>#NUM!</v>
      </c>
      <c r="AZ46" s="49">
        <f>GEOMEAN(AZ5:AZ24,AZ25:AZ29,AZ30:AZ39)</f>
        <v>2703.7924650231971</v>
      </c>
      <c r="BA46" s="49" t="e">
        <f>GEOMEAN(BA5:BA24,BA25:BA29,BA30:BA39)</f>
        <v>#NUM!</v>
      </c>
      <c r="BB46" s="49">
        <f>GEOMEAN(BB5:BB24,BB25:BB29,BB30:BB39)</f>
        <v>103.23190752572739</v>
      </c>
      <c r="BC46" s="49" t="e">
        <f>GEOMEAN(BC5:BC24,BC25:BC29,BC30:BC39)</f>
        <v>#NUM!</v>
      </c>
    </row>
    <row r="47" spans="1:72" outlineLevel="2" collapsed="1" x14ac:dyDescent="0.3">
      <c r="B47" s="47" t="s">
        <v>241</v>
      </c>
      <c r="AZ47" s="55">
        <f>AZ46/AB46</f>
        <v>0.84049217618261352</v>
      </c>
      <c r="BA47" s="55" t="e">
        <f>BA46/AC46</f>
        <v>#NUM!</v>
      </c>
      <c r="BB47" s="55">
        <f>BB46/AD46</f>
        <v>1.0050027368918004</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286"/>
  <sheetViews>
    <sheetView workbookViewId="0"/>
  </sheetViews>
  <sheetFormatPr defaultRowHeight="14.4" x14ac:dyDescent="0.3"/>
  <sheetData>
    <row r="1" spans="1:2" x14ac:dyDescent="0.3">
      <c r="A1" t="s">
        <v>242</v>
      </c>
      <c r="B1">
        <v>1</v>
      </c>
    </row>
    <row r="2" spans="1:2" x14ac:dyDescent="0.3">
      <c r="A2" t="s">
        <v>243</v>
      </c>
      <c r="B2">
        <v>2</v>
      </c>
    </row>
    <row r="3" spans="1:2" x14ac:dyDescent="0.3">
      <c r="A3" t="s">
        <v>244</v>
      </c>
      <c r="B3">
        <v>3</v>
      </c>
    </row>
    <row r="4" spans="1:2" x14ac:dyDescent="0.3">
      <c r="A4" t="s">
        <v>245</v>
      </c>
      <c r="B4">
        <v>4</v>
      </c>
    </row>
    <row r="5" spans="1:2" x14ac:dyDescent="0.3">
      <c r="A5" t="s">
        <v>246</v>
      </c>
      <c r="B5">
        <v>5</v>
      </c>
    </row>
    <row r="6" spans="1:2" x14ac:dyDescent="0.3">
      <c r="A6" t="s">
        <v>247</v>
      </c>
      <c r="B6">
        <v>6</v>
      </c>
    </row>
    <row r="7" spans="1:2" x14ac:dyDescent="0.3">
      <c r="A7" t="s">
        <v>248</v>
      </c>
      <c r="B7">
        <v>7</v>
      </c>
    </row>
    <row r="8" spans="1:2" x14ac:dyDescent="0.3">
      <c r="A8" t="s">
        <v>249</v>
      </c>
      <c r="B8">
        <v>9</v>
      </c>
    </row>
    <row r="9" spans="1:2" x14ac:dyDescent="0.3">
      <c r="A9" t="s">
        <v>250</v>
      </c>
      <c r="B9">
        <v>10</v>
      </c>
    </row>
    <row r="10" spans="1:2" x14ac:dyDescent="0.3">
      <c r="A10" t="s">
        <v>251</v>
      </c>
      <c r="B10">
        <v>11</v>
      </c>
    </row>
    <row r="11" spans="1:2" x14ac:dyDescent="0.3">
      <c r="A11" t="s">
        <v>252</v>
      </c>
      <c r="B11">
        <v>12</v>
      </c>
    </row>
    <row r="12" spans="1:2" x14ac:dyDescent="0.3">
      <c r="A12" t="s">
        <v>253</v>
      </c>
      <c r="B12">
        <v>13</v>
      </c>
    </row>
    <row r="13" spans="1:2" x14ac:dyDescent="0.3">
      <c r="A13" t="s">
        <v>254</v>
      </c>
      <c r="B13">
        <v>14</v>
      </c>
    </row>
    <row r="14" spans="1:2" x14ac:dyDescent="0.3">
      <c r="A14" t="s">
        <v>255</v>
      </c>
      <c r="B14">
        <v>15</v>
      </c>
    </row>
    <row r="15" spans="1:2" x14ac:dyDescent="0.3">
      <c r="A15" t="s">
        <v>256</v>
      </c>
      <c r="B15">
        <v>16</v>
      </c>
    </row>
    <row r="16" spans="1:2" x14ac:dyDescent="0.3">
      <c r="A16" t="s">
        <v>257</v>
      </c>
      <c r="B16">
        <v>17</v>
      </c>
    </row>
    <row r="17" spans="1:2" x14ac:dyDescent="0.3">
      <c r="A17" t="s">
        <v>258</v>
      </c>
      <c r="B17">
        <v>18</v>
      </c>
    </row>
    <row r="18" spans="1:2" x14ac:dyDescent="0.3">
      <c r="A18" t="s">
        <v>259</v>
      </c>
      <c r="B18">
        <v>19</v>
      </c>
    </row>
    <row r="19" spans="1:2" x14ac:dyDescent="0.3">
      <c r="A19" t="s">
        <v>260</v>
      </c>
      <c r="B19">
        <v>20</v>
      </c>
    </row>
    <row r="20" spans="1:2" x14ac:dyDescent="0.3">
      <c r="A20" t="s">
        <v>261</v>
      </c>
      <c r="B20">
        <v>21</v>
      </c>
    </row>
    <row r="21" spans="1:2" x14ac:dyDescent="0.3">
      <c r="A21" t="s">
        <v>262</v>
      </c>
      <c r="B21">
        <v>22</v>
      </c>
    </row>
    <row r="22" spans="1:2" x14ac:dyDescent="0.3">
      <c r="A22" t="s">
        <v>263</v>
      </c>
      <c r="B22">
        <v>23</v>
      </c>
    </row>
    <row r="23" spans="1:2" x14ac:dyDescent="0.3">
      <c r="A23" t="s">
        <v>264</v>
      </c>
      <c r="B23">
        <v>24</v>
      </c>
    </row>
    <row r="24" spans="1:2" x14ac:dyDescent="0.3">
      <c r="A24" t="s">
        <v>265</v>
      </c>
      <c r="B24">
        <v>25</v>
      </c>
    </row>
    <row r="25" spans="1:2" x14ac:dyDescent="0.3">
      <c r="A25" t="s">
        <v>266</v>
      </c>
      <c r="B25">
        <v>26</v>
      </c>
    </row>
    <row r="26" spans="1:2" x14ac:dyDescent="0.3">
      <c r="A26" t="s">
        <v>267</v>
      </c>
      <c r="B26">
        <v>27</v>
      </c>
    </row>
    <row r="27" spans="1:2" x14ac:dyDescent="0.3">
      <c r="A27" t="s">
        <v>268</v>
      </c>
      <c r="B27">
        <v>28</v>
      </c>
    </row>
    <row r="28" spans="1:2" x14ac:dyDescent="0.3">
      <c r="A28" t="s">
        <v>269</v>
      </c>
      <c r="B28">
        <v>29</v>
      </c>
    </row>
    <row r="29" spans="1:2" x14ac:dyDescent="0.3">
      <c r="A29" t="s">
        <v>270</v>
      </c>
      <c r="B29">
        <v>30</v>
      </c>
    </row>
    <row r="30" spans="1:2" x14ac:dyDescent="0.3">
      <c r="A30" t="s">
        <v>271</v>
      </c>
      <c r="B30">
        <v>31</v>
      </c>
    </row>
    <row r="31" spans="1:2" x14ac:dyDescent="0.3">
      <c r="A31" t="s">
        <v>272</v>
      </c>
      <c r="B31">
        <v>33</v>
      </c>
    </row>
    <row r="32" spans="1:2" x14ac:dyDescent="0.3">
      <c r="A32" t="s">
        <v>273</v>
      </c>
      <c r="B32">
        <v>34</v>
      </c>
    </row>
    <row r="33" spans="1:2" x14ac:dyDescent="0.3">
      <c r="A33" t="s">
        <v>274</v>
      </c>
      <c r="B33">
        <v>35</v>
      </c>
    </row>
    <row r="34" spans="1:2" x14ac:dyDescent="0.3">
      <c r="A34" t="s">
        <v>275</v>
      </c>
      <c r="B34">
        <v>36</v>
      </c>
    </row>
    <row r="35" spans="1:2" x14ac:dyDescent="0.3">
      <c r="A35" t="s">
        <v>276</v>
      </c>
      <c r="B35">
        <v>37</v>
      </c>
    </row>
    <row r="36" spans="1:2" x14ac:dyDescent="0.3">
      <c r="A36" t="s">
        <v>277</v>
      </c>
      <c r="B36">
        <v>38</v>
      </c>
    </row>
    <row r="37" spans="1:2" x14ac:dyDescent="0.3">
      <c r="A37" t="s">
        <v>278</v>
      </c>
      <c r="B37">
        <v>39</v>
      </c>
    </row>
    <row r="38" spans="1:2" x14ac:dyDescent="0.3">
      <c r="A38" t="s">
        <v>279</v>
      </c>
      <c r="B38">
        <v>40</v>
      </c>
    </row>
    <row r="39" spans="1:2" x14ac:dyDescent="0.3">
      <c r="A39" t="s">
        <v>280</v>
      </c>
      <c r="B39">
        <v>41</v>
      </c>
    </row>
    <row r="40" spans="1:2" x14ac:dyDescent="0.3">
      <c r="A40" t="s">
        <v>281</v>
      </c>
      <c r="B40">
        <v>42</v>
      </c>
    </row>
    <row r="41" spans="1:2" x14ac:dyDescent="0.3">
      <c r="A41" t="s">
        <v>282</v>
      </c>
      <c r="B41">
        <v>43</v>
      </c>
    </row>
    <row r="42" spans="1:2" x14ac:dyDescent="0.3">
      <c r="A42" t="s">
        <v>283</v>
      </c>
      <c r="B42">
        <v>44</v>
      </c>
    </row>
    <row r="43" spans="1:2" x14ac:dyDescent="0.3">
      <c r="A43" t="s">
        <v>284</v>
      </c>
      <c r="B43">
        <v>45</v>
      </c>
    </row>
    <row r="44" spans="1:2" x14ac:dyDescent="0.3">
      <c r="A44" t="s">
        <v>285</v>
      </c>
      <c r="B44">
        <v>46</v>
      </c>
    </row>
    <row r="45" spans="1:2" x14ac:dyDescent="0.3">
      <c r="A45" t="s">
        <v>286</v>
      </c>
      <c r="B45">
        <v>47</v>
      </c>
    </row>
    <row r="46" spans="1:2" x14ac:dyDescent="0.3">
      <c r="A46" t="s">
        <v>287</v>
      </c>
      <c r="B46">
        <v>48</v>
      </c>
    </row>
    <row r="47" spans="1:2" x14ac:dyDescent="0.3">
      <c r="A47" t="s">
        <v>288</v>
      </c>
      <c r="B47">
        <v>49</v>
      </c>
    </row>
    <row r="48" spans="1:2" x14ac:dyDescent="0.3">
      <c r="A48" t="s">
        <v>289</v>
      </c>
      <c r="B48">
        <v>50</v>
      </c>
    </row>
    <row r="49" spans="1:2" x14ac:dyDescent="0.3">
      <c r="A49" t="s">
        <v>290</v>
      </c>
      <c r="B49">
        <v>51</v>
      </c>
    </row>
    <row r="50" spans="1:2" x14ac:dyDescent="0.3">
      <c r="A50" t="s">
        <v>291</v>
      </c>
      <c r="B50">
        <v>52</v>
      </c>
    </row>
    <row r="51" spans="1:2" x14ac:dyDescent="0.3">
      <c r="A51" t="s">
        <v>292</v>
      </c>
      <c r="B51">
        <v>53</v>
      </c>
    </row>
    <row r="52" spans="1:2" x14ac:dyDescent="0.3">
      <c r="A52" t="s">
        <v>293</v>
      </c>
      <c r="B52">
        <v>54</v>
      </c>
    </row>
    <row r="53" spans="1:2" x14ac:dyDescent="0.3">
      <c r="A53" t="s">
        <v>294</v>
      </c>
      <c r="B53">
        <v>55</v>
      </c>
    </row>
    <row r="54" spans="1:2" x14ac:dyDescent="0.3">
      <c r="A54" t="s">
        <v>295</v>
      </c>
      <c r="B54">
        <v>57</v>
      </c>
    </row>
    <row r="55" spans="1:2" x14ac:dyDescent="0.3">
      <c r="A55" t="s">
        <v>296</v>
      </c>
      <c r="B55">
        <v>58</v>
      </c>
    </row>
    <row r="56" spans="1:2" x14ac:dyDescent="0.3">
      <c r="A56" t="s">
        <v>297</v>
      </c>
      <c r="B56">
        <v>59</v>
      </c>
    </row>
    <row r="57" spans="1:2" x14ac:dyDescent="0.3">
      <c r="A57" t="s">
        <v>298</v>
      </c>
      <c r="B57">
        <v>60</v>
      </c>
    </row>
    <row r="58" spans="1:2" x14ac:dyDescent="0.3">
      <c r="A58" t="s">
        <v>299</v>
      </c>
      <c r="B58">
        <v>62</v>
      </c>
    </row>
    <row r="59" spans="1:2" x14ac:dyDescent="0.3">
      <c r="A59" t="s">
        <v>300</v>
      </c>
      <c r="B59">
        <v>63</v>
      </c>
    </row>
    <row r="60" spans="1:2" x14ac:dyDescent="0.3">
      <c r="A60" t="s">
        <v>301</v>
      </c>
      <c r="B60">
        <v>64</v>
      </c>
    </row>
    <row r="61" spans="1:2" x14ac:dyDescent="0.3">
      <c r="A61" t="s">
        <v>302</v>
      </c>
      <c r="B61">
        <v>65</v>
      </c>
    </row>
    <row r="62" spans="1:2" x14ac:dyDescent="0.3">
      <c r="A62" t="s">
        <v>303</v>
      </c>
      <c r="B62">
        <v>66</v>
      </c>
    </row>
    <row r="63" spans="1:2" x14ac:dyDescent="0.3">
      <c r="A63" t="s">
        <v>304</v>
      </c>
      <c r="B63">
        <v>68</v>
      </c>
    </row>
    <row r="64" spans="1:2" x14ac:dyDescent="0.3">
      <c r="A64" t="s">
        <v>305</v>
      </c>
      <c r="B64">
        <v>69</v>
      </c>
    </row>
    <row r="65" spans="1:24" x14ac:dyDescent="0.3">
      <c r="A65" t="s">
        <v>306</v>
      </c>
      <c r="B65">
        <v>70</v>
      </c>
    </row>
    <row r="66" spans="1:24" x14ac:dyDescent="0.3">
      <c r="A66" t="s">
        <v>307</v>
      </c>
      <c r="B66">
        <v>71</v>
      </c>
    </row>
    <row r="67" spans="1:24" x14ac:dyDescent="0.3">
      <c r="A67" t="s">
        <v>308</v>
      </c>
      <c r="B67">
        <v>72</v>
      </c>
    </row>
    <row r="68" spans="1:24" x14ac:dyDescent="0.3">
      <c r="A68" t="s">
        <v>309</v>
      </c>
      <c r="B68" t="s">
        <v>310</v>
      </c>
    </row>
    <row r="69" spans="1:24" x14ac:dyDescent="0.3">
      <c r="A69" t="s">
        <v>311</v>
      </c>
      <c r="B69" t="s">
        <v>312</v>
      </c>
    </row>
    <row r="70" spans="1:24" x14ac:dyDescent="0.3">
      <c r="A70" t="s">
        <v>313</v>
      </c>
      <c r="B70" t="s">
        <v>314</v>
      </c>
    </row>
    <row r="71" spans="1:24" x14ac:dyDescent="0.3">
      <c r="A71" t="s">
        <v>315</v>
      </c>
      <c r="B71" t="s">
        <v>316</v>
      </c>
    </row>
    <row r="72" spans="1:24" x14ac:dyDescent="0.3">
      <c r="A72" t="s">
        <v>317</v>
      </c>
      <c r="B72" t="s">
        <v>318</v>
      </c>
    </row>
    <row r="73" spans="1:24" x14ac:dyDescent="0.3">
      <c r="A73" t="s">
        <v>319</v>
      </c>
      <c r="B73" t="s">
        <v>320</v>
      </c>
    </row>
    <row r="74" spans="1:24" x14ac:dyDescent="0.3">
      <c r="A74" t="s">
        <v>321</v>
      </c>
      <c r="B74" t="s">
        <v>322</v>
      </c>
    </row>
    <row r="75" spans="1:24" x14ac:dyDescent="0.3">
      <c r="A75" t="s">
        <v>323</v>
      </c>
      <c r="B75" t="s">
        <v>324</v>
      </c>
    </row>
    <row r="76" spans="1:24" x14ac:dyDescent="0.3">
      <c r="A76" t="s">
        <v>325</v>
      </c>
      <c r="B76" t="s">
        <v>326</v>
      </c>
    </row>
    <row r="77" spans="1:24" x14ac:dyDescent="0.3">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3">
      <c r="A78" t="s">
        <v>328</v>
      </c>
      <c r="B78">
        <v>1</v>
      </c>
    </row>
    <row r="79" spans="1:24" x14ac:dyDescent="0.3">
      <c r="A79" t="s">
        <v>329</v>
      </c>
      <c r="B79">
        <v>2</v>
      </c>
    </row>
    <row r="80" spans="1:24" x14ac:dyDescent="0.3">
      <c r="A80" t="s">
        <v>330</v>
      </c>
      <c r="B80">
        <v>3</v>
      </c>
    </row>
    <row r="81" spans="1:2" x14ac:dyDescent="0.3">
      <c r="A81" t="s">
        <v>331</v>
      </c>
      <c r="B81">
        <v>4</v>
      </c>
    </row>
    <row r="82" spans="1:2" x14ac:dyDescent="0.3">
      <c r="A82" t="s">
        <v>332</v>
      </c>
      <c r="B82">
        <v>5</v>
      </c>
    </row>
    <row r="83" spans="1:2" x14ac:dyDescent="0.3">
      <c r="A83" t="s">
        <v>333</v>
      </c>
      <c r="B83">
        <v>6</v>
      </c>
    </row>
    <row r="84" spans="1:2" x14ac:dyDescent="0.3">
      <c r="A84" t="s">
        <v>334</v>
      </c>
      <c r="B84">
        <v>8</v>
      </c>
    </row>
    <row r="85" spans="1:2" x14ac:dyDescent="0.3">
      <c r="A85" t="s">
        <v>335</v>
      </c>
      <c r="B85">
        <v>9</v>
      </c>
    </row>
    <row r="86" spans="1:2" x14ac:dyDescent="0.3">
      <c r="A86" t="s">
        <v>336</v>
      </c>
      <c r="B86">
        <v>10</v>
      </c>
    </row>
    <row r="87" spans="1:2" x14ac:dyDescent="0.3">
      <c r="A87" t="s">
        <v>337</v>
      </c>
      <c r="B87">
        <v>11</v>
      </c>
    </row>
    <row r="88" spans="1:2" x14ac:dyDescent="0.3">
      <c r="A88" t="s">
        <v>338</v>
      </c>
      <c r="B88">
        <v>12</v>
      </c>
    </row>
    <row r="89" spans="1:2" x14ac:dyDescent="0.3">
      <c r="A89" t="s">
        <v>339</v>
      </c>
      <c r="B89">
        <v>13</v>
      </c>
    </row>
    <row r="90" spans="1:2" x14ac:dyDescent="0.3">
      <c r="A90" t="s">
        <v>340</v>
      </c>
      <c r="B90">
        <v>14</v>
      </c>
    </row>
    <row r="91" spans="1:2" x14ac:dyDescent="0.3">
      <c r="A91" t="s">
        <v>341</v>
      </c>
      <c r="B91">
        <v>15</v>
      </c>
    </row>
    <row r="92" spans="1:2" x14ac:dyDescent="0.3">
      <c r="A92" t="s">
        <v>342</v>
      </c>
      <c r="B92">
        <v>16</v>
      </c>
    </row>
    <row r="93" spans="1:2" x14ac:dyDescent="0.3">
      <c r="A93" t="s">
        <v>343</v>
      </c>
      <c r="B93">
        <v>17</v>
      </c>
    </row>
    <row r="94" spans="1:2" x14ac:dyDescent="0.3">
      <c r="A94" t="s">
        <v>344</v>
      </c>
      <c r="B94">
        <v>18</v>
      </c>
    </row>
    <row r="95" spans="1:2" x14ac:dyDescent="0.3">
      <c r="A95" t="s">
        <v>345</v>
      </c>
      <c r="B95">
        <v>19</v>
      </c>
    </row>
    <row r="96" spans="1:2" x14ac:dyDescent="0.3">
      <c r="A96" t="s">
        <v>346</v>
      </c>
      <c r="B96">
        <v>20</v>
      </c>
    </row>
    <row r="97" spans="1:2" x14ac:dyDescent="0.3">
      <c r="A97" t="s">
        <v>347</v>
      </c>
      <c r="B97">
        <v>21</v>
      </c>
    </row>
    <row r="98" spans="1:2" x14ac:dyDescent="0.3">
      <c r="A98" t="s">
        <v>348</v>
      </c>
      <c r="B98">
        <v>22</v>
      </c>
    </row>
    <row r="99" spans="1:2" x14ac:dyDescent="0.3">
      <c r="A99" t="s">
        <v>349</v>
      </c>
      <c r="B99">
        <v>23</v>
      </c>
    </row>
    <row r="100" spans="1:2" x14ac:dyDescent="0.3">
      <c r="A100" t="s">
        <v>350</v>
      </c>
      <c r="B100">
        <v>24</v>
      </c>
    </row>
    <row r="101" spans="1:2" x14ac:dyDescent="0.3">
      <c r="A101" t="s">
        <v>351</v>
      </c>
      <c r="B101">
        <v>25</v>
      </c>
    </row>
    <row r="102" spans="1:2" x14ac:dyDescent="0.3">
      <c r="A102" t="s">
        <v>352</v>
      </c>
      <c r="B102">
        <v>26</v>
      </c>
    </row>
    <row r="103" spans="1:2" x14ac:dyDescent="0.3">
      <c r="A103" t="s">
        <v>353</v>
      </c>
      <c r="B103">
        <v>27</v>
      </c>
    </row>
    <row r="104" spans="1:2" x14ac:dyDescent="0.3">
      <c r="A104" t="s">
        <v>354</v>
      </c>
      <c r="B104">
        <v>28</v>
      </c>
    </row>
    <row r="105" spans="1:2" x14ac:dyDescent="0.3">
      <c r="A105" t="s">
        <v>355</v>
      </c>
      <c r="B105">
        <v>29</v>
      </c>
    </row>
    <row r="106" spans="1:2" x14ac:dyDescent="0.3">
      <c r="A106" t="s">
        <v>356</v>
      </c>
      <c r="B106">
        <v>31</v>
      </c>
    </row>
    <row r="107" spans="1:2" x14ac:dyDescent="0.3">
      <c r="A107" t="s">
        <v>357</v>
      </c>
      <c r="B107">
        <v>32</v>
      </c>
    </row>
    <row r="108" spans="1:2" x14ac:dyDescent="0.3">
      <c r="A108" t="s">
        <v>358</v>
      </c>
      <c r="B108">
        <v>33</v>
      </c>
    </row>
    <row r="109" spans="1:2" x14ac:dyDescent="0.3">
      <c r="A109" t="s">
        <v>359</v>
      </c>
      <c r="B109">
        <v>34</v>
      </c>
    </row>
    <row r="110" spans="1:2" x14ac:dyDescent="0.3">
      <c r="A110" t="s">
        <v>360</v>
      </c>
      <c r="B110">
        <v>35</v>
      </c>
    </row>
    <row r="111" spans="1:2" x14ac:dyDescent="0.3">
      <c r="A111" t="s">
        <v>361</v>
      </c>
      <c r="B111">
        <v>36</v>
      </c>
    </row>
    <row r="112" spans="1:2" x14ac:dyDescent="0.3">
      <c r="A112" t="s">
        <v>362</v>
      </c>
      <c r="B112">
        <v>37</v>
      </c>
    </row>
    <row r="113" spans="1:2" x14ac:dyDescent="0.3">
      <c r="A113" t="s">
        <v>363</v>
      </c>
      <c r="B113">
        <v>38</v>
      </c>
    </row>
    <row r="114" spans="1:2" x14ac:dyDescent="0.3">
      <c r="A114" t="s">
        <v>364</v>
      </c>
      <c r="B114">
        <v>39</v>
      </c>
    </row>
    <row r="115" spans="1:2" x14ac:dyDescent="0.3">
      <c r="A115" t="s">
        <v>365</v>
      </c>
      <c r="B115">
        <v>40</v>
      </c>
    </row>
    <row r="116" spans="1:2" x14ac:dyDescent="0.3">
      <c r="A116" t="s">
        <v>366</v>
      </c>
      <c r="B116">
        <v>41</v>
      </c>
    </row>
    <row r="117" spans="1:2" x14ac:dyDescent="0.3">
      <c r="A117" t="s">
        <v>367</v>
      </c>
      <c r="B117">
        <v>42</v>
      </c>
    </row>
    <row r="118" spans="1:2" x14ac:dyDescent="0.3">
      <c r="A118" t="s">
        <v>368</v>
      </c>
      <c r="B118">
        <v>43</v>
      </c>
    </row>
    <row r="119" spans="1:2" x14ac:dyDescent="0.3">
      <c r="A119" t="s">
        <v>369</v>
      </c>
      <c r="B119">
        <v>44</v>
      </c>
    </row>
    <row r="120" spans="1:2" x14ac:dyDescent="0.3">
      <c r="A120" t="s">
        <v>370</v>
      </c>
      <c r="B120">
        <v>45</v>
      </c>
    </row>
    <row r="121" spans="1:2" x14ac:dyDescent="0.3">
      <c r="A121" t="s">
        <v>371</v>
      </c>
      <c r="B121">
        <v>46</v>
      </c>
    </row>
    <row r="122" spans="1:2" x14ac:dyDescent="0.3">
      <c r="A122" t="s">
        <v>372</v>
      </c>
      <c r="B122">
        <v>47</v>
      </c>
    </row>
    <row r="123" spans="1:2" x14ac:dyDescent="0.3">
      <c r="A123" t="s">
        <v>373</v>
      </c>
      <c r="B123">
        <v>48</v>
      </c>
    </row>
    <row r="124" spans="1:2" x14ac:dyDescent="0.3">
      <c r="A124" t="s">
        <v>374</v>
      </c>
      <c r="B124">
        <v>49</v>
      </c>
    </row>
    <row r="125" spans="1:2" x14ac:dyDescent="0.3">
      <c r="A125" t="s">
        <v>375</v>
      </c>
      <c r="B125">
        <v>50</v>
      </c>
    </row>
    <row r="126" spans="1:2" x14ac:dyDescent="0.3">
      <c r="A126" t="s">
        <v>376</v>
      </c>
      <c r="B126">
        <v>51</v>
      </c>
    </row>
    <row r="127" spans="1:2" x14ac:dyDescent="0.3">
      <c r="A127" t="s">
        <v>377</v>
      </c>
      <c r="B127">
        <v>52</v>
      </c>
    </row>
    <row r="128" spans="1:2" x14ac:dyDescent="0.3">
      <c r="A128" t="s">
        <v>378</v>
      </c>
      <c r="B128">
        <v>54</v>
      </c>
    </row>
    <row r="129" spans="1:23" x14ac:dyDescent="0.3">
      <c r="A129" t="s">
        <v>379</v>
      </c>
      <c r="B129">
        <v>55</v>
      </c>
    </row>
    <row r="130" spans="1:23" x14ac:dyDescent="0.3">
      <c r="A130" t="s">
        <v>380</v>
      </c>
      <c r="B130">
        <v>56</v>
      </c>
    </row>
    <row r="131" spans="1:23" x14ac:dyDescent="0.3">
      <c r="A131" t="s">
        <v>381</v>
      </c>
      <c r="B131">
        <v>57</v>
      </c>
    </row>
    <row r="132" spans="1:23" x14ac:dyDescent="0.3">
      <c r="A132" t="s">
        <v>382</v>
      </c>
      <c r="B132">
        <v>58</v>
      </c>
    </row>
    <row r="133" spans="1:23" x14ac:dyDescent="0.3">
      <c r="A133" t="s">
        <v>383</v>
      </c>
      <c r="B133">
        <v>59</v>
      </c>
    </row>
    <row r="134" spans="1:23" x14ac:dyDescent="0.3">
      <c r="A134" t="s">
        <v>384</v>
      </c>
      <c r="B134" t="s">
        <v>385</v>
      </c>
    </row>
    <row r="135" spans="1:23" x14ac:dyDescent="0.3">
      <c r="A135" t="s">
        <v>386</v>
      </c>
      <c r="B135" t="s">
        <v>387</v>
      </c>
    </row>
    <row r="136" spans="1:23" x14ac:dyDescent="0.3">
      <c r="A136" t="s">
        <v>388</v>
      </c>
      <c r="B136" t="s">
        <v>389</v>
      </c>
    </row>
    <row r="137" spans="1:23" x14ac:dyDescent="0.3">
      <c r="A137" t="s">
        <v>390</v>
      </c>
      <c r="B137" t="s">
        <v>391</v>
      </c>
    </row>
    <row r="138" spans="1:23" x14ac:dyDescent="0.3">
      <c r="A138" t="s">
        <v>392</v>
      </c>
      <c r="B138" t="s">
        <v>393</v>
      </c>
    </row>
    <row r="139" spans="1:23" x14ac:dyDescent="0.3">
      <c r="A139" t="s">
        <v>394</v>
      </c>
      <c r="B139" t="s">
        <v>395</v>
      </c>
    </row>
    <row r="140" spans="1:23" x14ac:dyDescent="0.3">
      <c r="A140" t="s">
        <v>396</v>
      </c>
      <c r="B140" t="s">
        <v>397</v>
      </c>
    </row>
    <row r="141" spans="1:23" x14ac:dyDescent="0.3">
      <c r="A141" t="s">
        <v>398</v>
      </c>
      <c r="B141" t="s">
        <v>399</v>
      </c>
    </row>
    <row r="142" spans="1:23" x14ac:dyDescent="0.3">
      <c r="A142" t="s">
        <v>400</v>
      </c>
      <c r="B142" t="s">
        <v>401</v>
      </c>
    </row>
    <row r="143" spans="1:23" x14ac:dyDescent="0.3">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3">
      <c r="A144" t="s">
        <v>403</v>
      </c>
      <c r="B144">
        <v>1</v>
      </c>
    </row>
    <row r="145" spans="1:2" x14ac:dyDescent="0.3">
      <c r="A145" t="s">
        <v>404</v>
      </c>
      <c r="B145">
        <v>2</v>
      </c>
    </row>
    <row r="146" spans="1:2" x14ac:dyDescent="0.3">
      <c r="A146" t="s">
        <v>405</v>
      </c>
      <c r="B146">
        <v>3</v>
      </c>
    </row>
    <row r="147" spans="1:2" x14ac:dyDescent="0.3">
      <c r="A147" t="s">
        <v>406</v>
      </c>
      <c r="B147">
        <v>4</v>
      </c>
    </row>
    <row r="148" spans="1:2" x14ac:dyDescent="0.3">
      <c r="A148" t="s">
        <v>407</v>
      </c>
      <c r="B148">
        <v>5</v>
      </c>
    </row>
    <row r="149" spans="1:2" x14ac:dyDescent="0.3">
      <c r="A149" t="s">
        <v>408</v>
      </c>
      <c r="B149">
        <v>6</v>
      </c>
    </row>
    <row r="150" spans="1:2" x14ac:dyDescent="0.3">
      <c r="A150" t="s">
        <v>409</v>
      </c>
      <c r="B150">
        <v>8</v>
      </c>
    </row>
    <row r="151" spans="1:2" x14ac:dyDescent="0.3">
      <c r="A151" t="s">
        <v>410</v>
      </c>
      <c r="B151">
        <v>9</v>
      </c>
    </row>
    <row r="152" spans="1:2" x14ac:dyDescent="0.3">
      <c r="A152" t="s">
        <v>411</v>
      </c>
      <c r="B152">
        <v>10</v>
      </c>
    </row>
    <row r="153" spans="1:2" x14ac:dyDescent="0.3">
      <c r="A153" t="s">
        <v>412</v>
      </c>
      <c r="B153">
        <v>11</v>
      </c>
    </row>
    <row r="154" spans="1:2" x14ac:dyDescent="0.3">
      <c r="A154" t="s">
        <v>413</v>
      </c>
      <c r="B154">
        <v>12</v>
      </c>
    </row>
    <row r="155" spans="1:2" x14ac:dyDescent="0.3">
      <c r="A155" t="s">
        <v>414</v>
      </c>
      <c r="B155">
        <v>13</v>
      </c>
    </row>
    <row r="156" spans="1:2" x14ac:dyDescent="0.3">
      <c r="A156" t="s">
        <v>415</v>
      </c>
      <c r="B156">
        <v>14</v>
      </c>
    </row>
    <row r="157" spans="1:2" x14ac:dyDescent="0.3">
      <c r="A157" t="s">
        <v>416</v>
      </c>
      <c r="B157">
        <v>15</v>
      </c>
    </row>
    <row r="158" spans="1:2" x14ac:dyDescent="0.3">
      <c r="A158" t="s">
        <v>417</v>
      </c>
      <c r="B158">
        <v>16</v>
      </c>
    </row>
    <row r="159" spans="1:2" x14ac:dyDescent="0.3">
      <c r="A159" t="s">
        <v>418</v>
      </c>
      <c r="B159">
        <v>17</v>
      </c>
    </row>
    <row r="160" spans="1:2" x14ac:dyDescent="0.3">
      <c r="A160" t="s">
        <v>419</v>
      </c>
      <c r="B160">
        <v>18</v>
      </c>
    </row>
    <row r="161" spans="1:2" x14ac:dyDescent="0.3">
      <c r="A161" t="s">
        <v>420</v>
      </c>
      <c r="B161">
        <v>19</v>
      </c>
    </row>
    <row r="162" spans="1:2" x14ac:dyDescent="0.3">
      <c r="A162" t="s">
        <v>421</v>
      </c>
      <c r="B162">
        <v>20</v>
      </c>
    </row>
    <row r="163" spans="1:2" x14ac:dyDescent="0.3">
      <c r="A163" t="s">
        <v>422</v>
      </c>
      <c r="B163">
        <v>21</v>
      </c>
    </row>
    <row r="164" spans="1:2" x14ac:dyDescent="0.3">
      <c r="A164" t="s">
        <v>423</v>
      </c>
      <c r="B164">
        <v>22</v>
      </c>
    </row>
    <row r="165" spans="1:2" x14ac:dyDescent="0.3">
      <c r="A165" t="s">
        <v>424</v>
      </c>
      <c r="B165">
        <v>23</v>
      </c>
    </row>
    <row r="166" spans="1:2" x14ac:dyDescent="0.3">
      <c r="A166" t="s">
        <v>425</v>
      </c>
      <c r="B166">
        <v>24</v>
      </c>
    </row>
    <row r="167" spans="1:2" x14ac:dyDescent="0.3">
      <c r="A167" t="s">
        <v>426</v>
      </c>
      <c r="B167">
        <v>25</v>
      </c>
    </row>
    <row r="168" spans="1:2" x14ac:dyDescent="0.3">
      <c r="A168" t="s">
        <v>427</v>
      </c>
      <c r="B168">
        <v>26</v>
      </c>
    </row>
    <row r="169" spans="1:2" x14ac:dyDescent="0.3">
      <c r="A169" t="s">
        <v>428</v>
      </c>
      <c r="B169">
        <v>27</v>
      </c>
    </row>
    <row r="170" spans="1:2" x14ac:dyDescent="0.3">
      <c r="A170" t="s">
        <v>429</v>
      </c>
      <c r="B170">
        <v>28</v>
      </c>
    </row>
    <row r="171" spans="1:2" x14ac:dyDescent="0.3">
      <c r="A171" t="s">
        <v>430</v>
      </c>
      <c r="B171">
        <v>29</v>
      </c>
    </row>
    <row r="172" spans="1:2" x14ac:dyDescent="0.3">
      <c r="A172" t="s">
        <v>431</v>
      </c>
      <c r="B172">
        <v>31</v>
      </c>
    </row>
    <row r="173" spans="1:2" x14ac:dyDescent="0.3">
      <c r="A173" t="s">
        <v>432</v>
      </c>
      <c r="B173">
        <v>32</v>
      </c>
    </row>
    <row r="174" spans="1:2" x14ac:dyDescent="0.3">
      <c r="A174" t="s">
        <v>433</v>
      </c>
      <c r="B174">
        <v>33</v>
      </c>
    </row>
    <row r="175" spans="1:2" x14ac:dyDescent="0.3">
      <c r="A175" t="s">
        <v>434</v>
      </c>
      <c r="B175">
        <v>34</v>
      </c>
    </row>
    <row r="176" spans="1:2" x14ac:dyDescent="0.3">
      <c r="A176" t="s">
        <v>435</v>
      </c>
      <c r="B176">
        <v>35</v>
      </c>
    </row>
    <row r="177" spans="1:2" x14ac:dyDescent="0.3">
      <c r="A177" t="s">
        <v>436</v>
      </c>
      <c r="B177">
        <v>36</v>
      </c>
    </row>
    <row r="178" spans="1:2" x14ac:dyDescent="0.3">
      <c r="A178" t="s">
        <v>437</v>
      </c>
      <c r="B178">
        <v>37</v>
      </c>
    </row>
    <row r="179" spans="1:2" x14ac:dyDescent="0.3">
      <c r="A179" t="s">
        <v>438</v>
      </c>
      <c r="B179">
        <v>38</v>
      </c>
    </row>
    <row r="180" spans="1:2" x14ac:dyDescent="0.3">
      <c r="A180" t="s">
        <v>439</v>
      </c>
      <c r="B180">
        <v>39</v>
      </c>
    </row>
    <row r="181" spans="1:2" x14ac:dyDescent="0.3">
      <c r="A181" t="s">
        <v>440</v>
      </c>
      <c r="B181">
        <v>40</v>
      </c>
    </row>
    <row r="182" spans="1:2" x14ac:dyDescent="0.3">
      <c r="A182" t="s">
        <v>441</v>
      </c>
      <c r="B182">
        <v>41</v>
      </c>
    </row>
    <row r="183" spans="1:2" x14ac:dyDescent="0.3">
      <c r="A183" t="s">
        <v>442</v>
      </c>
      <c r="B183">
        <v>42</v>
      </c>
    </row>
    <row r="184" spans="1:2" x14ac:dyDescent="0.3">
      <c r="A184" t="s">
        <v>443</v>
      </c>
      <c r="B184">
        <v>43</v>
      </c>
    </row>
    <row r="185" spans="1:2" x14ac:dyDescent="0.3">
      <c r="A185" t="s">
        <v>444</v>
      </c>
      <c r="B185">
        <v>44</v>
      </c>
    </row>
    <row r="186" spans="1:2" x14ac:dyDescent="0.3">
      <c r="A186" t="s">
        <v>445</v>
      </c>
      <c r="B186">
        <v>45</v>
      </c>
    </row>
    <row r="187" spans="1:2" x14ac:dyDescent="0.3">
      <c r="A187" t="s">
        <v>446</v>
      </c>
      <c r="B187">
        <v>46</v>
      </c>
    </row>
    <row r="188" spans="1:2" x14ac:dyDescent="0.3">
      <c r="A188" t="s">
        <v>447</v>
      </c>
      <c r="B188">
        <v>47</v>
      </c>
    </row>
    <row r="189" spans="1:2" x14ac:dyDescent="0.3">
      <c r="A189" t="s">
        <v>448</v>
      </c>
      <c r="B189">
        <v>48</v>
      </c>
    </row>
    <row r="190" spans="1:2" x14ac:dyDescent="0.3">
      <c r="A190" t="s">
        <v>449</v>
      </c>
      <c r="B190">
        <v>49</v>
      </c>
    </row>
    <row r="191" spans="1:2" x14ac:dyDescent="0.3">
      <c r="A191" t="s">
        <v>450</v>
      </c>
      <c r="B191">
        <v>50</v>
      </c>
    </row>
    <row r="192" spans="1:2" x14ac:dyDescent="0.3">
      <c r="A192" t="s">
        <v>451</v>
      </c>
      <c r="B192">
        <v>51</v>
      </c>
    </row>
    <row r="193" spans="1:2" x14ac:dyDescent="0.3">
      <c r="A193" t="s">
        <v>452</v>
      </c>
      <c r="B193">
        <v>52</v>
      </c>
    </row>
    <row r="194" spans="1:2" x14ac:dyDescent="0.3">
      <c r="A194" t="s">
        <v>453</v>
      </c>
      <c r="B194">
        <v>54</v>
      </c>
    </row>
    <row r="195" spans="1:2" x14ac:dyDescent="0.3">
      <c r="A195" t="s">
        <v>454</v>
      </c>
      <c r="B195">
        <v>55</v>
      </c>
    </row>
    <row r="196" spans="1:2" x14ac:dyDescent="0.3">
      <c r="A196" t="s">
        <v>455</v>
      </c>
      <c r="B196">
        <v>56</v>
      </c>
    </row>
    <row r="197" spans="1:2" x14ac:dyDescent="0.3">
      <c r="A197" t="s">
        <v>456</v>
      </c>
      <c r="B197">
        <v>57</v>
      </c>
    </row>
    <row r="198" spans="1:2" x14ac:dyDescent="0.3">
      <c r="A198" t="s">
        <v>457</v>
      </c>
      <c r="B198">
        <v>58</v>
      </c>
    </row>
    <row r="199" spans="1:2" x14ac:dyDescent="0.3">
      <c r="A199" t="s">
        <v>458</v>
      </c>
      <c r="B199">
        <v>59</v>
      </c>
    </row>
    <row r="200" spans="1:2" x14ac:dyDescent="0.3">
      <c r="A200" t="s">
        <v>459</v>
      </c>
      <c r="B200" t="s">
        <v>460</v>
      </c>
    </row>
    <row r="201" spans="1:2" x14ac:dyDescent="0.3">
      <c r="A201" t="s">
        <v>461</v>
      </c>
      <c r="B201" t="s">
        <v>462</v>
      </c>
    </row>
    <row r="202" spans="1:2" x14ac:dyDescent="0.3">
      <c r="A202" t="s">
        <v>463</v>
      </c>
      <c r="B202" t="s">
        <v>464</v>
      </c>
    </row>
    <row r="203" spans="1:2" x14ac:dyDescent="0.3">
      <c r="A203" t="s">
        <v>465</v>
      </c>
      <c r="B203" t="s">
        <v>466</v>
      </c>
    </row>
    <row r="204" spans="1:2" x14ac:dyDescent="0.3">
      <c r="A204" t="s">
        <v>467</v>
      </c>
      <c r="B204" t="s">
        <v>468</v>
      </c>
    </row>
    <row r="205" spans="1:2" x14ac:dyDescent="0.3">
      <c r="A205" t="s">
        <v>469</v>
      </c>
      <c r="B205" t="s">
        <v>470</v>
      </c>
    </row>
    <row r="206" spans="1:2" x14ac:dyDescent="0.3">
      <c r="A206" t="s">
        <v>471</v>
      </c>
      <c r="B206" t="s">
        <v>472</v>
      </c>
    </row>
    <row r="207" spans="1:2" x14ac:dyDescent="0.3">
      <c r="A207" t="s">
        <v>473</v>
      </c>
      <c r="B207" t="s">
        <v>474</v>
      </c>
    </row>
    <row r="208" spans="1:2" x14ac:dyDescent="0.3">
      <c r="A208" t="s">
        <v>475</v>
      </c>
      <c r="B208" t="s">
        <v>476</v>
      </c>
    </row>
    <row r="209" spans="1:23" x14ac:dyDescent="0.3">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3">
      <c r="A210" t="s">
        <v>478</v>
      </c>
      <c r="B210">
        <v>1</v>
      </c>
    </row>
    <row r="211" spans="1:23" x14ac:dyDescent="0.3">
      <c r="A211" t="s">
        <v>479</v>
      </c>
      <c r="B211">
        <v>2</v>
      </c>
    </row>
    <row r="212" spans="1:23" x14ac:dyDescent="0.3">
      <c r="A212" t="s">
        <v>480</v>
      </c>
      <c r="B212">
        <v>3</v>
      </c>
    </row>
    <row r="213" spans="1:23" x14ac:dyDescent="0.3">
      <c r="A213" t="s">
        <v>481</v>
      </c>
      <c r="B213">
        <v>4</v>
      </c>
    </row>
    <row r="214" spans="1:23" x14ac:dyDescent="0.3">
      <c r="A214" t="s">
        <v>482</v>
      </c>
      <c r="B214">
        <v>5</v>
      </c>
    </row>
    <row r="215" spans="1:23" x14ac:dyDescent="0.3">
      <c r="A215" t="s">
        <v>483</v>
      </c>
      <c r="B215">
        <v>6</v>
      </c>
    </row>
    <row r="216" spans="1:23" x14ac:dyDescent="0.3">
      <c r="A216" t="s">
        <v>484</v>
      </c>
      <c r="B216">
        <v>7</v>
      </c>
    </row>
    <row r="217" spans="1:23" x14ac:dyDescent="0.3">
      <c r="A217" t="s">
        <v>485</v>
      </c>
      <c r="B217">
        <v>9</v>
      </c>
    </row>
    <row r="218" spans="1:23" x14ac:dyDescent="0.3">
      <c r="A218" t="s">
        <v>486</v>
      </c>
      <c r="B218">
        <v>10</v>
      </c>
    </row>
    <row r="219" spans="1:23" x14ac:dyDescent="0.3">
      <c r="A219" t="s">
        <v>487</v>
      </c>
      <c r="B219">
        <v>11</v>
      </c>
    </row>
    <row r="220" spans="1:23" x14ac:dyDescent="0.3">
      <c r="A220" t="s">
        <v>488</v>
      </c>
      <c r="B220">
        <v>12</v>
      </c>
    </row>
    <row r="221" spans="1:23" x14ac:dyDescent="0.3">
      <c r="A221" t="s">
        <v>489</v>
      </c>
      <c r="B221">
        <v>13</v>
      </c>
    </row>
    <row r="222" spans="1:23" x14ac:dyDescent="0.3">
      <c r="A222" t="s">
        <v>490</v>
      </c>
      <c r="B222">
        <v>14</v>
      </c>
    </row>
    <row r="223" spans="1:23" x14ac:dyDescent="0.3">
      <c r="A223" t="s">
        <v>491</v>
      </c>
      <c r="B223">
        <v>15</v>
      </c>
    </row>
    <row r="224" spans="1:23" x14ac:dyDescent="0.3">
      <c r="A224" t="s">
        <v>492</v>
      </c>
      <c r="B224">
        <v>16</v>
      </c>
    </row>
    <row r="225" spans="1:2" x14ac:dyDescent="0.3">
      <c r="A225" t="s">
        <v>493</v>
      </c>
      <c r="B225">
        <v>17</v>
      </c>
    </row>
    <row r="226" spans="1:2" x14ac:dyDescent="0.3">
      <c r="A226" t="s">
        <v>494</v>
      </c>
      <c r="B226">
        <v>18</v>
      </c>
    </row>
    <row r="227" spans="1:2" x14ac:dyDescent="0.3">
      <c r="A227" t="s">
        <v>495</v>
      </c>
      <c r="B227">
        <v>19</v>
      </c>
    </row>
    <row r="228" spans="1:2" x14ac:dyDescent="0.3">
      <c r="A228" t="s">
        <v>496</v>
      </c>
      <c r="B228">
        <v>20</v>
      </c>
    </row>
    <row r="229" spans="1:2" x14ac:dyDescent="0.3">
      <c r="A229" t="s">
        <v>497</v>
      </c>
      <c r="B229">
        <v>21</v>
      </c>
    </row>
    <row r="230" spans="1:2" x14ac:dyDescent="0.3">
      <c r="A230" t="s">
        <v>498</v>
      </c>
      <c r="B230">
        <v>22</v>
      </c>
    </row>
    <row r="231" spans="1:2" x14ac:dyDescent="0.3">
      <c r="A231" t="s">
        <v>499</v>
      </c>
      <c r="B231">
        <v>23</v>
      </c>
    </row>
    <row r="232" spans="1:2" x14ac:dyDescent="0.3">
      <c r="A232" t="s">
        <v>500</v>
      </c>
      <c r="B232">
        <v>24</v>
      </c>
    </row>
    <row r="233" spans="1:2" x14ac:dyDescent="0.3">
      <c r="A233" t="s">
        <v>501</v>
      </c>
      <c r="B233">
        <v>25</v>
      </c>
    </row>
    <row r="234" spans="1:2" x14ac:dyDescent="0.3">
      <c r="A234" t="s">
        <v>502</v>
      </c>
      <c r="B234">
        <v>26</v>
      </c>
    </row>
    <row r="235" spans="1:2" x14ac:dyDescent="0.3">
      <c r="A235" t="s">
        <v>503</v>
      </c>
      <c r="B235">
        <v>27</v>
      </c>
    </row>
    <row r="236" spans="1:2" x14ac:dyDescent="0.3">
      <c r="A236" t="s">
        <v>504</v>
      </c>
      <c r="B236">
        <v>28</v>
      </c>
    </row>
    <row r="237" spans="1:2" x14ac:dyDescent="0.3">
      <c r="A237" t="s">
        <v>505</v>
      </c>
      <c r="B237">
        <v>29</v>
      </c>
    </row>
    <row r="238" spans="1:2" x14ac:dyDescent="0.3">
      <c r="A238" t="s">
        <v>506</v>
      </c>
      <c r="B238">
        <v>30</v>
      </c>
    </row>
    <row r="239" spans="1:2" x14ac:dyDescent="0.3">
      <c r="A239" t="s">
        <v>507</v>
      </c>
      <c r="B239">
        <v>31</v>
      </c>
    </row>
    <row r="240" spans="1:2" x14ac:dyDescent="0.3">
      <c r="A240" t="s">
        <v>508</v>
      </c>
      <c r="B240">
        <v>33</v>
      </c>
    </row>
    <row r="241" spans="1:2" x14ac:dyDescent="0.3">
      <c r="A241" t="s">
        <v>509</v>
      </c>
      <c r="B241">
        <v>34</v>
      </c>
    </row>
    <row r="242" spans="1:2" x14ac:dyDescent="0.3">
      <c r="A242" t="s">
        <v>510</v>
      </c>
      <c r="B242">
        <v>35</v>
      </c>
    </row>
    <row r="243" spans="1:2" x14ac:dyDescent="0.3">
      <c r="A243" t="s">
        <v>511</v>
      </c>
      <c r="B243">
        <v>36</v>
      </c>
    </row>
    <row r="244" spans="1:2" x14ac:dyDescent="0.3">
      <c r="A244" t="s">
        <v>512</v>
      </c>
      <c r="B244">
        <v>37</v>
      </c>
    </row>
    <row r="245" spans="1:2" x14ac:dyDescent="0.3">
      <c r="A245" t="s">
        <v>513</v>
      </c>
      <c r="B245">
        <v>38</v>
      </c>
    </row>
    <row r="246" spans="1:2" x14ac:dyDescent="0.3">
      <c r="A246" t="s">
        <v>514</v>
      </c>
      <c r="B246">
        <v>39</v>
      </c>
    </row>
    <row r="247" spans="1:2" x14ac:dyDescent="0.3">
      <c r="A247" t="s">
        <v>515</v>
      </c>
      <c r="B247">
        <v>40</v>
      </c>
    </row>
    <row r="248" spans="1:2" x14ac:dyDescent="0.3">
      <c r="A248" t="s">
        <v>516</v>
      </c>
      <c r="B248">
        <v>41</v>
      </c>
    </row>
    <row r="249" spans="1:2" x14ac:dyDescent="0.3">
      <c r="A249" t="s">
        <v>517</v>
      </c>
      <c r="B249">
        <v>42</v>
      </c>
    </row>
    <row r="250" spans="1:2" x14ac:dyDescent="0.3">
      <c r="A250" t="s">
        <v>518</v>
      </c>
      <c r="B250">
        <v>43</v>
      </c>
    </row>
    <row r="251" spans="1:2" x14ac:dyDescent="0.3">
      <c r="A251" t="s">
        <v>519</v>
      </c>
      <c r="B251">
        <v>44</v>
      </c>
    </row>
    <row r="252" spans="1:2" x14ac:dyDescent="0.3">
      <c r="A252" t="s">
        <v>520</v>
      </c>
      <c r="B252">
        <v>45</v>
      </c>
    </row>
    <row r="253" spans="1:2" x14ac:dyDescent="0.3">
      <c r="A253" t="s">
        <v>521</v>
      </c>
      <c r="B253">
        <v>46</v>
      </c>
    </row>
    <row r="254" spans="1:2" x14ac:dyDescent="0.3">
      <c r="A254" t="s">
        <v>522</v>
      </c>
      <c r="B254">
        <v>47</v>
      </c>
    </row>
    <row r="255" spans="1:2" x14ac:dyDescent="0.3">
      <c r="A255" t="s">
        <v>523</v>
      </c>
      <c r="B255">
        <v>48</v>
      </c>
    </row>
    <row r="256" spans="1:2" x14ac:dyDescent="0.3">
      <c r="A256" t="s">
        <v>524</v>
      </c>
      <c r="B256">
        <v>49</v>
      </c>
    </row>
    <row r="257" spans="1:2" x14ac:dyDescent="0.3">
      <c r="A257" t="s">
        <v>525</v>
      </c>
      <c r="B257">
        <v>50</v>
      </c>
    </row>
    <row r="258" spans="1:2" x14ac:dyDescent="0.3">
      <c r="A258" t="s">
        <v>526</v>
      </c>
      <c r="B258">
        <v>51</v>
      </c>
    </row>
    <row r="259" spans="1:2" x14ac:dyDescent="0.3">
      <c r="A259" t="s">
        <v>527</v>
      </c>
      <c r="B259">
        <v>52</v>
      </c>
    </row>
    <row r="260" spans="1:2" x14ac:dyDescent="0.3">
      <c r="A260" t="s">
        <v>528</v>
      </c>
      <c r="B260">
        <v>53</v>
      </c>
    </row>
    <row r="261" spans="1:2" x14ac:dyDescent="0.3">
      <c r="A261" t="s">
        <v>529</v>
      </c>
      <c r="B261">
        <v>54</v>
      </c>
    </row>
    <row r="262" spans="1:2" x14ac:dyDescent="0.3">
      <c r="A262" t="s">
        <v>530</v>
      </c>
      <c r="B262">
        <v>55</v>
      </c>
    </row>
    <row r="263" spans="1:2" x14ac:dyDescent="0.3">
      <c r="A263" t="s">
        <v>531</v>
      </c>
      <c r="B263">
        <v>57</v>
      </c>
    </row>
    <row r="264" spans="1:2" x14ac:dyDescent="0.3">
      <c r="A264" t="s">
        <v>532</v>
      </c>
      <c r="B264">
        <v>58</v>
      </c>
    </row>
    <row r="265" spans="1:2" x14ac:dyDescent="0.3">
      <c r="A265" t="s">
        <v>533</v>
      </c>
      <c r="B265">
        <v>59</v>
      </c>
    </row>
    <row r="266" spans="1:2" x14ac:dyDescent="0.3">
      <c r="A266" t="s">
        <v>534</v>
      </c>
      <c r="B266">
        <v>60</v>
      </c>
    </row>
    <row r="267" spans="1:2" x14ac:dyDescent="0.3">
      <c r="A267" t="s">
        <v>535</v>
      </c>
      <c r="B267">
        <v>62</v>
      </c>
    </row>
    <row r="268" spans="1:2" x14ac:dyDescent="0.3">
      <c r="A268" t="s">
        <v>536</v>
      </c>
      <c r="B268">
        <v>63</v>
      </c>
    </row>
    <row r="269" spans="1:2" x14ac:dyDescent="0.3">
      <c r="A269" t="s">
        <v>537</v>
      </c>
      <c r="B269">
        <v>64</v>
      </c>
    </row>
    <row r="270" spans="1:2" x14ac:dyDescent="0.3">
      <c r="A270" t="s">
        <v>538</v>
      </c>
      <c r="B270">
        <v>65</v>
      </c>
    </row>
    <row r="271" spans="1:2" x14ac:dyDescent="0.3">
      <c r="A271" t="s">
        <v>539</v>
      </c>
      <c r="B271">
        <v>66</v>
      </c>
    </row>
    <row r="272" spans="1:2" x14ac:dyDescent="0.3">
      <c r="A272" t="s">
        <v>540</v>
      </c>
      <c r="B272">
        <v>68</v>
      </c>
    </row>
    <row r="273" spans="1:24" x14ac:dyDescent="0.3">
      <c r="A273" t="s">
        <v>541</v>
      </c>
      <c r="B273">
        <v>69</v>
      </c>
    </row>
    <row r="274" spans="1:24" x14ac:dyDescent="0.3">
      <c r="A274" t="s">
        <v>542</v>
      </c>
      <c r="B274">
        <v>70</v>
      </c>
    </row>
    <row r="275" spans="1:24" x14ac:dyDescent="0.3">
      <c r="A275" t="s">
        <v>543</v>
      </c>
      <c r="B275">
        <v>71</v>
      </c>
    </row>
    <row r="276" spans="1:24" x14ac:dyDescent="0.3">
      <c r="A276" t="s">
        <v>544</v>
      </c>
      <c r="B276">
        <v>72</v>
      </c>
    </row>
    <row r="277" spans="1:24" x14ac:dyDescent="0.3">
      <c r="A277" t="s">
        <v>545</v>
      </c>
      <c r="B277" t="s">
        <v>546</v>
      </c>
    </row>
    <row r="278" spans="1:24" x14ac:dyDescent="0.3">
      <c r="A278" t="s">
        <v>547</v>
      </c>
      <c r="B278" t="s">
        <v>548</v>
      </c>
    </row>
    <row r="279" spans="1:24" x14ac:dyDescent="0.3">
      <c r="A279" t="s">
        <v>549</v>
      </c>
      <c r="B279" t="s">
        <v>550</v>
      </c>
    </row>
    <row r="280" spans="1:24" x14ac:dyDescent="0.3">
      <c r="A280" t="s">
        <v>551</v>
      </c>
      <c r="B280" t="s">
        <v>552</v>
      </c>
    </row>
    <row r="281" spans="1:24" x14ac:dyDescent="0.3">
      <c r="A281" t="s">
        <v>553</v>
      </c>
      <c r="B281" t="s">
        <v>554</v>
      </c>
    </row>
    <row r="282" spans="1:24" x14ac:dyDescent="0.3">
      <c r="A282" t="s">
        <v>555</v>
      </c>
      <c r="B282" t="s">
        <v>556</v>
      </c>
    </row>
    <row r="283" spans="1:24" x14ac:dyDescent="0.3">
      <c r="A283" t="s">
        <v>557</v>
      </c>
      <c r="B283" t="s">
        <v>558</v>
      </c>
    </row>
    <row r="284" spans="1:24" x14ac:dyDescent="0.3">
      <c r="A284" t="s">
        <v>559</v>
      </c>
      <c r="B284" t="s">
        <v>560</v>
      </c>
    </row>
    <row r="285" spans="1:24" x14ac:dyDescent="0.3">
      <c r="A285" t="s">
        <v>561</v>
      </c>
      <c r="B285" t="s">
        <v>562</v>
      </c>
    </row>
    <row r="286" spans="1:24" x14ac:dyDescent="0.3">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AR33" sqref="AR33"/>
    </sheetView>
  </sheetViews>
  <sheetFormatPr defaultRowHeight="14.4" outlineLevelRow="2" x14ac:dyDescent="0.3"/>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59" x14ac:dyDescent="0.3">
      <c r="A1" s="73" t="s">
        <v>564</v>
      </c>
      <c r="B1" s="61"/>
      <c r="C1" s="61"/>
      <c r="D1" s="61"/>
      <c r="E1" s="61"/>
      <c r="F1" s="61"/>
      <c r="H1" s="69" t="str">
        <f>Summary!$C$1</f>
        <v>ALL_master+r130</v>
      </c>
      <c r="I1" s="61"/>
      <c r="J1" s="61"/>
      <c r="K1" s="61"/>
      <c r="L1" s="61"/>
      <c r="M1" s="61"/>
      <c r="N1" s="61"/>
      <c r="O1" s="61"/>
      <c r="P1" s="61"/>
      <c r="Q1" s="61"/>
      <c r="R1" s="61"/>
      <c r="S1" s="61"/>
      <c r="T1" s="61"/>
      <c r="U1" s="61"/>
      <c r="V1" s="61"/>
      <c r="W1" s="61"/>
      <c r="X1" s="61"/>
      <c r="Y1" s="61"/>
      <c r="Z1" s="61"/>
      <c r="AA1" s="61"/>
      <c r="AB1" s="61"/>
      <c r="AC1" s="61"/>
      <c r="AE1" s="70">
        <f>Summary!$C$2</f>
        <v>0</v>
      </c>
      <c r="AF1" s="61"/>
      <c r="AG1" s="61"/>
      <c r="AH1" s="61"/>
      <c r="AI1" s="61"/>
      <c r="AJ1" s="61"/>
      <c r="AK1" s="61"/>
      <c r="AL1" s="61"/>
      <c r="AM1" s="61"/>
      <c r="AN1" s="61"/>
      <c r="AO1" s="61"/>
      <c r="AP1" s="61"/>
      <c r="AQ1" s="61"/>
      <c r="AR1" s="61"/>
      <c r="AS1" s="61"/>
      <c r="AT1" s="61"/>
      <c r="AU1" s="61"/>
      <c r="AV1" s="61"/>
      <c r="AW1" s="61"/>
      <c r="AX1" s="61"/>
      <c r="AY1" s="61"/>
      <c r="AZ1" s="61"/>
    </row>
    <row r="2" spans="1:59" ht="30" customHeight="1" x14ac:dyDescent="0.3">
      <c r="A2" s="75" t="s">
        <v>137</v>
      </c>
      <c r="B2" s="74" t="s">
        <v>138</v>
      </c>
      <c r="C2" s="75" t="s">
        <v>140</v>
      </c>
      <c r="D2" s="74" t="s">
        <v>141</v>
      </c>
      <c r="E2" s="75" t="s">
        <v>142</v>
      </c>
      <c r="F2" s="74" t="s">
        <v>143</v>
      </c>
      <c r="H2" s="75" t="s">
        <v>565</v>
      </c>
      <c r="I2" s="74" t="s">
        <v>144</v>
      </c>
      <c r="J2" s="72" t="s">
        <v>145</v>
      </c>
      <c r="K2" s="61"/>
      <c r="L2" s="61"/>
      <c r="M2" s="61"/>
      <c r="N2" s="75" t="s">
        <v>146</v>
      </c>
      <c r="O2" s="74" t="s">
        <v>147</v>
      </c>
      <c r="P2" s="75" t="s">
        <v>84</v>
      </c>
      <c r="Q2" s="71" t="s">
        <v>148</v>
      </c>
      <c r="R2" s="61"/>
      <c r="S2" s="61"/>
      <c r="T2" s="61"/>
      <c r="U2" s="72" t="s">
        <v>149</v>
      </c>
      <c r="V2" s="61"/>
      <c r="W2" s="71" t="s">
        <v>150</v>
      </c>
      <c r="X2" s="61"/>
      <c r="Y2" s="61"/>
      <c r="Z2" s="72" t="s">
        <v>151</v>
      </c>
      <c r="AA2" s="61"/>
      <c r="AB2" s="71" t="s">
        <v>152</v>
      </c>
      <c r="AC2" s="61"/>
      <c r="AE2" s="75" t="s">
        <v>565</v>
      </c>
      <c r="AF2" s="74" t="s">
        <v>144</v>
      </c>
      <c r="AG2" s="72" t="s">
        <v>145</v>
      </c>
      <c r="AH2" s="61"/>
      <c r="AI2" s="61"/>
      <c r="AJ2" s="61"/>
      <c r="AK2" s="75" t="s">
        <v>153</v>
      </c>
      <c r="AL2" s="74" t="s">
        <v>147</v>
      </c>
      <c r="AM2" s="75" t="s">
        <v>84</v>
      </c>
      <c r="AN2" s="71" t="s">
        <v>148</v>
      </c>
      <c r="AO2" s="61"/>
      <c r="AP2" s="61"/>
      <c r="AQ2" s="61"/>
      <c r="AR2" s="72" t="s">
        <v>149</v>
      </c>
      <c r="AS2" s="61"/>
      <c r="AT2" s="71" t="s">
        <v>150</v>
      </c>
      <c r="AU2" s="61"/>
      <c r="AV2" s="61"/>
      <c r="AW2" s="72" t="s">
        <v>151</v>
      </c>
      <c r="AX2" s="61"/>
      <c r="AY2" s="71" t="s">
        <v>152</v>
      </c>
      <c r="AZ2" s="61"/>
      <c r="BB2" s="72" t="s">
        <v>22</v>
      </c>
      <c r="BC2" s="61"/>
      <c r="BD2" s="61"/>
      <c r="BE2" s="61"/>
      <c r="BF2" s="74" t="s">
        <v>156</v>
      </c>
      <c r="BG2" s="75" t="s">
        <v>156</v>
      </c>
    </row>
    <row r="3" spans="1:59" ht="28.95" customHeight="1" x14ac:dyDescent="0.3">
      <c r="A3" s="63"/>
      <c r="B3" s="63"/>
      <c r="C3" s="63"/>
      <c r="D3" s="63"/>
      <c r="E3" s="63"/>
      <c r="F3" s="63"/>
      <c r="H3" s="63"/>
      <c r="I3" s="63"/>
      <c r="J3" s="56" t="s">
        <v>25</v>
      </c>
      <c r="K3" s="56" t="s">
        <v>23</v>
      </c>
      <c r="L3" s="56" t="s">
        <v>157</v>
      </c>
      <c r="M3" s="56" t="s">
        <v>158</v>
      </c>
      <c r="N3" s="63"/>
      <c r="O3" s="63"/>
      <c r="P3" s="63"/>
      <c r="Q3" s="57" t="s">
        <v>25</v>
      </c>
      <c r="R3" s="57" t="s">
        <v>157</v>
      </c>
      <c r="S3" s="57" t="s">
        <v>159</v>
      </c>
      <c r="T3" s="57" t="s">
        <v>24</v>
      </c>
      <c r="U3" s="56" t="s">
        <v>9</v>
      </c>
      <c r="V3" s="56" t="s">
        <v>10</v>
      </c>
      <c r="W3" s="57" t="s">
        <v>11</v>
      </c>
      <c r="X3" s="57" t="s">
        <v>12</v>
      </c>
      <c r="Y3" s="57" t="s">
        <v>13</v>
      </c>
      <c r="Z3" s="56" t="s">
        <v>160</v>
      </c>
      <c r="AA3" s="56" t="s">
        <v>161</v>
      </c>
      <c r="AB3" s="57" t="s">
        <v>160</v>
      </c>
      <c r="AC3" s="57" t="s">
        <v>161</v>
      </c>
      <c r="AE3" s="63"/>
      <c r="AF3" s="63"/>
      <c r="AG3" s="56" t="s">
        <v>25</v>
      </c>
      <c r="AH3" s="56" t="s">
        <v>23</v>
      </c>
      <c r="AI3" s="56" t="s">
        <v>157</v>
      </c>
      <c r="AJ3" s="56" t="s">
        <v>158</v>
      </c>
      <c r="AK3" s="63"/>
      <c r="AL3" s="63"/>
      <c r="AM3" s="63"/>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3"/>
      <c r="BG3" s="63"/>
    </row>
    <row r="4" spans="1:59" ht="123" hidden="1" customHeight="1" x14ac:dyDescent="0.3">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3">
      <c r="A5" s="54" t="s">
        <v>229</v>
      </c>
      <c r="B5" s="54" t="s">
        <v>49</v>
      </c>
      <c r="C5" s="54">
        <v>238146391</v>
      </c>
      <c r="D5" s="10">
        <v>10</v>
      </c>
      <c r="E5" s="10">
        <v>32</v>
      </c>
      <c r="F5" s="10">
        <v>30</v>
      </c>
      <c r="H5" s="17">
        <f t="shared" ref="H5:H11" si="0">IF(ISBLANK(Q5),"·",Q5/(C5*(D5*3+IF(AND(ISNUMBER(T5),T5&gt;0),24,0))))</f>
        <v>1.7207732563990052E-2</v>
      </c>
      <c r="I5" s="11">
        <f t="shared" ref="I5:I11" si="1">IF(OR(ISBLANK(Q5),ISBLANK(F5)),"·",Q5*F5/E5/1000000)</f>
        <v>207.45919499999999</v>
      </c>
      <c r="J5" s="12">
        <f t="shared" ref="J5:J11" si="2">IF(ISBLANK(Q5),"·",Q5/C5)</f>
        <v>0.92921755845546283</v>
      </c>
      <c r="K5" s="12">
        <f t="shared" ref="K5:K11" si="3">IF(N5="","·",N5/C5)</f>
        <v>0.14055415183680026</v>
      </c>
      <c r="L5" s="12">
        <f t="shared" ref="L5:L11" si="4">IF(R5="","·",R5/C5)</f>
        <v>0.13165414713339074</v>
      </c>
      <c r="M5" s="12">
        <f t="shared" ref="M5:M11" si="5">IF(ISBLANK(T5),"·",T5/C5)</f>
        <v>0.78866340661866252</v>
      </c>
      <c r="N5" s="54">
        <f t="shared" ref="N5:N11" si="6">IF(OR(ISBLANK(R5),ISBLANK(S5)),"",R5+S5)</f>
        <v>33472464</v>
      </c>
      <c r="O5" s="12">
        <v>16</v>
      </c>
      <c r="P5" s="13">
        <v>24964341</v>
      </c>
      <c r="Q5" s="14">
        <v>221289808</v>
      </c>
      <c r="R5" s="14">
        <v>31352960</v>
      </c>
      <c r="S5" s="14">
        <v>2119504</v>
      </c>
      <c r="T5" s="14">
        <v>187817344</v>
      </c>
      <c r="U5" s="15" t="s">
        <v>571</v>
      </c>
      <c r="V5" s="15" t="s">
        <v>571</v>
      </c>
      <c r="W5" s="15" t="s">
        <v>571</v>
      </c>
      <c r="X5" s="15" t="s">
        <v>571</v>
      </c>
      <c r="Y5" s="15" t="s">
        <v>571</v>
      </c>
      <c r="Z5" s="16">
        <v>6499.63</v>
      </c>
      <c r="AA5" s="16">
        <v>0</v>
      </c>
      <c r="AB5" s="16">
        <v>37.9</v>
      </c>
      <c r="AC5" s="16">
        <v>0</v>
      </c>
      <c r="AE5" s="17">
        <f t="shared" ref="AE5:AE11" si="7">IF(ISBLANK(Q5),"·",Q5/(C5*(D5*3+IF(AND(ISNUMBER(T5),T5&gt;0),24,0))))</f>
        <v>1.7207732563990052E-2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3">
      <c r="A6" s="18"/>
      <c r="B6" s="18" t="s">
        <v>57</v>
      </c>
      <c r="C6" s="18">
        <v>218121242</v>
      </c>
      <c r="D6" s="19">
        <v>10</v>
      </c>
      <c r="E6" s="19">
        <v>32</v>
      </c>
      <c r="F6" s="19">
        <v>30</v>
      </c>
      <c r="H6" s="26">
        <f t="shared" si="0"/>
        <v>2.4581077303379335E-2</v>
      </c>
      <c r="I6" s="20">
        <f t="shared" si="1"/>
        <v>271.43378999999999</v>
      </c>
      <c r="J6" s="21">
        <f t="shared" si="2"/>
        <v>1.327378174382484</v>
      </c>
      <c r="K6" s="21">
        <f t="shared" si="3"/>
        <v>0.17157224879546579</v>
      </c>
      <c r="L6" s="21">
        <f t="shared" si="4"/>
        <v>0.15634416752495844</v>
      </c>
      <c r="M6" s="21">
        <f t="shared" si="5"/>
        <v>1.1558059255870183</v>
      </c>
      <c r="N6" s="18">
        <f t="shared" si="6"/>
        <v>37423552</v>
      </c>
      <c r="O6" s="21">
        <v>16</v>
      </c>
      <c r="P6" s="22">
        <v>22654789</v>
      </c>
      <c r="Q6" s="23">
        <v>289529376</v>
      </c>
      <c r="R6" s="23">
        <v>34101984</v>
      </c>
      <c r="S6" s="23">
        <v>3321568</v>
      </c>
      <c r="T6" s="23">
        <v>252105824</v>
      </c>
      <c r="U6" s="24" t="s">
        <v>571</v>
      </c>
      <c r="V6" s="24" t="s">
        <v>571</v>
      </c>
      <c r="W6" s="24" t="s">
        <v>571</v>
      </c>
      <c r="X6" s="24" t="s">
        <v>571</v>
      </c>
      <c r="Y6" s="24" t="s">
        <v>571</v>
      </c>
      <c r="Z6" s="25">
        <v>6339.73</v>
      </c>
      <c r="AA6" s="25">
        <v>0</v>
      </c>
      <c r="AB6" s="25">
        <v>34.255000000000003</v>
      </c>
      <c r="AC6" s="25">
        <v>0</v>
      </c>
      <c r="AE6" s="26">
        <f t="shared" si="7"/>
        <v>2.4581077303379335E-2</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3">
      <c r="A7" s="54"/>
      <c r="B7" s="54" t="s">
        <v>62</v>
      </c>
      <c r="C7" s="54">
        <v>322589704</v>
      </c>
      <c r="D7" s="10">
        <v>10</v>
      </c>
      <c r="E7" s="10">
        <v>32</v>
      </c>
      <c r="F7" s="10">
        <v>30</v>
      </c>
      <c r="H7" s="17">
        <f t="shared" si="0"/>
        <v>1.941891739612004E-2</v>
      </c>
      <c r="I7" s="11">
        <f t="shared" si="1"/>
        <v>317.13235500000002</v>
      </c>
      <c r="J7" s="12">
        <f t="shared" si="2"/>
        <v>1.0486215393904823</v>
      </c>
      <c r="K7" s="12">
        <f t="shared" si="3"/>
        <v>0.16732509230982773</v>
      </c>
      <c r="L7" s="12">
        <f t="shared" si="4"/>
        <v>0.15458328453037051</v>
      </c>
      <c r="M7" s="12">
        <f t="shared" si="5"/>
        <v>0.88129644708065447</v>
      </c>
      <c r="N7" s="54">
        <f t="shared" si="6"/>
        <v>53977352</v>
      </c>
      <c r="O7" s="12">
        <v>16</v>
      </c>
      <c r="P7" s="13">
        <v>33947718</v>
      </c>
      <c r="Q7" s="14">
        <v>338274512</v>
      </c>
      <c r="R7" s="14">
        <v>49866976</v>
      </c>
      <c r="S7" s="14">
        <v>4110376</v>
      </c>
      <c r="T7" s="14">
        <v>284297160</v>
      </c>
      <c r="U7" s="15" t="s">
        <v>571</v>
      </c>
      <c r="V7" s="15" t="s">
        <v>571</v>
      </c>
      <c r="W7" s="15" t="s">
        <v>571</v>
      </c>
      <c r="X7" s="15" t="s">
        <v>571</v>
      </c>
      <c r="Y7" s="15" t="s">
        <v>571</v>
      </c>
      <c r="Z7" s="16">
        <v>8959.91</v>
      </c>
      <c r="AA7" s="16">
        <v>0</v>
      </c>
      <c r="AB7" s="16">
        <v>42.347000000000001</v>
      </c>
      <c r="AC7" s="16">
        <v>0</v>
      </c>
      <c r="AE7" s="17">
        <f t="shared" si="7"/>
        <v>1.941891739612004E-2</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3">
      <c r="A8" s="37"/>
      <c r="B8" s="37" t="s">
        <v>68</v>
      </c>
      <c r="C8" s="37">
        <v>250602891</v>
      </c>
      <c r="D8" s="38">
        <v>10</v>
      </c>
      <c r="E8" s="38">
        <v>32</v>
      </c>
      <c r="F8" s="38">
        <v>50</v>
      </c>
      <c r="H8" s="46">
        <f t="shared" si="0"/>
        <v>1.9324278266207234E-2</v>
      </c>
      <c r="I8" s="39">
        <f t="shared" si="1"/>
        <v>408.60449999999997</v>
      </c>
      <c r="J8" s="40">
        <f t="shared" si="2"/>
        <v>1.0435110263751906</v>
      </c>
      <c r="K8" s="40">
        <f t="shared" si="3"/>
        <v>0.15718797114754754</v>
      </c>
      <c r="L8" s="40">
        <f t="shared" si="4"/>
        <v>0.13711273586225309</v>
      </c>
      <c r="M8" s="40">
        <f t="shared" si="5"/>
        <v>0.88632305522764299</v>
      </c>
      <c r="N8" s="37">
        <f t="shared" si="6"/>
        <v>39391760</v>
      </c>
      <c r="O8" s="40">
        <v>16</v>
      </c>
      <c r="P8" s="41">
        <v>32209643</v>
      </c>
      <c r="Q8" s="42">
        <v>261506880</v>
      </c>
      <c r="R8" s="42">
        <v>34360848</v>
      </c>
      <c r="S8" s="42">
        <v>5030912</v>
      </c>
      <c r="T8" s="42">
        <v>222115120</v>
      </c>
      <c r="U8" s="43" t="s">
        <v>571</v>
      </c>
      <c r="V8" s="43" t="s">
        <v>571</v>
      </c>
      <c r="W8" s="43" t="s">
        <v>571</v>
      </c>
      <c r="X8" s="43" t="s">
        <v>571</v>
      </c>
      <c r="Y8" s="43" t="s">
        <v>571</v>
      </c>
      <c r="Z8" s="44">
        <v>6906.82</v>
      </c>
      <c r="AA8" s="44">
        <v>0</v>
      </c>
      <c r="AB8" s="44">
        <v>36.148000000000003</v>
      </c>
      <c r="AC8" s="44">
        <v>0</v>
      </c>
      <c r="AE8" s="46">
        <f t="shared" si="7"/>
        <v>1.9324278266207234E-2</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3">
      <c r="A9" s="27" t="s">
        <v>235</v>
      </c>
      <c r="B9" s="27" t="s">
        <v>71</v>
      </c>
      <c r="C9" s="27">
        <v>250294582</v>
      </c>
      <c r="D9" s="28">
        <v>10</v>
      </c>
      <c r="E9" s="28">
        <v>32</v>
      </c>
      <c r="F9" s="28">
        <v>30</v>
      </c>
      <c r="H9" s="36">
        <f t="shared" si="0"/>
        <v>2.7983096659605206E-2</v>
      </c>
      <c r="I9" s="29">
        <f t="shared" si="1"/>
        <v>354.57838500000003</v>
      </c>
      <c r="J9" s="30">
        <f t="shared" si="2"/>
        <v>1.5110872196186811</v>
      </c>
      <c r="K9" s="30">
        <f t="shared" si="3"/>
        <v>0.14715559444271151</v>
      </c>
      <c r="L9" s="30">
        <f t="shared" si="4"/>
        <v>0.13754164283108614</v>
      </c>
      <c r="M9" s="30">
        <f t="shared" si="5"/>
        <v>1.3639316251759697</v>
      </c>
      <c r="N9" s="27">
        <f t="shared" si="6"/>
        <v>36832248</v>
      </c>
      <c r="O9" s="30">
        <v>16</v>
      </c>
      <c r="P9" s="31">
        <v>25312408</v>
      </c>
      <c r="Q9" s="32">
        <v>378216944</v>
      </c>
      <c r="R9" s="32">
        <v>34425928</v>
      </c>
      <c r="S9" s="32">
        <v>2406320</v>
      </c>
      <c r="T9" s="32">
        <v>341384696</v>
      </c>
      <c r="U9" s="33" t="s">
        <v>571</v>
      </c>
      <c r="V9" s="33" t="s">
        <v>571</v>
      </c>
      <c r="W9" s="33" t="s">
        <v>571</v>
      </c>
      <c r="X9" s="33" t="s">
        <v>571</v>
      </c>
      <c r="Y9" s="33" t="s">
        <v>571</v>
      </c>
      <c r="Z9" s="34">
        <v>6184.71</v>
      </c>
      <c r="AA9" s="34">
        <v>0</v>
      </c>
      <c r="AB9" s="34">
        <v>36.450000000000003</v>
      </c>
      <c r="AC9" s="34">
        <v>0</v>
      </c>
      <c r="AE9" s="36">
        <f t="shared" si="7"/>
        <v>2.7983096659605206E-2</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3">
      <c r="A10" s="18" t="s">
        <v>236</v>
      </c>
      <c r="B10" s="18" t="s">
        <v>75</v>
      </c>
      <c r="C10" s="18">
        <v>375422539</v>
      </c>
      <c r="D10" s="19">
        <v>11</v>
      </c>
      <c r="E10" s="19">
        <v>32</v>
      </c>
      <c r="F10" s="19">
        <v>30</v>
      </c>
      <c r="H10" s="26">
        <f t="shared" si="0"/>
        <v>4.2388455942934118E-2</v>
      </c>
      <c r="I10" s="20">
        <f t="shared" si="1"/>
        <v>850.382025</v>
      </c>
      <c r="J10" s="21">
        <f t="shared" si="2"/>
        <v>2.4161419887472446</v>
      </c>
      <c r="K10" s="21">
        <f t="shared" si="3"/>
        <v>0.2667514855840874</v>
      </c>
      <c r="L10" s="21">
        <f t="shared" si="4"/>
        <v>0.25448560508510121</v>
      </c>
      <c r="M10" s="21">
        <f t="shared" si="5"/>
        <v>2.1493905031631573</v>
      </c>
      <c r="N10" s="18">
        <f t="shared" si="6"/>
        <v>100144520</v>
      </c>
      <c r="O10" s="21">
        <v>16</v>
      </c>
      <c r="P10" s="22">
        <v>92854683</v>
      </c>
      <c r="Q10" s="23">
        <v>907074160</v>
      </c>
      <c r="R10" s="23">
        <v>95539632</v>
      </c>
      <c r="S10" s="23">
        <v>4604888</v>
      </c>
      <c r="T10" s="23">
        <v>806929640</v>
      </c>
      <c r="U10" s="24" t="s">
        <v>571</v>
      </c>
      <c r="V10" s="24" t="s">
        <v>571</v>
      </c>
      <c r="W10" s="24" t="s">
        <v>571</v>
      </c>
      <c r="X10" s="24" t="s">
        <v>571</v>
      </c>
      <c r="Y10" s="24" t="s">
        <v>571</v>
      </c>
      <c r="Z10" s="25">
        <v>19624.3</v>
      </c>
      <c r="AA10" s="25">
        <v>0</v>
      </c>
      <c r="AB10" s="25">
        <v>112.256</v>
      </c>
      <c r="AC10" s="25">
        <v>0</v>
      </c>
      <c r="AE10" s="26">
        <f t="shared" si="7"/>
        <v>4.2388455942934118E-2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3">
      <c r="A11" s="27"/>
      <c r="B11" s="27" t="s">
        <v>80</v>
      </c>
      <c r="C11" s="27">
        <v>333190689</v>
      </c>
      <c r="D11" s="28">
        <v>11</v>
      </c>
      <c r="E11" s="28">
        <v>32</v>
      </c>
      <c r="F11" s="28">
        <v>30</v>
      </c>
      <c r="H11" s="36">
        <f t="shared" si="0"/>
        <v>4.3560122919344399E-2</v>
      </c>
      <c r="I11" s="29">
        <f t="shared" si="1"/>
        <v>775.58264999999994</v>
      </c>
      <c r="J11" s="30">
        <f t="shared" si="2"/>
        <v>2.482927006402631</v>
      </c>
      <c r="K11" s="30">
        <f t="shared" si="3"/>
        <v>0.28579571741874216</v>
      </c>
      <c r="L11" s="30">
        <f t="shared" si="4"/>
        <v>0.27160379622733094</v>
      </c>
      <c r="M11" s="30">
        <f t="shared" si="5"/>
        <v>2.1971312889838885</v>
      </c>
      <c r="N11" s="27">
        <f t="shared" si="6"/>
        <v>95224472</v>
      </c>
      <c r="O11" s="30">
        <v>16</v>
      </c>
      <c r="P11" s="31">
        <v>83104648</v>
      </c>
      <c r="Q11" s="32">
        <v>827288160</v>
      </c>
      <c r="R11" s="32">
        <v>90495856</v>
      </c>
      <c r="S11" s="32">
        <v>4728616</v>
      </c>
      <c r="T11" s="32">
        <v>732063688</v>
      </c>
      <c r="U11" s="33" t="s">
        <v>571</v>
      </c>
      <c r="V11" s="33" t="s">
        <v>571</v>
      </c>
      <c r="W11" s="33" t="s">
        <v>571</v>
      </c>
      <c r="X11" s="33" t="s">
        <v>571</v>
      </c>
      <c r="Y11" s="33" t="s">
        <v>571</v>
      </c>
      <c r="Z11" s="34">
        <v>18088.5</v>
      </c>
      <c r="AA11" s="34">
        <v>0</v>
      </c>
      <c r="AB11" s="34">
        <v>102.85899999999999</v>
      </c>
      <c r="AC11" s="34">
        <v>0</v>
      </c>
      <c r="AE11" s="36">
        <f t="shared" si="7"/>
        <v>4.3560122919344399E-2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3">
      <c r="B12" s="47" t="s">
        <v>14</v>
      </c>
      <c r="J12" s="48">
        <f>AVERAGE(J5:J8)</f>
        <v>1.0871820746509049</v>
      </c>
      <c r="K12" s="48">
        <f>AVERAGE(K5:K8)</f>
        <v>0.15915986602241033</v>
      </c>
      <c r="L12" s="48">
        <f>AVERAGE(L5:L8)</f>
        <v>0.1449235837627432</v>
      </c>
      <c r="M12" s="48">
        <f>AVERAGE(M5:M8)</f>
        <v>0.9280222086284946</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3">
      <c r="B13" s="47" t="s">
        <v>15</v>
      </c>
      <c r="J13" s="48">
        <f>AVERAGE(J9:J9)</f>
        <v>1.5110872196186811</v>
      </c>
      <c r="K13" s="48">
        <f>AVERAGE(K9:K9)</f>
        <v>0.14715559444271151</v>
      </c>
      <c r="L13" s="48">
        <f>AVERAGE(L9:L9)</f>
        <v>0.13754164283108614</v>
      </c>
      <c r="M13" s="48">
        <f>AVERAGE(M9:M9)</f>
        <v>1.3639316251759697</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3">
      <c r="B14" s="47" t="s">
        <v>16</v>
      </c>
      <c r="J14" s="48">
        <f>AVERAGE(J10:J11)</f>
        <v>2.4495344975749376</v>
      </c>
      <c r="K14" s="48">
        <f>AVERAGE(K10:K11)</f>
        <v>0.27627360150141478</v>
      </c>
      <c r="L14" s="48">
        <f>AVERAGE(L10:L11)</f>
        <v>0.2630447006562161</v>
      </c>
      <c r="M14" s="48">
        <f>AVERAGE(M10:M11)</f>
        <v>2.1732608960735229</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3">
      <c r="B15" s="47" t="s">
        <v>17</v>
      </c>
      <c r="J15" s="48">
        <f>AVERAGE(J5:J11)</f>
        <v>1.5369835019103111</v>
      </c>
      <c r="K15" s="48">
        <f>AVERAGE(K5:K11)</f>
        <v>0.19090603736216893</v>
      </c>
      <c r="L15" s="48">
        <f>AVERAGE(L5:L11)</f>
        <v>0.17761791131349874</v>
      </c>
      <c r="M15" s="48">
        <f>AVERAGE(M5:M11)</f>
        <v>1.3460774645481419</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3">
      <c r="A16" s="47" t="s">
        <v>237</v>
      </c>
      <c r="B16" s="47" t="s">
        <v>238</v>
      </c>
      <c r="Z16" s="49">
        <f>SUM(Z5:Z8,Z9:Z9,Z10:Z11)</f>
        <v>72603.600000000006</v>
      </c>
      <c r="AA16" s="49">
        <f>SUM(AA5:AA8,AA9:AA9,AA10:AA11)</f>
        <v>0</v>
      </c>
      <c r="AB16" s="49">
        <f>SUM(AB5:AB8,AB9:AB9,AB10:AB11)</f>
        <v>402.21499999999997</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3">
      <c r="B17" s="47" t="s">
        <v>239</v>
      </c>
      <c r="AW17" s="55">
        <f>AW16/Z16</f>
        <v>0</v>
      </c>
      <c r="AX17" s="55" t="e">
        <f>AX16/AA16</f>
        <v>#DIV/0!</v>
      </c>
      <c r="AY17" s="55">
        <f>AY16/AB16</f>
        <v>0</v>
      </c>
      <c r="AZ17" s="55" t="e">
        <f>AZ16/AC16</f>
        <v>#DIV/0!</v>
      </c>
    </row>
    <row r="18" spans="2:52" hidden="1" outlineLevel="2" x14ac:dyDescent="0.3">
      <c r="B18" s="47" t="s">
        <v>240</v>
      </c>
      <c r="Z18" s="49">
        <f>GEOMEAN(Z5:Z8,Z9:Z9,Z10:Z11)</f>
        <v>9204.6690603319621</v>
      </c>
      <c r="AA18" s="49" t="e">
        <f>GEOMEAN(AA5:AA8,AA9:AA9,AA10:AA11)</f>
        <v>#NUM!</v>
      </c>
      <c r="AB18" s="49">
        <f>GEOMEAN(AB5:AB8,AB9:AB9,AB10:AB11)</f>
        <v>50.489699440669447</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3">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AR22" sqref="AR22"/>
    </sheetView>
  </sheetViews>
  <sheetFormatPr defaultRowHeight="14.4" outlineLevelRow="2" x14ac:dyDescent="0.3"/>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59" x14ac:dyDescent="0.3">
      <c r="A1" s="73" t="s">
        <v>572</v>
      </c>
      <c r="B1" s="61"/>
      <c r="C1" s="61"/>
      <c r="D1" s="61"/>
      <c r="E1" s="61"/>
      <c r="F1" s="61"/>
      <c r="H1" s="69" t="str">
        <f>Summary!$C$1</f>
        <v>ALL_master+r130</v>
      </c>
      <c r="I1" s="61"/>
      <c r="J1" s="61"/>
      <c r="K1" s="61"/>
      <c r="L1" s="61"/>
      <c r="M1" s="61"/>
      <c r="N1" s="61"/>
      <c r="O1" s="61"/>
      <c r="P1" s="61"/>
      <c r="Q1" s="61"/>
      <c r="R1" s="61"/>
      <c r="S1" s="61"/>
      <c r="T1" s="61"/>
      <c r="U1" s="61"/>
      <c r="V1" s="61"/>
      <c r="W1" s="61"/>
      <c r="X1" s="61"/>
      <c r="Y1" s="61"/>
      <c r="Z1" s="61"/>
      <c r="AA1" s="61"/>
      <c r="AB1" s="61"/>
      <c r="AC1" s="61"/>
      <c r="AE1" s="70">
        <f>Summary!$C$2</f>
        <v>0</v>
      </c>
      <c r="AF1" s="61"/>
      <c r="AG1" s="61"/>
      <c r="AH1" s="61"/>
      <c r="AI1" s="61"/>
      <c r="AJ1" s="61"/>
      <c r="AK1" s="61"/>
      <c r="AL1" s="61"/>
      <c r="AM1" s="61"/>
      <c r="AN1" s="61"/>
      <c r="AO1" s="61"/>
      <c r="AP1" s="61"/>
      <c r="AQ1" s="61"/>
      <c r="AR1" s="61"/>
      <c r="AS1" s="61"/>
      <c r="AT1" s="61"/>
      <c r="AU1" s="61"/>
      <c r="AV1" s="61"/>
      <c r="AW1" s="61"/>
      <c r="AX1" s="61"/>
      <c r="AY1" s="61"/>
      <c r="AZ1" s="61"/>
    </row>
    <row r="2" spans="1:59" ht="30" customHeight="1" x14ac:dyDescent="0.3">
      <c r="A2" s="75" t="s">
        <v>137</v>
      </c>
      <c r="B2" s="74" t="s">
        <v>138</v>
      </c>
      <c r="C2" s="75" t="s">
        <v>140</v>
      </c>
      <c r="D2" s="74" t="s">
        <v>141</v>
      </c>
      <c r="E2" s="75" t="s">
        <v>142</v>
      </c>
      <c r="F2" s="74" t="s">
        <v>143</v>
      </c>
      <c r="H2" s="75" t="s">
        <v>565</v>
      </c>
      <c r="I2" s="74" t="s">
        <v>144</v>
      </c>
      <c r="J2" s="72" t="s">
        <v>145</v>
      </c>
      <c r="K2" s="61"/>
      <c r="L2" s="61"/>
      <c r="M2" s="61"/>
      <c r="N2" s="75" t="s">
        <v>146</v>
      </c>
      <c r="O2" s="74" t="s">
        <v>147</v>
      </c>
      <c r="P2" s="75" t="s">
        <v>84</v>
      </c>
      <c r="Q2" s="71" t="s">
        <v>148</v>
      </c>
      <c r="R2" s="61"/>
      <c r="S2" s="61"/>
      <c r="T2" s="61"/>
      <c r="U2" s="72" t="s">
        <v>149</v>
      </c>
      <c r="V2" s="61"/>
      <c r="W2" s="71" t="s">
        <v>150</v>
      </c>
      <c r="X2" s="61"/>
      <c r="Y2" s="61"/>
      <c r="Z2" s="72" t="s">
        <v>151</v>
      </c>
      <c r="AA2" s="61"/>
      <c r="AB2" s="71" t="s">
        <v>152</v>
      </c>
      <c r="AC2" s="61"/>
      <c r="AE2" s="75" t="s">
        <v>565</v>
      </c>
      <c r="AF2" s="74" t="s">
        <v>144</v>
      </c>
      <c r="AG2" s="72" t="s">
        <v>145</v>
      </c>
      <c r="AH2" s="61"/>
      <c r="AI2" s="61"/>
      <c r="AJ2" s="61"/>
      <c r="AK2" s="75" t="s">
        <v>153</v>
      </c>
      <c r="AL2" s="74" t="s">
        <v>147</v>
      </c>
      <c r="AM2" s="75" t="s">
        <v>84</v>
      </c>
      <c r="AN2" s="71" t="s">
        <v>148</v>
      </c>
      <c r="AO2" s="61"/>
      <c r="AP2" s="61"/>
      <c r="AQ2" s="61"/>
      <c r="AR2" s="72" t="s">
        <v>149</v>
      </c>
      <c r="AS2" s="61"/>
      <c r="AT2" s="71" t="s">
        <v>150</v>
      </c>
      <c r="AU2" s="61"/>
      <c r="AV2" s="61"/>
      <c r="AW2" s="72" t="s">
        <v>151</v>
      </c>
      <c r="AX2" s="61"/>
      <c r="AY2" s="71" t="s">
        <v>152</v>
      </c>
      <c r="AZ2" s="61"/>
      <c r="BB2" s="72" t="s">
        <v>22</v>
      </c>
      <c r="BC2" s="61"/>
      <c r="BD2" s="61"/>
      <c r="BE2" s="61"/>
      <c r="BF2" s="74" t="s">
        <v>156</v>
      </c>
      <c r="BG2" s="75" t="s">
        <v>156</v>
      </c>
    </row>
    <row r="3" spans="1:59" ht="28.95" customHeight="1" x14ac:dyDescent="0.3">
      <c r="A3" s="63"/>
      <c r="B3" s="63"/>
      <c r="C3" s="63"/>
      <c r="D3" s="63"/>
      <c r="E3" s="63"/>
      <c r="F3" s="63"/>
      <c r="H3" s="63"/>
      <c r="I3" s="63"/>
      <c r="J3" s="56" t="s">
        <v>25</v>
      </c>
      <c r="K3" s="56" t="s">
        <v>23</v>
      </c>
      <c r="L3" s="56" t="s">
        <v>157</v>
      </c>
      <c r="M3" s="56" t="s">
        <v>158</v>
      </c>
      <c r="N3" s="63"/>
      <c r="O3" s="63"/>
      <c r="P3" s="63"/>
      <c r="Q3" s="57" t="s">
        <v>25</v>
      </c>
      <c r="R3" s="57" t="s">
        <v>157</v>
      </c>
      <c r="S3" s="57" t="s">
        <v>159</v>
      </c>
      <c r="T3" s="57" t="s">
        <v>24</v>
      </c>
      <c r="U3" s="56" t="s">
        <v>9</v>
      </c>
      <c r="V3" s="56" t="s">
        <v>10</v>
      </c>
      <c r="W3" s="57" t="s">
        <v>11</v>
      </c>
      <c r="X3" s="57" t="s">
        <v>12</v>
      </c>
      <c r="Y3" s="57" t="s">
        <v>13</v>
      </c>
      <c r="Z3" s="56" t="s">
        <v>160</v>
      </c>
      <c r="AA3" s="56" t="s">
        <v>161</v>
      </c>
      <c r="AB3" s="57" t="s">
        <v>160</v>
      </c>
      <c r="AC3" s="57" t="s">
        <v>161</v>
      </c>
      <c r="AE3" s="63"/>
      <c r="AF3" s="63"/>
      <c r="AG3" s="56" t="s">
        <v>25</v>
      </c>
      <c r="AH3" s="56" t="s">
        <v>23</v>
      </c>
      <c r="AI3" s="56" t="s">
        <v>157</v>
      </c>
      <c r="AJ3" s="56" t="s">
        <v>158</v>
      </c>
      <c r="AK3" s="63"/>
      <c r="AL3" s="63"/>
      <c r="AM3" s="63"/>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3"/>
      <c r="BG3" s="63"/>
    </row>
    <row r="4" spans="1:59" ht="123" hidden="1" customHeight="1" x14ac:dyDescent="0.3">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3">
      <c r="A5" s="54" t="s">
        <v>229</v>
      </c>
      <c r="B5" s="54" t="s">
        <v>49</v>
      </c>
      <c r="C5" s="54">
        <v>238146391</v>
      </c>
      <c r="D5" s="10">
        <v>10</v>
      </c>
      <c r="E5" s="10">
        <v>32</v>
      </c>
      <c r="F5" s="10">
        <v>30</v>
      </c>
      <c r="H5" s="17">
        <f t="shared" ref="H5:H11" si="0">IF(ISBLANK(Q5),"·",Q5/(C5*(D5*3+IF(AND(ISNUMBER(T5),T5&gt;0),24,0))))</f>
        <v>1.7040407534689685E-2</v>
      </c>
      <c r="I5" s="11">
        <f t="shared" ref="I5:I11" si="1">IF(OR(ISBLANK(Q5),ISBLANK(F5)),"·",Q5*F5/E5/1000000)</f>
        <v>205.44189750000001</v>
      </c>
      <c r="J5" s="12">
        <f t="shared" ref="J5:J11" si="2">IF(ISBLANK(Q5),"·",Q5/C5)</f>
        <v>0.92018200687324292</v>
      </c>
      <c r="K5" s="12">
        <f t="shared" ref="K5:K11" si="3">IF(N5="","·",N5/C5)</f>
        <v>0.13655815594534876</v>
      </c>
      <c r="L5" s="12">
        <f t="shared" ref="L5:L11" si="4">IF(R5="","·",R5/C5)</f>
        <v>0.1276869066640611</v>
      </c>
      <c r="M5" s="12">
        <f t="shared" ref="M5:M11" si="5">IF(ISBLANK(T5),"·",T5/C5)</f>
        <v>0.78362385092789422</v>
      </c>
      <c r="N5" s="54">
        <f t="shared" ref="N5:N11" si="6">IF(OR(ISBLANK(R5),ISBLANK(S5)),"",R5+S5)</f>
        <v>32520832</v>
      </c>
      <c r="O5" s="12">
        <v>16</v>
      </c>
      <c r="P5" s="13">
        <v>24964341</v>
      </c>
      <c r="Q5" s="14">
        <v>219138024</v>
      </c>
      <c r="R5" s="14">
        <v>30408176</v>
      </c>
      <c r="S5" s="14">
        <v>2112656</v>
      </c>
      <c r="T5" s="14">
        <v>186617192</v>
      </c>
      <c r="U5" s="15" t="s">
        <v>571</v>
      </c>
      <c r="V5" s="15" t="s">
        <v>571</v>
      </c>
      <c r="W5" s="15" t="s">
        <v>571</v>
      </c>
      <c r="X5" s="15" t="s">
        <v>571</v>
      </c>
      <c r="Y5" s="15" t="s">
        <v>571</v>
      </c>
      <c r="Z5" s="16">
        <v>7751.52</v>
      </c>
      <c r="AA5" s="16">
        <v>0</v>
      </c>
      <c r="AB5" s="16">
        <v>30.765000000000001</v>
      </c>
      <c r="AC5" s="16">
        <v>0</v>
      </c>
      <c r="AE5" s="17">
        <f t="shared" ref="AE5:AE11" si="7">IF(ISBLANK(Q5),"·",Q5/(C5*(D5*3+IF(AND(ISNUMBER(T5),T5&gt;0),24,0))))</f>
        <v>1.7040407534689685E-2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3">
      <c r="A6" s="18"/>
      <c r="B6" s="18" t="s">
        <v>57</v>
      </c>
      <c r="C6" s="18">
        <v>218121242</v>
      </c>
      <c r="D6" s="19">
        <v>10</v>
      </c>
      <c r="E6" s="19">
        <v>32</v>
      </c>
      <c r="F6" s="19">
        <v>30</v>
      </c>
      <c r="H6" s="26">
        <f t="shared" si="0"/>
        <v>2.4455930458739669E-2</v>
      </c>
      <c r="I6" s="20">
        <f t="shared" si="1"/>
        <v>270.05187000000001</v>
      </c>
      <c r="J6" s="21">
        <f t="shared" si="2"/>
        <v>1.320620244771942</v>
      </c>
      <c r="K6" s="21">
        <f t="shared" si="3"/>
        <v>0.17090117247727757</v>
      </c>
      <c r="L6" s="21">
        <f t="shared" si="4"/>
        <v>0.15521837162471319</v>
      </c>
      <c r="M6" s="21">
        <f t="shared" si="5"/>
        <v>1.1497190722946644</v>
      </c>
      <c r="N6" s="18">
        <f t="shared" si="6"/>
        <v>37277176</v>
      </c>
      <c r="O6" s="21">
        <v>16</v>
      </c>
      <c r="P6" s="22">
        <v>22654789</v>
      </c>
      <c r="Q6" s="23">
        <v>288055328</v>
      </c>
      <c r="R6" s="23">
        <v>33856424</v>
      </c>
      <c r="S6" s="23">
        <v>3420752</v>
      </c>
      <c r="T6" s="23">
        <v>250778152</v>
      </c>
      <c r="U6" s="24" t="s">
        <v>571</v>
      </c>
      <c r="V6" s="24" t="s">
        <v>571</v>
      </c>
      <c r="W6" s="24" t="s">
        <v>571</v>
      </c>
      <c r="X6" s="24" t="s">
        <v>571</v>
      </c>
      <c r="Y6" s="24" t="s">
        <v>571</v>
      </c>
      <c r="Z6" s="25">
        <v>9325.2099999999991</v>
      </c>
      <c r="AA6" s="25">
        <v>0</v>
      </c>
      <c r="AB6" s="25">
        <v>31.277000000000001</v>
      </c>
      <c r="AC6" s="25">
        <v>0</v>
      </c>
      <c r="AE6" s="26">
        <f t="shared" si="7"/>
        <v>2.4455930458739669E-2</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3">
      <c r="A7" s="54"/>
      <c r="B7" s="54" t="s">
        <v>62</v>
      </c>
      <c r="C7" s="54">
        <v>322589704</v>
      </c>
      <c r="D7" s="10">
        <v>10</v>
      </c>
      <c r="E7" s="10">
        <v>32</v>
      </c>
      <c r="F7" s="10">
        <v>30</v>
      </c>
      <c r="H7" s="17">
        <f t="shared" si="0"/>
        <v>1.8793212597042121E-2</v>
      </c>
      <c r="I7" s="11">
        <f t="shared" si="1"/>
        <v>306.913905</v>
      </c>
      <c r="J7" s="12">
        <f t="shared" si="2"/>
        <v>1.0148334802402745</v>
      </c>
      <c r="K7" s="12">
        <f t="shared" si="3"/>
        <v>0.14885295905166274</v>
      </c>
      <c r="L7" s="12">
        <f t="shared" si="4"/>
        <v>0.13703614049628812</v>
      </c>
      <c r="M7" s="12">
        <f t="shared" si="5"/>
        <v>0.8659805211886118</v>
      </c>
      <c r="N7" s="54">
        <f t="shared" si="6"/>
        <v>48018432</v>
      </c>
      <c r="O7" s="12">
        <v>16</v>
      </c>
      <c r="P7" s="13">
        <v>33947718</v>
      </c>
      <c r="Q7" s="14">
        <v>327374832</v>
      </c>
      <c r="R7" s="14">
        <v>44206448</v>
      </c>
      <c r="S7" s="14">
        <v>3811984</v>
      </c>
      <c r="T7" s="14">
        <v>279356400</v>
      </c>
      <c r="U7" s="15" t="s">
        <v>571</v>
      </c>
      <c r="V7" s="15" t="s">
        <v>571</v>
      </c>
      <c r="W7" s="15" t="s">
        <v>571</v>
      </c>
      <c r="X7" s="15" t="s">
        <v>571</v>
      </c>
      <c r="Y7" s="15" t="s">
        <v>571</v>
      </c>
      <c r="Z7" s="16">
        <v>10464.9</v>
      </c>
      <c r="AA7" s="16">
        <v>0</v>
      </c>
      <c r="AB7" s="16">
        <v>38.308</v>
      </c>
      <c r="AC7" s="16">
        <v>0</v>
      </c>
      <c r="AE7" s="17">
        <f t="shared" si="7"/>
        <v>1.8793212597042121E-2</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3">
      <c r="A8" s="37"/>
      <c r="B8" s="37" t="s">
        <v>68</v>
      </c>
      <c r="C8" s="37">
        <v>250602891</v>
      </c>
      <c r="D8" s="38">
        <v>10</v>
      </c>
      <c r="E8" s="38">
        <v>32</v>
      </c>
      <c r="F8" s="38">
        <v>50</v>
      </c>
      <c r="H8" s="46">
        <f t="shared" si="0"/>
        <v>1.7297777450767864E-2</v>
      </c>
      <c r="I8" s="39">
        <f t="shared" si="1"/>
        <v>365.75491249999999</v>
      </c>
      <c r="J8" s="40">
        <f t="shared" si="2"/>
        <v>0.93407998234146472</v>
      </c>
      <c r="K8" s="40">
        <f t="shared" si="3"/>
        <v>0.10944888899944893</v>
      </c>
      <c r="L8" s="40">
        <f t="shared" si="4"/>
        <v>9.6235825148561438E-2</v>
      </c>
      <c r="M8" s="40">
        <f t="shared" si="5"/>
        <v>0.82463109334201579</v>
      </c>
      <c r="N8" s="37">
        <f t="shared" si="6"/>
        <v>27428208</v>
      </c>
      <c r="O8" s="40">
        <v>16</v>
      </c>
      <c r="P8" s="41">
        <v>32209643</v>
      </c>
      <c r="Q8" s="42">
        <v>234083144</v>
      </c>
      <c r="R8" s="42">
        <v>24116976</v>
      </c>
      <c r="S8" s="42">
        <v>3311232</v>
      </c>
      <c r="T8" s="42">
        <v>206654936</v>
      </c>
      <c r="U8" s="43" t="s">
        <v>571</v>
      </c>
      <c r="V8" s="43" t="s">
        <v>571</v>
      </c>
      <c r="W8" s="43" t="s">
        <v>571</v>
      </c>
      <c r="X8" s="43" t="s">
        <v>571</v>
      </c>
      <c r="Y8" s="43" t="s">
        <v>571</v>
      </c>
      <c r="Z8" s="44">
        <v>8231.6200000000008</v>
      </c>
      <c r="AA8" s="44">
        <v>0</v>
      </c>
      <c r="AB8" s="44">
        <v>33.965000000000003</v>
      </c>
      <c r="AC8" s="44">
        <v>0</v>
      </c>
      <c r="AE8" s="46">
        <f t="shared" si="7"/>
        <v>1.7297777450767864E-2</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3">
      <c r="A9" s="27" t="s">
        <v>235</v>
      </c>
      <c r="B9" s="27" t="s">
        <v>71</v>
      </c>
      <c r="C9" s="27">
        <v>250294582</v>
      </c>
      <c r="D9" s="28">
        <v>10</v>
      </c>
      <c r="E9" s="28">
        <v>32</v>
      </c>
      <c r="F9" s="28">
        <v>30</v>
      </c>
      <c r="H9" s="36">
        <f t="shared" si="0"/>
        <v>2.7810621965440707E-2</v>
      </c>
      <c r="I9" s="29">
        <f t="shared" si="1"/>
        <v>352.39292999999998</v>
      </c>
      <c r="J9" s="30">
        <f t="shared" si="2"/>
        <v>1.5017735861337982</v>
      </c>
      <c r="K9" s="30">
        <f t="shared" si="3"/>
        <v>0.14676907389070051</v>
      </c>
      <c r="L9" s="30">
        <f t="shared" si="4"/>
        <v>0.13694154993734542</v>
      </c>
      <c r="M9" s="30">
        <f t="shared" si="5"/>
        <v>1.3550045122430976</v>
      </c>
      <c r="N9" s="27">
        <f t="shared" si="6"/>
        <v>36735504</v>
      </c>
      <c r="O9" s="30">
        <v>16</v>
      </c>
      <c r="P9" s="31">
        <v>25312408</v>
      </c>
      <c r="Q9" s="32">
        <v>375885792</v>
      </c>
      <c r="R9" s="32">
        <v>34275728</v>
      </c>
      <c r="S9" s="32">
        <v>2459776</v>
      </c>
      <c r="T9" s="32">
        <v>339150288</v>
      </c>
      <c r="U9" s="33" t="s">
        <v>571</v>
      </c>
      <c r="V9" s="33" t="s">
        <v>571</v>
      </c>
      <c r="W9" s="33" t="s">
        <v>571</v>
      </c>
      <c r="X9" s="33" t="s">
        <v>571</v>
      </c>
      <c r="Y9" s="33" t="s">
        <v>571</v>
      </c>
      <c r="Z9" s="34">
        <v>10188.9</v>
      </c>
      <c r="AA9" s="34">
        <v>0</v>
      </c>
      <c r="AB9" s="34">
        <v>37.798000000000002</v>
      </c>
      <c r="AC9" s="34">
        <v>0</v>
      </c>
      <c r="AE9" s="36">
        <f t="shared" si="7"/>
        <v>2.7810621965440707E-2</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3">
      <c r="A10" s="18" t="s">
        <v>236</v>
      </c>
      <c r="B10" s="18" t="s">
        <v>75</v>
      </c>
      <c r="C10" s="18">
        <v>375422539</v>
      </c>
      <c r="D10" s="19">
        <v>11</v>
      </c>
      <c r="E10" s="19">
        <v>32</v>
      </c>
      <c r="F10" s="19">
        <v>30</v>
      </c>
      <c r="H10" s="26">
        <f t="shared" si="0"/>
        <v>4.2346619761079209E-2</v>
      </c>
      <c r="I10" s="20">
        <f t="shared" si="1"/>
        <v>849.54272249999997</v>
      </c>
      <c r="J10" s="21">
        <f t="shared" si="2"/>
        <v>2.4137573263815151</v>
      </c>
      <c r="K10" s="21">
        <f t="shared" si="3"/>
        <v>0.26493022039894093</v>
      </c>
      <c r="L10" s="21">
        <f t="shared" si="4"/>
        <v>0.2524243969273246</v>
      </c>
      <c r="M10" s="21">
        <f t="shared" si="5"/>
        <v>2.1488271059825741</v>
      </c>
      <c r="N10" s="18">
        <f t="shared" si="6"/>
        <v>99460776</v>
      </c>
      <c r="O10" s="21">
        <v>16</v>
      </c>
      <c r="P10" s="22">
        <v>92854683</v>
      </c>
      <c r="Q10" s="23">
        <v>906178904</v>
      </c>
      <c r="R10" s="23">
        <v>94765808</v>
      </c>
      <c r="S10" s="23">
        <v>4694968</v>
      </c>
      <c r="T10" s="23">
        <v>806718128</v>
      </c>
      <c r="U10" s="24" t="s">
        <v>571</v>
      </c>
      <c r="V10" s="24" t="s">
        <v>571</v>
      </c>
      <c r="W10" s="24" t="s">
        <v>571</v>
      </c>
      <c r="X10" s="24" t="s">
        <v>571</v>
      </c>
      <c r="Y10" s="24" t="s">
        <v>571</v>
      </c>
      <c r="Z10" s="25">
        <v>32177.599999999999</v>
      </c>
      <c r="AA10" s="25">
        <v>0</v>
      </c>
      <c r="AB10" s="25">
        <v>109.444</v>
      </c>
      <c r="AC10" s="25">
        <v>0</v>
      </c>
      <c r="AE10" s="26">
        <f t="shared" si="7"/>
        <v>4.2346619761079209E-2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3">
      <c r="A11" s="27"/>
      <c r="B11" s="27" t="s">
        <v>80</v>
      </c>
      <c r="C11" s="27">
        <v>333190689</v>
      </c>
      <c r="D11" s="28">
        <v>11</v>
      </c>
      <c r="E11" s="28">
        <v>32</v>
      </c>
      <c r="F11" s="28">
        <v>30</v>
      </c>
      <c r="H11" s="36">
        <f t="shared" si="0"/>
        <v>4.3553205011574954E-2</v>
      </c>
      <c r="I11" s="29">
        <f t="shared" si="1"/>
        <v>775.45947750000005</v>
      </c>
      <c r="J11" s="30">
        <f t="shared" si="2"/>
        <v>2.4825326856597725</v>
      </c>
      <c r="K11" s="30">
        <f t="shared" si="3"/>
        <v>0.28580645001157279</v>
      </c>
      <c r="L11" s="30">
        <f t="shared" si="4"/>
        <v>0.27120241646368454</v>
      </c>
      <c r="M11" s="30">
        <f t="shared" si="5"/>
        <v>2.1967262356481996</v>
      </c>
      <c r="N11" s="27">
        <f t="shared" si="6"/>
        <v>95228048</v>
      </c>
      <c r="O11" s="30">
        <v>16</v>
      </c>
      <c r="P11" s="31">
        <v>83104648</v>
      </c>
      <c r="Q11" s="32">
        <v>827156776</v>
      </c>
      <c r="R11" s="32">
        <v>90362120</v>
      </c>
      <c r="S11" s="32">
        <v>4865928</v>
      </c>
      <c r="T11" s="32">
        <v>731928728</v>
      </c>
      <c r="U11" s="33" t="s">
        <v>571</v>
      </c>
      <c r="V11" s="33" t="s">
        <v>571</v>
      </c>
      <c r="W11" s="33" t="s">
        <v>571</v>
      </c>
      <c r="X11" s="33" t="s">
        <v>571</v>
      </c>
      <c r="Y11" s="33" t="s">
        <v>571</v>
      </c>
      <c r="Z11" s="34">
        <v>33600.199999999997</v>
      </c>
      <c r="AA11" s="34">
        <v>0</v>
      </c>
      <c r="AB11" s="34">
        <v>98.334000000000003</v>
      </c>
      <c r="AC11" s="34">
        <v>0</v>
      </c>
      <c r="AE11" s="36">
        <f t="shared" si="7"/>
        <v>4.3553205011574954E-2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3">
      <c r="B12" s="47" t="s">
        <v>14</v>
      </c>
      <c r="J12" s="48">
        <f>AVERAGE(J5:J8)</f>
        <v>1.0474289285567311</v>
      </c>
      <c r="K12" s="48">
        <f>AVERAGE(K5:K8)</f>
        <v>0.14144029411843451</v>
      </c>
      <c r="L12" s="48">
        <f>AVERAGE(L5:L8)</f>
        <v>0.12904431098340596</v>
      </c>
      <c r="M12" s="48">
        <f>AVERAGE(M5:M8)</f>
        <v>0.90598863443829658</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3">
      <c r="B13" s="47" t="s">
        <v>15</v>
      </c>
      <c r="J13" s="48">
        <f>AVERAGE(J9:J9)</f>
        <v>1.5017735861337982</v>
      </c>
      <c r="K13" s="48">
        <f>AVERAGE(K9:K9)</f>
        <v>0.14676907389070051</v>
      </c>
      <c r="L13" s="48">
        <f>AVERAGE(L9:L9)</f>
        <v>0.13694154993734542</v>
      </c>
      <c r="M13" s="48">
        <f>AVERAGE(M9:M9)</f>
        <v>1.3550045122430976</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3">
      <c r="B14" s="47" t="s">
        <v>16</v>
      </c>
      <c r="J14" s="48">
        <f>AVERAGE(J10:J11)</f>
        <v>2.4481450060206438</v>
      </c>
      <c r="K14" s="48">
        <f>AVERAGE(K10:K11)</f>
        <v>0.27536833520525683</v>
      </c>
      <c r="L14" s="48">
        <f>AVERAGE(L10:L11)</f>
        <v>0.26181340669550457</v>
      </c>
      <c r="M14" s="48">
        <f>AVERAGE(M10:M11)</f>
        <v>2.1727766708153871</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3">
      <c r="B15" s="47" t="s">
        <v>17</v>
      </c>
      <c r="J15" s="48">
        <f>AVERAGE(J5:J11)</f>
        <v>1.5125399017717156</v>
      </c>
      <c r="K15" s="48">
        <f>AVERAGE(K5:K11)</f>
        <v>0.18046670296785031</v>
      </c>
      <c r="L15" s="48">
        <f>AVERAGE(L5:L11)</f>
        <v>0.16810651532313978</v>
      </c>
      <c r="M15" s="48">
        <f>AVERAGE(M5:M11)</f>
        <v>1.3320731988038654</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3">
      <c r="A16" s="47" t="s">
        <v>237</v>
      </c>
      <c r="B16" s="47" t="s">
        <v>238</v>
      </c>
      <c r="Z16" s="49">
        <f>SUM(Z5:Z8,Z9:Z9,Z10:Z11)</f>
        <v>111739.95</v>
      </c>
      <c r="AA16" s="49">
        <f>SUM(AA5:AA8,AA9:AA9,AA10:AA11)</f>
        <v>0</v>
      </c>
      <c r="AB16" s="49">
        <f>SUM(AB5:AB8,AB9:AB9,AB10:AB11)</f>
        <v>379.89100000000002</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3">
      <c r="B17" s="47" t="s">
        <v>239</v>
      </c>
      <c r="AW17" s="55">
        <f>AW16/Z16</f>
        <v>0</v>
      </c>
      <c r="AX17" s="55" t="e">
        <f>AX16/AA16</f>
        <v>#DIV/0!</v>
      </c>
      <c r="AY17" s="55">
        <f>AY16/AB16</f>
        <v>0</v>
      </c>
      <c r="AZ17" s="55" t="e">
        <f>AZ16/AC16</f>
        <v>#DIV/0!</v>
      </c>
    </row>
    <row r="18" spans="2:52" hidden="1" outlineLevel="2" x14ac:dyDescent="0.3">
      <c r="B18" s="47" t="s">
        <v>240</v>
      </c>
      <c r="Z18" s="49">
        <f>GEOMEAN(Z5:Z8,Z9:Z9,Z10:Z11)</f>
        <v>13166.48395651138</v>
      </c>
      <c r="AA18" s="49" t="e">
        <f>GEOMEAN(AA5:AA8,AA9:AA9,AA10:AA11)</f>
        <v>#NUM!</v>
      </c>
      <c r="AB18" s="49">
        <f>GEOMEAN(AB5:AB8,AB9:AB9,AB10:AB11)</f>
        <v>47.035302510428551</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3">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U47"/>
  <sheetViews>
    <sheetView zoomScale="55" zoomScaleNormal="55" workbookViewId="0">
      <pane xSplit="2" ySplit="4" topLeftCell="AM5" activePane="bottomRight" state="frozen"/>
      <selection pane="topRight" activeCell="C1" sqref="C1"/>
      <selection pane="bottomLeft" activeCell="A5" sqref="A5"/>
      <selection pane="bottomRight" activeCell="AN5" sqref="AN5:BC39"/>
    </sheetView>
  </sheetViews>
  <sheetFormatPr defaultRowHeight="14.4" outlineLevelRow="2" x14ac:dyDescent="0.3"/>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72" x14ac:dyDescent="0.3">
      <c r="A1" s="73" t="s">
        <v>573</v>
      </c>
      <c r="B1" s="61"/>
      <c r="C1" s="61"/>
      <c r="D1" s="61"/>
      <c r="E1" s="61"/>
      <c r="F1" s="61"/>
      <c r="G1" s="61"/>
      <c r="I1" s="69" t="str">
        <f>Summary!$C$1</f>
        <v>ALL_master+r130</v>
      </c>
      <c r="J1" s="61"/>
      <c r="K1" s="61"/>
      <c r="L1" s="61"/>
      <c r="M1" s="61"/>
      <c r="N1" s="61"/>
      <c r="O1" s="61"/>
      <c r="P1" s="61"/>
      <c r="Q1" s="61"/>
      <c r="R1" s="61"/>
      <c r="S1" s="61"/>
      <c r="T1" s="61"/>
      <c r="U1" s="61"/>
      <c r="V1" s="61"/>
      <c r="W1" s="61"/>
      <c r="X1" s="61"/>
      <c r="Y1" s="61"/>
      <c r="Z1" s="61"/>
      <c r="AA1" s="61"/>
      <c r="AB1" s="61"/>
      <c r="AC1" s="61"/>
      <c r="AD1" s="61"/>
      <c r="AE1" s="61"/>
      <c r="AG1" s="70">
        <f>Summary!$C$2</f>
        <v>0</v>
      </c>
      <c r="AH1" s="61"/>
      <c r="AI1" s="61"/>
      <c r="AJ1" s="61"/>
      <c r="AK1" s="61"/>
      <c r="AL1" s="61"/>
      <c r="AM1" s="61"/>
      <c r="AN1" s="61"/>
      <c r="AO1" s="61"/>
      <c r="AP1" s="61"/>
      <c r="AQ1" s="61"/>
      <c r="AR1" s="61"/>
      <c r="AS1" s="61"/>
      <c r="AT1" s="61"/>
      <c r="AU1" s="61"/>
      <c r="AV1" s="61"/>
      <c r="AW1" s="61"/>
      <c r="AX1" s="61"/>
      <c r="AY1" s="61"/>
      <c r="AZ1" s="61"/>
      <c r="BA1" s="61"/>
      <c r="BB1" s="61"/>
      <c r="BC1" s="61"/>
    </row>
    <row r="2" spans="1:72" ht="30" customHeight="1" x14ac:dyDescent="0.3">
      <c r="A2" s="75" t="s">
        <v>137</v>
      </c>
      <c r="B2" s="74" t="s">
        <v>138</v>
      </c>
      <c r="C2" s="75" t="s">
        <v>139</v>
      </c>
      <c r="D2" s="74" t="s">
        <v>140</v>
      </c>
      <c r="E2" s="75" t="s">
        <v>141</v>
      </c>
      <c r="F2" s="74" t="s">
        <v>142</v>
      </c>
      <c r="G2" s="75" t="s">
        <v>143</v>
      </c>
      <c r="I2" s="74" t="s">
        <v>144</v>
      </c>
      <c r="J2" s="72" t="s">
        <v>145</v>
      </c>
      <c r="K2" s="61"/>
      <c r="L2" s="61"/>
      <c r="M2" s="61"/>
      <c r="N2" s="75" t="s">
        <v>146</v>
      </c>
      <c r="O2" s="74" t="s">
        <v>147</v>
      </c>
      <c r="P2" s="75" t="s">
        <v>84</v>
      </c>
      <c r="Q2" s="74" t="s">
        <v>86</v>
      </c>
      <c r="R2" s="75" t="s">
        <v>82</v>
      </c>
      <c r="S2" s="71" t="s">
        <v>148</v>
      </c>
      <c r="T2" s="61"/>
      <c r="U2" s="61"/>
      <c r="V2" s="61"/>
      <c r="W2" s="72" t="s">
        <v>149</v>
      </c>
      <c r="X2" s="61"/>
      <c r="Y2" s="71" t="s">
        <v>150</v>
      </c>
      <c r="Z2" s="61"/>
      <c r="AA2" s="61"/>
      <c r="AB2" s="72" t="s">
        <v>151</v>
      </c>
      <c r="AC2" s="61"/>
      <c r="AD2" s="71" t="s">
        <v>152</v>
      </c>
      <c r="AE2" s="61"/>
      <c r="AG2" s="75" t="s">
        <v>144</v>
      </c>
      <c r="AH2" s="71" t="s">
        <v>145</v>
      </c>
      <c r="AI2" s="61"/>
      <c r="AJ2" s="61"/>
      <c r="AK2" s="61"/>
      <c r="AL2" s="74" t="s">
        <v>153</v>
      </c>
      <c r="AM2" s="75" t="s">
        <v>147</v>
      </c>
      <c r="AN2" s="74" t="s">
        <v>84</v>
      </c>
      <c r="AO2" s="75" t="s">
        <v>86</v>
      </c>
      <c r="AP2" s="74" t="s">
        <v>82</v>
      </c>
      <c r="AQ2" s="72" t="s">
        <v>148</v>
      </c>
      <c r="AR2" s="61"/>
      <c r="AS2" s="61"/>
      <c r="AT2" s="61"/>
      <c r="AU2" s="71" t="s">
        <v>149</v>
      </c>
      <c r="AV2" s="61"/>
      <c r="AW2" s="72" t="s">
        <v>150</v>
      </c>
      <c r="AX2" s="61"/>
      <c r="AY2" s="61"/>
      <c r="AZ2" s="71" t="s">
        <v>151</v>
      </c>
      <c r="BA2" s="61"/>
      <c r="BB2" s="72" t="s">
        <v>152</v>
      </c>
      <c r="BC2" s="61"/>
      <c r="BE2" s="74" t="s">
        <v>154</v>
      </c>
      <c r="BF2" s="75" t="s">
        <v>155</v>
      </c>
      <c r="BG2" s="74" t="s">
        <v>156</v>
      </c>
      <c r="BH2" s="75" t="s">
        <v>156</v>
      </c>
      <c r="BJ2" s="71" t="s">
        <v>5</v>
      </c>
      <c r="BK2" s="61"/>
      <c r="BL2" s="72" t="s">
        <v>6</v>
      </c>
      <c r="BM2" s="61"/>
      <c r="BN2" s="61"/>
      <c r="BP2" s="71" t="s">
        <v>7</v>
      </c>
      <c r="BQ2" s="61"/>
      <c r="BR2" s="72" t="s">
        <v>8</v>
      </c>
      <c r="BS2" s="61"/>
      <c r="BT2" s="61"/>
    </row>
    <row r="3" spans="1:72" x14ac:dyDescent="0.3">
      <c r="A3" s="63"/>
      <c r="B3" s="63"/>
      <c r="C3" s="63"/>
      <c r="D3" s="63"/>
      <c r="E3" s="63"/>
      <c r="F3" s="63"/>
      <c r="G3" s="63"/>
      <c r="I3" s="63"/>
      <c r="J3" s="56" t="s">
        <v>25</v>
      </c>
      <c r="K3" s="56" t="s">
        <v>23</v>
      </c>
      <c r="L3" s="56" t="s">
        <v>157</v>
      </c>
      <c r="M3" s="56" t="s">
        <v>158</v>
      </c>
      <c r="N3" s="63"/>
      <c r="O3" s="63"/>
      <c r="P3" s="63"/>
      <c r="Q3" s="63"/>
      <c r="R3" s="63"/>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3"/>
      <c r="AH3" s="57" t="s">
        <v>25</v>
      </c>
      <c r="AI3" s="57" t="s">
        <v>23</v>
      </c>
      <c r="AJ3" s="57" t="s">
        <v>157</v>
      </c>
      <c r="AK3" s="57" t="s">
        <v>158</v>
      </c>
      <c r="AL3" s="63"/>
      <c r="AM3" s="63"/>
      <c r="AN3" s="63"/>
      <c r="AO3" s="63"/>
      <c r="AP3" s="63"/>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3"/>
      <c r="BF3" s="63"/>
      <c r="BG3" s="63"/>
      <c r="BH3" s="63"/>
      <c r="BJ3" s="57" t="s">
        <v>9</v>
      </c>
      <c r="BK3" s="57" t="s">
        <v>10</v>
      </c>
      <c r="BL3" s="56" t="s">
        <v>11</v>
      </c>
      <c r="BM3" s="56" t="s">
        <v>12</v>
      </c>
      <c r="BN3" s="56" t="s">
        <v>13</v>
      </c>
      <c r="BP3" s="57" t="s">
        <v>9</v>
      </c>
      <c r="BQ3" s="57" t="s">
        <v>10</v>
      </c>
      <c r="BR3" s="56" t="s">
        <v>11</v>
      </c>
      <c r="BS3" s="56" t="s">
        <v>12</v>
      </c>
      <c r="BT3" s="56" t="s">
        <v>13</v>
      </c>
    </row>
    <row r="4" spans="1:72" ht="123" hidden="1" customHeight="1" x14ac:dyDescent="0.3">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3">
      <c r="A5" s="54" t="s">
        <v>229</v>
      </c>
      <c r="B5" s="54" t="s">
        <v>49</v>
      </c>
      <c r="C5" s="10" t="s">
        <v>230</v>
      </c>
      <c r="D5" s="54">
        <v>238146391</v>
      </c>
      <c r="E5" s="10">
        <v>10</v>
      </c>
      <c r="F5" s="10">
        <v>32</v>
      </c>
      <c r="G5" s="10">
        <v>30</v>
      </c>
      <c r="I5" s="11">
        <f t="shared" ref="I5:I39" si="0">IF(OR(ISBLANK(S5),ISBLANK(G5)),"·",S5*G5/F5/1000000)</f>
        <v>1.0493325</v>
      </c>
      <c r="J5" s="12">
        <f t="shared" ref="J5:J39" si="1">IF(ISBLANK(S5),"·",S5/D5)</f>
        <v>4.6999998416940112E-3</v>
      </c>
      <c r="K5" s="12">
        <f t="shared" ref="K5:K39" si="2">IF(N5="","·",N5/D5)</f>
        <v>4.1055083635510563E-3</v>
      </c>
      <c r="L5" s="12">
        <f t="shared" ref="L5:L39" si="3">IF(T5="","·",T5/D5)</f>
        <v>2.6158700007341282E-3</v>
      </c>
      <c r="M5" s="12">
        <f t="shared" ref="M5:M39" si="4">IF(ISBLANK(V5),"·",V5/D5)</f>
        <v>5.9449147814295453E-4</v>
      </c>
      <c r="N5" s="54">
        <f t="shared" ref="N5:N39" si="5">IF(OR(ISBLANK(T5),ISBLANK(U5)),"",T5+U5)</f>
        <v>977712</v>
      </c>
      <c r="O5" s="12">
        <v>16</v>
      </c>
      <c r="P5" s="13">
        <v>37882688</v>
      </c>
      <c r="Q5" s="13">
        <v>1183834</v>
      </c>
      <c r="R5" s="13">
        <v>452664.09375</v>
      </c>
      <c r="S5" s="14">
        <v>1119288</v>
      </c>
      <c r="T5" s="14">
        <v>622960</v>
      </c>
      <c r="U5" s="14">
        <v>354752</v>
      </c>
      <c r="V5" s="14">
        <v>141576</v>
      </c>
      <c r="W5" s="15">
        <v>66.486056250000004</v>
      </c>
      <c r="X5" s="15">
        <v>67.917574999999999</v>
      </c>
      <c r="Y5" s="15">
        <v>31.727884374999999</v>
      </c>
      <c r="Z5" s="15">
        <v>44.618315625000001</v>
      </c>
      <c r="AA5" s="15">
        <v>44.121162499999997</v>
      </c>
      <c r="AB5" s="16">
        <v>4457.04</v>
      </c>
      <c r="AC5" s="16">
        <v>0</v>
      </c>
      <c r="AD5" s="16">
        <v>64.918999999999997</v>
      </c>
      <c r="AE5" s="16">
        <v>0</v>
      </c>
      <c r="AG5" s="11">
        <f t="shared" ref="AG5:AG39" si="6">IF(OR(ISBLANK(AQ5),ISBLANK(G5)),"·",AQ5*G5/F5/1000000)</f>
        <v>1.131405</v>
      </c>
      <c r="AH5" s="12">
        <f t="shared" ref="AH5:AH39" si="7">IF(ISBLANK(AQ5),"·",AQ5/D5)</f>
        <v>5.067605664450317E-3</v>
      </c>
      <c r="AI5" s="12">
        <f t="shared" ref="AI5:AI39" si="8">IF(AL5="","·",AL5/D5)</f>
        <v>4.4111690947271172E-3</v>
      </c>
      <c r="AJ5" s="12">
        <f t="shared" ref="AJ5:AJ39" si="9">IF(AR5="","·",AR5/D5)</f>
        <v>2.7218552306341689E-3</v>
      </c>
      <c r="AK5" s="12">
        <f t="shared" ref="AK5:AK39" si="10">IF(ISBLANK(AT5),"·",AT5/D5)</f>
        <v>6.5643656972320019E-4</v>
      </c>
      <c r="AL5" s="54">
        <f t="shared" ref="AL5:AL39" si="11">IF(OR(ISBLANK(AR5),ISBLANK(AS5)),"",AR5+AS5)</f>
        <v>1050504</v>
      </c>
      <c r="AM5" s="12">
        <v>-12</v>
      </c>
      <c r="AN5" s="13">
        <v>37486752</v>
      </c>
      <c r="AO5" s="13">
        <v>1171461</v>
      </c>
      <c r="AP5" s="13">
        <v>447438.8125</v>
      </c>
      <c r="AQ5" s="14">
        <v>1206832</v>
      </c>
      <c r="AR5" s="14">
        <v>648200</v>
      </c>
      <c r="AS5" s="14">
        <v>402304</v>
      </c>
      <c r="AT5" s="14">
        <v>156328</v>
      </c>
      <c r="AU5" s="15">
        <v>66.602590625000005</v>
      </c>
      <c r="AV5" s="15">
        <v>68.069356249999998</v>
      </c>
      <c r="AW5" s="15">
        <v>31.657556249999999</v>
      </c>
      <c r="AX5" s="15">
        <v>44.50305625</v>
      </c>
      <c r="AY5" s="15">
        <v>44.004181250000002</v>
      </c>
      <c r="AZ5" s="16">
        <v>4028.12</v>
      </c>
      <c r="BA5" s="16">
        <v>0</v>
      </c>
      <c r="BB5" s="16">
        <v>64.22</v>
      </c>
      <c r="BC5" s="16">
        <v>0</v>
      </c>
      <c r="BE5" s="51">
        <f t="shared" ref="BE5:BE43" si="12">AI5/K5</f>
        <v>1.0744513721832196</v>
      </c>
      <c r="BF5" s="17">
        <f t="shared" ref="BF5:BF39" si="13">(AP5/AO5) - (R5/Q5)</f>
        <v>-4.2186781859837597E-4</v>
      </c>
      <c r="BG5" s="17">
        <f t="shared" ref="BG5:BG39" si="14">(AL5/AQ5) - (N5/S5)</f>
        <v>-3.0482898013577397E-3</v>
      </c>
      <c r="BH5" s="17">
        <f t="array" ref="BH5">AVERAGE(AL5:AL9/AQ5:AQ9) - AVERAGE(N5:N9/S5:S9)</f>
        <v>5.8295692427567936E-4</v>
      </c>
      <c r="BJ5" s="51">
        <f>IF( OR(ISBLANK(N5:N9),ISBLANK(AL5:AL9), ISBLANK(W5:W9),ISBLANK(AU5:AU9)), "·", bdRateExtend( N5:N9,W5:W9, AL5:AL9,AU5:AU9))</f>
        <v>6.688799710320037E-2</v>
      </c>
      <c r="BK5" s="51">
        <f>IF( OR(ISBLANK(N5:N9),ISBLANK(AL5:AL9), ISBLANK(X5:X9),ISBLANK(AV5:AV9)), "·", bdRateExtend( N5:N9,X5:X9, AL5:AL9,AV5:AV9))</f>
        <v>6.5524024190461772E-2</v>
      </c>
      <c r="BL5" s="51">
        <f>IF( OR(ISBLANK(V5:V9),ISBLANK(AT5:AT9), ISBLANK(Y5:Y9),ISBLANK(AW5:AW9)), "·", bdRateExtend( V5:V9,Y5:Y9, AT5:AT9,AW5:AW9))</f>
        <v>0.12858710130781414</v>
      </c>
      <c r="BM5" s="51">
        <f>IF( OR(ISBLANK(V5:V9),ISBLANK(AT5:AT9), ISBLANK(Z5:Z9),ISBLANK(AX5:AX9)), "·", bdRateExtend( V5:V9,Z5:Z9, AT5:AT9,AX5:AX9))</f>
        <v>0.14803781916838554</v>
      </c>
      <c r="BN5" s="51">
        <f>IF( OR(ISBLANK(V5:V9),ISBLANK(AT5:AT9), ISBLANK(AA5:AA9),ISBLANK(AY5:AY9)), "·", bdRateExtend( V5:V9,AA5:AA9, AT5:AT9,AY5:AY9))</f>
        <v>0.15505030896245264</v>
      </c>
      <c r="BP5" s="51">
        <f>IF( OR(ISBLANK(S5:S9),ISBLANK(AQ5:AQ9), ISBLANK(W5:W9),ISBLANK(AU5:AU9)), "·", bdRateExtend( S5:S9,W5:W9, AQ5:AQ9,AU5:AU9))</f>
        <v>5.4368720071538368E-2</v>
      </c>
      <c r="BQ5" s="51">
        <f>IF( OR(ISBLANK(S5:S9),ISBLANK(AQ5:AQ9), ISBLANK(X5:X9),ISBLANK(AV5:AV9)), "·", bdRateExtend( S5:S9,X5:X9, AQ5:AQ9,AV5:AV9))</f>
        <v>5.1810823131819284E-2</v>
      </c>
      <c r="BR5" s="51">
        <f>IF( OR(ISBLANK(S5:S9),ISBLANK(AQ5:AQ9), ISBLANK(Y5:Y9),ISBLANK(AW5:AW9)), "·", bdRateExtend( S5:S9,Y5:Y9, AQ5:AQ9,AW5:AW9))</f>
        <v>0.11383870694300002</v>
      </c>
      <c r="BS5" s="51">
        <f>IF( OR(ISBLANK(S5:S9),ISBLANK(AQ5:AQ9), ISBLANK(Z5:Z9),ISBLANK(AX5:AX9)), "·", bdRateExtend( S5:S9,Z5:Z9, AQ5:AQ9,AX5:AX9))</f>
        <v>0.12634003377528469</v>
      </c>
      <c r="BT5" s="51">
        <f>IF( OR(ISBLANK(S5:S9),ISBLANK(AQ5:AQ9), ISBLANK(AA5:AA9),ISBLANK(AY5:AY9)), "·", bdRateExtend( S5:S9,AA5:AA9, AQ5:AQ9,AY5:AY9))</f>
        <v>0.13666988248005407</v>
      </c>
    </row>
    <row r="6" spans="1:72" outlineLevel="1" x14ac:dyDescent="0.3">
      <c r="A6" s="18"/>
      <c r="B6" s="18" t="s">
        <v>49</v>
      </c>
      <c r="C6" s="19" t="s">
        <v>231</v>
      </c>
      <c r="D6" s="18">
        <v>238146391</v>
      </c>
      <c r="E6" s="19">
        <v>10</v>
      </c>
      <c r="F6" s="19">
        <v>32</v>
      </c>
      <c r="G6" s="19">
        <v>30</v>
      </c>
      <c r="I6" s="20">
        <f t="shared" si="0"/>
        <v>1.3570724999999999</v>
      </c>
      <c r="J6" s="21">
        <f t="shared" si="1"/>
        <v>6.0783789077030357E-3</v>
      </c>
      <c r="K6" s="21">
        <f t="shared" si="2"/>
        <v>4.9940038772202091E-3</v>
      </c>
      <c r="L6" s="21">
        <f t="shared" si="3"/>
        <v>3.5043655144032814E-3</v>
      </c>
      <c r="M6" s="21">
        <f t="shared" si="4"/>
        <v>1.084375030482826E-3</v>
      </c>
      <c r="N6" s="18">
        <f t="shared" si="5"/>
        <v>1189304</v>
      </c>
      <c r="O6" s="21">
        <v>16</v>
      </c>
      <c r="P6" s="22">
        <v>37882688</v>
      </c>
      <c r="Q6" s="22">
        <v>1183834</v>
      </c>
      <c r="R6" s="22">
        <v>422632.15625</v>
      </c>
      <c r="S6" s="23">
        <v>1447544</v>
      </c>
      <c r="T6" s="23">
        <v>834552</v>
      </c>
      <c r="U6" s="23">
        <v>354752</v>
      </c>
      <c r="V6" s="23">
        <v>258240</v>
      </c>
      <c r="W6" s="24">
        <v>67.964849999999998</v>
      </c>
      <c r="X6" s="24">
        <v>69.709143749999996</v>
      </c>
      <c r="Y6" s="24">
        <v>33.838262499999999</v>
      </c>
      <c r="Z6" s="24">
        <v>45.461978125000002</v>
      </c>
      <c r="AA6" s="24">
        <v>45.169328125</v>
      </c>
      <c r="AB6" s="25">
        <v>4675.59</v>
      </c>
      <c r="AC6" s="25">
        <v>0</v>
      </c>
      <c r="AD6" s="25">
        <v>66.304000000000002</v>
      </c>
      <c r="AE6" s="25">
        <v>0</v>
      </c>
      <c r="AG6" s="20">
        <f t="shared" si="6"/>
        <v>1.4705325</v>
      </c>
      <c r="AH6" s="21">
        <f t="shared" si="7"/>
        <v>6.5865705266975891E-3</v>
      </c>
      <c r="AI6" s="21">
        <f t="shared" si="8"/>
        <v>5.3834114160478709E-3</v>
      </c>
      <c r="AJ6" s="21">
        <f t="shared" si="9"/>
        <v>3.6940975519549235E-3</v>
      </c>
      <c r="AK6" s="21">
        <f t="shared" si="10"/>
        <v>1.203159110649718E-3</v>
      </c>
      <c r="AL6" s="18">
        <f t="shared" si="11"/>
        <v>1282040</v>
      </c>
      <c r="AM6" s="21">
        <v>-12</v>
      </c>
      <c r="AN6" s="22">
        <v>37486752</v>
      </c>
      <c r="AO6" s="22">
        <v>1171461</v>
      </c>
      <c r="AP6" s="22">
        <v>413406</v>
      </c>
      <c r="AQ6" s="23">
        <v>1568568</v>
      </c>
      <c r="AR6" s="23">
        <v>879736</v>
      </c>
      <c r="AS6" s="23">
        <v>402304</v>
      </c>
      <c r="AT6" s="23">
        <v>286528</v>
      </c>
      <c r="AU6" s="24">
        <v>68.122524999999996</v>
      </c>
      <c r="AV6" s="24">
        <v>69.909584374999994</v>
      </c>
      <c r="AW6" s="24">
        <v>33.745259375000003</v>
      </c>
      <c r="AX6" s="24">
        <v>45.367340624999997</v>
      </c>
      <c r="AY6" s="24">
        <v>45.0456</v>
      </c>
      <c r="AZ6" s="25">
        <v>4223.49</v>
      </c>
      <c r="BA6" s="25">
        <v>0</v>
      </c>
      <c r="BB6" s="25">
        <v>66.143000000000001</v>
      </c>
      <c r="BC6" s="25">
        <v>0</v>
      </c>
      <c r="BE6" s="50">
        <f t="shared" si="12"/>
        <v>1.0779750173210549</v>
      </c>
      <c r="BF6" s="26">
        <f t="shared" si="13"/>
        <v>-4.1050957084368678E-3</v>
      </c>
      <c r="BG6" s="26">
        <f t="shared" si="14"/>
        <v>-4.2698008874786364E-3</v>
      </c>
      <c r="BH6" s="26"/>
      <c r="BJ6" s="50"/>
      <c r="BK6" s="50"/>
      <c r="BL6" s="50"/>
      <c r="BM6" s="50"/>
      <c r="BN6" s="50"/>
      <c r="BP6" s="50"/>
      <c r="BQ6" s="50"/>
      <c r="BR6" s="50"/>
      <c r="BS6" s="50"/>
      <c r="BT6" s="50"/>
    </row>
    <row r="7" spans="1:72" outlineLevel="1" x14ac:dyDescent="0.3">
      <c r="A7" s="54"/>
      <c r="B7" s="54" t="s">
        <v>49</v>
      </c>
      <c r="C7" s="10" t="s">
        <v>232</v>
      </c>
      <c r="D7" s="54">
        <v>238146391</v>
      </c>
      <c r="E7" s="10">
        <v>10</v>
      </c>
      <c r="F7" s="10">
        <v>32</v>
      </c>
      <c r="G7" s="10">
        <v>30</v>
      </c>
      <c r="I7" s="11">
        <f t="shared" si="0"/>
        <v>1.851645</v>
      </c>
      <c r="J7" s="12">
        <f t="shared" si="1"/>
        <v>8.2935877873538712E-3</v>
      </c>
      <c r="K7" s="12">
        <f t="shared" si="2"/>
        <v>6.1129122884755367E-3</v>
      </c>
      <c r="L7" s="12">
        <f t="shared" si="3"/>
        <v>4.6232739256586086E-3</v>
      </c>
      <c r="M7" s="12">
        <f t="shared" si="4"/>
        <v>2.1806754988783349E-3</v>
      </c>
      <c r="N7" s="54">
        <f t="shared" si="5"/>
        <v>1455768</v>
      </c>
      <c r="O7" s="12">
        <v>16</v>
      </c>
      <c r="P7" s="13">
        <v>37882688</v>
      </c>
      <c r="Q7" s="13">
        <v>1183834</v>
      </c>
      <c r="R7" s="13">
        <v>417436.5625</v>
      </c>
      <c r="S7" s="14">
        <v>1975088</v>
      </c>
      <c r="T7" s="14">
        <v>1101016</v>
      </c>
      <c r="U7" s="14">
        <v>354752</v>
      </c>
      <c r="V7" s="14">
        <v>519320</v>
      </c>
      <c r="W7" s="15">
        <v>69.239725000000007</v>
      </c>
      <c r="X7" s="15">
        <v>71.251065624999995</v>
      </c>
      <c r="Y7" s="15">
        <v>36.189696875000003</v>
      </c>
      <c r="Z7" s="15">
        <v>46.801071874999998</v>
      </c>
      <c r="AA7" s="15">
        <v>46.433131250000002</v>
      </c>
      <c r="AB7" s="16">
        <v>4874.37</v>
      </c>
      <c r="AC7" s="16">
        <v>0</v>
      </c>
      <c r="AD7" s="16">
        <v>68.400000000000006</v>
      </c>
      <c r="AE7" s="16">
        <v>0</v>
      </c>
      <c r="AG7" s="11">
        <f t="shared" si="6"/>
        <v>2.0500500000000001</v>
      </c>
      <c r="AH7" s="12">
        <f t="shared" si="7"/>
        <v>9.182251264937288E-3</v>
      </c>
      <c r="AI7" s="12">
        <f t="shared" si="8"/>
        <v>6.7778478322604516E-3</v>
      </c>
      <c r="AJ7" s="12">
        <f t="shared" si="9"/>
        <v>5.0885339681675038E-3</v>
      </c>
      <c r="AK7" s="12">
        <f t="shared" si="10"/>
        <v>2.404403432676836E-3</v>
      </c>
      <c r="AL7" s="54">
        <f t="shared" si="11"/>
        <v>1614120</v>
      </c>
      <c r="AM7" s="12">
        <v>-12</v>
      </c>
      <c r="AN7" s="13">
        <v>37486752</v>
      </c>
      <c r="AO7" s="13">
        <v>1171461</v>
      </c>
      <c r="AP7" s="13">
        <v>406797.71875</v>
      </c>
      <c r="AQ7" s="14">
        <v>2186720</v>
      </c>
      <c r="AR7" s="14">
        <v>1211816</v>
      </c>
      <c r="AS7" s="14">
        <v>402304</v>
      </c>
      <c r="AT7" s="14">
        <v>572600</v>
      </c>
      <c r="AU7" s="15">
        <v>69.344853125</v>
      </c>
      <c r="AV7" s="15">
        <v>71.391309375000006</v>
      </c>
      <c r="AW7" s="15">
        <v>36.112806249999998</v>
      </c>
      <c r="AX7" s="15">
        <v>46.76491875</v>
      </c>
      <c r="AY7" s="15">
        <v>46.646212499999997</v>
      </c>
      <c r="AZ7" s="16">
        <v>4479.2299999999996</v>
      </c>
      <c r="BA7" s="16">
        <v>0</v>
      </c>
      <c r="BB7" s="16">
        <v>66.665999999999997</v>
      </c>
      <c r="BC7" s="16">
        <v>0</v>
      </c>
      <c r="BE7" s="51">
        <f t="shared" si="12"/>
        <v>1.1087755741299437</v>
      </c>
      <c r="BF7" s="17">
        <f t="shared" si="13"/>
        <v>-5.3573695320393577E-3</v>
      </c>
      <c r="BG7" s="17">
        <f t="shared" si="14"/>
        <v>1.0817504228736174E-3</v>
      </c>
      <c r="BH7" s="17"/>
      <c r="BJ7" s="51"/>
      <c r="BK7" s="51"/>
      <c r="BL7" s="51"/>
      <c r="BM7" s="51"/>
      <c r="BN7" s="51"/>
      <c r="BP7" s="51"/>
      <c r="BQ7" s="51"/>
      <c r="BR7" s="51"/>
      <c r="BS7" s="51"/>
      <c r="BT7" s="51"/>
    </row>
    <row r="8" spans="1:72" outlineLevel="1" x14ac:dyDescent="0.3">
      <c r="A8" s="18"/>
      <c r="B8" s="18" t="s">
        <v>49</v>
      </c>
      <c r="C8" s="19" t="s">
        <v>233</v>
      </c>
      <c r="D8" s="18">
        <v>238146391</v>
      </c>
      <c r="E8" s="19">
        <v>10</v>
      </c>
      <c r="F8" s="19">
        <v>32</v>
      </c>
      <c r="G8" s="19">
        <v>30</v>
      </c>
      <c r="I8" s="20">
        <f t="shared" si="0"/>
        <v>3.0701849999999999</v>
      </c>
      <c r="J8" s="21">
        <f t="shared" si="1"/>
        <v>1.3751474402986019E-2</v>
      </c>
      <c r="K8" s="21">
        <f t="shared" si="2"/>
        <v>8.8772287966354269E-3</v>
      </c>
      <c r="L8" s="21">
        <f t="shared" si="3"/>
        <v>7.3875904338184997E-3</v>
      </c>
      <c r="M8" s="21">
        <f t="shared" si="4"/>
        <v>4.8742456063505914E-3</v>
      </c>
      <c r="N8" s="18">
        <f t="shared" si="5"/>
        <v>2114080</v>
      </c>
      <c r="O8" s="21">
        <v>16</v>
      </c>
      <c r="P8" s="22">
        <v>37882688</v>
      </c>
      <c r="Q8" s="22">
        <v>1183834</v>
      </c>
      <c r="R8" s="22">
        <v>388490.3125</v>
      </c>
      <c r="S8" s="23">
        <v>3274864</v>
      </c>
      <c r="T8" s="23">
        <v>1759328</v>
      </c>
      <c r="U8" s="23">
        <v>354752</v>
      </c>
      <c r="V8" s="23">
        <v>1160784</v>
      </c>
      <c r="W8" s="24">
        <v>70.040637500000003</v>
      </c>
      <c r="X8" s="24">
        <v>72.193087500000004</v>
      </c>
      <c r="Y8" s="24">
        <v>38.678156250000001</v>
      </c>
      <c r="Z8" s="24">
        <v>48.113093749999997</v>
      </c>
      <c r="AA8" s="24">
        <v>48.120862500000001</v>
      </c>
      <c r="AB8" s="25">
        <v>5240.32</v>
      </c>
      <c r="AC8" s="25">
        <v>0</v>
      </c>
      <c r="AD8" s="25">
        <v>69.641000000000005</v>
      </c>
      <c r="AE8" s="25">
        <v>0</v>
      </c>
      <c r="AG8" s="20">
        <f t="shared" si="6"/>
        <v>3.4120200000000001</v>
      </c>
      <c r="AH8" s="21">
        <f t="shared" si="7"/>
        <v>1.5282566259843089E-2</v>
      </c>
      <c r="AI8" s="21">
        <f t="shared" si="8"/>
        <v>9.9219979361350047E-3</v>
      </c>
      <c r="AJ8" s="21">
        <f t="shared" si="9"/>
        <v>8.2326840720420569E-3</v>
      </c>
      <c r="AK8" s="21">
        <f t="shared" si="10"/>
        <v>5.3605683237080842E-3</v>
      </c>
      <c r="AL8" s="18">
        <f t="shared" si="11"/>
        <v>2362888</v>
      </c>
      <c r="AM8" s="21">
        <v>-12</v>
      </c>
      <c r="AN8" s="22">
        <v>37486752</v>
      </c>
      <c r="AO8" s="22">
        <v>1171461</v>
      </c>
      <c r="AP8" s="22">
        <v>379562.625</v>
      </c>
      <c r="AQ8" s="23">
        <v>3639488</v>
      </c>
      <c r="AR8" s="23">
        <v>1960584</v>
      </c>
      <c r="AS8" s="23">
        <v>402304</v>
      </c>
      <c r="AT8" s="23">
        <v>1276600</v>
      </c>
      <c r="AU8" s="24">
        <v>70.177240624999996</v>
      </c>
      <c r="AV8" s="24">
        <v>72.373087499999997</v>
      </c>
      <c r="AW8" s="24">
        <v>38.610843750000001</v>
      </c>
      <c r="AX8" s="24">
        <v>48.036112500000002</v>
      </c>
      <c r="AY8" s="24">
        <v>47.883628125000001</v>
      </c>
      <c r="AZ8" s="25">
        <v>4758.28</v>
      </c>
      <c r="BA8" s="25">
        <v>0</v>
      </c>
      <c r="BB8" s="25">
        <v>69.221999999999994</v>
      </c>
      <c r="BC8" s="25">
        <v>0</v>
      </c>
      <c r="BE8" s="50">
        <f t="shared" si="12"/>
        <v>1.1176909104669643</v>
      </c>
      <c r="BF8" s="26">
        <f t="shared" si="13"/>
        <v>-4.154921792320021E-3</v>
      </c>
      <c r="BG8" s="26">
        <f t="shared" si="14"/>
        <v>3.6889579533236905E-3</v>
      </c>
      <c r="BH8" s="26"/>
      <c r="BJ8" s="50"/>
      <c r="BK8" s="50"/>
      <c r="BL8" s="50"/>
      <c r="BM8" s="50"/>
      <c r="BN8" s="50"/>
      <c r="BP8" s="50"/>
      <c r="BQ8" s="50"/>
      <c r="BR8" s="50"/>
      <c r="BS8" s="50"/>
      <c r="BT8" s="50"/>
    </row>
    <row r="9" spans="1:72" outlineLevel="1" x14ac:dyDescent="0.3">
      <c r="A9" s="54"/>
      <c r="B9" s="27" t="s">
        <v>49</v>
      </c>
      <c r="C9" s="28" t="s">
        <v>234</v>
      </c>
      <c r="D9" s="27">
        <v>238146391</v>
      </c>
      <c r="E9" s="28">
        <v>10</v>
      </c>
      <c r="F9" s="28">
        <v>32</v>
      </c>
      <c r="G9" s="28">
        <v>30</v>
      </c>
      <c r="I9" s="29">
        <f t="shared" si="0"/>
        <v>6.2799899999999997</v>
      </c>
      <c r="J9" s="30">
        <f t="shared" si="1"/>
        <v>2.8128312051556557E-2</v>
      </c>
      <c r="K9" s="30">
        <f t="shared" si="2"/>
        <v>1.554899062064728E-2</v>
      </c>
      <c r="L9" s="30">
        <f t="shared" si="3"/>
        <v>1.2144698006361978E-2</v>
      </c>
      <c r="M9" s="30">
        <f t="shared" si="4"/>
        <v>1.2579321430909276E-2</v>
      </c>
      <c r="N9" s="27">
        <f t="shared" si="5"/>
        <v>3702936</v>
      </c>
      <c r="O9" s="30">
        <v>16</v>
      </c>
      <c r="P9" s="31">
        <v>36276640</v>
      </c>
      <c r="Q9" s="31">
        <v>1133645</v>
      </c>
      <c r="R9" s="31">
        <v>362548.65625</v>
      </c>
      <c r="S9" s="32">
        <v>6698656</v>
      </c>
      <c r="T9" s="32">
        <v>2892216</v>
      </c>
      <c r="U9" s="32">
        <v>810720</v>
      </c>
      <c r="V9" s="32">
        <v>2995720</v>
      </c>
      <c r="W9" s="33">
        <v>72.052743750000005</v>
      </c>
      <c r="X9" s="33">
        <v>75.291812500000006</v>
      </c>
      <c r="Y9" s="33">
        <v>41.209303124999998</v>
      </c>
      <c r="Z9" s="33">
        <v>49.610434374999997</v>
      </c>
      <c r="AA9" s="33">
        <v>49.766831250000003</v>
      </c>
      <c r="AB9" s="34">
        <v>5677.37</v>
      </c>
      <c r="AC9" s="34">
        <v>0</v>
      </c>
      <c r="AD9" s="34">
        <v>69.094999999999999</v>
      </c>
      <c r="AE9" s="34">
        <v>0</v>
      </c>
      <c r="AG9" s="29">
        <f t="shared" si="6"/>
        <v>6.8562149999999997</v>
      </c>
      <c r="AH9" s="30">
        <f t="shared" si="7"/>
        <v>3.0709245558123953E-2</v>
      </c>
      <c r="AI9" s="30">
        <f t="shared" si="8"/>
        <v>1.7143438465964406E-2</v>
      </c>
      <c r="AJ9" s="30">
        <f t="shared" si="9"/>
        <v>1.3155941548574633E-2</v>
      </c>
      <c r="AK9" s="30">
        <f t="shared" si="10"/>
        <v>1.3565807092159545E-2</v>
      </c>
      <c r="AL9" s="27">
        <f t="shared" si="11"/>
        <v>4082648</v>
      </c>
      <c r="AM9" s="30">
        <v>-12</v>
      </c>
      <c r="AN9" s="31">
        <v>36019496</v>
      </c>
      <c r="AO9" s="31">
        <v>1125609.25</v>
      </c>
      <c r="AP9" s="31">
        <v>355924.59375</v>
      </c>
      <c r="AQ9" s="32">
        <v>7313296</v>
      </c>
      <c r="AR9" s="32">
        <v>3133040</v>
      </c>
      <c r="AS9" s="32">
        <v>949608</v>
      </c>
      <c r="AT9" s="32">
        <v>3230648</v>
      </c>
      <c r="AU9" s="33">
        <v>71.996034374999994</v>
      </c>
      <c r="AV9" s="33">
        <v>75.259834374999997</v>
      </c>
      <c r="AW9" s="33">
        <v>41.139800000000001</v>
      </c>
      <c r="AX9" s="33">
        <v>49.571024999999999</v>
      </c>
      <c r="AY9" s="33">
        <v>49.615778124999999</v>
      </c>
      <c r="AZ9" s="34">
        <v>5221.8999999999996</v>
      </c>
      <c r="BA9" s="34">
        <v>0</v>
      </c>
      <c r="BB9" s="34">
        <v>69.385000000000005</v>
      </c>
      <c r="BC9" s="34">
        <v>0</v>
      </c>
      <c r="BE9" s="35">
        <f t="shared" si="12"/>
        <v>1.1025434952156883</v>
      </c>
      <c r="BF9" s="36">
        <f t="shared" si="13"/>
        <v>-3.6017525253894123E-3</v>
      </c>
      <c r="BG9" s="36">
        <f t="shared" si="14"/>
        <v>5.4621669340170209E-3</v>
      </c>
      <c r="BH9" s="36"/>
      <c r="BJ9" s="35"/>
      <c r="BK9" s="35"/>
      <c r="BL9" s="35"/>
      <c r="BM9" s="35"/>
      <c r="BN9" s="35"/>
      <c r="BP9" s="35"/>
      <c r="BQ9" s="35"/>
      <c r="BR9" s="35"/>
      <c r="BS9" s="35"/>
      <c r="BT9" s="35"/>
    </row>
    <row r="10" spans="1:72" x14ac:dyDescent="0.3">
      <c r="A10" s="18"/>
      <c r="B10" s="18" t="s">
        <v>57</v>
      </c>
      <c r="C10" s="19" t="s">
        <v>230</v>
      </c>
      <c r="D10" s="18">
        <v>218121242</v>
      </c>
      <c r="E10" s="19">
        <v>10</v>
      </c>
      <c r="F10" s="19">
        <v>32</v>
      </c>
      <c r="G10" s="19">
        <v>30</v>
      </c>
      <c r="I10" s="20">
        <f t="shared" si="0"/>
        <v>1.9540200000000001</v>
      </c>
      <c r="J10" s="21">
        <f t="shared" si="1"/>
        <v>9.5556397024366847E-3</v>
      </c>
      <c r="K10" s="21">
        <f t="shared" si="2"/>
        <v>7.1496383648869928E-3</v>
      </c>
      <c r="L10" s="21">
        <f t="shared" si="3"/>
        <v>4.1387990996310207E-3</v>
      </c>
      <c r="M10" s="21">
        <f t="shared" si="4"/>
        <v>2.4060013375496918E-3</v>
      </c>
      <c r="N10" s="18">
        <f t="shared" si="5"/>
        <v>1559488</v>
      </c>
      <c r="O10" s="21">
        <v>16</v>
      </c>
      <c r="P10" s="22">
        <v>33275520</v>
      </c>
      <c r="Q10" s="22">
        <v>1039860</v>
      </c>
      <c r="R10" s="22">
        <v>389647.71875</v>
      </c>
      <c r="S10" s="23">
        <v>2084288</v>
      </c>
      <c r="T10" s="23">
        <v>902760</v>
      </c>
      <c r="U10" s="23">
        <v>656728</v>
      </c>
      <c r="V10" s="23">
        <v>524800</v>
      </c>
      <c r="W10" s="24">
        <v>65.654512499999996</v>
      </c>
      <c r="X10" s="24">
        <v>67.048071875000005</v>
      </c>
      <c r="Y10" s="24">
        <v>30.996034375000001</v>
      </c>
      <c r="Z10" s="24">
        <v>38.710440624999997</v>
      </c>
      <c r="AA10" s="24">
        <v>30.106943749999999</v>
      </c>
      <c r="AB10" s="25">
        <v>5231.62</v>
      </c>
      <c r="AC10" s="25">
        <v>0</v>
      </c>
      <c r="AD10" s="25">
        <v>60.213000000000001</v>
      </c>
      <c r="AE10" s="25">
        <v>0</v>
      </c>
      <c r="AG10" s="20">
        <f t="shared" si="6"/>
        <v>1.998075</v>
      </c>
      <c r="AH10" s="21">
        <f t="shared" si="7"/>
        <v>9.7710795173264232E-3</v>
      </c>
      <c r="AI10" s="21">
        <f t="shared" si="8"/>
        <v>7.3595399754784081E-3</v>
      </c>
      <c r="AJ10" s="21">
        <f t="shared" si="9"/>
        <v>4.2074948390400232E-3</v>
      </c>
      <c r="AK10" s="21">
        <f t="shared" si="10"/>
        <v>2.4115395418480151E-3</v>
      </c>
      <c r="AL10" s="18">
        <f t="shared" si="11"/>
        <v>1605272</v>
      </c>
      <c r="AM10" s="21">
        <v>-12</v>
      </c>
      <c r="AN10" s="22">
        <v>32891040</v>
      </c>
      <c r="AO10" s="22">
        <v>1027845</v>
      </c>
      <c r="AP10" s="22">
        <v>378837.625</v>
      </c>
      <c r="AQ10" s="23">
        <v>2131280</v>
      </c>
      <c r="AR10" s="23">
        <v>917744</v>
      </c>
      <c r="AS10" s="23">
        <v>687528</v>
      </c>
      <c r="AT10" s="23">
        <v>526008</v>
      </c>
      <c r="AU10" s="24">
        <v>65.708681249999998</v>
      </c>
      <c r="AV10" s="24">
        <v>67.119290625000005</v>
      </c>
      <c r="AW10" s="24">
        <v>30.984559375</v>
      </c>
      <c r="AX10" s="24">
        <v>38.715000000000003</v>
      </c>
      <c r="AY10" s="24">
        <v>30.059806250000001</v>
      </c>
      <c r="AZ10" s="25">
        <v>4737.3900000000003</v>
      </c>
      <c r="BA10" s="25">
        <v>0</v>
      </c>
      <c r="BB10" s="25">
        <v>60.515999999999998</v>
      </c>
      <c r="BC10" s="25">
        <v>0</v>
      </c>
      <c r="BE10" s="50">
        <f t="shared" si="12"/>
        <v>1.0293583535108959</v>
      </c>
      <c r="BF10" s="26">
        <f t="shared" si="13"/>
        <v>-6.13704649482405E-3</v>
      </c>
      <c r="BG10" s="26">
        <f t="shared" si="14"/>
        <v>4.9848217263892547E-3</v>
      </c>
      <c r="BH10" s="26">
        <f t="array" ref="BH10">AVERAGE(AL10:AL14/AQ10:AQ14) - AVERAGE(N10:N14/S10:S14)</f>
        <v>7.5478634020542668E-3</v>
      </c>
      <c r="BJ10" s="50">
        <f>IF( OR(ISBLANK(N10:N14),ISBLANK(AL10:AL14), ISBLANK(W10:W14),ISBLANK(AU10:AU14)), "·", bdRateExtend( N10:N14,W10:W14, AL10:AL14,AU10:AU14))</f>
        <v>2.4713406729014897E-2</v>
      </c>
      <c r="BK10" s="50">
        <f>IF( OR(ISBLANK(N10:N14),ISBLANK(AL10:AL14), ISBLANK(X10:X14),ISBLANK(AV10:AV14)), "·", bdRateExtend( N10:N14,X10:X14, AL10:AL14,AV10:AV14))</f>
        <v>2.6508558230694979E-2</v>
      </c>
      <c r="BL10" s="50">
        <f>IF( OR(ISBLANK(V10:V14),ISBLANK(AT10:AT14), ISBLANK(Y10:Y14),ISBLANK(AW10:AW14)), "·", bdRateExtend( V10:V14,Y10:Y14, AT10:AT14,AW10:AW14))</f>
        <v>2.1756450680331607E-2</v>
      </c>
      <c r="BM10" s="50">
        <f>IF( OR(ISBLANK(V10:V14),ISBLANK(AT10:AT14), ISBLANK(Z10:Z14),ISBLANK(AX10:AX14)), "·", bdRateExtend( V10:V14,Z10:Z14, AT10:AT14,AX10:AX14))</f>
        <v>5.8482133720239027E-3</v>
      </c>
      <c r="BN10" s="50">
        <f>IF( OR(ISBLANK(V10:V14),ISBLANK(AT10:AT14), ISBLANK(AA10:AA14),ISBLANK(AY10:AY14)), "·", bdRateExtend( V10:V14,AA10:AA14, AT10:AT14,AY10:AY14))</f>
        <v>1.8138532123333162E-2</v>
      </c>
      <c r="BP10" s="50">
        <f>IF( OR(ISBLANK(S10:S14),ISBLANK(AQ10:AQ14), ISBLANK(W10:W14),ISBLANK(AU10:AU14)), "·", bdRateExtend( S10:S14,W10:W14, AQ10:AQ14,AU10:AU14))</f>
        <v>2.5053932910443777E-3</v>
      </c>
      <c r="BQ10" s="50">
        <f>IF( OR(ISBLANK(S10:S14),ISBLANK(AQ10:AQ14), ISBLANK(X10:X14),ISBLANK(AV10:AV14)), "·", bdRateExtend( S10:S14,X10:X14, AQ10:AQ14,AV10:AV14))</f>
        <v>5.0685373258372302E-3</v>
      </c>
      <c r="BR10" s="50">
        <f>IF( OR(ISBLANK(S10:S14),ISBLANK(AQ10:AQ14), ISBLANK(Y10:Y14),ISBLANK(AW10:AW14)), "·", bdRateExtend( S10:S14,Y10:Y14, AQ10:AQ14,AW10:AW14))</f>
        <v>3.7954463684682027E-2</v>
      </c>
      <c r="BS10" s="50">
        <f>IF( OR(ISBLANK(S10:S14),ISBLANK(AQ10:AQ14), ISBLANK(Z10:Z14),ISBLANK(AX10:AX14)), "·", bdRateExtend( S10:S14,Z10:Z14, AQ10:AQ14,AX10:AX14))</f>
        <v>2.5835733674020922E-2</v>
      </c>
      <c r="BT10" s="50">
        <f>IF( OR(ISBLANK(S10:S14),ISBLANK(AQ10:AQ14), ISBLANK(AA10:AA14),ISBLANK(AY10:AY14)), "·", bdRateExtend( S10:S14,AA10:AA14, AQ10:AQ14,AY10:AY14))</f>
        <v>3.4472485769331263E-2</v>
      </c>
    </row>
    <row r="11" spans="1:72" outlineLevel="1" x14ac:dyDescent="0.3">
      <c r="A11" s="54"/>
      <c r="B11" s="54" t="s">
        <v>57</v>
      </c>
      <c r="C11" s="10" t="s">
        <v>231</v>
      </c>
      <c r="D11" s="54">
        <v>218121242</v>
      </c>
      <c r="E11" s="10">
        <v>10</v>
      </c>
      <c r="F11" s="10">
        <v>32</v>
      </c>
      <c r="G11" s="10">
        <v>30</v>
      </c>
      <c r="I11" s="11">
        <f t="shared" si="0"/>
        <v>2.6736374999999999</v>
      </c>
      <c r="J11" s="12">
        <f t="shared" si="1"/>
        <v>1.3074746750250029E-2</v>
      </c>
      <c r="K11" s="12">
        <f t="shared" si="2"/>
        <v>8.8020771493681482E-3</v>
      </c>
      <c r="L11" s="12">
        <f t="shared" si="3"/>
        <v>5.7912378841121761E-3</v>
      </c>
      <c r="M11" s="12">
        <f t="shared" si="4"/>
        <v>4.2726696008818805E-3</v>
      </c>
      <c r="N11" s="54">
        <f t="shared" si="5"/>
        <v>1919920</v>
      </c>
      <c r="O11" s="12">
        <v>16</v>
      </c>
      <c r="P11" s="13">
        <v>33275520</v>
      </c>
      <c r="Q11" s="13">
        <v>1039860</v>
      </c>
      <c r="R11" s="13">
        <v>355984.65625</v>
      </c>
      <c r="S11" s="14">
        <v>2851880</v>
      </c>
      <c r="T11" s="14">
        <v>1263192</v>
      </c>
      <c r="U11" s="14">
        <v>656728</v>
      </c>
      <c r="V11" s="14">
        <v>931960</v>
      </c>
      <c r="W11" s="15">
        <v>67.054850000000002</v>
      </c>
      <c r="X11" s="15">
        <v>68.750818749999993</v>
      </c>
      <c r="Y11" s="15">
        <v>32.837315625000002</v>
      </c>
      <c r="Z11" s="15">
        <v>39.672103125</v>
      </c>
      <c r="AA11" s="15">
        <v>32.240868749999997</v>
      </c>
      <c r="AB11" s="16">
        <v>5523.07</v>
      </c>
      <c r="AC11" s="16">
        <v>0</v>
      </c>
      <c r="AD11" s="16">
        <v>64.183999999999997</v>
      </c>
      <c r="AE11" s="16">
        <v>0</v>
      </c>
      <c r="AG11" s="11">
        <f t="shared" si="6"/>
        <v>2.7468149999999998</v>
      </c>
      <c r="AH11" s="12">
        <f t="shared" si="7"/>
        <v>1.3432602772360887E-2</v>
      </c>
      <c r="AI11" s="12">
        <f t="shared" si="8"/>
        <v>9.1202854969989582E-3</v>
      </c>
      <c r="AJ11" s="12">
        <f t="shared" si="9"/>
        <v>5.9682403605605732E-3</v>
      </c>
      <c r="AK11" s="12">
        <f t="shared" si="10"/>
        <v>4.312317275361929E-3</v>
      </c>
      <c r="AL11" s="54">
        <f t="shared" si="11"/>
        <v>1989328</v>
      </c>
      <c r="AM11" s="12">
        <v>-12</v>
      </c>
      <c r="AN11" s="13">
        <v>32891040</v>
      </c>
      <c r="AO11" s="13">
        <v>1027845</v>
      </c>
      <c r="AP11" s="13">
        <v>344052.40625</v>
      </c>
      <c r="AQ11" s="14">
        <v>2929936</v>
      </c>
      <c r="AR11" s="14">
        <v>1301800</v>
      </c>
      <c r="AS11" s="14">
        <v>687528</v>
      </c>
      <c r="AT11" s="14">
        <v>940608</v>
      </c>
      <c r="AU11" s="15">
        <v>67.125212500000004</v>
      </c>
      <c r="AV11" s="15">
        <v>68.837074999999999</v>
      </c>
      <c r="AW11" s="15">
        <v>32.799396874999999</v>
      </c>
      <c r="AX11" s="15">
        <v>39.639378125</v>
      </c>
      <c r="AY11" s="15">
        <v>32.196528125</v>
      </c>
      <c r="AZ11" s="16">
        <v>5034.74</v>
      </c>
      <c r="BA11" s="16">
        <v>0</v>
      </c>
      <c r="BB11" s="16">
        <v>62.469000000000001</v>
      </c>
      <c r="BC11" s="16">
        <v>0</v>
      </c>
      <c r="BE11" s="51">
        <f t="shared" si="12"/>
        <v>1.0361515063127631</v>
      </c>
      <c r="BF11" s="17">
        <f t="shared" si="13"/>
        <v>-7.6072235026139468E-3</v>
      </c>
      <c r="BG11" s="17">
        <f t="shared" si="14"/>
        <v>5.7543098925657565E-3</v>
      </c>
      <c r="BH11" s="17"/>
      <c r="BJ11" s="51"/>
      <c r="BK11" s="51"/>
      <c r="BL11" s="51"/>
      <c r="BM11" s="51"/>
      <c r="BN11" s="51"/>
      <c r="BP11" s="51"/>
      <c r="BQ11" s="51"/>
      <c r="BR11" s="51"/>
      <c r="BS11" s="51"/>
      <c r="BT11" s="51"/>
    </row>
    <row r="12" spans="1:72" outlineLevel="1" x14ac:dyDescent="0.3">
      <c r="A12" s="18"/>
      <c r="B12" s="18" t="s">
        <v>57</v>
      </c>
      <c r="C12" s="19" t="s">
        <v>232</v>
      </c>
      <c r="D12" s="18">
        <v>218121242</v>
      </c>
      <c r="E12" s="19">
        <v>10</v>
      </c>
      <c r="F12" s="19">
        <v>32</v>
      </c>
      <c r="G12" s="19">
        <v>30</v>
      </c>
      <c r="I12" s="20">
        <f t="shared" si="0"/>
        <v>3.8187600000000002</v>
      </c>
      <c r="J12" s="21">
        <f t="shared" si="1"/>
        <v>1.8674678186547278E-2</v>
      </c>
      <c r="K12" s="21">
        <f t="shared" si="2"/>
        <v>1.1291665027287897E-2</v>
      </c>
      <c r="L12" s="21">
        <f t="shared" si="3"/>
        <v>8.2808257620319257E-3</v>
      </c>
      <c r="M12" s="21">
        <f t="shared" si="4"/>
        <v>7.3830131592593808E-3</v>
      </c>
      <c r="N12" s="18">
        <f t="shared" si="5"/>
        <v>2462952</v>
      </c>
      <c r="O12" s="21">
        <v>16</v>
      </c>
      <c r="P12" s="22">
        <v>33275520</v>
      </c>
      <c r="Q12" s="22">
        <v>1039860</v>
      </c>
      <c r="R12" s="22">
        <v>347869.28125</v>
      </c>
      <c r="S12" s="23">
        <v>4073344</v>
      </c>
      <c r="T12" s="23">
        <v>1806224</v>
      </c>
      <c r="U12" s="23">
        <v>656728</v>
      </c>
      <c r="V12" s="23">
        <v>1610392</v>
      </c>
      <c r="W12" s="24">
        <v>68.28623125</v>
      </c>
      <c r="X12" s="24">
        <v>70.254759375000006</v>
      </c>
      <c r="Y12" s="24">
        <v>34.857121874999997</v>
      </c>
      <c r="Z12" s="24">
        <v>40.615321874999999</v>
      </c>
      <c r="AA12" s="24">
        <v>34.138071875000001</v>
      </c>
      <c r="AB12" s="25">
        <v>5742.21</v>
      </c>
      <c r="AC12" s="25">
        <v>0</v>
      </c>
      <c r="AD12" s="25">
        <v>64.494</v>
      </c>
      <c r="AE12" s="25">
        <v>0</v>
      </c>
      <c r="AG12" s="20">
        <f t="shared" si="6"/>
        <v>3.9149250000000002</v>
      </c>
      <c r="AH12" s="21">
        <f t="shared" si="7"/>
        <v>1.9144948752859201E-2</v>
      </c>
      <c r="AI12" s="21">
        <f t="shared" si="8"/>
        <v>1.1704793061833014E-2</v>
      </c>
      <c r="AJ12" s="21">
        <f t="shared" si="9"/>
        <v>8.5527479253946301E-3</v>
      </c>
      <c r="AK12" s="21">
        <f t="shared" si="10"/>
        <v>7.4401556910261863E-3</v>
      </c>
      <c r="AL12" s="18">
        <f t="shared" si="11"/>
        <v>2553064</v>
      </c>
      <c r="AM12" s="21">
        <v>-12</v>
      </c>
      <c r="AN12" s="22">
        <v>32891040</v>
      </c>
      <c r="AO12" s="22">
        <v>1027845</v>
      </c>
      <c r="AP12" s="22">
        <v>336719.875</v>
      </c>
      <c r="AQ12" s="23">
        <v>4175920</v>
      </c>
      <c r="AR12" s="23">
        <v>1865536</v>
      </c>
      <c r="AS12" s="23">
        <v>687528</v>
      </c>
      <c r="AT12" s="23">
        <v>1622856</v>
      </c>
      <c r="AU12" s="24">
        <v>68.351624999999999</v>
      </c>
      <c r="AV12" s="24">
        <v>70.340490625000001</v>
      </c>
      <c r="AW12" s="24">
        <v>34.785465625000001</v>
      </c>
      <c r="AX12" s="24">
        <v>40.642503124999998</v>
      </c>
      <c r="AY12" s="24">
        <v>34.075453125000003</v>
      </c>
      <c r="AZ12" s="25">
        <v>5310.18</v>
      </c>
      <c r="BA12" s="25">
        <v>0</v>
      </c>
      <c r="BB12" s="25">
        <v>63.058999999999997</v>
      </c>
      <c r="BC12" s="25">
        <v>0</v>
      </c>
      <c r="BE12" s="50">
        <f t="shared" si="12"/>
        <v>1.0365869899210378</v>
      </c>
      <c r="BF12" s="26">
        <f t="shared" si="13"/>
        <v>-6.9368158669135815E-3</v>
      </c>
      <c r="BG12" s="26">
        <f t="shared" si="14"/>
        <v>6.7264954813915923E-3</v>
      </c>
      <c r="BH12" s="26"/>
      <c r="BJ12" s="50"/>
      <c r="BK12" s="50"/>
      <c r="BL12" s="50"/>
      <c r="BM12" s="50"/>
      <c r="BN12" s="50"/>
      <c r="BP12" s="50"/>
      <c r="BQ12" s="50"/>
      <c r="BR12" s="50"/>
      <c r="BS12" s="50"/>
      <c r="BT12" s="50"/>
    </row>
    <row r="13" spans="1:72" outlineLevel="1" x14ac:dyDescent="0.3">
      <c r="A13" s="54"/>
      <c r="B13" s="54" t="s">
        <v>57</v>
      </c>
      <c r="C13" s="10" t="s">
        <v>233</v>
      </c>
      <c r="D13" s="54">
        <v>218121242</v>
      </c>
      <c r="E13" s="10">
        <v>10</v>
      </c>
      <c r="F13" s="10">
        <v>32</v>
      </c>
      <c r="G13" s="10">
        <v>30</v>
      </c>
      <c r="I13" s="11">
        <f t="shared" si="0"/>
        <v>6.2066175000000001</v>
      </c>
      <c r="J13" s="12">
        <f t="shared" si="1"/>
        <v>3.035189025743765E-2</v>
      </c>
      <c r="K13" s="12">
        <f t="shared" si="2"/>
        <v>1.5894389598240046E-2</v>
      </c>
      <c r="L13" s="12">
        <f t="shared" si="3"/>
        <v>1.2883550332984075E-2</v>
      </c>
      <c r="M13" s="12">
        <f t="shared" si="4"/>
        <v>1.4457500659197604E-2</v>
      </c>
      <c r="N13" s="54">
        <f t="shared" si="5"/>
        <v>3466904</v>
      </c>
      <c r="O13" s="12">
        <v>16</v>
      </c>
      <c r="P13" s="13">
        <v>33275520</v>
      </c>
      <c r="Q13" s="13">
        <v>1039860</v>
      </c>
      <c r="R13" s="13">
        <v>325056.59375</v>
      </c>
      <c r="S13" s="14">
        <v>6620392</v>
      </c>
      <c r="T13" s="14">
        <v>2810176</v>
      </c>
      <c r="U13" s="14">
        <v>656728</v>
      </c>
      <c r="V13" s="14">
        <v>3153488</v>
      </c>
      <c r="W13" s="15">
        <v>69.082806250000004</v>
      </c>
      <c r="X13" s="15">
        <v>71.193509375000005</v>
      </c>
      <c r="Y13" s="15">
        <v>37.057437499999999</v>
      </c>
      <c r="Z13" s="15">
        <v>41.696553125000001</v>
      </c>
      <c r="AA13" s="15">
        <v>36.088562500000002</v>
      </c>
      <c r="AB13" s="16">
        <v>6177.28</v>
      </c>
      <c r="AC13" s="16">
        <v>0</v>
      </c>
      <c r="AD13" s="16">
        <v>65.358999999999995</v>
      </c>
      <c r="AE13" s="16">
        <v>0</v>
      </c>
      <c r="AG13" s="11">
        <f t="shared" si="6"/>
        <v>6.3743999999999996</v>
      </c>
      <c r="AH13" s="12">
        <f t="shared" si="7"/>
        <v>3.1172388061131616E-2</v>
      </c>
      <c r="AI13" s="12">
        <f t="shared" si="8"/>
        <v>1.668947034512118E-2</v>
      </c>
      <c r="AJ13" s="12">
        <f t="shared" si="9"/>
        <v>1.3537425208682794E-2</v>
      </c>
      <c r="AK13" s="12">
        <f t="shared" si="10"/>
        <v>1.4482917716010438E-2</v>
      </c>
      <c r="AL13" s="54">
        <f t="shared" si="11"/>
        <v>3640328</v>
      </c>
      <c r="AM13" s="12">
        <v>-12</v>
      </c>
      <c r="AN13" s="13">
        <v>32891040</v>
      </c>
      <c r="AO13" s="13">
        <v>1027845</v>
      </c>
      <c r="AP13" s="13">
        <v>314937.5</v>
      </c>
      <c r="AQ13" s="14">
        <v>6799360</v>
      </c>
      <c r="AR13" s="14">
        <v>2952800</v>
      </c>
      <c r="AS13" s="14">
        <v>687528</v>
      </c>
      <c r="AT13" s="14">
        <v>3159032</v>
      </c>
      <c r="AU13" s="15">
        <v>69.175875000000005</v>
      </c>
      <c r="AV13" s="15">
        <v>71.31278125</v>
      </c>
      <c r="AW13" s="15">
        <v>37.014287500000002</v>
      </c>
      <c r="AX13" s="15">
        <v>41.71356875</v>
      </c>
      <c r="AY13" s="15">
        <v>36.07090625</v>
      </c>
      <c r="AZ13" s="16">
        <v>5584.55</v>
      </c>
      <c r="BA13" s="16">
        <v>0</v>
      </c>
      <c r="BB13" s="16">
        <v>65.311000000000007</v>
      </c>
      <c r="BC13" s="16">
        <v>0</v>
      </c>
      <c r="BE13" s="51">
        <f t="shared" si="12"/>
        <v>1.0500227292131541</v>
      </c>
      <c r="BF13" s="17">
        <f t="shared" si="13"/>
        <v>-6.1908622741358443E-3</v>
      </c>
      <c r="BG13" s="17">
        <f t="shared" si="14"/>
        <v>1.1722241160080471E-2</v>
      </c>
      <c r="BH13" s="17"/>
      <c r="BJ13" s="51"/>
      <c r="BK13" s="51"/>
      <c r="BL13" s="51"/>
      <c r="BM13" s="51"/>
      <c r="BN13" s="51"/>
      <c r="BP13" s="51"/>
      <c r="BQ13" s="51"/>
      <c r="BR13" s="51"/>
      <c r="BS13" s="51"/>
      <c r="BT13" s="51"/>
    </row>
    <row r="14" spans="1:72" outlineLevel="1" x14ac:dyDescent="0.3">
      <c r="A14" s="18"/>
      <c r="B14" s="37" t="s">
        <v>57</v>
      </c>
      <c r="C14" s="38" t="s">
        <v>234</v>
      </c>
      <c r="D14" s="37">
        <v>218121242</v>
      </c>
      <c r="E14" s="38">
        <v>10</v>
      </c>
      <c r="F14" s="38">
        <v>32</v>
      </c>
      <c r="G14" s="38">
        <v>30</v>
      </c>
      <c r="I14" s="39">
        <f t="shared" si="0"/>
        <v>12.255839999999999</v>
      </c>
      <c r="J14" s="40">
        <f t="shared" si="1"/>
        <v>5.9934080147957348E-2</v>
      </c>
      <c r="K14" s="40">
        <f t="shared" si="2"/>
        <v>2.6839678457359968E-2</v>
      </c>
      <c r="L14" s="40">
        <f t="shared" si="3"/>
        <v>2.0876499502052167E-2</v>
      </c>
      <c r="M14" s="40">
        <f t="shared" si="4"/>
        <v>3.309440169059738E-2</v>
      </c>
      <c r="N14" s="37">
        <f t="shared" si="5"/>
        <v>5854304</v>
      </c>
      <c r="O14" s="40">
        <v>16</v>
      </c>
      <c r="P14" s="41">
        <v>31405520</v>
      </c>
      <c r="Q14" s="41">
        <v>981422.5</v>
      </c>
      <c r="R14" s="41">
        <v>297372.90625</v>
      </c>
      <c r="S14" s="42">
        <v>13072896</v>
      </c>
      <c r="T14" s="42">
        <v>4553608</v>
      </c>
      <c r="U14" s="42">
        <v>1300696</v>
      </c>
      <c r="V14" s="42">
        <v>7218592</v>
      </c>
      <c r="W14" s="43">
        <v>71.131646875000001</v>
      </c>
      <c r="X14" s="43">
        <v>74.768484375</v>
      </c>
      <c r="Y14" s="43">
        <v>39.551081250000003</v>
      </c>
      <c r="Z14" s="43">
        <v>42.969218750000003</v>
      </c>
      <c r="AA14" s="43">
        <v>38.275675</v>
      </c>
      <c r="AB14" s="44">
        <v>6711.58</v>
      </c>
      <c r="AC14" s="44">
        <v>0</v>
      </c>
      <c r="AD14" s="44">
        <v>63.345999999999997</v>
      </c>
      <c r="AE14" s="44">
        <v>0</v>
      </c>
      <c r="AG14" s="39">
        <f t="shared" si="6"/>
        <v>12.5835825</v>
      </c>
      <c r="AH14" s="40">
        <f t="shared" si="7"/>
        <v>6.1536821801152226E-2</v>
      </c>
      <c r="AI14" s="40">
        <f t="shared" si="8"/>
        <v>2.808364716720254E-2</v>
      </c>
      <c r="AJ14" s="40">
        <f t="shared" si="9"/>
        <v>2.1622506624091202E-2</v>
      </c>
      <c r="AK14" s="40">
        <f t="shared" si="10"/>
        <v>3.345317463394968E-2</v>
      </c>
      <c r="AL14" s="37">
        <f t="shared" si="11"/>
        <v>6125640</v>
      </c>
      <c r="AM14" s="40">
        <v>-12</v>
      </c>
      <c r="AN14" s="41">
        <v>31068272</v>
      </c>
      <c r="AO14" s="41">
        <v>970883.5</v>
      </c>
      <c r="AP14" s="41">
        <v>289402.21875</v>
      </c>
      <c r="AQ14" s="42">
        <v>13422488</v>
      </c>
      <c r="AR14" s="42">
        <v>4716328</v>
      </c>
      <c r="AS14" s="42">
        <v>1409312</v>
      </c>
      <c r="AT14" s="42">
        <v>7296848</v>
      </c>
      <c r="AU14" s="43">
        <v>71.067753124999996</v>
      </c>
      <c r="AV14" s="43">
        <v>74.745525000000001</v>
      </c>
      <c r="AW14" s="43">
        <v>39.464878124999998</v>
      </c>
      <c r="AX14" s="43">
        <v>42.940746875000002</v>
      </c>
      <c r="AY14" s="43">
        <v>38.249096874999999</v>
      </c>
      <c r="AZ14" s="44">
        <v>6217.63</v>
      </c>
      <c r="BA14" s="44">
        <v>0</v>
      </c>
      <c r="BB14" s="44">
        <v>62.402000000000001</v>
      </c>
      <c r="BC14" s="44">
        <v>0</v>
      </c>
      <c r="BE14" s="45">
        <f t="shared" si="12"/>
        <v>1.0463481226803391</v>
      </c>
      <c r="BF14" s="46">
        <f t="shared" si="13"/>
        <v>-4.9206214933807946E-3</v>
      </c>
      <c r="BG14" s="46">
        <f t="shared" si="14"/>
        <v>8.5514487498437042E-3</v>
      </c>
      <c r="BH14" s="46"/>
      <c r="BJ14" s="45"/>
      <c r="BK14" s="45"/>
      <c r="BL14" s="45"/>
      <c r="BM14" s="45"/>
      <c r="BN14" s="45"/>
      <c r="BP14" s="45"/>
      <c r="BQ14" s="45"/>
      <c r="BR14" s="45"/>
      <c r="BS14" s="45"/>
      <c r="BT14" s="45"/>
    </row>
    <row r="15" spans="1:72" x14ac:dyDescent="0.3">
      <c r="A15" s="54"/>
      <c r="B15" s="54" t="s">
        <v>62</v>
      </c>
      <c r="C15" s="10" t="s">
        <v>230</v>
      </c>
      <c r="D15" s="54">
        <v>322589704</v>
      </c>
      <c r="E15" s="10">
        <v>10</v>
      </c>
      <c r="F15" s="10">
        <v>32</v>
      </c>
      <c r="G15" s="10">
        <v>30</v>
      </c>
      <c r="I15" s="11">
        <f t="shared" si="0"/>
        <v>1.59762</v>
      </c>
      <c r="J15" s="12">
        <f t="shared" si="1"/>
        <v>5.2826484505531521E-3</v>
      </c>
      <c r="K15" s="12">
        <f t="shared" si="2"/>
        <v>4.4651146088655084E-3</v>
      </c>
      <c r="L15" s="12">
        <f t="shared" si="3"/>
        <v>2.3801875586209036E-3</v>
      </c>
      <c r="M15" s="12">
        <f t="shared" si="4"/>
        <v>8.1753384168764423E-4</v>
      </c>
      <c r="N15" s="54">
        <f t="shared" si="5"/>
        <v>1440400</v>
      </c>
      <c r="O15" s="12">
        <v>16</v>
      </c>
      <c r="P15" s="13">
        <v>49229856</v>
      </c>
      <c r="Q15" s="13">
        <v>1538433</v>
      </c>
      <c r="R15" s="13">
        <v>539197.78125</v>
      </c>
      <c r="S15" s="14">
        <v>1704128</v>
      </c>
      <c r="T15" s="14">
        <v>767824</v>
      </c>
      <c r="U15" s="14">
        <v>672576</v>
      </c>
      <c r="V15" s="14">
        <v>263728</v>
      </c>
      <c r="W15" s="15">
        <v>65.661768749999993</v>
      </c>
      <c r="X15" s="15">
        <v>67.013690624999995</v>
      </c>
      <c r="Y15" s="15">
        <v>29.22629375</v>
      </c>
      <c r="Z15" s="15">
        <v>43.559271875</v>
      </c>
      <c r="AA15" s="15">
        <v>43.801453125000002</v>
      </c>
      <c r="AB15" s="16">
        <v>4945.4399999999996</v>
      </c>
      <c r="AC15" s="16">
        <v>0</v>
      </c>
      <c r="AD15" s="16">
        <v>84.986000000000004</v>
      </c>
      <c r="AE15" s="16">
        <v>0</v>
      </c>
      <c r="AG15" s="11">
        <f t="shared" si="6"/>
        <v>1.6156425000000001</v>
      </c>
      <c r="AH15" s="12">
        <f t="shared" si="7"/>
        <v>5.3422411770463699E-3</v>
      </c>
      <c r="AI15" s="12">
        <f t="shared" si="8"/>
        <v>4.6252933106631323E-3</v>
      </c>
      <c r="AJ15" s="12">
        <f t="shared" si="9"/>
        <v>2.5016297482327583E-3</v>
      </c>
      <c r="AK15" s="12">
        <f t="shared" si="10"/>
        <v>7.1694786638323708E-4</v>
      </c>
      <c r="AL15" s="54">
        <f t="shared" si="11"/>
        <v>1492072</v>
      </c>
      <c r="AM15" s="12">
        <v>-12</v>
      </c>
      <c r="AN15" s="13">
        <v>48444576</v>
      </c>
      <c r="AO15" s="13">
        <v>1513893</v>
      </c>
      <c r="AP15" s="13">
        <v>528472.15625</v>
      </c>
      <c r="AQ15" s="14">
        <v>1723352</v>
      </c>
      <c r="AR15" s="14">
        <v>807000</v>
      </c>
      <c r="AS15" s="14">
        <v>685072</v>
      </c>
      <c r="AT15" s="14">
        <v>231280</v>
      </c>
      <c r="AU15" s="15">
        <v>65.812253124999998</v>
      </c>
      <c r="AV15" s="15">
        <v>67.189674999999994</v>
      </c>
      <c r="AW15" s="15">
        <v>29.266009374999999</v>
      </c>
      <c r="AX15" s="15">
        <v>43.297575000000002</v>
      </c>
      <c r="AY15" s="15">
        <v>43.651865624999999</v>
      </c>
      <c r="AZ15" s="16">
        <v>3976.32</v>
      </c>
      <c r="BA15" s="16">
        <v>0</v>
      </c>
      <c r="BB15" s="16">
        <v>84.034000000000006</v>
      </c>
      <c r="BC15" s="16">
        <v>0</v>
      </c>
      <c r="BE15" s="51">
        <f t="shared" si="12"/>
        <v>1.0358733685087473</v>
      </c>
      <c r="BF15" s="17">
        <f t="shared" si="13"/>
        <v>-1.4034820456426123E-3</v>
      </c>
      <c r="BG15" s="17">
        <f t="shared" si="14"/>
        <v>2.0554752655128072E-2</v>
      </c>
      <c r="BH15" s="17">
        <f t="array" ref="BH15">AVERAGE(AL15:AL19/AQ15:AQ19) - AVERAGE(N15:N19/S15:S19)</f>
        <v>2.0283817631429613E-2</v>
      </c>
      <c r="BJ15" s="51">
        <f>IF( OR(ISBLANK(N15:N19),ISBLANK(AL15:AL19), ISBLANK(W15:W19),ISBLANK(AU15:AU19)), "·", bdRateExtend( N15:N19,W15:W19, AL15:AL19,AU15:AU19))</f>
        <v>2.2625080003783493E-2</v>
      </c>
      <c r="BK15" s="51">
        <f>IF( OR(ISBLANK(N15:N19),ISBLANK(AL15:AL19), ISBLANK(X15:X19),ISBLANK(AV15:AV19)), "·", bdRateExtend( N15:N19,X15:X19, AL15:AL19,AV15:AV19))</f>
        <v>2.8166497698956627E-2</v>
      </c>
      <c r="BL15" s="51">
        <f>IF( OR(ISBLANK(V15:V19),ISBLANK(AT15:AT19), ISBLANK(Y15:Y19),ISBLANK(AW15:AW19)), "·", bdRateExtend( V15:V19,Y15:Y19, AT15:AT19,AW15:AW19))</f>
        <v>-4.9682064019769268E-2</v>
      </c>
      <c r="BM15" s="51">
        <f>IF( OR(ISBLANK(V15:V19),ISBLANK(AT15:AT19), ISBLANK(Z15:Z19),ISBLANK(AX15:AX19)), "·", bdRateExtend( V15:V19,Z15:Z19, AT15:AT19,AX15:AX19))</f>
        <v>-3.4737542716968273E-3</v>
      </c>
      <c r="BN15" s="51">
        <f>IF( OR(ISBLANK(V15:V19),ISBLANK(AT15:AT19), ISBLANK(AA15:AA19),ISBLANK(AY15:AY19)), "·", bdRateExtend( V15:V19,AA15:AA19, AT15:AT19,AY15:AY19))</f>
        <v>-3.2042705073479727E-2</v>
      </c>
      <c r="BP15" s="51">
        <f>IF( OR(ISBLANK(S15:S19),ISBLANK(AQ15:AQ19), ISBLANK(W15:W19),ISBLANK(AU15:AU19)), "·", bdRateExtend( S15:S19,W15:W19, AQ15:AQ19,AU15:AU19))</f>
        <v>-2.2965249013607081E-2</v>
      </c>
      <c r="BQ15" s="51">
        <f>IF( OR(ISBLANK(S15:S19),ISBLANK(AQ15:AQ19), ISBLANK(X15:X19),ISBLANK(AV15:AV19)), "·", bdRateExtend( S15:S19,X15:X19, AQ15:AQ19,AV15:AV19))</f>
        <v>-1.5789180756778598E-2</v>
      </c>
      <c r="BR15" s="51">
        <f>IF( OR(ISBLANK(S15:S19),ISBLANK(AQ15:AQ19), ISBLANK(Y15:Y19),ISBLANK(AW15:AW19)), "·", bdRateExtend( S15:S19,Y15:Y19, AQ15:AQ19,AW15:AW19))</f>
        <v>2.5996466162252707E-2</v>
      </c>
      <c r="BS15" s="51">
        <f>IF( OR(ISBLANK(S15:S19),ISBLANK(AQ15:AQ19), ISBLANK(Z15:Z19),ISBLANK(AX15:AX19)), "·", bdRateExtend( S15:S19,Z15:Z19, AQ15:AQ19,AX15:AX19))</f>
        <v>4.7757356981128485E-2</v>
      </c>
      <c r="BT15" s="51">
        <f>IF( OR(ISBLANK(S15:S19),ISBLANK(AQ15:AQ19), ISBLANK(AA15:AA19),ISBLANK(AY15:AY19)), "·", bdRateExtend( S15:S19,AA15:AA19, AQ15:AQ19,AY15:AY19))</f>
        <v>3.2705525015781056E-2</v>
      </c>
    </row>
    <row r="16" spans="1:72" outlineLevel="1" x14ac:dyDescent="0.3">
      <c r="A16" s="18"/>
      <c r="B16" s="18" t="s">
        <v>62</v>
      </c>
      <c r="C16" s="19" t="s">
        <v>231</v>
      </c>
      <c r="D16" s="18">
        <v>322589704</v>
      </c>
      <c r="E16" s="19">
        <v>10</v>
      </c>
      <c r="F16" s="19">
        <v>32</v>
      </c>
      <c r="G16" s="19">
        <v>30</v>
      </c>
      <c r="I16" s="20">
        <f t="shared" si="0"/>
        <v>2.0996549999999998</v>
      </c>
      <c r="J16" s="21">
        <f t="shared" si="1"/>
        <v>6.9426642333259344E-3</v>
      </c>
      <c r="K16" s="21">
        <f t="shared" si="2"/>
        <v>5.399775561342776E-3</v>
      </c>
      <c r="L16" s="21">
        <f t="shared" si="3"/>
        <v>3.314848511098172E-3</v>
      </c>
      <c r="M16" s="21">
        <f t="shared" si="4"/>
        <v>1.542888671983158E-3</v>
      </c>
      <c r="N16" s="18">
        <f t="shared" si="5"/>
        <v>1741912</v>
      </c>
      <c r="O16" s="21">
        <v>16</v>
      </c>
      <c r="P16" s="22">
        <v>49229856</v>
      </c>
      <c r="Q16" s="22">
        <v>1538433</v>
      </c>
      <c r="R16" s="22">
        <v>499274.6875</v>
      </c>
      <c r="S16" s="23">
        <v>2239632</v>
      </c>
      <c r="T16" s="23">
        <v>1069336</v>
      </c>
      <c r="U16" s="23">
        <v>672576</v>
      </c>
      <c r="V16" s="23">
        <v>497720</v>
      </c>
      <c r="W16" s="24">
        <v>67.260043749999994</v>
      </c>
      <c r="X16" s="24">
        <v>68.955284375000005</v>
      </c>
      <c r="Y16" s="24">
        <v>31.581153125</v>
      </c>
      <c r="Z16" s="24">
        <v>44.041565624999997</v>
      </c>
      <c r="AA16" s="24">
        <v>44.329553124999997</v>
      </c>
      <c r="AB16" s="25">
        <v>5173.59</v>
      </c>
      <c r="AC16" s="25">
        <v>0</v>
      </c>
      <c r="AD16" s="25">
        <v>88.358000000000004</v>
      </c>
      <c r="AE16" s="25">
        <v>0</v>
      </c>
      <c r="AG16" s="20">
        <f t="shared" si="6"/>
        <v>2.130795</v>
      </c>
      <c r="AH16" s="21">
        <f t="shared" si="7"/>
        <v>7.0456309417736406E-3</v>
      </c>
      <c r="AI16" s="21">
        <f t="shared" si="8"/>
        <v>5.628896327081784E-3</v>
      </c>
      <c r="AJ16" s="21">
        <f t="shared" si="9"/>
        <v>3.50523276465141E-3</v>
      </c>
      <c r="AK16" s="21">
        <f t="shared" si="10"/>
        <v>1.4167346146918564E-3</v>
      </c>
      <c r="AL16" s="18">
        <f t="shared" si="11"/>
        <v>1815824</v>
      </c>
      <c r="AM16" s="21">
        <v>-12</v>
      </c>
      <c r="AN16" s="22">
        <v>48444576</v>
      </c>
      <c r="AO16" s="22">
        <v>1513893</v>
      </c>
      <c r="AP16" s="22">
        <v>487069.78125</v>
      </c>
      <c r="AQ16" s="23">
        <v>2272848</v>
      </c>
      <c r="AR16" s="23">
        <v>1130752</v>
      </c>
      <c r="AS16" s="23">
        <v>685072</v>
      </c>
      <c r="AT16" s="23">
        <v>457024</v>
      </c>
      <c r="AU16" s="24">
        <v>67.431934374999997</v>
      </c>
      <c r="AV16" s="24">
        <v>69.160612499999999</v>
      </c>
      <c r="AW16" s="24">
        <v>31.616174999999998</v>
      </c>
      <c r="AX16" s="24">
        <v>43.989224999999998</v>
      </c>
      <c r="AY16" s="24">
        <v>44.344996875</v>
      </c>
      <c r="AZ16" s="25">
        <v>4186.97</v>
      </c>
      <c r="BA16" s="25">
        <v>0</v>
      </c>
      <c r="BB16" s="25">
        <v>85.260999999999996</v>
      </c>
      <c r="BC16" s="25">
        <v>0</v>
      </c>
      <c r="BE16" s="50">
        <f t="shared" si="12"/>
        <v>1.0424315350029163</v>
      </c>
      <c r="BF16" s="26">
        <f t="shared" si="13"/>
        <v>-2.8012732577767929E-3</v>
      </c>
      <c r="BG16" s="26">
        <f t="shared" si="14"/>
        <v>2.1153059631582982E-2</v>
      </c>
      <c r="BH16" s="26"/>
      <c r="BJ16" s="50"/>
      <c r="BK16" s="50"/>
      <c r="BL16" s="50"/>
      <c r="BM16" s="50"/>
      <c r="BN16" s="50"/>
      <c r="BP16" s="50"/>
      <c r="BQ16" s="50"/>
      <c r="BR16" s="50"/>
      <c r="BS16" s="50"/>
      <c r="BT16" s="50"/>
    </row>
    <row r="17" spans="1:72" outlineLevel="1" x14ac:dyDescent="0.3">
      <c r="A17" s="54"/>
      <c r="B17" s="54" t="s">
        <v>62</v>
      </c>
      <c r="C17" s="10" t="s">
        <v>232</v>
      </c>
      <c r="D17" s="54">
        <v>322589704</v>
      </c>
      <c r="E17" s="10">
        <v>10</v>
      </c>
      <c r="F17" s="10">
        <v>32</v>
      </c>
      <c r="G17" s="10">
        <v>30</v>
      </c>
      <c r="I17" s="11">
        <f t="shared" si="0"/>
        <v>2.9364300000000001</v>
      </c>
      <c r="J17" s="12">
        <f t="shared" si="1"/>
        <v>9.709522533304411E-3</v>
      </c>
      <c r="K17" s="12">
        <f t="shared" si="2"/>
        <v>6.5382371906079189E-3</v>
      </c>
      <c r="L17" s="12">
        <f t="shared" si="3"/>
        <v>4.4533101403633141E-3</v>
      </c>
      <c r="M17" s="12">
        <f t="shared" si="4"/>
        <v>3.1712853426964921E-3</v>
      </c>
      <c r="N17" s="54">
        <f t="shared" si="5"/>
        <v>2109168</v>
      </c>
      <c r="O17" s="12">
        <v>16</v>
      </c>
      <c r="P17" s="13">
        <v>49229856</v>
      </c>
      <c r="Q17" s="13">
        <v>1538433</v>
      </c>
      <c r="R17" s="13">
        <v>501963.59375</v>
      </c>
      <c r="S17" s="14">
        <v>3132192</v>
      </c>
      <c r="T17" s="14">
        <v>1436592</v>
      </c>
      <c r="U17" s="14">
        <v>672576</v>
      </c>
      <c r="V17" s="14">
        <v>1023024</v>
      </c>
      <c r="W17" s="15">
        <v>68.613828124999998</v>
      </c>
      <c r="X17" s="15">
        <v>70.602999999999994</v>
      </c>
      <c r="Y17" s="15">
        <v>33.933412500000003</v>
      </c>
      <c r="Z17" s="15">
        <v>45.193006250000003</v>
      </c>
      <c r="AA17" s="15">
        <v>45.584415624999998</v>
      </c>
      <c r="AB17" s="16">
        <v>5338.15</v>
      </c>
      <c r="AC17" s="16">
        <v>0</v>
      </c>
      <c r="AD17" s="16">
        <v>88.305000000000007</v>
      </c>
      <c r="AE17" s="16">
        <v>0</v>
      </c>
      <c r="AG17" s="11">
        <f t="shared" si="6"/>
        <v>3.0064275</v>
      </c>
      <c r="AH17" s="12">
        <f t="shared" si="7"/>
        <v>9.9409744335795663E-3</v>
      </c>
      <c r="AI17" s="12">
        <f t="shared" si="8"/>
        <v>6.9200472684645877E-3</v>
      </c>
      <c r="AJ17" s="12">
        <f t="shared" si="9"/>
        <v>4.7963837060342133E-3</v>
      </c>
      <c r="AK17" s="12">
        <f t="shared" si="10"/>
        <v>3.0209271651149782E-3</v>
      </c>
      <c r="AL17" s="54">
        <f t="shared" si="11"/>
        <v>2232336</v>
      </c>
      <c r="AM17" s="12">
        <v>-12</v>
      </c>
      <c r="AN17" s="13">
        <v>48444576</v>
      </c>
      <c r="AO17" s="13">
        <v>1513893</v>
      </c>
      <c r="AP17" s="13">
        <v>483519.59375</v>
      </c>
      <c r="AQ17" s="14">
        <v>3206856</v>
      </c>
      <c r="AR17" s="14">
        <v>1547264</v>
      </c>
      <c r="AS17" s="14">
        <v>685072</v>
      </c>
      <c r="AT17" s="14">
        <v>974520</v>
      </c>
      <c r="AU17" s="15">
        <v>68.756062499999999</v>
      </c>
      <c r="AV17" s="15">
        <v>70.773181249999993</v>
      </c>
      <c r="AW17" s="15">
        <v>33.931909374999996</v>
      </c>
      <c r="AX17" s="15">
        <v>45.209428125000002</v>
      </c>
      <c r="AY17" s="15">
        <v>45.633775</v>
      </c>
      <c r="AZ17" s="16">
        <v>4475.99</v>
      </c>
      <c r="BA17" s="16">
        <v>0</v>
      </c>
      <c r="BB17" s="16">
        <v>86.926000000000002</v>
      </c>
      <c r="BC17" s="16">
        <v>0</v>
      </c>
      <c r="BE17" s="51">
        <f t="shared" si="12"/>
        <v>1.0583964861974009</v>
      </c>
      <c r="BF17" s="17">
        <f t="shared" si="13"/>
        <v>-6.8941663557488542E-3</v>
      </c>
      <c r="BG17" s="17">
        <f t="shared" si="14"/>
        <v>2.2729569551326434E-2</v>
      </c>
      <c r="BH17" s="17"/>
      <c r="BJ17" s="51"/>
      <c r="BK17" s="51"/>
      <c r="BL17" s="51"/>
      <c r="BM17" s="51"/>
      <c r="BN17" s="51"/>
      <c r="BP17" s="51"/>
      <c r="BQ17" s="51"/>
      <c r="BR17" s="51"/>
      <c r="BS17" s="51"/>
      <c r="BT17" s="51"/>
    </row>
    <row r="18" spans="1:72" outlineLevel="1" x14ac:dyDescent="0.3">
      <c r="A18" s="18"/>
      <c r="B18" s="18" t="s">
        <v>62</v>
      </c>
      <c r="C18" s="19" t="s">
        <v>233</v>
      </c>
      <c r="D18" s="18">
        <v>322589704</v>
      </c>
      <c r="E18" s="19">
        <v>10</v>
      </c>
      <c r="F18" s="19">
        <v>32</v>
      </c>
      <c r="G18" s="19">
        <v>30</v>
      </c>
      <c r="I18" s="20">
        <f t="shared" si="0"/>
        <v>5.2196474999999998</v>
      </c>
      <c r="J18" s="21">
        <f t="shared" si="1"/>
        <v>1.7259149721653856E-2</v>
      </c>
      <c r="K18" s="21">
        <f t="shared" si="2"/>
        <v>9.8228553506469005E-3</v>
      </c>
      <c r="L18" s="21">
        <f t="shared" si="3"/>
        <v>7.7379283004022966E-3</v>
      </c>
      <c r="M18" s="21">
        <f t="shared" si="4"/>
        <v>7.4362943710069556E-3</v>
      </c>
      <c r="N18" s="18">
        <f t="shared" si="5"/>
        <v>3168752</v>
      </c>
      <c r="O18" s="21">
        <v>16</v>
      </c>
      <c r="P18" s="22">
        <v>49229856</v>
      </c>
      <c r="Q18" s="22">
        <v>1538433</v>
      </c>
      <c r="R18" s="22">
        <v>469679.6875</v>
      </c>
      <c r="S18" s="23">
        <v>5567624</v>
      </c>
      <c r="T18" s="23">
        <v>2496176</v>
      </c>
      <c r="U18" s="23">
        <v>672576</v>
      </c>
      <c r="V18" s="23">
        <v>2398872</v>
      </c>
      <c r="W18" s="24">
        <v>69.479606250000003</v>
      </c>
      <c r="X18" s="24">
        <v>71.596353124999993</v>
      </c>
      <c r="Y18" s="24">
        <v>36.314203124999999</v>
      </c>
      <c r="Z18" s="24">
        <v>46.455821874999998</v>
      </c>
      <c r="AA18" s="24">
        <v>47.029856250000002</v>
      </c>
      <c r="AB18" s="25">
        <v>5821.93</v>
      </c>
      <c r="AC18" s="25">
        <v>0</v>
      </c>
      <c r="AD18" s="25">
        <v>90.171999999999997</v>
      </c>
      <c r="AE18" s="25">
        <v>0</v>
      </c>
      <c r="AG18" s="20">
        <f t="shared" si="6"/>
        <v>5.3666024999999999</v>
      </c>
      <c r="AH18" s="21">
        <f t="shared" si="7"/>
        <v>1.7745067275922729E-2</v>
      </c>
      <c r="AI18" s="21">
        <f t="shared" si="8"/>
        <v>1.0485120752644976E-2</v>
      </c>
      <c r="AJ18" s="21">
        <f t="shared" si="9"/>
        <v>8.361457190214602E-3</v>
      </c>
      <c r="AK18" s="21">
        <f t="shared" si="10"/>
        <v>7.2599465232777551E-3</v>
      </c>
      <c r="AL18" s="18">
        <f t="shared" si="11"/>
        <v>3382392</v>
      </c>
      <c r="AM18" s="21">
        <v>-12</v>
      </c>
      <c r="AN18" s="22">
        <v>48444576</v>
      </c>
      <c r="AO18" s="22">
        <v>1513893</v>
      </c>
      <c r="AP18" s="22">
        <v>453552</v>
      </c>
      <c r="AQ18" s="23">
        <v>5724376</v>
      </c>
      <c r="AR18" s="23">
        <v>2697320</v>
      </c>
      <c r="AS18" s="23">
        <v>685072</v>
      </c>
      <c r="AT18" s="23">
        <v>2341984</v>
      </c>
      <c r="AU18" s="24">
        <v>69.625950000000003</v>
      </c>
      <c r="AV18" s="24">
        <v>71.773178125000001</v>
      </c>
      <c r="AW18" s="24">
        <v>36.272693750000002</v>
      </c>
      <c r="AX18" s="24">
        <v>46.374153124999999</v>
      </c>
      <c r="AY18" s="24">
        <v>47.008209375</v>
      </c>
      <c r="AZ18" s="25">
        <v>4838.97</v>
      </c>
      <c r="BA18" s="25">
        <v>0</v>
      </c>
      <c r="BB18" s="25">
        <v>90.748000000000005</v>
      </c>
      <c r="BC18" s="25">
        <v>0</v>
      </c>
      <c r="BE18" s="50">
        <f t="shared" si="12"/>
        <v>1.0674208647442274</v>
      </c>
      <c r="BF18" s="26">
        <f t="shared" si="13"/>
        <v>-5.7042920656173446E-3</v>
      </c>
      <c r="BG18" s="26">
        <f t="shared" si="14"/>
        <v>2.1736224564176454E-2</v>
      </c>
      <c r="BH18" s="26"/>
      <c r="BJ18" s="50"/>
      <c r="BK18" s="50"/>
      <c r="BL18" s="50"/>
      <c r="BM18" s="50"/>
      <c r="BN18" s="50"/>
      <c r="BP18" s="50"/>
      <c r="BQ18" s="50"/>
      <c r="BR18" s="50"/>
      <c r="BS18" s="50"/>
      <c r="BT18" s="50"/>
    </row>
    <row r="19" spans="1:72" outlineLevel="1" x14ac:dyDescent="0.3">
      <c r="A19" s="54"/>
      <c r="B19" s="27" t="s">
        <v>62</v>
      </c>
      <c r="C19" s="28" t="s">
        <v>234</v>
      </c>
      <c r="D19" s="27">
        <v>322589704</v>
      </c>
      <c r="E19" s="28">
        <v>10</v>
      </c>
      <c r="F19" s="28">
        <v>32</v>
      </c>
      <c r="G19" s="28">
        <v>30</v>
      </c>
      <c r="I19" s="29">
        <f t="shared" si="0"/>
        <v>11.326544999999999</v>
      </c>
      <c r="J19" s="30">
        <f t="shared" si="1"/>
        <v>3.7452057056352919E-2</v>
      </c>
      <c r="K19" s="30">
        <f t="shared" si="2"/>
        <v>1.7294042341785342E-2</v>
      </c>
      <c r="L19" s="30">
        <f t="shared" si="3"/>
        <v>1.2755422597120458E-2</v>
      </c>
      <c r="M19" s="30">
        <f t="shared" si="4"/>
        <v>2.0158014714567581E-2</v>
      </c>
      <c r="N19" s="27">
        <f t="shared" si="5"/>
        <v>5578880</v>
      </c>
      <c r="O19" s="30">
        <v>16</v>
      </c>
      <c r="P19" s="31">
        <v>46470040</v>
      </c>
      <c r="Q19" s="31">
        <v>1452188.75</v>
      </c>
      <c r="R19" s="31">
        <v>432743.4375</v>
      </c>
      <c r="S19" s="32">
        <v>12081648</v>
      </c>
      <c r="T19" s="32">
        <v>4114768</v>
      </c>
      <c r="U19" s="32">
        <v>1464112</v>
      </c>
      <c r="V19" s="32">
        <v>6502768</v>
      </c>
      <c r="W19" s="33">
        <v>71.3740375</v>
      </c>
      <c r="X19" s="33">
        <v>75.237762500000002</v>
      </c>
      <c r="Y19" s="33">
        <v>38.840684375000002</v>
      </c>
      <c r="Z19" s="33">
        <v>48.184996875000003</v>
      </c>
      <c r="AA19" s="33">
        <v>48.802165625000001</v>
      </c>
      <c r="AB19" s="34">
        <v>6395.16</v>
      </c>
      <c r="AC19" s="34">
        <v>0</v>
      </c>
      <c r="AD19" s="34">
        <v>86.34</v>
      </c>
      <c r="AE19" s="34">
        <v>0</v>
      </c>
      <c r="AG19" s="29">
        <f t="shared" si="6"/>
        <v>11.6636475</v>
      </c>
      <c r="AH19" s="30">
        <f t="shared" si="7"/>
        <v>3.8566711354185067E-2</v>
      </c>
      <c r="AI19" s="30">
        <f t="shared" si="8"/>
        <v>1.8396718575990262E-2</v>
      </c>
      <c r="AJ19" s="30">
        <f t="shared" si="9"/>
        <v>1.3577891500219734E-2</v>
      </c>
      <c r="AK19" s="30">
        <f t="shared" si="10"/>
        <v>2.0169992778194805E-2</v>
      </c>
      <c r="AL19" s="27">
        <f t="shared" si="11"/>
        <v>5934592</v>
      </c>
      <c r="AM19" s="30">
        <v>-12</v>
      </c>
      <c r="AN19" s="31">
        <v>45905264</v>
      </c>
      <c r="AO19" s="31">
        <v>1434539.5</v>
      </c>
      <c r="AP19" s="31">
        <v>419526.28125</v>
      </c>
      <c r="AQ19" s="32">
        <v>12441224</v>
      </c>
      <c r="AR19" s="32">
        <v>4380088</v>
      </c>
      <c r="AS19" s="32">
        <v>1554504</v>
      </c>
      <c r="AT19" s="32">
        <v>6506632</v>
      </c>
      <c r="AU19" s="33">
        <v>71.295606250000006</v>
      </c>
      <c r="AV19" s="33">
        <v>75.229112499999999</v>
      </c>
      <c r="AW19" s="33">
        <v>38.779587499999998</v>
      </c>
      <c r="AX19" s="33">
        <v>48.153684374999997</v>
      </c>
      <c r="AY19" s="33">
        <v>48.668646875</v>
      </c>
      <c r="AZ19" s="34">
        <v>5405.05</v>
      </c>
      <c r="BA19" s="34">
        <v>0</v>
      </c>
      <c r="BB19" s="34">
        <v>87.19</v>
      </c>
      <c r="BC19" s="34">
        <v>0</v>
      </c>
      <c r="BE19" s="35">
        <f t="shared" si="12"/>
        <v>1.0637604680509349</v>
      </c>
      <c r="BF19" s="36">
        <f t="shared" si="13"/>
        <v>-5.5472761975422502E-3</v>
      </c>
      <c r="BG19" s="36">
        <f t="shared" si="14"/>
        <v>1.5245481754933898E-2</v>
      </c>
      <c r="BH19" s="36"/>
      <c r="BJ19" s="35"/>
      <c r="BK19" s="35"/>
      <c r="BL19" s="35"/>
      <c r="BM19" s="35"/>
      <c r="BN19" s="35"/>
      <c r="BP19" s="35"/>
      <c r="BQ19" s="35"/>
      <c r="BR19" s="35"/>
      <c r="BS19" s="35"/>
      <c r="BT19" s="35"/>
    </row>
    <row r="20" spans="1:72" x14ac:dyDescent="0.3">
      <c r="A20" s="18"/>
      <c r="B20" s="18" t="s">
        <v>68</v>
      </c>
      <c r="C20" s="19" t="s">
        <v>230</v>
      </c>
      <c r="D20" s="18">
        <v>250602891</v>
      </c>
      <c r="E20" s="19">
        <v>10</v>
      </c>
      <c r="F20" s="19">
        <v>32</v>
      </c>
      <c r="G20" s="19">
        <v>50</v>
      </c>
      <c r="I20" s="20">
        <f t="shared" si="0"/>
        <v>1.9686125000000001</v>
      </c>
      <c r="J20" s="21">
        <f t="shared" si="1"/>
        <v>5.0275238045837225E-3</v>
      </c>
      <c r="K20" s="21">
        <f t="shared" si="2"/>
        <v>3.9141128663196471E-3</v>
      </c>
      <c r="L20" s="21">
        <f t="shared" si="3"/>
        <v>2.3105878694751371E-3</v>
      </c>
      <c r="M20" s="21">
        <f t="shared" si="4"/>
        <v>1.113410938264076E-3</v>
      </c>
      <c r="N20" s="18">
        <f t="shared" si="5"/>
        <v>980888</v>
      </c>
      <c r="O20" s="21">
        <v>16</v>
      </c>
      <c r="P20" s="22">
        <v>40685984</v>
      </c>
      <c r="Q20" s="22">
        <v>1271437</v>
      </c>
      <c r="R20" s="22">
        <v>331836.375</v>
      </c>
      <c r="S20" s="23">
        <v>1259912</v>
      </c>
      <c r="T20" s="23">
        <v>579040</v>
      </c>
      <c r="U20" s="23">
        <v>401848</v>
      </c>
      <c r="V20" s="23">
        <v>279024</v>
      </c>
      <c r="W20" s="24">
        <v>66.570824999999999</v>
      </c>
      <c r="X20" s="24">
        <v>68.113046874999995</v>
      </c>
      <c r="Y20" s="24">
        <v>30.004628125</v>
      </c>
      <c r="Z20" s="24">
        <v>39.591078125000003</v>
      </c>
      <c r="AA20" s="24">
        <v>38.173312500000002</v>
      </c>
      <c r="AB20" s="25">
        <v>5026.9399999999996</v>
      </c>
      <c r="AC20" s="25">
        <v>0</v>
      </c>
      <c r="AD20" s="25">
        <v>71.799000000000007</v>
      </c>
      <c r="AE20" s="25">
        <v>0</v>
      </c>
      <c r="AG20" s="20">
        <f t="shared" si="6"/>
        <v>2.2899375000000002</v>
      </c>
      <c r="AH20" s="21">
        <f t="shared" si="7"/>
        <v>5.8481368437206102E-3</v>
      </c>
      <c r="AI20" s="21">
        <f t="shared" si="8"/>
        <v>4.5264601516508442E-3</v>
      </c>
      <c r="AJ20" s="21">
        <f t="shared" si="9"/>
        <v>2.5949261694670554E-3</v>
      </c>
      <c r="AK20" s="21">
        <f t="shared" si="10"/>
        <v>1.3216766920697656E-3</v>
      </c>
      <c r="AL20" s="18">
        <f t="shared" si="11"/>
        <v>1134344</v>
      </c>
      <c r="AM20" s="21">
        <v>-12</v>
      </c>
      <c r="AN20" s="22">
        <v>40542720</v>
      </c>
      <c r="AO20" s="22">
        <v>1266960</v>
      </c>
      <c r="AP20" s="22">
        <v>325175.15625</v>
      </c>
      <c r="AQ20" s="23">
        <v>1465560</v>
      </c>
      <c r="AR20" s="23">
        <v>650296</v>
      </c>
      <c r="AS20" s="23">
        <v>484048</v>
      </c>
      <c r="AT20" s="23">
        <v>331216</v>
      </c>
      <c r="AU20" s="24">
        <v>66.615659375000007</v>
      </c>
      <c r="AV20" s="24">
        <v>68.164668750000004</v>
      </c>
      <c r="AW20" s="24">
        <v>29.857343749999998</v>
      </c>
      <c r="AX20" s="24">
        <v>39.255646874999996</v>
      </c>
      <c r="AY20" s="24">
        <v>37.633868749999998</v>
      </c>
      <c r="AZ20" s="25">
        <v>4377.2299999999996</v>
      </c>
      <c r="BA20" s="25">
        <v>0</v>
      </c>
      <c r="BB20" s="25">
        <v>70.418000000000006</v>
      </c>
      <c r="BC20" s="25">
        <v>0</v>
      </c>
      <c r="BE20" s="50">
        <f t="shared" si="12"/>
        <v>1.156445995873127</v>
      </c>
      <c r="BF20" s="26">
        <f t="shared" si="13"/>
        <v>-4.3353794288437664E-3</v>
      </c>
      <c r="BG20" s="26">
        <f t="shared" si="14"/>
        <v>-4.5365315827115005E-3</v>
      </c>
      <c r="BH20" s="26">
        <f t="array" ref="BH20">AVERAGE(AL20:AL24/AQ20:AQ24) - AVERAGE(N20:N24/S20:S24)</f>
        <v>4.6408570967448881E-4</v>
      </c>
      <c r="BJ20" s="50">
        <f>IF( OR(ISBLANK(N20:N24),ISBLANK(AL20:AL24), ISBLANK(W20:W24),ISBLANK(AU20:AU24)), "·", bdRateExtend( N20:N24,W20:W24, AL20:AL24,AU20:AU24))</f>
        <v>0.14127248191172503</v>
      </c>
      <c r="BK20" s="50">
        <f>IF( OR(ISBLANK(N20:N24),ISBLANK(AL20:AL24), ISBLANK(X20:X24),ISBLANK(AV20:AV24)), "·", bdRateExtend( N20:N24,X20:X24, AL20:AL24,AV20:AV24))</f>
        <v>0.13974653023796502</v>
      </c>
      <c r="BL20" s="50">
        <f>IF( OR(ISBLANK(V20:V24),ISBLANK(AT20:AT24), ISBLANK(Y20:Y24),ISBLANK(AW20:AW24)), "·", bdRateExtend( V20:V24,Y20:Y24, AT20:AT24,AW20:AW24))</f>
        <v>0.22931792120861161</v>
      </c>
      <c r="BM20" s="50">
        <f>IF( OR(ISBLANK(V20:V24),ISBLANK(AT20:AT24), ISBLANK(Z20:Z24),ISBLANK(AX20:AX24)), "·", bdRateExtend( V20:V24,Z20:Z24, AT20:AT24,AX20:AX24))</f>
        <v>0.3309642613322068</v>
      </c>
      <c r="BN20" s="50">
        <f>IF( OR(ISBLANK(V20:V24),ISBLANK(AT20:AT24), ISBLANK(AA20:AA24),ISBLANK(AY20:AY24)), "·", bdRateExtend( V20:V24,AA20:AA24, AT20:AT24,AY20:AY24))</f>
        <v>0.37774834410678637</v>
      </c>
      <c r="BP20" s="50">
        <f>IF( OR(ISBLANK(S20:S24),ISBLANK(AQ20:AQ24), ISBLANK(W20:W24),ISBLANK(AU20:AU24)), "·", bdRateExtend( S20:S24,W20:W24, AQ20:AQ24,AU20:AU24))</f>
        <v>0.12797296734393337</v>
      </c>
      <c r="BQ20" s="50">
        <f>IF( OR(ISBLANK(S20:S24),ISBLANK(AQ20:AQ24), ISBLANK(X20:X24),ISBLANK(AV20:AV24)), "·", bdRateExtend( S20:S24,X20:X24, AQ20:AQ24,AV20:AV24))</f>
        <v>0.12408688397718337</v>
      </c>
      <c r="BR20" s="50">
        <f>IF( OR(ISBLANK(S20:S24),ISBLANK(AQ20:AQ24), ISBLANK(Y20:Y24),ISBLANK(AW20:AW24)), "·", bdRateExtend( S20:S24,Y20:Y24, AQ20:AQ24,AW20:AW24))</f>
        <v>0.19603238783637411</v>
      </c>
      <c r="BS20" s="50">
        <f>IF( OR(ISBLANK(S20:S24),ISBLANK(AQ20:AQ24), ISBLANK(Z20:Z24),ISBLANK(AX20:AX24)), "·", bdRateExtend( S20:S24,Z20:Z24, AQ20:AQ24,AX20:AX24))</f>
        <v>0.24664888966295506</v>
      </c>
      <c r="BT20" s="50">
        <f>IF( OR(ISBLANK(S20:S24),ISBLANK(AQ20:AQ24), ISBLANK(AA20:AA24),ISBLANK(AY20:AY24)), "·", bdRateExtend( S20:S24,AA20:AA24, AQ20:AQ24,AY20:AY24))</f>
        <v>0.27331494380668953</v>
      </c>
    </row>
    <row r="21" spans="1:72" outlineLevel="1" x14ac:dyDescent="0.3">
      <c r="A21" s="54"/>
      <c r="B21" s="54" t="s">
        <v>68</v>
      </c>
      <c r="C21" s="10" t="s">
        <v>231</v>
      </c>
      <c r="D21" s="54">
        <v>250602891</v>
      </c>
      <c r="E21" s="10">
        <v>10</v>
      </c>
      <c r="F21" s="10">
        <v>32</v>
      </c>
      <c r="G21" s="10">
        <v>50</v>
      </c>
      <c r="I21" s="11">
        <f t="shared" si="0"/>
        <v>2.6483500000000002</v>
      </c>
      <c r="J21" s="12">
        <f t="shared" si="1"/>
        <v>6.7634654701569262E-3</v>
      </c>
      <c r="K21" s="12">
        <f t="shared" si="2"/>
        <v>4.664463348110378E-3</v>
      </c>
      <c r="L21" s="12">
        <f t="shared" si="3"/>
        <v>3.060938351265868E-3</v>
      </c>
      <c r="M21" s="12">
        <f t="shared" si="4"/>
        <v>2.0990021220465491E-3</v>
      </c>
      <c r="N21" s="54">
        <f t="shared" si="5"/>
        <v>1168928</v>
      </c>
      <c r="O21" s="12">
        <v>16</v>
      </c>
      <c r="P21" s="13">
        <v>40685984</v>
      </c>
      <c r="Q21" s="13">
        <v>1271437</v>
      </c>
      <c r="R21" s="13">
        <v>299976.53125</v>
      </c>
      <c r="S21" s="14">
        <v>1694944</v>
      </c>
      <c r="T21" s="14">
        <v>767080</v>
      </c>
      <c r="U21" s="14">
        <v>401848</v>
      </c>
      <c r="V21" s="14">
        <v>526016</v>
      </c>
      <c r="W21" s="15">
        <v>68.062224999999998</v>
      </c>
      <c r="X21" s="15">
        <v>69.942428125000006</v>
      </c>
      <c r="Y21" s="15">
        <v>31.573068750000001</v>
      </c>
      <c r="Z21" s="15">
        <v>40.652903125000002</v>
      </c>
      <c r="AA21" s="15">
        <v>39.345871875</v>
      </c>
      <c r="AB21" s="16">
        <v>5195.49</v>
      </c>
      <c r="AC21" s="16">
        <v>0</v>
      </c>
      <c r="AD21" s="16">
        <v>72.641999999999996</v>
      </c>
      <c r="AE21" s="16">
        <v>0</v>
      </c>
      <c r="AG21" s="11">
        <f t="shared" si="6"/>
        <v>3.0854625000000002</v>
      </c>
      <c r="AH21" s="12">
        <f t="shared" si="7"/>
        <v>7.8797814028410389E-3</v>
      </c>
      <c r="AI21" s="12">
        <f t="shared" si="8"/>
        <v>5.390648107088278E-3</v>
      </c>
      <c r="AJ21" s="12">
        <f t="shared" si="9"/>
        <v>3.4591141249044888E-3</v>
      </c>
      <c r="AK21" s="12">
        <f t="shared" si="10"/>
        <v>2.4891332957527614E-3</v>
      </c>
      <c r="AL21" s="54">
        <f t="shared" si="11"/>
        <v>1350912</v>
      </c>
      <c r="AM21" s="12">
        <v>-12</v>
      </c>
      <c r="AN21" s="13">
        <v>40542720</v>
      </c>
      <c r="AO21" s="13">
        <v>1266960</v>
      </c>
      <c r="AP21" s="13">
        <v>297659.78125</v>
      </c>
      <c r="AQ21" s="14">
        <v>1974696</v>
      </c>
      <c r="AR21" s="14">
        <v>866864</v>
      </c>
      <c r="AS21" s="14">
        <v>484048</v>
      </c>
      <c r="AT21" s="14">
        <v>623784</v>
      </c>
      <c r="AU21" s="15">
        <v>68.128662500000004</v>
      </c>
      <c r="AV21" s="15">
        <v>70.031850000000006</v>
      </c>
      <c r="AW21" s="15">
        <v>31.363456249999999</v>
      </c>
      <c r="AX21" s="15">
        <v>40.262740624999999</v>
      </c>
      <c r="AY21" s="15">
        <v>38.944478125000003</v>
      </c>
      <c r="AZ21" s="16">
        <v>4585.9399999999996</v>
      </c>
      <c r="BA21" s="16">
        <v>0</v>
      </c>
      <c r="BB21" s="16">
        <v>72.537000000000006</v>
      </c>
      <c r="BC21" s="16">
        <v>0</v>
      </c>
      <c r="BE21" s="51">
        <f t="shared" si="12"/>
        <v>1.1556845246242711</v>
      </c>
      <c r="BF21" s="17">
        <f t="shared" si="13"/>
        <v>-9.9487659815833407E-4</v>
      </c>
      <c r="BG21" s="17">
        <f t="shared" si="14"/>
        <v>-5.544446293613392E-3</v>
      </c>
      <c r="BH21" s="17"/>
      <c r="BJ21" s="51"/>
      <c r="BK21" s="51"/>
      <c r="BL21" s="51"/>
      <c r="BM21" s="51"/>
      <c r="BN21" s="51"/>
      <c r="BP21" s="51"/>
      <c r="BQ21" s="51"/>
      <c r="BR21" s="51"/>
      <c r="BS21" s="51"/>
      <c r="BT21" s="51"/>
    </row>
    <row r="22" spans="1:72" outlineLevel="1" x14ac:dyDescent="0.3">
      <c r="A22" s="18"/>
      <c r="B22" s="18" t="s">
        <v>68</v>
      </c>
      <c r="C22" s="19" t="s">
        <v>232</v>
      </c>
      <c r="D22" s="18">
        <v>250602891</v>
      </c>
      <c r="E22" s="19">
        <v>10</v>
      </c>
      <c r="F22" s="19">
        <v>32</v>
      </c>
      <c r="G22" s="19">
        <v>50</v>
      </c>
      <c r="I22" s="20">
        <f t="shared" si="0"/>
        <v>4.0279625000000001</v>
      </c>
      <c r="J22" s="21">
        <f t="shared" si="1"/>
        <v>1.0286776779442661E-2</v>
      </c>
      <c r="K22" s="21">
        <f t="shared" si="2"/>
        <v>5.5207343956778215E-3</v>
      </c>
      <c r="L22" s="21">
        <f t="shared" si="3"/>
        <v>3.9172093988333124E-3</v>
      </c>
      <c r="M22" s="21">
        <f t="shared" si="4"/>
        <v>4.7660423837648383E-3</v>
      </c>
      <c r="N22" s="18">
        <f t="shared" si="5"/>
        <v>1383512</v>
      </c>
      <c r="O22" s="21">
        <v>16</v>
      </c>
      <c r="P22" s="22">
        <v>40685984</v>
      </c>
      <c r="Q22" s="22">
        <v>1271437</v>
      </c>
      <c r="R22" s="22">
        <v>269686.25</v>
      </c>
      <c r="S22" s="23">
        <v>2577896</v>
      </c>
      <c r="T22" s="23">
        <v>981664</v>
      </c>
      <c r="U22" s="23">
        <v>401848</v>
      </c>
      <c r="V22" s="23">
        <v>1194384</v>
      </c>
      <c r="W22" s="24">
        <v>69.296731249999993</v>
      </c>
      <c r="X22" s="24">
        <v>71.489506250000005</v>
      </c>
      <c r="Y22" s="24">
        <v>33.440903124999998</v>
      </c>
      <c r="Z22" s="24">
        <v>41.810971875</v>
      </c>
      <c r="AA22" s="24">
        <v>40.608506249999998</v>
      </c>
      <c r="AB22" s="25">
        <v>5366.72</v>
      </c>
      <c r="AC22" s="25">
        <v>0</v>
      </c>
      <c r="AD22" s="25">
        <v>75.372</v>
      </c>
      <c r="AE22" s="25">
        <v>0</v>
      </c>
      <c r="AG22" s="20">
        <f t="shared" si="6"/>
        <v>4.7435999999999998</v>
      </c>
      <c r="AH22" s="21">
        <f t="shared" si="7"/>
        <v>1.2114401345832838E-2</v>
      </c>
      <c r="AI22" s="21">
        <f t="shared" si="8"/>
        <v>6.4869163859725782E-3</v>
      </c>
      <c r="AJ22" s="21">
        <f t="shared" si="9"/>
        <v>4.5553824037887899E-3</v>
      </c>
      <c r="AK22" s="21">
        <f t="shared" si="10"/>
        <v>5.6274849598602593E-3</v>
      </c>
      <c r="AL22" s="18">
        <f t="shared" si="11"/>
        <v>1625640</v>
      </c>
      <c r="AM22" s="21">
        <v>-12</v>
      </c>
      <c r="AN22" s="22">
        <v>40542720</v>
      </c>
      <c r="AO22" s="22">
        <v>1266960</v>
      </c>
      <c r="AP22" s="22">
        <v>268187.59375</v>
      </c>
      <c r="AQ22" s="23">
        <v>3035904</v>
      </c>
      <c r="AR22" s="23">
        <v>1141592</v>
      </c>
      <c r="AS22" s="23">
        <v>484048</v>
      </c>
      <c r="AT22" s="23">
        <v>1410264</v>
      </c>
      <c r="AU22" s="24">
        <v>69.362521874999999</v>
      </c>
      <c r="AV22" s="24">
        <v>71.575756249999998</v>
      </c>
      <c r="AW22" s="24">
        <v>33.284940624999997</v>
      </c>
      <c r="AX22" s="24">
        <v>41.617874999999998</v>
      </c>
      <c r="AY22" s="24">
        <v>40.315915625000002</v>
      </c>
      <c r="AZ22" s="25">
        <v>4764.34</v>
      </c>
      <c r="BA22" s="25">
        <v>0</v>
      </c>
      <c r="BB22" s="25">
        <v>73.771000000000001</v>
      </c>
      <c r="BC22" s="25">
        <v>0</v>
      </c>
      <c r="BE22" s="50">
        <f t="shared" si="12"/>
        <v>1.1750096854960419</v>
      </c>
      <c r="BF22" s="26">
        <f t="shared" si="13"/>
        <v>-4.3334724471713604E-4</v>
      </c>
      <c r="BG22" s="26">
        <f t="shared" si="14"/>
        <v>-1.2111506446443876E-3</v>
      </c>
      <c r="BH22" s="26"/>
      <c r="BJ22" s="50"/>
      <c r="BK22" s="50"/>
      <c r="BL22" s="50"/>
      <c r="BM22" s="50"/>
      <c r="BN22" s="50"/>
      <c r="BP22" s="50"/>
      <c r="BQ22" s="50"/>
      <c r="BR22" s="50"/>
      <c r="BS22" s="50"/>
      <c r="BT22" s="50"/>
    </row>
    <row r="23" spans="1:72" outlineLevel="1" x14ac:dyDescent="0.3">
      <c r="A23" s="54"/>
      <c r="B23" s="54" t="s">
        <v>68</v>
      </c>
      <c r="C23" s="10" t="s">
        <v>233</v>
      </c>
      <c r="D23" s="54">
        <v>250602891</v>
      </c>
      <c r="E23" s="10">
        <v>10</v>
      </c>
      <c r="F23" s="10">
        <v>32</v>
      </c>
      <c r="G23" s="10">
        <v>50</v>
      </c>
      <c r="I23" s="11">
        <f t="shared" si="0"/>
        <v>7.6379124999999997</v>
      </c>
      <c r="J23" s="12">
        <f t="shared" si="1"/>
        <v>1.9506015994045337E-2</v>
      </c>
      <c r="K23" s="12">
        <f t="shared" si="2"/>
        <v>8.2377341768176161E-3</v>
      </c>
      <c r="L23" s="12">
        <f t="shared" si="3"/>
        <v>6.634209179973107E-3</v>
      </c>
      <c r="M23" s="12">
        <f t="shared" si="4"/>
        <v>1.1268281817227719E-2</v>
      </c>
      <c r="N23" s="54">
        <f t="shared" si="5"/>
        <v>2064400</v>
      </c>
      <c r="O23" s="12">
        <v>16</v>
      </c>
      <c r="P23" s="13">
        <v>40685984</v>
      </c>
      <c r="Q23" s="13">
        <v>1271437</v>
      </c>
      <c r="R23" s="13">
        <v>266959.46875</v>
      </c>
      <c r="S23" s="14">
        <v>4888264</v>
      </c>
      <c r="T23" s="14">
        <v>1662552</v>
      </c>
      <c r="U23" s="14">
        <v>401848</v>
      </c>
      <c r="V23" s="14">
        <v>2823864</v>
      </c>
      <c r="W23" s="15">
        <v>70.135718749999995</v>
      </c>
      <c r="X23" s="15">
        <v>72.535062499999995</v>
      </c>
      <c r="Y23" s="15">
        <v>35.345446875</v>
      </c>
      <c r="Z23" s="15">
        <v>42.812734374999998</v>
      </c>
      <c r="AA23" s="15">
        <v>41.596353125</v>
      </c>
      <c r="AB23" s="16">
        <v>5670.16</v>
      </c>
      <c r="AC23" s="16">
        <v>0</v>
      </c>
      <c r="AD23" s="16">
        <v>75.376000000000005</v>
      </c>
      <c r="AE23" s="16">
        <v>0</v>
      </c>
      <c r="AG23" s="11">
        <f t="shared" si="6"/>
        <v>8.7191124999999996</v>
      </c>
      <c r="AH23" s="12">
        <f t="shared" si="7"/>
        <v>2.2267229151797775E-2</v>
      </c>
      <c r="AI23" s="12">
        <f t="shared" si="8"/>
        <v>9.4904571551810233E-3</v>
      </c>
      <c r="AJ23" s="12">
        <f t="shared" si="9"/>
        <v>7.5589231729972341E-3</v>
      </c>
      <c r="AK23" s="12">
        <f t="shared" si="10"/>
        <v>1.277677199661675E-2</v>
      </c>
      <c r="AL23" s="54">
        <f t="shared" si="11"/>
        <v>2378336</v>
      </c>
      <c r="AM23" s="12">
        <v>-12</v>
      </c>
      <c r="AN23" s="13">
        <v>40542720</v>
      </c>
      <c r="AO23" s="13">
        <v>1266960</v>
      </c>
      <c r="AP23" s="13">
        <v>262927.03125</v>
      </c>
      <c r="AQ23" s="14">
        <v>5580232</v>
      </c>
      <c r="AR23" s="14">
        <v>1894288</v>
      </c>
      <c r="AS23" s="14">
        <v>484048</v>
      </c>
      <c r="AT23" s="14">
        <v>3201896</v>
      </c>
      <c r="AU23" s="15">
        <v>70.182334374999996</v>
      </c>
      <c r="AV23" s="15">
        <v>72.614965624999996</v>
      </c>
      <c r="AW23" s="15">
        <v>35.267871874999997</v>
      </c>
      <c r="AX23" s="15">
        <v>42.735859374999997</v>
      </c>
      <c r="AY23" s="15">
        <v>41.438918749999999</v>
      </c>
      <c r="AZ23" s="16">
        <v>5109.07</v>
      </c>
      <c r="BA23" s="16">
        <v>0</v>
      </c>
      <c r="BB23" s="16">
        <v>74.346999999999994</v>
      </c>
      <c r="BC23" s="16">
        <v>0</v>
      </c>
      <c r="BE23" s="51">
        <f t="shared" si="12"/>
        <v>1.1520713040108508</v>
      </c>
      <c r="BF23" s="17">
        <f t="shared" si="13"/>
        <v>-2.4408161675940898E-3</v>
      </c>
      <c r="BG23" s="17">
        <f t="shared" si="14"/>
        <v>3.8897529224846128E-3</v>
      </c>
      <c r="BH23" s="17"/>
      <c r="BJ23" s="51"/>
      <c r="BK23" s="51"/>
      <c r="BL23" s="51"/>
      <c r="BM23" s="51"/>
      <c r="BN23" s="51"/>
      <c r="BP23" s="51"/>
      <c r="BQ23" s="51"/>
      <c r="BR23" s="51"/>
      <c r="BS23" s="51"/>
      <c r="BT23" s="51"/>
    </row>
    <row r="24" spans="1:72" outlineLevel="1" x14ac:dyDescent="0.3">
      <c r="A24" s="37"/>
      <c r="B24" s="37" t="s">
        <v>68</v>
      </c>
      <c r="C24" s="38" t="s">
        <v>234</v>
      </c>
      <c r="D24" s="37">
        <v>250602891</v>
      </c>
      <c r="E24" s="38">
        <v>10</v>
      </c>
      <c r="F24" s="38">
        <v>32</v>
      </c>
      <c r="G24" s="38">
        <v>50</v>
      </c>
      <c r="I24" s="39">
        <f t="shared" si="0"/>
        <v>15.946075</v>
      </c>
      <c r="J24" s="40">
        <f t="shared" si="1"/>
        <v>4.0723744084819838E-2</v>
      </c>
      <c r="K24" s="40">
        <f t="shared" si="2"/>
        <v>1.4317632113829045E-2</v>
      </c>
      <c r="L24" s="40">
        <f t="shared" si="3"/>
        <v>1.0746308589073699E-2</v>
      </c>
      <c r="M24" s="40">
        <f t="shared" si="4"/>
        <v>2.6406111970990791E-2</v>
      </c>
      <c r="N24" s="37">
        <f t="shared" si="5"/>
        <v>3588040</v>
      </c>
      <c r="O24" s="40">
        <v>16</v>
      </c>
      <c r="P24" s="41">
        <v>38287000</v>
      </c>
      <c r="Q24" s="41">
        <v>1196468.75</v>
      </c>
      <c r="R24" s="41">
        <v>227785.03125</v>
      </c>
      <c r="S24" s="42">
        <v>10205488</v>
      </c>
      <c r="T24" s="42">
        <v>2693056</v>
      </c>
      <c r="U24" s="42">
        <v>894984</v>
      </c>
      <c r="V24" s="42">
        <v>6617448</v>
      </c>
      <c r="W24" s="43">
        <v>72.148849999999996</v>
      </c>
      <c r="X24" s="43">
        <v>76.163981250000006</v>
      </c>
      <c r="Y24" s="43">
        <v>37.046253125</v>
      </c>
      <c r="Z24" s="43">
        <v>43.821228124999998</v>
      </c>
      <c r="AA24" s="43">
        <v>42.449181250000002</v>
      </c>
      <c r="AB24" s="44">
        <v>6083.47</v>
      </c>
      <c r="AC24" s="44">
        <v>0</v>
      </c>
      <c r="AD24" s="44">
        <v>73.497</v>
      </c>
      <c r="AE24" s="44">
        <v>0</v>
      </c>
      <c r="AG24" s="39">
        <f t="shared" si="6"/>
        <v>17.586625000000002</v>
      </c>
      <c r="AH24" s="40">
        <f t="shared" si="7"/>
        <v>4.4913448344855687E-2</v>
      </c>
      <c r="AI24" s="40">
        <f t="shared" si="8"/>
        <v>1.6227330753339153E-2</v>
      </c>
      <c r="AJ24" s="40">
        <f t="shared" si="9"/>
        <v>1.2005895015792136E-2</v>
      </c>
      <c r="AK24" s="40">
        <f t="shared" si="10"/>
        <v>2.8686117591516531E-2</v>
      </c>
      <c r="AL24" s="37">
        <f t="shared" si="11"/>
        <v>4066616</v>
      </c>
      <c r="AM24" s="40">
        <v>-12</v>
      </c>
      <c r="AN24" s="41">
        <v>38131016</v>
      </c>
      <c r="AO24" s="41">
        <v>1191594.25</v>
      </c>
      <c r="AP24" s="41">
        <v>222781.4375</v>
      </c>
      <c r="AQ24" s="42">
        <v>11255440</v>
      </c>
      <c r="AR24" s="42">
        <v>3008712</v>
      </c>
      <c r="AS24" s="42">
        <v>1057904</v>
      </c>
      <c r="AT24" s="42">
        <v>7188824</v>
      </c>
      <c r="AU24" s="43">
        <v>72.129400000000004</v>
      </c>
      <c r="AV24" s="43">
        <v>76.0966375</v>
      </c>
      <c r="AW24" s="43">
        <v>37.017856250000001</v>
      </c>
      <c r="AX24" s="43">
        <v>43.843946875</v>
      </c>
      <c r="AY24" s="43">
        <v>42.628253125000001</v>
      </c>
      <c r="AZ24" s="44">
        <v>5492.26</v>
      </c>
      <c r="BA24" s="44">
        <v>0</v>
      </c>
      <c r="BB24" s="44">
        <v>73.081999999999994</v>
      </c>
      <c r="BC24" s="44">
        <v>0</v>
      </c>
      <c r="BE24" s="45">
        <f t="shared" si="12"/>
        <v>1.1333808987636704</v>
      </c>
      <c r="BF24" s="46">
        <f t="shared" si="13"/>
        <v>-3.4202759038315378E-3</v>
      </c>
      <c r="BG24" s="46">
        <f t="shared" si="14"/>
        <v>9.7228041468572779E-3</v>
      </c>
      <c r="BH24" s="46"/>
      <c r="BJ24" s="45"/>
      <c r="BK24" s="45"/>
      <c r="BL24" s="45"/>
      <c r="BM24" s="45"/>
      <c r="BN24" s="45"/>
      <c r="BP24" s="45"/>
      <c r="BQ24" s="45"/>
      <c r="BR24" s="45"/>
      <c r="BS24" s="45"/>
      <c r="BT24" s="45"/>
    </row>
    <row r="25" spans="1:72" x14ac:dyDescent="0.3">
      <c r="A25" s="54" t="s">
        <v>235</v>
      </c>
      <c r="B25" s="54" t="s">
        <v>71</v>
      </c>
      <c r="C25" s="10" t="s">
        <v>230</v>
      </c>
      <c r="D25" s="54">
        <v>250294582</v>
      </c>
      <c r="E25" s="10">
        <v>10</v>
      </c>
      <c r="F25" s="10">
        <v>32</v>
      </c>
      <c r="G25" s="10">
        <v>30</v>
      </c>
      <c r="I25" s="11">
        <f t="shared" si="0"/>
        <v>2.0414699999999999</v>
      </c>
      <c r="J25" s="12">
        <f t="shared" si="1"/>
        <v>8.7000205222180962E-3</v>
      </c>
      <c r="K25" s="12">
        <f t="shared" si="2"/>
        <v>5.6454438154797931E-3</v>
      </c>
      <c r="L25" s="12">
        <f t="shared" si="3"/>
        <v>3.5001956214937165E-3</v>
      </c>
      <c r="M25" s="12">
        <f t="shared" si="4"/>
        <v>3.0545767067383027E-3</v>
      </c>
      <c r="N25" s="54">
        <f t="shared" si="5"/>
        <v>1413024</v>
      </c>
      <c r="O25" s="12">
        <v>16</v>
      </c>
      <c r="P25" s="13">
        <v>35965984</v>
      </c>
      <c r="Q25" s="13">
        <v>1123937</v>
      </c>
      <c r="R25" s="13">
        <v>397679.90625</v>
      </c>
      <c r="S25" s="14">
        <v>2177568</v>
      </c>
      <c r="T25" s="14">
        <v>876080</v>
      </c>
      <c r="U25" s="14">
        <v>536944</v>
      </c>
      <c r="V25" s="14">
        <v>764544</v>
      </c>
      <c r="W25" s="15">
        <v>66.017865624999999</v>
      </c>
      <c r="X25" s="15">
        <v>67.422743749999995</v>
      </c>
      <c r="Y25" s="15">
        <v>25.886381249999999</v>
      </c>
      <c r="Z25" s="15">
        <v>32.48035625</v>
      </c>
      <c r="AA25" s="15">
        <v>31.657299999999999</v>
      </c>
      <c r="AB25" s="16">
        <v>5301.19</v>
      </c>
      <c r="AC25" s="16">
        <v>0</v>
      </c>
      <c r="AD25" s="16">
        <v>67.906000000000006</v>
      </c>
      <c r="AE25" s="16">
        <v>0</v>
      </c>
      <c r="AG25" s="11">
        <f t="shared" si="6"/>
        <v>2.2112699999999998</v>
      </c>
      <c r="AH25" s="12">
        <f t="shared" si="7"/>
        <v>9.423647851873997E-3</v>
      </c>
      <c r="AI25" s="12">
        <f t="shared" si="8"/>
        <v>6.1724708048214961E-3</v>
      </c>
      <c r="AJ25" s="12">
        <f t="shared" si="9"/>
        <v>3.6483410575783057E-3</v>
      </c>
      <c r="AK25" s="12">
        <f t="shared" si="10"/>
        <v>3.2511770470525008E-3</v>
      </c>
      <c r="AL25" s="54">
        <f t="shared" si="11"/>
        <v>1544936</v>
      </c>
      <c r="AM25" s="12">
        <v>-12</v>
      </c>
      <c r="AN25" s="13">
        <v>36616544</v>
      </c>
      <c r="AO25" s="13">
        <v>1144267</v>
      </c>
      <c r="AP25" s="13">
        <v>422536.875</v>
      </c>
      <c r="AQ25" s="14">
        <v>2358688</v>
      </c>
      <c r="AR25" s="14">
        <v>913160</v>
      </c>
      <c r="AS25" s="14">
        <v>631776</v>
      </c>
      <c r="AT25" s="14">
        <v>813752</v>
      </c>
      <c r="AU25" s="15">
        <v>65.947278124999997</v>
      </c>
      <c r="AV25" s="15">
        <v>67.33214375</v>
      </c>
      <c r="AW25" s="15">
        <v>25.909312499999999</v>
      </c>
      <c r="AX25" s="15">
        <v>32.478296874999998</v>
      </c>
      <c r="AY25" s="15">
        <v>31.658193749999999</v>
      </c>
      <c r="AZ25" s="16">
        <v>5563.85</v>
      </c>
      <c r="BA25" s="16">
        <v>0</v>
      </c>
      <c r="BB25" s="16">
        <v>69.569999999999993</v>
      </c>
      <c r="BC25" s="16">
        <v>0</v>
      </c>
      <c r="BE25" s="51">
        <f t="shared" si="12"/>
        <v>1.093354394546731</v>
      </c>
      <c r="BF25" s="17">
        <f t="shared" si="13"/>
        <v>1.5436654289958274E-2</v>
      </c>
      <c r="BG25" s="17">
        <f t="shared" si="14"/>
        <v>6.0979754930347019E-3</v>
      </c>
      <c r="BH25" s="17">
        <f t="array" ref="BH25">AVERAGE(AL25:AL29/AQ25:AQ29) - AVERAGE(N25:N29/S25:S29)</f>
        <v>5.8787241632574649E-3</v>
      </c>
      <c r="BJ25" s="51">
        <f>IF( OR(ISBLANK(N25:N29),ISBLANK(AL25:AL29), ISBLANK(W25:W29),ISBLANK(AU25:AU29)), "·", bdRateExtend( N25:N29,W25:W29, AL25:AL29,AU25:AU29))</f>
        <v>8.1215545650700882E-2</v>
      </c>
      <c r="BK25" s="51">
        <f>IF( OR(ISBLANK(N25:N29),ISBLANK(AL25:AL29), ISBLANK(X25:X29),ISBLANK(AV25:AV29)), "·", bdRateExtend( N25:N29,X25:X29, AL25:AL29,AV25:AV29))</f>
        <v>8.1965505488226231E-2</v>
      </c>
      <c r="BL25" s="51">
        <f>IF( OR(ISBLANK(V25:V29),ISBLANK(AT25:AT29), ISBLANK(Y25:Y29),ISBLANK(AW25:AW29)), "·", bdRateExtend( V25:V29,Y25:Y29, AT25:AT29,AW25:AW29))</f>
        <v>2.6008437415253827E-2</v>
      </c>
      <c r="BM25" s="51">
        <f>IF( OR(ISBLANK(V25:V29),ISBLANK(AT25:AT29), ISBLANK(Z25:Z29),ISBLANK(AX25:AX29)), "·", bdRateExtend( V25:V29,Z25:Z29, AT25:AT29,AX25:AX29))</f>
        <v>3.1305207162936277E-2</v>
      </c>
      <c r="BN25" s="51">
        <f>IF( OR(ISBLANK(V25:V29),ISBLANK(AT25:AT29), ISBLANK(AA25:AA29),ISBLANK(AY25:AY29)), "·", bdRateExtend( V25:V29,AA25:AA29, AT25:AT29,AY25:AY29))</f>
        <v>1.9760741005879323E-2</v>
      </c>
      <c r="BP25" s="51">
        <f>IF( OR(ISBLANK(S25:S29),ISBLANK(AQ25:AQ29), ISBLANK(W25:W29),ISBLANK(AU25:AU29)), "·", bdRateExtend( S25:S29,W25:W29, AQ25:AQ29,AU25:AU29))</f>
        <v>7.7062752436675819E-2</v>
      </c>
      <c r="BQ25" s="51">
        <f>IF( OR(ISBLANK(S25:S29),ISBLANK(AQ25:AQ29), ISBLANK(X25:X29),ISBLANK(AV25:AV29)), "·", bdRateExtend( S25:S29,X25:X29, AQ25:AQ29,AV25:AV29))</f>
        <v>7.3933138866467463E-2</v>
      </c>
      <c r="BR25" s="51">
        <f>IF( OR(ISBLANK(S25:S29),ISBLANK(AQ25:AQ29), ISBLANK(Y25:Y29),ISBLANK(AW25:AW29)), "·", bdRateExtend( S25:S29,Y25:Y29, AQ25:AQ29,AW25:AW29))</f>
        <v>3.8836664945602672E-2</v>
      </c>
      <c r="BS25" s="51">
        <f>IF( OR(ISBLANK(S25:S29),ISBLANK(AQ25:AQ29), ISBLANK(Z25:Z29),ISBLANK(AX25:AX29)), "·", bdRateExtend( S25:S29,Z25:Z29, AQ25:AQ29,AX25:AX29))</f>
        <v>4.2021361184222394E-2</v>
      </c>
      <c r="BT25" s="51">
        <f>IF( OR(ISBLANK(S25:S29),ISBLANK(AQ25:AQ29), ISBLANK(AA25:AA29),ISBLANK(AY25:AY29)), "·", bdRateExtend( S25:S29,AA25:AA29, AQ25:AQ29,AY25:AY29))</f>
        <v>3.3582108567782099E-2</v>
      </c>
    </row>
    <row r="26" spans="1:72" outlineLevel="1" x14ac:dyDescent="0.3">
      <c r="A26" s="18"/>
      <c r="B26" s="18" t="s">
        <v>71</v>
      </c>
      <c r="C26" s="19" t="s">
        <v>231</v>
      </c>
      <c r="D26" s="18">
        <v>250294582</v>
      </c>
      <c r="E26" s="19">
        <v>10</v>
      </c>
      <c r="F26" s="19">
        <v>32</v>
      </c>
      <c r="G26" s="19">
        <v>30</v>
      </c>
      <c r="I26" s="20">
        <f t="shared" si="0"/>
        <v>3.1549575000000001</v>
      </c>
      <c r="J26" s="21">
        <f t="shared" si="1"/>
        <v>1.3445309015917891E-2</v>
      </c>
      <c r="K26" s="21">
        <f t="shared" si="2"/>
        <v>7.1350166101477978E-3</v>
      </c>
      <c r="L26" s="21">
        <f t="shared" si="3"/>
        <v>4.9897684161617209E-3</v>
      </c>
      <c r="M26" s="21">
        <f t="shared" si="4"/>
        <v>6.3102924057700941E-3</v>
      </c>
      <c r="N26" s="18">
        <f t="shared" si="5"/>
        <v>1785856</v>
      </c>
      <c r="O26" s="21">
        <v>16</v>
      </c>
      <c r="P26" s="22">
        <v>35965984</v>
      </c>
      <c r="Q26" s="22">
        <v>1123937</v>
      </c>
      <c r="R26" s="22">
        <v>360739.9375</v>
      </c>
      <c r="S26" s="23">
        <v>3365288</v>
      </c>
      <c r="T26" s="23">
        <v>1248912</v>
      </c>
      <c r="U26" s="23">
        <v>536944</v>
      </c>
      <c r="V26" s="23">
        <v>1579432</v>
      </c>
      <c r="W26" s="24">
        <v>67.494734374999993</v>
      </c>
      <c r="X26" s="24">
        <v>69.202596874999998</v>
      </c>
      <c r="Y26" s="24">
        <v>27.894359375000001</v>
      </c>
      <c r="Z26" s="24">
        <v>33.679109375000003</v>
      </c>
      <c r="AA26" s="24">
        <v>33.011231250000002</v>
      </c>
      <c r="AB26" s="25">
        <v>5663.28</v>
      </c>
      <c r="AC26" s="25">
        <v>0</v>
      </c>
      <c r="AD26" s="25">
        <v>72.626999999999995</v>
      </c>
      <c r="AE26" s="25">
        <v>0</v>
      </c>
      <c r="AG26" s="20">
        <f t="shared" si="6"/>
        <v>3.3666524999999998</v>
      </c>
      <c r="AH26" s="21">
        <f t="shared" si="7"/>
        <v>1.4347477964984475E-2</v>
      </c>
      <c r="AI26" s="21">
        <f t="shared" si="8"/>
        <v>7.6828510814508965E-3</v>
      </c>
      <c r="AJ26" s="21">
        <f t="shared" si="9"/>
        <v>5.1587213342077056E-3</v>
      </c>
      <c r="AK26" s="21">
        <f t="shared" si="10"/>
        <v>6.6646268835335795E-3</v>
      </c>
      <c r="AL26" s="18">
        <f t="shared" si="11"/>
        <v>1922976</v>
      </c>
      <c r="AM26" s="21">
        <v>-12</v>
      </c>
      <c r="AN26" s="22">
        <v>36616544</v>
      </c>
      <c r="AO26" s="22">
        <v>1144267</v>
      </c>
      <c r="AP26" s="22">
        <v>380111.90625</v>
      </c>
      <c r="AQ26" s="23">
        <v>3591096</v>
      </c>
      <c r="AR26" s="23">
        <v>1291200</v>
      </c>
      <c r="AS26" s="23">
        <v>631776</v>
      </c>
      <c r="AT26" s="23">
        <v>1668120</v>
      </c>
      <c r="AU26" s="24">
        <v>67.434031250000004</v>
      </c>
      <c r="AV26" s="24">
        <v>69.126706249999998</v>
      </c>
      <c r="AW26" s="24">
        <v>27.922193750000002</v>
      </c>
      <c r="AX26" s="24">
        <v>33.668109375</v>
      </c>
      <c r="AY26" s="24">
        <v>33.035446874999998</v>
      </c>
      <c r="AZ26" s="25">
        <v>5961.32</v>
      </c>
      <c r="BA26" s="25">
        <v>0</v>
      </c>
      <c r="BB26" s="25">
        <v>69.971999999999994</v>
      </c>
      <c r="BC26" s="25">
        <v>0</v>
      </c>
      <c r="BE26" s="50">
        <f t="shared" si="12"/>
        <v>1.0767811066513762</v>
      </c>
      <c r="BF26" s="26">
        <f t="shared" si="13"/>
        <v>1.1227127696378014E-2</v>
      </c>
      <c r="BG26" s="26">
        <f t="shared" si="14"/>
        <v>4.8148424423783975E-3</v>
      </c>
      <c r="BH26" s="26"/>
      <c r="BJ26" s="50"/>
      <c r="BK26" s="50"/>
      <c r="BL26" s="50"/>
      <c r="BM26" s="50"/>
      <c r="BN26" s="50"/>
      <c r="BP26" s="50"/>
      <c r="BQ26" s="50"/>
      <c r="BR26" s="50"/>
      <c r="BS26" s="50"/>
      <c r="BT26" s="50"/>
    </row>
    <row r="27" spans="1:72" outlineLevel="1" x14ac:dyDescent="0.3">
      <c r="A27" s="54"/>
      <c r="B27" s="54" t="s">
        <v>71</v>
      </c>
      <c r="C27" s="10" t="s">
        <v>232</v>
      </c>
      <c r="D27" s="54">
        <v>250294582</v>
      </c>
      <c r="E27" s="10">
        <v>10</v>
      </c>
      <c r="F27" s="10">
        <v>32</v>
      </c>
      <c r="G27" s="10">
        <v>30</v>
      </c>
      <c r="I27" s="11">
        <f t="shared" si="0"/>
        <v>5.3352300000000001</v>
      </c>
      <c r="J27" s="12">
        <f t="shared" si="1"/>
        <v>2.2736856525324228E-2</v>
      </c>
      <c r="K27" s="12">
        <f t="shared" si="2"/>
        <v>9.294903554883981E-3</v>
      </c>
      <c r="L27" s="12">
        <f t="shared" si="3"/>
        <v>7.149655360897904E-3</v>
      </c>
      <c r="M27" s="12">
        <f t="shared" si="4"/>
        <v>1.3441952970440247E-2</v>
      </c>
      <c r="N27" s="54">
        <f t="shared" si="5"/>
        <v>2326464</v>
      </c>
      <c r="O27" s="12">
        <v>16</v>
      </c>
      <c r="P27" s="13">
        <v>35965984</v>
      </c>
      <c r="Q27" s="13">
        <v>1123937</v>
      </c>
      <c r="R27" s="13">
        <v>355434.59375</v>
      </c>
      <c r="S27" s="14">
        <v>5690912</v>
      </c>
      <c r="T27" s="14">
        <v>1789520</v>
      </c>
      <c r="U27" s="14">
        <v>536944</v>
      </c>
      <c r="V27" s="14">
        <v>3364448</v>
      </c>
      <c r="W27" s="15">
        <v>68.754750000000001</v>
      </c>
      <c r="X27" s="15">
        <v>70.737503125000003</v>
      </c>
      <c r="Y27" s="15">
        <v>30.186846875000001</v>
      </c>
      <c r="Z27" s="15">
        <v>34.918843750000001</v>
      </c>
      <c r="AA27" s="15">
        <v>34.344093749999999</v>
      </c>
      <c r="AB27" s="16">
        <v>5983.79</v>
      </c>
      <c r="AC27" s="16">
        <v>0</v>
      </c>
      <c r="AD27" s="16">
        <v>71.188999999999993</v>
      </c>
      <c r="AE27" s="16">
        <v>0</v>
      </c>
      <c r="AG27" s="11">
        <f t="shared" si="6"/>
        <v>5.6186775000000004</v>
      </c>
      <c r="AH27" s="12">
        <f t="shared" si="7"/>
        <v>2.3944809160911042E-2</v>
      </c>
      <c r="AI27" s="12">
        <f t="shared" si="8"/>
        <v>9.9255844059780735E-3</v>
      </c>
      <c r="AJ27" s="12">
        <f t="shared" si="9"/>
        <v>7.4014546587348826E-3</v>
      </c>
      <c r="AK27" s="12">
        <f t="shared" si="10"/>
        <v>1.4019224754932969E-2</v>
      </c>
      <c r="AL27" s="54">
        <f t="shared" si="11"/>
        <v>2484320</v>
      </c>
      <c r="AM27" s="12">
        <v>-12</v>
      </c>
      <c r="AN27" s="13">
        <v>36616544</v>
      </c>
      <c r="AO27" s="13">
        <v>1144267</v>
      </c>
      <c r="AP27" s="13">
        <v>370961.65625</v>
      </c>
      <c r="AQ27" s="14">
        <v>5993256</v>
      </c>
      <c r="AR27" s="14">
        <v>1852544</v>
      </c>
      <c r="AS27" s="14">
        <v>631776</v>
      </c>
      <c r="AT27" s="14">
        <v>3508936</v>
      </c>
      <c r="AU27" s="15">
        <v>68.711943750000003</v>
      </c>
      <c r="AV27" s="15">
        <v>70.681509375000005</v>
      </c>
      <c r="AW27" s="15">
        <v>30.230978125</v>
      </c>
      <c r="AX27" s="15">
        <v>34.945596875</v>
      </c>
      <c r="AY27" s="15">
        <v>34.379228124999997</v>
      </c>
      <c r="AZ27" s="16">
        <v>6243.99</v>
      </c>
      <c r="BA27" s="16">
        <v>0</v>
      </c>
      <c r="BB27" s="16">
        <v>70.744</v>
      </c>
      <c r="BC27" s="16">
        <v>0</v>
      </c>
      <c r="BE27" s="51">
        <f t="shared" si="12"/>
        <v>1.0678523286842179</v>
      </c>
      <c r="BF27" s="17">
        <f t="shared" si="13"/>
        <v>7.9508450471630909E-3</v>
      </c>
      <c r="BG27" s="17">
        <f t="shared" si="14"/>
        <v>5.7158836718836925E-3</v>
      </c>
      <c r="BH27" s="17"/>
      <c r="BJ27" s="51"/>
      <c r="BK27" s="51"/>
      <c r="BL27" s="51"/>
      <c r="BM27" s="51"/>
      <c r="BN27" s="51"/>
      <c r="BP27" s="51"/>
      <c r="BQ27" s="51"/>
      <c r="BR27" s="51"/>
      <c r="BS27" s="51"/>
      <c r="BT27" s="51"/>
    </row>
    <row r="28" spans="1:72" outlineLevel="1" x14ac:dyDescent="0.3">
      <c r="A28" s="18"/>
      <c r="B28" s="18" t="s">
        <v>71</v>
      </c>
      <c r="C28" s="19" t="s">
        <v>233</v>
      </c>
      <c r="D28" s="18">
        <v>250294582</v>
      </c>
      <c r="E28" s="19">
        <v>10</v>
      </c>
      <c r="F28" s="19">
        <v>32</v>
      </c>
      <c r="G28" s="19">
        <v>30</v>
      </c>
      <c r="I28" s="20">
        <f t="shared" si="0"/>
        <v>10.3149525</v>
      </c>
      <c r="J28" s="21">
        <f t="shared" si="1"/>
        <v>4.3958666272688234E-2</v>
      </c>
      <c r="K28" s="21">
        <f t="shared" si="2"/>
        <v>1.3195523345367499E-2</v>
      </c>
      <c r="L28" s="21">
        <f t="shared" si="3"/>
        <v>1.1050275151381423E-2</v>
      </c>
      <c r="M28" s="21">
        <f t="shared" si="4"/>
        <v>3.0763142927320734E-2</v>
      </c>
      <c r="N28" s="18">
        <f t="shared" si="5"/>
        <v>3302768</v>
      </c>
      <c r="O28" s="21">
        <v>16</v>
      </c>
      <c r="P28" s="22">
        <v>35965984</v>
      </c>
      <c r="Q28" s="22">
        <v>1123937</v>
      </c>
      <c r="R28" s="22">
        <v>336079.8125</v>
      </c>
      <c r="S28" s="23">
        <v>11002616</v>
      </c>
      <c r="T28" s="23">
        <v>2765824</v>
      </c>
      <c r="U28" s="23">
        <v>536944</v>
      </c>
      <c r="V28" s="23">
        <v>7699848</v>
      </c>
      <c r="W28" s="24">
        <v>69.642568749999995</v>
      </c>
      <c r="X28" s="24">
        <v>71.776631249999994</v>
      </c>
      <c r="Y28" s="24">
        <v>32.689515624999999</v>
      </c>
      <c r="Z28" s="24">
        <v>36.431209375000002</v>
      </c>
      <c r="AA28" s="24">
        <v>35.864037500000002</v>
      </c>
      <c r="AB28" s="25">
        <v>6425.25</v>
      </c>
      <c r="AC28" s="25">
        <v>0</v>
      </c>
      <c r="AD28" s="25">
        <v>72.259</v>
      </c>
      <c r="AE28" s="25">
        <v>0</v>
      </c>
      <c r="AG28" s="20">
        <f t="shared" si="6"/>
        <v>10.7141625</v>
      </c>
      <c r="AH28" s="21">
        <f t="shared" si="7"/>
        <v>4.565995759348878E-2</v>
      </c>
      <c r="AI28" s="21">
        <f t="shared" si="8"/>
        <v>1.3885014898165075E-2</v>
      </c>
      <c r="AJ28" s="21">
        <f t="shared" si="9"/>
        <v>1.1360885150921884E-2</v>
      </c>
      <c r="AK28" s="21">
        <f t="shared" si="10"/>
        <v>3.1774942695323702E-2</v>
      </c>
      <c r="AL28" s="18">
        <f t="shared" si="11"/>
        <v>3475344</v>
      </c>
      <c r="AM28" s="21">
        <v>-12</v>
      </c>
      <c r="AN28" s="22">
        <v>36616544</v>
      </c>
      <c r="AO28" s="22">
        <v>1144267</v>
      </c>
      <c r="AP28" s="22">
        <v>349296.65625</v>
      </c>
      <c r="AQ28" s="23">
        <v>11428440</v>
      </c>
      <c r="AR28" s="23">
        <v>2843568</v>
      </c>
      <c r="AS28" s="23">
        <v>631776</v>
      </c>
      <c r="AT28" s="23">
        <v>7953096</v>
      </c>
      <c r="AU28" s="24">
        <v>69.567253124999993</v>
      </c>
      <c r="AV28" s="24">
        <v>71.689365624999994</v>
      </c>
      <c r="AW28" s="24">
        <v>32.752693749999999</v>
      </c>
      <c r="AX28" s="24">
        <v>36.454865624999996</v>
      </c>
      <c r="AY28" s="24">
        <v>35.917324999999998</v>
      </c>
      <c r="AZ28" s="25">
        <v>6679.96</v>
      </c>
      <c r="BA28" s="25">
        <v>0</v>
      </c>
      <c r="BB28" s="25">
        <v>71.096999999999994</v>
      </c>
      <c r="BC28" s="25">
        <v>0</v>
      </c>
      <c r="BE28" s="50">
        <f t="shared" si="12"/>
        <v>1.0522519292908252</v>
      </c>
      <c r="BF28" s="26">
        <f t="shared" si="13"/>
        <v>6.2378483878837154E-3</v>
      </c>
      <c r="BG28" s="26">
        <f t="shared" si="14"/>
        <v>3.9158490622875908E-3</v>
      </c>
      <c r="BH28" s="26"/>
      <c r="BJ28" s="50"/>
      <c r="BK28" s="50"/>
      <c r="BL28" s="50"/>
      <c r="BM28" s="50"/>
      <c r="BN28" s="50"/>
      <c r="BP28" s="50"/>
      <c r="BQ28" s="50"/>
      <c r="BR28" s="50"/>
      <c r="BS28" s="50"/>
      <c r="BT28" s="50"/>
    </row>
    <row r="29" spans="1:72" outlineLevel="1" x14ac:dyDescent="0.3">
      <c r="A29" s="27"/>
      <c r="B29" s="27" t="s">
        <v>71</v>
      </c>
      <c r="C29" s="28" t="s">
        <v>234</v>
      </c>
      <c r="D29" s="27">
        <v>250294582</v>
      </c>
      <c r="E29" s="28">
        <v>10</v>
      </c>
      <c r="F29" s="28">
        <v>32</v>
      </c>
      <c r="G29" s="28">
        <v>30</v>
      </c>
      <c r="I29" s="29">
        <f t="shared" si="0"/>
        <v>23.954370000000001</v>
      </c>
      <c r="J29" s="30">
        <f t="shared" si="1"/>
        <v>0.10208502235977285</v>
      </c>
      <c r="K29" s="30">
        <f t="shared" si="2"/>
        <v>2.1608458148726528E-2</v>
      </c>
      <c r="L29" s="30">
        <f t="shared" si="3"/>
        <v>1.7256913695399129E-2</v>
      </c>
      <c r="M29" s="30">
        <f t="shared" si="4"/>
        <v>8.047656421104632E-2</v>
      </c>
      <c r="N29" s="27">
        <f t="shared" si="5"/>
        <v>5408480</v>
      </c>
      <c r="O29" s="30">
        <v>16</v>
      </c>
      <c r="P29" s="31">
        <v>34517616</v>
      </c>
      <c r="Q29" s="31">
        <v>1078675.5</v>
      </c>
      <c r="R29" s="31">
        <v>316593.625</v>
      </c>
      <c r="S29" s="32">
        <v>25551328</v>
      </c>
      <c r="T29" s="32">
        <v>4319312</v>
      </c>
      <c r="U29" s="32">
        <v>1089168</v>
      </c>
      <c r="V29" s="32">
        <v>20142848</v>
      </c>
      <c r="W29" s="33">
        <v>71.312581249999994</v>
      </c>
      <c r="X29" s="33">
        <v>75.027540625</v>
      </c>
      <c r="Y29" s="33">
        <v>35.803153125000001</v>
      </c>
      <c r="Z29" s="33">
        <v>38.369349999999997</v>
      </c>
      <c r="AA29" s="33">
        <v>37.765228125</v>
      </c>
      <c r="AB29" s="34">
        <v>7208.27</v>
      </c>
      <c r="AC29" s="34">
        <v>0</v>
      </c>
      <c r="AD29" s="34">
        <v>71.129000000000005</v>
      </c>
      <c r="AE29" s="34">
        <v>0</v>
      </c>
      <c r="AG29" s="29">
        <f t="shared" si="6"/>
        <v>24.701879999999999</v>
      </c>
      <c r="AH29" s="30">
        <f t="shared" si="7"/>
        <v>0.1052706446518287</v>
      </c>
      <c r="AI29" s="30">
        <f t="shared" si="8"/>
        <v>2.3214309928610441E-2</v>
      </c>
      <c r="AJ29" s="30">
        <f t="shared" si="9"/>
        <v>1.8036602965700633E-2</v>
      </c>
      <c r="AK29" s="30">
        <f t="shared" si="10"/>
        <v>8.2056334723218258E-2</v>
      </c>
      <c r="AL29" s="27">
        <f t="shared" si="11"/>
        <v>5810416</v>
      </c>
      <c r="AM29" s="30">
        <v>-12</v>
      </c>
      <c r="AN29" s="31">
        <v>34934304</v>
      </c>
      <c r="AO29" s="31">
        <v>1091697</v>
      </c>
      <c r="AP29" s="31">
        <v>324581.84375</v>
      </c>
      <c r="AQ29" s="32">
        <v>26348672</v>
      </c>
      <c r="AR29" s="32">
        <v>4514464</v>
      </c>
      <c r="AS29" s="32">
        <v>1295952</v>
      </c>
      <c r="AT29" s="32">
        <v>20538256</v>
      </c>
      <c r="AU29" s="33">
        <v>71.424446875000001</v>
      </c>
      <c r="AV29" s="33">
        <v>75.016006250000004</v>
      </c>
      <c r="AW29" s="33">
        <v>35.857871875000001</v>
      </c>
      <c r="AX29" s="33">
        <v>38.432221875000003</v>
      </c>
      <c r="AY29" s="33">
        <v>37.849178125000002</v>
      </c>
      <c r="AZ29" s="34">
        <v>7423.68</v>
      </c>
      <c r="BA29" s="34">
        <v>0</v>
      </c>
      <c r="BB29" s="34">
        <v>73.683000000000007</v>
      </c>
      <c r="BC29" s="34">
        <v>0</v>
      </c>
      <c r="BE29" s="35">
        <f t="shared" si="12"/>
        <v>1.0743158891222673</v>
      </c>
      <c r="BF29" s="36">
        <f t="shared" si="13"/>
        <v>3.8164251997207521E-3</v>
      </c>
      <c r="BG29" s="36">
        <f t="shared" si="14"/>
        <v>8.8490701467033861E-3</v>
      </c>
      <c r="BH29" s="36"/>
      <c r="BJ29" s="35"/>
      <c r="BK29" s="35"/>
      <c r="BL29" s="35"/>
      <c r="BM29" s="35"/>
      <c r="BN29" s="35"/>
      <c r="BP29" s="35"/>
      <c r="BQ29" s="35"/>
      <c r="BR29" s="35"/>
      <c r="BS29" s="35"/>
      <c r="BT29" s="35"/>
    </row>
    <row r="30" spans="1:72" x14ac:dyDescent="0.3">
      <c r="A30" s="18" t="s">
        <v>236</v>
      </c>
      <c r="B30" s="18" t="s">
        <v>75</v>
      </c>
      <c r="C30" s="19" t="s">
        <v>230</v>
      </c>
      <c r="D30" s="18">
        <v>375422539</v>
      </c>
      <c r="E30" s="19">
        <v>11</v>
      </c>
      <c r="F30" s="19">
        <v>32</v>
      </c>
      <c r="G30" s="19">
        <v>30</v>
      </c>
      <c r="I30" s="20">
        <f t="shared" si="0"/>
        <v>3.6294675000000001</v>
      </c>
      <c r="J30" s="21">
        <f t="shared" si="1"/>
        <v>1.0312199183118305E-2</v>
      </c>
      <c r="K30" s="21">
        <f t="shared" si="2"/>
        <v>8.1807981166522343E-3</v>
      </c>
      <c r="L30" s="21">
        <f t="shared" si="3"/>
        <v>5.1498666146946497E-3</v>
      </c>
      <c r="M30" s="21">
        <f t="shared" si="4"/>
        <v>2.1314010664660707E-3</v>
      </c>
      <c r="N30" s="18">
        <f t="shared" si="5"/>
        <v>3071256</v>
      </c>
      <c r="O30" s="21">
        <v>16</v>
      </c>
      <c r="P30" s="22">
        <v>132024544</v>
      </c>
      <c r="Q30" s="22">
        <v>4125767</v>
      </c>
      <c r="R30" s="22">
        <v>1447391.9375</v>
      </c>
      <c r="S30" s="23">
        <v>3871432</v>
      </c>
      <c r="T30" s="23">
        <v>1933376</v>
      </c>
      <c r="U30" s="23">
        <v>1137880</v>
      </c>
      <c r="V30" s="23">
        <v>800176</v>
      </c>
      <c r="W30" s="24">
        <v>73.501381249999994</v>
      </c>
      <c r="X30" s="24">
        <v>75.134518749999998</v>
      </c>
      <c r="Y30" s="24">
        <v>33.202296875000002</v>
      </c>
      <c r="Z30" s="24">
        <v>41.833268750000002</v>
      </c>
      <c r="AA30" s="24">
        <v>43.421468750000003</v>
      </c>
      <c r="AB30" s="25">
        <v>16832.599999999999</v>
      </c>
      <c r="AC30" s="25">
        <v>0</v>
      </c>
      <c r="AD30" s="25">
        <v>239.51900000000001</v>
      </c>
      <c r="AE30" s="25">
        <v>0</v>
      </c>
      <c r="AG30" s="20">
        <f t="shared" si="6"/>
        <v>3.8131349999999999</v>
      </c>
      <c r="AH30" s="21">
        <f t="shared" si="7"/>
        <v>1.0834043184604854E-2</v>
      </c>
      <c r="AI30" s="21">
        <f t="shared" si="8"/>
        <v>8.5784940045914512E-3</v>
      </c>
      <c r="AJ30" s="21">
        <f t="shared" si="9"/>
        <v>5.3284813568425628E-3</v>
      </c>
      <c r="AK30" s="21">
        <f t="shared" si="10"/>
        <v>2.2555491800134034E-3</v>
      </c>
      <c r="AL30" s="18">
        <f t="shared" si="11"/>
        <v>3220560</v>
      </c>
      <c r="AM30" s="21">
        <v>-12</v>
      </c>
      <c r="AN30" s="22">
        <v>131739424</v>
      </c>
      <c r="AO30" s="22">
        <v>4116857</v>
      </c>
      <c r="AP30" s="22">
        <v>1441320.5625</v>
      </c>
      <c r="AQ30" s="23">
        <v>4067344</v>
      </c>
      <c r="AR30" s="23">
        <v>2000432</v>
      </c>
      <c r="AS30" s="23">
        <v>1220128</v>
      </c>
      <c r="AT30" s="23">
        <v>846784</v>
      </c>
      <c r="AU30" s="24">
        <v>73.465459374999995</v>
      </c>
      <c r="AV30" s="24">
        <v>75.107965625000006</v>
      </c>
      <c r="AW30" s="24">
        <v>33.151540625000003</v>
      </c>
      <c r="AX30" s="24">
        <v>41.823278125000002</v>
      </c>
      <c r="AY30" s="24">
        <v>43.377303124999997</v>
      </c>
      <c r="AZ30" s="25">
        <v>16182.8</v>
      </c>
      <c r="BA30" s="25">
        <v>0</v>
      </c>
      <c r="BB30" s="25">
        <v>236.209</v>
      </c>
      <c r="BC30" s="25">
        <v>0</v>
      </c>
      <c r="BE30" s="50">
        <f t="shared" si="12"/>
        <v>1.0486133360423229</v>
      </c>
      <c r="BF30" s="26">
        <f t="shared" si="13"/>
        <v>-7.1549476254312294E-4</v>
      </c>
      <c r="BG30" s="26">
        <f t="shared" si="14"/>
        <v>-1.5035534094547387E-3</v>
      </c>
      <c r="BH30" s="26">
        <f t="array" ref="BH30">AVERAGE(AL30:AL34/AQ30:AQ34) - AVERAGE(N30:N34/S30:S34)</f>
        <v>2.7523495775511053E-3</v>
      </c>
      <c r="BJ30" s="50">
        <f>IF( OR(ISBLANK(N30:N34),ISBLANK(AL30:AL34), ISBLANK(W30:W34),ISBLANK(AU30:AU34)), "·", bdRateExtend( N30:N34,W30:W34, AL30:AL34,AU30:AU34))</f>
        <v>4.5410131925366581E-2</v>
      </c>
      <c r="BK30" s="50">
        <f>IF( OR(ISBLANK(N30:N34),ISBLANK(AL30:AL34), ISBLANK(X30:X34),ISBLANK(AV30:AV34)), "·", bdRateExtend( N30:N34,X30:X34, AL30:AL34,AV30:AV34))</f>
        <v>4.407397339104091E-2</v>
      </c>
      <c r="BL30" s="50">
        <f>IF( OR(ISBLANK(V30:V34),ISBLANK(AT30:AT34), ISBLANK(Y30:Y34),ISBLANK(AW30:AW34)), "·", bdRateExtend( V30:V34,Y30:Y34, AT30:AT34,AW30:AW34))</f>
        <v>4.5916376829973959E-2</v>
      </c>
      <c r="BM30" s="50">
        <f>IF( OR(ISBLANK(V30:V34),ISBLANK(AT30:AT34), ISBLANK(Z30:Z34),ISBLANK(AX30:AX34)), "·", bdRateExtend( V30:V34,Z30:Z34, AT30:AT34,AX30:AX34))</f>
        <v>4.2207413561410334E-2</v>
      </c>
      <c r="BN30" s="50">
        <f>IF( OR(ISBLANK(V30:V34),ISBLANK(AT30:AT34), ISBLANK(AA30:AA34),ISBLANK(AY30:AY34)), "·", bdRateExtend( V30:V34,AA30:AA34, AT30:AT34,AY30:AY34))</f>
        <v>6.2406150850566666E-2</v>
      </c>
      <c r="BP30" s="50">
        <f>IF( OR(ISBLANK(S30:S34),ISBLANK(AQ30:AQ34), ISBLANK(W30:W34),ISBLANK(AU30:AU34)), "·", bdRateExtend( S30:S34,W30:W34, AQ30:AQ34,AU30:AU34))</f>
        <v>3.9502144969999486E-2</v>
      </c>
      <c r="BQ30" s="50">
        <f>IF( OR(ISBLANK(S30:S34),ISBLANK(AQ30:AQ34), ISBLANK(X30:X34),ISBLANK(AV30:AV34)), "·", bdRateExtend( S30:S34,X30:X34, AQ30:AQ34,AV30:AV34))</f>
        <v>3.6648259052087573E-2</v>
      </c>
      <c r="BR30" s="50">
        <f>IF( OR(ISBLANK(S30:S34),ISBLANK(AQ30:AQ34), ISBLANK(Y30:Y34),ISBLANK(AW30:AW34)), "·", bdRateExtend( S30:S34,Y30:Y34, AQ30:AQ34,AW30:AW34))</f>
        <v>4.7323468375883415E-2</v>
      </c>
      <c r="BS30" s="50">
        <f>IF( OR(ISBLANK(S30:S34),ISBLANK(AQ30:AQ34), ISBLANK(Z30:Z34),ISBLANK(AX30:AX34)), "·", bdRateExtend( S30:S34,Z30:Z34, AQ30:AQ34,AX30:AX34))</f>
        <v>4.6216430049621726E-2</v>
      </c>
      <c r="BT30" s="50">
        <f>IF( OR(ISBLANK(S30:S34),ISBLANK(AQ30:AQ34), ISBLANK(AA30:AA34),ISBLANK(AY30:AY34)), "·", bdRateExtend( S30:S34,AA30:AA34, AQ30:AQ34,AY30:AY34))</f>
        <v>5.7311441106906003E-2</v>
      </c>
    </row>
    <row r="31" spans="1:72" outlineLevel="1" x14ac:dyDescent="0.3">
      <c r="A31" s="54"/>
      <c r="B31" s="54" t="s">
        <v>75</v>
      </c>
      <c r="C31" s="10" t="s">
        <v>231</v>
      </c>
      <c r="D31" s="54">
        <v>375422539</v>
      </c>
      <c r="E31" s="10">
        <v>11</v>
      </c>
      <c r="F31" s="10">
        <v>32</v>
      </c>
      <c r="G31" s="10">
        <v>30</v>
      </c>
      <c r="I31" s="11">
        <f t="shared" si="0"/>
        <v>4.8557775000000003</v>
      </c>
      <c r="J31" s="12">
        <f t="shared" si="1"/>
        <v>1.3796443905036825E-2</v>
      </c>
      <c r="K31" s="12">
        <f t="shared" si="2"/>
        <v>1.0106670766509307E-2</v>
      </c>
      <c r="L31" s="12">
        <f t="shared" si="3"/>
        <v>7.0757392645517218E-3</v>
      </c>
      <c r="M31" s="12">
        <f t="shared" si="4"/>
        <v>3.6897731385275192E-3</v>
      </c>
      <c r="N31" s="54">
        <f t="shared" si="5"/>
        <v>3794272</v>
      </c>
      <c r="O31" s="12">
        <v>16</v>
      </c>
      <c r="P31" s="13">
        <v>132024544</v>
      </c>
      <c r="Q31" s="13">
        <v>4125767</v>
      </c>
      <c r="R31" s="13">
        <v>1321097.6875</v>
      </c>
      <c r="S31" s="14">
        <v>5179496</v>
      </c>
      <c r="T31" s="14">
        <v>2656392</v>
      </c>
      <c r="U31" s="14">
        <v>1137880</v>
      </c>
      <c r="V31" s="14">
        <v>1385224</v>
      </c>
      <c r="W31" s="15">
        <v>74.984359374999997</v>
      </c>
      <c r="X31" s="15">
        <v>76.927012500000004</v>
      </c>
      <c r="Y31" s="15">
        <v>35.163740625000003</v>
      </c>
      <c r="Z31" s="15">
        <v>42.472521874999998</v>
      </c>
      <c r="AA31" s="15">
        <v>44.669403125000002</v>
      </c>
      <c r="AB31" s="16">
        <v>17740.5</v>
      </c>
      <c r="AC31" s="16">
        <v>0</v>
      </c>
      <c r="AD31" s="16">
        <v>260.70699999999999</v>
      </c>
      <c r="AE31" s="16">
        <v>0</v>
      </c>
      <c r="AG31" s="11">
        <f t="shared" si="6"/>
        <v>5.0823</v>
      </c>
      <c r="AH31" s="12">
        <f t="shared" si="7"/>
        <v>1.4440049375937975E-2</v>
      </c>
      <c r="AI31" s="12">
        <f t="shared" si="8"/>
        <v>1.0586812423640873E-2</v>
      </c>
      <c r="AJ31" s="12">
        <f t="shared" si="9"/>
        <v>7.336799775891985E-3</v>
      </c>
      <c r="AK31" s="12">
        <f t="shared" si="10"/>
        <v>3.8532369522971022E-3</v>
      </c>
      <c r="AL31" s="54">
        <f t="shared" si="11"/>
        <v>3974528</v>
      </c>
      <c r="AM31" s="12">
        <v>-12</v>
      </c>
      <c r="AN31" s="13">
        <v>131739424</v>
      </c>
      <c r="AO31" s="13">
        <v>4116857</v>
      </c>
      <c r="AP31" s="13">
        <v>1322124.0625</v>
      </c>
      <c r="AQ31" s="14">
        <v>5421120</v>
      </c>
      <c r="AR31" s="14">
        <v>2754400</v>
      </c>
      <c r="AS31" s="14">
        <v>1220128</v>
      </c>
      <c r="AT31" s="14">
        <v>1446592</v>
      </c>
      <c r="AU31" s="15">
        <v>74.982943750000004</v>
      </c>
      <c r="AV31" s="15">
        <v>76.925431250000003</v>
      </c>
      <c r="AW31" s="15">
        <v>35.113687499999997</v>
      </c>
      <c r="AX31" s="15">
        <v>42.502843749999997</v>
      </c>
      <c r="AY31" s="15">
        <v>44.568203124999997</v>
      </c>
      <c r="AZ31" s="16">
        <v>17357.599999999999</v>
      </c>
      <c r="BA31" s="16">
        <v>0</v>
      </c>
      <c r="BB31" s="16">
        <v>239.751</v>
      </c>
      <c r="BC31" s="16">
        <v>0</v>
      </c>
      <c r="BE31" s="51">
        <f t="shared" si="12"/>
        <v>1.0475074006291589</v>
      </c>
      <c r="BF31" s="17">
        <f t="shared" si="13"/>
        <v>9.4232457245324586E-4</v>
      </c>
      <c r="BG31" s="17">
        <f t="shared" si="14"/>
        <v>6.0003033030797681E-4</v>
      </c>
      <c r="BH31" s="17"/>
      <c r="BJ31" s="51"/>
      <c r="BK31" s="51"/>
      <c r="BL31" s="51"/>
      <c r="BM31" s="51"/>
      <c r="BN31" s="51"/>
      <c r="BP31" s="51"/>
      <c r="BQ31" s="51"/>
      <c r="BR31" s="51"/>
      <c r="BS31" s="51"/>
      <c r="BT31" s="51"/>
    </row>
    <row r="32" spans="1:72" outlineLevel="1" x14ac:dyDescent="0.3">
      <c r="A32" s="18"/>
      <c r="B32" s="18" t="s">
        <v>75</v>
      </c>
      <c r="C32" s="19" t="s">
        <v>232</v>
      </c>
      <c r="D32" s="18">
        <v>375422539</v>
      </c>
      <c r="E32" s="19">
        <v>11</v>
      </c>
      <c r="F32" s="19">
        <v>32</v>
      </c>
      <c r="G32" s="19">
        <v>30</v>
      </c>
      <c r="I32" s="20">
        <f t="shared" si="0"/>
        <v>7.0368824999999999</v>
      </c>
      <c r="J32" s="21">
        <f t="shared" si="1"/>
        <v>1.9993493251613217E-2</v>
      </c>
      <c r="K32" s="21">
        <f t="shared" si="2"/>
        <v>1.2977036522572769E-2</v>
      </c>
      <c r="L32" s="21">
        <f t="shared" si="3"/>
        <v>9.9461050206151851E-3</v>
      </c>
      <c r="M32" s="21">
        <f t="shared" si="4"/>
        <v>7.0164567290404477E-3</v>
      </c>
      <c r="N32" s="18">
        <f t="shared" si="5"/>
        <v>4871872</v>
      </c>
      <c r="O32" s="21">
        <v>16</v>
      </c>
      <c r="P32" s="22">
        <v>132024544</v>
      </c>
      <c r="Q32" s="22">
        <v>4125767</v>
      </c>
      <c r="R32" s="22">
        <v>1289497.3125</v>
      </c>
      <c r="S32" s="23">
        <v>7506008</v>
      </c>
      <c r="T32" s="23">
        <v>3733992</v>
      </c>
      <c r="U32" s="23">
        <v>1137880</v>
      </c>
      <c r="V32" s="23">
        <v>2634136</v>
      </c>
      <c r="W32" s="24">
        <v>76.204975000000005</v>
      </c>
      <c r="X32" s="24">
        <v>78.436993749999999</v>
      </c>
      <c r="Y32" s="24">
        <v>36.947159374999998</v>
      </c>
      <c r="Z32" s="24">
        <v>43.092928125</v>
      </c>
      <c r="AA32" s="24">
        <v>45.964390625</v>
      </c>
      <c r="AB32" s="25">
        <v>18573.3</v>
      </c>
      <c r="AC32" s="25">
        <v>0</v>
      </c>
      <c r="AD32" s="25">
        <v>239.98</v>
      </c>
      <c r="AE32" s="25">
        <v>0</v>
      </c>
      <c r="AG32" s="20">
        <f t="shared" si="6"/>
        <v>7.3272975000000002</v>
      </c>
      <c r="AH32" s="21">
        <f t="shared" si="7"/>
        <v>2.0818632841860356E-2</v>
      </c>
      <c r="AI32" s="21">
        <f t="shared" si="8"/>
        <v>1.3550129444945233E-2</v>
      </c>
      <c r="AJ32" s="21">
        <f t="shared" si="9"/>
        <v>1.0300116797196345E-2</v>
      </c>
      <c r="AK32" s="21">
        <f t="shared" si="10"/>
        <v>7.2685033969151222E-3</v>
      </c>
      <c r="AL32" s="18">
        <f t="shared" si="11"/>
        <v>5087024</v>
      </c>
      <c r="AM32" s="21">
        <v>-12</v>
      </c>
      <c r="AN32" s="22">
        <v>131739424</v>
      </c>
      <c r="AO32" s="22">
        <v>4116857</v>
      </c>
      <c r="AP32" s="22">
        <v>1284704</v>
      </c>
      <c r="AQ32" s="23">
        <v>7815784</v>
      </c>
      <c r="AR32" s="23">
        <v>3866896</v>
      </c>
      <c r="AS32" s="23">
        <v>1220128</v>
      </c>
      <c r="AT32" s="23">
        <v>2728760</v>
      </c>
      <c r="AU32" s="24">
        <v>76.214193750000007</v>
      </c>
      <c r="AV32" s="24">
        <v>78.456646875000004</v>
      </c>
      <c r="AW32" s="24">
        <v>36.919496875</v>
      </c>
      <c r="AX32" s="24">
        <v>43.044556249999999</v>
      </c>
      <c r="AY32" s="24">
        <v>45.881718749999997</v>
      </c>
      <c r="AZ32" s="25">
        <v>18272.8</v>
      </c>
      <c r="BA32" s="25">
        <v>0</v>
      </c>
      <c r="BB32" s="25">
        <v>246.58500000000001</v>
      </c>
      <c r="BC32" s="25">
        <v>0</v>
      </c>
      <c r="BE32" s="50">
        <f t="shared" si="12"/>
        <v>1.0441620797919158</v>
      </c>
      <c r="BF32" s="26">
        <f t="shared" si="13"/>
        <v>-4.8787609294009826E-4</v>
      </c>
      <c r="BG32" s="26">
        <f t="shared" si="14"/>
        <v>1.8024887870146111E-3</v>
      </c>
      <c r="BH32" s="26"/>
      <c r="BJ32" s="50"/>
      <c r="BK32" s="50"/>
      <c r="BL32" s="50"/>
      <c r="BM32" s="50"/>
      <c r="BN32" s="50"/>
      <c r="BP32" s="50"/>
      <c r="BQ32" s="50"/>
      <c r="BR32" s="50"/>
      <c r="BS32" s="50"/>
      <c r="BT32" s="50"/>
    </row>
    <row r="33" spans="1:72" outlineLevel="1" x14ac:dyDescent="0.3">
      <c r="A33" s="54"/>
      <c r="B33" s="54" t="s">
        <v>75</v>
      </c>
      <c r="C33" s="10" t="s">
        <v>233</v>
      </c>
      <c r="D33" s="54">
        <v>375422539</v>
      </c>
      <c r="E33" s="10">
        <v>11</v>
      </c>
      <c r="F33" s="10">
        <v>32</v>
      </c>
      <c r="G33" s="10">
        <v>30</v>
      </c>
      <c r="I33" s="11">
        <f t="shared" si="0"/>
        <v>11.815844999999999</v>
      </c>
      <c r="J33" s="12">
        <f t="shared" si="1"/>
        <v>3.3571687074440672E-2</v>
      </c>
      <c r="K33" s="12">
        <f t="shared" si="2"/>
        <v>1.8223796627191848E-2</v>
      </c>
      <c r="L33" s="12">
        <f t="shared" si="3"/>
        <v>1.5192865125234264E-2</v>
      </c>
      <c r="M33" s="12">
        <f t="shared" si="4"/>
        <v>1.5347890447248826E-2</v>
      </c>
      <c r="N33" s="54">
        <f t="shared" si="5"/>
        <v>6841624</v>
      </c>
      <c r="O33" s="12">
        <v>16</v>
      </c>
      <c r="P33" s="13">
        <v>132024544</v>
      </c>
      <c r="Q33" s="13">
        <v>4125767</v>
      </c>
      <c r="R33" s="13">
        <v>1221602.625</v>
      </c>
      <c r="S33" s="14">
        <v>12603568</v>
      </c>
      <c r="T33" s="14">
        <v>5703744</v>
      </c>
      <c r="U33" s="14">
        <v>1137880</v>
      </c>
      <c r="V33" s="14">
        <v>5761944</v>
      </c>
      <c r="W33" s="15">
        <v>77.034581250000002</v>
      </c>
      <c r="X33" s="15">
        <v>79.437778124999994</v>
      </c>
      <c r="Y33" s="15">
        <v>38.702081249999999</v>
      </c>
      <c r="Z33" s="15">
        <v>43.673637499999998</v>
      </c>
      <c r="AA33" s="15">
        <v>47.342796874999998</v>
      </c>
      <c r="AB33" s="16">
        <v>19595</v>
      </c>
      <c r="AC33" s="16">
        <v>0</v>
      </c>
      <c r="AD33" s="16">
        <v>240.80799999999999</v>
      </c>
      <c r="AE33" s="16">
        <v>0</v>
      </c>
      <c r="AG33" s="11">
        <f t="shared" si="6"/>
        <v>12.215377500000001</v>
      </c>
      <c r="AH33" s="12">
        <f t="shared" si="7"/>
        <v>3.4706855999394326E-2</v>
      </c>
      <c r="AI33" s="12">
        <f t="shared" si="8"/>
        <v>1.9013264411383676E-2</v>
      </c>
      <c r="AJ33" s="12">
        <f t="shared" si="9"/>
        <v>1.576325176363479E-2</v>
      </c>
      <c r="AK33" s="12">
        <f t="shared" si="10"/>
        <v>1.569359158801065E-2</v>
      </c>
      <c r="AL33" s="54">
        <f t="shared" si="11"/>
        <v>7138008</v>
      </c>
      <c r="AM33" s="12">
        <v>-12</v>
      </c>
      <c r="AN33" s="13">
        <v>131739424</v>
      </c>
      <c r="AO33" s="13">
        <v>4116857</v>
      </c>
      <c r="AP33" s="13">
        <v>1214537.90625</v>
      </c>
      <c r="AQ33" s="14">
        <v>13029736</v>
      </c>
      <c r="AR33" s="14">
        <v>5917880</v>
      </c>
      <c r="AS33" s="14">
        <v>1220128</v>
      </c>
      <c r="AT33" s="14">
        <v>5891728</v>
      </c>
      <c r="AU33" s="15">
        <v>77.048775000000006</v>
      </c>
      <c r="AV33" s="15">
        <v>79.458165625000007</v>
      </c>
      <c r="AW33" s="15">
        <v>38.689743749999998</v>
      </c>
      <c r="AX33" s="15">
        <v>43.667812499999997</v>
      </c>
      <c r="AY33" s="15">
        <v>47.339221875</v>
      </c>
      <c r="AZ33" s="16">
        <v>18704.3</v>
      </c>
      <c r="BA33" s="16">
        <v>0</v>
      </c>
      <c r="BB33" s="16">
        <v>242.149</v>
      </c>
      <c r="BC33" s="16">
        <v>0</v>
      </c>
      <c r="BE33" s="51">
        <f t="shared" si="12"/>
        <v>1.0433207086504608</v>
      </c>
      <c r="BF33" s="17">
        <f t="shared" si="13"/>
        <v>-1.0752250126591645E-3</v>
      </c>
      <c r="BG33" s="17">
        <f t="shared" si="14"/>
        <v>4.9921378147543827E-3</v>
      </c>
      <c r="BH33" s="17"/>
      <c r="BJ33" s="51"/>
      <c r="BK33" s="51"/>
      <c r="BL33" s="51"/>
      <c r="BM33" s="51"/>
      <c r="BN33" s="51"/>
      <c r="BP33" s="51"/>
      <c r="BQ33" s="51"/>
      <c r="BR33" s="51"/>
      <c r="BS33" s="51"/>
      <c r="BT33" s="51"/>
    </row>
    <row r="34" spans="1:72" outlineLevel="1" x14ac:dyDescent="0.3">
      <c r="A34" s="18"/>
      <c r="B34" s="37" t="s">
        <v>75</v>
      </c>
      <c r="C34" s="38" t="s">
        <v>234</v>
      </c>
      <c r="D34" s="37">
        <v>375422539</v>
      </c>
      <c r="E34" s="38">
        <v>11</v>
      </c>
      <c r="F34" s="38">
        <v>32</v>
      </c>
      <c r="G34" s="38">
        <v>30</v>
      </c>
      <c r="I34" s="39">
        <f t="shared" si="0"/>
        <v>24.386332500000002</v>
      </c>
      <c r="J34" s="40">
        <f t="shared" si="1"/>
        <v>6.9287496880947791E-2</v>
      </c>
      <c r="K34" s="40">
        <f t="shared" si="2"/>
        <v>3.0624330735773964E-2</v>
      </c>
      <c r="L34" s="40">
        <f t="shared" si="3"/>
        <v>2.4322567377873923E-2</v>
      </c>
      <c r="M34" s="40">
        <f t="shared" si="4"/>
        <v>3.8663166145173823E-2</v>
      </c>
      <c r="N34" s="37">
        <f t="shared" si="5"/>
        <v>11497064</v>
      </c>
      <c r="O34" s="40">
        <v>16</v>
      </c>
      <c r="P34" s="41">
        <v>128666208</v>
      </c>
      <c r="Q34" s="41">
        <v>4020819</v>
      </c>
      <c r="R34" s="41">
        <v>1161121.65625</v>
      </c>
      <c r="S34" s="42">
        <v>26012088</v>
      </c>
      <c r="T34" s="42">
        <v>9131240</v>
      </c>
      <c r="U34" s="42">
        <v>2365824</v>
      </c>
      <c r="V34" s="42">
        <v>14515024</v>
      </c>
      <c r="W34" s="43">
        <v>78.499306250000004</v>
      </c>
      <c r="X34" s="43">
        <v>81.870568750000004</v>
      </c>
      <c r="Y34" s="43">
        <v>40.518906250000001</v>
      </c>
      <c r="Z34" s="43">
        <v>44.359384374999998</v>
      </c>
      <c r="AA34" s="43">
        <v>48.800203125000003</v>
      </c>
      <c r="AB34" s="44">
        <v>20828.8</v>
      </c>
      <c r="AC34" s="44">
        <v>0</v>
      </c>
      <c r="AD34" s="44">
        <v>273.42700000000002</v>
      </c>
      <c r="AE34" s="44">
        <v>0</v>
      </c>
      <c r="AG34" s="39">
        <f t="shared" si="6"/>
        <v>25.1352075</v>
      </c>
      <c r="AH34" s="40">
        <f t="shared" si="7"/>
        <v>7.1415232743924306E-2</v>
      </c>
      <c r="AI34" s="40">
        <f t="shared" si="8"/>
        <v>3.2126851073264941E-2</v>
      </c>
      <c r="AJ34" s="40">
        <f t="shared" si="9"/>
        <v>2.5278226569129883E-2</v>
      </c>
      <c r="AK34" s="40">
        <f t="shared" si="10"/>
        <v>3.9288381670659366E-2</v>
      </c>
      <c r="AL34" s="37">
        <f t="shared" si="11"/>
        <v>12061144</v>
      </c>
      <c r="AM34" s="40">
        <v>-12</v>
      </c>
      <c r="AN34" s="41">
        <v>128423856</v>
      </c>
      <c r="AO34" s="41">
        <v>4013245.5</v>
      </c>
      <c r="AP34" s="41">
        <v>1155553.34375</v>
      </c>
      <c r="AQ34" s="42">
        <v>26810888</v>
      </c>
      <c r="AR34" s="42">
        <v>9490016</v>
      </c>
      <c r="AS34" s="42">
        <v>2571128</v>
      </c>
      <c r="AT34" s="42">
        <v>14749744</v>
      </c>
      <c r="AU34" s="43">
        <v>78.47645</v>
      </c>
      <c r="AV34" s="43">
        <v>81.85665625</v>
      </c>
      <c r="AW34" s="43">
        <v>40.50905625</v>
      </c>
      <c r="AX34" s="43">
        <v>44.351037499999997</v>
      </c>
      <c r="AY34" s="43">
        <v>48.765403124999999</v>
      </c>
      <c r="AZ34" s="44">
        <v>20033.2</v>
      </c>
      <c r="BA34" s="44">
        <v>0</v>
      </c>
      <c r="BB34" s="44">
        <v>243.352</v>
      </c>
      <c r="BC34" s="44">
        <v>0</v>
      </c>
      <c r="BE34" s="45">
        <f t="shared" si="12"/>
        <v>1.0490629607698103</v>
      </c>
      <c r="BF34" s="46">
        <f t="shared" si="13"/>
        <v>-8.4252430157333302E-4</v>
      </c>
      <c r="BG34" s="46">
        <f t="shared" si="14"/>
        <v>7.870644365132573E-3</v>
      </c>
      <c r="BH34" s="46"/>
      <c r="BJ34" s="45"/>
      <c r="BK34" s="45"/>
      <c r="BL34" s="45"/>
      <c r="BM34" s="45"/>
      <c r="BN34" s="45"/>
      <c r="BP34" s="45"/>
      <c r="BQ34" s="45"/>
      <c r="BR34" s="45"/>
      <c r="BS34" s="45"/>
      <c r="BT34" s="45"/>
    </row>
    <row r="35" spans="1:72" x14ac:dyDescent="0.3">
      <c r="A35" s="54"/>
      <c r="B35" s="54" t="s">
        <v>80</v>
      </c>
      <c r="C35" s="10" t="s">
        <v>230</v>
      </c>
      <c r="D35" s="54">
        <v>333190689</v>
      </c>
      <c r="E35" s="10">
        <v>11</v>
      </c>
      <c r="F35" s="10">
        <v>32</v>
      </c>
      <c r="G35" s="10">
        <v>30</v>
      </c>
      <c r="I35" s="11">
        <f t="shared" si="0"/>
        <v>4.3215824999999999</v>
      </c>
      <c r="J35" s="12">
        <f t="shared" si="1"/>
        <v>1.3834984446399102E-2</v>
      </c>
      <c r="K35" s="12">
        <f t="shared" si="2"/>
        <v>1.0555252941056826E-2</v>
      </c>
      <c r="L35" s="12">
        <f t="shared" si="3"/>
        <v>6.7758676173570983E-3</v>
      </c>
      <c r="M35" s="12">
        <f t="shared" si="4"/>
        <v>3.2797315053422755E-3</v>
      </c>
      <c r="N35" s="54">
        <f t="shared" si="5"/>
        <v>3516912</v>
      </c>
      <c r="O35" s="12">
        <v>16</v>
      </c>
      <c r="P35" s="13">
        <v>117619072</v>
      </c>
      <c r="Q35" s="13">
        <v>3675596</v>
      </c>
      <c r="R35" s="13">
        <v>1347034.03125</v>
      </c>
      <c r="S35" s="14">
        <v>4609688</v>
      </c>
      <c r="T35" s="14">
        <v>2257656</v>
      </c>
      <c r="U35" s="14">
        <v>1259256</v>
      </c>
      <c r="V35" s="14">
        <v>1092776</v>
      </c>
      <c r="W35" s="15">
        <v>73.169274999999999</v>
      </c>
      <c r="X35" s="15">
        <v>74.857868749999994</v>
      </c>
      <c r="Y35" s="15">
        <v>31.78890625</v>
      </c>
      <c r="Z35" s="15">
        <v>42.181021874999999</v>
      </c>
      <c r="AA35" s="15">
        <v>43.160828125000002</v>
      </c>
      <c r="AB35" s="16">
        <v>15764.3</v>
      </c>
      <c r="AC35" s="16">
        <v>0</v>
      </c>
      <c r="AD35" s="16">
        <v>207.10300000000001</v>
      </c>
      <c r="AE35" s="16">
        <v>0</v>
      </c>
      <c r="AG35" s="11">
        <f t="shared" si="6"/>
        <v>4.3864349999999996</v>
      </c>
      <c r="AH35" s="12">
        <f t="shared" si="7"/>
        <v>1.4042601292498904E-2</v>
      </c>
      <c r="AI35" s="12">
        <f t="shared" si="8"/>
        <v>1.0770457033989926E-2</v>
      </c>
      <c r="AJ35" s="12">
        <f t="shared" si="9"/>
        <v>6.8292904787624481E-3</v>
      </c>
      <c r="AK35" s="12">
        <f t="shared" si="10"/>
        <v>3.2721442585089766E-3</v>
      </c>
      <c r="AL35" s="54">
        <f t="shared" si="11"/>
        <v>3588616</v>
      </c>
      <c r="AM35" s="12">
        <v>-12</v>
      </c>
      <c r="AN35" s="13">
        <v>117569408</v>
      </c>
      <c r="AO35" s="13">
        <v>3674044</v>
      </c>
      <c r="AP35" s="13">
        <v>1329973.46875</v>
      </c>
      <c r="AQ35" s="14">
        <v>4678864</v>
      </c>
      <c r="AR35" s="14">
        <v>2275456</v>
      </c>
      <c r="AS35" s="14">
        <v>1313160</v>
      </c>
      <c r="AT35" s="14">
        <v>1090248</v>
      </c>
      <c r="AU35" s="15">
        <v>73.188143749999995</v>
      </c>
      <c r="AV35" s="15">
        <v>74.837034375000002</v>
      </c>
      <c r="AW35" s="15">
        <v>31.81780625</v>
      </c>
      <c r="AX35" s="15">
        <v>42.209081249999997</v>
      </c>
      <c r="AY35" s="15">
        <v>43.379384375000001</v>
      </c>
      <c r="AZ35" s="16">
        <v>15628.4</v>
      </c>
      <c r="BA35" s="16">
        <v>0</v>
      </c>
      <c r="BB35" s="16">
        <v>211.47900000000001</v>
      </c>
      <c r="BC35" s="16">
        <v>0</v>
      </c>
      <c r="BE35" s="51">
        <f t="shared" si="12"/>
        <v>1.020388340680688</v>
      </c>
      <c r="BF35" s="17">
        <f t="shared" si="13"/>
        <v>-4.4887281863082995E-3</v>
      </c>
      <c r="BG35" s="17">
        <f t="shared" si="14"/>
        <v>4.0451940948017517E-3</v>
      </c>
      <c r="BH35" s="17">
        <f t="array" ref="BH35">AVERAGE(AL35:AL39/AQ35:AQ39) - AVERAGE(N35:N39/S35:S39)</f>
        <v>5.6462211614458635E-3</v>
      </c>
      <c r="BJ35" s="51">
        <f>IF( OR(ISBLANK(N35:N39),ISBLANK(AL35:AL39), ISBLANK(W35:W39),ISBLANK(AU35:AU39)), "·", bdRateExtend( N35:N39,W35:W39, AL35:AL39,AU35:AU39))</f>
        <v>2.7440725279565203E-2</v>
      </c>
      <c r="BK35" s="51">
        <f>IF( OR(ISBLANK(N35:N39),ISBLANK(AL35:AL39), ISBLANK(X35:X39),ISBLANK(AV35:AV39)), "·", bdRateExtend( N35:N39,X35:X39, AL35:AL39,AV35:AV39))</f>
        <v>2.8364852909808169E-2</v>
      </c>
      <c r="BL35" s="51">
        <f>IF( OR(ISBLANK(V35:V39),ISBLANK(AT35:AT39), ISBLANK(Y35:Y39),ISBLANK(AW35:AW39)), "·", bdRateExtend( V35:V39,Y35:Y39, AT35:AT39,AW35:AW39))</f>
        <v>-1.0214906941822255E-3</v>
      </c>
      <c r="BM35" s="51">
        <f>IF( OR(ISBLANK(V35:V39),ISBLANK(AT35:AT39), ISBLANK(Z35:Z39),ISBLANK(AX35:AX39)), "·", bdRateExtend( V35:V39,Z35:Z39, AT35:AT39,AX35:AX39))</f>
        <v>-1.3802228381329051E-2</v>
      </c>
      <c r="BN35" s="51">
        <f>IF( OR(ISBLANK(V35:V39),ISBLANK(AT35:AT39), ISBLANK(AA35:AA39),ISBLANK(AY35:AY39)), "·", bdRateExtend( V35:V39,AA35:AA39, AT35:AT39,AY35:AY39))</f>
        <v>5.3958276467014343E-3</v>
      </c>
      <c r="BP35" s="51">
        <f>IF( OR(ISBLANK(S35:S39),ISBLANK(AQ35:AQ39), ISBLANK(W35:W39),ISBLANK(AU35:AU39)), "·", bdRateExtend( S35:S39,W35:W39, AQ35:AQ39,AU35:AU39))</f>
        <v>1.9484393494740182E-2</v>
      </c>
      <c r="BQ35" s="51">
        <f>IF( OR(ISBLANK(S35:S39),ISBLANK(AQ35:AQ39), ISBLANK(X35:X39),ISBLANK(AV35:AV39)), "·", bdRateExtend( S35:S39,X35:X39, AQ35:AQ39,AV35:AV39))</f>
        <v>1.9559441835169222E-2</v>
      </c>
      <c r="BR35" s="51">
        <f>IF( OR(ISBLANK(S35:S39),ISBLANK(AQ35:AQ39), ISBLANK(Y35:Y39),ISBLANK(AW35:AW39)), "·", bdRateExtend( S35:S39,Y35:Y39, AQ35:AQ39,AW35:AW39))</f>
        <v>1.3866567010782704E-2</v>
      </c>
      <c r="BS35" s="51">
        <f>IF( OR(ISBLANK(S35:S39),ISBLANK(AQ35:AQ39), ISBLANK(Z35:Z39),ISBLANK(AX35:AX39)), "·", bdRateExtend( S35:S39,Z35:Z39, AQ35:AQ39,AX35:AX39))</f>
        <v>4.9753758346082755E-3</v>
      </c>
      <c r="BT35" s="51">
        <f>IF( OR(ISBLANK(S35:S39),ISBLANK(AQ35:AQ39), ISBLANK(AA35:AA39),ISBLANK(AY35:AY39)), "·", bdRateExtend( S35:S39,AA35:AA39, AQ35:AQ39,AY35:AY39))</f>
        <v>1.8675248202562944E-2</v>
      </c>
    </row>
    <row r="36" spans="1:72" outlineLevel="1" x14ac:dyDescent="0.3">
      <c r="A36" s="18"/>
      <c r="B36" s="18" t="s">
        <v>80</v>
      </c>
      <c r="C36" s="19" t="s">
        <v>231</v>
      </c>
      <c r="D36" s="18">
        <v>333190689</v>
      </c>
      <c r="E36" s="19">
        <v>11</v>
      </c>
      <c r="F36" s="19">
        <v>32</v>
      </c>
      <c r="G36" s="19">
        <v>30</v>
      </c>
      <c r="I36" s="20">
        <f t="shared" si="0"/>
        <v>5.8309049999999996</v>
      </c>
      <c r="J36" s="21">
        <f t="shared" si="1"/>
        <v>1.8666884175745978E-2</v>
      </c>
      <c r="K36" s="21">
        <f t="shared" si="2"/>
        <v>1.3101566592696713E-2</v>
      </c>
      <c r="L36" s="21">
        <f t="shared" si="3"/>
        <v>9.322181268996985E-3</v>
      </c>
      <c r="M36" s="21">
        <f t="shared" si="4"/>
        <v>5.565317583049267E-3</v>
      </c>
      <c r="N36" s="18">
        <f t="shared" si="5"/>
        <v>4365320</v>
      </c>
      <c r="O36" s="21">
        <v>16</v>
      </c>
      <c r="P36" s="22">
        <v>117619072</v>
      </c>
      <c r="Q36" s="22">
        <v>3675596</v>
      </c>
      <c r="R36" s="22">
        <v>1194283.65625</v>
      </c>
      <c r="S36" s="23">
        <v>6219632</v>
      </c>
      <c r="T36" s="23">
        <v>3106064</v>
      </c>
      <c r="U36" s="23">
        <v>1259256</v>
      </c>
      <c r="V36" s="23">
        <v>1854312</v>
      </c>
      <c r="W36" s="24">
        <v>74.760746874999995</v>
      </c>
      <c r="X36" s="24">
        <v>76.686000000000007</v>
      </c>
      <c r="Y36" s="24">
        <v>34.042459375</v>
      </c>
      <c r="Z36" s="24">
        <v>42.932765625000002</v>
      </c>
      <c r="AA36" s="24">
        <v>44.791765624999996</v>
      </c>
      <c r="AB36" s="25">
        <v>16736.900000000001</v>
      </c>
      <c r="AC36" s="25">
        <v>0</v>
      </c>
      <c r="AD36" s="25">
        <v>214.303</v>
      </c>
      <c r="AE36" s="25">
        <v>0</v>
      </c>
      <c r="AG36" s="20">
        <f t="shared" si="6"/>
        <v>5.9169150000000004</v>
      </c>
      <c r="AH36" s="21">
        <f t="shared" si="7"/>
        <v>1.8942234007025327E-2</v>
      </c>
      <c r="AI36" s="21">
        <f t="shared" si="8"/>
        <v>1.3388585417523477E-2</v>
      </c>
      <c r="AJ36" s="21">
        <f t="shared" si="9"/>
        <v>9.4474188622959993E-3</v>
      </c>
      <c r="AK36" s="21">
        <f t="shared" si="10"/>
        <v>5.5536485895018514E-3</v>
      </c>
      <c r="AL36" s="18">
        <f t="shared" si="11"/>
        <v>4460952</v>
      </c>
      <c r="AM36" s="21">
        <v>-12</v>
      </c>
      <c r="AN36" s="22">
        <v>117569408</v>
      </c>
      <c r="AO36" s="22">
        <v>3674044</v>
      </c>
      <c r="AP36" s="22">
        <v>1193856.65625</v>
      </c>
      <c r="AQ36" s="23">
        <v>6311376</v>
      </c>
      <c r="AR36" s="23">
        <v>3147792</v>
      </c>
      <c r="AS36" s="23">
        <v>1313160</v>
      </c>
      <c r="AT36" s="23">
        <v>1850424</v>
      </c>
      <c r="AU36" s="24">
        <v>74.7595125</v>
      </c>
      <c r="AV36" s="24">
        <v>76.682881249999994</v>
      </c>
      <c r="AW36" s="24">
        <v>34.044649999999997</v>
      </c>
      <c r="AX36" s="24">
        <v>42.958593749999999</v>
      </c>
      <c r="AY36" s="24">
        <v>44.838506250000002</v>
      </c>
      <c r="AZ36" s="25">
        <v>16445.900000000001</v>
      </c>
      <c r="BA36" s="25">
        <v>0</v>
      </c>
      <c r="BB36" s="25">
        <v>214.39400000000001</v>
      </c>
      <c r="BC36" s="25">
        <v>0</v>
      </c>
      <c r="BE36" s="50">
        <f t="shared" si="12"/>
        <v>1.0219072141332135</v>
      </c>
      <c r="BF36" s="26">
        <f t="shared" si="13"/>
        <v>2.103394566299599E-5</v>
      </c>
      <c r="BG36" s="26">
        <f t="shared" si="14"/>
        <v>4.9498591364945943E-3</v>
      </c>
      <c r="BH36" s="26"/>
      <c r="BJ36" s="50"/>
      <c r="BK36" s="50"/>
      <c r="BL36" s="50"/>
      <c r="BM36" s="50"/>
      <c r="BN36" s="50"/>
      <c r="BP36" s="50"/>
      <c r="BQ36" s="50"/>
      <c r="BR36" s="50"/>
      <c r="BS36" s="50"/>
      <c r="BT36" s="50"/>
    </row>
    <row r="37" spans="1:72" outlineLevel="1" x14ac:dyDescent="0.3">
      <c r="A37" s="54"/>
      <c r="B37" s="54" t="s">
        <v>80</v>
      </c>
      <c r="C37" s="10" t="s">
        <v>232</v>
      </c>
      <c r="D37" s="54">
        <v>333190689</v>
      </c>
      <c r="E37" s="10">
        <v>11</v>
      </c>
      <c r="F37" s="10">
        <v>32</v>
      </c>
      <c r="G37" s="10">
        <v>30</v>
      </c>
      <c r="I37" s="11">
        <f t="shared" si="0"/>
        <v>8.3983124999999994</v>
      </c>
      <c r="J37" s="12">
        <f t="shared" si="1"/>
        <v>2.688610545176429E-2</v>
      </c>
      <c r="K37" s="12">
        <f t="shared" si="2"/>
        <v>1.6798548653320863E-2</v>
      </c>
      <c r="L37" s="12">
        <f t="shared" si="3"/>
        <v>1.3019163329621134E-2</v>
      </c>
      <c r="M37" s="12">
        <f t="shared" si="4"/>
        <v>1.0087556798443429E-2</v>
      </c>
      <c r="N37" s="54">
        <f t="shared" si="5"/>
        <v>5597120</v>
      </c>
      <c r="O37" s="12">
        <v>16</v>
      </c>
      <c r="P37" s="13">
        <v>117619072</v>
      </c>
      <c r="Q37" s="13">
        <v>3675596</v>
      </c>
      <c r="R37" s="13">
        <v>1147468</v>
      </c>
      <c r="S37" s="14">
        <v>8958200</v>
      </c>
      <c r="T37" s="14">
        <v>4337864</v>
      </c>
      <c r="U37" s="14">
        <v>1259256</v>
      </c>
      <c r="V37" s="14">
        <v>3361080</v>
      </c>
      <c r="W37" s="15">
        <v>76.005756250000005</v>
      </c>
      <c r="X37" s="15">
        <v>78.226518749999997</v>
      </c>
      <c r="Y37" s="15">
        <v>36.142471874999998</v>
      </c>
      <c r="Z37" s="15">
        <v>43.580631250000003</v>
      </c>
      <c r="AA37" s="15">
        <v>46.1820375</v>
      </c>
      <c r="AB37" s="16">
        <v>17438.7</v>
      </c>
      <c r="AC37" s="16">
        <v>0</v>
      </c>
      <c r="AD37" s="16">
        <v>219.19399999999999</v>
      </c>
      <c r="AE37" s="16">
        <v>0</v>
      </c>
      <c r="AG37" s="11">
        <f t="shared" si="6"/>
        <v>8.5078650000000007</v>
      </c>
      <c r="AH37" s="12">
        <f t="shared" si="7"/>
        <v>2.7236823535606063E-2</v>
      </c>
      <c r="AI37" s="12">
        <f t="shared" si="8"/>
        <v>1.7141511418405812E-2</v>
      </c>
      <c r="AJ37" s="12">
        <f t="shared" si="9"/>
        <v>1.3200344863178334E-2</v>
      </c>
      <c r="AK37" s="12">
        <f t="shared" si="10"/>
        <v>1.009531211720025E-2</v>
      </c>
      <c r="AL37" s="54">
        <f t="shared" si="11"/>
        <v>5711392</v>
      </c>
      <c r="AM37" s="12">
        <v>-12</v>
      </c>
      <c r="AN37" s="13">
        <v>117569408</v>
      </c>
      <c r="AO37" s="13">
        <v>3674044</v>
      </c>
      <c r="AP37" s="13">
        <v>1144215.9375</v>
      </c>
      <c r="AQ37" s="14">
        <v>9075056</v>
      </c>
      <c r="AR37" s="14">
        <v>4398232</v>
      </c>
      <c r="AS37" s="14">
        <v>1313160</v>
      </c>
      <c r="AT37" s="14">
        <v>3363664</v>
      </c>
      <c r="AU37" s="15">
        <v>75.994946874999997</v>
      </c>
      <c r="AV37" s="15">
        <v>78.213403124999999</v>
      </c>
      <c r="AW37" s="15">
        <v>36.157715625000002</v>
      </c>
      <c r="AX37" s="15">
        <v>43.573581249999997</v>
      </c>
      <c r="AY37" s="15">
        <v>46.008090625000001</v>
      </c>
      <c r="AZ37" s="16">
        <v>17531.099999999999</v>
      </c>
      <c r="BA37" s="16">
        <v>0</v>
      </c>
      <c r="BB37" s="16">
        <v>253.29499999999999</v>
      </c>
      <c r="BC37" s="16">
        <v>0</v>
      </c>
      <c r="BE37" s="51">
        <f t="shared" si="12"/>
        <v>1.0204162140529414</v>
      </c>
      <c r="BF37" s="17">
        <f t="shared" si="13"/>
        <v>-7.532709213660671E-4</v>
      </c>
      <c r="BG37" s="17">
        <f t="shared" si="14"/>
        <v>4.546516654708288E-3</v>
      </c>
      <c r="BH37" s="17"/>
      <c r="BJ37" s="51"/>
      <c r="BK37" s="51"/>
      <c r="BL37" s="51"/>
      <c r="BM37" s="51"/>
      <c r="BN37" s="51"/>
      <c r="BP37" s="51"/>
      <c r="BQ37" s="51"/>
      <c r="BR37" s="51"/>
      <c r="BS37" s="51"/>
      <c r="BT37" s="51"/>
    </row>
    <row r="38" spans="1:72" outlineLevel="1" x14ac:dyDescent="0.3">
      <c r="A38" s="18"/>
      <c r="B38" s="18" t="s">
        <v>80</v>
      </c>
      <c r="C38" s="19" t="s">
        <v>233</v>
      </c>
      <c r="D38" s="18">
        <v>333190689</v>
      </c>
      <c r="E38" s="19">
        <v>11</v>
      </c>
      <c r="F38" s="19">
        <v>32</v>
      </c>
      <c r="G38" s="19">
        <v>30</v>
      </c>
      <c r="I38" s="20">
        <f t="shared" si="0"/>
        <v>13.734690000000001</v>
      </c>
      <c r="J38" s="21">
        <f t="shared" si="1"/>
        <v>4.3969824138753166E-2</v>
      </c>
      <c r="K38" s="21">
        <f t="shared" si="2"/>
        <v>2.3020235118274869E-2</v>
      </c>
      <c r="L38" s="21">
        <f t="shared" si="3"/>
        <v>1.9240849794575143E-2</v>
      </c>
      <c r="M38" s="21">
        <f t="shared" si="4"/>
        <v>2.0949589020478301E-2</v>
      </c>
      <c r="N38" s="18">
        <f t="shared" si="5"/>
        <v>7670128</v>
      </c>
      <c r="O38" s="21">
        <v>16</v>
      </c>
      <c r="P38" s="22">
        <v>117619072</v>
      </c>
      <c r="Q38" s="22">
        <v>3675596</v>
      </c>
      <c r="R38" s="22">
        <v>1083553.40625</v>
      </c>
      <c r="S38" s="23">
        <v>14650336</v>
      </c>
      <c r="T38" s="23">
        <v>6410872</v>
      </c>
      <c r="U38" s="23">
        <v>1259256</v>
      </c>
      <c r="V38" s="23">
        <v>6980208</v>
      </c>
      <c r="W38" s="24">
        <v>76.860799999999998</v>
      </c>
      <c r="X38" s="24">
        <v>79.251031249999997</v>
      </c>
      <c r="Y38" s="24">
        <v>38.093800000000002</v>
      </c>
      <c r="Z38" s="24">
        <v>44.204459374999999</v>
      </c>
      <c r="AA38" s="24">
        <v>47.251115624999997</v>
      </c>
      <c r="AB38" s="25">
        <v>18444</v>
      </c>
      <c r="AC38" s="25">
        <v>0</v>
      </c>
      <c r="AD38" s="25">
        <v>231.28399999999999</v>
      </c>
      <c r="AE38" s="25">
        <v>0</v>
      </c>
      <c r="AG38" s="20">
        <f t="shared" si="6"/>
        <v>13.909492500000001</v>
      </c>
      <c r="AH38" s="21">
        <f t="shared" si="7"/>
        <v>4.4529431613258556E-2</v>
      </c>
      <c r="AI38" s="21">
        <f t="shared" si="8"/>
        <v>2.3560346249651653E-2</v>
      </c>
      <c r="AJ38" s="21">
        <f t="shared" si="9"/>
        <v>1.9619179694424175E-2</v>
      </c>
      <c r="AK38" s="21">
        <f t="shared" si="10"/>
        <v>2.0969085363606903E-2</v>
      </c>
      <c r="AL38" s="18">
        <f t="shared" si="11"/>
        <v>7850088</v>
      </c>
      <c r="AM38" s="21">
        <v>-12</v>
      </c>
      <c r="AN38" s="22">
        <v>117569408</v>
      </c>
      <c r="AO38" s="22">
        <v>3674044</v>
      </c>
      <c r="AP38" s="22">
        <v>1082077.125</v>
      </c>
      <c r="AQ38" s="23">
        <v>14836792</v>
      </c>
      <c r="AR38" s="23">
        <v>6536928</v>
      </c>
      <c r="AS38" s="23">
        <v>1313160</v>
      </c>
      <c r="AT38" s="23">
        <v>6986704</v>
      </c>
      <c r="AU38" s="24">
        <v>76.839518749999996</v>
      </c>
      <c r="AV38" s="24">
        <v>79.222518750000006</v>
      </c>
      <c r="AW38" s="24">
        <v>38.08888125</v>
      </c>
      <c r="AX38" s="24">
        <v>44.221796875000003</v>
      </c>
      <c r="AY38" s="24">
        <v>47.259549999999997</v>
      </c>
      <c r="AZ38" s="25">
        <v>17829.400000000001</v>
      </c>
      <c r="BA38" s="25">
        <v>0</v>
      </c>
      <c r="BB38" s="25">
        <v>228.202</v>
      </c>
      <c r="BC38" s="25">
        <v>0</v>
      </c>
      <c r="BE38" s="50">
        <f t="shared" si="12"/>
        <v>1.0234624506918268</v>
      </c>
      <c r="BF38" s="26">
        <f t="shared" si="13"/>
        <v>-2.7728487772754606E-4</v>
      </c>
      <c r="BG38" s="26">
        <f t="shared" si="14"/>
        <v>5.5498295347905513E-3</v>
      </c>
      <c r="BH38" s="26"/>
      <c r="BJ38" s="50"/>
      <c r="BK38" s="50"/>
      <c r="BL38" s="50"/>
      <c r="BM38" s="50"/>
      <c r="BN38" s="50"/>
      <c r="BP38" s="50"/>
      <c r="BQ38" s="50"/>
      <c r="BR38" s="50"/>
      <c r="BS38" s="50"/>
      <c r="BT38" s="50"/>
    </row>
    <row r="39" spans="1:72" outlineLevel="1" x14ac:dyDescent="0.3">
      <c r="A39" s="27"/>
      <c r="B39" s="27" t="s">
        <v>80</v>
      </c>
      <c r="C39" s="28" t="s">
        <v>234</v>
      </c>
      <c r="D39" s="27">
        <v>333190689</v>
      </c>
      <c r="E39" s="28">
        <v>11</v>
      </c>
      <c r="F39" s="28">
        <v>32</v>
      </c>
      <c r="G39" s="28">
        <v>30</v>
      </c>
      <c r="I39" s="29">
        <f t="shared" si="0"/>
        <v>27.5888925</v>
      </c>
      <c r="J39" s="30">
        <f t="shared" si="1"/>
        <v>8.8322252006267796E-2</v>
      </c>
      <c r="K39" s="30">
        <f t="shared" si="2"/>
        <v>3.742716832042086E-2</v>
      </c>
      <c r="L39" s="30">
        <f t="shared" si="3"/>
        <v>2.9699365338507405E-2</v>
      </c>
      <c r="M39" s="30">
        <f t="shared" si="4"/>
        <v>5.0895083685846935E-2</v>
      </c>
      <c r="N39" s="27">
        <f t="shared" si="5"/>
        <v>12470384</v>
      </c>
      <c r="O39" s="30">
        <v>16</v>
      </c>
      <c r="P39" s="31">
        <v>114250072</v>
      </c>
      <c r="Q39" s="31">
        <v>3570314.75</v>
      </c>
      <c r="R39" s="31">
        <v>1022615.5625</v>
      </c>
      <c r="S39" s="32">
        <v>29428152</v>
      </c>
      <c r="T39" s="32">
        <v>9895552</v>
      </c>
      <c r="U39" s="32">
        <v>2574832</v>
      </c>
      <c r="V39" s="32">
        <v>16957768</v>
      </c>
      <c r="W39" s="33">
        <v>78.333234375000004</v>
      </c>
      <c r="X39" s="33">
        <v>81.834003124999995</v>
      </c>
      <c r="Y39" s="33">
        <v>40.204587500000002</v>
      </c>
      <c r="Z39" s="33">
        <v>45.131065624999998</v>
      </c>
      <c r="AA39" s="33">
        <v>48.639074999999998</v>
      </c>
      <c r="AB39" s="34">
        <v>19646.8</v>
      </c>
      <c r="AC39" s="34">
        <v>0</v>
      </c>
      <c r="AD39" s="34">
        <v>212.03899999999999</v>
      </c>
      <c r="AE39" s="34">
        <v>0</v>
      </c>
      <c r="AG39" s="29">
        <f t="shared" si="6"/>
        <v>28.0431825</v>
      </c>
      <c r="AH39" s="30">
        <f t="shared" si="7"/>
        <v>8.9776602370782332E-2</v>
      </c>
      <c r="AI39" s="30">
        <f t="shared" si="8"/>
        <v>3.8863991184339489E-2</v>
      </c>
      <c r="AJ39" s="30">
        <f t="shared" si="9"/>
        <v>3.0584600159700142E-2</v>
      </c>
      <c r="AK39" s="30">
        <f t="shared" si="10"/>
        <v>5.0912611186442851E-2</v>
      </c>
      <c r="AL39" s="27">
        <f t="shared" si="11"/>
        <v>12949120</v>
      </c>
      <c r="AM39" s="30">
        <v>-12</v>
      </c>
      <c r="AN39" s="31">
        <v>113955216</v>
      </c>
      <c r="AO39" s="31">
        <v>3561100.5</v>
      </c>
      <c r="AP39" s="31">
        <v>1016677.25</v>
      </c>
      <c r="AQ39" s="32">
        <v>29912728</v>
      </c>
      <c r="AR39" s="32">
        <v>10190504</v>
      </c>
      <c r="AS39" s="32">
        <v>2758616</v>
      </c>
      <c r="AT39" s="32">
        <v>16963608</v>
      </c>
      <c r="AU39" s="33">
        <v>78.302543749999998</v>
      </c>
      <c r="AV39" s="33">
        <v>81.822546875</v>
      </c>
      <c r="AW39" s="33">
        <v>40.188200000000002</v>
      </c>
      <c r="AX39" s="33">
        <v>45.140346874999999</v>
      </c>
      <c r="AY39" s="33">
        <v>48.627665624999999</v>
      </c>
      <c r="AZ39" s="34">
        <v>19556.2</v>
      </c>
      <c r="BA39" s="34">
        <v>0</v>
      </c>
      <c r="BB39" s="34">
        <v>212.869</v>
      </c>
      <c r="BC39" s="34">
        <v>0</v>
      </c>
      <c r="BE39" s="35">
        <f t="shared" si="12"/>
        <v>1.0383898362712809</v>
      </c>
      <c r="BF39" s="36">
        <f t="shared" si="13"/>
        <v>-9.2644155922150251E-4</v>
      </c>
      <c r="BG39" s="36">
        <f t="shared" si="14"/>
        <v>9.1397063864349648E-3</v>
      </c>
      <c r="BH39" s="36"/>
      <c r="BJ39" s="35"/>
      <c r="BK39" s="35"/>
      <c r="BL39" s="35"/>
      <c r="BM39" s="35"/>
      <c r="BN39" s="35"/>
      <c r="BP39" s="35"/>
      <c r="BQ39" s="35"/>
      <c r="BR39" s="35"/>
      <c r="BS39" s="35"/>
      <c r="BT39" s="35"/>
    </row>
    <row r="40" spans="1:72" x14ac:dyDescent="0.3">
      <c r="B40" s="47" t="s">
        <v>14</v>
      </c>
      <c r="J40" s="48">
        <f>AVERAGE(J5:J24)</f>
        <v>1.7574817808208059E-2</v>
      </c>
      <c r="K40" s="48">
        <f>AVERAGE(K5:K24)</f>
        <v>9.4895397248837762E-3</v>
      </c>
      <c r="L40" s="48">
        <f>AVERAGE(L5:L24)</f>
        <v>6.9778830479007058E-3</v>
      </c>
      <c r="M40" s="48">
        <f>AVERAGE(M5:M24)</f>
        <v>8.0852780833242863E-3</v>
      </c>
      <c r="AH40" s="48">
        <f>AVERAGE(AH5:AH24)</f>
        <v>1.8677485122521893E-2</v>
      </c>
      <c r="AI40" s="48">
        <f>AVERAGE(AI5:AI24)</f>
        <v>1.0238674478992278E-2</v>
      </c>
      <c r="AJ40" s="48">
        <f>AVERAGE(AJ5:AJ24)</f>
        <v>7.4849181562722453E-3</v>
      </c>
      <c r="AK40" s="48">
        <f>AVERAGE(AK5:AK24)</f>
        <v>8.4388106435296165E-3</v>
      </c>
      <c r="BE40" s="52">
        <f t="shared" si="12"/>
        <v>1.078943212824548</v>
      </c>
      <c r="BH40" s="55">
        <f>AVERAGE(BH5:BH24)</f>
        <v>7.2196809168585119E-3</v>
      </c>
      <c r="BJ40" s="52">
        <f>AVERAGE(BJ5:BJ24)</f>
        <v>6.3874741436930949E-2</v>
      </c>
      <c r="BK40" s="52">
        <f>AVERAGE(BK5:BK24)</f>
        <v>6.4986402589519598E-2</v>
      </c>
      <c r="BL40" s="52">
        <f>AVERAGE(BL5:BL24)</f>
        <v>8.2494852294247023E-2</v>
      </c>
      <c r="BM40" s="52">
        <f>AVERAGE(BM5:BM24)</f>
        <v>0.12034413490022985</v>
      </c>
      <c r="BN40" s="52">
        <f>AVERAGE(BN5:BN24)</f>
        <v>0.12972362002977311</v>
      </c>
      <c r="BP40" s="52">
        <f>AVERAGE(BP5:BP24)</f>
        <v>4.047045792322726E-2</v>
      </c>
      <c r="BQ40" s="52">
        <f>AVERAGE(BQ5:BQ24)</f>
        <v>4.1294265919515322E-2</v>
      </c>
      <c r="BR40" s="52">
        <f>AVERAGE(BR5:BR24)</f>
        <v>9.3455506156577217E-2</v>
      </c>
      <c r="BS40" s="52">
        <f>AVERAGE(BS5:BS24)</f>
        <v>0.11164550352334729</v>
      </c>
      <c r="BT40" s="52">
        <f>AVERAGE(BT5:BT24)</f>
        <v>0.11929070926796398</v>
      </c>
    </row>
    <row r="41" spans="1:72" x14ac:dyDescent="0.3">
      <c r="B41" s="47" t="s">
        <v>15</v>
      </c>
      <c r="J41" s="48">
        <f>AVERAGE(J25:J29)</f>
        <v>3.818517493918426E-2</v>
      </c>
      <c r="K41" s="48">
        <f>AVERAGE(K25:K29)</f>
        <v>1.137586909492112E-2</v>
      </c>
      <c r="L41" s="48">
        <f>AVERAGE(L25:L29)</f>
        <v>8.7893616490667785E-3</v>
      </c>
      <c r="M41" s="48">
        <f>AVERAGE(M25:M29)</f>
        <v>2.6809305844263144E-2</v>
      </c>
      <c r="AH41" s="48">
        <f>AVERAGE(AH25:AH29)</f>
        <v>3.9729307444617404E-2</v>
      </c>
      <c r="AI41" s="48">
        <f>AVERAGE(AI25:AI29)</f>
        <v>1.2176046223805196E-2</v>
      </c>
      <c r="AJ41" s="48">
        <f>AVERAGE(AJ25:AJ29)</f>
        <v>9.1212010334286824E-3</v>
      </c>
      <c r="AK41" s="48">
        <f>AVERAGE(AK25:AK29)</f>
        <v>2.7553261220812204E-2</v>
      </c>
      <c r="BE41" s="52">
        <f t="shared" si="12"/>
        <v>1.070339867856015</v>
      </c>
      <c r="BH41" s="55">
        <f>AVERAGE(BH25:BH29)</f>
        <v>5.8787241632574649E-3</v>
      </c>
      <c r="BJ41" s="52">
        <f>AVERAGE(BJ25:BJ29)</f>
        <v>8.1215545650700882E-2</v>
      </c>
      <c r="BK41" s="52">
        <f>AVERAGE(BK25:BK29)</f>
        <v>8.1965505488226231E-2</v>
      </c>
      <c r="BL41" s="52">
        <f>AVERAGE(BL25:BL29)</f>
        <v>2.6008437415253827E-2</v>
      </c>
      <c r="BM41" s="52">
        <f>AVERAGE(BM25:BM29)</f>
        <v>3.1305207162936277E-2</v>
      </c>
      <c r="BN41" s="52">
        <f>AVERAGE(BN25:BN29)</f>
        <v>1.9760741005879323E-2</v>
      </c>
      <c r="BP41" s="52">
        <f>AVERAGE(BP25:BP29)</f>
        <v>7.7062752436675819E-2</v>
      </c>
      <c r="BQ41" s="52">
        <f>AVERAGE(BQ25:BQ29)</f>
        <v>7.3933138866467463E-2</v>
      </c>
      <c r="BR41" s="52">
        <f>AVERAGE(BR25:BR29)</f>
        <v>3.8836664945602672E-2</v>
      </c>
      <c r="BS41" s="52">
        <f>AVERAGE(BS25:BS29)</f>
        <v>4.2021361184222394E-2</v>
      </c>
      <c r="BT41" s="52">
        <f>AVERAGE(BT25:BT29)</f>
        <v>3.3582108567782099E-2</v>
      </c>
    </row>
    <row r="42" spans="1:72" x14ac:dyDescent="0.3">
      <c r="B42" s="47" t="s">
        <v>16</v>
      </c>
      <c r="J42" s="48">
        <f>AVERAGE(J30:J39)</f>
        <v>3.3864137051408713E-2</v>
      </c>
      <c r="K42" s="48">
        <f>AVERAGE(K30:K39)</f>
        <v>1.8101540439447027E-2</v>
      </c>
      <c r="L42" s="48">
        <f>AVERAGE(L30:L39)</f>
        <v>1.3974457075202751E-2</v>
      </c>
      <c r="M42" s="48">
        <f>AVERAGE(M30:M39)</f>
        <v>1.576259661196169E-2</v>
      </c>
      <c r="AH42" s="48">
        <f>AVERAGE(AH30:AH39)</f>
        <v>3.4674250696489294E-2</v>
      </c>
      <c r="AI42" s="48">
        <f>AVERAGE(AI30:AI39)</f>
        <v>1.8758044266173658E-2</v>
      </c>
      <c r="AJ42" s="48">
        <f>AVERAGE(AJ30:AJ39)</f>
        <v>1.4368771032105664E-2</v>
      </c>
      <c r="AK42" s="48">
        <f>AVERAGE(AK30:AK39)</f>
        <v>1.5916206430315646E-2</v>
      </c>
      <c r="BE42" s="52">
        <f t="shared" si="12"/>
        <v>1.0362678430005865</v>
      </c>
      <c r="BH42" s="55">
        <f>AVERAGE(BH30:BH39)</f>
        <v>4.1992853694984844E-3</v>
      </c>
      <c r="BJ42" s="52">
        <f>AVERAGE(BJ30:BJ39)</f>
        <v>3.6425428602465892E-2</v>
      </c>
      <c r="BK42" s="52">
        <f>AVERAGE(BK30:BK39)</f>
        <v>3.621941315042454E-2</v>
      </c>
      <c r="BL42" s="52">
        <f>AVERAGE(BL30:BL39)</f>
        <v>2.2447443067895867E-2</v>
      </c>
      <c r="BM42" s="52">
        <f>AVERAGE(BM30:BM39)</f>
        <v>1.4202592590040641E-2</v>
      </c>
      <c r="BN42" s="52">
        <f>AVERAGE(BN30:BN39)</f>
        <v>3.390098924863405E-2</v>
      </c>
      <c r="BP42" s="52">
        <f>AVERAGE(BP30:BP39)</f>
        <v>2.9493269232369834E-2</v>
      </c>
      <c r="BQ42" s="52">
        <f>AVERAGE(BQ30:BQ39)</f>
        <v>2.8103850443628398E-2</v>
      </c>
      <c r="BR42" s="52">
        <f>AVERAGE(BR30:BR39)</f>
        <v>3.059501769333306E-2</v>
      </c>
      <c r="BS42" s="52">
        <f>AVERAGE(BS30:BS39)</f>
        <v>2.5595902942115001E-2</v>
      </c>
      <c r="BT42" s="52">
        <f>AVERAGE(BT30:BT39)</f>
        <v>3.7993344654734473E-2</v>
      </c>
    </row>
    <row r="43" spans="1:72" collapsed="1" x14ac:dyDescent="0.3">
      <c r="B43" s="47" t="s">
        <v>17</v>
      </c>
      <c r="J43" s="48">
        <f>AVERAGE(J5:J39)</f>
        <v>2.5173245753547707E-2</v>
      </c>
      <c r="K43" s="48">
        <f>AVERAGE(K5:K39)</f>
        <v>1.2219586981907183E-2</v>
      </c>
      <c r="L43" s="48">
        <f>AVERAGE(L5:L39)</f>
        <v>9.2356868558678713E-3</v>
      </c>
      <c r="M43" s="48">
        <f>AVERAGE(M5:M39)</f>
        <v>1.2953658771640524E-2</v>
      </c>
      <c r="AH43" s="48">
        <f>AVERAGE(AH5:AH39)</f>
        <v>2.6255392761097656E-2</v>
      </c>
      <c r="AI43" s="48">
        <f>AVERAGE(AI5:AI39)</f>
        <v>1.29495475245888E-2</v>
      </c>
      <c r="AJ43" s="48">
        <f>AVERAGE(AJ5:AJ39)</f>
        <v>9.6854879603898575E-3</v>
      </c>
      <c r="AK43" s="48">
        <f>AVERAGE(AK5:AK39)</f>
        <v>1.3305845236508854E-2</v>
      </c>
      <c r="BE43" s="52">
        <f t="shared" si="12"/>
        <v>1.0597369243135979</v>
      </c>
      <c r="BH43" s="55">
        <f>AVERAGE(BH5:BH39)</f>
        <v>6.1651455099554974E-3</v>
      </c>
      <c r="BJ43" s="52">
        <f>AVERAGE(BJ5:BJ39)</f>
        <v>5.8509338371908068E-2</v>
      </c>
      <c r="BK43" s="52">
        <f>AVERAGE(BK5:BK39)</f>
        <v>5.9192848878164818E-2</v>
      </c>
      <c r="BL43" s="52">
        <f>AVERAGE(BL5:BL39)</f>
        <v>5.7268961818290519E-2</v>
      </c>
      <c r="BM43" s="52">
        <f>AVERAGE(BM5:BM39)</f>
        <v>7.7298133134848138E-2</v>
      </c>
      <c r="BN43" s="52">
        <f>AVERAGE(BN5:BN39)</f>
        <v>8.6636742803177125E-2</v>
      </c>
      <c r="BP43" s="52">
        <f>AVERAGE(BP5:BP39)</f>
        <v>4.2561588942046362E-2</v>
      </c>
      <c r="BQ43" s="52">
        <f>AVERAGE(BQ5:BQ39)</f>
        <v>4.2188271918826507E-2</v>
      </c>
      <c r="BR43" s="52">
        <f>AVERAGE(BR5:BR39)</f>
        <v>6.7692674994082519E-2</v>
      </c>
      <c r="BS43" s="52">
        <f>AVERAGE(BS5:BS39)</f>
        <v>7.7113597308834506E-2</v>
      </c>
      <c r="BT43" s="52">
        <f>AVERAGE(BT5:BT39)</f>
        <v>8.3818804992729562E-2</v>
      </c>
    </row>
    <row r="44" spans="1:72" hidden="1" outlineLevel="2" x14ac:dyDescent="0.3">
      <c r="A44" s="47" t="s">
        <v>237</v>
      </c>
      <c r="B44" s="47" t="s">
        <v>238</v>
      </c>
      <c r="AB44" s="49">
        <f>SUM(AB5:AB24,AB25:AB29,AB30:AB39)</f>
        <v>321510.18</v>
      </c>
      <c r="AC44" s="49">
        <f>SUM(AC5:AC24,AC25:AC29,AC30:AC39)</f>
        <v>0</v>
      </c>
      <c r="AD44" s="49">
        <f>SUM(AD5:AD24,AD25:AD29,AD30:AD39)</f>
        <v>4156.2760000000007</v>
      </c>
      <c r="AE44" s="49">
        <f>SUM(AE5:AE24,AE25:AE29,AE30:AE39)</f>
        <v>0</v>
      </c>
      <c r="AZ44" s="49">
        <f>SUM(AZ5:AZ24,AZ25:AZ29,AZ30:AZ39)</f>
        <v>306222.14999999997</v>
      </c>
      <c r="BA44" s="49">
        <f>SUM(BA5:BA24,BA25:BA29,BA30:BA39)</f>
        <v>0</v>
      </c>
      <c r="BB44" s="49">
        <f>SUM(BB5:BB24,BB25:BB29,BB30:BB39)</f>
        <v>4131.058</v>
      </c>
      <c r="BC44" s="49">
        <f>SUM(BC5:BC24,BC25:BC29,BC30:BC39)</f>
        <v>0</v>
      </c>
    </row>
    <row r="45" spans="1:72" hidden="1" outlineLevel="2" x14ac:dyDescent="0.3">
      <c r="B45" s="47" t="s">
        <v>239</v>
      </c>
      <c r="AZ45" s="55">
        <f>AZ44/AB44</f>
        <v>0.9524493128024748</v>
      </c>
      <c r="BA45" s="55" t="e">
        <f>BA44/AC44</f>
        <v>#DIV/0!</v>
      </c>
      <c r="BB45" s="55">
        <f>BB44/AD44</f>
        <v>0.99393254923397756</v>
      </c>
      <c r="BC45" s="55" t="e">
        <f>BC44/AE44</f>
        <v>#DIV/0!</v>
      </c>
    </row>
    <row r="46" spans="1:72" hidden="1" outlineLevel="2" x14ac:dyDescent="0.3">
      <c r="B46" s="47" t="s">
        <v>240</v>
      </c>
      <c r="AB46" s="49">
        <f>GEOMEAN(AB5:AB24,AB25:AB29,AB30:AB39)</f>
        <v>7790.8561517500202</v>
      </c>
      <c r="AC46" s="49" t="e">
        <f>GEOMEAN(AC5:AC24,AC25:AC29,AC30:AC39)</f>
        <v>#NUM!</v>
      </c>
      <c r="AD46" s="49">
        <f>GEOMEAN(AD5:AD24,AD25:AD29,AD30:AD39)</f>
        <v>100.95825284136174</v>
      </c>
      <c r="AE46" s="49" t="e">
        <f>GEOMEAN(AE5:AE24,AE25:AE29,AE30:AE39)</f>
        <v>#NUM!</v>
      </c>
      <c r="AZ46" s="49">
        <f>GEOMEAN(AZ5:AZ24,AZ25:AZ29,AZ30:AZ39)</f>
        <v>7259.0805433207788</v>
      </c>
      <c r="BA46" s="49" t="e">
        <f>GEOMEAN(BA5:BA24,BA25:BA29,BA30:BA39)</f>
        <v>#NUM!</v>
      </c>
      <c r="BB46" s="49">
        <f>GEOMEAN(BB5:BB24,BB25:BB29,BB30:BB39)</f>
        <v>100.28349198877929</v>
      </c>
      <c r="BC46" s="49" t="e">
        <f>GEOMEAN(BC5:BC24,BC25:BC29,BC30:BC39)</f>
        <v>#NUM!</v>
      </c>
    </row>
    <row r="47" spans="1:72" outlineLevel="2" collapsed="1" x14ac:dyDescent="0.3">
      <c r="B47" s="47" t="s">
        <v>241</v>
      </c>
      <c r="AZ47" s="55">
        <f>AZ46/AB46</f>
        <v>0.93174362379803521</v>
      </c>
      <c r="BA47" s="55" t="e">
        <f>BA46/AC46</f>
        <v>#NUM!</v>
      </c>
      <c r="BB47" s="55">
        <f>BB46/AD46</f>
        <v>0.99331643690741434</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e.faramarzi</cp:lastModifiedBy>
  <dcterms:created xsi:type="dcterms:W3CDTF">2019-04-23T13:57:55Z</dcterms:created>
  <dcterms:modified xsi:type="dcterms:W3CDTF">2021-05-23T13:41:58Z</dcterms:modified>
</cp:coreProperties>
</file>