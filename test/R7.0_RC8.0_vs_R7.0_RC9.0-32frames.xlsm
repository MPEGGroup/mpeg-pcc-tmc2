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1" defaultThemeVersion="124226"/>
  <mc:AlternateContent xmlns:mc="http://schemas.openxmlformats.org/markup-compatibility/2006">
    <mc:Choice Requires="x15">
      <x15ac:absPath xmlns:x15ac="http://schemas.microsoft.com/office/spreadsheetml/2010/11/ac" url="C:\Users\avosoughi\Desktop\CE-git\mpeg127\mpeg127-integration\mpeg-pcc-tmc2\test\"/>
    </mc:Choice>
  </mc:AlternateContent>
  <xr:revisionPtr revIDLastSave="0" documentId="13_ncr:1_{A9BAF138-91B1-49EA-897A-883784BEAEAD}" xr6:coauthVersionLast="43" xr6:coauthVersionMax="43" xr10:uidLastSave="{00000000-0000-0000-0000-000000000000}"/>
  <bookViews>
    <workbookView xWindow="-120" yWindow="-120" windowWidth="38640" windowHeight="2124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AZ44" i="7"/>
  <c r="AE44" i="7"/>
  <c r="AD44" i="7"/>
  <c r="AC44" i="7"/>
  <c r="AB44" i="7"/>
  <c r="CG39" i="7"/>
  <c r="CF39" i="7"/>
  <c r="CE39" i="7"/>
  <c r="CD39" i="7"/>
  <c r="CC39" i="7"/>
  <c r="CB39" i="7"/>
  <c r="CA39" i="7"/>
  <c r="BZ39" i="7"/>
  <c r="BY39" i="7"/>
  <c r="BX39" i="7"/>
  <c r="BW39" i="7"/>
  <c r="BV39" i="7"/>
  <c r="BF39" i="7"/>
  <c r="AM39" i="7"/>
  <c r="AL39" i="7"/>
  <c r="AK39" i="7"/>
  <c r="AJ39" i="7"/>
  <c r="AI39" i="7"/>
  <c r="AH39" i="7"/>
  <c r="AG39" i="7"/>
  <c r="O39" i="7"/>
  <c r="N39" i="7"/>
  <c r="K39" i="7" s="1"/>
  <c r="M39" i="7"/>
  <c r="L39" i="7"/>
  <c r="J39" i="7"/>
  <c r="I39" i="7"/>
  <c r="CG38" i="7"/>
  <c r="CF38" i="7"/>
  <c r="CE38" i="7"/>
  <c r="CD38" i="7"/>
  <c r="CC38" i="7"/>
  <c r="CB38" i="7"/>
  <c r="CA38" i="7"/>
  <c r="BZ38" i="7"/>
  <c r="BY38" i="7"/>
  <c r="BX38" i="7"/>
  <c r="BW38" i="7"/>
  <c r="BV38" i="7"/>
  <c r="BF38" i="7"/>
  <c r="AM38" i="7"/>
  <c r="AL38" i="7"/>
  <c r="AI38" i="7" s="1"/>
  <c r="AK38" i="7"/>
  <c r="AJ38" i="7"/>
  <c r="AH38" i="7"/>
  <c r="AG38" i="7"/>
  <c r="O38" i="7"/>
  <c r="N38" i="7"/>
  <c r="M38" i="7"/>
  <c r="L38" i="7"/>
  <c r="K38" i="7"/>
  <c r="J38" i="7"/>
  <c r="I38" i="7"/>
  <c r="CG37" i="7"/>
  <c r="CF37" i="7"/>
  <c r="CE37" i="7"/>
  <c r="CD37" i="7"/>
  <c r="CC37" i="7"/>
  <c r="CB37" i="7"/>
  <c r="CA37" i="7"/>
  <c r="BZ37" i="7"/>
  <c r="BY37" i="7"/>
  <c r="BX37" i="7"/>
  <c r="BW37" i="7"/>
  <c r="BV37" i="7"/>
  <c r="BF37" i="7"/>
  <c r="AM37" i="7"/>
  <c r="AL37" i="7"/>
  <c r="AK37" i="7"/>
  <c r="AJ37" i="7"/>
  <c r="AI37" i="7"/>
  <c r="AH37" i="7"/>
  <c r="AG37" i="7"/>
  <c r="O37" i="7"/>
  <c r="N37" i="7"/>
  <c r="K37" i="7" s="1"/>
  <c r="M37" i="7"/>
  <c r="L37" i="7"/>
  <c r="J37" i="7"/>
  <c r="I37" i="7"/>
  <c r="CG36" i="7"/>
  <c r="CF36" i="7"/>
  <c r="CE36" i="7"/>
  <c r="CD36" i="7"/>
  <c r="CC36" i="7"/>
  <c r="CB36" i="7"/>
  <c r="CA36" i="7"/>
  <c r="BZ36" i="7"/>
  <c r="BY36" i="7"/>
  <c r="BX36" i="7"/>
  <c r="BW36" i="7"/>
  <c r="BV36" i="7"/>
  <c r="BF36" i="7"/>
  <c r="AM36" i="7"/>
  <c r="AL36" i="7"/>
  <c r="BG36" i="7" s="1"/>
  <c r="AK36" i="7"/>
  <c r="AJ36" i="7"/>
  <c r="AH36" i="7"/>
  <c r="AG36" i="7"/>
  <c r="O36" i="7"/>
  <c r="N36" i="7"/>
  <c r="M36" i="7"/>
  <c r="L36" i="7"/>
  <c r="K36" i="7"/>
  <c r="J36" i="7"/>
  <c r="I36" i="7"/>
  <c r="CG35" i="7"/>
  <c r="CF35" i="7"/>
  <c r="CE35" i="7"/>
  <c r="CD35" i="7"/>
  <c r="CC35" i="7"/>
  <c r="CB35" i="7"/>
  <c r="CA35" i="7"/>
  <c r="BZ35" i="7"/>
  <c r="BY35" i="7"/>
  <c r="BX35" i="7"/>
  <c r="BW35" i="7"/>
  <c r="BV35" i="7"/>
  <c r="BF35" i="7"/>
  <c r="AM35" i="7"/>
  <c r="AL35" i="7"/>
  <c r="BG35" i="7" s="1"/>
  <c r="AK35" i="7"/>
  <c r="AJ35" i="7"/>
  <c r="AI35" i="7"/>
  <c r="AH35" i="7"/>
  <c r="AG35" i="7"/>
  <c r="O35" i="7"/>
  <c r="N35" i="7"/>
  <c r="M35" i="7"/>
  <c r="L35" i="7"/>
  <c r="J35" i="7"/>
  <c r="I35" i="7"/>
  <c r="CG34" i="7"/>
  <c r="CF34" i="7"/>
  <c r="CE34" i="7"/>
  <c r="CD34" i="7"/>
  <c r="CC34" i="7"/>
  <c r="CB34" i="7"/>
  <c r="CA34" i="7"/>
  <c r="BZ34" i="7"/>
  <c r="BY34" i="7"/>
  <c r="BX34" i="7"/>
  <c r="BW34" i="7"/>
  <c r="BV34" i="7"/>
  <c r="BF34" i="7"/>
  <c r="AM34" i="7"/>
  <c r="AL34" i="7"/>
  <c r="AI34" i="7" s="1"/>
  <c r="AK34" i="7"/>
  <c r="AJ34" i="7"/>
  <c r="AH34" i="7"/>
  <c r="AG34" i="7"/>
  <c r="O34" i="7"/>
  <c r="N34" i="7"/>
  <c r="K34" i="7" s="1"/>
  <c r="BE34" i="7" s="1"/>
  <c r="M34" i="7"/>
  <c r="L34" i="7"/>
  <c r="J34" i="7"/>
  <c r="I34" i="7"/>
  <c r="CG33" i="7"/>
  <c r="CF33" i="7"/>
  <c r="CE33" i="7"/>
  <c r="CD33" i="7"/>
  <c r="CC33" i="7"/>
  <c r="CB33" i="7"/>
  <c r="CA33" i="7"/>
  <c r="BZ33" i="7"/>
  <c r="BY33" i="7"/>
  <c r="BX33" i="7"/>
  <c r="BW33" i="7"/>
  <c r="BV33" i="7"/>
  <c r="BF33" i="7"/>
  <c r="AM33" i="7"/>
  <c r="AL33" i="7"/>
  <c r="AK33" i="7"/>
  <c r="AJ33" i="7"/>
  <c r="AH33" i="7"/>
  <c r="AG33" i="7"/>
  <c r="O33" i="7"/>
  <c r="N33" i="7"/>
  <c r="K33" i="7" s="1"/>
  <c r="M33" i="7"/>
  <c r="L33" i="7"/>
  <c r="J33" i="7"/>
  <c r="I33" i="7"/>
  <c r="CG32" i="7"/>
  <c r="CF32" i="7"/>
  <c r="CE32" i="7"/>
  <c r="CD32" i="7"/>
  <c r="CC32" i="7"/>
  <c r="CB32" i="7"/>
  <c r="CA32" i="7"/>
  <c r="BZ32" i="7"/>
  <c r="BY32" i="7"/>
  <c r="BX32" i="7"/>
  <c r="BW32" i="7"/>
  <c r="BV32" i="7"/>
  <c r="BF32" i="7"/>
  <c r="AM32" i="7"/>
  <c r="AL32" i="7"/>
  <c r="AI32" i="7" s="1"/>
  <c r="AK32" i="7"/>
  <c r="AJ32" i="7"/>
  <c r="AH32" i="7"/>
  <c r="AG32" i="7"/>
  <c r="O32" i="7"/>
  <c r="N32" i="7"/>
  <c r="K32" i="7" s="1"/>
  <c r="M32" i="7"/>
  <c r="L32" i="7"/>
  <c r="J32" i="7"/>
  <c r="I32" i="7"/>
  <c r="CG31" i="7"/>
  <c r="CF31" i="7"/>
  <c r="CE31" i="7"/>
  <c r="CD31" i="7"/>
  <c r="CC31" i="7"/>
  <c r="CB31" i="7"/>
  <c r="CA31" i="7"/>
  <c r="BZ31" i="7"/>
  <c r="BY31" i="7"/>
  <c r="BX31" i="7"/>
  <c r="BW31" i="7"/>
  <c r="BV31" i="7"/>
  <c r="BF31" i="7"/>
  <c r="AM31" i="7"/>
  <c r="AL31" i="7"/>
  <c r="AI31" i="7" s="1"/>
  <c r="AK31" i="7"/>
  <c r="AJ31" i="7"/>
  <c r="AH31" i="7"/>
  <c r="AG31" i="7"/>
  <c r="O31" i="7"/>
  <c r="N31" i="7"/>
  <c r="K31" i="7" s="1"/>
  <c r="M31" i="7"/>
  <c r="L31" i="7"/>
  <c r="J31" i="7"/>
  <c r="J42" i="7" s="1"/>
  <c r="I31" i="7"/>
  <c r="CG30" i="7"/>
  <c r="CF30" i="7"/>
  <c r="CE30" i="7"/>
  <c r="CD30" i="7"/>
  <c r="CC30" i="7"/>
  <c r="CB30" i="7"/>
  <c r="CA30" i="7"/>
  <c r="BZ30" i="7"/>
  <c r="BY30" i="7"/>
  <c r="BX30" i="7"/>
  <c r="BW30" i="7"/>
  <c r="BV30" i="7"/>
  <c r="BF30" i="7"/>
  <c r="BE30" i="7"/>
  <c r="AM30" i="7"/>
  <c r="AL30" i="7"/>
  <c r="AI30" i="7" s="1"/>
  <c r="AK30" i="7"/>
  <c r="AJ30" i="7"/>
  <c r="AJ42" i="7" s="1"/>
  <c r="AH30" i="7"/>
  <c r="AG30" i="7"/>
  <c r="O30" i="7"/>
  <c r="N30" i="7"/>
  <c r="M30" i="7"/>
  <c r="L30" i="7"/>
  <c r="K30" i="7"/>
  <c r="J30" i="7"/>
  <c r="I30" i="7"/>
  <c r="CG29" i="7"/>
  <c r="CF29" i="7"/>
  <c r="CE29" i="7"/>
  <c r="CD29" i="7"/>
  <c r="CC29" i="7"/>
  <c r="CB29" i="7"/>
  <c r="CA29" i="7"/>
  <c r="BZ29" i="7"/>
  <c r="BY29" i="7"/>
  <c r="BX29" i="7"/>
  <c r="BW29" i="7"/>
  <c r="BV29" i="7"/>
  <c r="BF29" i="7"/>
  <c r="AM29" i="7"/>
  <c r="AL29" i="7"/>
  <c r="AK29" i="7"/>
  <c r="AJ29" i="7"/>
  <c r="AI29" i="7"/>
  <c r="AH29" i="7"/>
  <c r="AG29" i="7"/>
  <c r="O29" i="7"/>
  <c r="N29" i="7"/>
  <c r="K29" i="7" s="1"/>
  <c r="M29" i="7"/>
  <c r="L29" i="7"/>
  <c r="J29" i="7"/>
  <c r="I29" i="7"/>
  <c r="CG28" i="7"/>
  <c r="CF28" i="7"/>
  <c r="CE28" i="7"/>
  <c r="CD28" i="7"/>
  <c r="CC28" i="7"/>
  <c r="CB28" i="7"/>
  <c r="CA28" i="7"/>
  <c r="BZ28" i="7"/>
  <c r="BY28" i="7"/>
  <c r="BX28" i="7"/>
  <c r="BW28" i="7"/>
  <c r="BV28" i="7"/>
  <c r="BF28" i="7"/>
  <c r="AM28" i="7"/>
  <c r="AL28" i="7"/>
  <c r="AI28" i="7" s="1"/>
  <c r="BE28" i="7" s="1"/>
  <c r="AK28" i="7"/>
  <c r="AJ28" i="7"/>
  <c r="AH28" i="7"/>
  <c r="AG28" i="7"/>
  <c r="O28" i="7"/>
  <c r="N28" i="7"/>
  <c r="M28" i="7"/>
  <c r="L28" i="7"/>
  <c r="K28" i="7"/>
  <c r="J28" i="7"/>
  <c r="I28" i="7"/>
  <c r="CG27" i="7"/>
  <c r="CF27" i="7"/>
  <c r="CE27" i="7"/>
  <c r="CD27" i="7"/>
  <c r="CC27" i="7"/>
  <c r="CB27" i="7"/>
  <c r="CA27" i="7"/>
  <c r="BZ27" i="7"/>
  <c r="BY27" i="7"/>
  <c r="BX27" i="7"/>
  <c r="BW27" i="7"/>
  <c r="BV27" i="7"/>
  <c r="BF27" i="7"/>
  <c r="AM27" i="7"/>
  <c r="AL27" i="7"/>
  <c r="AK27" i="7"/>
  <c r="AJ27" i="7"/>
  <c r="AI27" i="7"/>
  <c r="AH27" i="7"/>
  <c r="AG27" i="7"/>
  <c r="O27" i="7"/>
  <c r="N27" i="7"/>
  <c r="K27" i="7" s="1"/>
  <c r="M27" i="7"/>
  <c r="L27" i="7"/>
  <c r="J27" i="7"/>
  <c r="J41" i="7" s="1"/>
  <c r="I27" i="7"/>
  <c r="CG26" i="7"/>
  <c r="CF26" i="7"/>
  <c r="CE26" i="7"/>
  <c r="CD26" i="7"/>
  <c r="CC26" i="7"/>
  <c r="CB26" i="7"/>
  <c r="CA26" i="7"/>
  <c r="BZ26" i="7"/>
  <c r="BY26" i="7"/>
  <c r="BX26" i="7"/>
  <c r="BW26" i="7"/>
  <c r="BV26" i="7"/>
  <c r="BF26" i="7"/>
  <c r="AM26" i="7"/>
  <c r="AL26" i="7"/>
  <c r="AI26" i="7" s="1"/>
  <c r="BE26" i="7" s="1"/>
  <c r="AK26" i="7"/>
  <c r="AJ26" i="7"/>
  <c r="AH26" i="7"/>
  <c r="AH41" i="7" s="1"/>
  <c r="AG26" i="7"/>
  <c r="O26" i="7"/>
  <c r="N26" i="7"/>
  <c r="M26" i="7"/>
  <c r="L26" i="7"/>
  <c r="K26" i="7"/>
  <c r="J26" i="7"/>
  <c r="I26" i="7"/>
  <c r="CG25" i="7"/>
  <c r="CF25" i="7"/>
  <c r="CE25" i="7"/>
  <c r="CD25" i="7"/>
  <c r="CC25" i="7"/>
  <c r="CB25" i="7"/>
  <c r="CA25" i="7"/>
  <c r="BZ25" i="7"/>
  <c r="BY25" i="7"/>
  <c r="BX25" i="7"/>
  <c r="BW25" i="7"/>
  <c r="BV25" i="7"/>
  <c r="BF25" i="7"/>
  <c r="AM25" i="7"/>
  <c r="AL25" i="7"/>
  <c r="AK25" i="7"/>
  <c r="AJ25" i="7"/>
  <c r="AJ41" i="7" s="1"/>
  <c r="AI25" i="7"/>
  <c r="AH25" i="7"/>
  <c r="AG25" i="7"/>
  <c r="O25" i="7"/>
  <c r="N25" i="7"/>
  <c r="K25" i="7" s="1"/>
  <c r="M25" i="7"/>
  <c r="L25" i="7"/>
  <c r="J25" i="7"/>
  <c r="I25" i="7"/>
  <c r="CG24" i="7"/>
  <c r="CF24" i="7"/>
  <c r="CE24" i="7"/>
  <c r="CD24" i="7"/>
  <c r="CC24" i="7"/>
  <c r="CB24" i="7"/>
  <c r="CA24" i="7"/>
  <c r="BZ24" i="7"/>
  <c r="BY24" i="7"/>
  <c r="BX24" i="7"/>
  <c r="BW24" i="7"/>
  <c r="BV24" i="7"/>
  <c r="BG24" i="7"/>
  <c r="BF24" i="7"/>
  <c r="AM24" i="7"/>
  <c r="AL24" i="7"/>
  <c r="AI24" i="7" s="1"/>
  <c r="AK24" i="7"/>
  <c r="AJ24" i="7"/>
  <c r="AH24" i="7"/>
  <c r="AG24" i="7"/>
  <c r="O24" i="7"/>
  <c r="N24" i="7"/>
  <c r="M24" i="7"/>
  <c r="L24" i="7"/>
  <c r="K24" i="7"/>
  <c r="J24" i="7"/>
  <c r="I24" i="7"/>
  <c r="CG23" i="7"/>
  <c r="CF23" i="7"/>
  <c r="CE23" i="7"/>
  <c r="CD23" i="7"/>
  <c r="CC23" i="7"/>
  <c r="CB23" i="7"/>
  <c r="CA23" i="7"/>
  <c r="BZ23" i="7"/>
  <c r="BY23" i="7"/>
  <c r="BX23" i="7"/>
  <c r="BW23" i="7"/>
  <c r="BV23" i="7"/>
  <c r="BF23" i="7"/>
  <c r="AM23" i="7"/>
  <c r="AL23" i="7"/>
  <c r="AK23" i="7"/>
  <c r="AJ23" i="7"/>
  <c r="AI23" i="7"/>
  <c r="AH23" i="7"/>
  <c r="AG23" i="7"/>
  <c r="O23" i="7"/>
  <c r="N23" i="7"/>
  <c r="K23" i="7" s="1"/>
  <c r="M23" i="7"/>
  <c r="L23" i="7"/>
  <c r="J23" i="7"/>
  <c r="I23" i="7"/>
  <c r="CG22" i="7"/>
  <c r="CF22" i="7"/>
  <c r="CE22" i="7"/>
  <c r="CD22" i="7"/>
  <c r="CC22" i="7"/>
  <c r="CB22" i="7"/>
  <c r="CA22" i="7"/>
  <c r="BZ22" i="7"/>
  <c r="BY22" i="7"/>
  <c r="BX22" i="7"/>
  <c r="BW22" i="7"/>
  <c r="BV22" i="7"/>
  <c r="BF22" i="7"/>
  <c r="AM22" i="7"/>
  <c r="AL22" i="7"/>
  <c r="AI22" i="7" s="1"/>
  <c r="AK22" i="7"/>
  <c r="AJ22" i="7"/>
  <c r="AH22" i="7"/>
  <c r="AG22" i="7"/>
  <c r="O22" i="7"/>
  <c r="N22" i="7"/>
  <c r="M22" i="7"/>
  <c r="L22" i="7"/>
  <c r="K22" i="7"/>
  <c r="BE22" i="7" s="1"/>
  <c r="J22" i="7"/>
  <c r="I22" i="7"/>
  <c r="CG21" i="7"/>
  <c r="CF21" i="7"/>
  <c r="CE21" i="7"/>
  <c r="CD21" i="7"/>
  <c r="CC21" i="7"/>
  <c r="CB21" i="7"/>
  <c r="CA21" i="7"/>
  <c r="BZ21" i="7"/>
  <c r="BY21" i="7"/>
  <c r="BX21" i="7"/>
  <c r="BW21" i="7"/>
  <c r="BV21" i="7"/>
  <c r="BF21" i="7"/>
  <c r="AM21" i="7"/>
  <c r="AL21" i="7"/>
  <c r="AK21" i="7"/>
  <c r="AJ21" i="7"/>
  <c r="AI21" i="7"/>
  <c r="AH21" i="7"/>
  <c r="AG21" i="7"/>
  <c r="O21" i="7"/>
  <c r="N21" i="7"/>
  <c r="K21" i="7" s="1"/>
  <c r="M21" i="7"/>
  <c r="L21" i="7"/>
  <c r="J21" i="7"/>
  <c r="I21" i="7"/>
  <c r="CG20" i="7"/>
  <c r="CF20" i="7"/>
  <c r="CE20" i="7"/>
  <c r="CD20" i="7"/>
  <c r="CC20" i="7"/>
  <c r="CB20" i="7"/>
  <c r="CA20" i="7"/>
  <c r="BZ20" i="7"/>
  <c r="BY20" i="7"/>
  <c r="BX20" i="7"/>
  <c r="BW20" i="7"/>
  <c r="BV20" i="7"/>
  <c r="BF20" i="7"/>
  <c r="AM20" i="7"/>
  <c r="AL20" i="7"/>
  <c r="BG20" i="7" s="1"/>
  <c r="AK20" i="7"/>
  <c r="AJ20" i="7"/>
  <c r="AH20" i="7"/>
  <c r="AG20" i="7"/>
  <c r="O20" i="7"/>
  <c r="N20" i="7"/>
  <c r="M20" i="7"/>
  <c r="L20" i="7"/>
  <c r="K20" i="7"/>
  <c r="J20" i="7"/>
  <c r="I20" i="7"/>
  <c r="CG19" i="7"/>
  <c r="CF19" i="7"/>
  <c r="CE19" i="7"/>
  <c r="CD19" i="7"/>
  <c r="CC19" i="7"/>
  <c r="CB19" i="7"/>
  <c r="CA19" i="7"/>
  <c r="BZ19" i="7"/>
  <c r="BY19" i="7"/>
  <c r="BX19" i="7"/>
  <c r="BW19" i="7"/>
  <c r="BV19" i="7"/>
  <c r="BF19" i="7"/>
  <c r="AM19" i="7"/>
  <c r="AL19" i="7"/>
  <c r="AK19" i="7"/>
  <c r="AJ19" i="7"/>
  <c r="AI19" i="7"/>
  <c r="AH19" i="7"/>
  <c r="AG19" i="7"/>
  <c r="O19" i="7"/>
  <c r="N19" i="7"/>
  <c r="K19" i="7" s="1"/>
  <c r="M19" i="7"/>
  <c r="L19" i="7"/>
  <c r="J19" i="7"/>
  <c r="I19" i="7"/>
  <c r="CG18" i="7"/>
  <c r="CF18" i="7"/>
  <c r="CE18" i="7"/>
  <c r="CD18" i="7"/>
  <c r="CC18" i="7"/>
  <c r="CB18" i="7"/>
  <c r="CA18" i="7"/>
  <c r="BZ18" i="7"/>
  <c r="BY18" i="7"/>
  <c r="BX18" i="7"/>
  <c r="BW18" i="7"/>
  <c r="BV18" i="7"/>
  <c r="BF18" i="7"/>
  <c r="AM18" i="7"/>
  <c r="AL18" i="7"/>
  <c r="AI18" i="7" s="1"/>
  <c r="AK18" i="7"/>
  <c r="AJ18" i="7"/>
  <c r="AH18" i="7"/>
  <c r="AG18" i="7"/>
  <c r="O18" i="7"/>
  <c r="N18" i="7"/>
  <c r="K18" i="7" s="1"/>
  <c r="BE18" i="7" s="1"/>
  <c r="M18" i="7"/>
  <c r="L18" i="7"/>
  <c r="J18" i="7"/>
  <c r="I18" i="7"/>
  <c r="CG17" i="7"/>
  <c r="CF17" i="7"/>
  <c r="CE17" i="7"/>
  <c r="CD17" i="7"/>
  <c r="CC17" i="7"/>
  <c r="CB17" i="7"/>
  <c r="CA17" i="7"/>
  <c r="BZ17" i="7"/>
  <c r="BY17" i="7"/>
  <c r="BX17" i="7"/>
  <c r="BW17" i="7"/>
  <c r="BV17" i="7"/>
  <c r="BF17" i="7"/>
  <c r="AM17" i="7"/>
  <c r="AL17" i="7"/>
  <c r="BG17" i="7" s="1"/>
  <c r="AK17" i="7"/>
  <c r="AJ17" i="7"/>
  <c r="AH17" i="7"/>
  <c r="AG17" i="7"/>
  <c r="O17" i="7"/>
  <c r="N17" i="7"/>
  <c r="K17" i="7" s="1"/>
  <c r="M17" i="7"/>
  <c r="L17" i="7"/>
  <c r="J17" i="7"/>
  <c r="I17" i="7"/>
  <c r="CG16" i="7"/>
  <c r="CF16" i="7"/>
  <c r="CE16" i="7"/>
  <c r="CD16" i="7"/>
  <c r="CC16" i="7"/>
  <c r="CB16" i="7"/>
  <c r="CA16" i="7"/>
  <c r="BZ16" i="7"/>
  <c r="BY16" i="7"/>
  <c r="BX16" i="7"/>
  <c r="BW16" i="7"/>
  <c r="BV16" i="7"/>
  <c r="BG16" i="7"/>
  <c r="BF16" i="7"/>
  <c r="AM16" i="7"/>
  <c r="AL16" i="7"/>
  <c r="AI16" i="7" s="1"/>
  <c r="AK16" i="7"/>
  <c r="AJ16" i="7"/>
  <c r="AH16" i="7"/>
  <c r="AG16" i="7"/>
  <c r="O16" i="7"/>
  <c r="N16" i="7"/>
  <c r="M16" i="7"/>
  <c r="L16" i="7"/>
  <c r="K16" i="7"/>
  <c r="J16" i="7"/>
  <c r="I16" i="7"/>
  <c r="CG15" i="7"/>
  <c r="CF15" i="7"/>
  <c r="CE15" i="7"/>
  <c r="CD15" i="7"/>
  <c r="CC15" i="7"/>
  <c r="CB15" i="7"/>
  <c r="CA15" i="7"/>
  <c r="BZ15" i="7"/>
  <c r="BY15" i="7"/>
  <c r="BX15" i="7"/>
  <c r="BW15" i="7"/>
  <c r="BV15" i="7"/>
  <c r="BF15" i="7"/>
  <c r="AM15" i="7"/>
  <c r="AL15" i="7"/>
  <c r="AK15" i="7"/>
  <c r="AJ15" i="7"/>
  <c r="AI15" i="7"/>
  <c r="AH15" i="7"/>
  <c r="AG15" i="7"/>
  <c r="O15" i="7"/>
  <c r="N15" i="7"/>
  <c r="M15" i="7"/>
  <c r="L15" i="7"/>
  <c r="J15" i="7"/>
  <c r="I15" i="7"/>
  <c r="CG14" i="7"/>
  <c r="CF14" i="7"/>
  <c r="CE14" i="7"/>
  <c r="CD14" i="7"/>
  <c r="CC14" i="7"/>
  <c r="CB14" i="7"/>
  <c r="CA14" i="7"/>
  <c r="BZ14" i="7"/>
  <c r="BY14" i="7"/>
  <c r="BX14" i="7"/>
  <c r="BW14" i="7"/>
  <c r="BV14" i="7"/>
  <c r="BF14" i="7"/>
  <c r="AM14" i="7"/>
  <c r="AL14" i="7"/>
  <c r="AI14" i="7" s="1"/>
  <c r="AK14" i="7"/>
  <c r="AJ14" i="7"/>
  <c r="AH14" i="7"/>
  <c r="AG14" i="7"/>
  <c r="O14" i="7"/>
  <c r="N14" i="7"/>
  <c r="M14" i="7"/>
  <c r="L14" i="7"/>
  <c r="K14" i="7"/>
  <c r="J14" i="7"/>
  <c r="I14" i="7"/>
  <c r="CG13" i="7"/>
  <c r="CF13" i="7"/>
  <c r="CE13" i="7"/>
  <c r="CD13" i="7"/>
  <c r="CC13" i="7"/>
  <c r="CB13" i="7"/>
  <c r="CA13" i="7"/>
  <c r="BZ13" i="7"/>
  <c r="BY13" i="7"/>
  <c r="BX13" i="7"/>
  <c r="BW13" i="7"/>
  <c r="BV13" i="7"/>
  <c r="BF13" i="7"/>
  <c r="AM13" i="7"/>
  <c r="AL13" i="7"/>
  <c r="AK13" i="7"/>
  <c r="AJ13" i="7"/>
  <c r="AI13" i="7"/>
  <c r="AH13" i="7"/>
  <c r="AG13" i="7"/>
  <c r="O13" i="7"/>
  <c r="N13" i="7"/>
  <c r="K13" i="7" s="1"/>
  <c r="M13" i="7"/>
  <c r="L13" i="7"/>
  <c r="J13" i="7"/>
  <c r="I13" i="7"/>
  <c r="CG12" i="7"/>
  <c r="CF12" i="7"/>
  <c r="CE12" i="7"/>
  <c r="CD12" i="7"/>
  <c r="CC12" i="7"/>
  <c r="CB12" i="7"/>
  <c r="CA12" i="7"/>
  <c r="BZ12" i="7"/>
  <c r="BY12" i="7"/>
  <c r="BX12" i="7"/>
  <c r="BW12" i="7"/>
  <c r="BV12" i="7"/>
  <c r="BF12" i="7"/>
  <c r="AM12" i="7"/>
  <c r="AL12" i="7"/>
  <c r="AI12" i="7" s="1"/>
  <c r="AK12" i="7"/>
  <c r="AJ12" i="7"/>
  <c r="AH12" i="7"/>
  <c r="AG12" i="7"/>
  <c r="O12" i="7"/>
  <c r="N12" i="7"/>
  <c r="M12" i="7"/>
  <c r="L12" i="7"/>
  <c r="K12" i="7"/>
  <c r="J12" i="7"/>
  <c r="I12" i="7"/>
  <c r="CG11" i="7"/>
  <c r="CF11" i="7"/>
  <c r="CE11" i="7"/>
  <c r="CD11" i="7"/>
  <c r="CC11" i="7"/>
  <c r="CB11" i="7"/>
  <c r="CA11" i="7"/>
  <c r="BZ11" i="7"/>
  <c r="BY11" i="7"/>
  <c r="BX11" i="7"/>
  <c r="BW11" i="7"/>
  <c r="BV11" i="7"/>
  <c r="BF11" i="7"/>
  <c r="AM11" i="7"/>
  <c r="AL11" i="7"/>
  <c r="AK11" i="7"/>
  <c r="AJ11" i="7"/>
  <c r="AI11" i="7"/>
  <c r="AH11" i="7"/>
  <c r="AG11" i="7"/>
  <c r="O11" i="7"/>
  <c r="N11" i="7"/>
  <c r="K11" i="7" s="1"/>
  <c r="M11" i="7"/>
  <c r="L11" i="7"/>
  <c r="J11" i="7"/>
  <c r="I11" i="7"/>
  <c r="CG10" i="7"/>
  <c r="CF10" i="7"/>
  <c r="CE10" i="7"/>
  <c r="CD10" i="7"/>
  <c r="CC10" i="7"/>
  <c r="CB10" i="7"/>
  <c r="CA10" i="7"/>
  <c r="BZ10" i="7"/>
  <c r="BY10" i="7"/>
  <c r="BX10" i="7"/>
  <c r="BW10" i="7"/>
  <c r="BV10" i="7"/>
  <c r="BH10" i="7" a="1"/>
  <c r="BF10" i="7"/>
  <c r="AM10" i="7"/>
  <c r="AL10" i="7"/>
  <c r="AI10" i="7" s="1"/>
  <c r="BE10" i="7" s="1"/>
  <c r="AK10" i="7"/>
  <c r="AJ10" i="7"/>
  <c r="AH10" i="7"/>
  <c r="AG10" i="7"/>
  <c r="O10" i="7"/>
  <c r="N10" i="7"/>
  <c r="M10" i="7"/>
  <c r="L10" i="7"/>
  <c r="K10" i="7"/>
  <c r="J10" i="7"/>
  <c r="I10" i="7"/>
  <c r="CG9" i="7"/>
  <c r="CF9" i="7"/>
  <c r="CE9" i="7"/>
  <c r="CD9" i="7"/>
  <c r="CC9" i="7"/>
  <c r="CB9" i="7"/>
  <c r="CA9" i="7"/>
  <c r="BZ9" i="7"/>
  <c r="BY9" i="7"/>
  <c r="BX9" i="7"/>
  <c r="BW9" i="7"/>
  <c r="BV9" i="7"/>
  <c r="BF9" i="7"/>
  <c r="AM9" i="7"/>
  <c r="AL9" i="7"/>
  <c r="AK9" i="7"/>
  <c r="AJ9" i="7"/>
  <c r="AH9" i="7"/>
  <c r="AG9" i="7"/>
  <c r="O9" i="7"/>
  <c r="N9" i="7"/>
  <c r="K9" i="7" s="1"/>
  <c r="M9" i="7"/>
  <c r="L9" i="7"/>
  <c r="J9" i="7"/>
  <c r="I9" i="7"/>
  <c r="CG8" i="7"/>
  <c r="CF8" i="7"/>
  <c r="CE8" i="7"/>
  <c r="CD8" i="7"/>
  <c r="CC8" i="7"/>
  <c r="CB8" i="7"/>
  <c r="CA8" i="7"/>
  <c r="BZ8" i="7"/>
  <c r="BY8" i="7"/>
  <c r="BX8" i="7"/>
  <c r="BW8" i="7"/>
  <c r="BV8" i="7"/>
  <c r="BF8" i="7"/>
  <c r="AM8" i="7"/>
  <c r="AL8" i="7"/>
  <c r="AI8" i="7" s="1"/>
  <c r="AK8" i="7"/>
  <c r="AJ8" i="7"/>
  <c r="AH8" i="7"/>
  <c r="AG8" i="7"/>
  <c r="O8" i="7"/>
  <c r="N8" i="7"/>
  <c r="K8" i="7" s="1"/>
  <c r="M8" i="7"/>
  <c r="L8" i="7"/>
  <c r="J8" i="7"/>
  <c r="I8" i="7"/>
  <c r="CG7" i="7"/>
  <c r="CF7" i="7"/>
  <c r="CE7" i="7"/>
  <c r="CD7" i="7"/>
  <c r="CC7" i="7"/>
  <c r="CB7" i="7"/>
  <c r="CA7" i="7"/>
  <c r="BZ7" i="7"/>
  <c r="BY7" i="7"/>
  <c r="BX7" i="7"/>
  <c r="BW7" i="7"/>
  <c r="BV7" i="7"/>
  <c r="BF7" i="7"/>
  <c r="AM7" i="7"/>
  <c r="AL7" i="7"/>
  <c r="AI7" i="7" s="1"/>
  <c r="AK7" i="7"/>
  <c r="AJ7" i="7"/>
  <c r="AH7" i="7"/>
  <c r="AG7" i="7"/>
  <c r="O7" i="7"/>
  <c r="N7" i="7"/>
  <c r="K7" i="7" s="1"/>
  <c r="M7" i="7"/>
  <c r="L7" i="7"/>
  <c r="J7" i="7"/>
  <c r="I7" i="7"/>
  <c r="CG6" i="7"/>
  <c r="CF6" i="7"/>
  <c r="CE6" i="7"/>
  <c r="CD6" i="7"/>
  <c r="CC6" i="7"/>
  <c r="CB6" i="7"/>
  <c r="CA6" i="7"/>
  <c r="BZ6" i="7"/>
  <c r="BY6" i="7"/>
  <c r="BX6" i="7"/>
  <c r="BW6" i="7"/>
  <c r="BV6" i="7"/>
  <c r="BF6" i="7"/>
  <c r="AM6" i="7"/>
  <c r="AL6" i="7"/>
  <c r="AI6" i="7" s="1"/>
  <c r="BE6" i="7" s="1"/>
  <c r="AK6" i="7"/>
  <c r="AJ6" i="7"/>
  <c r="AH6" i="7"/>
  <c r="AG6" i="7"/>
  <c r="O6" i="7"/>
  <c r="N6" i="7"/>
  <c r="M6" i="7"/>
  <c r="L6" i="7"/>
  <c r="K6" i="7"/>
  <c r="J6" i="7"/>
  <c r="I6" i="7"/>
  <c r="CG5" i="7"/>
  <c r="CF5" i="7"/>
  <c r="CE5" i="7"/>
  <c r="CD5" i="7"/>
  <c r="CC5" i="7"/>
  <c r="CB5" i="7"/>
  <c r="CA5" i="7"/>
  <c r="BZ5" i="7"/>
  <c r="BY5" i="7"/>
  <c r="BX5" i="7"/>
  <c r="BW5" i="7"/>
  <c r="BV5" i="7"/>
  <c r="BF5" i="7"/>
  <c r="AM5" i="7"/>
  <c r="AL5" i="7"/>
  <c r="BH5" i="7" s="1" a="1"/>
  <c r="AK5" i="7"/>
  <c r="AJ5" i="7"/>
  <c r="AI5" i="7"/>
  <c r="AH5" i="7"/>
  <c r="AG5" i="7"/>
  <c r="O5" i="7"/>
  <c r="N5" i="7"/>
  <c r="K5" i="7" s="1"/>
  <c r="M5" i="7"/>
  <c r="L5" i="7"/>
  <c r="J5" i="7"/>
  <c r="I5" i="7"/>
  <c r="AG1" i="7"/>
  <c r="I1" i="7"/>
  <c r="AX19" i="6"/>
  <c r="AZ18" i="6"/>
  <c r="AZ19" i="6" s="1"/>
  <c r="AY18" i="6"/>
  <c r="AY19" i="6" s="1"/>
  <c r="AX18" i="6"/>
  <c r="AW18" i="6"/>
  <c r="AW19" i="6" s="1"/>
  <c r="AC18" i="6"/>
  <c r="AB18" i="6"/>
  <c r="AA18" i="6"/>
  <c r="Z18" i="6"/>
  <c r="AZ17" i="6"/>
  <c r="AZ16" i="6"/>
  <c r="AY16" i="6"/>
  <c r="AY17" i="6" s="1"/>
  <c r="AX16" i="6"/>
  <c r="AX17" i="6" s="1"/>
  <c r="AW16" i="6"/>
  <c r="AW17" i="6" s="1"/>
  <c r="AC16" i="6"/>
  <c r="AB16" i="6"/>
  <c r="AA16" i="6"/>
  <c r="Z16" i="6"/>
  <c r="L15" i="6"/>
  <c r="AJ14" i="6"/>
  <c r="AG13" i="6"/>
  <c r="BB13" i="6" s="1"/>
  <c r="BM11" i="6"/>
  <c r="BL11" i="6"/>
  <c r="BK11" i="6"/>
  <c r="BJ11" i="6"/>
  <c r="BI11" i="6"/>
  <c r="BC11" i="6"/>
  <c r="AL11" i="6"/>
  <c r="AK11" i="6"/>
  <c r="BF11" i="6" s="1"/>
  <c r="AJ11" i="6"/>
  <c r="BE11" i="6" s="1"/>
  <c r="AI11" i="6"/>
  <c r="BD11" i="6" s="1"/>
  <c r="AH11" i="6"/>
  <c r="AG11" i="6"/>
  <c r="BB11" i="6" s="1"/>
  <c r="AF11" i="6"/>
  <c r="AE11" i="6"/>
  <c r="O11" i="6"/>
  <c r="N11" i="6"/>
  <c r="M11" i="6"/>
  <c r="L11" i="6"/>
  <c r="K11" i="6"/>
  <c r="J11" i="6"/>
  <c r="I11" i="6"/>
  <c r="H11" i="6"/>
  <c r="BM10" i="6"/>
  <c r="BL10" i="6"/>
  <c r="BK10" i="6"/>
  <c r="BJ10" i="6"/>
  <c r="BI10" i="6"/>
  <c r="BC10" i="6"/>
  <c r="AL10" i="6"/>
  <c r="AK10" i="6"/>
  <c r="BF10" i="6" s="1"/>
  <c r="AJ10" i="6"/>
  <c r="BE10" i="6" s="1"/>
  <c r="AI10" i="6"/>
  <c r="AI14" i="6" s="1"/>
  <c r="AH10" i="6"/>
  <c r="AH14" i="6" s="1"/>
  <c r="AG10" i="6"/>
  <c r="BB10" i="6" s="1"/>
  <c r="AF10" i="6"/>
  <c r="AE10" i="6"/>
  <c r="O10" i="6"/>
  <c r="N10" i="6"/>
  <c r="M10" i="6"/>
  <c r="M14" i="6" s="1"/>
  <c r="L10" i="6"/>
  <c r="L14" i="6" s="1"/>
  <c r="K10" i="6"/>
  <c r="K14" i="6" s="1"/>
  <c r="J10" i="6"/>
  <c r="J14" i="6" s="1"/>
  <c r="I10" i="6"/>
  <c r="H10" i="6"/>
  <c r="BM9" i="6"/>
  <c r="BL9" i="6"/>
  <c r="BK9" i="6"/>
  <c r="BJ9" i="6"/>
  <c r="BI9" i="6"/>
  <c r="BB9" i="6"/>
  <c r="AL9" i="6"/>
  <c r="AK9" i="6"/>
  <c r="AJ9" i="6"/>
  <c r="AI9" i="6"/>
  <c r="AI13" i="6" s="1"/>
  <c r="AG9" i="6"/>
  <c r="AF9" i="6"/>
  <c r="AE9" i="6"/>
  <c r="O9" i="6"/>
  <c r="N9" i="6"/>
  <c r="K9" i="6" s="1"/>
  <c r="K13" i="6" s="1"/>
  <c r="M9" i="6"/>
  <c r="M13" i="6" s="1"/>
  <c r="L9" i="6"/>
  <c r="L13" i="6" s="1"/>
  <c r="J9" i="6"/>
  <c r="J13" i="6" s="1"/>
  <c r="I9" i="6"/>
  <c r="H9" i="6"/>
  <c r="BM8" i="6"/>
  <c r="BL8" i="6"/>
  <c r="BK8" i="6"/>
  <c r="BJ8" i="6"/>
  <c r="BI8" i="6"/>
  <c r="BF8" i="6"/>
  <c r="BC8" i="6"/>
  <c r="BB8" i="6"/>
  <c r="AL8" i="6"/>
  <c r="AK8" i="6"/>
  <c r="AH8" i="6" s="1"/>
  <c r="AJ8" i="6"/>
  <c r="BE8" i="6" s="1"/>
  <c r="AI8" i="6"/>
  <c r="BD8" i="6" s="1"/>
  <c r="AG8" i="6"/>
  <c r="AF8" i="6"/>
  <c r="AE8" i="6"/>
  <c r="O8" i="6"/>
  <c r="N8" i="6"/>
  <c r="K8" i="6" s="1"/>
  <c r="M8" i="6"/>
  <c r="L8" i="6"/>
  <c r="J8" i="6"/>
  <c r="I8" i="6"/>
  <c r="H8" i="6"/>
  <c r="BM7" i="6"/>
  <c r="BL7" i="6"/>
  <c r="BK7" i="6"/>
  <c r="BJ7" i="6"/>
  <c r="BI7" i="6"/>
  <c r="BF7" i="6"/>
  <c r="BB7" i="6"/>
  <c r="AL7" i="6"/>
  <c r="AK7" i="6"/>
  <c r="AH7" i="6" s="1"/>
  <c r="BC7" i="6" s="1"/>
  <c r="AJ7" i="6"/>
  <c r="AI7" i="6"/>
  <c r="BD7" i="6" s="1"/>
  <c r="AG7" i="6"/>
  <c r="AF7" i="6"/>
  <c r="AE7" i="6"/>
  <c r="O7" i="6"/>
  <c r="N7" i="6"/>
  <c r="K7" i="6" s="1"/>
  <c r="M7" i="6"/>
  <c r="L7" i="6"/>
  <c r="J7" i="6"/>
  <c r="I7" i="6"/>
  <c r="H7" i="6"/>
  <c r="BM6" i="6"/>
  <c r="BL6" i="6"/>
  <c r="BK6" i="6"/>
  <c r="BJ6" i="6"/>
  <c r="BI6" i="6"/>
  <c r="BF6" i="6"/>
  <c r="BB6" i="6"/>
  <c r="AL6" i="6"/>
  <c r="AK6" i="6"/>
  <c r="AH6" i="6" s="1"/>
  <c r="BC6" i="6" s="1"/>
  <c r="AJ6" i="6"/>
  <c r="AI6" i="6"/>
  <c r="BD6" i="6" s="1"/>
  <c r="AG6" i="6"/>
  <c r="AF6" i="6"/>
  <c r="AE6" i="6"/>
  <c r="O6" i="6"/>
  <c r="N6" i="6"/>
  <c r="K6" i="6" s="1"/>
  <c r="M6" i="6"/>
  <c r="L6" i="6"/>
  <c r="J6" i="6"/>
  <c r="I6" i="6"/>
  <c r="H6" i="6"/>
  <c r="BM5" i="6"/>
  <c r="BL5" i="6"/>
  <c r="BK5" i="6"/>
  <c r="BJ5" i="6"/>
  <c r="BI5" i="6"/>
  <c r="BF5" i="6"/>
  <c r="BB5" i="6"/>
  <c r="AL5" i="6"/>
  <c r="AK5" i="6"/>
  <c r="AH5" i="6" s="1"/>
  <c r="AJ5" i="6"/>
  <c r="AI5" i="6"/>
  <c r="AI12" i="6" s="1"/>
  <c r="AG5" i="6"/>
  <c r="AG12" i="6" s="1"/>
  <c r="AF5" i="6"/>
  <c r="AE5" i="6"/>
  <c r="O5" i="6"/>
  <c r="N5" i="6"/>
  <c r="K5" i="6" s="1"/>
  <c r="M5" i="6"/>
  <c r="L5" i="6"/>
  <c r="L12" i="6" s="1"/>
  <c r="J5" i="6"/>
  <c r="J12" i="6" s="1"/>
  <c r="I5" i="6"/>
  <c r="H5" i="6"/>
  <c r="AE1" i="6"/>
  <c r="H1" i="6"/>
  <c r="AZ18" i="5"/>
  <c r="AZ19" i="5" s="1"/>
  <c r="AY18" i="5"/>
  <c r="AY19" i="5" s="1"/>
  <c r="AX18" i="5"/>
  <c r="AX19" i="5" s="1"/>
  <c r="AW18" i="5"/>
  <c r="AW19" i="5" s="1"/>
  <c r="AC18" i="5"/>
  <c r="AB18" i="5"/>
  <c r="AA18" i="5"/>
  <c r="Z18" i="5"/>
  <c r="AZ17" i="5"/>
  <c r="AZ16" i="5"/>
  <c r="AY16" i="5"/>
  <c r="AY17" i="5" s="1"/>
  <c r="AX16" i="5"/>
  <c r="AX17" i="5" s="1"/>
  <c r="AW16" i="5"/>
  <c r="AW17" i="5" s="1"/>
  <c r="AC16" i="5"/>
  <c r="AB16" i="5"/>
  <c r="AA16" i="5"/>
  <c r="Z16" i="5"/>
  <c r="AJ15" i="5"/>
  <c r="BE15" i="5" s="1"/>
  <c r="AG15" i="5"/>
  <c r="M15" i="5"/>
  <c r="AI13" i="5"/>
  <c r="L13" i="5"/>
  <c r="BD13" i="5" s="1"/>
  <c r="AJ12" i="5"/>
  <c r="AI12" i="5"/>
  <c r="BD12" i="5" s="1"/>
  <c r="M12" i="5"/>
  <c r="BE12" i="5" s="1"/>
  <c r="D19" i="1" s="1"/>
  <c r="L12" i="5"/>
  <c r="BM11" i="5"/>
  <c r="BL11" i="5"/>
  <c r="BK11" i="5"/>
  <c r="BJ11" i="5"/>
  <c r="BI11" i="5"/>
  <c r="BE11" i="5"/>
  <c r="BD11" i="5"/>
  <c r="AL11" i="5"/>
  <c r="AK11" i="5"/>
  <c r="BG11" i="5" s="1" a="1"/>
  <c r="BG11" i="5" s="1"/>
  <c r="AJ11" i="5"/>
  <c r="AI11" i="5"/>
  <c r="AH11" i="5"/>
  <c r="AG11" i="5"/>
  <c r="BB11" i="5" s="1"/>
  <c r="AF11" i="5"/>
  <c r="AE11" i="5"/>
  <c r="O11" i="5"/>
  <c r="N11" i="5"/>
  <c r="M11" i="5"/>
  <c r="L11" i="5"/>
  <c r="K11" i="5"/>
  <c r="J11" i="5"/>
  <c r="I11" i="5"/>
  <c r="H11" i="5"/>
  <c r="BM10" i="5"/>
  <c r="BL10" i="5"/>
  <c r="BK10" i="5"/>
  <c r="BJ10" i="5"/>
  <c r="BI10" i="5"/>
  <c r="BE10" i="5"/>
  <c r="BD10" i="5"/>
  <c r="AL10" i="5"/>
  <c r="AK10" i="5"/>
  <c r="AJ10" i="5"/>
  <c r="AJ14" i="5" s="1"/>
  <c r="AI10" i="5"/>
  <c r="AI14" i="5" s="1"/>
  <c r="AH10" i="5"/>
  <c r="AG10" i="5"/>
  <c r="AF10" i="5"/>
  <c r="AE10" i="5"/>
  <c r="O10" i="5"/>
  <c r="N10" i="5"/>
  <c r="M10" i="5"/>
  <c r="M14" i="5" s="1"/>
  <c r="L10" i="5"/>
  <c r="L14" i="5" s="1"/>
  <c r="K10" i="5"/>
  <c r="K14" i="5" s="1"/>
  <c r="J10" i="5"/>
  <c r="J14" i="5" s="1"/>
  <c r="I10" i="5"/>
  <c r="H10" i="5"/>
  <c r="BM9" i="5"/>
  <c r="BL9" i="5"/>
  <c r="BK9" i="5"/>
  <c r="BJ9" i="5"/>
  <c r="BI9" i="5"/>
  <c r="BE9" i="5"/>
  <c r="BD9" i="5"/>
  <c r="AL9" i="5"/>
  <c r="AK9" i="5"/>
  <c r="AJ9" i="5"/>
  <c r="AJ13" i="5" s="1"/>
  <c r="AI9" i="5"/>
  <c r="AH9" i="5"/>
  <c r="AG9" i="5"/>
  <c r="AF9" i="5"/>
  <c r="AE9" i="5"/>
  <c r="O9" i="5"/>
  <c r="N9" i="5"/>
  <c r="M9" i="5"/>
  <c r="M13" i="5" s="1"/>
  <c r="L9" i="5"/>
  <c r="K9" i="5"/>
  <c r="K13" i="5" s="1"/>
  <c r="J9" i="5"/>
  <c r="J13" i="5" s="1"/>
  <c r="I9" i="5"/>
  <c r="H9" i="5"/>
  <c r="BM8" i="5"/>
  <c r="BL8" i="5"/>
  <c r="BK8" i="5"/>
  <c r="BJ8" i="5"/>
  <c r="BI8" i="5"/>
  <c r="BE8" i="5"/>
  <c r="BD8" i="5"/>
  <c r="AL8" i="5"/>
  <c r="AK8" i="5"/>
  <c r="AJ8" i="5"/>
  <c r="AI8" i="5"/>
  <c r="AH8" i="5"/>
  <c r="AG8" i="5"/>
  <c r="AF8" i="5"/>
  <c r="AE8" i="5"/>
  <c r="O8" i="5"/>
  <c r="N8" i="5"/>
  <c r="M8" i="5"/>
  <c r="L8" i="5"/>
  <c r="K8" i="5"/>
  <c r="J8" i="5"/>
  <c r="I8" i="5"/>
  <c r="H8" i="5"/>
  <c r="BM7" i="5"/>
  <c r="BL7" i="5"/>
  <c r="BK7" i="5"/>
  <c r="BJ7" i="5"/>
  <c r="BI7" i="5"/>
  <c r="BE7" i="5"/>
  <c r="BD7" i="5"/>
  <c r="AL7" i="5"/>
  <c r="AK7" i="5"/>
  <c r="AJ7" i="5"/>
  <c r="AI7" i="5"/>
  <c r="AH7" i="5"/>
  <c r="AG7" i="5"/>
  <c r="AF7" i="5"/>
  <c r="AE7" i="5"/>
  <c r="O7" i="5"/>
  <c r="N7" i="5"/>
  <c r="M7" i="5"/>
  <c r="L7" i="5"/>
  <c r="K7" i="5"/>
  <c r="J7" i="5"/>
  <c r="I7" i="5"/>
  <c r="H7" i="5"/>
  <c r="BM6" i="5"/>
  <c r="BL6" i="5"/>
  <c r="BK6" i="5"/>
  <c r="BJ6" i="5"/>
  <c r="BI6" i="5"/>
  <c r="BE6" i="5"/>
  <c r="BD6" i="5"/>
  <c r="AL6" i="5"/>
  <c r="AK6" i="5"/>
  <c r="AJ6" i="5"/>
  <c r="AI6" i="5"/>
  <c r="AH6" i="5"/>
  <c r="AG6" i="5"/>
  <c r="AF6" i="5"/>
  <c r="AE6" i="5"/>
  <c r="O6" i="5"/>
  <c r="N6" i="5"/>
  <c r="M6" i="5"/>
  <c r="L6" i="5"/>
  <c r="K6" i="5"/>
  <c r="J6" i="5"/>
  <c r="I6" i="5"/>
  <c r="H6" i="5"/>
  <c r="BM5" i="5"/>
  <c r="BL5" i="5"/>
  <c r="BK5" i="5"/>
  <c r="BJ5" i="5"/>
  <c r="BI5" i="5"/>
  <c r="BE5" i="5"/>
  <c r="BD5" i="5"/>
  <c r="AL5" i="5"/>
  <c r="AK5" i="5"/>
  <c r="AJ5" i="5"/>
  <c r="AI5" i="5"/>
  <c r="AI15" i="5" s="1"/>
  <c r="AH5" i="5"/>
  <c r="AG5" i="5"/>
  <c r="AF5" i="5"/>
  <c r="AE5" i="5"/>
  <c r="O5" i="5"/>
  <c r="N5" i="5"/>
  <c r="M5" i="5"/>
  <c r="L5" i="5"/>
  <c r="L15" i="5" s="1"/>
  <c r="K5" i="5"/>
  <c r="J5" i="5"/>
  <c r="J12" i="5" s="1"/>
  <c r="I5" i="5"/>
  <c r="H5" i="5"/>
  <c r="AE1" i="5"/>
  <c r="H1" i="5"/>
  <c r="BC46" i="3"/>
  <c r="BB46" i="3"/>
  <c r="BA46" i="3"/>
  <c r="AZ46" i="3"/>
  <c r="AE46" i="3"/>
  <c r="AD46" i="3"/>
  <c r="AC46" i="3"/>
  <c r="AB46" i="3"/>
  <c r="BC44" i="3"/>
  <c r="BB44" i="3"/>
  <c r="BA44" i="3"/>
  <c r="AZ44" i="3"/>
  <c r="AE44" i="3"/>
  <c r="AD44" i="3"/>
  <c r="AC44" i="3"/>
  <c r="AB44" i="3"/>
  <c r="CG39" i="3"/>
  <c r="CF39" i="3"/>
  <c r="CE39" i="3"/>
  <c r="CD39" i="3"/>
  <c r="CC39" i="3"/>
  <c r="CB39" i="3"/>
  <c r="CA39" i="3"/>
  <c r="BZ39" i="3"/>
  <c r="BY39" i="3"/>
  <c r="BX39" i="3"/>
  <c r="BW39" i="3"/>
  <c r="BV39" i="3"/>
  <c r="BF39" i="3"/>
  <c r="AM39" i="3"/>
  <c r="AL39" i="3"/>
  <c r="BG39" i="3" s="1"/>
  <c r="AK39" i="3"/>
  <c r="AJ39" i="3"/>
  <c r="AH39" i="3"/>
  <c r="AG39" i="3"/>
  <c r="O39" i="3"/>
  <c r="N39" i="3"/>
  <c r="M39" i="3"/>
  <c r="L39" i="3"/>
  <c r="K39" i="3"/>
  <c r="J39" i="3"/>
  <c r="I39" i="3"/>
  <c r="CG38" i="3"/>
  <c r="CF38" i="3"/>
  <c r="CE38" i="3"/>
  <c r="CD38" i="3"/>
  <c r="CC38" i="3"/>
  <c r="CB38" i="3"/>
  <c r="CA38" i="3"/>
  <c r="BZ38" i="3"/>
  <c r="BY38" i="3"/>
  <c r="BX38" i="3"/>
  <c r="BW38" i="3"/>
  <c r="BV38" i="3"/>
  <c r="BF38" i="3"/>
  <c r="AM38" i="3"/>
  <c r="AL38" i="3"/>
  <c r="AK38" i="3"/>
  <c r="AJ38" i="3"/>
  <c r="AI38" i="3"/>
  <c r="AH38" i="3"/>
  <c r="AG38" i="3"/>
  <c r="O38" i="3"/>
  <c r="N38" i="3"/>
  <c r="K38" i="3" s="1"/>
  <c r="BE38" i="3" s="1"/>
  <c r="M38" i="3"/>
  <c r="L38" i="3"/>
  <c r="J38" i="3"/>
  <c r="I38" i="3"/>
  <c r="CG37" i="3"/>
  <c r="CF37" i="3"/>
  <c r="CE37" i="3"/>
  <c r="CD37" i="3"/>
  <c r="CC37" i="3"/>
  <c r="CB37" i="3"/>
  <c r="CA37" i="3"/>
  <c r="BZ37" i="3"/>
  <c r="BY37" i="3"/>
  <c r="BX37" i="3"/>
  <c r="BW37" i="3"/>
  <c r="BV37" i="3"/>
  <c r="BF37" i="3"/>
  <c r="AM37" i="3"/>
  <c r="AL37" i="3"/>
  <c r="AI37" i="3" s="1"/>
  <c r="AK37" i="3"/>
  <c r="AJ37" i="3"/>
  <c r="AH37" i="3"/>
  <c r="AG37" i="3"/>
  <c r="O37" i="3"/>
  <c r="N37" i="3"/>
  <c r="K37" i="3" s="1"/>
  <c r="M37" i="3"/>
  <c r="L37" i="3"/>
  <c r="J37" i="3"/>
  <c r="I37" i="3"/>
  <c r="CG36" i="3"/>
  <c r="CF36" i="3"/>
  <c r="CE36" i="3"/>
  <c r="CD36" i="3"/>
  <c r="CC36" i="3"/>
  <c r="CB36" i="3"/>
  <c r="CA36" i="3"/>
  <c r="BZ36" i="3"/>
  <c r="BY36" i="3"/>
  <c r="BX36" i="3"/>
  <c r="BW36" i="3"/>
  <c r="BV36" i="3"/>
  <c r="BF36" i="3"/>
  <c r="AM36" i="3"/>
  <c r="AL36" i="3"/>
  <c r="BG36" i="3" s="1"/>
  <c r="AK36" i="3"/>
  <c r="AJ36" i="3"/>
  <c r="AH36" i="3"/>
  <c r="AG36" i="3"/>
  <c r="O36" i="3"/>
  <c r="N36" i="3"/>
  <c r="K36" i="3" s="1"/>
  <c r="M36" i="3"/>
  <c r="L36" i="3"/>
  <c r="J36" i="3"/>
  <c r="I36" i="3"/>
  <c r="CG35" i="3"/>
  <c r="CF35" i="3"/>
  <c r="CE35" i="3"/>
  <c r="CD35" i="3"/>
  <c r="CC35" i="3"/>
  <c r="CB35" i="3"/>
  <c r="CA35" i="3"/>
  <c r="BZ35" i="3"/>
  <c r="BY35" i="3"/>
  <c r="BX35" i="3"/>
  <c r="BW35" i="3"/>
  <c r="BV35" i="3"/>
  <c r="BH35" i="3" a="1"/>
  <c r="BH35" i="3" s="1"/>
  <c r="BF35" i="3"/>
  <c r="AM35" i="3"/>
  <c r="AL35" i="3"/>
  <c r="BG35" i="3" s="1"/>
  <c r="AK35" i="3"/>
  <c r="AJ35" i="3"/>
  <c r="AI35" i="3"/>
  <c r="AH35" i="3"/>
  <c r="AG35" i="3"/>
  <c r="O35" i="3"/>
  <c r="N35" i="3"/>
  <c r="M35" i="3"/>
  <c r="L35" i="3"/>
  <c r="K35" i="3"/>
  <c r="BE35" i="3" s="1"/>
  <c r="J35" i="3"/>
  <c r="I35" i="3"/>
  <c r="CG34" i="3"/>
  <c r="CF34" i="3"/>
  <c r="CE34" i="3"/>
  <c r="CD34" i="3"/>
  <c r="CC34" i="3"/>
  <c r="CB34" i="3"/>
  <c r="CA34" i="3"/>
  <c r="BZ34" i="3"/>
  <c r="BY34" i="3"/>
  <c r="BX34" i="3"/>
  <c r="BW34" i="3"/>
  <c r="BV34" i="3"/>
  <c r="BF34" i="3"/>
  <c r="AM34" i="3"/>
  <c r="AL34" i="3"/>
  <c r="AK34" i="3"/>
  <c r="AJ34" i="3"/>
  <c r="AH34" i="3"/>
  <c r="AG34" i="3"/>
  <c r="O34" i="3"/>
  <c r="N34" i="3"/>
  <c r="M34" i="3"/>
  <c r="L34" i="3"/>
  <c r="K34" i="3"/>
  <c r="J34" i="3"/>
  <c r="I34" i="3"/>
  <c r="CG33" i="3"/>
  <c r="CF33" i="3"/>
  <c r="CE33" i="3"/>
  <c r="CD33" i="3"/>
  <c r="CC33" i="3"/>
  <c r="CB33" i="3"/>
  <c r="CA33" i="3"/>
  <c r="BZ33" i="3"/>
  <c r="BY33" i="3"/>
  <c r="BX33" i="3"/>
  <c r="BW33" i="3"/>
  <c r="BV33" i="3"/>
  <c r="BF33" i="3"/>
  <c r="AM33" i="3"/>
  <c r="AL33" i="3"/>
  <c r="BH30" i="3" s="1" a="1"/>
  <c r="AK33" i="3"/>
  <c r="AJ33" i="3"/>
  <c r="AH33" i="3"/>
  <c r="AG33" i="3"/>
  <c r="O33" i="3"/>
  <c r="N33" i="3"/>
  <c r="K33" i="3" s="1"/>
  <c r="M33" i="3"/>
  <c r="L33" i="3"/>
  <c r="J33" i="3"/>
  <c r="I33" i="3"/>
  <c r="CG32" i="3"/>
  <c r="CF32" i="3"/>
  <c r="CE32" i="3"/>
  <c r="CD32" i="3"/>
  <c r="CC32" i="3"/>
  <c r="CB32" i="3"/>
  <c r="CA32" i="3"/>
  <c r="BZ32" i="3"/>
  <c r="BY32" i="3"/>
  <c r="BX32" i="3"/>
  <c r="BW32" i="3"/>
  <c r="BV32" i="3"/>
  <c r="BF32" i="3"/>
  <c r="AM32" i="3"/>
  <c r="AL32" i="3"/>
  <c r="AK32" i="3"/>
  <c r="AJ32" i="3"/>
  <c r="AI32" i="3"/>
  <c r="AH32" i="3"/>
  <c r="AG32" i="3"/>
  <c r="O32" i="3"/>
  <c r="N32" i="3"/>
  <c r="K32" i="3" s="1"/>
  <c r="M32" i="3"/>
  <c r="L32" i="3"/>
  <c r="J32" i="3"/>
  <c r="I32" i="3"/>
  <c r="CG31" i="3"/>
  <c r="CF31" i="3"/>
  <c r="CE31" i="3"/>
  <c r="CD31" i="3"/>
  <c r="CC31" i="3"/>
  <c r="CB31" i="3"/>
  <c r="CA31" i="3"/>
  <c r="BZ31" i="3"/>
  <c r="BY31" i="3"/>
  <c r="BX31" i="3"/>
  <c r="BW31" i="3"/>
  <c r="BV31" i="3"/>
  <c r="BF31" i="3"/>
  <c r="AM31" i="3"/>
  <c r="AL31" i="3"/>
  <c r="BG31" i="3" s="1"/>
  <c r="AK31" i="3"/>
  <c r="AJ31" i="3"/>
  <c r="AH31" i="3"/>
  <c r="AG31" i="3"/>
  <c r="O31" i="3"/>
  <c r="N31" i="3"/>
  <c r="K31" i="3" s="1"/>
  <c r="M31" i="3"/>
  <c r="L31" i="3"/>
  <c r="J31" i="3"/>
  <c r="I31" i="3"/>
  <c r="CG30" i="3"/>
  <c r="CF30" i="3"/>
  <c r="CE30" i="3"/>
  <c r="CD30" i="3"/>
  <c r="CC30" i="3"/>
  <c r="CB30" i="3"/>
  <c r="CA30" i="3"/>
  <c r="BZ30" i="3"/>
  <c r="BY30" i="3"/>
  <c r="BX30" i="3"/>
  <c r="BW30" i="3"/>
  <c r="BV30" i="3"/>
  <c r="BF30" i="3"/>
  <c r="AM30" i="3"/>
  <c r="AL30" i="3"/>
  <c r="AI30" i="3" s="1"/>
  <c r="AK30" i="3"/>
  <c r="AJ30" i="3"/>
  <c r="AH30" i="3"/>
  <c r="AG30" i="3"/>
  <c r="O30" i="3"/>
  <c r="N30" i="3"/>
  <c r="M30" i="3"/>
  <c r="L30" i="3"/>
  <c r="K30" i="3"/>
  <c r="J30" i="3"/>
  <c r="I30" i="3"/>
  <c r="CG29" i="3"/>
  <c r="CF29" i="3"/>
  <c r="CE29" i="3"/>
  <c r="CD29" i="3"/>
  <c r="CC29" i="3"/>
  <c r="CB29" i="3"/>
  <c r="CA29" i="3"/>
  <c r="BZ29" i="3"/>
  <c r="BY29" i="3"/>
  <c r="BX29" i="3"/>
  <c r="BW29" i="3"/>
  <c r="BV29" i="3"/>
  <c r="BF29" i="3"/>
  <c r="AM29" i="3"/>
  <c r="AL29" i="3"/>
  <c r="AI29" i="3" s="1"/>
  <c r="AK29" i="3"/>
  <c r="AJ29" i="3"/>
  <c r="AH29" i="3"/>
  <c r="AG29" i="3"/>
  <c r="O29" i="3"/>
  <c r="N29" i="3"/>
  <c r="K29" i="3" s="1"/>
  <c r="M29" i="3"/>
  <c r="L29" i="3"/>
  <c r="J29" i="3"/>
  <c r="I29" i="3"/>
  <c r="CG28" i="3"/>
  <c r="CF28" i="3"/>
  <c r="CE28" i="3"/>
  <c r="CD28" i="3"/>
  <c r="CC28" i="3"/>
  <c r="CB28" i="3"/>
  <c r="CA28" i="3"/>
  <c r="BZ28" i="3"/>
  <c r="BY28" i="3"/>
  <c r="BX28" i="3"/>
  <c r="BW28" i="3"/>
  <c r="BV28" i="3"/>
  <c r="BF28" i="3"/>
  <c r="AM28" i="3"/>
  <c r="AL28" i="3"/>
  <c r="AK28" i="3"/>
  <c r="AJ28" i="3"/>
  <c r="AI28" i="3"/>
  <c r="AH28" i="3"/>
  <c r="AG28" i="3"/>
  <c r="O28" i="3"/>
  <c r="N28" i="3"/>
  <c r="K28" i="3" s="1"/>
  <c r="M28" i="3"/>
  <c r="L28" i="3"/>
  <c r="J28" i="3"/>
  <c r="I28" i="3"/>
  <c r="CG27" i="3"/>
  <c r="CF27" i="3"/>
  <c r="CE27" i="3"/>
  <c r="CD27" i="3"/>
  <c r="CC27" i="3"/>
  <c r="CB27" i="3"/>
  <c r="CA27" i="3"/>
  <c r="BZ27" i="3"/>
  <c r="BY27" i="3"/>
  <c r="BX27" i="3"/>
  <c r="BW27" i="3"/>
  <c r="BV27" i="3"/>
  <c r="BF27" i="3"/>
  <c r="AM27" i="3"/>
  <c r="AL27" i="3"/>
  <c r="BG27" i="3" s="1"/>
  <c r="AK27" i="3"/>
  <c r="AJ27" i="3"/>
  <c r="AH27" i="3"/>
  <c r="AG27" i="3"/>
  <c r="O27" i="3"/>
  <c r="N27" i="3"/>
  <c r="K27" i="3" s="1"/>
  <c r="M27" i="3"/>
  <c r="L27" i="3"/>
  <c r="J27" i="3"/>
  <c r="I27" i="3"/>
  <c r="CG26" i="3"/>
  <c r="CF26" i="3"/>
  <c r="CE26" i="3"/>
  <c r="CD26" i="3"/>
  <c r="CC26" i="3"/>
  <c r="CB26" i="3"/>
  <c r="CA26" i="3"/>
  <c r="BZ26" i="3"/>
  <c r="BY26" i="3"/>
  <c r="BX26" i="3"/>
  <c r="BW26" i="3"/>
  <c r="BV26" i="3"/>
  <c r="BF26" i="3"/>
  <c r="AM26" i="3"/>
  <c r="AL26" i="3"/>
  <c r="AI26" i="3" s="1"/>
  <c r="AK26" i="3"/>
  <c r="AJ26" i="3"/>
  <c r="AH26" i="3"/>
  <c r="AG26" i="3"/>
  <c r="O26" i="3"/>
  <c r="N26" i="3"/>
  <c r="M26" i="3"/>
  <c r="L26" i="3"/>
  <c r="K26" i="3"/>
  <c r="J26" i="3"/>
  <c r="I26" i="3"/>
  <c r="CG25" i="3"/>
  <c r="CF25" i="3"/>
  <c r="CE25" i="3"/>
  <c r="CD25" i="3"/>
  <c r="CC25" i="3"/>
  <c r="CB25" i="3"/>
  <c r="CA25" i="3"/>
  <c r="BZ25" i="3"/>
  <c r="BY25" i="3"/>
  <c r="BX25" i="3"/>
  <c r="BW25" i="3"/>
  <c r="BV25" i="3"/>
  <c r="BF25" i="3"/>
  <c r="AM25" i="3"/>
  <c r="AL25" i="3"/>
  <c r="AK25" i="3"/>
  <c r="AJ25" i="3"/>
  <c r="AH25" i="3"/>
  <c r="AH41" i="3" s="1"/>
  <c r="AG25" i="3"/>
  <c r="O25" i="3"/>
  <c r="N25" i="3"/>
  <c r="M25" i="3"/>
  <c r="M41" i="3" s="1"/>
  <c r="L25" i="3"/>
  <c r="K25" i="3"/>
  <c r="J25" i="3"/>
  <c r="I25" i="3"/>
  <c r="CG24" i="3"/>
  <c r="CF24" i="3"/>
  <c r="CE24" i="3"/>
  <c r="CD24" i="3"/>
  <c r="CC24" i="3"/>
  <c r="CB24" i="3"/>
  <c r="CA24" i="3"/>
  <c r="BZ24" i="3"/>
  <c r="BY24" i="3"/>
  <c r="BX24" i="3"/>
  <c r="BW24" i="3"/>
  <c r="BV24" i="3"/>
  <c r="BF24" i="3"/>
  <c r="AM24" i="3"/>
  <c r="AL24" i="3"/>
  <c r="AK24" i="3"/>
  <c r="AJ24" i="3"/>
  <c r="AH24" i="3"/>
  <c r="AG24" i="3"/>
  <c r="O24" i="3"/>
  <c r="N24" i="3"/>
  <c r="K24" i="3" s="1"/>
  <c r="M24" i="3"/>
  <c r="L24" i="3"/>
  <c r="J24" i="3"/>
  <c r="I24" i="3"/>
  <c r="CG23" i="3"/>
  <c r="CF23" i="3"/>
  <c r="CE23" i="3"/>
  <c r="CD23" i="3"/>
  <c r="CC23" i="3"/>
  <c r="CB23" i="3"/>
  <c r="CA23" i="3"/>
  <c r="BZ23" i="3"/>
  <c r="BY23" i="3"/>
  <c r="BX23" i="3"/>
  <c r="BW23" i="3"/>
  <c r="BV23" i="3"/>
  <c r="BF23" i="3"/>
  <c r="AM23" i="3"/>
  <c r="AL23" i="3"/>
  <c r="AK23" i="3"/>
  <c r="AJ23" i="3"/>
  <c r="AI23" i="3"/>
  <c r="AH23" i="3"/>
  <c r="AG23" i="3"/>
  <c r="O23" i="3"/>
  <c r="N23" i="3"/>
  <c r="K23" i="3" s="1"/>
  <c r="BE23" i="3" s="1"/>
  <c r="M23" i="3"/>
  <c r="L23" i="3"/>
  <c r="J23" i="3"/>
  <c r="I23" i="3"/>
  <c r="CG22" i="3"/>
  <c r="CF22" i="3"/>
  <c r="CE22" i="3"/>
  <c r="CD22" i="3"/>
  <c r="CC22" i="3"/>
  <c r="CB22" i="3"/>
  <c r="CA22" i="3"/>
  <c r="BZ22" i="3"/>
  <c r="BY22" i="3"/>
  <c r="BX22" i="3"/>
  <c r="BW22" i="3"/>
  <c r="BV22" i="3"/>
  <c r="BF22" i="3"/>
  <c r="AM22" i="3"/>
  <c r="AL22" i="3"/>
  <c r="AI22" i="3" s="1"/>
  <c r="BE22" i="3" s="1"/>
  <c r="AK22" i="3"/>
  <c r="AJ22" i="3"/>
  <c r="AH22" i="3"/>
  <c r="AG22" i="3"/>
  <c r="O22" i="3"/>
  <c r="N22" i="3"/>
  <c r="M22" i="3"/>
  <c r="L22" i="3"/>
  <c r="K22" i="3"/>
  <c r="J22" i="3"/>
  <c r="I22" i="3"/>
  <c r="CG21" i="3"/>
  <c r="CF21" i="3"/>
  <c r="CE21" i="3"/>
  <c r="CD21" i="3"/>
  <c r="CC21" i="3"/>
  <c r="CB21" i="3"/>
  <c r="CA21" i="3"/>
  <c r="BZ21" i="3"/>
  <c r="BY21" i="3"/>
  <c r="BX21" i="3"/>
  <c r="BW21" i="3"/>
  <c r="BV21" i="3"/>
  <c r="BF21" i="3"/>
  <c r="AM21" i="3"/>
  <c r="AL21" i="3"/>
  <c r="AI21" i="3" s="1"/>
  <c r="AK21" i="3"/>
  <c r="AJ21" i="3"/>
  <c r="AH21" i="3"/>
  <c r="AG21" i="3"/>
  <c r="O21" i="3"/>
  <c r="N21" i="3"/>
  <c r="K21" i="3" s="1"/>
  <c r="M21" i="3"/>
  <c r="L21" i="3"/>
  <c r="J21" i="3"/>
  <c r="I21" i="3"/>
  <c r="CG20" i="3"/>
  <c r="CF20" i="3"/>
  <c r="CE20" i="3"/>
  <c r="CD20" i="3"/>
  <c r="CC20" i="3"/>
  <c r="CB20" i="3"/>
  <c r="CA20" i="3"/>
  <c r="BZ20" i="3"/>
  <c r="BY20" i="3"/>
  <c r="BX20" i="3"/>
  <c r="BW20" i="3"/>
  <c r="BV20" i="3"/>
  <c r="BF20" i="3"/>
  <c r="AM20" i="3"/>
  <c r="AL20" i="3"/>
  <c r="BG20" i="3" s="1"/>
  <c r="AK20" i="3"/>
  <c r="AJ20" i="3"/>
  <c r="AI20" i="3"/>
  <c r="AH20" i="3"/>
  <c r="AG20" i="3"/>
  <c r="O20" i="3"/>
  <c r="N20" i="3"/>
  <c r="M20" i="3"/>
  <c r="L20" i="3"/>
  <c r="J20" i="3"/>
  <c r="I20" i="3"/>
  <c r="CG19" i="3"/>
  <c r="CF19" i="3"/>
  <c r="CE19" i="3"/>
  <c r="CD19" i="3"/>
  <c r="CC19" i="3"/>
  <c r="CB19" i="3"/>
  <c r="CA19" i="3"/>
  <c r="BZ19" i="3"/>
  <c r="BY19" i="3"/>
  <c r="BX19" i="3"/>
  <c r="BW19" i="3"/>
  <c r="BV19" i="3"/>
  <c r="BF19" i="3"/>
  <c r="AM19" i="3"/>
  <c r="AL19" i="3"/>
  <c r="AK19" i="3"/>
  <c r="AJ19" i="3"/>
  <c r="AI19" i="3"/>
  <c r="AH19" i="3"/>
  <c r="AG19" i="3"/>
  <c r="O19" i="3"/>
  <c r="N19" i="3"/>
  <c r="K19" i="3" s="1"/>
  <c r="BE19" i="3" s="1"/>
  <c r="M19" i="3"/>
  <c r="L19" i="3"/>
  <c r="J19" i="3"/>
  <c r="I19" i="3"/>
  <c r="CG18" i="3"/>
  <c r="CF18" i="3"/>
  <c r="CE18" i="3"/>
  <c r="CD18" i="3"/>
  <c r="CC18" i="3"/>
  <c r="CB18" i="3"/>
  <c r="CA18" i="3"/>
  <c r="BZ18" i="3"/>
  <c r="BY18" i="3"/>
  <c r="BX18" i="3"/>
  <c r="BW18" i="3"/>
  <c r="BV18" i="3"/>
  <c r="BF18" i="3"/>
  <c r="AM18" i="3"/>
  <c r="AL18" i="3"/>
  <c r="AI18" i="3" s="1"/>
  <c r="AK18" i="3"/>
  <c r="AJ18" i="3"/>
  <c r="AH18" i="3"/>
  <c r="AG18" i="3"/>
  <c r="O18" i="3"/>
  <c r="N18" i="3"/>
  <c r="K18" i="3" s="1"/>
  <c r="M18" i="3"/>
  <c r="L18" i="3"/>
  <c r="J18" i="3"/>
  <c r="I18" i="3"/>
  <c r="CG17" i="3"/>
  <c r="CF17" i="3"/>
  <c r="CE17" i="3"/>
  <c r="CD17" i="3"/>
  <c r="CC17" i="3"/>
  <c r="CB17" i="3"/>
  <c r="CA17" i="3"/>
  <c r="BZ17" i="3"/>
  <c r="BY17" i="3"/>
  <c r="BX17" i="3"/>
  <c r="BW17" i="3"/>
  <c r="BV17" i="3"/>
  <c r="BF17" i="3"/>
  <c r="AM17" i="3"/>
  <c r="AL17" i="3"/>
  <c r="AI17" i="3" s="1"/>
  <c r="AK17" i="3"/>
  <c r="AJ17" i="3"/>
  <c r="AH17" i="3"/>
  <c r="AG17" i="3"/>
  <c r="O17" i="3"/>
  <c r="N17" i="3"/>
  <c r="K17" i="3" s="1"/>
  <c r="M17" i="3"/>
  <c r="L17" i="3"/>
  <c r="J17" i="3"/>
  <c r="I17" i="3"/>
  <c r="CG16" i="3"/>
  <c r="CF16" i="3"/>
  <c r="CE16" i="3"/>
  <c r="CD16" i="3"/>
  <c r="CC16" i="3"/>
  <c r="CB16" i="3"/>
  <c r="CA16" i="3"/>
  <c r="BZ16" i="3"/>
  <c r="BY16" i="3"/>
  <c r="BX16" i="3"/>
  <c r="BW16" i="3"/>
  <c r="BV16" i="3"/>
  <c r="BF16" i="3"/>
  <c r="AM16" i="3"/>
  <c r="AL16" i="3"/>
  <c r="AK16" i="3"/>
  <c r="AJ16" i="3"/>
  <c r="AI16" i="3"/>
  <c r="AH16" i="3"/>
  <c r="AG16" i="3"/>
  <c r="O16" i="3"/>
  <c r="N16" i="3"/>
  <c r="K16" i="3" s="1"/>
  <c r="M16" i="3"/>
  <c r="L16" i="3"/>
  <c r="J16" i="3"/>
  <c r="I16" i="3"/>
  <c r="CG15" i="3"/>
  <c r="CF15" i="3"/>
  <c r="CE15" i="3"/>
  <c r="CD15" i="3"/>
  <c r="CC15" i="3"/>
  <c r="CB15" i="3"/>
  <c r="CA15" i="3"/>
  <c r="BZ15" i="3"/>
  <c r="BY15" i="3"/>
  <c r="BX15" i="3"/>
  <c r="BW15" i="3"/>
  <c r="BV15" i="3"/>
  <c r="BH15" i="3" a="1"/>
  <c r="BF15" i="3"/>
  <c r="AM15" i="3"/>
  <c r="AL15" i="3"/>
  <c r="BG15" i="3" s="1"/>
  <c r="AK15" i="3"/>
  <c r="AJ15" i="3"/>
  <c r="AI15" i="3"/>
  <c r="AH15" i="3"/>
  <c r="AG15" i="3"/>
  <c r="O15" i="3"/>
  <c r="N15" i="3"/>
  <c r="M15" i="3"/>
  <c r="L15" i="3"/>
  <c r="K15" i="3"/>
  <c r="BE15" i="3" s="1"/>
  <c r="J15" i="3"/>
  <c r="I15" i="3"/>
  <c r="CG14" i="3"/>
  <c r="CF14" i="3"/>
  <c r="CE14" i="3"/>
  <c r="CD14" i="3"/>
  <c r="CC14" i="3"/>
  <c r="CB14" i="3"/>
  <c r="CA14" i="3"/>
  <c r="BZ14" i="3"/>
  <c r="BY14" i="3"/>
  <c r="BX14" i="3"/>
  <c r="BW14" i="3"/>
  <c r="BV14" i="3"/>
  <c r="BF14" i="3"/>
  <c r="AM14" i="3"/>
  <c r="AL14" i="3"/>
  <c r="AI14" i="3" s="1"/>
  <c r="AK14" i="3"/>
  <c r="AJ14" i="3"/>
  <c r="AH14" i="3"/>
  <c r="AG14" i="3"/>
  <c r="O14" i="3"/>
  <c r="N14" i="3"/>
  <c r="K14" i="3" s="1"/>
  <c r="M14" i="3"/>
  <c r="L14" i="3"/>
  <c r="J14" i="3"/>
  <c r="I14" i="3"/>
  <c r="CG13" i="3"/>
  <c r="CF13" i="3"/>
  <c r="CE13" i="3"/>
  <c r="CD13" i="3"/>
  <c r="CC13" i="3"/>
  <c r="CB13" i="3"/>
  <c r="CA13" i="3"/>
  <c r="BZ13" i="3"/>
  <c r="BY13" i="3"/>
  <c r="BX13" i="3"/>
  <c r="BW13" i="3"/>
  <c r="BV13" i="3"/>
  <c r="BF13" i="3"/>
  <c r="AM13" i="3"/>
  <c r="AL13" i="3"/>
  <c r="AI13" i="3" s="1"/>
  <c r="AK13" i="3"/>
  <c r="AJ13" i="3"/>
  <c r="AH13" i="3"/>
  <c r="AG13" i="3"/>
  <c r="O13" i="3"/>
  <c r="N13" i="3"/>
  <c r="K13" i="3" s="1"/>
  <c r="M13" i="3"/>
  <c r="L13" i="3"/>
  <c r="J13" i="3"/>
  <c r="I13" i="3"/>
  <c r="CG12" i="3"/>
  <c r="CF12" i="3"/>
  <c r="CE12" i="3"/>
  <c r="CD12" i="3"/>
  <c r="CC12" i="3"/>
  <c r="CB12" i="3"/>
  <c r="CA12" i="3"/>
  <c r="BZ12" i="3"/>
  <c r="BY12" i="3"/>
  <c r="BX12" i="3"/>
  <c r="BW12" i="3"/>
  <c r="BV12" i="3"/>
  <c r="BF12" i="3"/>
  <c r="AM12" i="3"/>
  <c r="AL12" i="3"/>
  <c r="AK12" i="3"/>
  <c r="AJ12" i="3"/>
  <c r="AH12" i="3"/>
  <c r="AG12" i="3"/>
  <c r="O12" i="3"/>
  <c r="N12" i="3"/>
  <c r="BH10" i="3" s="1" a="1"/>
  <c r="M12" i="3"/>
  <c r="L12" i="3"/>
  <c r="J12" i="3"/>
  <c r="I12" i="3"/>
  <c r="CG11" i="3"/>
  <c r="CF11" i="3"/>
  <c r="CE11" i="3"/>
  <c r="CD11" i="3"/>
  <c r="CC11" i="3"/>
  <c r="CB11" i="3"/>
  <c r="CA11" i="3"/>
  <c r="BZ11" i="3"/>
  <c r="BY11" i="3"/>
  <c r="BX11" i="3"/>
  <c r="BW11" i="3"/>
  <c r="BV11" i="3"/>
  <c r="BF11" i="3"/>
  <c r="AM11" i="3"/>
  <c r="AL11" i="3"/>
  <c r="AI11" i="3" s="1"/>
  <c r="AK11" i="3"/>
  <c r="AJ11" i="3"/>
  <c r="AH11" i="3"/>
  <c r="AG11" i="3"/>
  <c r="O11" i="3"/>
  <c r="N11" i="3"/>
  <c r="K11" i="3" s="1"/>
  <c r="M11" i="3"/>
  <c r="L11" i="3"/>
  <c r="J11" i="3"/>
  <c r="I11" i="3"/>
  <c r="CG10" i="3"/>
  <c r="CF10" i="3"/>
  <c r="CE10" i="3"/>
  <c r="CD10" i="3"/>
  <c r="CC10" i="3"/>
  <c r="CB10" i="3"/>
  <c r="CA10" i="3"/>
  <c r="BZ10" i="3"/>
  <c r="BY10" i="3"/>
  <c r="BX10" i="3"/>
  <c r="BW10" i="3"/>
  <c r="BV10" i="3"/>
  <c r="BF10" i="3"/>
  <c r="AM10" i="3"/>
  <c r="AL10" i="3"/>
  <c r="BG10" i="3" s="1"/>
  <c r="AK10" i="3"/>
  <c r="AJ10" i="3"/>
  <c r="AI10" i="3"/>
  <c r="AH10" i="3"/>
  <c r="AG10" i="3"/>
  <c r="O10" i="3"/>
  <c r="N10" i="3"/>
  <c r="M10" i="3"/>
  <c r="L10" i="3"/>
  <c r="K10" i="3"/>
  <c r="BE10" i="3" s="1"/>
  <c r="J10" i="3"/>
  <c r="I10" i="3"/>
  <c r="CG9" i="3"/>
  <c r="CF9" i="3"/>
  <c r="CE9" i="3"/>
  <c r="CD9" i="3"/>
  <c r="CC9" i="3"/>
  <c r="CB9" i="3"/>
  <c r="CA9" i="3"/>
  <c r="BZ9" i="3"/>
  <c r="BY9" i="3"/>
  <c r="BX9" i="3"/>
  <c r="BW9" i="3"/>
  <c r="BV9" i="3"/>
  <c r="BF9" i="3"/>
  <c r="AM9" i="3"/>
  <c r="AL9" i="3"/>
  <c r="AK9" i="3"/>
  <c r="AJ9" i="3"/>
  <c r="AH9" i="3"/>
  <c r="AG9" i="3"/>
  <c r="O9" i="3"/>
  <c r="N9" i="3"/>
  <c r="M9" i="3"/>
  <c r="L9" i="3"/>
  <c r="K9" i="3"/>
  <c r="J9" i="3"/>
  <c r="I9" i="3"/>
  <c r="CG8" i="3"/>
  <c r="CF8" i="3"/>
  <c r="CE8" i="3"/>
  <c r="CD8" i="3"/>
  <c r="CC8" i="3"/>
  <c r="CB8" i="3"/>
  <c r="CA8" i="3"/>
  <c r="BZ8" i="3"/>
  <c r="BY8" i="3"/>
  <c r="BX8" i="3"/>
  <c r="BW8" i="3"/>
  <c r="BV8" i="3"/>
  <c r="BF8" i="3"/>
  <c r="AM8" i="3"/>
  <c r="AL8" i="3"/>
  <c r="BG8" i="3" s="1"/>
  <c r="AK8" i="3"/>
  <c r="AJ8" i="3"/>
  <c r="AH8" i="3"/>
  <c r="AG8" i="3"/>
  <c r="O8" i="3"/>
  <c r="N8" i="3"/>
  <c r="K8" i="3" s="1"/>
  <c r="M8" i="3"/>
  <c r="L8" i="3"/>
  <c r="J8" i="3"/>
  <c r="I8" i="3"/>
  <c r="CG7" i="3"/>
  <c r="CF7" i="3"/>
  <c r="CE7" i="3"/>
  <c r="CD7" i="3"/>
  <c r="CC7" i="3"/>
  <c r="CB7" i="3"/>
  <c r="CA7" i="3"/>
  <c r="BZ7" i="3"/>
  <c r="BY7" i="3"/>
  <c r="BX7" i="3"/>
  <c r="BW7" i="3"/>
  <c r="BV7" i="3"/>
  <c r="BF7" i="3"/>
  <c r="AM7" i="3"/>
  <c r="AL7" i="3"/>
  <c r="AK7" i="3"/>
  <c r="AJ7" i="3"/>
  <c r="AI7" i="3"/>
  <c r="AH7" i="3"/>
  <c r="AG7" i="3"/>
  <c r="O7" i="3"/>
  <c r="N7" i="3"/>
  <c r="K7" i="3" s="1"/>
  <c r="M7" i="3"/>
  <c r="L7" i="3"/>
  <c r="J7" i="3"/>
  <c r="I7" i="3"/>
  <c r="CG6" i="3"/>
  <c r="CF6" i="3"/>
  <c r="CE6" i="3"/>
  <c r="CD6" i="3"/>
  <c r="CC6" i="3"/>
  <c r="CB6" i="3"/>
  <c r="CA6" i="3"/>
  <c r="BZ6" i="3"/>
  <c r="BY6" i="3"/>
  <c r="BX6" i="3"/>
  <c r="BW6" i="3"/>
  <c r="BV6" i="3"/>
  <c r="BF6" i="3"/>
  <c r="AM6" i="3"/>
  <c r="AL6" i="3"/>
  <c r="BG6" i="3" s="1"/>
  <c r="AK6" i="3"/>
  <c r="AJ6" i="3"/>
  <c r="AH6" i="3"/>
  <c r="AG6" i="3"/>
  <c r="O6" i="3"/>
  <c r="N6" i="3"/>
  <c r="K6" i="3" s="1"/>
  <c r="M6" i="3"/>
  <c r="L6" i="3"/>
  <c r="J6" i="3"/>
  <c r="I6" i="3"/>
  <c r="CG5" i="3"/>
  <c r="CF5" i="3"/>
  <c r="CE5" i="3"/>
  <c r="CD5" i="3"/>
  <c r="CC5" i="3"/>
  <c r="CB5" i="3"/>
  <c r="CA5" i="3"/>
  <c r="BZ5" i="3"/>
  <c r="BY5" i="3"/>
  <c r="BX5" i="3"/>
  <c r="BW5" i="3"/>
  <c r="BV5" i="3"/>
  <c r="BF5" i="3"/>
  <c r="AM5" i="3"/>
  <c r="AL5" i="3"/>
  <c r="BH5" i="3" s="1" a="1"/>
  <c r="AK5" i="3"/>
  <c r="AJ5" i="3"/>
  <c r="AH5" i="3"/>
  <c r="AG5" i="3"/>
  <c r="O5" i="3"/>
  <c r="N5" i="3"/>
  <c r="M5" i="3"/>
  <c r="L5" i="3"/>
  <c r="K5" i="3"/>
  <c r="J5" i="3"/>
  <c r="I5" i="3"/>
  <c r="AG1" i="3"/>
  <c r="I1" i="3"/>
  <c r="B1" i="2"/>
  <c r="B2" i="2" s="1"/>
  <c r="C36" i="1"/>
  <c r="C35" i="1"/>
  <c r="E32" i="1"/>
  <c r="C24" i="1"/>
  <c r="C23" i="1"/>
  <c r="D22" i="1"/>
  <c r="BL35" i="7"/>
  <c r="BN25" i="7"/>
  <c r="BN15" i="7"/>
  <c r="BL5" i="7"/>
  <c r="BM30" i="3"/>
  <c r="BN20" i="3"/>
  <c r="BQ10" i="3"/>
  <c r="BR35" i="7"/>
  <c r="BM10" i="7"/>
  <c r="BR25" i="3"/>
  <c r="BM5" i="3"/>
  <c r="BM30" i="7"/>
  <c r="BM20" i="7"/>
  <c r="BP10" i="7"/>
  <c r="BT35" i="3"/>
  <c r="BT25" i="3"/>
  <c r="BT15" i="3"/>
  <c r="BJ10" i="3"/>
  <c r="BM35" i="7"/>
  <c r="BR10" i="7"/>
  <c r="BJ25" i="3"/>
  <c r="BS35" i="7"/>
  <c r="BQ25" i="7"/>
  <c r="BQ15" i="7"/>
  <c r="BJ10" i="7"/>
  <c r="BN35" i="3"/>
  <c r="BS25" i="3"/>
  <c r="BS15" i="3"/>
  <c r="BS5" i="3"/>
  <c r="BP15" i="7"/>
  <c r="BP20" i="3"/>
  <c r="BS20" i="7"/>
  <c r="BQ10" i="7"/>
  <c r="BQ25" i="3"/>
  <c r="BT5" i="3"/>
  <c r="BS30" i="7"/>
  <c r="BN30" i="7"/>
  <c r="BN20" i="7"/>
  <c r="BL10" i="7"/>
  <c r="BL35" i="3"/>
  <c r="BL25" i="3"/>
  <c r="BQ15" i="3"/>
  <c r="BQ5" i="3"/>
  <c r="BT20" i="7"/>
  <c r="BR35" i="3"/>
  <c r="BM15" i="3"/>
  <c r="BP35" i="7"/>
  <c r="BM25" i="7"/>
  <c r="BM15" i="7"/>
  <c r="BP5" i="7"/>
  <c r="BQ30" i="3"/>
  <c r="BR20" i="3"/>
  <c r="BT10" i="3"/>
  <c r="BP5" i="3"/>
  <c r="BP25" i="7"/>
  <c r="BK35" i="3"/>
  <c r="BM10" i="3"/>
  <c r="BQ30" i="7"/>
  <c r="BQ20" i="7"/>
  <c r="BS10" i="7"/>
  <c r="BN5" i="7"/>
  <c r="BP30" i="3"/>
  <c r="BQ20" i="3"/>
  <c r="BS10" i="3"/>
  <c r="BP30" i="7"/>
  <c r="BS30" i="3"/>
  <c r="BK10" i="3"/>
  <c r="BL5" i="3"/>
  <c r="BT15" i="7"/>
  <c r="BK30" i="3"/>
  <c r="BR10" i="3"/>
  <c r="BR30" i="7"/>
  <c r="BR20" i="7"/>
  <c r="BT10" i="7"/>
  <c r="BJ5" i="7"/>
  <c r="BL30" i="3"/>
  <c r="BM20" i="3"/>
  <c r="BP10" i="3"/>
  <c r="BJ5" i="3"/>
  <c r="BP20" i="7"/>
  <c r="BN30" i="3"/>
  <c r="BR5" i="3"/>
  <c r="BL30" i="7"/>
  <c r="BL20" i="7"/>
  <c r="BN10" i="7"/>
  <c r="BS35" i="3"/>
  <c r="BJ30" i="3"/>
  <c r="BL20" i="3"/>
  <c r="BN10" i="3"/>
  <c r="BJ25" i="7"/>
  <c r="BM25" i="3"/>
  <c r="BQ35" i="3"/>
  <c r="BK20" i="3"/>
  <c r="BL10" i="3"/>
  <c r="BT25" i="7"/>
  <c r="BR5" i="7"/>
  <c r="BT20" i="3"/>
  <c r="BT35" i="7"/>
  <c r="BR25" i="7"/>
  <c r="BR15" i="7"/>
  <c r="BT5" i="7"/>
  <c r="BP35" i="3"/>
  <c r="BP25" i="3"/>
  <c r="BP15" i="3"/>
  <c r="BT30" i="7"/>
  <c r="BM5" i="7"/>
  <c r="BR15" i="3"/>
  <c r="BN35" i="7"/>
  <c r="BL25" i="7"/>
  <c r="BL15" i="7"/>
  <c r="BS5" i="7"/>
  <c r="BT30" i="3"/>
  <c r="BN25" i="3"/>
  <c r="BN15" i="3"/>
  <c r="BN5" i="3"/>
  <c r="BM35" i="3"/>
  <c r="BK15" i="3"/>
  <c r="BQ35" i="7"/>
  <c r="BS25" i="7"/>
  <c r="BS15" i="7"/>
  <c r="BQ5" i="7"/>
  <c r="BR30" i="3"/>
  <c r="BS20" i="3"/>
  <c r="BL15" i="3"/>
  <c r="BG37" i="7" l="1"/>
  <c r="AH42" i="7"/>
  <c r="BE38" i="7"/>
  <c r="AK42" i="7"/>
  <c r="BG33" i="7"/>
  <c r="AI33" i="7"/>
  <c r="L42" i="7"/>
  <c r="BE32" i="7"/>
  <c r="L41" i="7"/>
  <c r="AK41" i="7"/>
  <c r="M41" i="7"/>
  <c r="BG28" i="7"/>
  <c r="BG29" i="7"/>
  <c r="BG21" i="7"/>
  <c r="BG23" i="7"/>
  <c r="BE24" i="7"/>
  <c r="BE16" i="7"/>
  <c r="AI17" i="7"/>
  <c r="BG19" i="7"/>
  <c r="BE12" i="7"/>
  <c r="BE14" i="7"/>
  <c r="BH10" i="7"/>
  <c r="BG11" i="7"/>
  <c r="BG13" i="7"/>
  <c r="AZ47" i="7"/>
  <c r="C47" i="1" s="1"/>
  <c r="BH5" i="7"/>
  <c r="BA45" i="7"/>
  <c r="BA47" i="7"/>
  <c r="BG9" i="7"/>
  <c r="BB45" i="7"/>
  <c r="BB47" i="7"/>
  <c r="C48" i="1" s="1"/>
  <c r="BE8" i="7"/>
  <c r="AZ45" i="7"/>
  <c r="AI9" i="7"/>
  <c r="BC45" i="7"/>
  <c r="BC47" i="7"/>
  <c r="AI36" i="3"/>
  <c r="BG38" i="3"/>
  <c r="AI39" i="3"/>
  <c r="BE39" i="3" s="1"/>
  <c r="BE37" i="3"/>
  <c r="AK42" i="3"/>
  <c r="K42" i="3"/>
  <c r="L42" i="3"/>
  <c r="AI31" i="3"/>
  <c r="BE31" i="3" s="1"/>
  <c r="AH42" i="3"/>
  <c r="BG32" i="3"/>
  <c r="BG34" i="3"/>
  <c r="BE34" i="3"/>
  <c r="J42" i="3"/>
  <c r="BH30" i="3"/>
  <c r="BH42" i="3" s="1"/>
  <c r="AI34" i="3"/>
  <c r="J41" i="3"/>
  <c r="AJ41" i="3"/>
  <c r="BE26" i="3"/>
  <c r="AI27" i="3"/>
  <c r="BE27" i="3" s="1"/>
  <c r="AK41" i="3"/>
  <c r="BG28" i="3"/>
  <c r="L41" i="3"/>
  <c r="BG24" i="3"/>
  <c r="AI24" i="3"/>
  <c r="BG23" i="3"/>
  <c r="BH15" i="3"/>
  <c r="BG16" i="3"/>
  <c r="BE18" i="3"/>
  <c r="BG19" i="3"/>
  <c r="BG12" i="3"/>
  <c r="BE11" i="3"/>
  <c r="AK43" i="3"/>
  <c r="BH10" i="3"/>
  <c r="AI12" i="3"/>
  <c r="BG11" i="3"/>
  <c r="BE14" i="3"/>
  <c r="BH5" i="3"/>
  <c r="AI6" i="3"/>
  <c r="BE6" i="3" s="1"/>
  <c r="BG9" i="3"/>
  <c r="BA45" i="3"/>
  <c r="BA47" i="3"/>
  <c r="AZ45" i="3"/>
  <c r="L43" i="3"/>
  <c r="M43" i="3"/>
  <c r="AH43" i="3"/>
  <c r="BG7" i="3"/>
  <c r="BB45" i="3"/>
  <c r="BB47" i="3"/>
  <c r="C14" i="1" s="1"/>
  <c r="J40" i="3"/>
  <c r="AJ40" i="3"/>
  <c r="BC45" i="3"/>
  <c r="BC47" i="3"/>
  <c r="AZ47" i="3"/>
  <c r="C13" i="1" s="1"/>
  <c r="BM41" i="3"/>
  <c r="F10" i="1" s="1"/>
  <c r="BS42" i="3"/>
  <c r="K11" i="1" s="1"/>
  <c r="BJ41" i="7"/>
  <c r="C44" i="1" s="1"/>
  <c r="BP42" i="7"/>
  <c r="H45" i="1" s="1"/>
  <c r="BN43" i="3"/>
  <c r="G12" i="1" s="1"/>
  <c r="BS43" i="3"/>
  <c r="K12" i="1" s="1"/>
  <c r="BN41" i="3"/>
  <c r="G10" i="1" s="1"/>
  <c r="BS41" i="3"/>
  <c r="K10" i="1" s="1"/>
  <c r="BP42" i="3"/>
  <c r="H11" i="1" s="1"/>
  <c r="BT42" i="3"/>
  <c r="L11" i="1" s="1"/>
  <c r="BL41" i="7"/>
  <c r="E44" i="1" s="1"/>
  <c r="BQ41" i="7"/>
  <c r="I44" i="1" s="1"/>
  <c r="BL42" i="7"/>
  <c r="E45" i="1" s="1"/>
  <c r="BQ42" i="7"/>
  <c r="I45" i="1" s="1"/>
  <c r="BR43" i="3"/>
  <c r="J12" i="1" s="1"/>
  <c r="BJ41" i="3"/>
  <c r="C10" i="1" s="1"/>
  <c r="BN42" i="3"/>
  <c r="G11" i="1" s="1"/>
  <c r="BM43" i="7"/>
  <c r="F46" i="1" s="1"/>
  <c r="BP41" i="7"/>
  <c r="H44" i="1" s="1"/>
  <c r="BT42" i="7"/>
  <c r="L45" i="1" s="1"/>
  <c r="BP43" i="3"/>
  <c r="H12" i="1" s="1"/>
  <c r="BT43" i="3"/>
  <c r="L12" i="1" s="1"/>
  <c r="BP41" i="3"/>
  <c r="H10" i="1" s="1"/>
  <c r="BT41" i="3"/>
  <c r="L10" i="1" s="1"/>
  <c r="BL42" i="3"/>
  <c r="E11" i="1" s="1"/>
  <c r="BQ42" i="3"/>
  <c r="I11" i="1" s="1"/>
  <c r="BP43" i="7"/>
  <c r="H46" i="1" s="1"/>
  <c r="BT43" i="7"/>
  <c r="L46" i="1" s="1"/>
  <c r="BM41" i="7"/>
  <c r="F44" i="1" s="1"/>
  <c r="BR41" i="7"/>
  <c r="J44" i="1" s="1"/>
  <c r="BM42" i="7"/>
  <c r="F45" i="1" s="1"/>
  <c r="BR42" i="7"/>
  <c r="J45" i="1" s="1"/>
  <c r="BM43" i="3"/>
  <c r="F12" i="1" s="1"/>
  <c r="BR41" i="3"/>
  <c r="J10" i="1" s="1"/>
  <c r="BK42" i="3"/>
  <c r="D11" i="1" s="1"/>
  <c r="BR43" i="7"/>
  <c r="J46" i="1" s="1"/>
  <c r="BT41" i="7"/>
  <c r="L44" i="1" s="1"/>
  <c r="BL43" i="3"/>
  <c r="E12" i="1" s="1"/>
  <c r="BQ40" i="3"/>
  <c r="I9" i="1" s="1"/>
  <c r="BL41" i="3"/>
  <c r="E10" i="1" s="1"/>
  <c r="BQ41" i="3"/>
  <c r="I10" i="1" s="1"/>
  <c r="BM42" i="3"/>
  <c r="F11" i="1" s="1"/>
  <c r="BR42" i="3"/>
  <c r="J11" i="1" s="1"/>
  <c r="BL40" i="7"/>
  <c r="E43" i="1" s="1"/>
  <c r="BL43" i="7"/>
  <c r="E46" i="1" s="1"/>
  <c r="BQ43" i="7"/>
  <c r="I46" i="1" s="1"/>
  <c r="BQ40" i="7"/>
  <c r="I43" i="1" s="1"/>
  <c r="BN41" i="7"/>
  <c r="G44" i="1" s="1"/>
  <c r="BS41" i="7"/>
  <c r="K44" i="1" s="1"/>
  <c r="BN42" i="7"/>
  <c r="G45" i="1" s="1"/>
  <c r="BS42" i="7"/>
  <c r="K45" i="1" s="1"/>
  <c r="BE28" i="3"/>
  <c r="BE29" i="3"/>
  <c r="BE32" i="3"/>
  <c r="BE7" i="3"/>
  <c r="BE13" i="3"/>
  <c r="BE30" i="3"/>
  <c r="BE16" i="3"/>
  <c r="BE17" i="3"/>
  <c r="BE21" i="3"/>
  <c r="BE24" i="3"/>
  <c r="K41" i="3"/>
  <c r="BE36" i="3"/>
  <c r="AI8" i="3"/>
  <c r="BE8" i="3" s="1"/>
  <c r="BG13" i="3"/>
  <c r="BG17" i="3"/>
  <c r="BG21" i="3"/>
  <c r="BG25" i="3"/>
  <c r="BG29" i="3"/>
  <c r="BG33" i="3"/>
  <c r="BG37" i="3"/>
  <c r="BM40" i="3"/>
  <c r="F9" i="1" s="1"/>
  <c r="BR40" i="3"/>
  <c r="J9" i="1" s="1"/>
  <c r="K12" i="5"/>
  <c r="K15" i="5"/>
  <c r="AH12" i="5"/>
  <c r="BC12" i="5" s="1"/>
  <c r="C19" i="1" s="1"/>
  <c r="BC5" i="5"/>
  <c r="AH15" i="5"/>
  <c r="BC6" i="5"/>
  <c r="BC7" i="5"/>
  <c r="BC8" i="5"/>
  <c r="AH13" i="5"/>
  <c r="BC13" i="5" s="1"/>
  <c r="C20" i="1" s="1"/>
  <c r="BC9" i="5"/>
  <c r="BC10" i="5"/>
  <c r="AH14" i="5"/>
  <c r="BC14" i="5" s="1"/>
  <c r="C21" i="1" s="1"/>
  <c r="M15" i="6"/>
  <c r="M12" i="6"/>
  <c r="AH12" i="6"/>
  <c r="BC14" i="6"/>
  <c r="C33" i="1" s="1"/>
  <c r="BE5" i="7"/>
  <c r="AH40" i="7"/>
  <c r="AH43" i="7"/>
  <c r="AI5" i="3"/>
  <c r="AI9" i="3"/>
  <c r="BE9" i="3" s="1"/>
  <c r="K12" i="3"/>
  <c r="BG14" i="3"/>
  <c r="BG18" i="3"/>
  <c r="K20" i="3"/>
  <c r="BE20" i="3" s="1"/>
  <c r="BH20" i="3" a="1"/>
  <c r="BH20" i="3" s="1"/>
  <c r="BG22" i="3"/>
  <c r="AI25" i="3"/>
  <c r="BG26" i="3"/>
  <c r="M42" i="3"/>
  <c r="BG30" i="3"/>
  <c r="AI33" i="3"/>
  <c r="BE33" i="3" s="1"/>
  <c r="L40" i="3"/>
  <c r="BN40" i="3"/>
  <c r="G9" i="1" s="1"/>
  <c r="BS40" i="3"/>
  <c r="K9" i="1" s="1"/>
  <c r="J43" i="3"/>
  <c r="BQ43" i="3"/>
  <c r="I12" i="1" s="1"/>
  <c r="BD15" i="5"/>
  <c r="BD14" i="5"/>
  <c r="K15" i="6"/>
  <c r="BE7" i="6"/>
  <c r="BD14" i="6"/>
  <c r="K12" i="6"/>
  <c r="BE14" i="6"/>
  <c r="D33" i="1" s="1"/>
  <c r="J40" i="7"/>
  <c r="BE21" i="7"/>
  <c r="BG5" i="3"/>
  <c r="AJ43" i="3"/>
  <c r="BH25" i="3" a="1"/>
  <c r="BH25" i="3" s="1"/>
  <c r="BH41" i="3" s="1"/>
  <c r="M40" i="3"/>
  <c r="AK40" i="3"/>
  <c r="BP40" i="3"/>
  <c r="H9" i="1" s="1"/>
  <c r="BT40" i="3"/>
  <c r="L9" i="1" s="1"/>
  <c r="BE13" i="5"/>
  <c r="D20" i="1" s="1"/>
  <c r="BE14" i="5"/>
  <c r="D21" i="1" s="1"/>
  <c r="J15" i="5"/>
  <c r="BB15" i="5" s="1"/>
  <c r="E22" i="1" s="1"/>
  <c r="BE6" i="6"/>
  <c r="BD13" i="6"/>
  <c r="AJ42" i="3"/>
  <c r="AH40" i="3"/>
  <c r="BL40" i="3"/>
  <c r="E9" i="1" s="1"/>
  <c r="AG12" i="5"/>
  <c r="BB12" i="5" s="1"/>
  <c r="E19" i="1" s="1"/>
  <c r="BB5" i="5"/>
  <c r="BF5" i="5"/>
  <c r="BG5" i="5" a="1"/>
  <c r="BG5" i="5" s="1"/>
  <c r="BB6" i="5"/>
  <c r="BF6" i="5"/>
  <c r="BG6" i="5" a="1"/>
  <c r="BG6" i="5" s="1"/>
  <c r="BB7" i="5"/>
  <c r="BF7" i="5"/>
  <c r="BG7" i="5" a="1"/>
  <c r="BG7" i="5" s="1"/>
  <c r="BB8" i="5"/>
  <c r="BF8" i="5"/>
  <c r="BG8" i="5" a="1"/>
  <c r="BG8" i="5" s="1"/>
  <c r="AG13" i="5"/>
  <c r="BB13" i="5" s="1"/>
  <c r="E20" i="1" s="1"/>
  <c r="BB9" i="5"/>
  <c r="BF9" i="5"/>
  <c r="BG9" i="5" a="1"/>
  <c r="BG9" i="5" s="1"/>
  <c r="BG13" i="5" s="1"/>
  <c r="AG14" i="5"/>
  <c r="BB14" i="5" s="1"/>
  <c r="E21" i="1" s="1"/>
  <c r="BB10" i="5"/>
  <c r="BG10" i="5" a="1"/>
  <c r="BG10" i="5" s="1"/>
  <c r="BG14" i="5" s="1"/>
  <c r="BF10" i="5"/>
  <c r="BC11" i="5"/>
  <c r="AJ15" i="6"/>
  <c r="BE15" i="6" s="1"/>
  <c r="D34" i="1" s="1"/>
  <c r="AJ12" i="6"/>
  <c r="BE12" i="6" s="1"/>
  <c r="D31" i="1" s="1"/>
  <c r="BE5" i="6"/>
  <c r="BC5" i="6"/>
  <c r="AJ13" i="6"/>
  <c r="BE13" i="6" s="1"/>
  <c r="D32" i="1" s="1"/>
  <c r="BE9" i="6"/>
  <c r="BE27" i="7"/>
  <c r="BE33" i="7"/>
  <c r="BE39" i="7"/>
  <c r="BF11" i="5"/>
  <c r="BB12" i="6"/>
  <c r="E31" i="1" s="1"/>
  <c r="BD5" i="6"/>
  <c r="BG5" i="6" a="1"/>
  <c r="BG5" i="6" s="1"/>
  <c r="BG6" i="6" a="1"/>
  <c r="BG6" i="6" s="1"/>
  <c r="BG7" i="6" a="1"/>
  <c r="BG7" i="6" s="1"/>
  <c r="BG8" i="6" a="1"/>
  <c r="BG8" i="6" s="1"/>
  <c r="BF9" i="6"/>
  <c r="BG9" i="6" a="1"/>
  <c r="BG9" i="6" s="1"/>
  <c r="BG13" i="6" s="1"/>
  <c r="AG15" i="6"/>
  <c r="AJ43" i="7"/>
  <c r="BN43" i="7"/>
  <c r="G46" i="1" s="1"/>
  <c r="BN40" i="7"/>
  <c r="G43" i="1" s="1"/>
  <c r="BS43" i="7"/>
  <c r="K46" i="1" s="1"/>
  <c r="BS40" i="7"/>
  <c r="K43" i="1" s="1"/>
  <c r="BG7" i="7"/>
  <c r="BE11" i="7"/>
  <c r="BG12" i="7"/>
  <c r="BE17" i="7"/>
  <c r="BE23" i="7"/>
  <c r="BH25" i="7" a="1"/>
  <c r="BH25" i="7" s="1"/>
  <c r="BH41" i="7" s="1"/>
  <c r="BE29" i="7"/>
  <c r="K42" i="7"/>
  <c r="K35" i="7"/>
  <c r="BE35" i="7"/>
  <c r="J43" i="7"/>
  <c r="AH9" i="6"/>
  <c r="AH15" i="6" s="1"/>
  <c r="BC15" i="6" s="1"/>
  <c r="C34" i="1" s="1"/>
  <c r="AI15" i="6"/>
  <c r="BD15" i="6" s="1"/>
  <c r="L43" i="7"/>
  <c r="L40" i="7"/>
  <c r="AK43" i="7"/>
  <c r="AK40" i="7"/>
  <c r="BE7" i="7"/>
  <c r="BG8" i="7"/>
  <c r="BE13" i="7"/>
  <c r="BG15" i="7"/>
  <c r="BE19" i="7"/>
  <c r="K41" i="7"/>
  <c r="BE25" i="7"/>
  <c r="BH30" i="7" a="1"/>
  <c r="BH30" i="7" s="1"/>
  <c r="BG31" i="7"/>
  <c r="BD12" i="6"/>
  <c r="BD9" i="6"/>
  <c r="J15" i="6"/>
  <c r="M43" i="7"/>
  <c r="BE9" i="7"/>
  <c r="K15" i="7"/>
  <c r="K43" i="7" s="1"/>
  <c r="BE15" i="7"/>
  <c r="BH20" i="7" a="1"/>
  <c r="BH20" i="7" s="1"/>
  <c r="AI20" i="7"/>
  <c r="BE20" i="7" s="1"/>
  <c r="BG27" i="7"/>
  <c r="M42" i="7"/>
  <c r="BE31" i="7"/>
  <c r="BG32" i="7"/>
  <c r="AI36" i="7"/>
  <c r="BE36" i="7" s="1"/>
  <c r="BH35" i="7" a="1"/>
  <c r="BH35" i="7" s="1"/>
  <c r="BE37" i="7"/>
  <c r="BG39" i="7"/>
  <c r="BD10" i="6"/>
  <c r="BG10" i="6" a="1"/>
  <c r="BG10" i="6" s="1"/>
  <c r="BG14" i="6" s="1"/>
  <c r="BG11" i="6" a="1"/>
  <c r="BG11" i="6" s="1"/>
  <c r="AG14" i="6"/>
  <c r="BB14" i="6" s="1"/>
  <c r="E33" i="1" s="1"/>
  <c r="BG5" i="7"/>
  <c r="BH15" i="7" a="1"/>
  <c r="BH15" i="7" s="1"/>
  <c r="BG25" i="7"/>
  <c r="AI40" i="7"/>
  <c r="BM40" i="7"/>
  <c r="F43" i="1" s="1"/>
  <c r="BR40" i="7"/>
  <c r="J43" i="1" s="1"/>
  <c r="AI41" i="7"/>
  <c r="BG6" i="7"/>
  <c r="BG10" i="7"/>
  <c r="BG14" i="7"/>
  <c r="BG18" i="7"/>
  <c r="BG22" i="7"/>
  <c r="BG26" i="7"/>
  <c r="BG30" i="7"/>
  <c r="BG34" i="7"/>
  <c r="BG38" i="7"/>
  <c r="AJ40" i="7"/>
  <c r="M40" i="7"/>
  <c r="BP40" i="7"/>
  <c r="H43" i="1" s="1"/>
  <c r="BT40" i="7"/>
  <c r="L43" i="1" s="1"/>
  <c r="BJ20" i="7"/>
  <c r="BJ15" i="7"/>
  <c r="BJ35" i="3"/>
  <c r="BK5" i="3"/>
  <c r="BK15" i="7"/>
  <c r="BK35" i="7"/>
  <c r="BJ35" i="7"/>
  <c r="BK25" i="7"/>
  <c r="BK30" i="7"/>
  <c r="BJ30" i="7"/>
  <c r="BK5" i="7"/>
  <c r="BJ15" i="3"/>
  <c r="BK10" i="7"/>
  <c r="BK20" i="7"/>
  <c r="BJ20" i="3"/>
  <c r="BK25" i="3"/>
  <c r="BH42" i="7" l="1"/>
  <c r="BE41" i="7"/>
  <c r="BH43" i="7"/>
  <c r="BE12" i="3"/>
  <c r="BH43" i="3"/>
  <c r="BK41" i="3"/>
  <c r="D10" i="1" s="1"/>
  <c r="BJ42" i="3"/>
  <c r="C11" i="1" s="1"/>
  <c r="BK41" i="7"/>
  <c r="D44" i="1" s="1"/>
  <c r="BJ43" i="3"/>
  <c r="C12" i="1" s="1"/>
  <c r="BJ40" i="3"/>
  <c r="C9" i="1" s="1"/>
  <c r="BK42" i="7"/>
  <c r="D45" i="1" s="1"/>
  <c r="BJ43" i="7"/>
  <c r="C46" i="1" s="1"/>
  <c r="BJ40" i="7"/>
  <c r="C43" i="1" s="1"/>
  <c r="BJ42" i="7"/>
  <c r="C45" i="1" s="1"/>
  <c r="BH40" i="7"/>
  <c r="AI42" i="7"/>
  <c r="BE42" i="7" s="1"/>
  <c r="BG12" i="5"/>
  <c r="BG15" i="5"/>
  <c r="BC15" i="5"/>
  <c r="C22" i="1" s="1"/>
  <c r="AI42" i="3"/>
  <c r="BE42" i="3" s="1"/>
  <c r="AI43" i="7"/>
  <c r="BE43" i="7" s="1"/>
  <c r="BG12" i="6"/>
  <c r="BG15" i="6"/>
  <c r="BE25" i="3"/>
  <c r="AI41" i="3"/>
  <c r="BE41" i="3" s="1"/>
  <c r="BC12" i="6"/>
  <c r="C31" i="1" s="1"/>
  <c r="BH40" i="3"/>
  <c r="BK43" i="7"/>
  <c r="D46" i="1" s="1"/>
  <c r="BK40" i="7"/>
  <c r="D43" i="1" s="1"/>
  <c r="BE5" i="3"/>
  <c r="AI43" i="3"/>
  <c r="AI40" i="3"/>
  <c r="K40" i="7"/>
  <c r="BE40" i="7" s="1"/>
  <c r="AH13" i="6"/>
  <c r="BC13" i="6" s="1"/>
  <c r="C32" i="1" s="1"/>
  <c r="BC9" i="6"/>
  <c r="BB15" i="6"/>
  <c r="E34" i="1" s="1"/>
  <c r="BK43" i="3"/>
  <c r="D12" i="1" s="1"/>
  <c r="BK40" i="3"/>
  <c r="D9" i="1" s="1"/>
  <c r="K40" i="3"/>
  <c r="K43" i="3"/>
  <c r="BE40" i="3" l="1"/>
  <c r="BE43" i="3"/>
</calcChain>
</file>

<file path=xl/sharedStrings.xml><?xml version="1.0" encoding="utf-8"?>
<sst xmlns="http://schemas.openxmlformats.org/spreadsheetml/2006/main" count="1586" uniqueCount="597">
  <si>
    <t>Reference:</t>
  </si>
  <si>
    <t>R7.0 RC8.0</t>
  </si>
  <si>
    <t>Tested:</t>
  </si>
  <si>
    <t>R7.0 RC 9.0</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</si>
  <si>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</si>
  <si>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</si>
  <si>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</si>
  <si>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</si>
  <si>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</si>
  <si>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</si>
  <si>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</si>
  <si>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</si>
  <si>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</si>
  <si>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</si>
  <si>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</si>
  <si>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</si>
  <si>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</si>
  <si>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</si>
  <si>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</si>
  <si>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</si>
  <si>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</si>
  <si>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</si>
  <si>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</si>
  <si>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</si>
  <si>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</si>
  <si>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</si>
  <si>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</si>
  <si>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</si>
  <si>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</si>
  <si>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</si>
  <si>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</si>
  <si>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</si>
  <si>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</si>
  <si>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</si>
  <si>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</si>
  <si>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</si>
  <si>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</si>
  <si>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</si>
  <si>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</si>
  <si>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</si>
  <si>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</si>
  <si>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</si>
  <si>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</si>
  <si>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</si>
  <si>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</si>
  <si>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</si>
  <si>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</si>
  <si>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</si>
  <si>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</si>
  <si>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</si>
  <si>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</si>
  <si>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</si>
  <si>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</si>
  <si>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</si>
  <si>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</si>
  <si>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</si>
  <si>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</si>
  <si>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</si>
  <si>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</si>
  <si>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</si>
  <si>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</si>
  <si>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</si>
  <si>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</si>
  <si>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</si>
  <si>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</si>
  <si>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</si>
  <si>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</si>
  <si>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</si>
  <si>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</si>
  <si>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</si>
  <si>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</si>
  <si>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</si>
  <si>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</si>
  <si>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</si>
  <si>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</si>
  <si>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</si>
  <si>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</si>
  <si>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</si>
  <si>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</si>
  <si>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</si>
  <si>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</si>
  <si>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</si>
  <si>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</si>
  <si>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</si>
  <si>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</si>
  <si>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</si>
  <si>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</si>
  <si>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</si>
  <si>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</si>
  <si>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</si>
  <si>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</si>
  <si>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</si>
  <si>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</si>
  <si>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</si>
  <si>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</si>
  <si>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</si>
  <si>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</si>
  <si>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</si>
  <si>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</si>
  <si>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</si>
  <si>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</si>
  <si>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</si>
  <si>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</si>
  <si>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</si>
  <si>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</si>
  <si>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</si>
  <si>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</si>
  <si>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</si>
  <si>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</si>
  <si>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</si>
  <si>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</si>
  <si>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</si>
  <si>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</si>
  <si>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</si>
  <si>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</si>
  <si>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</si>
  <si>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</si>
  <si>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</si>
  <si>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</si>
  <si>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</si>
  <si>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</si>
  <si>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</si>
  <si>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</si>
  <si>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</si>
  <si>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</si>
  <si>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</si>
  <si>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</si>
  <si>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</si>
  <si>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</si>
  <si>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</si>
  <si>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</si>
  <si>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</si>
  <si>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</si>
  <si>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</si>
  <si>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</si>
  <si>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</si>
  <si>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</si>
  <si>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</si>
  <si>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</si>
  <si>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</si>
  <si>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</si>
  <si>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</si>
  <si>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</si>
  <si>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</si>
  <si>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</si>
  <si>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</si>
  <si>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</si>
  <si>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</si>
  <si>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</si>
  <si>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</si>
  <si>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</si>
  <si>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</si>
  <si>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</si>
  <si>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</si>
  <si>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</si>
  <si>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</si>
  <si>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</si>
  <si>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</si>
  <si>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</si>
  <si>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Δ
№ output points</t>
  </si>
  <si>
    <t>Δ
Mean output points</t>
  </si>
  <si>
    <t>Δ
Mean duplicate points</t>
  </si>
  <si>
    <t>Δ
Bitstream [bits]</t>
  </si>
  <si>
    <t>Δ
Geometry PSNR [dB]</t>
  </si>
  <si>
    <t>Δ
End-to-end PSNR [dB]</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</si>
  <si>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</si>
  <si>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</si>
  <si>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</si>
  <si>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</si>
  <si>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</si>
  <si>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</si>
  <si>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</si>
  <si>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</si>
  <si>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</si>
  <si>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</si>
  <si>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</si>
  <si>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</si>
  <si>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</si>
  <si>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</si>
  <si>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</si>
  <si>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</si>
  <si>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</si>
  <si>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</si>
  <si>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</si>
  <si>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</si>
  <si>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</si>
  <si>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</si>
  <si>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</si>
  <si>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</si>
  <si>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</si>
  <si>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</si>
  <si>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</si>
  <si>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</si>
  <si>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</si>
  <si>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</si>
  <si>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</si>
  <si>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</si>
  <si>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</si>
  <si>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</si>
  <si>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</si>
  <si>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</si>
  <si>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</si>
  <si>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</si>
  <si>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</si>
  <si>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</si>
  <si>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</si>
  <si>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</si>
  <si>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</si>
  <si>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</si>
  <si>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</si>
  <si>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</si>
  <si>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</si>
  <si>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</si>
  <si>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</si>
  <si>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</si>
  <si>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</si>
  <si>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</si>
  <si>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</si>
  <si>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</si>
  <si>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</si>
  <si>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</si>
  <si>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</si>
  <si>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</si>
  <si>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</si>
  <si>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</si>
  <si>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</si>
  <si>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</si>
  <si>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</si>
  <si>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</si>
  <si>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</si>
  <si>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</si>
  <si>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</si>
  <si>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</si>
  <si>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</si>
  <si>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</si>
  <si>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</si>
  <si>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</si>
  <si>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</si>
  <si>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</si>
  <si>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</si>
  <si>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</si>
  <si>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</si>
  <si>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</si>
  <si>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</si>
  <si>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</si>
  <si>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</si>
  <si>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</si>
  <si>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</si>
  <si>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</si>
  <si>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2560x1856</t>
  </si>
  <si>
    <t>2560x2416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</si>
  <si>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</si>
  <si>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</si>
  <si>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</si>
  <si>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</si>
  <si>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</si>
  <si>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</si>
  <si>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</si>
  <si>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</si>
  <si>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</si>
  <si>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</si>
  <si>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</si>
  <si>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</si>
  <si>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</si>
  <si>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</si>
  <si>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</si>
  <si>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</si>
  <si>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</si>
  <si>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</si>
  <si>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</si>
  <si>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</si>
  <si>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</si>
  <si>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</si>
  <si>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</si>
  <si>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</si>
  <si>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</si>
  <si>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</si>
  <si>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</si>
  <si>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</si>
  <si>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</si>
  <si>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</si>
  <si>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</si>
  <si>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</si>
  <si>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</si>
  <si>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</si>
  <si>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</si>
  <si>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</si>
  <si>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</si>
  <si>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</si>
  <si>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</si>
  <si>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</si>
  <si>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</si>
  <si>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</si>
  <si>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</si>
  <si>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</si>
  <si>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</si>
  <si>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</si>
  <si>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</si>
  <si>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</si>
  <si>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</si>
  <si>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</si>
  <si>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</si>
  <si>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</si>
  <si>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</si>
  <si>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</si>
  <si>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</si>
  <si>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</si>
  <si>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</si>
  <si>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</si>
  <si>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</si>
  <si>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</si>
  <si>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</si>
  <si>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</si>
  <si>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</si>
  <si>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</si>
  <si>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</si>
  <si>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</si>
  <si>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</si>
  <si>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</si>
  <si>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</si>
  <si>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</si>
  <si>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</si>
  <si>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</si>
  <si>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</si>
  <si>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</si>
  <si>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</si>
  <si>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</si>
  <si>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</si>
  <si>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</si>
  <si>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</si>
  <si>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</si>
  <si>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</si>
  <si>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</si>
  <si>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</si>
  <si>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</si>
  <si>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</si>
  <si>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</si>
  <si>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</si>
  <si>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</si>
  <si>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</si>
  <si>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</si>
  <si>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</si>
  <si>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</si>
  <si>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</si>
  <si>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</si>
  <si>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</si>
  <si>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</si>
  <si>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</si>
  <si>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</si>
  <si>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</si>
  <si>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</si>
  <si>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</si>
  <si>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</si>
  <si>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</si>
  <si>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</si>
  <si>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</si>
  <si>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</si>
  <si>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</si>
  <si>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</si>
  <si>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</si>
  <si>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</si>
  <si>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</si>
  <si>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</si>
  <si>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</si>
  <si>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</si>
  <si>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</si>
  <si>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</si>
  <si>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</si>
  <si>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</si>
  <si>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</si>
  <si>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</si>
  <si>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</si>
  <si>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</si>
  <si>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</si>
  <si>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</si>
  <si>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</si>
  <si>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</si>
  <si>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</si>
  <si>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</si>
  <si>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</si>
  <si>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</si>
  <si>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</si>
  <si>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</si>
  <si>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</si>
  <si>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</si>
  <si>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</si>
  <si>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</si>
  <si>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</si>
  <si>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</si>
  <si>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</si>
  <si>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</si>
  <si>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</si>
  <si>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</si>
  <si>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</si>
  <si>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</si>
  <si>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</si>
  <si>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</si>
  <si>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</si>
  <si>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</si>
  <si>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</si>
  <si>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</si>
  <si>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</si>
  <si>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</si>
  <si>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</si>
  <si>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</si>
  <si>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</si>
  <si>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</si>
  <si>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</si>
  <si>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</si>
  <si>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</si>
  <si>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</si>
  <si>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</si>
  <si>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</si>
  <si>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</si>
  <si>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</si>
  <si>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</si>
  <si>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</si>
  <si>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</si>
  <si>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</si>
  <si>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</si>
  <si>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</si>
  <si>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</si>
  <si>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</si>
  <si>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</si>
  <si>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</si>
  <si>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</si>
  <si>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</si>
  <si>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</si>
  <si>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</si>
  <si>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</si>
  <si>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</si>
  <si>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</si>
  <si>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</si>
  <si>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</si>
  <si>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</si>
  <si>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</si>
  <si>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</si>
  <si>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</si>
  <si>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</si>
  <si>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</si>
  <si>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</si>
  <si>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</si>
  <si>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</si>
  <si>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</si>
  <si>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</si>
  <si>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</si>
  <si>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</si>
  <si>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</si>
  <si>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</si>
  <si>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</si>
  <si>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</si>
  <si>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</si>
  <si>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</si>
  <si>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</si>
  <si>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</si>
  <si>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</si>
  <si>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</si>
  <si>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</si>
  <si>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</si>
  <si>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</si>
  <si>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</si>
  <si>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</si>
  <si>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</si>
  <si>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</si>
  <si>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</si>
  <si>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</si>
  <si>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</si>
  <si>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</si>
  <si>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</si>
  <si>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</si>
  <si>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</si>
  <si>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</si>
  <si>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</si>
  <si>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</si>
  <si>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</si>
  <si>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</si>
  <si>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</si>
  <si>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</si>
  <si>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</si>
  <si>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</si>
  <si>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</si>
  <si>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</si>
  <si>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</si>
  <si>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</si>
  <si>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</si>
  <si>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</si>
  <si>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</si>
  <si>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</si>
  <si>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</si>
  <si>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</si>
  <si>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</si>
  <si>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</si>
  <si>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</si>
  <si>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</si>
  <si>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</si>
  <si>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</si>
  <si>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</si>
  <si>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</si>
  <si>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</si>
  <si>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</si>
  <si>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</si>
  <si>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</si>
  <si>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</si>
  <si>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</si>
  <si>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</si>
  <si>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</si>
  <si>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</si>
  <si>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</si>
  <si>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</si>
  <si>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</si>
  <si>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</si>
  <si>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</si>
  <si>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</si>
  <si>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</si>
  <si>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</si>
  <si>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</si>
  <si>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</si>
  <si>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</si>
  <si>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</si>
  <si>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</si>
  <si>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</si>
  <si>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</si>
  <si>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</si>
  <si>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</si>
  <si>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</si>
  <si>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</si>
  <si>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</si>
  <si>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</si>
  <si>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</si>
  <si>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</si>
  <si>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</si>
  <si>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</si>
  <si>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</si>
  <si>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</si>
  <si>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</si>
  <si>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</si>
  <si>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</si>
  <si>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</si>
  <si>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</si>
  <si>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</si>
  <si>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</si>
  <si>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</si>
  <si>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</si>
  <si>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</si>
  <si>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</si>
  <si>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</si>
  <si>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</si>
  <si>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</si>
  <si>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</si>
  <si>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</si>
  <si>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</si>
  <si>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</si>
  <si>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</si>
  <si>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</si>
  <si>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</si>
  <si>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</si>
  <si>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</si>
  <si>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</si>
  <si>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</si>
  <si>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</si>
  <si>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</si>
  <si>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</si>
  <si>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</si>
  <si>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</si>
  <si>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</si>
  <si>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</si>
  <si>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</si>
  <si>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</si>
  <si>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</si>
  <si>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</si>
  <si>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</si>
  <si>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</si>
  <si>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</si>
  <si>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</si>
  <si>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</si>
  <si>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</si>
  <si>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</si>
  <si>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</si>
  <si>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</si>
  <si>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</si>
  <si>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Δ Bitstream [bits]</t>
  </si>
  <si>
    <t>A.eqn.compratio</t>
  </si>
  <si>
    <t>B.eqn.compratio</t>
  </si>
  <si>
    <t>eqn.ab.ratio-bpp</t>
  </si>
  <si>
    <t>eqn.ab.ratio-bpp-geometry</t>
  </si>
  <si>
    <t>eqn.ab.ratio-bpp-colour</t>
  </si>
  <si>
    <t>inf</t>
  </si>
  <si>
    <t>1280x1472</t>
  </si>
  <si>
    <t>2560x1904</t>
  </si>
  <si>
    <t>2560x2464</t>
  </si>
  <si>
    <t>CW_ld — lossless geometry, lossless attributes [inter, low delay]</t>
  </si>
  <si>
    <t>1280x1424</t>
  </si>
  <si>
    <t>1280x1520</t>
  </si>
  <si>
    <t>2560x3120</t>
  </si>
  <si>
    <t>C2_ra — lossy geometry, lossy attributes [inter, random access]</t>
  </si>
  <si>
    <t>1280x1392</t>
  </si>
  <si>
    <t>2560x3056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</si>
</sst>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80">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R7.0 RC8.0</c:v>
                </c:pt>
              </c:strCache>
            </c:strRef>
          </c:tx>
          <c:spPr>
            <a:ln>
              <a:prstDash val="solid"/>
            </a:ln>
          </c:spPr>
          <c:marker>
            <c:symbol val="none"/>
          </c:marker>
          <c:xVal>
            <c:numRef>
              <c:f>Graphs!graph_a_x_range_A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Graphs!graph_a_y_range_A</c:f>
              <c:numCache>
                <c:formatCode>0.00</c:formatCode>
                <c:ptCount val="5"/>
                <c:pt idx="0">
                  <c:v>66.354737499999999</c:v>
                </c:pt>
                <c:pt idx="1">
                  <c:v>68.256434374999998</c:v>
                </c:pt>
                <c:pt idx="2">
                  <c:v>69.684690625000002</c:v>
                </c:pt>
                <c:pt idx="3">
                  <c:v>70.825724999999977</c:v>
                </c:pt>
                <c:pt idx="4">
                  <c:v>71.947396874999995</c:v>
                </c:pt>
              </c:numCache>
            </c:numRef>
          </c:yVal>
          <c:smooth val="1"/>
          <c:extLst>
            <c:ext xmlns:c16="http://schemas.microsoft.com/office/drawing/2014/chart" uri="{C3380CC4-5D6E-409C-BE32-E72D297353CC}">
              <c16:uniqueId val="{00000000-6390-4678-AC90-B6B843DC1BF2}"/>
            </c:ext>
          </c:extLst>
        </c:ser>
        <c:ser>
          <c:idx val="1"/>
          <c:order val="1"/>
          <c:tx>
            <c:strRef>
              <c:f>Graphs!graph_a_B_title</c:f>
              <c:strCache>
                <c:ptCount val="1"/>
                <c:pt idx="0">
                  <c:v>R7.0 RC 9.0</c:v>
                </c:pt>
              </c:strCache>
            </c:strRef>
          </c:tx>
          <c:spPr>
            <a:ln>
              <a:prstDash val="solid"/>
            </a:ln>
          </c:spPr>
          <c:marker>
            <c:symbol val="none"/>
          </c:marker>
          <c:xVal>
            <c:numRef>
              <c:f>Graphs!graph_a_x_range_B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Graphs!graph_a_y_range_B</c:f>
              <c:numCache>
                <c:formatCode>0.00</c:formatCode>
                <c:ptCount val="5"/>
                <c:pt idx="0">
                  <c:v>66.354737499999999</c:v>
                </c:pt>
                <c:pt idx="1">
                  <c:v>68.256434374999998</c:v>
                </c:pt>
                <c:pt idx="2">
                  <c:v>69.684690625000002</c:v>
                </c:pt>
                <c:pt idx="3">
                  <c:v>70.825724999999977</c:v>
                </c:pt>
                <c:pt idx="4">
                  <c:v>71.947396874999995</c:v>
                </c:pt>
              </c:numCache>
            </c:numRef>
          </c:yVal>
          <c:smooth val="1"/>
          <c:extLst>
            <c:ext xmlns:c16="http://schemas.microsoft.com/office/drawing/2014/chart" uri="{C3380CC4-5D6E-409C-BE32-E72D297353CC}">
              <c16:uniqueId val="{00000001-6390-4678-AC90-B6B843DC1BF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R7.0 RC8.0</c:v>
                </c:pt>
              </c:strCache>
            </c:strRef>
          </c:tx>
          <c:spPr>
            <a:ln>
              <a:prstDash val="solid"/>
            </a:ln>
          </c:spPr>
          <c:marker>
            <c:symbol val="none"/>
          </c:marker>
          <c:xVal>
            <c:numRef>
              <c:f>Graphs!graph_b_x_range_A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Graphs!graph_b_y_range_A</c:f>
              <c:numCache>
                <c:formatCode>0.00</c:formatCode>
                <c:ptCount val="5"/>
                <c:pt idx="0">
                  <c:v>68.471134375000005</c:v>
                </c:pt>
                <c:pt idx="1">
                  <c:v>70.426474999999996</c:v>
                </c:pt>
                <c:pt idx="2">
                  <c:v>72.115756250000018</c:v>
                </c:pt>
                <c:pt idx="3">
                  <c:v>73.390937500000021</c:v>
                </c:pt>
                <c:pt idx="4">
                  <c:v>75.319828124999972</c:v>
                </c:pt>
              </c:numCache>
            </c:numRef>
          </c:yVal>
          <c:smooth val="1"/>
          <c:extLst>
            <c:ext xmlns:c16="http://schemas.microsoft.com/office/drawing/2014/chart" uri="{C3380CC4-5D6E-409C-BE32-E72D297353CC}">
              <c16:uniqueId val="{00000000-5836-42B8-8237-15F843B153ED}"/>
            </c:ext>
          </c:extLst>
        </c:ser>
        <c:ser>
          <c:idx val="1"/>
          <c:order val="1"/>
          <c:tx>
            <c:strRef>
              <c:f>Graphs!graph_b_B_title</c:f>
              <c:strCache>
                <c:ptCount val="1"/>
                <c:pt idx="0">
                  <c:v>R7.0 RC 9.0</c:v>
                </c:pt>
              </c:strCache>
            </c:strRef>
          </c:tx>
          <c:spPr>
            <a:ln>
              <a:prstDash val="solid"/>
            </a:ln>
          </c:spPr>
          <c:marker>
            <c:symbol val="none"/>
          </c:marker>
          <c:xVal>
            <c:numRef>
              <c:f>Graphs!graph_b_x_range_B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Graphs!graph_b_y_range_B</c:f>
              <c:numCache>
                <c:formatCode>0.00</c:formatCode>
                <c:ptCount val="5"/>
                <c:pt idx="0">
                  <c:v>68.471134375000005</c:v>
                </c:pt>
                <c:pt idx="1">
                  <c:v>70.426474999999996</c:v>
                </c:pt>
                <c:pt idx="2">
                  <c:v>72.115756250000018</c:v>
                </c:pt>
                <c:pt idx="3">
                  <c:v>73.390937500000021</c:v>
                </c:pt>
                <c:pt idx="4">
                  <c:v>75.319828124999972</c:v>
                </c:pt>
              </c:numCache>
            </c:numRef>
          </c:yVal>
          <c:smooth val="1"/>
          <c:extLst>
            <c:ext xmlns:c16="http://schemas.microsoft.com/office/drawing/2014/chart" uri="{C3380CC4-5D6E-409C-BE32-E72D297353CC}">
              <c16:uniqueId val="{00000001-5836-42B8-8237-15F843B153ED}"/>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R7.0 RC8.0</c:v>
                </c:pt>
              </c:strCache>
            </c:strRef>
          </c:tx>
          <c:spPr>
            <a:ln>
              <a:prstDash val="solid"/>
            </a:ln>
          </c:spPr>
          <c:marker>
            <c:symbol val="none"/>
          </c:marker>
          <c:xVal>
            <c:numRef>
              <c:f>Graphs!graph_c_x_range_A</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Graphs!graph_c_y_range_A</c:f>
              <c:numCache>
                <c:formatCode>0.00</c:formatCode>
                <c:ptCount val="5"/>
                <c:pt idx="0">
                  <c:v>32.137684375000013</c:v>
                </c:pt>
                <c:pt idx="1">
                  <c:v>34.399300000000011</c:v>
                </c:pt>
                <c:pt idx="2">
                  <c:v>36.932850000000009</c:v>
                </c:pt>
                <c:pt idx="3">
                  <c:v>39.553746875000002</c:v>
                </c:pt>
                <c:pt idx="4">
                  <c:v>42.01755</c:v>
                </c:pt>
              </c:numCache>
            </c:numRef>
          </c:yVal>
          <c:smooth val="1"/>
          <c:extLst>
            <c:ext xmlns:c16="http://schemas.microsoft.com/office/drawing/2014/chart" uri="{C3380CC4-5D6E-409C-BE32-E72D297353CC}">
              <c16:uniqueId val="{00000000-74F0-4DB2-9276-FDA0D104E256}"/>
            </c:ext>
          </c:extLst>
        </c:ser>
        <c:ser>
          <c:idx val="1"/>
          <c:order val="1"/>
          <c:tx>
            <c:strRef>
              <c:f>Graphs!graph_c_B_title</c:f>
              <c:strCache>
                <c:ptCount val="1"/>
                <c:pt idx="0">
                  <c:v>R7.0 RC 9.0</c:v>
                </c:pt>
              </c:strCache>
            </c:strRef>
          </c:tx>
          <c:spPr>
            <a:ln>
              <a:prstDash val="solid"/>
            </a:ln>
          </c:spPr>
          <c:marker>
            <c:symbol val="none"/>
          </c:marker>
          <c:xVal>
            <c:numRef>
              <c:f>Graphs!graph_c_x_range_B</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Graphs!graph_c_y_range_B</c:f>
              <c:numCache>
                <c:formatCode>0.00</c:formatCode>
                <c:ptCount val="5"/>
                <c:pt idx="0">
                  <c:v>32.137684375000013</c:v>
                </c:pt>
                <c:pt idx="1">
                  <c:v>34.399300000000011</c:v>
                </c:pt>
                <c:pt idx="2">
                  <c:v>36.932850000000009</c:v>
                </c:pt>
                <c:pt idx="3">
                  <c:v>39.553746875000002</c:v>
                </c:pt>
                <c:pt idx="4">
                  <c:v>42.01755</c:v>
                </c:pt>
              </c:numCache>
            </c:numRef>
          </c:yVal>
          <c:smooth val="1"/>
          <c:extLst>
            <c:ext xmlns:c16="http://schemas.microsoft.com/office/drawing/2014/chart" uri="{C3380CC4-5D6E-409C-BE32-E72D297353CC}">
              <c16:uniqueId val="{00000001-74F0-4DB2-9276-FDA0D104E256}"/>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R7.0 RC8.0</c:v>
                </c:pt>
              </c:strCache>
            </c:strRef>
          </c:tx>
          <c:spPr>
            <a:ln>
              <a:prstDash val="solid"/>
            </a:ln>
          </c:spPr>
          <c:marker>
            <c:symbol val="none"/>
          </c:marker>
          <c:xVal>
            <c:numRef>
              <c:f>Graphs!graph_d_x_range_A</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Graphs!graph_d_y_range_A</c:f>
              <c:numCache>
                <c:formatCode>0.00</c:formatCode>
                <c:ptCount val="5"/>
                <c:pt idx="0">
                  <c:v>44.149306250000002</c:v>
                </c:pt>
                <c:pt idx="1">
                  <c:v>45.437112499999998</c:v>
                </c:pt>
                <c:pt idx="2">
                  <c:v>46.544937500000003</c:v>
                </c:pt>
                <c:pt idx="3">
                  <c:v>47.884250000000009</c:v>
                </c:pt>
                <c:pt idx="4">
                  <c:v>49.411421875000002</c:v>
                </c:pt>
              </c:numCache>
            </c:numRef>
          </c:yVal>
          <c:smooth val="1"/>
          <c:extLst>
            <c:ext xmlns:c16="http://schemas.microsoft.com/office/drawing/2014/chart" uri="{C3380CC4-5D6E-409C-BE32-E72D297353CC}">
              <c16:uniqueId val="{00000000-742E-42C1-BFCB-DF95EA92B312}"/>
            </c:ext>
          </c:extLst>
        </c:ser>
        <c:ser>
          <c:idx val="1"/>
          <c:order val="1"/>
          <c:tx>
            <c:strRef>
              <c:f>Graphs!graph_d_B_title</c:f>
              <c:strCache>
                <c:ptCount val="1"/>
                <c:pt idx="0">
                  <c:v>R7.0 RC 9.0</c:v>
                </c:pt>
              </c:strCache>
            </c:strRef>
          </c:tx>
          <c:spPr>
            <a:ln>
              <a:prstDash val="solid"/>
            </a:ln>
          </c:spPr>
          <c:marker>
            <c:symbol val="none"/>
          </c:marker>
          <c:xVal>
            <c:numRef>
              <c:f>Graphs!graph_d_x_range_B</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Graphs!graph_d_y_range_B</c:f>
              <c:numCache>
                <c:formatCode>0.00</c:formatCode>
                <c:ptCount val="5"/>
                <c:pt idx="0">
                  <c:v>44.149306250000002</c:v>
                </c:pt>
                <c:pt idx="1">
                  <c:v>45.437112499999998</c:v>
                </c:pt>
                <c:pt idx="2">
                  <c:v>46.544937500000003</c:v>
                </c:pt>
                <c:pt idx="3">
                  <c:v>47.884250000000009</c:v>
                </c:pt>
                <c:pt idx="4">
                  <c:v>49.411421875000002</c:v>
                </c:pt>
              </c:numCache>
            </c:numRef>
          </c:yVal>
          <c:smooth val="1"/>
          <c:extLst>
            <c:ext xmlns:c16="http://schemas.microsoft.com/office/drawing/2014/chart" uri="{C3380CC4-5D6E-409C-BE32-E72D297353CC}">
              <c16:uniqueId val="{00000001-742E-42C1-BFCB-DF95EA92B31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R7.0 RC8.0</c:v>
                </c:pt>
              </c:strCache>
            </c:strRef>
          </c:tx>
          <c:spPr>
            <a:ln>
              <a:prstDash val="solid"/>
            </a:ln>
          </c:spPr>
          <c:marker>
            <c:symbol val="none"/>
          </c:marker>
          <c:xVal>
            <c:numRef>
              <c:f>Graphs!graph_e_x_range_A</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Graphs!graph_e_y_range_A</c:f>
              <c:numCache>
                <c:formatCode>0.00</c:formatCode>
                <c:ptCount val="5"/>
                <c:pt idx="0">
                  <c:v>43.778965624999991</c:v>
                </c:pt>
                <c:pt idx="1">
                  <c:v>45.212931249999997</c:v>
                </c:pt>
                <c:pt idx="2">
                  <c:v>46.445749999999997</c:v>
                </c:pt>
                <c:pt idx="3">
                  <c:v>47.908200000000001</c:v>
                </c:pt>
                <c:pt idx="4">
                  <c:v>49.523899999999998</c:v>
                </c:pt>
              </c:numCache>
            </c:numRef>
          </c:yVal>
          <c:smooth val="1"/>
          <c:extLst>
            <c:ext xmlns:c16="http://schemas.microsoft.com/office/drawing/2014/chart" uri="{C3380CC4-5D6E-409C-BE32-E72D297353CC}">
              <c16:uniqueId val="{00000000-3C6D-42BD-9C9D-F777103935D3}"/>
            </c:ext>
          </c:extLst>
        </c:ser>
        <c:ser>
          <c:idx val="1"/>
          <c:order val="1"/>
          <c:tx>
            <c:strRef>
              <c:f>Graphs!graph_e_B_title</c:f>
              <c:strCache>
                <c:ptCount val="1"/>
                <c:pt idx="0">
                  <c:v>R7.0 RC 9.0</c:v>
                </c:pt>
              </c:strCache>
            </c:strRef>
          </c:tx>
          <c:spPr>
            <a:ln>
              <a:prstDash val="solid"/>
            </a:ln>
          </c:spPr>
          <c:marker>
            <c:symbol val="none"/>
          </c:marker>
          <c:xVal>
            <c:numRef>
              <c:f>Graphs!graph_e_x_range_B</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Graphs!graph_e_y_range_B</c:f>
              <c:numCache>
                <c:formatCode>0.00</c:formatCode>
                <c:ptCount val="5"/>
                <c:pt idx="0">
                  <c:v>43.778965624999991</c:v>
                </c:pt>
                <c:pt idx="1">
                  <c:v>45.212931249999997</c:v>
                </c:pt>
                <c:pt idx="2">
                  <c:v>46.445749999999997</c:v>
                </c:pt>
                <c:pt idx="3">
                  <c:v>47.908200000000001</c:v>
                </c:pt>
                <c:pt idx="4">
                  <c:v>49.523899999999998</c:v>
                </c:pt>
              </c:numCache>
            </c:numRef>
          </c:yVal>
          <c:smooth val="1"/>
          <c:extLst>
            <c:ext xmlns:c16="http://schemas.microsoft.com/office/drawing/2014/chart" uri="{C3380CC4-5D6E-409C-BE32-E72D297353CC}">
              <c16:uniqueId val="{00000001-3C6D-42BD-9C9D-F777103935D3}"/>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R7.0 RC8.0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D43F-48B2-9098-EFA3DF320507}"/>
            </c:ext>
          </c:extLst>
        </c:ser>
        <c:ser>
          <c:idx val="1"/>
          <c:order val="1"/>
          <c:tx>
            <c:strRef>
              <c:f>Graphs!graph_f_B_title</c:f>
              <c:strCache>
                <c:ptCount val="1"/>
                <c:pt idx="0">
                  <c:v>R7.0 RC 9.0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D43F-48B2-9098-EFA3DF320507}"/>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B10" workbookViewId="0">
      <selection activeCell="C2" sqref="C2:E2"/>
    </sheetView>
  </sheetViews>
  <sheetFormatPr defaultRowHeight="15" x14ac:dyDescent="0.25"/>
  <cols>
    <col min="2" max="2" width="16.7109375" style="53" customWidth="1"/>
    <col min="3" max="12" width="24.7109375" style="53" customWidth="1"/>
  </cols>
  <sheetData>
    <row r="1" spans="2:12" x14ac:dyDescent="0.25">
      <c r="B1" t="s">
        <v>0</v>
      </c>
      <c r="C1" s="60" t="s">
        <v>1</v>
      </c>
      <c r="D1" s="61"/>
      <c r="E1" s="61"/>
    </row>
    <row r="2" spans="2:12" x14ac:dyDescent="0.25">
      <c r="B2" t="s">
        <v>2</v>
      </c>
      <c r="C2" s="62" t="s">
        <v>3</v>
      </c>
      <c r="D2" s="61"/>
      <c r="E2" s="61"/>
    </row>
    <row r="4" spans="2:12" s="1" customFormat="1" x14ac:dyDescent="0.25">
      <c r="B4" s="1" t="s">
        <v>4</v>
      </c>
    </row>
    <row r="6" spans="2:12" x14ac:dyDescent="0.25">
      <c r="B6" s="63" t="s">
        <v>5</v>
      </c>
      <c r="C6" s="65" t="s">
        <v>6</v>
      </c>
      <c r="D6" s="66"/>
      <c r="E6" s="66"/>
      <c r="F6" s="66"/>
      <c r="G6" s="66"/>
      <c r="H6" s="66"/>
      <c r="I6" s="66"/>
      <c r="J6" s="66"/>
      <c r="K6" s="66"/>
      <c r="L6" s="66"/>
    </row>
    <row r="7" spans="2:12" x14ac:dyDescent="0.25">
      <c r="B7" s="61"/>
      <c r="C7" s="67" t="s">
        <v>7</v>
      </c>
      <c r="D7" s="61"/>
      <c r="E7" s="68" t="s">
        <v>8</v>
      </c>
      <c r="F7" s="61"/>
      <c r="G7" s="61"/>
      <c r="H7" s="67" t="s">
        <v>9</v>
      </c>
      <c r="I7" s="61"/>
      <c r="J7" s="68" t="s">
        <v>10</v>
      </c>
      <c r="K7" s="61"/>
      <c r="L7" s="61"/>
    </row>
    <row r="8" spans="2:12" x14ac:dyDescent="0.25">
      <c r="B8" s="64"/>
      <c r="C8" s="2" t="s">
        <v>11</v>
      </c>
      <c r="D8" s="2" t="s">
        <v>12</v>
      </c>
      <c r="E8" s="3" t="s">
        <v>13</v>
      </c>
      <c r="F8" s="3" t="s">
        <v>14</v>
      </c>
      <c r="G8" s="3" t="s">
        <v>15</v>
      </c>
      <c r="H8" s="2" t="s">
        <v>11</v>
      </c>
      <c r="I8" s="2" t="s">
        <v>12</v>
      </c>
      <c r="J8" s="3" t="s">
        <v>13</v>
      </c>
      <c r="K8" s="3" t="s">
        <v>14</v>
      </c>
      <c r="L8" s="3" t="s">
        <v>15</v>
      </c>
    </row>
    <row r="9" spans="2:12" x14ac:dyDescent="0.25">
      <c r="B9" t="s">
        <v>16</v>
      </c>
      <c r="C9" s="4">
        <f>'C2 lossyG,lossyA,intra'!$BJ$40:$BJ$40</f>
        <v>0</v>
      </c>
      <c r="D9" s="4">
        <f>'C2 lossyG,lossyA,intra'!$BK$40:$BK$40</f>
        <v>0</v>
      </c>
      <c r="E9" s="4">
        <f>'C2 lossyG,lossyA,intra'!$BL$40:$BL$40</f>
        <v>0</v>
      </c>
      <c r="F9" s="4">
        <f>'C2 lossyG,lossyA,intra'!$BM$40:$BM$40</f>
        <v>0</v>
      </c>
      <c r="G9" s="4">
        <f>'C2 lossyG,lossyA,intra'!$BN$40:$BN$40</f>
        <v>0</v>
      </c>
      <c r="H9" s="4">
        <f>'C2 lossyG,lossyA,intra'!$BP$40:$BP$40</f>
        <v>0</v>
      </c>
      <c r="I9" s="4">
        <f>'C2 lossyG,lossyA,intra'!$BQ$40:$BQ$40</f>
        <v>0</v>
      </c>
      <c r="J9" s="4">
        <f>'C2 lossyG,lossyA,intra'!$BR$40:$BR$40</f>
        <v>0</v>
      </c>
      <c r="K9" s="4">
        <f>'C2 lossyG,lossyA,intra'!$BS$40:$BS$40</f>
        <v>0</v>
      </c>
      <c r="L9" s="4">
        <f>'C2 lossyG,lossyA,intra'!$BT$40:$BT$40</f>
        <v>0</v>
      </c>
    </row>
    <row r="10" spans="2:12" x14ac:dyDescent="0.25">
      <c r="B10" t="s">
        <v>17</v>
      </c>
      <c r="C10" s="4">
        <f>'C2 lossyG,lossyA,intra'!$BJ$41:$BJ$41</f>
        <v>0</v>
      </c>
      <c r="D10" s="4">
        <f>'C2 lossyG,lossyA,intra'!$BK$41:$BK$41</f>
        <v>0</v>
      </c>
      <c r="E10" s="4">
        <f>'C2 lossyG,lossyA,intra'!$BL$41:$BL$41</f>
        <v>0</v>
      </c>
      <c r="F10" s="4">
        <f>'C2 lossyG,lossyA,intra'!$BM$41:$BM$41</f>
        <v>0</v>
      </c>
      <c r="G10" s="4">
        <f>'C2 lossyG,lossyA,intra'!$BN$41:$BN$41</f>
        <v>0</v>
      </c>
      <c r="H10" s="4">
        <f>'C2 lossyG,lossyA,intra'!$BP$41:$BP$41</f>
        <v>0</v>
      </c>
      <c r="I10" s="4">
        <f>'C2 lossyG,lossyA,intra'!$BQ$41:$BQ$41</f>
        <v>0</v>
      </c>
      <c r="J10" s="4">
        <f>'C2 lossyG,lossyA,intra'!$BR$41:$BR$41</f>
        <v>0</v>
      </c>
      <c r="K10" s="4">
        <f>'C2 lossyG,lossyA,intra'!$BS$41:$BS$41</f>
        <v>0</v>
      </c>
      <c r="L10" s="4">
        <f>'C2 lossyG,lossyA,intra'!$BT$41:$BT$41</f>
        <v>0</v>
      </c>
    </row>
    <row r="11" spans="2:12" x14ac:dyDescent="0.25">
      <c r="B11" t="s">
        <v>18</v>
      </c>
      <c r="C11" s="4">
        <f>'C2 lossyG,lossyA,intra'!$BJ$42:$BJ$42</f>
        <v>0</v>
      </c>
      <c r="D11" s="4">
        <f>'C2 lossyG,lossyA,intra'!$BK$42:$BK$42</f>
        <v>0</v>
      </c>
      <c r="E11" s="4">
        <f>'C2 lossyG,lossyA,intra'!$BL$42:$BL$42</f>
        <v>0</v>
      </c>
      <c r="F11" s="4">
        <f>'C2 lossyG,lossyA,intra'!$BM$42:$BM$42</f>
        <v>0</v>
      </c>
      <c r="G11" s="4">
        <f>'C2 lossyG,lossyA,intra'!$BN$42:$BN$42</f>
        <v>0</v>
      </c>
      <c r="H11" s="4">
        <f>'C2 lossyG,lossyA,intra'!$BP$42:$BP$42</f>
        <v>0</v>
      </c>
      <c r="I11" s="4">
        <f>'C2 lossyG,lossyA,intra'!$BQ$42:$BQ$42</f>
        <v>0</v>
      </c>
      <c r="J11" s="4">
        <f>'C2 lossyG,lossyA,intra'!$BR$42:$BR$42</f>
        <v>0</v>
      </c>
      <c r="K11" s="4">
        <f>'C2 lossyG,lossyA,intra'!$BS$42:$BS$42</f>
        <v>0</v>
      </c>
      <c r="L11" s="4">
        <f>'C2 lossyG,lossyA,intra'!$BT$42:$BT$42</f>
        <v>0</v>
      </c>
    </row>
    <row r="12" spans="2:12" x14ac:dyDescent="0.25">
      <c r="B12" s="5" t="s">
        <v>19</v>
      </c>
      <c r="C12" s="6">
        <f>'C2 lossyG,lossyA,intra'!$BJ$43:$BJ$43</f>
        <v>0</v>
      </c>
      <c r="D12" s="6">
        <f>'C2 lossyG,lossyA,intra'!$BK$43:$BK$43</f>
        <v>0</v>
      </c>
      <c r="E12" s="6">
        <f>'C2 lossyG,lossyA,intra'!$BL$43:$BL$43</f>
        <v>0</v>
      </c>
      <c r="F12" s="6">
        <f>'C2 lossyG,lossyA,intra'!$BM$43:$BM$43</f>
        <v>0</v>
      </c>
      <c r="G12" s="6">
        <f>'C2 lossyG,lossyA,intra'!$BN$43:$BN$43</f>
        <v>0</v>
      </c>
      <c r="H12" s="6">
        <f>'C2 lossyG,lossyA,intra'!$BP$43:$BP$43</f>
        <v>0</v>
      </c>
      <c r="I12" s="6">
        <f>'C2 lossyG,lossyA,intra'!$BQ$43:$BQ$43</f>
        <v>0</v>
      </c>
      <c r="J12" s="6">
        <f>'C2 lossyG,lossyA,intra'!$BR$43:$BR$43</f>
        <v>0</v>
      </c>
      <c r="K12" s="6">
        <f>'C2 lossyG,lossyA,intra'!$BS$43:$BS$43</f>
        <v>0</v>
      </c>
      <c r="L12" s="6">
        <f>'C2 lossyG,lossyA,intra'!$BT$43:$BT$43</f>
        <v>0</v>
      </c>
    </row>
    <row r="13" spans="2:12" x14ac:dyDescent="0.25">
      <c r="B13" t="s">
        <v>20</v>
      </c>
      <c r="C13" s="69">
        <f>'C2 lossyG,lossyA,intra'!AZ47</f>
        <v>0.98943010432982181</v>
      </c>
      <c r="D13" s="61"/>
      <c r="E13" s="61"/>
      <c r="F13" s="61"/>
      <c r="G13" s="61"/>
      <c r="H13" s="61"/>
      <c r="I13" s="61"/>
      <c r="J13" s="61"/>
      <c r="K13" s="61"/>
      <c r="L13" s="61"/>
    </row>
    <row r="14" spans="2:12" x14ac:dyDescent="0.25">
      <c r="B14" s="54" t="s">
        <v>21</v>
      </c>
      <c r="C14" s="70">
        <f>'C2 lossyG,lossyA,intra'!BB47</f>
        <v>1.0186749946653249</v>
      </c>
      <c r="D14" s="64"/>
      <c r="E14" s="64"/>
      <c r="F14" s="64"/>
      <c r="G14" s="64"/>
      <c r="H14" s="64"/>
      <c r="I14" s="64"/>
      <c r="J14" s="64"/>
      <c r="K14" s="64"/>
      <c r="L14" s="64"/>
    </row>
    <row r="16" spans="2:12" x14ac:dyDescent="0.25">
      <c r="B16" s="63" t="s">
        <v>22</v>
      </c>
      <c r="C16" s="65" t="s">
        <v>23</v>
      </c>
      <c r="D16" s="66"/>
      <c r="E16" s="66"/>
    </row>
    <row r="17" spans="2:5" x14ac:dyDescent="0.25">
      <c r="B17" s="61"/>
      <c r="C17" s="67" t="s">
        <v>24</v>
      </c>
      <c r="D17" s="61"/>
      <c r="E17" s="61"/>
    </row>
    <row r="18" spans="2:5" x14ac:dyDescent="0.25">
      <c r="B18" s="64"/>
      <c r="C18" s="2" t="s">
        <v>25</v>
      </c>
      <c r="D18" s="2" t="s">
        <v>26</v>
      </c>
      <c r="E18" s="2" t="s">
        <v>27</v>
      </c>
    </row>
    <row r="19" spans="2:5" x14ac:dyDescent="0.25">
      <c r="B19" t="s">
        <v>16</v>
      </c>
      <c r="C19" s="4">
        <f>'CW losslG,losslA,intra'!BC12</f>
        <v>1</v>
      </c>
      <c r="D19" s="4">
        <f>'CW losslG,losslA,intra'!BE12</f>
        <v>1</v>
      </c>
      <c r="E19" s="4">
        <f>'CW losslG,losslA,intra'!BB12</f>
        <v>1</v>
      </c>
    </row>
    <row r="20" spans="2:5" x14ac:dyDescent="0.25">
      <c r="B20" t="s">
        <v>17</v>
      </c>
      <c r="C20" s="4">
        <f>'CW losslG,losslA,intra'!BC13</f>
        <v>1</v>
      </c>
      <c r="D20" s="4">
        <f>'CW losslG,losslA,intra'!BE13</f>
        <v>1</v>
      </c>
      <c r="E20" s="4">
        <f>'CW losslG,losslA,intra'!BB13</f>
        <v>1</v>
      </c>
    </row>
    <row r="21" spans="2:5" x14ac:dyDescent="0.25">
      <c r="B21" t="s">
        <v>18</v>
      </c>
      <c r="C21" s="4">
        <f>'CW losslG,losslA,intra'!BC14</f>
        <v>1</v>
      </c>
      <c r="D21" s="4">
        <f>'CW losslG,losslA,intra'!BE14</f>
        <v>1</v>
      </c>
      <c r="E21" s="4">
        <f>'CW losslG,losslA,intra'!BB14</f>
        <v>1</v>
      </c>
    </row>
    <row r="22" spans="2:5" x14ac:dyDescent="0.25">
      <c r="B22" s="5" t="s">
        <v>19</v>
      </c>
      <c r="C22" s="6">
        <f>'CW losslG,losslA,intra'!BC15</f>
        <v>1</v>
      </c>
      <c r="D22" s="6">
        <f>'CW losslG,losslA,intra'!BE15</f>
        <v>1</v>
      </c>
      <c r="E22" s="6">
        <f>'CW losslG,losslA,intra'!BB15</f>
        <v>1</v>
      </c>
    </row>
    <row r="23" spans="2:5" x14ac:dyDescent="0.25">
      <c r="B23" t="s">
        <v>20</v>
      </c>
      <c r="C23" s="69">
        <f>'CW losslG,losslA,intra'!AW19</f>
        <v>0.96763614908392692</v>
      </c>
      <c r="D23" s="61"/>
      <c r="E23" s="61"/>
    </row>
    <row r="24" spans="2:5" x14ac:dyDescent="0.25">
      <c r="B24" s="54" t="s">
        <v>21</v>
      </c>
      <c r="C24" s="70">
        <f>'CW losslG,losslA,intra'!AY19</f>
        <v>1.0478213891456896</v>
      </c>
      <c r="D24" s="64"/>
      <c r="E24" s="64"/>
    </row>
    <row r="26" spans="2:5" s="1" customFormat="1" x14ac:dyDescent="0.25">
      <c r="B26" s="1" t="s">
        <v>28</v>
      </c>
    </row>
    <row r="28" spans="2:5" x14ac:dyDescent="0.25">
      <c r="B28" s="63" t="s">
        <v>29</v>
      </c>
      <c r="C28" s="65" t="s">
        <v>30</v>
      </c>
      <c r="D28" s="66"/>
      <c r="E28" s="66"/>
    </row>
    <row r="29" spans="2:5" x14ac:dyDescent="0.25">
      <c r="B29" s="61"/>
      <c r="C29" s="67" t="s">
        <v>24</v>
      </c>
      <c r="D29" s="61"/>
      <c r="E29" s="61"/>
    </row>
    <row r="30" spans="2:5" x14ac:dyDescent="0.25">
      <c r="B30" s="64"/>
      <c r="C30" s="2" t="s">
        <v>25</v>
      </c>
      <c r="D30" s="2" t="s">
        <v>26</v>
      </c>
      <c r="E30" s="2" t="s">
        <v>27</v>
      </c>
    </row>
    <row r="31" spans="2:5" x14ac:dyDescent="0.25">
      <c r="B31" t="s">
        <v>16</v>
      </c>
      <c r="C31" s="4">
        <f>'CW losslG,losslA,interLD'!BC12</f>
        <v>1</v>
      </c>
      <c r="D31" s="4">
        <f>'CW losslG,losslA,interLD'!BE12</f>
        <v>1</v>
      </c>
      <c r="E31" s="4">
        <f>'CW losslG,losslA,interLD'!BB12</f>
        <v>1</v>
      </c>
    </row>
    <row r="32" spans="2:5" x14ac:dyDescent="0.25">
      <c r="B32" t="s">
        <v>17</v>
      </c>
      <c r="C32" s="4">
        <f>'CW losslG,losslA,interLD'!BC13</f>
        <v>1</v>
      </c>
      <c r="D32" s="4">
        <f>'CW losslG,losslA,interLD'!BE13</f>
        <v>1</v>
      </c>
      <c r="E32" s="4">
        <f>'CW losslG,losslA,interLD'!BB13</f>
        <v>1</v>
      </c>
    </row>
    <row r="33" spans="2:12" x14ac:dyDescent="0.25">
      <c r="B33" t="s">
        <v>18</v>
      </c>
      <c r="C33" s="4">
        <f>'CW losslG,losslA,interLD'!BC14</f>
        <v>1</v>
      </c>
      <c r="D33" s="4">
        <f>'CW losslG,losslA,interLD'!BE14</f>
        <v>1</v>
      </c>
      <c r="E33" s="4">
        <f>'CW losslG,losslA,interLD'!BB14</f>
        <v>1</v>
      </c>
    </row>
    <row r="34" spans="2:12" x14ac:dyDescent="0.25">
      <c r="B34" s="5" t="s">
        <v>19</v>
      </c>
      <c r="C34" s="6">
        <f>'CW losslG,losslA,interLD'!BC15</f>
        <v>1</v>
      </c>
      <c r="D34" s="6">
        <f>'CW losslG,losslA,interLD'!BE15</f>
        <v>1</v>
      </c>
      <c r="E34" s="6">
        <f>'CW losslG,losslA,interLD'!BB15</f>
        <v>1</v>
      </c>
    </row>
    <row r="35" spans="2:12" x14ac:dyDescent="0.25">
      <c r="B35" t="s">
        <v>20</v>
      </c>
      <c r="C35" s="69">
        <f>'CW losslG,losslA,interLD'!AW19</f>
        <v>1.0181178203465548</v>
      </c>
      <c r="D35" s="61"/>
      <c r="E35" s="61"/>
    </row>
    <row r="36" spans="2:12" x14ac:dyDescent="0.25">
      <c r="B36" s="54" t="s">
        <v>21</v>
      </c>
      <c r="C36" s="70">
        <f>'CW losslG,losslA,interLD'!AY19</f>
        <v>1.0394758930038206</v>
      </c>
      <c r="D36" s="64"/>
      <c r="E36" s="64"/>
    </row>
    <row r="38" spans="2:12" s="1" customFormat="1" x14ac:dyDescent="0.25">
      <c r="B38" s="1" t="s">
        <v>31</v>
      </c>
    </row>
    <row r="40" spans="2:12" x14ac:dyDescent="0.25">
      <c r="B40" s="63" t="s">
        <v>32</v>
      </c>
      <c r="C40" s="65" t="s">
        <v>33</v>
      </c>
      <c r="D40" s="66"/>
      <c r="E40" s="66"/>
      <c r="F40" s="66"/>
      <c r="G40" s="66"/>
      <c r="H40" s="66"/>
      <c r="I40" s="66"/>
      <c r="J40" s="66"/>
      <c r="K40" s="66"/>
      <c r="L40" s="66"/>
    </row>
    <row r="41" spans="2:12" x14ac:dyDescent="0.25">
      <c r="B41" s="61"/>
      <c r="C41" s="67" t="s">
        <v>7</v>
      </c>
      <c r="D41" s="61"/>
      <c r="E41" s="68" t="s">
        <v>8</v>
      </c>
      <c r="F41" s="61"/>
      <c r="G41" s="61"/>
      <c r="H41" s="67" t="s">
        <v>9</v>
      </c>
      <c r="I41" s="61"/>
      <c r="J41" s="68" t="s">
        <v>10</v>
      </c>
      <c r="K41" s="61"/>
      <c r="L41" s="61"/>
    </row>
    <row r="42" spans="2:12" x14ac:dyDescent="0.25">
      <c r="B42" s="64"/>
      <c r="C42" s="2" t="s">
        <v>11</v>
      </c>
      <c r="D42" s="2" t="s">
        <v>12</v>
      </c>
      <c r="E42" s="3" t="s">
        <v>13</v>
      </c>
      <c r="F42" s="3" t="s">
        <v>14</v>
      </c>
      <c r="G42" s="3" t="s">
        <v>15</v>
      </c>
      <c r="H42" s="2" t="s">
        <v>11</v>
      </c>
      <c r="I42" s="2" t="s">
        <v>12</v>
      </c>
      <c r="J42" s="3" t="s">
        <v>13</v>
      </c>
      <c r="K42" s="3" t="s">
        <v>14</v>
      </c>
      <c r="L42" s="3" t="s">
        <v>15</v>
      </c>
    </row>
    <row r="43" spans="2:12" x14ac:dyDescent="0.25">
      <c r="B43" t="s">
        <v>16</v>
      </c>
      <c r="C43" s="4">
        <f>'C2 lossyG,lossyA,interRA'!$BJ$40:$BJ$40</f>
        <v>0</v>
      </c>
      <c r="D43" s="4">
        <f>'C2 lossyG,lossyA,interRA'!$BK$40:$BK$40</f>
        <v>0</v>
      </c>
      <c r="E43" s="4">
        <f>'C2 lossyG,lossyA,interRA'!$BL$40:$BL$40</f>
        <v>0</v>
      </c>
      <c r="F43" s="4">
        <f>'C2 lossyG,lossyA,interRA'!$BM$40:$BM$40</f>
        <v>0</v>
      </c>
      <c r="G43" s="4">
        <f>'C2 lossyG,lossyA,interRA'!$BN$40:$BN$40</f>
        <v>0</v>
      </c>
      <c r="H43" s="4">
        <f>'C2 lossyG,lossyA,interRA'!$BP$40:$BP$40</f>
        <v>0</v>
      </c>
      <c r="I43" s="4">
        <f>'C2 lossyG,lossyA,interRA'!$BQ$40:$BQ$40</f>
        <v>0</v>
      </c>
      <c r="J43" s="4">
        <f>'C2 lossyG,lossyA,interRA'!$BR$40:$BR$40</f>
        <v>0</v>
      </c>
      <c r="K43" s="4">
        <f>'C2 lossyG,lossyA,interRA'!$BS$40:$BS$40</f>
        <v>0</v>
      </c>
      <c r="L43" s="4">
        <f>'C2 lossyG,lossyA,interRA'!$BT$40:$BT$40</f>
        <v>0</v>
      </c>
    </row>
    <row r="44" spans="2:12" x14ac:dyDescent="0.25">
      <c r="B44" t="s">
        <v>17</v>
      </c>
      <c r="C44" s="4">
        <f>'C2 lossyG,lossyA,interRA'!$BJ$41:$BJ$41</f>
        <v>0</v>
      </c>
      <c r="D44" s="4">
        <f>'C2 lossyG,lossyA,interRA'!$BK$41:$BK$41</f>
        <v>0</v>
      </c>
      <c r="E44" s="4">
        <f>'C2 lossyG,lossyA,interRA'!$BL$41:$BL$41</f>
        <v>0</v>
      </c>
      <c r="F44" s="4">
        <f>'C2 lossyG,lossyA,interRA'!$BM$41:$BM$41</f>
        <v>0</v>
      </c>
      <c r="G44" s="4">
        <f>'C2 lossyG,lossyA,interRA'!$BN$41:$BN$41</f>
        <v>0</v>
      </c>
      <c r="H44" s="4">
        <f>'C2 lossyG,lossyA,interRA'!$BP$41:$BP$41</f>
        <v>0</v>
      </c>
      <c r="I44" s="4">
        <f>'C2 lossyG,lossyA,interRA'!$BQ$41:$BQ$41</f>
        <v>0</v>
      </c>
      <c r="J44" s="4">
        <f>'C2 lossyG,lossyA,interRA'!$BR$41:$BR$41</f>
        <v>0</v>
      </c>
      <c r="K44" s="4">
        <f>'C2 lossyG,lossyA,interRA'!$BS$41:$BS$41</f>
        <v>0</v>
      </c>
      <c r="L44" s="4">
        <f>'C2 lossyG,lossyA,interRA'!$BT$41:$BT$41</f>
        <v>0</v>
      </c>
    </row>
    <row r="45" spans="2:12" x14ac:dyDescent="0.25">
      <c r="B45" t="s">
        <v>18</v>
      </c>
      <c r="C45" s="4">
        <f>'C2 lossyG,lossyA,interRA'!$BJ$42:$BJ$42</f>
        <v>0</v>
      </c>
      <c r="D45" s="4">
        <f>'C2 lossyG,lossyA,interRA'!$BK$42:$BK$42</f>
        <v>0</v>
      </c>
      <c r="E45" s="4">
        <f>'C2 lossyG,lossyA,interRA'!$BL$42:$BL$42</f>
        <v>0</v>
      </c>
      <c r="F45" s="4">
        <f>'C2 lossyG,lossyA,interRA'!$BM$42:$BM$42</f>
        <v>0</v>
      </c>
      <c r="G45" s="4">
        <f>'C2 lossyG,lossyA,interRA'!$BN$42:$BN$42</f>
        <v>0</v>
      </c>
      <c r="H45" s="4">
        <f>'C2 lossyG,lossyA,interRA'!$BP$42:$BP$42</f>
        <v>0</v>
      </c>
      <c r="I45" s="4">
        <f>'C2 lossyG,lossyA,interRA'!$BQ$42:$BQ$42</f>
        <v>0</v>
      </c>
      <c r="J45" s="4">
        <f>'C2 lossyG,lossyA,interRA'!$BR$42:$BR$42</f>
        <v>0</v>
      </c>
      <c r="K45" s="4">
        <f>'C2 lossyG,lossyA,interRA'!$BS$42:$BS$42</f>
        <v>0</v>
      </c>
      <c r="L45" s="4">
        <f>'C2 lossyG,lossyA,interRA'!$BT$42:$BT$42</f>
        <v>0</v>
      </c>
    </row>
    <row r="46" spans="2:12" x14ac:dyDescent="0.25">
      <c r="B46" s="5" t="s">
        <v>19</v>
      </c>
      <c r="C46" s="6">
        <f>'C2 lossyG,lossyA,interRA'!$BJ$43:$BJ$43</f>
        <v>0</v>
      </c>
      <c r="D46" s="6">
        <f>'C2 lossyG,lossyA,interRA'!$BK$43:$BK$43</f>
        <v>0</v>
      </c>
      <c r="E46" s="6">
        <f>'C2 lossyG,lossyA,interRA'!$BL$43:$BL$43</f>
        <v>0</v>
      </c>
      <c r="F46" s="6">
        <f>'C2 lossyG,lossyA,interRA'!$BM$43:$BM$43</f>
        <v>0</v>
      </c>
      <c r="G46" s="6">
        <f>'C2 lossyG,lossyA,interRA'!$BN$43:$BN$43</f>
        <v>0</v>
      </c>
      <c r="H46" s="6">
        <f>'C2 lossyG,lossyA,interRA'!$BP$43:$BP$43</f>
        <v>0</v>
      </c>
      <c r="I46" s="6">
        <f>'C2 lossyG,lossyA,interRA'!$BQ$43:$BQ$43</f>
        <v>0</v>
      </c>
      <c r="J46" s="6">
        <f>'C2 lossyG,lossyA,interRA'!$BR$43:$BR$43</f>
        <v>0</v>
      </c>
      <c r="K46" s="6">
        <f>'C2 lossyG,lossyA,interRA'!$BS$43:$BS$43</f>
        <v>0</v>
      </c>
      <c r="L46" s="6">
        <f>'C2 lossyG,lossyA,interRA'!$BT$43:$BT$43</f>
        <v>0</v>
      </c>
    </row>
    <row r="47" spans="2:12" x14ac:dyDescent="0.25">
      <c r="B47" t="s">
        <v>20</v>
      </c>
      <c r="C47" s="69">
        <f>'C2 lossyG,lossyA,interRA'!AZ47</f>
        <v>0.99078366896116377</v>
      </c>
      <c r="D47" s="61"/>
      <c r="E47" s="61"/>
      <c r="F47" s="61"/>
      <c r="G47" s="61"/>
      <c r="H47" s="61"/>
      <c r="I47" s="61"/>
      <c r="J47" s="61"/>
      <c r="K47" s="61"/>
      <c r="L47" s="61"/>
    </row>
    <row r="48" spans="2:12" x14ac:dyDescent="0.25">
      <c r="B48" s="54" t="s">
        <v>21</v>
      </c>
      <c r="C48" s="70">
        <f>'C2 lossyG,lossyA,interRA'!BB47</f>
        <v>1.0091816285439275</v>
      </c>
      <c r="D48" s="64"/>
      <c r="E48" s="64"/>
      <c r="F48" s="64"/>
      <c r="G48" s="64"/>
      <c r="H48" s="64"/>
      <c r="I48" s="64"/>
      <c r="J48" s="64"/>
      <c r="K48" s="64"/>
      <c r="L48" s="64"/>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34</v>
      </c>
      <c r="B1" s="7" t="str">
        <f>M1</f>
        <v>C2 lossyG,lossyA,intra</v>
      </c>
      <c r="C1" t="s">
        <v>35</v>
      </c>
      <c r="I1" t="s">
        <v>36</v>
      </c>
      <c r="M1" t="s">
        <v>37</v>
      </c>
      <c r="N1" t="s">
        <v>38</v>
      </c>
      <c r="O1" t="s">
        <v>39</v>
      </c>
      <c r="P1" t="s">
        <v>40</v>
      </c>
    </row>
    <row r="2" spans="1:16" x14ac:dyDescent="0.25">
      <c r="A2" t="s">
        <v>41</v>
      </c>
      <c r="B2" s="7" t="str">
        <f>HLOOKUP(B1,M1:ZZ3,3,0)</f>
        <v>8ivfbv2_loot_vox10</v>
      </c>
      <c r="C2" t="s">
        <v>42</v>
      </c>
      <c r="I2" t="s">
        <v>43</v>
      </c>
      <c r="J2" t="s">
        <v>44</v>
      </c>
      <c r="M2" t="s">
        <v>45</v>
      </c>
      <c r="N2" t="s">
        <v>46</v>
      </c>
      <c r="O2" t="s">
        <v>47</v>
      </c>
      <c r="P2" t="s">
        <v>48</v>
      </c>
    </row>
    <row r="3" spans="1:16" x14ac:dyDescent="0.25">
      <c r="I3" t="s">
        <v>49</v>
      </c>
      <c r="J3" t="s">
        <v>50</v>
      </c>
      <c r="M3" t="s">
        <v>51</v>
      </c>
      <c r="N3" t="s">
        <v>51</v>
      </c>
      <c r="O3" t="s">
        <v>51</v>
      </c>
      <c r="P3" t="s">
        <v>51</v>
      </c>
    </row>
    <row r="4" spans="1:16" x14ac:dyDescent="0.25">
      <c r="A4" t="s">
        <v>52</v>
      </c>
      <c r="B4" s="7" t="s">
        <v>53</v>
      </c>
      <c r="C4" t="s">
        <v>54</v>
      </c>
      <c r="D4" s="7" t="s">
        <v>55</v>
      </c>
      <c r="E4" t="s">
        <v>56</v>
      </c>
      <c r="I4" t="s">
        <v>57</v>
      </c>
      <c r="J4" t="s">
        <v>58</v>
      </c>
      <c r="M4" t="s">
        <v>59</v>
      </c>
      <c r="N4" t="s">
        <v>59</v>
      </c>
      <c r="O4" t="s">
        <v>59</v>
      </c>
      <c r="P4" t="s">
        <v>59</v>
      </c>
    </row>
    <row r="5" spans="1:16" x14ac:dyDescent="0.25">
      <c r="A5" t="s">
        <v>52</v>
      </c>
      <c r="B5" s="7" t="s">
        <v>53</v>
      </c>
      <c r="C5" t="s">
        <v>54</v>
      </c>
      <c r="D5" s="7" t="s">
        <v>60</v>
      </c>
      <c r="E5" t="s">
        <v>61</v>
      </c>
      <c r="I5" t="s">
        <v>62</v>
      </c>
      <c r="J5" t="s">
        <v>63</v>
      </c>
      <c r="M5" t="s">
        <v>64</v>
      </c>
      <c r="N5" t="s">
        <v>64</v>
      </c>
      <c r="O5" t="s">
        <v>64</v>
      </c>
      <c r="P5" t="s">
        <v>64</v>
      </c>
    </row>
    <row r="6" spans="1:16" x14ac:dyDescent="0.25">
      <c r="A6" t="s">
        <v>52</v>
      </c>
      <c r="B6" s="7" t="s">
        <v>65</v>
      </c>
      <c r="C6" t="s">
        <v>54</v>
      </c>
      <c r="D6" s="7" t="s">
        <v>66</v>
      </c>
      <c r="E6" t="s">
        <v>67</v>
      </c>
      <c r="I6" t="s">
        <v>68</v>
      </c>
      <c r="J6" t="s">
        <v>69</v>
      </c>
      <c r="M6" t="s">
        <v>70</v>
      </c>
      <c r="N6" t="s">
        <v>70</v>
      </c>
      <c r="O6" t="s">
        <v>70</v>
      </c>
      <c r="P6" t="s">
        <v>70</v>
      </c>
    </row>
    <row r="7" spans="1:16" x14ac:dyDescent="0.25">
      <c r="A7" t="s">
        <v>52</v>
      </c>
      <c r="B7" s="7" t="s">
        <v>65</v>
      </c>
      <c r="C7" t="s">
        <v>54</v>
      </c>
      <c r="D7" s="7" t="s">
        <v>49</v>
      </c>
      <c r="E7" t="s">
        <v>71</v>
      </c>
      <c r="I7" t="s">
        <v>55</v>
      </c>
      <c r="J7" t="s">
        <v>72</v>
      </c>
      <c r="M7" t="s">
        <v>73</v>
      </c>
      <c r="N7" t="s">
        <v>73</v>
      </c>
      <c r="O7" t="s">
        <v>73</v>
      </c>
      <c r="P7" t="s">
        <v>73</v>
      </c>
    </row>
    <row r="8" spans="1:16" x14ac:dyDescent="0.25">
      <c r="A8" t="s">
        <v>52</v>
      </c>
      <c r="B8" s="7" t="s">
        <v>65</v>
      </c>
      <c r="C8" t="s">
        <v>54</v>
      </c>
      <c r="D8" s="7" t="s">
        <v>62</v>
      </c>
      <c r="E8" t="s">
        <v>74</v>
      </c>
      <c r="I8" t="s">
        <v>75</v>
      </c>
      <c r="J8" t="s">
        <v>76</v>
      </c>
      <c r="M8" t="s">
        <v>77</v>
      </c>
      <c r="N8" t="s">
        <v>77</v>
      </c>
      <c r="O8" t="s">
        <v>77</v>
      </c>
      <c r="P8" t="s">
        <v>77</v>
      </c>
    </row>
    <row r="9" spans="1:16" x14ac:dyDescent="0.25">
      <c r="A9" t="s">
        <v>52</v>
      </c>
      <c r="B9" s="7" t="s">
        <v>78</v>
      </c>
      <c r="C9" t="s">
        <v>54</v>
      </c>
      <c r="D9" s="7" t="s">
        <v>79</v>
      </c>
      <c r="E9" t="s">
        <v>80</v>
      </c>
      <c r="I9" t="s">
        <v>60</v>
      </c>
      <c r="J9" t="s">
        <v>81</v>
      </c>
      <c r="M9" t="s">
        <v>82</v>
      </c>
      <c r="N9" t="s">
        <v>82</v>
      </c>
      <c r="O9" t="s">
        <v>82</v>
      </c>
      <c r="P9" t="s">
        <v>82</v>
      </c>
    </row>
    <row r="10" spans="1:16" x14ac:dyDescent="0.25">
      <c r="I10" t="s">
        <v>83</v>
      </c>
      <c r="J10" t="s">
        <v>84</v>
      </c>
    </row>
    <row r="11" spans="1:16" x14ac:dyDescent="0.25">
      <c r="I11" t="s">
        <v>85</v>
      </c>
      <c r="J11" t="s">
        <v>86</v>
      </c>
    </row>
    <row r="12" spans="1:16" x14ac:dyDescent="0.25">
      <c r="I12" t="s">
        <v>87</v>
      </c>
      <c r="J12" t="s">
        <v>88</v>
      </c>
    </row>
    <row r="13" spans="1:16" x14ac:dyDescent="0.25">
      <c r="I13" t="s">
        <v>89</v>
      </c>
      <c r="J13" t="s">
        <v>90</v>
      </c>
    </row>
    <row r="14" spans="1:16" x14ac:dyDescent="0.25">
      <c r="I14" t="s">
        <v>91</v>
      </c>
      <c r="J14" t="s">
        <v>92</v>
      </c>
    </row>
    <row r="15" spans="1:16" x14ac:dyDescent="0.25">
      <c r="I15" t="s">
        <v>93</v>
      </c>
      <c r="J15" t="s">
        <v>94</v>
      </c>
    </row>
    <row r="16" spans="1:16" x14ac:dyDescent="0.25">
      <c r="I16" t="s">
        <v>95</v>
      </c>
      <c r="J16" t="s">
        <v>96</v>
      </c>
    </row>
    <row r="17" spans="9:10" x14ac:dyDescent="0.25">
      <c r="I17" t="s">
        <v>79</v>
      </c>
      <c r="J17" t="s">
        <v>97</v>
      </c>
    </row>
    <row r="18" spans="9:10" x14ac:dyDescent="0.25">
      <c r="I18" t="s">
        <v>98</v>
      </c>
      <c r="J18" t="s">
        <v>99</v>
      </c>
    </row>
    <row r="19" spans="9:10" x14ac:dyDescent="0.25">
      <c r="I19" t="s">
        <v>100</v>
      </c>
      <c r="J19" t="s">
        <v>101</v>
      </c>
    </row>
    <row r="20" spans="9:10" x14ac:dyDescent="0.25">
      <c r="I20" t="s">
        <v>102</v>
      </c>
      <c r="J20" t="s">
        <v>103</v>
      </c>
    </row>
    <row r="21" spans="9:10" x14ac:dyDescent="0.25">
      <c r="I21" t="s">
        <v>104</v>
      </c>
      <c r="J21" t="s">
        <v>105</v>
      </c>
    </row>
    <row r="22" spans="9:10" x14ac:dyDescent="0.25">
      <c r="I22" t="s">
        <v>66</v>
      </c>
      <c r="J22" t="s">
        <v>106</v>
      </c>
    </row>
    <row r="23" spans="9:10" x14ac:dyDescent="0.25">
      <c r="I23" t="s">
        <v>107</v>
      </c>
      <c r="J23" t="s">
        <v>108</v>
      </c>
    </row>
    <row r="24" spans="9:10" x14ac:dyDescent="0.25">
      <c r="I24" t="s">
        <v>109</v>
      </c>
      <c r="J24" t="s">
        <v>110</v>
      </c>
    </row>
    <row r="25" spans="9:10" x14ac:dyDescent="0.25">
      <c r="I25" t="s">
        <v>111</v>
      </c>
      <c r="J25" t="s">
        <v>112</v>
      </c>
    </row>
    <row r="26" spans="9:10" x14ac:dyDescent="0.25">
      <c r="I26" t="s">
        <v>113</v>
      </c>
      <c r="J26" t="s">
        <v>114</v>
      </c>
    </row>
    <row r="27" spans="9:10" x14ac:dyDescent="0.25">
      <c r="I27" t="s">
        <v>115</v>
      </c>
      <c r="J27" t="s">
        <v>116</v>
      </c>
    </row>
    <row r="28" spans="9:10" x14ac:dyDescent="0.25">
      <c r="I28" t="s">
        <v>117</v>
      </c>
      <c r="J28" t="s">
        <v>118</v>
      </c>
    </row>
    <row r="29" spans="9:10" x14ac:dyDescent="0.25">
      <c r="I29" t="s">
        <v>119</v>
      </c>
      <c r="J29" t="s">
        <v>120</v>
      </c>
    </row>
    <row r="30" spans="9:10" x14ac:dyDescent="0.25">
      <c r="I30" t="s">
        <v>121</v>
      </c>
      <c r="J30" t="s">
        <v>122</v>
      </c>
    </row>
    <row r="31" spans="9:10" x14ac:dyDescent="0.25">
      <c r="I31" t="s">
        <v>123</v>
      </c>
      <c r="J31" t="s">
        <v>124</v>
      </c>
    </row>
    <row r="32" spans="9:10" x14ac:dyDescent="0.25">
      <c r="I32" t="s">
        <v>125</v>
      </c>
      <c r="J32" t="s">
        <v>126</v>
      </c>
    </row>
    <row r="33" spans="9:10" x14ac:dyDescent="0.25">
      <c r="I33" t="s">
        <v>127</v>
      </c>
      <c r="J33" t="s">
        <v>128</v>
      </c>
    </row>
    <row r="34" spans="9:10" x14ac:dyDescent="0.25">
      <c r="I34" t="s">
        <v>129</v>
      </c>
      <c r="J34" t="s">
        <v>130</v>
      </c>
    </row>
    <row r="35" spans="9:10" x14ac:dyDescent="0.25">
      <c r="I35" t="s">
        <v>65</v>
      </c>
      <c r="J35" t="s">
        <v>131</v>
      </c>
    </row>
    <row r="36" spans="9:10" x14ac:dyDescent="0.25">
      <c r="I36" t="s">
        <v>53</v>
      </c>
      <c r="J36" t="s">
        <v>132</v>
      </c>
    </row>
    <row r="37" spans="9:10" x14ac:dyDescent="0.25">
      <c r="I37" t="s">
        <v>133</v>
      </c>
      <c r="J37" t="s">
        <v>134</v>
      </c>
    </row>
    <row r="38" spans="9:10" x14ac:dyDescent="0.25">
      <c r="I38" t="s">
        <v>78</v>
      </c>
      <c r="J38" t="s">
        <v>135</v>
      </c>
    </row>
    <row r="39" spans="9:10" x14ac:dyDescent="0.25">
      <c r="I39" t="s">
        <v>136</v>
      </c>
      <c r="J39" t="s">
        <v>137</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85" zoomScaleNormal="85" workbookViewId="0">
      <pane xSplit="2" ySplit="4" topLeftCell="AS5" activePane="bottomRight" state="frozen"/>
      <selection pane="topRight" activeCell="C1" sqref="C1"/>
      <selection pane="bottomLeft" activeCell="A5" sqref="A5"/>
      <selection pane="bottomRight" activeCell="CA60" sqref="CA60"/>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 min="78" max="78" width="9.5703125" style="53" customWidth="1"/>
    <col min="79" max="79" width="10.28515625" style="53" customWidth="1"/>
  </cols>
  <sheetData>
    <row r="1" spans="1:88" x14ac:dyDescent="0.25">
      <c r="A1" s="75" t="s">
        <v>138</v>
      </c>
      <c r="B1" s="61"/>
      <c r="C1" s="61"/>
      <c r="D1" s="61"/>
      <c r="E1" s="61"/>
      <c r="F1" s="61"/>
      <c r="G1" s="61"/>
      <c r="I1" s="60" t="str">
        <f>Summary!C1</f>
        <v>R7.0 RC8.0</v>
      </c>
      <c r="J1" s="61"/>
      <c r="K1" s="61"/>
      <c r="L1" s="61"/>
      <c r="M1" s="61"/>
      <c r="N1" s="61"/>
      <c r="O1" s="61"/>
      <c r="P1" s="61"/>
      <c r="Q1" s="61"/>
      <c r="R1" s="61"/>
      <c r="S1" s="61"/>
      <c r="T1" s="61"/>
      <c r="U1" s="61"/>
      <c r="V1" s="61"/>
      <c r="W1" s="61"/>
      <c r="X1" s="61"/>
      <c r="Y1" s="61"/>
      <c r="Z1" s="61"/>
      <c r="AA1" s="61"/>
      <c r="AB1" s="61"/>
      <c r="AC1" s="61"/>
      <c r="AD1" s="61"/>
      <c r="AE1" s="61"/>
      <c r="AG1" s="62" t="str">
        <f>Summary!C2</f>
        <v>R7.0 RC 9.0</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
      <c r="A2" s="71" t="s">
        <v>139</v>
      </c>
      <c r="B2" s="72" t="s">
        <v>140</v>
      </c>
      <c r="C2" s="71" t="s">
        <v>141</v>
      </c>
      <c r="D2" s="72" t="s">
        <v>142</v>
      </c>
      <c r="E2" s="71" t="s">
        <v>143</v>
      </c>
      <c r="F2" s="72" t="s">
        <v>144</v>
      </c>
      <c r="G2" s="71" t="s">
        <v>145</v>
      </c>
      <c r="I2" s="72" t="s">
        <v>146</v>
      </c>
      <c r="J2" s="73" t="s">
        <v>147</v>
      </c>
      <c r="K2" s="61"/>
      <c r="L2" s="61"/>
      <c r="M2" s="61"/>
      <c r="N2" s="71" t="s">
        <v>148</v>
      </c>
      <c r="O2" s="72" t="s">
        <v>149</v>
      </c>
      <c r="P2" s="71" t="s">
        <v>86</v>
      </c>
      <c r="Q2" s="72" t="s">
        <v>88</v>
      </c>
      <c r="R2" s="71" t="s">
        <v>84</v>
      </c>
      <c r="S2" s="74" t="s">
        <v>150</v>
      </c>
      <c r="T2" s="61"/>
      <c r="U2" s="61"/>
      <c r="V2" s="61"/>
      <c r="W2" s="73" t="s">
        <v>151</v>
      </c>
      <c r="X2" s="61"/>
      <c r="Y2" s="74" t="s">
        <v>152</v>
      </c>
      <c r="Z2" s="61"/>
      <c r="AA2" s="61"/>
      <c r="AB2" s="73" t="s">
        <v>153</v>
      </c>
      <c r="AC2" s="61"/>
      <c r="AD2" s="74" t="s">
        <v>154</v>
      </c>
      <c r="AE2" s="61"/>
      <c r="AG2" s="71" t="s">
        <v>146</v>
      </c>
      <c r="AH2" s="74" t="s">
        <v>147</v>
      </c>
      <c r="AI2" s="61"/>
      <c r="AJ2" s="61"/>
      <c r="AK2" s="61"/>
      <c r="AL2" s="72" t="s">
        <v>155</v>
      </c>
      <c r="AM2" s="71" t="s">
        <v>149</v>
      </c>
      <c r="AN2" s="72" t="s">
        <v>86</v>
      </c>
      <c r="AO2" s="71" t="s">
        <v>88</v>
      </c>
      <c r="AP2" s="72" t="s">
        <v>84</v>
      </c>
      <c r="AQ2" s="73" t="s">
        <v>150</v>
      </c>
      <c r="AR2" s="61"/>
      <c r="AS2" s="61"/>
      <c r="AT2" s="61"/>
      <c r="AU2" s="74" t="s">
        <v>151</v>
      </c>
      <c r="AV2" s="61"/>
      <c r="AW2" s="73" t="s">
        <v>152</v>
      </c>
      <c r="AX2" s="61"/>
      <c r="AY2" s="61"/>
      <c r="AZ2" s="74" t="s">
        <v>153</v>
      </c>
      <c r="BA2" s="61"/>
      <c r="BB2" s="73" t="s">
        <v>154</v>
      </c>
      <c r="BC2" s="61"/>
      <c r="BE2" s="72" t="s">
        <v>156</v>
      </c>
      <c r="BF2" s="71" t="s">
        <v>157</v>
      </c>
      <c r="BG2" s="72" t="s">
        <v>158</v>
      </c>
      <c r="BH2" s="71" t="s">
        <v>158</v>
      </c>
      <c r="BJ2" s="74" t="s">
        <v>7</v>
      </c>
      <c r="BK2" s="61"/>
      <c r="BL2" s="73" t="s">
        <v>8</v>
      </c>
      <c r="BM2" s="61"/>
      <c r="BN2" s="61"/>
      <c r="BP2" s="74" t="s">
        <v>9</v>
      </c>
      <c r="BQ2" s="61"/>
      <c r="BR2" s="73" t="s">
        <v>10</v>
      </c>
      <c r="BS2" s="61"/>
      <c r="BT2" s="61"/>
      <c r="BV2" s="77" t="s">
        <v>159</v>
      </c>
      <c r="BW2" s="78" t="s">
        <v>160</v>
      </c>
      <c r="BX2" s="77" t="s">
        <v>161</v>
      </c>
      <c r="BY2" s="76" t="s">
        <v>162</v>
      </c>
      <c r="BZ2" s="61"/>
      <c r="CA2" s="61"/>
      <c r="CB2" s="61"/>
      <c r="CC2" s="79" t="s">
        <v>163</v>
      </c>
      <c r="CD2" s="61"/>
      <c r="CE2" s="76" t="s">
        <v>164</v>
      </c>
      <c r="CF2" s="61"/>
      <c r="CG2" s="61"/>
    </row>
    <row r="3" spans="1:88" ht="30.75" customHeight="1" thickBot="1" x14ac:dyDescent="0.3">
      <c r="A3" s="64"/>
      <c r="B3" s="64"/>
      <c r="C3" s="64"/>
      <c r="D3" s="64"/>
      <c r="E3" s="64"/>
      <c r="F3" s="64"/>
      <c r="G3" s="64"/>
      <c r="I3" s="64"/>
      <c r="J3" s="56" t="s">
        <v>27</v>
      </c>
      <c r="K3" s="56" t="s">
        <v>25</v>
      </c>
      <c r="L3" s="56" t="s">
        <v>165</v>
      </c>
      <c r="M3" s="56" t="s">
        <v>166</v>
      </c>
      <c r="N3" s="64"/>
      <c r="O3" s="64"/>
      <c r="P3" s="64"/>
      <c r="Q3" s="64"/>
      <c r="R3" s="64"/>
      <c r="S3" s="57" t="s">
        <v>27</v>
      </c>
      <c r="T3" s="57" t="s">
        <v>165</v>
      </c>
      <c r="U3" s="57" t="s">
        <v>167</v>
      </c>
      <c r="V3" s="57" t="s">
        <v>26</v>
      </c>
      <c r="W3" s="56" t="s">
        <v>11</v>
      </c>
      <c r="X3" s="56" t="s">
        <v>12</v>
      </c>
      <c r="Y3" s="57" t="s">
        <v>13</v>
      </c>
      <c r="Z3" s="57" t="s">
        <v>14</v>
      </c>
      <c r="AA3" s="57" t="s">
        <v>15</v>
      </c>
      <c r="AB3" s="56" t="s">
        <v>168</v>
      </c>
      <c r="AC3" s="56" t="s">
        <v>169</v>
      </c>
      <c r="AD3" s="57" t="s">
        <v>168</v>
      </c>
      <c r="AE3" s="57" t="s">
        <v>169</v>
      </c>
      <c r="AG3" s="64"/>
      <c r="AH3" s="57" t="s">
        <v>27</v>
      </c>
      <c r="AI3" s="57" t="s">
        <v>25</v>
      </c>
      <c r="AJ3" s="57" t="s">
        <v>165</v>
      </c>
      <c r="AK3" s="57" t="s">
        <v>166</v>
      </c>
      <c r="AL3" s="64"/>
      <c r="AM3" s="64"/>
      <c r="AN3" s="64"/>
      <c r="AO3" s="64"/>
      <c r="AP3" s="64"/>
      <c r="AQ3" s="56" t="s">
        <v>27</v>
      </c>
      <c r="AR3" s="56" t="s">
        <v>165</v>
      </c>
      <c r="AS3" s="56" t="s">
        <v>167</v>
      </c>
      <c r="AT3" s="56" t="s">
        <v>26</v>
      </c>
      <c r="AU3" s="57" t="s">
        <v>11</v>
      </c>
      <c r="AV3" s="57" t="s">
        <v>12</v>
      </c>
      <c r="AW3" s="56" t="s">
        <v>13</v>
      </c>
      <c r="AX3" s="56" t="s">
        <v>14</v>
      </c>
      <c r="AY3" s="56" t="s">
        <v>15</v>
      </c>
      <c r="AZ3" s="57" t="s">
        <v>168</v>
      </c>
      <c r="BA3" s="57" t="s">
        <v>169</v>
      </c>
      <c r="BB3" s="56" t="s">
        <v>168</v>
      </c>
      <c r="BC3" s="56" t="s">
        <v>169</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59" t="s">
        <v>27</v>
      </c>
      <c r="BZ3" s="59" t="s">
        <v>165</v>
      </c>
      <c r="CA3" s="59" t="s">
        <v>167</v>
      </c>
      <c r="CB3" s="59" t="s">
        <v>26</v>
      </c>
      <c r="CC3" s="58" t="s">
        <v>11</v>
      </c>
      <c r="CD3" s="58" t="s">
        <v>12</v>
      </c>
      <c r="CE3" s="59" t="s">
        <v>13</v>
      </c>
      <c r="CF3" s="59" t="s">
        <v>14</v>
      </c>
      <c r="CG3" s="59" t="s">
        <v>15</v>
      </c>
    </row>
    <row r="4" spans="1:88" ht="122.25" hidden="1" customHeight="1" thickBot="1" x14ac:dyDescent="0.3">
      <c r="A4" s="8" t="s">
        <v>170</v>
      </c>
      <c r="B4" s="9" t="s">
        <v>171</v>
      </c>
      <c r="C4" s="8" t="s">
        <v>172</v>
      </c>
      <c r="D4" s="9" t="s">
        <v>173</v>
      </c>
      <c r="E4" s="8" t="s">
        <v>174</v>
      </c>
      <c r="F4" s="9" t="s">
        <v>175</v>
      </c>
      <c r="G4" s="8" t="s">
        <v>176</v>
      </c>
      <c r="I4" s="9" t="s">
        <v>177</v>
      </c>
      <c r="J4" s="8" t="s">
        <v>178</v>
      </c>
      <c r="K4" s="8" t="s">
        <v>179</v>
      </c>
      <c r="L4" s="8" t="s">
        <v>180</v>
      </c>
      <c r="M4" s="8" t="s">
        <v>181</v>
      </c>
      <c r="N4" s="8" t="s">
        <v>182</v>
      </c>
      <c r="O4" s="9" t="s">
        <v>183</v>
      </c>
      <c r="P4" s="8" t="s">
        <v>184</v>
      </c>
      <c r="Q4" s="9" t="s">
        <v>185</v>
      </c>
      <c r="R4" s="8" t="s">
        <v>186</v>
      </c>
      <c r="S4" s="9" t="s">
        <v>187</v>
      </c>
      <c r="T4" s="9" t="s">
        <v>188</v>
      </c>
      <c r="U4" s="9" t="s">
        <v>189</v>
      </c>
      <c r="V4" s="9" t="s">
        <v>190</v>
      </c>
      <c r="W4" s="8" t="s">
        <v>191</v>
      </c>
      <c r="X4" s="8" t="s">
        <v>192</v>
      </c>
      <c r="Y4" s="9" t="s">
        <v>193</v>
      </c>
      <c r="Z4" s="9" t="s">
        <v>194</v>
      </c>
      <c r="AA4" s="9" t="s">
        <v>195</v>
      </c>
      <c r="AB4" s="8" t="s">
        <v>196</v>
      </c>
      <c r="AC4" s="8" t="s">
        <v>197</v>
      </c>
      <c r="AD4" s="9" t="s">
        <v>198</v>
      </c>
      <c r="AE4" s="9" t="s">
        <v>199</v>
      </c>
      <c r="AG4" s="8" t="s">
        <v>200</v>
      </c>
      <c r="AH4" s="9" t="s">
        <v>201</v>
      </c>
      <c r="AI4" s="9" t="s">
        <v>202</v>
      </c>
      <c r="AJ4" s="9" t="s">
        <v>203</v>
      </c>
      <c r="AK4" s="9" t="s">
        <v>204</v>
      </c>
      <c r="AL4" s="9" t="s">
        <v>205</v>
      </c>
      <c r="AM4" s="8" t="s">
        <v>206</v>
      </c>
      <c r="AN4" s="9" t="s">
        <v>207</v>
      </c>
      <c r="AO4" s="8" t="s">
        <v>208</v>
      </c>
      <c r="AP4" s="9" t="s">
        <v>209</v>
      </c>
      <c r="AQ4" s="8" t="s">
        <v>210</v>
      </c>
      <c r="AR4" s="8" t="s">
        <v>211</v>
      </c>
      <c r="AS4" s="8" t="s">
        <v>212</v>
      </c>
      <c r="AT4" s="8" t="s">
        <v>213</v>
      </c>
      <c r="AU4" s="9" t="s">
        <v>214</v>
      </c>
      <c r="AV4" s="9" t="s">
        <v>215</v>
      </c>
      <c r="AW4" s="8" t="s">
        <v>216</v>
      </c>
      <c r="AX4" s="8" t="s">
        <v>217</v>
      </c>
      <c r="AY4" s="8" t="s">
        <v>218</v>
      </c>
      <c r="AZ4" s="9" t="s">
        <v>219</v>
      </c>
      <c r="BA4" s="9" t="s">
        <v>220</v>
      </c>
      <c r="BB4" s="8" t="s">
        <v>221</v>
      </c>
      <c r="BC4" s="8" t="s">
        <v>222</v>
      </c>
      <c r="BE4" s="9" t="s">
        <v>223</v>
      </c>
      <c r="BF4" s="8" t="s">
        <v>224</v>
      </c>
      <c r="BG4" s="9" t="s">
        <v>225</v>
      </c>
      <c r="BH4" s="8" t="s">
        <v>226</v>
      </c>
      <c r="BJ4" s="9" t="s">
        <v>227</v>
      </c>
      <c r="BK4" s="9" t="s">
        <v>228</v>
      </c>
      <c r="BL4" s="8" t="s">
        <v>229</v>
      </c>
      <c r="BM4" s="8" t="s">
        <v>230</v>
      </c>
      <c r="BN4" s="8" t="s">
        <v>231</v>
      </c>
      <c r="BP4" s="9" t="s">
        <v>232</v>
      </c>
      <c r="BQ4" s="9" t="s">
        <v>233</v>
      </c>
      <c r="BR4" s="8" t="s">
        <v>234</v>
      </c>
      <c r="BS4" s="8" t="s">
        <v>235</v>
      </c>
      <c r="BT4" s="8" t="s">
        <v>236</v>
      </c>
    </row>
    <row r="5" spans="1:88" x14ac:dyDescent="0.25">
      <c r="A5" s="10" t="s">
        <v>237</v>
      </c>
      <c r="B5" s="10" t="s">
        <v>51</v>
      </c>
      <c r="C5" s="11" t="s">
        <v>238</v>
      </c>
      <c r="D5" s="10">
        <v>24964341</v>
      </c>
      <c r="E5" s="11">
        <v>10</v>
      </c>
      <c r="F5" s="11">
        <v>32</v>
      </c>
      <c r="G5" s="11">
        <v>30</v>
      </c>
      <c r="I5" s="12">
        <f t="shared" ref="I5:I39" si="0">IF(OR(ISBLANK(S5),ISBLANK(G5)),"·",S5*G5/F5/1000000)</f>
        <v>2.1945899999999998</v>
      </c>
      <c r="J5" s="13">
        <f t="shared" ref="J5:J39" si="1">IF(ISBLANK(S5),"·",S5/D5)</f>
        <v>9.3769589191238817E-2</v>
      </c>
      <c r="K5" s="13">
        <f t="shared" ref="K5:K39" si="2">IF(N5="","·",N5/D5)</f>
        <v>5.9250592675368439E-2</v>
      </c>
      <c r="L5" s="13">
        <f t="shared" ref="L5:L39" si="3">IF(T5="","·",T5/D5)</f>
        <v>3.3647673695852816E-2</v>
      </c>
      <c r="M5" s="13">
        <f t="shared" ref="M5:M39" si="4">IF(ISBLANK(V5),"·",V5/D5)</f>
        <v>3.4518996515870377E-2</v>
      </c>
      <c r="N5" s="10">
        <f t="shared" ref="N5:N39" si="5">IF(OR(ISBLANK(T5),ISBLANK(U5)),"",T5+U5)</f>
        <v>1479152</v>
      </c>
      <c r="O5" s="13">
        <f t="shared" ref="O5:O39" si="6">IF(ISBLANK(S5),"·",S5/P5)</f>
        <v>0.10745034882521623</v>
      </c>
      <c r="P5" s="14">
        <v>21785839</v>
      </c>
      <c r="Q5" s="14">
        <v>680807.46875</v>
      </c>
      <c r="R5" s="14">
        <v>13343.375</v>
      </c>
      <c r="S5" s="15">
        <v>2340896</v>
      </c>
      <c r="T5" s="15">
        <v>839992</v>
      </c>
      <c r="U5" s="15">
        <v>639160</v>
      </c>
      <c r="V5" s="15">
        <v>861744</v>
      </c>
      <c r="W5" s="16">
        <v>66.354737499999999</v>
      </c>
      <c r="X5" s="16">
        <v>68.471134375000005</v>
      </c>
      <c r="Y5" s="16">
        <v>32.137684375000013</v>
      </c>
      <c r="Z5" s="16">
        <v>44.149306250000002</v>
      </c>
      <c r="AA5" s="16">
        <v>43.778965624999991</v>
      </c>
      <c r="AB5" s="17">
        <v>3122.32</v>
      </c>
      <c r="AC5" s="17">
        <v>1572.58</v>
      </c>
      <c r="AD5" s="17">
        <v>11.448</v>
      </c>
      <c r="AE5" s="17">
        <v>8.7200000000000006</v>
      </c>
      <c r="AG5" s="12">
        <f t="shared" ref="AG5:AG39" si="7">IF(OR(ISBLANK(AQ5),ISBLANK(G5)),"·",AQ5*G5/F5/1000000)</f>
        <v>2.1945899999999998</v>
      </c>
      <c r="AH5" s="13">
        <f t="shared" ref="AH5:AH39" si="8">IF(ISBLANK(AQ5),"·",AQ5/D5)</f>
        <v>9.3769589191238817E-2</v>
      </c>
      <c r="AI5" s="13">
        <f t="shared" ref="AI5:AI39" si="9">IF(AL5="","·",AL5/D5)</f>
        <v>5.9250592675368439E-2</v>
      </c>
      <c r="AJ5" s="13">
        <f t="shared" ref="AJ5:AJ39" si="10">IF(AR5="","·",AR5/D5)</f>
        <v>3.3647673695852816E-2</v>
      </c>
      <c r="AK5" s="13">
        <f t="shared" ref="AK5:AK39" si="11">IF(ISBLANK(AT5),"·",AT5/D5)</f>
        <v>3.4518996515870377E-2</v>
      </c>
      <c r="AL5" s="10">
        <f t="shared" ref="AL5:AL39" si="12">IF(OR(ISBLANK(AR5),ISBLANK(AS5)),"",AR5+AS5)</f>
        <v>1479152</v>
      </c>
      <c r="AM5" s="13">
        <f t="shared" ref="AM5:AM39" si="13">IF(ISBLANK(AQ5),"·",AQ5/AN5)</f>
        <v>0.10745034882521623</v>
      </c>
      <c r="AN5" s="14">
        <v>21785839</v>
      </c>
      <c r="AO5" s="14">
        <v>680807.46875</v>
      </c>
      <c r="AP5" s="14">
        <v>13343.375</v>
      </c>
      <c r="AQ5" s="15">
        <v>2340896</v>
      </c>
      <c r="AR5" s="15">
        <v>839992</v>
      </c>
      <c r="AS5" s="15">
        <v>639160</v>
      </c>
      <c r="AT5" s="15">
        <v>861744</v>
      </c>
      <c r="AU5" s="16">
        <v>66.354737499999999</v>
      </c>
      <c r="AV5" s="16">
        <v>68.471134375000005</v>
      </c>
      <c r="AW5" s="16">
        <v>32.137684375000013</v>
      </c>
      <c r="AX5" s="16">
        <v>44.149306250000002</v>
      </c>
      <c r="AY5" s="16">
        <v>43.778965624999991</v>
      </c>
      <c r="AZ5" s="17">
        <v>3347.02</v>
      </c>
      <c r="BA5" s="17">
        <v>1588.83</v>
      </c>
      <c r="BB5" s="17">
        <v>11.976000000000001</v>
      </c>
      <c r="BC5" s="17">
        <v>7.5960000000000001</v>
      </c>
      <c r="BE5" s="18">
        <f t="shared" ref="BE5:BE43" si="14">AI5/K5</f>
        <v>1</v>
      </c>
      <c r="BF5" s="19">
        <f t="shared" ref="BF5:BF39" si="15">(AP5/AO5) - (R5/Q5)</f>
        <v>0</v>
      </c>
      <c r="BG5" s="19">
        <f t="shared" ref="BG5:BG39" si="16">(AL5/AQ5) - (N5/S5)</f>
        <v>0</v>
      </c>
      <c r="BH5" s="19">
        <f t="array" ref="BH5">AVERAGE(AL5:AL9/AQ5:AQ9) - AVERAGE(N5:N9/S5:S9)</f>
        <v>0</v>
      </c>
      <c r="BJ5" s="18">
        <f>IF( OR(ISBLANK(N5:N9),ISBLANK(AL5:AL9), ISBLANK(W5:W9),ISBLANK(AU5:AU9)), "·", bdRateExtend( N5:N9,W5:W9, AL5:AL9,AU5:AU9))</f>
        <v>0</v>
      </c>
      <c r="BK5" s="18">
        <f>IF( OR(ISBLANK(N5:N9),ISBLANK(AL5:AL9), ISBLANK(X5:X9),ISBLANK(AV5:AV9)), "·", bdRateExtend( N5:N9,X5:X9, AL5:AL9,AV5:AV9))</f>
        <v>0</v>
      </c>
      <c r="BL5" s="18">
        <f>IF( OR(ISBLANK(V5:V9),ISBLANK(AT5:AT9), ISBLANK(Y5:Y9),ISBLANK(AW5:AW9)), "·", bdRateExtend( V5:V9,Y5:Y9, AT5:AT9,AW5:AW9))</f>
        <v>0</v>
      </c>
      <c r="BM5" s="18">
        <f>IF( OR(ISBLANK(V5:V9),ISBLANK(AT5:AT9), ISBLANK(Z5:Z9),ISBLANK(AX5:AX9)), "·", bdRateExtend( V5:V9,Z5:Z9, AT5:AT9,AX5:AX9))</f>
        <v>0</v>
      </c>
      <c r="BN5" s="18">
        <f>IF( OR(ISBLANK(V5:V9),ISBLANK(AT5:AT9), ISBLANK(AA5:AA9),ISBLANK(AY5:AY9)), "·", bdRateExtend( V5:V9,AA5:AA9, AT5:AT9,AY5:AY9))</f>
        <v>0</v>
      </c>
      <c r="BP5" s="18">
        <f>IF( OR(ISBLANK(S5:S9),ISBLANK(AQ5:AQ9), ISBLANK(W5:W9),ISBLANK(AU5:AU9)), "·", bdRateExtend( S5:S9,W5:W9, AQ5:AQ9,AU5:AU9))</f>
        <v>0</v>
      </c>
      <c r="BQ5" s="18">
        <f>IF( OR(ISBLANK(S5:S9),ISBLANK(AQ5:AQ9), ISBLANK(X5:X9),ISBLANK(AV5:AV9)), "·", bdRateExtend( S5:S9,X5:X9, AQ5:AQ9,AV5:AV9))</f>
        <v>0</v>
      </c>
      <c r="BR5" s="18">
        <f>IF( OR(ISBLANK(S5:S9),ISBLANK(AQ5:AQ9), ISBLANK(Y5:Y9),ISBLANK(AW5:AW9)), "·", bdRateExtend( S5:S9,Y5:Y9, AQ5:AQ9,AW5:AW9))</f>
        <v>0</v>
      </c>
      <c r="BS5" s="18">
        <f>IF( OR(ISBLANK(S5:S9),ISBLANK(AQ5:AQ9), ISBLANK(Z5:Z9),ISBLANK(AX5:AX9)), "·", bdRateExtend( S5:S9,Z5:Z9, AQ5:AQ9,AX5:AX9))</f>
        <v>0</v>
      </c>
      <c r="BT5" s="18">
        <f>IF( OR(ISBLANK(S5:S9),ISBLANK(AQ5:AQ9), ISBLANK(AA5:AA9),ISBLANK(AY5:AY9)), "·", bdRateExtend( S5:S9,AA5:AA9, AQ5:AQ9,AY5:AY9))</f>
        <v>0</v>
      </c>
      <c r="BV5">
        <f t="shared" ref="BV5:BV39" si="17">AN5-P5</f>
        <v>0</v>
      </c>
      <c r="BW5">
        <f t="shared" ref="BW5:BW39" si="18">AO5-Q5</f>
        <v>0</v>
      </c>
      <c r="BX5">
        <f t="shared" ref="BX5:BX39" si="19">AP5-R5</f>
        <v>0</v>
      </c>
      <c r="BY5">
        <f t="shared" ref="BY5:BY39" si="20">AQ5-S5</f>
        <v>0</v>
      </c>
      <c r="BZ5">
        <f t="shared" ref="BZ5:BZ39" si="21">AR5-T5</f>
        <v>0</v>
      </c>
      <c r="CA5">
        <f t="shared" ref="CA5:CA39" si="22">AS5-U5</f>
        <v>0</v>
      </c>
      <c r="CB5">
        <f t="shared" ref="CB5:CB39" si="23">AT5-V5</f>
        <v>0</v>
      </c>
      <c r="CC5">
        <f t="shared" ref="CC5:CC39" si="24">AU5-W5</f>
        <v>0</v>
      </c>
      <c r="CD5">
        <f t="shared" ref="CD5:CD39" si="25">AV5-X5</f>
        <v>0</v>
      </c>
      <c r="CE5">
        <f t="shared" ref="CE5:CE39" si="26">AW5-Y5</f>
        <v>0</v>
      </c>
      <c r="CF5">
        <f t="shared" ref="CF5:CF39" si="27">AX5-Z5</f>
        <v>0</v>
      </c>
      <c r="CG5">
        <f t="shared" ref="CG5:CG39" si="28">AY5-AA5</f>
        <v>0</v>
      </c>
      <c r="CJ5" t="s">
        <v>239</v>
      </c>
    </row>
    <row r="6" spans="1:88" outlineLevel="1" x14ac:dyDescent="0.25">
      <c r="A6" s="20"/>
      <c r="B6" s="20" t="s">
        <v>51</v>
      </c>
      <c r="C6" s="21" t="s">
        <v>240</v>
      </c>
      <c r="D6" s="20">
        <v>24964341</v>
      </c>
      <c r="E6" s="21">
        <v>10</v>
      </c>
      <c r="F6" s="21">
        <v>32</v>
      </c>
      <c r="G6" s="21">
        <v>30</v>
      </c>
      <c r="I6" s="22">
        <f t="shared" si="0"/>
        <v>3.4326525000000001</v>
      </c>
      <c r="J6" s="23">
        <f t="shared" si="1"/>
        <v>0.14666904285596805</v>
      </c>
      <c r="K6" s="23">
        <f t="shared" si="2"/>
        <v>7.2264354985376936E-2</v>
      </c>
      <c r="L6" s="23">
        <f t="shared" si="3"/>
        <v>4.6661436005861319E-2</v>
      </c>
      <c r="M6" s="23">
        <f t="shared" si="4"/>
        <v>7.4404687870591096E-2</v>
      </c>
      <c r="N6" s="20">
        <f t="shared" si="5"/>
        <v>1804032</v>
      </c>
      <c r="O6" s="23">
        <f t="shared" si="6"/>
        <v>0.15135175890239908</v>
      </c>
      <c r="P6" s="24">
        <v>24191962</v>
      </c>
      <c r="Q6" s="24">
        <v>755998.8125</v>
      </c>
      <c r="R6" s="24">
        <v>18849.4375</v>
      </c>
      <c r="S6" s="25">
        <v>3661496</v>
      </c>
      <c r="T6" s="25">
        <v>1164872</v>
      </c>
      <c r="U6" s="25">
        <v>639160</v>
      </c>
      <c r="V6" s="25">
        <v>1857464</v>
      </c>
      <c r="W6" s="26">
        <v>68.256434374999998</v>
      </c>
      <c r="X6" s="26">
        <v>70.426474999999996</v>
      </c>
      <c r="Y6" s="26">
        <v>34.399300000000011</v>
      </c>
      <c r="Z6" s="26">
        <v>45.437112499999998</v>
      </c>
      <c r="AA6" s="26">
        <v>45.212931249999997</v>
      </c>
      <c r="AB6" s="27">
        <v>3201.48</v>
      </c>
      <c r="AC6" s="27">
        <v>1589.62</v>
      </c>
      <c r="AD6" s="27">
        <v>12.407999999999999</v>
      </c>
      <c r="AE6" s="27">
        <v>9.0399999999999991</v>
      </c>
      <c r="AG6" s="22">
        <f t="shared" si="7"/>
        <v>3.4326525000000001</v>
      </c>
      <c r="AH6" s="23">
        <f t="shared" si="8"/>
        <v>0.14666904285596805</v>
      </c>
      <c r="AI6" s="23">
        <f t="shared" si="9"/>
        <v>7.2264354985376936E-2</v>
      </c>
      <c r="AJ6" s="23">
        <f t="shared" si="10"/>
        <v>4.6661436005861319E-2</v>
      </c>
      <c r="AK6" s="23">
        <f t="shared" si="11"/>
        <v>7.4404687870591096E-2</v>
      </c>
      <c r="AL6" s="20">
        <f t="shared" si="12"/>
        <v>1804032</v>
      </c>
      <c r="AM6" s="23">
        <f t="shared" si="13"/>
        <v>0.15135175890239908</v>
      </c>
      <c r="AN6" s="24">
        <v>24191962</v>
      </c>
      <c r="AO6" s="24">
        <v>755998.8125</v>
      </c>
      <c r="AP6" s="24">
        <v>18849.4375</v>
      </c>
      <c r="AQ6" s="25">
        <v>3661496</v>
      </c>
      <c r="AR6" s="25">
        <v>1164872</v>
      </c>
      <c r="AS6" s="25">
        <v>639160</v>
      </c>
      <c r="AT6" s="25">
        <v>1857464</v>
      </c>
      <c r="AU6" s="26">
        <v>68.256434374999998</v>
      </c>
      <c r="AV6" s="26">
        <v>70.426474999999996</v>
      </c>
      <c r="AW6" s="26">
        <v>34.399300000000011</v>
      </c>
      <c r="AX6" s="26">
        <v>45.437112499999998</v>
      </c>
      <c r="AY6" s="26">
        <v>45.212931249999997</v>
      </c>
      <c r="AZ6" s="27">
        <v>3146.16</v>
      </c>
      <c r="BA6" s="27">
        <v>1663.23</v>
      </c>
      <c r="BB6" s="27">
        <v>12.404</v>
      </c>
      <c r="BC6" s="27">
        <v>9.4960000000000004</v>
      </c>
      <c r="BE6" s="28">
        <f t="shared" si="14"/>
        <v>1</v>
      </c>
      <c r="BF6" s="29">
        <f t="shared" si="15"/>
        <v>0</v>
      </c>
      <c r="BG6" s="29">
        <f t="shared" si="16"/>
        <v>0</v>
      </c>
      <c r="BH6" s="29"/>
      <c r="BJ6" s="28"/>
      <c r="BK6" s="28"/>
      <c r="BL6" s="28"/>
      <c r="BM6" s="28"/>
      <c r="BN6" s="28"/>
      <c r="BP6" s="28"/>
      <c r="BQ6" s="28"/>
      <c r="BR6" s="28"/>
      <c r="BS6" s="28"/>
      <c r="BT6" s="28"/>
      <c r="BV6">
        <f t="shared" si="17"/>
        <v>0</v>
      </c>
      <c r="BW6">
        <f t="shared" si="18"/>
        <v>0</v>
      </c>
      <c r="BX6">
        <f t="shared" si="19"/>
        <v>0</v>
      </c>
      <c r="BY6">
        <f t="shared" si="20"/>
        <v>0</v>
      </c>
      <c r="BZ6">
        <f t="shared" si="21"/>
        <v>0</v>
      </c>
      <c r="CA6">
        <f t="shared" si="22"/>
        <v>0</v>
      </c>
      <c r="CB6">
        <f t="shared" si="23"/>
        <v>0</v>
      </c>
      <c r="CC6">
        <f t="shared" si="24"/>
        <v>0</v>
      </c>
      <c r="CD6">
        <f t="shared" si="25"/>
        <v>0</v>
      </c>
      <c r="CE6">
        <f t="shared" si="26"/>
        <v>0</v>
      </c>
      <c r="CF6">
        <f t="shared" si="27"/>
        <v>0</v>
      </c>
      <c r="CG6">
        <f t="shared" si="28"/>
        <v>0</v>
      </c>
      <c r="CJ6" t="s">
        <v>239</v>
      </c>
    </row>
    <row r="7" spans="1:88" outlineLevel="1" x14ac:dyDescent="0.25">
      <c r="A7" s="10"/>
      <c r="B7" s="10" t="s">
        <v>51</v>
      </c>
      <c r="C7" s="11" t="s">
        <v>241</v>
      </c>
      <c r="D7" s="10">
        <v>24964341</v>
      </c>
      <c r="E7" s="11">
        <v>10</v>
      </c>
      <c r="F7" s="11">
        <v>32</v>
      </c>
      <c r="G7" s="11">
        <v>30</v>
      </c>
      <c r="I7" s="12">
        <f t="shared" si="0"/>
        <v>5.6684099999999997</v>
      </c>
      <c r="J7" s="13">
        <f t="shared" si="1"/>
        <v>0.24219762099868769</v>
      </c>
      <c r="K7" s="13">
        <f t="shared" si="2"/>
        <v>9.0840611414497188E-2</v>
      </c>
      <c r="L7" s="13">
        <f t="shared" si="3"/>
        <v>6.5237692434981565E-2</v>
      </c>
      <c r="M7" s="13">
        <f t="shared" si="4"/>
        <v>0.15135700958419052</v>
      </c>
      <c r="N7" s="10">
        <f t="shared" si="5"/>
        <v>2267776</v>
      </c>
      <c r="O7" s="13">
        <f t="shared" si="6"/>
        <v>0.24372183795884395</v>
      </c>
      <c r="P7" s="14">
        <v>24808216</v>
      </c>
      <c r="Q7" s="14">
        <v>775256.75</v>
      </c>
      <c r="R7" s="14">
        <v>20726.03125</v>
      </c>
      <c r="S7" s="15">
        <v>6046304</v>
      </c>
      <c r="T7" s="15">
        <v>1628616</v>
      </c>
      <c r="U7" s="15">
        <v>639160</v>
      </c>
      <c r="V7" s="15">
        <v>3778528</v>
      </c>
      <c r="W7" s="16">
        <v>69.684690625000002</v>
      </c>
      <c r="X7" s="16">
        <v>72.115756250000018</v>
      </c>
      <c r="Y7" s="16">
        <v>36.932850000000009</v>
      </c>
      <c r="Z7" s="16">
        <v>46.544937500000003</v>
      </c>
      <c r="AA7" s="16">
        <v>46.445749999999997</v>
      </c>
      <c r="AB7" s="17">
        <v>3033.03</v>
      </c>
      <c r="AC7" s="17">
        <v>1678.79</v>
      </c>
      <c r="AD7" s="17">
        <v>12.236000000000001</v>
      </c>
      <c r="AE7" s="17">
        <v>9.6319999999999997</v>
      </c>
      <c r="AG7" s="12">
        <f t="shared" si="7"/>
        <v>5.6684099999999997</v>
      </c>
      <c r="AH7" s="13">
        <f t="shared" si="8"/>
        <v>0.24219762099868769</v>
      </c>
      <c r="AI7" s="13">
        <f t="shared" si="9"/>
        <v>9.0840611414497188E-2</v>
      </c>
      <c r="AJ7" s="13">
        <f t="shared" si="10"/>
        <v>6.5237692434981565E-2</v>
      </c>
      <c r="AK7" s="13">
        <f t="shared" si="11"/>
        <v>0.15135700958419052</v>
      </c>
      <c r="AL7" s="10">
        <f t="shared" si="12"/>
        <v>2267776</v>
      </c>
      <c r="AM7" s="13">
        <f t="shared" si="13"/>
        <v>0.24372183795884395</v>
      </c>
      <c r="AN7" s="14">
        <v>24808216</v>
      </c>
      <c r="AO7" s="14">
        <v>775256.75</v>
      </c>
      <c r="AP7" s="14">
        <v>20726.03125</v>
      </c>
      <c r="AQ7" s="15">
        <v>6046304</v>
      </c>
      <c r="AR7" s="15">
        <v>1628616</v>
      </c>
      <c r="AS7" s="15">
        <v>639160</v>
      </c>
      <c r="AT7" s="15">
        <v>3778528</v>
      </c>
      <c r="AU7" s="16">
        <v>69.684690625000002</v>
      </c>
      <c r="AV7" s="16">
        <v>72.115756250000018</v>
      </c>
      <c r="AW7" s="16">
        <v>36.932850000000009</v>
      </c>
      <c r="AX7" s="16">
        <v>46.544937500000003</v>
      </c>
      <c r="AY7" s="16">
        <v>46.445749999999997</v>
      </c>
      <c r="AZ7" s="17">
        <v>3273.69</v>
      </c>
      <c r="BA7" s="17">
        <v>1671.34</v>
      </c>
      <c r="BB7" s="17">
        <v>10.976000000000001</v>
      </c>
      <c r="BC7" s="17">
        <v>9.1199999999999992</v>
      </c>
      <c r="BE7" s="18">
        <f t="shared" si="14"/>
        <v>1</v>
      </c>
      <c r="BF7" s="19">
        <f t="shared" si="15"/>
        <v>0</v>
      </c>
      <c r="BG7" s="19">
        <f t="shared" si="16"/>
        <v>0</v>
      </c>
      <c r="BH7" s="19"/>
      <c r="BJ7" s="18"/>
      <c r="BK7" s="18"/>
      <c r="BL7" s="18"/>
      <c r="BM7" s="18"/>
      <c r="BN7" s="18"/>
      <c r="BP7" s="18"/>
      <c r="BQ7" s="18"/>
      <c r="BR7" s="18"/>
      <c r="BS7" s="18"/>
      <c r="BT7" s="18"/>
      <c r="BV7">
        <f t="shared" si="17"/>
        <v>0</v>
      </c>
      <c r="BW7">
        <f t="shared" si="18"/>
        <v>0</v>
      </c>
      <c r="BX7">
        <f t="shared" si="19"/>
        <v>0</v>
      </c>
      <c r="BY7">
        <f t="shared" si="20"/>
        <v>0</v>
      </c>
      <c r="BZ7">
        <f t="shared" si="21"/>
        <v>0</v>
      </c>
      <c r="CA7">
        <f t="shared" si="22"/>
        <v>0</v>
      </c>
      <c r="CB7">
        <f t="shared" si="23"/>
        <v>0</v>
      </c>
      <c r="CC7">
        <f t="shared" si="24"/>
        <v>0</v>
      </c>
      <c r="CD7">
        <f t="shared" si="25"/>
        <v>0</v>
      </c>
      <c r="CE7">
        <f t="shared" si="26"/>
        <v>0</v>
      </c>
      <c r="CF7">
        <f t="shared" si="27"/>
        <v>0</v>
      </c>
      <c r="CG7">
        <f t="shared" si="28"/>
        <v>0</v>
      </c>
      <c r="CJ7" t="s">
        <v>239</v>
      </c>
    </row>
    <row r="8" spans="1:88" outlineLevel="1" x14ac:dyDescent="0.25">
      <c r="A8" s="20"/>
      <c r="B8" s="20" t="s">
        <v>51</v>
      </c>
      <c r="C8" s="21" t="s">
        <v>242</v>
      </c>
      <c r="D8" s="20">
        <v>24964341</v>
      </c>
      <c r="E8" s="21">
        <v>10</v>
      </c>
      <c r="F8" s="21">
        <v>32</v>
      </c>
      <c r="G8" s="21">
        <v>30</v>
      </c>
      <c r="I8" s="22">
        <f t="shared" si="0"/>
        <v>9.9174600000000002</v>
      </c>
      <c r="J8" s="23">
        <f t="shared" si="1"/>
        <v>0.42374937916446503</v>
      </c>
      <c r="K8" s="23">
        <f t="shared" si="2"/>
        <v>0.12195859686422325</v>
      </c>
      <c r="L8" s="23">
        <f t="shared" si="3"/>
        <v>9.6355677884707627E-2</v>
      </c>
      <c r="M8" s="23">
        <f t="shared" si="4"/>
        <v>0.30179078230024176</v>
      </c>
      <c r="N8" s="20">
        <f t="shared" si="5"/>
        <v>3044616</v>
      </c>
      <c r="O8" s="23">
        <f t="shared" si="6"/>
        <v>0.4100590092747799</v>
      </c>
      <c r="P8" s="24">
        <v>25797809</v>
      </c>
      <c r="Q8" s="24">
        <v>806181.53125</v>
      </c>
      <c r="R8" s="24">
        <v>23962.09375</v>
      </c>
      <c r="S8" s="25">
        <v>10578624</v>
      </c>
      <c r="T8" s="25">
        <v>2405456</v>
      </c>
      <c r="U8" s="25">
        <v>639160</v>
      </c>
      <c r="V8" s="25">
        <v>7534008</v>
      </c>
      <c r="W8" s="26">
        <v>70.825724999999977</v>
      </c>
      <c r="X8" s="26">
        <v>73.390937500000021</v>
      </c>
      <c r="Y8" s="26">
        <v>39.553746875000002</v>
      </c>
      <c r="Z8" s="26">
        <v>47.884250000000009</v>
      </c>
      <c r="AA8" s="26">
        <v>47.908200000000001</v>
      </c>
      <c r="AB8" s="27">
        <v>3257.06</v>
      </c>
      <c r="AC8" s="27">
        <v>1801.12</v>
      </c>
      <c r="AD8" s="27">
        <v>12.452</v>
      </c>
      <c r="AE8" s="27">
        <v>9.6440000000000001</v>
      </c>
      <c r="AG8" s="22">
        <f t="shared" si="7"/>
        <v>9.9174600000000002</v>
      </c>
      <c r="AH8" s="23">
        <f t="shared" si="8"/>
        <v>0.42374937916446503</v>
      </c>
      <c r="AI8" s="23">
        <f t="shared" si="9"/>
        <v>0.12195859686422325</v>
      </c>
      <c r="AJ8" s="23">
        <f t="shared" si="10"/>
        <v>9.6355677884707627E-2</v>
      </c>
      <c r="AK8" s="23">
        <f t="shared" si="11"/>
        <v>0.30179078230024176</v>
      </c>
      <c r="AL8" s="20">
        <f t="shared" si="12"/>
        <v>3044616</v>
      </c>
      <c r="AM8" s="23">
        <f t="shared" si="13"/>
        <v>0.4100590092747799</v>
      </c>
      <c r="AN8" s="24">
        <v>25797809</v>
      </c>
      <c r="AO8" s="24">
        <v>806181.53125</v>
      </c>
      <c r="AP8" s="24">
        <v>23962.09375</v>
      </c>
      <c r="AQ8" s="25">
        <v>10578624</v>
      </c>
      <c r="AR8" s="25">
        <v>2405456</v>
      </c>
      <c r="AS8" s="25">
        <v>639160</v>
      </c>
      <c r="AT8" s="25">
        <v>7534008</v>
      </c>
      <c r="AU8" s="26">
        <v>70.825724999999977</v>
      </c>
      <c r="AV8" s="26">
        <v>73.390937500000021</v>
      </c>
      <c r="AW8" s="26">
        <v>39.553746875000002</v>
      </c>
      <c r="AX8" s="26">
        <v>47.884250000000009</v>
      </c>
      <c r="AY8" s="26">
        <v>47.908200000000001</v>
      </c>
      <c r="AZ8" s="27">
        <v>3246.52</v>
      </c>
      <c r="BA8" s="27">
        <v>1811.9</v>
      </c>
      <c r="BB8" s="27">
        <v>12.448</v>
      </c>
      <c r="BC8" s="27">
        <v>10.864000000000001</v>
      </c>
      <c r="BE8" s="28">
        <f t="shared" si="14"/>
        <v>1</v>
      </c>
      <c r="BF8" s="29">
        <f t="shared" si="15"/>
        <v>0</v>
      </c>
      <c r="BG8" s="29">
        <f t="shared" si="16"/>
        <v>0</v>
      </c>
      <c r="BH8" s="29"/>
      <c r="BJ8" s="28"/>
      <c r="BK8" s="28"/>
      <c r="BL8" s="28"/>
      <c r="BM8" s="28"/>
      <c r="BN8" s="28"/>
      <c r="BP8" s="28"/>
      <c r="BQ8" s="28"/>
      <c r="BR8" s="28"/>
      <c r="BS8" s="28"/>
      <c r="BT8" s="28"/>
      <c r="BV8">
        <f t="shared" si="17"/>
        <v>0</v>
      </c>
      <c r="BW8">
        <f t="shared" si="18"/>
        <v>0</v>
      </c>
      <c r="BX8">
        <f t="shared" si="19"/>
        <v>0</v>
      </c>
      <c r="BY8">
        <f t="shared" si="20"/>
        <v>0</v>
      </c>
      <c r="BZ8">
        <f t="shared" si="21"/>
        <v>0</v>
      </c>
      <c r="CA8">
        <f t="shared" si="22"/>
        <v>0</v>
      </c>
      <c r="CB8">
        <f t="shared" si="23"/>
        <v>0</v>
      </c>
      <c r="CC8">
        <f t="shared" si="24"/>
        <v>0</v>
      </c>
      <c r="CD8">
        <f t="shared" si="25"/>
        <v>0</v>
      </c>
      <c r="CE8">
        <f t="shared" si="26"/>
        <v>0</v>
      </c>
      <c r="CF8">
        <f t="shared" si="27"/>
        <v>0</v>
      </c>
      <c r="CG8">
        <f t="shared" si="28"/>
        <v>0</v>
      </c>
      <c r="CJ8" t="s">
        <v>239</v>
      </c>
    </row>
    <row r="9" spans="1:88" ht="15.75" customHeight="1" outlineLevel="1" thickBot="1" x14ac:dyDescent="0.3">
      <c r="A9" s="10"/>
      <c r="B9" s="30" t="s">
        <v>51</v>
      </c>
      <c r="C9" s="31" t="s">
        <v>243</v>
      </c>
      <c r="D9" s="30">
        <v>24964341</v>
      </c>
      <c r="E9" s="31">
        <v>10</v>
      </c>
      <c r="F9" s="31">
        <v>32</v>
      </c>
      <c r="G9" s="31">
        <v>30</v>
      </c>
      <c r="I9" s="32">
        <f t="shared" si="0"/>
        <v>18.126877499999999</v>
      </c>
      <c r="J9" s="33">
        <f t="shared" si="1"/>
        <v>0.77451818175372622</v>
      </c>
      <c r="K9" s="33">
        <f t="shared" si="2"/>
        <v>0.19737016090270518</v>
      </c>
      <c r="L9" s="33">
        <f t="shared" si="3"/>
        <v>0.14831747411237492</v>
      </c>
      <c r="M9" s="33">
        <f t="shared" si="4"/>
        <v>0.57714802085102102</v>
      </c>
      <c r="N9" s="30">
        <f t="shared" si="5"/>
        <v>4927216</v>
      </c>
      <c r="O9" s="33">
        <f t="shared" si="6"/>
        <v>0.77750657672276235</v>
      </c>
      <c r="P9" s="34">
        <v>24868389</v>
      </c>
      <c r="Q9" s="34">
        <v>777137.15625</v>
      </c>
      <c r="R9" s="34">
        <v>10582.71875</v>
      </c>
      <c r="S9" s="35">
        <v>19335336</v>
      </c>
      <c r="T9" s="35">
        <v>3702648</v>
      </c>
      <c r="U9" s="35">
        <v>1224568</v>
      </c>
      <c r="V9" s="35">
        <v>14408120</v>
      </c>
      <c r="W9" s="36">
        <v>71.947396874999995</v>
      </c>
      <c r="X9" s="36">
        <v>75.319828124999972</v>
      </c>
      <c r="Y9" s="36">
        <v>42.01755</v>
      </c>
      <c r="Z9" s="36">
        <v>49.411421875000002</v>
      </c>
      <c r="AA9" s="36">
        <v>49.523899999999998</v>
      </c>
      <c r="AB9" s="37">
        <v>3232.58</v>
      </c>
      <c r="AC9" s="37">
        <v>2045.44</v>
      </c>
      <c r="AD9" s="37">
        <v>12.5</v>
      </c>
      <c r="AE9" s="37">
        <v>11.635999999999999</v>
      </c>
      <c r="AG9" s="32">
        <f t="shared" si="7"/>
        <v>18.126877499999999</v>
      </c>
      <c r="AH9" s="33">
        <f t="shared" si="8"/>
        <v>0.77451818175372622</v>
      </c>
      <c r="AI9" s="33">
        <f t="shared" si="9"/>
        <v>0.19737016090270518</v>
      </c>
      <c r="AJ9" s="33">
        <f t="shared" si="10"/>
        <v>0.14831747411237492</v>
      </c>
      <c r="AK9" s="33">
        <f t="shared" si="11"/>
        <v>0.57714802085102102</v>
      </c>
      <c r="AL9" s="30">
        <f t="shared" si="12"/>
        <v>4927216</v>
      </c>
      <c r="AM9" s="33">
        <f t="shared" si="13"/>
        <v>0.77750657672276235</v>
      </c>
      <c r="AN9" s="34">
        <v>24868389</v>
      </c>
      <c r="AO9" s="34">
        <v>777137.15625</v>
      </c>
      <c r="AP9" s="34">
        <v>10582.71875</v>
      </c>
      <c r="AQ9" s="35">
        <v>19335336</v>
      </c>
      <c r="AR9" s="35">
        <v>3702648</v>
      </c>
      <c r="AS9" s="35">
        <v>1224568</v>
      </c>
      <c r="AT9" s="35">
        <v>14408120</v>
      </c>
      <c r="AU9" s="36">
        <v>71.947396874999995</v>
      </c>
      <c r="AV9" s="36">
        <v>75.319828124999972</v>
      </c>
      <c r="AW9" s="36">
        <v>42.01755</v>
      </c>
      <c r="AX9" s="36">
        <v>49.411421875000002</v>
      </c>
      <c r="AY9" s="36">
        <v>49.523899999999998</v>
      </c>
      <c r="AZ9" s="37">
        <v>3060.98</v>
      </c>
      <c r="BA9" s="37">
        <v>2035.64</v>
      </c>
      <c r="BB9" s="37">
        <v>12.58</v>
      </c>
      <c r="BC9" s="37">
        <v>10.544</v>
      </c>
      <c r="BE9" s="38">
        <f t="shared" si="14"/>
        <v>1</v>
      </c>
      <c r="BF9" s="39">
        <f t="shared" si="15"/>
        <v>0</v>
      </c>
      <c r="BG9" s="39">
        <f t="shared" si="16"/>
        <v>0</v>
      </c>
      <c r="BH9" s="39"/>
      <c r="BJ9" s="38"/>
      <c r="BK9" s="38"/>
      <c r="BL9" s="38"/>
      <c r="BM9" s="38"/>
      <c r="BN9" s="38"/>
      <c r="BP9" s="38"/>
      <c r="BQ9" s="38"/>
      <c r="BR9" s="38"/>
      <c r="BS9" s="38"/>
      <c r="BT9" s="38"/>
      <c r="BV9">
        <f t="shared" si="17"/>
        <v>0</v>
      </c>
      <c r="BW9">
        <f t="shared" si="18"/>
        <v>0</v>
      </c>
      <c r="BX9">
        <f t="shared" si="19"/>
        <v>0</v>
      </c>
      <c r="BY9">
        <f t="shared" si="20"/>
        <v>0</v>
      </c>
      <c r="BZ9">
        <f t="shared" si="21"/>
        <v>0</v>
      </c>
      <c r="CA9">
        <f t="shared" si="22"/>
        <v>0</v>
      </c>
      <c r="CB9">
        <f t="shared" si="23"/>
        <v>0</v>
      </c>
      <c r="CC9">
        <f t="shared" si="24"/>
        <v>0</v>
      </c>
      <c r="CD9">
        <f t="shared" si="25"/>
        <v>0</v>
      </c>
      <c r="CE9">
        <f t="shared" si="26"/>
        <v>0</v>
      </c>
      <c r="CF9">
        <f t="shared" si="27"/>
        <v>0</v>
      </c>
      <c r="CG9">
        <f t="shared" si="28"/>
        <v>0</v>
      </c>
      <c r="CJ9" t="s">
        <v>239</v>
      </c>
    </row>
    <row r="10" spans="1:88" x14ac:dyDescent="0.25">
      <c r="A10" s="20"/>
      <c r="B10" s="20" t="s">
        <v>59</v>
      </c>
      <c r="C10" s="21" t="s">
        <v>238</v>
      </c>
      <c r="D10" s="20">
        <v>22654789</v>
      </c>
      <c r="E10" s="21">
        <v>10</v>
      </c>
      <c r="F10" s="21">
        <v>32</v>
      </c>
      <c r="G10" s="21">
        <v>30</v>
      </c>
      <c r="I10" s="22">
        <f t="shared" si="0"/>
        <v>3.226035</v>
      </c>
      <c r="J10" s="23">
        <f t="shared" si="1"/>
        <v>0.15189300593353572</v>
      </c>
      <c r="K10" s="23">
        <f t="shared" si="2"/>
        <v>7.8811415988027961E-2</v>
      </c>
      <c r="L10" s="23">
        <f t="shared" si="3"/>
        <v>4.1214067365624107E-2</v>
      </c>
      <c r="M10" s="23">
        <f t="shared" si="4"/>
        <v>7.3081589945507772E-2</v>
      </c>
      <c r="N10" s="20">
        <f t="shared" si="5"/>
        <v>1785456</v>
      </c>
      <c r="O10" s="23">
        <f t="shared" si="6"/>
        <v>0.16650258037329224</v>
      </c>
      <c r="P10" s="24">
        <v>20666971</v>
      </c>
      <c r="Q10" s="24">
        <v>645842.84375</v>
      </c>
      <c r="R10" s="24">
        <v>17868.75</v>
      </c>
      <c r="S10" s="25">
        <v>3441104</v>
      </c>
      <c r="T10" s="25">
        <v>933696</v>
      </c>
      <c r="U10" s="25">
        <v>851760</v>
      </c>
      <c r="V10" s="25">
        <v>1655648</v>
      </c>
      <c r="W10" s="26">
        <v>65.905350000000013</v>
      </c>
      <c r="X10" s="26">
        <v>67.814121875000012</v>
      </c>
      <c r="Y10" s="26">
        <v>32.409384374999988</v>
      </c>
      <c r="Z10" s="26">
        <v>39.159018750000008</v>
      </c>
      <c r="AA10" s="26">
        <v>32.112993750000001</v>
      </c>
      <c r="AB10" s="27">
        <v>2765.26</v>
      </c>
      <c r="AC10" s="27">
        <v>1631.34</v>
      </c>
      <c r="AD10" s="27">
        <v>11.616</v>
      </c>
      <c r="AE10" s="27">
        <v>8.2919999999999998</v>
      </c>
      <c r="AG10" s="22">
        <f t="shared" si="7"/>
        <v>3.226035</v>
      </c>
      <c r="AH10" s="23">
        <f t="shared" si="8"/>
        <v>0.15189300593353572</v>
      </c>
      <c r="AI10" s="23">
        <f t="shared" si="9"/>
        <v>7.8811415988027961E-2</v>
      </c>
      <c r="AJ10" s="23">
        <f t="shared" si="10"/>
        <v>4.1214067365624107E-2</v>
      </c>
      <c r="AK10" s="23">
        <f t="shared" si="11"/>
        <v>7.3081589945507772E-2</v>
      </c>
      <c r="AL10" s="20">
        <f t="shared" si="12"/>
        <v>1785456</v>
      </c>
      <c r="AM10" s="23">
        <f t="shared" si="13"/>
        <v>0.16650258037329224</v>
      </c>
      <c r="AN10" s="24">
        <v>20666971</v>
      </c>
      <c r="AO10" s="24">
        <v>645842.84375</v>
      </c>
      <c r="AP10" s="24">
        <v>17868.75</v>
      </c>
      <c r="AQ10" s="25">
        <v>3441104</v>
      </c>
      <c r="AR10" s="25">
        <v>933696</v>
      </c>
      <c r="AS10" s="25">
        <v>851760</v>
      </c>
      <c r="AT10" s="25">
        <v>1655648</v>
      </c>
      <c r="AU10" s="26">
        <v>65.905350000000013</v>
      </c>
      <c r="AV10" s="26">
        <v>67.814121875000012</v>
      </c>
      <c r="AW10" s="26">
        <v>32.409384374999988</v>
      </c>
      <c r="AX10" s="26">
        <v>39.159018750000008</v>
      </c>
      <c r="AY10" s="26">
        <v>32.112993750000001</v>
      </c>
      <c r="AZ10" s="27">
        <v>3060.99</v>
      </c>
      <c r="BA10" s="27">
        <v>1615.39</v>
      </c>
      <c r="BB10" s="27">
        <v>11.504</v>
      </c>
      <c r="BC10" s="27">
        <v>9.2040000000000006</v>
      </c>
      <c r="BE10" s="28">
        <f t="shared" si="14"/>
        <v>1</v>
      </c>
      <c r="BF10" s="29">
        <f t="shared" si="15"/>
        <v>0</v>
      </c>
      <c r="BG10" s="29">
        <f t="shared" si="16"/>
        <v>0</v>
      </c>
      <c r="BH10" s="29">
        <f t="array" ref="BH10">AVERAGE(AL10:AL14/AQ10:AQ14) - AVERAGE(N10:N14/S10:S14)</f>
        <v>0</v>
      </c>
      <c r="BJ10" s="28">
        <f>IF( OR(ISBLANK(N10:N14),ISBLANK(AL10:AL14), ISBLANK(W10:W14),ISBLANK(AU10:AU14)), "·", bdRateExtend( N10:N14,W10:W14, AL10:AL14,AU10:AU14))</f>
        <v>0</v>
      </c>
      <c r="BK10" s="28">
        <f>IF( OR(ISBLANK(N10:N14),ISBLANK(AL10:AL14), ISBLANK(X10:X14),ISBLANK(AV10:AV14)), "·", bdRateExtend( N10:N14,X10:X14, AL10:AL14,AV10:AV14))</f>
        <v>0</v>
      </c>
      <c r="BL10" s="28">
        <f>IF( OR(ISBLANK(V10:V14),ISBLANK(AT10:AT14), ISBLANK(Y10:Y14),ISBLANK(AW10:AW14)), "·", bdRateExtend( V10:V14,Y10:Y14, AT10:AT14,AW10:AW14))</f>
        <v>0</v>
      </c>
      <c r="BM10" s="28">
        <f>IF( OR(ISBLANK(V10:V14),ISBLANK(AT10:AT14), ISBLANK(Z10:Z14),ISBLANK(AX10:AX14)), "·", bdRateExtend( V10:V14,Z10:Z14, AT10:AT14,AX10:AX14))</f>
        <v>0</v>
      </c>
      <c r="BN10" s="28">
        <f>IF( OR(ISBLANK(V10:V14),ISBLANK(AT10:AT14), ISBLANK(AA10:AA14),ISBLANK(AY10:AY14)), "·", bdRateExtend( V10:V14,AA10:AA14, AT10:AT14,AY10:AY14))</f>
        <v>0</v>
      </c>
      <c r="BP10" s="28">
        <f>IF( OR(ISBLANK(S10:S14),ISBLANK(AQ10:AQ14), ISBLANK(W10:W14),ISBLANK(AU10:AU14)), "·", bdRateExtend( S10:S14,W10:W14, AQ10:AQ14,AU10:AU14))</f>
        <v>0</v>
      </c>
      <c r="BQ10" s="28">
        <f>IF( OR(ISBLANK(S10:S14),ISBLANK(AQ10:AQ14), ISBLANK(X10:X14),ISBLANK(AV10:AV14)), "·", bdRateExtend( S10:S14,X10:X14, AQ10:AQ14,AV10:AV14))</f>
        <v>0</v>
      </c>
      <c r="BR10" s="28">
        <f>IF( OR(ISBLANK(S10:S14),ISBLANK(AQ10:AQ14), ISBLANK(Y10:Y14),ISBLANK(AW10:AW14)), "·", bdRateExtend( S10:S14,Y10:Y14, AQ10:AQ14,AW10:AW14))</f>
        <v>0</v>
      </c>
      <c r="BS10" s="28">
        <f>IF( OR(ISBLANK(S10:S14),ISBLANK(AQ10:AQ14), ISBLANK(Z10:Z14),ISBLANK(AX10:AX14)), "·", bdRateExtend( S10:S14,Z10:Z14, AQ10:AQ14,AX10:AX14))</f>
        <v>0</v>
      </c>
      <c r="BT10" s="28">
        <f>IF( OR(ISBLANK(S10:S14),ISBLANK(AQ10:AQ14), ISBLANK(AA10:AA14),ISBLANK(AY10:AY14)), "·", bdRateExtend( S10:S14,AA10:AA14, AQ10:AQ14,AY10:AY14))</f>
        <v>0</v>
      </c>
      <c r="BV10">
        <f t="shared" si="17"/>
        <v>0</v>
      </c>
      <c r="BW10">
        <f t="shared" si="18"/>
        <v>0</v>
      </c>
      <c r="BX10">
        <f t="shared" si="19"/>
        <v>0</v>
      </c>
      <c r="BY10">
        <f t="shared" si="20"/>
        <v>0</v>
      </c>
      <c r="BZ10">
        <f t="shared" si="21"/>
        <v>0</v>
      </c>
      <c r="CA10">
        <f t="shared" si="22"/>
        <v>0</v>
      </c>
      <c r="CB10">
        <f t="shared" si="23"/>
        <v>0</v>
      </c>
      <c r="CC10">
        <f t="shared" si="24"/>
        <v>0</v>
      </c>
      <c r="CD10">
        <f t="shared" si="25"/>
        <v>0</v>
      </c>
      <c r="CE10">
        <f t="shared" si="26"/>
        <v>0</v>
      </c>
      <c r="CF10">
        <f t="shared" si="27"/>
        <v>0</v>
      </c>
      <c r="CG10">
        <f t="shared" si="28"/>
        <v>0</v>
      </c>
      <c r="CJ10" t="s">
        <v>244</v>
      </c>
    </row>
    <row r="11" spans="1:88" outlineLevel="1" x14ac:dyDescent="0.25">
      <c r="A11" s="10"/>
      <c r="B11" s="10" t="s">
        <v>59</v>
      </c>
      <c r="C11" s="11" t="s">
        <v>240</v>
      </c>
      <c r="D11" s="10">
        <v>22654789</v>
      </c>
      <c r="E11" s="11">
        <v>10</v>
      </c>
      <c r="F11" s="11">
        <v>32</v>
      </c>
      <c r="G11" s="11">
        <v>30</v>
      </c>
      <c r="I11" s="12">
        <f t="shared" si="0"/>
        <v>4.6770899999999997</v>
      </c>
      <c r="J11" s="13">
        <f t="shared" si="1"/>
        <v>0.22021374818366218</v>
      </c>
      <c r="K11" s="13">
        <f t="shared" si="2"/>
        <v>9.5659774187259045E-2</v>
      </c>
      <c r="L11" s="13">
        <f t="shared" si="3"/>
        <v>5.8062425564855184E-2</v>
      </c>
      <c r="M11" s="13">
        <f t="shared" si="4"/>
        <v>0.12455397399640314</v>
      </c>
      <c r="N11" s="10">
        <f t="shared" si="5"/>
        <v>2167152</v>
      </c>
      <c r="O11" s="13">
        <f t="shared" si="6"/>
        <v>0.22576577441695983</v>
      </c>
      <c r="P11" s="14">
        <v>22097663</v>
      </c>
      <c r="Q11" s="14">
        <v>690551.96875</v>
      </c>
      <c r="R11" s="14">
        <v>22579.96875</v>
      </c>
      <c r="S11" s="15">
        <v>4988896</v>
      </c>
      <c r="T11" s="15">
        <v>1315392</v>
      </c>
      <c r="U11" s="15">
        <v>851760</v>
      </c>
      <c r="V11" s="15">
        <v>2821744</v>
      </c>
      <c r="W11" s="16">
        <v>67.608481250000011</v>
      </c>
      <c r="X11" s="16">
        <v>69.690137499999992</v>
      </c>
      <c r="Y11" s="16">
        <v>34.283925000000004</v>
      </c>
      <c r="Z11" s="16">
        <v>40.018309374999973</v>
      </c>
      <c r="AA11" s="16">
        <v>33.888937499999997</v>
      </c>
      <c r="AB11" s="17">
        <v>3340.52</v>
      </c>
      <c r="AC11" s="17">
        <v>1549.1</v>
      </c>
      <c r="AD11" s="17">
        <v>10.256</v>
      </c>
      <c r="AE11" s="17">
        <v>9.36</v>
      </c>
      <c r="AG11" s="12">
        <f t="shared" si="7"/>
        <v>4.6770899999999997</v>
      </c>
      <c r="AH11" s="13">
        <f t="shared" si="8"/>
        <v>0.22021374818366218</v>
      </c>
      <c r="AI11" s="13">
        <f t="shared" si="9"/>
        <v>9.5659774187259045E-2</v>
      </c>
      <c r="AJ11" s="13">
        <f t="shared" si="10"/>
        <v>5.8062425564855184E-2</v>
      </c>
      <c r="AK11" s="13">
        <f t="shared" si="11"/>
        <v>0.12455397399640314</v>
      </c>
      <c r="AL11" s="10">
        <f t="shared" si="12"/>
        <v>2167152</v>
      </c>
      <c r="AM11" s="13">
        <f t="shared" si="13"/>
        <v>0.22576577441695983</v>
      </c>
      <c r="AN11" s="14">
        <v>22097663</v>
      </c>
      <c r="AO11" s="14">
        <v>690551.96875</v>
      </c>
      <c r="AP11" s="14">
        <v>22579.96875</v>
      </c>
      <c r="AQ11" s="15">
        <v>4988896</v>
      </c>
      <c r="AR11" s="15">
        <v>1315392</v>
      </c>
      <c r="AS11" s="15">
        <v>851760</v>
      </c>
      <c r="AT11" s="15">
        <v>2821744</v>
      </c>
      <c r="AU11" s="16">
        <v>67.608481250000011</v>
      </c>
      <c r="AV11" s="16">
        <v>69.690137499999992</v>
      </c>
      <c r="AW11" s="16">
        <v>34.283925000000004</v>
      </c>
      <c r="AX11" s="16">
        <v>40.018309374999973</v>
      </c>
      <c r="AY11" s="16">
        <v>33.888937499999997</v>
      </c>
      <c r="AZ11" s="17">
        <v>2992.44</v>
      </c>
      <c r="BA11" s="17">
        <v>1707</v>
      </c>
      <c r="BB11" s="17">
        <v>10.875999999999999</v>
      </c>
      <c r="BC11" s="17">
        <v>9.2759999999999998</v>
      </c>
      <c r="BE11" s="18">
        <f t="shared" si="14"/>
        <v>1</v>
      </c>
      <c r="BF11" s="19">
        <f t="shared" si="15"/>
        <v>0</v>
      </c>
      <c r="BG11" s="19">
        <f t="shared" si="16"/>
        <v>0</v>
      </c>
      <c r="BH11" s="19"/>
      <c r="BJ11" s="18"/>
      <c r="BK11" s="18"/>
      <c r="BL11" s="18"/>
      <c r="BM11" s="18"/>
      <c r="BN11" s="18"/>
      <c r="BP11" s="18"/>
      <c r="BQ11" s="18"/>
      <c r="BR11" s="18"/>
      <c r="BS11" s="18"/>
      <c r="BT11" s="18"/>
      <c r="BV11">
        <f t="shared" si="17"/>
        <v>0</v>
      </c>
      <c r="BW11">
        <f t="shared" si="18"/>
        <v>0</v>
      </c>
      <c r="BX11">
        <f t="shared" si="19"/>
        <v>0</v>
      </c>
      <c r="BY11">
        <f t="shared" si="20"/>
        <v>0</v>
      </c>
      <c r="BZ11">
        <f t="shared" si="21"/>
        <v>0</v>
      </c>
      <c r="CA11">
        <f t="shared" si="22"/>
        <v>0</v>
      </c>
      <c r="CB11">
        <f t="shared" si="23"/>
        <v>0</v>
      </c>
      <c r="CC11">
        <f t="shared" si="24"/>
        <v>0</v>
      </c>
      <c r="CD11">
        <f t="shared" si="25"/>
        <v>0</v>
      </c>
      <c r="CE11">
        <f t="shared" si="26"/>
        <v>0</v>
      </c>
      <c r="CF11">
        <f t="shared" si="27"/>
        <v>0</v>
      </c>
      <c r="CG11">
        <f t="shared" si="28"/>
        <v>0</v>
      </c>
      <c r="CJ11" t="s">
        <v>244</v>
      </c>
    </row>
    <row r="12" spans="1:88" outlineLevel="1" x14ac:dyDescent="0.25">
      <c r="A12" s="20"/>
      <c r="B12" s="20" t="s">
        <v>59</v>
      </c>
      <c r="C12" s="21" t="s">
        <v>241</v>
      </c>
      <c r="D12" s="20">
        <v>22654789</v>
      </c>
      <c r="E12" s="21">
        <v>10</v>
      </c>
      <c r="F12" s="21">
        <v>32</v>
      </c>
      <c r="G12" s="21">
        <v>30</v>
      </c>
      <c r="I12" s="22">
        <f t="shared" si="0"/>
        <v>7.3016325000000002</v>
      </c>
      <c r="J12" s="23">
        <f t="shared" si="1"/>
        <v>0.34378638441523335</v>
      </c>
      <c r="K12" s="23">
        <f t="shared" si="2"/>
        <v>0.12149731343779013</v>
      </c>
      <c r="L12" s="23">
        <f t="shared" si="3"/>
        <v>8.389996481538628E-2</v>
      </c>
      <c r="M12" s="23">
        <f t="shared" si="4"/>
        <v>0.22228907097744321</v>
      </c>
      <c r="N12" s="20">
        <f t="shared" si="5"/>
        <v>2752496</v>
      </c>
      <c r="O12" s="23">
        <f t="shared" si="6"/>
        <v>0.34598468667059423</v>
      </c>
      <c r="P12" s="24">
        <v>22510846</v>
      </c>
      <c r="Q12" s="24">
        <v>703463.9375</v>
      </c>
      <c r="R12" s="24">
        <v>24335.25</v>
      </c>
      <c r="S12" s="25">
        <v>7788408</v>
      </c>
      <c r="T12" s="25">
        <v>1900736</v>
      </c>
      <c r="U12" s="25">
        <v>851760</v>
      </c>
      <c r="V12" s="25">
        <v>5035912</v>
      </c>
      <c r="W12" s="26">
        <v>68.959699999999998</v>
      </c>
      <c r="X12" s="26">
        <v>71.322293749999986</v>
      </c>
      <c r="Y12" s="26">
        <v>36.388506250000013</v>
      </c>
      <c r="Z12" s="26">
        <v>40.930831249999997</v>
      </c>
      <c r="AA12" s="26">
        <v>35.648834375000007</v>
      </c>
      <c r="AB12" s="27">
        <v>3351.94</v>
      </c>
      <c r="AC12" s="27">
        <v>1609.01</v>
      </c>
      <c r="AD12" s="27">
        <v>12.22</v>
      </c>
      <c r="AE12" s="27">
        <v>10.208</v>
      </c>
      <c r="AG12" s="22">
        <f t="shared" si="7"/>
        <v>7.3016325000000002</v>
      </c>
      <c r="AH12" s="23">
        <f t="shared" si="8"/>
        <v>0.34378638441523335</v>
      </c>
      <c r="AI12" s="23">
        <f t="shared" si="9"/>
        <v>0.12149731343779013</v>
      </c>
      <c r="AJ12" s="23">
        <f t="shared" si="10"/>
        <v>8.389996481538628E-2</v>
      </c>
      <c r="AK12" s="23">
        <f t="shared" si="11"/>
        <v>0.22228907097744321</v>
      </c>
      <c r="AL12" s="20">
        <f t="shared" si="12"/>
        <v>2752496</v>
      </c>
      <c r="AM12" s="23">
        <f t="shared" si="13"/>
        <v>0.34598468667059423</v>
      </c>
      <c r="AN12" s="24">
        <v>22510846</v>
      </c>
      <c r="AO12" s="24">
        <v>703463.9375</v>
      </c>
      <c r="AP12" s="24">
        <v>24335.25</v>
      </c>
      <c r="AQ12" s="25">
        <v>7788408</v>
      </c>
      <c r="AR12" s="25">
        <v>1900736</v>
      </c>
      <c r="AS12" s="25">
        <v>851760</v>
      </c>
      <c r="AT12" s="25">
        <v>5035912</v>
      </c>
      <c r="AU12" s="26">
        <v>68.959699999999998</v>
      </c>
      <c r="AV12" s="26">
        <v>71.322293749999986</v>
      </c>
      <c r="AW12" s="26">
        <v>36.388506250000013</v>
      </c>
      <c r="AX12" s="26">
        <v>40.930831249999997</v>
      </c>
      <c r="AY12" s="26">
        <v>35.648834375000007</v>
      </c>
      <c r="AZ12" s="27">
        <v>2860.82</v>
      </c>
      <c r="BA12" s="27">
        <v>1771.83</v>
      </c>
      <c r="BB12" s="27">
        <v>12.304</v>
      </c>
      <c r="BC12" s="27">
        <v>9.4160000000000004</v>
      </c>
      <c r="BE12" s="28">
        <f t="shared" si="14"/>
        <v>1</v>
      </c>
      <c r="BF12" s="29">
        <f t="shared" si="15"/>
        <v>0</v>
      </c>
      <c r="BG12" s="29">
        <f t="shared" si="16"/>
        <v>0</v>
      </c>
      <c r="BH12" s="29"/>
      <c r="BJ12" s="28"/>
      <c r="BK12" s="28"/>
      <c r="BL12" s="28"/>
      <c r="BM12" s="28"/>
      <c r="BN12" s="28"/>
      <c r="BP12" s="28"/>
      <c r="BQ12" s="28"/>
      <c r="BR12" s="28"/>
      <c r="BS12" s="28"/>
      <c r="BT12" s="28"/>
      <c r="BV12">
        <f t="shared" si="17"/>
        <v>0</v>
      </c>
      <c r="BW12">
        <f t="shared" si="18"/>
        <v>0</v>
      </c>
      <c r="BX12">
        <f t="shared" si="19"/>
        <v>0</v>
      </c>
      <c r="BY12">
        <f t="shared" si="20"/>
        <v>0</v>
      </c>
      <c r="BZ12">
        <f t="shared" si="21"/>
        <v>0</v>
      </c>
      <c r="CA12">
        <f t="shared" si="22"/>
        <v>0</v>
      </c>
      <c r="CB12">
        <f t="shared" si="23"/>
        <v>0</v>
      </c>
      <c r="CC12">
        <f t="shared" si="24"/>
        <v>0</v>
      </c>
      <c r="CD12">
        <f t="shared" si="25"/>
        <v>0</v>
      </c>
      <c r="CE12">
        <f t="shared" si="26"/>
        <v>0</v>
      </c>
      <c r="CF12">
        <f t="shared" si="27"/>
        <v>0</v>
      </c>
      <c r="CG12">
        <f t="shared" si="28"/>
        <v>0</v>
      </c>
      <c r="CJ12" t="s">
        <v>244</v>
      </c>
    </row>
    <row r="13" spans="1:88" outlineLevel="1" x14ac:dyDescent="0.25">
      <c r="A13" s="10"/>
      <c r="B13" s="10" t="s">
        <v>59</v>
      </c>
      <c r="C13" s="11" t="s">
        <v>242</v>
      </c>
      <c r="D13" s="10">
        <v>22654789</v>
      </c>
      <c r="E13" s="11">
        <v>10</v>
      </c>
      <c r="F13" s="11">
        <v>32</v>
      </c>
      <c r="G13" s="11">
        <v>30</v>
      </c>
      <c r="I13" s="12">
        <f t="shared" si="0"/>
        <v>12.686114999999999</v>
      </c>
      <c r="J13" s="13">
        <f t="shared" si="1"/>
        <v>0.59730664452447557</v>
      </c>
      <c r="K13" s="13">
        <f t="shared" si="2"/>
        <v>0.1665703441334192</v>
      </c>
      <c r="L13" s="13">
        <f t="shared" si="3"/>
        <v>0.12897299551101535</v>
      </c>
      <c r="M13" s="13">
        <f t="shared" si="4"/>
        <v>0.43073630039105637</v>
      </c>
      <c r="N13" s="10">
        <f t="shared" si="5"/>
        <v>3773616</v>
      </c>
      <c r="O13" s="13">
        <f t="shared" si="6"/>
        <v>0.58097233529879411</v>
      </c>
      <c r="P13" s="14">
        <v>23291739</v>
      </c>
      <c r="Q13" s="14">
        <v>727866.84375</v>
      </c>
      <c r="R13" s="14">
        <v>27670.5</v>
      </c>
      <c r="S13" s="15">
        <v>13531856</v>
      </c>
      <c r="T13" s="15">
        <v>2921856</v>
      </c>
      <c r="U13" s="15">
        <v>851760</v>
      </c>
      <c r="V13" s="15">
        <v>9758240</v>
      </c>
      <c r="W13" s="16">
        <v>70.061584374999995</v>
      </c>
      <c r="X13" s="16">
        <v>72.575809375000006</v>
      </c>
      <c r="Y13" s="16">
        <v>38.706528124999998</v>
      </c>
      <c r="Z13" s="16">
        <v>42.110090624999998</v>
      </c>
      <c r="AA13" s="16">
        <v>37.681550000000001</v>
      </c>
      <c r="AB13" s="17">
        <v>3327.84</v>
      </c>
      <c r="AC13" s="17">
        <v>1741.28</v>
      </c>
      <c r="AD13" s="17">
        <v>12.343999999999999</v>
      </c>
      <c r="AE13" s="17">
        <v>10.436</v>
      </c>
      <c r="AG13" s="12">
        <f t="shared" si="7"/>
        <v>12.686114999999999</v>
      </c>
      <c r="AH13" s="13">
        <f t="shared" si="8"/>
        <v>0.59730664452447557</v>
      </c>
      <c r="AI13" s="13">
        <f t="shared" si="9"/>
        <v>0.1665703441334192</v>
      </c>
      <c r="AJ13" s="13">
        <f t="shared" si="10"/>
        <v>0.12897299551101535</v>
      </c>
      <c r="AK13" s="13">
        <f t="shared" si="11"/>
        <v>0.43073630039105637</v>
      </c>
      <c r="AL13" s="10">
        <f t="shared" si="12"/>
        <v>3773616</v>
      </c>
      <c r="AM13" s="13">
        <f t="shared" si="13"/>
        <v>0.58097233529879411</v>
      </c>
      <c r="AN13" s="14">
        <v>23291739</v>
      </c>
      <c r="AO13" s="14">
        <v>727866.84375</v>
      </c>
      <c r="AP13" s="14">
        <v>27670.5</v>
      </c>
      <c r="AQ13" s="15">
        <v>13531856</v>
      </c>
      <c r="AR13" s="15">
        <v>2921856</v>
      </c>
      <c r="AS13" s="15">
        <v>851760</v>
      </c>
      <c r="AT13" s="15">
        <v>9758240</v>
      </c>
      <c r="AU13" s="16">
        <v>70.061584374999995</v>
      </c>
      <c r="AV13" s="16">
        <v>72.575809375000006</v>
      </c>
      <c r="AW13" s="16">
        <v>38.706528124999998</v>
      </c>
      <c r="AX13" s="16">
        <v>42.110090624999998</v>
      </c>
      <c r="AY13" s="16">
        <v>37.681550000000001</v>
      </c>
      <c r="AZ13" s="17">
        <v>3302.89</v>
      </c>
      <c r="BA13" s="17">
        <v>1762.06</v>
      </c>
      <c r="BB13" s="17">
        <v>12.256</v>
      </c>
      <c r="BC13" s="17">
        <v>11.8</v>
      </c>
      <c r="BE13" s="18">
        <f t="shared" si="14"/>
        <v>1</v>
      </c>
      <c r="BF13" s="19">
        <f t="shared" si="15"/>
        <v>0</v>
      </c>
      <c r="BG13" s="19">
        <f t="shared" si="16"/>
        <v>0</v>
      </c>
      <c r="BH13" s="19"/>
      <c r="BJ13" s="18"/>
      <c r="BK13" s="18"/>
      <c r="BL13" s="18"/>
      <c r="BM13" s="18"/>
      <c r="BN13" s="18"/>
      <c r="BP13" s="18"/>
      <c r="BQ13" s="18"/>
      <c r="BR13" s="18"/>
      <c r="BS13" s="18"/>
      <c r="BT13" s="18"/>
      <c r="BV13">
        <f t="shared" si="17"/>
        <v>0</v>
      </c>
      <c r="BW13">
        <f t="shared" si="18"/>
        <v>0</v>
      </c>
      <c r="BX13">
        <f t="shared" si="19"/>
        <v>0</v>
      </c>
      <c r="BY13">
        <f t="shared" si="20"/>
        <v>0</v>
      </c>
      <c r="BZ13">
        <f t="shared" si="21"/>
        <v>0</v>
      </c>
      <c r="CA13">
        <f t="shared" si="22"/>
        <v>0</v>
      </c>
      <c r="CB13">
        <f t="shared" si="23"/>
        <v>0</v>
      </c>
      <c r="CC13">
        <f t="shared" si="24"/>
        <v>0</v>
      </c>
      <c r="CD13">
        <f t="shared" si="25"/>
        <v>0</v>
      </c>
      <c r="CE13">
        <f t="shared" si="26"/>
        <v>0</v>
      </c>
      <c r="CF13">
        <f t="shared" si="27"/>
        <v>0</v>
      </c>
      <c r="CG13">
        <f t="shared" si="28"/>
        <v>0</v>
      </c>
      <c r="CJ13" t="s">
        <v>244</v>
      </c>
    </row>
    <row r="14" spans="1:88" ht="15.75" customHeight="1" outlineLevel="1" thickBot="1" x14ac:dyDescent="0.3">
      <c r="A14" s="20"/>
      <c r="B14" s="40" t="s">
        <v>59</v>
      </c>
      <c r="C14" s="41" t="s">
        <v>243</v>
      </c>
      <c r="D14" s="40">
        <v>22654789</v>
      </c>
      <c r="E14" s="41">
        <v>10</v>
      </c>
      <c r="F14" s="41">
        <v>32</v>
      </c>
      <c r="G14" s="41">
        <v>30</v>
      </c>
      <c r="I14" s="42">
        <f t="shared" si="0"/>
        <v>22.983907500000001</v>
      </c>
      <c r="J14" s="43">
        <f t="shared" si="1"/>
        <v>1.082162716236289</v>
      </c>
      <c r="K14" s="43">
        <f t="shared" si="2"/>
        <v>0.27324695012608591</v>
      </c>
      <c r="L14" s="43">
        <f t="shared" si="3"/>
        <v>0.20367508167919815</v>
      </c>
      <c r="M14" s="43">
        <f t="shared" si="4"/>
        <v>0.80891576611020299</v>
      </c>
      <c r="N14" s="40">
        <f t="shared" si="5"/>
        <v>6190352</v>
      </c>
      <c r="O14" s="43">
        <f t="shared" si="6"/>
        <v>1.1081226697310838</v>
      </c>
      <c r="P14" s="44">
        <v>22124056</v>
      </c>
      <c r="Q14" s="44">
        <v>691376.75</v>
      </c>
      <c r="R14" s="44">
        <v>13142.46875</v>
      </c>
      <c r="S14" s="45">
        <v>24516168</v>
      </c>
      <c r="T14" s="45">
        <v>4614216</v>
      </c>
      <c r="U14" s="45">
        <v>1576136</v>
      </c>
      <c r="V14" s="45">
        <v>18325816</v>
      </c>
      <c r="W14" s="46">
        <v>70.929762500000024</v>
      </c>
      <c r="X14" s="46">
        <v>74.680228124999985</v>
      </c>
      <c r="Y14" s="46">
        <v>40.952350000000003</v>
      </c>
      <c r="Z14" s="46">
        <v>43.421581250000003</v>
      </c>
      <c r="AA14" s="46">
        <v>39.439212499999996</v>
      </c>
      <c r="AB14" s="47">
        <v>3321.85</v>
      </c>
      <c r="AC14" s="47">
        <v>1953.59</v>
      </c>
      <c r="AD14" s="47">
        <v>10.48</v>
      </c>
      <c r="AE14" s="47">
        <v>12.507999999999999</v>
      </c>
      <c r="AG14" s="42">
        <f t="shared" si="7"/>
        <v>22.983907500000001</v>
      </c>
      <c r="AH14" s="43">
        <f t="shared" si="8"/>
        <v>1.082162716236289</v>
      </c>
      <c r="AI14" s="43">
        <f t="shared" si="9"/>
        <v>0.27324695012608591</v>
      </c>
      <c r="AJ14" s="43">
        <f t="shared" si="10"/>
        <v>0.20367508167919815</v>
      </c>
      <c r="AK14" s="43">
        <f t="shared" si="11"/>
        <v>0.80891576611020299</v>
      </c>
      <c r="AL14" s="40">
        <f t="shared" si="12"/>
        <v>6190352</v>
      </c>
      <c r="AM14" s="43">
        <f t="shared" si="13"/>
        <v>1.1081226697310838</v>
      </c>
      <c r="AN14" s="44">
        <v>22124056</v>
      </c>
      <c r="AO14" s="44">
        <v>691376.75</v>
      </c>
      <c r="AP14" s="44">
        <v>13142.46875</v>
      </c>
      <c r="AQ14" s="45">
        <v>24516168</v>
      </c>
      <c r="AR14" s="45">
        <v>4614216</v>
      </c>
      <c r="AS14" s="45">
        <v>1576136</v>
      </c>
      <c r="AT14" s="45">
        <v>18325816</v>
      </c>
      <c r="AU14" s="46">
        <v>70.929762500000024</v>
      </c>
      <c r="AV14" s="46">
        <v>74.680228124999985</v>
      </c>
      <c r="AW14" s="46">
        <v>40.952350000000003</v>
      </c>
      <c r="AX14" s="46">
        <v>43.421581250000003</v>
      </c>
      <c r="AY14" s="46">
        <v>39.439212499999996</v>
      </c>
      <c r="AZ14" s="47">
        <v>3273.57</v>
      </c>
      <c r="BA14" s="47">
        <v>1991.14</v>
      </c>
      <c r="BB14" s="47">
        <v>12.132</v>
      </c>
      <c r="BC14" s="47">
        <v>12.423999999999999</v>
      </c>
      <c r="BE14" s="48">
        <f t="shared" si="14"/>
        <v>1</v>
      </c>
      <c r="BF14" s="49">
        <f t="shared" si="15"/>
        <v>0</v>
      </c>
      <c r="BG14" s="49">
        <f t="shared" si="16"/>
        <v>0</v>
      </c>
      <c r="BH14" s="49"/>
      <c r="BJ14" s="48"/>
      <c r="BK14" s="48"/>
      <c r="BL14" s="48"/>
      <c r="BM14" s="48"/>
      <c r="BN14" s="48"/>
      <c r="BP14" s="48"/>
      <c r="BQ14" s="48"/>
      <c r="BR14" s="48"/>
      <c r="BS14" s="48"/>
      <c r="BT14" s="48"/>
      <c r="BV14">
        <f t="shared" si="17"/>
        <v>0</v>
      </c>
      <c r="BW14">
        <f t="shared" si="18"/>
        <v>0</v>
      </c>
      <c r="BX14">
        <f t="shared" si="19"/>
        <v>0</v>
      </c>
      <c r="BY14">
        <f t="shared" si="20"/>
        <v>0</v>
      </c>
      <c r="BZ14">
        <f t="shared" si="21"/>
        <v>0</v>
      </c>
      <c r="CA14">
        <f t="shared" si="22"/>
        <v>0</v>
      </c>
      <c r="CB14">
        <f t="shared" si="23"/>
        <v>0</v>
      </c>
      <c r="CC14">
        <f t="shared" si="24"/>
        <v>0</v>
      </c>
      <c r="CD14">
        <f t="shared" si="25"/>
        <v>0</v>
      </c>
      <c r="CE14">
        <f t="shared" si="26"/>
        <v>0</v>
      </c>
      <c r="CF14">
        <f t="shared" si="27"/>
        <v>0</v>
      </c>
      <c r="CG14">
        <f t="shared" si="28"/>
        <v>0</v>
      </c>
      <c r="CJ14" t="s">
        <v>244</v>
      </c>
    </row>
    <row r="15" spans="1:88" x14ac:dyDescent="0.25">
      <c r="A15" s="10"/>
      <c r="B15" s="10" t="s">
        <v>64</v>
      </c>
      <c r="C15" s="11" t="s">
        <v>238</v>
      </c>
      <c r="D15" s="10">
        <v>33947718</v>
      </c>
      <c r="E15" s="11">
        <v>10</v>
      </c>
      <c r="F15" s="11">
        <v>32</v>
      </c>
      <c r="G15" s="11">
        <v>30</v>
      </c>
      <c r="I15" s="12">
        <f t="shared" si="0"/>
        <v>4.4671200000000004</v>
      </c>
      <c r="J15" s="13">
        <f t="shared" si="1"/>
        <v>0.14036077476547909</v>
      </c>
      <c r="K15" s="13">
        <f t="shared" si="2"/>
        <v>7.9041306988587565E-2</v>
      </c>
      <c r="L15" s="13">
        <f t="shared" si="3"/>
        <v>4.1738534531245958E-2</v>
      </c>
      <c r="M15" s="13">
        <f t="shared" si="4"/>
        <v>6.1319467776891512E-2</v>
      </c>
      <c r="N15" s="10">
        <f t="shared" si="5"/>
        <v>2683272</v>
      </c>
      <c r="O15" s="13">
        <f t="shared" si="6"/>
        <v>0.15327799351217367</v>
      </c>
      <c r="P15" s="14">
        <v>31086837</v>
      </c>
      <c r="Q15" s="14">
        <v>971463.65625</v>
      </c>
      <c r="R15" s="14">
        <v>27534.65625</v>
      </c>
      <c r="S15" s="15">
        <v>4764928</v>
      </c>
      <c r="T15" s="15">
        <v>1416928</v>
      </c>
      <c r="U15" s="15">
        <v>1266344</v>
      </c>
      <c r="V15" s="15">
        <v>2081656</v>
      </c>
      <c r="W15" s="16">
        <v>65.923293750000013</v>
      </c>
      <c r="X15" s="16">
        <v>67.651821874999982</v>
      </c>
      <c r="Y15" s="16">
        <v>29.455387500000011</v>
      </c>
      <c r="Z15" s="16">
        <v>43.093790624999997</v>
      </c>
      <c r="AA15" s="16">
        <v>43.265300000000003</v>
      </c>
      <c r="AB15" s="17">
        <v>4758.13</v>
      </c>
      <c r="AC15" s="17">
        <v>1474.78</v>
      </c>
      <c r="AD15" s="17">
        <v>13.868</v>
      </c>
      <c r="AE15" s="17">
        <v>9.8040000000000003</v>
      </c>
      <c r="AG15" s="12">
        <f t="shared" si="7"/>
        <v>4.4671200000000004</v>
      </c>
      <c r="AH15" s="13">
        <f t="shared" si="8"/>
        <v>0.14036077476547909</v>
      </c>
      <c r="AI15" s="13">
        <f t="shared" si="9"/>
        <v>7.9041306988587565E-2</v>
      </c>
      <c r="AJ15" s="13">
        <f t="shared" si="10"/>
        <v>4.1738534531245958E-2</v>
      </c>
      <c r="AK15" s="13">
        <f t="shared" si="11"/>
        <v>6.1319467776891512E-2</v>
      </c>
      <c r="AL15" s="10">
        <f t="shared" si="12"/>
        <v>2683272</v>
      </c>
      <c r="AM15" s="13">
        <f t="shared" si="13"/>
        <v>0.15327799351217367</v>
      </c>
      <c r="AN15" s="14">
        <v>31086837</v>
      </c>
      <c r="AO15" s="14">
        <v>971463.65625</v>
      </c>
      <c r="AP15" s="14">
        <v>27534.65625</v>
      </c>
      <c r="AQ15" s="15">
        <v>4764928</v>
      </c>
      <c r="AR15" s="15">
        <v>1416928</v>
      </c>
      <c r="AS15" s="15">
        <v>1266344</v>
      </c>
      <c r="AT15" s="15">
        <v>2081656</v>
      </c>
      <c r="AU15" s="16">
        <v>65.923293750000013</v>
      </c>
      <c r="AV15" s="16">
        <v>67.651821874999982</v>
      </c>
      <c r="AW15" s="16">
        <v>29.455387500000011</v>
      </c>
      <c r="AX15" s="16">
        <v>43.093790624999997</v>
      </c>
      <c r="AY15" s="16">
        <v>43.265300000000003</v>
      </c>
      <c r="AZ15" s="17">
        <v>4678.04</v>
      </c>
      <c r="BA15" s="17">
        <v>1471.13</v>
      </c>
      <c r="BB15" s="17">
        <v>14.416</v>
      </c>
      <c r="BC15" s="17">
        <v>9.34</v>
      </c>
      <c r="BE15" s="18">
        <f t="shared" si="14"/>
        <v>1</v>
      </c>
      <c r="BF15" s="19">
        <f t="shared" si="15"/>
        <v>0</v>
      </c>
      <c r="BG15" s="19">
        <f t="shared" si="16"/>
        <v>0</v>
      </c>
      <c r="BH15" s="19">
        <f t="array" ref="BH15">AVERAGE(AL15:AL19/AQ15:AQ19) - AVERAGE(N15:N19/S15:S19)</f>
        <v>0</v>
      </c>
      <c r="BJ15" s="18">
        <f>IF( OR(ISBLANK(N15:N19),ISBLANK(AL15:AL19), ISBLANK(W15:W19),ISBLANK(AU15:AU19)), "·", bdRateExtend( N15:N19,W15:W19, AL15:AL19,AU15:AU19))</f>
        <v>0</v>
      </c>
      <c r="BK15" s="18">
        <f>IF( OR(ISBLANK(N15:N19),ISBLANK(AL15:AL19), ISBLANK(X15:X19),ISBLANK(AV15:AV19)), "·", bdRateExtend( N15:N19,X15:X19, AL15:AL19,AV15:AV19))</f>
        <v>0</v>
      </c>
      <c r="BL15" s="18">
        <f>IF( OR(ISBLANK(V15:V19),ISBLANK(AT15:AT19), ISBLANK(Y15:Y19),ISBLANK(AW15:AW19)), "·", bdRateExtend( V15:V19,Y15:Y19, AT15:AT19,AW15:AW19))</f>
        <v>0</v>
      </c>
      <c r="BM15" s="18">
        <f>IF( OR(ISBLANK(V15:V19),ISBLANK(AT15:AT19), ISBLANK(Z15:Z19),ISBLANK(AX15:AX19)), "·", bdRateExtend( V15:V19,Z15:Z19, AT15:AT19,AX15:AX19))</f>
        <v>0</v>
      </c>
      <c r="BN15" s="18">
        <f>IF( OR(ISBLANK(V15:V19),ISBLANK(AT15:AT19), ISBLANK(AA15:AA19),ISBLANK(AY15:AY19)), "·", bdRateExtend( V15:V19,AA15:AA19, AT15:AT19,AY15:AY19))</f>
        <v>0</v>
      </c>
      <c r="BP15" s="18">
        <f>IF( OR(ISBLANK(S15:S19),ISBLANK(AQ15:AQ19), ISBLANK(W15:W19),ISBLANK(AU15:AU19)), "·", bdRateExtend( S15:S19,W15:W19, AQ15:AQ19,AU15:AU19))</f>
        <v>0</v>
      </c>
      <c r="BQ15" s="18">
        <f>IF( OR(ISBLANK(S15:S19),ISBLANK(AQ15:AQ19), ISBLANK(X15:X19),ISBLANK(AV15:AV19)), "·", bdRateExtend( S15:S19,X15:X19, AQ15:AQ19,AV15:AV19))</f>
        <v>0</v>
      </c>
      <c r="BR15" s="18">
        <f>IF( OR(ISBLANK(S15:S19),ISBLANK(AQ15:AQ19), ISBLANK(Y15:Y19),ISBLANK(AW15:AW19)), "·", bdRateExtend( S15:S19,Y15:Y19, AQ15:AQ19,AW15:AW19))</f>
        <v>0</v>
      </c>
      <c r="BS15" s="18">
        <f>IF( OR(ISBLANK(S15:S19),ISBLANK(AQ15:AQ19), ISBLANK(Z15:Z19),ISBLANK(AX15:AX19)), "·", bdRateExtend( S15:S19,Z15:Z19, AQ15:AQ19,AX15:AX19))</f>
        <v>0</v>
      </c>
      <c r="BT15" s="18">
        <f>IF( OR(ISBLANK(S15:S19),ISBLANK(AQ15:AQ19), ISBLANK(AA15:AA19),ISBLANK(AY15:AY19)), "·", bdRateExtend( S15:S19,AA15:AA19, AQ15:AQ19,AY15:AY19))</f>
        <v>0</v>
      </c>
      <c r="BV15">
        <f t="shared" si="17"/>
        <v>0</v>
      </c>
      <c r="BW15">
        <f t="shared" si="18"/>
        <v>0</v>
      </c>
      <c r="BX15">
        <f t="shared" si="19"/>
        <v>0</v>
      </c>
      <c r="BY15">
        <f t="shared" si="20"/>
        <v>0</v>
      </c>
      <c r="BZ15">
        <f t="shared" si="21"/>
        <v>0</v>
      </c>
      <c r="CA15">
        <f t="shared" si="22"/>
        <v>0</v>
      </c>
      <c r="CB15">
        <f t="shared" si="23"/>
        <v>0</v>
      </c>
      <c r="CC15">
        <f t="shared" si="24"/>
        <v>0</v>
      </c>
      <c r="CD15">
        <f t="shared" si="25"/>
        <v>0</v>
      </c>
      <c r="CE15">
        <f t="shared" si="26"/>
        <v>0</v>
      </c>
      <c r="CF15">
        <f t="shared" si="27"/>
        <v>0</v>
      </c>
      <c r="CG15">
        <f t="shared" si="28"/>
        <v>0</v>
      </c>
      <c r="CJ15" t="s">
        <v>239</v>
      </c>
    </row>
    <row r="16" spans="1:88" outlineLevel="1" x14ac:dyDescent="0.25">
      <c r="A16" s="20"/>
      <c r="B16" s="20" t="s">
        <v>64</v>
      </c>
      <c r="C16" s="21" t="s">
        <v>240</v>
      </c>
      <c r="D16" s="20">
        <v>33947718</v>
      </c>
      <c r="E16" s="21">
        <v>10</v>
      </c>
      <c r="F16" s="21">
        <v>32</v>
      </c>
      <c r="G16" s="21">
        <v>30</v>
      </c>
      <c r="I16" s="22">
        <f t="shared" si="0"/>
        <v>7.1478450000000002</v>
      </c>
      <c r="J16" s="23">
        <f t="shared" si="1"/>
        <v>0.22459147327664264</v>
      </c>
      <c r="K16" s="23">
        <f t="shared" si="2"/>
        <v>9.6197099316071843E-2</v>
      </c>
      <c r="L16" s="23">
        <f t="shared" si="3"/>
        <v>5.8894326858730237E-2</v>
      </c>
      <c r="M16" s="23">
        <f t="shared" si="4"/>
        <v>0.12839437396057077</v>
      </c>
      <c r="N16" s="20">
        <f t="shared" si="5"/>
        <v>3265672</v>
      </c>
      <c r="O16" s="23">
        <f t="shared" si="6"/>
        <v>0.22975017501634451</v>
      </c>
      <c r="P16" s="24">
        <v>33185472</v>
      </c>
      <c r="Q16" s="24">
        <v>1037046</v>
      </c>
      <c r="R16" s="24">
        <v>34248.84375</v>
      </c>
      <c r="S16" s="25">
        <v>7624368</v>
      </c>
      <c r="T16" s="25">
        <v>1999328</v>
      </c>
      <c r="U16" s="25">
        <v>1266344</v>
      </c>
      <c r="V16" s="25">
        <v>4358696</v>
      </c>
      <c r="W16" s="26">
        <v>67.712431249999995</v>
      </c>
      <c r="X16" s="26">
        <v>69.726390625000022</v>
      </c>
      <c r="Y16" s="26">
        <v>31.85769375000001</v>
      </c>
      <c r="Z16" s="26">
        <v>43.946984374999992</v>
      </c>
      <c r="AA16" s="26">
        <v>44.189534375000001</v>
      </c>
      <c r="AB16" s="27">
        <v>4813.62</v>
      </c>
      <c r="AC16" s="27">
        <v>1574.5</v>
      </c>
      <c r="AD16" s="27">
        <v>14.231999999999999</v>
      </c>
      <c r="AE16" s="27">
        <v>11.343999999999999</v>
      </c>
      <c r="AG16" s="22">
        <f t="shared" si="7"/>
        <v>7.1478450000000002</v>
      </c>
      <c r="AH16" s="23">
        <f t="shared" si="8"/>
        <v>0.22459147327664264</v>
      </c>
      <c r="AI16" s="23">
        <f t="shared" si="9"/>
        <v>9.6197099316071843E-2</v>
      </c>
      <c r="AJ16" s="23">
        <f t="shared" si="10"/>
        <v>5.8894326858730237E-2</v>
      </c>
      <c r="AK16" s="23">
        <f t="shared" si="11"/>
        <v>0.12839437396057077</v>
      </c>
      <c r="AL16" s="20">
        <f t="shared" si="12"/>
        <v>3265672</v>
      </c>
      <c r="AM16" s="23">
        <f t="shared" si="13"/>
        <v>0.22975017501634451</v>
      </c>
      <c r="AN16" s="24">
        <v>33185472</v>
      </c>
      <c r="AO16" s="24">
        <v>1037046</v>
      </c>
      <c r="AP16" s="24">
        <v>34248.84375</v>
      </c>
      <c r="AQ16" s="25">
        <v>7624368</v>
      </c>
      <c r="AR16" s="25">
        <v>1999328</v>
      </c>
      <c r="AS16" s="25">
        <v>1266344</v>
      </c>
      <c r="AT16" s="25">
        <v>4358696</v>
      </c>
      <c r="AU16" s="26">
        <v>67.712431249999995</v>
      </c>
      <c r="AV16" s="26">
        <v>69.726390625000022</v>
      </c>
      <c r="AW16" s="26">
        <v>31.85769375000001</v>
      </c>
      <c r="AX16" s="26">
        <v>43.946984374999992</v>
      </c>
      <c r="AY16" s="26">
        <v>44.189534375000001</v>
      </c>
      <c r="AZ16" s="27">
        <v>4720.6400000000003</v>
      </c>
      <c r="BA16" s="27">
        <v>1569.77</v>
      </c>
      <c r="BB16" s="27">
        <v>14.324</v>
      </c>
      <c r="BC16" s="27">
        <v>10.276</v>
      </c>
      <c r="BE16" s="28">
        <f t="shared" si="14"/>
        <v>1</v>
      </c>
      <c r="BF16" s="29">
        <f t="shared" si="15"/>
        <v>0</v>
      </c>
      <c r="BG16" s="29">
        <f t="shared" si="16"/>
        <v>0</v>
      </c>
      <c r="BH16" s="29"/>
      <c r="BJ16" s="28"/>
      <c r="BK16" s="28"/>
      <c r="BL16" s="28"/>
      <c r="BM16" s="28"/>
      <c r="BN16" s="28"/>
      <c r="BP16" s="28"/>
      <c r="BQ16" s="28"/>
      <c r="BR16" s="28"/>
      <c r="BS16" s="28"/>
      <c r="BT16" s="28"/>
      <c r="BV16">
        <f t="shared" si="17"/>
        <v>0</v>
      </c>
      <c r="BW16">
        <f t="shared" si="18"/>
        <v>0</v>
      </c>
      <c r="BX16">
        <f t="shared" si="19"/>
        <v>0</v>
      </c>
      <c r="BY16">
        <f t="shared" si="20"/>
        <v>0</v>
      </c>
      <c r="BZ16">
        <f t="shared" si="21"/>
        <v>0</v>
      </c>
      <c r="CA16">
        <f t="shared" si="22"/>
        <v>0</v>
      </c>
      <c r="CB16">
        <f t="shared" si="23"/>
        <v>0</v>
      </c>
      <c r="CC16">
        <f t="shared" si="24"/>
        <v>0</v>
      </c>
      <c r="CD16">
        <f t="shared" si="25"/>
        <v>0</v>
      </c>
      <c r="CE16">
        <f t="shared" si="26"/>
        <v>0</v>
      </c>
      <c r="CF16">
        <f t="shared" si="27"/>
        <v>0</v>
      </c>
      <c r="CG16">
        <f t="shared" si="28"/>
        <v>0</v>
      </c>
      <c r="CJ16" t="s">
        <v>239</v>
      </c>
    </row>
    <row r="17" spans="1:88" outlineLevel="1" x14ac:dyDescent="0.25">
      <c r="A17" s="10"/>
      <c r="B17" s="10" t="s">
        <v>64</v>
      </c>
      <c r="C17" s="11" t="s">
        <v>241</v>
      </c>
      <c r="D17" s="10">
        <v>33947718</v>
      </c>
      <c r="E17" s="11">
        <v>10</v>
      </c>
      <c r="F17" s="11">
        <v>32</v>
      </c>
      <c r="G17" s="11">
        <v>30</v>
      </c>
      <c r="I17" s="12">
        <f t="shared" si="0"/>
        <v>12.173752500000001</v>
      </c>
      <c r="J17" s="13">
        <f t="shared" si="1"/>
        <v>0.38250983468167138</v>
      </c>
      <c r="K17" s="13">
        <f t="shared" si="2"/>
        <v>0.12241788976802506</v>
      </c>
      <c r="L17" s="13">
        <f t="shared" si="3"/>
        <v>8.5115117310683441E-2</v>
      </c>
      <c r="M17" s="13">
        <f t="shared" si="4"/>
        <v>0.26009194491364634</v>
      </c>
      <c r="N17" s="10">
        <f t="shared" si="5"/>
        <v>4155808</v>
      </c>
      <c r="O17" s="13">
        <f t="shared" si="6"/>
        <v>0.38641836345865394</v>
      </c>
      <c r="P17" s="14">
        <v>33604345</v>
      </c>
      <c r="Q17" s="14">
        <v>1050135.78125</v>
      </c>
      <c r="R17" s="14">
        <v>36065.3125</v>
      </c>
      <c r="S17" s="15">
        <v>12985336</v>
      </c>
      <c r="T17" s="15">
        <v>2889464</v>
      </c>
      <c r="U17" s="15">
        <v>1266344</v>
      </c>
      <c r="V17" s="15">
        <v>8829528</v>
      </c>
      <c r="W17" s="16">
        <v>69.134887499999991</v>
      </c>
      <c r="X17" s="16">
        <v>71.577937500000019</v>
      </c>
      <c r="Y17" s="16">
        <v>34.386512499999988</v>
      </c>
      <c r="Z17" s="16">
        <v>44.755790625000003</v>
      </c>
      <c r="AA17" s="16">
        <v>45.138921875000008</v>
      </c>
      <c r="AB17" s="17">
        <v>4798.6000000000004</v>
      </c>
      <c r="AC17" s="17">
        <v>1699.37</v>
      </c>
      <c r="AD17" s="17">
        <v>14.68</v>
      </c>
      <c r="AE17" s="17">
        <v>12.327999999999999</v>
      </c>
      <c r="AG17" s="12">
        <f t="shared" si="7"/>
        <v>12.173752500000001</v>
      </c>
      <c r="AH17" s="13">
        <f t="shared" si="8"/>
        <v>0.38250983468167138</v>
      </c>
      <c r="AI17" s="13">
        <f t="shared" si="9"/>
        <v>0.12241788976802506</v>
      </c>
      <c r="AJ17" s="13">
        <f t="shared" si="10"/>
        <v>8.5115117310683441E-2</v>
      </c>
      <c r="AK17" s="13">
        <f t="shared" si="11"/>
        <v>0.26009194491364634</v>
      </c>
      <c r="AL17" s="10">
        <f t="shared" si="12"/>
        <v>4155808</v>
      </c>
      <c r="AM17" s="13">
        <f t="shared" si="13"/>
        <v>0.38641836345865394</v>
      </c>
      <c r="AN17" s="14">
        <v>33604345</v>
      </c>
      <c r="AO17" s="14">
        <v>1050135.78125</v>
      </c>
      <c r="AP17" s="14">
        <v>36065.3125</v>
      </c>
      <c r="AQ17" s="15">
        <v>12985336</v>
      </c>
      <c r="AR17" s="15">
        <v>2889464</v>
      </c>
      <c r="AS17" s="15">
        <v>1266344</v>
      </c>
      <c r="AT17" s="15">
        <v>8829528</v>
      </c>
      <c r="AU17" s="16">
        <v>69.134887499999991</v>
      </c>
      <c r="AV17" s="16">
        <v>71.577937500000019</v>
      </c>
      <c r="AW17" s="16">
        <v>34.386512499999988</v>
      </c>
      <c r="AX17" s="16">
        <v>44.755790625000003</v>
      </c>
      <c r="AY17" s="16">
        <v>45.138921875000008</v>
      </c>
      <c r="AZ17" s="17">
        <v>4739.17</v>
      </c>
      <c r="BA17" s="17">
        <v>1719.74</v>
      </c>
      <c r="BB17" s="17">
        <v>16.356000000000002</v>
      </c>
      <c r="BC17" s="17">
        <v>9.8239999999999998</v>
      </c>
      <c r="BE17" s="18">
        <f t="shared" si="14"/>
        <v>1</v>
      </c>
      <c r="BF17" s="19">
        <f t="shared" si="15"/>
        <v>0</v>
      </c>
      <c r="BG17" s="19">
        <f t="shared" si="16"/>
        <v>0</v>
      </c>
      <c r="BH17" s="19"/>
      <c r="BJ17" s="18"/>
      <c r="BK17" s="18"/>
      <c r="BL17" s="18"/>
      <c r="BM17" s="18"/>
      <c r="BN17" s="18"/>
      <c r="BP17" s="18"/>
      <c r="BQ17" s="18"/>
      <c r="BR17" s="18"/>
      <c r="BS17" s="18"/>
      <c r="BT17" s="18"/>
      <c r="BV17">
        <f t="shared" si="17"/>
        <v>0</v>
      </c>
      <c r="BW17">
        <f t="shared" si="18"/>
        <v>0</v>
      </c>
      <c r="BX17">
        <f t="shared" si="19"/>
        <v>0</v>
      </c>
      <c r="BY17">
        <f t="shared" si="20"/>
        <v>0</v>
      </c>
      <c r="BZ17">
        <f t="shared" si="21"/>
        <v>0</v>
      </c>
      <c r="CA17">
        <f t="shared" si="22"/>
        <v>0</v>
      </c>
      <c r="CB17">
        <f t="shared" si="23"/>
        <v>0</v>
      </c>
      <c r="CC17">
        <f t="shared" si="24"/>
        <v>0</v>
      </c>
      <c r="CD17">
        <f t="shared" si="25"/>
        <v>0</v>
      </c>
      <c r="CE17">
        <f t="shared" si="26"/>
        <v>0</v>
      </c>
      <c r="CF17">
        <f t="shared" si="27"/>
        <v>0</v>
      </c>
      <c r="CG17">
        <f t="shared" si="28"/>
        <v>0</v>
      </c>
      <c r="CJ17" t="s">
        <v>239</v>
      </c>
    </row>
    <row r="18" spans="1:88" outlineLevel="1" x14ac:dyDescent="0.25">
      <c r="A18" s="20"/>
      <c r="B18" s="20" t="s">
        <v>64</v>
      </c>
      <c r="C18" s="21" t="s">
        <v>242</v>
      </c>
      <c r="D18" s="20">
        <v>33947718</v>
      </c>
      <c r="E18" s="21">
        <v>10</v>
      </c>
      <c r="F18" s="21">
        <v>32</v>
      </c>
      <c r="G18" s="21">
        <v>30</v>
      </c>
      <c r="I18" s="22">
        <f t="shared" si="0"/>
        <v>22.0723275</v>
      </c>
      <c r="J18" s="23">
        <f t="shared" si="1"/>
        <v>0.69353162412860858</v>
      </c>
      <c r="K18" s="23">
        <f t="shared" si="2"/>
        <v>0.16520768789230544</v>
      </c>
      <c r="L18" s="23">
        <f t="shared" si="3"/>
        <v>0.12790491543496385</v>
      </c>
      <c r="M18" s="23">
        <f t="shared" si="4"/>
        <v>0.52832393623630314</v>
      </c>
      <c r="N18" s="20">
        <f t="shared" si="5"/>
        <v>5608424</v>
      </c>
      <c r="O18" s="23">
        <f t="shared" si="6"/>
        <v>0.67655775162676568</v>
      </c>
      <c r="P18" s="24">
        <v>34799418</v>
      </c>
      <c r="Q18" s="24">
        <v>1087481.8125</v>
      </c>
      <c r="R18" s="24">
        <v>40309.5</v>
      </c>
      <c r="S18" s="25">
        <v>23543816</v>
      </c>
      <c r="T18" s="25">
        <v>4342080</v>
      </c>
      <c r="U18" s="25">
        <v>1266344</v>
      </c>
      <c r="V18" s="25">
        <v>17935392</v>
      </c>
      <c r="W18" s="26">
        <v>70.357356249999995</v>
      </c>
      <c r="X18" s="26">
        <v>72.928971875000002</v>
      </c>
      <c r="Y18" s="26">
        <v>37.045281250000009</v>
      </c>
      <c r="Z18" s="26">
        <v>46.093209375000008</v>
      </c>
      <c r="AA18" s="26">
        <v>46.595912499999983</v>
      </c>
      <c r="AB18" s="27">
        <v>4807.66</v>
      </c>
      <c r="AC18" s="27">
        <v>1922.4</v>
      </c>
      <c r="AD18" s="27">
        <v>13.632</v>
      </c>
      <c r="AE18" s="27">
        <v>12.36</v>
      </c>
      <c r="AG18" s="22">
        <f t="shared" si="7"/>
        <v>22.0723275</v>
      </c>
      <c r="AH18" s="23">
        <f t="shared" si="8"/>
        <v>0.69353162412860858</v>
      </c>
      <c r="AI18" s="23">
        <f t="shared" si="9"/>
        <v>0.16520768789230544</v>
      </c>
      <c r="AJ18" s="23">
        <f t="shared" si="10"/>
        <v>0.12790491543496385</v>
      </c>
      <c r="AK18" s="23">
        <f t="shared" si="11"/>
        <v>0.52832393623630314</v>
      </c>
      <c r="AL18" s="20">
        <f t="shared" si="12"/>
        <v>5608424</v>
      </c>
      <c r="AM18" s="23">
        <f t="shared" si="13"/>
        <v>0.67655775162676568</v>
      </c>
      <c r="AN18" s="24">
        <v>34799418</v>
      </c>
      <c r="AO18" s="24">
        <v>1087481.8125</v>
      </c>
      <c r="AP18" s="24">
        <v>40309.5</v>
      </c>
      <c r="AQ18" s="25">
        <v>23543816</v>
      </c>
      <c r="AR18" s="25">
        <v>4342080</v>
      </c>
      <c r="AS18" s="25">
        <v>1266344</v>
      </c>
      <c r="AT18" s="25">
        <v>17935392</v>
      </c>
      <c r="AU18" s="26">
        <v>70.357356249999995</v>
      </c>
      <c r="AV18" s="26">
        <v>72.928971875000002</v>
      </c>
      <c r="AW18" s="26">
        <v>37.045281250000009</v>
      </c>
      <c r="AX18" s="26">
        <v>46.093209375000008</v>
      </c>
      <c r="AY18" s="26">
        <v>46.595912499999983</v>
      </c>
      <c r="AZ18" s="27">
        <v>4679.18</v>
      </c>
      <c r="BA18" s="27">
        <v>1954.98</v>
      </c>
      <c r="BB18" s="27">
        <v>15.252000000000001</v>
      </c>
      <c r="BC18" s="27">
        <v>11.596</v>
      </c>
      <c r="BE18" s="28">
        <f t="shared" si="14"/>
        <v>1</v>
      </c>
      <c r="BF18" s="29">
        <f t="shared" si="15"/>
        <v>0</v>
      </c>
      <c r="BG18" s="29">
        <f t="shared" si="16"/>
        <v>0</v>
      </c>
      <c r="BH18" s="29"/>
      <c r="BJ18" s="28"/>
      <c r="BK18" s="28"/>
      <c r="BL18" s="28"/>
      <c r="BM18" s="28"/>
      <c r="BN18" s="28"/>
      <c r="BP18" s="28"/>
      <c r="BQ18" s="28"/>
      <c r="BR18" s="28"/>
      <c r="BS18" s="28"/>
      <c r="BT18" s="28"/>
      <c r="BV18">
        <f t="shared" si="17"/>
        <v>0</v>
      </c>
      <c r="BW18">
        <f t="shared" si="18"/>
        <v>0</v>
      </c>
      <c r="BX18">
        <f t="shared" si="19"/>
        <v>0</v>
      </c>
      <c r="BY18">
        <f t="shared" si="20"/>
        <v>0</v>
      </c>
      <c r="BZ18">
        <f t="shared" si="21"/>
        <v>0</v>
      </c>
      <c r="CA18">
        <f t="shared" si="22"/>
        <v>0</v>
      </c>
      <c r="CB18">
        <f t="shared" si="23"/>
        <v>0</v>
      </c>
      <c r="CC18">
        <f t="shared" si="24"/>
        <v>0</v>
      </c>
      <c r="CD18">
        <f t="shared" si="25"/>
        <v>0</v>
      </c>
      <c r="CE18">
        <f t="shared" si="26"/>
        <v>0</v>
      </c>
      <c r="CF18">
        <f t="shared" si="27"/>
        <v>0</v>
      </c>
      <c r="CG18">
        <f t="shared" si="28"/>
        <v>0</v>
      </c>
      <c r="CJ18" t="s">
        <v>239</v>
      </c>
    </row>
    <row r="19" spans="1:88" ht="15.75" customHeight="1" outlineLevel="1" thickBot="1" x14ac:dyDescent="0.3">
      <c r="A19" s="10"/>
      <c r="B19" s="30" t="s">
        <v>64</v>
      </c>
      <c r="C19" s="31" t="s">
        <v>243</v>
      </c>
      <c r="D19" s="30">
        <v>33947718</v>
      </c>
      <c r="E19" s="31">
        <v>10</v>
      </c>
      <c r="F19" s="31">
        <v>32</v>
      </c>
      <c r="G19" s="31">
        <v>30</v>
      </c>
      <c r="I19" s="32">
        <f t="shared" si="0"/>
        <v>39.884729999999998</v>
      </c>
      <c r="J19" s="33">
        <f t="shared" si="1"/>
        <v>1.2532127196296377</v>
      </c>
      <c r="K19" s="33">
        <f t="shared" si="2"/>
        <v>0.26469714400243338</v>
      </c>
      <c r="L19" s="33">
        <f t="shared" si="3"/>
        <v>0.19620829889066477</v>
      </c>
      <c r="M19" s="33">
        <f t="shared" si="4"/>
        <v>0.98851557562720416</v>
      </c>
      <c r="N19" s="30">
        <f t="shared" si="5"/>
        <v>8985864</v>
      </c>
      <c r="O19" s="33">
        <f t="shared" si="6"/>
        <v>1.2876804191890621</v>
      </c>
      <c r="P19" s="34">
        <v>33039030</v>
      </c>
      <c r="Q19" s="34">
        <v>1032469.6875</v>
      </c>
      <c r="R19" s="34">
        <v>17598.03125</v>
      </c>
      <c r="S19" s="35">
        <v>42543712</v>
      </c>
      <c r="T19" s="35">
        <v>6660824</v>
      </c>
      <c r="U19" s="35">
        <v>2325040</v>
      </c>
      <c r="V19" s="35">
        <v>33557848</v>
      </c>
      <c r="W19" s="36">
        <v>71.152059375000022</v>
      </c>
      <c r="X19" s="36">
        <v>75.005793749999995</v>
      </c>
      <c r="Y19" s="36">
        <v>39.265149999999998</v>
      </c>
      <c r="Z19" s="36">
        <v>47.847890624999991</v>
      </c>
      <c r="AA19" s="36">
        <v>48.431809375</v>
      </c>
      <c r="AB19" s="37">
        <v>4762.32</v>
      </c>
      <c r="AC19" s="37">
        <v>2274.16</v>
      </c>
      <c r="AD19" s="37">
        <v>13.808</v>
      </c>
      <c r="AE19" s="37">
        <v>15.308</v>
      </c>
      <c r="AG19" s="32">
        <f t="shared" si="7"/>
        <v>39.884729999999998</v>
      </c>
      <c r="AH19" s="33">
        <f t="shared" si="8"/>
        <v>1.2532127196296377</v>
      </c>
      <c r="AI19" s="33">
        <f t="shared" si="9"/>
        <v>0.26469714400243338</v>
      </c>
      <c r="AJ19" s="33">
        <f t="shared" si="10"/>
        <v>0.19620829889066477</v>
      </c>
      <c r="AK19" s="33">
        <f t="shared" si="11"/>
        <v>0.98851557562720416</v>
      </c>
      <c r="AL19" s="30">
        <f t="shared" si="12"/>
        <v>8985864</v>
      </c>
      <c r="AM19" s="33">
        <f t="shared" si="13"/>
        <v>1.2876804191890621</v>
      </c>
      <c r="AN19" s="34">
        <v>33039030</v>
      </c>
      <c r="AO19" s="34">
        <v>1032469.6875</v>
      </c>
      <c r="AP19" s="34">
        <v>17598.03125</v>
      </c>
      <c r="AQ19" s="35">
        <v>42543712</v>
      </c>
      <c r="AR19" s="35">
        <v>6660824</v>
      </c>
      <c r="AS19" s="35">
        <v>2325040</v>
      </c>
      <c r="AT19" s="35">
        <v>33557848</v>
      </c>
      <c r="AU19" s="36">
        <v>71.152059375000022</v>
      </c>
      <c r="AV19" s="36">
        <v>75.005793749999995</v>
      </c>
      <c r="AW19" s="36">
        <v>39.265149999999998</v>
      </c>
      <c r="AX19" s="36">
        <v>47.847890624999991</v>
      </c>
      <c r="AY19" s="36">
        <v>48.431809375</v>
      </c>
      <c r="AZ19" s="37">
        <v>4712.49</v>
      </c>
      <c r="BA19" s="37">
        <v>2332.5100000000002</v>
      </c>
      <c r="BB19" s="37">
        <v>14.46</v>
      </c>
      <c r="BC19" s="37">
        <v>13.336</v>
      </c>
      <c r="BE19" s="38">
        <f t="shared" si="14"/>
        <v>1</v>
      </c>
      <c r="BF19" s="39">
        <f t="shared" si="15"/>
        <v>0</v>
      </c>
      <c r="BG19" s="39">
        <f t="shared" si="16"/>
        <v>0</v>
      </c>
      <c r="BH19" s="39"/>
      <c r="BJ19" s="38"/>
      <c r="BK19" s="38"/>
      <c r="BL19" s="38"/>
      <c r="BM19" s="38"/>
      <c r="BN19" s="38"/>
      <c r="BP19" s="38"/>
      <c r="BQ19" s="38"/>
      <c r="BR19" s="38"/>
      <c r="BS19" s="38"/>
      <c r="BT19" s="38"/>
      <c r="BV19">
        <f t="shared" si="17"/>
        <v>0</v>
      </c>
      <c r="BW19">
        <f t="shared" si="18"/>
        <v>0</v>
      </c>
      <c r="BX19">
        <f t="shared" si="19"/>
        <v>0</v>
      </c>
      <c r="BY19">
        <f t="shared" si="20"/>
        <v>0</v>
      </c>
      <c r="BZ19">
        <f t="shared" si="21"/>
        <v>0</v>
      </c>
      <c r="CA19">
        <f t="shared" si="22"/>
        <v>0</v>
      </c>
      <c r="CB19">
        <f t="shared" si="23"/>
        <v>0</v>
      </c>
      <c r="CC19">
        <f t="shared" si="24"/>
        <v>0</v>
      </c>
      <c r="CD19">
        <f t="shared" si="25"/>
        <v>0</v>
      </c>
      <c r="CE19">
        <f t="shared" si="26"/>
        <v>0</v>
      </c>
      <c r="CF19">
        <f t="shared" si="27"/>
        <v>0</v>
      </c>
      <c r="CG19">
        <f t="shared" si="28"/>
        <v>0</v>
      </c>
      <c r="CJ19" t="s">
        <v>239</v>
      </c>
    </row>
    <row r="20" spans="1:88" x14ac:dyDescent="0.25">
      <c r="A20" s="20"/>
      <c r="B20" s="20" t="s">
        <v>70</v>
      </c>
      <c r="C20" s="21" t="s">
        <v>238</v>
      </c>
      <c r="D20" s="20">
        <v>32209643</v>
      </c>
      <c r="E20" s="21">
        <v>10</v>
      </c>
      <c r="F20" s="21">
        <v>32</v>
      </c>
      <c r="G20" s="21">
        <v>50</v>
      </c>
      <c r="I20" s="22">
        <f t="shared" si="0"/>
        <v>5.3908624999999999</v>
      </c>
      <c r="J20" s="23">
        <f t="shared" si="1"/>
        <v>0.10711549954155034</v>
      </c>
      <c r="K20" s="23">
        <f t="shared" si="2"/>
        <v>5.9954964418574896E-2</v>
      </c>
      <c r="L20" s="23">
        <f t="shared" si="3"/>
        <v>2.9437395502955436E-2</v>
      </c>
      <c r="M20" s="23">
        <f t="shared" si="4"/>
        <v>4.7160535122975439E-2</v>
      </c>
      <c r="N20" s="20">
        <f t="shared" si="5"/>
        <v>1931128</v>
      </c>
      <c r="O20" s="23">
        <f t="shared" si="6"/>
        <v>0.11396219105880812</v>
      </c>
      <c r="P20" s="24">
        <v>30274532</v>
      </c>
      <c r="Q20" s="24">
        <v>946079.125</v>
      </c>
      <c r="R20" s="24">
        <v>27546.40625</v>
      </c>
      <c r="S20" s="25">
        <v>3450152</v>
      </c>
      <c r="T20" s="25">
        <v>948168</v>
      </c>
      <c r="U20" s="25">
        <v>982960</v>
      </c>
      <c r="V20" s="25">
        <v>1519024</v>
      </c>
      <c r="W20" s="26">
        <v>67.101124999999996</v>
      </c>
      <c r="X20" s="26">
        <v>68.807974999999985</v>
      </c>
      <c r="Y20" s="26">
        <v>30.805875</v>
      </c>
      <c r="Z20" s="26">
        <v>39.522212500000002</v>
      </c>
      <c r="AA20" s="26">
        <v>38.285593749999997</v>
      </c>
      <c r="AB20" s="27">
        <v>4428.6400000000003</v>
      </c>
      <c r="AC20" s="27">
        <v>1630.96</v>
      </c>
      <c r="AD20" s="27">
        <v>14.148</v>
      </c>
      <c r="AE20" s="27">
        <v>9.1720000000000006</v>
      </c>
      <c r="AG20" s="22">
        <f t="shared" si="7"/>
        <v>5.3908624999999999</v>
      </c>
      <c r="AH20" s="23">
        <f t="shared" si="8"/>
        <v>0.10711549954155034</v>
      </c>
      <c r="AI20" s="23">
        <f t="shared" si="9"/>
        <v>5.9954964418574896E-2</v>
      </c>
      <c r="AJ20" s="23">
        <f t="shared" si="10"/>
        <v>2.9437395502955436E-2</v>
      </c>
      <c r="AK20" s="23">
        <f t="shared" si="11"/>
        <v>4.7160535122975439E-2</v>
      </c>
      <c r="AL20" s="20">
        <f t="shared" si="12"/>
        <v>1931128</v>
      </c>
      <c r="AM20" s="23">
        <f t="shared" si="13"/>
        <v>0.11396219105880812</v>
      </c>
      <c r="AN20" s="24">
        <v>30274532</v>
      </c>
      <c r="AO20" s="24">
        <v>946079.125</v>
      </c>
      <c r="AP20" s="24">
        <v>27546.40625</v>
      </c>
      <c r="AQ20" s="25">
        <v>3450152</v>
      </c>
      <c r="AR20" s="25">
        <v>948168</v>
      </c>
      <c r="AS20" s="25">
        <v>982960</v>
      </c>
      <c r="AT20" s="25">
        <v>1519024</v>
      </c>
      <c r="AU20" s="26">
        <v>67.101124999999996</v>
      </c>
      <c r="AV20" s="26">
        <v>68.807974999999985</v>
      </c>
      <c r="AW20" s="26">
        <v>30.805875</v>
      </c>
      <c r="AX20" s="26">
        <v>39.522212500000002</v>
      </c>
      <c r="AY20" s="26">
        <v>38.285593749999997</v>
      </c>
      <c r="AZ20" s="27">
        <v>4338.34</v>
      </c>
      <c r="BA20" s="27">
        <v>1614.39</v>
      </c>
      <c r="BB20" s="27">
        <v>14.3</v>
      </c>
      <c r="BC20" s="27">
        <v>10.26</v>
      </c>
      <c r="BE20" s="28">
        <f t="shared" si="14"/>
        <v>1</v>
      </c>
      <c r="BF20" s="29">
        <f t="shared" si="15"/>
        <v>0</v>
      </c>
      <c r="BG20" s="29">
        <f t="shared" si="16"/>
        <v>0</v>
      </c>
      <c r="BH20" s="29">
        <f t="array" ref="BH20">AVERAGE(AL20:AL24/AQ20:AQ24) - AVERAGE(N20:N24/S20:S24)</f>
        <v>0</v>
      </c>
      <c r="BJ20" s="28">
        <f>IF( OR(ISBLANK(N20:N24),ISBLANK(AL20:AL24), ISBLANK(W20:W24),ISBLANK(AU20:AU24)), "·", bdRateExtend( N20:N24,W20:W24, AL20:AL24,AU20:AU24))</f>
        <v>0</v>
      </c>
      <c r="BK20" s="28">
        <f>IF( OR(ISBLANK(N20:N24),ISBLANK(AL20:AL24), ISBLANK(X20:X24),ISBLANK(AV20:AV24)), "·", bdRateExtend( N20:N24,X20:X24, AL20:AL24,AV20:AV24))</f>
        <v>0</v>
      </c>
      <c r="BL20" s="28">
        <f>IF( OR(ISBLANK(V20:V24),ISBLANK(AT20:AT24), ISBLANK(Y20:Y24),ISBLANK(AW20:AW24)), "·", bdRateExtend( V20:V24,Y20:Y24, AT20:AT24,AW20:AW24))</f>
        <v>0</v>
      </c>
      <c r="BM20" s="28">
        <f>IF( OR(ISBLANK(V20:V24),ISBLANK(AT20:AT24), ISBLANK(Z20:Z24),ISBLANK(AX20:AX24)), "·", bdRateExtend( V20:V24,Z20:Z24, AT20:AT24,AX20:AX24))</f>
        <v>0</v>
      </c>
      <c r="BN20" s="28">
        <f>IF( OR(ISBLANK(V20:V24),ISBLANK(AT20:AT24), ISBLANK(AA20:AA24),ISBLANK(AY20:AY24)), "·", bdRateExtend( V20:V24,AA20:AA24, AT20:AT24,AY20:AY24))</f>
        <v>0</v>
      </c>
      <c r="BP20" s="28">
        <f>IF( OR(ISBLANK(S20:S24),ISBLANK(AQ20:AQ24), ISBLANK(W20:W24),ISBLANK(AU20:AU24)), "·", bdRateExtend( S20:S24,W20:W24, AQ20:AQ24,AU20:AU24))</f>
        <v>0</v>
      </c>
      <c r="BQ20" s="28">
        <f>IF( OR(ISBLANK(S20:S24),ISBLANK(AQ20:AQ24), ISBLANK(X20:X24),ISBLANK(AV20:AV24)), "·", bdRateExtend( S20:S24,X20:X24, AQ20:AQ24,AV20:AV24))</f>
        <v>0</v>
      </c>
      <c r="BR20" s="28">
        <f>IF( OR(ISBLANK(S20:S24),ISBLANK(AQ20:AQ24), ISBLANK(Y20:Y24),ISBLANK(AW20:AW24)), "·", bdRateExtend( S20:S24,Y20:Y24, AQ20:AQ24,AW20:AW24))</f>
        <v>0</v>
      </c>
      <c r="BS20" s="28">
        <f>IF( OR(ISBLANK(S20:S24),ISBLANK(AQ20:AQ24), ISBLANK(Z20:Z24),ISBLANK(AX20:AX24)), "·", bdRateExtend( S20:S24,Z20:Z24, AQ20:AQ24,AX20:AX24))</f>
        <v>0</v>
      </c>
      <c r="BT20" s="28">
        <f>IF( OR(ISBLANK(S20:S24),ISBLANK(AQ20:AQ24), ISBLANK(AA20:AA24),ISBLANK(AY20:AY24)), "·", bdRateExtend( S20:S24,AA20:AA24, AQ20:AQ24,AY20:AY24))</f>
        <v>0</v>
      </c>
      <c r="BV20">
        <f t="shared" si="17"/>
        <v>0</v>
      </c>
      <c r="BW20">
        <f t="shared" si="18"/>
        <v>0</v>
      </c>
      <c r="BX20">
        <f t="shared" si="19"/>
        <v>0</v>
      </c>
      <c r="BY20">
        <f t="shared" si="20"/>
        <v>0</v>
      </c>
      <c r="BZ20">
        <f t="shared" si="21"/>
        <v>0</v>
      </c>
      <c r="CA20">
        <f t="shared" si="22"/>
        <v>0</v>
      </c>
      <c r="CB20">
        <f t="shared" si="23"/>
        <v>0</v>
      </c>
      <c r="CC20">
        <f t="shared" si="24"/>
        <v>0</v>
      </c>
      <c r="CD20">
        <f t="shared" si="25"/>
        <v>0</v>
      </c>
      <c r="CE20">
        <f t="shared" si="26"/>
        <v>0</v>
      </c>
      <c r="CF20">
        <f t="shared" si="27"/>
        <v>0</v>
      </c>
      <c r="CG20">
        <f t="shared" si="28"/>
        <v>0</v>
      </c>
      <c r="CJ20" t="s">
        <v>245</v>
      </c>
    </row>
    <row r="21" spans="1:88" outlineLevel="1" x14ac:dyDescent="0.25">
      <c r="A21" s="10"/>
      <c r="B21" s="10" t="s">
        <v>70</v>
      </c>
      <c r="C21" s="11" t="s">
        <v>240</v>
      </c>
      <c r="D21" s="10">
        <v>32209643</v>
      </c>
      <c r="E21" s="11">
        <v>10</v>
      </c>
      <c r="F21" s="11">
        <v>32</v>
      </c>
      <c r="G21" s="11">
        <v>50</v>
      </c>
      <c r="I21" s="12">
        <f t="shared" si="0"/>
        <v>8.4891874999999999</v>
      </c>
      <c r="J21" s="13">
        <f t="shared" si="1"/>
        <v>0.16867867799714514</v>
      </c>
      <c r="K21" s="13">
        <f t="shared" si="2"/>
        <v>7.1184893294222479E-2</v>
      </c>
      <c r="L21" s="13">
        <f t="shared" si="3"/>
        <v>4.0667324378603015E-2</v>
      </c>
      <c r="M21" s="13">
        <f t="shared" si="4"/>
        <v>9.7493784702922665E-2</v>
      </c>
      <c r="N21" s="10">
        <f t="shared" si="5"/>
        <v>2292840</v>
      </c>
      <c r="O21" s="13">
        <f t="shared" si="6"/>
        <v>0.17244870765991088</v>
      </c>
      <c r="P21" s="14">
        <v>31505484</v>
      </c>
      <c r="Q21" s="14">
        <v>984546.375</v>
      </c>
      <c r="R21" s="14">
        <v>32684.5625</v>
      </c>
      <c r="S21" s="15">
        <v>5433080</v>
      </c>
      <c r="T21" s="15">
        <v>1309880</v>
      </c>
      <c r="U21" s="15">
        <v>982960</v>
      </c>
      <c r="V21" s="15">
        <v>3140240</v>
      </c>
      <c r="W21" s="16">
        <v>68.677109374999986</v>
      </c>
      <c r="X21" s="16">
        <v>70.750809375000003</v>
      </c>
      <c r="Y21" s="16">
        <v>32.750965625000013</v>
      </c>
      <c r="Z21" s="16">
        <v>40.667706250000002</v>
      </c>
      <c r="AA21" s="16">
        <v>39.654318750000009</v>
      </c>
      <c r="AB21" s="17">
        <v>4471.68</v>
      </c>
      <c r="AC21" s="17">
        <v>1735.79</v>
      </c>
      <c r="AD21" s="17">
        <v>14.3</v>
      </c>
      <c r="AE21" s="17">
        <v>9.9439999999999991</v>
      </c>
      <c r="AG21" s="12">
        <f t="shared" si="7"/>
        <v>8.4891874999999999</v>
      </c>
      <c r="AH21" s="13">
        <f t="shared" si="8"/>
        <v>0.16867867799714514</v>
      </c>
      <c r="AI21" s="13">
        <f t="shared" si="9"/>
        <v>7.1184893294222479E-2</v>
      </c>
      <c r="AJ21" s="13">
        <f t="shared" si="10"/>
        <v>4.0667324378603015E-2</v>
      </c>
      <c r="AK21" s="13">
        <f t="shared" si="11"/>
        <v>9.7493784702922665E-2</v>
      </c>
      <c r="AL21" s="10">
        <f t="shared" si="12"/>
        <v>2292840</v>
      </c>
      <c r="AM21" s="13">
        <f t="shared" si="13"/>
        <v>0.17244870765991088</v>
      </c>
      <c r="AN21" s="14">
        <v>31505484</v>
      </c>
      <c r="AO21" s="14">
        <v>984546.375</v>
      </c>
      <c r="AP21" s="14">
        <v>32684.5625</v>
      </c>
      <c r="AQ21" s="15">
        <v>5433080</v>
      </c>
      <c r="AR21" s="15">
        <v>1309880</v>
      </c>
      <c r="AS21" s="15">
        <v>982960</v>
      </c>
      <c r="AT21" s="15">
        <v>3140240</v>
      </c>
      <c r="AU21" s="16">
        <v>68.677109374999986</v>
      </c>
      <c r="AV21" s="16">
        <v>70.750809375000003</v>
      </c>
      <c r="AW21" s="16">
        <v>32.750965625000013</v>
      </c>
      <c r="AX21" s="16">
        <v>40.667706250000002</v>
      </c>
      <c r="AY21" s="16">
        <v>39.654318750000009</v>
      </c>
      <c r="AZ21" s="17">
        <v>4332.8100000000004</v>
      </c>
      <c r="BA21" s="17">
        <v>1731.7</v>
      </c>
      <c r="BB21" s="17">
        <v>13.907999999999999</v>
      </c>
      <c r="BC21" s="17">
        <v>11.272</v>
      </c>
      <c r="BE21" s="18">
        <f t="shared" si="14"/>
        <v>1</v>
      </c>
      <c r="BF21" s="19">
        <f t="shared" si="15"/>
        <v>0</v>
      </c>
      <c r="BG21" s="19">
        <f t="shared" si="16"/>
        <v>0</v>
      </c>
      <c r="BH21" s="19"/>
      <c r="BJ21" s="18"/>
      <c r="BK21" s="18"/>
      <c r="BL21" s="18"/>
      <c r="BM21" s="18"/>
      <c r="BN21" s="18"/>
      <c r="BP21" s="18"/>
      <c r="BQ21" s="18"/>
      <c r="BR21" s="18"/>
      <c r="BS21" s="18"/>
      <c r="BT21" s="18"/>
      <c r="BV21">
        <f t="shared" si="17"/>
        <v>0</v>
      </c>
      <c r="BW21">
        <f t="shared" si="18"/>
        <v>0</v>
      </c>
      <c r="BX21">
        <f t="shared" si="19"/>
        <v>0</v>
      </c>
      <c r="BY21">
        <f t="shared" si="20"/>
        <v>0</v>
      </c>
      <c r="BZ21">
        <f t="shared" si="21"/>
        <v>0</v>
      </c>
      <c r="CA21">
        <f t="shared" si="22"/>
        <v>0</v>
      </c>
      <c r="CB21">
        <f t="shared" si="23"/>
        <v>0</v>
      </c>
      <c r="CC21">
        <f t="shared" si="24"/>
        <v>0</v>
      </c>
      <c r="CD21">
        <f t="shared" si="25"/>
        <v>0</v>
      </c>
      <c r="CE21">
        <f t="shared" si="26"/>
        <v>0</v>
      </c>
      <c r="CF21">
        <f t="shared" si="27"/>
        <v>0</v>
      </c>
      <c r="CG21">
        <f t="shared" si="28"/>
        <v>0</v>
      </c>
      <c r="CJ21" t="s">
        <v>245</v>
      </c>
    </row>
    <row r="22" spans="1:88" outlineLevel="1" x14ac:dyDescent="0.25">
      <c r="A22" s="20"/>
      <c r="B22" s="20" t="s">
        <v>70</v>
      </c>
      <c r="C22" s="21" t="s">
        <v>241</v>
      </c>
      <c r="D22" s="20">
        <v>32209643</v>
      </c>
      <c r="E22" s="21">
        <v>10</v>
      </c>
      <c r="F22" s="21">
        <v>32</v>
      </c>
      <c r="G22" s="21">
        <v>50</v>
      </c>
      <c r="I22" s="22">
        <f t="shared" si="0"/>
        <v>14.060700000000001</v>
      </c>
      <c r="J22" s="23">
        <f t="shared" si="1"/>
        <v>0.27938366159475908</v>
      </c>
      <c r="K22" s="23">
        <f t="shared" si="2"/>
        <v>8.8652208905264804E-2</v>
      </c>
      <c r="L22" s="23">
        <f t="shared" si="3"/>
        <v>5.813463998964534E-2</v>
      </c>
      <c r="M22" s="23">
        <f t="shared" si="4"/>
        <v>0.19073145268949426</v>
      </c>
      <c r="N22" s="20">
        <f t="shared" si="5"/>
        <v>2855456</v>
      </c>
      <c r="O22" s="23">
        <f t="shared" si="6"/>
        <v>0.27489359492298177</v>
      </c>
      <c r="P22" s="24">
        <v>32735750</v>
      </c>
      <c r="Q22" s="24">
        <v>1022992.1875</v>
      </c>
      <c r="R22" s="24">
        <v>34698.875</v>
      </c>
      <c r="S22" s="25">
        <v>8998848</v>
      </c>
      <c r="T22" s="25">
        <v>1872496</v>
      </c>
      <c r="U22" s="25">
        <v>982960</v>
      </c>
      <c r="V22" s="25">
        <v>6143392</v>
      </c>
      <c r="W22" s="26">
        <v>69.850906250000023</v>
      </c>
      <c r="X22" s="26">
        <v>72.246865625000012</v>
      </c>
      <c r="Y22" s="26">
        <v>34.56800937500001</v>
      </c>
      <c r="Z22" s="26">
        <v>41.680409375000004</v>
      </c>
      <c r="AA22" s="26">
        <v>40.669278125000012</v>
      </c>
      <c r="AB22" s="27">
        <v>4454.9399999999996</v>
      </c>
      <c r="AC22" s="27">
        <v>1828.02</v>
      </c>
      <c r="AD22" s="27">
        <v>14.432</v>
      </c>
      <c r="AE22" s="27">
        <v>10.464</v>
      </c>
      <c r="AG22" s="22">
        <f t="shared" si="7"/>
        <v>14.060700000000001</v>
      </c>
      <c r="AH22" s="23">
        <f t="shared" si="8"/>
        <v>0.27938366159475908</v>
      </c>
      <c r="AI22" s="23">
        <f t="shared" si="9"/>
        <v>8.8652208905264804E-2</v>
      </c>
      <c r="AJ22" s="23">
        <f t="shared" si="10"/>
        <v>5.813463998964534E-2</v>
      </c>
      <c r="AK22" s="23">
        <f t="shared" si="11"/>
        <v>0.19073145268949426</v>
      </c>
      <c r="AL22" s="20">
        <f t="shared" si="12"/>
        <v>2855456</v>
      </c>
      <c r="AM22" s="23">
        <f t="shared" si="13"/>
        <v>0.27489359492298177</v>
      </c>
      <c r="AN22" s="24">
        <v>32735750</v>
      </c>
      <c r="AO22" s="24">
        <v>1022992.1875</v>
      </c>
      <c r="AP22" s="24">
        <v>34698.875</v>
      </c>
      <c r="AQ22" s="25">
        <v>8998848</v>
      </c>
      <c r="AR22" s="25">
        <v>1872496</v>
      </c>
      <c r="AS22" s="25">
        <v>982960</v>
      </c>
      <c r="AT22" s="25">
        <v>6143392</v>
      </c>
      <c r="AU22" s="26">
        <v>69.850906250000023</v>
      </c>
      <c r="AV22" s="26">
        <v>72.246865625000012</v>
      </c>
      <c r="AW22" s="26">
        <v>34.56800937500001</v>
      </c>
      <c r="AX22" s="26">
        <v>41.680409375000004</v>
      </c>
      <c r="AY22" s="26">
        <v>40.669278125000012</v>
      </c>
      <c r="AZ22" s="27">
        <v>4364.22</v>
      </c>
      <c r="BA22" s="27">
        <v>1826.77</v>
      </c>
      <c r="BB22" s="27">
        <v>12.507999999999999</v>
      </c>
      <c r="BC22" s="27">
        <v>10.628</v>
      </c>
      <c r="BE22" s="28">
        <f t="shared" si="14"/>
        <v>1</v>
      </c>
      <c r="BF22" s="29">
        <f t="shared" si="15"/>
        <v>0</v>
      </c>
      <c r="BG22" s="29">
        <f t="shared" si="16"/>
        <v>0</v>
      </c>
      <c r="BH22" s="29"/>
      <c r="BJ22" s="28"/>
      <c r="BK22" s="28"/>
      <c r="BL22" s="28"/>
      <c r="BM22" s="28"/>
      <c r="BN22" s="28"/>
      <c r="BP22" s="28"/>
      <c r="BQ22" s="28"/>
      <c r="BR22" s="28"/>
      <c r="BS22" s="28"/>
      <c r="BT22" s="28"/>
      <c r="BV22">
        <f t="shared" si="17"/>
        <v>0</v>
      </c>
      <c r="BW22">
        <f t="shared" si="18"/>
        <v>0</v>
      </c>
      <c r="BX22">
        <f t="shared" si="19"/>
        <v>0</v>
      </c>
      <c r="BY22">
        <f t="shared" si="20"/>
        <v>0</v>
      </c>
      <c r="BZ22">
        <f t="shared" si="21"/>
        <v>0</v>
      </c>
      <c r="CA22">
        <f t="shared" si="22"/>
        <v>0</v>
      </c>
      <c r="CB22">
        <f t="shared" si="23"/>
        <v>0</v>
      </c>
      <c r="CC22">
        <f t="shared" si="24"/>
        <v>0</v>
      </c>
      <c r="CD22">
        <f t="shared" si="25"/>
        <v>0</v>
      </c>
      <c r="CE22">
        <f t="shared" si="26"/>
        <v>0</v>
      </c>
      <c r="CF22">
        <f t="shared" si="27"/>
        <v>0</v>
      </c>
      <c r="CG22">
        <f t="shared" si="28"/>
        <v>0</v>
      </c>
      <c r="CJ22" t="s">
        <v>245</v>
      </c>
    </row>
    <row r="23" spans="1:88" outlineLevel="1" x14ac:dyDescent="0.25">
      <c r="A23" s="10"/>
      <c r="B23" s="10" t="s">
        <v>70</v>
      </c>
      <c r="C23" s="11" t="s">
        <v>242</v>
      </c>
      <c r="D23" s="10">
        <v>32209643</v>
      </c>
      <c r="E23" s="11">
        <v>10</v>
      </c>
      <c r="F23" s="11">
        <v>32</v>
      </c>
      <c r="G23" s="11">
        <v>50</v>
      </c>
      <c r="I23" s="12">
        <f t="shared" si="0"/>
        <v>24.473099999999999</v>
      </c>
      <c r="J23" s="13">
        <f t="shared" si="1"/>
        <v>0.48627623721256397</v>
      </c>
      <c r="K23" s="13">
        <f t="shared" si="2"/>
        <v>0.11921398818360079</v>
      </c>
      <c r="L23" s="13">
        <f t="shared" si="3"/>
        <v>8.869641926798133E-2</v>
      </c>
      <c r="M23" s="13">
        <f t="shared" si="4"/>
        <v>0.36706224902896317</v>
      </c>
      <c r="N23" s="10">
        <f t="shared" si="5"/>
        <v>3839840</v>
      </c>
      <c r="O23" s="13">
        <f t="shared" si="6"/>
        <v>0.47754006309359859</v>
      </c>
      <c r="P23" s="14">
        <v>32798890</v>
      </c>
      <c r="Q23" s="14">
        <v>1024965.3125</v>
      </c>
      <c r="R23" s="14">
        <v>36605.8125</v>
      </c>
      <c r="S23" s="15">
        <v>15662784</v>
      </c>
      <c r="T23" s="15">
        <v>2856880</v>
      </c>
      <c r="U23" s="15">
        <v>982960</v>
      </c>
      <c r="V23" s="15">
        <v>11822944</v>
      </c>
      <c r="W23" s="16">
        <v>70.874915624999986</v>
      </c>
      <c r="X23" s="16">
        <v>73.596450000000004</v>
      </c>
      <c r="Y23" s="16">
        <v>36.217718750000003</v>
      </c>
      <c r="Z23" s="16">
        <v>42.867775000000002</v>
      </c>
      <c r="AA23" s="16">
        <v>41.729221875</v>
      </c>
      <c r="AB23" s="17">
        <v>4471.6899999999996</v>
      </c>
      <c r="AC23" s="17">
        <v>2166.12</v>
      </c>
      <c r="AD23" s="17">
        <v>14.396000000000001</v>
      </c>
      <c r="AE23" s="17">
        <v>13.712</v>
      </c>
      <c r="AG23" s="12">
        <f t="shared" si="7"/>
        <v>24.473099999999999</v>
      </c>
      <c r="AH23" s="13">
        <f t="shared" si="8"/>
        <v>0.48627623721256397</v>
      </c>
      <c r="AI23" s="13">
        <f t="shared" si="9"/>
        <v>0.11921398818360079</v>
      </c>
      <c r="AJ23" s="13">
        <f t="shared" si="10"/>
        <v>8.869641926798133E-2</v>
      </c>
      <c r="AK23" s="13">
        <f t="shared" si="11"/>
        <v>0.36706224902896317</v>
      </c>
      <c r="AL23" s="10">
        <f t="shared" si="12"/>
        <v>3839840</v>
      </c>
      <c r="AM23" s="13">
        <f t="shared" si="13"/>
        <v>0.47754006309359859</v>
      </c>
      <c r="AN23" s="14">
        <v>32798890</v>
      </c>
      <c r="AO23" s="14">
        <v>1024965.3125</v>
      </c>
      <c r="AP23" s="14">
        <v>36605.8125</v>
      </c>
      <c r="AQ23" s="15">
        <v>15662784</v>
      </c>
      <c r="AR23" s="15">
        <v>2856880</v>
      </c>
      <c r="AS23" s="15">
        <v>982960</v>
      </c>
      <c r="AT23" s="15">
        <v>11822944</v>
      </c>
      <c r="AU23" s="16">
        <v>70.874915624999986</v>
      </c>
      <c r="AV23" s="16">
        <v>73.596450000000004</v>
      </c>
      <c r="AW23" s="16">
        <v>36.217718750000003</v>
      </c>
      <c r="AX23" s="16">
        <v>42.867775000000002</v>
      </c>
      <c r="AY23" s="16">
        <v>41.729221875</v>
      </c>
      <c r="AZ23" s="17">
        <v>4406.8</v>
      </c>
      <c r="BA23" s="17">
        <v>2007.14</v>
      </c>
      <c r="BB23" s="17">
        <v>12.672000000000001</v>
      </c>
      <c r="BC23" s="17">
        <v>11.204000000000001</v>
      </c>
      <c r="BE23" s="18">
        <f t="shared" si="14"/>
        <v>1</v>
      </c>
      <c r="BF23" s="19">
        <f t="shared" si="15"/>
        <v>0</v>
      </c>
      <c r="BG23" s="19">
        <f t="shared" si="16"/>
        <v>0</v>
      </c>
      <c r="BH23" s="19"/>
      <c r="BJ23" s="18"/>
      <c r="BK23" s="18"/>
      <c r="BL23" s="18"/>
      <c r="BM23" s="18"/>
      <c r="BN23" s="18"/>
      <c r="BP23" s="18"/>
      <c r="BQ23" s="18"/>
      <c r="BR23" s="18"/>
      <c r="BS23" s="18"/>
      <c r="BT23" s="18"/>
      <c r="BV23">
        <f t="shared" si="17"/>
        <v>0</v>
      </c>
      <c r="BW23">
        <f t="shared" si="18"/>
        <v>0</v>
      </c>
      <c r="BX23">
        <f t="shared" si="19"/>
        <v>0</v>
      </c>
      <c r="BY23">
        <f t="shared" si="20"/>
        <v>0</v>
      </c>
      <c r="BZ23">
        <f t="shared" si="21"/>
        <v>0</v>
      </c>
      <c r="CA23">
        <f t="shared" si="22"/>
        <v>0</v>
      </c>
      <c r="CB23">
        <f t="shared" si="23"/>
        <v>0</v>
      </c>
      <c r="CC23">
        <f t="shared" si="24"/>
        <v>0</v>
      </c>
      <c r="CD23">
        <f t="shared" si="25"/>
        <v>0</v>
      </c>
      <c r="CE23">
        <f t="shared" si="26"/>
        <v>0</v>
      </c>
      <c r="CF23">
        <f t="shared" si="27"/>
        <v>0</v>
      </c>
      <c r="CG23">
        <f t="shared" si="28"/>
        <v>0</v>
      </c>
      <c r="CJ23" t="s">
        <v>245</v>
      </c>
    </row>
    <row r="24" spans="1:88" ht="15.75" customHeight="1" outlineLevel="1" thickBot="1" x14ac:dyDescent="0.3">
      <c r="A24" s="40"/>
      <c r="B24" s="40" t="s">
        <v>70</v>
      </c>
      <c r="C24" s="41" t="s">
        <v>243</v>
      </c>
      <c r="D24" s="40">
        <v>32209643</v>
      </c>
      <c r="E24" s="41">
        <v>10</v>
      </c>
      <c r="F24" s="41">
        <v>32</v>
      </c>
      <c r="G24" s="41">
        <v>50</v>
      </c>
      <c r="I24" s="42">
        <f t="shared" si="0"/>
        <v>41.717237500000003</v>
      </c>
      <c r="J24" s="43">
        <f t="shared" si="1"/>
        <v>0.8289142478232373</v>
      </c>
      <c r="K24" s="43">
        <f t="shared" si="2"/>
        <v>0.19719262333953841</v>
      </c>
      <c r="L24" s="43">
        <f t="shared" si="3"/>
        <v>0.13932001667947702</v>
      </c>
      <c r="M24" s="43">
        <f t="shared" si="4"/>
        <v>0.63172162448369884</v>
      </c>
      <c r="N24" s="40">
        <f t="shared" si="5"/>
        <v>6351504</v>
      </c>
      <c r="O24" s="43">
        <f t="shared" si="6"/>
        <v>0.84955978161639989</v>
      </c>
      <c r="P24" s="44">
        <v>31426902</v>
      </c>
      <c r="Q24" s="44">
        <v>982090.6875</v>
      </c>
      <c r="R24" s="44">
        <v>18169.75</v>
      </c>
      <c r="S24" s="45">
        <v>26699032</v>
      </c>
      <c r="T24" s="45">
        <v>4487448</v>
      </c>
      <c r="U24" s="45">
        <v>1864056</v>
      </c>
      <c r="V24" s="45">
        <v>20347528</v>
      </c>
      <c r="W24" s="46">
        <v>71.734515624999986</v>
      </c>
      <c r="X24" s="46">
        <v>75.629103125000015</v>
      </c>
      <c r="Y24" s="46">
        <v>37.222990624999987</v>
      </c>
      <c r="Z24" s="46">
        <v>43.655834374999998</v>
      </c>
      <c r="AA24" s="46">
        <v>42.226781250000002</v>
      </c>
      <c r="AB24" s="47">
        <v>4353.88</v>
      </c>
      <c r="AC24" s="47">
        <v>2403.88</v>
      </c>
      <c r="AD24" s="47">
        <v>14</v>
      </c>
      <c r="AE24" s="47">
        <v>16.600000000000001</v>
      </c>
      <c r="AG24" s="42">
        <f t="shared" si="7"/>
        <v>41.717237500000003</v>
      </c>
      <c r="AH24" s="43">
        <f t="shared" si="8"/>
        <v>0.8289142478232373</v>
      </c>
      <c r="AI24" s="43">
        <f t="shared" si="9"/>
        <v>0.19719262333953841</v>
      </c>
      <c r="AJ24" s="43">
        <f t="shared" si="10"/>
        <v>0.13932001667947702</v>
      </c>
      <c r="AK24" s="43">
        <f t="shared" si="11"/>
        <v>0.63172162448369884</v>
      </c>
      <c r="AL24" s="40">
        <f t="shared" si="12"/>
        <v>6351504</v>
      </c>
      <c r="AM24" s="43">
        <f t="shared" si="13"/>
        <v>0.84955978161639989</v>
      </c>
      <c r="AN24" s="44">
        <v>31426902</v>
      </c>
      <c r="AO24" s="44">
        <v>982090.6875</v>
      </c>
      <c r="AP24" s="44">
        <v>18169.75</v>
      </c>
      <c r="AQ24" s="45">
        <v>26699032</v>
      </c>
      <c r="AR24" s="45">
        <v>4487448</v>
      </c>
      <c r="AS24" s="45">
        <v>1864056</v>
      </c>
      <c r="AT24" s="45">
        <v>20347528</v>
      </c>
      <c r="AU24" s="46">
        <v>71.734515624999986</v>
      </c>
      <c r="AV24" s="46">
        <v>75.629103125000015</v>
      </c>
      <c r="AW24" s="46">
        <v>37.222990624999987</v>
      </c>
      <c r="AX24" s="46">
        <v>43.655834374999998</v>
      </c>
      <c r="AY24" s="46">
        <v>42.226781250000002</v>
      </c>
      <c r="AZ24" s="47">
        <v>4452.8900000000003</v>
      </c>
      <c r="BA24" s="47">
        <v>2234.58</v>
      </c>
      <c r="BB24" s="47">
        <v>14.076000000000001</v>
      </c>
      <c r="BC24" s="47">
        <v>14.24</v>
      </c>
      <c r="BE24" s="48">
        <f t="shared" si="14"/>
        <v>1</v>
      </c>
      <c r="BF24" s="49">
        <f t="shared" si="15"/>
        <v>0</v>
      </c>
      <c r="BG24" s="49">
        <f t="shared" si="16"/>
        <v>0</v>
      </c>
      <c r="BH24" s="49"/>
      <c r="BJ24" s="48"/>
      <c r="BK24" s="48"/>
      <c r="BL24" s="48"/>
      <c r="BM24" s="48"/>
      <c r="BN24" s="48"/>
      <c r="BP24" s="48"/>
      <c r="BQ24" s="48"/>
      <c r="BR24" s="48"/>
      <c r="BS24" s="48"/>
      <c r="BT24" s="48"/>
      <c r="BV24">
        <f t="shared" si="17"/>
        <v>0</v>
      </c>
      <c r="BW24">
        <f t="shared" si="18"/>
        <v>0</v>
      </c>
      <c r="BX24">
        <f t="shared" si="19"/>
        <v>0</v>
      </c>
      <c r="BY24">
        <f t="shared" si="20"/>
        <v>0</v>
      </c>
      <c r="BZ24">
        <f t="shared" si="21"/>
        <v>0</v>
      </c>
      <c r="CA24">
        <f t="shared" si="22"/>
        <v>0</v>
      </c>
      <c r="CB24">
        <f t="shared" si="23"/>
        <v>0</v>
      </c>
      <c r="CC24">
        <f t="shared" si="24"/>
        <v>0</v>
      </c>
      <c r="CD24">
        <f t="shared" si="25"/>
        <v>0</v>
      </c>
      <c r="CE24">
        <f t="shared" si="26"/>
        <v>0</v>
      </c>
      <c r="CF24">
        <f t="shared" si="27"/>
        <v>0</v>
      </c>
      <c r="CG24">
        <f t="shared" si="28"/>
        <v>0</v>
      </c>
      <c r="CJ24" t="s">
        <v>245</v>
      </c>
    </row>
    <row r="25" spans="1:88" x14ac:dyDescent="0.25">
      <c r="A25" s="10" t="s">
        <v>246</v>
      </c>
      <c r="B25" s="10" t="s">
        <v>73</v>
      </c>
      <c r="C25" s="11" t="s">
        <v>238</v>
      </c>
      <c r="D25" s="10">
        <v>25312408</v>
      </c>
      <c r="E25" s="11">
        <v>10</v>
      </c>
      <c r="F25" s="11">
        <v>32</v>
      </c>
      <c r="G25" s="11">
        <v>30</v>
      </c>
      <c r="I25" s="12">
        <f t="shared" si="0"/>
        <v>4.4673674999999999</v>
      </c>
      <c r="J25" s="13">
        <f t="shared" si="1"/>
        <v>0.18825518299167743</v>
      </c>
      <c r="K25" s="13">
        <f t="shared" si="2"/>
        <v>6.501570297065376E-2</v>
      </c>
      <c r="L25" s="13">
        <f t="shared" si="3"/>
        <v>3.684453885224985E-2</v>
      </c>
      <c r="M25" s="13">
        <f t="shared" si="4"/>
        <v>0.12323948002102368</v>
      </c>
      <c r="N25" s="10">
        <f t="shared" si="5"/>
        <v>1645704</v>
      </c>
      <c r="O25" s="13">
        <f t="shared" si="6"/>
        <v>0.20577840480444065</v>
      </c>
      <c r="P25" s="14">
        <v>23156910</v>
      </c>
      <c r="Q25" s="14">
        <v>723653.4375</v>
      </c>
      <c r="R25" s="14">
        <v>13819.46875</v>
      </c>
      <c r="S25" s="15">
        <v>4765192</v>
      </c>
      <c r="T25" s="15">
        <v>932624</v>
      </c>
      <c r="U25" s="15">
        <v>713080</v>
      </c>
      <c r="V25" s="15">
        <v>3119488</v>
      </c>
      <c r="W25" s="16">
        <v>66.209149999999994</v>
      </c>
      <c r="X25" s="16">
        <v>67.973675</v>
      </c>
      <c r="Y25" s="16">
        <v>27.396534375000002</v>
      </c>
      <c r="Z25" s="16">
        <v>33.180131250000002</v>
      </c>
      <c r="AA25" s="16">
        <v>32.615481249999988</v>
      </c>
      <c r="AB25" s="17">
        <v>1559.66</v>
      </c>
      <c r="AC25" s="17">
        <v>1622.31</v>
      </c>
      <c r="AD25" s="17">
        <v>11.327999999999999</v>
      </c>
      <c r="AE25" s="17">
        <v>9.2759999999999998</v>
      </c>
      <c r="AG25" s="12">
        <f t="shared" si="7"/>
        <v>4.4673674999999999</v>
      </c>
      <c r="AH25" s="13">
        <f t="shared" si="8"/>
        <v>0.18825518299167743</v>
      </c>
      <c r="AI25" s="13">
        <f t="shared" si="9"/>
        <v>6.501570297065376E-2</v>
      </c>
      <c r="AJ25" s="13">
        <f t="shared" si="10"/>
        <v>3.684453885224985E-2</v>
      </c>
      <c r="AK25" s="13">
        <f t="shared" si="11"/>
        <v>0.12323948002102368</v>
      </c>
      <c r="AL25" s="10">
        <f t="shared" si="12"/>
        <v>1645704</v>
      </c>
      <c r="AM25" s="13">
        <f t="shared" si="13"/>
        <v>0.20577840480444065</v>
      </c>
      <c r="AN25" s="14">
        <v>23156910</v>
      </c>
      <c r="AO25" s="14">
        <v>723653.4375</v>
      </c>
      <c r="AP25" s="14">
        <v>13819.46875</v>
      </c>
      <c r="AQ25" s="15">
        <v>4765192</v>
      </c>
      <c r="AR25" s="15">
        <v>932624</v>
      </c>
      <c r="AS25" s="15">
        <v>713080</v>
      </c>
      <c r="AT25" s="15">
        <v>3119488</v>
      </c>
      <c r="AU25" s="16">
        <v>66.209149999999994</v>
      </c>
      <c r="AV25" s="16">
        <v>67.973675</v>
      </c>
      <c r="AW25" s="16">
        <v>27.396534375000002</v>
      </c>
      <c r="AX25" s="16">
        <v>33.180131250000002</v>
      </c>
      <c r="AY25" s="16">
        <v>32.615481249999988</v>
      </c>
      <c r="AZ25" s="17">
        <v>1523.64</v>
      </c>
      <c r="BA25" s="17">
        <v>1609.62</v>
      </c>
      <c r="BB25" s="17">
        <v>12.144</v>
      </c>
      <c r="BC25" s="17">
        <v>8.8719999999999999</v>
      </c>
      <c r="BE25" s="18">
        <f t="shared" si="14"/>
        <v>1</v>
      </c>
      <c r="BF25" s="19">
        <f t="shared" si="15"/>
        <v>0</v>
      </c>
      <c r="BG25" s="19">
        <f t="shared" si="16"/>
        <v>0</v>
      </c>
      <c r="BH25" s="19">
        <f t="array" ref="BH25">AVERAGE(AL25:AL29/AQ25:AQ29) - AVERAGE(N25:N29/S25:S29)</f>
        <v>0</v>
      </c>
      <c r="BJ25" s="18">
        <f>IF( OR(ISBLANK(N25:N29),ISBLANK(AL25:AL29), ISBLANK(W25:W29),ISBLANK(AU25:AU29)), "·", bdRateExtend( N25:N29,W25:W29, AL25:AL29,AU25:AU29))</f>
        <v>0</v>
      </c>
      <c r="BK25" s="18">
        <f>IF( OR(ISBLANK(N25:N29),ISBLANK(AL25:AL29), ISBLANK(X25:X29),ISBLANK(AV25:AV29)), "·", bdRateExtend( N25:N29,X25:X29, AL25:AL29,AV25:AV29))</f>
        <v>0</v>
      </c>
      <c r="BL25" s="18">
        <f>IF( OR(ISBLANK(V25:V29),ISBLANK(AT25:AT29), ISBLANK(Y25:Y29),ISBLANK(AW25:AW29)), "·", bdRateExtend( V25:V29,Y25:Y29, AT25:AT29,AW25:AW29))</f>
        <v>0</v>
      </c>
      <c r="BM25" s="18">
        <f>IF( OR(ISBLANK(V25:V29),ISBLANK(AT25:AT29), ISBLANK(Z25:Z29),ISBLANK(AX25:AX29)), "·", bdRateExtend( V25:V29,Z25:Z29, AT25:AT29,AX25:AX29))</f>
        <v>0</v>
      </c>
      <c r="BN25" s="18">
        <f>IF( OR(ISBLANK(V25:V29),ISBLANK(AT25:AT29), ISBLANK(AA25:AA29),ISBLANK(AY25:AY29)), "·", bdRateExtend( V25:V29,AA25:AA29, AT25:AT29,AY25:AY29))</f>
        <v>0</v>
      </c>
      <c r="BP25" s="18">
        <f>IF( OR(ISBLANK(S25:S29),ISBLANK(AQ25:AQ29), ISBLANK(W25:W29),ISBLANK(AU25:AU29)), "·", bdRateExtend( S25:S29,W25:W29, AQ25:AQ29,AU25:AU29))</f>
        <v>0</v>
      </c>
      <c r="BQ25" s="18">
        <f>IF( OR(ISBLANK(S25:S29),ISBLANK(AQ25:AQ29), ISBLANK(X25:X29),ISBLANK(AV25:AV29)), "·", bdRateExtend( S25:S29,X25:X29, AQ25:AQ29,AV25:AV29))</f>
        <v>0</v>
      </c>
      <c r="BR25" s="18">
        <f>IF( OR(ISBLANK(S25:S29),ISBLANK(AQ25:AQ29), ISBLANK(Y25:Y29),ISBLANK(AW25:AW29)), "·", bdRateExtend( S25:S29,Y25:Y29, AQ25:AQ29,AW25:AW29))</f>
        <v>0</v>
      </c>
      <c r="BS25" s="18">
        <f>IF( OR(ISBLANK(S25:S29),ISBLANK(AQ25:AQ29), ISBLANK(Z25:Z29),ISBLANK(AX25:AX29)), "·", bdRateExtend( S25:S29,Z25:Z29, AQ25:AQ29,AX25:AX29))</f>
        <v>0</v>
      </c>
      <c r="BT25" s="18">
        <f>IF( OR(ISBLANK(S25:S29),ISBLANK(AQ25:AQ29), ISBLANK(AA25:AA29),ISBLANK(AY25:AY29)), "·", bdRateExtend( S25:S29,AA25:AA29, AQ25:AQ29,AY25:AY29))</f>
        <v>0</v>
      </c>
      <c r="BV25">
        <f t="shared" si="17"/>
        <v>0</v>
      </c>
      <c r="BW25">
        <f t="shared" si="18"/>
        <v>0</v>
      </c>
      <c r="BX25">
        <f t="shared" si="19"/>
        <v>0</v>
      </c>
      <c r="BY25">
        <f t="shared" si="20"/>
        <v>0</v>
      </c>
      <c r="BZ25">
        <f t="shared" si="21"/>
        <v>0</v>
      </c>
      <c r="CA25">
        <f t="shared" si="22"/>
        <v>0</v>
      </c>
      <c r="CB25">
        <f t="shared" si="23"/>
        <v>0</v>
      </c>
      <c r="CC25">
        <f t="shared" si="24"/>
        <v>0</v>
      </c>
      <c r="CD25">
        <f t="shared" si="25"/>
        <v>0</v>
      </c>
      <c r="CE25">
        <f t="shared" si="26"/>
        <v>0</v>
      </c>
      <c r="CF25">
        <f t="shared" si="27"/>
        <v>0</v>
      </c>
      <c r="CG25">
        <f t="shared" si="28"/>
        <v>0</v>
      </c>
      <c r="CJ25" t="s">
        <v>247</v>
      </c>
    </row>
    <row r="26" spans="1:88" outlineLevel="1" x14ac:dyDescent="0.25">
      <c r="A26" s="20"/>
      <c r="B26" s="20" t="s">
        <v>73</v>
      </c>
      <c r="C26" s="21" t="s">
        <v>240</v>
      </c>
      <c r="D26" s="20">
        <v>25312408</v>
      </c>
      <c r="E26" s="21">
        <v>10</v>
      </c>
      <c r="F26" s="21">
        <v>32</v>
      </c>
      <c r="G26" s="21">
        <v>30</v>
      </c>
      <c r="I26" s="22">
        <f t="shared" si="0"/>
        <v>7.7764274999999996</v>
      </c>
      <c r="J26" s="23">
        <f t="shared" si="1"/>
        <v>0.3276992058598297</v>
      </c>
      <c r="K26" s="23">
        <f t="shared" si="2"/>
        <v>8.0109960300892749E-2</v>
      </c>
      <c r="L26" s="23">
        <f t="shared" si="3"/>
        <v>5.1938796182488839E-2</v>
      </c>
      <c r="M26" s="23">
        <f t="shared" si="4"/>
        <v>0.24758924555893694</v>
      </c>
      <c r="N26" s="20">
        <f t="shared" si="5"/>
        <v>2027776</v>
      </c>
      <c r="O26" s="23">
        <f t="shared" si="6"/>
        <v>0.33767930135687557</v>
      </c>
      <c r="P26" s="24">
        <v>24564301</v>
      </c>
      <c r="Q26" s="24">
        <v>767634.40625</v>
      </c>
      <c r="R26" s="24">
        <v>17406.84375</v>
      </c>
      <c r="S26" s="25">
        <v>8294856</v>
      </c>
      <c r="T26" s="25">
        <v>1314696</v>
      </c>
      <c r="U26" s="25">
        <v>713080</v>
      </c>
      <c r="V26" s="25">
        <v>6267080</v>
      </c>
      <c r="W26" s="26">
        <v>67.941665624999999</v>
      </c>
      <c r="X26" s="26">
        <v>69.928681249999983</v>
      </c>
      <c r="Y26" s="26">
        <v>29.770700000000001</v>
      </c>
      <c r="Z26" s="26">
        <v>34.353165625000003</v>
      </c>
      <c r="AA26" s="26">
        <v>33.908662499999998</v>
      </c>
      <c r="AB26" s="27">
        <v>1561.79</v>
      </c>
      <c r="AC26" s="27">
        <v>1714.36</v>
      </c>
      <c r="AD26" s="27">
        <v>12.052</v>
      </c>
      <c r="AE26" s="27">
        <v>8.9120000000000008</v>
      </c>
      <c r="AG26" s="22">
        <f t="shared" si="7"/>
        <v>7.7764274999999996</v>
      </c>
      <c r="AH26" s="23">
        <f t="shared" si="8"/>
        <v>0.3276992058598297</v>
      </c>
      <c r="AI26" s="23">
        <f t="shared" si="9"/>
        <v>8.0109960300892749E-2</v>
      </c>
      <c r="AJ26" s="23">
        <f t="shared" si="10"/>
        <v>5.1938796182488839E-2</v>
      </c>
      <c r="AK26" s="23">
        <f t="shared" si="11"/>
        <v>0.24758924555893694</v>
      </c>
      <c r="AL26" s="20">
        <f t="shared" si="12"/>
        <v>2027776</v>
      </c>
      <c r="AM26" s="23">
        <f t="shared" si="13"/>
        <v>0.33767930135687557</v>
      </c>
      <c r="AN26" s="24">
        <v>24564301</v>
      </c>
      <c r="AO26" s="24">
        <v>767634.40625</v>
      </c>
      <c r="AP26" s="24">
        <v>17406.84375</v>
      </c>
      <c r="AQ26" s="25">
        <v>8294856</v>
      </c>
      <c r="AR26" s="25">
        <v>1314696</v>
      </c>
      <c r="AS26" s="25">
        <v>713080</v>
      </c>
      <c r="AT26" s="25">
        <v>6267080</v>
      </c>
      <c r="AU26" s="26">
        <v>67.941665624999999</v>
      </c>
      <c r="AV26" s="26">
        <v>69.928681249999983</v>
      </c>
      <c r="AW26" s="26">
        <v>29.770700000000001</v>
      </c>
      <c r="AX26" s="26">
        <v>34.353165625000003</v>
      </c>
      <c r="AY26" s="26">
        <v>33.908662499999998</v>
      </c>
      <c r="AZ26" s="27">
        <v>1538.86</v>
      </c>
      <c r="BA26" s="27">
        <v>1710.78</v>
      </c>
      <c r="BB26" s="27">
        <v>12.1</v>
      </c>
      <c r="BC26" s="27">
        <v>8.8239999999999998</v>
      </c>
      <c r="BE26" s="28">
        <f t="shared" si="14"/>
        <v>1</v>
      </c>
      <c r="BF26" s="29">
        <f t="shared" si="15"/>
        <v>0</v>
      </c>
      <c r="BG26" s="29">
        <f t="shared" si="16"/>
        <v>0</v>
      </c>
      <c r="BH26" s="29"/>
      <c r="BJ26" s="28"/>
      <c r="BK26" s="28"/>
      <c r="BL26" s="28"/>
      <c r="BM26" s="28"/>
      <c r="BN26" s="28"/>
      <c r="BP26" s="28"/>
      <c r="BQ26" s="28"/>
      <c r="BR26" s="28"/>
      <c r="BS26" s="28"/>
      <c r="BT26" s="28"/>
      <c r="BV26">
        <f t="shared" si="17"/>
        <v>0</v>
      </c>
      <c r="BW26">
        <f t="shared" si="18"/>
        <v>0</v>
      </c>
      <c r="BX26">
        <f t="shared" si="19"/>
        <v>0</v>
      </c>
      <c r="BY26">
        <f t="shared" si="20"/>
        <v>0</v>
      </c>
      <c r="BZ26">
        <f t="shared" si="21"/>
        <v>0</v>
      </c>
      <c r="CA26">
        <f t="shared" si="22"/>
        <v>0</v>
      </c>
      <c r="CB26">
        <f t="shared" si="23"/>
        <v>0</v>
      </c>
      <c r="CC26">
        <f t="shared" si="24"/>
        <v>0</v>
      </c>
      <c r="CD26">
        <f t="shared" si="25"/>
        <v>0</v>
      </c>
      <c r="CE26">
        <f t="shared" si="26"/>
        <v>0</v>
      </c>
      <c r="CF26">
        <f t="shared" si="27"/>
        <v>0</v>
      </c>
      <c r="CG26">
        <f t="shared" si="28"/>
        <v>0</v>
      </c>
      <c r="CJ26" t="s">
        <v>247</v>
      </c>
    </row>
    <row r="27" spans="1:88" outlineLevel="1" x14ac:dyDescent="0.25">
      <c r="A27" s="10"/>
      <c r="B27" s="10" t="s">
        <v>73</v>
      </c>
      <c r="C27" s="11" t="s">
        <v>241</v>
      </c>
      <c r="D27" s="10">
        <v>25312408</v>
      </c>
      <c r="E27" s="11">
        <v>10</v>
      </c>
      <c r="F27" s="11">
        <v>32</v>
      </c>
      <c r="G27" s="11">
        <v>30</v>
      </c>
      <c r="I27" s="12">
        <f t="shared" si="0"/>
        <v>14.253</v>
      </c>
      <c r="J27" s="13">
        <f t="shared" si="1"/>
        <v>0.60062242991658477</v>
      </c>
      <c r="K27" s="13">
        <f t="shared" si="2"/>
        <v>0.10281755888258438</v>
      </c>
      <c r="L27" s="13">
        <f t="shared" si="3"/>
        <v>7.4646394764180474E-2</v>
      </c>
      <c r="M27" s="13">
        <f t="shared" si="4"/>
        <v>0.4978048710340004</v>
      </c>
      <c r="N27" s="10">
        <f t="shared" si="5"/>
        <v>2602560</v>
      </c>
      <c r="O27" s="13">
        <f t="shared" si="6"/>
        <v>0.6117378159126754</v>
      </c>
      <c r="P27" s="14">
        <v>24852477</v>
      </c>
      <c r="Q27" s="14">
        <v>776639.90625</v>
      </c>
      <c r="R27" s="14">
        <v>18382.90625</v>
      </c>
      <c r="S27" s="15">
        <v>15203200</v>
      </c>
      <c r="T27" s="15">
        <v>1889480</v>
      </c>
      <c r="U27" s="15">
        <v>713080</v>
      </c>
      <c r="V27" s="15">
        <v>12600640</v>
      </c>
      <c r="W27" s="16">
        <v>69.265340624999993</v>
      </c>
      <c r="X27" s="16">
        <v>71.6325875</v>
      </c>
      <c r="Y27" s="16">
        <v>32.260521875000002</v>
      </c>
      <c r="Z27" s="16">
        <v>35.597590625000002</v>
      </c>
      <c r="AA27" s="16">
        <v>35.223975000000003</v>
      </c>
      <c r="AB27" s="17">
        <v>1557.9</v>
      </c>
      <c r="AC27" s="17">
        <v>1870.56</v>
      </c>
      <c r="AD27" s="17">
        <v>10.456</v>
      </c>
      <c r="AE27" s="17">
        <v>10.316000000000001</v>
      </c>
      <c r="AG27" s="12">
        <f t="shared" si="7"/>
        <v>14.253</v>
      </c>
      <c r="AH27" s="13">
        <f t="shared" si="8"/>
        <v>0.60062242991658477</v>
      </c>
      <c r="AI27" s="13">
        <f t="shared" si="9"/>
        <v>0.10281755888258438</v>
      </c>
      <c r="AJ27" s="13">
        <f t="shared" si="10"/>
        <v>7.4646394764180474E-2</v>
      </c>
      <c r="AK27" s="13">
        <f t="shared" si="11"/>
        <v>0.4978048710340004</v>
      </c>
      <c r="AL27" s="10">
        <f t="shared" si="12"/>
        <v>2602560</v>
      </c>
      <c r="AM27" s="13">
        <f t="shared" si="13"/>
        <v>0.6117378159126754</v>
      </c>
      <c r="AN27" s="14">
        <v>24852477</v>
      </c>
      <c r="AO27" s="14">
        <v>776639.90625</v>
      </c>
      <c r="AP27" s="14">
        <v>18382.90625</v>
      </c>
      <c r="AQ27" s="15">
        <v>15203200</v>
      </c>
      <c r="AR27" s="15">
        <v>1889480</v>
      </c>
      <c r="AS27" s="15">
        <v>713080</v>
      </c>
      <c r="AT27" s="15">
        <v>12600640</v>
      </c>
      <c r="AU27" s="16">
        <v>69.265340624999993</v>
      </c>
      <c r="AV27" s="16">
        <v>71.6325875</v>
      </c>
      <c r="AW27" s="16">
        <v>32.260521875000002</v>
      </c>
      <c r="AX27" s="16">
        <v>35.597590625000002</v>
      </c>
      <c r="AY27" s="16">
        <v>35.223975000000003</v>
      </c>
      <c r="AZ27" s="17">
        <v>1539.38</v>
      </c>
      <c r="BA27" s="17">
        <v>1850.88</v>
      </c>
      <c r="BB27" s="17">
        <v>12.092000000000001</v>
      </c>
      <c r="BC27" s="17">
        <v>9.84</v>
      </c>
      <c r="BE27" s="18">
        <f t="shared" si="14"/>
        <v>1</v>
      </c>
      <c r="BF27" s="19">
        <f t="shared" si="15"/>
        <v>0</v>
      </c>
      <c r="BG27" s="19">
        <f t="shared" si="16"/>
        <v>0</v>
      </c>
      <c r="BH27" s="19"/>
      <c r="BJ27" s="18"/>
      <c r="BK27" s="18"/>
      <c r="BL27" s="18"/>
      <c r="BM27" s="18"/>
      <c r="BN27" s="18"/>
      <c r="BP27" s="18"/>
      <c r="BQ27" s="18"/>
      <c r="BR27" s="18"/>
      <c r="BS27" s="18"/>
      <c r="BT27" s="18"/>
      <c r="BV27">
        <f t="shared" si="17"/>
        <v>0</v>
      </c>
      <c r="BW27">
        <f t="shared" si="18"/>
        <v>0</v>
      </c>
      <c r="BX27">
        <f t="shared" si="19"/>
        <v>0</v>
      </c>
      <c r="BY27">
        <f t="shared" si="20"/>
        <v>0</v>
      </c>
      <c r="BZ27">
        <f t="shared" si="21"/>
        <v>0</v>
      </c>
      <c r="CA27">
        <f t="shared" si="22"/>
        <v>0</v>
      </c>
      <c r="CB27">
        <f t="shared" si="23"/>
        <v>0</v>
      </c>
      <c r="CC27">
        <f t="shared" si="24"/>
        <v>0</v>
      </c>
      <c r="CD27">
        <f t="shared" si="25"/>
        <v>0</v>
      </c>
      <c r="CE27">
        <f t="shared" si="26"/>
        <v>0</v>
      </c>
      <c r="CF27">
        <f t="shared" si="27"/>
        <v>0</v>
      </c>
      <c r="CG27">
        <f t="shared" si="28"/>
        <v>0</v>
      </c>
      <c r="CJ27" t="s">
        <v>247</v>
      </c>
    </row>
    <row r="28" spans="1:88" outlineLevel="1" x14ac:dyDescent="0.25">
      <c r="A28" s="20"/>
      <c r="B28" s="20" t="s">
        <v>73</v>
      </c>
      <c r="C28" s="21" t="s">
        <v>242</v>
      </c>
      <c r="D28" s="20">
        <v>25312408</v>
      </c>
      <c r="E28" s="21">
        <v>10</v>
      </c>
      <c r="F28" s="21">
        <v>32</v>
      </c>
      <c r="G28" s="21">
        <v>30</v>
      </c>
      <c r="I28" s="22">
        <f t="shared" si="0"/>
        <v>27.162097500000002</v>
      </c>
      <c r="J28" s="23">
        <f t="shared" si="1"/>
        <v>1.1446127132590467</v>
      </c>
      <c r="K28" s="23">
        <f t="shared" si="2"/>
        <v>0.14095758886313781</v>
      </c>
      <c r="L28" s="23">
        <f t="shared" si="3"/>
        <v>0.11278642474473388</v>
      </c>
      <c r="M28" s="23">
        <f t="shared" si="4"/>
        <v>1.0036551243959089</v>
      </c>
      <c r="N28" s="20">
        <f t="shared" si="5"/>
        <v>3567976</v>
      </c>
      <c r="O28" s="23">
        <f t="shared" si="6"/>
        <v>1.1352510792816404</v>
      </c>
      <c r="P28" s="24">
        <v>25521142</v>
      </c>
      <c r="Q28" s="24">
        <v>797535.6875</v>
      </c>
      <c r="R28" s="24">
        <v>20619</v>
      </c>
      <c r="S28" s="25">
        <v>28972904</v>
      </c>
      <c r="T28" s="25">
        <v>2854896</v>
      </c>
      <c r="U28" s="25">
        <v>713080</v>
      </c>
      <c r="V28" s="25">
        <v>25404928</v>
      </c>
      <c r="W28" s="26">
        <v>70.423309375000002</v>
      </c>
      <c r="X28" s="26">
        <v>72.950893750000006</v>
      </c>
      <c r="Y28" s="26">
        <v>34.792356249999997</v>
      </c>
      <c r="Z28" s="26">
        <v>37.374493749999992</v>
      </c>
      <c r="AA28" s="26">
        <v>36.941787499999997</v>
      </c>
      <c r="AB28" s="27">
        <v>1549.65</v>
      </c>
      <c r="AC28" s="27">
        <v>2111.94</v>
      </c>
      <c r="AD28" s="27">
        <v>12.676</v>
      </c>
      <c r="AE28" s="27">
        <v>12.231999999999999</v>
      </c>
      <c r="AG28" s="22">
        <f t="shared" si="7"/>
        <v>27.162097500000002</v>
      </c>
      <c r="AH28" s="23">
        <f t="shared" si="8"/>
        <v>1.1446127132590467</v>
      </c>
      <c r="AI28" s="23">
        <f t="shared" si="9"/>
        <v>0.14095758886313781</v>
      </c>
      <c r="AJ28" s="23">
        <f t="shared" si="10"/>
        <v>0.11278642474473388</v>
      </c>
      <c r="AK28" s="23">
        <f t="shared" si="11"/>
        <v>1.0036551243959089</v>
      </c>
      <c r="AL28" s="20">
        <f t="shared" si="12"/>
        <v>3567976</v>
      </c>
      <c r="AM28" s="23">
        <f t="shared" si="13"/>
        <v>1.1352510792816404</v>
      </c>
      <c r="AN28" s="24">
        <v>25521142</v>
      </c>
      <c r="AO28" s="24">
        <v>797535.6875</v>
      </c>
      <c r="AP28" s="24">
        <v>20619</v>
      </c>
      <c r="AQ28" s="25">
        <v>28972904</v>
      </c>
      <c r="AR28" s="25">
        <v>2854896</v>
      </c>
      <c r="AS28" s="25">
        <v>713080</v>
      </c>
      <c r="AT28" s="25">
        <v>25404928</v>
      </c>
      <c r="AU28" s="26">
        <v>70.423309375000002</v>
      </c>
      <c r="AV28" s="26">
        <v>72.950893750000006</v>
      </c>
      <c r="AW28" s="26">
        <v>34.792356249999997</v>
      </c>
      <c r="AX28" s="26">
        <v>37.374493749999992</v>
      </c>
      <c r="AY28" s="26">
        <v>36.941787499999997</v>
      </c>
      <c r="AZ28" s="27">
        <v>1527.83</v>
      </c>
      <c r="BA28" s="27">
        <v>2123.92</v>
      </c>
      <c r="BB28" s="27">
        <v>12.18</v>
      </c>
      <c r="BC28" s="27">
        <v>12.76</v>
      </c>
      <c r="BE28" s="28">
        <f t="shared" si="14"/>
        <v>1</v>
      </c>
      <c r="BF28" s="29">
        <f t="shared" si="15"/>
        <v>0</v>
      </c>
      <c r="BG28" s="29">
        <f t="shared" si="16"/>
        <v>0</v>
      </c>
      <c r="BH28" s="29"/>
      <c r="BJ28" s="28"/>
      <c r="BK28" s="28"/>
      <c r="BL28" s="28"/>
      <c r="BM28" s="28"/>
      <c r="BN28" s="28"/>
      <c r="BP28" s="28"/>
      <c r="BQ28" s="28"/>
      <c r="BR28" s="28"/>
      <c r="BS28" s="28"/>
      <c r="BT28" s="28"/>
      <c r="BV28">
        <f t="shared" si="17"/>
        <v>0</v>
      </c>
      <c r="BW28">
        <f t="shared" si="18"/>
        <v>0</v>
      </c>
      <c r="BX28">
        <f t="shared" si="19"/>
        <v>0</v>
      </c>
      <c r="BY28">
        <f t="shared" si="20"/>
        <v>0</v>
      </c>
      <c r="BZ28">
        <f t="shared" si="21"/>
        <v>0</v>
      </c>
      <c r="CA28">
        <f t="shared" si="22"/>
        <v>0</v>
      </c>
      <c r="CB28">
        <f t="shared" si="23"/>
        <v>0</v>
      </c>
      <c r="CC28">
        <f t="shared" si="24"/>
        <v>0</v>
      </c>
      <c r="CD28">
        <f t="shared" si="25"/>
        <v>0</v>
      </c>
      <c r="CE28">
        <f t="shared" si="26"/>
        <v>0</v>
      </c>
      <c r="CF28">
        <f t="shared" si="27"/>
        <v>0</v>
      </c>
      <c r="CG28">
        <f t="shared" si="28"/>
        <v>0</v>
      </c>
      <c r="CJ28" t="s">
        <v>247</v>
      </c>
    </row>
    <row r="29" spans="1:88" ht="15.75" customHeight="1" outlineLevel="1" thickBot="1" x14ac:dyDescent="0.3">
      <c r="A29" s="30"/>
      <c r="B29" s="30" t="s">
        <v>73</v>
      </c>
      <c r="C29" s="31" t="s">
        <v>243</v>
      </c>
      <c r="D29" s="30">
        <v>25312408</v>
      </c>
      <c r="E29" s="31">
        <v>10</v>
      </c>
      <c r="F29" s="31">
        <v>32</v>
      </c>
      <c r="G29" s="31">
        <v>30</v>
      </c>
      <c r="I29" s="32">
        <f t="shared" si="0"/>
        <v>47.725432499999997</v>
      </c>
      <c r="J29" s="33">
        <f t="shared" si="1"/>
        <v>2.0111531072033921</v>
      </c>
      <c r="K29" s="33">
        <f t="shared" si="2"/>
        <v>0.22736232759838573</v>
      </c>
      <c r="L29" s="33">
        <f t="shared" si="3"/>
        <v>0.17444567107167364</v>
      </c>
      <c r="M29" s="33">
        <f t="shared" si="4"/>
        <v>1.7837907796050063</v>
      </c>
      <c r="N29" s="30">
        <f t="shared" si="5"/>
        <v>5755088</v>
      </c>
      <c r="O29" s="33">
        <f t="shared" si="6"/>
        <v>2.0718076713545908</v>
      </c>
      <c r="P29" s="34">
        <v>24571358</v>
      </c>
      <c r="Q29" s="34">
        <v>767854.9375</v>
      </c>
      <c r="R29" s="34">
        <v>9649.625</v>
      </c>
      <c r="S29" s="35">
        <v>50907128</v>
      </c>
      <c r="T29" s="35">
        <v>4415640</v>
      </c>
      <c r="U29" s="35">
        <v>1339448</v>
      </c>
      <c r="V29" s="35">
        <v>45152040</v>
      </c>
      <c r="W29" s="36">
        <v>71.157656250000016</v>
      </c>
      <c r="X29" s="36">
        <v>74.909078125000022</v>
      </c>
      <c r="Y29" s="36">
        <v>36.492303124999992</v>
      </c>
      <c r="Z29" s="36">
        <v>39.377640624999998</v>
      </c>
      <c r="AA29" s="36">
        <v>38.733193750000012</v>
      </c>
      <c r="AB29" s="37">
        <v>1552.5</v>
      </c>
      <c r="AC29" s="37">
        <v>2432.46</v>
      </c>
      <c r="AD29" s="37">
        <v>12.336</v>
      </c>
      <c r="AE29" s="37">
        <v>13.012</v>
      </c>
      <c r="AG29" s="32">
        <f t="shared" si="7"/>
        <v>47.725432499999997</v>
      </c>
      <c r="AH29" s="33">
        <f t="shared" si="8"/>
        <v>2.0111531072033921</v>
      </c>
      <c r="AI29" s="33">
        <f t="shared" si="9"/>
        <v>0.22736232759838573</v>
      </c>
      <c r="AJ29" s="33">
        <f t="shared" si="10"/>
        <v>0.17444567107167364</v>
      </c>
      <c r="AK29" s="33">
        <f t="shared" si="11"/>
        <v>1.7837907796050063</v>
      </c>
      <c r="AL29" s="30">
        <f t="shared" si="12"/>
        <v>5755088</v>
      </c>
      <c r="AM29" s="33">
        <f t="shared" si="13"/>
        <v>2.0718076713545908</v>
      </c>
      <c r="AN29" s="34">
        <v>24571358</v>
      </c>
      <c r="AO29" s="34">
        <v>767854.9375</v>
      </c>
      <c r="AP29" s="34">
        <v>9649.625</v>
      </c>
      <c r="AQ29" s="35">
        <v>50907128</v>
      </c>
      <c r="AR29" s="35">
        <v>4415640</v>
      </c>
      <c r="AS29" s="35">
        <v>1339448</v>
      </c>
      <c r="AT29" s="35">
        <v>45152040</v>
      </c>
      <c r="AU29" s="36">
        <v>71.157656250000016</v>
      </c>
      <c r="AV29" s="36">
        <v>74.909078125000022</v>
      </c>
      <c r="AW29" s="36">
        <v>36.492303124999992</v>
      </c>
      <c r="AX29" s="36">
        <v>39.377640624999998</v>
      </c>
      <c r="AY29" s="36">
        <v>38.733193750000012</v>
      </c>
      <c r="AZ29" s="37">
        <v>1427.02</v>
      </c>
      <c r="BA29" s="37">
        <v>2400.66</v>
      </c>
      <c r="BB29" s="37">
        <v>12.436</v>
      </c>
      <c r="BC29" s="37">
        <v>14.54</v>
      </c>
      <c r="BE29" s="38">
        <f t="shared" si="14"/>
        <v>1</v>
      </c>
      <c r="BF29" s="39">
        <f t="shared" si="15"/>
        <v>0</v>
      </c>
      <c r="BG29" s="39">
        <f t="shared" si="16"/>
        <v>0</v>
      </c>
      <c r="BH29" s="39"/>
      <c r="BJ29" s="38"/>
      <c r="BK29" s="38"/>
      <c r="BL29" s="38"/>
      <c r="BM29" s="38"/>
      <c r="BN29" s="38"/>
      <c r="BP29" s="38"/>
      <c r="BQ29" s="38"/>
      <c r="BR29" s="38"/>
      <c r="BS29" s="38"/>
      <c r="BT29" s="38"/>
      <c r="BV29">
        <f t="shared" si="17"/>
        <v>0</v>
      </c>
      <c r="BW29">
        <f t="shared" si="18"/>
        <v>0</v>
      </c>
      <c r="BX29">
        <f t="shared" si="19"/>
        <v>0</v>
      </c>
      <c r="BY29">
        <f t="shared" si="20"/>
        <v>0</v>
      </c>
      <c r="BZ29">
        <f t="shared" si="21"/>
        <v>0</v>
      </c>
      <c r="CA29">
        <f t="shared" si="22"/>
        <v>0</v>
      </c>
      <c r="CB29">
        <f t="shared" si="23"/>
        <v>0</v>
      </c>
      <c r="CC29">
        <f t="shared" si="24"/>
        <v>0</v>
      </c>
      <c r="CD29">
        <f t="shared" si="25"/>
        <v>0</v>
      </c>
      <c r="CE29">
        <f t="shared" si="26"/>
        <v>0</v>
      </c>
      <c r="CF29">
        <f t="shared" si="27"/>
        <v>0</v>
      </c>
      <c r="CG29">
        <f t="shared" si="28"/>
        <v>0</v>
      </c>
      <c r="CJ29" t="s">
        <v>247</v>
      </c>
    </row>
    <row r="30" spans="1:88" x14ac:dyDescent="0.25">
      <c r="A30" s="20" t="s">
        <v>248</v>
      </c>
      <c r="B30" s="20" t="s">
        <v>77</v>
      </c>
      <c r="C30" s="21" t="s">
        <v>238</v>
      </c>
      <c r="D30" s="20">
        <v>28802925</v>
      </c>
      <c r="E30" s="21">
        <v>11</v>
      </c>
      <c r="F30" s="21">
        <v>10</v>
      </c>
      <c r="G30" s="21">
        <v>30</v>
      </c>
      <c r="I30" s="22">
        <f t="shared" si="0"/>
        <v>5.5587119999999999</v>
      </c>
      <c r="J30" s="23">
        <f t="shared" si="1"/>
        <v>6.4330410887088726E-2</v>
      </c>
      <c r="K30" s="23">
        <f t="shared" si="2"/>
        <v>3.925073581936557E-2</v>
      </c>
      <c r="L30" s="23">
        <f t="shared" si="3"/>
        <v>2.4363358929692037E-2</v>
      </c>
      <c r="M30" s="23">
        <f t="shared" si="4"/>
        <v>2.5079675067723156E-2</v>
      </c>
      <c r="N30" s="20">
        <f t="shared" si="5"/>
        <v>1130536</v>
      </c>
      <c r="O30" s="23">
        <f t="shared" si="6"/>
        <v>7.0629934250149504E-2</v>
      </c>
      <c r="P30" s="24">
        <v>26233976</v>
      </c>
      <c r="Q30" s="24">
        <v>2623397.6</v>
      </c>
      <c r="R30" s="24">
        <v>32601.9</v>
      </c>
      <c r="S30" s="25">
        <v>1852904</v>
      </c>
      <c r="T30" s="25">
        <v>701736</v>
      </c>
      <c r="U30" s="25">
        <v>428800</v>
      </c>
      <c r="V30" s="25">
        <v>722368</v>
      </c>
      <c r="W30" s="26">
        <v>73.498850000000004</v>
      </c>
      <c r="X30" s="26">
        <v>75.695869999999999</v>
      </c>
      <c r="Y30" s="26">
        <v>34.604100000000003</v>
      </c>
      <c r="Z30" s="26">
        <v>41.861669999999997</v>
      </c>
      <c r="AA30" s="26">
        <v>43.705380000000012</v>
      </c>
      <c r="AB30" s="27">
        <v>976.4</v>
      </c>
      <c r="AC30" s="27">
        <v>1173.1500000000001</v>
      </c>
      <c r="AD30" s="27">
        <v>11.464</v>
      </c>
      <c r="AE30" s="27">
        <v>6.7960000000000003</v>
      </c>
      <c r="AG30" s="22">
        <f t="shared" si="7"/>
        <v>5.5587119999999999</v>
      </c>
      <c r="AH30" s="23">
        <f t="shared" si="8"/>
        <v>6.4330410887088726E-2</v>
      </c>
      <c r="AI30" s="23">
        <f t="shared" si="9"/>
        <v>3.925073581936557E-2</v>
      </c>
      <c r="AJ30" s="23">
        <f t="shared" si="10"/>
        <v>2.4363358929692037E-2</v>
      </c>
      <c r="AK30" s="23">
        <f t="shared" si="11"/>
        <v>2.5079675067723156E-2</v>
      </c>
      <c r="AL30" s="20">
        <f t="shared" si="12"/>
        <v>1130536</v>
      </c>
      <c r="AM30" s="23">
        <f t="shared" si="13"/>
        <v>7.0629934250149504E-2</v>
      </c>
      <c r="AN30" s="24">
        <v>26233976</v>
      </c>
      <c r="AO30" s="24">
        <v>2623397.6</v>
      </c>
      <c r="AP30" s="24">
        <v>32601.9</v>
      </c>
      <c r="AQ30" s="25">
        <v>1852904</v>
      </c>
      <c r="AR30" s="25">
        <v>701736</v>
      </c>
      <c r="AS30" s="25">
        <v>428800</v>
      </c>
      <c r="AT30" s="25">
        <v>722368</v>
      </c>
      <c r="AU30" s="26">
        <v>73.498850000000004</v>
      </c>
      <c r="AV30" s="26">
        <v>75.695869999999999</v>
      </c>
      <c r="AW30" s="26">
        <v>34.604100000000003</v>
      </c>
      <c r="AX30" s="26">
        <v>41.861669999999997</v>
      </c>
      <c r="AY30" s="26">
        <v>43.705380000000012</v>
      </c>
      <c r="AZ30" s="27">
        <v>1019.2</v>
      </c>
      <c r="BA30" s="27">
        <v>1342.5</v>
      </c>
      <c r="BB30" s="27">
        <v>10.988</v>
      </c>
      <c r="BC30" s="27">
        <v>7.7</v>
      </c>
      <c r="BE30" s="28">
        <f t="shared" si="14"/>
        <v>1</v>
      </c>
      <c r="BF30" s="29">
        <f t="shared" si="15"/>
        <v>0</v>
      </c>
      <c r="BG30" s="29">
        <f t="shared" si="16"/>
        <v>0</v>
      </c>
      <c r="BH30" s="29">
        <f t="array" ref="BH30">AVERAGE(AL30:AL34/AQ30:AQ34) - AVERAGE(N30:N34/S30:S34)</f>
        <v>0</v>
      </c>
      <c r="BJ30" s="28">
        <f>IF( OR(ISBLANK(N30:N34),ISBLANK(AL30:AL34), ISBLANK(W30:W34),ISBLANK(AU30:AU34)), "·", bdRateExtend( N30:N34,W30:W34, AL30:AL34,AU30:AU34))</f>
        <v>0</v>
      </c>
      <c r="BK30" s="28">
        <f>IF( OR(ISBLANK(N30:N34),ISBLANK(AL30:AL34), ISBLANK(X30:X34),ISBLANK(AV30:AV34)), "·", bdRateExtend( N30:N34,X30:X34, AL30:AL34,AV30:AV34))</f>
        <v>0</v>
      </c>
      <c r="BL30" s="28">
        <f>IF( OR(ISBLANK(V30:V34),ISBLANK(AT30:AT34), ISBLANK(Y30:Y34),ISBLANK(AW30:AW34)), "·", bdRateExtend( V30:V34,Y30:Y34, AT30:AT34,AW30:AW34))</f>
        <v>0</v>
      </c>
      <c r="BM30" s="28">
        <f>IF( OR(ISBLANK(V30:V34),ISBLANK(AT30:AT34), ISBLANK(Z30:Z34),ISBLANK(AX30:AX34)), "·", bdRateExtend( V30:V34,Z30:Z34, AT30:AT34,AX30:AX34))</f>
        <v>0</v>
      </c>
      <c r="BN30" s="28">
        <f>IF( OR(ISBLANK(V30:V34),ISBLANK(AT30:AT34), ISBLANK(AA30:AA34),ISBLANK(AY30:AY34)), "·", bdRateExtend( V30:V34,AA30:AA34, AT30:AT34,AY30:AY34))</f>
        <v>0</v>
      </c>
      <c r="BP30" s="28">
        <f>IF( OR(ISBLANK(S30:S34),ISBLANK(AQ30:AQ34), ISBLANK(W30:W34),ISBLANK(AU30:AU34)), "·", bdRateExtend( S30:S34,W30:W34, AQ30:AQ34,AU30:AU34))</f>
        <v>0</v>
      </c>
      <c r="BQ30" s="28">
        <f>IF( OR(ISBLANK(S30:S34),ISBLANK(AQ30:AQ34), ISBLANK(X30:X34),ISBLANK(AV30:AV34)), "·", bdRateExtend( S30:S34,X30:X34, AQ30:AQ34,AV30:AV34))</f>
        <v>0</v>
      </c>
      <c r="BR30" s="28">
        <f>IF( OR(ISBLANK(S30:S34),ISBLANK(AQ30:AQ34), ISBLANK(Y30:Y34),ISBLANK(AW30:AW34)), "·", bdRateExtend( S30:S34,Y30:Y34, AQ30:AQ34,AW30:AW34))</f>
        <v>0</v>
      </c>
      <c r="BS30" s="28">
        <f>IF( OR(ISBLANK(S30:S34),ISBLANK(AQ30:AQ34), ISBLANK(Z30:Z34),ISBLANK(AX30:AX34)), "·", bdRateExtend( S30:S34,Z30:Z34, AQ30:AQ34,AX30:AX34))</f>
        <v>0</v>
      </c>
      <c r="BT30" s="28">
        <f>IF( OR(ISBLANK(S30:S34),ISBLANK(AQ30:AQ34), ISBLANK(AA30:AA34),ISBLANK(AY30:AY34)), "·", bdRateExtend( S30:S34,AA30:AA34, AQ30:AQ34,AY30:AY34))</f>
        <v>0</v>
      </c>
      <c r="BV30">
        <f t="shared" si="17"/>
        <v>0</v>
      </c>
      <c r="BW30">
        <f t="shared" si="18"/>
        <v>0</v>
      </c>
      <c r="BX30">
        <f t="shared" si="19"/>
        <v>0</v>
      </c>
      <c r="BY30">
        <f t="shared" si="20"/>
        <v>0</v>
      </c>
      <c r="BZ30">
        <f t="shared" si="21"/>
        <v>0</v>
      </c>
      <c r="CA30">
        <f t="shared" si="22"/>
        <v>0</v>
      </c>
      <c r="CB30">
        <f t="shared" si="23"/>
        <v>0</v>
      </c>
      <c r="CC30">
        <f t="shared" si="24"/>
        <v>0</v>
      </c>
      <c r="CD30">
        <f t="shared" si="25"/>
        <v>0</v>
      </c>
      <c r="CE30">
        <f t="shared" si="26"/>
        <v>0</v>
      </c>
      <c r="CF30">
        <f t="shared" si="27"/>
        <v>0</v>
      </c>
      <c r="CG30">
        <f t="shared" si="28"/>
        <v>0</v>
      </c>
      <c r="CJ30" t="s">
        <v>249</v>
      </c>
    </row>
    <row r="31" spans="1:88" outlineLevel="1" x14ac:dyDescent="0.25">
      <c r="A31" s="10"/>
      <c r="B31" s="10" t="s">
        <v>77</v>
      </c>
      <c r="C31" s="11" t="s">
        <v>240</v>
      </c>
      <c r="D31" s="10">
        <v>28802925</v>
      </c>
      <c r="E31" s="11">
        <v>11</v>
      </c>
      <c r="F31" s="11">
        <v>10</v>
      </c>
      <c r="G31" s="11">
        <v>30</v>
      </c>
      <c r="I31" s="12">
        <f t="shared" si="0"/>
        <v>8.0679119999999998</v>
      </c>
      <c r="J31" s="13">
        <f t="shared" si="1"/>
        <v>9.3369128309017224E-2</v>
      </c>
      <c r="K31" s="13">
        <f t="shared" si="2"/>
        <v>4.837175391041014E-2</v>
      </c>
      <c r="L31" s="13">
        <f t="shared" si="3"/>
        <v>3.348437702073661E-2</v>
      </c>
      <c r="M31" s="13">
        <f t="shared" si="4"/>
        <v>4.4997374398607085E-2</v>
      </c>
      <c r="N31" s="10">
        <f t="shared" si="5"/>
        <v>1393248</v>
      </c>
      <c r="O31" s="13">
        <f t="shared" si="6"/>
        <v>9.6407763113074557E-2</v>
      </c>
      <c r="P31" s="14">
        <v>27895098</v>
      </c>
      <c r="Q31" s="14">
        <v>2789509.8</v>
      </c>
      <c r="R31" s="14">
        <v>41019.800000000003</v>
      </c>
      <c r="S31" s="15">
        <v>2689304</v>
      </c>
      <c r="T31" s="15">
        <v>964448</v>
      </c>
      <c r="U31" s="15">
        <v>428800</v>
      </c>
      <c r="V31" s="15">
        <v>1296056</v>
      </c>
      <c r="W31" s="16">
        <v>75.185659999999999</v>
      </c>
      <c r="X31" s="16">
        <v>77.550949999999986</v>
      </c>
      <c r="Y31" s="16">
        <v>36.488900000000001</v>
      </c>
      <c r="Z31" s="16">
        <v>42.379850000000012</v>
      </c>
      <c r="AA31" s="16">
        <v>44.839759999999998</v>
      </c>
      <c r="AB31" s="17">
        <v>977.32399999999996</v>
      </c>
      <c r="AC31" s="17">
        <v>1233.18</v>
      </c>
      <c r="AD31" s="17">
        <v>11.007999999999999</v>
      </c>
      <c r="AE31" s="17">
        <v>8.2439999999999998</v>
      </c>
      <c r="AG31" s="12">
        <f t="shared" si="7"/>
        <v>8.0679119999999998</v>
      </c>
      <c r="AH31" s="13">
        <f t="shared" si="8"/>
        <v>9.3369128309017224E-2</v>
      </c>
      <c r="AI31" s="13">
        <f t="shared" si="9"/>
        <v>4.837175391041014E-2</v>
      </c>
      <c r="AJ31" s="13">
        <f t="shared" si="10"/>
        <v>3.348437702073661E-2</v>
      </c>
      <c r="AK31" s="13">
        <f t="shared" si="11"/>
        <v>4.4997374398607085E-2</v>
      </c>
      <c r="AL31" s="10">
        <f t="shared" si="12"/>
        <v>1393248</v>
      </c>
      <c r="AM31" s="13">
        <f t="shared" si="13"/>
        <v>9.6407763113074557E-2</v>
      </c>
      <c r="AN31" s="14">
        <v>27895098</v>
      </c>
      <c r="AO31" s="14">
        <v>2789509.8</v>
      </c>
      <c r="AP31" s="14">
        <v>41019.800000000003</v>
      </c>
      <c r="AQ31" s="15">
        <v>2689304</v>
      </c>
      <c r="AR31" s="15">
        <v>964448</v>
      </c>
      <c r="AS31" s="15">
        <v>428800</v>
      </c>
      <c r="AT31" s="15">
        <v>1296056</v>
      </c>
      <c r="AU31" s="16">
        <v>75.185659999999999</v>
      </c>
      <c r="AV31" s="16">
        <v>77.550949999999986</v>
      </c>
      <c r="AW31" s="16">
        <v>36.488900000000001</v>
      </c>
      <c r="AX31" s="16">
        <v>42.379850000000012</v>
      </c>
      <c r="AY31" s="16">
        <v>44.839759999999998</v>
      </c>
      <c r="AZ31" s="17">
        <v>981.82799999999997</v>
      </c>
      <c r="BA31" s="17">
        <v>1232.69</v>
      </c>
      <c r="BB31" s="17">
        <v>11.068</v>
      </c>
      <c r="BC31" s="17">
        <v>8.1639999999999997</v>
      </c>
      <c r="BE31" s="18">
        <f t="shared" si="14"/>
        <v>1</v>
      </c>
      <c r="BF31" s="19">
        <f t="shared" si="15"/>
        <v>0</v>
      </c>
      <c r="BG31" s="19">
        <f t="shared" si="16"/>
        <v>0</v>
      </c>
      <c r="BH31" s="19"/>
      <c r="BJ31" s="18"/>
      <c r="BK31" s="18"/>
      <c r="BL31" s="18"/>
      <c r="BM31" s="18"/>
      <c r="BN31" s="18"/>
      <c r="BP31" s="18"/>
      <c r="BQ31" s="18"/>
      <c r="BR31" s="18"/>
      <c r="BS31" s="18"/>
      <c r="BT31" s="18"/>
      <c r="BV31">
        <f t="shared" si="17"/>
        <v>0</v>
      </c>
      <c r="BW31">
        <f t="shared" si="18"/>
        <v>0</v>
      </c>
      <c r="BX31">
        <f t="shared" si="19"/>
        <v>0</v>
      </c>
      <c r="BY31">
        <f t="shared" si="20"/>
        <v>0</v>
      </c>
      <c r="BZ31">
        <f t="shared" si="21"/>
        <v>0</v>
      </c>
      <c r="CA31">
        <f t="shared" si="22"/>
        <v>0</v>
      </c>
      <c r="CB31">
        <f t="shared" si="23"/>
        <v>0</v>
      </c>
      <c r="CC31">
        <f t="shared" si="24"/>
        <v>0</v>
      </c>
      <c r="CD31">
        <f t="shared" si="25"/>
        <v>0</v>
      </c>
      <c r="CE31">
        <f t="shared" si="26"/>
        <v>0</v>
      </c>
      <c r="CF31">
        <f t="shared" si="27"/>
        <v>0</v>
      </c>
      <c r="CG31">
        <f t="shared" si="28"/>
        <v>0</v>
      </c>
      <c r="CJ31" t="s">
        <v>249</v>
      </c>
    </row>
    <row r="32" spans="1:88" outlineLevel="1" x14ac:dyDescent="0.25">
      <c r="A32" s="20"/>
      <c r="B32" s="20" t="s">
        <v>77</v>
      </c>
      <c r="C32" s="21" t="s">
        <v>241</v>
      </c>
      <c r="D32" s="20">
        <v>28802925</v>
      </c>
      <c r="E32" s="21">
        <v>11</v>
      </c>
      <c r="F32" s="21">
        <v>10</v>
      </c>
      <c r="G32" s="21">
        <v>30</v>
      </c>
      <c r="I32" s="22">
        <f t="shared" si="0"/>
        <v>12.811776</v>
      </c>
      <c r="J32" s="23">
        <f t="shared" si="1"/>
        <v>0.14826938583494559</v>
      </c>
      <c r="K32" s="23">
        <f t="shared" si="2"/>
        <v>6.1580967905169356E-2</v>
      </c>
      <c r="L32" s="23">
        <f t="shared" si="3"/>
        <v>4.6693591015495819E-2</v>
      </c>
      <c r="M32" s="23">
        <f t="shared" si="4"/>
        <v>8.6688417929776232E-2</v>
      </c>
      <c r="N32" s="20">
        <f t="shared" si="5"/>
        <v>1773712</v>
      </c>
      <c r="O32" s="23">
        <f t="shared" si="6"/>
        <v>0.14998486135540759</v>
      </c>
      <c r="P32" s="24">
        <v>28473487</v>
      </c>
      <c r="Q32" s="24">
        <v>2847348.7</v>
      </c>
      <c r="R32" s="24">
        <v>44272.3</v>
      </c>
      <c r="S32" s="25">
        <v>4270592</v>
      </c>
      <c r="T32" s="25">
        <v>1344912</v>
      </c>
      <c r="U32" s="25">
        <v>428800</v>
      </c>
      <c r="V32" s="25">
        <v>2496880</v>
      </c>
      <c r="W32" s="26">
        <v>76.464469999999992</v>
      </c>
      <c r="X32" s="26">
        <v>79.091259999999991</v>
      </c>
      <c r="Y32" s="26">
        <v>38.221110000000003</v>
      </c>
      <c r="Z32" s="26">
        <v>42.869150000000012</v>
      </c>
      <c r="AA32" s="26">
        <v>45.896780000000007</v>
      </c>
      <c r="AB32" s="27">
        <v>976.02800000000002</v>
      </c>
      <c r="AC32" s="27">
        <v>1284.17</v>
      </c>
      <c r="AD32" s="27">
        <v>10.992000000000001</v>
      </c>
      <c r="AE32" s="27">
        <v>8.74</v>
      </c>
      <c r="AG32" s="22">
        <f t="shared" si="7"/>
        <v>12.811776</v>
      </c>
      <c r="AH32" s="23">
        <f t="shared" si="8"/>
        <v>0.14826938583494559</v>
      </c>
      <c r="AI32" s="23">
        <f t="shared" si="9"/>
        <v>6.1580967905169356E-2</v>
      </c>
      <c r="AJ32" s="23">
        <f t="shared" si="10"/>
        <v>4.6693591015495819E-2</v>
      </c>
      <c r="AK32" s="23">
        <f t="shared" si="11"/>
        <v>8.6688417929776232E-2</v>
      </c>
      <c r="AL32" s="20">
        <f t="shared" si="12"/>
        <v>1773712</v>
      </c>
      <c r="AM32" s="23">
        <f t="shared" si="13"/>
        <v>0.14998486135540759</v>
      </c>
      <c r="AN32" s="24">
        <v>28473487</v>
      </c>
      <c r="AO32" s="24">
        <v>2847348.7</v>
      </c>
      <c r="AP32" s="24">
        <v>44272.3</v>
      </c>
      <c r="AQ32" s="25">
        <v>4270592</v>
      </c>
      <c r="AR32" s="25">
        <v>1344912</v>
      </c>
      <c r="AS32" s="25">
        <v>428800</v>
      </c>
      <c r="AT32" s="25">
        <v>2496880</v>
      </c>
      <c r="AU32" s="26">
        <v>76.464469999999992</v>
      </c>
      <c r="AV32" s="26">
        <v>79.091259999999991</v>
      </c>
      <c r="AW32" s="26">
        <v>38.221110000000003</v>
      </c>
      <c r="AX32" s="26">
        <v>42.869150000000012</v>
      </c>
      <c r="AY32" s="26">
        <v>45.896780000000007</v>
      </c>
      <c r="AZ32" s="27">
        <v>979.94799999999998</v>
      </c>
      <c r="BA32" s="27">
        <v>1293.0999999999999</v>
      </c>
      <c r="BB32" s="27">
        <v>11.295999999999999</v>
      </c>
      <c r="BC32" s="27">
        <v>8.6159999999999997</v>
      </c>
      <c r="BE32" s="28">
        <f t="shared" si="14"/>
        <v>1</v>
      </c>
      <c r="BF32" s="29">
        <f t="shared" si="15"/>
        <v>0</v>
      </c>
      <c r="BG32" s="29">
        <f t="shared" si="16"/>
        <v>0</v>
      </c>
      <c r="BH32" s="29"/>
      <c r="BJ32" s="28"/>
      <c r="BK32" s="28"/>
      <c r="BL32" s="28"/>
      <c r="BM32" s="28"/>
      <c r="BN32" s="28"/>
      <c r="BP32" s="28"/>
      <c r="BQ32" s="28"/>
      <c r="BR32" s="28"/>
      <c r="BS32" s="28"/>
      <c r="BT32" s="28"/>
      <c r="BV32">
        <f t="shared" si="17"/>
        <v>0</v>
      </c>
      <c r="BW32">
        <f t="shared" si="18"/>
        <v>0</v>
      </c>
      <c r="BX32">
        <f t="shared" si="19"/>
        <v>0</v>
      </c>
      <c r="BY32">
        <f t="shared" si="20"/>
        <v>0</v>
      </c>
      <c r="BZ32">
        <f t="shared" si="21"/>
        <v>0</v>
      </c>
      <c r="CA32">
        <f t="shared" si="22"/>
        <v>0</v>
      </c>
      <c r="CB32">
        <f t="shared" si="23"/>
        <v>0</v>
      </c>
      <c r="CC32">
        <f t="shared" si="24"/>
        <v>0</v>
      </c>
      <c r="CD32">
        <f t="shared" si="25"/>
        <v>0</v>
      </c>
      <c r="CE32">
        <f t="shared" si="26"/>
        <v>0</v>
      </c>
      <c r="CF32">
        <f t="shared" si="27"/>
        <v>0</v>
      </c>
      <c r="CG32">
        <f t="shared" si="28"/>
        <v>0</v>
      </c>
      <c r="CJ32" t="s">
        <v>249</v>
      </c>
    </row>
    <row r="33" spans="1:88" outlineLevel="1" x14ac:dyDescent="0.25">
      <c r="A33" s="10"/>
      <c r="B33" s="10" t="s">
        <v>77</v>
      </c>
      <c r="C33" s="11" t="s">
        <v>242</v>
      </c>
      <c r="D33" s="10">
        <v>28802925</v>
      </c>
      <c r="E33" s="11">
        <v>11</v>
      </c>
      <c r="F33" s="11">
        <v>10</v>
      </c>
      <c r="G33" s="11">
        <v>30</v>
      </c>
      <c r="I33" s="12">
        <f t="shared" si="0"/>
        <v>21.84036</v>
      </c>
      <c r="J33" s="13">
        <f t="shared" si="1"/>
        <v>0.25275627388537797</v>
      </c>
      <c r="K33" s="13">
        <f t="shared" si="2"/>
        <v>8.3529294333822002E-2</v>
      </c>
      <c r="L33" s="13">
        <f t="shared" si="3"/>
        <v>6.8641917444148465E-2</v>
      </c>
      <c r="M33" s="13">
        <f t="shared" si="4"/>
        <v>0.16922697955155597</v>
      </c>
      <c r="N33" s="10">
        <f t="shared" si="5"/>
        <v>2405888</v>
      </c>
      <c r="O33" s="13">
        <f t="shared" si="6"/>
        <v>0.24942424377391847</v>
      </c>
      <c r="P33" s="14">
        <v>29187700</v>
      </c>
      <c r="Q33" s="14">
        <v>2918770</v>
      </c>
      <c r="R33" s="14">
        <v>49192.3</v>
      </c>
      <c r="S33" s="15">
        <v>7280120</v>
      </c>
      <c r="T33" s="15">
        <v>1977088</v>
      </c>
      <c r="U33" s="15">
        <v>428800</v>
      </c>
      <c r="V33" s="15">
        <v>4874232</v>
      </c>
      <c r="W33" s="16">
        <v>77.600809999999996</v>
      </c>
      <c r="X33" s="16">
        <v>80.309699999999978</v>
      </c>
      <c r="Y33" s="16">
        <v>39.809379999999997</v>
      </c>
      <c r="Z33" s="16">
        <v>43.570350000000012</v>
      </c>
      <c r="AA33" s="16">
        <v>47.700460000000007</v>
      </c>
      <c r="AB33" s="17">
        <v>978.548</v>
      </c>
      <c r="AC33" s="17">
        <v>1368.1</v>
      </c>
      <c r="AD33" s="17">
        <v>10.976000000000001</v>
      </c>
      <c r="AE33" s="17">
        <v>9.1959999999999997</v>
      </c>
      <c r="AG33" s="12">
        <f t="shared" si="7"/>
        <v>21.84036</v>
      </c>
      <c r="AH33" s="13">
        <f t="shared" si="8"/>
        <v>0.25275627388537797</v>
      </c>
      <c r="AI33" s="13">
        <f t="shared" si="9"/>
        <v>8.3529294333822002E-2</v>
      </c>
      <c r="AJ33" s="13">
        <f t="shared" si="10"/>
        <v>6.8641917444148465E-2</v>
      </c>
      <c r="AK33" s="13">
        <f t="shared" si="11"/>
        <v>0.16922697955155597</v>
      </c>
      <c r="AL33" s="10">
        <f t="shared" si="12"/>
        <v>2405888</v>
      </c>
      <c r="AM33" s="13">
        <f t="shared" si="13"/>
        <v>0.24942424377391847</v>
      </c>
      <c r="AN33" s="14">
        <v>29187700</v>
      </c>
      <c r="AO33" s="14">
        <v>2918770</v>
      </c>
      <c r="AP33" s="14">
        <v>49192.3</v>
      </c>
      <c r="AQ33" s="15">
        <v>7280120</v>
      </c>
      <c r="AR33" s="15">
        <v>1977088</v>
      </c>
      <c r="AS33" s="15">
        <v>428800</v>
      </c>
      <c r="AT33" s="15">
        <v>4874232</v>
      </c>
      <c r="AU33" s="16">
        <v>77.600809999999996</v>
      </c>
      <c r="AV33" s="16">
        <v>80.309699999999978</v>
      </c>
      <c r="AW33" s="16">
        <v>39.809379999999997</v>
      </c>
      <c r="AX33" s="16">
        <v>43.570350000000012</v>
      </c>
      <c r="AY33" s="16">
        <v>47.700460000000007</v>
      </c>
      <c r="AZ33" s="17">
        <v>979.428</v>
      </c>
      <c r="BA33" s="17">
        <v>1365.08</v>
      </c>
      <c r="BB33" s="17">
        <v>12.164</v>
      </c>
      <c r="BC33" s="17">
        <v>9.5560000000000009</v>
      </c>
      <c r="BE33" s="18">
        <f t="shared" si="14"/>
        <v>1</v>
      </c>
      <c r="BF33" s="19">
        <f t="shared" si="15"/>
        <v>0</v>
      </c>
      <c r="BG33" s="19">
        <f t="shared" si="16"/>
        <v>0</v>
      </c>
      <c r="BH33" s="19"/>
      <c r="BJ33" s="18"/>
      <c r="BK33" s="18"/>
      <c r="BL33" s="18"/>
      <c r="BM33" s="18"/>
      <c r="BN33" s="18"/>
      <c r="BP33" s="18"/>
      <c r="BQ33" s="18"/>
      <c r="BR33" s="18"/>
      <c r="BS33" s="18"/>
      <c r="BT33" s="18"/>
      <c r="BV33">
        <f t="shared" si="17"/>
        <v>0</v>
      </c>
      <c r="BW33">
        <f t="shared" si="18"/>
        <v>0</v>
      </c>
      <c r="BX33">
        <f t="shared" si="19"/>
        <v>0</v>
      </c>
      <c r="BY33">
        <f t="shared" si="20"/>
        <v>0</v>
      </c>
      <c r="BZ33">
        <f t="shared" si="21"/>
        <v>0</v>
      </c>
      <c r="CA33">
        <f t="shared" si="22"/>
        <v>0</v>
      </c>
      <c r="CB33">
        <f t="shared" si="23"/>
        <v>0</v>
      </c>
      <c r="CC33">
        <f t="shared" si="24"/>
        <v>0</v>
      </c>
      <c r="CD33">
        <f t="shared" si="25"/>
        <v>0</v>
      </c>
      <c r="CE33">
        <f t="shared" si="26"/>
        <v>0</v>
      </c>
      <c r="CF33">
        <f t="shared" si="27"/>
        <v>0</v>
      </c>
      <c r="CG33">
        <f t="shared" si="28"/>
        <v>0</v>
      </c>
      <c r="CJ33" t="s">
        <v>249</v>
      </c>
    </row>
    <row r="34" spans="1:88" ht="15.75" customHeight="1" outlineLevel="1" thickBot="1" x14ac:dyDescent="0.3">
      <c r="A34" s="20"/>
      <c r="B34" s="40" t="s">
        <v>77</v>
      </c>
      <c r="C34" s="41" t="s">
        <v>243</v>
      </c>
      <c r="D34" s="40">
        <v>28802925</v>
      </c>
      <c r="E34" s="41">
        <v>11</v>
      </c>
      <c r="F34" s="41">
        <v>10</v>
      </c>
      <c r="G34" s="41">
        <v>30</v>
      </c>
      <c r="I34" s="42">
        <f t="shared" si="0"/>
        <v>41.543880000000001</v>
      </c>
      <c r="J34" s="43">
        <f t="shared" si="1"/>
        <v>0.48078311490933645</v>
      </c>
      <c r="K34" s="43">
        <f t="shared" si="2"/>
        <v>0.13354032619950926</v>
      </c>
      <c r="L34" s="43">
        <f t="shared" si="3"/>
        <v>0.10411831437258542</v>
      </c>
      <c r="M34" s="43">
        <f t="shared" si="4"/>
        <v>0.34724278870982722</v>
      </c>
      <c r="N34" s="40">
        <f t="shared" si="5"/>
        <v>3846352</v>
      </c>
      <c r="O34" s="43">
        <f t="shared" si="6"/>
        <v>0.48450906543291439</v>
      </c>
      <c r="P34" s="44">
        <v>28581426</v>
      </c>
      <c r="Q34" s="44">
        <v>2858142.6</v>
      </c>
      <c r="R34" s="44">
        <v>21414.1</v>
      </c>
      <c r="S34" s="45">
        <v>13847960</v>
      </c>
      <c r="T34" s="45">
        <v>2998912</v>
      </c>
      <c r="U34" s="45">
        <v>847440</v>
      </c>
      <c r="V34" s="45">
        <v>10001608</v>
      </c>
      <c r="W34" s="46">
        <v>78.559209999999993</v>
      </c>
      <c r="X34" s="46">
        <v>81.999890000000008</v>
      </c>
      <c r="Y34" s="46">
        <v>41.315570000000001</v>
      </c>
      <c r="Z34" s="46">
        <v>44.355879999999999</v>
      </c>
      <c r="AA34" s="46">
        <v>49.114930000000001</v>
      </c>
      <c r="AB34" s="47">
        <v>974.31200000000001</v>
      </c>
      <c r="AC34" s="47">
        <v>1527.44</v>
      </c>
      <c r="AD34" s="47">
        <v>11.028</v>
      </c>
      <c r="AE34" s="47">
        <v>10.456</v>
      </c>
      <c r="AG34" s="42">
        <f t="shared" si="7"/>
        <v>41.543880000000001</v>
      </c>
      <c r="AH34" s="43">
        <f t="shared" si="8"/>
        <v>0.48078311490933645</v>
      </c>
      <c r="AI34" s="43">
        <f t="shared" si="9"/>
        <v>0.13354032619950926</v>
      </c>
      <c r="AJ34" s="43">
        <f t="shared" si="10"/>
        <v>0.10411831437258542</v>
      </c>
      <c r="AK34" s="43">
        <f t="shared" si="11"/>
        <v>0.34724278870982722</v>
      </c>
      <c r="AL34" s="40">
        <f t="shared" si="12"/>
        <v>3846352</v>
      </c>
      <c r="AM34" s="43">
        <f t="shared" si="13"/>
        <v>0.48450906543291439</v>
      </c>
      <c r="AN34" s="44">
        <v>28581426</v>
      </c>
      <c r="AO34" s="44">
        <v>2858142.6</v>
      </c>
      <c r="AP34" s="44">
        <v>21414.1</v>
      </c>
      <c r="AQ34" s="45">
        <v>13847960</v>
      </c>
      <c r="AR34" s="45">
        <v>2998912</v>
      </c>
      <c r="AS34" s="45">
        <v>847440</v>
      </c>
      <c r="AT34" s="45">
        <v>10001608</v>
      </c>
      <c r="AU34" s="46">
        <v>78.559209999999993</v>
      </c>
      <c r="AV34" s="46">
        <v>81.999890000000008</v>
      </c>
      <c r="AW34" s="46">
        <v>41.315570000000001</v>
      </c>
      <c r="AX34" s="46">
        <v>44.355879999999999</v>
      </c>
      <c r="AY34" s="46">
        <v>49.114930000000001</v>
      </c>
      <c r="AZ34" s="47">
        <v>979.60399999999993</v>
      </c>
      <c r="BA34" s="47">
        <v>1527.34</v>
      </c>
      <c r="BB34" s="47">
        <v>11.212</v>
      </c>
      <c r="BC34" s="47">
        <v>10.368</v>
      </c>
      <c r="BE34" s="48">
        <f t="shared" si="14"/>
        <v>1</v>
      </c>
      <c r="BF34" s="49">
        <f t="shared" si="15"/>
        <v>0</v>
      </c>
      <c r="BG34" s="49">
        <f t="shared" si="16"/>
        <v>0</v>
      </c>
      <c r="BH34" s="49"/>
      <c r="BJ34" s="48"/>
      <c r="BK34" s="48"/>
      <c r="BL34" s="48"/>
      <c r="BM34" s="48"/>
      <c r="BN34" s="48"/>
      <c r="BP34" s="48"/>
      <c r="BQ34" s="48"/>
      <c r="BR34" s="48"/>
      <c r="BS34" s="48"/>
      <c r="BT34" s="48"/>
      <c r="BV34">
        <f t="shared" si="17"/>
        <v>0</v>
      </c>
      <c r="BW34">
        <f t="shared" si="18"/>
        <v>0</v>
      </c>
      <c r="BX34">
        <f t="shared" si="19"/>
        <v>0</v>
      </c>
      <c r="BY34">
        <f t="shared" si="20"/>
        <v>0</v>
      </c>
      <c r="BZ34">
        <f t="shared" si="21"/>
        <v>0</v>
      </c>
      <c r="CA34">
        <f t="shared" si="22"/>
        <v>0</v>
      </c>
      <c r="CB34">
        <f t="shared" si="23"/>
        <v>0</v>
      </c>
      <c r="CC34">
        <f t="shared" si="24"/>
        <v>0</v>
      </c>
      <c r="CD34">
        <f t="shared" si="25"/>
        <v>0</v>
      </c>
      <c r="CE34">
        <f t="shared" si="26"/>
        <v>0</v>
      </c>
      <c r="CF34">
        <f t="shared" si="27"/>
        <v>0</v>
      </c>
      <c r="CG34">
        <f t="shared" si="28"/>
        <v>0</v>
      </c>
      <c r="CJ34" t="s">
        <v>249</v>
      </c>
    </row>
    <row r="35" spans="1:88" x14ac:dyDescent="0.25">
      <c r="A35" s="10"/>
      <c r="B35" s="10" t="s">
        <v>82</v>
      </c>
      <c r="C35" s="11" t="s">
        <v>238</v>
      </c>
      <c r="D35" s="10">
        <v>25767032</v>
      </c>
      <c r="E35" s="11">
        <v>11</v>
      </c>
      <c r="F35" s="11">
        <v>10</v>
      </c>
      <c r="G35" s="11">
        <v>30</v>
      </c>
      <c r="I35" s="12">
        <f t="shared" si="0"/>
        <v>6.2222879999999998</v>
      </c>
      <c r="J35" s="13">
        <f t="shared" si="1"/>
        <v>8.0494175658259753E-2</v>
      </c>
      <c r="K35" s="13">
        <f t="shared" si="2"/>
        <v>4.6831315302437629E-2</v>
      </c>
      <c r="L35" s="13">
        <f t="shared" si="3"/>
        <v>2.849066978300023E-2</v>
      </c>
      <c r="M35" s="13">
        <f t="shared" si="4"/>
        <v>3.3662860355822125E-2</v>
      </c>
      <c r="N35" s="10">
        <f t="shared" si="5"/>
        <v>1206704</v>
      </c>
      <c r="O35" s="13">
        <f t="shared" si="6"/>
        <v>8.9438273005324517E-2</v>
      </c>
      <c r="P35" s="14">
        <v>23190251</v>
      </c>
      <c r="Q35" s="14">
        <v>2319025.1</v>
      </c>
      <c r="R35" s="14">
        <v>29855.8</v>
      </c>
      <c r="S35" s="15">
        <v>2074096</v>
      </c>
      <c r="T35" s="15">
        <v>734120</v>
      </c>
      <c r="U35" s="15">
        <v>472584</v>
      </c>
      <c r="V35" s="15">
        <v>867392</v>
      </c>
      <c r="W35" s="16">
        <v>73.189830000000001</v>
      </c>
      <c r="X35" s="16">
        <v>75.415949999999995</v>
      </c>
      <c r="Y35" s="16">
        <v>33.99736</v>
      </c>
      <c r="Z35" s="16">
        <v>42.542580000000001</v>
      </c>
      <c r="AA35" s="16">
        <v>43.977719999999998</v>
      </c>
      <c r="AB35" s="17">
        <v>901.34399999999994</v>
      </c>
      <c r="AC35" s="17">
        <v>1493.68</v>
      </c>
      <c r="AD35" s="17">
        <v>12.02</v>
      </c>
      <c r="AE35" s="17">
        <v>8.0679999999999996</v>
      </c>
      <c r="AG35" s="12">
        <f t="shared" si="7"/>
        <v>6.2222879999999998</v>
      </c>
      <c r="AH35" s="13">
        <f t="shared" si="8"/>
        <v>8.0494175658259753E-2</v>
      </c>
      <c r="AI35" s="13">
        <f t="shared" si="9"/>
        <v>4.6831315302437629E-2</v>
      </c>
      <c r="AJ35" s="13">
        <f t="shared" si="10"/>
        <v>2.849066978300023E-2</v>
      </c>
      <c r="AK35" s="13">
        <f t="shared" si="11"/>
        <v>3.3662860355822125E-2</v>
      </c>
      <c r="AL35" s="10">
        <f t="shared" si="12"/>
        <v>1206704</v>
      </c>
      <c r="AM35" s="13">
        <f t="shared" si="13"/>
        <v>8.9438273005324517E-2</v>
      </c>
      <c r="AN35" s="14">
        <v>23190251</v>
      </c>
      <c r="AO35" s="14">
        <v>2319025.1</v>
      </c>
      <c r="AP35" s="14">
        <v>29855.8</v>
      </c>
      <c r="AQ35" s="15">
        <v>2074096</v>
      </c>
      <c r="AR35" s="15">
        <v>734120</v>
      </c>
      <c r="AS35" s="15">
        <v>472584</v>
      </c>
      <c r="AT35" s="15">
        <v>867392</v>
      </c>
      <c r="AU35" s="16">
        <v>73.189830000000001</v>
      </c>
      <c r="AV35" s="16">
        <v>75.415949999999995</v>
      </c>
      <c r="AW35" s="16">
        <v>33.99736</v>
      </c>
      <c r="AX35" s="16">
        <v>42.542580000000001</v>
      </c>
      <c r="AY35" s="16">
        <v>43.977719999999998</v>
      </c>
      <c r="AZ35" s="17">
        <v>903.96399999999994</v>
      </c>
      <c r="BA35" s="17">
        <v>1498.52</v>
      </c>
      <c r="BB35" s="17">
        <v>12.56</v>
      </c>
      <c r="BC35" s="17">
        <v>8.2919999999999998</v>
      </c>
      <c r="BE35" s="18">
        <f t="shared" si="14"/>
        <v>1</v>
      </c>
      <c r="BF35" s="19">
        <f t="shared" si="15"/>
        <v>0</v>
      </c>
      <c r="BG35" s="19">
        <f t="shared" si="16"/>
        <v>0</v>
      </c>
      <c r="BH35" s="19">
        <f t="array" ref="BH35">AVERAGE(AL35:AL39/AQ35:AQ39) - AVERAGE(N35:N39/S35:S39)</f>
        <v>0</v>
      </c>
      <c r="BJ35" s="18">
        <f>IF( OR(ISBLANK(N35:N39),ISBLANK(AL35:AL39), ISBLANK(W35:W39),ISBLANK(AU35:AU39)), "·", bdRateExtend( N35:N39,W35:W39, AL35:AL39,AU35:AU39))</f>
        <v>0</v>
      </c>
      <c r="BK35" s="18">
        <f>IF( OR(ISBLANK(N35:N39),ISBLANK(AL35:AL39), ISBLANK(X35:X39),ISBLANK(AV35:AV39)), "·", bdRateExtend( N35:N39,X35:X39, AL35:AL39,AV35:AV39))</f>
        <v>0</v>
      </c>
      <c r="BL35" s="18">
        <f>IF( OR(ISBLANK(V35:V39),ISBLANK(AT35:AT39), ISBLANK(Y35:Y39),ISBLANK(AW35:AW39)), "·", bdRateExtend( V35:V39,Y35:Y39, AT35:AT39,AW35:AW39))</f>
        <v>0</v>
      </c>
      <c r="BM35" s="18">
        <f>IF( OR(ISBLANK(V35:V39),ISBLANK(AT35:AT39), ISBLANK(Z35:Z39),ISBLANK(AX35:AX39)), "·", bdRateExtend( V35:V39,Z35:Z39, AT35:AT39,AX35:AX39))</f>
        <v>0</v>
      </c>
      <c r="BN35" s="18">
        <f>IF( OR(ISBLANK(V35:V39),ISBLANK(AT35:AT39), ISBLANK(AA35:AA39),ISBLANK(AY35:AY39)), "·", bdRateExtend( V35:V39,AA35:AA39, AT35:AT39,AY35:AY39))</f>
        <v>0</v>
      </c>
      <c r="BP35" s="18">
        <f>IF( OR(ISBLANK(S35:S39),ISBLANK(AQ35:AQ39), ISBLANK(W35:W39),ISBLANK(AU35:AU39)), "·", bdRateExtend( S35:S39,W35:W39, AQ35:AQ39,AU35:AU39))</f>
        <v>0</v>
      </c>
      <c r="BQ35" s="18">
        <f>IF( OR(ISBLANK(S35:S39),ISBLANK(AQ35:AQ39), ISBLANK(X35:X39),ISBLANK(AV35:AV39)), "·", bdRateExtend( S35:S39,X35:X39, AQ35:AQ39,AV35:AV39))</f>
        <v>0</v>
      </c>
      <c r="BR35" s="18">
        <f>IF( OR(ISBLANK(S35:S39),ISBLANK(AQ35:AQ39), ISBLANK(Y35:Y39),ISBLANK(AW35:AW39)), "·", bdRateExtend( S35:S39,Y35:Y39, AQ35:AQ39,AW35:AW39))</f>
        <v>0</v>
      </c>
      <c r="BS35" s="18">
        <f>IF( OR(ISBLANK(S35:S39),ISBLANK(AQ35:AQ39), ISBLANK(Z35:Z39),ISBLANK(AX35:AX39)), "·", bdRateExtend( S35:S39,Z35:Z39, AQ35:AQ39,AX35:AX39))</f>
        <v>0</v>
      </c>
      <c r="BT35" s="18">
        <f>IF( OR(ISBLANK(S35:S39),ISBLANK(AQ35:AQ39), ISBLANK(AA35:AA39),ISBLANK(AY35:AY39)), "·", bdRateExtend( S35:S39,AA35:AA39, AQ35:AQ39,AY35:AY39))</f>
        <v>0</v>
      </c>
      <c r="BV35">
        <f t="shared" si="17"/>
        <v>0</v>
      </c>
      <c r="BW35">
        <f t="shared" si="18"/>
        <v>0</v>
      </c>
      <c r="BX35">
        <f t="shared" si="19"/>
        <v>0</v>
      </c>
      <c r="BY35">
        <f t="shared" si="20"/>
        <v>0</v>
      </c>
      <c r="BZ35">
        <f t="shared" si="21"/>
        <v>0</v>
      </c>
      <c r="CA35">
        <f t="shared" si="22"/>
        <v>0</v>
      </c>
      <c r="CB35">
        <f t="shared" si="23"/>
        <v>0</v>
      </c>
      <c r="CC35">
        <f t="shared" si="24"/>
        <v>0</v>
      </c>
      <c r="CD35">
        <f t="shared" si="25"/>
        <v>0</v>
      </c>
      <c r="CE35">
        <f t="shared" si="26"/>
        <v>0</v>
      </c>
      <c r="CF35">
        <f t="shared" si="27"/>
        <v>0</v>
      </c>
      <c r="CG35">
        <f t="shared" si="28"/>
        <v>0</v>
      </c>
      <c r="CJ35" t="s">
        <v>250</v>
      </c>
    </row>
    <row r="36" spans="1:88" outlineLevel="1" x14ac:dyDescent="0.25">
      <c r="A36" s="20"/>
      <c r="B36" s="20" t="s">
        <v>82</v>
      </c>
      <c r="C36" s="21" t="s">
        <v>240</v>
      </c>
      <c r="D36" s="20">
        <v>25767032</v>
      </c>
      <c r="E36" s="21">
        <v>11</v>
      </c>
      <c r="F36" s="21">
        <v>10</v>
      </c>
      <c r="G36" s="21">
        <v>30</v>
      </c>
      <c r="I36" s="22">
        <f t="shared" si="0"/>
        <v>8.8924800000000008</v>
      </c>
      <c r="J36" s="23">
        <f t="shared" si="1"/>
        <v>0.11503692004573907</v>
      </c>
      <c r="K36" s="23">
        <f t="shared" si="2"/>
        <v>5.7209227667354159E-2</v>
      </c>
      <c r="L36" s="23">
        <f t="shared" si="3"/>
        <v>3.8868582147916761E-2</v>
      </c>
      <c r="M36" s="23">
        <f t="shared" si="4"/>
        <v>5.7827692378384907E-2</v>
      </c>
      <c r="N36" s="20">
        <f t="shared" si="5"/>
        <v>1474112</v>
      </c>
      <c r="O36" s="23">
        <f t="shared" si="6"/>
        <v>0.11939459253054739</v>
      </c>
      <c r="P36" s="24">
        <v>24826585</v>
      </c>
      <c r="Q36" s="24">
        <v>2482658.5</v>
      </c>
      <c r="R36" s="24">
        <v>37903.699999999997</v>
      </c>
      <c r="S36" s="25">
        <v>2964160</v>
      </c>
      <c r="T36" s="25">
        <v>1001528</v>
      </c>
      <c r="U36" s="25">
        <v>472584</v>
      </c>
      <c r="V36" s="25">
        <v>1490048</v>
      </c>
      <c r="W36" s="26">
        <v>74.947789999999998</v>
      </c>
      <c r="X36" s="26">
        <v>77.356079999999977</v>
      </c>
      <c r="Y36" s="26">
        <v>36.088030000000003</v>
      </c>
      <c r="Z36" s="26">
        <v>43.268169999999998</v>
      </c>
      <c r="AA36" s="26">
        <v>45.397060000000003</v>
      </c>
      <c r="AB36" s="27">
        <v>899.75199999999995</v>
      </c>
      <c r="AC36" s="27">
        <v>1555.92</v>
      </c>
      <c r="AD36" s="27">
        <v>11.904</v>
      </c>
      <c r="AE36" s="27">
        <v>10.44</v>
      </c>
      <c r="AG36" s="22">
        <f t="shared" si="7"/>
        <v>8.8924800000000008</v>
      </c>
      <c r="AH36" s="23">
        <f t="shared" si="8"/>
        <v>0.11503692004573907</v>
      </c>
      <c r="AI36" s="23">
        <f t="shared" si="9"/>
        <v>5.7209227667354159E-2</v>
      </c>
      <c r="AJ36" s="23">
        <f t="shared" si="10"/>
        <v>3.8868582147916761E-2</v>
      </c>
      <c r="AK36" s="23">
        <f t="shared" si="11"/>
        <v>5.7827692378384907E-2</v>
      </c>
      <c r="AL36" s="20">
        <f t="shared" si="12"/>
        <v>1474112</v>
      </c>
      <c r="AM36" s="23">
        <f t="shared" si="13"/>
        <v>0.11939459253054739</v>
      </c>
      <c r="AN36" s="24">
        <v>24826585</v>
      </c>
      <c r="AO36" s="24">
        <v>2482658.5</v>
      </c>
      <c r="AP36" s="24">
        <v>37903.699999999997</v>
      </c>
      <c r="AQ36" s="25">
        <v>2964160</v>
      </c>
      <c r="AR36" s="25">
        <v>1001528</v>
      </c>
      <c r="AS36" s="25">
        <v>472584</v>
      </c>
      <c r="AT36" s="25">
        <v>1490048</v>
      </c>
      <c r="AU36" s="26">
        <v>74.947789999999998</v>
      </c>
      <c r="AV36" s="26">
        <v>77.356079999999977</v>
      </c>
      <c r="AW36" s="26">
        <v>36.088030000000003</v>
      </c>
      <c r="AX36" s="26">
        <v>43.268169999999998</v>
      </c>
      <c r="AY36" s="26">
        <v>45.397060000000003</v>
      </c>
      <c r="AZ36" s="27">
        <v>908.10399999999993</v>
      </c>
      <c r="BA36" s="27">
        <v>1548.58</v>
      </c>
      <c r="BB36" s="27">
        <v>12.06</v>
      </c>
      <c r="BC36" s="27">
        <v>10.096</v>
      </c>
      <c r="BE36" s="28">
        <f t="shared" si="14"/>
        <v>1</v>
      </c>
      <c r="BF36" s="29">
        <f t="shared" si="15"/>
        <v>0</v>
      </c>
      <c r="BG36" s="29">
        <f t="shared" si="16"/>
        <v>0</v>
      </c>
      <c r="BH36" s="29"/>
      <c r="BJ36" s="28"/>
      <c r="BK36" s="28"/>
      <c r="BL36" s="28"/>
      <c r="BM36" s="28"/>
      <c r="BN36" s="28"/>
      <c r="BP36" s="28"/>
      <c r="BQ36" s="28"/>
      <c r="BR36" s="28"/>
      <c r="BS36" s="28"/>
      <c r="BT36" s="28"/>
      <c r="BV36">
        <f t="shared" si="17"/>
        <v>0</v>
      </c>
      <c r="BW36">
        <f t="shared" si="18"/>
        <v>0</v>
      </c>
      <c r="BX36">
        <f t="shared" si="19"/>
        <v>0</v>
      </c>
      <c r="BY36">
        <f t="shared" si="20"/>
        <v>0</v>
      </c>
      <c r="BZ36">
        <f t="shared" si="21"/>
        <v>0</v>
      </c>
      <c r="CA36">
        <f t="shared" si="22"/>
        <v>0</v>
      </c>
      <c r="CB36">
        <f t="shared" si="23"/>
        <v>0</v>
      </c>
      <c r="CC36">
        <f t="shared" si="24"/>
        <v>0</v>
      </c>
      <c r="CD36">
        <f t="shared" si="25"/>
        <v>0</v>
      </c>
      <c r="CE36">
        <f t="shared" si="26"/>
        <v>0</v>
      </c>
      <c r="CF36">
        <f t="shared" si="27"/>
        <v>0</v>
      </c>
      <c r="CG36">
        <f t="shared" si="28"/>
        <v>0</v>
      </c>
      <c r="CJ36" t="s">
        <v>250</v>
      </c>
    </row>
    <row r="37" spans="1:88" outlineLevel="1" x14ac:dyDescent="0.25">
      <c r="A37" s="10"/>
      <c r="B37" s="10" t="s">
        <v>82</v>
      </c>
      <c r="C37" s="11" t="s">
        <v>241</v>
      </c>
      <c r="D37" s="10">
        <v>25767032</v>
      </c>
      <c r="E37" s="11">
        <v>11</v>
      </c>
      <c r="F37" s="11">
        <v>10</v>
      </c>
      <c r="G37" s="11">
        <v>30</v>
      </c>
      <c r="I37" s="12">
        <f t="shared" si="0"/>
        <v>13.84548</v>
      </c>
      <c r="J37" s="13">
        <f t="shared" si="1"/>
        <v>0.179111043910684</v>
      </c>
      <c r="K37" s="13">
        <f t="shared" si="2"/>
        <v>7.2308521990425589E-2</v>
      </c>
      <c r="L37" s="13">
        <f t="shared" si="3"/>
        <v>5.3967876470988198E-2</v>
      </c>
      <c r="M37" s="13">
        <f t="shared" si="4"/>
        <v>0.10680252192025841</v>
      </c>
      <c r="N37" s="10">
        <f t="shared" si="5"/>
        <v>1863176</v>
      </c>
      <c r="O37" s="13">
        <f t="shared" si="6"/>
        <v>0.18220487416475384</v>
      </c>
      <c r="P37" s="14">
        <v>25329509</v>
      </c>
      <c r="Q37" s="14">
        <v>2532950.9</v>
      </c>
      <c r="R37" s="14">
        <v>41014.9</v>
      </c>
      <c r="S37" s="15">
        <v>4615160</v>
      </c>
      <c r="T37" s="15">
        <v>1390592</v>
      </c>
      <c r="U37" s="15">
        <v>472584</v>
      </c>
      <c r="V37" s="15">
        <v>2751984</v>
      </c>
      <c r="W37" s="16">
        <v>76.225449999999995</v>
      </c>
      <c r="X37" s="16">
        <v>78.926810000000017</v>
      </c>
      <c r="Y37" s="16">
        <v>37.935519999999997</v>
      </c>
      <c r="Z37" s="16">
        <v>43.763879999999993</v>
      </c>
      <c r="AA37" s="16">
        <v>46.561710000000012</v>
      </c>
      <c r="AB37" s="17">
        <v>935.88800000000003</v>
      </c>
      <c r="AC37" s="17">
        <v>1840.26</v>
      </c>
      <c r="AD37" s="17">
        <v>11.608000000000001</v>
      </c>
      <c r="AE37" s="17">
        <v>10.592000000000001</v>
      </c>
      <c r="AG37" s="12">
        <f t="shared" si="7"/>
        <v>13.84548</v>
      </c>
      <c r="AH37" s="13">
        <f t="shared" si="8"/>
        <v>0.179111043910684</v>
      </c>
      <c r="AI37" s="13">
        <f t="shared" si="9"/>
        <v>7.2308521990425589E-2</v>
      </c>
      <c r="AJ37" s="13">
        <f t="shared" si="10"/>
        <v>5.3967876470988198E-2</v>
      </c>
      <c r="AK37" s="13">
        <f t="shared" si="11"/>
        <v>0.10680252192025841</v>
      </c>
      <c r="AL37" s="10">
        <f t="shared" si="12"/>
        <v>1863176</v>
      </c>
      <c r="AM37" s="13">
        <f t="shared" si="13"/>
        <v>0.18220487416475384</v>
      </c>
      <c r="AN37" s="14">
        <v>25329509</v>
      </c>
      <c r="AO37" s="14">
        <v>2532950.9</v>
      </c>
      <c r="AP37" s="14">
        <v>41014.9</v>
      </c>
      <c r="AQ37" s="15">
        <v>4615160</v>
      </c>
      <c r="AR37" s="15">
        <v>1390592</v>
      </c>
      <c r="AS37" s="15">
        <v>472584</v>
      </c>
      <c r="AT37" s="15">
        <v>2751984</v>
      </c>
      <c r="AU37" s="16">
        <v>76.225449999999995</v>
      </c>
      <c r="AV37" s="16">
        <v>78.926810000000017</v>
      </c>
      <c r="AW37" s="16">
        <v>37.935519999999997</v>
      </c>
      <c r="AX37" s="16">
        <v>43.763879999999993</v>
      </c>
      <c r="AY37" s="16">
        <v>46.561710000000012</v>
      </c>
      <c r="AZ37" s="17">
        <v>909</v>
      </c>
      <c r="BA37" s="17">
        <v>1613.47</v>
      </c>
      <c r="BB37" s="17">
        <v>12.22</v>
      </c>
      <c r="BC37" s="17">
        <v>10.596</v>
      </c>
      <c r="BE37" s="18">
        <f t="shared" si="14"/>
        <v>1</v>
      </c>
      <c r="BF37" s="19">
        <f t="shared" si="15"/>
        <v>0</v>
      </c>
      <c r="BG37" s="19">
        <f t="shared" si="16"/>
        <v>0</v>
      </c>
      <c r="BH37" s="19"/>
      <c r="BJ37" s="18"/>
      <c r="BK37" s="18"/>
      <c r="BL37" s="18"/>
      <c r="BM37" s="18"/>
      <c r="BN37" s="18"/>
      <c r="BP37" s="18"/>
      <c r="BQ37" s="18"/>
      <c r="BR37" s="18"/>
      <c r="BS37" s="18"/>
      <c r="BT37" s="18"/>
      <c r="BV37">
        <f t="shared" si="17"/>
        <v>0</v>
      </c>
      <c r="BW37">
        <f t="shared" si="18"/>
        <v>0</v>
      </c>
      <c r="BX37">
        <f t="shared" si="19"/>
        <v>0</v>
      </c>
      <c r="BY37">
        <f t="shared" si="20"/>
        <v>0</v>
      </c>
      <c r="BZ37">
        <f t="shared" si="21"/>
        <v>0</v>
      </c>
      <c r="CA37">
        <f t="shared" si="22"/>
        <v>0</v>
      </c>
      <c r="CB37">
        <f t="shared" si="23"/>
        <v>0</v>
      </c>
      <c r="CC37">
        <f t="shared" si="24"/>
        <v>0</v>
      </c>
      <c r="CD37">
        <f t="shared" si="25"/>
        <v>0</v>
      </c>
      <c r="CE37">
        <f t="shared" si="26"/>
        <v>0</v>
      </c>
      <c r="CF37">
        <f t="shared" si="27"/>
        <v>0</v>
      </c>
      <c r="CG37">
        <f t="shared" si="28"/>
        <v>0</v>
      </c>
      <c r="CJ37" t="s">
        <v>250</v>
      </c>
    </row>
    <row r="38" spans="1:88" outlineLevel="1" x14ac:dyDescent="0.25">
      <c r="A38" s="20"/>
      <c r="B38" s="20" t="s">
        <v>82</v>
      </c>
      <c r="C38" s="21" t="s">
        <v>242</v>
      </c>
      <c r="D38" s="20">
        <v>25767032</v>
      </c>
      <c r="E38" s="21">
        <v>11</v>
      </c>
      <c r="F38" s="21">
        <v>10</v>
      </c>
      <c r="G38" s="21">
        <v>30</v>
      </c>
      <c r="I38" s="22">
        <f t="shared" si="0"/>
        <v>23.520744000000001</v>
      </c>
      <c r="J38" s="23">
        <f t="shared" si="1"/>
        <v>0.30427439217679397</v>
      </c>
      <c r="K38" s="23">
        <f t="shared" si="2"/>
        <v>9.7237120674201052E-2</v>
      </c>
      <c r="L38" s="23">
        <f t="shared" si="3"/>
        <v>7.8896475154763654E-2</v>
      </c>
      <c r="M38" s="23">
        <f t="shared" si="4"/>
        <v>0.20703727150259293</v>
      </c>
      <c r="N38" s="20">
        <f t="shared" si="5"/>
        <v>2505512</v>
      </c>
      <c r="O38" s="23">
        <f t="shared" si="6"/>
        <v>0.30194629038365378</v>
      </c>
      <c r="P38" s="24">
        <v>25965704</v>
      </c>
      <c r="Q38" s="24">
        <v>2596570.4</v>
      </c>
      <c r="R38" s="24">
        <v>46044</v>
      </c>
      <c r="S38" s="25">
        <v>7840248</v>
      </c>
      <c r="T38" s="25">
        <v>2032928</v>
      </c>
      <c r="U38" s="25">
        <v>472584</v>
      </c>
      <c r="V38" s="25">
        <v>5334736</v>
      </c>
      <c r="W38" s="26">
        <v>77.412570000000002</v>
      </c>
      <c r="X38" s="26">
        <v>80.153750000000002</v>
      </c>
      <c r="Y38" s="26">
        <v>39.685470000000002</v>
      </c>
      <c r="Z38" s="26">
        <v>44.549430000000001</v>
      </c>
      <c r="AA38" s="26">
        <v>47.807489999999987</v>
      </c>
      <c r="AB38" s="27">
        <v>936.65199999999993</v>
      </c>
      <c r="AC38" s="27">
        <v>1946.57</v>
      </c>
      <c r="AD38" s="27">
        <v>11.904</v>
      </c>
      <c r="AE38" s="27">
        <v>11.18</v>
      </c>
      <c r="AG38" s="22">
        <f t="shared" si="7"/>
        <v>23.520744000000001</v>
      </c>
      <c r="AH38" s="23">
        <f t="shared" si="8"/>
        <v>0.30427439217679397</v>
      </c>
      <c r="AI38" s="23">
        <f t="shared" si="9"/>
        <v>9.7237120674201052E-2</v>
      </c>
      <c r="AJ38" s="23">
        <f t="shared" si="10"/>
        <v>7.8896475154763654E-2</v>
      </c>
      <c r="AK38" s="23">
        <f t="shared" si="11"/>
        <v>0.20703727150259293</v>
      </c>
      <c r="AL38" s="20">
        <f t="shared" si="12"/>
        <v>2505512</v>
      </c>
      <c r="AM38" s="23">
        <f t="shared" si="13"/>
        <v>0.30194629038365378</v>
      </c>
      <c r="AN38" s="24">
        <v>25965704</v>
      </c>
      <c r="AO38" s="24">
        <v>2596570.4</v>
      </c>
      <c r="AP38" s="24">
        <v>46044</v>
      </c>
      <c r="AQ38" s="25">
        <v>7840248</v>
      </c>
      <c r="AR38" s="25">
        <v>2032928</v>
      </c>
      <c r="AS38" s="25">
        <v>472584</v>
      </c>
      <c r="AT38" s="25">
        <v>5334736</v>
      </c>
      <c r="AU38" s="26">
        <v>77.412570000000002</v>
      </c>
      <c r="AV38" s="26">
        <v>80.153750000000002</v>
      </c>
      <c r="AW38" s="26">
        <v>39.685470000000002</v>
      </c>
      <c r="AX38" s="26">
        <v>44.549430000000001</v>
      </c>
      <c r="AY38" s="26">
        <v>47.807489999999987</v>
      </c>
      <c r="AZ38" s="27">
        <v>939.62399999999991</v>
      </c>
      <c r="BA38" s="27">
        <v>1949.47</v>
      </c>
      <c r="BB38" s="27">
        <v>12.352</v>
      </c>
      <c r="BC38" s="27">
        <v>11.148</v>
      </c>
      <c r="BE38" s="28">
        <f t="shared" si="14"/>
        <v>1</v>
      </c>
      <c r="BF38" s="29">
        <f t="shared" si="15"/>
        <v>0</v>
      </c>
      <c r="BG38" s="29">
        <f t="shared" si="16"/>
        <v>0</v>
      </c>
      <c r="BH38" s="29"/>
      <c r="BJ38" s="28"/>
      <c r="BK38" s="28"/>
      <c r="BL38" s="28"/>
      <c r="BM38" s="28"/>
      <c r="BN38" s="28"/>
      <c r="BP38" s="28"/>
      <c r="BQ38" s="28"/>
      <c r="BR38" s="28"/>
      <c r="BS38" s="28"/>
      <c r="BT38" s="28"/>
      <c r="BV38">
        <f t="shared" si="17"/>
        <v>0</v>
      </c>
      <c r="BW38">
        <f t="shared" si="18"/>
        <v>0</v>
      </c>
      <c r="BX38">
        <f t="shared" si="19"/>
        <v>0</v>
      </c>
      <c r="BY38">
        <f t="shared" si="20"/>
        <v>0</v>
      </c>
      <c r="BZ38">
        <f t="shared" si="21"/>
        <v>0</v>
      </c>
      <c r="CA38">
        <f t="shared" si="22"/>
        <v>0</v>
      </c>
      <c r="CB38">
        <f t="shared" si="23"/>
        <v>0</v>
      </c>
      <c r="CC38">
        <f t="shared" si="24"/>
        <v>0</v>
      </c>
      <c r="CD38">
        <f t="shared" si="25"/>
        <v>0</v>
      </c>
      <c r="CE38">
        <f t="shared" si="26"/>
        <v>0</v>
      </c>
      <c r="CF38">
        <f t="shared" si="27"/>
        <v>0</v>
      </c>
      <c r="CG38">
        <f t="shared" si="28"/>
        <v>0</v>
      </c>
      <c r="CJ38" t="s">
        <v>250</v>
      </c>
    </row>
    <row r="39" spans="1:88" ht="15.75" customHeight="1" outlineLevel="1" thickBot="1" x14ac:dyDescent="0.3">
      <c r="A39" s="30"/>
      <c r="B39" s="30" t="s">
        <v>82</v>
      </c>
      <c r="C39" s="31" t="s">
        <v>243</v>
      </c>
      <c r="D39" s="30">
        <v>25767032</v>
      </c>
      <c r="E39" s="31">
        <v>11</v>
      </c>
      <c r="F39" s="31">
        <v>10</v>
      </c>
      <c r="G39" s="31">
        <v>30</v>
      </c>
      <c r="I39" s="32">
        <f t="shared" si="0"/>
        <v>43.417752</v>
      </c>
      <c r="J39" s="33">
        <f t="shared" si="1"/>
        <v>0.56167058743901899</v>
      </c>
      <c r="K39" s="33">
        <f t="shared" si="2"/>
        <v>0.15697733444814288</v>
      </c>
      <c r="L39" s="33">
        <f t="shared" si="3"/>
        <v>0.12001195946820728</v>
      </c>
      <c r="M39" s="33">
        <f t="shared" si="4"/>
        <v>0.40469325299087611</v>
      </c>
      <c r="N39" s="30">
        <f t="shared" si="5"/>
        <v>4044840</v>
      </c>
      <c r="O39" s="33">
        <f t="shared" si="6"/>
        <v>0.56948942642624945</v>
      </c>
      <c r="P39" s="34">
        <v>25413262</v>
      </c>
      <c r="Q39" s="34">
        <v>2541326.2000000002</v>
      </c>
      <c r="R39" s="34">
        <v>18484.2</v>
      </c>
      <c r="S39" s="35">
        <v>14472584</v>
      </c>
      <c r="T39" s="35">
        <v>3092352</v>
      </c>
      <c r="U39" s="35">
        <v>952488</v>
      </c>
      <c r="V39" s="35">
        <v>10427744</v>
      </c>
      <c r="W39" s="36">
        <v>78.310299999999998</v>
      </c>
      <c r="X39" s="36">
        <v>81.886919999999989</v>
      </c>
      <c r="Y39" s="36">
        <v>41.256819999999998</v>
      </c>
      <c r="Z39" s="36">
        <v>45.560220000000001</v>
      </c>
      <c r="AA39" s="36">
        <v>49.136880000000012</v>
      </c>
      <c r="AB39" s="37">
        <v>936.596</v>
      </c>
      <c r="AC39" s="37">
        <v>2140.37</v>
      </c>
      <c r="AD39" s="37">
        <v>11.672000000000001</v>
      </c>
      <c r="AE39" s="37">
        <v>12.496</v>
      </c>
      <c r="AG39" s="32">
        <f t="shared" si="7"/>
        <v>43.417752</v>
      </c>
      <c r="AH39" s="33">
        <f t="shared" si="8"/>
        <v>0.56167058743901899</v>
      </c>
      <c r="AI39" s="33">
        <f t="shared" si="9"/>
        <v>0.15697733444814288</v>
      </c>
      <c r="AJ39" s="33">
        <f t="shared" si="10"/>
        <v>0.12001195946820728</v>
      </c>
      <c r="AK39" s="33">
        <f t="shared" si="11"/>
        <v>0.40469325299087611</v>
      </c>
      <c r="AL39" s="30">
        <f t="shared" si="12"/>
        <v>4044840</v>
      </c>
      <c r="AM39" s="33">
        <f t="shared" si="13"/>
        <v>0.56948942642624945</v>
      </c>
      <c r="AN39" s="34">
        <v>25413262</v>
      </c>
      <c r="AO39" s="34">
        <v>2541326.2000000002</v>
      </c>
      <c r="AP39" s="34">
        <v>18484.2</v>
      </c>
      <c r="AQ39" s="35">
        <v>14472584</v>
      </c>
      <c r="AR39" s="35">
        <v>3092352</v>
      </c>
      <c r="AS39" s="35">
        <v>952488</v>
      </c>
      <c r="AT39" s="35">
        <v>10427744</v>
      </c>
      <c r="AU39" s="36">
        <v>78.310299999999998</v>
      </c>
      <c r="AV39" s="36">
        <v>81.886919999999989</v>
      </c>
      <c r="AW39" s="36">
        <v>41.256819999999998</v>
      </c>
      <c r="AX39" s="36">
        <v>45.560220000000001</v>
      </c>
      <c r="AY39" s="36">
        <v>49.136880000000012</v>
      </c>
      <c r="AZ39" s="37">
        <v>938.92</v>
      </c>
      <c r="BA39" s="37">
        <v>2133.65</v>
      </c>
      <c r="BB39" s="37">
        <v>12.135999999999999</v>
      </c>
      <c r="BC39" s="37">
        <v>12.504</v>
      </c>
      <c r="BE39" s="38">
        <f t="shared" si="14"/>
        <v>1</v>
      </c>
      <c r="BF39" s="39">
        <f t="shared" si="15"/>
        <v>0</v>
      </c>
      <c r="BG39" s="39">
        <f t="shared" si="16"/>
        <v>0</v>
      </c>
      <c r="BH39" s="39"/>
      <c r="BJ39" s="38"/>
      <c r="BK39" s="38"/>
      <c r="BL39" s="38"/>
      <c r="BM39" s="38"/>
      <c r="BN39" s="38"/>
      <c r="BP39" s="38"/>
      <c r="BQ39" s="38"/>
      <c r="BR39" s="38"/>
      <c r="BS39" s="38"/>
      <c r="BT39" s="38"/>
      <c r="BV39">
        <f t="shared" si="17"/>
        <v>0</v>
      </c>
      <c r="BW39">
        <f t="shared" si="18"/>
        <v>0</v>
      </c>
      <c r="BX39">
        <f t="shared" si="19"/>
        <v>0</v>
      </c>
      <c r="BY39">
        <f t="shared" si="20"/>
        <v>0</v>
      </c>
      <c r="BZ39">
        <f t="shared" si="21"/>
        <v>0</v>
      </c>
      <c r="CA39">
        <f t="shared" si="22"/>
        <v>0</v>
      </c>
      <c r="CB39">
        <f t="shared" si="23"/>
        <v>0</v>
      </c>
      <c r="CC39">
        <f t="shared" si="24"/>
        <v>0</v>
      </c>
      <c r="CD39">
        <f t="shared" si="25"/>
        <v>0</v>
      </c>
      <c r="CE39">
        <f t="shared" si="26"/>
        <v>0</v>
      </c>
      <c r="CF39">
        <f t="shared" si="27"/>
        <v>0</v>
      </c>
      <c r="CG39">
        <f t="shared" si="28"/>
        <v>0</v>
      </c>
      <c r="CJ39" t="s">
        <v>250</v>
      </c>
    </row>
    <row r="40" spans="1:88" x14ac:dyDescent="0.25">
      <c r="B40" s="50" t="s">
        <v>16</v>
      </c>
      <c r="J40" s="51">
        <f>AVERAGE(J5:J24)</f>
        <v>0.43204205319542882</v>
      </c>
      <c r="K40" s="51">
        <f>AVERAGE(K5:K24)</f>
        <v>0.1270614960411689</v>
      </c>
      <c r="L40" s="51">
        <f>AVERAGE(L5:L24)</f>
        <v>8.8608073895740394E-2</v>
      </c>
      <c r="M40" s="51">
        <f>AVERAGE(M5:M24)</f>
        <v>0.30498055715425998</v>
      </c>
      <c r="AH40" s="51">
        <f>AVERAGE(AH5:AH24)</f>
        <v>0.43204205319542882</v>
      </c>
      <c r="AI40" s="51">
        <f>AVERAGE(AI5:AI24)</f>
        <v>0.1270614960411689</v>
      </c>
      <c r="AJ40" s="51">
        <f>AVERAGE(AJ5:AJ24)</f>
        <v>8.8608073895740394E-2</v>
      </c>
      <c r="AK40" s="51">
        <f>AVERAGE(AK5:AK24)</f>
        <v>0.30498055715425998</v>
      </c>
      <c r="BE40" s="4">
        <f t="shared" si="14"/>
        <v>1</v>
      </c>
      <c r="BH40" s="55">
        <f>AVERAGE(BH5:BH24)</f>
        <v>0</v>
      </c>
      <c r="BJ40" s="4">
        <f>AVERAGE(BJ5:BJ24)</f>
        <v>0</v>
      </c>
      <c r="BK40" s="4">
        <f>AVERAGE(BK5:BK24)</f>
        <v>0</v>
      </c>
      <c r="BL40" s="4">
        <f>AVERAGE(BL5:BL24)</f>
        <v>0</v>
      </c>
      <c r="BM40" s="4">
        <f>AVERAGE(BM5:BM24)</f>
        <v>0</v>
      </c>
      <c r="BN40" s="4">
        <f>AVERAGE(BN5:BN24)</f>
        <v>0</v>
      </c>
      <c r="BP40" s="4">
        <f>AVERAGE(BP5:BP24)</f>
        <v>0</v>
      </c>
      <c r="BQ40" s="4">
        <f>AVERAGE(BQ5:BQ24)</f>
        <v>0</v>
      </c>
      <c r="BR40" s="4">
        <f>AVERAGE(BR5:BR24)</f>
        <v>0</v>
      </c>
      <c r="BS40" s="4">
        <f>AVERAGE(BS5:BS24)</f>
        <v>0</v>
      </c>
      <c r="BT40" s="4">
        <f>AVERAGE(BT5:BT24)</f>
        <v>0</v>
      </c>
    </row>
    <row r="41" spans="1:88" x14ac:dyDescent="0.25">
      <c r="B41" s="50" t="s">
        <v>17</v>
      </c>
      <c r="J41" s="51">
        <f>AVERAGE(J25:J29)</f>
        <v>0.85446852784610616</v>
      </c>
      <c r="K41" s="51">
        <f>AVERAGE(K25:K29)</f>
        <v>0.12325262772313088</v>
      </c>
      <c r="L41" s="51">
        <f>AVERAGE(L25:L29)</f>
        <v>9.0132365123065342E-2</v>
      </c>
      <c r="M41" s="51">
        <f>AVERAGE(M25:M29)</f>
        <v>0.73121590012297522</v>
      </c>
      <c r="AH41" s="51">
        <f>AVERAGE(AH25:AH29)</f>
        <v>0.85446852784610616</v>
      </c>
      <c r="AI41" s="51">
        <f>AVERAGE(AI25:AI29)</f>
        <v>0.12325262772313088</v>
      </c>
      <c r="AJ41" s="51">
        <f>AVERAGE(AJ25:AJ29)</f>
        <v>9.0132365123065342E-2</v>
      </c>
      <c r="AK41" s="51">
        <f>AVERAGE(AK25:AK29)</f>
        <v>0.73121590012297522</v>
      </c>
      <c r="BE41" s="4">
        <f t="shared" si="14"/>
        <v>1</v>
      </c>
      <c r="BH41" s="55">
        <f>AVERAGE(BH25:BH29)</f>
        <v>0</v>
      </c>
      <c r="BJ41" s="4">
        <f>AVERAGE(BJ25:BJ29)</f>
        <v>0</v>
      </c>
      <c r="BK41" s="4">
        <f>AVERAGE(BK25:BK29)</f>
        <v>0</v>
      </c>
      <c r="BL41" s="4">
        <f>AVERAGE(BL25:BL29)</f>
        <v>0</v>
      </c>
      <c r="BM41" s="4">
        <f>AVERAGE(BM25:BM29)</f>
        <v>0</v>
      </c>
      <c r="BN41" s="4">
        <f>AVERAGE(BN25:BN29)</f>
        <v>0</v>
      </c>
      <c r="BP41" s="4">
        <f>AVERAGE(BP25:BP29)</f>
        <v>0</v>
      </c>
      <c r="BQ41" s="4">
        <f>AVERAGE(BQ25:BQ29)</f>
        <v>0</v>
      </c>
      <c r="BR41" s="4">
        <f>AVERAGE(BR25:BR29)</f>
        <v>0</v>
      </c>
      <c r="BS41" s="4">
        <f>AVERAGE(BS25:BS29)</f>
        <v>0</v>
      </c>
      <c r="BT41" s="4">
        <f>AVERAGE(BT25:BT29)</f>
        <v>0</v>
      </c>
    </row>
    <row r="42" spans="1:88" x14ac:dyDescent="0.25">
      <c r="B42" s="50" t="s">
        <v>18</v>
      </c>
      <c r="J42" s="51">
        <f>AVERAGE(J30:J39)</f>
        <v>0.22800954330562617</v>
      </c>
      <c r="K42" s="51">
        <f>AVERAGE(K30:K39)</f>
        <v>7.9683659825083769E-2</v>
      </c>
      <c r="L42" s="51">
        <f>AVERAGE(L30:L39)</f>
        <v>5.9753712180753461E-2</v>
      </c>
      <c r="M42" s="51">
        <f>AVERAGE(M30:M39)</f>
        <v>0.1483258834805424</v>
      </c>
      <c r="AH42" s="51">
        <f>AVERAGE(AH30:AH39)</f>
        <v>0.22800954330562617</v>
      </c>
      <c r="AI42" s="51">
        <f>AVERAGE(AI30:AI39)</f>
        <v>7.9683659825083769E-2</v>
      </c>
      <c r="AJ42" s="51">
        <f>AVERAGE(AJ30:AJ39)</f>
        <v>5.9753712180753461E-2</v>
      </c>
      <c r="AK42" s="51">
        <f>AVERAGE(AK30:AK39)</f>
        <v>0.1483258834805424</v>
      </c>
      <c r="BE42" s="4">
        <f t="shared" si="14"/>
        <v>1</v>
      </c>
      <c r="BH42" s="55">
        <f>AVERAGE(BH30:BH39)</f>
        <v>0</v>
      </c>
      <c r="BJ42" s="4">
        <f>AVERAGE(BJ30:BJ39)</f>
        <v>0</v>
      </c>
      <c r="BK42" s="4">
        <f>AVERAGE(BK30:BK39)</f>
        <v>0</v>
      </c>
      <c r="BL42" s="4">
        <f>AVERAGE(BL30:BL39)</f>
        <v>0</v>
      </c>
      <c r="BM42" s="4">
        <f>AVERAGE(BM30:BM39)</f>
        <v>0</v>
      </c>
      <c r="BN42" s="4">
        <f>AVERAGE(BN30:BN39)</f>
        <v>0</v>
      </c>
      <c r="BP42" s="4">
        <f>AVERAGE(BP30:BP39)</f>
        <v>0</v>
      </c>
      <c r="BQ42" s="4">
        <f>AVERAGE(BQ30:BQ39)</f>
        <v>0</v>
      </c>
      <c r="BR42" s="4">
        <f>AVERAGE(BR30:BR39)</f>
        <v>0</v>
      </c>
      <c r="BS42" s="4">
        <f>AVERAGE(BS30:BS39)</f>
        <v>0</v>
      </c>
      <c r="BT42" s="4">
        <f>AVERAGE(BT30:BT39)</f>
        <v>0</v>
      </c>
    </row>
    <row r="43" spans="1:88" collapsed="1" x14ac:dyDescent="0.25">
      <c r="B43" s="50" t="s">
        <v>19</v>
      </c>
      <c r="J43" s="51">
        <f>AVERAGE(J5:J39)</f>
        <v>0.43409368960558198</v>
      </c>
      <c r="K43" s="51">
        <f>AVERAGE(K5:K39)</f>
        <v>0.11298084736256772</v>
      </c>
      <c r="L43" s="51">
        <f>AVERAGE(L5:L39)</f>
        <v>8.0581726438219148E-2</v>
      </c>
      <c r="M43" s="51">
        <f>AVERAGE(M5:M39)</f>
        <v>0.32111284224301428</v>
      </c>
      <c r="AH43" s="51">
        <f>AVERAGE(AH5:AH39)</f>
        <v>0.43409368960558198</v>
      </c>
      <c r="AI43" s="51">
        <f>AVERAGE(AI5:AI39)</f>
        <v>0.11298084736256772</v>
      </c>
      <c r="AJ43" s="51">
        <f>AVERAGE(AJ5:AJ39)</f>
        <v>8.0581726438219148E-2</v>
      </c>
      <c r="AK43" s="51">
        <f>AVERAGE(AK5:AK39)</f>
        <v>0.32111284224301428</v>
      </c>
      <c r="BE43" s="4">
        <f t="shared" si="14"/>
        <v>1</v>
      </c>
      <c r="BH43" s="55">
        <f>AVERAGE(BH5:BH39)</f>
        <v>0</v>
      </c>
      <c r="BJ43" s="4">
        <f>AVERAGE(BJ5:BJ39)</f>
        <v>0</v>
      </c>
      <c r="BK43" s="4">
        <f>AVERAGE(BK5:BK39)</f>
        <v>0</v>
      </c>
      <c r="BL43" s="4">
        <f>AVERAGE(BL5:BL39)</f>
        <v>0</v>
      </c>
      <c r="BM43" s="4">
        <f>AVERAGE(BM5:BM39)</f>
        <v>0</v>
      </c>
      <c r="BN43" s="4">
        <f>AVERAGE(BN5:BN39)</f>
        <v>0</v>
      </c>
      <c r="BP43" s="4">
        <f>AVERAGE(BP5:BP39)</f>
        <v>0</v>
      </c>
      <c r="BQ43" s="4">
        <f>AVERAGE(BQ5:BQ39)</f>
        <v>0</v>
      </c>
      <c r="BR43" s="4">
        <f>AVERAGE(BR5:BR39)</f>
        <v>0</v>
      </c>
      <c r="BS43" s="4">
        <f>AVERAGE(BS5:BS39)</f>
        <v>0</v>
      </c>
      <c r="BT43" s="4">
        <f>AVERAGE(BT5:BT39)</f>
        <v>0</v>
      </c>
    </row>
    <row r="44" spans="1:88" hidden="1" outlineLevel="2" x14ac:dyDescent="0.25">
      <c r="A44" s="50" t="s">
        <v>251</v>
      </c>
      <c r="B44" s="50" t="s">
        <v>252</v>
      </c>
      <c r="AB44" s="52">
        <f>SUM(AB5:AB24,AB25:AB29,AB30:AB39)</f>
        <v>95349.383999999991</v>
      </c>
      <c r="AC44" s="52">
        <f>SUM(AC5:AC24,AC25:AC29,AC30:AC39)</f>
        <v>61196.32</v>
      </c>
      <c r="AD44" s="52">
        <f>SUM(AD5:AD24,AD25:AD29,AD30:AD39)</f>
        <v>432.88000000000005</v>
      </c>
      <c r="AE44" s="52">
        <f>SUM(AE5:AE24,AE25:AE29,AE30:AE39)</f>
        <v>370.46799999999996</v>
      </c>
      <c r="AZ44" s="52">
        <f>SUM(AZ5:AZ24,AZ25:AZ29,AZ30:AZ39)</f>
        <v>94086.01</v>
      </c>
      <c r="BA44" s="52">
        <f>SUM(BA5:BA24,BA25:BA29,BA30:BA39)</f>
        <v>61281.329999999994</v>
      </c>
      <c r="BB44" s="52">
        <f>SUM(BB5:BB24,BB25:BB29,BB30:BB39)</f>
        <v>440.73600000000005</v>
      </c>
      <c r="BC44" s="52">
        <f>SUM(BC5:BC24,BC25:BC29,BC30:BC39)</f>
        <v>363.59199999999998</v>
      </c>
    </row>
    <row r="45" spans="1:88" hidden="1" outlineLevel="2" x14ac:dyDescent="0.25">
      <c r="B45" s="50" t="s">
        <v>253</v>
      </c>
      <c r="AZ45" s="55">
        <f>AZ44/AB44</f>
        <v>0.98675005598358145</v>
      </c>
      <c r="BA45" s="55">
        <f>BA44/AC44</f>
        <v>1.001389135817317</v>
      </c>
      <c r="BB45" s="55">
        <f>BB44/AD44</f>
        <v>1.0181482165958233</v>
      </c>
      <c r="BC45" s="55">
        <f>BC44/AE44</f>
        <v>0.98143969249705787</v>
      </c>
    </row>
    <row r="46" spans="1:88" hidden="1" outlineLevel="2" x14ac:dyDescent="0.25">
      <c r="B46" s="50" t="s">
        <v>254</v>
      </c>
      <c r="AB46" s="52">
        <f>GEOMEAN(AB5:AB24,AB25:AB29,AB30:AB39)</f>
        <v>2261.8761546051983</v>
      </c>
      <c r="AC46" s="52">
        <f>GEOMEAN(AC5:AC24,AC25:AC29,AC30:AC39)</f>
        <v>1722.3623296412152</v>
      </c>
      <c r="AD46" s="52">
        <f>GEOMEAN(AD5:AD24,AD25:AD29,AD30:AD39)</f>
        <v>12.303138020650062</v>
      </c>
      <c r="AE46" s="52">
        <f>GEOMEAN(AE5:AE24,AE25:AE29,AE30:AE39)</f>
        <v>10.400709749799297</v>
      </c>
      <c r="AZ46" s="52">
        <f>GEOMEAN(AZ5:AZ24,AZ25:AZ29,AZ30:AZ39)</f>
        <v>2237.9683596321574</v>
      </c>
      <c r="BA46" s="52">
        <f>GEOMEAN(BA5:BA24,BA25:BA29,BA30:BA39)</f>
        <v>1728.7350138739307</v>
      </c>
      <c r="BB46" s="52">
        <f>GEOMEAN(BB5:BB24,BB25:BB29,BB30:BB39)</f>
        <v>12.532899057552457</v>
      </c>
      <c r="BC46" s="52">
        <f>GEOMEAN(BC5:BC24,BC25:BC29,BC30:BC39)</f>
        <v>10.254295005808965</v>
      </c>
    </row>
    <row r="47" spans="1:88" hidden="1" outlineLevel="2" collapsed="1" x14ac:dyDescent="0.25">
      <c r="B47" s="50" t="s">
        <v>255</v>
      </c>
      <c r="AZ47" s="55">
        <f>AZ46/AB46</f>
        <v>0.98943010432982181</v>
      </c>
      <c r="BA47" s="55">
        <f>BA46/AC46</f>
        <v>1.0036999672618496</v>
      </c>
      <c r="BB47" s="55">
        <f>BB46/AD46</f>
        <v>1.0186749946653249</v>
      </c>
      <c r="BC47" s="55">
        <f>BC46/AE46</f>
        <v>0.98592261994493613</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256</v>
      </c>
      <c r="B1">
        <v>1</v>
      </c>
    </row>
    <row r="2" spans="1:2" x14ac:dyDescent="0.25">
      <c r="A2" t="s">
        <v>257</v>
      </c>
      <c r="B2">
        <v>2</v>
      </c>
    </row>
    <row r="3" spans="1:2" x14ac:dyDescent="0.25">
      <c r="A3" t="s">
        <v>258</v>
      </c>
      <c r="B3">
        <v>3</v>
      </c>
    </row>
    <row r="4" spans="1:2" x14ac:dyDescent="0.25">
      <c r="A4" t="s">
        <v>259</v>
      </c>
      <c r="B4">
        <v>4</v>
      </c>
    </row>
    <row r="5" spans="1:2" x14ac:dyDescent="0.25">
      <c r="A5" t="s">
        <v>260</v>
      </c>
      <c r="B5">
        <v>5</v>
      </c>
    </row>
    <row r="6" spans="1:2" x14ac:dyDescent="0.25">
      <c r="A6" t="s">
        <v>261</v>
      </c>
      <c r="B6">
        <v>6</v>
      </c>
    </row>
    <row r="7" spans="1:2" x14ac:dyDescent="0.25">
      <c r="A7" t="s">
        <v>262</v>
      </c>
      <c r="B7">
        <v>7</v>
      </c>
    </row>
    <row r="8" spans="1:2" x14ac:dyDescent="0.25">
      <c r="A8" t="s">
        <v>263</v>
      </c>
      <c r="B8">
        <v>9</v>
      </c>
    </row>
    <row r="9" spans="1:2" x14ac:dyDescent="0.25">
      <c r="A9" t="s">
        <v>264</v>
      </c>
      <c r="B9">
        <v>10</v>
      </c>
    </row>
    <row r="10" spans="1:2" x14ac:dyDescent="0.25">
      <c r="A10" t="s">
        <v>265</v>
      </c>
      <c r="B10">
        <v>11</v>
      </c>
    </row>
    <row r="11" spans="1:2" x14ac:dyDescent="0.25">
      <c r="A11" t="s">
        <v>266</v>
      </c>
      <c r="B11">
        <v>12</v>
      </c>
    </row>
    <row r="12" spans="1:2" x14ac:dyDescent="0.25">
      <c r="A12" t="s">
        <v>267</v>
      </c>
      <c r="B12">
        <v>13</v>
      </c>
    </row>
    <row r="13" spans="1:2" x14ac:dyDescent="0.25">
      <c r="A13" t="s">
        <v>268</v>
      </c>
      <c r="B13">
        <v>14</v>
      </c>
    </row>
    <row r="14" spans="1:2" x14ac:dyDescent="0.25">
      <c r="A14" t="s">
        <v>269</v>
      </c>
      <c r="B14">
        <v>15</v>
      </c>
    </row>
    <row r="15" spans="1:2" x14ac:dyDescent="0.25">
      <c r="A15" t="s">
        <v>270</v>
      </c>
      <c r="B15">
        <v>16</v>
      </c>
    </row>
    <row r="16" spans="1:2" x14ac:dyDescent="0.25">
      <c r="A16" t="s">
        <v>271</v>
      </c>
      <c r="B16">
        <v>17</v>
      </c>
    </row>
    <row r="17" spans="1:2" x14ac:dyDescent="0.25">
      <c r="A17" t="s">
        <v>272</v>
      </c>
      <c r="B17">
        <v>18</v>
      </c>
    </row>
    <row r="18" spans="1:2" x14ac:dyDescent="0.25">
      <c r="A18" t="s">
        <v>273</v>
      </c>
      <c r="B18">
        <v>19</v>
      </c>
    </row>
    <row r="19" spans="1:2" x14ac:dyDescent="0.25">
      <c r="A19" t="s">
        <v>274</v>
      </c>
      <c r="B19">
        <v>20</v>
      </c>
    </row>
    <row r="20" spans="1:2" x14ac:dyDescent="0.25">
      <c r="A20" t="s">
        <v>275</v>
      </c>
      <c r="B20">
        <v>21</v>
      </c>
    </row>
    <row r="21" spans="1:2" x14ac:dyDescent="0.25">
      <c r="A21" t="s">
        <v>276</v>
      </c>
      <c r="B21">
        <v>22</v>
      </c>
    </row>
    <row r="22" spans="1:2" x14ac:dyDescent="0.25">
      <c r="A22" t="s">
        <v>277</v>
      </c>
      <c r="B22">
        <v>23</v>
      </c>
    </row>
    <row r="23" spans="1:2" x14ac:dyDescent="0.25">
      <c r="A23" t="s">
        <v>278</v>
      </c>
      <c r="B23">
        <v>24</v>
      </c>
    </row>
    <row r="24" spans="1:2" x14ac:dyDescent="0.25">
      <c r="A24" t="s">
        <v>279</v>
      </c>
      <c r="B24">
        <v>25</v>
      </c>
    </row>
    <row r="25" spans="1:2" x14ac:dyDescent="0.25">
      <c r="A25" t="s">
        <v>280</v>
      </c>
      <c r="B25">
        <v>26</v>
      </c>
    </row>
    <row r="26" spans="1:2" x14ac:dyDescent="0.25">
      <c r="A26" t="s">
        <v>281</v>
      </c>
      <c r="B26">
        <v>27</v>
      </c>
    </row>
    <row r="27" spans="1:2" x14ac:dyDescent="0.25">
      <c r="A27" t="s">
        <v>282</v>
      </c>
      <c r="B27">
        <v>28</v>
      </c>
    </row>
    <row r="28" spans="1:2" x14ac:dyDescent="0.25">
      <c r="A28" t="s">
        <v>283</v>
      </c>
      <c r="B28">
        <v>29</v>
      </c>
    </row>
    <row r="29" spans="1:2" x14ac:dyDescent="0.25">
      <c r="A29" t="s">
        <v>284</v>
      </c>
      <c r="B29">
        <v>30</v>
      </c>
    </row>
    <row r="30" spans="1:2" x14ac:dyDescent="0.25">
      <c r="A30" t="s">
        <v>285</v>
      </c>
      <c r="B30">
        <v>31</v>
      </c>
    </row>
    <row r="31" spans="1:2" x14ac:dyDescent="0.25">
      <c r="A31" t="s">
        <v>286</v>
      </c>
      <c r="B31">
        <v>33</v>
      </c>
    </row>
    <row r="32" spans="1:2" x14ac:dyDescent="0.25">
      <c r="A32" t="s">
        <v>287</v>
      </c>
      <c r="B32">
        <v>34</v>
      </c>
    </row>
    <row r="33" spans="1:2" x14ac:dyDescent="0.25">
      <c r="A33" t="s">
        <v>288</v>
      </c>
      <c r="B33">
        <v>35</v>
      </c>
    </row>
    <row r="34" spans="1:2" x14ac:dyDescent="0.25">
      <c r="A34" t="s">
        <v>289</v>
      </c>
      <c r="B34">
        <v>36</v>
      </c>
    </row>
    <row r="35" spans="1:2" x14ac:dyDescent="0.25">
      <c r="A35" t="s">
        <v>290</v>
      </c>
      <c r="B35">
        <v>37</v>
      </c>
    </row>
    <row r="36" spans="1:2" x14ac:dyDescent="0.25">
      <c r="A36" t="s">
        <v>291</v>
      </c>
      <c r="B36">
        <v>38</v>
      </c>
    </row>
    <row r="37" spans="1:2" x14ac:dyDescent="0.25">
      <c r="A37" t="s">
        <v>292</v>
      </c>
      <c r="B37">
        <v>39</v>
      </c>
    </row>
    <row r="38" spans="1:2" x14ac:dyDescent="0.25">
      <c r="A38" t="s">
        <v>293</v>
      </c>
      <c r="B38">
        <v>40</v>
      </c>
    </row>
    <row r="39" spans="1:2" x14ac:dyDescent="0.25">
      <c r="A39" t="s">
        <v>294</v>
      </c>
      <c r="B39">
        <v>41</v>
      </c>
    </row>
    <row r="40" spans="1:2" x14ac:dyDescent="0.25">
      <c r="A40" t="s">
        <v>295</v>
      </c>
      <c r="B40">
        <v>42</v>
      </c>
    </row>
    <row r="41" spans="1:2" x14ac:dyDescent="0.25">
      <c r="A41" t="s">
        <v>296</v>
      </c>
      <c r="B41">
        <v>43</v>
      </c>
    </row>
    <row r="42" spans="1:2" x14ac:dyDescent="0.25">
      <c r="A42" t="s">
        <v>297</v>
      </c>
      <c r="B42">
        <v>44</v>
      </c>
    </row>
    <row r="43" spans="1:2" x14ac:dyDescent="0.25">
      <c r="A43" t="s">
        <v>298</v>
      </c>
      <c r="B43">
        <v>45</v>
      </c>
    </row>
    <row r="44" spans="1:2" x14ac:dyDescent="0.25">
      <c r="A44" t="s">
        <v>299</v>
      </c>
      <c r="B44">
        <v>46</v>
      </c>
    </row>
    <row r="45" spans="1:2" x14ac:dyDescent="0.25">
      <c r="A45" t="s">
        <v>300</v>
      </c>
      <c r="B45">
        <v>47</v>
      </c>
    </row>
    <row r="46" spans="1:2" x14ac:dyDescent="0.25">
      <c r="A46" t="s">
        <v>301</v>
      </c>
      <c r="B46">
        <v>48</v>
      </c>
    </row>
    <row r="47" spans="1:2" x14ac:dyDescent="0.25">
      <c r="A47" t="s">
        <v>302</v>
      </c>
      <c r="B47">
        <v>49</v>
      </c>
    </row>
    <row r="48" spans="1:2" x14ac:dyDescent="0.25">
      <c r="A48" t="s">
        <v>303</v>
      </c>
      <c r="B48">
        <v>50</v>
      </c>
    </row>
    <row r="49" spans="1:2" x14ac:dyDescent="0.25">
      <c r="A49" t="s">
        <v>304</v>
      </c>
      <c r="B49">
        <v>51</v>
      </c>
    </row>
    <row r="50" spans="1:2" x14ac:dyDescent="0.25">
      <c r="A50" t="s">
        <v>305</v>
      </c>
      <c r="B50">
        <v>52</v>
      </c>
    </row>
    <row r="51" spans="1:2" x14ac:dyDescent="0.25">
      <c r="A51" t="s">
        <v>306</v>
      </c>
      <c r="B51">
        <v>53</v>
      </c>
    </row>
    <row r="52" spans="1:2" x14ac:dyDescent="0.25">
      <c r="A52" t="s">
        <v>307</v>
      </c>
      <c r="B52">
        <v>54</v>
      </c>
    </row>
    <row r="53" spans="1:2" x14ac:dyDescent="0.25">
      <c r="A53" t="s">
        <v>308</v>
      </c>
      <c r="B53">
        <v>55</v>
      </c>
    </row>
    <row r="54" spans="1:2" x14ac:dyDescent="0.25">
      <c r="A54" t="s">
        <v>309</v>
      </c>
      <c r="B54">
        <v>57</v>
      </c>
    </row>
    <row r="55" spans="1:2" x14ac:dyDescent="0.25">
      <c r="A55" t="s">
        <v>310</v>
      </c>
      <c r="B55">
        <v>58</v>
      </c>
    </row>
    <row r="56" spans="1:2" x14ac:dyDescent="0.25">
      <c r="A56" t="s">
        <v>311</v>
      </c>
      <c r="B56">
        <v>59</v>
      </c>
    </row>
    <row r="57" spans="1:2" x14ac:dyDescent="0.25">
      <c r="A57" t="s">
        <v>312</v>
      </c>
      <c r="B57">
        <v>60</v>
      </c>
    </row>
    <row r="58" spans="1:2" x14ac:dyDescent="0.25">
      <c r="A58" t="s">
        <v>313</v>
      </c>
      <c r="B58">
        <v>62</v>
      </c>
    </row>
    <row r="59" spans="1:2" x14ac:dyDescent="0.25">
      <c r="A59" t="s">
        <v>314</v>
      </c>
      <c r="B59">
        <v>63</v>
      </c>
    </row>
    <row r="60" spans="1:2" x14ac:dyDescent="0.25">
      <c r="A60" t="s">
        <v>315</v>
      </c>
      <c r="B60">
        <v>64</v>
      </c>
    </row>
    <row r="61" spans="1:2" x14ac:dyDescent="0.25">
      <c r="A61" t="s">
        <v>316</v>
      </c>
      <c r="B61">
        <v>65</v>
      </c>
    </row>
    <row r="62" spans="1:2" x14ac:dyDescent="0.25">
      <c r="A62" t="s">
        <v>317</v>
      </c>
      <c r="B62">
        <v>66</v>
      </c>
    </row>
    <row r="63" spans="1:2" x14ac:dyDescent="0.25">
      <c r="A63" t="s">
        <v>318</v>
      </c>
      <c r="B63">
        <v>68</v>
      </c>
    </row>
    <row r="64" spans="1:2" x14ac:dyDescent="0.25">
      <c r="A64" t="s">
        <v>319</v>
      </c>
      <c r="B64">
        <v>69</v>
      </c>
    </row>
    <row r="65" spans="1:24" x14ac:dyDescent="0.25">
      <c r="A65" t="s">
        <v>320</v>
      </c>
      <c r="B65">
        <v>70</v>
      </c>
    </row>
    <row r="66" spans="1:24" x14ac:dyDescent="0.25">
      <c r="A66" t="s">
        <v>321</v>
      </c>
      <c r="B66">
        <v>71</v>
      </c>
    </row>
    <row r="67" spans="1:24" x14ac:dyDescent="0.25">
      <c r="A67" t="s">
        <v>322</v>
      </c>
      <c r="B67">
        <v>72</v>
      </c>
    </row>
    <row r="68" spans="1:24" x14ac:dyDescent="0.25">
      <c r="A68" t="s">
        <v>323</v>
      </c>
      <c r="B68" t="s">
        <v>324</v>
      </c>
    </row>
    <row r="69" spans="1:24" x14ac:dyDescent="0.25">
      <c r="A69" t="s">
        <v>325</v>
      </c>
      <c r="B69" t="s">
        <v>326</v>
      </c>
    </row>
    <row r="70" spans="1:24" x14ac:dyDescent="0.25">
      <c r="A70" t="s">
        <v>327</v>
      </c>
      <c r="B70" t="s">
        <v>328</v>
      </c>
    </row>
    <row r="71" spans="1:24" x14ac:dyDescent="0.25">
      <c r="A71" t="s">
        <v>329</v>
      </c>
      <c r="B71" t="s">
        <v>330</v>
      </c>
    </row>
    <row r="72" spans="1:24" x14ac:dyDescent="0.25">
      <c r="A72" t="s">
        <v>331</v>
      </c>
      <c r="B72" t="s">
        <v>332</v>
      </c>
    </row>
    <row r="73" spans="1:24" x14ac:dyDescent="0.25">
      <c r="A73" t="s">
        <v>333</v>
      </c>
      <c r="B73" t="s">
        <v>334</v>
      </c>
    </row>
    <row r="74" spans="1:24" x14ac:dyDescent="0.25">
      <c r="A74" t="s">
        <v>335</v>
      </c>
      <c r="B74" t="s">
        <v>336</v>
      </c>
    </row>
    <row r="75" spans="1:24" x14ac:dyDescent="0.25">
      <c r="A75" t="s">
        <v>337</v>
      </c>
      <c r="B75" t="s">
        <v>338</v>
      </c>
    </row>
    <row r="76" spans="1:24" x14ac:dyDescent="0.25">
      <c r="A76" t="s">
        <v>339</v>
      </c>
      <c r="B76" t="s">
        <v>340</v>
      </c>
    </row>
    <row r="77" spans="1:24" x14ac:dyDescent="0.25">
      <c r="A77" t="s">
        <v>341</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5">
      <c r="A78" t="s">
        <v>342</v>
      </c>
      <c r="B78">
        <v>1</v>
      </c>
    </row>
    <row r="79" spans="1:24" x14ac:dyDescent="0.25">
      <c r="A79" t="s">
        <v>343</v>
      </c>
      <c r="B79">
        <v>2</v>
      </c>
    </row>
    <row r="80" spans="1:24" x14ac:dyDescent="0.25">
      <c r="A80" t="s">
        <v>344</v>
      </c>
      <c r="B80">
        <v>3</v>
      </c>
    </row>
    <row r="81" spans="1:2" x14ac:dyDescent="0.25">
      <c r="A81" t="s">
        <v>345</v>
      </c>
      <c r="B81">
        <v>4</v>
      </c>
    </row>
    <row r="82" spans="1:2" x14ac:dyDescent="0.25">
      <c r="A82" t="s">
        <v>346</v>
      </c>
      <c r="B82">
        <v>5</v>
      </c>
    </row>
    <row r="83" spans="1:2" x14ac:dyDescent="0.25">
      <c r="A83" t="s">
        <v>347</v>
      </c>
      <c r="B83">
        <v>6</v>
      </c>
    </row>
    <row r="84" spans="1:2" x14ac:dyDescent="0.25">
      <c r="A84" t="s">
        <v>348</v>
      </c>
      <c r="B84">
        <v>8</v>
      </c>
    </row>
    <row r="85" spans="1:2" x14ac:dyDescent="0.25">
      <c r="A85" t="s">
        <v>349</v>
      </c>
      <c r="B85">
        <v>9</v>
      </c>
    </row>
    <row r="86" spans="1:2" x14ac:dyDescent="0.25">
      <c r="A86" t="s">
        <v>350</v>
      </c>
      <c r="B86">
        <v>10</v>
      </c>
    </row>
    <row r="87" spans="1:2" x14ac:dyDescent="0.25">
      <c r="A87" t="s">
        <v>351</v>
      </c>
      <c r="B87">
        <v>11</v>
      </c>
    </row>
    <row r="88" spans="1:2" x14ac:dyDescent="0.25">
      <c r="A88" t="s">
        <v>352</v>
      </c>
      <c r="B88">
        <v>12</v>
      </c>
    </row>
    <row r="89" spans="1:2" x14ac:dyDescent="0.25">
      <c r="A89" t="s">
        <v>353</v>
      </c>
      <c r="B89">
        <v>13</v>
      </c>
    </row>
    <row r="90" spans="1:2" x14ac:dyDescent="0.25">
      <c r="A90" t="s">
        <v>354</v>
      </c>
      <c r="B90">
        <v>14</v>
      </c>
    </row>
    <row r="91" spans="1:2" x14ac:dyDescent="0.25">
      <c r="A91" t="s">
        <v>355</v>
      </c>
      <c r="B91">
        <v>15</v>
      </c>
    </row>
    <row r="92" spans="1:2" x14ac:dyDescent="0.25">
      <c r="A92" t="s">
        <v>356</v>
      </c>
      <c r="B92">
        <v>16</v>
      </c>
    </row>
    <row r="93" spans="1:2" x14ac:dyDescent="0.25">
      <c r="A93" t="s">
        <v>357</v>
      </c>
      <c r="B93">
        <v>17</v>
      </c>
    </row>
    <row r="94" spans="1:2" x14ac:dyDescent="0.25">
      <c r="A94" t="s">
        <v>358</v>
      </c>
      <c r="B94">
        <v>18</v>
      </c>
    </row>
    <row r="95" spans="1:2" x14ac:dyDescent="0.25">
      <c r="A95" t="s">
        <v>359</v>
      </c>
      <c r="B95">
        <v>19</v>
      </c>
    </row>
    <row r="96" spans="1:2" x14ac:dyDescent="0.25">
      <c r="A96" t="s">
        <v>360</v>
      </c>
      <c r="B96">
        <v>20</v>
      </c>
    </row>
    <row r="97" spans="1:2" x14ac:dyDescent="0.25">
      <c r="A97" t="s">
        <v>361</v>
      </c>
      <c r="B97">
        <v>21</v>
      </c>
    </row>
    <row r="98" spans="1:2" x14ac:dyDescent="0.25">
      <c r="A98" t="s">
        <v>362</v>
      </c>
      <c r="B98">
        <v>22</v>
      </c>
    </row>
    <row r="99" spans="1:2" x14ac:dyDescent="0.25">
      <c r="A99" t="s">
        <v>363</v>
      </c>
      <c r="B99">
        <v>23</v>
      </c>
    </row>
    <row r="100" spans="1:2" x14ac:dyDescent="0.25">
      <c r="A100" t="s">
        <v>364</v>
      </c>
      <c r="B100">
        <v>24</v>
      </c>
    </row>
    <row r="101" spans="1:2" x14ac:dyDescent="0.25">
      <c r="A101" t="s">
        <v>365</v>
      </c>
      <c r="B101">
        <v>25</v>
      </c>
    </row>
    <row r="102" spans="1:2" x14ac:dyDescent="0.25">
      <c r="A102" t="s">
        <v>366</v>
      </c>
      <c r="B102">
        <v>26</v>
      </c>
    </row>
    <row r="103" spans="1:2" x14ac:dyDescent="0.25">
      <c r="A103" t="s">
        <v>367</v>
      </c>
      <c r="B103">
        <v>27</v>
      </c>
    </row>
    <row r="104" spans="1:2" x14ac:dyDescent="0.25">
      <c r="A104" t="s">
        <v>368</v>
      </c>
      <c r="B104">
        <v>28</v>
      </c>
    </row>
    <row r="105" spans="1:2" x14ac:dyDescent="0.25">
      <c r="A105" t="s">
        <v>369</v>
      </c>
      <c r="B105">
        <v>29</v>
      </c>
    </row>
    <row r="106" spans="1:2" x14ac:dyDescent="0.25">
      <c r="A106" t="s">
        <v>370</v>
      </c>
      <c r="B106">
        <v>31</v>
      </c>
    </row>
    <row r="107" spans="1:2" x14ac:dyDescent="0.25">
      <c r="A107" t="s">
        <v>371</v>
      </c>
      <c r="B107">
        <v>32</v>
      </c>
    </row>
    <row r="108" spans="1:2" x14ac:dyDescent="0.25">
      <c r="A108" t="s">
        <v>372</v>
      </c>
      <c r="B108">
        <v>33</v>
      </c>
    </row>
    <row r="109" spans="1:2" x14ac:dyDescent="0.25">
      <c r="A109" t="s">
        <v>373</v>
      </c>
      <c r="B109">
        <v>34</v>
      </c>
    </row>
    <row r="110" spans="1:2" x14ac:dyDescent="0.25">
      <c r="A110" t="s">
        <v>374</v>
      </c>
      <c r="B110">
        <v>35</v>
      </c>
    </row>
    <row r="111" spans="1:2" x14ac:dyDescent="0.25">
      <c r="A111" t="s">
        <v>375</v>
      </c>
      <c r="B111">
        <v>36</v>
      </c>
    </row>
    <row r="112" spans="1:2" x14ac:dyDescent="0.25">
      <c r="A112" t="s">
        <v>376</v>
      </c>
      <c r="B112">
        <v>37</v>
      </c>
    </row>
    <row r="113" spans="1:2" x14ac:dyDescent="0.25">
      <c r="A113" t="s">
        <v>377</v>
      </c>
      <c r="B113">
        <v>38</v>
      </c>
    </row>
    <row r="114" spans="1:2" x14ac:dyDescent="0.25">
      <c r="A114" t="s">
        <v>378</v>
      </c>
      <c r="B114">
        <v>39</v>
      </c>
    </row>
    <row r="115" spans="1:2" x14ac:dyDescent="0.25">
      <c r="A115" t="s">
        <v>379</v>
      </c>
      <c r="B115">
        <v>40</v>
      </c>
    </row>
    <row r="116" spans="1:2" x14ac:dyDescent="0.25">
      <c r="A116" t="s">
        <v>380</v>
      </c>
      <c r="B116">
        <v>41</v>
      </c>
    </row>
    <row r="117" spans="1:2" x14ac:dyDescent="0.25">
      <c r="A117" t="s">
        <v>381</v>
      </c>
      <c r="B117">
        <v>42</v>
      </c>
    </row>
    <row r="118" spans="1:2" x14ac:dyDescent="0.25">
      <c r="A118" t="s">
        <v>382</v>
      </c>
      <c r="B118">
        <v>43</v>
      </c>
    </row>
    <row r="119" spans="1:2" x14ac:dyDescent="0.25">
      <c r="A119" t="s">
        <v>383</v>
      </c>
      <c r="B119">
        <v>44</v>
      </c>
    </row>
    <row r="120" spans="1:2" x14ac:dyDescent="0.25">
      <c r="A120" t="s">
        <v>384</v>
      </c>
      <c r="B120">
        <v>45</v>
      </c>
    </row>
    <row r="121" spans="1:2" x14ac:dyDescent="0.25">
      <c r="A121" t="s">
        <v>385</v>
      </c>
      <c r="B121">
        <v>46</v>
      </c>
    </row>
    <row r="122" spans="1:2" x14ac:dyDescent="0.25">
      <c r="A122" t="s">
        <v>386</v>
      </c>
      <c r="B122">
        <v>47</v>
      </c>
    </row>
    <row r="123" spans="1:2" x14ac:dyDescent="0.25">
      <c r="A123" t="s">
        <v>387</v>
      </c>
      <c r="B123">
        <v>48</v>
      </c>
    </row>
    <row r="124" spans="1:2" x14ac:dyDescent="0.25">
      <c r="A124" t="s">
        <v>388</v>
      </c>
      <c r="B124">
        <v>49</v>
      </c>
    </row>
    <row r="125" spans="1:2" x14ac:dyDescent="0.25">
      <c r="A125" t="s">
        <v>389</v>
      </c>
      <c r="B125">
        <v>50</v>
      </c>
    </row>
    <row r="126" spans="1:2" x14ac:dyDescent="0.25">
      <c r="A126" t="s">
        <v>390</v>
      </c>
      <c r="B126">
        <v>51</v>
      </c>
    </row>
    <row r="127" spans="1:2" x14ac:dyDescent="0.25">
      <c r="A127" t="s">
        <v>391</v>
      </c>
      <c r="B127">
        <v>52</v>
      </c>
    </row>
    <row r="128" spans="1:2" x14ac:dyDescent="0.25">
      <c r="A128" t="s">
        <v>392</v>
      </c>
      <c r="B128">
        <v>54</v>
      </c>
    </row>
    <row r="129" spans="1:23" x14ac:dyDescent="0.25">
      <c r="A129" t="s">
        <v>393</v>
      </c>
      <c r="B129">
        <v>55</v>
      </c>
    </row>
    <row r="130" spans="1:23" x14ac:dyDescent="0.25">
      <c r="A130" t="s">
        <v>394</v>
      </c>
      <c r="B130">
        <v>56</v>
      </c>
    </row>
    <row r="131" spans="1:23" x14ac:dyDescent="0.25">
      <c r="A131" t="s">
        <v>395</v>
      </c>
      <c r="B131">
        <v>57</v>
      </c>
    </row>
    <row r="132" spans="1:23" x14ac:dyDescent="0.25">
      <c r="A132" t="s">
        <v>396</v>
      </c>
      <c r="B132">
        <v>58</v>
      </c>
    </row>
    <row r="133" spans="1:23" x14ac:dyDescent="0.25">
      <c r="A133" t="s">
        <v>397</v>
      </c>
      <c r="B133">
        <v>59</v>
      </c>
    </row>
    <row r="134" spans="1:23" x14ac:dyDescent="0.25">
      <c r="A134" t="s">
        <v>398</v>
      </c>
      <c r="B134" t="s">
        <v>399</v>
      </c>
    </row>
    <row r="135" spans="1:23" x14ac:dyDescent="0.25">
      <c r="A135" t="s">
        <v>400</v>
      </c>
      <c r="B135" t="s">
        <v>401</v>
      </c>
    </row>
    <row r="136" spans="1:23" x14ac:dyDescent="0.25">
      <c r="A136" t="s">
        <v>402</v>
      </c>
      <c r="B136" t="s">
        <v>403</v>
      </c>
    </row>
    <row r="137" spans="1:23" x14ac:dyDescent="0.25">
      <c r="A137" t="s">
        <v>404</v>
      </c>
      <c r="B137" t="s">
        <v>405</v>
      </c>
    </row>
    <row r="138" spans="1:23" x14ac:dyDescent="0.25">
      <c r="A138" t="s">
        <v>406</v>
      </c>
      <c r="B138" t="s">
        <v>407</v>
      </c>
    </row>
    <row r="139" spans="1:23" x14ac:dyDescent="0.25">
      <c r="A139" t="s">
        <v>408</v>
      </c>
      <c r="B139" t="s">
        <v>409</v>
      </c>
    </row>
    <row r="140" spans="1:23" x14ac:dyDescent="0.25">
      <c r="A140" t="s">
        <v>410</v>
      </c>
      <c r="B140" t="s">
        <v>411</v>
      </c>
    </row>
    <row r="141" spans="1:23" x14ac:dyDescent="0.25">
      <c r="A141" t="s">
        <v>412</v>
      </c>
      <c r="B141" t="s">
        <v>413</v>
      </c>
    </row>
    <row r="142" spans="1:23" x14ac:dyDescent="0.25">
      <c r="A142" t="s">
        <v>414</v>
      </c>
      <c r="B142" t="s">
        <v>415</v>
      </c>
    </row>
    <row r="143" spans="1:23" x14ac:dyDescent="0.25">
      <c r="A143" t="s">
        <v>416</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5">
      <c r="A144" t="s">
        <v>417</v>
      </c>
      <c r="B144">
        <v>1</v>
      </c>
    </row>
    <row r="145" spans="1:2" x14ac:dyDescent="0.25">
      <c r="A145" t="s">
        <v>418</v>
      </c>
      <c r="B145">
        <v>2</v>
      </c>
    </row>
    <row r="146" spans="1:2" x14ac:dyDescent="0.25">
      <c r="A146" t="s">
        <v>419</v>
      </c>
      <c r="B146">
        <v>3</v>
      </c>
    </row>
    <row r="147" spans="1:2" x14ac:dyDescent="0.25">
      <c r="A147" t="s">
        <v>420</v>
      </c>
      <c r="B147">
        <v>4</v>
      </c>
    </row>
    <row r="148" spans="1:2" x14ac:dyDescent="0.25">
      <c r="A148" t="s">
        <v>421</v>
      </c>
      <c r="B148">
        <v>5</v>
      </c>
    </row>
    <row r="149" spans="1:2" x14ac:dyDescent="0.25">
      <c r="A149" t="s">
        <v>422</v>
      </c>
      <c r="B149">
        <v>6</v>
      </c>
    </row>
    <row r="150" spans="1:2" x14ac:dyDescent="0.25">
      <c r="A150" t="s">
        <v>423</v>
      </c>
      <c r="B150">
        <v>8</v>
      </c>
    </row>
    <row r="151" spans="1:2" x14ac:dyDescent="0.25">
      <c r="A151" t="s">
        <v>424</v>
      </c>
      <c r="B151">
        <v>9</v>
      </c>
    </row>
    <row r="152" spans="1:2" x14ac:dyDescent="0.25">
      <c r="A152" t="s">
        <v>425</v>
      </c>
      <c r="B152">
        <v>10</v>
      </c>
    </row>
    <row r="153" spans="1:2" x14ac:dyDescent="0.25">
      <c r="A153" t="s">
        <v>426</v>
      </c>
      <c r="B153">
        <v>11</v>
      </c>
    </row>
    <row r="154" spans="1:2" x14ac:dyDescent="0.25">
      <c r="A154" t="s">
        <v>427</v>
      </c>
      <c r="B154">
        <v>12</v>
      </c>
    </row>
    <row r="155" spans="1:2" x14ac:dyDescent="0.25">
      <c r="A155" t="s">
        <v>428</v>
      </c>
      <c r="B155">
        <v>13</v>
      </c>
    </row>
    <row r="156" spans="1:2" x14ac:dyDescent="0.25">
      <c r="A156" t="s">
        <v>429</v>
      </c>
      <c r="B156">
        <v>14</v>
      </c>
    </row>
    <row r="157" spans="1:2" x14ac:dyDescent="0.25">
      <c r="A157" t="s">
        <v>430</v>
      </c>
      <c r="B157">
        <v>15</v>
      </c>
    </row>
    <row r="158" spans="1:2" x14ac:dyDescent="0.25">
      <c r="A158" t="s">
        <v>431</v>
      </c>
      <c r="B158">
        <v>16</v>
      </c>
    </row>
    <row r="159" spans="1:2" x14ac:dyDescent="0.25">
      <c r="A159" t="s">
        <v>432</v>
      </c>
      <c r="B159">
        <v>17</v>
      </c>
    </row>
    <row r="160" spans="1:2" x14ac:dyDescent="0.25">
      <c r="A160" t="s">
        <v>433</v>
      </c>
      <c r="B160">
        <v>18</v>
      </c>
    </row>
    <row r="161" spans="1:2" x14ac:dyDescent="0.25">
      <c r="A161" t="s">
        <v>434</v>
      </c>
      <c r="B161">
        <v>19</v>
      </c>
    </row>
    <row r="162" spans="1:2" x14ac:dyDescent="0.25">
      <c r="A162" t="s">
        <v>435</v>
      </c>
      <c r="B162">
        <v>20</v>
      </c>
    </row>
    <row r="163" spans="1:2" x14ac:dyDescent="0.25">
      <c r="A163" t="s">
        <v>436</v>
      </c>
      <c r="B163">
        <v>21</v>
      </c>
    </row>
    <row r="164" spans="1:2" x14ac:dyDescent="0.25">
      <c r="A164" t="s">
        <v>437</v>
      </c>
      <c r="B164">
        <v>22</v>
      </c>
    </row>
    <row r="165" spans="1:2" x14ac:dyDescent="0.25">
      <c r="A165" t="s">
        <v>438</v>
      </c>
      <c r="B165">
        <v>23</v>
      </c>
    </row>
    <row r="166" spans="1:2" x14ac:dyDescent="0.25">
      <c r="A166" t="s">
        <v>439</v>
      </c>
      <c r="B166">
        <v>24</v>
      </c>
    </row>
    <row r="167" spans="1:2" x14ac:dyDescent="0.25">
      <c r="A167" t="s">
        <v>440</v>
      </c>
      <c r="B167">
        <v>25</v>
      </c>
    </row>
    <row r="168" spans="1:2" x14ac:dyDescent="0.25">
      <c r="A168" t="s">
        <v>441</v>
      </c>
      <c r="B168">
        <v>26</v>
      </c>
    </row>
    <row r="169" spans="1:2" x14ac:dyDescent="0.25">
      <c r="A169" t="s">
        <v>442</v>
      </c>
      <c r="B169">
        <v>27</v>
      </c>
    </row>
    <row r="170" spans="1:2" x14ac:dyDescent="0.25">
      <c r="A170" t="s">
        <v>443</v>
      </c>
      <c r="B170">
        <v>28</v>
      </c>
    </row>
    <row r="171" spans="1:2" x14ac:dyDescent="0.25">
      <c r="A171" t="s">
        <v>444</v>
      </c>
      <c r="B171">
        <v>29</v>
      </c>
    </row>
    <row r="172" spans="1:2" x14ac:dyDescent="0.25">
      <c r="A172" t="s">
        <v>445</v>
      </c>
      <c r="B172">
        <v>31</v>
      </c>
    </row>
    <row r="173" spans="1:2" x14ac:dyDescent="0.25">
      <c r="A173" t="s">
        <v>446</v>
      </c>
      <c r="B173">
        <v>32</v>
      </c>
    </row>
    <row r="174" spans="1:2" x14ac:dyDescent="0.25">
      <c r="A174" t="s">
        <v>447</v>
      </c>
      <c r="B174">
        <v>33</v>
      </c>
    </row>
    <row r="175" spans="1:2" x14ac:dyDescent="0.25">
      <c r="A175" t="s">
        <v>448</v>
      </c>
      <c r="B175">
        <v>34</v>
      </c>
    </row>
    <row r="176" spans="1:2" x14ac:dyDescent="0.25">
      <c r="A176" t="s">
        <v>449</v>
      </c>
      <c r="B176">
        <v>35</v>
      </c>
    </row>
    <row r="177" spans="1:2" x14ac:dyDescent="0.25">
      <c r="A177" t="s">
        <v>450</v>
      </c>
      <c r="B177">
        <v>36</v>
      </c>
    </row>
    <row r="178" spans="1:2" x14ac:dyDescent="0.25">
      <c r="A178" t="s">
        <v>451</v>
      </c>
      <c r="B178">
        <v>37</v>
      </c>
    </row>
    <row r="179" spans="1:2" x14ac:dyDescent="0.25">
      <c r="A179" t="s">
        <v>452</v>
      </c>
      <c r="B179">
        <v>38</v>
      </c>
    </row>
    <row r="180" spans="1:2" x14ac:dyDescent="0.25">
      <c r="A180" t="s">
        <v>453</v>
      </c>
      <c r="B180">
        <v>39</v>
      </c>
    </row>
    <row r="181" spans="1:2" x14ac:dyDescent="0.25">
      <c r="A181" t="s">
        <v>454</v>
      </c>
      <c r="B181">
        <v>40</v>
      </c>
    </row>
    <row r="182" spans="1:2" x14ac:dyDescent="0.25">
      <c r="A182" t="s">
        <v>455</v>
      </c>
      <c r="B182">
        <v>41</v>
      </c>
    </row>
    <row r="183" spans="1:2" x14ac:dyDescent="0.25">
      <c r="A183" t="s">
        <v>456</v>
      </c>
      <c r="B183">
        <v>42</v>
      </c>
    </row>
    <row r="184" spans="1:2" x14ac:dyDescent="0.25">
      <c r="A184" t="s">
        <v>457</v>
      </c>
      <c r="B184">
        <v>43</v>
      </c>
    </row>
    <row r="185" spans="1:2" x14ac:dyDescent="0.25">
      <c r="A185" t="s">
        <v>458</v>
      </c>
      <c r="B185">
        <v>44</v>
      </c>
    </row>
    <row r="186" spans="1:2" x14ac:dyDescent="0.25">
      <c r="A186" t="s">
        <v>459</v>
      </c>
      <c r="B186">
        <v>45</v>
      </c>
    </row>
    <row r="187" spans="1:2" x14ac:dyDescent="0.25">
      <c r="A187" t="s">
        <v>460</v>
      </c>
      <c r="B187">
        <v>46</v>
      </c>
    </row>
    <row r="188" spans="1:2" x14ac:dyDescent="0.25">
      <c r="A188" t="s">
        <v>461</v>
      </c>
      <c r="B188">
        <v>47</v>
      </c>
    </row>
    <row r="189" spans="1:2" x14ac:dyDescent="0.25">
      <c r="A189" t="s">
        <v>462</v>
      </c>
      <c r="B189">
        <v>48</v>
      </c>
    </row>
    <row r="190" spans="1:2" x14ac:dyDescent="0.25">
      <c r="A190" t="s">
        <v>463</v>
      </c>
      <c r="B190">
        <v>49</v>
      </c>
    </row>
    <row r="191" spans="1:2" x14ac:dyDescent="0.25">
      <c r="A191" t="s">
        <v>464</v>
      </c>
      <c r="B191">
        <v>50</v>
      </c>
    </row>
    <row r="192" spans="1:2" x14ac:dyDescent="0.25">
      <c r="A192" t="s">
        <v>465</v>
      </c>
      <c r="B192">
        <v>51</v>
      </c>
    </row>
    <row r="193" spans="1:2" x14ac:dyDescent="0.25">
      <c r="A193" t="s">
        <v>466</v>
      </c>
      <c r="B193">
        <v>52</v>
      </c>
    </row>
    <row r="194" spans="1:2" x14ac:dyDescent="0.25">
      <c r="A194" t="s">
        <v>467</v>
      </c>
      <c r="B194">
        <v>54</v>
      </c>
    </row>
    <row r="195" spans="1:2" x14ac:dyDescent="0.25">
      <c r="A195" t="s">
        <v>468</v>
      </c>
      <c r="B195">
        <v>55</v>
      </c>
    </row>
    <row r="196" spans="1:2" x14ac:dyDescent="0.25">
      <c r="A196" t="s">
        <v>469</v>
      </c>
      <c r="B196">
        <v>56</v>
      </c>
    </row>
    <row r="197" spans="1:2" x14ac:dyDescent="0.25">
      <c r="A197" t="s">
        <v>470</v>
      </c>
      <c r="B197">
        <v>57</v>
      </c>
    </row>
    <row r="198" spans="1:2" x14ac:dyDescent="0.25">
      <c r="A198" t="s">
        <v>471</v>
      </c>
      <c r="B198">
        <v>58</v>
      </c>
    </row>
    <row r="199" spans="1:2" x14ac:dyDescent="0.25">
      <c r="A199" t="s">
        <v>472</v>
      </c>
      <c r="B199">
        <v>59</v>
      </c>
    </row>
    <row r="200" spans="1:2" x14ac:dyDescent="0.25">
      <c r="A200" t="s">
        <v>473</v>
      </c>
      <c r="B200" t="s">
        <v>474</v>
      </c>
    </row>
    <row r="201" spans="1:2" x14ac:dyDescent="0.25">
      <c r="A201" t="s">
        <v>475</v>
      </c>
      <c r="B201" t="s">
        <v>476</v>
      </c>
    </row>
    <row r="202" spans="1:2" x14ac:dyDescent="0.25">
      <c r="A202" t="s">
        <v>477</v>
      </c>
      <c r="B202" t="s">
        <v>478</v>
      </c>
    </row>
    <row r="203" spans="1:2" x14ac:dyDescent="0.25">
      <c r="A203" t="s">
        <v>479</v>
      </c>
      <c r="B203" t="s">
        <v>480</v>
      </c>
    </row>
    <row r="204" spans="1:2" x14ac:dyDescent="0.25">
      <c r="A204" t="s">
        <v>481</v>
      </c>
      <c r="B204" t="s">
        <v>482</v>
      </c>
    </row>
    <row r="205" spans="1:2" x14ac:dyDescent="0.25">
      <c r="A205" t="s">
        <v>483</v>
      </c>
      <c r="B205" t="s">
        <v>484</v>
      </c>
    </row>
    <row r="206" spans="1:2" x14ac:dyDescent="0.25">
      <c r="A206" t="s">
        <v>485</v>
      </c>
      <c r="B206" t="s">
        <v>486</v>
      </c>
    </row>
    <row r="207" spans="1:2" x14ac:dyDescent="0.25">
      <c r="A207" t="s">
        <v>487</v>
      </c>
      <c r="B207" t="s">
        <v>488</v>
      </c>
    </row>
    <row r="208" spans="1:2" x14ac:dyDescent="0.25">
      <c r="A208" t="s">
        <v>489</v>
      </c>
      <c r="B208" t="s">
        <v>490</v>
      </c>
    </row>
    <row r="209" spans="1:23" x14ac:dyDescent="0.25">
      <c r="A209" t="s">
        <v>491</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5">
      <c r="A210" t="s">
        <v>492</v>
      </c>
      <c r="B210">
        <v>1</v>
      </c>
    </row>
    <row r="211" spans="1:23" x14ac:dyDescent="0.25">
      <c r="A211" t="s">
        <v>493</v>
      </c>
      <c r="B211">
        <v>2</v>
      </c>
    </row>
    <row r="212" spans="1:23" x14ac:dyDescent="0.25">
      <c r="A212" t="s">
        <v>494</v>
      </c>
      <c r="B212">
        <v>3</v>
      </c>
    </row>
    <row r="213" spans="1:23" x14ac:dyDescent="0.25">
      <c r="A213" t="s">
        <v>495</v>
      </c>
      <c r="B213">
        <v>4</v>
      </c>
    </row>
    <row r="214" spans="1:23" x14ac:dyDescent="0.25">
      <c r="A214" t="s">
        <v>496</v>
      </c>
      <c r="B214">
        <v>5</v>
      </c>
    </row>
    <row r="215" spans="1:23" x14ac:dyDescent="0.25">
      <c r="A215" t="s">
        <v>497</v>
      </c>
      <c r="B215">
        <v>6</v>
      </c>
    </row>
    <row r="216" spans="1:23" x14ac:dyDescent="0.25">
      <c r="A216" t="s">
        <v>498</v>
      </c>
      <c r="B216">
        <v>7</v>
      </c>
    </row>
    <row r="217" spans="1:23" x14ac:dyDescent="0.25">
      <c r="A217" t="s">
        <v>499</v>
      </c>
      <c r="B217">
        <v>9</v>
      </c>
    </row>
    <row r="218" spans="1:23" x14ac:dyDescent="0.25">
      <c r="A218" t="s">
        <v>500</v>
      </c>
      <c r="B218">
        <v>10</v>
      </c>
    </row>
    <row r="219" spans="1:23" x14ac:dyDescent="0.25">
      <c r="A219" t="s">
        <v>501</v>
      </c>
      <c r="B219">
        <v>11</v>
      </c>
    </row>
    <row r="220" spans="1:23" x14ac:dyDescent="0.25">
      <c r="A220" t="s">
        <v>502</v>
      </c>
      <c r="B220">
        <v>12</v>
      </c>
    </row>
    <row r="221" spans="1:23" x14ac:dyDescent="0.25">
      <c r="A221" t="s">
        <v>503</v>
      </c>
      <c r="B221">
        <v>13</v>
      </c>
    </row>
    <row r="222" spans="1:23" x14ac:dyDescent="0.25">
      <c r="A222" t="s">
        <v>504</v>
      </c>
      <c r="B222">
        <v>14</v>
      </c>
    </row>
    <row r="223" spans="1:23" x14ac:dyDescent="0.25">
      <c r="A223" t="s">
        <v>505</v>
      </c>
      <c r="B223">
        <v>15</v>
      </c>
    </row>
    <row r="224" spans="1:23" x14ac:dyDescent="0.25">
      <c r="A224" t="s">
        <v>506</v>
      </c>
      <c r="B224">
        <v>16</v>
      </c>
    </row>
    <row r="225" spans="1:2" x14ac:dyDescent="0.25">
      <c r="A225" t="s">
        <v>507</v>
      </c>
      <c r="B225">
        <v>17</v>
      </c>
    </row>
    <row r="226" spans="1:2" x14ac:dyDescent="0.25">
      <c r="A226" t="s">
        <v>508</v>
      </c>
      <c r="B226">
        <v>18</v>
      </c>
    </row>
    <row r="227" spans="1:2" x14ac:dyDescent="0.25">
      <c r="A227" t="s">
        <v>509</v>
      </c>
      <c r="B227">
        <v>19</v>
      </c>
    </row>
    <row r="228" spans="1:2" x14ac:dyDescent="0.25">
      <c r="A228" t="s">
        <v>510</v>
      </c>
      <c r="B228">
        <v>20</v>
      </c>
    </row>
    <row r="229" spans="1:2" x14ac:dyDescent="0.25">
      <c r="A229" t="s">
        <v>511</v>
      </c>
      <c r="B229">
        <v>21</v>
      </c>
    </row>
    <row r="230" spans="1:2" x14ac:dyDescent="0.25">
      <c r="A230" t="s">
        <v>512</v>
      </c>
      <c r="B230">
        <v>22</v>
      </c>
    </row>
    <row r="231" spans="1:2" x14ac:dyDescent="0.25">
      <c r="A231" t="s">
        <v>513</v>
      </c>
      <c r="B231">
        <v>23</v>
      </c>
    </row>
    <row r="232" spans="1:2" x14ac:dyDescent="0.25">
      <c r="A232" t="s">
        <v>514</v>
      </c>
      <c r="B232">
        <v>24</v>
      </c>
    </row>
    <row r="233" spans="1:2" x14ac:dyDescent="0.25">
      <c r="A233" t="s">
        <v>515</v>
      </c>
      <c r="B233">
        <v>25</v>
      </c>
    </row>
    <row r="234" spans="1:2" x14ac:dyDescent="0.25">
      <c r="A234" t="s">
        <v>516</v>
      </c>
      <c r="B234">
        <v>26</v>
      </c>
    </row>
    <row r="235" spans="1:2" x14ac:dyDescent="0.25">
      <c r="A235" t="s">
        <v>517</v>
      </c>
      <c r="B235">
        <v>27</v>
      </c>
    </row>
    <row r="236" spans="1:2" x14ac:dyDescent="0.25">
      <c r="A236" t="s">
        <v>518</v>
      </c>
      <c r="B236">
        <v>28</v>
      </c>
    </row>
    <row r="237" spans="1:2" x14ac:dyDescent="0.25">
      <c r="A237" t="s">
        <v>519</v>
      </c>
      <c r="B237">
        <v>29</v>
      </c>
    </row>
    <row r="238" spans="1:2" x14ac:dyDescent="0.25">
      <c r="A238" t="s">
        <v>520</v>
      </c>
      <c r="B238">
        <v>30</v>
      </c>
    </row>
    <row r="239" spans="1:2" x14ac:dyDescent="0.25">
      <c r="A239" t="s">
        <v>521</v>
      </c>
      <c r="B239">
        <v>31</v>
      </c>
    </row>
    <row r="240" spans="1:2" x14ac:dyDescent="0.25">
      <c r="A240" t="s">
        <v>522</v>
      </c>
      <c r="B240">
        <v>33</v>
      </c>
    </row>
    <row r="241" spans="1:2" x14ac:dyDescent="0.25">
      <c r="A241" t="s">
        <v>523</v>
      </c>
      <c r="B241">
        <v>34</v>
      </c>
    </row>
    <row r="242" spans="1:2" x14ac:dyDescent="0.25">
      <c r="A242" t="s">
        <v>524</v>
      </c>
      <c r="B242">
        <v>35</v>
      </c>
    </row>
    <row r="243" spans="1:2" x14ac:dyDescent="0.25">
      <c r="A243" t="s">
        <v>525</v>
      </c>
      <c r="B243">
        <v>36</v>
      </c>
    </row>
    <row r="244" spans="1:2" x14ac:dyDescent="0.25">
      <c r="A244" t="s">
        <v>526</v>
      </c>
      <c r="B244">
        <v>37</v>
      </c>
    </row>
    <row r="245" spans="1:2" x14ac:dyDescent="0.25">
      <c r="A245" t="s">
        <v>527</v>
      </c>
      <c r="B245">
        <v>38</v>
      </c>
    </row>
    <row r="246" spans="1:2" x14ac:dyDescent="0.25">
      <c r="A246" t="s">
        <v>528</v>
      </c>
      <c r="B246">
        <v>39</v>
      </c>
    </row>
    <row r="247" spans="1:2" x14ac:dyDescent="0.25">
      <c r="A247" t="s">
        <v>529</v>
      </c>
      <c r="B247">
        <v>40</v>
      </c>
    </row>
    <row r="248" spans="1:2" x14ac:dyDescent="0.25">
      <c r="A248" t="s">
        <v>530</v>
      </c>
      <c r="B248">
        <v>41</v>
      </c>
    </row>
    <row r="249" spans="1:2" x14ac:dyDescent="0.25">
      <c r="A249" t="s">
        <v>531</v>
      </c>
      <c r="B249">
        <v>42</v>
      </c>
    </row>
    <row r="250" spans="1:2" x14ac:dyDescent="0.25">
      <c r="A250" t="s">
        <v>532</v>
      </c>
      <c r="B250">
        <v>43</v>
      </c>
    </row>
    <row r="251" spans="1:2" x14ac:dyDescent="0.25">
      <c r="A251" t="s">
        <v>533</v>
      </c>
      <c r="B251">
        <v>44</v>
      </c>
    </row>
    <row r="252" spans="1:2" x14ac:dyDescent="0.25">
      <c r="A252" t="s">
        <v>534</v>
      </c>
      <c r="B252">
        <v>45</v>
      </c>
    </row>
    <row r="253" spans="1:2" x14ac:dyDescent="0.25">
      <c r="A253" t="s">
        <v>535</v>
      </c>
      <c r="B253">
        <v>46</v>
      </c>
    </row>
    <row r="254" spans="1:2" x14ac:dyDescent="0.25">
      <c r="A254" t="s">
        <v>536</v>
      </c>
      <c r="B254">
        <v>47</v>
      </c>
    </row>
    <row r="255" spans="1:2" x14ac:dyDescent="0.25">
      <c r="A255" t="s">
        <v>537</v>
      </c>
      <c r="B255">
        <v>48</v>
      </c>
    </row>
    <row r="256" spans="1:2" x14ac:dyDescent="0.25">
      <c r="A256" t="s">
        <v>538</v>
      </c>
      <c r="B256">
        <v>49</v>
      </c>
    </row>
    <row r="257" spans="1:2" x14ac:dyDescent="0.25">
      <c r="A257" t="s">
        <v>539</v>
      </c>
      <c r="B257">
        <v>50</v>
      </c>
    </row>
    <row r="258" spans="1:2" x14ac:dyDescent="0.25">
      <c r="A258" t="s">
        <v>540</v>
      </c>
      <c r="B258">
        <v>51</v>
      </c>
    </row>
    <row r="259" spans="1:2" x14ac:dyDescent="0.25">
      <c r="A259" t="s">
        <v>541</v>
      </c>
      <c r="B259">
        <v>52</v>
      </c>
    </row>
    <row r="260" spans="1:2" x14ac:dyDescent="0.25">
      <c r="A260" t="s">
        <v>542</v>
      </c>
      <c r="B260">
        <v>53</v>
      </c>
    </row>
    <row r="261" spans="1:2" x14ac:dyDescent="0.25">
      <c r="A261" t="s">
        <v>543</v>
      </c>
      <c r="B261">
        <v>54</v>
      </c>
    </row>
    <row r="262" spans="1:2" x14ac:dyDescent="0.25">
      <c r="A262" t="s">
        <v>544</v>
      </c>
      <c r="B262">
        <v>55</v>
      </c>
    </row>
    <row r="263" spans="1:2" x14ac:dyDescent="0.25">
      <c r="A263" t="s">
        <v>545</v>
      </c>
      <c r="B263">
        <v>57</v>
      </c>
    </row>
    <row r="264" spans="1:2" x14ac:dyDescent="0.25">
      <c r="A264" t="s">
        <v>546</v>
      </c>
      <c r="B264">
        <v>58</v>
      </c>
    </row>
    <row r="265" spans="1:2" x14ac:dyDescent="0.25">
      <c r="A265" t="s">
        <v>547</v>
      </c>
      <c r="B265">
        <v>59</v>
      </c>
    </row>
    <row r="266" spans="1:2" x14ac:dyDescent="0.25">
      <c r="A266" t="s">
        <v>548</v>
      </c>
      <c r="B266">
        <v>60</v>
      </c>
    </row>
    <row r="267" spans="1:2" x14ac:dyDescent="0.25">
      <c r="A267" t="s">
        <v>549</v>
      </c>
      <c r="B267">
        <v>62</v>
      </c>
    </row>
    <row r="268" spans="1:2" x14ac:dyDescent="0.25">
      <c r="A268" t="s">
        <v>550</v>
      </c>
      <c r="B268">
        <v>63</v>
      </c>
    </row>
    <row r="269" spans="1:2" x14ac:dyDescent="0.25">
      <c r="A269" t="s">
        <v>551</v>
      </c>
      <c r="B269">
        <v>64</v>
      </c>
    </row>
    <row r="270" spans="1:2" x14ac:dyDescent="0.25">
      <c r="A270" t="s">
        <v>552</v>
      </c>
      <c r="B270">
        <v>65</v>
      </c>
    </row>
    <row r="271" spans="1:2" x14ac:dyDescent="0.25">
      <c r="A271" t="s">
        <v>553</v>
      </c>
      <c r="B271">
        <v>66</v>
      </c>
    </row>
    <row r="272" spans="1:2" x14ac:dyDescent="0.25">
      <c r="A272" t="s">
        <v>554</v>
      </c>
      <c r="B272">
        <v>68</v>
      </c>
    </row>
    <row r="273" spans="1:24" x14ac:dyDescent="0.25">
      <c r="A273" t="s">
        <v>555</v>
      </c>
      <c r="B273">
        <v>69</v>
      </c>
    </row>
    <row r="274" spans="1:24" x14ac:dyDescent="0.25">
      <c r="A274" t="s">
        <v>556</v>
      </c>
      <c r="B274">
        <v>70</v>
      </c>
    </row>
    <row r="275" spans="1:24" x14ac:dyDescent="0.25">
      <c r="A275" t="s">
        <v>557</v>
      </c>
      <c r="B275">
        <v>71</v>
      </c>
    </row>
    <row r="276" spans="1:24" x14ac:dyDescent="0.25">
      <c r="A276" t="s">
        <v>558</v>
      </c>
      <c r="B276">
        <v>72</v>
      </c>
    </row>
    <row r="277" spans="1:24" x14ac:dyDescent="0.25">
      <c r="A277" t="s">
        <v>559</v>
      </c>
      <c r="B277" t="s">
        <v>560</v>
      </c>
    </row>
    <row r="278" spans="1:24" x14ac:dyDescent="0.25">
      <c r="A278" t="s">
        <v>561</v>
      </c>
      <c r="B278" t="s">
        <v>562</v>
      </c>
    </row>
    <row r="279" spans="1:24" x14ac:dyDescent="0.25">
      <c r="A279" t="s">
        <v>563</v>
      </c>
      <c r="B279" t="s">
        <v>564</v>
      </c>
    </row>
    <row r="280" spans="1:24" x14ac:dyDescent="0.25">
      <c r="A280" t="s">
        <v>565</v>
      </c>
      <c r="B280" t="s">
        <v>566</v>
      </c>
    </row>
    <row r="281" spans="1:24" x14ac:dyDescent="0.25">
      <c r="A281" t="s">
        <v>567</v>
      </c>
      <c r="B281" t="s">
        <v>568</v>
      </c>
    </row>
    <row r="282" spans="1:24" x14ac:dyDescent="0.25">
      <c r="A282" t="s">
        <v>569</v>
      </c>
      <c r="B282" t="s">
        <v>570</v>
      </c>
    </row>
    <row r="283" spans="1:24" x14ac:dyDescent="0.25">
      <c r="A283" t="s">
        <v>571</v>
      </c>
      <c r="B283" t="s">
        <v>572</v>
      </c>
    </row>
    <row r="284" spans="1:24" x14ac:dyDescent="0.25">
      <c r="A284" t="s">
        <v>573</v>
      </c>
      <c r="B284" t="s">
        <v>574</v>
      </c>
    </row>
    <row r="285" spans="1:24" x14ac:dyDescent="0.25">
      <c r="A285" t="s">
        <v>575</v>
      </c>
      <c r="B285" t="s">
        <v>576</v>
      </c>
    </row>
    <row r="286" spans="1:24" x14ac:dyDescent="0.25">
      <c r="A286" t="s">
        <v>577</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5" zoomScaleNormal="85" workbookViewId="0">
      <pane xSplit="2" ySplit="4" topLeftCell="AW5" activePane="bottomRight" state="frozen"/>
      <selection activeCell="BJ29" sqref="BJ29"/>
      <selection pane="topRight" activeCell="BJ29" sqref="BJ29"/>
      <selection pane="bottomLeft" activeCell="BJ29" sqref="BJ29"/>
      <selection pane="bottomRight" activeCell="AM5" sqref="AM5:AZ12"/>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 min="62" max="62" width="8.7109375" style="53" customWidth="1"/>
    <col min="63" max="63" width="9.5703125" style="53" customWidth="1"/>
    <col min="64" max="64" width="10.140625" style="53" customWidth="1"/>
  </cols>
  <sheetData>
    <row r="1" spans="1:68" x14ac:dyDescent="0.25">
      <c r="A1" s="75" t="s">
        <v>578</v>
      </c>
      <c r="B1" s="61"/>
      <c r="C1" s="61"/>
      <c r="D1" s="61"/>
      <c r="E1" s="61"/>
      <c r="F1" s="61"/>
      <c r="H1" s="60" t="str">
        <f>Summary!C1</f>
        <v>R7.0 RC8.0</v>
      </c>
      <c r="I1" s="61"/>
      <c r="J1" s="61"/>
      <c r="K1" s="61"/>
      <c r="L1" s="61"/>
      <c r="M1" s="61"/>
      <c r="N1" s="61"/>
      <c r="O1" s="61"/>
      <c r="P1" s="61"/>
      <c r="Q1" s="61"/>
      <c r="R1" s="61"/>
      <c r="S1" s="61"/>
      <c r="T1" s="61"/>
      <c r="U1" s="61"/>
      <c r="V1" s="61"/>
      <c r="W1" s="61"/>
      <c r="X1" s="61"/>
      <c r="Y1" s="61"/>
      <c r="Z1" s="61"/>
      <c r="AA1" s="61"/>
      <c r="AB1" s="61"/>
      <c r="AC1" s="61"/>
      <c r="AE1" s="62" t="str">
        <f>Summary!C2</f>
        <v>R7.0 RC 9.0</v>
      </c>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
      <c r="A2" s="71" t="s">
        <v>139</v>
      </c>
      <c r="B2" s="72" t="s">
        <v>140</v>
      </c>
      <c r="C2" s="71" t="s">
        <v>142</v>
      </c>
      <c r="D2" s="72" t="s">
        <v>143</v>
      </c>
      <c r="E2" s="71" t="s">
        <v>144</v>
      </c>
      <c r="F2" s="72" t="s">
        <v>145</v>
      </c>
      <c r="H2" s="71" t="s">
        <v>579</v>
      </c>
      <c r="I2" s="72" t="s">
        <v>146</v>
      </c>
      <c r="J2" s="73" t="s">
        <v>147</v>
      </c>
      <c r="K2" s="61"/>
      <c r="L2" s="61"/>
      <c r="M2" s="61"/>
      <c r="N2" s="71" t="s">
        <v>148</v>
      </c>
      <c r="O2" s="72" t="s">
        <v>149</v>
      </c>
      <c r="P2" s="71" t="s">
        <v>86</v>
      </c>
      <c r="Q2" s="74" t="s">
        <v>150</v>
      </c>
      <c r="R2" s="61"/>
      <c r="S2" s="61"/>
      <c r="T2" s="61"/>
      <c r="U2" s="73" t="s">
        <v>151</v>
      </c>
      <c r="V2" s="61"/>
      <c r="W2" s="74" t="s">
        <v>152</v>
      </c>
      <c r="X2" s="61"/>
      <c r="Y2" s="61"/>
      <c r="Z2" s="73" t="s">
        <v>153</v>
      </c>
      <c r="AA2" s="61"/>
      <c r="AB2" s="74" t="s">
        <v>154</v>
      </c>
      <c r="AC2" s="61"/>
      <c r="AE2" s="71" t="s">
        <v>579</v>
      </c>
      <c r="AF2" s="72" t="s">
        <v>146</v>
      </c>
      <c r="AG2" s="73" t="s">
        <v>147</v>
      </c>
      <c r="AH2" s="61"/>
      <c r="AI2" s="61"/>
      <c r="AJ2" s="61"/>
      <c r="AK2" s="71" t="s">
        <v>155</v>
      </c>
      <c r="AL2" s="72" t="s">
        <v>149</v>
      </c>
      <c r="AM2" s="71" t="s">
        <v>86</v>
      </c>
      <c r="AN2" s="74" t="s">
        <v>150</v>
      </c>
      <c r="AO2" s="61"/>
      <c r="AP2" s="61"/>
      <c r="AQ2" s="61"/>
      <c r="AR2" s="73" t="s">
        <v>151</v>
      </c>
      <c r="AS2" s="61"/>
      <c r="AT2" s="74" t="s">
        <v>152</v>
      </c>
      <c r="AU2" s="61"/>
      <c r="AV2" s="61"/>
      <c r="AW2" s="73" t="s">
        <v>153</v>
      </c>
      <c r="AX2" s="61"/>
      <c r="AY2" s="74" t="s">
        <v>154</v>
      </c>
      <c r="AZ2" s="61"/>
      <c r="BB2" s="73" t="s">
        <v>24</v>
      </c>
      <c r="BC2" s="61"/>
      <c r="BD2" s="61"/>
      <c r="BE2" s="61"/>
      <c r="BF2" s="72" t="s">
        <v>158</v>
      </c>
      <c r="BG2" s="71" t="s">
        <v>158</v>
      </c>
      <c r="BI2" s="77" t="s">
        <v>159</v>
      </c>
      <c r="BJ2" s="76" t="s">
        <v>580</v>
      </c>
      <c r="BK2" s="61"/>
      <c r="BL2" s="61"/>
      <c r="BM2" s="61"/>
    </row>
    <row r="3" spans="1:68" ht="30.75" customHeight="1" thickBot="1" x14ac:dyDescent="0.3">
      <c r="A3" s="64"/>
      <c r="B3" s="64"/>
      <c r="C3" s="64"/>
      <c r="D3" s="64"/>
      <c r="E3" s="64"/>
      <c r="F3" s="64"/>
      <c r="H3" s="64"/>
      <c r="I3" s="64"/>
      <c r="J3" s="56" t="s">
        <v>27</v>
      </c>
      <c r="K3" s="56" t="s">
        <v>25</v>
      </c>
      <c r="L3" s="56" t="s">
        <v>165</v>
      </c>
      <c r="M3" s="56" t="s">
        <v>166</v>
      </c>
      <c r="N3" s="64"/>
      <c r="O3" s="64"/>
      <c r="P3" s="64"/>
      <c r="Q3" s="57" t="s">
        <v>27</v>
      </c>
      <c r="R3" s="57" t="s">
        <v>165</v>
      </c>
      <c r="S3" s="57" t="s">
        <v>167</v>
      </c>
      <c r="T3" s="57" t="s">
        <v>26</v>
      </c>
      <c r="U3" s="56" t="s">
        <v>11</v>
      </c>
      <c r="V3" s="56" t="s">
        <v>12</v>
      </c>
      <c r="W3" s="57" t="s">
        <v>13</v>
      </c>
      <c r="X3" s="57" t="s">
        <v>14</v>
      </c>
      <c r="Y3" s="57" t="s">
        <v>15</v>
      </c>
      <c r="Z3" s="56" t="s">
        <v>168</v>
      </c>
      <c r="AA3" s="56" t="s">
        <v>169</v>
      </c>
      <c r="AB3" s="57" t="s">
        <v>168</v>
      </c>
      <c r="AC3" s="57" t="s">
        <v>169</v>
      </c>
      <c r="AE3" s="64"/>
      <c r="AF3" s="64"/>
      <c r="AG3" s="56" t="s">
        <v>27</v>
      </c>
      <c r="AH3" s="56" t="s">
        <v>25</v>
      </c>
      <c r="AI3" s="56" t="s">
        <v>165</v>
      </c>
      <c r="AJ3" s="56" t="s">
        <v>166</v>
      </c>
      <c r="AK3" s="64"/>
      <c r="AL3" s="64"/>
      <c r="AM3" s="64"/>
      <c r="AN3" s="57" t="s">
        <v>27</v>
      </c>
      <c r="AO3" s="57" t="s">
        <v>165</v>
      </c>
      <c r="AP3" s="57" t="s">
        <v>167</v>
      </c>
      <c r="AQ3" s="57" t="s">
        <v>26</v>
      </c>
      <c r="AR3" s="56" t="s">
        <v>11</v>
      </c>
      <c r="AS3" s="56" t="s">
        <v>12</v>
      </c>
      <c r="AT3" s="57" t="s">
        <v>13</v>
      </c>
      <c r="AU3" s="57" t="s">
        <v>14</v>
      </c>
      <c r="AV3" s="57" t="s">
        <v>15</v>
      </c>
      <c r="AW3" s="56" t="s">
        <v>168</v>
      </c>
      <c r="AX3" s="56" t="s">
        <v>169</v>
      </c>
      <c r="AY3" s="57" t="s">
        <v>168</v>
      </c>
      <c r="AZ3" s="57" t="s">
        <v>169</v>
      </c>
      <c r="BB3" s="56" t="s">
        <v>27</v>
      </c>
      <c r="BC3" s="56" t="s">
        <v>25</v>
      </c>
      <c r="BD3" s="56" t="s">
        <v>165</v>
      </c>
      <c r="BE3" s="56" t="s">
        <v>26</v>
      </c>
      <c r="BF3" s="64"/>
      <c r="BG3" s="64"/>
      <c r="BI3" s="64"/>
      <c r="BJ3" s="59" t="s">
        <v>27</v>
      </c>
      <c r="BK3" s="59" t="s">
        <v>165</v>
      </c>
      <c r="BL3" s="59" t="s">
        <v>167</v>
      </c>
      <c r="BM3" s="59" t="s">
        <v>26</v>
      </c>
    </row>
    <row r="4" spans="1:68" ht="122.25" hidden="1" customHeight="1" thickBot="1" x14ac:dyDescent="0.3">
      <c r="A4" s="8" t="s">
        <v>170</v>
      </c>
      <c r="B4" s="9" t="s">
        <v>171</v>
      </c>
      <c r="C4" s="8" t="s">
        <v>173</v>
      </c>
      <c r="D4" s="9" t="s">
        <v>174</v>
      </c>
      <c r="E4" s="8" t="s">
        <v>175</v>
      </c>
      <c r="F4" s="9" t="s">
        <v>176</v>
      </c>
      <c r="H4" s="8" t="s">
        <v>581</v>
      </c>
      <c r="I4" s="9" t="s">
        <v>177</v>
      </c>
      <c r="J4" s="8" t="s">
        <v>178</v>
      </c>
      <c r="K4" s="8" t="s">
        <v>179</v>
      </c>
      <c r="L4" s="8" t="s">
        <v>180</v>
      </c>
      <c r="M4" s="8" t="s">
        <v>181</v>
      </c>
      <c r="N4" s="8" t="s">
        <v>182</v>
      </c>
      <c r="O4" s="9" t="s">
        <v>183</v>
      </c>
      <c r="P4" s="8" t="s">
        <v>184</v>
      </c>
      <c r="Q4" s="9" t="s">
        <v>187</v>
      </c>
      <c r="R4" s="9" t="s">
        <v>188</v>
      </c>
      <c r="S4" s="9" t="s">
        <v>189</v>
      </c>
      <c r="T4" s="9" t="s">
        <v>190</v>
      </c>
      <c r="U4" s="8" t="s">
        <v>191</v>
      </c>
      <c r="V4" s="8" t="s">
        <v>192</v>
      </c>
      <c r="W4" s="9" t="s">
        <v>193</v>
      </c>
      <c r="X4" s="9" t="s">
        <v>194</v>
      </c>
      <c r="Y4" s="9" t="s">
        <v>195</v>
      </c>
      <c r="Z4" s="8" t="s">
        <v>196</v>
      </c>
      <c r="AA4" s="8" t="s">
        <v>197</v>
      </c>
      <c r="AB4" s="9" t="s">
        <v>198</v>
      </c>
      <c r="AC4" s="9" t="s">
        <v>199</v>
      </c>
      <c r="AE4" s="8" t="s">
        <v>582</v>
      </c>
      <c r="AF4" s="9" t="s">
        <v>200</v>
      </c>
      <c r="AG4" s="8" t="s">
        <v>201</v>
      </c>
      <c r="AH4" s="8" t="s">
        <v>202</v>
      </c>
      <c r="AI4" s="8" t="s">
        <v>203</v>
      </c>
      <c r="AJ4" s="8" t="s">
        <v>204</v>
      </c>
      <c r="AK4" s="8" t="s">
        <v>205</v>
      </c>
      <c r="AL4" s="9" t="s">
        <v>206</v>
      </c>
      <c r="AM4" s="8" t="s">
        <v>207</v>
      </c>
      <c r="AN4" s="9" t="s">
        <v>210</v>
      </c>
      <c r="AO4" s="9" t="s">
        <v>211</v>
      </c>
      <c r="AP4" s="9" t="s">
        <v>212</v>
      </c>
      <c r="AQ4" s="9" t="s">
        <v>213</v>
      </c>
      <c r="AR4" s="8" t="s">
        <v>214</v>
      </c>
      <c r="AS4" s="8" t="s">
        <v>215</v>
      </c>
      <c r="AT4" s="9" t="s">
        <v>216</v>
      </c>
      <c r="AU4" s="9" t="s">
        <v>217</v>
      </c>
      <c r="AV4" s="9" t="s">
        <v>218</v>
      </c>
      <c r="AW4" s="8" t="s">
        <v>219</v>
      </c>
      <c r="AX4" s="8" t="s">
        <v>220</v>
      </c>
      <c r="AY4" s="9" t="s">
        <v>221</v>
      </c>
      <c r="AZ4" s="9" t="s">
        <v>222</v>
      </c>
      <c r="BB4" s="8" t="s">
        <v>583</v>
      </c>
      <c r="BC4" s="8" t="s">
        <v>223</v>
      </c>
      <c r="BD4" s="8" t="s">
        <v>584</v>
      </c>
      <c r="BE4" s="8" t="s">
        <v>585</v>
      </c>
      <c r="BF4" s="9" t="s">
        <v>225</v>
      </c>
      <c r="BG4" s="8" t="s">
        <v>226</v>
      </c>
    </row>
    <row r="5" spans="1:68" collapsed="1" x14ac:dyDescent="0.25">
      <c r="A5" s="10" t="s">
        <v>237</v>
      </c>
      <c r="B5" s="10" t="s">
        <v>51</v>
      </c>
      <c r="C5" s="10">
        <v>24964341</v>
      </c>
      <c r="D5" s="11">
        <v>10</v>
      </c>
      <c r="E5" s="11">
        <v>32</v>
      </c>
      <c r="F5" s="11">
        <v>30</v>
      </c>
      <c r="H5" s="19">
        <f t="shared" ref="H5:H11" si="0">IF(ISBLANK(Q5),"·",Q5/(C5*(D5*3+IF(AND(ISNUMBER(T5),T5&gt;0),24,0))))</f>
        <v>0.16452052623854635</v>
      </c>
      <c r="I5" s="12">
        <f t="shared" ref="I5:I11" si="1">IF(OR(ISBLANK(Q5),ISBLANK(F5)),"·",Q5*F5/E5/1000000)</f>
        <v>207.92429250000001</v>
      </c>
      <c r="J5" s="13">
        <f t="shared" ref="J5:J11" si="2">IF(ISBLANK(Q5),"·",Q5/C5)</f>
        <v>8.884108416881503</v>
      </c>
      <c r="K5" s="13">
        <f t="shared" ref="K5:K11" si="3">IF(N5="","·",N5/C5)</f>
        <v>1.3893622106828296</v>
      </c>
      <c r="L5" s="13">
        <f t="shared" ref="L5:L11" si="4">IF(R5="","·",R5/C5)</f>
        <v>1.3041674122301086</v>
      </c>
      <c r="M5" s="13">
        <f t="shared" ref="M5:M11" si="5">IF(ISBLANK(T5),"·",T5/C5)</f>
        <v>7.4947462061986734</v>
      </c>
      <c r="N5" s="10">
        <f t="shared" ref="N5:N11" si="6">IF(OR(ISBLANK(R5),ISBLANK(S5)),"",R5+S5)</f>
        <v>34684512</v>
      </c>
      <c r="O5" s="13">
        <f t="shared" ref="O5:O11" si="7">IF(ISBLANK(Q5),"·",Q5/P5)</f>
        <v>8.884108416881503</v>
      </c>
      <c r="P5" s="14">
        <v>24964341</v>
      </c>
      <c r="Q5" s="15">
        <v>221785912</v>
      </c>
      <c r="R5" s="15">
        <v>32557680</v>
      </c>
      <c r="S5" s="15">
        <v>2126832</v>
      </c>
      <c r="T5" s="15">
        <v>187101400</v>
      </c>
      <c r="U5" s="16" t="s">
        <v>586</v>
      </c>
      <c r="V5" s="16" t="s">
        <v>586</v>
      </c>
      <c r="W5" s="16" t="s">
        <v>586</v>
      </c>
      <c r="X5" s="16" t="s">
        <v>586</v>
      </c>
      <c r="Y5" s="16" t="s">
        <v>586</v>
      </c>
      <c r="Z5" s="17">
        <v>3599.79</v>
      </c>
      <c r="AA5" s="17">
        <v>5296.09</v>
      </c>
      <c r="AB5" s="17">
        <v>3.7240000000000002</v>
      </c>
      <c r="AC5" s="17">
        <v>22.704000000000001</v>
      </c>
      <c r="AE5" s="19">
        <f t="shared" ref="AE5:AE11" si="8">IF(ISBLANK(Q5),"·",Q5/(C5*(D5*3+IF(AND(ISNUMBER(T5),T5&gt;0),24,0))))</f>
        <v>0.16452052623854635</v>
      </c>
      <c r="AF5" s="12">
        <f t="shared" ref="AF5:AF11" si="9">IF(OR(ISBLANK(AN5),ISBLANK(F5)),"·",AN5*F5/E5/1000000)</f>
        <v>207.92429250000001</v>
      </c>
      <c r="AG5" s="13">
        <f t="shared" ref="AG5:AG11" si="10">IF(ISBLANK(AN5),"·",AN5/C5)</f>
        <v>8.884108416881503</v>
      </c>
      <c r="AH5" s="13">
        <f t="shared" ref="AH5:AH11" si="11">IF(AK5="","·",AK5/C5)</f>
        <v>1.3893622106828296</v>
      </c>
      <c r="AI5" s="13">
        <f t="shared" ref="AI5:AI11" si="12">IF(AO5="","·",AO5/C5)</f>
        <v>1.3041674122301086</v>
      </c>
      <c r="AJ5" s="13">
        <f t="shared" ref="AJ5:AJ11" si="13">IF(ISBLANK(AQ5),"·",AQ5/C5)</f>
        <v>7.4947462061986734</v>
      </c>
      <c r="AK5" s="10">
        <f t="shared" ref="AK5:AK11" si="14">IF(OR(ISBLANK(AO5),ISBLANK(AP5)),"",AO5+AP5)</f>
        <v>34684512</v>
      </c>
      <c r="AL5" s="13">
        <f t="shared" ref="AL5:AL11" si="15">IF(ISBLANK(AN5),"·",AN5/AM5)</f>
        <v>8.884108416881503</v>
      </c>
      <c r="AM5" s="14">
        <v>24964341</v>
      </c>
      <c r="AN5" s="15">
        <v>221785912</v>
      </c>
      <c r="AO5" s="15">
        <v>32557680</v>
      </c>
      <c r="AP5" s="15">
        <v>2126832</v>
      </c>
      <c r="AQ5" s="15">
        <v>187101400</v>
      </c>
      <c r="AR5" s="16"/>
      <c r="AS5" s="16"/>
      <c r="AT5" s="16"/>
      <c r="AU5" s="16"/>
      <c r="AV5" s="16"/>
      <c r="AW5" s="17">
        <v>3123.03</v>
      </c>
      <c r="AX5" s="17">
        <v>5383.12</v>
      </c>
      <c r="AY5" s="17">
        <v>4.1040000000000001</v>
      </c>
      <c r="AZ5" s="17">
        <v>20.463999999999999</v>
      </c>
      <c r="BB5" s="18">
        <f t="shared" ref="BB5:BB15" si="16">AG5/J5</f>
        <v>1</v>
      </c>
      <c r="BC5" s="18">
        <f t="shared" ref="BC5:BC15" si="17">AH5/K5</f>
        <v>1</v>
      </c>
      <c r="BD5" s="18">
        <f t="shared" ref="BD5:BD15" si="18">AI5/L5</f>
        <v>1</v>
      </c>
      <c r="BE5" s="18">
        <f t="shared" ref="BE5:BE15" si="19">AJ5/M5</f>
        <v>1</v>
      </c>
      <c r="BF5" s="19">
        <f t="shared" ref="BF5:BF11" si="20">(AK5/AN5) - (N5/Q5)</f>
        <v>0</v>
      </c>
      <c r="BG5" s="19">
        <f t="array" ref="BG5">AVERAGE(AK5:AK5/AN5:AN5) - AVERAGE(N5:N5/Q5:Q5)</f>
        <v>0</v>
      </c>
      <c r="BI5">
        <f t="shared" ref="BI5:BM11" si="21">AM5-P5</f>
        <v>0</v>
      </c>
      <c r="BJ5">
        <f t="shared" si="21"/>
        <v>0</v>
      </c>
      <c r="BK5">
        <f t="shared" si="21"/>
        <v>0</v>
      </c>
      <c r="BL5">
        <f t="shared" si="21"/>
        <v>0</v>
      </c>
      <c r="BM5">
        <f t="shared" si="21"/>
        <v>0</v>
      </c>
      <c r="BP5" t="s">
        <v>239</v>
      </c>
    </row>
    <row r="6" spans="1:68" collapsed="1" x14ac:dyDescent="0.25">
      <c r="A6" s="20"/>
      <c r="B6" s="20" t="s">
        <v>59</v>
      </c>
      <c r="C6" s="20">
        <v>22654789</v>
      </c>
      <c r="D6" s="21">
        <v>10</v>
      </c>
      <c r="E6" s="21">
        <v>32</v>
      </c>
      <c r="F6" s="21">
        <v>30</v>
      </c>
      <c r="H6" s="29">
        <f t="shared" si="0"/>
        <v>0.2363510017274526</v>
      </c>
      <c r="I6" s="22">
        <f t="shared" si="1"/>
        <v>271.07065499999999</v>
      </c>
      <c r="J6" s="23">
        <f t="shared" si="2"/>
        <v>12.76295409328244</v>
      </c>
      <c r="K6" s="23">
        <f t="shared" si="3"/>
        <v>1.7044046625196996</v>
      </c>
      <c r="L6" s="23">
        <f t="shared" si="4"/>
        <v>1.5568300371281321</v>
      </c>
      <c r="M6" s="23">
        <f t="shared" si="5"/>
        <v>11.05854943076274</v>
      </c>
      <c r="N6" s="20">
        <f t="shared" si="6"/>
        <v>38612928</v>
      </c>
      <c r="O6" s="23">
        <f t="shared" si="7"/>
        <v>12.76295409328244</v>
      </c>
      <c r="P6" s="24">
        <v>22654789</v>
      </c>
      <c r="Q6" s="25">
        <v>289142032</v>
      </c>
      <c r="R6" s="25">
        <v>35269656</v>
      </c>
      <c r="S6" s="25">
        <v>3343272</v>
      </c>
      <c r="T6" s="25">
        <v>250529104</v>
      </c>
      <c r="U6" s="26" t="s">
        <v>586</v>
      </c>
      <c r="V6" s="26" t="s">
        <v>586</v>
      </c>
      <c r="W6" s="26" t="s">
        <v>586</v>
      </c>
      <c r="X6" s="26" t="s">
        <v>586</v>
      </c>
      <c r="Y6" s="26" t="s">
        <v>586</v>
      </c>
      <c r="Z6" s="27">
        <v>3289.34</v>
      </c>
      <c r="AA6" s="27">
        <v>5353.72</v>
      </c>
      <c r="AB6" s="27">
        <v>3.78</v>
      </c>
      <c r="AC6" s="27">
        <v>24.5</v>
      </c>
      <c r="AE6" s="29">
        <f t="shared" si="8"/>
        <v>0.2363510017274526</v>
      </c>
      <c r="AF6" s="22">
        <f t="shared" si="9"/>
        <v>271.07065499999999</v>
      </c>
      <c r="AG6" s="23">
        <f t="shared" si="10"/>
        <v>12.76295409328244</v>
      </c>
      <c r="AH6" s="23">
        <f t="shared" si="11"/>
        <v>1.7044046625196996</v>
      </c>
      <c r="AI6" s="23">
        <f t="shared" si="12"/>
        <v>1.5568300371281321</v>
      </c>
      <c r="AJ6" s="23">
        <f t="shared" si="13"/>
        <v>11.05854943076274</v>
      </c>
      <c r="AK6" s="20">
        <f t="shared" si="14"/>
        <v>38612928</v>
      </c>
      <c r="AL6" s="23">
        <f t="shared" si="15"/>
        <v>12.76295409328244</v>
      </c>
      <c r="AM6" s="24">
        <v>22654789</v>
      </c>
      <c r="AN6" s="25">
        <v>289142032</v>
      </c>
      <c r="AO6" s="25">
        <v>35269656</v>
      </c>
      <c r="AP6" s="25">
        <v>3343272</v>
      </c>
      <c r="AQ6" s="25">
        <v>250529104</v>
      </c>
      <c r="AR6" s="26"/>
      <c r="AS6" s="26"/>
      <c r="AT6" s="26"/>
      <c r="AU6" s="26"/>
      <c r="AV6" s="26"/>
      <c r="AW6" s="27">
        <v>2860.93</v>
      </c>
      <c r="AX6" s="27">
        <v>5457.43</v>
      </c>
      <c r="AY6" s="27">
        <v>3.94</v>
      </c>
      <c r="AZ6" s="27">
        <v>21.884</v>
      </c>
      <c r="BB6" s="28">
        <f t="shared" si="16"/>
        <v>1</v>
      </c>
      <c r="BC6" s="28">
        <f t="shared" si="17"/>
        <v>1</v>
      </c>
      <c r="BD6" s="28">
        <f t="shared" si="18"/>
        <v>1</v>
      </c>
      <c r="BE6" s="28">
        <f t="shared" si="19"/>
        <v>1</v>
      </c>
      <c r="BF6" s="29">
        <f t="shared" si="20"/>
        <v>0</v>
      </c>
      <c r="BG6" s="29">
        <f t="array" ref="BG6">AVERAGE(AK6:AK6/AN6:AN6) - AVERAGE(N6:N6/Q6:Q6)</f>
        <v>0</v>
      </c>
      <c r="BI6">
        <f t="shared" si="21"/>
        <v>0</v>
      </c>
      <c r="BJ6">
        <f t="shared" si="21"/>
        <v>0</v>
      </c>
      <c r="BK6">
        <f t="shared" si="21"/>
        <v>0</v>
      </c>
      <c r="BL6">
        <f t="shared" si="21"/>
        <v>0</v>
      </c>
      <c r="BM6">
        <f t="shared" si="21"/>
        <v>0</v>
      </c>
      <c r="BP6" t="s">
        <v>239</v>
      </c>
    </row>
    <row r="7" spans="1:68" collapsed="1" x14ac:dyDescent="0.25">
      <c r="A7" s="10"/>
      <c r="B7" s="10" t="s">
        <v>64</v>
      </c>
      <c r="C7" s="10">
        <v>33947718</v>
      </c>
      <c r="D7" s="11">
        <v>10</v>
      </c>
      <c r="E7" s="11">
        <v>32</v>
      </c>
      <c r="F7" s="11">
        <v>30</v>
      </c>
      <c r="H7" s="19">
        <f t="shared" si="0"/>
        <v>0.18456217707301389</v>
      </c>
      <c r="I7" s="12">
        <f t="shared" si="1"/>
        <v>317.18915249999998</v>
      </c>
      <c r="J7" s="13">
        <f t="shared" si="2"/>
        <v>9.9663575619427505</v>
      </c>
      <c r="K7" s="13">
        <f t="shared" si="3"/>
        <v>1.6528946069364663</v>
      </c>
      <c r="L7" s="13">
        <f t="shared" si="4"/>
        <v>1.5294473696287922</v>
      </c>
      <c r="M7" s="13">
        <f t="shared" si="5"/>
        <v>8.3134629550062833</v>
      </c>
      <c r="N7" s="10">
        <f t="shared" si="6"/>
        <v>56112000</v>
      </c>
      <c r="O7" s="13">
        <f t="shared" si="7"/>
        <v>9.9663575619427505</v>
      </c>
      <c r="P7" s="14">
        <v>33947718</v>
      </c>
      <c r="Q7" s="15">
        <v>338335096</v>
      </c>
      <c r="R7" s="15">
        <v>51921248</v>
      </c>
      <c r="S7" s="15">
        <v>4190752</v>
      </c>
      <c r="T7" s="15">
        <v>282223096</v>
      </c>
      <c r="U7" s="16" t="s">
        <v>586</v>
      </c>
      <c r="V7" s="16" t="s">
        <v>586</v>
      </c>
      <c r="W7" s="16" t="s">
        <v>586</v>
      </c>
      <c r="X7" s="16" t="s">
        <v>586</v>
      </c>
      <c r="Y7" s="16" t="s">
        <v>586</v>
      </c>
      <c r="Z7" s="17">
        <v>4730.5200000000004</v>
      </c>
      <c r="AA7" s="17">
        <v>6951.06</v>
      </c>
      <c r="AB7" s="17">
        <v>5.5920000000000014</v>
      </c>
      <c r="AC7" s="17">
        <v>27.364000000000001</v>
      </c>
      <c r="AE7" s="19">
        <f t="shared" si="8"/>
        <v>0.18456217707301389</v>
      </c>
      <c r="AF7" s="12">
        <f t="shared" si="9"/>
        <v>317.18915249999998</v>
      </c>
      <c r="AG7" s="13">
        <f t="shared" si="10"/>
        <v>9.9663575619427505</v>
      </c>
      <c r="AH7" s="13">
        <f t="shared" si="11"/>
        <v>1.6528946069364663</v>
      </c>
      <c r="AI7" s="13">
        <f t="shared" si="12"/>
        <v>1.5294473696287922</v>
      </c>
      <c r="AJ7" s="13">
        <f t="shared" si="13"/>
        <v>8.3134629550062833</v>
      </c>
      <c r="AK7" s="10">
        <f t="shared" si="14"/>
        <v>56112000</v>
      </c>
      <c r="AL7" s="13">
        <f t="shared" si="15"/>
        <v>9.9663575619427505</v>
      </c>
      <c r="AM7" s="14">
        <v>33947718</v>
      </c>
      <c r="AN7" s="15">
        <v>338335096</v>
      </c>
      <c r="AO7" s="15">
        <v>51921248</v>
      </c>
      <c r="AP7" s="15">
        <v>4190752</v>
      </c>
      <c r="AQ7" s="15">
        <v>282223096</v>
      </c>
      <c r="AR7" s="16"/>
      <c r="AS7" s="16"/>
      <c r="AT7" s="16"/>
      <c r="AU7" s="16"/>
      <c r="AV7" s="16"/>
      <c r="AW7" s="17">
        <v>4645.76</v>
      </c>
      <c r="AX7" s="17">
        <v>7289.05</v>
      </c>
      <c r="AY7" s="17">
        <v>5.3920000000000003</v>
      </c>
      <c r="AZ7" s="17">
        <v>24.64</v>
      </c>
      <c r="BB7" s="18">
        <f t="shared" si="16"/>
        <v>1</v>
      </c>
      <c r="BC7" s="18">
        <f t="shared" si="17"/>
        <v>1</v>
      </c>
      <c r="BD7" s="18">
        <f t="shared" si="18"/>
        <v>1</v>
      </c>
      <c r="BE7" s="18">
        <f t="shared" si="19"/>
        <v>1</v>
      </c>
      <c r="BF7" s="19">
        <f t="shared" si="20"/>
        <v>0</v>
      </c>
      <c r="BG7" s="19">
        <f t="array" ref="BG7">AVERAGE(AK7:AK7/AN7:AN7) - AVERAGE(N7:N7/Q7:Q7)</f>
        <v>0</v>
      </c>
      <c r="BI7">
        <f t="shared" si="21"/>
        <v>0</v>
      </c>
      <c r="BJ7">
        <f t="shared" si="21"/>
        <v>0</v>
      </c>
      <c r="BK7">
        <f t="shared" si="21"/>
        <v>0</v>
      </c>
      <c r="BL7">
        <f t="shared" si="21"/>
        <v>0</v>
      </c>
      <c r="BM7">
        <f t="shared" si="21"/>
        <v>0</v>
      </c>
      <c r="BP7" t="s">
        <v>239</v>
      </c>
    </row>
    <row r="8" spans="1:68" ht="15.75" customHeight="1" collapsed="1" thickBot="1" x14ac:dyDescent="0.3">
      <c r="A8" s="40"/>
      <c r="B8" s="40" t="s">
        <v>70</v>
      </c>
      <c r="C8" s="40">
        <v>32209643</v>
      </c>
      <c r="D8" s="41">
        <v>10</v>
      </c>
      <c r="E8" s="41">
        <v>32</v>
      </c>
      <c r="F8" s="41">
        <v>50</v>
      </c>
      <c r="H8" s="49">
        <f t="shared" si="0"/>
        <v>0.14988544246183022</v>
      </c>
      <c r="I8" s="42">
        <f t="shared" si="1"/>
        <v>407.34196250000002</v>
      </c>
      <c r="J8" s="43">
        <f t="shared" si="2"/>
        <v>8.0938138929388312</v>
      </c>
      <c r="K8" s="43">
        <f t="shared" si="3"/>
        <v>1.2737678588986534</v>
      </c>
      <c r="L8" s="43">
        <f t="shared" si="4"/>
        <v>1.11339451977161</v>
      </c>
      <c r="M8" s="43">
        <f t="shared" si="5"/>
        <v>6.8200460340401783</v>
      </c>
      <c r="N8" s="40">
        <f t="shared" si="6"/>
        <v>41027608</v>
      </c>
      <c r="O8" s="43">
        <f t="shared" si="7"/>
        <v>8.0938138929388312</v>
      </c>
      <c r="P8" s="44">
        <v>32209643</v>
      </c>
      <c r="Q8" s="45">
        <v>260698856</v>
      </c>
      <c r="R8" s="45">
        <v>35862040</v>
      </c>
      <c r="S8" s="45">
        <v>5165568</v>
      </c>
      <c r="T8" s="45">
        <v>219671248</v>
      </c>
      <c r="U8" s="46" t="s">
        <v>586</v>
      </c>
      <c r="V8" s="46" t="s">
        <v>586</v>
      </c>
      <c r="W8" s="46" t="s">
        <v>586</v>
      </c>
      <c r="X8" s="46" t="s">
        <v>586</v>
      </c>
      <c r="Y8" s="46" t="s">
        <v>586</v>
      </c>
      <c r="Z8" s="47">
        <v>4453.5</v>
      </c>
      <c r="AA8" s="47">
        <v>5627.94</v>
      </c>
      <c r="AB8" s="47">
        <v>5.2759999999999998</v>
      </c>
      <c r="AC8" s="47">
        <v>32.72</v>
      </c>
      <c r="AE8" s="49">
        <f t="shared" si="8"/>
        <v>0.14988544246183022</v>
      </c>
      <c r="AF8" s="42">
        <f t="shared" si="9"/>
        <v>407.34196250000002</v>
      </c>
      <c r="AG8" s="43">
        <f t="shared" si="10"/>
        <v>8.0938138929388312</v>
      </c>
      <c r="AH8" s="43">
        <f t="shared" si="11"/>
        <v>1.2737678588986534</v>
      </c>
      <c r="AI8" s="43">
        <f t="shared" si="12"/>
        <v>1.11339451977161</v>
      </c>
      <c r="AJ8" s="43">
        <f t="shared" si="13"/>
        <v>6.8200460340401783</v>
      </c>
      <c r="AK8" s="40">
        <f t="shared" si="14"/>
        <v>41027608</v>
      </c>
      <c r="AL8" s="43">
        <f t="shared" si="15"/>
        <v>8.0938138929388312</v>
      </c>
      <c r="AM8" s="44">
        <v>32209643</v>
      </c>
      <c r="AN8" s="45">
        <v>260698856</v>
      </c>
      <c r="AO8" s="45">
        <v>35862040</v>
      </c>
      <c r="AP8" s="45">
        <v>5165568</v>
      </c>
      <c r="AQ8" s="45">
        <v>219671248</v>
      </c>
      <c r="AR8" s="46"/>
      <c r="AS8" s="46"/>
      <c r="AT8" s="46"/>
      <c r="AU8" s="46"/>
      <c r="AV8" s="46"/>
      <c r="AW8" s="47">
        <v>4339.59</v>
      </c>
      <c r="AX8" s="47">
        <v>5741.16</v>
      </c>
      <c r="AY8" s="47">
        <v>4.76</v>
      </c>
      <c r="AZ8" s="47">
        <v>26.443999999999999</v>
      </c>
      <c r="BB8" s="48">
        <f t="shared" si="16"/>
        <v>1</v>
      </c>
      <c r="BC8" s="48">
        <f t="shared" si="17"/>
        <v>1</v>
      </c>
      <c r="BD8" s="48">
        <f t="shared" si="18"/>
        <v>1</v>
      </c>
      <c r="BE8" s="48">
        <f t="shared" si="19"/>
        <v>1</v>
      </c>
      <c r="BF8" s="49">
        <f t="shared" si="20"/>
        <v>0</v>
      </c>
      <c r="BG8" s="49">
        <f t="array" ref="BG8">AVERAGE(AK8:AK8/AN8:AN8) - AVERAGE(N8:N8/Q8:Q8)</f>
        <v>0</v>
      </c>
      <c r="BI8">
        <f t="shared" si="21"/>
        <v>0</v>
      </c>
      <c r="BJ8">
        <f t="shared" si="21"/>
        <v>0</v>
      </c>
      <c r="BK8">
        <f t="shared" si="21"/>
        <v>0</v>
      </c>
      <c r="BL8">
        <f t="shared" si="21"/>
        <v>0</v>
      </c>
      <c r="BM8">
        <f t="shared" si="21"/>
        <v>0</v>
      </c>
      <c r="BP8" t="s">
        <v>587</v>
      </c>
    </row>
    <row r="9" spans="1:68" ht="15.75" customHeight="1" collapsed="1" thickBot="1" x14ac:dyDescent="0.3">
      <c r="A9" s="30" t="s">
        <v>246</v>
      </c>
      <c r="B9" s="30" t="s">
        <v>73</v>
      </c>
      <c r="C9" s="30">
        <v>25312408</v>
      </c>
      <c r="D9" s="31">
        <v>10</v>
      </c>
      <c r="E9" s="31">
        <v>32</v>
      </c>
      <c r="F9" s="31">
        <v>30</v>
      </c>
      <c r="H9" s="39">
        <f t="shared" si="0"/>
        <v>0.27656920054561557</v>
      </c>
      <c r="I9" s="32">
        <f t="shared" si="1"/>
        <v>354.40701749999999</v>
      </c>
      <c r="J9" s="33">
        <f t="shared" si="2"/>
        <v>14.934736829463242</v>
      </c>
      <c r="K9" s="33">
        <f t="shared" si="3"/>
        <v>1.5087231526925451</v>
      </c>
      <c r="L9" s="33">
        <f t="shared" si="4"/>
        <v>1.4115600538676525</v>
      </c>
      <c r="M9" s="33">
        <f t="shared" si="5"/>
        <v>13.426013676770697</v>
      </c>
      <c r="N9" s="30">
        <f t="shared" si="6"/>
        <v>38189416</v>
      </c>
      <c r="O9" s="33">
        <f t="shared" si="7"/>
        <v>14.934736829463242</v>
      </c>
      <c r="P9" s="34">
        <v>25312408</v>
      </c>
      <c r="Q9" s="35">
        <v>378034152</v>
      </c>
      <c r="R9" s="35">
        <v>35729984</v>
      </c>
      <c r="S9" s="35">
        <v>2459432</v>
      </c>
      <c r="T9" s="35">
        <v>339844736</v>
      </c>
      <c r="U9" s="36" t="s">
        <v>586</v>
      </c>
      <c r="V9" s="36" t="s">
        <v>586</v>
      </c>
      <c r="W9" s="36" t="s">
        <v>586</v>
      </c>
      <c r="X9" s="36" t="s">
        <v>586</v>
      </c>
      <c r="Y9" s="36" t="s">
        <v>586</v>
      </c>
      <c r="Z9" s="37">
        <v>1376.92</v>
      </c>
      <c r="AA9" s="37">
        <v>5516.73</v>
      </c>
      <c r="AB9" s="37">
        <v>3.456</v>
      </c>
      <c r="AC9" s="37">
        <v>22.716000000000001</v>
      </c>
      <c r="AE9" s="39">
        <f t="shared" si="8"/>
        <v>0.27656920054561557</v>
      </c>
      <c r="AF9" s="32">
        <f t="shared" si="9"/>
        <v>354.40701749999999</v>
      </c>
      <c r="AG9" s="33">
        <f t="shared" si="10"/>
        <v>14.934736829463242</v>
      </c>
      <c r="AH9" s="33">
        <f t="shared" si="11"/>
        <v>1.5087231526925451</v>
      </c>
      <c r="AI9" s="33">
        <f t="shared" si="12"/>
        <v>1.4115600538676525</v>
      </c>
      <c r="AJ9" s="33">
        <f t="shared" si="13"/>
        <v>13.426013676770697</v>
      </c>
      <c r="AK9" s="30">
        <f t="shared" si="14"/>
        <v>38189416</v>
      </c>
      <c r="AL9" s="33">
        <f t="shared" si="15"/>
        <v>14.934736829463242</v>
      </c>
      <c r="AM9" s="34">
        <v>25312408</v>
      </c>
      <c r="AN9" s="35">
        <v>378034152</v>
      </c>
      <c r="AO9" s="35">
        <v>35729984</v>
      </c>
      <c r="AP9" s="35">
        <v>2459432</v>
      </c>
      <c r="AQ9" s="35">
        <v>339844736</v>
      </c>
      <c r="AR9" s="36"/>
      <c r="AS9" s="36"/>
      <c r="AT9" s="36"/>
      <c r="AU9" s="36"/>
      <c r="AV9" s="36"/>
      <c r="AW9" s="37">
        <v>1513.15</v>
      </c>
      <c r="AX9" s="37">
        <v>5890.73</v>
      </c>
      <c r="AY9" s="37">
        <v>4.3639999999999999</v>
      </c>
      <c r="AZ9" s="37">
        <v>28.728000000000002</v>
      </c>
      <c r="BB9" s="38">
        <f t="shared" si="16"/>
        <v>1</v>
      </c>
      <c r="BC9" s="38">
        <f t="shared" si="17"/>
        <v>1</v>
      </c>
      <c r="BD9" s="38">
        <f t="shared" si="18"/>
        <v>1</v>
      </c>
      <c r="BE9" s="38">
        <f t="shared" si="19"/>
        <v>1</v>
      </c>
      <c r="BF9" s="39">
        <f t="shared" si="20"/>
        <v>0</v>
      </c>
      <c r="BG9" s="39">
        <f t="array" ref="BG9">AVERAGE(AK9:AK9/AN9:AN9) - AVERAGE(N9:N9/Q9:Q9)</f>
        <v>0</v>
      </c>
      <c r="BI9">
        <f t="shared" si="21"/>
        <v>0</v>
      </c>
      <c r="BJ9">
        <f t="shared" si="21"/>
        <v>0</v>
      </c>
      <c r="BK9">
        <f t="shared" si="21"/>
        <v>0</v>
      </c>
      <c r="BL9">
        <f t="shared" si="21"/>
        <v>0</v>
      </c>
      <c r="BM9">
        <f t="shared" si="21"/>
        <v>0</v>
      </c>
      <c r="BP9" t="s">
        <v>244</v>
      </c>
    </row>
    <row r="10" spans="1:68" collapsed="1" x14ac:dyDescent="0.25">
      <c r="A10" s="20" t="s">
        <v>248</v>
      </c>
      <c r="B10" s="20" t="s">
        <v>77</v>
      </c>
      <c r="C10" s="20">
        <v>92854683</v>
      </c>
      <c r="D10" s="21">
        <v>11</v>
      </c>
      <c r="E10" s="21">
        <v>10</v>
      </c>
      <c r="F10" s="21">
        <v>30</v>
      </c>
      <c r="H10" s="29">
        <f t="shared" si="0"/>
        <v>5.3107976803681435E-2</v>
      </c>
      <c r="I10" s="22">
        <f t="shared" si="1"/>
        <v>843.25646400000005</v>
      </c>
      <c r="J10" s="23">
        <f t="shared" si="2"/>
        <v>3.0271546778098419</v>
      </c>
      <c r="K10" s="23">
        <f t="shared" si="3"/>
        <v>0.3427185681092681</v>
      </c>
      <c r="L10" s="23">
        <f t="shared" si="4"/>
        <v>0.32727689135506499</v>
      </c>
      <c r="M10" s="23">
        <f t="shared" si="5"/>
        <v>2.6844361097005738</v>
      </c>
      <c r="N10" s="20">
        <f t="shared" si="6"/>
        <v>31823024</v>
      </c>
      <c r="O10" s="23">
        <f t="shared" si="7"/>
        <v>9.7589216372989895</v>
      </c>
      <c r="P10" s="24">
        <v>28802925</v>
      </c>
      <c r="Q10" s="25">
        <v>281085488</v>
      </c>
      <c r="R10" s="25">
        <v>30389192</v>
      </c>
      <c r="S10" s="25">
        <v>1433832</v>
      </c>
      <c r="T10" s="25">
        <v>249262464</v>
      </c>
      <c r="U10" s="26" t="s">
        <v>586</v>
      </c>
      <c r="V10" s="26" t="s">
        <v>586</v>
      </c>
      <c r="W10" s="26" t="s">
        <v>586</v>
      </c>
      <c r="X10" s="26" t="s">
        <v>586</v>
      </c>
      <c r="Y10" s="26" t="s">
        <v>586</v>
      </c>
      <c r="Z10" s="27">
        <v>954.46800000000007</v>
      </c>
      <c r="AA10" s="27">
        <v>4916</v>
      </c>
      <c r="AB10" s="27">
        <v>4.3159999999999998</v>
      </c>
      <c r="AC10" s="27">
        <v>25.004000000000001</v>
      </c>
      <c r="AE10" s="29">
        <f t="shared" si="8"/>
        <v>5.3107976803681435E-2</v>
      </c>
      <c r="AF10" s="22">
        <f t="shared" si="9"/>
        <v>843.25646400000005</v>
      </c>
      <c r="AG10" s="23">
        <f t="shared" si="10"/>
        <v>3.0271546778098419</v>
      </c>
      <c r="AH10" s="23">
        <f t="shared" si="11"/>
        <v>0.3427185681092681</v>
      </c>
      <c r="AI10" s="23">
        <f t="shared" si="12"/>
        <v>0.32727689135506499</v>
      </c>
      <c r="AJ10" s="23">
        <f t="shared" si="13"/>
        <v>2.6844361097005738</v>
      </c>
      <c r="AK10" s="20">
        <f t="shared" si="14"/>
        <v>31823024</v>
      </c>
      <c r="AL10" s="23">
        <f t="shared" si="15"/>
        <v>9.7589216372989895</v>
      </c>
      <c r="AM10" s="24">
        <v>28802925</v>
      </c>
      <c r="AN10" s="25">
        <v>281085488</v>
      </c>
      <c r="AO10" s="25">
        <v>30389192</v>
      </c>
      <c r="AP10" s="25">
        <v>1433832</v>
      </c>
      <c r="AQ10" s="25">
        <v>249262464</v>
      </c>
      <c r="AR10" s="26"/>
      <c r="AS10" s="26"/>
      <c r="AT10" s="26"/>
      <c r="AU10" s="26"/>
      <c r="AV10" s="26"/>
      <c r="AW10" s="27">
        <v>950.928</v>
      </c>
      <c r="AX10" s="27">
        <v>4950.96</v>
      </c>
      <c r="AY10" s="27">
        <v>4.3719999999999999</v>
      </c>
      <c r="AZ10" s="27">
        <v>24.212</v>
      </c>
      <c r="BB10" s="28">
        <f t="shared" si="16"/>
        <v>1</v>
      </c>
      <c r="BC10" s="28">
        <f t="shared" si="17"/>
        <v>1</v>
      </c>
      <c r="BD10" s="28">
        <f t="shared" si="18"/>
        <v>1</v>
      </c>
      <c r="BE10" s="28">
        <f t="shared" si="19"/>
        <v>1</v>
      </c>
      <c r="BF10" s="29">
        <f t="shared" si="20"/>
        <v>0</v>
      </c>
      <c r="BG10" s="29">
        <f t="array" ref="BG10">AVERAGE(AK10:AK10/AN10:AN10) - AVERAGE(N10:N10/Q10:Q10)</f>
        <v>0</v>
      </c>
      <c r="BI10">
        <f t="shared" si="21"/>
        <v>0</v>
      </c>
      <c r="BJ10">
        <f t="shared" si="21"/>
        <v>0</v>
      </c>
      <c r="BK10">
        <f t="shared" si="21"/>
        <v>0</v>
      </c>
      <c r="BL10">
        <f t="shared" si="21"/>
        <v>0</v>
      </c>
      <c r="BM10">
        <f t="shared" si="21"/>
        <v>0</v>
      </c>
      <c r="BP10" t="s">
        <v>588</v>
      </c>
    </row>
    <row r="11" spans="1:68" ht="15.75" customHeight="1" collapsed="1" thickBot="1" x14ac:dyDescent="0.3">
      <c r="A11" s="30"/>
      <c r="B11" s="30" t="s">
        <v>82</v>
      </c>
      <c r="C11" s="30">
        <v>83104648</v>
      </c>
      <c r="D11" s="31">
        <v>11</v>
      </c>
      <c r="E11" s="31">
        <v>10</v>
      </c>
      <c r="F11" s="31">
        <v>30</v>
      </c>
      <c r="H11" s="39">
        <f t="shared" si="0"/>
        <v>5.4325706750386636E-2</v>
      </c>
      <c r="I11" s="32">
        <f t="shared" si="1"/>
        <v>772.01690399999995</v>
      </c>
      <c r="J11" s="33">
        <f t="shared" si="2"/>
        <v>3.0965652847720384</v>
      </c>
      <c r="K11" s="33">
        <f t="shared" si="3"/>
        <v>0.37062408350493226</v>
      </c>
      <c r="L11" s="33">
        <f t="shared" si="4"/>
        <v>0.35162827475064934</v>
      </c>
      <c r="M11" s="33">
        <f t="shared" si="5"/>
        <v>2.7259412012671058</v>
      </c>
      <c r="N11" s="30">
        <f t="shared" si="6"/>
        <v>30800584</v>
      </c>
      <c r="O11" s="33">
        <f t="shared" si="7"/>
        <v>9.9871404669346475</v>
      </c>
      <c r="P11" s="34">
        <v>25767032</v>
      </c>
      <c r="Q11" s="35">
        <v>257338968</v>
      </c>
      <c r="R11" s="35">
        <v>29221944</v>
      </c>
      <c r="S11" s="35">
        <v>1578640</v>
      </c>
      <c r="T11" s="35">
        <v>226538384</v>
      </c>
      <c r="U11" s="36" t="s">
        <v>586</v>
      </c>
      <c r="V11" s="36" t="s">
        <v>586</v>
      </c>
      <c r="W11" s="36" t="s">
        <v>586</v>
      </c>
      <c r="X11" s="36" t="s">
        <v>586</v>
      </c>
      <c r="Y11" s="36" t="s">
        <v>586</v>
      </c>
      <c r="Z11" s="37">
        <v>858.68399999999997</v>
      </c>
      <c r="AA11" s="37">
        <v>5137.76</v>
      </c>
      <c r="AB11" s="37">
        <v>4.0960000000000001</v>
      </c>
      <c r="AC11" s="37">
        <v>30.448</v>
      </c>
      <c r="AE11" s="39">
        <f t="shared" si="8"/>
        <v>5.4325706750386636E-2</v>
      </c>
      <c r="AF11" s="32">
        <f t="shared" si="9"/>
        <v>772.01690399999995</v>
      </c>
      <c r="AG11" s="33">
        <f t="shared" si="10"/>
        <v>3.0965652847720384</v>
      </c>
      <c r="AH11" s="33">
        <f t="shared" si="11"/>
        <v>0.37062408350493226</v>
      </c>
      <c r="AI11" s="33">
        <f t="shared" si="12"/>
        <v>0.35162827475064934</v>
      </c>
      <c r="AJ11" s="33">
        <f t="shared" si="13"/>
        <v>2.7259412012671058</v>
      </c>
      <c r="AK11" s="30">
        <f t="shared" si="14"/>
        <v>30800584</v>
      </c>
      <c r="AL11" s="33">
        <f t="shared" si="15"/>
        <v>9.9871404669346475</v>
      </c>
      <c r="AM11" s="34">
        <v>25767032</v>
      </c>
      <c r="AN11" s="35">
        <v>257338968</v>
      </c>
      <c r="AO11" s="35">
        <v>29221944</v>
      </c>
      <c r="AP11" s="35">
        <v>1578640</v>
      </c>
      <c r="AQ11" s="35">
        <v>226538384</v>
      </c>
      <c r="AR11" s="36"/>
      <c r="AS11" s="36"/>
      <c r="AT11" s="36"/>
      <c r="AU11" s="36"/>
      <c r="AV11" s="36"/>
      <c r="AW11" s="37">
        <v>862.71199999999999</v>
      </c>
      <c r="AX11" s="37">
        <v>5151.16</v>
      </c>
      <c r="AY11" s="37">
        <v>4.444</v>
      </c>
      <c r="AZ11" s="37">
        <v>27.068000000000001</v>
      </c>
      <c r="BB11" s="38">
        <f t="shared" si="16"/>
        <v>1</v>
      </c>
      <c r="BC11" s="38">
        <f t="shared" si="17"/>
        <v>1</v>
      </c>
      <c r="BD11" s="38">
        <f t="shared" si="18"/>
        <v>1</v>
      </c>
      <c r="BE11" s="38">
        <f t="shared" si="19"/>
        <v>1</v>
      </c>
      <c r="BF11" s="39">
        <f t="shared" si="20"/>
        <v>0</v>
      </c>
      <c r="BG11" s="39">
        <f t="array" ref="BG11">AVERAGE(AK11:AK11/AN11:AN11) - AVERAGE(N11:N11/Q11:Q11)</f>
        <v>0</v>
      </c>
      <c r="BI11">
        <f t="shared" si="21"/>
        <v>0</v>
      </c>
      <c r="BJ11">
        <f t="shared" si="21"/>
        <v>0</v>
      </c>
      <c r="BK11">
        <f t="shared" si="21"/>
        <v>0</v>
      </c>
      <c r="BL11">
        <f t="shared" si="21"/>
        <v>0</v>
      </c>
      <c r="BM11">
        <f t="shared" si="21"/>
        <v>0</v>
      </c>
      <c r="BP11" t="s">
        <v>589</v>
      </c>
    </row>
    <row r="12" spans="1:68" x14ac:dyDescent="0.25">
      <c r="B12" s="50" t="s">
        <v>16</v>
      </c>
      <c r="J12" s="51">
        <f>AVERAGE(J5:J8)</f>
        <v>9.9268084912613812</v>
      </c>
      <c r="K12" s="51">
        <f>AVERAGE(K5:K8)</f>
        <v>1.5051073347594124</v>
      </c>
      <c r="L12" s="51">
        <f>AVERAGE(L5:L8)</f>
        <v>1.3759598346896609</v>
      </c>
      <c r="M12" s="51">
        <f>AVERAGE(M5:M8)</f>
        <v>8.4217011565019693</v>
      </c>
      <c r="AG12" s="51">
        <f>AVERAGE(AG5:AG8)</f>
        <v>9.9268084912613812</v>
      </c>
      <c r="AH12" s="51">
        <f>AVERAGE(AH5:AH8)</f>
        <v>1.5051073347594124</v>
      </c>
      <c r="AI12" s="51">
        <f>AVERAGE(AI5:AI8)</f>
        <v>1.3759598346896609</v>
      </c>
      <c r="AJ12" s="51">
        <f>AVERAGE(AJ5:AJ8)</f>
        <v>8.4217011565019693</v>
      </c>
      <c r="BB12" s="4">
        <f t="shared" si="16"/>
        <v>1</v>
      </c>
      <c r="BC12" s="4">
        <f t="shared" si="17"/>
        <v>1</v>
      </c>
      <c r="BD12" s="4">
        <f t="shared" si="18"/>
        <v>1</v>
      </c>
      <c r="BE12" s="4">
        <f t="shared" si="19"/>
        <v>1</v>
      </c>
      <c r="BG12" s="55">
        <f>AVERAGE(BG5:BG8)</f>
        <v>0</v>
      </c>
    </row>
    <row r="13" spans="1:68" x14ac:dyDescent="0.25">
      <c r="B13" s="50" t="s">
        <v>17</v>
      </c>
      <c r="J13" s="51">
        <f>AVERAGE(J9:J9)</f>
        <v>14.934736829463242</v>
      </c>
      <c r="K13" s="51">
        <f>AVERAGE(K9:K9)</f>
        <v>1.5087231526925451</v>
      </c>
      <c r="L13" s="51">
        <f>AVERAGE(L9:L9)</f>
        <v>1.4115600538676525</v>
      </c>
      <c r="M13" s="51">
        <f>AVERAGE(M9:M9)</f>
        <v>13.426013676770697</v>
      </c>
      <c r="AG13" s="51">
        <f>AVERAGE(AG9:AG9)</f>
        <v>14.934736829463242</v>
      </c>
      <c r="AH13" s="51">
        <f>AVERAGE(AH9:AH9)</f>
        <v>1.5087231526925451</v>
      </c>
      <c r="AI13" s="51">
        <f>AVERAGE(AI9:AI9)</f>
        <v>1.4115600538676525</v>
      </c>
      <c r="AJ13" s="51">
        <f>AVERAGE(AJ9:AJ9)</f>
        <v>13.426013676770697</v>
      </c>
      <c r="BB13" s="4">
        <f t="shared" si="16"/>
        <v>1</v>
      </c>
      <c r="BC13" s="4">
        <f t="shared" si="17"/>
        <v>1</v>
      </c>
      <c r="BD13" s="4">
        <f t="shared" si="18"/>
        <v>1</v>
      </c>
      <c r="BE13" s="4">
        <f t="shared" si="19"/>
        <v>1</v>
      </c>
      <c r="BG13" s="55">
        <f>AVERAGE(BG9:BG9)</f>
        <v>0</v>
      </c>
    </row>
    <row r="14" spans="1:68" x14ac:dyDescent="0.25">
      <c r="B14" s="50" t="s">
        <v>18</v>
      </c>
      <c r="J14" s="51">
        <f>AVERAGE(J10:J11)</f>
        <v>3.0618599812909402</v>
      </c>
      <c r="K14" s="51">
        <f>AVERAGE(K10:K11)</f>
        <v>0.35667132580710015</v>
      </c>
      <c r="L14" s="51">
        <f>AVERAGE(L10:L11)</f>
        <v>0.33945258305285719</v>
      </c>
      <c r="M14" s="51">
        <f>AVERAGE(M10:M11)</f>
        <v>2.7051886554838398</v>
      </c>
      <c r="AG14" s="51">
        <f>AVERAGE(AG10:AG11)</f>
        <v>3.0618599812909402</v>
      </c>
      <c r="AH14" s="51">
        <f>AVERAGE(AH10:AH11)</f>
        <v>0.35667132580710015</v>
      </c>
      <c r="AI14" s="51">
        <f>AVERAGE(AI10:AI11)</f>
        <v>0.33945258305285719</v>
      </c>
      <c r="AJ14" s="51">
        <f>AVERAGE(AJ10:AJ11)</f>
        <v>2.7051886554838398</v>
      </c>
      <c r="BB14" s="4">
        <f t="shared" si="16"/>
        <v>1</v>
      </c>
      <c r="BC14" s="4">
        <f t="shared" si="17"/>
        <v>1</v>
      </c>
      <c r="BD14" s="4">
        <f t="shared" si="18"/>
        <v>1</v>
      </c>
      <c r="BE14" s="4">
        <f t="shared" si="19"/>
        <v>1</v>
      </c>
      <c r="BG14" s="55">
        <f>AVERAGE(BG10:BG11)</f>
        <v>0</v>
      </c>
    </row>
    <row r="15" spans="1:68" x14ac:dyDescent="0.25">
      <c r="B15" s="50" t="s">
        <v>19</v>
      </c>
      <c r="J15" s="51">
        <f>AVERAGE(J5:J11)</f>
        <v>8.6808129652986636</v>
      </c>
      <c r="K15" s="51">
        <f>AVERAGE(K5:K11)</f>
        <v>1.1774993061920562</v>
      </c>
      <c r="L15" s="51">
        <f>AVERAGE(L5:L11)</f>
        <v>1.08490065124743</v>
      </c>
      <c r="M15" s="51">
        <f>AVERAGE(M5:M11)</f>
        <v>7.5033136591066079</v>
      </c>
      <c r="AG15" s="51">
        <f>AVERAGE(AG5:AG11)</f>
        <v>8.6808129652986636</v>
      </c>
      <c r="AH15" s="51">
        <f>AVERAGE(AH5:AH11)</f>
        <v>1.1774993061920562</v>
      </c>
      <c r="AI15" s="51">
        <f>AVERAGE(AI5:AI11)</f>
        <v>1.08490065124743</v>
      </c>
      <c r="AJ15" s="51">
        <f>AVERAGE(AJ5:AJ11)</f>
        <v>7.5033136591066079</v>
      </c>
      <c r="BB15" s="4">
        <f t="shared" si="16"/>
        <v>1</v>
      </c>
      <c r="BC15" s="4">
        <f t="shared" si="17"/>
        <v>1</v>
      </c>
      <c r="BD15" s="4">
        <f t="shared" si="18"/>
        <v>1</v>
      </c>
      <c r="BE15" s="4">
        <f t="shared" si="19"/>
        <v>1</v>
      </c>
      <c r="BG15" s="55">
        <f>AVERAGE(BG5:BG11)</f>
        <v>0</v>
      </c>
    </row>
    <row r="16" spans="1:68" hidden="1" outlineLevel="2" x14ac:dyDescent="0.25">
      <c r="A16" s="50" t="s">
        <v>251</v>
      </c>
      <c r="B16" s="50" t="s">
        <v>252</v>
      </c>
      <c r="Z16" s="52">
        <f>SUM(Z5:Z8,Z9:Z9,Z10:Z11)</f>
        <v>19263.222000000002</v>
      </c>
      <c r="AA16" s="52">
        <f>SUM(AA5:AA8,AA9:AA9,AA10:AA11)</f>
        <v>38799.300000000003</v>
      </c>
      <c r="AB16" s="52">
        <f>SUM(AB5:AB8,AB9:AB9,AB10:AB11)</f>
        <v>30.24</v>
      </c>
      <c r="AC16" s="52">
        <f>SUM(AC5:AC8,AC9:AC9,AC10:AC11)</f>
        <v>185.45599999999999</v>
      </c>
      <c r="AW16" s="52">
        <f>SUM(AW5:AW8,AW9:AW9,AW10:AW11)</f>
        <v>18296.100000000002</v>
      </c>
      <c r="AX16" s="52">
        <f>SUM(AX5:AX8,AX9:AX9,AX10:AX11)</f>
        <v>39863.61</v>
      </c>
      <c r="AY16" s="52">
        <f>SUM(AY5:AY8,AY9:AY9,AY10:AY11)</f>
        <v>31.375999999999998</v>
      </c>
      <c r="AZ16" s="52">
        <f>SUM(AZ5:AZ8,AZ9:AZ9,AZ10:AZ11)</f>
        <v>173.44</v>
      </c>
    </row>
    <row r="17" spans="2:52" hidden="1" outlineLevel="2" x14ac:dyDescent="0.25">
      <c r="B17" s="50" t="s">
        <v>253</v>
      </c>
      <c r="AW17" s="55">
        <f>AW16/Z16</f>
        <v>0.94979438019247253</v>
      </c>
      <c r="AX17" s="55">
        <f>AX16/AA16</f>
        <v>1.0274311649952448</v>
      </c>
      <c r="AY17" s="55">
        <f>AY16/AB16</f>
        <v>1.0375661375661376</v>
      </c>
      <c r="AZ17" s="55">
        <f>AZ16/AC16</f>
        <v>0.9352083513070486</v>
      </c>
    </row>
    <row r="18" spans="2:52" hidden="1" outlineLevel="2" x14ac:dyDescent="0.25">
      <c r="B18" s="50" t="s">
        <v>254</v>
      </c>
      <c r="Z18" s="52">
        <f>GEOMEAN(Z5:Z8,Z9:Z9,Z10:Z11)</f>
        <v>2238.3527620297946</v>
      </c>
      <c r="AA18" s="52">
        <f>GEOMEAN(AA5:AA8,AA9:AA9,AA10:AA11)</f>
        <v>5511.8449094380003</v>
      </c>
      <c r="AB18" s="52">
        <f>GEOMEAN(AB5:AB8,AB9:AB9,AB10:AB11)</f>
        <v>4.2579284842111838</v>
      </c>
      <c r="AC18" s="52">
        <f>GEOMEAN(AC5:AC8,AC9:AC9,AC10:AC11)</f>
        <v>26.260850061654043</v>
      </c>
      <c r="AW18" s="52">
        <f>GEOMEAN(AW5:AW8,AW9:AW9,AW10:AW11)</f>
        <v>2165.911046941882</v>
      </c>
      <c r="AX18" s="52">
        <f>GEOMEAN(AX5:AX8,AX9:AX9,AX10:AX11)</f>
        <v>5653.9363204918818</v>
      </c>
      <c r="AY18" s="52">
        <f>GEOMEAN(AY5:AY8,AY9:AY9,AY10:AY11)</f>
        <v>4.4615485392091632</v>
      </c>
      <c r="AZ18" s="52">
        <f>GEOMEAN(AZ5:AZ8,AZ9:AZ9,AZ10:AZ11)</f>
        <v>24.626973572633585</v>
      </c>
    </row>
    <row r="19" spans="2:52" outlineLevel="2" collapsed="1" x14ac:dyDescent="0.25">
      <c r="B19" s="50" t="s">
        <v>255</v>
      </c>
      <c r="AW19" s="55">
        <f>AW18/Z18</f>
        <v>0.96763614908392692</v>
      </c>
      <c r="AX19" s="55">
        <f>AX18/AA18</f>
        <v>1.0257792832324757</v>
      </c>
      <c r="AY19" s="55">
        <f>AY18/AB18</f>
        <v>1.0478213891456896</v>
      </c>
      <c r="AZ19" s="55">
        <f>AZ18/AC18</f>
        <v>0.9377828027202274</v>
      </c>
    </row>
  </sheetData>
  <mergeCells count="36">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5" zoomScaleNormal="85" workbookViewId="0">
      <pane xSplit="2" ySplit="4" topLeftCell="AR5" activePane="bottomRight" state="frozen"/>
      <selection activeCell="BJ29" sqref="BJ29"/>
      <selection pane="topRight" activeCell="BJ29" sqref="BJ29"/>
      <selection pane="bottomLeft" activeCell="BJ29" sqref="BJ29"/>
      <selection pane="bottomRight" activeCell="AM5" sqref="AM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 min="63" max="63" width="10.42578125" style="53" customWidth="1"/>
    <col min="64" max="64" width="10.140625" style="53" customWidth="1"/>
  </cols>
  <sheetData>
    <row r="1" spans="1:68" x14ac:dyDescent="0.25">
      <c r="A1" s="75" t="s">
        <v>590</v>
      </c>
      <c r="B1" s="61"/>
      <c r="C1" s="61"/>
      <c r="D1" s="61"/>
      <c r="E1" s="61"/>
      <c r="F1" s="61"/>
      <c r="H1" s="60" t="str">
        <f>Summary!C1</f>
        <v>R7.0 RC8.0</v>
      </c>
      <c r="I1" s="61"/>
      <c r="J1" s="61"/>
      <c r="K1" s="61"/>
      <c r="L1" s="61"/>
      <c r="M1" s="61"/>
      <c r="N1" s="61"/>
      <c r="O1" s="61"/>
      <c r="P1" s="61"/>
      <c r="Q1" s="61"/>
      <c r="R1" s="61"/>
      <c r="S1" s="61"/>
      <c r="T1" s="61"/>
      <c r="U1" s="61"/>
      <c r="V1" s="61"/>
      <c r="W1" s="61"/>
      <c r="X1" s="61"/>
      <c r="Y1" s="61"/>
      <c r="Z1" s="61"/>
      <c r="AA1" s="61"/>
      <c r="AB1" s="61"/>
      <c r="AC1" s="61"/>
      <c r="AE1" s="62" t="str">
        <f>Summary!C2</f>
        <v>R7.0 RC 9.0</v>
      </c>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
      <c r="A2" s="71" t="s">
        <v>139</v>
      </c>
      <c r="B2" s="72" t="s">
        <v>140</v>
      </c>
      <c r="C2" s="71" t="s">
        <v>142</v>
      </c>
      <c r="D2" s="72" t="s">
        <v>143</v>
      </c>
      <c r="E2" s="71" t="s">
        <v>144</v>
      </c>
      <c r="F2" s="72" t="s">
        <v>145</v>
      </c>
      <c r="H2" s="71" t="s">
        <v>579</v>
      </c>
      <c r="I2" s="72" t="s">
        <v>146</v>
      </c>
      <c r="J2" s="73" t="s">
        <v>147</v>
      </c>
      <c r="K2" s="61"/>
      <c r="L2" s="61"/>
      <c r="M2" s="61"/>
      <c r="N2" s="71" t="s">
        <v>148</v>
      </c>
      <c r="O2" s="72" t="s">
        <v>149</v>
      </c>
      <c r="P2" s="71" t="s">
        <v>86</v>
      </c>
      <c r="Q2" s="74" t="s">
        <v>150</v>
      </c>
      <c r="R2" s="61"/>
      <c r="S2" s="61"/>
      <c r="T2" s="61"/>
      <c r="U2" s="73" t="s">
        <v>151</v>
      </c>
      <c r="V2" s="61"/>
      <c r="W2" s="74" t="s">
        <v>152</v>
      </c>
      <c r="X2" s="61"/>
      <c r="Y2" s="61"/>
      <c r="Z2" s="73" t="s">
        <v>153</v>
      </c>
      <c r="AA2" s="61"/>
      <c r="AB2" s="74" t="s">
        <v>154</v>
      </c>
      <c r="AC2" s="61"/>
      <c r="AE2" s="71" t="s">
        <v>579</v>
      </c>
      <c r="AF2" s="72" t="s">
        <v>146</v>
      </c>
      <c r="AG2" s="73" t="s">
        <v>147</v>
      </c>
      <c r="AH2" s="61"/>
      <c r="AI2" s="61"/>
      <c r="AJ2" s="61"/>
      <c r="AK2" s="71" t="s">
        <v>155</v>
      </c>
      <c r="AL2" s="72" t="s">
        <v>149</v>
      </c>
      <c r="AM2" s="71" t="s">
        <v>86</v>
      </c>
      <c r="AN2" s="74" t="s">
        <v>150</v>
      </c>
      <c r="AO2" s="61"/>
      <c r="AP2" s="61"/>
      <c r="AQ2" s="61"/>
      <c r="AR2" s="73" t="s">
        <v>151</v>
      </c>
      <c r="AS2" s="61"/>
      <c r="AT2" s="74" t="s">
        <v>152</v>
      </c>
      <c r="AU2" s="61"/>
      <c r="AV2" s="61"/>
      <c r="AW2" s="73" t="s">
        <v>153</v>
      </c>
      <c r="AX2" s="61"/>
      <c r="AY2" s="74" t="s">
        <v>154</v>
      </c>
      <c r="AZ2" s="61"/>
      <c r="BB2" s="73" t="s">
        <v>24</v>
      </c>
      <c r="BC2" s="61"/>
      <c r="BD2" s="61"/>
      <c r="BE2" s="61"/>
      <c r="BF2" s="72" t="s">
        <v>158</v>
      </c>
      <c r="BG2" s="71" t="s">
        <v>158</v>
      </c>
      <c r="BI2" s="77" t="s">
        <v>159</v>
      </c>
      <c r="BJ2" s="76" t="s">
        <v>580</v>
      </c>
      <c r="BK2" s="61"/>
      <c r="BL2" s="61"/>
      <c r="BM2" s="61"/>
    </row>
    <row r="3" spans="1:68" ht="30.75" customHeight="1" thickBot="1" x14ac:dyDescent="0.3">
      <c r="A3" s="64"/>
      <c r="B3" s="64"/>
      <c r="C3" s="64"/>
      <c r="D3" s="64"/>
      <c r="E3" s="64"/>
      <c r="F3" s="64"/>
      <c r="H3" s="64"/>
      <c r="I3" s="64"/>
      <c r="J3" s="56" t="s">
        <v>27</v>
      </c>
      <c r="K3" s="56" t="s">
        <v>25</v>
      </c>
      <c r="L3" s="56" t="s">
        <v>165</v>
      </c>
      <c r="M3" s="56" t="s">
        <v>166</v>
      </c>
      <c r="N3" s="64"/>
      <c r="O3" s="64"/>
      <c r="P3" s="64"/>
      <c r="Q3" s="57" t="s">
        <v>27</v>
      </c>
      <c r="R3" s="57" t="s">
        <v>165</v>
      </c>
      <c r="S3" s="57" t="s">
        <v>167</v>
      </c>
      <c r="T3" s="57" t="s">
        <v>26</v>
      </c>
      <c r="U3" s="56" t="s">
        <v>11</v>
      </c>
      <c r="V3" s="56" t="s">
        <v>12</v>
      </c>
      <c r="W3" s="57" t="s">
        <v>13</v>
      </c>
      <c r="X3" s="57" t="s">
        <v>14</v>
      </c>
      <c r="Y3" s="57" t="s">
        <v>15</v>
      </c>
      <c r="Z3" s="56" t="s">
        <v>168</v>
      </c>
      <c r="AA3" s="56" t="s">
        <v>169</v>
      </c>
      <c r="AB3" s="57" t="s">
        <v>168</v>
      </c>
      <c r="AC3" s="57" t="s">
        <v>169</v>
      </c>
      <c r="AE3" s="64"/>
      <c r="AF3" s="64"/>
      <c r="AG3" s="56" t="s">
        <v>27</v>
      </c>
      <c r="AH3" s="56" t="s">
        <v>25</v>
      </c>
      <c r="AI3" s="56" t="s">
        <v>165</v>
      </c>
      <c r="AJ3" s="56" t="s">
        <v>166</v>
      </c>
      <c r="AK3" s="64"/>
      <c r="AL3" s="64"/>
      <c r="AM3" s="64"/>
      <c r="AN3" s="57" t="s">
        <v>27</v>
      </c>
      <c r="AO3" s="57" t="s">
        <v>165</v>
      </c>
      <c r="AP3" s="57" t="s">
        <v>167</v>
      </c>
      <c r="AQ3" s="57" t="s">
        <v>26</v>
      </c>
      <c r="AR3" s="56" t="s">
        <v>11</v>
      </c>
      <c r="AS3" s="56" t="s">
        <v>12</v>
      </c>
      <c r="AT3" s="57" t="s">
        <v>13</v>
      </c>
      <c r="AU3" s="57" t="s">
        <v>14</v>
      </c>
      <c r="AV3" s="57" t="s">
        <v>15</v>
      </c>
      <c r="AW3" s="56" t="s">
        <v>168</v>
      </c>
      <c r="AX3" s="56" t="s">
        <v>169</v>
      </c>
      <c r="AY3" s="57" t="s">
        <v>168</v>
      </c>
      <c r="AZ3" s="57" t="s">
        <v>169</v>
      </c>
      <c r="BB3" s="56" t="s">
        <v>27</v>
      </c>
      <c r="BC3" s="56" t="s">
        <v>25</v>
      </c>
      <c r="BD3" s="56" t="s">
        <v>165</v>
      </c>
      <c r="BE3" s="56" t="s">
        <v>26</v>
      </c>
      <c r="BF3" s="64"/>
      <c r="BG3" s="64"/>
      <c r="BI3" s="64"/>
      <c r="BJ3" s="59" t="s">
        <v>27</v>
      </c>
      <c r="BK3" s="59" t="s">
        <v>165</v>
      </c>
      <c r="BL3" s="59" t="s">
        <v>167</v>
      </c>
      <c r="BM3" s="59" t="s">
        <v>26</v>
      </c>
    </row>
    <row r="4" spans="1:68" ht="122.25" hidden="1" customHeight="1" thickBot="1" x14ac:dyDescent="0.3">
      <c r="A4" s="8" t="s">
        <v>170</v>
      </c>
      <c r="B4" s="9" t="s">
        <v>171</v>
      </c>
      <c r="C4" s="8" t="s">
        <v>173</v>
      </c>
      <c r="D4" s="9" t="s">
        <v>174</v>
      </c>
      <c r="E4" s="8" t="s">
        <v>175</v>
      </c>
      <c r="F4" s="9" t="s">
        <v>176</v>
      </c>
      <c r="H4" s="8" t="s">
        <v>581</v>
      </c>
      <c r="I4" s="9" t="s">
        <v>177</v>
      </c>
      <c r="J4" s="8" t="s">
        <v>178</v>
      </c>
      <c r="K4" s="8" t="s">
        <v>179</v>
      </c>
      <c r="L4" s="8" t="s">
        <v>180</v>
      </c>
      <c r="M4" s="8" t="s">
        <v>181</v>
      </c>
      <c r="N4" s="8" t="s">
        <v>182</v>
      </c>
      <c r="O4" s="9" t="s">
        <v>183</v>
      </c>
      <c r="P4" s="8" t="s">
        <v>184</v>
      </c>
      <c r="Q4" s="9" t="s">
        <v>187</v>
      </c>
      <c r="R4" s="9" t="s">
        <v>188</v>
      </c>
      <c r="S4" s="9" t="s">
        <v>189</v>
      </c>
      <c r="T4" s="9" t="s">
        <v>190</v>
      </c>
      <c r="U4" s="8" t="s">
        <v>191</v>
      </c>
      <c r="V4" s="8" t="s">
        <v>192</v>
      </c>
      <c r="W4" s="9" t="s">
        <v>193</v>
      </c>
      <c r="X4" s="9" t="s">
        <v>194</v>
      </c>
      <c r="Y4" s="9" t="s">
        <v>195</v>
      </c>
      <c r="Z4" s="8" t="s">
        <v>196</v>
      </c>
      <c r="AA4" s="8" t="s">
        <v>197</v>
      </c>
      <c r="AB4" s="9" t="s">
        <v>198</v>
      </c>
      <c r="AC4" s="9" t="s">
        <v>199</v>
      </c>
      <c r="AE4" s="8" t="s">
        <v>582</v>
      </c>
      <c r="AF4" s="9" t="s">
        <v>200</v>
      </c>
      <c r="AG4" s="8" t="s">
        <v>201</v>
      </c>
      <c r="AH4" s="8" t="s">
        <v>202</v>
      </c>
      <c r="AI4" s="8" t="s">
        <v>203</v>
      </c>
      <c r="AJ4" s="8" t="s">
        <v>204</v>
      </c>
      <c r="AK4" s="8" t="s">
        <v>205</v>
      </c>
      <c r="AL4" s="9" t="s">
        <v>206</v>
      </c>
      <c r="AM4" s="8" t="s">
        <v>207</v>
      </c>
      <c r="AN4" s="9" t="s">
        <v>210</v>
      </c>
      <c r="AO4" s="9" t="s">
        <v>211</v>
      </c>
      <c r="AP4" s="9" t="s">
        <v>212</v>
      </c>
      <c r="AQ4" s="9" t="s">
        <v>213</v>
      </c>
      <c r="AR4" s="8" t="s">
        <v>214</v>
      </c>
      <c r="AS4" s="8" t="s">
        <v>215</v>
      </c>
      <c r="AT4" s="9" t="s">
        <v>216</v>
      </c>
      <c r="AU4" s="9" t="s">
        <v>217</v>
      </c>
      <c r="AV4" s="9" t="s">
        <v>218</v>
      </c>
      <c r="AW4" s="8" t="s">
        <v>219</v>
      </c>
      <c r="AX4" s="8" t="s">
        <v>220</v>
      </c>
      <c r="AY4" s="9" t="s">
        <v>221</v>
      </c>
      <c r="AZ4" s="9" t="s">
        <v>222</v>
      </c>
      <c r="BB4" s="8" t="s">
        <v>583</v>
      </c>
      <c r="BC4" s="8" t="s">
        <v>223</v>
      </c>
      <c r="BD4" s="8" t="s">
        <v>584</v>
      </c>
      <c r="BE4" s="8" t="s">
        <v>585</v>
      </c>
      <c r="BF4" s="9" t="s">
        <v>225</v>
      </c>
      <c r="BG4" s="8" t="s">
        <v>226</v>
      </c>
    </row>
    <row r="5" spans="1:68" collapsed="1" x14ac:dyDescent="0.25">
      <c r="A5" s="10" t="s">
        <v>237</v>
      </c>
      <c r="B5" s="10" t="s">
        <v>51</v>
      </c>
      <c r="C5" s="10">
        <v>24964341</v>
      </c>
      <c r="D5" s="11">
        <v>10</v>
      </c>
      <c r="E5" s="11">
        <v>32</v>
      </c>
      <c r="F5" s="11">
        <v>30</v>
      </c>
      <c r="H5" s="19">
        <f t="shared" ref="H5:H11" si="0">IF(ISBLANK(Q5),"·",Q5/(C5*(D5*3+IF(AND(ISNUMBER(T5),T5&gt;0),24,0))))</f>
        <v>0.16318706275809489</v>
      </c>
      <c r="I5" s="12">
        <f t="shared" ref="I5:I11" si="1">IF(OR(ISBLANK(Q5),ISBLANK(F5)),"·",Q5*F5/E5/1000000)</f>
        <v>206.239035</v>
      </c>
      <c r="J5" s="13">
        <f t="shared" ref="J5:J11" si="2">IF(ISBLANK(Q5),"·",Q5/C5)</f>
        <v>8.8121013889371245</v>
      </c>
      <c r="K5" s="13">
        <f t="shared" ref="K5:K11" si="3">IF(N5="","·",N5/C5)</f>
        <v>1.3647853952964351</v>
      </c>
      <c r="L5" s="13">
        <f t="shared" ref="L5:L11" si="4">IF(R5="","·",R5/C5)</f>
        <v>1.27838471682469</v>
      </c>
      <c r="M5" s="13">
        <f t="shared" ref="M5:M11" si="5">IF(ISBLANK(T5),"·",T5/C5)</f>
        <v>7.4473159936406894</v>
      </c>
      <c r="N5" s="10">
        <f t="shared" ref="N5:N11" si="6">IF(OR(ISBLANK(R5),ISBLANK(S5)),"",R5+S5)</f>
        <v>34070968</v>
      </c>
      <c r="O5" s="13">
        <f t="shared" ref="O5:O11" si="7">IF(ISBLANK(Q5),"·",Q5/P5)</f>
        <v>8.8121013889371245</v>
      </c>
      <c r="P5" s="14">
        <v>24964341</v>
      </c>
      <c r="Q5" s="15">
        <v>219988304</v>
      </c>
      <c r="R5" s="15">
        <v>31914032</v>
      </c>
      <c r="S5" s="15">
        <v>2156936</v>
      </c>
      <c r="T5" s="15">
        <v>185917336</v>
      </c>
      <c r="U5" s="16" t="s">
        <v>586</v>
      </c>
      <c r="V5" s="16" t="s">
        <v>586</v>
      </c>
      <c r="W5" s="16" t="s">
        <v>586</v>
      </c>
      <c r="X5" s="16" t="s">
        <v>586</v>
      </c>
      <c r="Y5" s="16" t="s">
        <v>586</v>
      </c>
      <c r="Z5" s="17">
        <v>3252.32</v>
      </c>
      <c r="AA5" s="17">
        <v>6422.17</v>
      </c>
      <c r="AB5" s="17">
        <v>4.3079999999999998</v>
      </c>
      <c r="AC5" s="17">
        <v>28.891999999999999</v>
      </c>
      <c r="AE5" s="19">
        <f t="shared" ref="AE5:AE11" si="8">IF(ISBLANK(Q5),"·",Q5/(C5*(D5*3+IF(AND(ISNUMBER(T5),T5&gt;0),24,0))))</f>
        <v>0.16318706275809489</v>
      </c>
      <c r="AF5" s="12">
        <f t="shared" ref="AF5:AF11" si="9">IF(OR(ISBLANK(AN5),ISBLANK(F5)),"·",AN5*F5/E5/1000000)</f>
        <v>206.239035</v>
      </c>
      <c r="AG5" s="13">
        <f t="shared" ref="AG5:AG11" si="10">IF(ISBLANK(AN5),"·",AN5/C5)</f>
        <v>8.8121013889371245</v>
      </c>
      <c r="AH5" s="13">
        <f t="shared" ref="AH5:AH11" si="11">IF(AK5="","·",AK5/C5)</f>
        <v>1.3647853952964351</v>
      </c>
      <c r="AI5" s="13">
        <f t="shared" ref="AI5:AI11" si="12">IF(AO5="","·",AO5/C5)</f>
        <v>1.27838471682469</v>
      </c>
      <c r="AJ5" s="13">
        <f t="shared" ref="AJ5:AJ11" si="13">IF(ISBLANK(AQ5),"·",AQ5/C5)</f>
        <v>7.4473159936406894</v>
      </c>
      <c r="AK5" s="10">
        <f t="shared" ref="AK5:AK11" si="14">IF(OR(ISBLANK(AO5),ISBLANK(AP5)),"",AO5+AP5)</f>
        <v>34070968</v>
      </c>
      <c r="AL5" s="13">
        <f t="shared" ref="AL5:AL11" si="15">IF(ISBLANK(AN5),"·",AN5/AM5)</f>
        <v>8.8121013889371245</v>
      </c>
      <c r="AM5" s="14">
        <v>24964341</v>
      </c>
      <c r="AN5" s="15">
        <v>219988304</v>
      </c>
      <c r="AO5" s="15">
        <v>31914032</v>
      </c>
      <c r="AP5" s="15">
        <v>2156936</v>
      </c>
      <c r="AQ5" s="15">
        <v>185917336</v>
      </c>
      <c r="AR5" s="16"/>
      <c r="AS5" s="16"/>
      <c r="AT5" s="16"/>
      <c r="AU5" s="16"/>
      <c r="AV5" s="16"/>
      <c r="AW5" s="17">
        <v>3535.31</v>
      </c>
      <c r="AX5" s="17">
        <v>7045.14</v>
      </c>
      <c r="AY5" s="17">
        <v>4.1520000000000001</v>
      </c>
      <c r="AZ5" s="17">
        <v>19.972000000000001</v>
      </c>
      <c r="BB5" s="18">
        <f t="shared" ref="BB5:BB15" si="16">AG5/J5</f>
        <v>1</v>
      </c>
      <c r="BC5" s="18">
        <f t="shared" ref="BC5:BC15" si="17">AH5/K5</f>
        <v>1</v>
      </c>
      <c r="BD5" s="18">
        <f t="shared" ref="BD5:BD15" si="18">AI5/L5</f>
        <v>1</v>
      </c>
      <c r="BE5" s="18">
        <f t="shared" ref="BE5:BE15" si="19">AJ5/M5</f>
        <v>1</v>
      </c>
      <c r="BF5" s="19">
        <f t="shared" ref="BF5:BF11" si="20">(AK5/AN5) - (N5/Q5)</f>
        <v>0</v>
      </c>
      <c r="BG5" s="19">
        <f t="array" ref="BG5">AVERAGE(AK5:AK5/AN5:AN5) - AVERAGE(N5:N5/Q5:Q5)</f>
        <v>0</v>
      </c>
      <c r="BI5">
        <f t="shared" ref="BI5:BM11" si="21">AM5-P5</f>
        <v>0</v>
      </c>
      <c r="BJ5">
        <f t="shared" si="21"/>
        <v>0</v>
      </c>
      <c r="BK5">
        <f t="shared" si="21"/>
        <v>0</v>
      </c>
      <c r="BL5">
        <f t="shared" si="21"/>
        <v>0</v>
      </c>
      <c r="BM5">
        <f t="shared" si="21"/>
        <v>0</v>
      </c>
      <c r="BP5" t="s">
        <v>239</v>
      </c>
    </row>
    <row r="6" spans="1:68" collapsed="1" x14ac:dyDescent="0.25">
      <c r="A6" s="20"/>
      <c r="B6" s="20" t="s">
        <v>59</v>
      </c>
      <c r="C6" s="20">
        <v>22654789</v>
      </c>
      <c r="D6" s="21">
        <v>10</v>
      </c>
      <c r="E6" s="21">
        <v>32</v>
      </c>
      <c r="F6" s="21">
        <v>30</v>
      </c>
      <c r="H6" s="29">
        <f t="shared" si="0"/>
        <v>0.23519909745908144</v>
      </c>
      <c r="I6" s="22">
        <f t="shared" si="1"/>
        <v>269.74953749999997</v>
      </c>
      <c r="J6" s="23">
        <f t="shared" si="2"/>
        <v>12.700751262790398</v>
      </c>
      <c r="K6" s="23">
        <f t="shared" si="3"/>
        <v>1.701679940607701</v>
      </c>
      <c r="L6" s="23">
        <f t="shared" si="4"/>
        <v>1.5483362921632156</v>
      </c>
      <c r="M6" s="23">
        <f t="shared" si="5"/>
        <v>10.999071322182695</v>
      </c>
      <c r="N6" s="20">
        <f t="shared" si="6"/>
        <v>38551200</v>
      </c>
      <c r="O6" s="23">
        <f t="shared" si="7"/>
        <v>12.700751262790398</v>
      </c>
      <c r="P6" s="24">
        <v>22654789</v>
      </c>
      <c r="Q6" s="25">
        <v>287732840</v>
      </c>
      <c r="R6" s="25">
        <v>35077232</v>
      </c>
      <c r="S6" s="25">
        <v>3473968</v>
      </c>
      <c r="T6" s="25">
        <v>249181640</v>
      </c>
      <c r="U6" s="26" t="s">
        <v>586</v>
      </c>
      <c r="V6" s="26" t="s">
        <v>586</v>
      </c>
      <c r="W6" s="26" t="s">
        <v>586</v>
      </c>
      <c r="X6" s="26" t="s">
        <v>586</v>
      </c>
      <c r="Y6" s="26" t="s">
        <v>586</v>
      </c>
      <c r="Z6" s="27">
        <v>2929.92</v>
      </c>
      <c r="AA6" s="27">
        <v>9246.2999999999993</v>
      </c>
      <c r="AB6" s="27">
        <v>3.968</v>
      </c>
      <c r="AC6" s="27">
        <v>24.175999999999998</v>
      </c>
      <c r="AE6" s="29">
        <f t="shared" si="8"/>
        <v>0.23519909745908144</v>
      </c>
      <c r="AF6" s="22">
        <f t="shared" si="9"/>
        <v>269.74953749999997</v>
      </c>
      <c r="AG6" s="23">
        <f t="shared" si="10"/>
        <v>12.700751262790398</v>
      </c>
      <c r="AH6" s="23">
        <f t="shared" si="11"/>
        <v>1.701679940607701</v>
      </c>
      <c r="AI6" s="23">
        <f t="shared" si="12"/>
        <v>1.5483362921632156</v>
      </c>
      <c r="AJ6" s="23">
        <f t="shared" si="13"/>
        <v>10.999071322182695</v>
      </c>
      <c r="AK6" s="20">
        <f t="shared" si="14"/>
        <v>38551200</v>
      </c>
      <c r="AL6" s="23">
        <f t="shared" si="15"/>
        <v>12.700751262790398</v>
      </c>
      <c r="AM6" s="24">
        <v>22654789</v>
      </c>
      <c r="AN6" s="25">
        <v>287732840</v>
      </c>
      <c r="AO6" s="25">
        <v>35077232</v>
      </c>
      <c r="AP6" s="25">
        <v>3473968</v>
      </c>
      <c r="AQ6" s="25">
        <v>249181640</v>
      </c>
      <c r="AR6" s="26"/>
      <c r="AS6" s="26"/>
      <c r="AT6" s="26"/>
      <c r="AU6" s="26"/>
      <c r="AV6" s="26"/>
      <c r="AW6" s="27">
        <v>2958.87</v>
      </c>
      <c r="AX6" s="27">
        <v>8037.64</v>
      </c>
      <c r="AY6" s="27">
        <v>3.68</v>
      </c>
      <c r="AZ6" s="27">
        <v>24.655999999999999</v>
      </c>
      <c r="BB6" s="28">
        <f t="shared" si="16"/>
        <v>1</v>
      </c>
      <c r="BC6" s="28">
        <f t="shared" si="17"/>
        <v>1</v>
      </c>
      <c r="BD6" s="28">
        <f t="shared" si="18"/>
        <v>1</v>
      </c>
      <c r="BE6" s="28">
        <f t="shared" si="19"/>
        <v>1</v>
      </c>
      <c r="BF6" s="29">
        <f t="shared" si="20"/>
        <v>0</v>
      </c>
      <c r="BG6" s="29">
        <f t="array" ref="BG6">AVERAGE(AK6:AK6/AN6:AN6) - AVERAGE(N6:N6/Q6:Q6)</f>
        <v>0</v>
      </c>
      <c r="BI6">
        <f t="shared" si="21"/>
        <v>0</v>
      </c>
      <c r="BJ6">
        <f t="shared" si="21"/>
        <v>0</v>
      </c>
      <c r="BK6">
        <f t="shared" si="21"/>
        <v>0</v>
      </c>
      <c r="BL6">
        <f t="shared" si="21"/>
        <v>0</v>
      </c>
      <c r="BM6">
        <f t="shared" si="21"/>
        <v>0</v>
      </c>
      <c r="BP6" t="s">
        <v>239</v>
      </c>
    </row>
    <row r="7" spans="1:68" collapsed="1" x14ac:dyDescent="0.25">
      <c r="A7" s="10"/>
      <c r="B7" s="10" t="s">
        <v>64</v>
      </c>
      <c r="C7" s="10">
        <v>33947718</v>
      </c>
      <c r="D7" s="11">
        <v>10</v>
      </c>
      <c r="E7" s="11">
        <v>32</v>
      </c>
      <c r="F7" s="11">
        <v>30</v>
      </c>
      <c r="H7" s="19">
        <f t="shared" si="0"/>
        <v>0.17896661850131712</v>
      </c>
      <c r="I7" s="12">
        <f t="shared" si="1"/>
        <v>307.5726075</v>
      </c>
      <c r="J7" s="13">
        <f t="shared" si="2"/>
        <v>9.6641973990711243</v>
      </c>
      <c r="K7" s="13">
        <f t="shared" si="3"/>
        <v>1.5023308488658944</v>
      </c>
      <c r="L7" s="13">
        <f t="shared" si="4"/>
        <v>1.3829979381824722</v>
      </c>
      <c r="M7" s="13">
        <f t="shared" si="5"/>
        <v>8.1618665502052306</v>
      </c>
      <c r="N7" s="10">
        <f t="shared" si="6"/>
        <v>51000704</v>
      </c>
      <c r="O7" s="13">
        <f t="shared" si="7"/>
        <v>9.6641973990711243</v>
      </c>
      <c r="P7" s="14">
        <v>33947718</v>
      </c>
      <c r="Q7" s="15">
        <v>328077448</v>
      </c>
      <c r="R7" s="15">
        <v>46949624</v>
      </c>
      <c r="S7" s="15">
        <v>4051080</v>
      </c>
      <c r="T7" s="15">
        <v>277076744</v>
      </c>
      <c r="U7" s="16" t="s">
        <v>586</v>
      </c>
      <c r="V7" s="16" t="s">
        <v>586</v>
      </c>
      <c r="W7" s="16" t="s">
        <v>586</v>
      </c>
      <c r="X7" s="16" t="s">
        <v>586</v>
      </c>
      <c r="Y7" s="16" t="s">
        <v>586</v>
      </c>
      <c r="Z7" s="17">
        <v>4240.33</v>
      </c>
      <c r="AA7" s="17">
        <v>9452.86</v>
      </c>
      <c r="AB7" s="17">
        <v>5.0839999999999996</v>
      </c>
      <c r="AC7" s="17">
        <v>27.347999999999999</v>
      </c>
      <c r="AE7" s="19">
        <f t="shared" si="8"/>
        <v>0.17896661850131712</v>
      </c>
      <c r="AF7" s="12">
        <f t="shared" si="9"/>
        <v>307.5726075</v>
      </c>
      <c r="AG7" s="13">
        <f t="shared" si="10"/>
        <v>9.6641973990711243</v>
      </c>
      <c r="AH7" s="13">
        <f t="shared" si="11"/>
        <v>1.5023308488658944</v>
      </c>
      <c r="AI7" s="13">
        <f t="shared" si="12"/>
        <v>1.3829979381824722</v>
      </c>
      <c r="AJ7" s="13">
        <f t="shared" si="13"/>
        <v>8.1618665502052306</v>
      </c>
      <c r="AK7" s="10">
        <f t="shared" si="14"/>
        <v>51000704</v>
      </c>
      <c r="AL7" s="13">
        <f t="shared" si="15"/>
        <v>9.6641973990711243</v>
      </c>
      <c r="AM7" s="14">
        <v>33947718</v>
      </c>
      <c r="AN7" s="15">
        <v>328077448</v>
      </c>
      <c r="AO7" s="15">
        <v>46949624</v>
      </c>
      <c r="AP7" s="15">
        <v>4051080</v>
      </c>
      <c r="AQ7" s="15">
        <v>277076744</v>
      </c>
      <c r="AR7" s="16"/>
      <c r="AS7" s="16"/>
      <c r="AT7" s="16"/>
      <c r="AU7" s="16"/>
      <c r="AV7" s="16"/>
      <c r="AW7" s="17">
        <v>4252.88</v>
      </c>
      <c r="AX7" s="17">
        <v>8360.2800000000007</v>
      </c>
      <c r="AY7" s="17">
        <v>5.6</v>
      </c>
      <c r="AZ7" s="17">
        <v>24.564</v>
      </c>
      <c r="BB7" s="18">
        <f t="shared" si="16"/>
        <v>1</v>
      </c>
      <c r="BC7" s="18">
        <f t="shared" si="17"/>
        <v>1</v>
      </c>
      <c r="BD7" s="18">
        <f t="shared" si="18"/>
        <v>1</v>
      </c>
      <c r="BE7" s="18">
        <f t="shared" si="19"/>
        <v>1</v>
      </c>
      <c r="BF7" s="19">
        <f t="shared" si="20"/>
        <v>0</v>
      </c>
      <c r="BG7" s="19">
        <f t="array" ref="BG7">AVERAGE(AK7:AK7/AN7:AN7) - AVERAGE(N7:N7/Q7:Q7)</f>
        <v>0</v>
      </c>
      <c r="BI7">
        <f t="shared" si="21"/>
        <v>0</v>
      </c>
      <c r="BJ7">
        <f t="shared" si="21"/>
        <v>0</v>
      </c>
      <c r="BK7">
        <f t="shared" si="21"/>
        <v>0</v>
      </c>
      <c r="BL7">
        <f t="shared" si="21"/>
        <v>0</v>
      </c>
      <c r="BM7">
        <f t="shared" si="21"/>
        <v>0</v>
      </c>
      <c r="BP7" t="s">
        <v>591</v>
      </c>
    </row>
    <row r="8" spans="1:68" ht="15.75" customHeight="1" collapsed="1" thickBot="1" x14ac:dyDescent="0.3">
      <c r="A8" s="40"/>
      <c r="B8" s="40" t="s">
        <v>70</v>
      </c>
      <c r="C8" s="40">
        <v>32209643</v>
      </c>
      <c r="D8" s="41">
        <v>10</v>
      </c>
      <c r="E8" s="41">
        <v>32</v>
      </c>
      <c r="F8" s="41">
        <v>50</v>
      </c>
      <c r="H8" s="49">
        <f t="shared" si="0"/>
        <v>0.13451106805131249</v>
      </c>
      <c r="I8" s="42">
        <f t="shared" si="1"/>
        <v>365.55919999999998</v>
      </c>
      <c r="J8" s="43">
        <f t="shared" si="2"/>
        <v>7.2635976747708755</v>
      </c>
      <c r="K8" s="43">
        <f t="shared" si="3"/>
        <v>0.91875641092948468</v>
      </c>
      <c r="L8" s="43">
        <f t="shared" si="4"/>
        <v>0.80980369760695581</v>
      </c>
      <c r="M8" s="43">
        <f t="shared" si="5"/>
        <v>6.3448412638413902</v>
      </c>
      <c r="N8" s="40">
        <f t="shared" si="6"/>
        <v>29592816</v>
      </c>
      <c r="O8" s="43">
        <f t="shared" si="7"/>
        <v>7.2635976747708755</v>
      </c>
      <c r="P8" s="44">
        <v>32209643</v>
      </c>
      <c r="Q8" s="45">
        <v>233957888</v>
      </c>
      <c r="R8" s="45">
        <v>26083488</v>
      </c>
      <c r="S8" s="45">
        <v>3509328</v>
      </c>
      <c r="T8" s="45">
        <v>204365072</v>
      </c>
      <c r="U8" s="46" t="s">
        <v>586</v>
      </c>
      <c r="V8" s="46" t="s">
        <v>586</v>
      </c>
      <c r="W8" s="46" t="s">
        <v>586</v>
      </c>
      <c r="X8" s="46" t="s">
        <v>586</v>
      </c>
      <c r="Y8" s="46" t="s">
        <v>586</v>
      </c>
      <c r="Z8" s="47">
        <v>3603.04</v>
      </c>
      <c r="AA8" s="47">
        <v>7394.84</v>
      </c>
      <c r="AB8" s="47">
        <v>5.2079999999999993</v>
      </c>
      <c r="AC8" s="47">
        <v>30.596</v>
      </c>
      <c r="AE8" s="49">
        <f t="shared" si="8"/>
        <v>0.13451106805131249</v>
      </c>
      <c r="AF8" s="42">
        <f t="shared" si="9"/>
        <v>365.55919999999998</v>
      </c>
      <c r="AG8" s="43">
        <f t="shared" si="10"/>
        <v>7.2635976747708755</v>
      </c>
      <c r="AH8" s="43">
        <f t="shared" si="11"/>
        <v>0.91875641092948468</v>
      </c>
      <c r="AI8" s="43">
        <f t="shared" si="12"/>
        <v>0.80980369760695581</v>
      </c>
      <c r="AJ8" s="43">
        <f t="shared" si="13"/>
        <v>6.3448412638413902</v>
      </c>
      <c r="AK8" s="40">
        <f t="shared" si="14"/>
        <v>29592816</v>
      </c>
      <c r="AL8" s="43">
        <f t="shared" si="15"/>
        <v>7.2635976747708755</v>
      </c>
      <c r="AM8" s="44">
        <v>32209643</v>
      </c>
      <c r="AN8" s="45">
        <v>233957888</v>
      </c>
      <c r="AO8" s="45">
        <v>26083488</v>
      </c>
      <c r="AP8" s="45">
        <v>3509328</v>
      </c>
      <c r="AQ8" s="45">
        <v>204365072</v>
      </c>
      <c r="AR8" s="46"/>
      <c r="AS8" s="46"/>
      <c r="AT8" s="46"/>
      <c r="AU8" s="46"/>
      <c r="AV8" s="46"/>
      <c r="AW8" s="47">
        <v>3845.85</v>
      </c>
      <c r="AX8" s="47">
        <v>7327.32</v>
      </c>
      <c r="AY8" s="47">
        <v>4.9000000000000004</v>
      </c>
      <c r="AZ8" s="47">
        <v>20.98</v>
      </c>
      <c r="BB8" s="48">
        <f t="shared" si="16"/>
        <v>1</v>
      </c>
      <c r="BC8" s="48">
        <f t="shared" si="17"/>
        <v>1</v>
      </c>
      <c r="BD8" s="48">
        <f t="shared" si="18"/>
        <v>1</v>
      </c>
      <c r="BE8" s="48">
        <f t="shared" si="19"/>
        <v>1</v>
      </c>
      <c r="BF8" s="49">
        <f t="shared" si="20"/>
        <v>0</v>
      </c>
      <c r="BG8" s="49">
        <f t="array" ref="BG8">AVERAGE(AK8:AK8/AN8:AN8) - AVERAGE(N8:N8/Q8:Q8)</f>
        <v>0</v>
      </c>
      <c r="BI8">
        <f t="shared" si="21"/>
        <v>0</v>
      </c>
      <c r="BJ8">
        <f t="shared" si="21"/>
        <v>0</v>
      </c>
      <c r="BK8">
        <f t="shared" si="21"/>
        <v>0</v>
      </c>
      <c r="BL8">
        <f t="shared" si="21"/>
        <v>0</v>
      </c>
      <c r="BM8">
        <f t="shared" si="21"/>
        <v>0</v>
      </c>
      <c r="BP8" t="s">
        <v>587</v>
      </c>
    </row>
    <row r="9" spans="1:68" ht="15.75" customHeight="1" collapsed="1" thickBot="1" x14ac:dyDescent="0.3">
      <c r="A9" s="30" t="s">
        <v>246</v>
      </c>
      <c r="B9" s="30" t="s">
        <v>73</v>
      </c>
      <c r="C9" s="30">
        <v>25312408</v>
      </c>
      <c r="D9" s="31">
        <v>10</v>
      </c>
      <c r="E9" s="31">
        <v>32</v>
      </c>
      <c r="F9" s="31">
        <v>30</v>
      </c>
      <c r="H9" s="39">
        <f t="shared" si="0"/>
        <v>0.2748532041852535</v>
      </c>
      <c r="I9" s="32">
        <f t="shared" si="1"/>
        <v>352.20807000000002</v>
      </c>
      <c r="J9" s="33">
        <f t="shared" si="2"/>
        <v>14.842073026003689</v>
      </c>
      <c r="K9" s="33">
        <f t="shared" si="3"/>
        <v>1.5085578582646109</v>
      </c>
      <c r="L9" s="33">
        <f t="shared" si="4"/>
        <v>1.408000060681702</v>
      </c>
      <c r="M9" s="33">
        <f t="shared" si="5"/>
        <v>13.333515167739078</v>
      </c>
      <c r="N9" s="30">
        <f t="shared" si="6"/>
        <v>38185232</v>
      </c>
      <c r="O9" s="33">
        <f t="shared" si="7"/>
        <v>14.842073026003689</v>
      </c>
      <c r="P9" s="34">
        <v>25312408</v>
      </c>
      <c r="Q9" s="35">
        <v>375688608</v>
      </c>
      <c r="R9" s="35">
        <v>35639872</v>
      </c>
      <c r="S9" s="35">
        <v>2545360</v>
      </c>
      <c r="T9" s="35">
        <v>337503376</v>
      </c>
      <c r="U9" s="36" t="s">
        <v>586</v>
      </c>
      <c r="V9" s="36" t="s">
        <v>586</v>
      </c>
      <c r="W9" s="36" t="s">
        <v>586</v>
      </c>
      <c r="X9" s="36" t="s">
        <v>586</v>
      </c>
      <c r="Y9" s="36" t="s">
        <v>586</v>
      </c>
      <c r="Z9" s="37">
        <v>1346.64</v>
      </c>
      <c r="AA9" s="37">
        <v>10512.1</v>
      </c>
      <c r="AB9" s="37">
        <v>4.1360000000000001</v>
      </c>
      <c r="AC9" s="37">
        <v>27.827999999999999</v>
      </c>
      <c r="AE9" s="39">
        <f t="shared" si="8"/>
        <v>0.2748532041852535</v>
      </c>
      <c r="AF9" s="32">
        <f t="shared" si="9"/>
        <v>352.20807000000002</v>
      </c>
      <c r="AG9" s="33">
        <f t="shared" si="10"/>
        <v>14.842073026003689</v>
      </c>
      <c r="AH9" s="33">
        <f t="shared" si="11"/>
        <v>1.5085578582646109</v>
      </c>
      <c r="AI9" s="33">
        <f t="shared" si="12"/>
        <v>1.408000060681702</v>
      </c>
      <c r="AJ9" s="33">
        <f t="shared" si="13"/>
        <v>13.333515167739078</v>
      </c>
      <c r="AK9" s="30">
        <f t="shared" si="14"/>
        <v>38185232</v>
      </c>
      <c r="AL9" s="33">
        <f t="shared" si="15"/>
        <v>14.842073026003689</v>
      </c>
      <c r="AM9" s="34">
        <v>25312408</v>
      </c>
      <c r="AN9" s="35">
        <v>375688608</v>
      </c>
      <c r="AO9" s="35">
        <v>35639872</v>
      </c>
      <c r="AP9" s="35">
        <v>2545360</v>
      </c>
      <c r="AQ9" s="35">
        <v>337503376</v>
      </c>
      <c r="AR9" s="36"/>
      <c r="AS9" s="36"/>
      <c r="AT9" s="36"/>
      <c r="AU9" s="36"/>
      <c r="AV9" s="36"/>
      <c r="AW9" s="37">
        <v>1369.32</v>
      </c>
      <c r="AX9" s="37">
        <v>10279.299999999999</v>
      </c>
      <c r="AY9" s="37">
        <v>4.6120000000000001</v>
      </c>
      <c r="AZ9" s="37">
        <v>30.832000000000001</v>
      </c>
      <c r="BB9" s="38">
        <f t="shared" si="16"/>
        <v>1</v>
      </c>
      <c r="BC9" s="38">
        <f t="shared" si="17"/>
        <v>1</v>
      </c>
      <c r="BD9" s="38">
        <f t="shared" si="18"/>
        <v>1</v>
      </c>
      <c r="BE9" s="38">
        <f t="shared" si="19"/>
        <v>1</v>
      </c>
      <c r="BF9" s="39">
        <f t="shared" si="20"/>
        <v>0</v>
      </c>
      <c r="BG9" s="39">
        <f t="array" ref="BG9">AVERAGE(AK9:AK9/AN9:AN9) - AVERAGE(N9:N9/Q9:Q9)</f>
        <v>0</v>
      </c>
      <c r="BI9">
        <f t="shared" si="21"/>
        <v>0</v>
      </c>
      <c r="BJ9">
        <f t="shared" si="21"/>
        <v>0</v>
      </c>
      <c r="BK9">
        <f t="shared" si="21"/>
        <v>0</v>
      </c>
      <c r="BL9">
        <f t="shared" si="21"/>
        <v>0</v>
      </c>
      <c r="BM9">
        <f t="shared" si="21"/>
        <v>0</v>
      </c>
      <c r="BP9" t="s">
        <v>592</v>
      </c>
    </row>
    <row r="10" spans="1:68" collapsed="1" x14ac:dyDescent="0.25">
      <c r="A10" s="20" t="s">
        <v>248</v>
      </c>
      <c r="B10" s="20" t="s">
        <v>77</v>
      </c>
      <c r="C10" s="20">
        <v>92854683</v>
      </c>
      <c r="D10" s="21">
        <v>11</v>
      </c>
      <c r="E10" s="21">
        <v>10</v>
      </c>
      <c r="F10" s="21">
        <v>30</v>
      </c>
      <c r="H10" s="29">
        <f t="shared" si="0"/>
        <v>5.305165336831047E-2</v>
      </c>
      <c r="I10" s="22">
        <f t="shared" si="1"/>
        <v>842.36215200000004</v>
      </c>
      <c r="J10" s="23">
        <f t="shared" si="2"/>
        <v>3.0239442419936968</v>
      </c>
      <c r="K10" s="23">
        <f t="shared" si="3"/>
        <v>0.34051796827522418</v>
      </c>
      <c r="L10" s="23">
        <f t="shared" si="4"/>
        <v>0.32481825391617569</v>
      </c>
      <c r="M10" s="23">
        <f t="shared" si="5"/>
        <v>2.6834262737184726</v>
      </c>
      <c r="N10" s="20">
        <f t="shared" si="6"/>
        <v>31618688</v>
      </c>
      <c r="O10" s="23">
        <f t="shared" si="7"/>
        <v>9.7485718551154097</v>
      </c>
      <c r="P10" s="24">
        <v>28802925</v>
      </c>
      <c r="Q10" s="25">
        <v>280787384</v>
      </c>
      <c r="R10" s="25">
        <v>30160896</v>
      </c>
      <c r="S10" s="25">
        <v>1457792</v>
      </c>
      <c r="T10" s="25">
        <v>249168696</v>
      </c>
      <c r="U10" s="26" t="s">
        <v>586</v>
      </c>
      <c r="V10" s="26" t="s">
        <v>586</v>
      </c>
      <c r="W10" s="26" t="s">
        <v>586</v>
      </c>
      <c r="X10" s="26" t="s">
        <v>586</v>
      </c>
      <c r="Y10" s="26" t="s">
        <v>586</v>
      </c>
      <c r="Z10" s="27">
        <v>980.96399999999994</v>
      </c>
      <c r="AA10" s="27">
        <v>8375.67</v>
      </c>
      <c r="AB10" s="27">
        <v>4.1040000000000001</v>
      </c>
      <c r="AC10" s="27">
        <v>25.852</v>
      </c>
      <c r="AE10" s="29">
        <f t="shared" si="8"/>
        <v>5.305165336831047E-2</v>
      </c>
      <c r="AF10" s="22">
        <f t="shared" si="9"/>
        <v>842.36215200000004</v>
      </c>
      <c r="AG10" s="23">
        <f t="shared" si="10"/>
        <v>3.0239442419936968</v>
      </c>
      <c r="AH10" s="23">
        <f t="shared" si="11"/>
        <v>0.34051796827522418</v>
      </c>
      <c r="AI10" s="23">
        <f t="shared" si="12"/>
        <v>0.32481825391617569</v>
      </c>
      <c r="AJ10" s="23">
        <f t="shared" si="13"/>
        <v>2.6834262737184726</v>
      </c>
      <c r="AK10" s="20">
        <f t="shared" si="14"/>
        <v>31618688</v>
      </c>
      <c r="AL10" s="23">
        <f t="shared" si="15"/>
        <v>9.7485718551154097</v>
      </c>
      <c r="AM10" s="24">
        <v>28802925</v>
      </c>
      <c r="AN10" s="25">
        <v>280787384</v>
      </c>
      <c r="AO10" s="25">
        <v>30160896</v>
      </c>
      <c r="AP10" s="25">
        <v>1457792</v>
      </c>
      <c r="AQ10" s="25">
        <v>249168696</v>
      </c>
      <c r="AR10" s="26"/>
      <c r="AS10" s="26"/>
      <c r="AT10" s="26"/>
      <c r="AU10" s="26"/>
      <c r="AV10" s="26"/>
      <c r="AW10" s="27">
        <v>898.14399999999989</v>
      </c>
      <c r="AX10" s="27">
        <v>8051.94</v>
      </c>
      <c r="AY10" s="27">
        <v>4.3479999999999999</v>
      </c>
      <c r="AZ10" s="27">
        <v>24.384</v>
      </c>
      <c r="BB10" s="28">
        <f t="shared" si="16"/>
        <v>1</v>
      </c>
      <c r="BC10" s="28">
        <f t="shared" si="17"/>
        <v>1</v>
      </c>
      <c r="BD10" s="28">
        <f t="shared" si="18"/>
        <v>1</v>
      </c>
      <c r="BE10" s="28">
        <f t="shared" si="19"/>
        <v>1</v>
      </c>
      <c r="BF10" s="29">
        <f t="shared" si="20"/>
        <v>0</v>
      </c>
      <c r="BG10" s="29">
        <f t="array" ref="BG10">AVERAGE(AK10:AK10/AN10:AN10) - AVERAGE(N10:N10/Q10:Q10)</f>
        <v>0</v>
      </c>
      <c r="BI10">
        <f t="shared" si="21"/>
        <v>0</v>
      </c>
      <c r="BJ10">
        <f t="shared" si="21"/>
        <v>0</v>
      </c>
      <c r="BK10">
        <f t="shared" si="21"/>
        <v>0</v>
      </c>
      <c r="BL10">
        <f t="shared" si="21"/>
        <v>0</v>
      </c>
      <c r="BM10">
        <f t="shared" si="21"/>
        <v>0</v>
      </c>
      <c r="BP10" t="s">
        <v>588</v>
      </c>
    </row>
    <row r="11" spans="1:68" ht="15.75" customHeight="1" collapsed="1" thickBot="1" x14ac:dyDescent="0.3">
      <c r="A11" s="30"/>
      <c r="B11" s="30" t="s">
        <v>82</v>
      </c>
      <c r="C11" s="30">
        <v>83104648</v>
      </c>
      <c r="D11" s="31">
        <v>11</v>
      </c>
      <c r="E11" s="31">
        <v>10</v>
      </c>
      <c r="F11" s="31">
        <v>30</v>
      </c>
      <c r="H11" s="39">
        <f t="shared" si="0"/>
        <v>5.4334875490410425E-2</v>
      </c>
      <c r="I11" s="32">
        <f t="shared" si="1"/>
        <v>772.1472</v>
      </c>
      <c r="J11" s="33">
        <f t="shared" si="2"/>
        <v>3.0970879029533944</v>
      </c>
      <c r="K11" s="33">
        <f t="shared" si="3"/>
        <v>0.37133836364964812</v>
      </c>
      <c r="L11" s="33">
        <f t="shared" si="4"/>
        <v>0.35163780490352359</v>
      </c>
      <c r="M11" s="33">
        <f t="shared" si="5"/>
        <v>2.7257495393037461</v>
      </c>
      <c r="N11" s="30">
        <f t="shared" si="6"/>
        <v>30859944</v>
      </c>
      <c r="O11" s="33">
        <f t="shared" si="7"/>
        <v>9.9888260316516089</v>
      </c>
      <c r="P11" s="34">
        <v>25767032</v>
      </c>
      <c r="Q11" s="35">
        <v>257382400</v>
      </c>
      <c r="R11" s="35">
        <v>29222736</v>
      </c>
      <c r="S11" s="35">
        <v>1637208</v>
      </c>
      <c r="T11" s="35">
        <v>226522456</v>
      </c>
      <c r="U11" s="36" t="s">
        <v>586</v>
      </c>
      <c r="V11" s="36" t="s">
        <v>586</v>
      </c>
      <c r="W11" s="36" t="s">
        <v>586</v>
      </c>
      <c r="X11" s="36" t="s">
        <v>586</v>
      </c>
      <c r="Y11" s="36" t="s">
        <v>586</v>
      </c>
      <c r="Z11" s="37">
        <v>867.94</v>
      </c>
      <c r="AA11" s="37">
        <v>12200.3</v>
      </c>
      <c r="AB11" s="37">
        <v>4.0960000000000001</v>
      </c>
      <c r="AC11" s="37">
        <v>30.463999999999999</v>
      </c>
      <c r="AE11" s="39">
        <f t="shared" si="8"/>
        <v>5.4334875490410425E-2</v>
      </c>
      <c r="AF11" s="32">
        <f t="shared" si="9"/>
        <v>772.1472</v>
      </c>
      <c r="AG11" s="33">
        <f t="shared" si="10"/>
        <v>3.0970879029533944</v>
      </c>
      <c r="AH11" s="33">
        <f t="shared" si="11"/>
        <v>0.37133836364964812</v>
      </c>
      <c r="AI11" s="33">
        <f t="shared" si="12"/>
        <v>0.35163780490352359</v>
      </c>
      <c r="AJ11" s="33">
        <f t="shared" si="13"/>
        <v>2.7257495393037461</v>
      </c>
      <c r="AK11" s="30">
        <f t="shared" si="14"/>
        <v>30859944</v>
      </c>
      <c r="AL11" s="33">
        <f t="shared" si="15"/>
        <v>9.9888260316516089</v>
      </c>
      <c r="AM11" s="34">
        <v>25767032</v>
      </c>
      <c r="AN11" s="35">
        <v>257382400</v>
      </c>
      <c r="AO11" s="35">
        <v>29222736</v>
      </c>
      <c r="AP11" s="35">
        <v>1637208</v>
      </c>
      <c r="AQ11" s="35">
        <v>226522456</v>
      </c>
      <c r="AR11" s="36"/>
      <c r="AS11" s="36"/>
      <c r="AT11" s="36"/>
      <c r="AU11" s="36"/>
      <c r="AV11" s="36"/>
      <c r="AW11" s="37">
        <v>899.53600000000006</v>
      </c>
      <c r="AX11" s="37">
        <v>12751.8</v>
      </c>
      <c r="AY11" s="37">
        <v>4.9080000000000004</v>
      </c>
      <c r="AZ11" s="37">
        <v>30.963999999999999</v>
      </c>
      <c r="BB11" s="38">
        <f t="shared" si="16"/>
        <v>1</v>
      </c>
      <c r="BC11" s="38">
        <f t="shared" si="17"/>
        <v>1</v>
      </c>
      <c r="BD11" s="38">
        <f t="shared" si="18"/>
        <v>1</v>
      </c>
      <c r="BE11" s="38">
        <f t="shared" si="19"/>
        <v>1</v>
      </c>
      <c r="BF11" s="39">
        <f t="shared" si="20"/>
        <v>0</v>
      </c>
      <c r="BG11" s="39">
        <f t="array" ref="BG11">AVERAGE(AK11:AK11/AN11:AN11) - AVERAGE(N11:N11/Q11:Q11)</f>
        <v>0</v>
      </c>
      <c r="BI11">
        <f t="shared" si="21"/>
        <v>0</v>
      </c>
      <c r="BJ11">
        <f t="shared" si="21"/>
        <v>0</v>
      </c>
      <c r="BK11">
        <f t="shared" si="21"/>
        <v>0</v>
      </c>
      <c r="BL11">
        <f t="shared" si="21"/>
        <v>0</v>
      </c>
      <c r="BM11">
        <f t="shared" si="21"/>
        <v>0</v>
      </c>
      <c r="BP11" t="s">
        <v>593</v>
      </c>
    </row>
    <row r="12" spans="1:68" x14ac:dyDescent="0.25">
      <c r="B12" s="50" t="s">
        <v>16</v>
      </c>
      <c r="J12" s="51">
        <f>AVERAGE(J5:J8)</f>
        <v>9.6101619313923798</v>
      </c>
      <c r="K12" s="51">
        <f>AVERAGE(K5:K8)</f>
        <v>1.3718881489248786</v>
      </c>
      <c r="L12" s="51">
        <f>AVERAGE(L5:L8)</f>
        <v>1.2548806611943335</v>
      </c>
      <c r="M12" s="51">
        <f>AVERAGE(M5:M8)</f>
        <v>8.2382737824675019</v>
      </c>
      <c r="AG12" s="51">
        <f>AVERAGE(AG5:AG8)</f>
        <v>9.6101619313923798</v>
      </c>
      <c r="AH12" s="51">
        <f>AVERAGE(AH5:AH8)</f>
        <v>1.3718881489248786</v>
      </c>
      <c r="AI12" s="51">
        <f>AVERAGE(AI5:AI8)</f>
        <v>1.2548806611943335</v>
      </c>
      <c r="AJ12" s="51">
        <f>AVERAGE(AJ5:AJ8)</f>
        <v>8.2382737824675019</v>
      </c>
      <c r="BB12" s="4">
        <f t="shared" si="16"/>
        <v>1</v>
      </c>
      <c r="BC12" s="4">
        <f t="shared" si="17"/>
        <v>1</v>
      </c>
      <c r="BD12" s="4">
        <f t="shared" si="18"/>
        <v>1</v>
      </c>
      <c r="BE12" s="4">
        <f t="shared" si="19"/>
        <v>1</v>
      </c>
      <c r="BG12" s="55">
        <f>AVERAGE(BG5:BG8)</f>
        <v>0</v>
      </c>
    </row>
    <row r="13" spans="1:68" x14ac:dyDescent="0.25">
      <c r="B13" s="50" t="s">
        <v>17</v>
      </c>
      <c r="J13" s="51">
        <f>AVERAGE(J9:J9)</f>
        <v>14.842073026003689</v>
      </c>
      <c r="K13" s="51">
        <f>AVERAGE(K9:K9)</f>
        <v>1.5085578582646109</v>
      </c>
      <c r="L13" s="51">
        <f>AVERAGE(L9:L9)</f>
        <v>1.408000060681702</v>
      </c>
      <c r="M13" s="51">
        <f>AVERAGE(M9:M9)</f>
        <v>13.333515167739078</v>
      </c>
      <c r="AG13" s="51">
        <f>AVERAGE(AG9:AG9)</f>
        <v>14.842073026003689</v>
      </c>
      <c r="AH13" s="51">
        <f>AVERAGE(AH9:AH9)</f>
        <v>1.5085578582646109</v>
      </c>
      <c r="AI13" s="51">
        <f>AVERAGE(AI9:AI9)</f>
        <v>1.408000060681702</v>
      </c>
      <c r="AJ13" s="51">
        <f>AVERAGE(AJ9:AJ9)</f>
        <v>13.333515167739078</v>
      </c>
      <c r="BB13" s="4">
        <f t="shared" si="16"/>
        <v>1</v>
      </c>
      <c r="BC13" s="4">
        <f t="shared" si="17"/>
        <v>1</v>
      </c>
      <c r="BD13" s="4">
        <f t="shared" si="18"/>
        <v>1</v>
      </c>
      <c r="BE13" s="4">
        <f t="shared" si="19"/>
        <v>1</v>
      </c>
      <c r="BG13" s="55">
        <f>AVERAGE(BG9:BG9)</f>
        <v>0</v>
      </c>
    </row>
    <row r="14" spans="1:68" x14ac:dyDescent="0.25">
      <c r="B14" s="50" t="s">
        <v>18</v>
      </c>
      <c r="J14" s="51">
        <f>AVERAGE(J10:J11)</f>
        <v>3.0605160724735456</v>
      </c>
      <c r="K14" s="51">
        <f>AVERAGE(K10:K11)</f>
        <v>0.35592816596243615</v>
      </c>
      <c r="L14" s="51">
        <f>AVERAGE(L10:L11)</f>
        <v>0.33822802940984964</v>
      </c>
      <c r="M14" s="51">
        <f>AVERAGE(M10:M11)</f>
        <v>2.7045879065111094</v>
      </c>
      <c r="AG14" s="51">
        <f>AVERAGE(AG10:AG11)</f>
        <v>3.0605160724735456</v>
      </c>
      <c r="AH14" s="51">
        <f>AVERAGE(AH10:AH11)</f>
        <v>0.35592816596243615</v>
      </c>
      <c r="AI14" s="51">
        <f>AVERAGE(AI10:AI11)</f>
        <v>0.33822802940984964</v>
      </c>
      <c r="AJ14" s="51">
        <f>AVERAGE(AJ10:AJ11)</f>
        <v>2.7045879065111094</v>
      </c>
      <c r="BB14" s="4">
        <f t="shared" si="16"/>
        <v>1</v>
      </c>
      <c r="BC14" s="4">
        <f t="shared" si="17"/>
        <v>1</v>
      </c>
      <c r="BD14" s="4">
        <f t="shared" si="18"/>
        <v>1</v>
      </c>
      <c r="BE14" s="4">
        <f t="shared" si="19"/>
        <v>1</v>
      </c>
      <c r="BG14" s="55">
        <f>AVERAGE(BG10:BG11)</f>
        <v>0</v>
      </c>
    </row>
    <row r="15" spans="1:68" x14ac:dyDescent="0.25">
      <c r="B15" s="50" t="s">
        <v>19</v>
      </c>
      <c r="J15" s="51">
        <f>AVERAGE(J5:J11)</f>
        <v>8.4862504137886141</v>
      </c>
      <c r="K15" s="51">
        <f>AVERAGE(K5:K11)</f>
        <v>1.1011381122698569</v>
      </c>
      <c r="L15" s="51">
        <f>AVERAGE(L5:L11)</f>
        <v>1.0148541091826764</v>
      </c>
      <c r="M15" s="51">
        <f>AVERAGE(M5:M11)</f>
        <v>7.3851123015187587</v>
      </c>
      <c r="AG15" s="51">
        <f>AVERAGE(AG5:AG11)</f>
        <v>8.4862504137886141</v>
      </c>
      <c r="AH15" s="51">
        <f>AVERAGE(AH5:AH11)</f>
        <v>1.1011381122698569</v>
      </c>
      <c r="AI15" s="51">
        <f>AVERAGE(AI5:AI11)</f>
        <v>1.0148541091826764</v>
      </c>
      <c r="AJ15" s="51">
        <f>AVERAGE(AJ5:AJ11)</f>
        <v>7.3851123015187587</v>
      </c>
      <c r="BB15" s="4">
        <f t="shared" si="16"/>
        <v>1</v>
      </c>
      <c r="BC15" s="4">
        <f t="shared" si="17"/>
        <v>1</v>
      </c>
      <c r="BD15" s="4">
        <f t="shared" si="18"/>
        <v>1</v>
      </c>
      <c r="BE15" s="4">
        <f t="shared" si="19"/>
        <v>1</v>
      </c>
      <c r="BG15" s="55">
        <f>AVERAGE(BG5:BG11)</f>
        <v>0</v>
      </c>
    </row>
    <row r="16" spans="1:68" hidden="1" outlineLevel="2" x14ac:dyDescent="0.25">
      <c r="A16" s="50" t="s">
        <v>251</v>
      </c>
      <c r="B16" s="50" t="s">
        <v>252</v>
      </c>
      <c r="Z16" s="52">
        <f>SUM(Z5:Z8,Z9:Z9,Z10:Z11)</f>
        <v>17221.153999999999</v>
      </c>
      <c r="AA16" s="52">
        <f>SUM(AA5:AA8,AA9:AA9,AA10:AA11)</f>
        <v>63604.240000000005</v>
      </c>
      <c r="AB16" s="52">
        <f>SUM(AB5:AB8,AB9:AB9,AB10:AB11)</f>
        <v>30.903999999999996</v>
      </c>
      <c r="AC16" s="52">
        <f>SUM(AC5:AC8,AC9:AC9,AC10:AC11)</f>
        <v>195.15600000000001</v>
      </c>
      <c r="AW16" s="52">
        <f>SUM(AW5:AW8,AW9:AW9,AW10:AW11)</f>
        <v>17759.91</v>
      </c>
      <c r="AX16" s="52">
        <f>SUM(AX5:AX8,AX9:AX9,AX10:AX11)</f>
        <v>61853.42</v>
      </c>
      <c r="AY16" s="52">
        <f>SUM(AY5:AY8,AY9:AY9,AY10:AY11)</f>
        <v>32.200000000000003</v>
      </c>
      <c r="AZ16" s="52">
        <f>SUM(AZ5:AZ8,AZ9:AZ9,AZ10:AZ11)</f>
        <v>176.35200000000003</v>
      </c>
    </row>
    <row r="17" spans="2:52" hidden="1" outlineLevel="2" x14ac:dyDescent="0.25">
      <c r="B17" s="50" t="s">
        <v>253</v>
      </c>
      <c r="AW17" s="55">
        <f>AW16/Z16</f>
        <v>1.031284546900864</v>
      </c>
      <c r="AX17" s="55">
        <f>AX16/AA16</f>
        <v>0.97247321876654758</v>
      </c>
      <c r="AY17" s="55">
        <f>AY16/AB16</f>
        <v>1.041936318923117</v>
      </c>
      <c r="AZ17" s="55">
        <f>AZ16/AC16</f>
        <v>0.90364631371825632</v>
      </c>
    </row>
    <row r="18" spans="2:52" hidden="1" outlineLevel="2" x14ac:dyDescent="0.25">
      <c r="B18" s="50" t="s">
        <v>254</v>
      </c>
      <c r="Z18" s="52">
        <f>GEOMEAN(Z5:Z8,Z9:Z9,Z10:Z11)</f>
        <v>2077.3119636338693</v>
      </c>
      <c r="AA18" s="52">
        <f>GEOMEAN(AA5:AA8,AA9:AA9,AA10:AA11)</f>
        <v>8910.2268764367273</v>
      </c>
      <c r="AB18" s="52">
        <f>GEOMEAN(AB5:AB8,AB9:AB9,AB10:AB11)</f>
        <v>4.3908954946312839</v>
      </c>
      <c r="AC18" s="52">
        <f>GEOMEAN(AC5:AC8,AC9:AC9,AC10:AC11)</f>
        <v>27.792701537733667</v>
      </c>
      <c r="AW18" s="52">
        <f>GEOMEAN(AW5:AW8,AW9:AW9,AW10:AW11)</f>
        <v>2114.9483285947367</v>
      </c>
      <c r="AX18" s="52">
        <f>GEOMEAN(AX5:AX8,AX9:AX9,AX10:AX11)</f>
        <v>8662.8333639641914</v>
      </c>
      <c r="AY18" s="52">
        <f>GEOMEAN(AY5:AY8,AY9:AY9,AY10:AY11)</f>
        <v>4.564230015368306</v>
      </c>
      <c r="AZ18" s="52">
        <f>GEOMEAN(AZ5:AZ8,AZ9:AZ9,AZ10:AZ11)</f>
        <v>24.883763512832957</v>
      </c>
    </row>
    <row r="19" spans="2:52" outlineLevel="2" collapsed="1" x14ac:dyDescent="0.25">
      <c r="B19" s="50" t="s">
        <v>255</v>
      </c>
      <c r="AW19" s="55">
        <f>AW18/Z18</f>
        <v>1.0181178203465548</v>
      </c>
      <c r="AX19" s="55">
        <f>AX18/AA18</f>
        <v>0.9722348806710216</v>
      </c>
      <c r="AY19" s="55">
        <f>AY18/AB18</f>
        <v>1.0394758930038206</v>
      </c>
      <c r="AZ19" s="55">
        <f>AZ18/AC18</f>
        <v>0.89533446322404842</v>
      </c>
    </row>
  </sheetData>
  <mergeCells count="36">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tabSelected="1" zoomScale="85" zoomScaleNormal="85" workbookViewId="0">
      <pane xSplit="2" ySplit="4" topLeftCell="P5" activePane="bottomRight" state="frozen"/>
      <selection pane="topRight" activeCell="C1" sqref="C1"/>
      <selection pane="bottomLeft" activeCell="A5" sqref="A5"/>
      <selection pane="bottomRight" activeCell="AA51" sqref="AA51"/>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 min="78" max="78" width="10" style="53" customWidth="1"/>
    <col min="79" max="79" width="10.28515625" style="53" customWidth="1"/>
  </cols>
  <sheetData>
    <row r="1" spans="1:88" x14ac:dyDescent="0.25">
      <c r="A1" s="75" t="s">
        <v>594</v>
      </c>
      <c r="B1" s="61"/>
      <c r="C1" s="61"/>
      <c r="D1" s="61"/>
      <c r="E1" s="61"/>
      <c r="F1" s="61"/>
      <c r="G1" s="61"/>
      <c r="I1" s="60" t="str">
        <f>Summary!C1</f>
        <v>R7.0 RC8.0</v>
      </c>
      <c r="J1" s="61"/>
      <c r="K1" s="61"/>
      <c r="L1" s="61"/>
      <c r="M1" s="61"/>
      <c r="N1" s="61"/>
      <c r="O1" s="61"/>
      <c r="P1" s="61"/>
      <c r="Q1" s="61"/>
      <c r="R1" s="61"/>
      <c r="S1" s="61"/>
      <c r="T1" s="61"/>
      <c r="U1" s="61"/>
      <c r="V1" s="61"/>
      <c r="W1" s="61"/>
      <c r="X1" s="61"/>
      <c r="Y1" s="61"/>
      <c r="Z1" s="61"/>
      <c r="AA1" s="61"/>
      <c r="AB1" s="61"/>
      <c r="AC1" s="61"/>
      <c r="AD1" s="61"/>
      <c r="AE1" s="61"/>
      <c r="AG1" s="62" t="str">
        <f>Summary!C2</f>
        <v>R7.0 RC 9.0</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
      <c r="A2" s="71" t="s">
        <v>139</v>
      </c>
      <c r="B2" s="72" t="s">
        <v>140</v>
      </c>
      <c r="C2" s="71" t="s">
        <v>141</v>
      </c>
      <c r="D2" s="72" t="s">
        <v>142</v>
      </c>
      <c r="E2" s="71" t="s">
        <v>143</v>
      </c>
      <c r="F2" s="72" t="s">
        <v>144</v>
      </c>
      <c r="G2" s="71" t="s">
        <v>145</v>
      </c>
      <c r="I2" s="72" t="s">
        <v>146</v>
      </c>
      <c r="J2" s="73" t="s">
        <v>147</v>
      </c>
      <c r="K2" s="61"/>
      <c r="L2" s="61"/>
      <c r="M2" s="61"/>
      <c r="N2" s="71" t="s">
        <v>148</v>
      </c>
      <c r="O2" s="72" t="s">
        <v>149</v>
      </c>
      <c r="P2" s="71" t="s">
        <v>86</v>
      </c>
      <c r="Q2" s="72" t="s">
        <v>88</v>
      </c>
      <c r="R2" s="71" t="s">
        <v>84</v>
      </c>
      <c r="S2" s="74" t="s">
        <v>150</v>
      </c>
      <c r="T2" s="61"/>
      <c r="U2" s="61"/>
      <c r="V2" s="61"/>
      <c r="W2" s="73" t="s">
        <v>151</v>
      </c>
      <c r="X2" s="61"/>
      <c r="Y2" s="74" t="s">
        <v>152</v>
      </c>
      <c r="Z2" s="61"/>
      <c r="AA2" s="61"/>
      <c r="AB2" s="73" t="s">
        <v>153</v>
      </c>
      <c r="AC2" s="61"/>
      <c r="AD2" s="74" t="s">
        <v>154</v>
      </c>
      <c r="AE2" s="61"/>
      <c r="AG2" s="71" t="s">
        <v>146</v>
      </c>
      <c r="AH2" s="74" t="s">
        <v>147</v>
      </c>
      <c r="AI2" s="61"/>
      <c r="AJ2" s="61"/>
      <c r="AK2" s="61"/>
      <c r="AL2" s="72" t="s">
        <v>155</v>
      </c>
      <c r="AM2" s="71" t="s">
        <v>149</v>
      </c>
      <c r="AN2" s="72" t="s">
        <v>86</v>
      </c>
      <c r="AO2" s="71" t="s">
        <v>88</v>
      </c>
      <c r="AP2" s="72" t="s">
        <v>84</v>
      </c>
      <c r="AQ2" s="73" t="s">
        <v>150</v>
      </c>
      <c r="AR2" s="61"/>
      <c r="AS2" s="61"/>
      <c r="AT2" s="61"/>
      <c r="AU2" s="74" t="s">
        <v>151</v>
      </c>
      <c r="AV2" s="61"/>
      <c r="AW2" s="73" t="s">
        <v>152</v>
      </c>
      <c r="AX2" s="61"/>
      <c r="AY2" s="61"/>
      <c r="AZ2" s="74" t="s">
        <v>153</v>
      </c>
      <c r="BA2" s="61"/>
      <c r="BB2" s="73" t="s">
        <v>154</v>
      </c>
      <c r="BC2" s="61"/>
      <c r="BE2" s="72" t="s">
        <v>156</v>
      </c>
      <c r="BF2" s="71" t="s">
        <v>157</v>
      </c>
      <c r="BG2" s="72" t="s">
        <v>158</v>
      </c>
      <c r="BH2" s="71" t="s">
        <v>158</v>
      </c>
      <c r="BJ2" s="74" t="s">
        <v>7</v>
      </c>
      <c r="BK2" s="61"/>
      <c r="BL2" s="73" t="s">
        <v>8</v>
      </c>
      <c r="BM2" s="61"/>
      <c r="BN2" s="61"/>
      <c r="BP2" s="74" t="s">
        <v>9</v>
      </c>
      <c r="BQ2" s="61"/>
      <c r="BR2" s="73" t="s">
        <v>10</v>
      </c>
      <c r="BS2" s="61"/>
      <c r="BT2" s="61"/>
      <c r="BV2" s="77" t="s">
        <v>159</v>
      </c>
      <c r="BW2" s="78" t="s">
        <v>160</v>
      </c>
      <c r="BX2" s="77" t="s">
        <v>161</v>
      </c>
      <c r="BY2" s="76" t="s">
        <v>162</v>
      </c>
      <c r="BZ2" s="61"/>
      <c r="CA2" s="61"/>
      <c r="CB2" s="61"/>
      <c r="CC2" s="79" t="s">
        <v>163</v>
      </c>
      <c r="CD2" s="61"/>
      <c r="CE2" s="76" t="s">
        <v>164</v>
      </c>
      <c r="CF2" s="61"/>
      <c r="CG2" s="61"/>
    </row>
    <row r="3" spans="1:88" ht="30.75" customHeight="1" thickBot="1" x14ac:dyDescent="0.3">
      <c r="A3" s="64"/>
      <c r="B3" s="64"/>
      <c r="C3" s="64"/>
      <c r="D3" s="64"/>
      <c r="E3" s="64"/>
      <c r="F3" s="64"/>
      <c r="G3" s="64"/>
      <c r="I3" s="64"/>
      <c r="J3" s="56" t="s">
        <v>27</v>
      </c>
      <c r="K3" s="56" t="s">
        <v>25</v>
      </c>
      <c r="L3" s="56" t="s">
        <v>165</v>
      </c>
      <c r="M3" s="56" t="s">
        <v>166</v>
      </c>
      <c r="N3" s="64"/>
      <c r="O3" s="64"/>
      <c r="P3" s="64"/>
      <c r="Q3" s="64"/>
      <c r="R3" s="64"/>
      <c r="S3" s="57" t="s">
        <v>27</v>
      </c>
      <c r="T3" s="57" t="s">
        <v>165</v>
      </c>
      <c r="U3" s="57" t="s">
        <v>167</v>
      </c>
      <c r="V3" s="57" t="s">
        <v>26</v>
      </c>
      <c r="W3" s="56" t="s">
        <v>11</v>
      </c>
      <c r="X3" s="56" t="s">
        <v>12</v>
      </c>
      <c r="Y3" s="57" t="s">
        <v>13</v>
      </c>
      <c r="Z3" s="57" t="s">
        <v>14</v>
      </c>
      <c r="AA3" s="57" t="s">
        <v>15</v>
      </c>
      <c r="AB3" s="56" t="s">
        <v>168</v>
      </c>
      <c r="AC3" s="56" t="s">
        <v>169</v>
      </c>
      <c r="AD3" s="57" t="s">
        <v>168</v>
      </c>
      <c r="AE3" s="57" t="s">
        <v>169</v>
      </c>
      <c r="AG3" s="64"/>
      <c r="AH3" s="57" t="s">
        <v>27</v>
      </c>
      <c r="AI3" s="57" t="s">
        <v>25</v>
      </c>
      <c r="AJ3" s="57" t="s">
        <v>165</v>
      </c>
      <c r="AK3" s="57" t="s">
        <v>166</v>
      </c>
      <c r="AL3" s="64"/>
      <c r="AM3" s="64"/>
      <c r="AN3" s="64"/>
      <c r="AO3" s="64"/>
      <c r="AP3" s="64"/>
      <c r="AQ3" s="56" t="s">
        <v>27</v>
      </c>
      <c r="AR3" s="56" t="s">
        <v>165</v>
      </c>
      <c r="AS3" s="56" t="s">
        <v>167</v>
      </c>
      <c r="AT3" s="56" t="s">
        <v>26</v>
      </c>
      <c r="AU3" s="57" t="s">
        <v>11</v>
      </c>
      <c r="AV3" s="57" t="s">
        <v>12</v>
      </c>
      <c r="AW3" s="56" t="s">
        <v>13</v>
      </c>
      <c r="AX3" s="56" t="s">
        <v>14</v>
      </c>
      <c r="AY3" s="56" t="s">
        <v>15</v>
      </c>
      <c r="AZ3" s="57" t="s">
        <v>168</v>
      </c>
      <c r="BA3" s="57" t="s">
        <v>169</v>
      </c>
      <c r="BB3" s="56" t="s">
        <v>168</v>
      </c>
      <c r="BC3" s="56" t="s">
        <v>169</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59" t="s">
        <v>27</v>
      </c>
      <c r="BZ3" s="59" t="s">
        <v>165</v>
      </c>
      <c r="CA3" s="59" t="s">
        <v>167</v>
      </c>
      <c r="CB3" s="59" t="s">
        <v>26</v>
      </c>
      <c r="CC3" s="58" t="s">
        <v>11</v>
      </c>
      <c r="CD3" s="58" t="s">
        <v>12</v>
      </c>
      <c r="CE3" s="59" t="s">
        <v>13</v>
      </c>
      <c r="CF3" s="59" t="s">
        <v>14</v>
      </c>
      <c r="CG3" s="59" t="s">
        <v>15</v>
      </c>
    </row>
    <row r="4" spans="1:88" ht="123" hidden="1" customHeight="1" thickBot="1" x14ac:dyDescent="0.3">
      <c r="A4" s="8" t="s">
        <v>170</v>
      </c>
      <c r="B4" s="9" t="s">
        <v>171</v>
      </c>
      <c r="C4" s="8" t="s">
        <v>172</v>
      </c>
      <c r="D4" s="9" t="s">
        <v>173</v>
      </c>
      <c r="E4" s="8" t="s">
        <v>174</v>
      </c>
      <c r="F4" s="9" t="s">
        <v>175</v>
      </c>
      <c r="G4" s="8" t="s">
        <v>176</v>
      </c>
      <c r="I4" s="9" t="s">
        <v>177</v>
      </c>
      <c r="J4" s="8" t="s">
        <v>178</v>
      </c>
      <c r="K4" s="8" t="s">
        <v>179</v>
      </c>
      <c r="L4" s="8" t="s">
        <v>180</v>
      </c>
      <c r="M4" s="8" t="s">
        <v>181</v>
      </c>
      <c r="N4" s="8" t="s">
        <v>182</v>
      </c>
      <c r="O4" s="9" t="s">
        <v>183</v>
      </c>
      <c r="P4" s="8" t="s">
        <v>184</v>
      </c>
      <c r="Q4" s="9" t="s">
        <v>185</v>
      </c>
      <c r="R4" s="8" t="s">
        <v>186</v>
      </c>
      <c r="S4" s="9" t="s">
        <v>187</v>
      </c>
      <c r="T4" s="9" t="s">
        <v>188</v>
      </c>
      <c r="U4" s="9" t="s">
        <v>189</v>
      </c>
      <c r="V4" s="9" t="s">
        <v>190</v>
      </c>
      <c r="W4" s="8" t="s">
        <v>191</v>
      </c>
      <c r="X4" s="8" t="s">
        <v>192</v>
      </c>
      <c r="Y4" s="9" t="s">
        <v>193</v>
      </c>
      <c r="Z4" s="9" t="s">
        <v>194</v>
      </c>
      <c r="AA4" s="9" t="s">
        <v>195</v>
      </c>
      <c r="AB4" s="8" t="s">
        <v>196</v>
      </c>
      <c r="AC4" s="8" t="s">
        <v>197</v>
      </c>
      <c r="AD4" s="9" t="s">
        <v>198</v>
      </c>
      <c r="AE4" s="9" t="s">
        <v>199</v>
      </c>
      <c r="AG4" s="8" t="s">
        <v>200</v>
      </c>
      <c r="AH4" s="9" t="s">
        <v>201</v>
      </c>
      <c r="AI4" s="9" t="s">
        <v>202</v>
      </c>
      <c r="AJ4" s="9" t="s">
        <v>203</v>
      </c>
      <c r="AK4" s="9" t="s">
        <v>204</v>
      </c>
      <c r="AL4" s="9" t="s">
        <v>205</v>
      </c>
      <c r="AM4" s="8" t="s">
        <v>206</v>
      </c>
      <c r="AN4" s="9" t="s">
        <v>207</v>
      </c>
      <c r="AO4" s="8" t="s">
        <v>208</v>
      </c>
      <c r="AP4" s="9" t="s">
        <v>209</v>
      </c>
      <c r="AQ4" s="8" t="s">
        <v>210</v>
      </c>
      <c r="AR4" s="8" t="s">
        <v>211</v>
      </c>
      <c r="AS4" s="8" t="s">
        <v>212</v>
      </c>
      <c r="AT4" s="8" t="s">
        <v>213</v>
      </c>
      <c r="AU4" s="9" t="s">
        <v>214</v>
      </c>
      <c r="AV4" s="9" t="s">
        <v>215</v>
      </c>
      <c r="AW4" s="8" t="s">
        <v>216</v>
      </c>
      <c r="AX4" s="8" t="s">
        <v>217</v>
      </c>
      <c r="AY4" s="8" t="s">
        <v>218</v>
      </c>
      <c r="AZ4" s="9" t="s">
        <v>219</v>
      </c>
      <c r="BA4" s="9" t="s">
        <v>220</v>
      </c>
      <c r="BB4" s="8" t="s">
        <v>221</v>
      </c>
      <c r="BC4" s="8" t="s">
        <v>222</v>
      </c>
      <c r="BE4" s="9" t="s">
        <v>223</v>
      </c>
      <c r="BF4" s="8" t="s">
        <v>224</v>
      </c>
      <c r="BG4" s="9" t="s">
        <v>225</v>
      </c>
      <c r="BH4" s="8" t="s">
        <v>226</v>
      </c>
      <c r="BJ4" s="9" t="s">
        <v>227</v>
      </c>
      <c r="BK4" s="9" t="s">
        <v>228</v>
      </c>
      <c r="BL4" s="8" t="s">
        <v>229</v>
      </c>
      <c r="BM4" s="8" t="s">
        <v>230</v>
      </c>
      <c r="BN4" s="8" t="s">
        <v>231</v>
      </c>
      <c r="BP4" s="9" t="s">
        <v>232</v>
      </c>
      <c r="BQ4" s="9" t="s">
        <v>233</v>
      </c>
      <c r="BR4" s="8" t="s">
        <v>234</v>
      </c>
      <c r="BS4" s="8" t="s">
        <v>235</v>
      </c>
      <c r="BT4" s="8" t="s">
        <v>236</v>
      </c>
    </row>
    <row r="5" spans="1:88" x14ac:dyDescent="0.25">
      <c r="A5" s="10" t="s">
        <v>237</v>
      </c>
      <c r="B5" s="10" t="s">
        <v>51</v>
      </c>
      <c r="C5" s="11" t="s">
        <v>238</v>
      </c>
      <c r="D5" s="10">
        <v>24964341</v>
      </c>
      <c r="E5" s="11">
        <v>10</v>
      </c>
      <c r="F5" s="11">
        <v>32</v>
      </c>
      <c r="G5" s="11">
        <v>30</v>
      </c>
      <c r="I5" s="12">
        <f t="shared" ref="I5:I39" si="0">IF(OR(ISBLANK(S5),ISBLANK(G5)),"·",S5*G5/F5/1000000)</f>
        <v>1.0450275</v>
      </c>
      <c r="J5" s="13">
        <f t="shared" ref="J5:J39" si="1">IF(ISBLANK(S5),"·",S5/D5)</f>
        <v>4.4651529155125706E-2</v>
      </c>
      <c r="K5" s="13">
        <f t="shared" ref="K5:K39" si="2">IF(N5="","·",N5/D5)</f>
        <v>3.8707691102280652E-2</v>
      </c>
      <c r="L5" s="13">
        <f t="shared" ref="L5:L39" si="3">IF(T5="","·",T5/D5)</f>
        <v>2.4335511199754883E-2</v>
      </c>
      <c r="M5" s="13">
        <f t="shared" ref="M5:M39" si="4">IF(ISBLANK(V5),"·",V5/D5)</f>
        <v>5.9438380528450564E-3</v>
      </c>
      <c r="N5" s="10">
        <f t="shared" ref="N5:N39" si="5">IF(OR(ISBLANK(T5),ISBLANK(U5)),"",T5+U5)</f>
        <v>966312</v>
      </c>
      <c r="O5" s="13">
        <f t="shared" ref="O5:O39" si="6">IF(ISBLANK(S5),"·",S5/P5)</f>
        <v>4.7268515006376202E-2</v>
      </c>
      <c r="P5" s="14">
        <v>23582209</v>
      </c>
      <c r="Q5" s="14">
        <v>736944.03125</v>
      </c>
      <c r="R5" s="14">
        <v>16792.40625</v>
      </c>
      <c r="S5" s="15">
        <v>1114696</v>
      </c>
      <c r="T5" s="15">
        <v>607520</v>
      </c>
      <c r="U5" s="15">
        <v>358792</v>
      </c>
      <c r="V5" s="15">
        <v>148384</v>
      </c>
      <c r="W5" s="16">
        <v>66.845137499999993</v>
      </c>
      <c r="X5" s="16">
        <v>68.608421874999991</v>
      </c>
      <c r="Y5" s="16">
        <v>31.763540625000001</v>
      </c>
      <c r="Z5" s="16">
        <v>44.651406250000001</v>
      </c>
      <c r="AA5" s="16">
        <v>44.100406250000013</v>
      </c>
      <c r="AB5" s="17">
        <v>3645.55</v>
      </c>
      <c r="AC5" s="17">
        <v>4207.5200000000004</v>
      </c>
      <c r="AD5" s="17">
        <v>12.548</v>
      </c>
      <c r="AE5" s="17">
        <v>9.4039999999999999</v>
      </c>
      <c r="AG5" s="12">
        <f t="shared" ref="AG5:AG39" si="7">IF(OR(ISBLANK(AQ5),ISBLANK(G5)),"·",AQ5*G5/F5/1000000)</f>
        <v>1.0450275</v>
      </c>
      <c r="AH5" s="13">
        <f t="shared" ref="AH5:AH39" si="8">IF(ISBLANK(AQ5),"·",AQ5/D5)</f>
        <v>4.4651529155125706E-2</v>
      </c>
      <c r="AI5" s="13">
        <f t="shared" ref="AI5:AI39" si="9">IF(AL5="","·",AL5/D5)</f>
        <v>3.8707691102280652E-2</v>
      </c>
      <c r="AJ5" s="13">
        <f t="shared" ref="AJ5:AJ39" si="10">IF(AR5="","·",AR5/D5)</f>
        <v>2.4335511199754883E-2</v>
      </c>
      <c r="AK5" s="13">
        <f t="shared" ref="AK5:AK39" si="11">IF(ISBLANK(AT5),"·",AT5/D5)</f>
        <v>5.9438380528450564E-3</v>
      </c>
      <c r="AL5" s="10">
        <f t="shared" ref="AL5:AL39" si="12">IF(OR(ISBLANK(AR5),ISBLANK(AS5)),"",AR5+AS5)</f>
        <v>966312</v>
      </c>
      <c r="AM5" s="13">
        <f t="shared" ref="AM5:AM39" si="13">IF(ISBLANK(AQ5),"·",AQ5/AN5)</f>
        <v>4.7268515006376202E-2</v>
      </c>
      <c r="AN5" s="14">
        <v>23582209</v>
      </c>
      <c r="AO5" s="14">
        <v>736944.03125</v>
      </c>
      <c r="AP5" s="14">
        <v>16792.40625</v>
      </c>
      <c r="AQ5" s="15">
        <v>1114696</v>
      </c>
      <c r="AR5" s="15">
        <v>607520</v>
      </c>
      <c r="AS5" s="15">
        <v>358792</v>
      </c>
      <c r="AT5" s="15">
        <v>148384</v>
      </c>
      <c r="AU5" s="16">
        <v>66.845137499999993</v>
      </c>
      <c r="AV5" s="16">
        <v>68.608421874999991</v>
      </c>
      <c r="AW5" s="16">
        <v>31.763540625000001</v>
      </c>
      <c r="AX5" s="16">
        <v>44.651406250000001</v>
      </c>
      <c r="AY5" s="16">
        <v>44.100406250000013</v>
      </c>
      <c r="AZ5" s="17">
        <v>3338.96</v>
      </c>
      <c r="BA5" s="17">
        <v>4192.51</v>
      </c>
      <c r="BB5" s="17">
        <v>12.632</v>
      </c>
      <c r="BC5" s="17">
        <v>8.1</v>
      </c>
      <c r="BE5" s="18">
        <f t="shared" ref="BE5:BE43" si="14">AI5/K5</f>
        <v>1</v>
      </c>
      <c r="BF5" s="19">
        <f t="shared" ref="BF5:BF39" si="15">(AP5/AO5) - (R5/Q5)</f>
        <v>0</v>
      </c>
      <c r="BG5" s="19">
        <f t="shared" ref="BG5:BG39" si="16">(AL5/AQ5) - (N5/S5)</f>
        <v>0</v>
      </c>
      <c r="BH5" s="19">
        <f t="array" ref="BH5">AVERAGE(AL5:AL9/AQ5:AQ9) - AVERAGE(N5:N9/S5:S9)</f>
        <v>0</v>
      </c>
      <c r="BJ5" s="18">
        <f>IF( OR(ISBLANK(N5:N9),ISBLANK(AL5:AL9), ISBLANK(W5:W9),ISBLANK(AU5:AU9)), "·", bdRateExtend( N5:N9,W5:W9, AL5:AL9,AU5:AU9))</f>
        <v>0</v>
      </c>
      <c r="BK5" s="18">
        <f>IF( OR(ISBLANK(N5:N9),ISBLANK(AL5:AL9), ISBLANK(X5:X9),ISBLANK(AV5:AV9)), "·", bdRateExtend( N5:N9,X5:X9, AL5:AL9,AV5:AV9))</f>
        <v>0</v>
      </c>
      <c r="BL5" s="18">
        <f>IF( OR(ISBLANK(V5:V9),ISBLANK(AT5:AT9), ISBLANK(Y5:Y9),ISBLANK(AW5:AW9)), "·", bdRateExtend( V5:V9,Y5:Y9, AT5:AT9,AW5:AW9))</f>
        <v>0</v>
      </c>
      <c r="BM5" s="18">
        <f>IF( OR(ISBLANK(V5:V9),ISBLANK(AT5:AT9), ISBLANK(Z5:Z9),ISBLANK(AX5:AX9)), "·", bdRateExtend( V5:V9,Z5:Z9, AT5:AT9,AX5:AX9))</f>
        <v>0</v>
      </c>
      <c r="BN5" s="18">
        <f>IF( OR(ISBLANK(V5:V9),ISBLANK(AT5:AT9), ISBLANK(AA5:AA9),ISBLANK(AY5:AY9)), "·", bdRateExtend( V5:V9,AA5:AA9, AT5:AT9,AY5:AY9))</f>
        <v>0</v>
      </c>
      <c r="BP5" s="18">
        <f>IF( OR(ISBLANK(S5:S9),ISBLANK(AQ5:AQ9), ISBLANK(W5:W9),ISBLANK(AU5:AU9)), "·", bdRateExtend( S5:S9,W5:W9, AQ5:AQ9,AU5:AU9))</f>
        <v>0</v>
      </c>
      <c r="BQ5" s="18">
        <f>IF( OR(ISBLANK(S5:S9),ISBLANK(AQ5:AQ9), ISBLANK(X5:X9),ISBLANK(AV5:AV9)), "·", bdRateExtend( S5:S9,X5:X9, AQ5:AQ9,AV5:AV9))</f>
        <v>0</v>
      </c>
      <c r="BR5" s="18">
        <f>IF( OR(ISBLANK(S5:S9),ISBLANK(AQ5:AQ9), ISBLANK(Y5:Y9),ISBLANK(AW5:AW9)), "·", bdRateExtend( S5:S9,Y5:Y9, AQ5:AQ9,AW5:AW9))</f>
        <v>0</v>
      </c>
      <c r="BS5" s="18">
        <f>IF( OR(ISBLANK(S5:S9),ISBLANK(AQ5:AQ9), ISBLANK(Z5:Z9),ISBLANK(AX5:AX9)), "·", bdRateExtend( S5:S9,Z5:Z9, AQ5:AQ9,AX5:AX9))</f>
        <v>0</v>
      </c>
      <c r="BT5" s="18">
        <f>IF( OR(ISBLANK(S5:S9),ISBLANK(AQ5:AQ9), ISBLANK(AA5:AA9),ISBLANK(AY5:AY9)), "·", bdRateExtend( S5:S9,AA5:AA9, AQ5:AQ9,AY5:AY9))</f>
        <v>0</v>
      </c>
      <c r="BV5">
        <f t="shared" ref="BV5:BV39" si="17">AN5-P5</f>
        <v>0</v>
      </c>
      <c r="BW5">
        <f t="shared" ref="BW5:BW39" si="18">AO5-Q5</f>
        <v>0</v>
      </c>
      <c r="BX5">
        <f t="shared" ref="BX5:BX39" si="19">AP5-R5</f>
        <v>0</v>
      </c>
      <c r="BY5">
        <f t="shared" ref="BY5:BY39" si="20">AQ5-S5</f>
        <v>0</v>
      </c>
      <c r="BZ5">
        <f t="shared" ref="BZ5:BZ39" si="21">AR5-T5</f>
        <v>0</v>
      </c>
      <c r="CA5">
        <f t="shared" ref="CA5:CA39" si="22">AS5-U5</f>
        <v>0</v>
      </c>
      <c r="CB5">
        <f t="shared" ref="CB5:CB39" si="23">AT5-V5</f>
        <v>0</v>
      </c>
      <c r="CC5">
        <f t="shared" ref="CC5:CC39" si="24">AU5-W5</f>
        <v>0</v>
      </c>
      <c r="CD5">
        <f t="shared" ref="CD5:CD39" si="25">AV5-X5</f>
        <v>0</v>
      </c>
      <c r="CE5">
        <f t="shared" ref="CE5:CE39" si="26">AW5-Y5</f>
        <v>0</v>
      </c>
      <c r="CF5">
        <f t="shared" ref="CF5:CF39" si="27">AX5-Z5</f>
        <v>0</v>
      </c>
      <c r="CG5">
        <f t="shared" ref="CG5:CG39" si="28">AY5-AA5</f>
        <v>0</v>
      </c>
      <c r="CJ5" t="s">
        <v>239</v>
      </c>
    </row>
    <row r="6" spans="1:88" outlineLevel="1" x14ac:dyDescent="0.25">
      <c r="A6" s="20"/>
      <c r="B6" s="20" t="s">
        <v>51</v>
      </c>
      <c r="C6" s="21" t="s">
        <v>240</v>
      </c>
      <c r="D6" s="20">
        <v>24964341</v>
      </c>
      <c r="E6" s="21">
        <v>10</v>
      </c>
      <c r="F6" s="21">
        <v>32</v>
      </c>
      <c r="G6" s="21">
        <v>30</v>
      </c>
      <c r="I6" s="22">
        <f t="shared" si="0"/>
        <v>1.36056</v>
      </c>
      <c r="J6" s="23">
        <f t="shared" si="1"/>
        <v>5.8133479269490834E-2</v>
      </c>
      <c r="K6" s="23">
        <f t="shared" si="2"/>
        <v>4.7200124369395531E-2</v>
      </c>
      <c r="L6" s="23">
        <f t="shared" si="3"/>
        <v>3.2827944466869763E-2</v>
      </c>
      <c r="M6" s="23">
        <f t="shared" si="4"/>
        <v>1.09333549000953E-2</v>
      </c>
      <c r="N6" s="20">
        <f t="shared" si="5"/>
        <v>1178320</v>
      </c>
      <c r="O6" s="23">
        <f t="shared" si="6"/>
        <v>5.8571847096283033E-2</v>
      </c>
      <c r="P6" s="24">
        <v>24777501</v>
      </c>
      <c r="Q6" s="24">
        <v>774296.90625</v>
      </c>
      <c r="R6" s="24">
        <v>19737.75</v>
      </c>
      <c r="S6" s="25">
        <v>1451264</v>
      </c>
      <c r="T6" s="25">
        <v>819528</v>
      </c>
      <c r="U6" s="25">
        <v>358792</v>
      </c>
      <c r="V6" s="25">
        <v>272944</v>
      </c>
      <c r="W6" s="26">
        <v>68.551975000000027</v>
      </c>
      <c r="X6" s="26">
        <v>70.611215625000014</v>
      </c>
      <c r="Y6" s="26">
        <v>33.850915625000013</v>
      </c>
      <c r="Z6" s="26">
        <v>45.504371874999997</v>
      </c>
      <c r="AA6" s="26">
        <v>45.226562500000021</v>
      </c>
      <c r="AB6" s="27">
        <v>3411.02</v>
      </c>
      <c r="AC6" s="27">
        <v>4476.7299999999996</v>
      </c>
      <c r="AD6" s="27">
        <v>12.651999999999999</v>
      </c>
      <c r="AE6" s="27">
        <v>10.263999999999999</v>
      </c>
      <c r="AG6" s="22">
        <f t="shared" si="7"/>
        <v>1.36056</v>
      </c>
      <c r="AH6" s="23">
        <f t="shared" si="8"/>
        <v>5.8133479269490834E-2</v>
      </c>
      <c r="AI6" s="23">
        <f t="shared" si="9"/>
        <v>4.7200124369395531E-2</v>
      </c>
      <c r="AJ6" s="23">
        <f t="shared" si="10"/>
        <v>3.2827944466869763E-2</v>
      </c>
      <c r="AK6" s="23">
        <f t="shared" si="11"/>
        <v>1.09333549000953E-2</v>
      </c>
      <c r="AL6" s="20">
        <f t="shared" si="12"/>
        <v>1178320</v>
      </c>
      <c r="AM6" s="23">
        <f t="shared" si="13"/>
        <v>5.8571847096283033E-2</v>
      </c>
      <c r="AN6" s="24">
        <v>24777501</v>
      </c>
      <c r="AO6" s="24">
        <v>774296.90625</v>
      </c>
      <c r="AP6" s="24">
        <v>19737.75</v>
      </c>
      <c r="AQ6" s="25">
        <v>1451264</v>
      </c>
      <c r="AR6" s="25">
        <v>819528</v>
      </c>
      <c r="AS6" s="25">
        <v>358792</v>
      </c>
      <c r="AT6" s="25">
        <v>272944</v>
      </c>
      <c r="AU6" s="26">
        <v>68.551975000000027</v>
      </c>
      <c r="AV6" s="26">
        <v>70.611215625000014</v>
      </c>
      <c r="AW6" s="26">
        <v>33.850915625000013</v>
      </c>
      <c r="AX6" s="26">
        <v>45.504371874999997</v>
      </c>
      <c r="AY6" s="26">
        <v>45.226562500000021</v>
      </c>
      <c r="AZ6" s="27">
        <v>3345.63</v>
      </c>
      <c r="BA6" s="27">
        <v>4495.74</v>
      </c>
      <c r="BB6" s="27">
        <v>12.252000000000001</v>
      </c>
      <c r="BC6" s="27">
        <v>7.3520000000000003</v>
      </c>
      <c r="BE6" s="28">
        <f t="shared" si="14"/>
        <v>1</v>
      </c>
      <c r="BF6" s="29">
        <f t="shared" si="15"/>
        <v>0</v>
      </c>
      <c r="BG6" s="29">
        <f t="shared" si="16"/>
        <v>0</v>
      </c>
      <c r="BH6" s="29"/>
      <c r="BJ6" s="28"/>
      <c r="BK6" s="28"/>
      <c r="BL6" s="28"/>
      <c r="BM6" s="28"/>
      <c r="BN6" s="28"/>
      <c r="BP6" s="28"/>
      <c r="BQ6" s="28"/>
      <c r="BR6" s="28"/>
      <c r="BS6" s="28"/>
      <c r="BT6" s="28"/>
      <c r="BV6">
        <f t="shared" si="17"/>
        <v>0</v>
      </c>
      <c r="BW6">
        <f t="shared" si="18"/>
        <v>0</v>
      </c>
      <c r="BX6">
        <f t="shared" si="19"/>
        <v>0</v>
      </c>
      <c r="BY6">
        <f t="shared" si="20"/>
        <v>0</v>
      </c>
      <c r="BZ6">
        <f t="shared" si="21"/>
        <v>0</v>
      </c>
      <c r="CA6">
        <f t="shared" si="22"/>
        <v>0</v>
      </c>
      <c r="CB6">
        <f t="shared" si="23"/>
        <v>0</v>
      </c>
      <c r="CC6">
        <f t="shared" si="24"/>
        <v>0</v>
      </c>
      <c r="CD6">
        <f t="shared" si="25"/>
        <v>0</v>
      </c>
      <c r="CE6">
        <f t="shared" si="26"/>
        <v>0</v>
      </c>
      <c r="CF6">
        <f t="shared" si="27"/>
        <v>0</v>
      </c>
      <c r="CG6">
        <f t="shared" si="28"/>
        <v>0</v>
      </c>
      <c r="CJ6" t="s">
        <v>239</v>
      </c>
    </row>
    <row r="7" spans="1:88" outlineLevel="1" x14ac:dyDescent="0.25">
      <c r="A7" s="10"/>
      <c r="B7" s="10" t="s">
        <v>51</v>
      </c>
      <c r="C7" s="11" t="s">
        <v>241</v>
      </c>
      <c r="D7" s="10">
        <v>24964341</v>
      </c>
      <c r="E7" s="11">
        <v>10</v>
      </c>
      <c r="F7" s="11">
        <v>32</v>
      </c>
      <c r="G7" s="11">
        <v>30</v>
      </c>
      <c r="I7" s="12">
        <f t="shared" si="0"/>
        <v>1.8947849999999999</v>
      </c>
      <c r="J7" s="13">
        <f t="shared" si="1"/>
        <v>8.0959637588670974E-2</v>
      </c>
      <c r="K7" s="13">
        <f t="shared" si="2"/>
        <v>5.8634353696738882E-2</v>
      </c>
      <c r="L7" s="13">
        <f t="shared" si="3"/>
        <v>4.4262173794213114E-2</v>
      </c>
      <c r="M7" s="13">
        <f t="shared" si="4"/>
        <v>2.2325283891932095E-2</v>
      </c>
      <c r="N7" s="10">
        <f t="shared" si="5"/>
        <v>1463768</v>
      </c>
      <c r="O7" s="13">
        <f t="shared" si="6"/>
        <v>8.1091638706670563E-2</v>
      </c>
      <c r="P7" s="14">
        <v>24923704</v>
      </c>
      <c r="Q7" s="14">
        <v>778865.75</v>
      </c>
      <c r="R7" s="14">
        <v>20929.5625</v>
      </c>
      <c r="S7" s="15">
        <v>2021104</v>
      </c>
      <c r="T7" s="15">
        <v>1104976</v>
      </c>
      <c r="U7" s="15">
        <v>358792</v>
      </c>
      <c r="V7" s="15">
        <v>557336</v>
      </c>
      <c r="W7" s="16">
        <v>69.837631249999987</v>
      </c>
      <c r="X7" s="16">
        <v>72.26194375</v>
      </c>
      <c r="Y7" s="16">
        <v>36.223828125000011</v>
      </c>
      <c r="Z7" s="16">
        <v>46.856606249999977</v>
      </c>
      <c r="AA7" s="16">
        <v>46.589650000000013</v>
      </c>
      <c r="AB7" s="17">
        <v>3387.79</v>
      </c>
      <c r="AC7" s="17">
        <v>4757.1099999999997</v>
      </c>
      <c r="AD7" s="17">
        <v>10.72</v>
      </c>
      <c r="AE7" s="17">
        <v>8.3320000000000007</v>
      </c>
      <c r="AG7" s="12">
        <f t="shared" si="7"/>
        <v>1.8947849999999999</v>
      </c>
      <c r="AH7" s="13">
        <f t="shared" si="8"/>
        <v>8.0959637588670974E-2</v>
      </c>
      <c r="AI7" s="13">
        <f t="shared" si="9"/>
        <v>5.8634353696738882E-2</v>
      </c>
      <c r="AJ7" s="13">
        <f t="shared" si="10"/>
        <v>4.4262173794213114E-2</v>
      </c>
      <c r="AK7" s="13">
        <f t="shared" si="11"/>
        <v>2.2325283891932095E-2</v>
      </c>
      <c r="AL7" s="10">
        <f t="shared" si="12"/>
        <v>1463768</v>
      </c>
      <c r="AM7" s="13">
        <f t="shared" si="13"/>
        <v>8.1091638706670563E-2</v>
      </c>
      <c r="AN7" s="14">
        <v>24923704</v>
      </c>
      <c r="AO7" s="14">
        <v>778865.75</v>
      </c>
      <c r="AP7" s="14">
        <v>20929.5625</v>
      </c>
      <c r="AQ7" s="15">
        <v>2021104</v>
      </c>
      <c r="AR7" s="15">
        <v>1104976</v>
      </c>
      <c r="AS7" s="15">
        <v>358792</v>
      </c>
      <c r="AT7" s="15">
        <v>557336</v>
      </c>
      <c r="AU7" s="16">
        <v>69.837631249999987</v>
      </c>
      <c r="AV7" s="16">
        <v>72.26194375</v>
      </c>
      <c r="AW7" s="16">
        <v>36.223828125000011</v>
      </c>
      <c r="AX7" s="16">
        <v>46.856606249999977</v>
      </c>
      <c r="AY7" s="16">
        <v>46.589650000000013</v>
      </c>
      <c r="AZ7" s="17">
        <v>3334.08</v>
      </c>
      <c r="BA7" s="17">
        <v>4755.9799999999996</v>
      </c>
      <c r="BB7" s="17">
        <v>12.86</v>
      </c>
      <c r="BC7" s="17">
        <v>8.98</v>
      </c>
      <c r="BE7" s="18">
        <f t="shared" si="14"/>
        <v>1</v>
      </c>
      <c r="BF7" s="19">
        <f t="shared" si="15"/>
        <v>0</v>
      </c>
      <c r="BG7" s="19">
        <f t="shared" si="16"/>
        <v>0</v>
      </c>
      <c r="BH7" s="19"/>
      <c r="BJ7" s="18"/>
      <c r="BK7" s="18"/>
      <c r="BL7" s="18"/>
      <c r="BM7" s="18"/>
      <c r="BN7" s="18"/>
      <c r="BP7" s="18"/>
      <c r="BQ7" s="18"/>
      <c r="BR7" s="18"/>
      <c r="BS7" s="18"/>
      <c r="BT7" s="18"/>
      <c r="BV7">
        <f t="shared" si="17"/>
        <v>0</v>
      </c>
      <c r="BW7">
        <f t="shared" si="18"/>
        <v>0</v>
      </c>
      <c r="BX7">
        <f t="shared" si="19"/>
        <v>0</v>
      </c>
      <c r="BY7">
        <f t="shared" si="20"/>
        <v>0</v>
      </c>
      <c r="BZ7">
        <f t="shared" si="21"/>
        <v>0</v>
      </c>
      <c r="CA7">
        <f t="shared" si="22"/>
        <v>0</v>
      </c>
      <c r="CB7">
        <f t="shared" si="23"/>
        <v>0</v>
      </c>
      <c r="CC7">
        <f t="shared" si="24"/>
        <v>0</v>
      </c>
      <c r="CD7">
        <f t="shared" si="25"/>
        <v>0</v>
      </c>
      <c r="CE7">
        <f t="shared" si="26"/>
        <v>0</v>
      </c>
      <c r="CF7">
        <f t="shared" si="27"/>
        <v>0</v>
      </c>
      <c r="CG7">
        <f t="shared" si="28"/>
        <v>0</v>
      </c>
      <c r="CJ7" t="s">
        <v>239</v>
      </c>
    </row>
    <row r="8" spans="1:88" outlineLevel="1" x14ac:dyDescent="0.25">
      <c r="A8" s="20"/>
      <c r="B8" s="20" t="s">
        <v>51</v>
      </c>
      <c r="C8" s="21" t="s">
        <v>242</v>
      </c>
      <c r="D8" s="20">
        <v>24964341</v>
      </c>
      <c r="E8" s="21">
        <v>10</v>
      </c>
      <c r="F8" s="21">
        <v>32</v>
      </c>
      <c r="G8" s="21">
        <v>30</v>
      </c>
      <c r="I8" s="22">
        <f t="shared" si="0"/>
        <v>3.2266050000000002</v>
      </c>
      <c r="J8" s="23">
        <f t="shared" si="1"/>
        <v>0.13786512530012307</v>
      </c>
      <c r="K8" s="23">
        <f t="shared" si="2"/>
        <v>8.4529209082667159E-2</v>
      </c>
      <c r="L8" s="23">
        <f t="shared" si="3"/>
        <v>7.0157029180141384E-2</v>
      </c>
      <c r="M8" s="23">
        <f t="shared" si="4"/>
        <v>5.3335916217455932E-2</v>
      </c>
      <c r="N8" s="20">
        <f t="shared" si="5"/>
        <v>2110216</v>
      </c>
      <c r="O8" s="23">
        <f t="shared" si="6"/>
        <v>0.13291254483904941</v>
      </c>
      <c r="P8" s="24">
        <v>25894561</v>
      </c>
      <c r="Q8" s="24">
        <v>809205.03125</v>
      </c>
      <c r="R8" s="24">
        <v>24175.5625</v>
      </c>
      <c r="S8" s="25">
        <v>3441712</v>
      </c>
      <c r="T8" s="25">
        <v>1751424</v>
      </c>
      <c r="U8" s="25">
        <v>358792</v>
      </c>
      <c r="V8" s="25">
        <v>1331496</v>
      </c>
      <c r="W8" s="26">
        <v>70.889906250000024</v>
      </c>
      <c r="X8" s="26">
        <v>73.446578125000016</v>
      </c>
      <c r="Y8" s="26">
        <v>38.665531250000001</v>
      </c>
      <c r="Z8" s="26">
        <v>48.045875000000002</v>
      </c>
      <c r="AA8" s="26">
        <v>48.085965624999993</v>
      </c>
      <c r="AB8" s="27">
        <v>3372.72</v>
      </c>
      <c r="AC8" s="27">
        <v>5184.9799999999996</v>
      </c>
      <c r="AD8" s="27">
        <v>12.932</v>
      </c>
      <c r="AE8" s="27">
        <v>11.135999999999999</v>
      </c>
      <c r="AG8" s="22">
        <f t="shared" si="7"/>
        <v>3.2266050000000002</v>
      </c>
      <c r="AH8" s="23">
        <f t="shared" si="8"/>
        <v>0.13786512530012307</v>
      </c>
      <c r="AI8" s="23">
        <f t="shared" si="9"/>
        <v>8.4529209082667159E-2</v>
      </c>
      <c r="AJ8" s="23">
        <f t="shared" si="10"/>
        <v>7.0157029180141384E-2</v>
      </c>
      <c r="AK8" s="23">
        <f t="shared" si="11"/>
        <v>5.3335916217455932E-2</v>
      </c>
      <c r="AL8" s="20">
        <f t="shared" si="12"/>
        <v>2110216</v>
      </c>
      <c r="AM8" s="23">
        <f t="shared" si="13"/>
        <v>0.13291254483904941</v>
      </c>
      <c r="AN8" s="24">
        <v>25894561</v>
      </c>
      <c r="AO8" s="24">
        <v>809205.03125</v>
      </c>
      <c r="AP8" s="24">
        <v>24175.5625</v>
      </c>
      <c r="AQ8" s="25">
        <v>3441712</v>
      </c>
      <c r="AR8" s="25">
        <v>1751424</v>
      </c>
      <c r="AS8" s="25">
        <v>358792</v>
      </c>
      <c r="AT8" s="25">
        <v>1331496</v>
      </c>
      <c r="AU8" s="26">
        <v>70.889906250000024</v>
      </c>
      <c r="AV8" s="26">
        <v>73.446578125000016</v>
      </c>
      <c r="AW8" s="26">
        <v>38.665531250000001</v>
      </c>
      <c r="AX8" s="26">
        <v>48.045875000000002</v>
      </c>
      <c r="AY8" s="26">
        <v>48.085965624999993</v>
      </c>
      <c r="AZ8" s="27">
        <v>3228.18</v>
      </c>
      <c r="BA8" s="27">
        <v>4641.05</v>
      </c>
      <c r="BB8" s="27">
        <v>12.788</v>
      </c>
      <c r="BC8" s="27">
        <v>9.4960000000000004</v>
      </c>
      <c r="BE8" s="28">
        <f t="shared" si="14"/>
        <v>1</v>
      </c>
      <c r="BF8" s="29">
        <f t="shared" si="15"/>
        <v>0</v>
      </c>
      <c r="BG8" s="29">
        <f t="shared" si="16"/>
        <v>0</v>
      </c>
      <c r="BH8" s="29"/>
      <c r="BJ8" s="28"/>
      <c r="BK8" s="28"/>
      <c r="BL8" s="28"/>
      <c r="BM8" s="28"/>
      <c r="BN8" s="28"/>
      <c r="BP8" s="28"/>
      <c r="BQ8" s="28"/>
      <c r="BR8" s="28"/>
      <c r="BS8" s="28"/>
      <c r="BT8" s="28"/>
      <c r="BV8">
        <f t="shared" si="17"/>
        <v>0</v>
      </c>
      <c r="BW8">
        <f t="shared" si="18"/>
        <v>0</v>
      </c>
      <c r="BX8">
        <f t="shared" si="19"/>
        <v>0</v>
      </c>
      <c r="BY8">
        <f t="shared" si="20"/>
        <v>0</v>
      </c>
      <c r="BZ8">
        <f t="shared" si="21"/>
        <v>0</v>
      </c>
      <c r="CA8">
        <f t="shared" si="22"/>
        <v>0</v>
      </c>
      <c r="CB8">
        <f t="shared" si="23"/>
        <v>0</v>
      </c>
      <c r="CC8">
        <f t="shared" si="24"/>
        <v>0</v>
      </c>
      <c r="CD8">
        <f t="shared" si="25"/>
        <v>0</v>
      </c>
      <c r="CE8">
        <f t="shared" si="26"/>
        <v>0</v>
      </c>
      <c r="CF8">
        <f t="shared" si="27"/>
        <v>0</v>
      </c>
      <c r="CG8">
        <f t="shared" si="28"/>
        <v>0</v>
      </c>
      <c r="CJ8" t="s">
        <v>239</v>
      </c>
    </row>
    <row r="9" spans="1:88" ht="15.75" customHeight="1" outlineLevel="1" thickBot="1" x14ac:dyDescent="0.3">
      <c r="A9" s="10"/>
      <c r="B9" s="30" t="s">
        <v>51</v>
      </c>
      <c r="C9" s="31" t="s">
        <v>243</v>
      </c>
      <c r="D9" s="30">
        <v>24964341</v>
      </c>
      <c r="E9" s="31">
        <v>10</v>
      </c>
      <c r="F9" s="31">
        <v>32</v>
      </c>
      <c r="G9" s="31">
        <v>30</v>
      </c>
      <c r="I9" s="32">
        <f t="shared" si="0"/>
        <v>7.1687849999999997</v>
      </c>
      <c r="J9" s="33">
        <f t="shared" si="1"/>
        <v>0.30630506128721763</v>
      </c>
      <c r="K9" s="33">
        <f t="shared" si="2"/>
        <v>0.14852993716116922</v>
      </c>
      <c r="L9" s="33">
        <f t="shared" si="3"/>
        <v>0.11588208957728946</v>
      </c>
      <c r="M9" s="33">
        <f t="shared" si="4"/>
        <v>0.15777512412604844</v>
      </c>
      <c r="N9" s="30">
        <f t="shared" si="5"/>
        <v>3707952</v>
      </c>
      <c r="O9" s="33">
        <f t="shared" si="6"/>
        <v>0.30705760289518302</v>
      </c>
      <c r="P9" s="34">
        <v>24903158</v>
      </c>
      <c r="Q9" s="34">
        <v>778223.6875</v>
      </c>
      <c r="R9" s="34">
        <v>10544.4375</v>
      </c>
      <c r="S9" s="35">
        <v>7646704</v>
      </c>
      <c r="T9" s="35">
        <v>2892920</v>
      </c>
      <c r="U9" s="35">
        <v>815032</v>
      </c>
      <c r="V9" s="35">
        <v>3938752</v>
      </c>
      <c r="W9" s="36">
        <v>71.933821874999978</v>
      </c>
      <c r="X9" s="36">
        <v>75.246843749999996</v>
      </c>
      <c r="Y9" s="36">
        <v>41.085746875000012</v>
      </c>
      <c r="Z9" s="36">
        <v>49.582731250000002</v>
      </c>
      <c r="AA9" s="36">
        <v>49.676743750000007</v>
      </c>
      <c r="AB9" s="37">
        <v>3384.47</v>
      </c>
      <c r="AC9" s="37">
        <v>5737.88</v>
      </c>
      <c r="AD9" s="37">
        <v>10.948</v>
      </c>
      <c r="AE9" s="37">
        <v>10.92</v>
      </c>
      <c r="AG9" s="32">
        <f t="shared" si="7"/>
        <v>7.1687849999999997</v>
      </c>
      <c r="AH9" s="33">
        <f t="shared" si="8"/>
        <v>0.30630506128721763</v>
      </c>
      <c r="AI9" s="33">
        <f t="shared" si="9"/>
        <v>0.14852993716116922</v>
      </c>
      <c r="AJ9" s="33">
        <f t="shared" si="10"/>
        <v>0.11588208957728946</v>
      </c>
      <c r="AK9" s="33">
        <f t="shared" si="11"/>
        <v>0.15777512412604844</v>
      </c>
      <c r="AL9" s="30">
        <f t="shared" si="12"/>
        <v>3707952</v>
      </c>
      <c r="AM9" s="33">
        <f t="shared" si="13"/>
        <v>0.30705760289518302</v>
      </c>
      <c r="AN9" s="34">
        <v>24903158</v>
      </c>
      <c r="AO9" s="34">
        <v>778223.6875</v>
      </c>
      <c r="AP9" s="34">
        <v>10544.4375</v>
      </c>
      <c r="AQ9" s="35">
        <v>7646704</v>
      </c>
      <c r="AR9" s="35">
        <v>2892920</v>
      </c>
      <c r="AS9" s="35">
        <v>815032</v>
      </c>
      <c r="AT9" s="35">
        <v>3938752</v>
      </c>
      <c r="AU9" s="36">
        <v>71.933821874999978</v>
      </c>
      <c r="AV9" s="36">
        <v>75.246843749999996</v>
      </c>
      <c r="AW9" s="36">
        <v>41.085746875000012</v>
      </c>
      <c r="AX9" s="36">
        <v>49.582731250000002</v>
      </c>
      <c r="AY9" s="36">
        <v>49.676743750000007</v>
      </c>
      <c r="AZ9" s="37">
        <v>3259.95</v>
      </c>
      <c r="BA9" s="37">
        <v>5261.16</v>
      </c>
      <c r="BB9" s="37">
        <v>12.332000000000001</v>
      </c>
      <c r="BC9" s="37">
        <v>11.692</v>
      </c>
      <c r="BE9" s="38">
        <f t="shared" si="14"/>
        <v>1</v>
      </c>
      <c r="BF9" s="39">
        <f t="shared" si="15"/>
        <v>0</v>
      </c>
      <c r="BG9" s="39">
        <f t="shared" si="16"/>
        <v>0</v>
      </c>
      <c r="BH9" s="39"/>
      <c r="BJ9" s="38"/>
      <c r="BK9" s="38"/>
      <c r="BL9" s="38"/>
      <c r="BM9" s="38"/>
      <c r="BN9" s="38"/>
      <c r="BP9" s="38"/>
      <c r="BQ9" s="38"/>
      <c r="BR9" s="38"/>
      <c r="BS9" s="38"/>
      <c r="BT9" s="38"/>
      <c r="BV9">
        <f t="shared" si="17"/>
        <v>0</v>
      </c>
      <c r="BW9">
        <f t="shared" si="18"/>
        <v>0</v>
      </c>
      <c r="BX9">
        <f t="shared" si="19"/>
        <v>0</v>
      </c>
      <c r="BY9">
        <f t="shared" si="20"/>
        <v>0</v>
      </c>
      <c r="BZ9">
        <f t="shared" si="21"/>
        <v>0</v>
      </c>
      <c r="CA9">
        <f t="shared" si="22"/>
        <v>0</v>
      </c>
      <c r="CB9">
        <f t="shared" si="23"/>
        <v>0</v>
      </c>
      <c r="CC9">
        <f t="shared" si="24"/>
        <v>0</v>
      </c>
      <c r="CD9">
        <f t="shared" si="25"/>
        <v>0</v>
      </c>
      <c r="CE9">
        <f t="shared" si="26"/>
        <v>0</v>
      </c>
      <c r="CF9">
        <f t="shared" si="27"/>
        <v>0</v>
      </c>
      <c r="CG9">
        <f t="shared" si="28"/>
        <v>0</v>
      </c>
      <c r="CJ9" t="s">
        <v>239</v>
      </c>
    </row>
    <row r="10" spans="1:88" x14ac:dyDescent="0.25">
      <c r="A10" s="20"/>
      <c r="B10" s="20" t="s">
        <v>59</v>
      </c>
      <c r="C10" s="21" t="s">
        <v>238</v>
      </c>
      <c r="D10" s="20">
        <v>22654789</v>
      </c>
      <c r="E10" s="21">
        <v>10</v>
      </c>
      <c r="F10" s="21">
        <v>32</v>
      </c>
      <c r="G10" s="21">
        <v>30</v>
      </c>
      <c r="I10" s="22">
        <f t="shared" si="0"/>
        <v>1.981965</v>
      </c>
      <c r="J10" s="23">
        <f t="shared" si="1"/>
        <v>9.3317841097526888E-2</v>
      </c>
      <c r="K10" s="23">
        <f t="shared" si="2"/>
        <v>6.9812700528793278E-2</v>
      </c>
      <c r="L10" s="23">
        <f t="shared" si="3"/>
        <v>3.9575914831958929E-2</v>
      </c>
      <c r="M10" s="23">
        <f t="shared" si="4"/>
        <v>2.3505140568733613E-2</v>
      </c>
      <c r="N10" s="20">
        <f t="shared" si="5"/>
        <v>1581592</v>
      </c>
      <c r="O10" s="23">
        <f t="shared" si="6"/>
        <v>0.1009473627815666</v>
      </c>
      <c r="P10" s="24">
        <v>20942558</v>
      </c>
      <c r="Q10" s="24">
        <v>654454.9375</v>
      </c>
      <c r="R10" s="24">
        <v>18627.34375</v>
      </c>
      <c r="S10" s="25">
        <v>2114096</v>
      </c>
      <c r="T10" s="25">
        <v>896584</v>
      </c>
      <c r="U10" s="25">
        <v>685008</v>
      </c>
      <c r="V10" s="25">
        <v>532504</v>
      </c>
      <c r="W10" s="26">
        <v>65.984581250000019</v>
      </c>
      <c r="X10" s="26">
        <v>67.849337500000004</v>
      </c>
      <c r="Y10" s="26">
        <v>31.0182875</v>
      </c>
      <c r="Z10" s="26">
        <v>38.737306250000003</v>
      </c>
      <c r="AA10" s="26">
        <v>30.095768750000001</v>
      </c>
      <c r="AB10" s="27">
        <v>3018.95</v>
      </c>
      <c r="AC10" s="27">
        <v>4747.7700000000004</v>
      </c>
      <c r="AD10" s="27">
        <v>11.06</v>
      </c>
      <c r="AE10" s="27">
        <v>7.2839999999999998</v>
      </c>
      <c r="AG10" s="22">
        <f t="shared" si="7"/>
        <v>1.981965</v>
      </c>
      <c r="AH10" s="23">
        <f t="shared" si="8"/>
        <v>9.3317841097526888E-2</v>
      </c>
      <c r="AI10" s="23">
        <f t="shared" si="9"/>
        <v>6.9812700528793278E-2</v>
      </c>
      <c r="AJ10" s="23">
        <f t="shared" si="10"/>
        <v>3.9575914831958929E-2</v>
      </c>
      <c r="AK10" s="23">
        <f t="shared" si="11"/>
        <v>2.3505140568733613E-2</v>
      </c>
      <c r="AL10" s="20">
        <f t="shared" si="12"/>
        <v>1581592</v>
      </c>
      <c r="AM10" s="23">
        <f t="shared" si="13"/>
        <v>0.1009473627815666</v>
      </c>
      <c r="AN10" s="24">
        <v>20942558</v>
      </c>
      <c r="AO10" s="24">
        <v>654454.9375</v>
      </c>
      <c r="AP10" s="24">
        <v>18627.34375</v>
      </c>
      <c r="AQ10" s="25">
        <v>2114096</v>
      </c>
      <c r="AR10" s="25">
        <v>896584</v>
      </c>
      <c r="AS10" s="25">
        <v>685008</v>
      </c>
      <c r="AT10" s="25">
        <v>532504</v>
      </c>
      <c r="AU10" s="26">
        <v>65.984581250000019</v>
      </c>
      <c r="AV10" s="26">
        <v>67.849337500000004</v>
      </c>
      <c r="AW10" s="26">
        <v>31.0182875</v>
      </c>
      <c r="AX10" s="26">
        <v>38.737306250000003</v>
      </c>
      <c r="AY10" s="26">
        <v>30.095768750000001</v>
      </c>
      <c r="AZ10" s="27">
        <v>2969.74</v>
      </c>
      <c r="BA10" s="27">
        <v>4721.2</v>
      </c>
      <c r="BB10" s="27">
        <v>11.688000000000001</v>
      </c>
      <c r="BC10" s="27">
        <v>7.6479999999999997</v>
      </c>
      <c r="BE10" s="28">
        <f t="shared" si="14"/>
        <v>1</v>
      </c>
      <c r="BF10" s="29">
        <f t="shared" si="15"/>
        <v>0</v>
      </c>
      <c r="BG10" s="29">
        <f t="shared" si="16"/>
        <v>0</v>
      </c>
      <c r="BH10" s="29">
        <f t="array" ref="BH10">AVERAGE(AL10:AL14/AQ10:AQ14) - AVERAGE(N10:N14/S10:S14)</f>
        <v>0</v>
      </c>
      <c r="BJ10" s="28">
        <f>IF( OR(ISBLANK(N10:N14),ISBLANK(AL10:AL14), ISBLANK(W10:W14),ISBLANK(AU10:AU14)), "·", bdRateExtend( N10:N14,W10:W14, AL10:AL14,AU10:AU14))</f>
        <v>0</v>
      </c>
      <c r="BK10" s="28">
        <f>IF( OR(ISBLANK(N10:N14),ISBLANK(AL10:AL14), ISBLANK(X10:X14),ISBLANK(AV10:AV14)), "·", bdRateExtend( N10:N14,X10:X14, AL10:AL14,AV10:AV14))</f>
        <v>0</v>
      </c>
      <c r="BL10" s="28">
        <f>IF( OR(ISBLANK(V10:V14),ISBLANK(AT10:AT14), ISBLANK(Y10:Y14),ISBLANK(AW10:AW14)), "·", bdRateExtend( V10:V14,Y10:Y14, AT10:AT14,AW10:AW14))</f>
        <v>0</v>
      </c>
      <c r="BM10" s="28">
        <f>IF( OR(ISBLANK(V10:V14),ISBLANK(AT10:AT14), ISBLANK(Z10:Z14),ISBLANK(AX10:AX14)), "·", bdRateExtend( V10:V14,Z10:Z14, AT10:AT14,AX10:AX14))</f>
        <v>0</v>
      </c>
      <c r="BN10" s="28">
        <f>IF( OR(ISBLANK(V10:V14),ISBLANK(AT10:AT14), ISBLANK(AA10:AA14),ISBLANK(AY10:AY14)), "·", bdRateExtend( V10:V14,AA10:AA14, AT10:AT14,AY10:AY14))</f>
        <v>0</v>
      </c>
      <c r="BP10" s="28">
        <f>IF( OR(ISBLANK(S10:S14),ISBLANK(AQ10:AQ14), ISBLANK(W10:W14),ISBLANK(AU10:AU14)), "·", bdRateExtend( S10:S14,W10:W14, AQ10:AQ14,AU10:AU14))</f>
        <v>0</v>
      </c>
      <c r="BQ10" s="28">
        <f>IF( OR(ISBLANK(S10:S14),ISBLANK(AQ10:AQ14), ISBLANK(X10:X14),ISBLANK(AV10:AV14)), "·", bdRateExtend( S10:S14,X10:X14, AQ10:AQ14,AV10:AV14))</f>
        <v>0</v>
      </c>
      <c r="BR10" s="28">
        <f>IF( OR(ISBLANK(S10:S14),ISBLANK(AQ10:AQ14), ISBLANK(Y10:Y14),ISBLANK(AW10:AW14)), "·", bdRateExtend( S10:S14,Y10:Y14, AQ10:AQ14,AW10:AW14))</f>
        <v>0</v>
      </c>
      <c r="BS10" s="28">
        <f>IF( OR(ISBLANK(S10:S14),ISBLANK(AQ10:AQ14), ISBLANK(Z10:Z14),ISBLANK(AX10:AX14)), "·", bdRateExtend( S10:S14,Z10:Z14, AQ10:AQ14,AX10:AX14))</f>
        <v>0</v>
      </c>
      <c r="BT10" s="28">
        <f>IF( OR(ISBLANK(S10:S14),ISBLANK(AQ10:AQ14), ISBLANK(AA10:AA14),ISBLANK(AY10:AY14)), "·", bdRateExtend( S10:S14,AA10:AA14, AQ10:AQ14,AY10:AY14))</f>
        <v>0</v>
      </c>
      <c r="BV10">
        <f t="shared" si="17"/>
        <v>0</v>
      </c>
      <c r="BW10">
        <f t="shared" si="18"/>
        <v>0</v>
      </c>
      <c r="BX10">
        <f t="shared" si="19"/>
        <v>0</v>
      </c>
      <c r="BY10">
        <f t="shared" si="20"/>
        <v>0</v>
      </c>
      <c r="BZ10">
        <f t="shared" si="21"/>
        <v>0</v>
      </c>
      <c r="CA10">
        <f t="shared" si="22"/>
        <v>0</v>
      </c>
      <c r="CB10">
        <f t="shared" si="23"/>
        <v>0</v>
      </c>
      <c r="CC10">
        <f t="shared" si="24"/>
        <v>0</v>
      </c>
      <c r="CD10">
        <f t="shared" si="25"/>
        <v>0</v>
      </c>
      <c r="CE10">
        <f t="shared" si="26"/>
        <v>0</v>
      </c>
      <c r="CF10">
        <f t="shared" si="27"/>
        <v>0</v>
      </c>
      <c r="CG10">
        <f t="shared" si="28"/>
        <v>0</v>
      </c>
      <c r="CJ10" t="s">
        <v>595</v>
      </c>
    </row>
    <row r="11" spans="1:88" outlineLevel="1" x14ac:dyDescent="0.25">
      <c r="A11" s="10"/>
      <c r="B11" s="10" t="s">
        <v>59</v>
      </c>
      <c r="C11" s="11" t="s">
        <v>240</v>
      </c>
      <c r="D11" s="10">
        <v>22654789</v>
      </c>
      <c r="E11" s="11">
        <v>10</v>
      </c>
      <c r="F11" s="11">
        <v>32</v>
      </c>
      <c r="G11" s="11">
        <v>30</v>
      </c>
      <c r="I11" s="12">
        <f t="shared" si="0"/>
        <v>2.7157650000000002</v>
      </c>
      <c r="J11" s="13">
        <f t="shared" si="1"/>
        <v>0.12786771044303261</v>
      </c>
      <c r="K11" s="13">
        <f t="shared" si="2"/>
        <v>8.5688195992467645E-2</v>
      </c>
      <c r="L11" s="13">
        <f t="shared" si="3"/>
        <v>5.5451410295633295E-2</v>
      </c>
      <c r="M11" s="13">
        <f t="shared" si="4"/>
        <v>4.2179514450564955E-2</v>
      </c>
      <c r="N11" s="10">
        <f t="shared" si="5"/>
        <v>1941248</v>
      </c>
      <c r="O11" s="13">
        <f t="shared" si="6"/>
        <v>0.13029254896524639</v>
      </c>
      <c r="P11" s="14">
        <v>22233167</v>
      </c>
      <c r="Q11" s="14">
        <v>694786.46875</v>
      </c>
      <c r="R11" s="14">
        <v>22845.875</v>
      </c>
      <c r="S11" s="15">
        <v>2896816</v>
      </c>
      <c r="T11" s="15">
        <v>1256240</v>
      </c>
      <c r="U11" s="15">
        <v>685008</v>
      </c>
      <c r="V11" s="15">
        <v>955568</v>
      </c>
      <c r="W11" s="16">
        <v>67.675543749999989</v>
      </c>
      <c r="X11" s="16">
        <v>69.741678125000007</v>
      </c>
      <c r="Y11" s="16">
        <v>32.841040624999998</v>
      </c>
      <c r="Z11" s="16">
        <v>39.674550000000004</v>
      </c>
      <c r="AA11" s="16">
        <v>32.266484374999997</v>
      </c>
      <c r="AB11" s="17">
        <v>3046.77</v>
      </c>
      <c r="AC11" s="17">
        <v>5416.16</v>
      </c>
      <c r="AD11" s="17">
        <v>12.568</v>
      </c>
      <c r="AE11" s="17">
        <v>11.023999999999999</v>
      </c>
      <c r="AG11" s="12">
        <f t="shared" si="7"/>
        <v>2.7157650000000002</v>
      </c>
      <c r="AH11" s="13">
        <f t="shared" si="8"/>
        <v>0.12786771044303261</v>
      </c>
      <c r="AI11" s="13">
        <f t="shared" si="9"/>
        <v>8.5688195992467645E-2</v>
      </c>
      <c r="AJ11" s="13">
        <f t="shared" si="10"/>
        <v>5.5451410295633295E-2</v>
      </c>
      <c r="AK11" s="13">
        <f t="shared" si="11"/>
        <v>4.2179514450564955E-2</v>
      </c>
      <c r="AL11" s="10">
        <f t="shared" si="12"/>
        <v>1941248</v>
      </c>
      <c r="AM11" s="13">
        <f t="shared" si="13"/>
        <v>0.13029254896524639</v>
      </c>
      <c r="AN11" s="14">
        <v>22233167</v>
      </c>
      <c r="AO11" s="14">
        <v>694786.46875</v>
      </c>
      <c r="AP11" s="14">
        <v>22845.875</v>
      </c>
      <c r="AQ11" s="15">
        <v>2896816</v>
      </c>
      <c r="AR11" s="15">
        <v>1256240</v>
      </c>
      <c r="AS11" s="15">
        <v>685008</v>
      </c>
      <c r="AT11" s="15">
        <v>955568</v>
      </c>
      <c r="AU11" s="16">
        <v>67.675543749999989</v>
      </c>
      <c r="AV11" s="16">
        <v>69.741678125000007</v>
      </c>
      <c r="AW11" s="16">
        <v>32.841040624999998</v>
      </c>
      <c r="AX11" s="16">
        <v>39.674550000000004</v>
      </c>
      <c r="AY11" s="16">
        <v>32.266484374999997</v>
      </c>
      <c r="AZ11" s="17">
        <v>2979.99</v>
      </c>
      <c r="BA11" s="17">
        <v>5059.4399999999996</v>
      </c>
      <c r="BB11" s="17">
        <v>12.692</v>
      </c>
      <c r="BC11" s="17">
        <v>10.012</v>
      </c>
      <c r="BE11" s="18">
        <f t="shared" si="14"/>
        <v>1</v>
      </c>
      <c r="BF11" s="19">
        <f t="shared" si="15"/>
        <v>0</v>
      </c>
      <c r="BG11" s="19">
        <f t="shared" si="16"/>
        <v>0</v>
      </c>
      <c r="BH11" s="19"/>
      <c r="BJ11" s="18"/>
      <c r="BK11" s="18"/>
      <c r="BL11" s="18"/>
      <c r="BM11" s="18"/>
      <c r="BN11" s="18"/>
      <c r="BP11" s="18"/>
      <c r="BQ11" s="18"/>
      <c r="BR11" s="18"/>
      <c r="BS11" s="18"/>
      <c r="BT11" s="18"/>
      <c r="BV11">
        <f t="shared" si="17"/>
        <v>0</v>
      </c>
      <c r="BW11">
        <f t="shared" si="18"/>
        <v>0</v>
      </c>
      <c r="BX11">
        <f t="shared" si="19"/>
        <v>0</v>
      </c>
      <c r="BY11">
        <f t="shared" si="20"/>
        <v>0</v>
      </c>
      <c r="BZ11">
        <f t="shared" si="21"/>
        <v>0</v>
      </c>
      <c r="CA11">
        <f t="shared" si="22"/>
        <v>0</v>
      </c>
      <c r="CB11">
        <f t="shared" si="23"/>
        <v>0</v>
      </c>
      <c r="CC11">
        <f t="shared" si="24"/>
        <v>0</v>
      </c>
      <c r="CD11">
        <f t="shared" si="25"/>
        <v>0</v>
      </c>
      <c r="CE11">
        <f t="shared" si="26"/>
        <v>0</v>
      </c>
      <c r="CF11">
        <f t="shared" si="27"/>
        <v>0</v>
      </c>
      <c r="CG11">
        <f t="shared" si="28"/>
        <v>0</v>
      </c>
      <c r="CJ11" t="s">
        <v>595</v>
      </c>
    </row>
    <row r="12" spans="1:88" outlineLevel="1" x14ac:dyDescent="0.25">
      <c r="A12" s="20"/>
      <c r="B12" s="20" t="s">
        <v>59</v>
      </c>
      <c r="C12" s="21" t="s">
        <v>241</v>
      </c>
      <c r="D12" s="20">
        <v>22654789</v>
      </c>
      <c r="E12" s="21">
        <v>10</v>
      </c>
      <c r="F12" s="21">
        <v>32</v>
      </c>
      <c r="G12" s="21">
        <v>30</v>
      </c>
      <c r="I12" s="22">
        <f t="shared" si="0"/>
        <v>3.89154</v>
      </c>
      <c r="J12" s="23">
        <f t="shared" si="1"/>
        <v>0.18322730792151717</v>
      </c>
      <c r="K12" s="23">
        <f t="shared" si="2"/>
        <v>0.10992889847705048</v>
      </c>
      <c r="L12" s="23">
        <f t="shared" si="3"/>
        <v>7.9692112780216137E-2</v>
      </c>
      <c r="M12" s="23">
        <f t="shared" si="4"/>
        <v>7.3298409444466681E-2</v>
      </c>
      <c r="N12" s="20">
        <f t="shared" si="5"/>
        <v>2490416</v>
      </c>
      <c r="O12" s="23">
        <f t="shared" si="6"/>
        <v>0.18391644695295739</v>
      </c>
      <c r="P12" s="24">
        <v>22569901</v>
      </c>
      <c r="Q12" s="24">
        <v>705309.40625</v>
      </c>
      <c r="R12" s="24">
        <v>24354.5625</v>
      </c>
      <c r="S12" s="25">
        <v>4150976</v>
      </c>
      <c r="T12" s="25">
        <v>1805408</v>
      </c>
      <c r="U12" s="25">
        <v>685008</v>
      </c>
      <c r="V12" s="25">
        <v>1660560</v>
      </c>
      <c r="W12" s="26">
        <v>69.011218750000012</v>
      </c>
      <c r="X12" s="26">
        <v>71.364221875000013</v>
      </c>
      <c r="Y12" s="26">
        <v>34.865193750000003</v>
      </c>
      <c r="Z12" s="26">
        <v>40.663921875000007</v>
      </c>
      <c r="AA12" s="26">
        <v>34.140665624999997</v>
      </c>
      <c r="AB12" s="27">
        <v>3019.02</v>
      </c>
      <c r="AC12" s="27">
        <v>5380.97</v>
      </c>
      <c r="AD12" s="27">
        <v>12.56</v>
      </c>
      <c r="AE12" s="27">
        <v>11.416</v>
      </c>
      <c r="AG12" s="22">
        <f t="shared" si="7"/>
        <v>3.89154</v>
      </c>
      <c r="AH12" s="23">
        <f t="shared" si="8"/>
        <v>0.18322730792151717</v>
      </c>
      <c r="AI12" s="23">
        <f t="shared" si="9"/>
        <v>0.10992889847705048</v>
      </c>
      <c r="AJ12" s="23">
        <f t="shared" si="10"/>
        <v>7.9692112780216137E-2</v>
      </c>
      <c r="AK12" s="23">
        <f t="shared" si="11"/>
        <v>7.3298409444466681E-2</v>
      </c>
      <c r="AL12" s="20">
        <f t="shared" si="12"/>
        <v>2490416</v>
      </c>
      <c r="AM12" s="23">
        <f t="shared" si="13"/>
        <v>0.18391644695295739</v>
      </c>
      <c r="AN12" s="24">
        <v>22569901</v>
      </c>
      <c r="AO12" s="24">
        <v>705309.40625</v>
      </c>
      <c r="AP12" s="24">
        <v>24354.5625</v>
      </c>
      <c r="AQ12" s="25">
        <v>4150976</v>
      </c>
      <c r="AR12" s="25">
        <v>1805408</v>
      </c>
      <c r="AS12" s="25">
        <v>685008</v>
      </c>
      <c r="AT12" s="25">
        <v>1660560</v>
      </c>
      <c r="AU12" s="26">
        <v>69.011218750000012</v>
      </c>
      <c r="AV12" s="26">
        <v>71.364221875000013</v>
      </c>
      <c r="AW12" s="26">
        <v>34.865193750000003</v>
      </c>
      <c r="AX12" s="26">
        <v>40.663921875000007</v>
      </c>
      <c r="AY12" s="26">
        <v>34.140665624999997</v>
      </c>
      <c r="AZ12" s="27">
        <v>3037.42</v>
      </c>
      <c r="BA12" s="27">
        <v>6009.21</v>
      </c>
      <c r="BB12" s="27">
        <v>12.596</v>
      </c>
      <c r="BC12" s="27">
        <v>8.9960000000000004</v>
      </c>
      <c r="BE12" s="28">
        <f t="shared" si="14"/>
        <v>1</v>
      </c>
      <c r="BF12" s="29">
        <f t="shared" si="15"/>
        <v>0</v>
      </c>
      <c r="BG12" s="29">
        <f t="shared" si="16"/>
        <v>0</v>
      </c>
      <c r="BH12" s="29"/>
      <c r="BJ12" s="28"/>
      <c r="BK12" s="28"/>
      <c r="BL12" s="28"/>
      <c r="BM12" s="28"/>
      <c r="BN12" s="28"/>
      <c r="BP12" s="28"/>
      <c r="BQ12" s="28"/>
      <c r="BR12" s="28"/>
      <c r="BS12" s="28"/>
      <c r="BT12" s="28"/>
      <c r="BV12">
        <f t="shared" si="17"/>
        <v>0</v>
      </c>
      <c r="BW12">
        <f t="shared" si="18"/>
        <v>0</v>
      </c>
      <c r="BX12">
        <f t="shared" si="19"/>
        <v>0</v>
      </c>
      <c r="BY12">
        <f t="shared" si="20"/>
        <v>0</v>
      </c>
      <c r="BZ12">
        <f t="shared" si="21"/>
        <v>0</v>
      </c>
      <c r="CA12">
        <f t="shared" si="22"/>
        <v>0</v>
      </c>
      <c r="CB12">
        <f t="shared" si="23"/>
        <v>0</v>
      </c>
      <c r="CC12">
        <f t="shared" si="24"/>
        <v>0</v>
      </c>
      <c r="CD12">
        <f t="shared" si="25"/>
        <v>0</v>
      </c>
      <c r="CE12">
        <f t="shared" si="26"/>
        <v>0</v>
      </c>
      <c r="CF12">
        <f t="shared" si="27"/>
        <v>0</v>
      </c>
      <c r="CG12">
        <f t="shared" si="28"/>
        <v>0</v>
      </c>
      <c r="CJ12" t="s">
        <v>595</v>
      </c>
    </row>
    <row r="13" spans="1:88" outlineLevel="1" x14ac:dyDescent="0.25">
      <c r="A13" s="10"/>
      <c r="B13" s="10" t="s">
        <v>59</v>
      </c>
      <c r="C13" s="11" t="s">
        <v>242</v>
      </c>
      <c r="D13" s="10">
        <v>22654789</v>
      </c>
      <c r="E13" s="11">
        <v>10</v>
      </c>
      <c r="F13" s="11">
        <v>32</v>
      </c>
      <c r="G13" s="11">
        <v>30</v>
      </c>
      <c r="I13" s="12">
        <f t="shared" si="0"/>
        <v>6.4025850000000002</v>
      </c>
      <c r="J13" s="13">
        <f t="shared" si="1"/>
        <v>0.30145608506881261</v>
      </c>
      <c r="K13" s="13">
        <f t="shared" si="2"/>
        <v>0.15327832009382211</v>
      </c>
      <c r="L13" s="13">
        <f t="shared" si="3"/>
        <v>0.12304153439698776</v>
      </c>
      <c r="M13" s="13">
        <f t="shared" si="4"/>
        <v>0.14817776497499049</v>
      </c>
      <c r="N13" s="10">
        <f t="shared" si="5"/>
        <v>3472488</v>
      </c>
      <c r="O13" s="13">
        <f t="shared" si="6"/>
        <v>0.29300215376891542</v>
      </c>
      <c r="P13" s="14">
        <v>23308443</v>
      </c>
      <c r="Q13" s="14">
        <v>728388.84375</v>
      </c>
      <c r="R13" s="14">
        <v>27633.65625</v>
      </c>
      <c r="S13" s="15">
        <v>6829424</v>
      </c>
      <c r="T13" s="15">
        <v>2787480</v>
      </c>
      <c r="U13" s="15">
        <v>685008</v>
      </c>
      <c r="V13" s="15">
        <v>3356936</v>
      </c>
      <c r="W13" s="16">
        <v>70.049418750000015</v>
      </c>
      <c r="X13" s="16">
        <v>72.553224999999983</v>
      </c>
      <c r="Y13" s="16">
        <v>37.038646874999998</v>
      </c>
      <c r="Z13" s="16">
        <v>41.716037500000013</v>
      </c>
      <c r="AA13" s="16">
        <v>36.082165625000009</v>
      </c>
      <c r="AB13" s="17">
        <v>3131.1</v>
      </c>
      <c r="AC13" s="17">
        <v>6451.93</v>
      </c>
      <c r="AD13" s="17">
        <v>12.407999999999999</v>
      </c>
      <c r="AE13" s="17">
        <v>12.78</v>
      </c>
      <c r="AG13" s="12">
        <f t="shared" si="7"/>
        <v>6.4025850000000002</v>
      </c>
      <c r="AH13" s="13">
        <f t="shared" si="8"/>
        <v>0.30145608506881261</v>
      </c>
      <c r="AI13" s="13">
        <f t="shared" si="9"/>
        <v>0.15327832009382211</v>
      </c>
      <c r="AJ13" s="13">
        <f t="shared" si="10"/>
        <v>0.12304153439698776</v>
      </c>
      <c r="AK13" s="13">
        <f t="shared" si="11"/>
        <v>0.14817776497499049</v>
      </c>
      <c r="AL13" s="10">
        <f t="shared" si="12"/>
        <v>3472488</v>
      </c>
      <c r="AM13" s="13">
        <f t="shared" si="13"/>
        <v>0.29300215376891542</v>
      </c>
      <c r="AN13" s="14">
        <v>23308443</v>
      </c>
      <c r="AO13" s="14">
        <v>728388.84375</v>
      </c>
      <c r="AP13" s="14">
        <v>27633.65625</v>
      </c>
      <c r="AQ13" s="15">
        <v>6829424</v>
      </c>
      <c r="AR13" s="15">
        <v>2787480</v>
      </c>
      <c r="AS13" s="15">
        <v>685008</v>
      </c>
      <c r="AT13" s="15">
        <v>3356936</v>
      </c>
      <c r="AU13" s="16">
        <v>70.049418750000015</v>
      </c>
      <c r="AV13" s="16">
        <v>72.553224999999983</v>
      </c>
      <c r="AW13" s="16">
        <v>37.038646874999998</v>
      </c>
      <c r="AX13" s="16">
        <v>41.716037500000013</v>
      </c>
      <c r="AY13" s="16">
        <v>36.082165625000009</v>
      </c>
      <c r="AZ13" s="17">
        <v>3039.47</v>
      </c>
      <c r="BA13" s="17">
        <v>6419.88</v>
      </c>
      <c r="BB13" s="17">
        <v>12.1</v>
      </c>
      <c r="BC13" s="17">
        <v>9.452</v>
      </c>
      <c r="BE13" s="18">
        <f t="shared" si="14"/>
        <v>1</v>
      </c>
      <c r="BF13" s="19">
        <f t="shared" si="15"/>
        <v>0</v>
      </c>
      <c r="BG13" s="19">
        <f t="shared" si="16"/>
        <v>0</v>
      </c>
      <c r="BH13" s="19"/>
      <c r="BJ13" s="18"/>
      <c r="BK13" s="18"/>
      <c r="BL13" s="18"/>
      <c r="BM13" s="18"/>
      <c r="BN13" s="18"/>
      <c r="BP13" s="18"/>
      <c r="BQ13" s="18"/>
      <c r="BR13" s="18"/>
      <c r="BS13" s="18"/>
      <c r="BT13" s="18"/>
      <c r="BV13">
        <f t="shared" si="17"/>
        <v>0</v>
      </c>
      <c r="BW13">
        <f t="shared" si="18"/>
        <v>0</v>
      </c>
      <c r="BX13">
        <f t="shared" si="19"/>
        <v>0</v>
      </c>
      <c r="BY13">
        <f t="shared" si="20"/>
        <v>0</v>
      </c>
      <c r="BZ13">
        <f t="shared" si="21"/>
        <v>0</v>
      </c>
      <c r="CA13">
        <f t="shared" si="22"/>
        <v>0</v>
      </c>
      <c r="CB13">
        <f t="shared" si="23"/>
        <v>0</v>
      </c>
      <c r="CC13">
        <f t="shared" si="24"/>
        <v>0</v>
      </c>
      <c r="CD13">
        <f t="shared" si="25"/>
        <v>0</v>
      </c>
      <c r="CE13">
        <f t="shared" si="26"/>
        <v>0</v>
      </c>
      <c r="CF13">
        <f t="shared" si="27"/>
        <v>0</v>
      </c>
      <c r="CG13">
        <f t="shared" si="28"/>
        <v>0</v>
      </c>
      <c r="CJ13" t="s">
        <v>595</v>
      </c>
    </row>
    <row r="14" spans="1:88" ht="15.75" customHeight="1" outlineLevel="1" thickBot="1" x14ac:dyDescent="0.3">
      <c r="A14" s="20"/>
      <c r="B14" s="40" t="s">
        <v>59</v>
      </c>
      <c r="C14" s="41" t="s">
        <v>243</v>
      </c>
      <c r="D14" s="40">
        <v>22654789</v>
      </c>
      <c r="E14" s="41">
        <v>10</v>
      </c>
      <c r="F14" s="41">
        <v>32</v>
      </c>
      <c r="G14" s="41">
        <v>30</v>
      </c>
      <c r="I14" s="42">
        <f t="shared" si="0"/>
        <v>13.056727499999999</v>
      </c>
      <c r="J14" s="43">
        <f t="shared" si="1"/>
        <v>0.61475637667603089</v>
      </c>
      <c r="K14" s="43">
        <f t="shared" si="2"/>
        <v>0.25826486399851262</v>
      </c>
      <c r="L14" s="43">
        <f t="shared" si="3"/>
        <v>0.19969993982287806</v>
      </c>
      <c r="M14" s="43">
        <f t="shared" si="4"/>
        <v>0.35649151267751822</v>
      </c>
      <c r="N14" s="40">
        <f t="shared" si="5"/>
        <v>5850936</v>
      </c>
      <c r="O14" s="43">
        <f t="shared" si="6"/>
        <v>0.62876612696788847</v>
      </c>
      <c r="P14" s="44">
        <v>22150010</v>
      </c>
      <c r="Q14" s="44">
        <v>692187.8125</v>
      </c>
      <c r="R14" s="44">
        <v>13186.28125</v>
      </c>
      <c r="S14" s="45">
        <v>13927176</v>
      </c>
      <c r="T14" s="45">
        <v>4524160</v>
      </c>
      <c r="U14" s="45">
        <v>1326776</v>
      </c>
      <c r="V14" s="45">
        <v>8076240</v>
      </c>
      <c r="W14" s="46">
        <v>70.927415624999995</v>
      </c>
      <c r="X14" s="46">
        <v>74.638240625000023</v>
      </c>
      <c r="Y14" s="46">
        <v>39.449874999999999</v>
      </c>
      <c r="Z14" s="46">
        <v>42.965343750000002</v>
      </c>
      <c r="AA14" s="46">
        <v>38.240734375000002</v>
      </c>
      <c r="AB14" s="47">
        <v>3116.81</v>
      </c>
      <c r="AC14" s="47">
        <v>7092.46</v>
      </c>
      <c r="AD14" s="47">
        <v>12.391999999999999</v>
      </c>
      <c r="AE14" s="47">
        <v>15.428000000000001</v>
      </c>
      <c r="AG14" s="42">
        <f t="shared" si="7"/>
        <v>13.056727499999999</v>
      </c>
      <c r="AH14" s="43">
        <f t="shared" si="8"/>
        <v>0.61475637667603089</v>
      </c>
      <c r="AI14" s="43">
        <f t="shared" si="9"/>
        <v>0.25826486399851262</v>
      </c>
      <c r="AJ14" s="43">
        <f t="shared" si="10"/>
        <v>0.19969993982287806</v>
      </c>
      <c r="AK14" s="43">
        <f t="shared" si="11"/>
        <v>0.35649151267751822</v>
      </c>
      <c r="AL14" s="40">
        <f t="shared" si="12"/>
        <v>5850936</v>
      </c>
      <c r="AM14" s="43">
        <f t="shared" si="13"/>
        <v>0.62876612696788847</v>
      </c>
      <c r="AN14" s="44">
        <v>22150010</v>
      </c>
      <c r="AO14" s="44">
        <v>692187.8125</v>
      </c>
      <c r="AP14" s="44">
        <v>13186.28125</v>
      </c>
      <c r="AQ14" s="45">
        <v>13927176</v>
      </c>
      <c r="AR14" s="45">
        <v>4524160</v>
      </c>
      <c r="AS14" s="45">
        <v>1326776</v>
      </c>
      <c r="AT14" s="45">
        <v>8076240</v>
      </c>
      <c r="AU14" s="46">
        <v>70.927415624999995</v>
      </c>
      <c r="AV14" s="46">
        <v>74.638240625000023</v>
      </c>
      <c r="AW14" s="46">
        <v>39.449874999999999</v>
      </c>
      <c r="AX14" s="46">
        <v>42.965343750000002</v>
      </c>
      <c r="AY14" s="46">
        <v>38.240734375000002</v>
      </c>
      <c r="AZ14" s="47">
        <v>3220.75</v>
      </c>
      <c r="BA14" s="47">
        <v>7640.58</v>
      </c>
      <c r="BB14" s="47">
        <v>12.12</v>
      </c>
      <c r="BC14" s="47">
        <v>13.1</v>
      </c>
      <c r="BE14" s="48">
        <f t="shared" si="14"/>
        <v>1</v>
      </c>
      <c r="BF14" s="49">
        <f t="shared" si="15"/>
        <v>0</v>
      </c>
      <c r="BG14" s="49">
        <f t="shared" si="16"/>
        <v>0</v>
      </c>
      <c r="BH14" s="49"/>
      <c r="BJ14" s="48"/>
      <c r="BK14" s="48"/>
      <c r="BL14" s="48"/>
      <c r="BM14" s="48"/>
      <c r="BN14" s="48"/>
      <c r="BP14" s="48"/>
      <c r="BQ14" s="48"/>
      <c r="BR14" s="48"/>
      <c r="BS14" s="48"/>
      <c r="BT14" s="48"/>
      <c r="BV14">
        <f t="shared" si="17"/>
        <v>0</v>
      </c>
      <c r="BW14">
        <f t="shared" si="18"/>
        <v>0</v>
      </c>
      <c r="BX14">
        <f t="shared" si="19"/>
        <v>0</v>
      </c>
      <c r="BY14">
        <f t="shared" si="20"/>
        <v>0</v>
      </c>
      <c r="BZ14">
        <f t="shared" si="21"/>
        <v>0</v>
      </c>
      <c r="CA14">
        <f t="shared" si="22"/>
        <v>0</v>
      </c>
      <c r="CB14">
        <f t="shared" si="23"/>
        <v>0</v>
      </c>
      <c r="CC14">
        <f t="shared" si="24"/>
        <v>0</v>
      </c>
      <c r="CD14">
        <f t="shared" si="25"/>
        <v>0</v>
      </c>
      <c r="CE14">
        <f t="shared" si="26"/>
        <v>0</v>
      </c>
      <c r="CF14">
        <f t="shared" si="27"/>
        <v>0</v>
      </c>
      <c r="CG14">
        <f t="shared" si="28"/>
        <v>0</v>
      </c>
      <c r="CJ14" t="s">
        <v>595</v>
      </c>
    </row>
    <row r="15" spans="1:88" x14ac:dyDescent="0.25">
      <c r="A15" s="10"/>
      <c r="B15" s="10" t="s">
        <v>64</v>
      </c>
      <c r="C15" s="11" t="s">
        <v>238</v>
      </c>
      <c r="D15" s="10">
        <v>33947718</v>
      </c>
      <c r="E15" s="11">
        <v>10</v>
      </c>
      <c r="F15" s="11">
        <v>32</v>
      </c>
      <c r="G15" s="11">
        <v>30</v>
      </c>
      <c r="I15" s="12">
        <f t="shared" si="0"/>
        <v>1.6314225</v>
      </c>
      <c r="J15" s="13">
        <f t="shared" si="1"/>
        <v>5.1260706242463781E-2</v>
      </c>
      <c r="K15" s="13">
        <f t="shared" si="2"/>
        <v>4.301414310087058E-2</v>
      </c>
      <c r="L15" s="13">
        <f t="shared" si="3"/>
        <v>2.2479743704716764E-2</v>
      </c>
      <c r="M15" s="13">
        <f t="shared" si="4"/>
        <v>8.2465631415931991E-3</v>
      </c>
      <c r="N15" s="10">
        <f t="shared" si="5"/>
        <v>1460232</v>
      </c>
      <c r="O15" s="13">
        <f t="shared" si="6"/>
        <v>5.3683026669591571E-2</v>
      </c>
      <c r="P15" s="14">
        <v>32415907</v>
      </c>
      <c r="Q15" s="14">
        <v>1012997.09375</v>
      </c>
      <c r="R15" s="14">
        <v>31572.59375</v>
      </c>
      <c r="S15" s="15">
        <v>1740184</v>
      </c>
      <c r="T15" s="15">
        <v>763136</v>
      </c>
      <c r="U15" s="15">
        <v>697096</v>
      </c>
      <c r="V15" s="15">
        <v>279952</v>
      </c>
      <c r="W15" s="16">
        <v>66.291603125000009</v>
      </c>
      <c r="X15" s="16">
        <v>67.836553125000009</v>
      </c>
      <c r="Y15" s="16">
        <v>29.27991875</v>
      </c>
      <c r="Z15" s="16">
        <v>43.565681249999997</v>
      </c>
      <c r="AA15" s="16">
        <v>43.772990625000013</v>
      </c>
      <c r="AB15" s="17">
        <v>4490.75</v>
      </c>
      <c r="AC15" s="17">
        <v>4135.1899999999996</v>
      </c>
      <c r="AD15" s="17">
        <v>13.656000000000001</v>
      </c>
      <c r="AE15" s="17">
        <v>7.9279999999999999</v>
      </c>
      <c r="AG15" s="12">
        <f t="shared" si="7"/>
        <v>1.6314225</v>
      </c>
      <c r="AH15" s="13">
        <f t="shared" si="8"/>
        <v>5.1260706242463781E-2</v>
      </c>
      <c r="AI15" s="13">
        <f t="shared" si="9"/>
        <v>4.301414310087058E-2</v>
      </c>
      <c r="AJ15" s="13">
        <f t="shared" si="10"/>
        <v>2.2479743704716764E-2</v>
      </c>
      <c r="AK15" s="13">
        <f t="shared" si="11"/>
        <v>8.2465631415931991E-3</v>
      </c>
      <c r="AL15" s="10">
        <f t="shared" si="12"/>
        <v>1460232</v>
      </c>
      <c r="AM15" s="13">
        <f t="shared" si="13"/>
        <v>5.3683026669591571E-2</v>
      </c>
      <c r="AN15" s="14">
        <v>32415907</v>
      </c>
      <c r="AO15" s="14">
        <v>1012997.09375</v>
      </c>
      <c r="AP15" s="14">
        <v>31572.59375</v>
      </c>
      <c r="AQ15" s="15">
        <v>1740184</v>
      </c>
      <c r="AR15" s="15">
        <v>763136</v>
      </c>
      <c r="AS15" s="15">
        <v>697096</v>
      </c>
      <c r="AT15" s="15">
        <v>279952</v>
      </c>
      <c r="AU15" s="16">
        <v>66.291603125000009</v>
      </c>
      <c r="AV15" s="16">
        <v>67.836553125000009</v>
      </c>
      <c r="AW15" s="16">
        <v>29.27991875</v>
      </c>
      <c r="AX15" s="16">
        <v>43.565681249999997</v>
      </c>
      <c r="AY15" s="16">
        <v>43.772990625000013</v>
      </c>
      <c r="AZ15" s="17">
        <v>4700.6899999999996</v>
      </c>
      <c r="BA15" s="17">
        <v>4418.21</v>
      </c>
      <c r="BB15" s="17">
        <v>13.023999999999999</v>
      </c>
      <c r="BC15" s="17">
        <v>7.28</v>
      </c>
      <c r="BE15" s="18">
        <f t="shared" si="14"/>
        <v>1</v>
      </c>
      <c r="BF15" s="19">
        <f t="shared" si="15"/>
        <v>0</v>
      </c>
      <c r="BG15" s="19">
        <f t="shared" si="16"/>
        <v>0</v>
      </c>
      <c r="BH15" s="19">
        <f t="array" ref="BH15">AVERAGE(AL15:AL19/AQ15:AQ19) - AVERAGE(N15:N19/S15:S19)</f>
        <v>0</v>
      </c>
      <c r="BJ15" s="18">
        <f>IF( OR(ISBLANK(N15:N19),ISBLANK(AL15:AL19), ISBLANK(W15:W19),ISBLANK(AU15:AU19)), "·", bdRateExtend( N15:N19,W15:W19, AL15:AL19,AU15:AU19))</f>
        <v>0</v>
      </c>
      <c r="BK15" s="18">
        <f>IF( OR(ISBLANK(N15:N19),ISBLANK(AL15:AL19), ISBLANK(X15:X19),ISBLANK(AV15:AV19)), "·", bdRateExtend( N15:N19,X15:X19, AL15:AL19,AV15:AV19))</f>
        <v>0</v>
      </c>
      <c r="BL15" s="18">
        <f>IF( OR(ISBLANK(V15:V19),ISBLANK(AT15:AT19), ISBLANK(Y15:Y19),ISBLANK(AW15:AW19)), "·", bdRateExtend( V15:V19,Y15:Y19, AT15:AT19,AW15:AW19))</f>
        <v>0</v>
      </c>
      <c r="BM15" s="18">
        <f>IF( OR(ISBLANK(V15:V19),ISBLANK(AT15:AT19), ISBLANK(Z15:Z19),ISBLANK(AX15:AX19)), "·", bdRateExtend( V15:V19,Z15:Z19, AT15:AT19,AX15:AX19))</f>
        <v>0</v>
      </c>
      <c r="BN15" s="18">
        <f>IF( OR(ISBLANK(V15:V19),ISBLANK(AT15:AT19), ISBLANK(AA15:AA19),ISBLANK(AY15:AY19)), "·", bdRateExtend( V15:V19,AA15:AA19, AT15:AT19,AY15:AY19))</f>
        <v>0</v>
      </c>
      <c r="BP15" s="18">
        <f>IF( OR(ISBLANK(S15:S19),ISBLANK(AQ15:AQ19), ISBLANK(W15:W19),ISBLANK(AU15:AU19)), "·", bdRateExtend( S15:S19,W15:W19, AQ15:AQ19,AU15:AU19))</f>
        <v>0</v>
      </c>
      <c r="BQ15" s="18">
        <f>IF( OR(ISBLANK(S15:S19),ISBLANK(AQ15:AQ19), ISBLANK(X15:X19),ISBLANK(AV15:AV19)), "·", bdRateExtend( S15:S19,X15:X19, AQ15:AQ19,AV15:AV19))</f>
        <v>0</v>
      </c>
      <c r="BR15" s="18">
        <f>IF( OR(ISBLANK(S15:S19),ISBLANK(AQ15:AQ19), ISBLANK(Y15:Y19),ISBLANK(AW15:AW19)), "·", bdRateExtend( S15:S19,Y15:Y19, AQ15:AQ19,AW15:AW19))</f>
        <v>0</v>
      </c>
      <c r="BS15" s="18">
        <f>IF( OR(ISBLANK(S15:S19),ISBLANK(AQ15:AQ19), ISBLANK(Z15:Z19),ISBLANK(AX15:AX19)), "·", bdRateExtend( S15:S19,Z15:Z19, AQ15:AQ19,AX15:AX19))</f>
        <v>0</v>
      </c>
      <c r="BT15" s="18">
        <f>IF( OR(ISBLANK(S15:S19),ISBLANK(AQ15:AQ19), ISBLANK(AA15:AA19),ISBLANK(AY15:AY19)), "·", bdRateExtend( S15:S19,AA15:AA19, AQ15:AQ19,AY15:AY19))</f>
        <v>0</v>
      </c>
      <c r="BV15">
        <f t="shared" si="17"/>
        <v>0</v>
      </c>
      <c r="BW15">
        <f t="shared" si="18"/>
        <v>0</v>
      </c>
      <c r="BX15">
        <f t="shared" si="19"/>
        <v>0</v>
      </c>
      <c r="BY15">
        <f t="shared" si="20"/>
        <v>0</v>
      </c>
      <c r="BZ15">
        <f t="shared" si="21"/>
        <v>0</v>
      </c>
      <c r="CA15">
        <f t="shared" si="22"/>
        <v>0</v>
      </c>
      <c r="CB15">
        <f t="shared" si="23"/>
        <v>0</v>
      </c>
      <c r="CC15">
        <f t="shared" si="24"/>
        <v>0</v>
      </c>
      <c r="CD15">
        <f t="shared" si="25"/>
        <v>0</v>
      </c>
      <c r="CE15">
        <f t="shared" si="26"/>
        <v>0</v>
      </c>
      <c r="CF15">
        <f t="shared" si="27"/>
        <v>0</v>
      </c>
      <c r="CG15">
        <f t="shared" si="28"/>
        <v>0</v>
      </c>
      <c r="CJ15" t="s">
        <v>239</v>
      </c>
    </row>
    <row r="16" spans="1:88" outlineLevel="1" x14ac:dyDescent="0.25">
      <c r="A16" s="20"/>
      <c r="B16" s="20" t="s">
        <v>64</v>
      </c>
      <c r="C16" s="21" t="s">
        <v>240</v>
      </c>
      <c r="D16" s="20">
        <v>33947718</v>
      </c>
      <c r="E16" s="21">
        <v>10</v>
      </c>
      <c r="F16" s="21">
        <v>32</v>
      </c>
      <c r="G16" s="21">
        <v>30</v>
      </c>
      <c r="I16" s="22">
        <f t="shared" si="0"/>
        <v>2.1509624999999999</v>
      </c>
      <c r="J16" s="23">
        <f t="shared" si="1"/>
        <v>6.7585102480231515E-2</v>
      </c>
      <c r="K16" s="23">
        <f t="shared" si="2"/>
        <v>5.185456059226131E-2</v>
      </c>
      <c r="L16" s="23">
        <f t="shared" si="3"/>
        <v>3.1320161196107497E-2</v>
      </c>
      <c r="M16" s="23">
        <f t="shared" si="4"/>
        <v>1.5730541887970202E-2</v>
      </c>
      <c r="N16" s="20">
        <f t="shared" si="5"/>
        <v>1760344</v>
      </c>
      <c r="O16" s="23">
        <f t="shared" si="6"/>
        <v>6.7731856054071185E-2</v>
      </c>
      <c r="P16" s="24">
        <v>33874164</v>
      </c>
      <c r="Q16" s="24">
        <v>1058567.625</v>
      </c>
      <c r="R16" s="24">
        <v>36348.40625</v>
      </c>
      <c r="S16" s="25">
        <v>2294360</v>
      </c>
      <c r="T16" s="25">
        <v>1063248</v>
      </c>
      <c r="U16" s="25">
        <v>697096</v>
      </c>
      <c r="V16" s="25">
        <v>534016</v>
      </c>
      <c r="W16" s="26">
        <v>68.020284375000003</v>
      </c>
      <c r="X16" s="26">
        <v>69.988659374999997</v>
      </c>
      <c r="Y16" s="26">
        <v>31.570318749999998</v>
      </c>
      <c r="Z16" s="26">
        <v>43.970778125000002</v>
      </c>
      <c r="AA16" s="26">
        <v>44.336490624999989</v>
      </c>
      <c r="AB16" s="27">
        <v>4796.96</v>
      </c>
      <c r="AC16" s="27">
        <v>4360.34</v>
      </c>
      <c r="AD16" s="27">
        <v>13.343999999999999</v>
      </c>
      <c r="AE16" s="27">
        <v>8.3320000000000007</v>
      </c>
      <c r="AG16" s="22">
        <f t="shared" si="7"/>
        <v>2.1509624999999999</v>
      </c>
      <c r="AH16" s="23">
        <f t="shared" si="8"/>
        <v>6.7585102480231515E-2</v>
      </c>
      <c r="AI16" s="23">
        <f t="shared" si="9"/>
        <v>5.185456059226131E-2</v>
      </c>
      <c r="AJ16" s="23">
        <f t="shared" si="10"/>
        <v>3.1320161196107497E-2</v>
      </c>
      <c r="AK16" s="23">
        <f t="shared" si="11"/>
        <v>1.5730541887970202E-2</v>
      </c>
      <c r="AL16" s="20">
        <f t="shared" si="12"/>
        <v>1760344</v>
      </c>
      <c r="AM16" s="23">
        <f t="shared" si="13"/>
        <v>6.7731856054071185E-2</v>
      </c>
      <c r="AN16" s="24">
        <v>33874164</v>
      </c>
      <c r="AO16" s="24">
        <v>1058567.625</v>
      </c>
      <c r="AP16" s="24">
        <v>36348.40625</v>
      </c>
      <c r="AQ16" s="25">
        <v>2294360</v>
      </c>
      <c r="AR16" s="25">
        <v>1063248</v>
      </c>
      <c r="AS16" s="25">
        <v>697096</v>
      </c>
      <c r="AT16" s="25">
        <v>534016</v>
      </c>
      <c r="AU16" s="26">
        <v>68.020284375000003</v>
      </c>
      <c r="AV16" s="26">
        <v>69.988659374999997</v>
      </c>
      <c r="AW16" s="26">
        <v>31.570318749999998</v>
      </c>
      <c r="AX16" s="26">
        <v>43.970778125000002</v>
      </c>
      <c r="AY16" s="26">
        <v>44.336490624999989</v>
      </c>
      <c r="AZ16" s="27">
        <v>4760.25</v>
      </c>
      <c r="BA16" s="27">
        <v>4742.8999999999996</v>
      </c>
      <c r="BB16" s="27">
        <v>13.552</v>
      </c>
      <c r="BC16" s="27">
        <v>7.8479999999999999</v>
      </c>
      <c r="BE16" s="28">
        <f t="shared" si="14"/>
        <v>1</v>
      </c>
      <c r="BF16" s="29">
        <f t="shared" si="15"/>
        <v>0</v>
      </c>
      <c r="BG16" s="29">
        <f t="shared" si="16"/>
        <v>0</v>
      </c>
      <c r="BH16" s="29"/>
      <c r="BJ16" s="28"/>
      <c r="BK16" s="28"/>
      <c r="BL16" s="28"/>
      <c r="BM16" s="28"/>
      <c r="BN16" s="28"/>
      <c r="BP16" s="28"/>
      <c r="BQ16" s="28"/>
      <c r="BR16" s="28"/>
      <c r="BS16" s="28"/>
      <c r="BT16" s="28"/>
      <c r="BV16">
        <f t="shared" si="17"/>
        <v>0</v>
      </c>
      <c r="BW16">
        <f t="shared" si="18"/>
        <v>0</v>
      </c>
      <c r="BX16">
        <f t="shared" si="19"/>
        <v>0</v>
      </c>
      <c r="BY16">
        <f t="shared" si="20"/>
        <v>0</v>
      </c>
      <c r="BZ16">
        <f t="shared" si="21"/>
        <v>0</v>
      </c>
      <c r="CA16">
        <f t="shared" si="22"/>
        <v>0</v>
      </c>
      <c r="CB16">
        <f t="shared" si="23"/>
        <v>0</v>
      </c>
      <c r="CC16">
        <f t="shared" si="24"/>
        <v>0</v>
      </c>
      <c r="CD16">
        <f t="shared" si="25"/>
        <v>0</v>
      </c>
      <c r="CE16">
        <f t="shared" si="26"/>
        <v>0</v>
      </c>
      <c r="CF16">
        <f t="shared" si="27"/>
        <v>0</v>
      </c>
      <c r="CG16">
        <f t="shared" si="28"/>
        <v>0</v>
      </c>
      <c r="CJ16" t="s">
        <v>239</v>
      </c>
    </row>
    <row r="17" spans="1:88" outlineLevel="1" x14ac:dyDescent="0.25">
      <c r="A17" s="10"/>
      <c r="B17" s="10" t="s">
        <v>64</v>
      </c>
      <c r="C17" s="11" t="s">
        <v>241</v>
      </c>
      <c r="D17" s="10">
        <v>33947718</v>
      </c>
      <c r="E17" s="11">
        <v>10</v>
      </c>
      <c r="F17" s="11">
        <v>32</v>
      </c>
      <c r="G17" s="11">
        <v>30</v>
      </c>
      <c r="I17" s="12">
        <f t="shared" si="0"/>
        <v>3.1030875</v>
      </c>
      <c r="J17" s="13">
        <f t="shared" si="1"/>
        <v>9.7501693633722297E-2</v>
      </c>
      <c r="K17" s="13">
        <f t="shared" si="2"/>
        <v>6.3302752780024854E-2</v>
      </c>
      <c r="L17" s="13">
        <f t="shared" si="3"/>
        <v>4.2768353383871048E-2</v>
      </c>
      <c r="M17" s="13">
        <f t="shared" si="4"/>
        <v>3.4198940853697443E-2</v>
      </c>
      <c r="N17" s="10">
        <f t="shared" si="5"/>
        <v>2148984</v>
      </c>
      <c r="O17" s="13">
        <f t="shared" si="6"/>
        <v>9.798970941673836E-2</v>
      </c>
      <c r="P17" s="14">
        <v>33778649</v>
      </c>
      <c r="Q17" s="14">
        <v>1055582.78125</v>
      </c>
      <c r="R17" s="14">
        <v>36858.84375</v>
      </c>
      <c r="S17" s="15">
        <v>3309960</v>
      </c>
      <c r="T17" s="15">
        <v>1451888</v>
      </c>
      <c r="U17" s="15">
        <v>697096</v>
      </c>
      <c r="V17" s="15">
        <v>1160976</v>
      </c>
      <c r="W17" s="16">
        <v>69.351378124999997</v>
      </c>
      <c r="X17" s="16">
        <v>71.816215625000012</v>
      </c>
      <c r="Y17" s="16">
        <v>33.940178125000003</v>
      </c>
      <c r="Z17" s="16">
        <v>45.017137499999997</v>
      </c>
      <c r="AA17" s="16">
        <v>45.584253124999996</v>
      </c>
      <c r="AB17" s="17">
        <v>4793.7</v>
      </c>
      <c r="AC17" s="17">
        <v>4633.4799999999996</v>
      </c>
      <c r="AD17" s="17">
        <v>14.04</v>
      </c>
      <c r="AE17" s="17">
        <v>7.5920000000000014</v>
      </c>
      <c r="AG17" s="12">
        <f t="shared" si="7"/>
        <v>3.1030875</v>
      </c>
      <c r="AH17" s="13">
        <f t="shared" si="8"/>
        <v>9.7501693633722297E-2</v>
      </c>
      <c r="AI17" s="13">
        <f t="shared" si="9"/>
        <v>6.3302752780024854E-2</v>
      </c>
      <c r="AJ17" s="13">
        <f t="shared" si="10"/>
        <v>4.2768353383871048E-2</v>
      </c>
      <c r="AK17" s="13">
        <f t="shared" si="11"/>
        <v>3.4198940853697443E-2</v>
      </c>
      <c r="AL17" s="10">
        <f t="shared" si="12"/>
        <v>2148984</v>
      </c>
      <c r="AM17" s="13">
        <f t="shared" si="13"/>
        <v>9.798970941673836E-2</v>
      </c>
      <c r="AN17" s="14">
        <v>33778649</v>
      </c>
      <c r="AO17" s="14">
        <v>1055582.78125</v>
      </c>
      <c r="AP17" s="14">
        <v>36858.84375</v>
      </c>
      <c r="AQ17" s="15">
        <v>3309960</v>
      </c>
      <c r="AR17" s="15">
        <v>1451888</v>
      </c>
      <c r="AS17" s="15">
        <v>697096</v>
      </c>
      <c r="AT17" s="15">
        <v>1160976</v>
      </c>
      <c r="AU17" s="16">
        <v>69.351378124999997</v>
      </c>
      <c r="AV17" s="16">
        <v>71.816215625000012</v>
      </c>
      <c r="AW17" s="16">
        <v>33.940178125000003</v>
      </c>
      <c r="AX17" s="16">
        <v>45.017137499999997</v>
      </c>
      <c r="AY17" s="16">
        <v>45.584253124999996</v>
      </c>
      <c r="AZ17" s="17">
        <v>4707.4799999999996</v>
      </c>
      <c r="BA17" s="17">
        <v>5071.1899999999996</v>
      </c>
      <c r="BB17" s="17">
        <v>15.076000000000001</v>
      </c>
      <c r="BC17" s="17">
        <v>8.0359999999999996</v>
      </c>
      <c r="BE17" s="18">
        <f t="shared" si="14"/>
        <v>1</v>
      </c>
      <c r="BF17" s="19">
        <f t="shared" si="15"/>
        <v>0</v>
      </c>
      <c r="BG17" s="19">
        <f t="shared" si="16"/>
        <v>0</v>
      </c>
      <c r="BH17" s="19"/>
      <c r="BJ17" s="18"/>
      <c r="BK17" s="18"/>
      <c r="BL17" s="18"/>
      <c r="BM17" s="18"/>
      <c r="BN17" s="18"/>
      <c r="BP17" s="18"/>
      <c r="BQ17" s="18"/>
      <c r="BR17" s="18"/>
      <c r="BS17" s="18"/>
      <c r="BT17" s="18"/>
      <c r="BV17">
        <f t="shared" si="17"/>
        <v>0</v>
      </c>
      <c r="BW17">
        <f t="shared" si="18"/>
        <v>0</v>
      </c>
      <c r="BX17">
        <f t="shared" si="19"/>
        <v>0</v>
      </c>
      <c r="BY17">
        <f t="shared" si="20"/>
        <v>0</v>
      </c>
      <c r="BZ17">
        <f t="shared" si="21"/>
        <v>0</v>
      </c>
      <c r="CA17">
        <f t="shared" si="22"/>
        <v>0</v>
      </c>
      <c r="CB17">
        <f t="shared" si="23"/>
        <v>0</v>
      </c>
      <c r="CC17">
        <f t="shared" si="24"/>
        <v>0</v>
      </c>
      <c r="CD17">
        <f t="shared" si="25"/>
        <v>0</v>
      </c>
      <c r="CE17">
        <f t="shared" si="26"/>
        <v>0</v>
      </c>
      <c r="CF17">
        <f t="shared" si="27"/>
        <v>0</v>
      </c>
      <c r="CG17">
        <f t="shared" si="28"/>
        <v>0</v>
      </c>
      <c r="CJ17" t="s">
        <v>239</v>
      </c>
    </row>
    <row r="18" spans="1:88" outlineLevel="1" x14ac:dyDescent="0.25">
      <c r="A18" s="20"/>
      <c r="B18" s="20" t="s">
        <v>64</v>
      </c>
      <c r="C18" s="21" t="s">
        <v>242</v>
      </c>
      <c r="D18" s="20">
        <v>33947718</v>
      </c>
      <c r="E18" s="21">
        <v>10</v>
      </c>
      <c r="F18" s="21">
        <v>32</v>
      </c>
      <c r="G18" s="21">
        <v>30</v>
      </c>
      <c r="I18" s="22">
        <f t="shared" si="0"/>
        <v>5.8969874999999998</v>
      </c>
      <c r="J18" s="23">
        <f t="shared" si="1"/>
        <v>0.18528844854903059</v>
      </c>
      <c r="K18" s="23">
        <f t="shared" si="2"/>
        <v>9.4301007213504012E-2</v>
      </c>
      <c r="L18" s="23">
        <f t="shared" si="3"/>
        <v>7.3766607817350199E-2</v>
      </c>
      <c r="M18" s="23">
        <f t="shared" si="4"/>
        <v>9.0987441335526595E-2</v>
      </c>
      <c r="N18" s="20">
        <f t="shared" si="5"/>
        <v>3201304</v>
      </c>
      <c r="O18" s="23">
        <f t="shared" si="6"/>
        <v>0.18015871708818659</v>
      </c>
      <c r="P18" s="24">
        <v>34914325</v>
      </c>
      <c r="Q18" s="24">
        <v>1091072.65625</v>
      </c>
      <c r="R18" s="24">
        <v>41019.625</v>
      </c>
      <c r="S18" s="25">
        <v>6290120</v>
      </c>
      <c r="T18" s="25">
        <v>2504208</v>
      </c>
      <c r="U18" s="25">
        <v>697096</v>
      </c>
      <c r="V18" s="25">
        <v>3088816</v>
      </c>
      <c r="W18" s="26">
        <v>70.511306250000018</v>
      </c>
      <c r="X18" s="26">
        <v>73.106734374999988</v>
      </c>
      <c r="Y18" s="26">
        <v>36.227975000000001</v>
      </c>
      <c r="Z18" s="26">
        <v>46.392721875000021</v>
      </c>
      <c r="AA18" s="26">
        <v>46.880371875000009</v>
      </c>
      <c r="AB18" s="27">
        <v>4799.46</v>
      </c>
      <c r="AC18" s="27">
        <v>5110.3100000000004</v>
      </c>
      <c r="AD18" s="27">
        <v>15.984</v>
      </c>
      <c r="AE18" s="27">
        <v>12.7</v>
      </c>
      <c r="AG18" s="22">
        <f t="shared" si="7"/>
        <v>5.8969874999999998</v>
      </c>
      <c r="AH18" s="23">
        <f t="shared" si="8"/>
        <v>0.18528844854903059</v>
      </c>
      <c r="AI18" s="23">
        <f t="shared" si="9"/>
        <v>9.4301007213504012E-2</v>
      </c>
      <c r="AJ18" s="23">
        <f t="shared" si="10"/>
        <v>7.3766607817350199E-2</v>
      </c>
      <c r="AK18" s="23">
        <f t="shared" si="11"/>
        <v>9.0987441335526595E-2</v>
      </c>
      <c r="AL18" s="20">
        <f t="shared" si="12"/>
        <v>3201304</v>
      </c>
      <c r="AM18" s="23">
        <f t="shared" si="13"/>
        <v>0.18015871708818659</v>
      </c>
      <c r="AN18" s="24">
        <v>34914325</v>
      </c>
      <c r="AO18" s="24">
        <v>1091072.65625</v>
      </c>
      <c r="AP18" s="24">
        <v>41019.625</v>
      </c>
      <c r="AQ18" s="25">
        <v>6290120</v>
      </c>
      <c r="AR18" s="25">
        <v>2504208</v>
      </c>
      <c r="AS18" s="25">
        <v>697096</v>
      </c>
      <c r="AT18" s="25">
        <v>3088816</v>
      </c>
      <c r="AU18" s="26">
        <v>70.511306250000018</v>
      </c>
      <c r="AV18" s="26">
        <v>73.106734374999988</v>
      </c>
      <c r="AW18" s="26">
        <v>36.227975000000001</v>
      </c>
      <c r="AX18" s="26">
        <v>46.392721875000021</v>
      </c>
      <c r="AY18" s="26">
        <v>46.880371875000009</v>
      </c>
      <c r="AZ18" s="27">
        <v>4709.46</v>
      </c>
      <c r="BA18" s="27">
        <v>5301.76</v>
      </c>
      <c r="BB18" s="27">
        <v>15.596</v>
      </c>
      <c r="BC18" s="27">
        <v>9.3320000000000007</v>
      </c>
      <c r="BE18" s="28">
        <f t="shared" si="14"/>
        <v>1</v>
      </c>
      <c r="BF18" s="29">
        <f t="shared" si="15"/>
        <v>0</v>
      </c>
      <c r="BG18" s="29">
        <f t="shared" si="16"/>
        <v>0</v>
      </c>
      <c r="BH18" s="29"/>
      <c r="BJ18" s="28"/>
      <c r="BK18" s="28"/>
      <c r="BL18" s="28"/>
      <c r="BM18" s="28"/>
      <c r="BN18" s="28"/>
      <c r="BP18" s="28"/>
      <c r="BQ18" s="28"/>
      <c r="BR18" s="28"/>
      <c r="BS18" s="28"/>
      <c r="BT18" s="28"/>
      <c r="BV18">
        <f t="shared" si="17"/>
        <v>0</v>
      </c>
      <c r="BW18">
        <f t="shared" si="18"/>
        <v>0</v>
      </c>
      <c r="BX18">
        <f t="shared" si="19"/>
        <v>0</v>
      </c>
      <c r="BY18">
        <f t="shared" si="20"/>
        <v>0</v>
      </c>
      <c r="BZ18">
        <f t="shared" si="21"/>
        <v>0</v>
      </c>
      <c r="CA18">
        <f t="shared" si="22"/>
        <v>0</v>
      </c>
      <c r="CB18">
        <f t="shared" si="23"/>
        <v>0</v>
      </c>
      <c r="CC18">
        <f t="shared" si="24"/>
        <v>0</v>
      </c>
      <c r="CD18">
        <f t="shared" si="25"/>
        <v>0</v>
      </c>
      <c r="CE18">
        <f t="shared" si="26"/>
        <v>0</v>
      </c>
      <c r="CF18">
        <f t="shared" si="27"/>
        <v>0</v>
      </c>
      <c r="CG18">
        <f t="shared" si="28"/>
        <v>0</v>
      </c>
      <c r="CJ18" t="s">
        <v>239</v>
      </c>
    </row>
    <row r="19" spans="1:88" ht="15.75" customHeight="1" outlineLevel="1" thickBot="1" x14ac:dyDescent="0.3">
      <c r="A19" s="10"/>
      <c r="B19" s="30" t="s">
        <v>64</v>
      </c>
      <c r="C19" s="31" t="s">
        <v>243</v>
      </c>
      <c r="D19" s="30">
        <v>33947718</v>
      </c>
      <c r="E19" s="31">
        <v>10</v>
      </c>
      <c r="F19" s="31">
        <v>32</v>
      </c>
      <c r="G19" s="31">
        <v>30</v>
      </c>
      <c r="I19" s="32">
        <f t="shared" si="0"/>
        <v>14.107275</v>
      </c>
      <c r="J19" s="33">
        <f t="shared" si="1"/>
        <v>0.44326278426137511</v>
      </c>
      <c r="K19" s="33">
        <f t="shared" si="2"/>
        <v>0.16582369395197638</v>
      </c>
      <c r="L19" s="33">
        <f t="shared" si="3"/>
        <v>0.12174509049474254</v>
      </c>
      <c r="M19" s="33">
        <f t="shared" si="4"/>
        <v>0.27743909030939873</v>
      </c>
      <c r="N19" s="30">
        <f t="shared" si="5"/>
        <v>5629336</v>
      </c>
      <c r="O19" s="33">
        <f t="shared" si="6"/>
        <v>0.45572637592083681</v>
      </c>
      <c r="P19" s="34">
        <v>33019287</v>
      </c>
      <c r="Q19" s="34">
        <v>1031852.71875</v>
      </c>
      <c r="R19" s="34">
        <v>17626.4375</v>
      </c>
      <c r="S19" s="35">
        <v>15047760</v>
      </c>
      <c r="T19" s="35">
        <v>4132968</v>
      </c>
      <c r="U19" s="35">
        <v>1496368</v>
      </c>
      <c r="V19" s="35">
        <v>9418424</v>
      </c>
      <c r="W19" s="36">
        <v>71.188796875000023</v>
      </c>
      <c r="X19" s="36">
        <v>75.072268749999978</v>
      </c>
      <c r="Y19" s="36">
        <v>38.583975000000009</v>
      </c>
      <c r="Z19" s="36">
        <v>48.172518750000009</v>
      </c>
      <c r="AA19" s="36">
        <v>48.720956250000008</v>
      </c>
      <c r="AB19" s="37">
        <v>4790.51</v>
      </c>
      <c r="AC19" s="37">
        <v>5829.67</v>
      </c>
      <c r="AD19" s="37">
        <v>13.928000000000001</v>
      </c>
      <c r="AE19" s="37">
        <v>12.56</v>
      </c>
      <c r="AG19" s="32">
        <f t="shared" si="7"/>
        <v>14.107275</v>
      </c>
      <c r="AH19" s="33">
        <f t="shared" si="8"/>
        <v>0.44326278426137511</v>
      </c>
      <c r="AI19" s="33">
        <f t="shared" si="9"/>
        <v>0.16582369395197638</v>
      </c>
      <c r="AJ19" s="33">
        <f t="shared" si="10"/>
        <v>0.12174509049474254</v>
      </c>
      <c r="AK19" s="33">
        <f t="shared" si="11"/>
        <v>0.27743909030939873</v>
      </c>
      <c r="AL19" s="30">
        <f t="shared" si="12"/>
        <v>5629336</v>
      </c>
      <c r="AM19" s="33">
        <f t="shared" si="13"/>
        <v>0.45572637592083681</v>
      </c>
      <c r="AN19" s="34">
        <v>33019287</v>
      </c>
      <c r="AO19" s="34">
        <v>1031852.71875</v>
      </c>
      <c r="AP19" s="34">
        <v>17626.4375</v>
      </c>
      <c r="AQ19" s="35">
        <v>15047760</v>
      </c>
      <c r="AR19" s="35">
        <v>4132968</v>
      </c>
      <c r="AS19" s="35">
        <v>1496368</v>
      </c>
      <c r="AT19" s="35">
        <v>9418424</v>
      </c>
      <c r="AU19" s="36">
        <v>71.188796875000023</v>
      </c>
      <c r="AV19" s="36">
        <v>75.072268749999978</v>
      </c>
      <c r="AW19" s="36">
        <v>38.583975000000009</v>
      </c>
      <c r="AX19" s="36">
        <v>48.172518750000009</v>
      </c>
      <c r="AY19" s="36">
        <v>48.720956250000008</v>
      </c>
      <c r="AZ19" s="37">
        <v>4696.0600000000004</v>
      </c>
      <c r="BA19" s="37">
        <v>6113.51</v>
      </c>
      <c r="BB19" s="37">
        <v>14.28</v>
      </c>
      <c r="BC19" s="37">
        <v>11.128</v>
      </c>
      <c r="BE19" s="38">
        <f t="shared" si="14"/>
        <v>1</v>
      </c>
      <c r="BF19" s="39">
        <f t="shared" si="15"/>
        <v>0</v>
      </c>
      <c r="BG19" s="39">
        <f t="shared" si="16"/>
        <v>0</v>
      </c>
      <c r="BH19" s="39"/>
      <c r="BJ19" s="38"/>
      <c r="BK19" s="38"/>
      <c r="BL19" s="38"/>
      <c r="BM19" s="38"/>
      <c r="BN19" s="38"/>
      <c r="BP19" s="38"/>
      <c r="BQ19" s="38"/>
      <c r="BR19" s="38"/>
      <c r="BS19" s="38"/>
      <c r="BT19" s="38"/>
      <c r="BV19">
        <f t="shared" si="17"/>
        <v>0</v>
      </c>
      <c r="BW19">
        <f t="shared" si="18"/>
        <v>0</v>
      </c>
      <c r="BX19">
        <f t="shared" si="19"/>
        <v>0</v>
      </c>
      <c r="BY19">
        <f t="shared" si="20"/>
        <v>0</v>
      </c>
      <c r="BZ19">
        <f t="shared" si="21"/>
        <v>0</v>
      </c>
      <c r="CA19">
        <f t="shared" si="22"/>
        <v>0</v>
      </c>
      <c r="CB19">
        <f t="shared" si="23"/>
        <v>0</v>
      </c>
      <c r="CC19">
        <f t="shared" si="24"/>
        <v>0</v>
      </c>
      <c r="CD19">
        <f t="shared" si="25"/>
        <v>0</v>
      </c>
      <c r="CE19">
        <f t="shared" si="26"/>
        <v>0</v>
      </c>
      <c r="CF19">
        <f t="shared" si="27"/>
        <v>0</v>
      </c>
      <c r="CG19">
        <f t="shared" si="28"/>
        <v>0</v>
      </c>
      <c r="CJ19" t="s">
        <v>239</v>
      </c>
    </row>
    <row r="20" spans="1:88" x14ac:dyDescent="0.25">
      <c r="A20" s="20"/>
      <c r="B20" s="20" t="s">
        <v>70</v>
      </c>
      <c r="C20" s="21" t="s">
        <v>238</v>
      </c>
      <c r="D20" s="20">
        <v>32209643</v>
      </c>
      <c r="E20" s="21">
        <v>10</v>
      </c>
      <c r="F20" s="21">
        <v>32</v>
      </c>
      <c r="G20" s="21">
        <v>50</v>
      </c>
      <c r="I20" s="22">
        <f t="shared" si="0"/>
        <v>2.0287375000000001</v>
      </c>
      <c r="J20" s="23">
        <f t="shared" si="1"/>
        <v>4.031066100297976E-2</v>
      </c>
      <c r="K20" s="23">
        <f t="shared" si="2"/>
        <v>3.0730672798826117E-2</v>
      </c>
      <c r="L20" s="23">
        <f t="shared" si="3"/>
        <v>1.7879366126473367E-2</v>
      </c>
      <c r="M20" s="23">
        <f t="shared" si="4"/>
        <v>9.5799882041536447E-3</v>
      </c>
      <c r="N20" s="20">
        <f t="shared" si="5"/>
        <v>989824</v>
      </c>
      <c r="O20" s="23">
        <f t="shared" si="6"/>
        <v>4.2738995291011925E-2</v>
      </c>
      <c r="P20" s="24">
        <v>30379563</v>
      </c>
      <c r="Q20" s="24">
        <v>949361.34375</v>
      </c>
      <c r="R20" s="24">
        <v>28427.8125</v>
      </c>
      <c r="S20" s="25">
        <v>1298392</v>
      </c>
      <c r="T20" s="25">
        <v>575888</v>
      </c>
      <c r="U20" s="25">
        <v>413936</v>
      </c>
      <c r="V20" s="25">
        <v>308568</v>
      </c>
      <c r="W20" s="26">
        <v>67.240771874999993</v>
      </c>
      <c r="X20" s="26">
        <v>68.976050000000015</v>
      </c>
      <c r="Y20" s="26">
        <v>30.126803124999999</v>
      </c>
      <c r="Z20" s="26">
        <v>39.571609375000001</v>
      </c>
      <c r="AA20" s="26">
        <v>38.099418750000012</v>
      </c>
      <c r="AB20" s="27">
        <v>4443.16</v>
      </c>
      <c r="AC20" s="27">
        <v>4232.79</v>
      </c>
      <c r="AD20" s="27">
        <v>14.08</v>
      </c>
      <c r="AE20" s="27">
        <v>9.66</v>
      </c>
      <c r="AG20" s="22">
        <f t="shared" si="7"/>
        <v>2.0287375000000001</v>
      </c>
      <c r="AH20" s="23">
        <f t="shared" si="8"/>
        <v>4.031066100297976E-2</v>
      </c>
      <c r="AI20" s="23">
        <f t="shared" si="9"/>
        <v>3.0730672798826117E-2</v>
      </c>
      <c r="AJ20" s="23">
        <f t="shared" si="10"/>
        <v>1.7879366126473367E-2</v>
      </c>
      <c r="AK20" s="23">
        <f t="shared" si="11"/>
        <v>9.5799882041536447E-3</v>
      </c>
      <c r="AL20" s="20">
        <f t="shared" si="12"/>
        <v>989824</v>
      </c>
      <c r="AM20" s="23">
        <f t="shared" si="13"/>
        <v>4.2738995291011925E-2</v>
      </c>
      <c r="AN20" s="24">
        <v>30379563</v>
      </c>
      <c r="AO20" s="24">
        <v>949361.34375</v>
      </c>
      <c r="AP20" s="24">
        <v>28427.8125</v>
      </c>
      <c r="AQ20" s="25">
        <v>1298392</v>
      </c>
      <c r="AR20" s="25">
        <v>575888</v>
      </c>
      <c r="AS20" s="25">
        <v>413936</v>
      </c>
      <c r="AT20" s="25">
        <v>308568</v>
      </c>
      <c r="AU20" s="26">
        <v>67.240771874999993</v>
      </c>
      <c r="AV20" s="26">
        <v>68.976050000000015</v>
      </c>
      <c r="AW20" s="26">
        <v>30.126803124999999</v>
      </c>
      <c r="AX20" s="26">
        <v>39.571609375000001</v>
      </c>
      <c r="AY20" s="26">
        <v>38.099418750000012</v>
      </c>
      <c r="AZ20" s="27">
        <v>4374.22</v>
      </c>
      <c r="BA20" s="27">
        <v>4315.1000000000004</v>
      </c>
      <c r="BB20" s="27">
        <v>13.516</v>
      </c>
      <c r="BC20" s="27">
        <v>8.3840000000000003</v>
      </c>
      <c r="BE20" s="28">
        <f t="shared" si="14"/>
        <v>1</v>
      </c>
      <c r="BF20" s="29">
        <f t="shared" si="15"/>
        <v>0</v>
      </c>
      <c r="BG20" s="29">
        <f t="shared" si="16"/>
        <v>0</v>
      </c>
      <c r="BH20" s="29">
        <f t="array" ref="BH20">AVERAGE(AL20:AL24/AQ20:AQ24) - AVERAGE(N20:N24/S20:S24)</f>
        <v>0</v>
      </c>
      <c r="BJ20" s="28">
        <f>IF( OR(ISBLANK(N20:N24),ISBLANK(AL20:AL24), ISBLANK(W20:W24),ISBLANK(AU20:AU24)), "·", bdRateExtend( N20:N24,W20:W24, AL20:AL24,AU20:AU24))</f>
        <v>0</v>
      </c>
      <c r="BK20" s="28">
        <f>IF( OR(ISBLANK(N20:N24),ISBLANK(AL20:AL24), ISBLANK(X20:X24),ISBLANK(AV20:AV24)), "·", bdRateExtend( N20:N24,X20:X24, AL20:AL24,AV20:AV24))</f>
        <v>0</v>
      </c>
      <c r="BL20" s="28">
        <f>IF( OR(ISBLANK(V20:V24),ISBLANK(AT20:AT24), ISBLANK(Y20:Y24),ISBLANK(AW20:AW24)), "·", bdRateExtend( V20:V24,Y20:Y24, AT20:AT24,AW20:AW24))</f>
        <v>0</v>
      </c>
      <c r="BM20" s="28">
        <f>IF( OR(ISBLANK(V20:V24),ISBLANK(AT20:AT24), ISBLANK(Z20:Z24),ISBLANK(AX20:AX24)), "·", bdRateExtend( V20:V24,Z20:Z24, AT20:AT24,AX20:AX24))</f>
        <v>0</v>
      </c>
      <c r="BN20" s="28">
        <f>IF( OR(ISBLANK(V20:V24),ISBLANK(AT20:AT24), ISBLANK(AA20:AA24),ISBLANK(AY20:AY24)), "·", bdRateExtend( V20:V24,AA20:AA24, AT20:AT24,AY20:AY24))</f>
        <v>0</v>
      </c>
      <c r="BP20" s="28">
        <f>IF( OR(ISBLANK(S20:S24),ISBLANK(AQ20:AQ24), ISBLANK(W20:W24),ISBLANK(AU20:AU24)), "·", bdRateExtend( S20:S24,W20:W24, AQ20:AQ24,AU20:AU24))</f>
        <v>0</v>
      </c>
      <c r="BQ20" s="28">
        <f>IF( OR(ISBLANK(S20:S24),ISBLANK(AQ20:AQ24), ISBLANK(X20:X24),ISBLANK(AV20:AV24)), "·", bdRateExtend( S20:S24,X20:X24, AQ20:AQ24,AV20:AV24))</f>
        <v>0</v>
      </c>
      <c r="BR20" s="28">
        <f>IF( OR(ISBLANK(S20:S24),ISBLANK(AQ20:AQ24), ISBLANK(Y20:Y24),ISBLANK(AW20:AW24)), "·", bdRateExtend( S20:S24,Y20:Y24, AQ20:AQ24,AW20:AW24))</f>
        <v>0</v>
      </c>
      <c r="BS20" s="28">
        <f>IF( OR(ISBLANK(S20:S24),ISBLANK(AQ20:AQ24), ISBLANK(Z20:Z24),ISBLANK(AX20:AX24)), "·", bdRateExtend( S20:S24,Z20:Z24, AQ20:AQ24,AX20:AX24))</f>
        <v>0</v>
      </c>
      <c r="BT20" s="28">
        <f>IF( OR(ISBLANK(S20:S24),ISBLANK(AQ20:AQ24), ISBLANK(AA20:AA24),ISBLANK(AY20:AY24)), "·", bdRateExtend( S20:S24,AA20:AA24, AQ20:AQ24,AY20:AY24))</f>
        <v>0</v>
      </c>
      <c r="BV20">
        <f t="shared" si="17"/>
        <v>0</v>
      </c>
      <c r="BW20">
        <f t="shared" si="18"/>
        <v>0</v>
      </c>
      <c r="BX20">
        <f t="shared" si="19"/>
        <v>0</v>
      </c>
      <c r="BY20">
        <f t="shared" si="20"/>
        <v>0</v>
      </c>
      <c r="BZ20">
        <f t="shared" si="21"/>
        <v>0</v>
      </c>
      <c r="CA20">
        <f t="shared" si="22"/>
        <v>0</v>
      </c>
      <c r="CB20">
        <f t="shared" si="23"/>
        <v>0</v>
      </c>
      <c r="CC20">
        <f t="shared" si="24"/>
        <v>0</v>
      </c>
      <c r="CD20">
        <f t="shared" si="25"/>
        <v>0</v>
      </c>
      <c r="CE20">
        <f t="shared" si="26"/>
        <v>0</v>
      </c>
      <c r="CF20">
        <f t="shared" si="27"/>
        <v>0</v>
      </c>
      <c r="CG20">
        <f t="shared" si="28"/>
        <v>0</v>
      </c>
      <c r="CJ20" t="s">
        <v>245</v>
      </c>
    </row>
    <row r="21" spans="1:88" outlineLevel="1" x14ac:dyDescent="0.25">
      <c r="A21" s="10"/>
      <c r="B21" s="10" t="s">
        <v>70</v>
      </c>
      <c r="C21" s="11" t="s">
        <v>240</v>
      </c>
      <c r="D21" s="10">
        <v>32209643</v>
      </c>
      <c r="E21" s="11">
        <v>10</v>
      </c>
      <c r="F21" s="11">
        <v>32</v>
      </c>
      <c r="G21" s="11">
        <v>50</v>
      </c>
      <c r="I21" s="12">
        <f t="shared" si="0"/>
        <v>2.8500624999999999</v>
      </c>
      <c r="J21" s="13">
        <f t="shared" si="1"/>
        <v>5.6630245793162004E-2</v>
      </c>
      <c r="K21" s="13">
        <f t="shared" si="2"/>
        <v>3.652098845057053E-2</v>
      </c>
      <c r="L21" s="13">
        <f t="shared" si="3"/>
        <v>2.3669681778217783E-2</v>
      </c>
      <c r="M21" s="13">
        <f t="shared" si="4"/>
        <v>2.0109257342591471E-2</v>
      </c>
      <c r="N21" s="10">
        <f t="shared" si="5"/>
        <v>1176328</v>
      </c>
      <c r="O21" s="13">
        <f t="shared" si="6"/>
        <v>5.7546481330677669E-2</v>
      </c>
      <c r="P21" s="14">
        <v>31696812</v>
      </c>
      <c r="Q21" s="14">
        <v>990525.375</v>
      </c>
      <c r="R21" s="14">
        <v>33162.625</v>
      </c>
      <c r="S21" s="15">
        <v>1824040</v>
      </c>
      <c r="T21" s="15">
        <v>762392</v>
      </c>
      <c r="U21" s="15">
        <v>413936</v>
      </c>
      <c r="V21" s="15">
        <v>647712</v>
      </c>
      <c r="W21" s="16">
        <v>68.860878124999999</v>
      </c>
      <c r="X21" s="16">
        <v>70.982453125000006</v>
      </c>
      <c r="Y21" s="16">
        <v>31.613462500000001</v>
      </c>
      <c r="Z21" s="16">
        <v>40.539050000000003</v>
      </c>
      <c r="AA21" s="16">
        <v>39.307671874999997</v>
      </c>
      <c r="AB21" s="17">
        <v>4475</v>
      </c>
      <c r="AC21" s="17">
        <v>4454.16</v>
      </c>
      <c r="AD21" s="17">
        <v>14.268000000000001</v>
      </c>
      <c r="AE21" s="17">
        <v>10.512</v>
      </c>
      <c r="AG21" s="12">
        <f t="shared" si="7"/>
        <v>2.8500624999999999</v>
      </c>
      <c r="AH21" s="13">
        <f t="shared" si="8"/>
        <v>5.6630245793162004E-2</v>
      </c>
      <c r="AI21" s="13">
        <f t="shared" si="9"/>
        <v>3.652098845057053E-2</v>
      </c>
      <c r="AJ21" s="13">
        <f t="shared" si="10"/>
        <v>2.3669681778217783E-2</v>
      </c>
      <c r="AK21" s="13">
        <f t="shared" si="11"/>
        <v>2.0109257342591471E-2</v>
      </c>
      <c r="AL21" s="10">
        <f t="shared" si="12"/>
        <v>1176328</v>
      </c>
      <c r="AM21" s="13">
        <f t="shared" si="13"/>
        <v>5.7546481330677669E-2</v>
      </c>
      <c r="AN21" s="14">
        <v>31696812</v>
      </c>
      <c r="AO21" s="14">
        <v>990525.375</v>
      </c>
      <c r="AP21" s="14">
        <v>33162.625</v>
      </c>
      <c r="AQ21" s="15">
        <v>1824040</v>
      </c>
      <c r="AR21" s="15">
        <v>762392</v>
      </c>
      <c r="AS21" s="15">
        <v>413936</v>
      </c>
      <c r="AT21" s="15">
        <v>647712</v>
      </c>
      <c r="AU21" s="16">
        <v>68.860878124999999</v>
      </c>
      <c r="AV21" s="16">
        <v>70.982453125000006</v>
      </c>
      <c r="AW21" s="16">
        <v>31.613462500000001</v>
      </c>
      <c r="AX21" s="16">
        <v>40.539050000000003</v>
      </c>
      <c r="AY21" s="16">
        <v>39.307671874999997</v>
      </c>
      <c r="AZ21" s="17">
        <v>4384.62</v>
      </c>
      <c r="BA21" s="17">
        <v>4613.0200000000004</v>
      </c>
      <c r="BB21" s="17">
        <v>14.023999999999999</v>
      </c>
      <c r="BC21" s="17">
        <v>9.1319999999999997</v>
      </c>
      <c r="BE21" s="18">
        <f t="shared" si="14"/>
        <v>1</v>
      </c>
      <c r="BF21" s="19">
        <f t="shared" si="15"/>
        <v>0</v>
      </c>
      <c r="BG21" s="19">
        <f t="shared" si="16"/>
        <v>0</v>
      </c>
      <c r="BH21" s="19"/>
      <c r="BJ21" s="18"/>
      <c r="BK21" s="18"/>
      <c r="BL21" s="18"/>
      <c r="BM21" s="18"/>
      <c r="BN21" s="18"/>
      <c r="BP21" s="18"/>
      <c r="BQ21" s="18"/>
      <c r="BR21" s="18"/>
      <c r="BS21" s="18"/>
      <c r="BT21" s="18"/>
      <c r="BV21">
        <f t="shared" si="17"/>
        <v>0</v>
      </c>
      <c r="BW21">
        <f t="shared" si="18"/>
        <v>0</v>
      </c>
      <c r="BX21">
        <f t="shared" si="19"/>
        <v>0</v>
      </c>
      <c r="BY21">
        <f t="shared" si="20"/>
        <v>0</v>
      </c>
      <c r="BZ21">
        <f t="shared" si="21"/>
        <v>0</v>
      </c>
      <c r="CA21">
        <f t="shared" si="22"/>
        <v>0</v>
      </c>
      <c r="CB21">
        <f t="shared" si="23"/>
        <v>0</v>
      </c>
      <c r="CC21">
        <f t="shared" si="24"/>
        <v>0</v>
      </c>
      <c r="CD21">
        <f t="shared" si="25"/>
        <v>0</v>
      </c>
      <c r="CE21">
        <f t="shared" si="26"/>
        <v>0</v>
      </c>
      <c r="CF21">
        <f t="shared" si="27"/>
        <v>0</v>
      </c>
      <c r="CG21">
        <f t="shared" si="28"/>
        <v>0</v>
      </c>
      <c r="CJ21" t="s">
        <v>245</v>
      </c>
    </row>
    <row r="22" spans="1:88" outlineLevel="1" x14ac:dyDescent="0.25">
      <c r="A22" s="20"/>
      <c r="B22" s="20" t="s">
        <v>70</v>
      </c>
      <c r="C22" s="21" t="s">
        <v>241</v>
      </c>
      <c r="D22" s="20">
        <v>32209643</v>
      </c>
      <c r="E22" s="21">
        <v>10</v>
      </c>
      <c r="F22" s="21">
        <v>32</v>
      </c>
      <c r="G22" s="21">
        <v>50</v>
      </c>
      <c r="I22" s="22">
        <f t="shared" si="0"/>
        <v>4.7441000000000004</v>
      </c>
      <c r="J22" s="23">
        <f t="shared" si="1"/>
        <v>9.4264441242021837E-2</v>
      </c>
      <c r="K22" s="23">
        <f t="shared" si="2"/>
        <v>4.335471833698995E-2</v>
      </c>
      <c r="L22" s="23">
        <f t="shared" si="3"/>
        <v>3.0503411664637201E-2</v>
      </c>
      <c r="M22" s="23">
        <f t="shared" si="4"/>
        <v>5.0909722905031887E-2</v>
      </c>
      <c r="N22" s="20">
        <f t="shared" si="5"/>
        <v>1396440</v>
      </c>
      <c r="O22" s="23">
        <f t="shared" si="6"/>
        <v>9.312185435976103E-2</v>
      </c>
      <c r="P22" s="24">
        <v>32604849</v>
      </c>
      <c r="Q22" s="24">
        <v>1018901.53125</v>
      </c>
      <c r="R22" s="24">
        <v>34636.46875</v>
      </c>
      <c r="S22" s="25">
        <v>3036224</v>
      </c>
      <c r="T22" s="25">
        <v>982504</v>
      </c>
      <c r="U22" s="25">
        <v>413936</v>
      </c>
      <c r="V22" s="25">
        <v>1639784</v>
      </c>
      <c r="W22" s="26">
        <v>70.077665624999995</v>
      </c>
      <c r="X22" s="26">
        <v>72.535868750000006</v>
      </c>
      <c r="Y22" s="26">
        <v>33.592878124999999</v>
      </c>
      <c r="Z22" s="26">
        <v>41.654503124999998</v>
      </c>
      <c r="AA22" s="26">
        <v>40.562565625000012</v>
      </c>
      <c r="AB22" s="27">
        <v>4431.8</v>
      </c>
      <c r="AC22" s="27">
        <v>4749.5200000000004</v>
      </c>
      <c r="AD22" s="27">
        <v>14.228</v>
      </c>
      <c r="AE22" s="27">
        <v>11.38</v>
      </c>
      <c r="AG22" s="22">
        <f t="shared" si="7"/>
        <v>4.7441000000000004</v>
      </c>
      <c r="AH22" s="23">
        <f t="shared" si="8"/>
        <v>9.4264441242021837E-2</v>
      </c>
      <c r="AI22" s="23">
        <f t="shared" si="9"/>
        <v>4.335471833698995E-2</v>
      </c>
      <c r="AJ22" s="23">
        <f t="shared" si="10"/>
        <v>3.0503411664637201E-2</v>
      </c>
      <c r="AK22" s="23">
        <f t="shared" si="11"/>
        <v>5.0909722905031887E-2</v>
      </c>
      <c r="AL22" s="20">
        <f t="shared" si="12"/>
        <v>1396440</v>
      </c>
      <c r="AM22" s="23">
        <f t="shared" si="13"/>
        <v>9.312185435976103E-2</v>
      </c>
      <c r="AN22" s="24">
        <v>32604849</v>
      </c>
      <c r="AO22" s="24">
        <v>1018901.53125</v>
      </c>
      <c r="AP22" s="24">
        <v>34636.46875</v>
      </c>
      <c r="AQ22" s="25">
        <v>3036224</v>
      </c>
      <c r="AR22" s="25">
        <v>982504</v>
      </c>
      <c r="AS22" s="25">
        <v>413936</v>
      </c>
      <c r="AT22" s="25">
        <v>1639784</v>
      </c>
      <c r="AU22" s="26">
        <v>70.077665624999995</v>
      </c>
      <c r="AV22" s="26">
        <v>72.535868750000006</v>
      </c>
      <c r="AW22" s="26">
        <v>33.592878124999999</v>
      </c>
      <c r="AX22" s="26">
        <v>41.654503124999998</v>
      </c>
      <c r="AY22" s="26">
        <v>40.562565625000012</v>
      </c>
      <c r="AZ22" s="27">
        <v>4487.82</v>
      </c>
      <c r="BA22" s="27">
        <v>4819.1000000000004</v>
      </c>
      <c r="BB22" s="27">
        <v>14.16</v>
      </c>
      <c r="BC22" s="27">
        <v>9.6479999999999997</v>
      </c>
      <c r="BE22" s="28">
        <f t="shared" si="14"/>
        <v>1</v>
      </c>
      <c r="BF22" s="29">
        <f t="shared" si="15"/>
        <v>0</v>
      </c>
      <c r="BG22" s="29">
        <f t="shared" si="16"/>
        <v>0</v>
      </c>
      <c r="BH22" s="29"/>
      <c r="BJ22" s="28"/>
      <c r="BK22" s="28"/>
      <c r="BL22" s="28"/>
      <c r="BM22" s="28"/>
      <c r="BN22" s="28"/>
      <c r="BP22" s="28"/>
      <c r="BQ22" s="28"/>
      <c r="BR22" s="28"/>
      <c r="BS22" s="28"/>
      <c r="BT22" s="28"/>
      <c r="BV22">
        <f t="shared" si="17"/>
        <v>0</v>
      </c>
      <c r="BW22">
        <f t="shared" si="18"/>
        <v>0</v>
      </c>
      <c r="BX22">
        <f t="shared" si="19"/>
        <v>0</v>
      </c>
      <c r="BY22">
        <f t="shared" si="20"/>
        <v>0</v>
      </c>
      <c r="BZ22">
        <f t="shared" si="21"/>
        <v>0</v>
      </c>
      <c r="CA22">
        <f t="shared" si="22"/>
        <v>0</v>
      </c>
      <c r="CB22">
        <f t="shared" si="23"/>
        <v>0</v>
      </c>
      <c r="CC22">
        <f t="shared" si="24"/>
        <v>0</v>
      </c>
      <c r="CD22">
        <f t="shared" si="25"/>
        <v>0</v>
      </c>
      <c r="CE22">
        <f t="shared" si="26"/>
        <v>0</v>
      </c>
      <c r="CF22">
        <f t="shared" si="27"/>
        <v>0</v>
      </c>
      <c r="CG22">
        <f t="shared" si="28"/>
        <v>0</v>
      </c>
      <c r="CJ22" t="s">
        <v>245</v>
      </c>
    </row>
    <row r="23" spans="1:88" outlineLevel="1" x14ac:dyDescent="0.25">
      <c r="A23" s="10"/>
      <c r="B23" s="10" t="s">
        <v>70</v>
      </c>
      <c r="C23" s="11" t="s">
        <v>242</v>
      </c>
      <c r="D23" s="10">
        <v>32209643</v>
      </c>
      <c r="E23" s="11">
        <v>10</v>
      </c>
      <c r="F23" s="11">
        <v>32</v>
      </c>
      <c r="G23" s="11">
        <v>50</v>
      </c>
      <c r="I23" s="12">
        <f t="shared" si="0"/>
        <v>9.0589124999999999</v>
      </c>
      <c r="J23" s="13">
        <f t="shared" si="1"/>
        <v>0.17999901458081979</v>
      </c>
      <c r="K23" s="13">
        <f t="shared" si="2"/>
        <v>6.4348182933912063E-2</v>
      </c>
      <c r="L23" s="13">
        <f t="shared" si="3"/>
        <v>5.1496876261559313E-2</v>
      </c>
      <c r="M23" s="13">
        <f t="shared" si="4"/>
        <v>0.11565083164690773</v>
      </c>
      <c r="N23" s="10">
        <f t="shared" si="5"/>
        <v>2072632</v>
      </c>
      <c r="O23" s="13">
        <f t="shared" si="6"/>
        <v>0.17668753746192553</v>
      </c>
      <c r="P23" s="14">
        <v>32813316</v>
      </c>
      <c r="Q23" s="14">
        <v>1025416.125</v>
      </c>
      <c r="R23" s="14">
        <v>36587.4375</v>
      </c>
      <c r="S23" s="15">
        <v>5797704</v>
      </c>
      <c r="T23" s="15">
        <v>1658696</v>
      </c>
      <c r="U23" s="15">
        <v>413936</v>
      </c>
      <c r="V23" s="15">
        <v>3725072</v>
      </c>
      <c r="W23" s="16">
        <v>71.028415624999994</v>
      </c>
      <c r="X23" s="16">
        <v>73.777868749999996</v>
      </c>
      <c r="Y23" s="16">
        <v>35.446831249999988</v>
      </c>
      <c r="Z23" s="16">
        <v>42.698043749999989</v>
      </c>
      <c r="AA23" s="16">
        <v>41.52419062500001</v>
      </c>
      <c r="AB23" s="17">
        <v>4513.7700000000004</v>
      </c>
      <c r="AC23" s="17">
        <v>5089.75</v>
      </c>
      <c r="AD23" s="17">
        <v>14.488</v>
      </c>
      <c r="AE23" s="17">
        <v>10.632</v>
      </c>
      <c r="AG23" s="12">
        <f t="shared" si="7"/>
        <v>9.0589124999999999</v>
      </c>
      <c r="AH23" s="13">
        <f t="shared" si="8"/>
        <v>0.17999901458081979</v>
      </c>
      <c r="AI23" s="13">
        <f t="shared" si="9"/>
        <v>6.4348182933912063E-2</v>
      </c>
      <c r="AJ23" s="13">
        <f t="shared" si="10"/>
        <v>5.1496876261559313E-2</v>
      </c>
      <c r="AK23" s="13">
        <f t="shared" si="11"/>
        <v>0.11565083164690773</v>
      </c>
      <c r="AL23" s="10">
        <f t="shared" si="12"/>
        <v>2072632</v>
      </c>
      <c r="AM23" s="13">
        <f t="shared" si="13"/>
        <v>0.17668753746192553</v>
      </c>
      <c r="AN23" s="14">
        <v>32813316</v>
      </c>
      <c r="AO23" s="14">
        <v>1025416.125</v>
      </c>
      <c r="AP23" s="14">
        <v>36587.4375</v>
      </c>
      <c r="AQ23" s="15">
        <v>5797704</v>
      </c>
      <c r="AR23" s="15">
        <v>1658696</v>
      </c>
      <c r="AS23" s="15">
        <v>413936</v>
      </c>
      <c r="AT23" s="15">
        <v>3725072</v>
      </c>
      <c r="AU23" s="16">
        <v>71.028415624999994</v>
      </c>
      <c r="AV23" s="16">
        <v>73.777868749999996</v>
      </c>
      <c r="AW23" s="16">
        <v>35.446831249999988</v>
      </c>
      <c r="AX23" s="16">
        <v>42.698043749999989</v>
      </c>
      <c r="AY23" s="16">
        <v>41.52419062500001</v>
      </c>
      <c r="AZ23" s="17">
        <v>4366.67</v>
      </c>
      <c r="BA23" s="17">
        <v>5211.79</v>
      </c>
      <c r="BB23" s="17">
        <v>13.888</v>
      </c>
      <c r="BC23" s="17">
        <v>9.9720000000000013</v>
      </c>
      <c r="BE23" s="18">
        <f t="shared" si="14"/>
        <v>1</v>
      </c>
      <c r="BF23" s="19">
        <f t="shared" si="15"/>
        <v>0</v>
      </c>
      <c r="BG23" s="19">
        <f t="shared" si="16"/>
        <v>0</v>
      </c>
      <c r="BH23" s="19"/>
      <c r="BJ23" s="18"/>
      <c r="BK23" s="18"/>
      <c r="BL23" s="18"/>
      <c r="BM23" s="18"/>
      <c r="BN23" s="18"/>
      <c r="BP23" s="18"/>
      <c r="BQ23" s="18"/>
      <c r="BR23" s="18"/>
      <c r="BS23" s="18"/>
      <c r="BT23" s="18"/>
      <c r="BV23">
        <f t="shared" si="17"/>
        <v>0</v>
      </c>
      <c r="BW23">
        <f t="shared" si="18"/>
        <v>0</v>
      </c>
      <c r="BX23">
        <f t="shared" si="19"/>
        <v>0</v>
      </c>
      <c r="BY23">
        <f t="shared" si="20"/>
        <v>0</v>
      </c>
      <c r="BZ23">
        <f t="shared" si="21"/>
        <v>0</v>
      </c>
      <c r="CA23">
        <f t="shared" si="22"/>
        <v>0</v>
      </c>
      <c r="CB23">
        <f t="shared" si="23"/>
        <v>0</v>
      </c>
      <c r="CC23">
        <f t="shared" si="24"/>
        <v>0</v>
      </c>
      <c r="CD23">
        <f t="shared" si="25"/>
        <v>0</v>
      </c>
      <c r="CE23">
        <f t="shared" si="26"/>
        <v>0</v>
      </c>
      <c r="CF23">
        <f t="shared" si="27"/>
        <v>0</v>
      </c>
      <c r="CG23">
        <f t="shared" si="28"/>
        <v>0</v>
      </c>
      <c r="CJ23" t="s">
        <v>245</v>
      </c>
    </row>
    <row r="24" spans="1:88" ht="15.75" customHeight="1" outlineLevel="1" thickBot="1" x14ac:dyDescent="0.3">
      <c r="A24" s="40"/>
      <c r="B24" s="40" t="s">
        <v>70</v>
      </c>
      <c r="C24" s="41" t="s">
        <v>243</v>
      </c>
      <c r="D24" s="40">
        <v>32209643</v>
      </c>
      <c r="E24" s="41">
        <v>10</v>
      </c>
      <c r="F24" s="41">
        <v>32</v>
      </c>
      <c r="G24" s="41">
        <v>50</v>
      </c>
      <c r="I24" s="42">
        <f t="shared" si="0"/>
        <v>17.8507</v>
      </c>
      <c r="J24" s="43">
        <f t="shared" si="1"/>
        <v>0.35469030190741324</v>
      </c>
      <c r="K24" s="43">
        <f t="shared" si="2"/>
        <v>0.11080656808273225</v>
      </c>
      <c r="L24" s="43">
        <f t="shared" si="3"/>
        <v>8.2587192909899687E-2</v>
      </c>
      <c r="M24" s="43">
        <f t="shared" si="4"/>
        <v>0.24388373382468101</v>
      </c>
      <c r="N24" s="40">
        <f t="shared" si="5"/>
        <v>3569040</v>
      </c>
      <c r="O24" s="43">
        <f t="shared" si="6"/>
        <v>0.36529022071629758</v>
      </c>
      <c r="P24" s="44">
        <v>31274990</v>
      </c>
      <c r="Q24" s="44">
        <v>977343.4375</v>
      </c>
      <c r="R24" s="44">
        <v>17772.0625</v>
      </c>
      <c r="S24" s="45">
        <v>11424448</v>
      </c>
      <c r="T24" s="45">
        <v>2660104</v>
      </c>
      <c r="U24" s="45">
        <v>908936</v>
      </c>
      <c r="V24" s="45">
        <v>7855408</v>
      </c>
      <c r="W24" s="46">
        <v>71.773606250000014</v>
      </c>
      <c r="X24" s="46">
        <v>75.813893750000005</v>
      </c>
      <c r="Y24" s="46">
        <v>36.891021874999993</v>
      </c>
      <c r="Z24" s="46">
        <v>43.496731250000003</v>
      </c>
      <c r="AA24" s="46">
        <v>42.067771874999998</v>
      </c>
      <c r="AB24" s="47">
        <v>4464.1499999999996</v>
      </c>
      <c r="AC24" s="47">
        <v>5622.13</v>
      </c>
      <c r="AD24" s="47">
        <v>14</v>
      </c>
      <c r="AE24" s="47">
        <v>11.52</v>
      </c>
      <c r="AG24" s="42">
        <f t="shared" si="7"/>
        <v>17.8507</v>
      </c>
      <c r="AH24" s="43">
        <f t="shared" si="8"/>
        <v>0.35469030190741324</v>
      </c>
      <c r="AI24" s="43">
        <f t="shared" si="9"/>
        <v>0.11080656808273225</v>
      </c>
      <c r="AJ24" s="43">
        <f t="shared" si="10"/>
        <v>8.2587192909899687E-2</v>
      </c>
      <c r="AK24" s="43">
        <f t="shared" si="11"/>
        <v>0.24388373382468101</v>
      </c>
      <c r="AL24" s="40">
        <f t="shared" si="12"/>
        <v>3569040</v>
      </c>
      <c r="AM24" s="43">
        <f t="shared" si="13"/>
        <v>0.36529022071629758</v>
      </c>
      <c r="AN24" s="44">
        <v>31274990</v>
      </c>
      <c r="AO24" s="44">
        <v>977343.4375</v>
      </c>
      <c r="AP24" s="44">
        <v>17772.0625</v>
      </c>
      <c r="AQ24" s="45">
        <v>11424448</v>
      </c>
      <c r="AR24" s="45">
        <v>2660104</v>
      </c>
      <c r="AS24" s="45">
        <v>908936</v>
      </c>
      <c r="AT24" s="45">
        <v>7855408</v>
      </c>
      <c r="AU24" s="46">
        <v>71.773606250000014</v>
      </c>
      <c r="AV24" s="46">
        <v>75.813893750000005</v>
      </c>
      <c r="AW24" s="46">
        <v>36.891021874999993</v>
      </c>
      <c r="AX24" s="46">
        <v>43.496731250000003</v>
      </c>
      <c r="AY24" s="46">
        <v>42.067771874999998</v>
      </c>
      <c r="AZ24" s="47">
        <v>4317.46</v>
      </c>
      <c r="BA24" s="47">
        <v>6202.97</v>
      </c>
      <c r="BB24" s="47">
        <v>13.688000000000001</v>
      </c>
      <c r="BC24" s="47">
        <v>11.608000000000001</v>
      </c>
      <c r="BE24" s="48">
        <f t="shared" si="14"/>
        <v>1</v>
      </c>
      <c r="BF24" s="49">
        <f t="shared" si="15"/>
        <v>0</v>
      </c>
      <c r="BG24" s="49">
        <f t="shared" si="16"/>
        <v>0</v>
      </c>
      <c r="BH24" s="49"/>
      <c r="BJ24" s="48"/>
      <c r="BK24" s="48"/>
      <c r="BL24" s="48"/>
      <c r="BM24" s="48"/>
      <c r="BN24" s="48"/>
      <c r="BP24" s="48"/>
      <c r="BQ24" s="48"/>
      <c r="BR24" s="48"/>
      <c r="BS24" s="48"/>
      <c r="BT24" s="48"/>
      <c r="BV24">
        <f t="shared" si="17"/>
        <v>0</v>
      </c>
      <c r="BW24">
        <f t="shared" si="18"/>
        <v>0</v>
      </c>
      <c r="BX24">
        <f t="shared" si="19"/>
        <v>0</v>
      </c>
      <c r="BY24">
        <f t="shared" si="20"/>
        <v>0</v>
      </c>
      <c r="BZ24">
        <f t="shared" si="21"/>
        <v>0</v>
      </c>
      <c r="CA24">
        <f t="shared" si="22"/>
        <v>0</v>
      </c>
      <c r="CB24">
        <f t="shared" si="23"/>
        <v>0</v>
      </c>
      <c r="CC24">
        <f t="shared" si="24"/>
        <v>0</v>
      </c>
      <c r="CD24">
        <f t="shared" si="25"/>
        <v>0</v>
      </c>
      <c r="CE24">
        <f t="shared" si="26"/>
        <v>0</v>
      </c>
      <c r="CF24">
        <f t="shared" si="27"/>
        <v>0</v>
      </c>
      <c r="CG24">
        <f t="shared" si="28"/>
        <v>0</v>
      </c>
      <c r="CJ24" t="s">
        <v>245</v>
      </c>
    </row>
    <row r="25" spans="1:88" x14ac:dyDescent="0.25">
      <c r="A25" s="10" t="s">
        <v>246</v>
      </c>
      <c r="B25" s="10" t="s">
        <v>73</v>
      </c>
      <c r="C25" s="11" t="s">
        <v>238</v>
      </c>
      <c r="D25" s="10">
        <v>25312408</v>
      </c>
      <c r="E25" s="11">
        <v>10</v>
      </c>
      <c r="F25" s="11">
        <v>32</v>
      </c>
      <c r="G25" s="11">
        <v>30</v>
      </c>
      <c r="I25" s="12">
        <f t="shared" si="0"/>
        <v>2.0735399999999999</v>
      </c>
      <c r="J25" s="13">
        <f t="shared" si="1"/>
        <v>8.7379122523625563E-2</v>
      </c>
      <c r="K25" s="13">
        <f t="shared" si="2"/>
        <v>5.6512363422713478E-2</v>
      </c>
      <c r="L25" s="13">
        <f t="shared" si="3"/>
        <v>3.4663158084367159E-2</v>
      </c>
      <c r="M25" s="13">
        <f t="shared" si="4"/>
        <v>3.0866759100912092E-2</v>
      </c>
      <c r="N25" s="10">
        <f t="shared" si="5"/>
        <v>1430464</v>
      </c>
      <c r="O25" s="13">
        <f t="shared" si="6"/>
        <v>9.4424589697054639E-2</v>
      </c>
      <c r="P25" s="14">
        <v>23423729</v>
      </c>
      <c r="Q25" s="14">
        <v>731991.53125</v>
      </c>
      <c r="R25" s="14">
        <v>14345.71875</v>
      </c>
      <c r="S25" s="15">
        <v>2211776</v>
      </c>
      <c r="T25" s="15">
        <v>877408</v>
      </c>
      <c r="U25" s="15">
        <v>553056</v>
      </c>
      <c r="V25" s="15">
        <v>781312</v>
      </c>
      <c r="W25" s="16">
        <v>66.249403125000001</v>
      </c>
      <c r="X25" s="16">
        <v>67.991318749999991</v>
      </c>
      <c r="Y25" s="16">
        <v>25.936146874999999</v>
      </c>
      <c r="Z25" s="16">
        <v>32.464821874999991</v>
      </c>
      <c r="AA25" s="16">
        <v>31.66717812500001</v>
      </c>
      <c r="AB25" s="17">
        <v>1565.73</v>
      </c>
      <c r="AC25" s="17">
        <v>5574.15</v>
      </c>
      <c r="AD25" s="17">
        <v>13.263999999999999</v>
      </c>
      <c r="AE25" s="17">
        <v>11.8</v>
      </c>
      <c r="AG25" s="12">
        <f t="shared" si="7"/>
        <v>2.0735399999999999</v>
      </c>
      <c r="AH25" s="13">
        <f t="shared" si="8"/>
        <v>8.7379122523625563E-2</v>
      </c>
      <c r="AI25" s="13">
        <f t="shared" si="9"/>
        <v>5.6512363422713478E-2</v>
      </c>
      <c r="AJ25" s="13">
        <f t="shared" si="10"/>
        <v>3.4663158084367159E-2</v>
      </c>
      <c r="AK25" s="13">
        <f t="shared" si="11"/>
        <v>3.0866759100912092E-2</v>
      </c>
      <c r="AL25" s="10">
        <f t="shared" si="12"/>
        <v>1430464</v>
      </c>
      <c r="AM25" s="13">
        <f t="shared" si="13"/>
        <v>9.4424589697054639E-2</v>
      </c>
      <c r="AN25" s="14">
        <v>23423729</v>
      </c>
      <c r="AO25" s="14">
        <v>731991.53125</v>
      </c>
      <c r="AP25" s="14">
        <v>14345.71875</v>
      </c>
      <c r="AQ25" s="15">
        <v>2211776</v>
      </c>
      <c r="AR25" s="15">
        <v>877408</v>
      </c>
      <c r="AS25" s="15">
        <v>553056</v>
      </c>
      <c r="AT25" s="15">
        <v>781312</v>
      </c>
      <c r="AU25" s="16">
        <v>66.249403125000001</v>
      </c>
      <c r="AV25" s="16">
        <v>67.991318749999991</v>
      </c>
      <c r="AW25" s="16">
        <v>25.936146874999999</v>
      </c>
      <c r="AX25" s="16">
        <v>32.464821874999991</v>
      </c>
      <c r="AY25" s="16">
        <v>31.66717812500001</v>
      </c>
      <c r="AZ25" s="17">
        <v>1530.49</v>
      </c>
      <c r="BA25" s="17">
        <v>6001.17</v>
      </c>
      <c r="BB25" s="17">
        <v>12.875999999999999</v>
      </c>
      <c r="BC25" s="17">
        <v>8.2479999999999993</v>
      </c>
      <c r="BE25" s="18">
        <f t="shared" si="14"/>
        <v>1</v>
      </c>
      <c r="BF25" s="19">
        <f t="shared" si="15"/>
        <v>0</v>
      </c>
      <c r="BG25" s="19">
        <f t="shared" si="16"/>
        <v>0</v>
      </c>
      <c r="BH25" s="19">
        <f t="array" ref="BH25">AVERAGE(AL25:AL29/AQ25:AQ29) - AVERAGE(N25:N29/S25:S29)</f>
        <v>0</v>
      </c>
      <c r="BJ25" s="18">
        <f>IF( OR(ISBLANK(N25:N29),ISBLANK(AL25:AL29), ISBLANK(W25:W29),ISBLANK(AU25:AU29)), "·", bdRateExtend( N25:N29,W25:W29, AL25:AL29,AU25:AU29))</f>
        <v>0</v>
      </c>
      <c r="BK25" s="18">
        <f>IF( OR(ISBLANK(N25:N29),ISBLANK(AL25:AL29), ISBLANK(X25:X29),ISBLANK(AV25:AV29)), "·", bdRateExtend( N25:N29,X25:X29, AL25:AL29,AV25:AV29))</f>
        <v>0</v>
      </c>
      <c r="BL25" s="18">
        <f>IF( OR(ISBLANK(V25:V29),ISBLANK(AT25:AT29), ISBLANK(Y25:Y29),ISBLANK(AW25:AW29)), "·", bdRateExtend( V25:V29,Y25:Y29, AT25:AT29,AW25:AW29))</f>
        <v>0</v>
      </c>
      <c r="BM25" s="18">
        <f>IF( OR(ISBLANK(V25:V29),ISBLANK(AT25:AT29), ISBLANK(Z25:Z29),ISBLANK(AX25:AX29)), "·", bdRateExtend( V25:V29,Z25:Z29, AT25:AT29,AX25:AX29))</f>
        <v>0</v>
      </c>
      <c r="BN25" s="18">
        <f>IF( OR(ISBLANK(V25:V29),ISBLANK(AT25:AT29), ISBLANK(AA25:AA29),ISBLANK(AY25:AY29)), "·", bdRateExtend( V25:V29,AA25:AA29, AT25:AT29,AY25:AY29))</f>
        <v>0</v>
      </c>
      <c r="BP25" s="18">
        <f>IF( OR(ISBLANK(S25:S29),ISBLANK(AQ25:AQ29), ISBLANK(W25:W29),ISBLANK(AU25:AU29)), "·", bdRateExtend( S25:S29,W25:W29, AQ25:AQ29,AU25:AU29))</f>
        <v>0</v>
      </c>
      <c r="BQ25" s="18">
        <f>IF( OR(ISBLANK(S25:S29),ISBLANK(AQ25:AQ29), ISBLANK(X25:X29),ISBLANK(AV25:AV29)), "·", bdRateExtend( S25:S29,X25:X29, AQ25:AQ29,AV25:AV29))</f>
        <v>0</v>
      </c>
      <c r="BR25" s="18">
        <f>IF( OR(ISBLANK(S25:S29),ISBLANK(AQ25:AQ29), ISBLANK(Y25:Y29),ISBLANK(AW25:AW29)), "·", bdRateExtend( S25:S29,Y25:Y29, AQ25:AQ29,AW25:AW29))</f>
        <v>0</v>
      </c>
      <c r="BS25" s="18">
        <f>IF( OR(ISBLANK(S25:S29),ISBLANK(AQ25:AQ29), ISBLANK(Z25:Z29),ISBLANK(AX25:AX29)), "·", bdRateExtend( S25:S29,Z25:Z29, AQ25:AQ29,AX25:AX29))</f>
        <v>0</v>
      </c>
      <c r="BT25" s="18">
        <f>IF( OR(ISBLANK(S25:S29),ISBLANK(AQ25:AQ29), ISBLANK(AA25:AA29),ISBLANK(AY25:AY29)), "·", bdRateExtend( S25:S29,AA25:AA29, AQ25:AQ29,AY25:AY29))</f>
        <v>0</v>
      </c>
      <c r="BV25">
        <f t="shared" si="17"/>
        <v>0</v>
      </c>
      <c r="BW25">
        <f t="shared" si="18"/>
        <v>0</v>
      </c>
      <c r="BX25">
        <f t="shared" si="19"/>
        <v>0</v>
      </c>
      <c r="BY25">
        <f t="shared" si="20"/>
        <v>0</v>
      </c>
      <c r="BZ25">
        <f t="shared" si="21"/>
        <v>0</v>
      </c>
      <c r="CA25">
        <f t="shared" si="22"/>
        <v>0</v>
      </c>
      <c r="CB25">
        <f t="shared" si="23"/>
        <v>0</v>
      </c>
      <c r="CC25">
        <f t="shared" si="24"/>
        <v>0</v>
      </c>
      <c r="CD25">
        <f t="shared" si="25"/>
        <v>0</v>
      </c>
      <c r="CE25">
        <f t="shared" si="26"/>
        <v>0</v>
      </c>
      <c r="CF25">
        <f t="shared" si="27"/>
        <v>0</v>
      </c>
      <c r="CG25">
        <f t="shared" si="28"/>
        <v>0</v>
      </c>
      <c r="CJ25" t="s">
        <v>587</v>
      </c>
    </row>
    <row r="26" spans="1:88" outlineLevel="1" x14ac:dyDescent="0.25">
      <c r="A26" s="20"/>
      <c r="B26" s="20" t="s">
        <v>73</v>
      </c>
      <c r="C26" s="21" t="s">
        <v>240</v>
      </c>
      <c r="D26" s="20">
        <v>25312408</v>
      </c>
      <c r="E26" s="21">
        <v>10</v>
      </c>
      <c r="F26" s="21">
        <v>32</v>
      </c>
      <c r="G26" s="21">
        <v>30</v>
      </c>
      <c r="I26" s="22">
        <f t="shared" si="0"/>
        <v>3.2316224999999998</v>
      </c>
      <c r="J26" s="23">
        <f t="shared" si="1"/>
        <v>0.13618080113120806</v>
      </c>
      <c r="K26" s="23">
        <f t="shared" si="2"/>
        <v>7.1090826285669859E-2</v>
      </c>
      <c r="L26" s="23">
        <f t="shared" si="3"/>
        <v>4.9241620947323539E-2</v>
      </c>
      <c r="M26" s="23">
        <f t="shared" si="4"/>
        <v>6.5089974845538204E-2</v>
      </c>
      <c r="N26" s="20">
        <f t="shared" si="5"/>
        <v>1799480</v>
      </c>
      <c r="O26" s="23">
        <f t="shared" si="6"/>
        <v>0.13988383891589481</v>
      </c>
      <c r="P26" s="24">
        <v>24642332</v>
      </c>
      <c r="Q26" s="24">
        <v>770072.875</v>
      </c>
      <c r="R26" s="24">
        <v>17551.15625</v>
      </c>
      <c r="S26" s="25">
        <v>3447064</v>
      </c>
      <c r="T26" s="25">
        <v>1246424</v>
      </c>
      <c r="U26" s="25">
        <v>553056</v>
      </c>
      <c r="V26" s="25">
        <v>1647584</v>
      </c>
      <c r="W26" s="26">
        <v>68.004034375000003</v>
      </c>
      <c r="X26" s="26">
        <v>70.00245624999998</v>
      </c>
      <c r="Y26" s="26">
        <v>27.948218750000009</v>
      </c>
      <c r="Z26" s="26">
        <v>33.668771874999997</v>
      </c>
      <c r="AA26" s="26">
        <v>33.053865625</v>
      </c>
      <c r="AB26" s="27">
        <v>1576.16</v>
      </c>
      <c r="AC26" s="27">
        <v>5919.72</v>
      </c>
      <c r="AD26" s="27">
        <v>13.4</v>
      </c>
      <c r="AE26" s="27">
        <v>12.432</v>
      </c>
      <c r="AG26" s="22">
        <f t="shared" si="7"/>
        <v>3.2316224999999998</v>
      </c>
      <c r="AH26" s="23">
        <f t="shared" si="8"/>
        <v>0.13618080113120806</v>
      </c>
      <c r="AI26" s="23">
        <f t="shared" si="9"/>
        <v>7.1090826285669859E-2</v>
      </c>
      <c r="AJ26" s="23">
        <f t="shared" si="10"/>
        <v>4.9241620947323539E-2</v>
      </c>
      <c r="AK26" s="23">
        <f t="shared" si="11"/>
        <v>6.5089974845538204E-2</v>
      </c>
      <c r="AL26" s="20">
        <f t="shared" si="12"/>
        <v>1799480</v>
      </c>
      <c r="AM26" s="23">
        <f t="shared" si="13"/>
        <v>0.13988383891589481</v>
      </c>
      <c r="AN26" s="24">
        <v>24642332</v>
      </c>
      <c r="AO26" s="24">
        <v>770072.875</v>
      </c>
      <c r="AP26" s="24">
        <v>17551.15625</v>
      </c>
      <c r="AQ26" s="25">
        <v>3447064</v>
      </c>
      <c r="AR26" s="25">
        <v>1246424</v>
      </c>
      <c r="AS26" s="25">
        <v>553056</v>
      </c>
      <c r="AT26" s="25">
        <v>1647584</v>
      </c>
      <c r="AU26" s="26">
        <v>68.004034375000003</v>
      </c>
      <c r="AV26" s="26">
        <v>70.00245624999998</v>
      </c>
      <c r="AW26" s="26">
        <v>27.948218750000009</v>
      </c>
      <c r="AX26" s="26">
        <v>33.668771874999997</v>
      </c>
      <c r="AY26" s="26">
        <v>33.053865625</v>
      </c>
      <c r="AZ26" s="27">
        <v>1528.01</v>
      </c>
      <c r="BA26" s="27">
        <v>6430.36</v>
      </c>
      <c r="BB26" s="27">
        <v>13.304</v>
      </c>
      <c r="BC26" s="27">
        <v>10.752000000000001</v>
      </c>
      <c r="BE26" s="28">
        <f t="shared" si="14"/>
        <v>1</v>
      </c>
      <c r="BF26" s="29">
        <f t="shared" si="15"/>
        <v>0</v>
      </c>
      <c r="BG26" s="29">
        <f t="shared" si="16"/>
        <v>0</v>
      </c>
      <c r="BH26" s="29"/>
      <c r="BJ26" s="28"/>
      <c r="BK26" s="28"/>
      <c r="BL26" s="28"/>
      <c r="BM26" s="28"/>
      <c r="BN26" s="28"/>
      <c r="BP26" s="28"/>
      <c r="BQ26" s="28"/>
      <c r="BR26" s="28"/>
      <c r="BS26" s="28"/>
      <c r="BT26" s="28"/>
      <c r="BV26">
        <f t="shared" si="17"/>
        <v>0</v>
      </c>
      <c r="BW26">
        <f t="shared" si="18"/>
        <v>0</v>
      </c>
      <c r="BX26">
        <f t="shared" si="19"/>
        <v>0</v>
      </c>
      <c r="BY26">
        <f t="shared" si="20"/>
        <v>0</v>
      </c>
      <c r="BZ26">
        <f t="shared" si="21"/>
        <v>0</v>
      </c>
      <c r="CA26">
        <f t="shared" si="22"/>
        <v>0</v>
      </c>
      <c r="CB26">
        <f t="shared" si="23"/>
        <v>0</v>
      </c>
      <c r="CC26">
        <f t="shared" si="24"/>
        <v>0</v>
      </c>
      <c r="CD26">
        <f t="shared" si="25"/>
        <v>0</v>
      </c>
      <c r="CE26">
        <f t="shared" si="26"/>
        <v>0</v>
      </c>
      <c r="CF26">
        <f t="shared" si="27"/>
        <v>0</v>
      </c>
      <c r="CG26">
        <f t="shared" si="28"/>
        <v>0</v>
      </c>
      <c r="CJ26" t="s">
        <v>587</v>
      </c>
    </row>
    <row r="27" spans="1:88" outlineLevel="1" x14ac:dyDescent="0.25">
      <c r="A27" s="10"/>
      <c r="B27" s="10" t="s">
        <v>73</v>
      </c>
      <c r="C27" s="11" t="s">
        <v>241</v>
      </c>
      <c r="D27" s="10">
        <v>25312408</v>
      </c>
      <c r="E27" s="11">
        <v>10</v>
      </c>
      <c r="F27" s="11">
        <v>32</v>
      </c>
      <c r="G27" s="11">
        <v>30</v>
      </c>
      <c r="I27" s="12">
        <f t="shared" si="0"/>
        <v>5.5973775000000003</v>
      </c>
      <c r="J27" s="13">
        <f t="shared" si="1"/>
        <v>0.23587388446014301</v>
      </c>
      <c r="K27" s="13">
        <f t="shared" si="2"/>
        <v>9.2478913898669773E-2</v>
      </c>
      <c r="L27" s="13">
        <f t="shared" si="3"/>
        <v>7.0629708560323454E-2</v>
      </c>
      <c r="M27" s="13">
        <f t="shared" si="4"/>
        <v>0.14339497056147324</v>
      </c>
      <c r="N27" s="10">
        <f t="shared" si="5"/>
        <v>2340864</v>
      </c>
      <c r="O27" s="13">
        <f t="shared" si="6"/>
        <v>0.24001762061621745</v>
      </c>
      <c r="P27" s="14">
        <v>24875407</v>
      </c>
      <c r="Q27" s="14">
        <v>777356.46875</v>
      </c>
      <c r="R27" s="14">
        <v>18390.125</v>
      </c>
      <c r="S27" s="15">
        <v>5970536</v>
      </c>
      <c r="T27" s="15">
        <v>1787808</v>
      </c>
      <c r="U27" s="15">
        <v>553056</v>
      </c>
      <c r="V27" s="15">
        <v>3629672</v>
      </c>
      <c r="W27" s="16">
        <v>69.303674999999998</v>
      </c>
      <c r="X27" s="16">
        <v>71.673321874999985</v>
      </c>
      <c r="Y27" s="16">
        <v>30.188231250000001</v>
      </c>
      <c r="Z27" s="16">
        <v>34.922815624999998</v>
      </c>
      <c r="AA27" s="16">
        <v>34.362718750000013</v>
      </c>
      <c r="AB27" s="17">
        <v>1568.08</v>
      </c>
      <c r="AC27" s="17">
        <v>6317.38</v>
      </c>
      <c r="AD27" s="17">
        <v>13.54</v>
      </c>
      <c r="AE27" s="17">
        <v>13.692</v>
      </c>
      <c r="AG27" s="12">
        <f t="shared" si="7"/>
        <v>5.5973775000000003</v>
      </c>
      <c r="AH27" s="13">
        <f t="shared" si="8"/>
        <v>0.23587388446014301</v>
      </c>
      <c r="AI27" s="13">
        <f t="shared" si="9"/>
        <v>9.2478913898669773E-2</v>
      </c>
      <c r="AJ27" s="13">
        <f t="shared" si="10"/>
        <v>7.0629708560323454E-2</v>
      </c>
      <c r="AK27" s="13">
        <f t="shared" si="11"/>
        <v>0.14339497056147324</v>
      </c>
      <c r="AL27" s="10">
        <f t="shared" si="12"/>
        <v>2340864</v>
      </c>
      <c r="AM27" s="13">
        <f t="shared" si="13"/>
        <v>0.24001762061621745</v>
      </c>
      <c r="AN27" s="14">
        <v>24875407</v>
      </c>
      <c r="AO27" s="14">
        <v>777356.46875</v>
      </c>
      <c r="AP27" s="14">
        <v>18390.125</v>
      </c>
      <c r="AQ27" s="15">
        <v>5970536</v>
      </c>
      <c r="AR27" s="15">
        <v>1787808</v>
      </c>
      <c r="AS27" s="15">
        <v>553056</v>
      </c>
      <c r="AT27" s="15">
        <v>3629672</v>
      </c>
      <c r="AU27" s="16">
        <v>69.303674999999998</v>
      </c>
      <c r="AV27" s="16">
        <v>71.673321874999985</v>
      </c>
      <c r="AW27" s="16">
        <v>30.188231250000001</v>
      </c>
      <c r="AX27" s="16">
        <v>34.922815624999998</v>
      </c>
      <c r="AY27" s="16">
        <v>34.362718750000013</v>
      </c>
      <c r="AZ27" s="17">
        <v>1548.9</v>
      </c>
      <c r="BA27" s="17">
        <v>6437.04</v>
      </c>
      <c r="BB27" s="17">
        <v>13.172000000000001</v>
      </c>
      <c r="BC27" s="17">
        <v>11.916</v>
      </c>
      <c r="BE27" s="18">
        <f t="shared" si="14"/>
        <v>1</v>
      </c>
      <c r="BF27" s="19">
        <f t="shared" si="15"/>
        <v>0</v>
      </c>
      <c r="BG27" s="19">
        <f t="shared" si="16"/>
        <v>0</v>
      </c>
      <c r="BH27" s="19"/>
      <c r="BJ27" s="18"/>
      <c r="BK27" s="18"/>
      <c r="BL27" s="18"/>
      <c r="BM27" s="18"/>
      <c r="BN27" s="18"/>
      <c r="BP27" s="18"/>
      <c r="BQ27" s="18"/>
      <c r="BR27" s="18"/>
      <c r="BS27" s="18"/>
      <c r="BT27" s="18"/>
      <c r="BV27">
        <f t="shared" si="17"/>
        <v>0</v>
      </c>
      <c r="BW27">
        <f t="shared" si="18"/>
        <v>0</v>
      </c>
      <c r="BX27">
        <f t="shared" si="19"/>
        <v>0</v>
      </c>
      <c r="BY27">
        <f t="shared" si="20"/>
        <v>0</v>
      </c>
      <c r="BZ27">
        <f t="shared" si="21"/>
        <v>0</v>
      </c>
      <c r="CA27">
        <f t="shared" si="22"/>
        <v>0</v>
      </c>
      <c r="CB27">
        <f t="shared" si="23"/>
        <v>0</v>
      </c>
      <c r="CC27">
        <f t="shared" si="24"/>
        <v>0</v>
      </c>
      <c r="CD27">
        <f t="shared" si="25"/>
        <v>0</v>
      </c>
      <c r="CE27">
        <f t="shared" si="26"/>
        <v>0</v>
      </c>
      <c r="CF27">
        <f t="shared" si="27"/>
        <v>0</v>
      </c>
      <c r="CG27">
        <f t="shared" si="28"/>
        <v>0</v>
      </c>
      <c r="CJ27" t="s">
        <v>587</v>
      </c>
    </row>
    <row r="28" spans="1:88" outlineLevel="1" x14ac:dyDescent="0.25">
      <c r="A28" s="20"/>
      <c r="B28" s="20" t="s">
        <v>73</v>
      </c>
      <c r="C28" s="21" t="s">
        <v>242</v>
      </c>
      <c r="D28" s="20">
        <v>25312408</v>
      </c>
      <c r="E28" s="21">
        <v>10</v>
      </c>
      <c r="F28" s="21">
        <v>32</v>
      </c>
      <c r="G28" s="21">
        <v>30</v>
      </c>
      <c r="I28" s="22">
        <f t="shared" si="0"/>
        <v>11.4904125</v>
      </c>
      <c r="J28" s="23">
        <f t="shared" si="1"/>
        <v>0.48420679691951868</v>
      </c>
      <c r="K28" s="23">
        <f t="shared" si="2"/>
        <v>0.13039201959766136</v>
      </c>
      <c r="L28" s="23">
        <f t="shared" si="3"/>
        <v>0.10854281425931504</v>
      </c>
      <c r="M28" s="23">
        <f t="shared" si="4"/>
        <v>0.35381477732185734</v>
      </c>
      <c r="N28" s="20">
        <f t="shared" si="5"/>
        <v>3300536</v>
      </c>
      <c r="O28" s="23">
        <f t="shared" si="6"/>
        <v>0.47954206003341182</v>
      </c>
      <c r="P28" s="24">
        <v>25558634</v>
      </c>
      <c r="Q28" s="24">
        <v>798707.3125</v>
      </c>
      <c r="R28" s="24">
        <v>20824</v>
      </c>
      <c r="S28" s="25">
        <v>12256440</v>
      </c>
      <c r="T28" s="25">
        <v>2747480</v>
      </c>
      <c r="U28" s="25">
        <v>553056</v>
      </c>
      <c r="V28" s="25">
        <v>8955904</v>
      </c>
      <c r="W28" s="26">
        <v>70.45199375</v>
      </c>
      <c r="X28" s="26">
        <v>72.973940625000026</v>
      </c>
      <c r="Y28" s="26">
        <v>32.655706250000001</v>
      </c>
      <c r="Z28" s="26">
        <v>36.418621875000007</v>
      </c>
      <c r="AA28" s="26">
        <v>35.866646875000001</v>
      </c>
      <c r="AB28" s="27">
        <v>1508.67</v>
      </c>
      <c r="AC28" s="27">
        <v>6708.22</v>
      </c>
      <c r="AD28" s="27">
        <v>12.432</v>
      </c>
      <c r="AE28" s="27">
        <v>10.728</v>
      </c>
      <c r="AG28" s="22">
        <f t="shared" si="7"/>
        <v>11.4904125</v>
      </c>
      <c r="AH28" s="23">
        <f t="shared" si="8"/>
        <v>0.48420679691951868</v>
      </c>
      <c r="AI28" s="23">
        <f t="shared" si="9"/>
        <v>0.13039201959766136</v>
      </c>
      <c r="AJ28" s="23">
        <f t="shared" si="10"/>
        <v>0.10854281425931504</v>
      </c>
      <c r="AK28" s="23">
        <f t="shared" si="11"/>
        <v>0.35381477732185734</v>
      </c>
      <c r="AL28" s="20">
        <f t="shared" si="12"/>
        <v>3300536</v>
      </c>
      <c r="AM28" s="23">
        <f t="shared" si="13"/>
        <v>0.47954206003341182</v>
      </c>
      <c r="AN28" s="24">
        <v>25558634</v>
      </c>
      <c r="AO28" s="24">
        <v>798707.3125</v>
      </c>
      <c r="AP28" s="24">
        <v>20824</v>
      </c>
      <c r="AQ28" s="25">
        <v>12256440</v>
      </c>
      <c r="AR28" s="25">
        <v>2747480</v>
      </c>
      <c r="AS28" s="25">
        <v>553056</v>
      </c>
      <c r="AT28" s="25">
        <v>8955904</v>
      </c>
      <c r="AU28" s="26">
        <v>70.45199375</v>
      </c>
      <c r="AV28" s="26">
        <v>72.973940625000026</v>
      </c>
      <c r="AW28" s="26">
        <v>32.655706250000001</v>
      </c>
      <c r="AX28" s="26">
        <v>36.418621875000007</v>
      </c>
      <c r="AY28" s="26">
        <v>35.866646875000001</v>
      </c>
      <c r="AZ28" s="27">
        <v>1553.95</v>
      </c>
      <c r="BA28" s="27">
        <v>7034.06</v>
      </c>
      <c r="BB28" s="27">
        <v>13.247999999999999</v>
      </c>
      <c r="BC28" s="27">
        <v>12.284000000000001</v>
      </c>
      <c r="BE28" s="28">
        <f t="shared" si="14"/>
        <v>1</v>
      </c>
      <c r="BF28" s="29">
        <f t="shared" si="15"/>
        <v>0</v>
      </c>
      <c r="BG28" s="29">
        <f t="shared" si="16"/>
        <v>0</v>
      </c>
      <c r="BH28" s="29"/>
      <c r="BJ28" s="28"/>
      <c r="BK28" s="28"/>
      <c r="BL28" s="28"/>
      <c r="BM28" s="28"/>
      <c r="BN28" s="28"/>
      <c r="BP28" s="28"/>
      <c r="BQ28" s="28"/>
      <c r="BR28" s="28"/>
      <c r="BS28" s="28"/>
      <c r="BT28" s="28"/>
      <c r="BV28">
        <f t="shared" si="17"/>
        <v>0</v>
      </c>
      <c r="BW28">
        <f t="shared" si="18"/>
        <v>0</v>
      </c>
      <c r="BX28">
        <f t="shared" si="19"/>
        <v>0</v>
      </c>
      <c r="BY28">
        <f t="shared" si="20"/>
        <v>0</v>
      </c>
      <c r="BZ28">
        <f t="shared" si="21"/>
        <v>0</v>
      </c>
      <c r="CA28">
        <f t="shared" si="22"/>
        <v>0</v>
      </c>
      <c r="CB28">
        <f t="shared" si="23"/>
        <v>0</v>
      </c>
      <c r="CC28">
        <f t="shared" si="24"/>
        <v>0</v>
      </c>
      <c r="CD28">
        <f t="shared" si="25"/>
        <v>0</v>
      </c>
      <c r="CE28">
        <f t="shared" si="26"/>
        <v>0</v>
      </c>
      <c r="CF28">
        <f t="shared" si="27"/>
        <v>0</v>
      </c>
      <c r="CG28">
        <f t="shared" si="28"/>
        <v>0</v>
      </c>
      <c r="CJ28" t="s">
        <v>587</v>
      </c>
    </row>
    <row r="29" spans="1:88" ht="15.75" customHeight="1" outlineLevel="1" thickBot="1" x14ac:dyDescent="0.3">
      <c r="A29" s="30"/>
      <c r="B29" s="30" t="s">
        <v>73</v>
      </c>
      <c r="C29" s="31" t="s">
        <v>243</v>
      </c>
      <c r="D29" s="30">
        <v>25312408</v>
      </c>
      <c r="E29" s="31">
        <v>10</v>
      </c>
      <c r="F29" s="31">
        <v>32</v>
      </c>
      <c r="G29" s="31">
        <v>30</v>
      </c>
      <c r="I29" s="32">
        <f t="shared" si="0"/>
        <v>26.90673</v>
      </c>
      <c r="J29" s="33">
        <f t="shared" si="1"/>
        <v>1.1338515087146193</v>
      </c>
      <c r="K29" s="33">
        <f t="shared" si="2"/>
        <v>0.21400887659522555</v>
      </c>
      <c r="L29" s="33">
        <f t="shared" si="3"/>
        <v>0.17038631804607449</v>
      </c>
      <c r="M29" s="33">
        <f t="shared" si="4"/>
        <v>0.91984263211939377</v>
      </c>
      <c r="N29" s="30">
        <f t="shared" si="5"/>
        <v>5417080</v>
      </c>
      <c r="O29" s="33">
        <f t="shared" si="6"/>
        <v>1.1671120997273399</v>
      </c>
      <c r="P29" s="34">
        <v>24591050</v>
      </c>
      <c r="Q29" s="34">
        <v>768470.3125</v>
      </c>
      <c r="R29" s="34">
        <v>9759.78125</v>
      </c>
      <c r="S29" s="35">
        <v>28700512</v>
      </c>
      <c r="T29" s="35">
        <v>4312888</v>
      </c>
      <c r="U29" s="35">
        <v>1104192</v>
      </c>
      <c r="V29" s="35">
        <v>23283432</v>
      </c>
      <c r="W29" s="36">
        <v>71.142418750000004</v>
      </c>
      <c r="X29" s="36">
        <v>74.868675000000025</v>
      </c>
      <c r="Y29" s="36">
        <v>35.450421875000004</v>
      </c>
      <c r="Z29" s="36">
        <v>38.349690625000001</v>
      </c>
      <c r="AA29" s="36">
        <v>37.73995</v>
      </c>
      <c r="AB29" s="37">
        <v>1501.76</v>
      </c>
      <c r="AC29" s="37">
        <v>7529.78</v>
      </c>
      <c r="AD29" s="37">
        <v>12.224</v>
      </c>
      <c r="AE29" s="37">
        <v>12.664</v>
      </c>
      <c r="AG29" s="32">
        <f t="shared" si="7"/>
        <v>26.90673</v>
      </c>
      <c r="AH29" s="33">
        <f t="shared" si="8"/>
        <v>1.1338515087146193</v>
      </c>
      <c r="AI29" s="33">
        <f t="shared" si="9"/>
        <v>0.21400887659522555</v>
      </c>
      <c r="AJ29" s="33">
        <f t="shared" si="10"/>
        <v>0.17038631804607449</v>
      </c>
      <c r="AK29" s="33">
        <f t="shared" si="11"/>
        <v>0.91984263211939377</v>
      </c>
      <c r="AL29" s="30">
        <f t="shared" si="12"/>
        <v>5417080</v>
      </c>
      <c r="AM29" s="33">
        <f t="shared" si="13"/>
        <v>1.1671120997273399</v>
      </c>
      <c r="AN29" s="34">
        <v>24591050</v>
      </c>
      <c r="AO29" s="34">
        <v>768470.3125</v>
      </c>
      <c r="AP29" s="34">
        <v>9759.78125</v>
      </c>
      <c r="AQ29" s="35">
        <v>28700512</v>
      </c>
      <c r="AR29" s="35">
        <v>4312888</v>
      </c>
      <c r="AS29" s="35">
        <v>1104192</v>
      </c>
      <c r="AT29" s="35">
        <v>23283432</v>
      </c>
      <c r="AU29" s="36">
        <v>71.142418750000004</v>
      </c>
      <c r="AV29" s="36">
        <v>74.868675000000025</v>
      </c>
      <c r="AW29" s="36">
        <v>35.450421875000004</v>
      </c>
      <c r="AX29" s="36">
        <v>38.349690625000001</v>
      </c>
      <c r="AY29" s="36">
        <v>37.73995</v>
      </c>
      <c r="AZ29" s="37">
        <v>1547.5</v>
      </c>
      <c r="BA29" s="37">
        <v>7978.15</v>
      </c>
      <c r="BB29" s="37">
        <v>13.42</v>
      </c>
      <c r="BC29" s="37">
        <v>15.22</v>
      </c>
      <c r="BE29" s="38">
        <f t="shared" si="14"/>
        <v>1</v>
      </c>
      <c r="BF29" s="39">
        <f t="shared" si="15"/>
        <v>0</v>
      </c>
      <c r="BG29" s="39">
        <f t="shared" si="16"/>
        <v>0</v>
      </c>
      <c r="BH29" s="39"/>
      <c r="BJ29" s="38"/>
      <c r="BK29" s="38"/>
      <c r="BL29" s="38"/>
      <c r="BM29" s="38"/>
      <c r="BN29" s="38"/>
      <c r="BP29" s="38"/>
      <c r="BQ29" s="38"/>
      <c r="BR29" s="38"/>
      <c r="BS29" s="38"/>
      <c r="BT29" s="38"/>
      <c r="BV29">
        <f t="shared" si="17"/>
        <v>0</v>
      </c>
      <c r="BW29">
        <f t="shared" si="18"/>
        <v>0</v>
      </c>
      <c r="BX29">
        <f t="shared" si="19"/>
        <v>0</v>
      </c>
      <c r="BY29">
        <f t="shared" si="20"/>
        <v>0</v>
      </c>
      <c r="BZ29">
        <f t="shared" si="21"/>
        <v>0</v>
      </c>
      <c r="CA29">
        <f t="shared" si="22"/>
        <v>0</v>
      </c>
      <c r="CB29">
        <f t="shared" si="23"/>
        <v>0</v>
      </c>
      <c r="CC29">
        <f t="shared" si="24"/>
        <v>0</v>
      </c>
      <c r="CD29">
        <f t="shared" si="25"/>
        <v>0</v>
      </c>
      <c r="CE29">
        <f t="shared" si="26"/>
        <v>0</v>
      </c>
      <c r="CF29">
        <f t="shared" si="27"/>
        <v>0</v>
      </c>
      <c r="CG29">
        <f t="shared" si="28"/>
        <v>0</v>
      </c>
      <c r="CJ29" t="s">
        <v>587</v>
      </c>
    </row>
    <row r="30" spans="1:88" x14ac:dyDescent="0.25">
      <c r="A30" s="20" t="s">
        <v>248</v>
      </c>
      <c r="B30" s="20" t="s">
        <v>77</v>
      </c>
      <c r="C30" s="21" t="s">
        <v>238</v>
      </c>
      <c r="D30" s="20">
        <v>28802925</v>
      </c>
      <c r="E30" s="21">
        <v>11</v>
      </c>
      <c r="F30" s="21">
        <v>10</v>
      </c>
      <c r="G30" s="21">
        <v>30</v>
      </c>
      <c r="I30" s="22">
        <f t="shared" si="0"/>
        <v>3.1914959999999999</v>
      </c>
      <c r="J30" s="23">
        <f t="shared" si="1"/>
        <v>3.6934859914401055E-2</v>
      </c>
      <c r="K30" s="23">
        <f t="shared" si="2"/>
        <v>2.9567274851425681E-2</v>
      </c>
      <c r="L30" s="23">
        <f t="shared" si="3"/>
        <v>1.7862074771919867E-2</v>
      </c>
      <c r="M30" s="23">
        <f t="shared" si="4"/>
        <v>7.3675850629753752E-3</v>
      </c>
      <c r="N30" s="20">
        <f t="shared" si="5"/>
        <v>851624</v>
      </c>
      <c r="O30" s="23">
        <f t="shared" si="6"/>
        <v>3.915617196514197E-2</v>
      </c>
      <c r="P30" s="24">
        <v>27168948</v>
      </c>
      <c r="Q30" s="24">
        <v>2716894.8</v>
      </c>
      <c r="R30" s="24">
        <v>34879.4</v>
      </c>
      <c r="S30" s="25">
        <v>1063832</v>
      </c>
      <c r="T30" s="25">
        <v>514480</v>
      </c>
      <c r="U30" s="25">
        <v>337144</v>
      </c>
      <c r="V30" s="25">
        <v>212208</v>
      </c>
      <c r="W30" s="26">
        <v>73.806030000000007</v>
      </c>
      <c r="X30" s="26">
        <v>75.812089999999998</v>
      </c>
      <c r="Y30" s="26">
        <v>33.888820000000003</v>
      </c>
      <c r="Z30" s="26">
        <v>41.812660000000001</v>
      </c>
      <c r="AA30" s="26">
        <v>43.934510000000003</v>
      </c>
      <c r="AB30" s="27">
        <v>975.74</v>
      </c>
      <c r="AC30" s="27">
        <v>3334.2</v>
      </c>
      <c r="AD30" s="27">
        <v>10.788</v>
      </c>
      <c r="AE30" s="27">
        <v>6.62</v>
      </c>
      <c r="AG30" s="22">
        <f t="shared" si="7"/>
        <v>3.1914959999999999</v>
      </c>
      <c r="AH30" s="23">
        <f t="shared" si="8"/>
        <v>3.6934859914401055E-2</v>
      </c>
      <c r="AI30" s="23">
        <f t="shared" si="9"/>
        <v>2.9567274851425681E-2</v>
      </c>
      <c r="AJ30" s="23">
        <f t="shared" si="10"/>
        <v>1.7862074771919867E-2</v>
      </c>
      <c r="AK30" s="23">
        <f t="shared" si="11"/>
        <v>7.3675850629753752E-3</v>
      </c>
      <c r="AL30" s="20">
        <f t="shared" si="12"/>
        <v>851624</v>
      </c>
      <c r="AM30" s="23">
        <f t="shared" si="13"/>
        <v>3.915617196514197E-2</v>
      </c>
      <c r="AN30" s="24">
        <v>27168948</v>
      </c>
      <c r="AO30" s="24">
        <v>2716894.8</v>
      </c>
      <c r="AP30" s="24">
        <v>34879.4</v>
      </c>
      <c r="AQ30" s="25">
        <v>1063832</v>
      </c>
      <c r="AR30" s="25">
        <v>514480</v>
      </c>
      <c r="AS30" s="25">
        <v>337144</v>
      </c>
      <c r="AT30" s="25">
        <v>212208</v>
      </c>
      <c r="AU30" s="26">
        <v>73.806030000000007</v>
      </c>
      <c r="AV30" s="26">
        <v>75.812089999999998</v>
      </c>
      <c r="AW30" s="26">
        <v>33.888820000000003</v>
      </c>
      <c r="AX30" s="26">
        <v>41.812660000000001</v>
      </c>
      <c r="AY30" s="26">
        <v>43.934510000000003</v>
      </c>
      <c r="AZ30" s="27">
        <v>980.452</v>
      </c>
      <c r="BA30" s="27">
        <v>3361.08</v>
      </c>
      <c r="BB30" s="27">
        <v>11.587999999999999</v>
      </c>
      <c r="BC30" s="27">
        <v>5.8760000000000003</v>
      </c>
      <c r="BE30" s="28">
        <f t="shared" si="14"/>
        <v>1</v>
      </c>
      <c r="BF30" s="29">
        <f t="shared" si="15"/>
        <v>0</v>
      </c>
      <c r="BG30" s="29">
        <f t="shared" si="16"/>
        <v>0</v>
      </c>
      <c r="BH30" s="29">
        <f t="array" ref="BH30">AVERAGE(AL30:AL34/AQ30:AQ34) - AVERAGE(N30:N34/S30:S34)</f>
        <v>0</v>
      </c>
      <c r="BJ30" s="28">
        <f>IF( OR(ISBLANK(N30:N34),ISBLANK(AL30:AL34), ISBLANK(W30:W34),ISBLANK(AU30:AU34)), "·", bdRateExtend( N30:N34,W30:W34, AL30:AL34,AU30:AU34))</f>
        <v>0</v>
      </c>
      <c r="BK30" s="28">
        <f>IF( OR(ISBLANK(N30:N34),ISBLANK(AL30:AL34), ISBLANK(X30:X34),ISBLANK(AV30:AV34)), "·", bdRateExtend( N30:N34,X30:X34, AL30:AL34,AV30:AV34))</f>
        <v>0</v>
      </c>
      <c r="BL30" s="28">
        <f>IF( OR(ISBLANK(V30:V34),ISBLANK(AT30:AT34), ISBLANK(Y30:Y34),ISBLANK(AW30:AW34)), "·", bdRateExtend( V30:V34,Y30:Y34, AT30:AT34,AW30:AW34))</f>
        <v>0</v>
      </c>
      <c r="BM30" s="28">
        <f>IF( OR(ISBLANK(V30:V34),ISBLANK(AT30:AT34), ISBLANK(Z30:Z34),ISBLANK(AX30:AX34)), "·", bdRateExtend( V30:V34,Z30:Z34, AT30:AT34,AX30:AX34))</f>
        <v>0</v>
      </c>
      <c r="BN30" s="28">
        <f>IF( OR(ISBLANK(V30:V34),ISBLANK(AT30:AT34), ISBLANK(AA30:AA34),ISBLANK(AY30:AY34)), "·", bdRateExtend( V30:V34,AA30:AA34, AT30:AT34,AY30:AY34))</f>
        <v>0</v>
      </c>
      <c r="BP30" s="28">
        <f>IF( OR(ISBLANK(S30:S34),ISBLANK(AQ30:AQ34), ISBLANK(W30:W34),ISBLANK(AU30:AU34)), "·", bdRateExtend( S30:S34,W30:W34, AQ30:AQ34,AU30:AU34))</f>
        <v>0</v>
      </c>
      <c r="BQ30" s="28">
        <f>IF( OR(ISBLANK(S30:S34),ISBLANK(AQ30:AQ34), ISBLANK(X30:X34),ISBLANK(AV30:AV34)), "·", bdRateExtend( S30:S34,X30:X34, AQ30:AQ34,AV30:AV34))</f>
        <v>0</v>
      </c>
      <c r="BR30" s="28">
        <f>IF( OR(ISBLANK(S30:S34),ISBLANK(AQ30:AQ34), ISBLANK(Y30:Y34),ISBLANK(AW30:AW34)), "·", bdRateExtend( S30:S34,Y30:Y34, AQ30:AQ34,AW30:AW34))</f>
        <v>0</v>
      </c>
      <c r="BS30" s="28">
        <f>IF( OR(ISBLANK(S30:S34),ISBLANK(AQ30:AQ34), ISBLANK(Z30:Z34),ISBLANK(AX30:AX34)), "·", bdRateExtend( S30:S34,Z30:Z34, AQ30:AQ34,AX30:AX34))</f>
        <v>0</v>
      </c>
      <c r="BT30" s="28">
        <f>IF( OR(ISBLANK(S30:S34),ISBLANK(AQ30:AQ34), ISBLANK(AA30:AA34),ISBLANK(AY30:AY34)), "·", bdRateExtend( S30:S34,AA30:AA34, AQ30:AQ34,AY30:AY34))</f>
        <v>0</v>
      </c>
      <c r="BV30">
        <f t="shared" si="17"/>
        <v>0</v>
      </c>
      <c r="BW30">
        <f t="shared" si="18"/>
        <v>0</v>
      </c>
      <c r="BX30">
        <f t="shared" si="19"/>
        <v>0</v>
      </c>
      <c r="BY30">
        <f t="shared" si="20"/>
        <v>0</v>
      </c>
      <c r="BZ30">
        <f t="shared" si="21"/>
        <v>0</v>
      </c>
      <c r="CA30">
        <f t="shared" si="22"/>
        <v>0</v>
      </c>
      <c r="CB30">
        <f t="shared" si="23"/>
        <v>0</v>
      </c>
      <c r="CC30">
        <f t="shared" si="24"/>
        <v>0</v>
      </c>
      <c r="CD30">
        <f t="shared" si="25"/>
        <v>0</v>
      </c>
      <c r="CE30">
        <f t="shared" si="26"/>
        <v>0</v>
      </c>
      <c r="CF30">
        <f t="shared" si="27"/>
        <v>0</v>
      </c>
      <c r="CG30">
        <f t="shared" si="28"/>
        <v>0</v>
      </c>
      <c r="CJ30" t="s">
        <v>249</v>
      </c>
    </row>
    <row r="31" spans="1:88" outlineLevel="1" x14ac:dyDescent="0.25">
      <c r="A31" s="10"/>
      <c r="B31" s="10" t="s">
        <v>77</v>
      </c>
      <c r="C31" s="11" t="s">
        <v>240</v>
      </c>
      <c r="D31" s="10">
        <v>28802925</v>
      </c>
      <c r="E31" s="11">
        <v>11</v>
      </c>
      <c r="F31" s="11">
        <v>10</v>
      </c>
      <c r="G31" s="11">
        <v>30</v>
      </c>
      <c r="I31" s="12">
        <f t="shared" si="0"/>
        <v>4.3266</v>
      </c>
      <c r="J31" s="13">
        <f t="shared" si="1"/>
        <v>5.0071303522124924E-2</v>
      </c>
      <c r="K31" s="13">
        <f t="shared" si="2"/>
        <v>3.6640723121002465E-2</v>
      </c>
      <c r="L31" s="13">
        <f t="shared" si="3"/>
        <v>2.4935523041496654E-2</v>
      </c>
      <c r="M31" s="13">
        <f t="shared" si="4"/>
        <v>1.3430580401122456E-2</v>
      </c>
      <c r="N31" s="10">
        <f t="shared" si="5"/>
        <v>1055360</v>
      </c>
      <c r="O31" s="13">
        <f t="shared" si="6"/>
        <v>5.0947758305699829E-2</v>
      </c>
      <c r="P31" s="14">
        <v>28307428</v>
      </c>
      <c r="Q31" s="14">
        <v>2830742.8</v>
      </c>
      <c r="R31" s="14">
        <v>41717.4</v>
      </c>
      <c r="S31" s="15">
        <v>1442200</v>
      </c>
      <c r="T31" s="15">
        <v>718216</v>
      </c>
      <c r="U31" s="15">
        <v>337144</v>
      </c>
      <c r="V31" s="15">
        <v>386840</v>
      </c>
      <c r="W31" s="16">
        <v>75.3643</v>
      </c>
      <c r="X31" s="16">
        <v>77.614440000000002</v>
      </c>
      <c r="Y31" s="16">
        <v>35.655179999999987</v>
      </c>
      <c r="Z31" s="16">
        <v>42.256779999999999</v>
      </c>
      <c r="AA31" s="16">
        <v>44.930630000000001</v>
      </c>
      <c r="AB31" s="17">
        <v>981.15199999999993</v>
      </c>
      <c r="AC31" s="17">
        <v>3566.1</v>
      </c>
      <c r="AD31" s="17">
        <v>10.928000000000001</v>
      </c>
      <c r="AE31" s="17">
        <v>7.1120000000000001</v>
      </c>
      <c r="AG31" s="12">
        <f t="shared" si="7"/>
        <v>4.3266</v>
      </c>
      <c r="AH31" s="13">
        <f t="shared" si="8"/>
        <v>5.0071303522124924E-2</v>
      </c>
      <c r="AI31" s="13">
        <f t="shared" si="9"/>
        <v>3.6640723121002465E-2</v>
      </c>
      <c r="AJ31" s="13">
        <f t="shared" si="10"/>
        <v>2.4935523041496654E-2</v>
      </c>
      <c r="AK31" s="13">
        <f t="shared" si="11"/>
        <v>1.3430580401122456E-2</v>
      </c>
      <c r="AL31" s="10">
        <f t="shared" si="12"/>
        <v>1055360</v>
      </c>
      <c r="AM31" s="13">
        <f t="shared" si="13"/>
        <v>5.0947758305699829E-2</v>
      </c>
      <c r="AN31" s="14">
        <v>28307428</v>
      </c>
      <c r="AO31" s="14">
        <v>2830742.8</v>
      </c>
      <c r="AP31" s="14">
        <v>41717.4</v>
      </c>
      <c r="AQ31" s="15">
        <v>1442200</v>
      </c>
      <c r="AR31" s="15">
        <v>718216</v>
      </c>
      <c r="AS31" s="15">
        <v>337144</v>
      </c>
      <c r="AT31" s="15">
        <v>386840</v>
      </c>
      <c r="AU31" s="16">
        <v>75.3643</v>
      </c>
      <c r="AV31" s="16">
        <v>77.614440000000002</v>
      </c>
      <c r="AW31" s="16">
        <v>35.655179999999987</v>
      </c>
      <c r="AX31" s="16">
        <v>42.256779999999999</v>
      </c>
      <c r="AY31" s="16">
        <v>44.930630000000001</v>
      </c>
      <c r="AZ31" s="17">
        <v>982.65600000000006</v>
      </c>
      <c r="BA31" s="17">
        <v>3546.42</v>
      </c>
      <c r="BB31" s="17">
        <v>11.452</v>
      </c>
      <c r="BC31" s="17">
        <v>7.2920000000000007</v>
      </c>
      <c r="BE31" s="18">
        <f t="shared" si="14"/>
        <v>1</v>
      </c>
      <c r="BF31" s="19">
        <f t="shared" si="15"/>
        <v>0</v>
      </c>
      <c r="BG31" s="19">
        <f t="shared" si="16"/>
        <v>0</v>
      </c>
      <c r="BH31" s="19"/>
      <c r="BJ31" s="18"/>
      <c r="BK31" s="18"/>
      <c r="BL31" s="18"/>
      <c r="BM31" s="18"/>
      <c r="BN31" s="18"/>
      <c r="BP31" s="18"/>
      <c r="BQ31" s="18"/>
      <c r="BR31" s="18"/>
      <c r="BS31" s="18"/>
      <c r="BT31" s="18"/>
      <c r="BV31">
        <f t="shared" si="17"/>
        <v>0</v>
      </c>
      <c r="BW31">
        <f t="shared" si="18"/>
        <v>0</v>
      </c>
      <c r="BX31">
        <f t="shared" si="19"/>
        <v>0</v>
      </c>
      <c r="BY31">
        <f t="shared" si="20"/>
        <v>0</v>
      </c>
      <c r="BZ31">
        <f t="shared" si="21"/>
        <v>0</v>
      </c>
      <c r="CA31">
        <f t="shared" si="22"/>
        <v>0</v>
      </c>
      <c r="CB31">
        <f t="shared" si="23"/>
        <v>0</v>
      </c>
      <c r="CC31">
        <f t="shared" si="24"/>
        <v>0</v>
      </c>
      <c r="CD31">
        <f t="shared" si="25"/>
        <v>0</v>
      </c>
      <c r="CE31">
        <f t="shared" si="26"/>
        <v>0</v>
      </c>
      <c r="CF31">
        <f t="shared" si="27"/>
        <v>0</v>
      </c>
      <c r="CG31">
        <f t="shared" si="28"/>
        <v>0</v>
      </c>
      <c r="CJ31" t="s">
        <v>249</v>
      </c>
    </row>
    <row r="32" spans="1:88" outlineLevel="1" x14ac:dyDescent="0.25">
      <c r="A32" s="20"/>
      <c r="B32" s="20" t="s">
        <v>77</v>
      </c>
      <c r="C32" s="21" t="s">
        <v>241</v>
      </c>
      <c r="D32" s="20">
        <v>28802925</v>
      </c>
      <c r="E32" s="21">
        <v>11</v>
      </c>
      <c r="F32" s="21">
        <v>10</v>
      </c>
      <c r="G32" s="21">
        <v>30</v>
      </c>
      <c r="I32" s="22">
        <f t="shared" si="0"/>
        <v>6.4312079999999998</v>
      </c>
      <c r="J32" s="23">
        <f t="shared" si="1"/>
        <v>7.4427718712596028E-2</v>
      </c>
      <c r="K32" s="23">
        <f t="shared" si="2"/>
        <v>4.7301029322542765E-2</v>
      </c>
      <c r="L32" s="23">
        <f t="shared" si="3"/>
        <v>3.5595829243036947E-2</v>
      </c>
      <c r="M32" s="23">
        <f t="shared" si="4"/>
        <v>2.7126689390053266E-2</v>
      </c>
      <c r="N32" s="20">
        <f t="shared" si="5"/>
        <v>1362408</v>
      </c>
      <c r="O32" s="23">
        <f t="shared" si="6"/>
        <v>7.5067528826294402E-2</v>
      </c>
      <c r="P32" s="24">
        <v>28557434</v>
      </c>
      <c r="Q32" s="24">
        <v>2855743.4</v>
      </c>
      <c r="R32" s="24">
        <v>44461.5</v>
      </c>
      <c r="S32" s="25">
        <v>2143736</v>
      </c>
      <c r="T32" s="25">
        <v>1025264</v>
      </c>
      <c r="U32" s="25">
        <v>337144</v>
      </c>
      <c r="V32" s="25">
        <v>781328</v>
      </c>
      <c r="W32" s="26">
        <v>76.520080000000007</v>
      </c>
      <c r="X32" s="26">
        <v>79.105730000000008</v>
      </c>
      <c r="Y32" s="26">
        <v>37.173969999999997</v>
      </c>
      <c r="Z32" s="26">
        <v>42.963019999999993</v>
      </c>
      <c r="AA32" s="26">
        <v>46.395600000000002</v>
      </c>
      <c r="AB32" s="27">
        <v>1015.58</v>
      </c>
      <c r="AC32" s="27">
        <v>4226.82</v>
      </c>
      <c r="AD32" s="27">
        <v>11.564</v>
      </c>
      <c r="AE32" s="27">
        <v>6.6960000000000006</v>
      </c>
      <c r="AG32" s="22">
        <f t="shared" si="7"/>
        <v>6.4312079999999998</v>
      </c>
      <c r="AH32" s="23">
        <f t="shared" si="8"/>
        <v>7.4427718712596028E-2</v>
      </c>
      <c r="AI32" s="23">
        <f t="shared" si="9"/>
        <v>4.7301029322542765E-2</v>
      </c>
      <c r="AJ32" s="23">
        <f t="shared" si="10"/>
        <v>3.5595829243036947E-2</v>
      </c>
      <c r="AK32" s="23">
        <f t="shared" si="11"/>
        <v>2.7126689390053266E-2</v>
      </c>
      <c r="AL32" s="20">
        <f t="shared" si="12"/>
        <v>1362408</v>
      </c>
      <c r="AM32" s="23">
        <f t="shared" si="13"/>
        <v>7.5067528826294402E-2</v>
      </c>
      <c r="AN32" s="24">
        <v>28557434</v>
      </c>
      <c r="AO32" s="24">
        <v>2855743.4</v>
      </c>
      <c r="AP32" s="24">
        <v>44461.5</v>
      </c>
      <c r="AQ32" s="25">
        <v>2143736</v>
      </c>
      <c r="AR32" s="25">
        <v>1025264</v>
      </c>
      <c r="AS32" s="25">
        <v>337144</v>
      </c>
      <c r="AT32" s="25">
        <v>781328</v>
      </c>
      <c r="AU32" s="26">
        <v>76.520080000000007</v>
      </c>
      <c r="AV32" s="26">
        <v>79.105730000000008</v>
      </c>
      <c r="AW32" s="26">
        <v>37.173969999999997</v>
      </c>
      <c r="AX32" s="26">
        <v>42.963019999999993</v>
      </c>
      <c r="AY32" s="26">
        <v>46.395600000000002</v>
      </c>
      <c r="AZ32" s="27">
        <v>983.74800000000005</v>
      </c>
      <c r="BA32" s="27">
        <v>3770.52</v>
      </c>
      <c r="BB32" s="27">
        <v>11.372</v>
      </c>
      <c r="BC32" s="27">
        <v>7.5839999999999996</v>
      </c>
      <c r="BE32" s="28">
        <f t="shared" si="14"/>
        <v>1</v>
      </c>
      <c r="BF32" s="29">
        <f t="shared" si="15"/>
        <v>0</v>
      </c>
      <c r="BG32" s="29">
        <f t="shared" si="16"/>
        <v>0</v>
      </c>
      <c r="BH32" s="29"/>
      <c r="BJ32" s="28"/>
      <c r="BK32" s="28"/>
      <c r="BL32" s="28"/>
      <c r="BM32" s="28"/>
      <c r="BN32" s="28"/>
      <c r="BP32" s="28"/>
      <c r="BQ32" s="28"/>
      <c r="BR32" s="28"/>
      <c r="BS32" s="28"/>
      <c r="BT32" s="28"/>
      <c r="BV32">
        <f t="shared" si="17"/>
        <v>0</v>
      </c>
      <c r="BW32">
        <f t="shared" si="18"/>
        <v>0</v>
      </c>
      <c r="BX32">
        <f t="shared" si="19"/>
        <v>0</v>
      </c>
      <c r="BY32">
        <f t="shared" si="20"/>
        <v>0</v>
      </c>
      <c r="BZ32">
        <f t="shared" si="21"/>
        <v>0</v>
      </c>
      <c r="CA32">
        <f t="shared" si="22"/>
        <v>0</v>
      </c>
      <c r="CB32">
        <f t="shared" si="23"/>
        <v>0</v>
      </c>
      <c r="CC32">
        <f t="shared" si="24"/>
        <v>0</v>
      </c>
      <c r="CD32">
        <f t="shared" si="25"/>
        <v>0</v>
      </c>
      <c r="CE32">
        <f t="shared" si="26"/>
        <v>0</v>
      </c>
      <c r="CF32">
        <f t="shared" si="27"/>
        <v>0</v>
      </c>
      <c r="CG32">
        <f t="shared" si="28"/>
        <v>0</v>
      </c>
      <c r="CJ32" t="s">
        <v>249</v>
      </c>
    </row>
    <row r="33" spans="1:88" outlineLevel="1" x14ac:dyDescent="0.25">
      <c r="A33" s="10"/>
      <c r="B33" s="10" t="s">
        <v>77</v>
      </c>
      <c r="C33" s="11" t="s">
        <v>242</v>
      </c>
      <c r="D33" s="10">
        <v>28802925</v>
      </c>
      <c r="E33" s="11">
        <v>11</v>
      </c>
      <c r="F33" s="11">
        <v>10</v>
      </c>
      <c r="G33" s="11">
        <v>30</v>
      </c>
      <c r="I33" s="12">
        <f t="shared" si="0"/>
        <v>11.399784</v>
      </c>
      <c r="J33" s="13">
        <f t="shared" si="1"/>
        <v>0.13192854545154703</v>
      </c>
      <c r="K33" s="13">
        <f t="shared" si="2"/>
        <v>6.8446381747687079E-2</v>
      </c>
      <c r="L33" s="13">
        <f t="shared" si="3"/>
        <v>5.6741181668181269E-2</v>
      </c>
      <c r="M33" s="13">
        <f t="shared" si="4"/>
        <v>6.3482163703859937E-2</v>
      </c>
      <c r="N33" s="10">
        <f t="shared" si="5"/>
        <v>1971456</v>
      </c>
      <c r="O33" s="13">
        <f t="shared" si="6"/>
        <v>0.12996756119219588</v>
      </c>
      <c r="P33" s="14">
        <v>29237511</v>
      </c>
      <c r="Q33" s="14">
        <v>2923751.1</v>
      </c>
      <c r="R33" s="14">
        <v>49346.2</v>
      </c>
      <c r="S33" s="15">
        <v>3799928</v>
      </c>
      <c r="T33" s="15">
        <v>1634312</v>
      </c>
      <c r="U33" s="15">
        <v>337144</v>
      </c>
      <c r="V33" s="15">
        <v>1828472</v>
      </c>
      <c r="W33" s="16">
        <v>77.601410000000001</v>
      </c>
      <c r="X33" s="16">
        <v>80.289709999999999</v>
      </c>
      <c r="Y33" s="16">
        <v>38.746950000000012</v>
      </c>
      <c r="Z33" s="16">
        <v>43.534860000000002</v>
      </c>
      <c r="AA33" s="16">
        <v>47.728660000000012</v>
      </c>
      <c r="AB33" s="17">
        <v>1013.54</v>
      </c>
      <c r="AC33" s="17">
        <v>4518.79</v>
      </c>
      <c r="AD33" s="17">
        <v>10.996</v>
      </c>
      <c r="AE33" s="17">
        <v>8.4600000000000009</v>
      </c>
      <c r="AG33" s="12">
        <f t="shared" si="7"/>
        <v>11.399784</v>
      </c>
      <c r="AH33" s="13">
        <f t="shared" si="8"/>
        <v>0.13192854545154703</v>
      </c>
      <c r="AI33" s="13">
        <f t="shared" si="9"/>
        <v>6.8446381747687079E-2</v>
      </c>
      <c r="AJ33" s="13">
        <f t="shared" si="10"/>
        <v>5.6741181668181269E-2</v>
      </c>
      <c r="AK33" s="13">
        <f t="shared" si="11"/>
        <v>6.3482163703859937E-2</v>
      </c>
      <c r="AL33" s="10">
        <f t="shared" si="12"/>
        <v>1971456</v>
      </c>
      <c r="AM33" s="13">
        <f t="shared" si="13"/>
        <v>0.12996756119219588</v>
      </c>
      <c r="AN33" s="14">
        <v>29237511</v>
      </c>
      <c r="AO33" s="14">
        <v>2923751.1</v>
      </c>
      <c r="AP33" s="14">
        <v>49346.2</v>
      </c>
      <c r="AQ33" s="15">
        <v>3799928</v>
      </c>
      <c r="AR33" s="15">
        <v>1634312</v>
      </c>
      <c r="AS33" s="15">
        <v>337144</v>
      </c>
      <c r="AT33" s="15">
        <v>1828472</v>
      </c>
      <c r="AU33" s="16">
        <v>77.601410000000001</v>
      </c>
      <c r="AV33" s="16">
        <v>80.289709999999999</v>
      </c>
      <c r="AW33" s="16">
        <v>38.746950000000012</v>
      </c>
      <c r="AX33" s="16">
        <v>43.534860000000002</v>
      </c>
      <c r="AY33" s="16">
        <v>47.728660000000012</v>
      </c>
      <c r="AZ33" s="17">
        <v>979.88800000000003</v>
      </c>
      <c r="BA33" s="17">
        <v>4072.92</v>
      </c>
      <c r="BB33" s="17">
        <v>11.484</v>
      </c>
      <c r="BC33" s="17">
        <v>8.3320000000000007</v>
      </c>
      <c r="BE33" s="18">
        <f t="shared" si="14"/>
        <v>1</v>
      </c>
      <c r="BF33" s="19">
        <f t="shared" si="15"/>
        <v>0</v>
      </c>
      <c r="BG33" s="19">
        <f t="shared" si="16"/>
        <v>0</v>
      </c>
      <c r="BH33" s="19"/>
      <c r="BJ33" s="18"/>
      <c r="BK33" s="18"/>
      <c r="BL33" s="18"/>
      <c r="BM33" s="18"/>
      <c r="BN33" s="18"/>
      <c r="BP33" s="18"/>
      <c r="BQ33" s="18"/>
      <c r="BR33" s="18"/>
      <c r="BS33" s="18"/>
      <c r="BT33" s="18"/>
      <c r="BV33">
        <f t="shared" si="17"/>
        <v>0</v>
      </c>
      <c r="BW33">
        <f t="shared" si="18"/>
        <v>0</v>
      </c>
      <c r="BX33">
        <f t="shared" si="19"/>
        <v>0</v>
      </c>
      <c r="BY33">
        <f t="shared" si="20"/>
        <v>0</v>
      </c>
      <c r="BZ33">
        <f t="shared" si="21"/>
        <v>0</v>
      </c>
      <c r="CA33">
        <f t="shared" si="22"/>
        <v>0</v>
      </c>
      <c r="CB33">
        <f t="shared" si="23"/>
        <v>0</v>
      </c>
      <c r="CC33">
        <f t="shared" si="24"/>
        <v>0</v>
      </c>
      <c r="CD33">
        <f t="shared" si="25"/>
        <v>0</v>
      </c>
      <c r="CE33">
        <f t="shared" si="26"/>
        <v>0</v>
      </c>
      <c r="CF33">
        <f t="shared" si="27"/>
        <v>0</v>
      </c>
      <c r="CG33">
        <f t="shared" si="28"/>
        <v>0</v>
      </c>
      <c r="CJ33" t="s">
        <v>249</v>
      </c>
    </row>
    <row r="34" spans="1:88" ht="15.75" customHeight="1" outlineLevel="1" thickBot="1" x14ac:dyDescent="0.3">
      <c r="A34" s="20"/>
      <c r="B34" s="40" t="s">
        <v>77</v>
      </c>
      <c r="C34" s="41" t="s">
        <v>243</v>
      </c>
      <c r="D34" s="40">
        <v>28802925</v>
      </c>
      <c r="E34" s="41">
        <v>11</v>
      </c>
      <c r="F34" s="41">
        <v>10</v>
      </c>
      <c r="G34" s="41">
        <v>30</v>
      </c>
      <c r="I34" s="42">
        <f t="shared" si="0"/>
        <v>24.23592</v>
      </c>
      <c r="J34" s="43">
        <f t="shared" si="1"/>
        <v>0.28047984709886237</v>
      </c>
      <c r="K34" s="43">
        <f t="shared" si="2"/>
        <v>0.11593044803609355</v>
      </c>
      <c r="L34" s="43">
        <f t="shared" si="3"/>
        <v>9.162986050895873E-2</v>
      </c>
      <c r="M34" s="43">
        <f t="shared" si="4"/>
        <v>0.1645493990627688</v>
      </c>
      <c r="N34" s="40">
        <f t="shared" si="5"/>
        <v>3339136</v>
      </c>
      <c r="O34" s="43">
        <f t="shared" si="6"/>
        <v>0.28232280632498363</v>
      </c>
      <c r="P34" s="44">
        <v>28614904</v>
      </c>
      <c r="Q34" s="44">
        <v>2861490.4</v>
      </c>
      <c r="R34" s="44">
        <v>21253.8</v>
      </c>
      <c r="S34" s="45">
        <v>8078640</v>
      </c>
      <c r="T34" s="45">
        <v>2639208</v>
      </c>
      <c r="U34" s="45">
        <v>699928</v>
      </c>
      <c r="V34" s="45">
        <v>4739504</v>
      </c>
      <c r="W34" s="46">
        <v>78.512380000000022</v>
      </c>
      <c r="X34" s="46">
        <v>81.884179999999986</v>
      </c>
      <c r="Y34" s="46">
        <v>40.403440000000003</v>
      </c>
      <c r="Z34" s="46">
        <v>44.120649999999998</v>
      </c>
      <c r="AA34" s="46">
        <v>48.929180000000002</v>
      </c>
      <c r="AB34" s="47">
        <v>1014.54</v>
      </c>
      <c r="AC34" s="47">
        <v>5072.67</v>
      </c>
      <c r="AD34" s="47">
        <v>11.055999999999999</v>
      </c>
      <c r="AE34" s="47">
        <v>9.8879999999999999</v>
      </c>
      <c r="AG34" s="42">
        <f t="shared" si="7"/>
        <v>24.23592</v>
      </c>
      <c r="AH34" s="43">
        <f t="shared" si="8"/>
        <v>0.28047984709886237</v>
      </c>
      <c r="AI34" s="43">
        <f t="shared" si="9"/>
        <v>0.11593044803609355</v>
      </c>
      <c r="AJ34" s="43">
        <f t="shared" si="10"/>
        <v>9.162986050895873E-2</v>
      </c>
      <c r="AK34" s="43">
        <f t="shared" si="11"/>
        <v>0.1645493990627688</v>
      </c>
      <c r="AL34" s="40">
        <f t="shared" si="12"/>
        <v>3339136</v>
      </c>
      <c r="AM34" s="43">
        <f t="shared" si="13"/>
        <v>0.28232280632498363</v>
      </c>
      <c r="AN34" s="44">
        <v>28614904</v>
      </c>
      <c r="AO34" s="44">
        <v>2861490.4</v>
      </c>
      <c r="AP34" s="44">
        <v>21253.8</v>
      </c>
      <c r="AQ34" s="45">
        <v>8078640</v>
      </c>
      <c r="AR34" s="45">
        <v>2639208</v>
      </c>
      <c r="AS34" s="45">
        <v>699928</v>
      </c>
      <c r="AT34" s="45">
        <v>4739504</v>
      </c>
      <c r="AU34" s="46">
        <v>78.512380000000022</v>
      </c>
      <c r="AV34" s="46">
        <v>81.884179999999986</v>
      </c>
      <c r="AW34" s="46">
        <v>40.403440000000003</v>
      </c>
      <c r="AX34" s="46">
        <v>44.120649999999998</v>
      </c>
      <c r="AY34" s="46">
        <v>48.929180000000002</v>
      </c>
      <c r="AZ34" s="47">
        <v>1015.08</v>
      </c>
      <c r="BA34" s="47">
        <v>5109.22</v>
      </c>
      <c r="BB34" s="47">
        <v>11.272</v>
      </c>
      <c r="BC34" s="47">
        <v>9.8000000000000007</v>
      </c>
      <c r="BE34" s="48">
        <f t="shared" si="14"/>
        <v>1</v>
      </c>
      <c r="BF34" s="49">
        <f t="shared" si="15"/>
        <v>0</v>
      </c>
      <c r="BG34" s="49">
        <f t="shared" si="16"/>
        <v>0</v>
      </c>
      <c r="BH34" s="49"/>
      <c r="BJ34" s="48"/>
      <c r="BK34" s="48"/>
      <c r="BL34" s="48"/>
      <c r="BM34" s="48"/>
      <c r="BN34" s="48"/>
      <c r="BP34" s="48"/>
      <c r="BQ34" s="48"/>
      <c r="BR34" s="48"/>
      <c r="BS34" s="48"/>
      <c r="BT34" s="48"/>
      <c r="BV34">
        <f t="shared" si="17"/>
        <v>0</v>
      </c>
      <c r="BW34">
        <f t="shared" si="18"/>
        <v>0</v>
      </c>
      <c r="BX34">
        <f t="shared" si="19"/>
        <v>0</v>
      </c>
      <c r="BY34">
        <f t="shared" si="20"/>
        <v>0</v>
      </c>
      <c r="BZ34">
        <f t="shared" si="21"/>
        <v>0</v>
      </c>
      <c r="CA34">
        <f t="shared" si="22"/>
        <v>0</v>
      </c>
      <c r="CB34">
        <f t="shared" si="23"/>
        <v>0</v>
      </c>
      <c r="CC34">
        <f t="shared" si="24"/>
        <v>0</v>
      </c>
      <c r="CD34">
        <f t="shared" si="25"/>
        <v>0</v>
      </c>
      <c r="CE34">
        <f t="shared" si="26"/>
        <v>0</v>
      </c>
      <c r="CF34">
        <f t="shared" si="27"/>
        <v>0</v>
      </c>
      <c r="CG34">
        <f t="shared" si="28"/>
        <v>0</v>
      </c>
      <c r="CJ34" t="s">
        <v>249</v>
      </c>
    </row>
    <row r="35" spans="1:88" x14ac:dyDescent="0.25">
      <c r="A35" s="10"/>
      <c r="B35" s="10" t="s">
        <v>82</v>
      </c>
      <c r="C35" s="11" t="s">
        <v>238</v>
      </c>
      <c r="D35" s="10">
        <v>25767032</v>
      </c>
      <c r="E35" s="11">
        <v>11</v>
      </c>
      <c r="F35" s="11">
        <v>10</v>
      </c>
      <c r="G35" s="11">
        <v>30</v>
      </c>
      <c r="I35" s="12">
        <f t="shared" si="0"/>
        <v>4.6513920000000004</v>
      </c>
      <c r="J35" s="13">
        <f t="shared" si="1"/>
        <v>6.0172393933457295E-2</v>
      </c>
      <c r="K35" s="13">
        <f t="shared" si="2"/>
        <v>4.4368944005658086E-2</v>
      </c>
      <c r="L35" s="13">
        <f t="shared" si="3"/>
        <v>2.8376104783818329E-2</v>
      </c>
      <c r="M35" s="13">
        <f t="shared" si="4"/>
        <v>1.5803449927799213E-2</v>
      </c>
      <c r="N35" s="10">
        <f t="shared" si="5"/>
        <v>1143256</v>
      </c>
      <c r="O35" s="13">
        <f t="shared" si="6"/>
        <v>6.6817738739549007E-2</v>
      </c>
      <c r="P35" s="14">
        <v>23204377</v>
      </c>
      <c r="Q35" s="14">
        <v>2320437.7000000002</v>
      </c>
      <c r="R35" s="14">
        <v>29148.2</v>
      </c>
      <c r="S35" s="15">
        <v>1550464</v>
      </c>
      <c r="T35" s="15">
        <v>731168</v>
      </c>
      <c r="U35" s="15">
        <v>412088</v>
      </c>
      <c r="V35" s="15">
        <v>407208</v>
      </c>
      <c r="W35" s="16">
        <v>73.224719999999991</v>
      </c>
      <c r="X35" s="16">
        <v>75.451709999999991</v>
      </c>
      <c r="Y35" s="16">
        <v>32.014300000000013</v>
      </c>
      <c r="Z35" s="16">
        <v>42.177160000000001</v>
      </c>
      <c r="AA35" s="16">
        <v>43.383020000000002</v>
      </c>
      <c r="AB35" s="17">
        <v>953.89600000000007</v>
      </c>
      <c r="AC35" s="17">
        <v>6721.28</v>
      </c>
      <c r="AD35" s="17">
        <v>15.576000000000001</v>
      </c>
      <c r="AE35" s="17">
        <v>11.608000000000001</v>
      </c>
      <c r="AG35" s="12">
        <f t="shared" si="7"/>
        <v>4.6513920000000004</v>
      </c>
      <c r="AH35" s="13">
        <f t="shared" si="8"/>
        <v>6.0172393933457295E-2</v>
      </c>
      <c r="AI35" s="13">
        <f t="shared" si="9"/>
        <v>4.4368944005658086E-2</v>
      </c>
      <c r="AJ35" s="13">
        <f t="shared" si="10"/>
        <v>2.8376104783818329E-2</v>
      </c>
      <c r="AK35" s="13">
        <f t="shared" si="11"/>
        <v>1.5803449927799213E-2</v>
      </c>
      <c r="AL35" s="10">
        <f t="shared" si="12"/>
        <v>1143256</v>
      </c>
      <c r="AM35" s="13">
        <f t="shared" si="13"/>
        <v>6.6817738739549007E-2</v>
      </c>
      <c r="AN35" s="14">
        <v>23204377</v>
      </c>
      <c r="AO35" s="14">
        <v>2320437.7000000002</v>
      </c>
      <c r="AP35" s="14">
        <v>29148.2</v>
      </c>
      <c r="AQ35" s="15">
        <v>1550464</v>
      </c>
      <c r="AR35" s="15">
        <v>731168</v>
      </c>
      <c r="AS35" s="15">
        <v>412088</v>
      </c>
      <c r="AT35" s="15">
        <v>407208</v>
      </c>
      <c r="AU35" s="16">
        <v>73.224719999999991</v>
      </c>
      <c r="AV35" s="16">
        <v>75.451709999999991</v>
      </c>
      <c r="AW35" s="16">
        <v>32.014300000000013</v>
      </c>
      <c r="AX35" s="16">
        <v>42.177160000000001</v>
      </c>
      <c r="AY35" s="16">
        <v>43.383020000000002</v>
      </c>
      <c r="AZ35" s="17">
        <v>954.58800000000008</v>
      </c>
      <c r="BA35" s="17">
        <v>6827.1</v>
      </c>
      <c r="BB35" s="17">
        <v>13.736000000000001</v>
      </c>
      <c r="BC35" s="17">
        <v>10.728</v>
      </c>
      <c r="BE35" s="18">
        <f t="shared" si="14"/>
        <v>1</v>
      </c>
      <c r="BF35" s="19">
        <f t="shared" si="15"/>
        <v>0</v>
      </c>
      <c r="BG35" s="19">
        <f t="shared" si="16"/>
        <v>0</v>
      </c>
      <c r="BH35" s="19">
        <f t="array" ref="BH35">AVERAGE(AL35:AL39/AQ35:AQ39) - AVERAGE(N35:N39/S35:S39)</f>
        <v>0</v>
      </c>
      <c r="BJ35" s="18">
        <f>IF( OR(ISBLANK(N35:N39),ISBLANK(AL35:AL39), ISBLANK(W35:W39),ISBLANK(AU35:AU39)), "·", bdRateExtend( N35:N39,W35:W39, AL35:AL39,AU35:AU39))</f>
        <v>0</v>
      </c>
      <c r="BK35" s="18">
        <f>IF( OR(ISBLANK(N35:N39),ISBLANK(AL35:AL39), ISBLANK(X35:X39),ISBLANK(AV35:AV39)), "·", bdRateExtend( N35:N39,X35:X39, AL35:AL39,AV35:AV39))</f>
        <v>0</v>
      </c>
      <c r="BL35" s="18">
        <f>IF( OR(ISBLANK(V35:V39),ISBLANK(AT35:AT39), ISBLANK(Y35:Y39),ISBLANK(AW35:AW39)), "·", bdRateExtend( V35:V39,Y35:Y39, AT35:AT39,AW35:AW39))</f>
        <v>0</v>
      </c>
      <c r="BM35" s="18">
        <f>IF( OR(ISBLANK(V35:V39),ISBLANK(AT35:AT39), ISBLANK(Z35:Z39),ISBLANK(AX35:AX39)), "·", bdRateExtend( V35:V39,Z35:Z39, AT35:AT39,AX35:AX39))</f>
        <v>0</v>
      </c>
      <c r="BN35" s="18">
        <f>IF( OR(ISBLANK(V35:V39),ISBLANK(AT35:AT39), ISBLANK(AA35:AA39),ISBLANK(AY35:AY39)), "·", bdRateExtend( V35:V39,AA35:AA39, AT35:AT39,AY35:AY39))</f>
        <v>0</v>
      </c>
      <c r="BP35" s="18">
        <f>IF( OR(ISBLANK(S35:S39),ISBLANK(AQ35:AQ39), ISBLANK(W35:W39),ISBLANK(AU35:AU39)), "·", bdRateExtend( S35:S39,W35:W39, AQ35:AQ39,AU35:AU39))</f>
        <v>0</v>
      </c>
      <c r="BQ35" s="18">
        <f>IF( OR(ISBLANK(S35:S39),ISBLANK(AQ35:AQ39), ISBLANK(X35:X39),ISBLANK(AV35:AV39)), "·", bdRateExtend( S35:S39,X35:X39, AQ35:AQ39,AV35:AV39))</f>
        <v>0</v>
      </c>
      <c r="BR35" s="18">
        <f>IF( OR(ISBLANK(S35:S39),ISBLANK(AQ35:AQ39), ISBLANK(Y35:Y39),ISBLANK(AW35:AW39)), "·", bdRateExtend( S35:S39,Y35:Y39, AQ35:AQ39,AW35:AW39))</f>
        <v>0</v>
      </c>
      <c r="BS35" s="18">
        <f>IF( OR(ISBLANK(S35:S39),ISBLANK(AQ35:AQ39), ISBLANK(Z35:Z39),ISBLANK(AX35:AX39)), "·", bdRateExtend( S35:S39,Z35:Z39, AQ35:AQ39,AX35:AX39))</f>
        <v>0</v>
      </c>
      <c r="BT35" s="18">
        <f>IF( OR(ISBLANK(S35:S39),ISBLANK(AQ35:AQ39), ISBLANK(AA35:AA39),ISBLANK(AY35:AY39)), "·", bdRateExtend( S35:S39,AA35:AA39, AQ35:AQ39,AY35:AY39))</f>
        <v>0</v>
      </c>
      <c r="BV35">
        <f t="shared" si="17"/>
        <v>0</v>
      </c>
      <c r="BW35">
        <f t="shared" si="18"/>
        <v>0</v>
      </c>
      <c r="BX35">
        <f t="shared" si="19"/>
        <v>0</v>
      </c>
      <c r="BY35">
        <f t="shared" si="20"/>
        <v>0</v>
      </c>
      <c r="BZ35">
        <f t="shared" si="21"/>
        <v>0</v>
      </c>
      <c r="CA35">
        <f t="shared" si="22"/>
        <v>0</v>
      </c>
      <c r="CB35">
        <f t="shared" si="23"/>
        <v>0</v>
      </c>
      <c r="CC35">
        <f t="shared" si="24"/>
        <v>0</v>
      </c>
      <c r="CD35">
        <f t="shared" si="25"/>
        <v>0</v>
      </c>
      <c r="CE35">
        <f t="shared" si="26"/>
        <v>0</v>
      </c>
      <c r="CF35">
        <f t="shared" si="27"/>
        <v>0</v>
      </c>
      <c r="CG35">
        <f t="shared" si="28"/>
        <v>0</v>
      </c>
      <c r="CJ35" t="s">
        <v>596</v>
      </c>
    </row>
    <row r="36" spans="1:88" outlineLevel="1" x14ac:dyDescent="0.25">
      <c r="A36" s="20"/>
      <c r="B36" s="20" t="s">
        <v>82</v>
      </c>
      <c r="C36" s="21" t="s">
        <v>240</v>
      </c>
      <c r="D36" s="20">
        <v>25767032</v>
      </c>
      <c r="E36" s="21">
        <v>11</v>
      </c>
      <c r="F36" s="21">
        <v>10</v>
      </c>
      <c r="G36" s="21">
        <v>30</v>
      </c>
      <c r="I36" s="22">
        <f t="shared" si="0"/>
        <v>6.2862960000000001</v>
      </c>
      <c r="J36" s="23">
        <f t="shared" si="1"/>
        <v>8.1322210489745195E-2</v>
      </c>
      <c r="K36" s="23">
        <f t="shared" si="2"/>
        <v>5.4625150463584633E-2</v>
      </c>
      <c r="L36" s="23">
        <f t="shared" si="3"/>
        <v>3.8632311241744877E-2</v>
      </c>
      <c r="M36" s="23">
        <f t="shared" si="4"/>
        <v>2.6697060026160561E-2</v>
      </c>
      <c r="N36" s="20">
        <f t="shared" si="5"/>
        <v>1407528</v>
      </c>
      <c r="O36" s="23">
        <f t="shared" si="6"/>
        <v>8.4583163630037261E-2</v>
      </c>
      <c r="P36" s="24">
        <v>24773630</v>
      </c>
      <c r="Q36" s="24">
        <v>2477363</v>
      </c>
      <c r="R36" s="24">
        <v>37204.199999999997</v>
      </c>
      <c r="S36" s="25">
        <v>2095432</v>
      </c>
      <c r="T36" s="25">
        <v>995440</v>
      </c>
      <c r="U36" s="25">
        <v>412088</v>
      </c>
      <c r="V36" s="25">
        <v>687904</v>
      </c>
      <c r="W36" s="26">
        <v>74.958129999999983</v>
      </c>
      <c r="X36" s="26">
        <v>77.389159999999976</v>
      </c>
      <c r="Y36" s="26">
        <v>34.244020000000013</v>
      </c>
      <c r="Z36" s="26">
        <v>42.963889999999999</v>
      </c>
      <c r="AA36" s="26">
        <v>44.794250000000012</v>
      </c>
      <c r="AB36" s="27">
        <v>881.70800000000008</v>
      </c>
      <c r="AC36" s="27">
        <v>7635.86</v>
      </c>
      <c r="AD36" s="27">
        <v>15.548</v>
      </c>
      <c r="AE36" s="27">
        <v>12.144</v>
      </c>
      <c r="AG36" s="22">
        <f t="shared" si="7"/>
        <v>6.2862960000000001</v>
      </c>
      <c r="AH36" s="23">
        <f t="shared" si="8"/>
        <v>8.1322210489745195E-2</v>
      </c>
      <c r="AI36" s="23">
        <f t="shared" si="9"/>
        <v>5.4625150463584633E-2</v>
      </c>
      <c r="AJ36" s="23">
        <f t="shared" si="10"/>
        <v>3.8632311241744877E-2</v>
      </c>
      <c r="AK36" s="23">
        <f t="shared" si="11"/>
        <v>2.6697060026160561E-2</v>
      </c>
      <c r="AL36" s="20">
        <f t="shared" si="12"/>
        <v>1407528</v>
      </c>
      <c r="AM36" s="23">
        <f t="shared" si="13"/>
        <v>8.4583163630037261E-2</v>
      </c>
      <c r="AN36" s="24">
        <v>24773630</v>
      </c>
      <c r="AO36" s="24">
        <v>2477363</v>
      </c>
      <c r="AP36" s="24">
        <v>37204.199999999997</v>
      </c>
      <c r="AQ36" s="25">
        <v>2095432</v>
      </c>
      <c r="AR36" s="25">
        <v>995440</v>
      </c>
      <c r="AS36" s="25">
        <v>412088</v>
      </c>
      <c r="AT36" s="25">
        <v>687904</v>
      </c>
      <c r="AU36" s="26">
        <v>74.958129999999983</v>
      </c>
      <c r="AV36" s="26">
        <v>77.389159999999976</v>
      </c>
      <c r="AW36" s="26">
        <v>34.244020000000013</v>
      </c>
      <c r="AX36" s="26">
        <v>42.963889999999999</v>
      </c>
      <c r="AY36" s="26">
        <v>44.794250000000012</v>
      </c>
      <c r="AZ36" s="27">
        <v>943.54</v>
      </c>
      <c r="BA36" s="27">
        <v>7721.66</v>
      </c>
      <c r="BB36" s="27">
        <v>14.016</v>
      </c>
      <c r="BC36" s="27">
        <v>11.651999999999999</v>
      </c>
      <c r="BE36" s="28">
        <f t="shared" si="14"/>
        <v>1</v>
      </c>
      <c r="BF36" s="29">
        <f t="shared" si="15"/>
        <v>0</v>
      </c>
      <c r="BG36" s="29">
        <f t="shared" si="16"/>
        <v>0</v>
      </c>
      <c r="BH36" s="29"/>
      <c r="BJ36" s="28"/>
      <c r="BK36" s="28"/>
      <c r="BL36" s="28"/>
      <c r="BM36" s="28"/>
      <c r="BN36" s="28"/>
      <c r="BP36" s="28"/>
      <c r="BQ36" s="28"/>
      <c r="BR36" s="28"/>
      <c r="BS36" s="28"/>
      <c r="BT36" s="28"/>
      <c r="BV36">
        <f t="shared" si="17"/>
        <v>0</v>
      </c>
      <c r="BW36">
        <f t="shared" si="18"/>
        <v>0</v>
      </c>
      <c r="BX36">
        <f t="shared" si="19"/>
        <v>0</v>
      </c>
      <c r="BY36">
        <f t="shared" si="20"/>
        <v>0</v>
      </c>
      <c r="BZ36">
        <f t="shared" si="21"/>
        <v>0</v>
      </c>
      <c r="CA36">
        <f t="shared" si="22"/>
        <v>0</v>
      </c>
      <c r="CB36">
        <f t="shared" si="23"/>
        <v>0</v>
      </c>
      <c r="CC36">
        <f t="shared" si="24"/>
        <v>0</v>
      </c>
      <c r="CD36">
        <f t="shared" si="25"/>
        <v>0</v>
      </c>
      <c r="CE36">
        <f t="shared" si="26"/>
        <v>0</v>
      </c>
      <c r="CF36">
        <f t="shared" si="27"/>
        <v>0</v>
      </c>
      <c r="CG36">
        <f t="shared" si="28"/>
        <v>0</v>
      </c>
      <c r="CJ36" t="s">
        <v>596</v>
      </c>
    </row>
    <row r="37" spans="1:88" outlineLevel="1" x14ac:dyDescent="0.25">
      <c r="A37" s="10"/>
      <c r="B37" s="10" t="s">
        <v>82</v>
      </c>
      <c r="C37" s="11" t="s">
        <v>241</v>
      </c>
      <c r="D37" s="10">
        <v>25767032</v>
      </c>
      <c r="E37" s="11">
        <v>11</v>
      </c>
      <c r="F37" s="11">
        <v>10</v>
      </c>
      <c r="G37" s="11">
        <v>30</v>
      </c>
      <c r="I37" s="12">
        <f t="shared" si="0"/>
        <v>9.1420080000000006</v>
      </c>
      <c r="J37" s="13">
        <f t="shared" si="1"/>
        <v>0.11826492084924643</v>
      </c>
      <c r="K37" s="13">
        <f t="shared" si="2"/>
        <v>6.9606775044948915E-2</v>
      </c>
      <c r="L37" s="13">
        <f t="shared" si="3"/>
        <v>5.3613935823109159E-2</v>
      </c>
      <c r="M37" s="13">
        <f t="shared" si="4"/>
        <v>4.8658145804297524E-2</v>
      </c>
      <c r="N37" s="10">
        <f t="shared" si="5"/>
        <v>1793560</v>
      </c>
      <c r="O37" s="13">
        <f t="shared" si="6"/>
        <v>0.12034702406568462</v>
      </c>
      <c r="P37" s="14">
        <v>25321241</v>
      </c>
      <c r="Q37" s="14">
        <v>2532124.1</v>
      </c>
      <c r="R37" s="14">
        <v>40926.1</v>
      </c>
      <c r="S37" s="15">
        <v>3047336</v>
      </c>
      <c r="T37" s="15">
        <v>1381472</v>
      </c>
      <c r="U37" s="15">
        <v>412088</v>
      </c>
      <c r="V37" s="15">
        <v>1253776</v>
      </c>
      <c r="W37" s="16">
        <v>76.252919999999989</v>
      </c>
      <c r="X37" s="16">
        <v>78.959090000000003</v>
      </c>
      <c r="Y37" s="16">
        <v>36.258439999999993</v>
      </c>
      <c r="Z37" s="16">
        <v>43.630249999999997</v>
      </c>
      <c r="AA37" s="16">
        <v>46.312810000000013</v>
      </c>
      <c r="AB37" s="17">
        <v>915.57600000000002</v>
      </c>
      <c r="AC37" s="17">
        <v>7978.97</v>
      </c>
      <c r="AD37" s="17">
        <v>13.452</v>
      </c>
      <c r="AE37" s="17">
        <v>11.587999999999999</v>
      </c>
      <c r="AG37" s="12">
        <f t="shared" si="7"/>
        <v>9.1420080000000006</v>
      </c>
      <c r="AH37" s="13">
        <f t="shared" si="8"/>
        <v>0.11826492084924643</v>
      </c>
      <c r="AI37" s="13">
        <f t="shared" si="9"/>
        <v>6.9606775044948915E-2</v>
      </c>
      <c r="AJ37" s="13">
        <f t="shared" si="10"/>
        <v>5.3613935823109159E-2</v>
      </c>
      <c r="AK37" s="13">
        <f t="shared" si="11"/>
        <v>4.8658145804297524E-2</v>
      </c>
      <c r="AL37" s="10">
        <f t="shared" si="12"/>
        <v>1793560</v>
      </c>
      <c r="AM37" s="13">
        <f t="shared" si="13"/>
        <v>0.12034702406568462</v>
      </c>
      <c r="AN37" s="14">
        <v>25321241</v>
      </c>
      <c r="AO37" s="14">
        <v>2532124.1</v>
      </c>
      <c r="AP37" s="14">
        <v>40926.1</v>
      </c>
      <c r="AQ37" s="15">
        <v>3047336</v>
      </c>
      <c r="AR37" s="15">
        <v>1381472</v>
      </c>
      <c r="AS37" s="15">
        <v>412088</v>
      </c>
      <c r="AT37" s="15">
        <v>1253776</v>
      </c>
      <c r="AU37" s="16">
        <v>76.252919999999989</v>
      </c>
      <c r="AV37" s="16">
        <v>78.959090000000003</v>
      </c>
      <c r="AW37" s="16">
        <v>36.258439999999993</v>
      </c>
      <c r="AX37" s="16">
        <v>43.630249999999997</v>
      </c>
      <c r="AY37" s="16">
        <v>46.312810000000013</v>
      </c>
      <c r="AZ37" s="17">
        <v>950.38800000000003</v>
      </c>
      <c r="BA37" s="17">
        <v>7999.79</v>
      </c>
      <c r="BB37" s="17">
        <v>14.704000000000001</v>
      </c>
      <c r="BC37" s="17">
        <v>10.464</v>
      </c>
      <c r="BE37" s="18">
        <f t="shared" si="14"/>
        <v>1</v>
      </c>
      <c r="BF37" s="19">
        <f t="shared" si="15"/>
        <v>0</v>
      </c>
      <c r="BG37" s="19">
        <f t="shared" si="16"/>
        <v>0</v>
      </c>
      <c r="BH37" s="19"/>
      <c r="BJ37" s="18"/>
      <c r="BK37" s="18"/>
      <c r="BL37" s="18"/>
      <c r="BM37" s="18"/>
      <c r="BN37" s="18"/>
      <c r="BP37" s="18"/>
      <c r="BQ37" s="18"/>
      <c r="BR37" s="18"/>
      <c r="BS37" s="18"/>
      <c r="BT37" s="18"/>
      <c r="BV37">
        <f t="shared" si="17"/>
        <v>0</v>
      </c>
      <c r="BW37">
        <f t="shared" si="18"/>
        <v>0</v>
      </c>
      <c r="BX37">
        <f t="shared" si="19"/>
        <v>0</v>
      </c>
      <c r="BY37">
        <f t="shared" si="20"/>
        <v>0</v>
      </c>
      <c r="BZ37">
        <f t="shared" si="21"/>
        <v>0</v>
      </c>
      <c r="CA37">
        <f t="shared" si="22"/>
        <v>0</v>
      </c>
      <c r="CB37">
        <f t="shared" si="23"/>
        <v>0</v>
      </c>
      <c r="CC37">
        <f t="shared" si="24"/>
        <v>0</v>
      </c>
      <c r="CD37">
        <f t="shared" si="25"/>
        <v>0</v>
      </c>
      <c r="CE37">
        <f t="shared" si="26"/>
        <v>0</v>
      </c>
      <c r="CF37">
        <f t="shared" si="27"/>
        <v>0</v>
      </c>
      <c r="CG37">
        <f t="shared" si="28"/>
        <v>0</v>
      </c>
      <c r="CJ37" t="s">
        <v>596</v>
      </c>
    </row>
    <row r="38" spans="1:88" outlineLevel="1" x14ac:dyDescent="0.25">
      <c r="A38" s="20"/>
      <c r="B38" s="20" t="s">
        <v>82</v>
      </c>
      <c r="C38" s="21" t="s">
        <v>242</v>
      </c>
      <c r="D38" s="20">
        <v>25767032</v>
      </c>
      <c r="E38" s="21">
        <v>11</v>
      </c>
      <c r="F38" s="21">
        <v>10</v>
      </c>
      <c r="G38" s="21">
        <v>30</v>
      </c>
      <c r="I38" s="22">
        <f t="shared" si="0"/>
        <v>15.112992</v>
      </c>
      <c r="J38" s="23">
        <f t="shared" si="1"/>
        <v>0.19550812060931194</v>
      </c>
      <c r="K38" s="23">
        <f t="shared" si="2"/>
        <v>9.4801139688886177E-2</v>
      </c>
      <c r="L38" s="23">
        <f t="shared" si="3"/>
        <v>7.8808300467046413E-2</v>
      </c>
      <c r="M38" s="23">
        <f t="shared" si="4"/>
        <v>0.10070698092042576</v>
      </c>
      <c r="N38" s="20">
        <f t="shared" si="5"/>
        <v>2442744</v>
      </c>
      <c r="O38" s="23">
        <f t="shared" si="6"/>
        <v>0.19411779235201182</v>
      </c>
      <c r="P38" s="24">
        <v>25951583</v>
      </c>
      <c r="Q38" s="24">
        <v>2595158.2999999998</v>
      </c>
      <c r="R38" s="24">
        <v>45753.7</v>
      </c>
      <c r="S38" s="25">
        <v>5037664</v>
      </c>
      <c r="T38" s="25">
        <v>2030656</v>
      </c>
      <c r="U38" s="25">
        <v>412088</v>
      </c>
      <c r="V38" s="25">
        <v>2594920</v>
      </c>
      <c r="W38" s="26">
        <v>77.425530000000023</v>
      </c>
      <c r="X38" s="26">
        <v>80.159799999999976</v>
      </c>
      <c r="Y38" s="26">
        <v>38.162660000000002</v>
      </c>
      <c r="Z38" s="26">
        <v>44.274769999999997</v>
      </c>
      <c r="AA38" s="26">
        <v>47.361440000000002</v>
      </c>
      <c r="AB38" s="27">
        <v>928.68399999999997</v>
      </c>
      <c r="AC38" s="27">
        <v>7199.13</v>
      </c>
      <c r="AD38" s="27">
        <v>13.46</v>
      </c>
      <c r="AE38" s="27">
        <v>12.327999999999999</v>
      </c>
      <c r="AG38" s="22">
        <f t="shared" si="7"/>
        <v>15.112992</v>
      </c>
      <c r="AH38" s="23">
        <f t="shared" si="8"/>
        <v>0.19550812060931194</v>
      </c>
      <c r="AI38" s="23">
        <f t="shared" si="9"/>
        <v>9.4801139688886177E-2</v>
      </c>
      <c r="AJ38" s="23">
        <f t="shared" si="10"/>
        <v>7.8808300467046413E-2</v>
      </c>
      <c r="AK38" s="23">
        <f t="shared" si="11"/>
        <v>0.10070698092042576</v>
      </c>
      <c r="AL38" s="20">
        <f t="shared" si="12"/>
        <v>2442744</v>
      </c>
      <c r="AM38" s="23">
        <f t="shared" si="13"/>
        <v>0.19411779235201182</v>
      </c>
      <c r="AN38" s="24">
        <v>25951583</v>
      </c>
      <c r="AO38" s="24">
        <v>2595158.2999999998</v>
      </c>
      <c r="AP38" s="24">
        <v>45753.7</v>
      </c>
      <c r="AQ38" s="25">
        <v>5037664</v>
      </c>
      <c r="AR38" s="25">
        <v>2030656</v>
      </c>
      <c r="AS38" s="25">
        <v>412088</v>
      </c>
      <c r="AT38" s="25">
        <v>2594920</v>
      </c>
      <c r="AU38" s="26">
        <v>77.425530000000023</v>
      </c>
      <c r="AV38" s="26">
        <v>80.159799999999976</v>
      </c>
      <c r="AW38" s="26">
        <v>38.162660000000002</v>
      </c>
      <c r="AX38" s="26">
        <v>44.274769999999997</v>
      </c>
      <c r="AY38" s="26">
        <v>47.361440000000002</v>
      </c>
      <c r="AZ38" s="27">
        <v>925.56399999999996</v>
      </c>
      <c r="BA38" s="27">
        <v>7282.04</v>
      </c>
      <c r="BB38" s="27">
        <v>14.036</v>
      </c>
      <c r="BC38" s="27">
        <v>12.42</v>
      </c>
      <c r="BE38" s="28">
        <f t="shared" si="14"/>
        <v>1</v>
      </c>
      <c r="BF38" s="29">
        <f t="shared" si="15"/>
        <v>0</v>
      </c>
      <c r="BG38" s="29">
        <f t="shared" si="16"/>
        <v>0</v>
      </c>
      <c r="BH38" s="29"/>
      <c r="BJ38" s="28"/>
      <c r="BK38" s="28"/>
      <c r="BL38" s="28"/>
      <c r="BM38" s="28"/>
      <c r="BN38" s="28"/>
      <c r="BP38" s="28"/>
      <c r="BQ38" s="28"/>
      <c r="BR38" s="28"/>
      <c r="BS38" s="28"/>
      <c r="BT38" s="28"/>
      <c r="BV38">
        <f t="shared" si="17"/>
        <v>0</v>
      </c>
      <c r="BW38">
        <f t="shared" si="18"/>
        <v>0</v>
      </c>
      <c r="BX38">
        <f t="shared" si="19"/>
        <v>0</v>
      </c>
      <c r="BY38">
        <f t="shared" si="20"/>
        <v>0</v>
      </c>
      <c r="BZ38">
        <f t="shared" si="21"/>
        <v>0</v>
      </c>
      <c r="CA38">
        <f t="shared" si="22"/>
        <v>0</v>
      </c>
      <c r="CB38">
        <f t="shared" si="23"/>
        <v>0</v>
      </c>
      <c r="CC38">
        <f t="shared" si="24"/>
        <v>0</v>
      </c>
      <c r="CD38">
        <f t="shared" si="25"/>
        <v>0</v>
      </c>
      <c r="CE38">
        <f t="shared" si="26"/>
        <v>0</v>
      </c>
      <c r="CF38">
        <f t="shared" si="27"/>
        <v>0</v>
      </c>
      <c r="CG38">
        <f t="shared" si="28"/>
        <v>0</v>
      </c>
      <c r="CJ38" t="s">
        <v>596</v>
      </c>
    </row>
    <row r="39" spans="1:88" ht="15.75" customHeight="1" outlineLevel="1" thickBot="1" x14ac:dyDescent="0.3">
      <c r="A39" s="30"/>
      <c r="B39" s="30" t="s">
        <v>82</v>
      </c>
      <c r="C39" s="31" t="s">
        <v>243</v>
      </c>
      <c r="D39" s="30">
        <v>25767032</v>
      </c>
      <c r="E39" s="31">
        <v>11</v>
      </c>
      <c r="F39" s="31">
        <v>10</v>
      </c>
      <c r="G39" s="31">
        <v>30</v>
      </c>
      <c r="I39" s="32">
        <f t="shared" si="0"/>
        <v>30.130368000000001</v>
      </c>
      <c r="J39" s="33">
        <f t="shared" si="1"/>
        <v>0.38977931179656239</v>
      </c>
      <c r="K39" s="33">
        <f t="shared" si="2"/>
        <v>0.15336341414874635</v>
      </c>
      <c r="L39" s="33">
        <f t="shared" si="3"/>
        <v>0.12114984760371315</v>
      </c>
      <c r="M39" s="33">
        <f t="shared" si="4"/>
        <v>0.23641589764781601</v>
      </c>
      <c r="N39" s="30">
        <f t="shared" si="5"/>
        <v>3951720</v>
      </c>
      <c r="O39" s="33">
        <f t="shared" si="6"/>
        <v>0.3951764924140615</v>
      </c>
      <c r="P39" s="34">
        <v>25415115</v>
      </c>
      <c r="Q39" s="34">
        <v>2541511.5</v>
      </c>
      <c r="R39" s="34">
        <v>18289.099999999999</v>
      </c>
      <c r="S39" s="35">
        <v>10043456</v>
      </c>
      <c r="T39" s="35">
        <v>3121672</v>
      </c>
      <c r="U39" s="35">
        <v>830048</v>
      </c>
      <c r="V39" s="35">
        <v>6091736</v>
      </c>
      <c r="W39" s="36">
        <v>78.300060000000002</v>
      </c>
      <c r="X39" s="36">
        <v>81.864459999999994</v>
      </c>
      <c r="Y39" s="36">
        <v>40.195040000000013</v>
      </c>
      <c r="Z39" s="36">
        <v>45.189349999999997</v>
      </c>
      <c r="AA39" s="36">
        <v>48.673400000000001</v>
      </c>
      <c r="AB39" s="37">
        <v>940.2360000000001</v>
      </c>
      <c r="AC39" s="37">
        <v>9162.74</v>
      </c>
      <c r="AD39" s="37">
        <v>14.404</v>
      </c>
      <c r="AE39" s="37">
        <v>12.824</v>
      </c>
      <c r="AG39" s="32">
        <f t="shared" si="7"/>
        <v>30.130368000000001</v>
      </c>
      <c r="AH39" s="33">
        <f t="shared" si="8"/>
        <v>0.38977931179656239</v>
      </c>
      <c r="AI39" s="33">
        <f t="shared" si="9"/>
        <v>0.15336341414874635</v>
      </c>
      <c r="AJ39" s="33">
        <f t="shared" si="10"/>
        <v>0.12114984760371315</v>
      </c>
      <c r="AK39" s="33">
        <f t="shared" si="11"/>
        <v>0.23641589764781601</v>
      </c>
      <c r="AL39" s="30">
        <f t="shared" si="12"/>
        <v>3951720</v>
      </c>
      <c r="AM39" s="33">
        <f t="shared" si="13"/>
        <v>0.3951764924140615</v>
      </c>
      <c r="AN39" s="34">
        <v>25415115</v>
      </c>
      <c r="AO39" s="34">
        <v>2541511.5</v>
      </c>
      <c r="AP39" s="34">
        <v>18289.099999999999</v>
      </c>
      <c r="AQ39" s="35">
        <v>10043456</v>
      </c>
      <c r="AR39" s="35">
        <v>3121672</v>
      </c>
      <c r="AS39" s="35">
        <v>830048</v>
      </c>
      <c r="AT39" s="35">
        <v>6091736</v>
      </c>
      <c r="AU39" s="36">
        <v>78.300060000000002</v>
      </c>
      <c r="AV39" s="36">
        <v>81.864459999999994</v>
      </c>
      <c r="AW39" s="36">
        <v>40.195040000000013</v>
      </c>
      <c r="AX39" s="36">
        <v>45.189349999999997</v>
      </c>
      <c r="AY39" s="36">
        <v>48.673400000000001</v>
      </c>
      <c r="AZ39" s="37">
        <v>923.12</v>
      </c>
      <c r="BA39" s="37">
        <v>7899.1</v>
      </c>
      <c r="BB39" s="37">
        <v>13.904</v>
      </c>
      <c r="BC39" s="37">
        <v>14.348000000000001</v>
      </c>
      <c r="BE39" s="38">
        <f t="shared" si="14"/>
        <v>1</v>
      </c>
      <c r="BF39" s="39">
        <f t="shared" si="15"/>
        <v>0</v>
      </c>
      <c r="BG39" s="39">
        <f t="shared" si="16"/>
        <v>0</v>
      </c>
      <c r="BH39" s="39"/>
      <c r="BJ39" s="38"/>
      <c r="BK39" s="38"/>
      <c r="BL39" s="38"/>
      <c r="BM39" s="38"/>
      <c r="BN39" s="38"/>
      <c r="BP39" s="38"/>
      <c r="BQ39" s="38"/>
      <c r="BR39" s="38"/>
      <c r="BS39" s="38"/>
      <c r="BT39" s="38"/>
      <c r="BV39">
        <f t="shared" si="17"/>
        <v>0</v>
      </c>
      <c r="BW39">
        <f t="shared" si="18"/>
        <v>0</v>
      </c>
      <c r="BX39">
        <f t="shared" si="19"/>
        <v>0</v>
      </c>
      <c r="BY39">
        <f t="shared" si="20"/>
        <v>0</v>
      </c>
      <c r="BZ39">
        <f t="shared" si="21"/>
        <v>0</v>
      </c>
      <c r="CA39">
        <f t="shared" si="22"/>
        <v>0</v>
      </c>
      <c r="CB39">
        <f t="shared" si="23"/>
        <v>0</v>
      </c>
      <c r="CC39">
        <f t="shared" si="24"/>
        <v>0</v>
      </c>
      <c r="CD39">
        <f t="shared" si="25"/>
        <v>0</v>
      </c>
      <c r="CE39">
        <f t="shared" si="26"/>
        <v>0</v>
      </c>
      <c r="CF39">
        <f t="shared" si="27"/>
        <v>0</v>
      </c>
      <c r="CG39">
        <f t="shared" si="28"/>
        <v>0</v>
      </c>
      <c r="CJ39" t="s">
        <v>596</v>
      </c>
    </row>
    <row r="40" spans="1:88" x14ac:dyDescent="0.25">
      <c r="B40" s="50" t="s">
        <v>16</v>
      </c>
      <c r="J40" s="51">
        <f>AVERAGE(J5:J24)</f>
        <v>0.17596667767503843</v>
      </c>
      <c r="K40" s="51">
        <f>AVERAGE(K5:K24)</f>
        <v>8.7931579137228294E-2</v>
      </c>
      <c r="L40" s="51">
        <f>AVERAGE(L5:L24)</f>
        <v>6.4157107284175924E-2</v>
      </c>
      <c r="M40" s="51">
        <f>AVERAGE(M5:M24)</f>
        <v>8.8035098537810136E-2</v>
      </c>
      <c r="AH40" s="51">
        <f>AVERAGE(AH5:AH24)</f>
        <v>0.17596667767503843</v>
      </c>
      <c r="AI40" s="51">
        <f>AVERAGE(AI5:AI24)</f>
        <v>8.7931579137228294E-2</v>
      </c>
      <c r="AJ40" s="51">
        <f>AVERAGE(AJ5:AJ24)</f>
        <v>6.4157107284175924E-2</v>
      </c>
      <c r="AK40" s="51">
        <f>AVERAGE(AK5:AK24)</f>
        <v>8.8035098537810136E-2</v>
      </c>
      <c r="BE40" s="4">
        <f t="shared" si="14"/>
        <v>1</v>
      </c>
      <c r="BH40" s="55">
        <f>AVERAGE(BH5:BH24)</f>
        <v>0</v>
      </c>
      <c r="BJ40" s="4">
        <f>AVERAGE(BJ5:BJ24)</f>
        <v>0</v>
      </c>
      <c r="BK40" s="4">
        <f>AVERAGE(BK5:BK24)</f>
        <v>0</v>
      </c>
      <c r="BL40" s="4">
        <f>AVERAGE(BL5:BL24)</f>
        <v>0</v>
      </c>
      <c r="BM40" s="4">
        <f>AVERAGE(BM5:BM24)</f>
        <v>0</v>
      </c>
      <c r="BN40" s="4">
        <f>AVERAGE(BN5:BN24)</f>
        <v>0</v>
      </c>
      <c r="BP40" s="4">
        <f>AVERAGE(BP5:BP24)</f>
        <v>0</v>
      </c>
      <c r="BQ40" s="4">
        <f>AVERAGE(BQ5:BQ24)</f>
        <v>0</v>
      </c>
      <c r="BR40" s="4">
        <f>AVERAGE(BR5:BR24)</f>
        <v>0</v>
      </c>
      <c r="BS40" s="4">
        <f>AVERAGE(BS5:BS24)</f>
        <v>0</v>
      </c>
      <c r="BT40" s="4">
        <f>AVERAGE(BT5:BT24)</f>
        <v>0</v>
      </c>
    </row>
    <row r="41" spans="1:88" x14ac:dyDescent="0.25">
      <c r="B41" s="50" t="s">
        <v>17</v>
      </c>
      <c r="J41" s="51">
        <f>AVERAGE(J25:J29)</f>
        <v>0.4154984227498229</v>
      </c>
      <c r="K41" s="51">
        <f>AVERAGE(K25:K29)</f>
        <v>0.11289659995998802</v>
      </c>
      <c r="L41" s="51">
        <f>AVERAGE(L25:L29)</f>
        <v>8.6692723979480732E-2</v>
      </c>
      <c r="M41" s="51">
        <f>AVERAGE(M25:M29)</f>
        <v>0.30260182278983494</v>
      </c>
      <c r="AH41" s="51">
        <f>AVERAGE(AH25:AH29)</f>
        <v>0.4154984227498229</v>
      </c>
      <c r="AI41" s="51">
        <f>AVERAGE(AI25:AI29)</f>
        <v>0.11289659995998802</v>
      </c>
      <c r="AJ41" s="51">
        <f>AVERAGE(AJ25:AJ29)</f>
        <v>8.6692723979480732E-2</v>
      </c>
      <c r="AK41" s="51">
        <f>AVERAGE(AK25:AK29)</f>
        <v>0.30260182278983494</v>
      </c>
      <c r="BE41" s="4">
        <f t="shared" si="14"/>
        <v>1</v>
      </c>
      <c r="BH41" s="55">
        <f>AVERAGE(BH25:BH29)</f>
        <v>0</v>
      </c>
      <c r="BJ41" s="4">
        <f>AVERAGE(BJ25:BJ29)</f>
        <v>0</v>
      </c>
      <c r="BK41" s="4">
        <f>AVERAGE(BK25:BK29)</f>
        <v>0</v>
      </c>
      <c r="BL41" s="4">
        <f>AVERAGE(BL25:BL29)</f>
        <v>0</v>
      </c>
      <c r="BM41" s="4">
        <f>AVERAGE(BM25:BM29)</f>
        <v>0</v>
      </c>
      <c r="BN41" s="4">
        <f>AVERAGE(BN25:BN29)</f>
        <v>0</v>
      </c>
      <c r="BP41" s="4">
        <f>AVERAGE(BP25:BP29)</f>
        <v>0</v>
      </c>
      <c r="BQ41" s="4">
        <f>AVERAGE(BQ25:BQ29)</f>
        <v>0</v>
      </c>
      <c r="BR41" s="4">
        <f>AVERAGE(BR25:BR29)</f>
        <v>0</v>
      </c>
      <c r="BS41" s="4">
        <f>AVERAGE(BS25:BS29)</f>
        <v>0</v>
      </c>
      <c r="BT41" s="4">
        <f>AVERAGE(BT25:BT29)</f>
        <v>0</v>
      </c>
    </row>
    <row r="42" spans="1:88" x14ac:dyDescent="0.25">
      <c r="B42" s="50" t="s">
        <v>18</v>
      </c>
      <c r="J42" s="51">
        <f>AVERAGE(J30:J39)</f>
        <v>0.14188892323778549</v>
      </c>
      <c r="K42" s="51">
        <f>AVERAGE(K30:K39)</f>
        <v>7.1465128043057574E-2</v>
      </c>
      <c r="L42" s="51">
        <f>AVERAGE(L30:L39)</f>
        <v>5.4734496915302536E-2</v>
      </c>
      <c r="M42" s="51">
        <f>AVERAGE(M30:M39)</f>
        <v>7.0423795194727884E-2</v>
      </c>
      <c r="AH42" s="51">
        <f>AVERAGE(AH30:AH39)</f>
        <v>0.14188892323778549</v>
      </c>
      <c r="AI42" s="51">
        <f>AVERAGE(AI30:AI39)</f>
        <v>7.1465128043057574E-2</v>
      </c>
      <c r="AJ42" s="51">
        <f>AVERAGE(AJ30:AJ39)</f>
        <v>5.4734496915302536E-2</v>
      </c>
      <c r="AK42" s="51">
        <f>AVERAGE(AK30:AK39)</f>
        <v>7.0423795194727884E-2</v>
      </c>
      <c r="BE42" s="4">
        <f t="shared" si="14"/>
        <v>1</v>
      </c>
      <c r="BH42" s="55">
        <f>AVERAGE(BH30:BH39)</f>
        <v>0</v>
      </c>
      <c r="BJ42" s="4">
        <f>AVERAGE(BJ30:BJ39)</f>
        <v>0</v>
      </c>
      <c r="BK42" s="4">
        <f>AVERAGE(BK30:BK39)</f>
        <v>0</v>
      </c>
      <c r="BL42" s="4">
        <f>AVERAGE(BL30:BL39)</f>
        <v>0</v>
      </c>
      <c r="BM42" s="4">
        <f>AVERAGE(BM30:BM39)</f>
        <v>0</v>
      </c>
      <c r="BN42" s="4">
        <f>AVERAGE(BN30:BN39)</f>
        <v>0</v>
      </c>
      <c r="BP42" s="4">
        <f>AVERAGE(BP30:BP39)</f>
        <v>0</v>
      </c>
      <c r="BQ42" s="4">
        <f>AVERAGE(BQ30:BQ39)</f>
        <v>0</v>
      </c>
      <c r="BR42" s="4">
        <f>AVERAGE(BR30:BR39)</f>
        <v>0</v>
      </c>
      <c r="BS42" s="4">
        <f>AVERAGE(BS30:BS39)</f>
        <v>0</v>
      </c>
      <c r="BT42" s="4">
        <f>AVERAGE(BT30:BT39)</f>
        <v>0</v>
      </c>
    </row>
    <row r="43" spans="1:88" collapsed="1" x14ac:dyDescent="0.25">
      <c r="B43" s="50" t="s">
        <v>19</v>
      </c>
      <c r="J43" s="51">
        <f>AVERAGE(J5:J39)</f>
        <v>0.20044899713222111</v>
      </c>
      <c r="K43" s="51">
        <f>AVERAGE(K5:K39)</f>
        <v>8.6793310370716609E-2</v>
      </c>
      <c r="L43" s="51">
        <f>AVERAGE(L5:L39)</f>
        <v>6.4684306706684194E-2</v>
      </c>
      <c r="M43" s="51">
        <f>AVERAGE(M5:M39)</f>
        <v>0.11365568676150446</v>
      </c>
      <c r="AH43" s="51">
        <f>AVERAGE(AH5:AH39)</f>
        <v>0.20044899713222111</v>
      </c>
      <c r="AI43" s="51">
        <f>AVERAGE(AI5:AI39)</f>
        <v>8.6793310370716609E-2</v>
      </c>
      <c r="AJ43" s="51">
        <f>AVERAGE(AJ5:AJ39)</f>
        <v>6.4684306706684194E-2</v>
      </c>
      <c r="AK43" s="51">
        <f>AVERAGE(AK5:AK39)</f>
        <v>0.11365568676150446</v>
      </c>
      <c r="BE43" s="4">
        <f t="shared" si="14"/>
        <v>1</v>
      </c>
      <c r="BH43" s="55">
        <f>AVERAGE(BH5:BH39)</f>
        <v>0</v>
      </c>
      <c r="BJ43" s="4">
        <f>AVERAGE(BJ5:BJ39)</f>
        <v>0</v>
      </c>
      <c r="BK43" s="4">
        <f>AVERAGE(BK5:BK39)</f>
        <v>0</v>
      </c>
      <c r="BL43" s="4">
        <f>AVERAGE(BL5:BL39)</f>
        <v>0</v>
      </c>
      <c r="BM43" s="4">
        <f>AVERAGE(BM5:BM39)</f>
        <v>0</v>
      </c>
      <c r="BN43" s="4">
        <f>AVERAGE(BN5:BN39)</f>
        <v>0</v>
      </c>
      <c r="BP43" s="4">
        <f>AVERAGE(BP5:BP39)</f>
        <v>0</v>
      </c>
      <c r="BQ43" s="4">
        <f>AVERAGE(BQ5:BQ39)</f>
        <v>0</v>
      </c>
      <c r="BR43" s="4">
        <f>AVERAGE(BR5:BR39)</f>
        <v>0</v>
      </c>
      <c r="BS43" s="4">
        <f>AVERAGE(BS5:BS39)</f>
        <v>0</v>
      </c>
      <c r="BT43" s="4">
        <f>AVERAGE(BT5:BT39)</f>
        <v>0</v>
      </c>
    </row>
    <row r="44" spans="1:88" hidden="1" outlineLevel="2" x14ac:dyDescent="0.25">
      <c r="A44" s="50" t="s">
        <v>251</v>
      </c>
      <c r="B44" s="50" t="s">
        <v>252</v>
      </c>
      <c r="AB44" s="52">
        <f>SUM(AB5:AB24,AB25:AB29,AB30:AB39)</f>
        <v>95874.511999999973</v>
      </c>
      <c r="AC44" s="52">
        <f>SUM(AC5:AC24,AC25:AC29,AC30:AC39)</f>
        <v>193136.66000000003</v>
      </c>
      <c r="AD44" s="52">
        <f>SUM(AD5:AD24,AD25:AD29,AD30:AD39)</f>
        <v>455.43599999999998</v>
      </c>
      <c r="AE44" s="52">
        <f>SUM(AE5:AE24,AE25:AE29,AE30:AE39)</f>
        <v>371.38800000000003</v>
      </c>
      <c r="AZ44" s="52">
        <f>SUM(AZ5:AZ24,AZ25:AZ29,AZ30:AZ39)</f>
        <v>94606.774000000005</v>
      </c>
      <c r="BA44" s="52">
        <f>SUM(BA5:BA24,BA25:BA29,BA30:BA39)</f>
        <v>195476.93000000002</v>
      </c>
      <c r="BB44" s="52">
        <f>SUM(BB5:BB24,BB25:BB29,BB30:BB39)</f>
        <v>458.44799999999998</v>
      </c>
      <c r="BC44" s="52">
        <f>SUM(BC5:BC24,BC25:BC29,BC30:BC39)</f>
        <v>344.11200000000002</v>
      </c>
    </row>
    <row r="45" spans="1:88" hidden="1" outlineLevel="2" x14ac:dyDescent="0.25">
      <c r="B45" s="50" t="s">
        <v>253</v>
      </c>
      <c r="AZ45" s="55">
        <f>AZ44/AB44</f>
        <v>0.98677711131400625</v>
      </c>
      <c r="BA45" s="55">
        <f>BA44/AC44</f>
        <v>1.0121171713335002</v>
      </c>
      <c r="BB45" s="55">
        <f>BB44/AD44</f>
        <v>1.0066134429425868</v>
      </c>
      <c r="BC45" s="55">
        <f>BC44/AE44</f>
        <v>0.92655659310478522</v>
      </c>
    </row>
    <row r="46" spans="1:88" hidden="1" outlineLevel="2" x14ac:dyDescent="0.25">
      <c r="B46" s="50" t="s">
        <v>254</v>
      </c>
      <c r="AB46" s="52">
        <f>GEOMEAN(AB5:AB24,AB25:AB29,AB30:AB39)</f>
        <v>2277.3851193300393</v>
      </c>
      <c r="AC46" s="52">
        <f>GEOMEAN(AC5:AC24,AC25:AC29,AC30:AC39)</f>
        <v>5369.4126205757475</v>
      </c>
      <c r="AD46" s="52">
        <f>GEOMEAN(AD5:AD24,AD25:AD29,AD30:AD39)</f>
        <v>12.93565967676513</v>
      </c>
      <c r="AE46" s="52">
        <f>GEOMEAN(AE5:AE24,AE25:AE29,AE30:AE39)</f>
        <v>10.382450874178925</v>
      </c>
      <c r="AZ46" s="52">
        <f>GEOMEAN(AZ5:AZ24,AZ25:AZ29,AZ30:AZ39)</f>
        <v>2256.3959841673741</v>
      </c>
      <c r="BA46" s="52">
        <f>GEOMEAN(BA5:BA24,BA25:BA29,BA30:BA39)</f>
        <v>5429.4773143679386</v>
      </c>
      <c r="BB46" s="52">
        <f>GEOMEAN(BB5:BB24,BB25:BB29,BB30:BB39)</f>
        <v>13.054430098887849</v>
      </c>
      <c r="BC46" s="52">
        <f>GEOMEAN(BC5:BC24,BC25:BC29,BC30:BC39)</f>
        <v>9.6141496549406913</v>
      </c>
    </row>
    <row r="47" spans="1:88" hidden="1" outlineLevel="2" collapsed="1" x14ac:dyDescent="0.25">
      <c r="B47" s="50" t="s">
        <v>255</v>
      </c>
      <c r="AZ47" s="55">
        <f>AZ46/AB46</f>
        <v>0.99078366896116377</v>
      </c>
      <c r="BA47" s="55">
        <f>BA46/AC46</f>
        <v>1.0111864552115106</v>
      </c>
      <c r="BB47" s="55">
        <f>BB46/AD46</f>
        <v>1.0091816285439275</v>
      </c>
      <c r="BC47" s="55">
        <f>BC46/AE46</f>
        <v>0.9260000140093132</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Rajan Laxman Joshi</dc:creator>
  <cp:lastModifiedBy>avosoughi(ArashVosoughi)</cp:lastModifiedBy>
  <dcterms:created xsi:type="dcterms:W3CDTF">2019-04-23T13:57:55Z</dcterms:created>
  <dcterms:modified xsi:type="dcterms:W3CDTF">2019-07-27T18:39:19Z</dcterms:modified>
</cp:coreProperties>
</file>