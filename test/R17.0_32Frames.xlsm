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1" defaultThemeVersion="124226"/>
  <mc:AlternateContent xmlns:mc="http://schemas.openxmlformats.org/markup-compatibility/2006">
    <mc:Choice Requires="x15">
      <x15ac:absPath xmlns:x15ac="http://schemas.microsoft.com/office/spreadsheetml/2010/11/ac" url="\\renwekasmb01\wp21\PCC\ricardj\gitint17\tm2_r171_integration\test\"/>
    </mc:Choice>
  </mc:AlternateContent>
  <xr:revisionPtr revIDLastSave="0" documentId="13_ncr:1_{1BABD73D-B3A2-4A17-B833-1E00668ED151}" xr6:coauthVersionLast="47" xr6:coauthVersionMax="47" xr10:uidLastSave="{00000000-0000-0000-0000-000000000000}"/>
  <bookViews>
    <workbookView xWindow="-120" yWindow="-120" windowWidth="29040" windowHeight="17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C46" i="7" l="1"/>
  <c r="BC47" i="7" s="1"/>
  <c r="BB46" i="7"/>
  <c r="BA46" i="7"/>
  <c r="AZ46" i="7"/>
  <c r="AE46" i="7"/>
  <c r="AD46" i="7"/>
  <c r="AC46" i="7"/>
  <c r="AB46" i="7"/>
  <c r="BC44" i="7"/>
  <c r="BC45" i="7" s="1"/>
  <c r="BB44" i="7"/>
  <c r="BB45" i="7" s="1"/>
  <c r="BA44" i="7"/>
  <c r="BA45" i="7" s="1"/>
  <c r="AZ44" i="7"/>
  <c r="AZ45" i="7" s="1"/>
  <c r="AE44" i="7"/>
  <c r="AD44" i="7"/>
  <c r="AC44" i="7"/>
  <c r="AB44" i="7"/>
  <c r="BF39" i="7"/>
  <c r="AL39" i="7"/>
  <c r="AK39" i="7"/>
  <c r="AJ39" i="7"/>
  <c r="AH39" i="7"/>
  <c r="AG39" i="7"/>
  <c r="N39" i="7"/>
  <c r="K39" i="7" s="1"/>
  <c r="M39" i="7"/>
  <c r="L39" i="7"/>
  <c r="J39" i="7"/>
  <c r="I39" i="7"/>
  <c r="BF38" i="7"/>
  <c r="AL38" i="7"/>
  <c r="AK38" i="7"/>
  <c r="AJ38" i="7"/>
  <c r="AH38" i="7"/>
  <c r="AG38" i="7"/>
  <c r="N38" i="7"/>
  <c r="M38" i="7"/>
  <c r="L38" i="7"/>
  <c r="K38" i="7"/>
  <c r="J38" i="7"/>
  <c r="I38" i="7"/>
  <c r="BF37" i="7"/>
  <c r="AL37" i="7"/>
  <c r="AI37" i="7" s="1"/>
  <c r="AK37" i="7"/>
  <c r="AJ37" i="7"/>
  <c r="AH37" i="7"/>
  <c r="AG37" i="7"/>
  <c r="N37" i="7"/>
  <c r="K37" i="7" s="1"/>
  <c r="M37" i="7"/>
  <c r="L37" i="7"/>
  <c r="J37" i="7"/>
  <c r="I37" i="7"/>
  <c r="BF36" i="7"/>
  <c r="AL36" i="7"/>
  <c r="AK36" i="7"/>
  <c r="AJ36" i="7"/>
  <c r="AI36" i="7"/>
  <c r="AH36" i="7"/>
  <c r="AG36" i="7"/>
  <c r="N36" i="7"/>
  <c r="K36" i="7" s="1"/>
  <c r="M36" i="7"/>
  <c r="L36" i="7"/>
  <c r="J36" i="7"/>
  <c r="I36" i="7"/>
  <c r="BF35" i="7"/>
  <c r="AL35" i="7"/>
  <c r="BH35" i="7" s="1" a="1"/>
  <c r="AK35" i="7"/>
  <c r="AJ35" i="7"/>
  <c r="AH35" i="7"/>
  <c r="AG35" i="7"/>
  <c r="N35" i="7"/>
  <c r="K35" i="7" s="1"/>
  <c r="M35" i="7"/>
  <c r="L35" i="7"/>
  <c r="J35" i="7"/>
  <c r="I35" i="7"/>
  <c r="BF34" i="7"/>
  <c r="AL34" i="7"/>
  <c r="AI34" i="7" s="1"/>
  <c r="AK34" i="7"/>
  <c r="AJ34" i="7"/>
  <c r="AH34" i="7"/>
  <c r="AG34" i="7"/>
  <c r="N34" i="7"/>
  <c r="M34" i="7"/>
  <c r="L34" i="7"/>
  <c r="J34" i="7"/>
  <c r="I34" i="7"/>
  <c r="BF33" i="7"/>
  <c r="AL33" i="7"/>
  <c r="AI33" i="7" s="1"/>
  <c r="AK33" i="7"/>
  <c r="AJ33" i="7"/>
  <c r="AH33" i="7"/>
  <c r="AG33" i="7"/>
  <c r="N33" i="7"/>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I30" i="7" s="1"/>
  <c r="AK30" i="7"/>
  <c r="AJ30" i="7"/>
  <c r="AH30" i="7"/>
  <c r="AH42" i="7" s="1"/>
  <c r="AG30" i="7"/>
  <c r="N30" i="7"/>
  <c r="M30" i="7"/>
  <c r="L30" i="7"/>
  <c r="J30" i="7"/>
  <c r="I30" i="7"/>
  <c r="BF29" i="7"/>
  <c r="AL29" i="7"/>
  <c r="AI29" i="7" s="1"/>
  <c r="AK29" i="7"/>
  <c r="AJ29" i="7"/>
  <c r="AH29" i="7"/>
  <c r="AG29" i="7"/>
  <c r="N29" i="7"/>
  <c r="M29" i="7"/>
  <c r="L29" i="7"/>
  <c r="J29" i="7"/>
  <c r="I29" i="7"/>
  <c r="BF28" i="7"/>
  <c r="AL28" i="7"/>
  <c r="AK28" i="7"/>
  <c r="AJ28" i="7"/>
  <c r="AH28" i="7"/>
  <c r="AG28" i="7"/>
  <c r="N28" i="7"/>
  <c r="K28" i="7" s="1"/>
  <c r="M28" i="7"/>
  <c r="L28" i="7"/>
  <c r="J28" i="7"/>
  <c r="I28" i="7"/>
  <c r="BF27" i="7"/>
  <c r="AL27" i="7"/>
  <c r="BG27" i="7" s="1"/>
  <c r="AK27" i="7"/>
  <c r="AJ27" i="7"/>
  <c r="AH27" i="7"/>
  <c r="AG27" i="7"/>
  <c r="N27" i="7"/>
  <c r="M27" i="7"/>
  <c r="L27" i="7"/>
  <c r="K27" i="7"/>
  <c r="J27" i="7"/>
  <c r="I27" i="7"/>
  <c r="BF26" i="7"/>
  <c r="AL26" i="7"/>
  <c r="AI26" i="7" s="1"/>
  <c r="AK26" i="7"/>
  <c r="AJ26" i="7"/>
  <c r="AH26" i="7"/>
  <c r="AG26" i="7"/>
  <c r="N26" i="7"/>
  <c r="M26" i="7"/>
  <c r="L26" i="7"/>
  <c r="J26" i="7"/>
  <c r="I26" i="7"/>
  <c r="BF25" i="7"/>
  <c r="AL25" i="7"/>
  <c r="AI25" i="7" s="1"/>
  <c r="AK25" i="7"/>
  <c r="AK41" i="7" s="1"/>
  <c r="AJ25" i="7"/>
  <c r="AJ41" i="7" s="1"/>
  <c r="AH25" i="7"/>
  <c r="AG25" i="7"/>
  <c r="N25" i="7"/>
  <c r="M25" i="7"/>
  <c r="L25" i="7"/>
  <c r="L41" i="7" s="1"/>
  <c r="J25" i="7"/>
  <c r="J41" i="7" s="1"/>
  <c r="I25" i="7"/>
  <c r="BF24" i="7"/>
  <c r="AL24" i="7"/>
  <c r="AK24" i="7"/>
  <c r="AJ24" i="7"/>
  <c r="AH24" i="7"/>
  <c r="AG24" i="7"/>
  <c r="N24" i="7"/>
  <c r="K24" i="7" s="1"/>
  <c r="M24" i="7"/>
  <c r="L24" i="7"/>
  <c r="J24" i="7"/>
  <c r="I24" i="7"/>
  <c r="BF23" i="7"/>
  <c r="AL23" i="7"/>
  <c r="AI23" i="7" s="1"/>
  <c r="AK23" i="7"/>
  <c r="AJ23" i="7"/>
  <c r="AH23" i="7"/>
  <c r="AG23" i="7"/>
  <c r="N23" i="7"/>
  <c r="BG23" i="7" s="1"/>
  <c r="M23" i="7"/>
  <c r="L23" i="7"/>
  <c r="J23" i="7"/>
  <c r="I23" i="7"/>
  <c r="BF22" i="7"/>
  <c r="AL22" i="7"/>
  <c r="AI22" i="7" s="1"/>
  <c r="AK22" i="7"/>
  <c r="AJ22" i="7"/>
  <c r="AH22" i="7"/>
  <c r="AG22" i="7"/>
  <c r="N22" i="7"/>
  <c r="M22" i="7"/>
  <c r="L22" i="7"/>
  <c r="J22" i="7"/>
  <c r="I22" i="7"/>
  <c r="BF21" i="7"/>
  <c r="AL21" i="7"/>
  <c r="AK21" i="7"/>
  <c r="AJ21" i="7"/>
  <c r="AI21" i="7"/>
  <c r="AH21" i="7"/>
  <c r="AG21" i="7"/>
  <c r="N21" i="7"/>
  <c r="M21" i="7"/>
  <c r="L21" i="7"/>
  <c r="J21" i="7"/>
  <c r="I21" i="7"/>
  <c r="BF20" i="7"/>
  <c r="AL20" i="7"/>
  <c r="AK20" i="7"/>
  <c r="AJ20" i="7"/>
  <c r="AH20" i="7"/>
  <c r="AG20" i="7"/>
  <c r="N20" i="7"/>
  <c r="M20" i="7"/>
  <c r="L20" i="7"/>
  <c r="J20" i="7"/>
  <c r="I20" i="7"/>
  <c r="BF19" i="7"/>
  <c r="AL19" i="7"/>
  <c r="AI19" i="7" s="1"/>
  <c r="AK19" i="7"/>
  <c r="AJ19" i="7"/>
  <c r="AH19" i="7"/>
  <c r="AG19" i="7"/>
  <c r="N19" i="7"/>
  <c r="BG19" i="7" s="1"/>
  <c r="M19" i="7"/>
  <c r="L19" i="7"/>
  <c r="J19" i="7"/>
  <c r="I19" i="7"/>
  <c r="BF18" i="7"/>
  <c r="AL18" i="7"/>
  <c r="AI18" i="7" s="1"/>
  <c r="AK18" i="7"/>
  <c r="AJ18" i="7"/>
  <c r="AH18" i="7"/>
  <c r="AG18" i="7"/>
  <c r="N18" i="7"/>
  <c r="M18" i="7"/>
  <c r="L18" i="7"/>
  <c r="J18" i="7"/>
  <c r="I18" i="7"/>
  <c r="BF17" i="7"/>
  <c r="AL17" i="7"/>
  <c r="AK17" i="7"/>
  <c r="AJ17" i="7"/>
  <c r="AI17" i="7"/>
  <c r="AH17" i="7"/>
  <c r="AG17" i="7"/>
  <c r="N17" i="7"/>
  <c r="BG17" i="7" s="1"/>
  <c r="M17" i="7"/>
  <c r="L17" i="7"/>
  <c r="J17" i="7"/>
  <c r="I17" i="7"/>
  <c r="BF16" i="7"/>
  <c r="AL16" i="7"/>
  <c r="AK16" i="7"/>
  <c r="AJ16" i="7"/>
  <c r="AH16" i="7"/>
  <c r="AG16" i="7"/>
  <c r="N16" i="7"/>
  <c r="K16" i="7" s="1"/>
  <c r="M16" i="7"/>
  <c r="L16" i="7"/>
  <c r="J16" i="7"/>
  <c r="I16" i="7"/>
  <c r="BG15" i="7"/>
  <c r="BF15" i="7"/>
  <c r="AL15" i="7"/>
  <c r="AI15" i="7" s="1"/>
  <c r="AK15" i="7"/>
  <c r="AJ15" i="7"/>
  <c r="AH15" i="7"/>
  <c r="AG15" i="7"/>
  <c r="N15" i="7"/>
  <c r="K15" i="7" s="1"/>
  <c r="M15" i="7"/>
  <c r="L15" i="7"/>
  <c r="J15" i="7"/>
  <c r="I15" i="7"/>
  <c r="BF14" i="7"/>
  <c r="AL14" i="7"/>
  <c r="AI14" i="7" s="1"/>
  <c r="AK14" i="7"/>
  <c r="AJ14" i="7"/>
  <c r="AH14" i="7"/>
  <c r="AG14" i="7"/>
  <c r="N14" i="7"/>
  <c r="M14" i="7"/>
  <c r="L14" i="7"/>
  <c r="J14" i="7"/>
  <c r="I14" i="7"/>
  <c r="BF13" i="7"/>
  <c r="AL13" i="7"/>
  <c r="AI13" i="7" s="1"/>
  <c r="AK13" i="7"/>
  <c r="AJ13" i="7"/>
  <c r="AH13" i="7"/>
  <c r="AG13" i="7"/>
  <c r="N13" i="7"/>
  <c r="M13" i="7"/>
  <c r="L13" i="7"/>
  <c r="J13" i="7"/>
  <c r="I13" i="7"/>
  <c r="BF12" i="7"/>
  <c r="AL12" i="7"/>
  <c r="AK12" i="7"/>
  <c r="AJ12" i="7"/>
  <c r="AH12" i="7"/>
  <c r="AG12" i="7"/>
  <c r="N12" i="7"/>
  <c r="K12" i="7" s="1"/>
  <c r="M12" i="7"/>
  <c r="L12" i="7"/>
  <c r="J12" i="7"/>
  <c r="I12" i="7"/>
  <c r="BF11" i="7"/>
  <c r="AL11" i="7"/>
  <c r="AI11" i="7" s="1"/>
  <c r="AK11" i="7"/>
  <c r="AJ11" i="7"/>
  <c r="AH11" i="7"/>
  <c r="AG11" i="7"/>
  <c r="N11" i="7"/>
  <c r="M11" i="7"/>
  <c r="L11" i="7"/>
  <c r="K11" i="7"/>
  <c r="J11" i="7"/>
  <c r="I11" i="7"/>
  <c r="BH10" i="7" a="1"/>
  <c r="BF10" i="7"/>
  <c r="AL10" i="7"/>
  <c r="AI10" i="7" s="1"/>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M7" i="7"/>
  <c r="L7" i="7"/>
  <c r="K7" i="7"/>
  <c r="J7" i="7"/>
  <c r="I7" i="7"/>
  <c r="BF6" i="7"/>
  <c r="AL6" i="7"/>
  <c r="AI6" i="7" s="1"/>
  <c r="AK6" i="7"/>
  <c r="AJ6" i="7"/>
  <c r="AH6" i="7"/>
  <c r="AG6" i="7"/>
  <c r="N6" i="7"/>
  <c r="M6" i="7"/>
  <c r="L6" i="7"/>
  <c r="J6" i="7"/>
  <c r="I6" i="7"/>
  <c r="BF5" i="7"/>
  <c r="AL5" i="7"/>
  <c r="BG5" i="7" s="1"/>
  <c r="AK5" i="7"/>
  <c r="AJ5" i="7"/>
  <c r="AJ43" i="7" s="1"/>
  <c r="AH5" i="7"/>
  <c r="AG5" i="7"/>
  <c r="N5" i="7"/>
  <c r="M5" i="7"/>
  <c r="L5" i="7"/>
  <c r="J5" i="7"/>
  <c r="I5" i="7"/>
  <c r="AG1" i="7"/>
  <c r="I1" i="7"/>
  <c r="AZ18" i="6"/>
  <c r="AY18" i="6"/>
  <c r="AX18" i="6"/>
  <c r="AX19" i="6" s="1"/>
  <c r="AW18" i="6"/>
  <c r="AC18" i="6"/>
  <c r="AB18" i="6"/>
  <c r="AY19" i="6" s="1"/>
  <c r="C36" i="1" s="1"/>
  <c r="AA18" i="6"/>
  <c r="Z18" i="6"/>
  <c r="AZ16" i="6"/>
  <c r="AY16" i="6"/>
  <c r="AY17" i="6" s="1"/>
  <c r="AX16" i="6"/>
  <c r="AX17" i="6" s="1"/>
  <c r="AW16" i="6"/>
  <c r="AC16" i="6"/>
  <c r="AB16" i="6"/>
  <c r="AA16" i="6"/>
  <c r="Z16" i="6"/>
  <c r="AW17" i="6" s="1"/>
  <c r="AJ14" i="6"/>
  <c r="K13" i="6"/>
  <c r="AK11" i="6"/>
  <c r="BG11" i="6" s="1" a="1"/>
  <c r="BG11" i="6" s="1"/>
  <c r="AJ11" i="6"/>
  <c r="AI11" i="6"/>
  <c r="AG11" i="6"/>
  <c r="AF11" i="6"/>
  <c r="AE11" i="6"/>
  <c r="N11" i="6"/>
  <c r="K11" i="6" s="1"/>
  <c r="M11" i="6"/>
  <c r="BE11" i="6" s="1"/>
  <c r="L11" i="6"/>
  <c r="J11" i="6"/>
  <c r="J14" i="6" s="1"/>
  <c r="I11" i="6"/>
  <c r="H11" i="6"/>
  <c r="BG10" i="6" a="1"/>
  <c r="AK10" i="6"/>
  <c r="AH10" i="6" s="1"/>
  <c r="AJ10" i="6"/>
  <c r="AI10" i="6"/>
  <c r="AI14" i="6" s="1"/>
  <c r="AG10" i="6"/>
  <c r="AF10" i="6"/>
  <c r="AE10" i="6"/>
  <c r="N10" i="6"/>
  <c r="K10" i="6" s="1"/>
  <c r="K14" i="6" s="1"/>
  <c r="M10" i="6"/>
  <c r="BE10" i="6" s="1"/>
  <c r="L10" i="6"/>
  <c r="J10" i="6"/>
  <c r="I10" i="6"/>
  <c r="H10" i="6"/>
  <c r="AK9" i="6"/>
  <c r="AH9" i="6" s="1"/>
  <c r="AJ9" i="6"/>
  <c r="AJ13" i="6" s="1"/>
  <c r="AI9" i="6"/>
  <c r="AI13" i="6" s="1"/>
  <c r="BD13" i="6" s="1"/>
  <c r="AG9" i="6"/>
  <c r="AF9" i="6"/>
  <c r="AE9" i="6"/>
  <c r="N9" i="6"/>
  <c r="M9" i="6"/>
  <c r="M13" i="6" s="1"/>
  <c r="L9" i="6"/>
  <c r="L13" i="6" s="1"/>
  <c r="K9" i="6"/>
  <c r="J9" i="6"/>
  <c r="J13" i="6" s="1"/>
  <c r="I9" i="6"/>
  <c r="H9" i="6"/>
  <c r="AK8" i="6"/>
  <c r="AJ8" i="6"/>
  <c r="BE8" i="6" s="1"/>
  <c r="AI8" i="6"/>
  <c r="AG8" i="6"/>
  <c r="BB8" i="6" s="1"/>
  <c r="AF8" i="6"/>
  <c r="AE8" i="6"/>
  <c r="N8" i="6"/>
  <c r="K8" i="6" s="1"/>
  <c r="M8" i="6"/>
  <c r="L8" i="6"/>
  <c r="J8" i="6"/>
  <c r="I8" i="6"/>
  <c r="H8" i="6"/>
  <c r="AK7" i="6"/>
  <c r="BG7" i="6" s="1" a="1"/>
  <c r="BG7" i="6" s="1"/>
  <c r="AJ7" i="6"/>
  <c r="BE7" i="6" s="1"/>
  <c r="AI7" i="6"/>
  <c r="AH7" i="6"/>
  <c r="BC7" i="6" s="1"/>
  <c r="AG7" i="6"/>
  <c r="BB7" i="6" s="1"/>
  <c r="AF7" i="6"/>
  <c r="AE7" i="6"/>
  <c r="N7" i="6"/>
  <c r="M7" i="6"/>
  <c r="L7" i="6"/>
  <c r="K7" i="6"/>
  <c r="J7" i="6"/>
  <c r="I7" i="6"/>
  <c r="H7" i="6"/>
  <c r="AK6" i="6"/>
  <c r="AJ6" i="6"/>
  <c r="AI6" i="6"/>
  <c r="AG6" i="6"/>
  <c r="AF6" i="6"/>
  <c r="AE6" i="6"/>
  <c r="N6" i="6"/>
  <c r="K6" i="6" s="1"/>
  <c r="M6" i="6"/>
  <c r="L6" i="6"/>
  <c r="J6" i="6"/>
  <c r="I6" i="6"/>
  <c r="H6" i="6"/>
  <c r="BE5" i="6"/>
  <c r="AK5" i="6"/>
  <c r="BF5" i="6" s="1"/>
  <c r="AJ5" i="6"/>
  <c r="AI5" i="6"/>
  <c r="AG5" i="6"/>
  <c r="AF5" i="6"/>
  <c r="AE5" i="6"/>
  <c r="N5" i="6"/>
  <c r="M5" i="6"/>
  <c r="L5" i="6"/>
  <c r="BD5" i="6" s="1"/>
  <c r="K5" i="6"/>
  <c r="J5" i="6"/>
  <c r="I5" i="6"/>
  <c r="H5" i="6"/>
  <c r="AE1" i="6"/>
  <c r="H1" i="6"/>
  <c r="AZ18" i="5"/>
  <c r="AZ19" i="5" s="1"/>
  <c r="AY18" i="5"/>
  <c r="AX18" i="5"/>
  <c r="AW18" i="5"/>
  <c r="AC18" i="5"/>
  <c r="AB18" i="5"/>
  <c r="AA18" i="5"/>
  <c r="Z18" i="5"/>
  <c r="AX17" i="5"/>
  <c r="AZ16" i="5"/>
  <c r="AZ17" i="5" s="1"/>
  <c r="AY16" i="5"/>
  <c r="AX16" i="5"/>
  <c r="AW16" i="5"/>
  <c r="AC16" i="5"/>
  <c r="AB16" i="5"/>
  <c r="AA16" i="5"/>
  <c r="Z16" i="5"/>
  <c r="M13" i="5"/>
  <c r="BG11" i="5" a="1"/>
  <c r="AK11" i="5"/>
  <c r="AJ11" i="5"/>
  <c r="AI11" i="5"/>
  <c r="AG11" i="5"/>
  <c r="BB11" i="5" s="1"/>
  <c r="AF11" i="5"/>
  <c r="AE11" i="5"/>
  <c r="N11" i="5"/>
  <c r="K11" i="5" s="1"/>
  <c r="M11" i="5"/>
  <c r="L11" i="5"/>
  <c r="J11" i="5"/>
  <c r="I11" i="5"/>
  <c r="H11" i="5"/>
  <c r="AK10" i="5"/>
  <c r="BF10" i="5" s="1"/>
  <c r="AJ10" i="5"/>
  <c r="AJ14" i="5" s="1"/>
  <c r="AI10" i="5"/>
  <c r="AI14" i="5" s="1"/>
  <c r="AH10" i="5"/>
  <c r="AG10" i="5"/>
  <c r="AF10" i="5"/>
  <c r="AE10" i="5"/>
  <c r="N10" i="5"/>
  <c r="K10" i="5" s="1"/>
  <c r="K14" i="5" s="1"/>
  <c r="M10" i="5"/>
  <c r="L10" i="5"/>
  <c r="L14" i="5" s="1"/>
  <c r="J10" i="5"/>
  <c r="I10" i="5"/>
  <c r="H10" i="5"/>
  <c r="BB9" i="5"/>
  <c r="AK9" i="5"/>
  <c r="BF9" i="5" s="1"/>
  <c r="AJ9" i="5"/>
  <c r="BE9" i="5" s="1"/>
  <c r="AI9" i="5"/>
  <c r="AI13" i="5" s="1"/>
  <c r="AG9" i="5"/>
  <c r="AG13" i="5" s="1"/>
  <c r="AF9" i="5"/>
  <c r="AE9" i="5"/>
  <c r="N9" i="5"/>
  <c r="K9" i="5" s="1"/>
  <c r="K13" i="5" s="1"/>
  <c r="M9" i="5"/>
  <c r="L9" i="5"/>
  <c r="J9" i="5"/>
  <c r="J13" i="5" s="1"/>
  <c r="I9" i="5"/>
  <c r="H9" i="5"/>
  <c r="BD8" i="5"/>
  <c r="AK8" i="5"/>
  <c r="BG8" i="5" s="1" a="1"/>
  <c r="AJ8" i="5"/>
  <c r="AI8" i="5"/>
  <c r="AG8" i="5"/>
  <c r="AF8" i="5"/>
  <c r="AE8" i="5"/>
  <c r="N8" i="5"/>
  <c r="M8" i="5"/>
  <c r="L8" i="5"/>
  <c r="K8" i="5"/>
  <c r="J8" i="5"/>
  <c r="I8" i="5"/>
  <c r="H8" i="5"/>
  <c r="AK7" i="5"/>
  <c r="AJ7" i="5"/>
  <c r="AI7" i="5"/>
  <c r="AG7" i="5"/>
  <c r="AF7" i="5"/>
  <c r="AE7" i="5"/>
  <c r="N7" i="5"/>
  <c r="M7" i="5"/>
  <c r="L7" i="5"/>
  <c r="BD7" i="5" s="1"/>
  <c r="K7" i="5"/>
  <c r="J7" i="5"/>
  <c r="I7" i="5"/>
  <c r="H7" i="5"/>
  <c r="AK6" i="5"/>
  <c r="AJ6" i="5"/>
  <c r="BE6" i="5" s="1"/>
  <c r="AI6" i="5"/>
  <c r="AH6" i="5"/>
  <c r="AG6" i="5"/>
  <c r="BB6" i="5" s="1"/>
  <c r="AF6" i="5"/>
  <c r="AE6" i="5"/>
  <c r="N6" i="5"/>
  <c r="K6" i="5" s="1"/>
  <c r="K15" i="5" s="1"/>
  <c r="M6" i="5"/>
  <c r="L6" i="5"/>
  <c r="BD6" i="5" s="1"/>
  <c r="J6" i="5"/>
  <c r="I6" i="5"/>
  <c r="H6" i="5"/>
  <c r="AK5" i="5"/>
  <c r="AJ5" i="5"/>
  <c r="AI5" i="5"/>
  <c r="AG5" i="5"/>
  <c r="AG12" i="5" s="1"/>
  <c r="AF5" i="5"/>
  <c r="AE5" i="5"/>
  <c r="N5" i="5"/>
  <c r="K5" i="5" s="1"/>
  <c r="M5" i="5"/>
  <c r="M12" i="5" s="1"/>
  <c r="L5" i="5"/>
  <c r="J5" i="5"/>
  <c r="I5" i="5"/>
  <c r="H5" i="5"/>
  <c r="AE1" i="5"/>
  <c r="H1" i="5"/>
  <c r="BC46" i="3"/>
  <c r="BB46" i="3"/>
  <c r="BB47" i="3" s="1"/>
  <c r="C14" i="1" s="1"/>
  <c r="BA46" i="3"/>
  <c r="AZ46" i="3"/>
  <c r="AZ47" i="3" s="1"/>
  <c r="AE46" i="3"/>
  <c r="BC47" i="3" s="1"/>
  <c r="AD46" i="3"/>
  <c r="AC46" i="3"/>
  <c r="BA47" i="3" s="1"/>
  <c r="AB46" i="3"/>
  <c r="BC44" i="3"/>
  <c r="BB44" i="3"/>
  <c r="BA44" i="3"/>
  <c r="AZ44" i="3"/>
  <c r="AZ45" i="3" s="1"/>
  <c r="AE44" i="3"/>
  <c r="AD44" i="3"/>
  <c r="AC44" i="3"/>
  <c r="BA45" i="3" s="1"/>
  <c r="AB44" i="3"/>
  <c r="BF39" i="3"/>
  <c r="AL39" i="3"/>
  <c r="BG39" i="3" s="1"/>
  <c r="AK39" i="3"/>
  <c r="AJ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M32" i="3"/>
  <c r="L32" i="3"/>
  <c r="J32" i="3"/>
  <c r="I32" i="3"/>
  <c r="BF31" i="3"/>
  <c r="AL31" i="3"/>
  <c r="BG31" i="3" s="1"/>
  <c r="AK31" i="3"/>
  <c r="AJ31" i="3"/>
  <c r="AH31" i="3"/>
  <c r="AG31" i="3"/>
  <c r="N31" i="3"/>
  <c r="K31" i="3" s="1"/>
  <c r="M31" i="3"/>
  <c r="L31" i="3"/>
  <c r="J31" i="3"/>
  <c r="I31" i="3"/>
  <c r="BF30" i="3"/>
  <c r="AL30" i="3"/>
  <c r="AI30" i="3" s="1"/>
  <c r="AK30" i="3"/>
  <c r="AK42" i="3" s="1"/>
  <c r="AJ30" i="3"/>
  <c r="AJ42" i="3" s="1"/>
  <c r="AH30" i="3"/>
  <c r="AG30" i="3"/>
  <c r="N30" i="3"/>
  <c r="M30" i="3"/>
  <c r="L30" i="3"/>
  <c r="J30" i="3"/>
  <c r="I30" i="3"/>
  <c r="BF29" i="3"/>
  <c r="AL29" i="3"/>
  <c r="BG29" i="3" s="1"/>
  <c r="AK29" i="3"/>
  <c r="AJ29" i="3"/>
  <c r="AH29" i="3"/>
  <c r="AG29" i="3"/>
  <c r="N29" i="3"/>
  <c r="K29" i="3" s="1"/>
  <c r="M29" i="3"/>
  <c r="L29" i="3"/>
  <c r="J29" i="3"/>
  <c r="I29" i="3"/>
  <c r="BF28" i="3"/>
  <c r="AL28" i="3"/>
  <c r="AK28" i="3"/>
  <c r="AJ28" i="3"/>
  <c r="AH28" i="3"/>
  <c r="AG28" i="3"/>
  <c r="N28" i="3"/>
  <c r="K28" i="3" s="1"/>
  <c r="M28" i="3"/>
  <c r="L28" i="3"/>
  <c r="J28" i="3"/>
  <c r="I28" i="3"/>
  <c r="BF27" i="3"/>
  <c r="AL27" i="3"/>
  <c r="AI27" i="3" s="1"/>
  <c r="AK27" i="3"/>
  <c r="AJ27" i="3"/>
  <c r="AH27" i="3"/>
  <c r="AG27" i="3"/>
  <c r="N27" i="3"/>
  <c r="M27" i="3"/>
  <c r="L27" i="3"/>
  <c r="K27" i="3"/>
  <c r="J27" i="3"/>
  <c r="I27" i="3"/>
  <c r="BF26" i="3"/>
  <c r="AL26" i="3"/>
  <c r="BG26" i="3" s="1"/>
  <c r="AK26" i="3"/>
  <c r="AJ26" i="3"/>
  <c r="AI26" i="3"/>
  <c r="AH26" i="3"/>
  <c r="AG26" i="3"/>
  <c r="N26" i="3"/>
  <c r="K26" i="3" s="1"/>
  <c r="M26" i="3"/>
  <c r="L26" i="3"/>
  <c r="J26" i="3"/>
  <c r="I26" i="3"/>
  <c r="BF25" i="3"/>
  <c r="AL25" i="3"/>
  <c r="AI25" i="3" s="1"/>
  <c r="AK25" i="3"/>
  <c r="AK41" i="3" s="1"/>
  <c r="AJ25" i="3"/>
  <c r="AH25" i="3"/>
  <c r="AH41" i="3" s="1"/>
  <c r="AG25" i="3"/>
  <c r="N25" i="3"/>
  <c r="M25" i="3"/>
  <c r="L25" i="3"/>
  <c r="K25" i="3"/>
  <c r="J25" i="3"/>
  <c r="I25" i="3"/>
  <c r="BF24" i="3"/>
  <c r="AL24" i="3"/>
  <c r="AI24" i="3" s="1"/>
  <c r="AK24" i="3"/>
  <c r="AJ24" i="3"/>
  <c r="AH24" i="3"/>
  <c r="AG24" i="3"/>
  <c r="N24" i="3"/>
  <c r="M24" i="3"/>
  <c r="L24" i="3"/>
  <c r="K24" i="3"/>
  <c r="J24" i="3"/>
  <c r="I24" i="3"/>
  <c r="BF23" i="3"/>
  <c r="AL23" i="3"/>
  <c r="AI23" i="3" s="1"/>
  <c r="AK23" i="3"/>
  <c r="AJ23" i="3"/>
  <c r="AH23" i="3"/>
  <c r="AG23" i="3"/>
  <c r="N23" i="3"/>
  <c r="M23" i="3"/>
  <c r="L23" i="3"/>
  <c r="J23" i="3"/>
  <c r="I23" i="3"/>
  <c r="BF22" i="3"/>
  <c r="AL22" i="3"/>
  <c r="AI22" i="3" s="1"/>
  <c r="AK22" i="3"/>
  <c r="AJ22" i="3"/>
  <c r="AH22" i="3"/>
  <c r="AG22" i="3"/>
  <c r="N22" i="3"/>
  <c r="K22" i="3" s="1"/>
  <c r="M22" i="3"/>
  <c r="L22" i="3"/>
  <c r="J22" i="3"/>
  <c r="I22" i="3"/>
  <c r="BF21" i="3"/>
  <c r="AL21" i="3"/>
  <c r="AI21" i="3" s="1"/>
  <c r="AK21" i="3"/>
  <c r="AJ21" i="3"/>
  <c r="AH21" i="3"/>
  <c r="AG21" i="3"/>
  <c r="N21" i="3"/>
  <c r="M21" i="3"/>
  <c r="L21" i="3"/>
  <c r="K21" i="3"/>
  <c r="J21" i="3"/>
  <c r="I21" i="3"/>
  <c r="BG20" i="3"/>
  <c r="BF20" i="3"/>
  <c r="AL20" i="3"/>
  <c r="BH20" i="3" s="1" a="1"/>
  <c r="BH20" i="3" s="1"/>
  <c r="AK20" i="3"/>
  <c r="AJ20" i="3"/>
  <c r="AH20" i="3"/>
  <c r="AG20" i="3"/>
  <c r="N20" i="3"/>
  <c r="M20" i="3"/>
  <c r="L20" i="3"/>
  <c r="K20" i="3"/>
  <c r="J20" i="3"/>
  <c r="I20" i="3"/>
  <c r="BF19" i="3"/>
  <c r="AL19" i="3"/>
  <c r="AI19" i="3" s="1"/>
  <c r="AK19" i="3"/>
  <c r="AJ19" i="3"/>
  <c r="AH19" i="3"/>
  <c r="AG19" i="3"/>
  <c r="N19" i="3"/>
  <c r="BG19" i="3" s="1"/>
  <c r="M19" i="3"/>
  <c r="L19" i="3"/>
  <c r="J19" i="3"/>
  <c r="I19" i="3"/>
  <c r="BF18" i="3"/>
  <c r="AL18" i="3"/>
  <c r="AI18" i="3" s="1"/>
  <c r="AK18" i="3"/>
  <c r="AJ18" i="3"/>
  <c r="AH18" i="3"/>
  <c r="AG18" i="3"/>
  <c r="N18" i="3"/>
  <c r="K18" i="3" s="1"/>
  <c r="M18" i="3"/>
  <c r="L18" i="3"/>
  <c r="J18" i="3"/>
  <c r="I18" i="3"/>
  <c r="BF17" i="3"/>
  <c r="AL17" i="3"/>
  <c r="BH15" i="3" s="1" a="1"/>
  <c r="AK17" i="3"/>
  <c r="AJ17" i="3"/>
  <c r="AH17" i="3"/>
  <c r="AG17" i="3"/>
  <c r="N17" i="3"/>
  <c r="M17" i="3"/>
  <c r="L17" i="3"/>
  <c r="K17" i="3"/>
  <c r="J17" i="3"/>
  <c r="I17" i="3"/>
  <c r="BF16" i="3"/>
  <c r="AL16" i="3"/>
  <c r="AI16" i="3" s="1"/>
  <c r="AK16" i="3"/>
  <c r="AJ16" i="3"/>
  <c r="AH16" i="3"/>
  <c r="AG16" i="3"/>
  <c r="N16" i="3"/>
  <c r="M16" i="3"/>
  <c r="L16" i="3"/>
  <c r="K16" i="3"/>
  <c r="J16" i="3"/>
  <c r="I16" i="3"/>
  <c r="BF15" i="3"/>
  <c r="AL15" i="3"/>
  <c r="AI15" i="3" s="1"/>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K13" i="3"/>
  <c r="J13" i="3"/>
  <c r="I13" i="3"/>
  <c r="BF12" i="3"/>
  <c r="AL12" i="3"/>
  <c r="AI12" i="3" s="1"/>
  <c r="AK12" i="3"/>
  <c r="AJ12" i="3"/>
  <c r="AH12" i="3"/>
  <c r="AG12" i="3"/>
  <c r="N12" i="3"/>
  <c r="K12" i="3" s="1"/>
  <c r="M12" i="3"/>
  <c r="L12" i="3"/>
  <c r="J12" i="3"/>
  <c r="I12" i="3"/>
  <c r="BF11" i="3"/>
  <c r="AL11" i="3"/>
  <c r="AI11" i="3" s="1"/>
  <c r="AK11" i="3"/>
  <c r="AJ11" i="3"/>
  <c r="AH11" i="3"/>
  <c r="AG11" i="3"/>
  <c r="N11" i="3"/>
  <c r="M11" i="3"/>
  <c r="L11" i="3"/>
  <c r="J11" i="3"/>
  <c r="I11" i="3"/>
  <c r="BH10" i="3" a="1"/>
  <c r="BF10" i="3"/>
  <c r="AL10" i="3"/>
  <c r="AI10" i="3" s="1"/>
  <c r="AK10" i="3"/>
  <c r="AJ10" i="3"/>
  <c r="AH10" i="3"/>
  <c r="AG10" i="3"/>
  <c r="N10" i="3"/>
  <c r="M10" i="3"/>
  <c r="L10" i="3"/>
  <c r="J10" i="3"/>
  <c r="I10" i="3"/>
  <c r="BF9" i="3"/>
  <c r="AL9" i="3"/>
  <c r="AK9" i="3"/>
  <c r="AJ9" i="3"/>
  <c r="AH9" i="3"/>
  <c r="AG9" i="3"/>
  <c r="N9" i="3"/>
  <c r="K9" i="3" s="1"/>
  <c r="M9" i="3"/>
  <c r="L9" i="3"/>
  <c r="J9" i="3"/>
  <c r="I9" i="3"/>
  <c r="BF8" i="3"/>
  <c r="AL8" i="3"/>
  <c r="AI8" i="3" s="1"/>
  <c r="AK8" i="3"/>
  <c r="AJ8" i="3"/>
  <c r="AH8" i="3"/>
  <c r="AG8" i="3"/>
  <c r="N8" i="3"/>
  <c r="M8" i="3"/>
  <c r="L8" i="3"/>
  <c r="K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H40" i="3" s="1"/>
  <c r="AG5" i="3"/>
  <c r="N5" i="3"/>
  <c r="K5" i="3" s="1"/>
  <c r="M5" i="3"/>
  <c r="L5" i="3"/>
  <c r="J5" i="3"/>
  <c r="I5" i="3"/>
  <c r="AG1" i="3"/>
  <c r="I1" i="3"/>
  <c r="B2" i="2"/>
  <c r="B1" i="2"/>
  <c r="BR30" i="7"/>
  <c r="BJ30" i="7"/>
  <c r="BS20" i="7"/>
  <c r="BL15" i="7"/>
  <c r="BQ5" i="7"/>
  <c r="BK5" i="7"/>
  <c r="BQ35" i="3"/>
  <c r="BK35" i="3"/>
  <c r="BQ30" i="3"/>
  <c r="BK30" i="3"/>
  <c r="BP25" i="3"/>
  <c r="BL20" i="3"/>
  <c r="BT10" i="3"/>
  <c r="BT5" i="3"/>
  <c r="BP30" i="7"/>
  <c r="BS10" i="7"/>
  <c r="BQ30" i="7"/>
  <c r="BR20" i="7"/>
  <c r="BJ20" i="7"/>
  <c r="BT10" i="7"/>
  <c r="BP5" i="7"/>
  <c r="BP35" i="3"/>
  <c r="BP30" i="3"/>
  <c r="BN25" i="3"/>
  <c r="BS10" i="3"/>
  <c r="BS5" i="3"/>
  <c r="BQ20" i="7"/>
  <c r="BN5" i="7"/>
  <c r="BM25" i="3"/>
  <c r="BT35" i="7"/>
  <c r="BS35" i="7"/>
  <c r="BN30" i="7"/>
  <c r="BP20" i="7"/>
  <c r="BR10" i="7"/>
  <c r="BM5" i="7"/>
  <c r="BM35" i="3"/>
  <c r="BM30" i="3"/>
  <c r="BL25" i="3"/>
  <c r="BT15" i="3"/>
  <c r="BQ10" i="3"/>
  <c r="BQ5" i="3"/>
  <c r="BN35" i="3"/>
  <c r="BR35" i="7"/>
  <c r="BM30" i="7"/>
  <c r="BT25" i="7"/>
  <c r="BN20" i="7"/>
  <c r="BQ10" i="7"/>
  <c r="BL5" i="7"/>
  <c r="BL35" i="3"/>
  <c r="BL30" i="3"/>
  <c r="BS15" i="3"/>
  <c r="BP10" i="3"/>
  <c r="BP5" i="3"/>
  <c r="BN30" i="3"/>
  <c r="BQ35" i="7"/>
  <c r="BJ35" i="7"/>
  <c r="BL30" i="7"/>
  <c r="BS25" i="7"/>
  <c r="BM20" i="7"/>
  <c r="BT15" i="7"/>
  <c r="BP10" i="7"/>
  <c r="BT20" i="3"/>
  <c r="BR15" i="3"/>
  <c r="BN10" i="3"/>
  <c r="BJ10" i="3"/>
  <c r="BN5" i="3"/>
  <c r="BR35" i="3"/>
  <c r="BK5" i="3"/>
  <c r="BP35" i="7"/>
  <c r="BR25" i="7"/>
  <c r="BL20" i="7"/>
  <c r="BS15" i="7"/>
  <c r="BN10" i="7"/>
  <c r="BS20" i="3"/>
  <c r="BQ15" i="3"/>
  <c r="BJ15" i="3"/>
  <c r="BM10" i="3"/>
  <c r="BM5" i="3"/>
  <c r="BR30" i="3"/>
  <c r="BR10" i="3"/>
  <c r="BN35" i="7"/>
  <c r="BQ25" i="7"/>
  <c r="BK25" i="7"/>
  <c r="BR15" i="7"/>
  <c r="BM10" i="7"/>
  <c r="BR20" i="3"/>
  <c r="BP15" i="3"/>
  <c r="BL10" i="3"/>
  <c r="BL5" i="3"/>
  <c r="BT20" i="7"/>
  <c r="BM20" i="3"/>
  <c r="BR5" i="3"/>
  <c r="BM35" i="7"/>
  <c r="BP25" i="7"/>
  <c r="BQ15" i="7"/>
  <c r="BK15" i="7"/>
  <c r="BL10" i="7"/>
  <c r="BT25" i="3"/>
  <c r="BQ20" i="3"/>
  <c r="BJ20" i="3"/>
  <c r="BN15" i="3"/>
  <c r="BK10" i="3"/>
  <c r="BM15" i="7"/>
  <c r="BL35" i="7"/>
  <c r="BN25" i="7"/>
  <c r="BP15" i="7"/>
  <c r="BJ10" i="7"/>
  <c r="BT5" i="7"/>
  <c r="BT35" i="3"/>
  <c r="BT30" i="3"/>
  <c r="BS25" i="3"/>
  <c r="BP20" i="3"/>
  <c r="BM15" i="3"/>
  <c r="BQ25" i="3"/>
  <c r="BT30" i="7"/>
  <c r="BM25" i="7"/>
  <c r="BN15" i="7"/>
  <c r="BS5" i="7"/>
  <c r="BS35" i="3"/>
  <c r="BS30" i="3"/>
  <c r="BR25" i="3"/>
  <c r="BK25" i="3"/>
  <c r="BN20" i="3"/>
  <c r="BL15" i="3"/>
  <c r="BR5" i="7"/>
  <c r="BS30" i="7"/>
  <c r="BL25" i="7"/>
  <c r="BG27" i="3" l="1"/>
  <c r="BG11" i="3"/>
  <c r="BG16" i="3"/>
  <c r="BG23" i="3"/>
  <c r="BC45" i="3"/>
  <c r="BG8" i="3"/>
  <c r="BE27" i="3"/>
  <c r="BG32" i="3"/>
  <c r="AI39" i="3"/>
  <c r="AH42" i="3"/>
  <c r="AJ41" i="3"/>
  <c r="AI29" i="3"/>
  <c r="AI31" i="3"/>
  <c r="BG24" i="3"/>
  <c r="M41" i="3"/>
  <c r="BG6" i="3"/>
  <c r="BG7" i="3"/>
  <c r="BE8" i="3"/>
  <c r="J42" i="3"/>
  <c r="BE33" i="3"/>
  <c r="BB45" i="3"/>
  <c r="BE6" i="3"/>
  <c r="BG9" i="3"/>
  <c r="BG10" i="3"/>
  <c r="K32" i="3"/>
  <c r="BE32" i="3" s="1"/>
  <c r="BG34" i="3"/>
  <c r="BG35" i="3"/>
  <c r="BG36" i="3"/>
  <c r="BG38" i="3"/>
  <c r="J43" i="3"/>
  <c r="BE12" i="3"/>
  <c r="BE22" i="3"/>
  <c r="BG33" i="3"/>
  <c r="BH10" i="3"/>
  <c r="BE13" i="3"/>
  <c r="BG14" i="3"/>
  <c r="BE16" i="3"/>
  <c r="L43" i="3"/>
  <c r="BG12" i="3"/>
  <c r="BH15" i="3"/>
  <c r="BG18" i="3"/>
  <c r="BE21" i="3"/>
  <c r="BG22" i="3"/>
  <c r="BE24" i="3"/>
  <c r="BE29" i="3"/>
  <c r="L40" i="3"/>
  <c r="BG28" i="3"/>
  <c r="BC8" i="5"/>
  <c r="AI15" i="5"/>
  <c r="BD9" i="5"/>
  <c r="BE10" i="5"/>
  <c r="BD11" i="5"/>
  <c r="AJ13" i="5"/>
  <c r="AX19" i="5"/>
  <c r="AH8" i="5"/>
  <c r="BB7" i="5"/>
  <c r="BE11" i="5"/>
  <c r="J12" i="5"/>
  <c r="BB12" i="5" s="1"/>
  <c r="E19" i="1" s="1"/>
  <c r="BE7" i="5"/>
  <c r="M14" i="5"/>
  <c r="BE14" i="5" s="1"/>
  <c r="D21" i="1" s="1"/>
  <c r="BG11" i="5"/>
  <c r="AY19" i="5"/>
  <c r="C24" i="1" s="1"/>
  <c r="BE13" i="5"/>
  <c r="D20" i="1" s="1"/>
  <c r="BF6" i="5"/>
  <c r="M15" i="5"/>
  <c r="BE8" i="5"/>
  <c r="BB8" i="5"/>
  <c r="BG8" i="5"/>
  <c r="L13" i="5"/>
  <c r="BD13" i="5" s="1"/>
  <c r="AY17" i="5"/>
  <c r="BC6" i="5"/>
  <c r="J14" i="5"/>
  <c r="BD10" i="5"/>
  <c r="BD6" i="6"/>
  <c r="AH11" i="6"/>
  <c r="BD8" i="6"/>
  <c r="AH5" i="6"/>
  <c r="BC5" i="6" s="1"/>
  <c r="AI15" i="6"/>
  <c r="BD10" i="6"/>
  <c r="AW19" i="6"/>
  <c r="C35" i="1" s="1"/>
  <c r="L12" i="6"/>
  <c r="BE13" i="6"/>
  <c r="D32" i="1" s="1"/>
  <c r="BF9" i="6"/>
  <c r="BB11" i="6"/>
  <c r="BD9" i="6"/>
  <c r="BB10" i="6"/>
  <c r="BD11" i="6"/>
  <c r="L14" i="6"/>
  <c r="BB6" i="6"/>
  <c r="BG10" i="6"/>
  <c r="BG14" i="6" s="1"/>
  <c r="AZ19" i="6"/>
  <c r="J15" i="6"/>
  <c r="AZ17" i="6"/>
  <c r="BG7" i="7"/>
  <c r="BG11" i="7"/>
  <c r="BG13" i="7"/>
  <c r="BG33" i="7"/>
  <c r="BG29" i="7"/>
  <c r="AI5" i="7"/>
  <c r="AI40" i="7" s="1"/>
  <c r="AJ42" i="7"/>
  <c r="BH10" i="7"/>
  <c r="BG21" i="7"/>
  <c r="K23" i="7"/>
  <c r="M42" i="7"/>
  <c r="K19" i="7"/>
  <c r="M43" i="7"/>
  <c r="BH35" i="7"/>
  <c r="BG36" i="7"/>
  <c r="BE37" i="7"/>
  <c r="BG39" i="7"/>
  <c r="BG35" i="7"/>
  <c r="BG38" i="7"/>
  <c r="BE9" i="7"/>
  <c r="BE23" i="7"/>
  <c r="BG31" i="7"/>
  <c r="BG37" i="7"/>
  <c r="AZ47" i="7"/>
  <c r="C47" i="1" s="1"/>
  <c r="BE19" i="7"/>
  <c r="BA47" i="7"/>
  <c r="L43" i="7"/>
  <c r="J42" i="7"/>
  <c r="BB47" i="7"/>
  <c r="C48" i="1" s="1"/>
  <c r="BE7" i="7"/>
  <c r="BG9" i="7"/>
  <c r="L42" i="7"/>
  <c r="BL41" i="7"/>
  <c r="E44" i="1" s="1"/>
  <c r="BS42" i="7"/>
  <c r="BK41" i="3"/>
  <c r="D10" i="1" s="1"/>
  <c r="BM41" i="7"/>
  <c r="F44" i="1" s="1"/>
  <c r="BT42" i="7"/>
  <c r="BN41" i="7"/>
  <c r="G44" i="1" s="1"/>
  <c r="BP41" i="7"/>
  <c r="BR43" i="3"/>
  <c r="BL43" i="3"/>
  <c r="E12" i="1" s="1"/>
  <c r="BK41" i="7"/>
  <c r="D44" i="1" s="1"/>
  <c r="BQ41" i="7"/>
  <c r="BR41" i="7"/>
  <c r="BN43" i="3"/>
  <c r="G12" i="1" s="1"/>
  <c r="BL42" i="7"/>
  <c r="E45" i="1" s="1"/>
  <c r="BN42" i="3"/>
  <c r="G11" i="1" s="1"/>
  <c r="BL42" i="3"/>
  <c r="E11" i="1" s="1"/>
  <c r="BM42" i="7"/>
  <c r="F45" i="1" s="1"/>
  <c r="BL41" i="3"/>
  <c r="E10" i="1" s="1"/>
  <c r="BM42" i="3"/>
  <c r="F11" i="1" s="1"/>
  <c r="BN42" i="7"/>
  <c r="G45" i="1" s="1"/>
  <c r="BM41" i="3"/>
  <c r="F10" i="1" s="1"/>
  <c r="BN43" i="7"/>
  <c r="G46" i="1" s="1"/>
  <c r="BN41" i="3"/>
  <c r="G10" i="1" s="1"/>
  <c r="BQ42" i="7"/>
  <c r="BP42" i="7"/>
  <c r="BP41" i="3"/>
  <c r="BK42" i="3"/>
  <c r="D11" i="1" s="1"/>
  <c r="BJ42" i="7"/>
  <c r="C45" i="1" s="1"/>
  <c r="BR42" i="7"/>
  <c r="BE5" i="3"/>
  <c r="BE18" i="3"/>
  <c r="BE25" i="3"/>
  <c r="BE7" i="3"/>
  <c r="BE14" i="3"/>
  <c r="BE31" i="3"/>
  <c r="BE36" i="3"/>
  <c r="C13" i="1"/>
  <c r="BE26" i="3"/>
  <c r="BT41" i="3"/>
  <c r="L41" i="3"/>
  <c r="BG30" i="3"/>
  <c r="BQ41" i="3"/>
  <c r="AH43" i="3"/>
  <c r="AH7" i="5"/>
  <c r="BC7" i="5" s="1"/>
  <c r="BF7" i="5"/>
  <c r="BE6" i="6"/>
  <c r="AJ12" i="6"/>
  <c r="BE31" i="7"/>
  <c r="AI32" i="7"/>
  <c r="BE32" i="7" s="1"/>
  <c r="BG32" i="7"/>
  <c r="BG5" i="3"/>
  <c r="BG17" i="3"/>
  <c r="K41" i="3"/>
  <c r="BG25" i="3"/>
  <c r="M43" i="3"/>
  <c r="M40" i="3"/>
  <c r="BH5" i="3" a="1"/>
  <c r="BH5" i="3" s="1"/>
  <c r="BH25" i="3" a="1"/>
  <c r="BH25" i="3" s="1"/>
  <c r="BH41" i="3" s="1"/>
  <c r="AI28" i="3"/>
  <c r="BE28" i="3" s="1"/>
  <c r="K30" i="3"/>
  <c r="BE30" i="3" s="1"/>
  <c r="K35" i="3"/>
  <c r="BE35" i="3" s="1"/>
  <c r="AI38" i="3"/>
  <c r="BE38" i="3" s="1"/>
  <c r="BS41" i="3"/>
  <c r="AG15" i="5"/>
  <c r="AH6" i="6"/>
  <c r="BC6" i="6" s="1"/>
  <c r="BF6" i="6"/>
  <c r="BD14" i="6"/>
  <c r="BG14" i="7"/>
  <c r="K14" i="7"/>
  <c r="BE14" i="7" s="1"/>
  <c r="AI20" i="7"/>
  <c r="BH20" i="7" a="1"/>
  <c r="BH20" i="7" s="1"/>
  <c r="BG20" i="7"/>
  <c r="M41" i="7"/>
  <c r="AK42" i="7"/>
  <c r="BD5" i="5"/>
  <c r="L15" i="5"/>
  <c r="L12" i="5"/>
  <c r="K10" i="3"/>
  <c r="BE10" i="3" s="1"/>
  <c r="AI20" i="3"/>
  <c r="BE20" i="3" s="1"/>
  <c r="L42" i="3"/>
  <c r="BH30" i="3" a="1"/>
  <c r="BH30" i="3" s="1"/>
  <c r="BL40" i="3"/>
  <c r="E9" i="1" s="1"/>
  <c r="BG7" i="5" a="1"/>
  <c r="BG7" i="5" s="1"/>
  <c r="AH11" i="5"/>
  <c r="BC11" i="5" s="1"/>
  <c r="BF11" i="5"/>
  <c r="AW19" i="5"/>
  <c r="L15" i="6"/>
  <c r="BE9" i="6"/>
  <c r="AK43" i="7"/>
  <c r="BH15" i="7" a="1"/>
  <c r="BH15" i="7" s="1"/>
  <c r="AI16" i="7"/>
  <c r="BE16" i="7" s="1"/>
  <c r="BG16" i="7"/>
  <c r="BG13" i="3"/>
  <c r="BG21" i="3"/>
  <c r="M42" i="3"/>
  <c r="BE39" i="3"/>
  <c r="BN40" i="3"/>
  <c r="G9" i="1" s="1"/>
  <c r="AJ12" i="5"/>
  <c r="BE12" i="5" s="1"/>
  <c r="BB13" i="5"/>
  <c r="M12" i="6"/>
  <c r="M15" i="6"/>
  <c r="BG6" i="6" a="1"/>
  <c r="BG6" i="6" s="1"/>
  <c r="BC10" i="6"/>
  <c r="AH14" i="6"/>
  <c r="BC14" i="6" s="1"/>
  <c r="BC11" i="6"/>
  <c r="BG22" i="7"/>
  <c r="K22" i="7"/>
  <c r="BH25" i="7" a="1"/>
  <c r="BH25" i="7" s="1"/>
  <c r="BH41" i="7" s="1"/>
  <c r="AI28" i="7"/>
  <c r="BE28" i="7" s="1"/>
  <c r="BG28" i="7"/>
  <c r="BD14" i="5"/>
  <c r="AW17" i="5"/>
  <c r="BG10" i="7"/>
  <c r="K10" i="7"/>
  <c r="BE13" i="7"/>
  <c r="AH41" i="7"/>
  <c r="BH30" i="7" a="1"/>
  <c r="BH30" i="7" s="1"/>
  <c r="BH42" i="7" s="1"/>
  <c r="BG37" i="3"/>
  <c r="BQ40" i="3"/>
  <c r="AH5" i="5"/>
  <c r="BG5" i="5" a="1"/>
  <c r="BG5" i="5" s="1"/>
  <c r="BM43" i="3"/>
  <c r="F12" i="1" s="1"/>
  <c r="BM40" i="3"/>
  <c r="F9" i="1" s="1"/>
  <c r="AI9" i="3"/>
  <c r="BE9" i="3" s="1"/>
  <c r="K11" i="3"/>
  <c r="BE11" i="3" s="1"/>
  <c r="K15" i="3"/>
  <c r="BE15" i="3" s="1"/>
  <c r="BG15" i="3"/>
  <c r="AI17" i="3"/>
  <c r="BE17" i="3" s="1"/>
  <c r="K19" i="3"/>
  <c r="BE19" i="3" s="1"/>
  <c r="K23" i="3"/>
  <c r="BE23" i="3" s="1"/>
  <c r="AI34" i="3"/>
  <c r="BE34" i="3" s="1"/>
  <c r="BR40" i="3"/>
  <c r="BQ43" i="3"/>
  <c r="BB5" i="5"/>
  <c r="BL43" i="7"/>
  <c r="E46" i="1" s="1"/>
  <c r="BL40" i="7"/>
  <c r="E43" i="1" s="1"/>
  <c r="BG6" i="7"/>
  <c r="K6" i="7"/>
  <c r="BE6" i="7" s="1"/>
  <c r="AI41" i="7"/>
  <c r="BE36" i="7"/>
  <c r="BF5" i="5"/>
  <c r="AH9" i="5"/>
  <c r="BG9" i="5" a="1"/>
  <c r="BG9" i="5" s="1"/>
  <c r="BG13" i="5" s="1"/>
  <c r="J43" i="7"/>
  <c r="BM43" i="7"/>
  <c r="F46" i="1" s="1"/>
  <c r="BM40" i="7"/>
  <c r="F43" i="1" s="1"/>
  <c r="BE15" i="7"/>
  <c r="BG34" i="7"/>
  <c r="K34" i="7"/>
  <c r="AK43" i="3"/>
  <c r="AK40" i="3"/>
  <c r="BP43" i="3"/>
  <c r="BP40" i="3"/>
  <c r="BB10" i="5"/>
  <c r="AG14" i="5"/>
  <c r="BB14" i="5" s="1"/>
  <c r="J15" i="5"/>
  <c r="AG12" i="6"/>
  <c r="BB5" i="6"/>
  <c r="AG15" i="6"/>
  <c r="BB15" i="6" s="1"/>
  <c r="K15" i="6"/>
  <c r="BD7" i="6"/>
  <c r="AH8" i="6"/>
  <c r="BC8" i="6" s="1"/>
  <c r="BG8" i="6" a="1"/>
  <c r="BG8" i="6" s="1"/>
  <c r="K12" i="6"/>
  <c r="BE11" i="7"/>
  <c r="AI12" i="7"/>
  <c r="BE12" i="7" s="1"/>
  <c r="BG12" i="7"/>
  <c r="BB9" i="6"/>
  <c r="AG13" i="6"/>
  <c r="BB13" i="6" s="1"/>
  <c r="BG18" i="7"/>
  <c r="K18" i="7"/>
  <c r="BE18" i="7" s="1"/>
  <c r="AI24" i="7"/>
  <c r="BE24" i="7" s="1"/>
  <c r="BG24" i="7"/>
  <c r="BR41" i="3"/>
  <c r="BQ42" i="3"/>
  <c r="J40" i="3"/>
  <c r="BT42" i="3"/>
  <c r="AJ15" i="5"/>
  <c r="BF8" i="6"/>
  <c r="BC9" i="6"/>
  <c r="AH13" i="6"/>
  <c r="BC13" i="6" s="1"/>
  <c r="BE10" i="7"/>
  <c r="BG30" i="7"/>
  <c r="K30" i="7"/>
  <c r="K42" i="7" s="1"/>
  <c r="BP42" i="3"/>
  <c r="BC10" i="5"/>
  <c r="AH14" i="5"/>
  <c r="BC14" i="5" s="1"/>
  <c r="BE22" i="7"/>
  <c r="BS43" i="3"/>
  <c r="BS40" i="3"/>
  <c r="J41" i="3"/>
  <c r="BH35" i="3" a="1"/>
  <c r="BH35" i="3" s="1"/>
  <c r="K12" i="5"/>
  <c r="AJ15" i="6"/>
  <c r="BE15" i="6" s="1"/>
  <c r="AI8" i="7"/>
  <c r="BE8" i="7" s="1"/>
  <c r="BH5" i="7" a="1"/>
  <c r="BH5" i="7" s="1"/>
  <c r="BG8" i="7"/>
  <c r="BG26" i="7"/>
  <c r="K26" i="7"/>
  <c r="BE26" i="7" s="1"/>
  <c r="AJ43" i="3"/>
  <c r="AJ40" i="3"/>
  <c r="BT43" i="3"/>
  <c r="BT40" i="3"/>
  <c r="BE37" i="3"/>
  <c r="AH43" i="7"/>
  <c r="AH40" i="7"/>
  <c r="BE34" i="7"/>
  <c r="BE5" i="5"/>
  <c r="BG6" i="5" a="1"/>
  <c r="BG6" i="5" s="1"/>
  <c r="BG10" i="5" a="1"/>
  <c r="BG10" i="5" s="1"/>
  <c r="BG5" i="6" a="1"/>
  <c r="BG5" i="6" s="1"/>
  <c r="BG9" i="6" a="1"/>
  <c r="BG9" i="6" s="1"/>
  <c r="BG13" i="6" s="1"/>
  <c r="M14" i="6"/>
  <c r="BE14" i="6" s="1"/>
  <c r="K20" i="7"/>
  <c r="AI38" i="7"/>
  <c r="BE38" i="7" s="1"/>
  <c r="L40" i="7"/>
  <c r="BN40" i="7"/>
  <c r="G43" i="1" s="1"/>
  <c r="BS41" i="7"/>
  <c r="AI12" i="6"/>
  <c r="BD12" i="6" s="1"/>
  <c r="AG14" i="6"/>
  <c r="BB14" i="6" s="1"/>
  <c r="M40" i="7"/>
  <c r="BP40" i="7"/>
  <c r="BT41" i="7"/>
  <c r="BP43" i="7"/>
  <c r="BQ40" i="7"/>
  <c r="BQ43" i="7"/>
  <c r="K5" i="7"/>
  <c r="K13" i="7"/>
  <c r="K17" i="7"/>
  <c r="BE17" i="7" s="1"/>
  <c r="K21" i="7"/>
  <c r="BE21" i="7" s="1"/>
  <c r="K25" i="7"/>
  <c r="K41" i="7" s="1"/>
  <c r="BG25" i="7"/>
  <c r="AI27" i="7"/>
  <c r="BE27" i="7" s="1"/>
  <c r="K29" i="7"/>
  <c r="BE29" i="7" s="1"/>
  <c r="K33" i="7"/>
  <c r="BE33" i="7" s="1"/>
  <c r="AI35" i="7"/>
  <c r="BE35" i="7" s="1"/>
  <c r="AI39" i="7"/>
  <c r="BE39" i="7" s="1"/>
  <c r="BR40" i="7"/>
  <c r="BR43" i="7"/>
  <c r="BF8" i="5"/>
  <c r="AI12" i="5"/>
  <c r="BD12" i="5" s="1"/>
  <c r="BF7" i="6"/>
  <c r="BF11" i="6"/>
  <c r="AJ40" i="7"/>
  <c r="BS40" i="7"/>
  <c r="BS43" i="7"/>
  <c r="AK40" i="7"/>
  <c r="BT40" i="7"/>
  <c r="BT43" i="7"/>
  <c r="BR42" i="3"/>
  <c r="BS42" i="3"/>
  <c r="BF10" i="6"/>
  <c r="J12" i="6"/>
  <c r="J40" i="7"/>
  <c r="BJ25" i="3"/>
  <c r="BK20" i="3"/>
  <c r="BK10" i="7"/>
  <c r="BJ5" i="3"/>
  <c r="BK35" i="7"/>
  <c r="BK30" i="7"/>
  <c r="BJ15" i="7"/>
  <c r="BJ30" i="3"/>
  <c r="BJ35" i="3"/>
  <c r="BJ5" i="7"/>
  <c r="BJ25" i="7"/>
  <c r="BK15" i="3"/>
  <c r="BK20" i="7"/>
  <c r="AI42" i="3" l="1"/>
  <c r="AI41" i="3"/>
  <c r="BE41" i="3" s="1"/>
  <c r="BD15" i="5"/>
  <c r="BG14" i="5"/>
  <c r="BE15" i="5"/>
  <c r="D22" i="1" s="1"/>
  <c r="BD15" i="6"/>
  <c r="BE12" i="6"/>
  <c r="BE5" i="7"/>
  <c r="BK43" i="3"/>
  <c r="D12" i="1" s="1"/>
  <c r="BK40" i="3"/>
  <c r="D9" i="1" s="1"/>
  <c r="BJ41" i="7"/>
  <c r="C44" i="1" s="1"/>
  <c r="BJ42" i="3"/>
  <c r="C11" i="1" s="1"/>
  <c r="BK42" i="7"/>
  <c r="D45" i="1" s="1"/>
  <c r="BK40" i="7"/>
  <c r="D43" i="1" s="1"/>
  <c r="BK43" i="7"/>
  <c r="D46" i="1" s="1"/>
  <c r="BJ41" i="3"/>
  <c r="C10" i="1" s="1"/>
  <c r="K45" i="1"/>
  <c r="J45" i="1"/>
  <c r="J44" i="1"/>
  <c r="L45" i="1"/>
  <c r="H44" i="1"/>
  <c r="H10" i="1"/>
  <c r="J12" i="1"/>
  <c r="I44" i="1"/>
  <c r="H45" i="1"/>
  <c r="I45" i="1"/>
  <c r="BE41" i="7"/>
  <c r="L10" i="1"/>
  <c r="K11" i="1"/>
  <c r="H43" i="1"/>
  <c r="BB12" i="6"/>
  <c r="BE25" i="7"/>
  <c r="BH43" i="3"/>
  <c r="BH40" i="3"/>
  <c r="BB15" i="5"/>
  <c r="BJ43" i="7"/>
  <c r="C46" i="1" s="1"/>
  <c r="BJ40" i="7"/>
  <c r="C43" i="1" s="1"/>
  <c r="E21" i="1"/>
  <c r="J11" i="1"/>
  <c r="L46" i="1"/>
  <c r="K44" i="1"/>
  <c r="BH43" i="7"/>
  <c r="BH40" i="7"/>
  <c r="H9" i="1"/>
  <c r="K10" i="1"/>
  <c r="K43" i="7"/>
  <c r="K40" i="7"/>
  <c r="BE40" i="7" s="1"/>
  <c r="C32" i="1"/>
  <c r="C21" i="1"/>
  <c r="I46" i="1"/>
  <c r="H12" i="1"/>
  <c r="I12" i="1"/>
  <c r="BG12" i="5"/>
  <c r="BG15" i="5"/>
  <c r="BE30" i="7"/>
  <c r="K40" i="3"/>
  <c r="K9" i="1"/>
  <c r="J10" i="1"/>
  <c r="E33" i="1"/>
  <c r="C33" i="1"/>
  <c r="J43" i="1"/>
  <c r="H11" i="1"/>
  <c r="E32" i="1"/>
  <c r="J9" i="1"/>
  <c r="BC5" i="5"/>
  <c r="AH15" i="5"/>
  <c r="BC15" i="5" s="1"/>
  <c r="AH12" i="5"/>
  <c r="BC12" i="5" s="1"/>
  <c r="E20" i="1"/>
  <c r="AI42" i="7"/>
  <c r="BE42" i="7" s="1"/>
  <c r="K43" i="3"/>
  <c r="K12" i="1"/>
  <c r="C23" i="1"/>
  <c r="J46" i="1"/>
  <c r="L43" i="1"/>
  <c r="I43" i="1"/>
  <c r="K46" i="1"/>
  <c r="D34" i="1"/>
  <c r="L11" i="1"/>
  <c r="BC9" i="5"/>
  <c r="AH13" i="5"/>
  <c r="BC13" i="5" s="1"/>
  <c r="I9" i="1"/>
  <c r="D19" i="1"/>
  <c r="BH42" i="3"/>
  <c r="K42" i="3"/>
  <c r="BE42" i="3" s="1"/>
  <c r="I10" i="1"/>
  <c r="AI40" i="3"/>
  <c r="BG15" i="6"/>
  <c r="BG12" i="6"/>
  <c r="BJ43" i="3"/>
  <c r="C12" i="1" s="1"/>
  <c r="BJ40" i="3"/>
  <c r="C9" i="1" s="1"/>
  <c r="AI43" i="7"/>
  <c r="D31" i="1"/>
  <c r="K43" i="1"/>
  <c r="H46" i="1"/>
  <c r="L9" i="1"/>
  <c r="AH12" i="6"/>
  <c r="BC12" i="6" s="1"/>
  <c r="E34" i="1"/>
  <c r="BE20" i="7"/>
  <c r="AI43" i="3"/>
  <c r="L44" i="1"/>
  <c r="D33" i="1"/>
  <c r="L12" i="1"/>
  <c r="I11" i="1"/>
  <c r="AH15" i="6"/>
  <c r="BC15" i="6" s="1"/>
  <c r="BE43" i="7" l="1"/>
  <c r="E31" i="1"/>
  <c r="E22" i="1"/>
  <c r="BE43" i="3"/>
  <c r="C22" i="1"/>
  <c r="C34" i="1"/>
  <c r="C20" i="1"/>
  <c r="BE40" i="3"/>
  <c r="C19" i="1"/>
  <c r="C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<sst xmlns="http://schemas.openxmlformats.org/spreadsheetml/2006/main" count="1459" uniqueCount="575">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</sst>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ALL_master+r170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66.355962500000004</c:v>
                </c:pt>
                <c:pt idx="1">
                  <c:v>68.241950000000003</c:v>
                </c:pt>
                <c:pt idx="2">
                  <c:v>69.679040624999999</c:v>
                </c:pt>
                <c:pt idx="3">
                  <c:v>70.829490625000005</c:v>
                </c:pt>
                <c:pt idx="4">
                  <c:v>71.945081250000001</c:v>
                </c:pt>
              </c:numCache>
            </c:numRef>
          </c:yVal>
          <c:smooth val="1"/>
          <c:extLst>
            <c:ext xmlns:c16="http://schemas.microsoft.com/office/drawing/2014/chart" uri="{C3380CC4-5D6E-409C-BE32-E72D297353CC}">
              <c16:uniqueId val="{00000000-2804-423B-9C53-A7B255ABEDF5}"/>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2804-423B-9C53-A7B255ABEDF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ALL_master+r170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68.483328125</c:v>
                </c:pt>
                <c:pt idx="1">
                  <c:v>70.429959374999996</c:v>
                </c:pt>
                <c:pt idx="2">
                  <c:v>72.128625</c:v>
                </c:pt>
                <c:pt idx="3">
                  <c:v>73.399412499999997</c:v>
                </c:pt>
                <c:pt idx="4">
                  <c:v>75.324081250000006</c:v>
                </c:pt>
              </c:numCache>
            </c:numRef>
          </c:yVal>
          <c:smooth val="1"/>
          <c:extLst>
            <c:ext xmlns:c16="http://schemas.microsoft.com/office/drawing/2014/chart" uri="{C3380CC4-5D6E-409C-BE32-E72D297353CC}">
              <c16:uniqueId val="{00000000-FCCB-49BA-87A7-50A8A1223378}"/>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CCB-49BA-87A7-50A8A122337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ALL_master+r170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32.113043750000003</c:v>
                </c:pt>
                <c:pt idx="1">
                  <c:v>34.357659374999997</c:v>
                </c:pt>
                <c:pt idx="2">
                  <c:v>36.89405</c:v>
                </c:pt>
                <c:pt idx="3">
                  <c:v>39.521596875</c:v>
                </c:pt>
                <c:pt idx="4">
                  <c:v>42.094303125000003</c:v>
                </c:pt>
              </c:numCache>
            </c:numRef>
          </c:yVal>
          <c:smooth val="1"/>
          <c:extLst>
            <c:ext xmlns:c16="http://schemas.microsoft.com/office/drawing/2014/chart" uri="{C3380CC4-5D6E-409C-BE32-E72D297353CC}">
              <c16:uniqueId val="{00000000-DA1B-4A89-885B-84DD35E44661}"/>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DA1B-4A89-885B-84DD35E44661}"/>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ALL_master+r170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44.188546875</c:v>
                </c:pt>
                <c:pt idx="1">
                  <c:v>45.471753124999999</c:v>
                </c:pt>
                <c:pt idx="2">
                  <c:v>46.603406249999999</c:v>
                </c:pt>
                <c:pt idx="3">
                  <c:v>47.923753124999998</c:v>
                </c:pt>
                <c:pt idx="4">
                  <c:v>49.417631249999999</c:v>
                </c:pt>
              </c:numCache>
            </c:numRef>
          </c:yVal>
          <c:smooth val="1"/>
          <c:extLst>
            <c:ext xmlns:c16="http://schemas.microsoft.com/office/drawing/2014/chart" uri="{C3380CC4-5D6E-409C-BE32-E72D297353CC}">
              <c16:uniqueId val="{00000000-7028-4E9B-9EBB-82AA9A1A1C00}"/>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7028-4E9B-9EBB-82AA9A1A1C00}"/>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ALL_master+r170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43.811181249999997</c:v>
                </c:pt>
                <c:pt idx="1">
                  <c:v>45.224109374999998</c:v>
                </c:pt>
                <c:pt idx="2">
                  <c:v>46.480725</c:v>
                </c:pt>
                <c:pt idx="3">
                  <c:v>47.942937499999999</c:v>
                </c:pt>
                <c:pt idx="4">
                  <c:v>49.554403125</c:v>
                </c:pt>
              </c:numCache>
            </c:numRef>
          </c:yVal>
          <c:smooth val="1"/>
          <c:extLst>
            <c:ext xmlns:c16="http://schemas.microsoft.com/office/drawing/2014/chart" uri="{C3380CC4-5D6E-409C-BE32-E72D297353CC}">
              <c16:uniqueId val="{00000000-5552-4A02-9041-D6C98361A3C6}"/>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5552-4A02-9041-D6C98361A3C6}"/>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0042-47D3-B572-19CDC635A9CD}"/>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0042-47D3-B572-19CDC635A9CD}"/>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F2" sqref="F2"/>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40" zoomScaleNormal="40" workbookViewId="0">
      <pane xSplit="2" ySplit="4" topLeftCell="C5" activePane="bottomRight" state="frozen"/>
      <selection pane="topRight" activeCell="C1" sqref="C1"/>
      <selection pane="bottomLeft" activeCell="A5" sqref="A5"/>
      <selection pane="bottomRight" activeCell="AR59" sqref="AR5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ALL_master+r170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2.1789825</v>
      </c>
      <c r="J5" s="12">
        <f t="shared" ref="J5:J39" si="1">IF(ISBLANK(S5),"·",S5/D5)</f>
        <v>9.7597447949568129E-3</v>
      </c>
      <c r="K5" s="12">
        <f t="shared" ref="K5:K39" si="2">IF(N5="","·",N5/D5)</f>
        <v>6.1712293595076991E-3</v>
      </c>
      <c r="L5" s="12">
        <f t="shared" ref="L5:L39" si="3">IF(T5="","·",T5/D5)</f>
        <v>3.5270742356116581E-3</v>
      </c>
      <c r="M5" s="12">
        <f t="shared" ref="M5:M39" si="4">IF(ISBLANK(V5),"·",V5/D5)</f>
        <v>3.5885154354491143E-3</v>
      </c>
      <c r="N5" s="54">
        <f t="shared" ref="N5:N39" si="5">IF(OR(ISBLANK(T5),ISBLANK(U5)),"",T5+U5)</f>
        <v>1469656</v>
      </c>
      <c r="O5" s="12">
        <v>-12</v>
      </c>
      <c r="P5" s="13">
        <v>21771728</v>
      </c>
      <c r="Q5" s="13">
        <v>680366.5</v>
      </c>
      <c r="R5" s="13">
        <v>13458.65625</v>
      </c>
      <c r="S5" s="14">
        <v>2324248</v>
      </c>
      <c r="T5" s="14">
        <v>839960</v>
      </c>
      <c r="U5" s="14">
        <v>629696</v>
      </c>
      <c r="V5" s="14">
        <v>854592</v>
      </c>
      <c r="W5" s="15">
        <v>66.355962500000004</v>
      </c>
      <c r="X5" s="15">
        <v>68.483328125</v>
      </c>
      <c r="Y5" s="15">
        <v>32.113043750000003</v>
      </c>
      <c r="Z5" s="15">
        <v>44.188546875</v>
      </c>
      <c r="AA5" s="15">
        <v>43.811181249999997</v>
      </c>
      <c r="AB5" s="16">
        <v>2210.2399999999998</v>
      </c>
      <c r="AC5" s="16">
        <v>0</v>
      </c>
      <c r="AD5" s="16">
        <v>59.783000000000001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3.3886574999999999</v>
      </c>
      <c r="J6" s="21">
        <f t="shared" si="1"/>
        <v>1.5177924741257154E-2</v>
      </c>
      <c r="K6" s="21">
        <f t="shared" si="2"/>
        <v>7.5204162972177897E-3</v>
      </c>
      <c r="L6" s="21">
        <f t="shared" si="3"/>
        <v>4.8762611733217491E-3</v>
      </c>
      <c r="M6" s="21">
        <f t="shared" si="4"/>
        <v>7.6575084440393638E-3</v>
      </c>
      <c r="N6" s="18">
        <f t="shared" si="5"/>
        <v>1790960</v>
      </c>
      <c r="O6" s="21">
        <v>-12</v>
      </c>
      <c r="P6" s="22">
        <v>24147688</v>
      </c>
      <c r="Q6" s="22">
        <v>754615.25</v>
      </c>
      <c r="R6" s="22">
        <v>19012.03125</v>
      </c>
      <c r="S6" s="23">
        <v>3614568</v>
      </c>
      <c r="T6" s="23">
        <v>1161264</v>
      </c>
      <c r="U6" s="23">
        <v>629696</v>
      </c>
      <c r="V6" s="23">
        <v>1823608</v>
      </c>
      <c r="W6" s="24">
        <v>68.241950000000003</v>
      </c>
      <c r="X6" s="24">
        <v>70.429959374999996</v>
      </c>
      <c r="Y6" s="24">
        <v>34.357659374999997</v>
      </c>
      <c r="Z6" s="24">
        <v>45.471753124999999</v>
      </c>
      <c r="AA6" s="24">
        <v>45.224109374999998</v>
      </c>
      <c r="AB6" s="25">
        <v>2324.91</v>
      </c>
      <c r="AC6" s="25">
        <v>0</v>
      </c>
      <c r="AD6" s="25">
        <v>66.408000000000001</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5.5621799999999997</v>
      </c>
      <c r="J7" s="12">
        <f t="shared" si="1"/>
        <v>2.4913213990297254E-2</v>
      </c>
      <c r="K7" s="12">
        <f t="shared" si="2"/>
        <v>9.4649345326421504E-3</v>
      </c>
      <c r="L7" s="12">
        <f t="shared" si="3"/>
        <v>6.8207794087461106E-3</v>
      </c>
      <c r="M7" s="12">
        <f t="shared" si="4"/>
        <v>1.5448279457655102E-2</v>
      </c>
      <c r="N7" s="54">
        <f t="shared" si="5"/>
        <v>2254040</v>
      </c>
      <c r="O7" s="12">
        <v>-12</v>
      </c>
      <c r="P7" s="13">
        <v>24798303</v>
      </c>
      <c r="Q7" s="13">
        <v>774946.96875</v>
      </c>
      <c r="R7" s="13">
        <v>20946</v>
      </c>
      <c r="S7" s="14">
        <v>5932992</v>
      </c>
      <c r="T7" s="14">
        <v>1624344</v>
      </c>
      <c r="U7" s="14">
        <v>629696</v>
      </c>
      <c r="V7" s="14">
        <v>3678952</v>
      </c>
      <c r="W7" s="15">
        <v>69.679040624999999</v>
      </c>
      <c r="X7" s="15">
        <v>72.128625</v>
      </c>
      <c r="Y7" s="15">
        <v>36.89405</v>
      </c>
      <c r="Z7" s="15">
        <v>46.603406249999999</v>
      </c>
      <c r="AA7" s="15">
        <v>46.480725</v>
      </c>
      <c r="AB7" s="16">
        <v>2310.5100000000002</v>
      </c>
      <c r="AC7" s="16">
        <v>0</v>
      </c>
      <c r="AD7" s="16">
        <v>67.497</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9.4267575000000008</v>
      </c>
      <c r="J8" s="21">
        <f t="shared" si="1"/>
        <v>4.2222802360250757E-2</v>
      </c>
      <c r="K8" s="21">
        <f t="shared" si="2"/>
        <v>1.2729649134174785E-2</v>
      </c>
      <c r="L8" s="21">
        <f t="shared" si="3"/>
        <v>1.0085494010278745E-2</v>
      </c>
      <c r="M8" s="21">
        <f t="shared" si="4"/>
        <v>2.9493153226075972E-2</v>
      </c>
      <c r="N8" s="18">
        <f t="shared" si="5"/>
        <v>3031520</v>
      </c>
      <c r="O8" s="21">
        <v>-12</v>
      </c>
      <c r="P8" s="22">
        <v>25806958</v>
      </c>
      <c r="Q8" s="22">
        <v>806467.4375</v>
      </c>
      <c r="R8" s="22">
        <v>24305.84375</v>
      </c>
      <c r="S8" s="23">
        <v>10055208</v>
      </c>
      <c r="T8" s="23">
        <v>2401824</v>
      </c>
      <c r="U8" s="23">
        <v>629696</v>
      </c>
      <c r="V8" s="23">
        <v>7023688</v>
      </c>
      <c r="W8" s="24">
        <v>70.829490625000005</v>
      </c>
      <c r="X8" s="24">
        <v>73.399412499999997</v>
      </c>
      <c r="Y8" s="24">
        <v>39.521596875</v>
      </c>
      <c r="Z8" s="24">
        <v>47.923753124999998</v>
      </c>
      <c r="AA8" s="24">
        <v>47.942937499999999</v>
      </c>
      <c r="AB8" s="25">
        <v>2386.79</v>
      </c>
      <c r="AC8" s="25">
        <v>0</v>
      </c>
      <c r="AD8" s="25">
        <v>68.584000000000003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16.805520000000001</v>
      </c>
      <c r="J9" s="30">
        <f t="shared" si="1"/>
        <v>7.5272557878065846E-2</v>
      </c>
      <c r="K9" s="30">
        <f t="shared" si="2"/>
        <v>2.065831852140056E-2</v>
      </c>
      <c r="L9" s="30">
        <f t="shared" si="3"/>
        <v>1.5548050022727408E-2</v>
      </c>
      <c r="M9" s="30">
        <f t="shared" si="4"/>
        <v>5.461423935666529E-2</v>
      </c>
      <c r="N9" s="27">
        <f t="shared" si="5"/>
        <v>4919704</v>
      </c>
      <c r="O9" s="30">
        <v>-12</v>
      </c>
      <c r="P9" s="31">
        <v>24863702</v>
      </c>
      <c r="Q9" s="31">
        <v>776990.6875</v>
      </c>
      <c r="R9" s="31">
        <v>10657.0625</v>
      </c>
      <c r="S9" s="32">
        <v>17925888</v>
      </c>
      <c r="T9" s="32">
        <v>3702712</v>
      </c>
      <c r="U9" s="32">
        <v>1216992</v>
      </c>
      <c r="V9" s="32">
        <v>13006184</v>
      </c>
      <c r="W9" s="33">
        <v>71.945081250000001</v>
      </c>
      <c r="X9" s="33">
        <v>75.324081250000006</v>
      </c>
      <c r="Y9" s="33">
        <v>42.094303125000003</v>
      </c>
      <c r="Z9" s="33">
        <v>49.417631249999999</v>
      </c>
      <c r="AA9" s="33">
        <v>49.554403125</v>
      </c>
      <c r="AB9" s="34">
        <v>2552.46</v>
      </c>
      <c r="AC9" s="34">
        <v>0</v>
      </c>
      <c r="AD9" s="34">
        <v>67.036000000000001</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3.1803599999999999</v>
      </c>
      <c r="J10" s="21">
        <f t="shared" si="1"/>
        <v>1.5552744743677922E-2</v>
      </c>
      <c r="K10" s="21">
        <f t="shared" si="2"/>
        <v>8.0389052616892769E-3</v>
      </c>
      <c r="L10" s="21">
        <f t="shared" si="3"/>
        <v>4.2751636266586089E-3</v>
      </c>
      <c r="M10" s="21">
        <f t="shared" si="4"/>
        <v>7.5138394819886456E-3</v>
      </c>
      <c r="N10" s="18">
        <f t="shared" si="5"/>
        <v>1753456</v>
      </c>
      <c r="O10" s="21">
        <v>-12</v>
      </c>
      <c r="P10" s="22">
        <v>20646708</v>
      </c>
      <c r="Q10" s="22">
        <v>645209.625</v>
      </c>
      <c r="R10" s="22">
        <v>18054.21875</v>
      </c>
      <c r="S10" s="23">
        <v>3392384</v>
      </c>
      <c r="T10" s="23">
        <v>932504</v>
      </c>
      <c r="U10" s="23">
        <v>820952</v>
      </c>
      <c r="V10" s="23">
        <v>1638928</v>
      </c>
      <c r="W10" s="24">
        <v>65.886574999999993</v>
      </c>
      <c r="X10" s="24">
        <v>67.829274999999996</v>
      </c>
      <c r="Y10" s="24">
        <v>32.394371874999997</v>
      </c>
      <c r="Z10" s="24">
        <v>39.164603124999999</v>
      </c>
      <c r="AA10" s="24">
        <v>32.094328124999997</v>
      </c>
      <c r="AB10" s="25">
        <v>2216.2199999999998</v>
      </c>
      <c r="AC10" s="25">
        <v>0</v>
      </c>
      <c r="AD10" s="25">
        <v>60.325000000000003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4.5974700000000004</v>
      </c>
      <c r="J11" s="12">
        <f t="shared" si="1"/>
        <v>2.248276213281419E-2</v>
      </c>
      <c r="K11" s="12">
        <f t="shared" si="2"/>
        <v>9.7882076061166015E-3</v>
      </c>
      <c r="L11" s="12">
        <f t="shared" si="3"/>
        <v>6.0244659710859336E-3</v>
      </c>
      <c r="M11" s="12">
        <f t="shared" si="4"/>
        <v>1.2694554526697589E-2</v>
      </c>
      <c r="N11" s="54">
        <f t="shared" si="5"/>
        <v>2135016</v>
      </c>
      <c r="O11" s="12">
        <v>-12</v>
      </c>
      <c r="P11" s="13">
        <v>22133832</v>
      </c>
      <c r="Q11" s="13">
        <v>691682.25</v>
      </c>
      <c r="R11" s="13">
        <v>23047.09375</v>
      </c>
      <c r="S11" s="14">
        <v>4903968</v>
      </c>
      <c r="T11" s="14">
        <v>1314064</v>
      </c>
      <c r="U11" s="14">
        <v>820952</v>
      </c>
      <c r="V11" s="14">
        <v>2768952</v>
      </c>
      <c r="W11" s="15">
        <v>67.609459375</v>
      </c>
      <c r="X11" s="15">
        <v>69.693121875000003</v>
      </c>
      <c r="Y11" s="15">
        <v>34.251906249999998</v>
      </c>
      <c r="Z11" s="15">
        <v>40.012206249999998</v>
      </c>
      <c r="AA11" s="15">
        <v>33.863571874999998</v>
      </c>
      <c r="AB11" s="16">
        <v>2310.89</v>
      </c>
      <c r="AC11" s="16">
        <v>0</v>
      </c>
      <c r="AD11" s="16">
        <v>64.774000000000001</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7.1139074999999998</v>
      </c>
      <c r="J12" s="21">
        <f t="shared" si="1"/>
        <v>3.4788762114237363E-2</v>
      </c>
      <c r="K12" s="21">
        <f t="shared" si="2"/>
        <v>1.2487183618732557E-2</v>
      </c>
      <c r="L12" s="21">
        <f t="shared" si="3"/>
        <v>8.7234419837018892E-3</v>
      </c>
      <c r="M12" s="21">
        <f t="shared" si="4"/>
        <v>2.2301578495504806E-2</v>
      </c>
      <c r="N12" s="18">
        <f t="shared" si="5"/>
        <v>2723720</v>
      </c>
      <c r="O12" s="21">
        <v>-12</v>
      </c>
      <c r="P12" s="22">
        <v>22504730</v>
      </c>
      <c r="Q12" s="22">
        <v>703272.8125</v>
      </c>
      <c r="R12" s="22">
        <v>24737.1875</v>
      </c>
      <c r="S12" s="23">
        <v>7588168</v>
      </c>
      <c r="T12" s="23">
        <v>1902768</v>
      </c>
      <c r="U12" s="23">
        <v>820952</v>
      </c>
      <c r="V12" s="23">
        <v>4864448</v>
      </c>
      <c r="W12" s="24">
        <v>68.953246875000005</v>
      </c>
      <c r="X12" s="24">
        <v>71.331493750000007</v>
      </c>
      <c r="Y12" s="24">
        <v>36.335381249999998</v>
      </c>
      <c r="Z12" s="24">
        <v>40.939156250000003</v>
      </c>
      <c r="AA12" s="24">
        <v>35.640265624999998</v>
      </c>
      <c r="AB12" s="25">
        <v>2377.83</v>
      </c>
      <c r="AC12" s="25">
        <v>0</v>
      </c>
      <c r="AD12" s="25">
        <v>65.677000000000007</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12.010619999999999</v>
      </c>
      <c r="J13" s="12">
        <f t="shared" si="1"/>
        <v>5.8734893871546907E-2</v>
      </c>
      <c r="K13" s="12">
        <f t="shared" si="2"/>
        <v>1.716340859639888E-2</v>
      </c>
      <c r="L13" s="12">
        <f t="shared" si="3"/>
        <v>1.339966696136821E-2</v>
      </c>
      <c r="M13" s="12">
        <f t="shared" si="4"/>
        <v>4.1571485275148028E-2</v>
      </c>
      <c r="N13" s="54">
        <f t="shared" si="5"/>
        <v>3743704</v>
      </c>
      <c r="O13" s="12">
        <v>-12</v>
      </c>
      <c r="P13" s="13">
        <v>23275134</v>
      </c>
      <c r="Q13" s="13">
        <v>727347.9375</v>
      </c>
      <c r="R13" s="13">
        <v>27993.34375</v>
      </c>
      <c r="S13" s="14">
        <v>12811328</v>
      </c>
      <c r="T13" s="14">
        <v>2922752</v>
      </c>
      <c r="U13" s="14">
        <v>820952</v>
      </c>
      <c r="V13" s="14">
        <v>9067624</v>
      </c>
      <c r="W13" s="15">
        <v>70.078087499999995</v>
      </c>
      <c r="X13" s="15">
        <v>72.601275000000001</v>
      </c>
      <c r="Y13" s="15">
        <v>38.662809375000002</v>
      </c>
      <c r="Z13" s="15">
        <v>42.108215625</v>
      </c>
      <c r="AA13" s="15">
        <v>37.696206250000003</v>
      </c>
      <c r="AB13" s="16">
        <v>2485.04</v>
      </c>
      <c r="AC13" s="16">
        <v>0</v>
      </c>
      <c r="AD13" s="16">
        <v>69.218000000000004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v>
      </c>
      <c r="J14" s="40">
        <f t="shared" si="1"/>
        <v>0.10544359544770976</v>
      </c>
      <c r="K14" s="40">
        <f t="shared" si="2"/>
        <v>2.8264317328616714E-2</v>
      </c>
      <c r="L14" s="40">
        <f t="shared" si="3"/>
        <v>2.1175159088815385E-2</v>
      </c>
      <c r="M14" s="40">
        <f t="shared" si="4"/>
        <v>7.7179278119093045E-2</v>
      </c>
      <c r="N14" s="37">
        <f t="shared" si="5"/>
        <v>6165048</v>
      </c>
      <c r="O14" s="40">
        <v>-12</v>
      </c>
      <c r="P14" s="41">
        <v>22108568</v>
      </c>
      <c r="Q14" s="41">
        <v>690892.75</v>
      </c>
      <c r="R14" s="41">
        <v>13255.34375</v>
      </c>
      <c r="S14" s="42">
        <v>22999488</v>
      </c>
      <c r="T14" s="42">
        <v>4618752</v>
      </c>
      <c r="U14" s="42">
        <v>1546296</v>
      </c>
      <c r="V14" s="42">
        <v>16834440</v>
      </c>
      <c r="W14" s="43">
        <v>70.921371875000006</v>
      </c>
      <c r="X14" s="43">
        <v>74.713256250000001</v>
      </c>
      <c r="Y14" s="43">
        <v>40.916131249999999</v>
      </c>
      <c r="Z14" s="43">
        <v>43.428543750000003</v>
      </c>
      <c r="AA14" s="43">
        <v>39.494587500000002</v>
      </c>
      <c r="AB14" s="44">
        <v>2677.08</v>
      </c>
      <c r="AC14" s="44">
        <v>0</v>
      </c>
      <c r="AD14" s="44">
        <v>67.433999999999997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4.4048474999999998</v>
      </c>
      <c r="J15" s="12">
        <f t="shared" si="1"/>
        <v>1.4564953381153168E-2</v>
      </c>
      <c r="K15" s="12">
        <f t="shared" si="2"/>
        <v>8.228880113297107E-3</v>
      </c>
      <c r="L15" s="12">
        <f t="shared" si="3"/>
        <v>4.3908902932624288E-3</v>
      </c>
      <c r="M15" s="12">
        <f t="shared" si="4"/>
        <v>6.3360732678560631E-3</v>
      </c>
      <c r="N15" s="54">
        <f t="shared" si="5"/>
        <v>2654552</v>
      </c>
      <c r="O15" s="12">
        <v>-12</v>
      </c>
      <c r="P15" s="13">
        <v>30898742</v>
      </c>
      <c r="Q15" s="13">
        <v>965585.6875</v>
      </c>
      <c r="R15" s="13">
        <v>27935.75</v>
      </c>
      <c r="S15" s="14">
        <v>4698504</v>
      </c>
      <c r="T15" s="14">
        <v>1416456</v>
      </c>
      <c r="U15" s="14">
        <v>1238096</v>
      </c>
      <c r="V15" s="14">
        <v>2043952</v>
      </c>
      <c r="W15" s="15">
        <v>65.895415624999998</v>
      </c>
      <c r="X15" s="15">
        <v>67.664487500000007</v>
      </c>
      <c r="Y15" s="15">
        <v>29.421203125000002</v>
      </c>
      <c r="Z15" s="15">
        <v>43.104725000000002</v>
      </c>
      <c r="AA15" s="15">
        <v>43.299262499999998</v>
      </c>
      <c r="AB15" s="16">
        <v>2599.12</v>
      </c>
      <c r="AC15" s="16">
        <v>0</v>
      </c>
      <c r="AD15" s="16">
        <v>83.763999999999996</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7.0023074999999997</v>
      </c>
      <c r="J16" s="21">
        <f t="shared" si="1"/>
        <v>2.3153646590035E-2</v>
      </c>
      <c r="K16" s="21">
        <f t="shared" si="2"/>
        <v>1.004302356779496E-2</v>
      </c>
      <c r="L16" s="21">
        <f t="shared" si="3"/>
        <v>6.2050337477602821E-3</v>
      </c>
      <c r="M16" s="21">
        <f t="shared" si="4"/>
        <v>1.311062302224004E-2</v>
      </c>
      <c r="N16" s="18">
        <f t="shared" si="5"/>
        <v>3239776</v>
      </c>
      <c r="O16" s="21">
        <v>-12</v>
      </c>
      <c r="P16" s="22">
        <v>33174723</v>
      </c>
      <c r="Q16" s="22">
        <v>1036710.09375</v>
      </c>
      <c r="R16" s="22">
        <v>34658.125</v>
      </c>
      <c r="S16" s="23">
        <v>7469128</v>
      </c>
      <c r="T16" s="23">
        <v>2001680</v>
      </c>
      <c r="U16" s="23">
        <v>1238096</v>
      </c>
      <c r="V16" s="23">
        <v>4229352</v>
      </c>
      <c r="W16" s="24">
        <v>67.721312499999996</v>
      </c>
      <c r="X16" s="24">
        <v>69.756862499999997</v>
      </c>
      <c r="Y16" s="24">
        <v>31.811240625</v>
      </c>
      <c r="Z16" s="24">
        <v>43.961996874999997</v>
      </c>
      <c r="AA16" s="24">
        <v>44.231640624999997</v>
      </c>
      <c r="AB16" s="25">
        <v>2692.23</v>
      </c>
      <c r="AC16" s="25">
        <v>0</v>
      </c>
      <c r="AD16" s="25">
        <v>88.748000000000005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v>
      </c>
      <c r="J17" s="12">
        <f t="shared" si="1"/>
        <v>3.8629577588750325E-2</v>
      </c>
      <c r="K17" s="12">
        <f t="shared" si="2"/>
        <v>1.2780965879803777E-2</v>
      </c>
      <c r="L17" s="12">
        <f t="shared" si="3"/>
        <v>8.9429760597690994E-3</v>
      </c>
      <c r="M17" s="12">
        <f t="shared" si="4"/>
        <v>2.5848611708946544E-2</v>
      </c>
      <c r="N17" s="54">
        <f t="shared" si="5"/>
        <v>4123008</v>
      </c>
      <c r="O17" s="12">
        <v>-12</v>
      </c>
      <c r="P17" s="13">
        <v>33536779</v>
      </c>
      <c r="Q17" s="13">
        <v>1048024.34375</v>
      </c>
      <c r="R17" s="13">
        <v>36443.15625</v>
      </c>
      <c r="S17" s="14">
        <v>12461504</v>
      </c>
      <c r="T17" s="14">
        <v>2884912</v>
      </c>
      <c r="U17" s="14">
        <v>1238096</v>
      </c>
      <c r="V17" s="14">
        <v>8338496</v>
      </c>
      <c r="W17" s="15">
        <v>69.122003125000006</v>
      </c>
      <c r="X17" s="15">
        <v>71.601190625000001</v>
      </c>
      <c r="Y17" s="15">
        <v>34.352246874999999</v>
      </c>
      <c r="Z17" s="15">
        <v>44.816187499999998</v>
      </c>
      <c r="AA17" s="15">
        <v>45.212228125000003</v>
      </c>
      <c r="AB17" s="16">
        <v>2819.84</v>
      </c>
      <c r="AC17" s="16">
        <v>0</v>
      </c>
      <c r="AD17" s="16">
        <v>90.9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20.167635000000001</v>
      </c>
      <c r="J18" s="21">
        <f t="shared" si="1"/>
        <v>6.6685773703428555E-2</v>
      </c>
      <c r="K18" s="21">
        <f t="shared" si="2"/>
        <v>1.7280154731782762E-2</v>
      </c>
      <c r="L18" s="21">
        <f t="shared" si="3"/>
        <v>1.3442164911748083E-2</v>
      </c>
      <c r="M18" s="21">
        <f t="shared" si="4"/>
        <v>4.940561897164579E-2</v>
      </c>
      <c r="N18" s="18">
        <f t="shared" si="5"/>
        <v>5574400</v>
      </c>
      <c r="O18" s="21">
        <v>-12</v>
      </c>
      <c r="P18" s="22">
        <v>34802045</v>
      </c>
      <c r="Q18" s="22">
        <v>1087563.90625</v>
      </c>
      <c r="R18" s="22">
        <v>40924.21875</v>
      </c>
      <c r="S18" s="23">
        <v>21512144</v>
      </c>
      <c r="T18" s="23">
        <v>4336304</v>
      </c>
      <c r="U18" s="23">
        <v>1238096</v>
      </c>
      <c r="V18" s="23">
        <v>15937744</v>
      </c>
      <c r="W18" s="24">
        <v>70.369831250000004</v>
      </c>
      <c r="X18" s="24">
        <v>72.947381250000007</v>
      </c>
      <c r="Y18" s="24">
        <v>37.033359375000003</v>
      </c>
      <c r="Z18" s="24">
        <v>46.129693750000001</v>
      </c>
      <c r="AA18" s="24">
        <v>46.645259375000002</v>
      </c>
      <c r="AB18" s="25">
        <v>3023.33</v>
      </c>
      <c r="AC18" s="25">
        <v>0</v>
      </c>
      <c r="AD18" s="25">
        <v>95.772999999999996</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35.688757500000001</v>
      </c>
      <c r="J19" s="30">
        <f t="shared" si="1"/>
        <v>0.11800751086587687</v>
      </c>
      <c r="K19" s="30">
        <f t="shared" si="2"/>
        <v>2.7760613215355442E-2</v>
      </c>
      <c r="L19" s="30">
        <f t="shared" si="3"/>
        <v>2.064958651005179E-2</v>
      </c>
      <c r="M19" s="30">
        <f t="shared" si="4"/>
        <v>9.0246897650521421E-2</v>
      </c>
      <c r="N19" s="27">
        <f t="shared" si="5"/>
        <v>8955288</v>
      </c>
      <c r="O19" s="30">
        <v>-12</v>
      </c>
      <c r="P19" s="31">
        <v>33040002</v>
      </c>
      <c r="Q19" s="31">
        <v>1032500.0625</v>
      </c>
      <c r="R19" s="31">
        <v>17720.5</v>
      </c>
      <c r="S19" s="32">
        <v>38068008</v>
      </c>
      <c r="T19" s="32">
        <v>6661344</v>
      </c>
      <c r="U19" s="32">
        <v>2293944</v>
      </c>
      <c r="V19" s="32">
        <v>29112720</v>
      </c>
      <c r="W19" s="33">
        <v>71.147937499999998</v>
      </c>
      <c r="X19" s="33">
        <v>75.002496875000006</v>
      </c>
      <c r="Y19" s="33">
        <v>39.495606250000002</v>
      </c>
      <c r="Z19" s="33">
        <v>47.874012499999999</v>
      </c>
      <c r="AA19" s="33">
        <v>48.468343750000003</v>
      </c>
      <c r="AB19" s="34">
        <v>3264.97</v>
      </c>
      <c r="AC19" s="34">
        <v>0</v>
      </c>
      <c r="AD19" s="34">
        <v>87.676000000000002</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5.0935874999999999</v>
      </c>
      <c r="J20" s="21">
        <f t="shared" si="1"/>
        <v>1.3008213859751523E-2</v>
      </c>
      <c r="K20" s="21">
        <f t="shared" si="2"/>
        <v>7.5830569727944599E-3</v>
      </c>
      <c r="L20" s="21">
        <f t="shared" si="3"/>
        <v>3.7914646403660202E-3</v>
      </c>
      <c r="M20" s="21">
        <f t="shared" si="4"/>
        <v>5.425156886957062E-3</v>
      </c>
      <c r="N20" s="18">
        <f t="shared" si="5"/>
        <v>1900336</v>
      </c>
      <c r="O20" s="21">
        <v>-12</v>
      </c>
      <c r="P20" s="22">
        <v>30202618</v>
      </c>
      <c r="Q20" s="22">
        <v>943831.8125</v>
      </c>
      <c r="R20" s="22">
        <v>27795.1875</v>
      </c>
      <c r="S20" s="23">
        <v>3259896</v>
      </c>
      <c r="T20" s="23">
        <v>950152</v>
      </c>
      <c r="U20" s="23">
        <v>950184</v>
      </c>
      <c r="V20" s="23">
        <v>1359560</v>
      </c>
      <c r="W20" s="24">
        <v>67.119896874999995</v>
      </c>
      <c r="X20" s="24">
        <v>68.826575000000005</v>
      </c>
      <c r="Y20" s="24">
        <v>30.701740624999999</v>
      </c>
      <c r="Z20" s="24">
        <v>39.504118750000004</v>
      </c>
      <c r="AA20" s="24">
        <v>38.223546874999997</v>
      </c>
      <c r="AB20" s="25">
        <v>2764.23</v>
      </c>
      <c r="AC20" s="25">
        <v>0</v>
      </c>
      <c r="AD20" s="25">
        <v>76.742000000000004</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7.5828125000000002</v>
      </c>
      <c r="J21" s="12">
        <f t="shared" si="1"/>
        <v>1.9365299341259395E-2</v>
      </c>
      <c r="K21" s="12">
        <f t="shared" si="2"/>
        <v>9.0187307535889525E-3</v>
      </c>
      <c r="L21" s="12">
        <f t="shared" si="3"/>
        <v>5.2271384211605128E-3</v>
      </c>
      <c r="M21" s="12">
        <f t="shared" si="4"/>
        <v>1.0346568587670442E-2</v>
      </c>
      <c r="N21" s="54">
        <f t="shared" si="5"/>
        <v>2260120</v>
      </c>
      <c r="O21" s="12">
        <v>-12</v>
      </c>
      <c r="P21" s="13">
        <v>31470210</v>
      </c>
      <c r="Q21" s="13">
        <v>983444.0625</v>
      </c>
      <c r="R21" s="13">
        <v>32994.5</v>
      </c>
      <c r="S21" s="14">
        <v>4853000</v>
      </c>
      <c r="T21" s="14">
        <v>1309936</v>
      </c>
      <c r="U21" s="14">
        <v>950184</v>
      </c>
      <c r="V21" s="14">
        <v>2592880</v>
      </c>
      <c r="W21" s="15">
        <v>68.687637499999994</v>
      </c>
      <c r="X21" s="15">
        <v>70.768968749999999</v>
      </c>
      <c r="Y21" s="15">
        <v>32.499071874999998</v>
      </c>
      <c r="Z21" s="15">
        <v>40.637934375</v>
      </c>
      <c r="AA21" s="15">
        <v>39.554534375000003</v>
      </c>
      <c r="AB21" s="16">
        <v>2801.98</v>
      </c>
      <c r="AC21" s="16">
        <v>0</v>
      </c>
      <c r="AD21" s="16">
        <v>77.852999999999994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12.358074999999999</v>
      </c>
      <c r="J22" s="21">
        <f t="shared" si="1"/>
        <v>3.156056168561918E-2</v>
      </c>
      <c r="K22" s="21">
        <f t="shared" si="2"/>
        <v>1.1265057592651635E-2</v>
      </c>
      <c r="L22" s="21">
        <f t="shared" si="3"/>
        <v>7.4734652602231949E-3</v>
      </c>
      <c r="M22" s="21">
        <f t="shared" si="4"/>
        <v>2.0295504092967546E-2</v>
      </c>
      <c r="N22" s="18">
        <f t="shared" si="5"/>
        <v>2823056</v>
      </c>
      <c r="O22" s="21">
        <v>-12</v>
      </c>
      <c r="P22" s="22">
        <v>32774469</v>
      </c>
      <c r="Q22" s="22">
        <v>1024202.15625</v>
      </c>
      <c r="R22" s="22">
        <v>35190.1875</v>
      </c>
      <c r="S22" s="23">
        <v>7909168</v>
      </c>
      <c r="T22" s="23">
        <v>1872872</v>
      </c>
      <c r="U22" s="23">
        <v>950184</v>
      </c>
      <c r="V22" s="23">
        <v>5086112</v>
      </c>
      <c r="W22" s="24">
        <v>69.849543749999995</v>
      </c>
      <c r="X22" s="24">
        <v>72.244293749999997</v>
      </c>
      <c r="Y22" s="24">
        <v>34.215484375000003</v>
      </c>
      <c r="Z22" s="24">
        <v>41.679962500000002</v>
      </c>
      <c r="AA22" s="24">
        <v>40.578524999999999</v>
      </c>
      <c r="AB22" s="25">
        <v>2891.65</v>
      </c>
      <c r="AC22" s="25">
        <v>0</v>
      </c>
      <c r="AD22" s="25">
        <v>79.849000000000004</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22.005112499999999</v>
      </c>
      <c r="J23" s="12">
        <f t="shared" si="1"/>
        <v>5.6197563977823384E-2</v>
      </c>
      <c r="K23" s="12">
        <f t="shared" si="2"/>
        <v>1.519347196996223E-2</v>
      </c>
      <c r="L23" s="12">
        <f t="shared" si="3"/>
        <v>1.140187963753379E-2</v>
      </c>
      <c r="M23" s="12">
        <f t="shared" si="4"/>
        <v>4.1004092007861155E-2</v>
      </c>
      <c r="N23" s="54">
        <f t="shared" si="5"/>
        <v>3807528</v>
      </c>
      <c r="O23" s="12">
        <v>-12</v>
      </c>
      <c r="P23" s="13">
        <v>32769151</v>
      </c>
      <c r="Q23" s="13">
        <v>1024035.96875</v>
      </c>
      <c r="R23" s="13">
        <v>36890.875</v>
      </c>
      <c r="S23" s="14">
        <v>14083272</v>
      </c>
      <c r="T23" s="14">
        <v>2857344</v>
      </c>
      <c r="U23" s="14">
        <v>950184</v>
      </c>
      <c r="V23" s="14">
        <v>10275744</v>
      </c>
      <c r="W23" s="15">
        <v>70.891781249999994</v>
      </c>
      <c r="X23" s="15">
        <v>73.621353124999999</v>
      </c>
      <c r="Y23" s="15">
        <v>35.690490625000002</v>
      </c>
      <c r="Z23" s="15">
        <v>42.822524999999999</v>
      </c>
      <c r="AA23" s="15">
        <v>41.617903124999998</v>
      </c>
      <c r="AB23" s="16">
        <v>3071.15</v>
      </c>
      <c r="AC23" s="16">
        <v>0</v>
      </c>
      <c r="AD23" s="16">
        <v>85.347999999999999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38.627375000000001</v>
      </c>
      <c r="J24" s="40">
        <f t="shared" si="1"/>
        <v>9.8648183591784663E-2</v>
      </c>
      <c r="K24" s="40">
        <f t="shared" si="2"/>
        <v>2.5280729901874913E-2</v>
      </c>
      <c r="L24" s="40">
        <f t="shared" si="3"/>
        <v>1.7958835119743291E-2</v>
      </c>
      <c r="M24" s="40">
        <f t="shared" si="4"/>
        <v>7.336745368990974E-2</v>
      </c>
      <c r="N24" s="37">
        <f t="shared" si="5"/>
        <v>6335424</v>
      </c>
      <c r="O24" s="40">
        <v>-12</v>
      </c>
      <c r="P24" s="41">
        <v>31405837</v>
      </c>
      <c r="Q24" s="41">
        <v>981432.40625</v>
      </c>
      <c r="R24" s="41">
        <v>18371.09375</v>
      </c>
      <c r="S24" s="42">
        <v>24721520</v>
      </c>
      <c r="T24" s="42">
        <v>4500536</v>
      </c>
      <c r="U24" s="42">
        <v>1834888</v>
      </c>
      <c r="V24" s="42">
        <v>18386096</v>
      </c>
      <c r="W24" s="43">
        <v>71.729621875000007</v>
      </c>
      <c r="X24" s="43">
        <v>75.643156250000004</v>
      </c>
      <c r="Y24" s="43">
        <v>36.543587500000001</v>
      </c>
      <c r="Z24" s="43">
        <v>43.589959374999999</v>
      </c>
      <c r="AA24" s="43">
        <v>42.051628125000001</v>
      </c>
      <c r="AB24" s="44">
        <v>3309.16</v>
      </c>
      <c r="AC24" s="44">
        <v>0</v>
      </c>
      <c r="AD24" s="44">
        <v>83.688000000000002</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4.3608599999999997</v>
      </c>
      <c r="J25" s="12">
        <f t="shared" si="1"/>
        <v>1.8584437437003731E-2</v>
      </c>
      <c r="K25" s="12">
        <f t="shared" si="2"/>
        <v>6.4496162365991604E-3</v>
      </c>
      <c r="L25" s="12">
        <f t="shared" si="3"/>
        <v>3.6966041877806209E-3</v>
      </c>
      <c r="M25" s="12">
        <f t="shared" si="4"/>
        <v>1.213482120040457E-2</v>
      </c>
      <c r="N25" s="54">
        <f t="shared" si="5"/>
        <v>1614304</v>
      </c>
      <c r="O25" s="12">
        <v>-12</v>
      </c>
      <c r="P25" s="13">
        <v>23148086</v>
      </c>
      <c r="Q25" s="13">
        <v>723377.6875</v>
      </c>
      <c r="R25" s="13">
        <v>13979.90625</v>
      </c>
      <c r="S25" s="14">
        <v>4651584</v>
      </c>
      <c r="T25" s="14">
        <v>925240</v>
      </c>
      <c r="U25" s="14">
        <v>689064</v>
      </c>
      <c r="V25" s="14">
        <v>3037280</v>
      </c>
      <c r="W25" s="15">
        <v>66.202731249999999</v>
      </c>
      <c r="X25" s="15">
        <v>67.991668750000002</v>
      </c>
      <c r="Y25" s="15">
        <v>27.334187499999999</v>
      </c>
      <c r="Z25" s="15">
        <v>33.179340625000002</v>
      </c>
      <c r="AA25" s="15">
        <v>32.601890625000003</v>
      </c>
      <c r="AB25" s="16">
        <v>2097.9499999999998</v>
      </c>
      <c r="AC25" s="16">
        <v>0</v>
      </c>
      <c r="AD25" s="16">
        <v>66.94</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7.4916675000000001</v>
      </c>
      <c r="J26" s="21">
        <f t="shared" si="1"/>
        <v>3.1926827724940529E-2</v>
      </c>
      <c r="K26" s="21">
        <f t="shared" si="2"/>
        <v>7.9828176224765422E-3</v>
      </c>
      <c r="L26" s="21">
        <f t="shared" si="3"/>
        <v>5.2298055736580027E-3</v>
      </c>
      <c r="M26" s="21">
        <f t="shared" si="4"/>
        <v>2.3944010102463983E-2</v>
      </c>
      <c r="N26" s="18">
        <f t="shared" si="5"/>
        <v>1998056</v>
      </c>
      <c r="O26" s="21">
        <v>-12</v>
      </c>
      <c r="P26" s="22">
        <v>24596617</v>
      </c>
      <c r="Q26" s="22">
        <v>768644.28125</v>
      </c>
      <c r="R26" s="22">
        <v>17690.84375</v>
      </c>
      <c r="S26" s="23">
        <v>7991112</v>
      </c>
      <c r="T26" s="23">
        <v>1308992</v>
      </c>
      <c r="U26" s="23">
        <v>689064</v>
      </c>
      <c r="V26" s="23">
        <v>5993056</v>
      </c>
      <c r="W26" s="24">
        <v>67.955109375000006</v>
      </c>
      <c r="X26" s="24">
        <v>69.951062500000006</v>
      </c>
      <c r="Y26" s="24">
        <v>29.714649999999999</v>
      </c>
      <c r="Z26" s="24">
        <v>34.343318750000002</v>
      </c>
      <c r="AA26" s="24">
        <v>33.888874999999999</v>
      </c>
      <c r="AB26" s="25">
        <v>2177.2600000000002</v>
      </c>
      <c r="AC26" s="25">
        <v>0</v>
      </c>
      <c r="AD26" s="25">
        <v>70.37</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13.1838675</v>
      </c>
      <c r="J27" s="12">
        <f t="shared" si="1"/>
        <v>5.6184963684112028E-2</v>
      </c>
      <c r="K27" s="12">
        <f t="shared" si="2"/>
        <v>1.0288293016266728E-2</v>
      </c>
      <c r="L27" s="12">
        <f t="shared" si="3"/>
        <v>7.5352809674481885E-3</v>
      </c>
      <c r="M27" s="12">
        <f t="shared" si="4"/>
        <v>4.58966706678453E-2</v>
      </c>
      <c r="N27" s="54">
        <f t="shared" si="5"/>
        <v>2575104</v>
      </c>
      <c r="O27" s="12">
        <v>-12</v>
      </c>
      <c r="P27" s="13">
        <v>24867879</v>
      </c>
      <c r="Q27" s="13">
        <v>777121.21875</v>
      </c>
      <c r="R27" s="13">
        <v>18587.625</v>
      </c>
      <c r="S27" s="14">
        <v>14062792</v>
      </c>
      <c r="T27" s="14">
        <v>1886040</v>
      </c>
      <c r="U27" s="14">
        <v>689064</v>
      </c>
      <c r="V27" s="14">
        <v>11487688</v>
      </c>
      <c r="W27" s="15">
        <v>69.271965625000007</v>
      </c>
      <c r="X27" s="15">
        <v>71.647043749999995</v>
      </c>
      <c r="Y27" s="15">
        <v>32.215471874999999</v>
      </c>
      <c r="Z27" s="15">
        <v>35.579521874999998</v>
      </c>
      <c r="AA27" s="15">
        <v>35.207475000000002</v>
      </c>
      <c r="AB27" s="16">
        <v>2238.7600000000002</v>
      </c>
      <c r="AC27" s="16">
        <v>0</v>
      </c>
      <c r="AD27" s="16">
        <v>69.902000000000001</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24.458392499999999</v>
      </c>
      <c r="J28" s="21">
        <f t="shared" si="1"/>
        <v>0.10423298735247893</v>
      </c>
      <c r="K28" s="21">
        <f t="shared" si="2"/>
        <v>1.4138604086923464E-2</v>
      </c>
      <c r="L28" s="21">
        <f t="shared" si="3"/>
        <v>1.1385592038104924E-2</v>
      </c>
      <c r="M28" s="21">
        <f t="shared" si="4"/>
        <v>9.0094383265555467E-2</v>
      </c>
      <c r="N28" s="18">
        <f t="shared" si="5"/>
        <v>3538816</v>
      </c>
      <c r="O28" s="21">
        <v>-12</v>
      </c>
      <c r="P28" s="22">
        <v>25503045</v>
      </c>
      <c r="Q28" s="22">
        <v>796970.15625</v>
      </c>
      <c r="R28" s="22">
        <v>20905.71875</v>
      </c>
      <c r="S28" s="23">
        <v>26088952</v>
      </c>
      <c r="T28" s="23">
        <v>2849752</v>
      </c>
      <c r="U28" s="23">
        <v>689064</v>
      </c>
      <c r="V28" s="23">
        <v>22550136</v>
      </c>
      <c r="W28" s="24">
        <v>70.438775000000007</v>
      </c>
      <c r="X28" s="24">
        <v>72.973003125000005</v>
      </c>
      <c r="Y28" s="24">
        <v>34.905471875000003</v>
      </c>
      <c r="Z28" s="24">
        <v>37.372971874999998</v>
      </c>
      <c r="AA28" s="24">
        <v>36.936059374999999</v>
      </c>
      <c r="AB28" s="25">
        <v>2443.8000000000002</v>
      </c>
      <c r="AC28" s="25">
        <v>0</v>
      </c>
      <c r="AD28" s="25">
        <v>71.522999999999996</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44.156115</v>
      </c>
      <c r="J29" s="30">
        <f t="shared" si="1"/>
        <v>0.18817768896012299</v>
      </c>
      <c r="K29" s="30">
        <f t="shared" si="2"/>
        <v>2.2856363706666251E-2</v>
      </c>
      <c r="L29" s="30">
        <f t="shared" si="3"/>
        <v>1.7621859669339546E-2</v>
      </c>
      <c r="M29" s="30">
        <f t="shared" si="4"/>
        <v>0.16532132525345675</v>
      </c>
      <c r="N29" s="27">
        <f t="shared" si="5"/>
        <v>5720824</v>
      </c>
      <c r="O29" s="30">
        <v>-12</v>
      </c>
      <c r="P29" s="31">
        <v>24554524</v>
      </c>
      <c r="Q29" s="31">
        <v>767328.875</v>
      </c>
      <c r="R29" s="31">
        <v>9745.3125</v>
      </c>
      <c r="S29" s="32">
        <v>47099856</v>
      </c>
      <c r="T29" s="32">
        <v>4410656</v>
      </c>
      <c r="U29" s="32">
        <v>1310168</v>
      </c>
      <c r="V29" s="32">
        <v>41379032</v>
      </c>
      <c r="W29" s="33">
        <v>71.141515624999997</v>
      </c>
      <c r="X29" s="33">
        <v>74.899956250000002</v>
      </c>
      <c r="Y29" s="33">
        <v>37.334449999999997</v>
      </c>
      <c r="Z29" s="33">
        <v>39.404759374999998</v>
      </c>
      <c r="AA29" s="33">
        <v>38.75755625</v>
      </c>
      <c r="AB29" s="34">
        <v>2749.49</v>
      </c>
      <c r="AC29" s="34">
        <v>0</v>
      </c>
      <c r="AD29" s="34">
        <v>72.147000000000006</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5.7073274999999999</v>
      </c>
      <c r="J30" s="21">
        <f t="shared" si="1"/>
        <v>1.62159043945947E-2</v>
      </c>
      <c r="K30" s="21">
        <f t="shared" si="2"/>
        <v>9.8549437384738373E-3</v>
      </c>
      <c r="L30" s="21">
        <f t="shared" si="3"/>
        <v>6.1517883453449237E-3</v>
      </c>
      <c r="M30" s="21">
        <f t="shared" si="4"/>
        <v>6.3609606561208622E-3</v>
      </c>
      <c r="N30" s="18">
        <f t="shared" si="5"/>
        <v>3699768</v>
      </c>
      <c r="O30" s="21">
        <v>-12</v>
      </c>
      <c r="P30" s="22">
        <v>84256321</v>
      </c>
      <c r="Q30" s="22">
        <v>2633010.03125</v>
      </c>
      <c r="R30" s="22">
        <v>31474.3125</v>
      </c>
      <c r="S30" s="23">
        <v>6087816</v>
      </c>
      <c r="T30" s="23">
        <v>2309520</v>
      </c>
      <c r="U30" s="23">
        <v>1390248</v>
      </c>
      <c r="V30" s="23">
        <v>2388048</v>
      </c>
      <c r="W30" s="24">
        <v>73.455471875000001</v>
      </c>
      <c r="X30" s="24">
        <v>75.656628124999997</v>
      </c>
      <c r="Y30" s="24">
        <v>34.718565624999997</v>
      </c>
      <c r="Z30" s="24">
        <v>42.123181250000002</v>
      </c>
      <c r="AA30" s="24">
        <v>43.806659375000002</v>
      </c>
      <c r="AB30" s="25">
        <v>6578.26</v>
      </c>
      <c r="AC30" s="25">
        <v>0</v>
      </c>
      <c r="AD30" s="25">
        <v>232.57</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8.1681150000000002</v>
      </c>
      <c r="J31" s="12">
        <f t="shared" si="1"/>
        <v>2.3207599690758043E-2</v>
      </c>
      <c r="K31" s="12">
        <f t="shared" si="2"/>
        <v>1.2125729084156026E-2</v>
      </c>
      <c r="L31" s="12">
        <f t="shared" si="3"/>
        <v>8.4225736910271114E-3</v>
      </c>
      <c r="M31" s="12">
        <f t="shared" si="4"/>
        <v>1.1081870606602019E-2</v>
      </c>
      <c r="N31" s="54">
        <f t="shared" si="5"/>
        <v>4552272</v>
      </c>
      <c r="O31" s="12">
        <v>-12</v>
      </c>
      <c r="P31" s="13">
        <v>89796795</v>
      </c>
      <c r="Q31" s="13">
        <v>2806149.84375</v>
      </c>
      <c r="R31" s="13">
        <v>39729</v>
      </c>
      <c r="S31" s="14">
        <v>8712656</v>
      </c>
      <c r="T31" s="14">
        <v>3162024</v>
      </c>
      <c r="U31" s="14">
        <v>1390248</v>
      </c>
      <c r="V31" s="14">
        <v>4160384</v>
      </c>
      <c r="W31" s="15">
        <v>75.159853124999998</v>
      </c>
      <c r="X31" s="15">
        <v>77.549975000000003</v>
      </c>
      <c r="Y31" s="15">
        <v>36.649956250000002</v>
      </c>
      <c r="Z31" s="15">
        <v>42.642428125000002</v>
      </c>
      <c r="AA31" s="15">
        <v>45.044059375000003</v>
      </c>
      <c r="AB31" s="16">
        <v>6772.75</v>
      </c>
      <c r="AC31" s="16">
        <v>0</v>
      </c>
      <c r="AD31" s="16">
        <v>240.286</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12.648225</v>
      </c>
      <c r="J32" s="21">
        <f t="shared" si="1"/>
        <v>3.5936680935397966E-2</v>
      </c>
      <c r="K32" s="21">
        <f t="shared" si="2"/>
        <v>1.5403635635206228E-2</v>
      </c>
      <c r="L32" s="21">
        <f t="shared" si="3"/>
        <v>1.1700480242077314E-2</v>
      </c>
      <c r="M32" s="21">
        <f t="shared" si="4"/>
        <v>2.0533045300191739E-2</v>
      </c>
      <c r="N32" s="18">
        <f t="shared" si="5"/>
        <v>5782872</v>
      </c>
      <c r="O32" s="21">
        <v>-12</v>
      </c>
      <c r="P32" s="22">
        <v>91551049</v>
      </c>
      <c r="Q32" s="22">
        <v>2860970.28125</v>
      </c>
      <c r="R32" s="22">
        <v>42562.1875</v>
      </c>
      <c r="S32" s="23">
        <v>13491440</v>
      </c>
      <c r="T32" s="23">
        <v>4392624</v>
      </c>
      <c r="U32" s="23">
        <v>1390248</v>
      </c>
      <c r="V32" s="23">
        <v>7708568</v>
      </c>
      <c r="W32" s="24">
        <v>76.444221874999997</v>
      </c>
      <c r="X32" s="24">
        <v>79.128053124999994</v>
      </c>
      <c r="Y32" s="24">
        <v>38.397778125000002</v>
      </c>
      <c r="Z32" s="24">
        <v>43.18509375</v>
      </c>
      <c r="AA32" s="24">
        <v>46.227168749999997</v>
      </c>
      <c r="AB32" s="25">
        <v>7035.18</v>
      </c>
      <c r="AC32" s="25">
        <v>0</v>
      </c>
      <c r="AD32" s="25">
        <v>252.358</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21.173100000000002</v>
      </c>
      <c r="J33" s="12">
        <f t="shared" si="1"/>
        <v>6.0157922484243814E-2</v>
      </c>
      <c r="K33" s="12">
        <f t="shared" si="2"/>
        <v>2.0888314326807107E-2</v>
      </c>
      <c r="L33" s="12">
        <f t="shared" si="3"/>
        <v>1.7185158933678193E-2</v>
      </c>
      <c r="M33" s="12">
        <f t="shared" si="4"/>
        <v>3.9269608157436707E-2</v>
      </c>
      <c r="N33" s="54">
        <f t="shared" si="5"/>
        <v>7841944</v>
      </c>
      <c r="O33" s="12">
        <v>-12</v>
      </c>
      <c r="P33" s="13">
        <v>93835548</v>
      </c>
      <c r="Q33" s="13">
        <v>2932360.875</v>
      </c>
      <c r="R33" s="13">
        <v>47386.6875</v>
      </c>
      <c r="S33" s="14">
        <v>22584640</v>
      </c>
      <c r="T33" s="14">
        <v>6451696</v>
      </c>
      <c r="U33" s="14">
        <v>1390248</v>
      </c>
      <c r="V33" s="14">
        <v>14742696</v>
      </c>
      <c r="W33" s="15">
        <v>77.592784374999994</v>
      </c>
      <c r="X33" s="15">
        <v>80.318431250000003</v>
      </c>
      <c r="Y33" s="15">
        <v>39.997946874999997</v>
      </c>
      <c r="Z33" s="15">
        <v>43.895753124999999</v>
      </c>
      <c r="AA33" s="15">
        <v>47.812168749999998</v>
      </c>
      <c r="AB33" s="16">
        <v>7597.95</v>
      </c>
      <c r="AC33" s="16">
        <v>0</v>
      </c>
      <c r="AD33" s="16">
        <v>246.65</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v>
      </c>
      <c r="J34" s="40">
        <f t="shared" si="1"/>
        <v>0.11329322984521183</v>
      </c>
      <c r="K34" s="40">
        <f t="shared" si="2"/>
        <v>3.3539701781197535E-2</v>
      </c>
      <c r="L34" s="40">
        <f t="shared" si="3"/>
        <v>2.6117238528398531E-2</v>
      </c>
      <c r="M34" s="40">
        <f t="shared" si="4"/>
        <v>7.9753528064014298E-2</v>
      </c>
      <c r="N34" s="37">
        <f t="shared" si="5"/>
        <v>12591560</v>
      </c>
      <c r="O34" s="40">
        <v>-12</v>
      </c>
      <c r="P34" s="41">
        <v>91937439</v>
      </c>
      <c r="Q34" s="41">
        <v>2873044.96875</v>
      </c>
      <c r="R34" s="41">
        <v>18769.40625</v>
      </c>
      <c r="S34" s="42">
        <v>42532832</v>
      </c>
      <c r="T34" s="42">
        <v>9805000</v>
      </c>
      <c r="U34" s="42">
        <v>2786560</v>
      </c>
      <c r="V34" s="42">
        <v>29941272</v>
      </c>
      <c r="W34" s="43">
        <v>78.522456250000005</v>
      </c>
      <c r="X34" s="43">
        <v>81.994349999999997</v>
      </c>
      <c r="Y34" s="43">
        <v>41.497012499999997</v>
      </c>
      <c r="Z34" s="43">
        <v>44.695806249999997</v>
      </c>
      <c r="AA34" s="43">
        <v>49.229349999999997</v>
      </c>
      <c r="AB34" s="44">
        <v>8038.09</v>
      </c>
      <c r="AC34" s="44">
        <v>0</v>
      </c>
      <c r="AD34" s="44">
        <v>222.55699999999999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6.0666225000000003</v>
      </c>
      <c r="J35" s="12">
        <f t="shared" si="1"/>
        <v>1.9421503102086984E-2</v>
      </c>
      <c r="K35" s="12">
        <f t="shared" si="2"/>
        <v>1.140670530562155E-2</v>
      </c>
      <c r="L35" s="12">
        <f t="shared" si="3"/>
        <v>6.982235929167877E-3</v>
      </c>
      <c r="M35" s="12">
        <f t="shared" si="4"/>
        <v>8.0147977964654341E-3</v>
      </c>
      <c r="N35" s="54">
        <f t="shared" si="5"/>
        <v>3800608</v>
      </c>
      <c r="O35" s="12">
        <v>-12</v>
      </c>
      <c r="P35" s="13">
        <v>74921620</v>
      </c>
      <c r="Q35" s="13">
        <v>2341300.625</v>
      </c>
      <c r="R35" s="13">
        <v>30932.375</v>
      </c>
      <c r="S35" s="14">
        <v>6471064</v>
      </c>
      <c r="T35" s="14">
        <v>2326416</v>
      </c>
      <c r="U35" s="14">
        <v>1474192</v>
      </c>
      <c r="V35" s="14">
        <v>2670456</v>
      </c>
      <c r="W35" s="15">
        <v>73.203850000000003</v>
      </c>
      <c r="X35" s="15">
        <v>75.398612499999999</v>
      </c>
      <c r="Y35" s="15">
        <v>34.001468750000001</v>
      </c>
      <c r="Z35" s="15">
        <v>42.592678124999999</v>
      </c>
      <c r="AA35" s="15">
        <v>44.023828125000001</v>
      </c>
      <c r="AB35" s="16">
        <v>6434.01</v>
      </c>
      <c r="AC35" s="16">
        <v>0</v>
      </c>
      <c r="AD35" s="16">
        <v>215.8</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8.6890725</v>
      </c>
      <c r="J36" s="21">
        <f t="shared" si="1"/>
        <v>2.7816935784781189E-2</v>
      </c>
      <c r="K36" s="21">
        <f t="shared" si="2"/>
        <v>1.3988770256422142E-2</v>
      </c>
      <c r="L36" s="21">
        <f t="shared" si="3"/>
        <v>9.5643008799684674E-3</v>
      </c>
      <c r="M36" s="21">
        <f t="shared" si="4"/>
        <v>1.3828165528359047E-2</v>
      </c>
      <c r="N36" s="18">
        <f t="shared" si="5"/>
        <v>4660928</v>
      </c>
      <c r="O36" s="21">
        <v>-12</v>
      </c>
      <c r="P36" s="22">
        <v>79893061</v>
      </c>
      <c r="Q36" s="22">
        <v>2496658.15625</v>
      </c>
      <c r="R36" s="22">
        <v>39014.28125</v>
      </c>
      <c r="S36" s="23">
        <v>9268344</v>
      </c>
      <c r="T36" s="23">
        <v>3186736</v>
      </c>
      <c r="U36" s="23">
        <v>1474192</v>
      </c>
      <c r="V36" s="23">
        <v>4607416</v>
      </c>
      <c r="W36" s="24">
        <v>74.932321875</v>
      </c>
      <c r="X36" s="24">
        <v>77.357500000000002</v>
      </c>
      <c r="Y36" s="24">
        <v>36.099331249999999</v>
      </c>
      <c r="Z36" s="24">
        <v>43.207515624999999</v>
      </c>
      <c r="AA36" s="24">
        <v>45.354918750000003</v>
      </c>
      <c r="AB36" s="25">
        <v>6729.05</v>
      </c>
      <c r="AC36" s="25">
        <v>0</v>
      </c>
      <c r="AD36" s="25">
        <v>233.27199999999999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13.2777975</v>
      </c>
      <c r="J37" s="12">
        <f t="shared" si="1"/>
        <v>4.2507142208886878E-2</v>
      </c>
      <c r="K37" s="12">
        <f t="shared" si="2"/>
        <v>1.7698069588013007E-2</v>
      </c>
      <c r="L37" s="12">
        <f t="shared" si="3"/>
        <v>1.3273600211559333E-2</v>
      </c>
      <c r="M37" s="12">
        <f t="shared" si="4"/>
        <v>2.4809072620873868E-2</v>
      </c>
      <c r="N37" s="54">
        <f t="shared" si="5"/>
        <v>5896832</v>
      </c>
      <c r="O37" s="12">
        <v>-12</v>
      </c>
      <c r="P37" s="13">
        <v>81688385</v>
      </c>
      <c r="Q37" s="13">
        <v>2552762.03125</v>
      </c>
      <c r="R37" s="13">
        <v>42067.1875</v>
      </c>
      <c r="S37" s="14">
        <v>14162984</v>
      </c>
      <c r="T37" s="14">
        <v>4422640</v>
      </c>
      <c r="U37" s="14">
        <v>1474192</v>
      </c>
      <c r="V37" s="14">
        <v>8266152</v>
      </c>
      <c r="W37" s="15">
        <v>76.246631249999993</v>
      </c>
      <c r="X37" s="15">
        <v>78.965353124999993</v>
      </c>
      <c r="Y37" s="15">
        <v>37.939921875000003</v>
      </c>
      <c r="Z37" s="15">
        <v>43.769646874999999</v>
      </c>
      <c r="AA37" s="15">
        <v>46.505328124999998</v>
      </c>
      <c r="AB37" s="16">
        <v>6589.74</v>
      </c>
      <c r="AC37" s="16">
        <v>0</v>
      </c>
      <c r="AD37" s="16">
        <v>223.369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22.348140000000001</v>
      </c>
      <c r="J38" s="21">
        <f t="shared" si="1"/>
        <v>7.1544664322837667E-2</v>
      </c>
      <c r="K38" s="21">
        <f t="shared" si="2"/>
        <v>2.3929384173157372E-2</v>
      </c>
      <c r="L38" s="21">
        <f t="shared" si="3"/>
        <v>1.9504914796703698E-2</v>
      </c>
      <c r="M38" s="21">
        <f t="shared" si="4"/>
        <v>4.7615280149680292E-2</v>
      </c>
      <c r="N38" s="18">
        <f t="shared" si="5"/>
        <v>7973048</v>
      </c>
      <c r="O38" s="21">
        <v>-12</v>
      </c>
      <c r="P38" s="22">
        <v>83757654</v>
      </c>
      <c r="Q38" s="22">
        <v>2617426.6875</v>
      </c>
      <c r="R38" s="22">
        <v>46922.8125</v>
      </c>
      <c r="S38" s="23">
        <v>23838016</v>
      </c>
      <c r="T38" s="23">
        <v>6498856</v>
      </c>
      <c r="U38" s="23">
        <v>1474192</v>
      </c>
      <c r="V38" s="23">
        <v>15864968</v>
      </c>
      <c r="W38" s="24">
        <v>77.429118750000001</v>
      </c>
      <c r="X38" s="24">
        <v>80.183162499999995</v>
      </c>
      <c r="Y38" s="24">
        <v>39.696946875000002</v>
      </c>
      <c r="Z38" s="24">
        <v>44.538428125000003</v>
      </c>
      <c r="AA38" s="24">
        <v>47.799215625000002</v>
      </c>
      <c r="AB38" s="25">
        <v>6819.83</v>
      </c>
      <c r="AC38" s="25">
        <v>0</v>
      </c>
      <c r="AD38" s="25">
        <v>221.36699999999999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41.256689999999999</v>
      </c>
      <c r="J39" s="30">
        <f t="shared" si="1"/>
        <v>0.13207792850417857</v>
      </c>
      <c r="K39" s="30">
        <f t="shared" si="2"/>
        <v>3.8445107930371966E-2</v>
      </c>
      <c r="L39" s="30">
        <f t="shared" si="3"/>
        <v>2.9609230766949792E-2</v>
      </c>
      <c r="M39" s="30">
        <f t="shared" si="4"/>
        <v>9.3632820573806605E-2</v>
      </c>
      <c r="N39" s="27">
        <f t="shared" si="5"/>
        <v>12809552</v>
      </c>
      <c r="O39" s="30">
        <v>-12</v>
      </c>
      <c r="P39" s="31">
        <v>81959857</v>
      </c>
      <c r="Q39" s="31">
        <v>2561245.53125</v>
      </c>
      <c r="R39" s="31">
        <v>18607.15625</v>
      </c>
      <c r="S39" s="32">
        <v>44007136</v>
      </c>
      <c r="T39" s="32">
        <v>9865520</v>
      </c>
      <c r="U39" s="32">
        <v>2944032</v>
      </c>
      <c r="V39" s="32">
        <v>31197584</v>
      </c>
      <c r="W39" s="33">
        <v>78.310249999999996</v>
      </c>
      <c r="X39" s="33">
        <v>81.8757375</v>
      </c>
      <c r="Y39" s="33">
        <v>41.294162499999999</v>
      </c>
      <c r="Z39" s="33">
        <v>45.540025</v>
      </c>
      <c r="AA39" s="33">
        <v>49.134646875000001</v>
      </c>
      <c r="AB39" s="34">
        <v>7297.36</v>
      </c>
      <c r="AC39" s="34">
        <v>0</v>
      </c>
      <c r="AD39" s="34">
        <v>221.446</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4.4208514333014801E-2</v>
      </c>
      <c r="K40" s="48">
        <f>AVERAGE(K5:K24)</f>
        <v>1.3836062747770161E-2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7.9821381031731642E-2</v>
      </c>
      <c r="K41" s="48">
        <f>AVERAGE(K25:K29)</f>
        <v>1.2343138933786428E-2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5.4217951127297756E-2</v>
      </c>
      <c r="K42" s="48">
        <f>AVERAGE(K30:K39)</f>
        <v>1.9728036181942677E-2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5.2155905802626641E-2</v>
      </c>
      <c r="K43" s="48">
        <f>AVERAGE(K5:K39)</f>
        <v>1.5306208898393207E-2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134689.11000000002</v>
      </c>
      <c r="AC44" s="49">
        <f>SUM(AC5:AC24,AC25:AC29,AC30:AC39)</f>
        <v>0</v>
      </c>
      <c r="AD44" s="49">
        <f>SUM(AD5:AD24,AD25:AD29,AD30:AD39)</f>
        <v>4167.6340000000009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3418.872156437465</v>
      </c>
      <c r="AC46" s="49" t="e">
        <f>GEOMEAN(AC5:AC24,AC25:AC29,AC30:AC39)</f>
        <v>#NUM!</v>
      </c>
      <c r="AD46" s="49">
        <f>GEOMEAN(AD5:AD24,AD25:AD29,AD30:AD39)</f>
        <v>102.09883224666503</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I20" sqref="AI2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ALL_master+r170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t="s">
        <v>571</v>
      </c>
      <c r="V5" s="15" t="s">
        <v>571</v>
      </c>
      <c r="W5" s="15" t="s">
        <v>571</v>
      </c>
      <c r="X5" s="15" t="s">
        <v>571</v>
      </c>
      <c r="Y5" s="15" t="s">
        <v>571</v>
      </c>
      <c r="Z5" s="16">
        <v>6007.07</v>
      </c>
      <c r="AA5" s="16">
        <v>0</v>
      </c>
      <c r="AB5" s="16">
        <v>62.944000000000003</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t="s">
        <v>571</v>
      </c>
      <c r="V6" s="24" t="s">
        <v>571</v>
      </c>
      <c r="W6" s="24" t="s">
        <v>571</v>
      </c>
      <c r="X6" s="24" t="s">
        <v>571</v>
      </c>
      <c r="Y6" s="24" t="s">
        <v>571</v>
      </c>
      <c r="Z6" s="25">
        <v>5973.98</v>
      </c>
      <c r="AA6" s="25">
        <v>0</v>
      </c>
      <c r="AB6" s="25">
        <v>62.533999999999999</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t="s">
        <v>571</v>
      </c>
      <c r="V7" s="15" t="s">
        <v>571</v>
      </c>
      <c r="W7" s="15" t="s">
        <v>571</v>
      </c>
      <c r="X7" s="15" t="s">
        <v>571</v>
      </c>
      <c r="Y7" s="15" t="s">
        <v>571</v>
      </c>
      <c r="Z7" s="16">
        <v>8246.09</v>
      </c>
      <c r="AA7" s="16">
        <v>0</v>
      </c>
      <c r="AB7" s="16">
        <v>80.084000000000003</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t="s">
        <v>571</v>
      </c>
      <c r="V8" s="43" t="s">
        <v>571</v>
      </c>
      <c r="W8" s="43" t="s">
        <v>571</v>
      </c>
      <c r="X8" s="43" t="s">
        <v>571</v>
      </c>
      <c r="Y8" s="43" t="s">
        <v>571</v>
      </c>
      <c r="Z8" s="44">
        <v>6750.9</v>
      </c>
      <c r="AA8" s="44">
        <v>0</v>
      </c>
      <c r="AB8" s="44">
        <v>71.043999999999997</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t="s">
        <v>571</v>
      </c>
      <c r="V9" s="33" t="s">
        <v>571</v>
      </c>
      <c r="W9" s="33" t="s">
        <v>571</v>
      </c>
      <c r="X9" s="33" t="s">
        <v>571</v>
      </c>
      <c r="Y9" s="33" t="s">
        <v>571</v>
      </c>
      <c r="Z9" s="34">
        <v>6262.33</v>
      </c>
      <c r="AA9" s="34">
        <v>0</v>
      </c>
      <c r="AB9" s="34">
        <v>68.462999999999994</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t="s">
        <v>571</v>
      </c>
      <c r="V10" s="24" t="s">
        <v>571</v>
      </c>
      <c r="W10" s="24" t="s">
        <v>571</v>
      </c>
      <c r="X10" s="24" t="s">
        <v>571</v>
      </c>
      <c r="Y10" s="24" t="s">
        <v>571</v>
      </c>
      <c r="Z10" s="25">
        <v>21107.5</v>
      </c>
      <c r="AA10" s="25">
        <v>0</v>
      </c>
      <c r="AB10" s="25">
        <v>240.82</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t="s">
        <v>571</v>
      </c>
      <c r="V11" s="33" t="s">
        <v>571</v>
      </c>
      <c r="W11" s="33" t="s">
        <v>571</v>
      </c>
      <c r="X11" s="33" t="s">
        <v>571</v>
      </c>
      <c r="Y11" s="33" t="s">
        <v>571</v>
      </c>
      <c r="Z11" s="34">
        <v>19025.5</v>
      </c>
      <c r="AA11" s="34">
        <v>0</v>
      </c>
      <c r="AB11" s="34">
        <v>214.779</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73373.37</v>
      </c>
      <c r="AA16" s="49">
        <f>SUM(AA5:AA8,AA9:AA9,AA10:AA11)</f>
        <v>0</v>
      </c>
      <c r="AB16" s="49">
        <f>SUM(AB5:AB8,AB9:AB9,AB10:AB11)</f>
        <v>800.66799999999989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9063.4208615118423</v>
      </c>
      <c r="AA18" s="49" t="e">
        <f>GEOMEAN(AA5:AA8,AA9:AA9,AA10:AA11)</f>
        <v>#NUM!</v>
      </c>
      <c r="AB18" s="49">
        <f>GEOMEAN(AB5:AB8,AB9:AB9,AB10:AB11)</f>
        <v>96.741318143899619</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H36" sqref="AH36"/>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ALL_master+r170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t="s">
        <v>571</v>
      </c>
      <c r="V5" s="15" t="s">
        <v>571</v>
      </c>
      <c r="W5" s="15" t="s">
        <v>571</v>
      </c>
      <c r="X5" s="15" t="s">
        <v>571</v>
      </c>
      <c r="Y5" s="15" t="s">
        <v>571</v>
      </c>
      <c r="Z5" s="16">
        <v>7789.44</v>
      </c>
      <c r="AA5" s="16">
        <v>0</v>
      </c>
      <c r="AB5" s="16">
        <v>61.350999999999999</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t="s">
        <v>571</v>
      </c>
      <c r="V6" s="24" t="s">
        <v>571</v>
      </c>
      <c r="W6" s="24" t="s">
        <v>571</v>
      </c>
      <c r="X6" s="24" t="s">
        <v>571</v>
      </c>
      <c r="Y6" s="24" t="s">
        <v>571</v>
      </c>
      <c r="Z6" s="25">
        <v>9361.36</v>
      </c>
      <c r="AA6" s="25">
        <v>0</v>
      </c>
      <c r="AB6" s="25">
        <v>59.78</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t="s">
        <v>571</v>
      </c>
      <c r="V7" s="15" t="s">
        <v>571</v>
      </c>
      <c r="W7" s="15" t="s">
        <v>571</v>
      </c>
      <c r="X7" s="15" t="s">
        <v>571</v>
      </c>
      <c r="Y7" s="15" t="s">
        <v>571</v>
      </c>
      <c r="Z7" s="16">
        <v>10127.700000000001</v>
      </c>
      <c r="AA7" s="16">
        <v>0</v>
      </c>
      <c r="AB7" s="16">
        <v>83.834000000000003</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t="s">
        <v>571</v>
      </c>
      <c r="V8" s="43" t="s">
        <v>571</v>
      </c>
      <c r="W8" s="43" t="s">
        <v>571</v>
      </c>
      <c r="X8" s="43" t="s">
        <v>571</v>
      </c>
      <c r="Y8" s="43" t="s">
        <v>571</v>
      </c>
      <c r="Z8" s="44">
        <v>8178.24</v>
      </c>
      <c r="AA8" s="44">
        <v>0</v>
      </c>
      <c r="AB8" s="44">
        <v>69.192999999999998</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t="s">
        <v>571</v>
      </c>
      <c r="V9" s="33" t="s">
        <v>571</v>
      </c>
      <c r="W9" s="33" t="s">
        <v>571</v>
      </c>
      <c r="X9" s="33" t="s">
        <v>571</v>
      </c>
      <c r="Y9" s="33" t="s">
        <v>571</v>
      </c>
      <c r="Z9" s="34">
        <v>10035.799999999999</v>
      </c>
      <c r="AA9" s="34">
        <v>0</v>
      </c>
      <c r="AB9" s="34">
        <v>69.313000000000002</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t="s">
        <v>571</v>
      </c>
      <c r="V10" s="24" t="s">
        <v>571</v>
      </c>
      <c r="W10" s="24" t="s">
        <v>571</v>
      </c>
      <c r="X10" s="24" t="s">
        <v>571</v>
      </c>
      <c r="Y10" s="24" t="s">
        <v>571</v>
      </c>
      <c r="Z10" s="25">
        <v>33053</v>
      </c>
      <c r="AA10" s="25">
        <v>0</v>
      </c>
      <c r="AB10" s="25">
        <v>238.672</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t="s">
        <v>571</v>
      </c>
      <c r="V11" s="33" t="s">
        <v>571</v>
      </c>
      <c r="W11" s="33" t="s">
        <v>571</v>
      </c>
      <c r="X11" s="33" t="s">
        <v>571</v>
      </c>
      <c r="Y11" s="33" t="s">
        <v>571</v>
      </c>
      <c r="Z11" s="34">
        <v>34421.1</v>
      </c>
      <c r="AA11" s="34">
        <v>0</v>
      </c>
      <c r="AB11" s="34">
        <v>208.607</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112966.63999999998</v>
      </c>
      <c r="AA16" s="49">
        <f>SUM(AA5:AA8,AA9:AA9,AA10:AA11)</f>
        <v>0</v>
      </c>
      <c r="AB16" s="49">
        <f>SUM(AB5:AB8,AB9:AB9,AB10:AB11)</f>
        <v>790.75</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13176.513109947207</v>
      </c>
      <c r="AA18" s="49" t="e">
        <f>GEOMEAN(AA5:AA8,AA9:AA9,AA10:AA11)</f>
        <v>#NUM!</v>
      </c>
      <c r="AB18" s="49">
        <f>GEOMEAN(AB5:AB8,AB9:AB9,AB10:AB11)</f>
        <v>95.681787226130666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40" zoomScaleNormal="40" workbookViewId="0">
      <pane xSplit="2" ySplit="4" topLeftCell="C5" activePane="bottomRight" state="frozen"/>
      <selection pane="topRight" activeCell="C1" sqref="C1"/>
      <selection pane="bottomLeft" activeCell="A5" sqref="A5"/>
      <selection pane="bottomRight" activeCell="AM47" sqref="AM47"/>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ALL_master+r170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1.0503150000000001</v>
      </c>
      <c r="J5" s="12">
        <f t="shared" ref="J5:J39" si="1">IF(ISBLANK(S5),"·",S5/D5)</f>
        <v>4.7044004962477053E-3</v>
      </c>
      <c r="K5" s="12">
        <f t="shared" ref="K5:K39" si="2">IF(N5="","·",N5/D5)</f>
        <v>4.1058442913795828E-3</v>
      </c>
      <c r="L5" s="12">
        <f t="shared" ref="L5:L39" si="3">IF(T5="","·",T5/D5)</f>
        <v>2.6158700007341282E-3</v>
      </c>
      <c r="M5" s="12">
        <f t="shared" ref="M5:M39" si="4">IF(ISBLANK(V5),"·",V5/D5)</f>
        <v>5.9855620486812245E-4</v>
      </c>
      <c r="N5" s="54">
        <f t="shared" ref="N5:N39" si="5">IF(OR(ISBLANK(T5),ISBLANK(U5)),"",T5+U5)</f>
        <v>977792</v>
      </c>
      <c r="O5" s="12">
        <v>-12</v>
      </c>
      <c r="P5" s="13">
        <v>23680630</v>
      </c>
      <c r="Q5" s="13">
        <v>740019.6875</v>
      </c>
      <c r="R5" s="13">
        <v>17141.40625</v>
      </c>
      <c r="S5" s="14">
        <v>1120336</v>
      </c>
      <c r="T5" s="14">
        <v>622960</v>
      </c>
      <c r="U5" s="14">
        <v>354832</v>
      </c>
      <c r="V5" s="14">
        <v>142544</v>
      </c>
      <c r="W5" s="15">
        <v>66.890699999999995</v>
      </c>
      <c r="X5" s="15">
        <v>68.650359374999994</v>
      </c>
      <c r="Y5" s="15">
        <v>31.765556249999999</v>
      </c>
      <c r="Z5" s="15">
        <v>44.363862500000003</v>
      </c>
      <c r="AA5" s="15">
        <v>44.146759375000002</v>
      </c>
      <c r="AB5" s="16">
        <v>4837.01</v>
      </c>
      <c r="AC5" s="16">
        <v>0</v>
      </c>
      <c r="AD5" s="16">
        <v>62.957000000000001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1.357815</v>
      </c>
      <c r="J6" s="21">
        <f t="shared" si="1"/>
        <v>6.081704593205446E-3</v>
      </c>
      <c r="K6" s="21">
        <f t="shared" si="2"/>
        <v>4.9943398050487356E-3</v>
      </c>
      <c r="L6" s="21">
        <f t="shared" si="3"/>
        <v>3.5043655144032814E-3</v>
      </c>
      <c r="M6" s="21">
        <f t="shared" si="4"/>
        <v>1.0873647881567098E-3</v>
      </c>
      <c r="N6" s="18">
        <f t="shared" si="5"/>
        <v>1189384</v>
      </c>
      <c r="O6" s="21">
        <v>-12</v>
      </c>
      <c r="P6" s="22">
        <v>24702414</v>
      </c>
      <c r="Q6" s="22">
        <v>771950.4375</v>
      </c>
      <c r="R6" s="22">
        <v>20119.09375</v>
      </c>
      <c r="S6" s="23">
        <v>1448336</v>
      </c>
      <c r="T6" s="23">
        <v>834552</v>
      </c>
      <c r="U6" s="23">
        <v>354832</v>
      </c>
      <c r="V6" s="23">
        <v>258952</v>
      </c>
      <c r="W6" s="24">
        <v>68.540090625000005</v>
      </c>
      <c r="X6" s="24">
        <v>70.623687500000003</v>
      </c>
      <c r="Y6" s="24">
        <v>33.861856250000002</v>
      </c>
      <c r="Z6" s="24">
        <v>45.536799999999999</v>
      </c>
      <c r="AA6" s="24">
        <v>45.219496874999997</v>
      </c>
      <c r="AB6" s="25">
        <v>5112.83</v>
      </c>
      <c r="AC6" s="25">
        <v>0</v>
      </c>
      <c r="AD6" s="25">
        <v>65.141000000000005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1.85337</v>
      </c>
      <c r="J7" s="12">
        <f t="shared" si="1"/>
        <v>8.3013141274099755E-3</v>
      </c>
      <c r="K7" s="12">
        <f t="shared" si="2"/>
        <v>6.1132482163040631E-3</v>
      </c>
      <c r="L7" s="12">
        <f t="shared" si="3"/>
        <v>4.6232739256586086E-3</v>
      </c>
      <c r="M7" s="12">
        <f t="shared" si="4"/>
        <v>2.1880659111059128E-3</v>
      </c>
      <c r="N7" s="54">
        <f t="shared" si="5"/>
        <v>1455848</v>
      </c>
      <c r="O7" s="12">
        <v>-12</v>
      </c>
      <c r="P7" s="13">
        <v>24905347</v>
      </c>
      <c r="Q7" s="13">
        <v>778292.09375</v>
      </c>
      <c r="R7" s="13">
        <v>21199.78125</v>
      </c>
      <c r="S7" s="14">
        <v>1976928</v>
      </c>
      <c r="T7" s="14">
        <v>1101016</v>
      </c>
      <c r="U7" s="14">
        <v>354832</v>
      </c>
      <c r="V7" s="14">
        <v>521080</v>
      </c>
      <c r="W7" s="15">
        <v>69.828953124999998</v>
      </c>
      <c r="X7" s="15">
        <v>72.273296875</v>
      </c>
      <c r="Y7" s="15">
        <v>36.232234374999997</v>
      </c>
      <c r="Z7" s="15">
        <v>46.86059375</v>
      </c>
      <c r="AA7" s="15">
        <v>46.655374999999999</v>
      </c>
      <c r="AB7" s="16">
        <v>5378.02</v>
      </c>
      <c r="AC7" s="16">
        <v>0</v>
      </c>
      <c r="AD7" s="16">
        <v>67.025999999999996</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3.07002</v>
      </c>
      <c r="J8" s="21">
        <f t="shared" si="1"/>
        <v>1.3750735361763262E-2</v>
      </c>
      <c r="K8" s="21">
        <f t="shared" si="2"/>
        <v>8.8775647244639534E-3</v>
      </c>
      <c r="L8" s="21">
        <f t="shared" si="3"/>
        <v>7.3875904338184997E-3</v>
      </c>
      <c r="M8" s="21">
        <f t="shared" si="4"/>
        <v>4.8731706372993075E-3</v>
      </c>
      <c r="N8" s="18">
        <f t="shared" si="5"/>
        <v>2114160</v>
      </c>
      <c r="O8" s="21">
        <v>-12</v>
      </c>
      <c r="P8" s="22">
        <v>25897656</v>
      </c>
      <c r="Q8" s="22">
        <v>809301.75</v>
      </c>
      <c r="R8" s="22">
        <v>24484.625</v>
      </c>
      <c r="S8" s="23">
        <v>3274688</v>
      </c>
      <c r="T8" s="23">
        <v>1759328</v>
      </c>
      <c r="U8" s="23">
        <v>354832</v>
      </c>
      <c r="V8" s="23">
        <v>1160528</v>
      </c>
      <c r="W8" s="24">
        <v>70.899731250000002</v>
      </c>
      <c r="X8" s="24">
        <v>73.464078125</v>
      </c>
      <c r="Y8" s="24">
        <v>38.680196875</v>
      </c>
      <c r="Z8" s="24">
        <v>48.181537499999997</v>
      </c>
      <c r="AA8" s="24">
        <v>48.270240625</v>
      </c>
      <c r="AB8" s="25">
        <v>5759.06</v>
      </c>
      <c r="AC8" s="25">
        <v>0</v>
      </c>
      <c r="AD8" s="25">
        <v>69.685000000000002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6.2777849999999997</v>
      </c>
      <c r="J9" s="30">
        <f t="shared" si="1"/>
        <v>2.8118435773397885E-2</v>
      </c>
      <c r="K9" s="30">
        <f t="shared" si="2"/>
        <v>1.5549326548475807E-2</v>
      </c>
      <c r="L9" s="30">
        <f t="shared" si="3"/>
        <v>1.2144698006361978E-2</v>
      </c>
      <c r="M9" s="30">
        <f t="shared" si="4"/>
        <v>1.2569109224922078E-2</v>
      </c>
      <c r="N9" s="27">
        <f t="shared" si="5"/>
        <v>3703016</v>
      </c>
      <c r="O9" s="30">
        <v>-12</v>
      </c>
      <c r="P9" s="31">
        <v>24922106</v>
      </c>
      <c r="Q9" s="31">
        <v>778815.8125</v>
      </c>
      <c r="R9" s="31">
        <v>10667.3125</v>
      </c>
      <c r="S9" s="32">
        <v>6696304</v>
      </c>
      <c r="T9" s="32">
        <v>2892216</v>
      </c>
      <c r="U9" s="32">
        <v>810800</v>
      </c>
      <c r="V9" s="32">
        <v>2993288</v>
      </c>
      <c r="W9" s="33">
        <v>71.947374999999994</v>
      </c>
      <c r="X9" s="33">
        <v>75.248443750000007</v>
      </c>
      <c r="Y9" s="33">
        <v>41.117606250000001</v>
      </c>
      <c r="Z9" s="33">
        <v>49.591459374999999</v>
      </c>
      <c r="AA9" s="33">
        <v>49.688175000000001</v>
      </c>
      <c r="AB9" s="34">
        <v>6302.4</v>
      </c>
      <c r="AC9" s="34">
        <v>0</v>
      </c>
      <c r="AD9" s="34">
        <v>66.95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1.9551674999999999</v>
      </c>
      <c r="J10" s="21">
        <f t="shared" si="1"/>
        <v>9.5612512604343232E-3</v>
      </c>
      <c r="K10" s="21">
        <f t="shared" si="2"/>
        <v>7.1500418102332279E-3</v>
      </c>
      <c r="L10" s="21">
        <f t="shared" si="3"/>
        <v>4.1387990996310207E-3</v>
      </c>
      <c r="M10" s="21">
        <f t="shared" si="4"/>
        <v>2.4112094502010952E-3</v>
      </c>
      <c r="N10" s="18">
        <f t="shared" si="5"/>
        <v>1559576</v>
      </c>
      <c r="O10" s="21">
        <v>-12</v>
      </c>
      <c r="P10" s="22">
        <v>21086040</v>
      </c>
      <c r="Q10" s="22">
        <v>658938.75</v>
      </c>
      <c r="R10" s="22">
        <v>19260.5625</v>
      </c>
      <c r="S10" s="23">
        <v>2085512</v>
      </c>
      <c r="T10" s="23">
        <v>902760</v>
      </c>
      <c r="U10" s="23">
        <v>656816</v>
      </c>
      <c r="V10" s="23">
        <v>525936</v>
      </c>
      <c r="W10" s="24">
        <v>65.991465625000004</v>
      </c>
      <c r="X10" s="24">
        <v>67.831256249999996</v>
      </c>
      <c r="Y10" s="24">
        <v>31.010596875000001</v>
      </c>
      <c r="Z10" s="24">
        <v>38.7729</v>
      </c>
      <c r="AA10" s="24">
        <v>30.084299999999999</v>
      </c>
      <c r="AB10" s="25">
        <v>5742.24</v>
      </c>
      <c r="AC10" s="25">
        <v>0</v>
      </c>
      <c r="AD10" s="25">
        <v>62.921999999999997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2.6740724999999999</v>
      </c>
      <c r="J11" s="12">
        <f t="shared" si="1"/>
        <v>1.3076874007530178E-2</v>
      </c>
      <c r="K11" s="12">
        <f t="shared" si="2"/>
        <v>8.8024805947143833E-3</v>
      </c>
      <c r="L11" s="12">
        <f t="shared" si="3"/>
        <v>5.7912378841121761E-3</v>
      </c>
      <c r="M11" s="12">
        <f t="shared" si="4"/>
        <v>4.274393412815795E-3</v>
      </c>
      <c r="N11" s="54">
        <f t="shared" si="5"/>
        <v>1920008</v>
      </c>
      <c r="O11" s="12">
        <v>-12</v>
      </c>
      <c r="P11" s="13">
        <v>22233773</v>
      </c>
      <c r="Q11" s="13">
        <v>694805.40625</v>
      </c>
      <c r="R11" s="13">
        <v>23243.59375</v>
      </c>
      <c r="S11" s="14">
        <v>2852344</v>
      </c>
      <c r="T11" s="14">
        <v>1263192</v>
      </c>
      <c r="U11" s="14">
        <v>656816</v>
      </c>
      <c r="V11" s="14">
        <v>932336</v>
      </c>
      <c r="W11" s="15">
        <v>67.661562500000002</v>
      </c>
      <c r="X11" s="15">
        <v>69.732106250000001</v>
      </c>
      <c r="Y11" s="15">
        <v>32.853384374999997</v>
      </c>
      <c r="Z11" s="15">
        <v>39.664115625000001</v>
      </c>
      <c r="AA11" s="15">
        <v>32.264106249999998</v>
      </c>
      <c r="AB11" s="16">
        <v>6112.35</v>
      </c>
      <c r="AC11" s="16">
        <v>0</v>
      </c>
      <c r="AD11" s="16">
        <v>65.284999999999997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3.8241299999999998</v>
      </c>
      <c r="J12" s="21">
        <f t="shared" si="1"/>
        <v>1.8700938810902241E-2</v>
      </c>
      <c r="K12" s="21">
        <f t="shared" si="2"/>
        <v>1.1292068472634132E-2</v>
      </c>
      <c r="L12" s="21">
        <f t="shared" si="3"/>
        <v>8.2808257620319257E-3</v>
      </c>
      <c r="M12" s="21">
        <f t="shared" si="4"/>
        <v>7.4088703382681085E-3</v>
      </c>
      <c r="N12" s="18">
        <f t="shared" si="5"/>
        <v>2463040</v>
      </c>
      <c r="O12" s="21">
        <v>-12</v>
      </c>
      <c r="P12" s="22">
        <v>22534858</v>
      </c>
      <c r="Q12" s="22">
        <v>704214.3125</v>
      </c>
      <c r="R12" s="22">
        <v>24785.78125</v>
      </c>
      <c r="S12" s="23">
        <v>4079072</v>
      </c>
      <c r="T12" s="23">
        <v>1806224</v>
      </c>
      <c r="U12" s="23">
        <v>656816</v>
      </c>
      <c r="V12" s="23">
        <v>1616032</v>
      </c>
      <c r="W12" s="24">
        <v>68.992715625000002</v>
      </c>
      <c r="X12" s="24">
        <v>71.376675000000006</v>
      </c>
      <c r="Y12" s="24">
        <v>34.856943749999999</v>
      </c>
      <c r="Z12" s="24">
        <v>40.641746875000003</v>
      </c>
      <c r="AA12" s="24">
        <v>34.131718749999997</v>
      </c>
      <c r="AB12" s="25">
        <v>6408.46</v>
      </c>
      <c r="AC12" s="25">
        <v>0</v>
      </c>
      <c r="AD12" s="25">
        <v>63.698999999999998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6.2072775</v>
      </c>
      <c r="J13" s="12">
        <f t="shared" si="1"/>
        <v>3.0355117820207535E-2</v>
      </c>
      <c r="K13" s="12">
        <f t="shared" si="2"/>
        <v>1.5894793043586281E-2</v>
      </c>
      <c r="L13" s="12">
        <f t="shared" si="3"/>
        <v>1.2883550332984075E-2</v>
      </c>
      <c r="M13" s="12">
        <f t="shared" si="4"/>
        <v>1.4460324776621252E-2</v>
      </c>
      <c r="N13" s="54">
        <f t="shared" si="5"/>
        <v>3466992</v>
      </c>
      <c r="O13" s="12">
        <v>-12</v>
      </c>
      <c r="P13" s="13">
        <v>23332463</v>
      </c>
      <c r="Q13" s="13">
        <v>729139.46875</v>
      </c>
      <c r="R13" s="13">
        <v>28127.375</v>
      </c>
      <c r="S13" s="14">
        <v>6621096</v>
      </c>
      <c r="T13" s="14">
        <v>2810176</v>
      </c>
      <c r="U13" s="14">
        <v>656816</v>
      </c>
      <c r="V13" s="14">
        <v>3154104</v>
      </c>
      <c r="W13" s="15">
        <v>70.063959374999996</v>
      </c>
      <c r="X13" s="15">
        <v>72.573878124999993</v>
      </c>
      <c r="Y13" s="15">
        <v>37.055909374999999</v>
      </c>
      <c r="Z13" s="15">
        <v>41.692556250000003</v>
      </c>
      <c r="AA13" s="15">
        <v>36.091762500000002</v>
      </c>
      <c r="AB13" s="16">
        <v>6925.64</v>
      </c>
      <c r="AC13" s="16">
        <v>0</v>
      </c>
      <c r="AD13" s="16">
        <v>67.417000000000002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12.257985</v>
      </c>
      <c r="J14" s="40">
        <f t="shared" si="1"/>
        <v>5.9944569726959468E-2</v>
      </c>
      <c r="K14" s="40">
        <f t="shared" si="2"/>
        <v>2.6840081902706203E-2</v>
      </c>
      <c r="L14" s="40">
        <f t="shared" si="3"/>
        <v>2.0876499502052167E-2</v>
      </c>
      <c r="M14" s="40">
        <f t="shared" si="4"/>
        <v>3.3104487824253265E-2</v>
      </c>
      <c r="N14" s="37">
        <f t="shared" si="5"/>
        <v>5854392</v>
      </c>
      <c r="O14" s="40">
        <v>-12</v>
      </c>
      <c r="P14" s="41">
        <v>22139734</v>
      </c>
      <c r="Q14" s="41">
        <v>691866.6875</v>
      </c>
      <c r="R14" s="41">
        <v>13223.5625</v>
      </c>
      <c r="S14" s="42">
        <v>13075184</v>
      </c>
      <c r="T14" s="42">
        <v>4553608</v>
      </c>
      <c r="U14" s="42">
        <v>1300784</v>
      </c>
      <c r="V14" s="42">
        <v>7220792</v>
      </c>
      <c r="W14" s="43">
        <v>70.912853124999998</v>
      </c>
      <c r="X14" s="43">
        <v>74.668462500000004</v>
      </c>
      <c r="Y14" s="43">
        <v>39.450387499999998</v>
      </c>
      <c r="Z14" s="43">
        <v>42.979246875000001</v>
      </c>
      <c r="AA14" s="43">
        <v>38.255459375000001</v>
      </c>
      <c r="AB14" s="44">
        <v>7651.7</v>
      </c>
      <c r="AC14" s="44">
        <v>0</v>
      </c>
      <c r="AD14" s="44">
        <v>66.388999999999996</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1.5970575</v>
      </c>
      <c r="J15" s="12">
        <f t="shared" si="1"/>
        <v>5.2807885027849498E-3</v>
      </c>
      <c r="K15" s="12">
        <f t="shared" si="2"/>
        <v>4.465387401204844E-3</v>
      </c>
      <c r="L15" s="12">
        <f t="shared" si="3"/>
        <v>2.3801875586209036E-3</v>
      </c>
      <c r="M15" s="12">
        <f t="shared" si="4"/>
        <v>8.15401101580105E-4</v>
      </c>
      <c r="N15" s="54">
        <f t="shared" si="5"/>
        <v>1440488</v>
      </c>
      <c r="O15" s="12">
        <v>-12</v>
      </c>
      <c r="P15" s="13">
        <v>32443800</v>
      </c>
      <c r="Q15" s="13">
        <v>1013868.75</v>
      </c>
      <c r="R15" s="13">
        <v>31882.9375</v>
      </c>
      <c r="S15" s="14">
        <v>1703528</v>
      </c>
      <c r="T15" s="14">
        <v>767824</v>
      </c>
      <c r="U15" s="14">
        <v>672664</v>
      </c>
      <c r="V15" s="14">
        <v>263040</v>
      </c>
      <c r="W15" s="15">
        <v>66.312650000000005</v>
      </c>
      <c r="X15" s="15">
        <v>67.859537500000002</v>
      </c>
      <c r="Y15" s="15">
        <v>29.260481250000002</v>
      </c>
      <c r="Z15" s="15">
        <v>43.418965624999998</v>
      </c>
      <c r="AA15" s="15">
        <v>43.737568750000001</v>
      </c>
      <c r="AB15" s="16">
        <v>5432.89</v>
      </c>
      <c r="AC15" s="16">
        <v>0</v>
      </c>
      <c r="AD15" s="16">
        <v>86.552999999999997</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2.0986950000000002</v>
      </c>
      <c r="J16" s="21">
        <f t="shared" si="1"/>
        <v>6.9394899224682009E-3</v>
      </c>
      <c r="K16" s="21">
        <f t="shared" si="2"/>
        <v>5.4000483536821124E-3</v>
      </c>
      <c r="L16" s="21">
        <f t="shared" si="3"/>
        <v>3.314848511098172E-3</v>
      </c>
      <c r="M16" s="21">
        <f t="shared" si="4"/>
        <v>1.5394415687860887E-3</v>
      </c>
      <c r="N16" s="18">
        <f t="shared" si="5"/>
        <v>1742000</v>
      </c>
      <c r="O16" s="21">
        <v>-12</v>
      </c>
      <c r="P16" s="22">
        <v>33818275</v>
      </c>
      <c r="Q16" s="22">
        <v>1056821.09375</v>
      </c>
      <c r="R16" s="22">
        <v>36592</v>
      </c>
      <c r="S16" s="23">
        <v>2238608</v>
      </c>
      <c r="T16" s="23">
        <v>1069336</v>
      </c>
      <c r="U16" s="23">
        <v>672664</v>
      </c>
      <c r="V16" s="23">
        <v>496608</v>
      </c>
      <c r="W16" s="24">
        <v>68.049843749999994</v>
      </c>
      <c r="X16" s="24">
        <v>70.027878125000001</v>
      </c>
      <c r="Y16" s="24">
        <v>31.604271874999998</v>
      </c>
      <c r="Z16" s="24">
        <v>43.8971625</v>
      </c>
      <c r="AA16" s="24">
        <v>44.407940625000002</v>
      </c>
      <c r="AB16" s="25">
        <v>5656.09</v>
      </c>
      <c r="AC16" s="25">
        <v>0</v>
      </c>
      <c r="AD16" s="25">
        <v>90.391000000000005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2.9366099999999999</v>
      </c>
      <c r="J17" s="12">
        <f t="shared" si="1"/>
        <v>9.7101177165902358E-3</v>
      </c>
      <c r="K17" s="12">
        <f t="shared" si="2"/>
        <v>6.5385099829472545E-3</v>
      </c>
      <c r="L17" s="12">
        <f t="shared" si="3"/>
        <v>4.4533101403633141E-3</v>
      </c>
      <c r="M17" s="12">
        <f t="shared" si="4"/>
        <v>3.1716077336429809E-3</v>
      </c>
      <c r="N17" s="54">
        <f t="shared" si="5"/>
        <v>2109256</v>
      </c>
      <c r="O17" s="12">
        <v>-12</v>
      </c>
      <c r="P17" s="13">
        <v>33775740</v>
      </c>
      <c r="Q17" s="13">
        <v>1055491.875</v>
      </c>
      <c r="R17" s="13">
        <v>37233.5</v>
      </c>
      <c r="S17" s="14">
        <v>3132384</v>
      </c>
      <c r="T17" s="14">
        <v>1436592</v>
      </c>
      <c r="U17" s="14">
        <v>672664</v>
      </c>
      <c r="V17" s="14">
        <v>1023128</v>
      </c>
      <c r="W17" s="15">
        <v>69.344262499999999</v>
      </c>
      <c r="X17" s="15">
        <v>71.826781249999996</v>
      </c>
      <c r="Y17" s="15">
        <v>33.948215625000003</v>
      </c>
      <c r="Z17" s="15">
        <v>45.19749375</v>
      </c>
      <c r="AA17" s="15">
        <v>45.675075</v>
      </c>
      <c r="AB17" s="16">
        <v>5938.09</v>
      </c>
      <c r="AC17" s="16">
        <v>0</v>
      </c>
      <c r="AD17" s="16">
        <v>90.572000000000003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5.2256549999999997</v>
      </c>
      <c r="J18" s="21">
        <f t="shared" si="1"/>
        <v>1.7279013963818264E-2</v>
      </c>
      <c r="K18" s="21">
        <f t="shared" si="2"/>
        <v>9.8231281429862378E-3</v>
      </c>
      <c r="L18" s="21">
        <f t="shared" si="3"/>
        <v>7.7379283004022966E-3</v>
      </c>
      <c r="M18" s="21">
        <f t="shared" si="4"/>
        <v>7.4558858208320254E-3</v>
      </c>
      <c r="N18" s="18">
        <f t="shared" si="5"/>
        <v>3168840</v>
      </c>
      <c r="O18" s="21">
        <v>-12</v>
      </c>
      <c r="P18" s="22">
        <v>34888350</v>
      </c>
      <c r="Q18" s="22">
        <v>1090260.9375</v>
      </c>
      <c r="R18" s="22">
        <v>41386.28125</v>
      </c>
      <c r="S18" s="23">
        <v>5574032</v>
      </c>
      <c r="T18" s="23">
        <v>2496176</v>
      </c>
      <c r="U18" s="23">
        <v>672664</v>
      </c>
      <c r="V18" s="23">
        <v>2405192</v>
      </c>
      <c r="W18" s="24">
        <v>70.533768749999993</v>
      </c>
      <c r="X18" s="24">
        <v>73.137540625</v>
      </c>
      <c r="Y18" s="24">
        <v>36.312578125000002</v>
      </c>
      <c r="Z18" s="24">
        <v>46.424765624999999</v>
      </c>
      <c r="AA18" s="24">
        <v>46.981949999999998</v>
      </c>
      <c r="AB18" s="25">
        <v>6408.2</v>
      </c>
      <c r="AC18" s="25">
        <v>0</v>
      </c>
      <c r="AD18" s="25">
        <v>93.39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11.294535</v>
      </c>
      <c r="J19" s="30">
        <f t="shared" si="1"/>
        <v>3.7346213628690395E-2</v>
      </c>
      <c r="K19" s="30">
        <f t="shared" si="2"/>
        <v>1.7294315134124678E-2</v>
      </c>
      <c r="L19" s="30">
        <f t="shared" si="3"/>
        <v>1.2755422597120458E-2</v>
      </c>
      <c r="M19" s="30">
        <f t="shared" si="4"/>
        <v>2.0051898494565717E-2</v>
      </c>
      <c r="N19" s="27">
        <f t="shared" si="5"/>
        <v>5578968</v>
      </c>
      <c r="O19" s="30">
        <v>-12</v>
      </c>
      <c r="P19" s="31">
        <v>32970337</v>
      </c>
      <c r="Q19" s="31">
        <v>1030323.03125</v>
      </c>
      <c r="R19" s="31">
        <v>17661.03125</v>
      </c>
      <c r="S19" s="32">
        <v>12047504</v>
      </c>
      <c r="T19" s="32">
        <v>4114768</v>
      </c>
      <c r="U19" s="32">
        <v>1464200</v>
      </c>
      <c r="V19" s="32">
        <v>6468536</v>
      </c>
      <c r="W19" s="33">
        <v>71.173196875000002</v>
      </c>
      <c r="X19" s="33">
        <v>75.079365624999994</v>
      </c>
      <c r="Y19" s="33">
        <v>38.666471874999999</v>
      </c>
      <c r="Z19" s="33">
        <v>48.187928124999999</v>
      </c>
      <c r="AA19" s="33">
        <v>48.830125000000002</v>
      </c>
      <c r="AB19" s="34">
        <v>7101.26</v>
      </c>
      <c r="AC19" s="34">
        <v>0</v>
      </c>
      <c r="AD19" s="34">
        <v>86.132000000000005</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1.9707749999999999</v>
      </c>
      <c r="J20" s="21">
        <f t="shared" si="1"/>
        <v>5.0330464862833523E-3</v>
      </c>
      <c r="K20" s="21">
        <f t="shared" si="2"/>
        <v>3.9144640194912995E-3</v>
      </c>
      <c r="L20" s="21">
        <f t="shared" si="3"/>
        <v>2.3105878694751371E-3</v>
      </c>
      <c r="M20" s="21">
        <f t="shared" si="4"/>
        <v>1.1185824667920531E-3</v>
      </c>
      <c r="N20" s="18">
        <f t="shared" si="5"/>
        <v>980976</v>
      </c>
      <c r="O20" s="21">
        <v>-12</v>
      </c>
      <c r="P20" s="22">
        <v>30507512</v>
      </c>
      <c r="Q20" s="22">
        <v>953359.75</v>
      </c>
      <c r="R20" s="22">
        <v>28910</v>
      </c>
      <c r="S20" s="23">
        <v>1261296</v>
      </c>
      <c r="T20" s="23">
        <v>579040</v>
      </c>
      <c r="U20" s="23">
        <v>401936</v>
      </c>
      <c r="V20" s="23">
        <v>280320</v>
      </c>
      <c r="W20" s="24">
        <v>67.312293749999995</v>
      </c>
      <c r="X20" s="24">
        <v>69.044571875000003</v>
      </c>
      <c r="Y20" s="24">
        <v>30.0128375</v>
      </c>
      <c r="Z20" s="24">
        <v>39.583578125000003</v>
      </c>
      <c r="AA20" s="24">
        <v>38.128253125000001</v>
      </c>
      <c r="AB20" s="25">
        <v>5429.69</v>
      </c>
      <c r="AC20" s="25">
        <v>0</v>
      </c>
      <c r="AD20" s="25">
        <v>77.527000000000001</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2.6503625</v>
      </c>
      <c r="J21" s="12">
        <f t="shared" si="1"/>
        <v>6.7686050756692985E-3</v>
      </c>
      <c r="K21" s="12">
        <f t="shared" si="2"/>
        <v>4.6648145012820304E-3</v>
      </c>
      <c r="L21" s="12">
        <f t="shared" si="3"/>
        <v>3.060938351265868E-3</v>
      </c>
      <c r="M21" s="12">
        <f t="shared" si="4"/>
        <v>2.1037905743872681E-3</v>
      </c>
      <c r="N21" s="54">
        <f t="shared" si="5"/>
        <v>1169016</v>
      </c>
      <c r="O21" s="12">
        <v>-12</v>
      </c>
      <c r="P21" s="13">
        <v>31613867</v>
      </c>
      <c r="Q21" s="13">
        <v>987933.34375</v>
      </c>
      <c r="R21" s="13">
        <v>33272.375</v>
      </c>
      <c r="S21" s="14">
        <v>1696232</v>
      </c>
      <c r="T21" s="14">
        <v>767080</v>
      </c>
      <c r="U21" s="14">
        <v>401936</v>
      </c>
      <c r="V21" s="14">
        <v>527216</v>
      </c>
      <c r="W21" s="15">
        <v>68.871990624999995</v>
      </c>
      <c r="X21" s="15">
        <v>70.994709374999999</v>
      </c>
      <c r="Y21" s="15">
        <v>31.528665624999999</v>
      </c>
      <c r="Z21" s="15">
        <v>40.524396875000001</v>
      </c>
      <c r="AA21" s="15">
        <v>39.261146875000001</v>
      </c>
      <c r="AB21" s="16">
        <v>5664.55</v>
      </c>
      <c r="AC21" s="16">
        <v>0</v>
      </c>
      <c r="AD21" s="16">
        <v>80.319000000000003</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4.0401875</v>
      </c>
      <c r="J22" s="21">
        <f t="shared" si="1"/>
        <v>1.0317997488704151E-2</v>
      </c>
      <c r="K22" s="21">
        <f t="shared" si="2"/>
        <v>5.5210855488494748E-3</v>
      </c>
      <c r="L22" s="21">
        <f t="shared" si="3"/>
        <v>3.9172093988333124E-3</v>
      </c>
      <c r="M22" s="21">
        <f t="shared" si="4"/>
        <v>4.7969119398546759E-3</v>
      </c>
      <c r="N22" s="18">
        <f t="shared" si="5"/>
        <v>1383600</v>
      </c>
      <c r="O22" s="21">
        <v>-12</v>
      </c>
      <c r="P22" s="22">
        <v>32647714</v>
      </c>
      <c r="Q22" s="22">
        <v>1020241.0625</v>
      </c>
      <c r="R22" s="22">
        <v>35487.59375</v>
      </c>
      <c r="S22" s="23">
        <v>2585720</v>
      </c>
      <c r="T22" s="23">
        <v>981664</v>
      </c>
      <c r="U22" s="23">
        <v>401936</v>
      </c>
      <c r="V22" s="23">
        <v>1202120</v>
      </c>
      <c r="W22" s="24">
        <v>70.076762500000001</v>
      </c>
      <c r="X22" s="24">
        <v>72.524424999999994</v>
      </c>
      <c r="Y22" s="24">
        <v>33.364156250000001</v>
      </c>
      <c r="Z22" s="24">
        <v>41.679375</v>
      </c>
      <c r="AA22" s="24">
        <v>40.449253124999998</v>
      </c>
      <c r="AB22" s="25">
        <v>5904.46</v>
      </c>
      <c r="AC22" s="25">
        <v>0</v>
      </c>
      <c r="AD22" s="25">
        <v>81.781999999999996</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7.5956250000000001</v>
      </c>
      <c r="J23" s="12">
        <f t="shared" si="1"/>
        <v>1.9398020432254311E-2</v>
      </c>
      <c r="K23" s="12">
        <f t="shared" si="2"/>
        <v>8.2380853299892694E-3</v>
      </c>
      <c r="L23" s="12">
        <f t="shared" si="3"/>
        <v>6.634209179973107E-3</v>
      </c>
      <c r="M23" s="12">
        <f t="shared" si="4"/>
        <v>1.1159935102265041E-2</v>
      </c>
      <c r="N23" s="54">
        <f t="shared" si="5"/>
        <v>2064488</v>
      </c>
      <c r="O23" s="12">
        <v>-12</v>
      </c>
      <c r="P23" s="13">
        <v>32775716</v>
      </c>
      <c r="Q23" s="13">
        <v>1024241.125</v>
      </c>
      <c r="R23" s="13">
        <v>37413.65625</v>
      </c>
      <c r="S23" s="14">
        <v>4861200</v>
      </c>
      <c r="T23" s="14">
        <v>1662552</v>
      </c>
      <c r="U23" s="14">
        <v>401936</v>
      </c>
      <c r="V23" s="14">
        <v>2796712</v>
      </c>
      <c r="W23" s="15">
        <v>71.064987500000001</v>
      </c>
      <c r="X23" s="15">
        <v>73.830865625000001</v>
      </c>
      <c r="Y23" s="15">
        <v>35.153534375</v>
      </c>
      <c r="Z23" s="15">
        <v>42.728268749999998</v>
      </c>
      <c r="AA23" s="15">
        <v>41.42759375</v>
      </c>
      <c r="AB23" s="16">
        <v>6278.97</v>
      </c>
      <c r="AC23" s="16">
        <v>0</v>
      </c>
      <c r="AD23" s="16">
        <v>81.747</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15.6037625</v>
      </c>
      <c r="J24" s="40">
        <f t="shared" si="1"/>
        <v>3.9849532302482497E-2</v>
      </c>
      <c r="K24" s="40">
        <f t="shared" si="2"/>
        <v>1.4317983267000699E-2</v>
      </c>
      <c r="L24" s="40">
        <f t="shared" si="3"/>
        <v>1.0746308589073699E-2</v>
      </c>
      <c r="M24" s="40">
        <f t="shared" si="4"/>
        <v>2.5531549035481799E-2</v>
      </c>
      <c r="N24" s="37">
        <f t="shared" si="5"/>
        <v>3588128</v>
      </c>
      <c r="O24" s="40">
        <v>-12</v>
      </c>
      <c r="P24" s="41">
        <v>31322261</v>
      </c>
      <c r="Q24" s="41">
        <v>978820.65625</v>
      </c>
      <c r="R24" s="41">
        <v>18052.34375</v>
      </c>
      <c r="S24" s="42">
        <v>9986408</v>
      </c>
      <c r="T24" s="42">
        <v>2693056</v>
      </c>
      <c r="U24" s="42">
        <v>895072</v>
      </c>
      <c r="V24" s="42">
        <v>6398280</v>
      </c>
      <c r="W24" s="43">
        <v>71.786190625000003</v>
      </c>
      <c r="X24" s="43">
        <v>75.799671875000001</v>
      </c>
      <c r="Y24" s="43">
        <v>36.267759374999997</v>
      </c>
      <c r="Z24" s="43">
        <v>43.44825625</v>
      </c>
      <c r="AA24" s="43">
        <v>41.930496875000003</v>
      </c>
      <c r="AB24" s="44">
        <v>6762.01</v>
      </c>
      <c r="AC24" s="44">
        <v>0</v>
      </c>
      <c r="AD24" s="44">
        <v>78.927999999999997</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2.0457225000000001</v>
      </c>
      <c r="J25" s="12">
        <f t="shared" si="1"/>
        <v>8.7181431677973761E-3</v>
      </c>
      <c r="K25" s="12">
        <f t="shared" si="2"/>
        <v>5.6457954011964991E-3</v>
      </c>
      <c r="L25" s="12">
        <f t="shared" si="3"/>
        <v>3.5001956214937165E-3</v>
      </c>
      <c r="M25" s="12">
        <f t="shared" si="4"/>
        <v>3.0723477666008765E-3</v>
      </c>
      <c r="N25" s="54">
        <f t="shared" si="5"/>
        <v>1413112</v>
      </c>
      <c r="O25" s="12">
        <v>-12</v>
      </c>
      <c r="P25" s="13">
        <v>23447160</v>
      </c>
      <c r="Q25" s="13">
        <v>732723.75</v>
      </c>
      <c r="R25" s="13">
        <v>14606.90625</v>
      </c>
      <c r="S25" s="14">
        <v>2182104</v>
      </c>
      <c r="T25" s="14">
        <v>876080</v>
      </c>
      <c r="U25" s="14">
        <v>537032</v>
      </c>
      <c r="V25" s="14">
        <v>768992</v>
      </c>
      <c r="W25" s="15">
        <v>66.269165624999999</v>
      </c>
      <c r="X25" s="15">
        <v>68.024500000000003</v>
      </c>
      <c r="Y25" s="15">
        <v>25.926403125</v>
      </c>
      <c r="Z25" s="15">
        <v>32.491740624999998</v>
      </c>
      <c r="AA25" s="15">
        <v>31.686728124999998</v>
      </c>
      <c r="AB25" s="16">
        <v>6028.34</v>
      </c>
      <c r="AC25" s="16">
        <v>0</v>
      </c>
      <c r="AD25" s="16">
        <v>68.459999999999994</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3.1667325000000002</v>
      </c>
      <c r="J26" s="21">
        <f t="shared" si="1"/>
        <v>1.3495489886393146E-2</v>
      </c>
      <c r="K26" s="21">
        <f t="shared" si="2"/>
        <v>7.135368195864503E-3</v>
      </c>
      <c r="L26" s="21">
        <f t="shared" si="3"/>
        <v>4.9897684161617209E-3</v>
      </c>
      <c r="M26" s="21">
        <f t="shared" si="4"/>
        <v>6.3601216905286428E-3</v>
      </c>
      <c r="N26" s="18">
        <f t="shared" si="5"/>
        <v>1785944</v>
      </c>
      <c r="O26" s="21">
        <v>-12</v>
      </c>
      <c r="P26" s="22">
        <v>24683254</v>
      </c>
      <c r="Q26" s="22">
        <v>771351.6875</v>
      </c>
      <c r="R26" s="22">
        <v>17747.71875</v>
      </c>
      <c r="S26" s="23">
        <v>3377848</v>
      </c>
      <c r="T26" s="23">
        <v>1248912</v>
      </c>
      <c r="U26" s="23">
        <v>537032</v>
      </c>
      <c r="V26" s="23">
        <v>1591904</v>
      </c>
      <c r="W26" s="24">
        <v>67.999528124999998</v>
      </c>
      <c r="X26" s="24">
        <v>69.998353124999994</v>
      </c>
      <c r="Y26" s="24">
        <v>27.927900000000001</v>
      </c>
      <c r="Z26" s="24">
        <v>33.690649999999998</v>
      </c>
      <c r="AA26" s="24">
        <v>33.036268749999998</v>
      </c>
      <c r="AB26" s="25">
        <v>6514.09</v>
      </c>
      <c r="AC26" s="25">
        <v>0</v>
      </c>
      <c r="AD26" s="25">
        <v>72.338999999999999</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5.3483774999999998</v>
      </c>
      <c r="J27" s="12">
        <f t="shared" si="1"/>
        <v>2.2792886503631947E-2</v>
      </c>
      <c r="K27" s="12">
        <f t="shared" si="2"/>
        <v>9.2952551406006861E-3</v>
      </c>
      <c r="L27" s="12">
        <f t="shared" si="3"/>
        <v>7.149655360897904E-3</v>
      </c>
      <c r="M27" s="12">
        <f t="shared" si="4"/>
        <v>1.3497631363031263E-2</v>
      </c>
      <c r="N27" s="54">
        <f t="shared" si="5"/>
        <v>2326552</v>
      </c>
      <c r="O27" s="12">
        <v>-12</v>
      </c>
      <c r="P27" s="13">
        <v>24877828</v>
      </c>
      <c r="Q27" s="13">
        <v>777432.125</v>
      </c>
      <c r="R27" s="13">
        <v>18548.4375</v>
      </c>
      <c r="S27" s="14">
        <v>5704936</v>
      </c>
      <c r="T27" s="14">
        <v>1789520</v>
      </c>
      <c r="U27" s="14">
        <v>537032</v>
      </c>
      <c r="V27" s="14">
        <v>3378384</v>
      </c>
      <c r="W27" s="15">
        <v>69.298346874999993</v>
      </c>
      <c r="X27" s="15">
        <v>71.685940625000001</v>
      </c>
      <c r="Y27" s="15">
        <v>30.217128124999999</v>
      </c>
      <c r="Z27" s="15">
        <v>34.933071875000003</v>
      </c>
      <c r="AA27" s="15">
        <v>34.362974999999999</v>
      </c>
      <c r="AB27" s="16">
        <v>6883.37</v>
      </c>
      <c r="AC27" s="16">
        <v>0</v>
      </c>
      <c r="AD27" s="16">
        <v>72.37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10.3335525</v>
      </c>
      <c r="J28" s="21">
        <f t="shared" si="1"/>
        <v>4.4037932870636412E-2</v>
      </c>
      <c r="K28" s="21">
        <f t="shared" si="2"/>
        <v>1.3195874931084206E-2</v>
      </c>
      <c r="L28" s="21">
        <f t="shared" si="3"/>
        <v>1.1050275151381423E-2</v>
      </c>
      <c r="M28" s="21">
        <f t="shared" si="4"/>
        <v>3.0842057939552203E-2</v>
      </c>
      <c r="N28" s="18">
        <f t="shared" si="5"/>
        <v>3302856</v>
      </c>
      <c r="O28" s="21">
        <v>-12</v>
      </c>
      <c r="P28" s="22">
        <v>25543425</v>
      </c>
      <c r="Q28" s="22">
        <v>798232.03125</v>
      </c>
      <c r="R28" s="22">
        <v>21050.96875</v>
      </c>
      <c r="S28" s="23">
        <v>11022456</v>
      </c>
      <c r="T28" s="23">
        <v>2765824</v>
      </c>
      <c r="U28" s="23">
        <v>537032</v>
      </c>
      <c r="V28" s="23">
        <v>7719600</v>
      </c>
      <c r="W28" s="24">
        <v>70.467181249999996</v>
      </c>
      <c r="X28" s="24">
        <v>72.998196875000005</v>
      </c>
      <c r="Y28" s="24">
        <v>32.703921874999999</v>
      </c>
      <c r="Z28" s="24">
        <v>36.429737500000002</v>
      </c>
      <c r="AA28" s="24">
        <v>35.873125000000002</v>
      </c>
      <c r="AB28" s="25">
        <v>7415.11</v>
      </c>
      <c r="AC28" s="25">
        <v>0</v>
      </c>
      <c r="AD28" s="25">
        <v>72.317999999999998</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23.872920000000001</v>
      </c>
      <c r="J29" s="30">
        <f t="shared" si="1"/>
        <v>0.10173791137037078</v>
      </c>
      <c r="K29" s="30">
        <f t="shared" si="2"/>
        <v>2.1608809734443232E-2</v>
      </c>
      <c r="L29" s="30">
        <f t="shared" si="3"/>
        <v>1.7256913695399129E-2</v>
      </c>
      <c r="M29" s="30">
        <f t="shared" si="4"/>
        <v>8.0129101635927541E-2</v>
      </c>
      <c r="N29" s="27">
        <f t="shared" si="5"/>
        <v>5408568</v>
      </c>
      <c r="O29" s="30">
        <v>-12</v>
      </c>
      <c r="P29" s="31">
        <v>24566853</v>
      </c>
      <c r="Q29" s="31">
        <v>767714.15625</v>
      </c>
      <c r="R29" s="31">
        <v>9764.71875</v>
      </c>
      <c r="S29" s="32">
        <v>25464448</v>
      </c>
      <c r="T29" s="32">
        <v>4319312</v>
      </c>
      <c r="U29" s="32">
        <v>1089256</v>
      </c>
      <c r="V29" s="32">
        <v>20055880</v>
      </c>
      <c r="W29" s="33">
        <v>71.132256249999998</v>
      </c>
      <c r="X29" s="33">
        <v>74.873078125000006</v>
      </c>
      <c r="Y29" s="33">
        <v>35.729353125000003</v>
      </c>
      <c r="Z29" s="33">
        <v>38.365762500000002</v>
      </c>
      <c r="AA29" s="33">
        <v>37.753331250000002</v>
      </c>
      <c r="AB29" s="34">
        <v>8149.14</v>
      </c>
      <c r="AC29" s="34">
        <v>0</v>
      </c>
      <c r="AD29" s="34">
        <v>73.123999999999995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3.6323325</v>
      </c>
      <c r="J30" s="21">
        <f t="shared" si="1"/>
        <v>1.0320339344356734E-2</v>
      </c>
      <c r="K30" s="21">
        <f t="shared" si="2"/>
        <v>8.1810325192009856E-3</v>
      </c>
      <c r="L30" s="21">
        <f t="shared" si="3"/>
        <v>5.1498666146946497E-3</v>
      </c>
      <c r="M30" s="21">
        <f t="shared" si="4"/>
        <v>2.1393068251557481E-3</v>
      </c>
      <c r="N30" s="18">
        <f t="shared" si="5"/>
        <v>3071344</v>
      </c>
      <c r="O30" s="21">
        <v>-12</v>
      </c>
      <c r="P30" s="22">
        <v>86274361</v>
      </c>
      <c r="Q30" s="22">
        <v>2696073.78125</v>
      </c>
      <c r="R30" s="22">
        <v>32982.90625</v>
      </c>
      <c r="S30" s="23">
        <v>3874488</v>
      </c>
      <c r="T30" s="23">
        <v>1933376</v>
      </c>
      <c r="U30" s="23">
        <v>1137968</v>
      </c>
      <c r="V30" s="23">
        <v>803144</v>
      </c>
      <c r="W30" s="24">
        <v>73.642509375000003</v>
      </c>
      <c r="X30" s="24">
        <v>75.684415625</v>
      </c>
      <c r="Y30" s="24">
        <v>33.211271875000001</v>
      </c>
      <c r="Z30" s="24">
        <v>41.882462500000003</v>
      </c>
      <c r="AA30" s="24">
        <v>43.424578124999996</v>
      </c>
      <c r="AB30" s="25">
        <v>19178.599999999999</v>
      </c>
      <c r="AC30" s="25">
        <v>0</v>
      </c>
      <c r="AD30" s="25">
        <v>224.23500000000001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4.8567824999999996</v>
      </c>
      <c r="J31" s="12">
        <f t="shared" si="1"/>
        <v>1.3799299354267059E-2</v>
      </c>
      <c r="K31" s="12">
        <f t="shared" si="2"/>
        <v>1.0106905169058057E-2</v>
      </c>
      <c r="L31" s="12">
        <f t="shared" si="3"/>
        <v>7.0757392645517218E-3</v>
      </c>
      <c r="M31" s="12">
        <f t="shared" si="4"/>
        <v>3.6923941852090025E-3</v>
      </c>
      <c r="N31" s="54">
        <f t="shared" si="5"/>
        <v>3794360</v>
      </c>
      <c r="O31" s="12">
        <v>-12</v>
      </c>
      <c r="P31" s="13">
        <v>90475079</v>
      </c>
      <c r="Q31" s="13">
        <v>2827346.21875</v>
      </c>
      <c r="R31" s="13">
        <v>40017.0625</v>
      </c>
      <c r="S31" s="14">
        <v>5180568</v>
      </c>
      <c r="T31" s="14">
        <v>2656392</v>
      </c>
      <c r="U31" s="14">
        <v>1137968</v>
      </c>
      <c r="V31" s="14">
        <v>1386208</v>
      </c>
      <c r="W31" s="15">
        <v>75.233768749999996</v>
      </c>
      <c r="X31" s="15">
        <v>77.555181250000004</v>
      </c>
      <c r="Y31" s="15">
        <v>35.169034375000003</v>
      </c>
      <c r="Z31" s="15">
        <v>42.4467</v>
      </c>
      <c r="AA31" s="15">
        <v>44.624909375000001</v>
      </c>
      <c r="AB31" s="16">
        <v>22246.5</v>
      </c>
      <c r="AC31" s="16">
        <v>0</v>
      </c>
      <c r="AD31" s="16">
        <v>259.08</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7.0407299999999999</v>
      </c>
      <c r="J32" s="21">
        <f t="shared" si="1"/>
        <v>2.0004424934114039E-2</v>
      </c>
      <c r="K32" s="21">
        <f t="shared" si="2"/>
        <v>1.297727092512152E-2</v>
      </c>
      <c r="L32" s="21">
        <f t="shared" si="3"/>
        <v>9.9461050206151851E-3</v>
      </c>
      <c r="M32" s="21">
        <f t="shared" si="4"/>
        <v>7.0271540089925184E-3</v>
      </c>
      <c r="N32" s="18">
        <f t="shared" si="5"/>
        <v>4871960</v>
      </c>
      <c r="O32" s="21">
        <v>-12</v>
      </c>
      <c r="P32" s="22">
        <v>91576045</v>
      </c>
      <c r="Q32" s="22">
        <v>2861751.40625</v>
      </c>
      <c r="R32" s="22">
        <v>42569.84375</v>
      </c>
      <c r="S32" s="23">
        <v>7510112</v>
      </c>
      <c r="T32" s="23">
        <v>3733992</v>
      </c>
      <c r="U32" s="23">
        <v>1137968</v>
      </c>
      <c r="V32" s="23">
        <v>2638152</v>
      </c>
      <c r="W32" s="24">
        <v>76.447175000000001</v>
      </c>
      <c r="X32" s="24">
        <v>79.107984375000001</v>
      </c>
      <c r="Y32" s="24">
        <v>36.962496874999999</v>
      </c>
      <c r="Z32" s="24">
        <v>43.093821875000003</v>
      </c>
      <c r="AA32" s="24">
        <v>46.092771874999997</v>
      </c>
      <c r="AB32" s="25">
        <v>23131.3</v>
      </c>
      <c r="AC32" s="25">
        <v>0</v>
      </c>
      <c r="AD32" s="25">
        <v>261.03800000000001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11.8122375</v>
      </c>
      <c r="J33" s="12">
        <f t="shared" si="1"/>
        <v>3.3561437290263493E-2</v>
      </c>
      <c r="K33" s="12">
        <f t="shared" si="2"/>
        <v>1.8224031029740597E-2</v>
      </c>
      <c r="L33" s="12">
        <f t="shared" si="3"/>
        <v>1.5192865125234264E-2</v>
      </c>
      <c r="M33" s="12">
        <f t="shared" si="4"/>
        <v>1.5337406260522893E-2</v>
      </c>
      <c r="N33" s="54">
        <f t="shared" si="5"/>
        <v>6841712</v>
      </c>
      <c r="O33" s="12">
        <v>-12</v>
      </c>
      <c r="P33" s="13">
        <v>93857895</v>
      </c>
      <c r="Q33" s="13">
        <v>2933059.21875</v>
      </c>
      <c r="R33" s="13">
        <v>47472.0625</v>
      </c>
      <c r="S33" s="14">
        <v>12599720</v>
      </c>
      <c r="T33" s="14">
        <v>5703744</v>
      </c>
      <c r="U33" s="14">
        <v>1137968</v>
      </c>
      <c r="V33" s="14">
        <v>5758008</v>
      </c>
      <c r="W33" s="15">
        <v>77.563299999999998</v>
      </c>
      <c r="X33" s="15">
        <v>80.266209375000003</v>
      </c>
      <c r="Y33" s="15">
        <v>38.705725000000001</v>
      </c>
      <c r="Z33" s="15">
        <v>43.681825000000003</v>
      </c>
      <c r="AA33" s="15">
        <v>47.368153124999999</v>
      </c>
      <c r="AB33" s="16">
        <v>24341.3</v>
      </c>
      <c r="AC33" s="16">
        <v>0</v>
      </c>
      <c r="AD33" s="16">
        <v>259.60399999999998</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24.36225</v>
      </c>
      <c r="J34" s="40">
        <f t="shared" si="1"/>
        <v>6.9219072646035246E-2</v>
      </c>
      <c r="K34" s="40">
        <f t="shared" si="2"/>
        <v>3.0624565138322714E-2</v>
      </c>
      <c r="L34" s="40">
        <f t="shared" si="3"/>
        <v>2.4322567377873923E-2</v>
      </c>
      <c r="M34" s="40">
        <f t="shared" si="4"/>
        <v>3.8594507507712532E-2</v>
      </c>
      <c r="N34" s="37">
        <f t="shared" si="5"/>
        <v>11497152</v>
      </c>
      <c r="O34" s="40">
        <v>-12</v>
      </c>
      <c r="P34" s="41">
        <v>91982225</v>
      </c>
      <c r="Q34" s="41">
        <v>2874444.53125</v>
      </c>
      <c r="R34" s="41">
        <v>18690.34375</v>
      </c>
      <c r="S34" s="42">
        <v>25986400</v>
      </c>
      <c r="T34" s="42">
        <v>9131240</v>
      </c>
      <c r="U34" s="42">
        <v>2365912</v>
      </c>
      <c r="V34" s="42">
        <v>14489248</v>
      </c>
      <c r="W34" s="43">
        <v>78.474549999999994</v>
      </c>
      <c r="X34" s="43">
        <v>81.899309375000001</v>
      </c>
      <c r="Y34" s="43">
        <v>40.490646875000003</v>
      </c>
      <c r="Z34" s="43">
        <v>44.366059374999999</v>
      </c>
      <c r="AA34" s="43">
        <v>48.777446875000003</v>
      </c>
      <c r="AB34" s="44">
        <v>26297.599999999999</v>
      </c>
      <c r="AC34" s="44">
        <v>0</v>
      </c>
      <c r="AD34" s="44">
        <v>256.565</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4.3212299999999999</v>
      </c>
      <c r="J35" s="12">
        <f t="shared" si="1"/>
        <v>1.3833855963484021E-2</v>
      </c>
      <c r="K35" s="12">
        <f t="shared" si="2"/>
        <v>1.0555517054079503E-2</v>
      </c>
      <c r="L35" s="12">
        <f t="shared" si="3"/>
        <v>6.7758676173570983E-3</v>
      </c>
      <c r="M35" s="12">
        <f t="shared" si="4"/>
        <v>3.2783389094045183E-3</v>
      </c>
      <c r="N35" s="54">
        <f t="shared" si="5"/>
        <v>3517000</v>
      </c>
      <c r="O35" s="12">
        <v>-12</v>
      </c>
      <c r="P35" s="13">
        <v>75026394</v>
      </c>
      <c r="Q35" s="13">
        <v>2344574.8125</v>
      </c>
      <c r="R35" s="13">
        <v>30516.15625</v>
      </c>
      <c r="S35" s="14">
        <v>4609312</v>
      </c>
      <c r="T35" s="14">
        <v>2257656</v>
      </c>
      <c r="U35" s="14">
        <v>1259344</v>
      </c>
      <c r="V35" s="14">
        <v>1092312</v>
      </c>
      <c r="W35" s="15">
        <v>73.205775000000003</v>
      </c>
      <c r="X35" s="15">
        <v>75.384728124999995</v>
      </c>
      <c r="Y35" s="15">
        <v>31.805303124999998</v>
      </c>
      <c r="Z35" s="15">
        <v>42.135787499999999</v>
      </c>
      <c r="AA35" s="15">
        <v>43.117065625000002</v>
      </c>
      <c r="AB35" s="16">
        <v>18975.400000000001</v>
      </c>
      <c r="AC35" s="16">
        <v>0</v>
      </c>
      <c r="AD35" s="16">
        <v>214.21799999999999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5.8328100000000003</v>
      </c>
      <c r="J36" s="21">
        <f t="shared" si="1"/>
        <v>1.8672982785542365E-2</v>
      </c>
      <c r="K36" s="21">
        <f t="shared" si="2"/>
        <v>1.3101830705719391E-2</v>
      </c>
      <c r="L36" s="21">
        <f t="shared" si="3"/>
        <v>9.322181268996985E-3</v>
      </c>
      <c r="M36" s="21">
        <f t="shared" si="4"/>
        <v>5.5711520798229748E-3</v>
      </c>
      <c r="N36" s="18">
        <f t="shared" si="5"/>
        <v>4365408</v>
      </c>
      <c r="O36" s="21">
        <v>-12</v>
      </c>
      <c r="P36" s="22">
        <v>80082017</v>
      </c>
      <c r="Q36" s="22">
        <v>2502563.03125</v>
      </c>
      <c r="R36" s="22">
        <v>38887</v>
      </c>
      <c r="S36" s="23">
        <v>6221664</v>
      </c>
      <c r="T36" s="23">
        <v>3106064</v>
      </c>
      <c r="U36" s="23">
        <v>1259344</v>
      </c>
      <c r="V36" s="23">
        <v>1856256</v>
      </c>
      <c r="W36" s="24">
        <v>74.950756249999998</v>
      </c>
      <c r="X36" s="24">
        <v>77.347009374999999</v>
      </c>
      <c r="Y36" s="24">
        <v>34.042753124999997</v>
      </c>
      <c r="Z36" s="24">
        <v>42.974150000000002</v>
      </c>
      <c r="AA36" s="24">
        <v>44.904471874999999</v>
      </c>
      <c r="AB36" s="25">
        <v>19895</v>
      </c>
      <c r="AC36" s="25">
        <v>0</v>
      </c>
      <c r="AD36" s="25">
        <v>221.65799999999999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8.4084599999999998</v>
      </c>
      <c r="J37" s="12">
        <f t="shared" si="1"/>
        <v>2.6918591353553699E-2</v>
      </c>
      <c r="K37" s="12">
        <f t="shared" si="2"/>
        <v>1.679881276634354E-2</v>
      </c>
      <c r="L37" s="12">
        <f t="shared" si="3"/>
        <v>1.3019163329621134E-2</v>
      </c>
      <c r="M37" s="12">
        <f t="shared" si="4"/>
        <v>1.011977858721016E-2</v>
      </c>
      <c r="N37" s="54">
        <f t="shared" si="5"/>
        <v>5597208</v>
      </c>
      <c r="O37" s="12">
        <v>-12</v>
      </c>
      <c r="P37" s="13">
        <v>81678386</v>
      </c>
      <c r="Q37" s="13">
        <v>2552449.5625</v>
      </c>
      <c r="R37" s="13">
        <v>42018.5625</v>
      </c>
      <c r="S37" s="14">
        <v>8969024</v>
      </c>
      <c r="T37" s="14">
        <v>4337864</v>
      </c>
      <c r="U37" s="14">
        <v>1259344</v>
      </c>
      <c r="V37" s="14">
        <v>3371816</v>
      </c>
      <c r="W37" s="15">
        <v>76.249899999999997</v>
      </c>
      <c r="X37" s="15">
        <v>78.959259375000002</v>
      </c>
      <c r="Y37" s="15">
        <v>36.14314375</v>
      </c>
      <c r="Z37" s="15">
        <v>43.507246875</v>
      </c>
      <c r="AA37" s="15">
        <v>46.136931250000004</v>
      </c>
      <c r="AB37" s="16">
        <v>20840.5</v>
      </c>
      <c r="AC37" s="16">
        <v>0</v>
      </c>
      <c r="AD37" s="16">
        <v>229.91300000000001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13.755825</v>
      </c>
      <c r="J38" s="21">
        <f t="shared" si="1"/>
        <v>4.4037485093108349E-2</v>
      </c>
      <c r="K38" s="21">
        <f t="shared" si="2"/>
        <v>2.3020499231297547E-2</v>
      </c>
      <c r="L38" s="21">
        <f t="shared" si="3"/>
        <v>1.9240849794575143E-2</v>
      </c>
      <c r="M38" s="21">
        <f t="shared" si="4"/>
        <v>2.1016985861810802E-2</v>
      </c>
      <c r="N38" s="18">
        <f t="shared" si="5"/>
        <v>7670216</v>
      </c>
      <c r="O38" s="21">
        <v>-12</v>
      </c>
      <c r="P38" s="22">
        <v>83831259</v>
      </c>
      <c r="Q38" s="22">
        <v>2619726.84375</v>
      </c>
      <c r="R38" s="22">
        <v>47003.0625</v>
      </c>
      <c r="S38" s="23">
        <v>14672880</v>
      </c>
      <c r="T38" s="23">
        <v>6410872</v>
      </c>
      <c r="U38" s="23">
        <v>1259344</v>
      </c>
      <c r="V38" s="23">
        <v>7002664</v>
      </c>
      <c r="W38" s="24">
        <v>77.432034375000001</v>
      </c>
      <c r="X38" s="24">
        <v>80.157456249999996</v>
      </c>
      <c r="Y38" s="24">
        <v>38.094084375000001</v>
      </c>
      <c r="Z38" s="24">
        <v>44.219112500000001</v>
      </c>
      <c r="AA38" s="24">
        <v>47.244974999999997</v>
      </c>
      <c r="AB38" s="25">
        <v>21989.9</v>
      </c>
      <c r="AC38" s="25">
        <v>0</v>
      </c>
      <c r="AD38" s="25">
        <v>212.03100000000001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27.588795000000001</v>
      </c>
      <c r="J39" s="30">
        <f t="shared" si="1"/>
        <v>8.8321939872695543E-2</v>
      </c>
      <c r="K39" s="30">
        <f t="shared" si="2"/>
        <v>3.7427432433443542E-2</v>
      </c>
      <c r="L39" s="30">
        <f t="shared" si="3"/>
        <v>2.9699365338507405E-2</v>
      </c>
      <c r="M39" s="30">
        <f t="shared" si="4"/>
        <v>5.0894507439252001E-2</v>
      </c>
      <c r="N39" s="27">
        <f t="shared" si="5"/>
        <v>12470472</v>
      </c>
      <c r="O39" s="30">
        <v>-12</v>
      </c>
      <c r="P39" s="31">
        <v>81982633</v>
      </c>
      <c r="Q39" s="31">
        <v>2561957.28125</v>
      </c>
      <c r="R39" s="31">
        <v>18515.375</v>
      </c>
      <c r="S39" s="32">
        <v>29428048</v>
      </c>
      <c r="T39" s="32">
        <v>9895552</v>
      </c>
      <c r="U39" s="32">
        <v>2574920</v>
      </c>
      <c r="V39" s="32">
        <v>16957576</v>
      </c>
      <c r="W39" s="33">
        <v>78.306631249999995</v>
      </c>
      <c r="X39" s="33">
        <v>81.86231875</v>
      </c>
      <c r="Y39" s="33">
        <v>40.168896875000002</v>
      </c>
      <c r="Z39" s="33">
        <v>45.123678124999998</v>
      </c>
      <c r="AA39" s="33">
        <v>48.623590624999999</v>
      </c>
      <c r="AB39" s="34">
        <v>23840.7</v>
      </c>
      <c r="AC39" s="34">
        <v>0</v>
      </c>
      <c r="AD39" s="34">
        <v>225.84800000000001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1.7525908374890181E-2</v>
      </c>
      <c r="K40" s="48">
        <f>AVERAGE(K5:K24)</f>
        <v>9.4898805545552151E-3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3.8156472759765928E-2</v>
      </c>
      <c r="K41" s="48">
        <f>AVERAGE(K25:K29)</f>
        <v>1.1376220680637825E-2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3.3868942863742056E-2</v>
      </c>
      <c r="K42" s="48">
        <f>AVERAGE(K30:K39)</f>
        <v>1.810178969723274E-2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2.5142570283830105E-2</v>
      </c>
      <c r="K43" s="48">
        <f>AVERAGE(K5:K39)</f>
        <v>1.2219903184760595E-2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376532.77</v>
      </c>
      <c r="AC44" s="49">
        <f>SUM(AC5:AC24,AC25:AC29,AC30:AC39)</f>
        <v>0</v>
      </c>
      <c r="AD44" s="49">
        <f>SUM(AD5:AD24,AD25:AD29,AD30:AD39)</f>
        <v>4227.6129999999994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8880.5151009706187</v>
      </c>
      <c r="AC46" s="49" t="e">
        <f>GEOMEAN(AC5:AC24,AC25:AC29,AC30:AC39)</f>
        <v>#NUM!</v>
      </c>
      <c r="AD46" s="49">
        <f>GEOMEAN(AD5:AD24,AD25:AD29,AD30:AD39)</f>
        <v>103.00124411785778</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2022-03-07T07:57:55Z</dcterms:modified>
</cp:coreProperties>
</file>