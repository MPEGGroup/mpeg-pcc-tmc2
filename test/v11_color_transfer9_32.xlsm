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Works/Vpccf12_transfer/mpeg-pcc-tmc2/test/"/>
    </mc:Choice>
  </mc:AlternateContent>
  <xr:revisionPtr revIDLastSave="0" documentId="13_ncr:1_{D5329573-F7E5-EC4C-B545-A96631C2E7F4}" xr6:coauthVersionLast="36" xr6:coauthVersionMax="45" xr10:uidLastSave="{00000000-0000-0000-0000-000000000000}"/>
  <bookViews>
    <workbookView xWindow="12160" yWindow="2320" windowWidth="55040" windowHeight="31320" activeTab="2"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AW84" i="7" l="1"/>
  <c r="AV84" i="7"/>
  <c r="AT84" i="7"/>
  <c r="AS84" i="7"/>
  <c r="AR84" i="7"/>
  <c r="AQ84" i="7"/>
  <c r="AP84" i="7"/>
  <c r="AO84" i="7"/>
  <c r="AY83" i="7"/>
  <c r="AV83" i="7"/>
  <c r="AU83" i="7"/>
  <c r="AS83" i="7"/>
  <c r="AR83" i="7"/>
  <c r="AQ83" i="7"/>
  <c r="AP83" i="7"/>
  <c r="AO83" i="7"/>
  <c r="AY82" i="7"/>
  <c r="AX82" i="7"/>
  <c r="AW82" i="7"/>
  <c r="AV82" i="7"/>
  <c r="AU82" i="7"/>
  <c r="AT82" i="7"/>
  <c r="AQ82" i="7"/>
  <c r="AP82" i="7"/>
  <c r="AO82" i="7"/>
  <c r="AY81" i="7"/>
  <c r="AX81" i="7"/>
  <c r="AW81" i="7"/>
  <c r="AU81" i="7"/>
  <c r="AT81" i="7"/>
  <c r="AS81" i="7"/>
  <c r="AR81" i="7"/>
  <c r="AQ81" i="7"/>
  <c r="AP81" i="7"/>
  <c r="AO81" i="7"/>
  <c r="AY80" i="7"/>
  <c r="AX80" i="7"/>
  <c r="AW80" i="7"/>
  <c r="AV80" i="7"/>
  <c r="AU80" i="7"/>
  <c r="AT80" i="7"/>
  <c r="AS80" i="7"/>
  <c r="AR80" i="7"/>
  <c r="AQ80" i="7"/>
  <c r="AP80" i="7"/>
  <c r="AO80" i="7"/>
  <c r="AY79" i="7"/>
  <c r="AX79" i="7"/>
  <c r="AV79" i="7"/>
  <c r="AU79" i="7"/>
  <c r="AT79" i="7"/>
  <c r="AS79" i="7"/>
  <c r="AR79" i="7"/>
  <c r="AQ79" i="7"/>
  <c r="AO79" i="7"/>
  <c r="AY78" i="7"/>
  <c r="AX78" i="7"/>
  <c r="AV78" i="7"/>
  <c r="AU78" i="7"/>
  <c r="AT78" i="7"/>
  <c r="AS78" i="7"/>
  <c r="AR78" i="7"/>
  <c r="AQ78" i="7"/>
  <c r="AP78" i="7"/>
  <c r="AO78" i="7"/>
  <c r="AY77" i="7"/>
  <c r="AX77" i="7"/>
  <c r="AW77" i="7"/>
  <c r="AU77" i="7"/>
  <c r="AT77" i="7"/>
  <c r="AS77" i="7"/>
  <c r="AR77" i="7"/>
  <c r="AQ77" i="7"/>
  <c r="AP77" i="7"/>
  <c r="AO77" i="7"/>
  <c r="AY76" i="7"/>
  <c r="AX76" i="7"/>
  <c r="AW76" i="7"/>
  <c r="AV76" i="7"/>
  <c r="AU76" i="7"/>
  <c r="AT76" i="7"/>
  <c r="AS76" i="7"/>
  <c r="AR76" i="7"/>
  <c r="AP76" i="7"/>
  <c r="AO76" i="7"/>
  <c r="AY75" i="7"/>
  <c r="AW75" i="7"/>
  <c r="AV75" i="7"/>
  <c r="AU75" i="7"/>
  <c r="AT75" i="7"/>
  <c r="AS75" i="7"/>
  <c r="AR75" i="7"/>
  <c r="AQ75" i="7"/>
  <c r="AP75" i="7"/>
  <c r="AO75" i="7"/>
  <c r="AY74" i="7"/>
  <c r="AX74" i="7"/>
  <c r="AW74" i="7"/>
  <c r="AV74" i="7"/>
  <c r="AU74" i="7"/>
  <c r="AT74" i="7"/>
  <c r="AS74" i="7"/>
  <c r="AR74" i="7"/>
  <c r="AQ74" i="7"/>
  <c r="AP74" i="7"/>
  <c r="AO74" i="7"/>
  <c r="AY73" i="7"/>
  <c r="AX73" i="7"/>
  <c r="AW73" i="7"/>
  <c r="AV73" i="7"/>
  <c r="AU73" i="7"/>
  <c r="AT73" i="7"/>
  <c r="AS73" i="7"/>
  <c r="AQ73" i="7"/>
  <c r="AP73" i="7"/>
  <c r="AO73" i="7"/>
  <c r="AY72" i="7"/>
  <c r="AX72" i="7"/>
  <c r="AW72" i="7"/>
  <c r="AV72" i="7"/>
  <c r="AU72" i="7"/>
  <c r="AS72" i="7"/>
  <c r="AR72" i="7"/>
  <c r="AQ72" i="7"/>
  <c r="AP72" i="7"/>
  <c r="AY71" i="7"/>
  <c r="AX71" i="7"/>
  <c r="AW71" i="7"/>
  <c r="AV71" i="7"/>
  <c r="AU71" i="7"/>
  <c r="AT71" i="7"/>
  <c r="AS71" i="7"/>
  <c r="AR71" i="7"/>
  <c r="AQ71" i="7"/>
  <c r="AP71" i="7"/>
  <c r="AO71" i="7"/>
  <c r="AY70" i="7"/>
  <c r="AX70" i="7"/>
  <c r="AV70" i="7"/>
  <c r="AU70" i="7"/>
  <c r="AT70" i="7"/>
  <c r="AS70" i="7"/>
  <c r="AR70" i="7"/>
  <c r="AQ70" i="7"/>
  <c r="AP70" i="7"/>
  <c r="AO70" i="7"/>
  <c r="AY69" i="7"/>
  <c r="AX69" i="7"/>
  <c r="AW69" i="7"/>
  <c r="AV69" i="7"/>
  <c r="AU69" i="7"/>
  <c r="AT69" i="7"/>
  <c r="AS69" i="7"/>
  <c r="AR69" i="7"/>
  <c r="AQ69" i="7"/>
  <c r="AP69" i="7"/>
  <c r="AO69" i="7"/>
  <c r="AX68" i="7"/>
  <c r="AW68" i="7"/>
  <c r="AV68" i="7"/>
  <c r="AU68" i="7"/>
  <c r="AT68" i="7"/>
  <c r="AS68" i="7"/>
  <c r="AR68" i="7"/>
  <c r="AQ68" i="7"/>
  <c r="AP68" i="7"/>
  <c r="AO68" i="7"/>
  <c r="AY67" i="7"/>
  <c r="AX67" i="7"/>
  <c r="AW67" i="7"/>
  <c r="AV67" i="7"/>
  <c r="AU67" i="7"/>
  <c r="AT67" i="7"/>
  <c r="AS67" i="7"/>
  <c r="AR67" i="7"/>
  <c r="AQ67" i="7"/>
  <c r="AO67" i="7"/>
  <c r="AY66" i="7"/>
  <c r="AX66" i="7"/>
  <c r="AW66" i="7"/>
  <c r="AV66" i="7"/>
  <c r="AU66" i="7"/>
  <c r="AT66" i="7"/>
  <c r="AS66" i="7"/>
  <c r="AQ66" i="7"/>
  <c r="AP66" i="7"/>
  <c r="AO66" i="7"/>
  <c r="AY65" i="7"/>
  <c r="AX65" i="7"/>
  <c r="AW65" i="7"/>
  <c r="AV65" i="7"/>
  <c r="AU65" i="7"/>
  <c r="AT65" i="7"/>
  <c r="AS65" i="7"/>
  <c r="AR65" i="7"/>
  <c r="AQ65" i="7"/>
  <c r="AP65" i="7"/>
  <c r="AO65" i="7"/>
  <c r="AX64" i="7"/>
  <c r="AW64" i="7"/>
  <c r="AV64" i="7"/>
  <c r="AU64" i="7"/>
  <c r="AT64" i="7"/>
  <c r="AS64" i="7"/>
  <c r="AR64" i="7"/>
  <c r="AQ64" i="7"/>
  <c r="AP64" i="7"/>
  <c r="AO64" i="7"/>
  <c r="AY63" i="7"/>
  <c r="AX63" i="7"/>
  <c r="AW63" i="7"/>
  <c r="AV63" i="7"/>
  <c r="AU63" i="7"/>
  <c r="AT63" i="7"/>
  <c r="AS63" i="7"/>
  <c r="AR63" i="7"/>
  <c r="AQ63" i="7"/>
  <c r="AO63" i="7"/>
  <c r="AY62" i="7"/>
  <c r="AX62" i="7"/>
  <c r="AW62" i="7"/>
  <c r="AV62" i="7"/>
  <c r="AU62" i="7"/>
  <c r="AT62" i="7"/>
  <c r="AS62" i="7"/>
  <c r="AR62" i="7"/>
  <c r="AP62" i="7"/>
  <c r="AO62" i="7"/>
  <c r="AY61" i="7"/>
  <c r="AX61" i="7"/>
  <c r="AW61" i="7"/>
  <c r="AU61" i="7"/>
  <c r="AT61" i="7"/>
  <c r="AS61" i="7"/>
  <c r="AR61" i="7"/>
  <c r="AQ61" i="7"/>
  <c r="AP61" i="7"/>
  <c r="AO61" i="7"/>
  <c r="AY60" i="7"/>
  <c r="AX60" i="7"/>
  <c r="AW60" i="7"/>
  <c r="AV60" i="7"/>
  <c r="AU60" i="7"/>
  <c r="AT60" i="7"/>
  <c r="AS60" i="7"/>
  <c r="AR60" i="7"/>
  <c r="AP60" i="7"/>
  <c r="AO60" i="7"/>
  <c r="AY59" i="7"/>
  <c r="AW59" i="7"/>
  <c r="AV59" i="7"/>
  <c r="AU59" i="7"/>
  <c r="AT59" i="7"/>
  <c r="AS59" i="7"/>
  <c r="AR59" i="7"/>
  <c r="AQ59" i="7"/>
  <c r="AP59" i="7"/>
  <c r="AO59" i="7"/>
  <c r="AY58" i="7"/>
  <c r="AX58" i="7"/>
  <c r="AV58" i="7"/>
  <c r="AU58" i="7"/>
  <c r="AT58" i="7"/>
  <c r="AS58" i="7"/>
  <c r="AR58" i="7"/>
  <c r="AQ58" i="7"/>
  <c r="AP58" i="7"/>
  <c r="AY57" i="7"/>
  <c r="AX57" i="7"/>
  <c r="AW57" i="7"/>
  <c r="AU57" i="7"/>
  <c r="AT57" i="7"/>
  <c r="AS57" i="7"/>
  <c r="AR57" i="7"/>
  <c r="AQ57" i="7"/>
  <c r="AP57" i="7"/>
  <c r="AO57" i="7"/>
  <c r="AY56" i="7"/>
  <c r="AX56" i="7"/>
  <c r="AW56" i="7"/>
  <c r="AV56" i="7"/>
  <c r="AU56" i="7"/>
  <c r="AT56" i="7"/>
  <c r="AS56" i="7"/>
  <c r="AR56" i="7"/>
  <c r="AQ56" i="7"/>
  <c r="AP56" i="7"/>
  <c r="AO56" i="7"/>
  <c r="AY55" i="7"/>
  <c r="AX55" i="7"/>
  <c r="AW55" i="7"/>
  <c r="AV55" i="7"/>
  <c r="AU55" i="7"/>
  <c r="AT55" i="7"/>
  <c r="AS55" i="7"/>
  <c r="AR55" i="7"/>
  <c r="AQ55" i="7"/>
  <c r="AO55" i="7"/>
  <c r="AY54" i="7"/>
  <c r="AX54" i="7"/>
  <c r="AV54" i="7"/>
  <c r="AU54" i="7"/>
  <c r="AT54" i="7"/>
  <c r="AS54" i="7"/>
  <c r="AR54" i="7"/>
  <c r="AQ54" i="7"/>
  <c r="AP54" i="7"/>
  <c r="AO54" i="7"/>
  <c r="AY53" i="7"/>
  <c r="AX53" i="7"/>
  <c r="AW53" i="7"/>
  <c r="AV53" i="7"/>
  <c r="AU53" i="7"/>
  <c r="AT53" i="7"/>
  <c r="AS53" i="7"/>
  <c r="AR53" i="7"/>
  <c r="AQ53" i="7"/>
  <c r="AP53" i="7"/>
  <c r="AO53" i="7"/>
  <c r="AY52" i="7"/>
  <c r="AX52" i="7"/>
  <c r="AW52" i="7"/>
  <c r="AV52" i="7"/>
  <c r="AT52" i="7"/>
  <c r="AS52" i="7"/>
  <c r="AR52" i="7"/>
  <c r="AQ52" i="7"/>
  <c r="AO52" i="7"/>
  <c r="AY51" i="7"/>
  <c r="AX51" i="7"/>
  <c r="AW51" i="7"/>
  <c r="AV51" i="7"/>
  <c r="AU51" i="7"/>
  <c r="AT51" i="7"/>
  <c r="AS51" i="7"/>
  <c r="AR51" i="7"/>
  <c r="AQ51" i="7"/>
  <c r="AP51" i="7"/>
  <c r="AO51" i="7"/>
  <c r="AY50" i="7"/>
  <c r="AX50" i="7"/>
  <c r="AV50" i="7"/>
  <c r="AU50" i="7"/>
  <c r="AT50" i="7"/>
  <c r="AS50" i="7"/>
  <c r="AR50" i="7"/>
  <c r="AQ50" i="7"/>
  <c r="AP50" i="7"/>
  <c r="AO50" i="7"/>
  <c r="AN84" i="7"/>
  <c r="AN83" i="7"/>
  <c r="AN82" i="7"/>
  <c r="AN81" i="7"/>
  <c r="AN80" i="7"/>
  <c r="AN79" i="7"/>
  <c r="AN78" i="7"/>
  <c r="AN77" i="7"/>
  <c r="AN76" i="7"/>
  <c r="AN75" i="7"/>
  <c r="AN74" i="7"/>
  <c r="AN73" i="7"/>
  <c r="AN72" i="7"/>
  <c r="AN71" i="7"/>
  <c r="AN70" i="7"/>
  <c r="AN69" i="7"/>
  <c r="AN68" i="7"/>
  <c r="AN67" i="7"/>
  <c r="AN66" i="7"/>
  <c r="AN65" i="7"/>
  <c r="AN64" i="7"/>
  <c r="AN63" i="7"/>
  <c r="AN62" i="7"/>
  <c r="AN61" i="7"/>
  <c r="AN60" i="7"/>
  <c r="AN59" i="7"/>
  <c r="AN58" i="7"/>
  <c r="AN57" i="7"/>
  <c r="AN56" i="7"/>
  <c r="AN55" i="7"/>
  <c r="AN54" i="7"/>
  <c r="AN53" i="7"/>
  <c r="AN52" i="7"/>
  <c r="AN51" i="7"/>
  <c r="AN50" i="7"/>
  <c r="AY84" i="7"/>
  <c r="AX84" i="7"/>
  <c r="AU84" i="7"/>
  <c r="AX83" i="7"/>
  <c r="AW83" i="7"/>
  <c r="AT83" i="7"/>
  <c r="AS82" i="7"/>
  <c r="AR82" i="7"/>
  <c r="AV81" i="7"/>
  <c r="AW79" i="7"/>
  <c r="AP79" i="7"/>
  <c r="AW78" i="7"/>
  <c r="AV77" i="7"/>
  <c r="AQ76" i="7"/>
  <c r="AX75" i="7"/>
  <c r="AR73" i="7"/>
  <c r="AT72" i="7"/>
  <c r="AO72" i="7"/>
  <c r="AW70" i="7"/>
  <c r="AY68" i="7"/>
  <c r="AP67" i="7"/>
  <c r="AR66" i="7"/>
  <c r="AY64" i="7"/>
  <c r="AP63" i="7"/>
  <c r="AQ62" i="7"/>
  <c r="AV61" i="7"/>
  <c r="AQ60" i="7"/>
  <c r="AX59" i="7"/>
  <c r="AW58" i="7"/>
  <c r="AO58" i="7"/>
  <c r="AV57" i="7"/>
  <c r="AP55" i="7"/>
  <c r="AW54" i="7"/>
  <c r="AU52" i="7"/>
  <c r="AP52" i="7"/>
  <c r="AW50" i="7"/>
  <c r="AY84" i="3"/>
  <c r="AX84" i="3"/>
  <c r="AW84" i="3"/>
  <c r="AV84" i="3"/>
  <c r="AU84" i="3"/>
  <c r="AT84" i="3"/>
  <c r="AS84" i="3"/>
  <c r="AR84" i="3"/>
  <c r="AQ84" i="3"/>
  <c r="AP84" i="3"/>
  <c r="AO84" i="3"/>
  <c r="AY83" i="3"/>
  <c r="AX83" i="3"/>
  <c r="AW83" i="3"/>
  <c r="AV83" i="3"/>
  <c r="AU83" i="3"/>
  <c r="AT83" i="3"/>
  <c r="AS83" i="3"/>
  <c r="AR83" i="3"/>
  <c r="AQ83" i="3"/>
  <c r="AP83" i="3"/>
  <c r="AO83" i="3"/>
  <c r="AY82" i="3"/>
  <c r="AX82" i="3"/>
  <c r="AW82" i="3"/>
  <c r="AV82" i="3"/>
  <c r="AU82" i="3"/>
  <c r="AT82" i="3"/>
  <c r="AS82" i="3"/>
  <c r="AR82" i="3"/>
  <c r="AQ82" i="3"/>
  <c r="AP82" i="3"/>
  <c r="AO82" i="3"/>
  <c r="AY81" i="3"/>
  <c r="AX81" i="3"/>
  <c r="AW81" i="3"/>
  <c r="AV81" i="3"/>
  <c r="AU81" i="3"/>
  <c r="AT81" i="3"/>
  <c r="AS81" i="3"/>
  <c r="AR81" i="3"/>
  <c r="AQ81" i="3"/>
  <c r="AP81" i="3"/>
  <c r="AO81" i="3"/>
  <c r="AY80" i="3"/>
  <c r="AX80" i="3"/>
  <c r="AW80" i="3"/>
  <c r="AV80" i="3"/>
  <c r="AU80" i="3"/>
  <c r="AT80" i="3"/>
  <c r="AS80" i="3"/>
  <c r="AR80" i="3"/>
  <c r="AQ80" i="3"/>
  <c r="AP80" i="3"/>
  <c r="AO80" i="3"/>
  <c r="AY79" i="3"/>
  <c r="AX79" i="3"/>
  <c r="AW79" i="3"/>
  <c r="AV79" i="3"/>
  <c r="AU79" i="3"/>
  <c r="AT79" i="3"/>
  <c r="AS79" i="3"/>
  <c r="AR79" i="3"/>
  <c r="AQ79" i="3"/>
  <c r="AP79" i="3"/>
  <c r="AO79" i="3"/>
  <c r="AY78" i="3"/>
  <c r="AX78" i="3"/>
  <c r="AW78" i="3"/>
  <c r="AV78" i="3"/>
  <c r="AU78" i="3"/>
  <c r="AT78" i="3"/>
  <c r="AS78" i="3"/>
  <c r="AR78" i="3"/>
  <c r="AQ78" i="3"/>
  <c r="AP78" i="3"/>
  <c r="AO78" i="3"/>
  <c r="AY77" i="3"/>
  <c r="AX77" i="3"/>
  <c r="AW77" i="3"/>
  <c r="AV77" i="3"/>
  <c r="AU77" i="3"/>
  <c r="AT77" i="3"/>
  <c r="AS77" i="3"/>
  <c r="AR77" i="3"/>
  <c r="AQ77" i="3"/>
  <c r="AP77" i="3"/>
  <c r="AO77" i="3"/>
  <c r="AY76" i="3"/>
  <c r="AX76" i="3"/>
  <c r="AW76" i="3"/>
  <c r="AV76" i="3"/>
  <c r="AU76" i="3"/>
  <c r="AT76" i="3"/>
  <c r="AS76" i="3"/>
  <c r="AR76" i="3"/>
  <c r="AQ76" i="3"/>
  <c r="AP76" i="3"/>
  <c r="AO76" i="3"/>
  <c r="AY75" i="3"/>
  <c r="AX75" i="3"/>
  <c r="AW75" i="3"/>
  <c r="AV75" i="3"/>
  <c r="AU75" i="3"/>
  <c r="AT75" i="3"/>
  <c r="AS75" i="3"/>
  <c r="AR75" i="3"/>
  <c r="AQ75" i="3"/>
  <c r="AP75" i="3"/>
  <c r="AO75" i="3"/>
  <c r="AY74" i="3"/>
  <c r="AX74" i="3"/>
  <c r="AW74" i="3"/>
  <c r="AV74" i="3"/>
  <c r="AU74" i="3"/>
  <c r="AT74" i="3"/>
  <c r="AS74" i="3"/>
  <c r="AR74" i="3"/>
  <c r="AQ74" i="3"/>
  <c r="AP74" i="3"/>
  <c r="AO74" i="3"/>
  <c r="AY73" i="3"/>
  <c r="AX73" i="3"/>
  <c r="AW73" i="3"/>
  <c r="AV73" i="3"/>
  <c r="AU73" i="3"/>
  <c r="AT73" i="3"/>
  <c r="AS73" i="3"/>
  <c r="AR73" i="3"/>
  <c r="AQ73" i="3"/>
  <c r="AP73" i="3"/>
  <c r="AO73" i="3"/>
  <c r="AY72" i="3"/>
  <c r="AX72" i="3"/>
  <c r="AW72" i="3"/>
  <c r="AV72" i="3"/>
  <c r="AU72" i="3"/>
  <c r="AT72" i="3"/>
  <c r="AS72" i="3"/>
  <c r="AR72" i="3"/>
  <c r="AQ72" i="3"/>
  <c r="AP72" i="3"/>
  <c r="AO72" i="3"/>
  <c r="AY71" i="3"/>
  <c r="AX71" i="3"/>
  <c r="AW71" i="3"/>
  <c r="AV71" i="3"/>
  <c r="AU71" i="3"/>
  <c r="AT71" i="3"/>
  <c r="AS71" i="3"/>
  <c r="AR71" i="3"/>
  <c r="AQ71" i="3"/>
  <c r="AP71" i="3"/>
  <c r="AO71" i="3"/>
  <c r="AY70" i="3"/>
  <c r="AX70" i="3"/>
  <c r="AW70" i="3"/>
  <c r="AV70" i="3"/>
  <c r="AU70" i="3"/>
  <c r="AT70" i="3"/>
  <c r="AS70" i="3"/>
  <c r="AR70" i="3"/>
  <c r="AQ70" i="3"/>
  <c r="AP70" i="3"/>
  <c r="AO70" i="3"/>
  <c r="AY69" i="3"/>
  <c r="AX69" i="3"/>
  <c r="AW69" i="3"/>
  <c r="AV69" i="3"/>
  <c r="AU69" i="3"/>
  <c r="AT69" i="3"/>
  <c r="AS69" i="3"/>
  <c r="AR69" i="3"/>
  <c r="AQ69" i="3"/>
  <c r="AP69" i="3"/>
  <c r="AO69" i="3"/>
  <c r="AY68" i="3"/>
  <c r="AX68" i="3"/>
  <c r="AW68" i="3"/>
  <c r="AV68" i="3"/>
  <c r="AU68" i="3"/>
  <c r="AT68" i="3"/>
  <c r="AS68" i="3"/>
  <c r="AR68" i="3"/>
  <c r="AQ68" i="3"/>
  <c r="AP68" i="3"/>
  <c r="AO68" i="3"/>
  <c r="AY67" i="3"/>
  <c r="AX67" i="3"/>
  <c r="AW67" i="3"/>
  <c r="AV67" i="3"/>
  <c r="AU67" i="3"/>
  <c r="AT67" i="3"/>
  <c r="AS67" i="3"/>
  <c r="AR67" i="3"/>
  <c r="AQ67" i="3"/>
  <c r="AP67" i="3"/>
  <c r="AO67" i="3"/>
  <c r="AY66" i="3"/>
  <c r="AX66" i="3"/>
  <c r="AW66" i="3"/>
  <c r="AV66" i="3"/>
  <c r="AU66" i="3"/>
  <c r="AT66" i="3"/>
  <c r="AS66" i="3"/>
  <c r="AR66" i="3"/>
  <c r="AQ66" i="3"/>
  <c r="AP66" i="3"/>
  <c r="AO66" i="3"/>
  <c r="AY65" i="3"/>
  <c r="AX65" i="3"/>
  <c r="AW65" i="3"/>
  <c r="AV65" i="3"/>
  <c r="AU65" i="3"/>
  <c r="AT65" i="3"/>
  <c r="AS65" i="3"/>
  <c r="AR65" i="3"/>
  <c r="AQ65" i="3"/>
  <c r="AP65" i="3"/>
  <c r="AO65" i="3"/>
  <c r="AY64" i="3"/>
  <c r="AX64" i="3"/>
  <c r="AW64" i="3"/>
  <c r="AV64" i="3"/>
  <c r="AU64" i="3"/>
  <c r="AT64" i="3"/>
  <c r="AS64" i="3"/>
  <c r="AR64" i="3"/>
  <c r="AQ64" i="3"/>
  <c r="AP64" i="3"/>
  <c r="AO64" i="3"/>
  <c r="AY63" i="3"/>
  <c r="AX63" i="3"/>
  <c r="AW63" i="3"/>
  <c r="AV63" i="3"/>
  <c r="AU63" i="3"/>
  <c r="AT63" i="3"/>
  <c r="AS63" i="3"/>
  <c r="AR63" i="3"/>
  <c r="AQ63" i="3"/>
  <c r="AP63" i="3"/>
  <c r="AO63" i="3"/>
  <c r="AY62" i="3"/>
  <c r="AX62" i="3"/>
  <c r="AW62" i="3"/>
  <c r="AV62" i="3"/>
  <c r="AU62" i="3"/>
  <c r="AT62" i="3"/>
  <c r="AS62" i="3"/>
  <c r="AR62" i="3"/>
  <c r="AQ62" i="3"/>
  <c r="AP62" i="3"/>
  <c r="AO62" i="3"/>
  <c r="AY61" i="3"/>
  <c r="AX61" i="3"/>
  <c r="AW61" i="3"/>
  <c r="AV61" i="3"/>
  <c r="AU61" i="3"/>
  <c r="AT61" i="3"/>
  <c r="AS61" i="3"/>
  <c r="AR61" i="3"/>
  <c r="AQ61" i="3"/>
  <c r="AP61" i="3"/>
  <c r="AO61" i="3"/>
  <c r="AY60" i="3"/>
  <c r="AX60" i="3"/>
  <c r="AW60" i="3"/>
  <c r="AV60" i="3"/>
  <c r="AU60" i="3"/>
  <c r="AT60" i="3"/>
  <c r="AS60" i="3"/>
  <c r="AR60" i="3"/>
  <c r="AQ60" i="3"/>
  <c r="AP60" i="3"/>
  <c r="AO60" i="3"/>
  <c r="AY59" i="3"/>
  <c r="AX59" i="3"/>
  <c r="AW59" i="3"/>
  <c r="AV59" i="3"/>
  <c r="AU59" i="3"/>
  <c r="AT59" i="3"/>
  <c r="AS59" i="3"/>
  <c r="AR59" i="3"/>
  <c r="AQ59" i="3"/>
  <c r="AP59" i="3"/>
  <c r="AO59" i="3"/>
  <c r="AY58" i="3"/>
  <c r="AX58" i="3"/>
  <c r="AW58" i="3"/>
  <c r="AV58" i="3"/>
  <c r="AU58" i="3"/>
  <c r="AT58" i="3"/>
  <c r="AS58" i="3"/>
  <c r="AR58" i="3"/>
  <c r="AQ58" i="3"/>
  <c r="AP58" i="3"/>
  <c r="AO58" i="3"/>
  <c r="AY57" i="3"/>
  <c r="AX57" i="3"/>
  <c r="AW57" i="3"/>
  <c r="AV57" i="3"/>
  <c r="AU57" i="3"/>
  <c r="AT57" i="3"/>
  <c r="AS57" i="3"/>
  <c r="AR57" i="3"/>
  <c r="AQ57" i="3"/>
  <c r="AP57" i="3"/>
  <c r="AO57" i="3"/>
  <c r="AY56" i="3"/>
  <c r="AX56" i="3"/>
  <c r="AW56" i="3"/>
  <c r="AV56" i="3"/>
  <c r="AU56" i="3"/>
  <c r="AT56" i="3"/>
  <c r="AS56" i="3"/>
  <c r="AR56" i="3"/>
  <c r="AQ56" i="3"/>
  <c r="AP56" i="3"/>
  <c r="AO56" i="3"/>
  <c r="AY55" i="3"/>
  <c r="AX55" i="3"/>
  <c r="AW55" i="3"/>
  <c r="AV55" i="3"/>
  <c r="AU55" i="3"/>
  <c r="AT55" i="3"/>
  <c r="AS55" i="3"/>
  <c r="AR55" i="3"/>
  <c r="AQ55" i="3"/>
  <c r="AP55" i="3"/>
  <c r="AO55" i="3"/>
  <c r="AY54" i="3"/>
  <c r="AX54" i="3"/>
  <c r="AW54" i="3"/>
  <c r="AV54" i="3"/>
  <c r="AU54" i="3"/>
  <c r="AT54" i="3"/>
  <c r="AS54" i="3"/>
  <c r="AR54" i="3"/>
  <c r="AQ54" i="3"/>
  <c r="AP54" i="3"/>
  <c r="AO54" i="3"/>
  <c r="AY53" i="3"/>
  <c r="AX53" i="3"/>
  <c r="AW53" i="3"/>
  <c r="AV53" i="3"/>
  <c r="AU53" i="3"/>
  <c r="AT53" i="3"/>
  <c r="AS53" i="3"/>
  <c r="AR53" i="3"/>
  <c r="AQ53" i="3"/>
  <c r="AP53" i="3"/>
  <c r="AO53" i="3"/>
  <c r="AY52" i="3"/>
  <c r="AX52" i="3"/>
  <c r="AW52" i="3"/>
  <c r="AV52" i="3"/>
  <c r="AU52" i="3"/>
  <c r="AT52" i="3"/>
  <c r="AS52" i="3"/>
  <c r="AR52" i="3"/>
  <c r="AQ52" i="3"/>
  <c r="AP52" i="3"/>
  <c r="AO52" i="3"/>
  <c r="AY51" i="3"/>
  <c r="AX51" i="3"/>
  <c r="AW51" i="3"/>
  <c r="AV51" i="3"/>
  <c r="AU51" i="3"/>
  <c r="AT51" i="3"/>
  <c r="AS51" i="3"/>
  <c r="AR51" i="3"/>
  <c r="AQ51" i="3"/>
  <c r="AP51" i="3"/>
  <c r="AO51" i="3"/>
  <c r="AY50" i="3"/>
  <c r="AX50" i="3"/>
  <c r="AW50" i="3"/>
  <c r="AV50" i="3"/>
  <c r="AU50" i="3"/>
  <c r="AT50" i="3"/>
  <c r="AS50" i="3"/>
  <c r="AR50" i="3"/>
  <c r="AQ50" i="3"/>
  <c r="AP50" i="3"/>
  <c r="AO50" i="3"/>
  <c r="AN84" i="3"/>
  <c r="AN83" i="3"/>
  <c r="AN82" i="3"/>
  <c r="AN81" i="3"/>
  <c r="AN80" i="3"/>
  <c r="AN79" i="3"/>
  <c r="AN78" i="3"/>
  <c r="AN77" i="3"/>
  <c r="AN76" i="3"/>
  <c r="AN75" i="3"/>
  <c r="AN74" i="3"/>
  <c r="AN73" i="3"/>
  <c r="AN72" i="3"/>
  <c r="AN71" i="3"/>
  <c r="AN70" i="3"/>
  <c r="AN69" i="3"/>
  <c r="AN68" i="3"/>
  <c r="AN67" i="3"/>
  <c r="AN66" i="3"/>
  <c r="AN65" i="3"/>
  <c r="AN64" i="3"/>
  <c r="AN63" i="3"/>
  <c r="AN62" i="3"/>
  <c r="AN61" i="3"/>
  <c r="AN60" i="3"/>
  <c r="AN59" i="3"/>
  <c r="AN58" i="3"/>
  <c r="AN57" i="3"/>
  <c r="AN56" i="3"/>
  <c r="AN55" i="3"/>
  <c r="AN54" i="3"/>
  <c r="AN53" i="3"/>
  <c r="AN52" i="3"/>
  <c r="AN51" i="3"/>
  <c r="AN50" i="3"/>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M38" i="7"/>
  <c r="L38" i="7"/>
  <c r="J38" i="7"/>
  <c r="I38" i="7"/>
  <c r="BF37" i="7"/>
  <c r="AL37" i="7"/>
  <c r="AI37" i="7" s="1"/>
  <c r="AK37" i="7"/>
  <c r="AJ37" i="7"/>
  <c r="AH37" i="7"/>
  <c r="AG37" i="7"/>
  <c r="N37" i="7"/>
  <c r="K37" i="7" s="1"/>
  <c r="M37" i="7"/>
  <c r="L37" i="7"/>
  <c r="J37" i="7"/>
  <c r="I37" i="7"/>
  <c r="BF36" i="7"/>
  <c r="AL36" i="7"/>
  <c r="AI36" i="7" s="1"/>
  <c r="AK36" i="7"/>
  <c r="AJ36" i="7"/>
  <c r="AH36" i="7"/>
  <c r="AG36" i="7"/>
  <c r="N36" i="7"/>
  <c r="K36" i="7" s="1"/>
  <c r="M36" i="7"/>
  <c r="L36" i="7"/>
  <c r="J36" i="7"/>
  <c r="I36" i="7"/>
  <c r="BF35" i="7"/>
  <c r="AL35" i="7"/>
  <c r="BH35" i="7" s="1" a="1"/>
  <c r="AK35" i="7"/>
  <c r="AJ35" i="7"/>
  <c r="AH35" i="7"/>
  <c r="AG35" i="7"/>
  <c r="N35" i="7"/>
  <c r="K35" i="7" s="1"/>
  <c r="M35" i="7"/>
  <c r="L35" i="7"/>
  <c r="J35" i="7"/>
  <c r="I35" i="7"/>
  <c r="BF34" i="7"/>
  <c r="AL34" i="7"/>
  <c r="AK34" i="7"/>
  <c r="AJ34" i="7"/>
  <c r="AH34" i="7"/>
  <c r="AG34" i="7"/>
  <c r="N34" i="7"/>
  <c r="K34" i="7" s="1"/>
  <c r="M34" i="7"/>
  <c r="L34" i="7"/>
  <c r="J34" i="7"/>
  <c r="I34" i="7"/>
  <c r="BF33" i="7"/>
  <c r="AL33" i="7"/>
  <c r="AK33" i="7"/>
  <c r="AJ33" i="7"/>
  <c r="AH33" i="7"/>
  <c r="AG33" i="7"/>
  <c r="N33" i="7"/>
  <c r="K33" i="7" s="1"/>
  <c r="M33" i="7"/>
  <c r="L33" i="7"/>
  <c r="J33" i="7"/>
  <c r="I33" i="7"/>
  <c r="BF32" i="7"/>
  <c r="AL32" i="7"/>
  <c r="AI32" i="7" s="1"/>
  <c r="AK32" i="7"/>
  <c r="AJ32" i="7"/>
  <c r="AH32" i="7"/>
  <c r="AG32" i="7"/>
  <c r="N32" i="7"/>
  <c r="K32" i="7" s="1"/>
  <c r="M32" i="7"/>
  <c r="L32" i="7"/>
  <c r="J32" i="7"/>
  <c r="I32" i="7"/>
  <c r="BF31" i="7"/>
  <c r="AL31" i="7"/>
  <c r="AK31" i="7"/>
  <c r="AJ31" i="7"/>
  <c r="AH31" i="7"/>
  <c r="AG31" i="7"/>
  <c r="N31" i="7"/>
  <c r="K31" i="7" s="1"/>
  <c r="M31" i="7"/>
  <c r="L31" i="7"/>
  <c r="J31" i="7"/>
  <c r="I31" i="7"/>
  <c r="BF30" i="7"/>
  <c r="AL30" i="7"/>
  <c r="BH30" i="7" s="1" a="1"/>
  <c r="AK30" i="7"/>
  <c r="AJ30" i="7"/>
  <c r="AH30" i="7"/>
  <c r="AG30" i="7"/>
  <c r="N30" i="7"/>
  <c r="M30" i="7"/>
  <c r="L30" i="7"/>
  <c r="J30" i="7"/>
  <c r="I30" i="7"/>
  <c r="BF29" i="7"/>
  <c r="AL29" i="7"/>
  <c r="AI29" i="7" s="1"/>
  <c r="AK29" i="7"/>
  <c r="AJ29" i="7"/>
  <c r="AH29" i="7"/>
  <c r="AG29" i="7"/>
  <c r="N29" i="7"/>
  <c r="K29" i="7" s="1"/>
  <c r="M29" i="7"/>
  <c r="L29" i="7"/>
  <c r="J29" i="7"/>
  <c r="I29" i="7"/>
  <c r="BF28" i="7"/>
  <c r="AL28" i="7"/>
  <c r="AI28" i="7" s="1"/>
  <c r="AK28" i="7"/>
  <c r="AJ28" i="7"/>
  <c r="AH28" i="7"/>
  <c r="AG28" i="7"/>
  <c r="N28" i="7"/>
  <c r="K28" i="7" s="1"/>
  <c r="M28" i="7"/>
  <c r="L28" i="7"/>
  <c r="J28" i="7"/>
  <c r="I28" i="7"/>
  <c r="BF27" i="7"/>
  <c r="AL27" i="7"/>
  <c r="AI27" i="7" s="1"/>
  <c r="AK27" i="7"/>
  <c r="AJ27" i="7"/>
  <c r="AH27" i="7"/>
  <c r="AG27" i="7"/>
  <c r="N27" i="7"/>
  <c r="M27" i="7"/>
  <c r="L27" i="7"/>
  <c r="J27" i="7"/>
  <c r="I27" i="7"/>
  <c r="BF26" i="7"/>
  <c r="AL26" i="7"/>
  <c r="AK26" i="7"/>
  <c r="AJ26" i="7"/>
  <c r="AH26" i="7"/>
  <c r="AG26" i="7"/>
  <c r="N26" i="7"/>
  <c r="K26" i="7" s="1"/>
  <c r="M26" i="7"/>
  <c r="L26" i="7"/>
  <c r="J26" i="7"/>
  <c r="I26" i="7"/>
  <c r="BF25" i="7"/>
  <c r="AL25" i="7"/>
  <c r="AI25" i="7" s="1"/>
  <c r="AK25" i="7"/>
  <c r="AJ25" i="7"/>
  <c r="AH25" i="7"/>
  <c r="AG25" i="7"/>
  <c r="N25" i="7"/>
  <c r="K25" i="7" s="1"/>
  <c r="M25" i="7"/>
  <c r="L25" i="7"/>
  <c r="J25" i="7"/>
  <c r="I25" i="7"/>
  <c r="BF24" i="7"/>
  <c r="AL24" i="7"/>
  <c r="AI24" i="7" s="1"/>
  <c r="AK24" i="7"/>
  <c r="AJ24" i="7"/>
  <c r="AH24" i="7"/>
  <c r="AG24" i="7"/>
  <c r="N24" i="7"/>
  <c r="K24" i="7" s="1"/>
  <c r="M24" i="7"/>
  <c r="L24" i="7"/>
  <c r="J24" i="7"/>
  <c r="I24" i="7"/>
  <c r="BF23" i="7"/>
  <c r="AL23" i="7"/>
  <c r="AI23" i="7" s="1"/>
  <c r="AK23" i="7"/>
  <c r="AJ23" i="7"/>
  <c r="AH23" i="7"/>
  <c r="AG23" i="7"/>
  <c r="N23" i="7"/>
  <c r="M23" i="7"/>
  <c r="L23" i="7"/>
  <c r="J23" i="7"/>
  <c r="I23" i="7"/>
  <c r="BF22" i="7"/>
  <c r="AL22" i="7"/>
  <c r="AI22" i="7" s="1"/>
  <c r="AK22" i="7"/>
  <c r="AJ22" i="7"/>
  <c r="AH22" i="7"/>
  <c r="AG22" i="7"/>
  <c r="N22" i="7"/>
  <c r="K22" i="7" s="1"/>
  <c r="M22" i="7"/>
  <c r="L22" i="7"/>
  <c r="J22" i="7"/>
  <c r="I22" i="7"/>
  <c r="BF21" i="7"/>
  <c r="AL21" i="7"/>
  <c r="AI21" i="7" s="1"/>
  <c r="AK21" i="7"/>
  <c r="AJ21" i="7"/>
  <c r="AH21" i="7"/>
  <c r="AG21" i="7"/>
  <c r="N21" i="7"/>
  <c r="K21" i="7" s="1"/>
  <c r="M21" i="7"/>
  <c r="L21" i="7"/>
  <c r="J21" i="7"/>
  <c r="I21" i="7"/>
  <c r="BF20" i="7"/>
  <c r="AL20" i="7"/>
  <c r="AI20" i="7" s="1"/>
  <c r="AK20" i="7"/>
  <c r="AJ20" i="7"/>
  <c r="AH20" i="7"/>
  <c r="AG20" i="7"/>
  <c r="N20" i="7"/>
  <c r="K20" i="7" s="1"/>
  <c r="M20" i="7"/>
  <c r="L20" i="7"/>
  <c r="J20" i="7"/>
  <c r="I20" i="7"/>
  <c r="BF19" i="7"/>
  <c r="AL19" i="7"/>
  <c r="AI19" i="7" s="1"/>
  <c r="AK19" i="7"/>
  <c r="AJ19" i="7"/>
  <c r="AH19" i="7"/>
  <c r="AG19" i="7"/>
  <c r="N19" i="7"/>
  <c r="M19" i="7"/>
  <c r="L19" i="7"/>
  <c r="J19" i="7"/>
  <c r="I19" i="7"/>
  <c r="BF18" i="7"/>
  <c r="AL18" i="7"/>
  <c r="AK18" i="7"/>
  <c r="AJ18" i="7"/>
  <c r="AH18" i="7"/>
  <c r="AG18" i="7"/>
  <c r="N18" i="7"/>
  <c r="K18" i="7" s="1"/>
  <c r="M18" i="7"/>
  <c r="L18" i="7"/>
  <c r="J18" i="7"/>
  <c r="I18" i="7"/>
  <c r="BF17" i="7"/>
  <c r="AL17" i="7"/>
  <c r="BH15" i="7" s="1" a="1"/>
  <c r="AK17" i="7"/>
  <c r="AJ17" i="7"/>
  <c r="AH17" i="7"/>
  <c r="AG17" i="7"/>
  <c r="N17" i="7"/>
  <c r="K17" i="7" s="1"/>
  <c r="M17" i="7"/>
  <c r="L17" i="7"/>
  <c r="J17" i="7"/>
  <c r="I17" i="7"/>
  <c r="BF16" i="7"/>
  <c r="AL16" i="7"/>
  <c r="AI16" i="7" s="1"/>
  <c r="AK16" i="7"/>
  <c r="AJ16" i="7"/>
  <c r="AH16" i="7"/>
  <c r="AG16" i="7"/>
  <c r="N16" i="7"/>
  <c r="K16" i="7" s="1"/>
  <c r="M16" i="7"/>
  <c r="L16" i="7"/>
  <c r="J16" i="7"/>
  <c r="I16" i="7"/>
  <c r="BF15" i="7"/>
  <c r="AL15" i="7"/>
  <c r="AI15" i="7" s="1"/>
  <c r="AK15" i="7"/>
  <c r="AJ15" i="7"/>
  <c r="AH15" i="7"/>
  <c r="AG15" i="7"/>
  <c r="N15" i="7"/>
  <c r="K15" i="7" s="1"/>
  <c r="M15" i="7"/>
  <c r="L15" i="7"/>
  <c r="J15" i="7"/>
  <c r="I15" i="7"/>
  <c r="BF14" i="7"/>
  <c r="AL14" i="7"/>
  <c r="AI14" i="7" s="1"/>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I11" i="7" s="1"/>
  <c r="AK11" i="7"/>
  <c r="AJ11" i="7"/>
  <c r="AH11" i="7"/>
  <c r="AG11" i="7"/>
  <c r="N11" i="7"/>
  <c r="K11" i="7" s="1"/>
  <c r="M11" i="7"/>
  <c r="L11" i="7"/>
  <c r="J11" i="7"/>
  <c r="I11" i="7"/>
  <c r="BF10" i="7"/>
  <c r="AL10" i="7"/>
  <c r="AK10" i="7"/>
  <c r="AJ10" i="7"/>
  <c r="AH10" i="7"/>
  <c r="AG10" i="7"/>
  <c r="N10" i="7"/>
  <c r="K10" i="7" s="1"/>
  <c r="M10" i="7"/>
  <c r="L10" i="7"/>
  <c r="J10" i="7"/>
  <c r="I10" i="7"/>
  <c r="BF9" i="7"/>
  <c r="AL9" i="7"/>
  <c r="AI9" i="7" s="1"/>
  <c r="AK9" i="7"/>
  <c r="AJ9" i="7"/>
  <c r="AH9" i="7"/>
  <c r="AG9" i="7"/>
  <c r="N9" i="7"/>
  <c r="K9" i="7" s="1"/>
  <c r="M9" i="7"/>
  <c r="L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AI6" i="7" s="1"/>
  <c r="AK6" i="7"/>
  <c r="AJ6" i="7"/>
  <c r="AH6" i="7"/>
  <c r="AG6" i="7"/>
  <c r="N6" i="7"/>
  <c r="K6" i="7" s="1"/>
  <c r="M6" i="7"/>
  <c r="L6" i="7"/>
  <c r="J6" i="7"/>
  <c r="I6" i="7"/>
  <c r="BF5" i="7"/>
  <c r="AL5" i="7"/>
  <c r="AI5" i="7" s="1"/>
  <c r="AK5" i="7"/>
  <c r="AJ5" i="7"/>
  <c r="AH5" i="7"/>
  <c r="AG5" i="7"/>
  <c r="N5" i="7"/>
  <c r="K5" i="7" s="1"/>
  <c r="M5" i="7"/>
  <c r="L5" i="7"/>
  <c r="J5" i="7"/>
  <c r="I5" i="7"/>
  <c r="AG1" i="7"/>
  <c r="AZ18" i="6"/>
  <c r="AY18" i="6"/>
  <c r="AX18" i="6"/>
  <c r="AW18" i="6"/>
  <c r="AC18" i="6"/>
  <c r="AB18" i="6"/>
  <c r="AA18" i="6"/>
  <c r="Z18" i="6"/>
  <c r="AW19" i="6" s="1"/>
  <c r="C35" i="1" s="1"/>
  <c r="AZ16" i="6"/>
  <c r="AY16" i="6"/>
  <c r="AX16" i="6"/>
  <c r="AW16" i="6"/>
  <c r="AC16" i="6"/>
  <c r="AB16" i="6"/>
  <c r="AA16" i="6"/>
  <c r="Z16" i="6"/>
  <c r="AW17" i="6" s="1"/>
  <c r="AK11" i="6"/>
  <c r="AH11" i="6" s="1"/>
  <c r="AJ11" i="6"/>
  <c r="AI11" i="6"/>
  <c r="AG11" i="6"/>
  <c r="BB11" i="6" s="1"/>
  <c r="AF11" i="6"/>
  <c r="AE11" i="6"/>
  <c r="N11" i="6"/>
  <c r="K11" i="6" s="1"/>
  <c r="M11" i="6"/>
  <c r="L11" i="6"/>
  <c r="J11" i="6"/>
  <c r="I11" i="6"/>
  <c r="H11" i="6"/>
  <c r="AK10" i="6"/>
  <c r="AH10" i="6" s="1"/>
  <c r="AJ10" i="6"/>
  <c r="AI10" i="6"/>
  <c r="BD10" i="6" s="1"/>
  <c r="AG10" i="6"/>
  <c r="AG14" i="6" s="1"/>
  <c r="AF10" i="6"/>
  <c r="AE10" i="6"/>
  <c r="N10" i="6"/>
  <c r="M10" i="6"/>
  <c r="M14" i="6" s="1"/>
  <c r="L10" i="6"/>
  <c r="L14" i="6" s="1"/>
  <c r="J10" i="6"/>
  <c r="J14" i="6" s="1"/>
  <c r="I10" i="6"/>
  <c r="H10" i="6"/>
  <c r="BG9" i="6" a="1"/>
  <c r="AK9" i="6"/>
  <c r="AJ9" i="6"/>
  <c r="AJ13" i="6" s="1"/>
  <c r="AI9" i="6"/>
  <c r="AI13" i="6" s="1"/>
  <c r="AG9" i="6"/>
  <c r="AF9" i="6"/>
  <c r="AE9" i="6"/>
  <c r="N9" i="6"/>
  <c r="K9" i="6" s="1"/>
  <c r="M9" i="6"/>
  <c r="L9" i="6"/>
  <c r="L13" i="6" s="1"/>
  <c r="J9" i="6"/>
  <c r="J13" i="6" s="1"/>
  <c r="I9" i="6"/>
  <c r="H9" i="6"/>
  <c r="AK8" i="6"/>
  <c r="AH8" i="6" s="1"/>
  <c r="AJ8" i="6"/>
  <c r="AI8" i="6"/>
  <c r="AG8" i="6"/>
  <c r="AF8" i="6"/>
  <c r="AE8" i="6"/>
  <c r="N8" i="6"/>
  <c r="K8" i="6" s="1"/>
  <c r="M8" i="6"/>
  <c r="L8" i="6"/>
  <c r="J8" i="6"/>
  <c r="I8" i="6"/>
  <c r="H8" i="6"/>
  <c r="AK7" i="6"/>
  <c r="AH7" i="6" s="1"/>
  <c r="AJ7" i="6"/>
  <c r="AI7" i="6"/>
  <c r="AG7" i="6"/>
  <c r="AF7" i="6"/>
  <c r="AE7" i="6"/>
  <c r="N7" i="6"/>
  <c r="K7" i="6" s="1"/>
  <c r="M7" i="6"/>
  <c r="L7" i="6"/>
  <c r="J7" i="6"/>
  <c r="I7" i="6"/>
  <c r="H7" i="6"/>
  <c r="AK6" i="6"/>
  <c r="AH6" i="6" s="1"/>
  <c r="AJ6" i="6"/>
  <c r="AI6" i="6"/>
  <c r="AG6" i="6"/>
  <c r="AF6" i="6"/>
  <c r="AE6" i="6"/>
  <c r="N6" i="6"/>
  <c r="K6" i="6" s="1"/>
  <c r="M6" i="6"/>
  <c r="L6" i="6"/>
  <c r="J6" i="6"/>
  <c r="I6" i="6"/>
  <c r="H6" i="6"/>
  <c r="BG5" i="6" a="1"/>
  <c r="AK5" i="6"/>
  <c r="AH5" i="6" s="1"/>
  <c r="AJ5" i="6"/>
  <c r="AI5" i="6"/>
  <c r="AG5" i="6"/>
  <c r="AF5" i="6"/>
  <c r="AE5" i="6"/>
  <c r="N5" i="6"/>
  <c r="K5" i="6" s="1"/>
  <c r="M5" i="6"/>
  <c r="L5" i="6"/>
  <c r="J5" i="6"/>
  <c r="I5" i="6"/>
  <c r="H5" i="6"/>
  <c r="AE1" i="6"/>
  <c r="H1" i="6"/>
  <c r="AZ18" i="5"/>
  <c r="AY18" i="5"/>
  <c r="AX18" i="5"/>
  <c r="AX19" i="5" s="1"/>
  <c r="AW18" i="5"/>
  <c r="AC18" i="5"/>
  <c r="AB18" i="5"/>
  <c r="AA18" i="5"/>
  <c r="Z18" i="5"/>
  <c r="AZ16" i="5"/>
  <c r="AY16" i="5"/>
  <c r="AX16" i="5"/>
  <c r="AW16" i="5"/>
  <c r="AC16" i="5"/>
  <c r="AB16" i="5"/>
  <c r="AY17" i="5" s="1"/>
  <c r="AA16" i="5"/>
  <c r="Z16" i="5"/>
  <c r="L13" i="5"/>
  <c r="AK11" i="5"/>
  <c r="AH11" i="5" s="1"/>
  <c r="AJ11" i="5"/>
  <c r="AI11" i="5"/>
  <c r="AG11" i="5"/>
  <c r="AF11" i="5"/>
  <c r="AE11" i="5"/>
  <c r="N11" i="5"/>
  <c r="K11" i="5" s="1"/>
  <c r="M11" i="5"/>
  <c r="L11" i="5"/>
  <c r="J11" i="5"/>
  <c r="I11" i="5"/>
  <c r="H11" i="5"/>
  <c r="BG10" i="5" a="1"/>
  <c r="AK10" i="5"/>
  <c r="AJ10" i="5"/>
  <c r="AJ14" i="5" s="1"/>
  <c r="AI10" i="5"/>
  <c r="AI14" i="5" s="1"/>
  <c r="AH10" i="5"/>
  <c r="AH14" i="5" s="1"/>
  <c r="AG10" i="5"/>
  <c r="AF10" i="5"/>
  <c r="AE10" i="5"/>
  <c r="N10" i="5"/>
  <c r="M10" i="5"/>
  <c r="L10" i="5"/>
  <c r="BD10" i="5" s="1"/>
  <c r="K10" i="5"/>
  <c r="K14" i="5" s="1"/>
  <c r="J10" i="5"/>
  <c r="I10" i="5"/>
  <c r="H10" i="5"/>
  <c r="AK9" i="5"/>
  <c r="BG9" i="5" s="1" a="1"/>
  <c r="AJ9" i="5"/>
  <c r="AJ13" i="5" s="1"/>
  <c r="AI9" i="5"/>
  <c r="AI13" i="5" s="1"/>
  <c r="AH9" i="5"/>
  <c r="BC9" i="5" s="1"/>
  <c r="AG9" i="5"/>
  <c r="AG13" i="5" s="1"/>
  <c r="AF9" i="5"/>
  <c r="AE9" i="5"/>
  <c r="N9" i="5"/>
  <c r="K9" i="5" s="1"/>
  <c r="K13" i="5" s="1"/>
  <c r="M9" i="5"/>
  <c r="M13" i="5" s="1"/>
  <c r="L9" i="5"/>
  <c r="BD9" i="5" s="1"/>
  <c r="J9" i="5"/>
  <c r="I9" i="5"/>
  <c r="H9" i="5"/>
  <c r="AK8" i="5"/>
  <c r="AH8" i="5" s="1"/>
  <c r="AJ8" i="5"/>
  <c r="AI8" i="5"/>
  <c r="AG8" i="5"/>
  <c r="AF8" i="5"/>
  <c r="AE8" i="5"/>
  <c r="N8" i="5"/>
  <c r="K8" i="5" s="1"/>
  <c r="M8" i="5"/>
  <c r="BE8" i="5" s="1"/>
  <c r="L8" i="5"/>
  <c r="J8" i="5"/>
  <c r="I8" i="5"/>
  <c r="H8" i="5"/>
  <c r="AK7" i="5"/>
  <c r="AH7" i="5" s="1"/>
  <c r="AJ7" i="5"/>
  <c r="BE7" i="5" s="1"/>
  <c r="AI7" i="5"/>
  <c r="AG7" i="5"/>
  <c r="AF7" i="5"/>
  <c r="AE7" i="5"/>
  <c r="N7" i="5"/>
  <c r="K7" i="5" s="1"/>
  <c r="M7" i="5"/>
  <c r="L7" i="5"/>
  <c r="J7" i="5"/>
  <c r="I7" i="5"/>
  <c r="H7" i="5"/>
  <c r="BG6" i="5" a="1"/>
  <c r="AK6" i="5"/>
  <c r="BF6" i="5" s="1"/>
  <c r="AJ6" i="5"/>
  <c r="AI6" i="5"/>
  <c r="AG6" i="5"/>
  <c r="AF6" i="5"/>
  <c r="AE6" i="5"/>
  <c r="N6" i="5"/>
  <c r="K6" i="5" s="1"/>
  <c r="M6" i="5"/>
  <c r="L6" i="5"/>
  <c r="J6" i="5"/>
  <c r="I6" i="5"/>
  <c r="H6" i="5"/>
  <c r="AK5" i="5"/>
  <c r="AH5" i="5" s="1"/>
  <c r="AJ5" i="5"/>
  <c r="AI5" i="5"/>
  <c r="AI15" i="5" s="1"/>
  <c r="AG5" i="5"/>
  <c r="AF5" i="5"/>
  <c r="AE5" i="5"/>
  <c r="N5" i="5"/>
  <c r="K5" i="5" s="1"/>
  <c r="M5" i="5"/>
  <c r="M12" i="5" s="1"/>
  <c r="L5" i="5"/>
  <c r="J5" i="5"/>
  <c r="I5" i="5"/>
  <c r="H5" i="5"/>
  <c r="AE1" i="5"/>
  <c r="H1" i="5"/>
  <c r="BC46" i="3"/>
  <c r="BB46" i="3"/>
  <c r="BA46" i="3"/>
  <c r="AZ46" i="3"/>
  <c r="AE46" i="3"/>
  <c r="AD46" i="3"/>
  <c r="AC46" i="3"/>
  <c r="BA47" i="3" s="1"/>
  <c r="AB46" i="3"/>
  <c r="BC44" i="3"/>
  <c r="BB44" i="3"/>
  <c r="BA44" i="3"/>
  <c r="AZ44" i="3"/>
  <c r="AE44" i="3"/>
  <c r="AD44" i="3"/>
  <c r="AC44" i="3"/>
  <c r="BA45" i="3" s="1"/>
  <c r="AB44" i="3"/>
  <c r="AZ45" i="3" s="1"/>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M37" i="3"/>
  <c r="L37" i="3"/>
  <c r="J37" i="3"/>
  <c r="I37" i="3"/>
  <c r="BF36" i="3"/>
  <c r="AL36" i="3"/>
  <c r="AI36" i="3" s="1"/>
  <c r="AK36" i="3"/>
  <c r="AJ36" i="3"/>
  <c r="AH36" i="3"/>
  <c r="AG36" i="3"/>
  <c r="N36" i="3"/>
  <c r="K36" i="3" s="1"/>
  <c r="M36" i="3"/>
  <c r="L36" i="3"/>
  <c r="J36" i="3"/>
  <c r="I36" i="3"/>
  <c r="BF35" i="3"/>
  <c r="AL35" i="3"/>
  <c r="AI35" i="3" s="1"/>
  <c r="AK35" i="3"/>
  <c r="AJ35" i="3"/>
  <c r="AH35" i="3"/>
  <c r="AG35" i="3"/>
  <c r="N35" i="3"/>
  <c r="K35" i="3" s="1"/>
  <c r="M35" i="3"/>
  <c r="L35" i="3"/>
  <c r="J35" i="3"/>
  <c r="I35" i="3"/>
  <c r="BF34" i="3"/>
  <c r="AL34" i="3"/>
  <c r="AI34" i="3" s="1"/>
  <c r="AK34" i="3"/>
  <c r="AJ34" i="3"/>
  <c r="AH34" i="3"/>
  <c r="AG34" i="3"/>
  <c r="N34" i="3"/>
  <c r="K34" i="3" s="1"/>
  <c r="M34" i="3"/>
  <c r="L34" i="3"/>
  <c r="J34" i="3"/>
  <c r="I34" i="3"/>
  <c r="BF33" i="3"/>
  <c r="AL33" i="3"/>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F30" i="3"/>
  <c r="AL30" i="3"/>
  <c r="BH30" i="3" s="1" a="1"/>
  <c r="AK30" i="3"/>
  <c r="AJ30" i="3"/>
  <c r="AH30" i="3"/>
  <c r="AG30" i="3"/>
  <c r="N30" i="3"/>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M27" i="3"/>
  <c r="L27" i="3"/>
  <c r="J27" i="3"/>
  <c r="I27" i="3"/>
  <c r="BF26" i="3"/>
  <c r="AL26" i="3"/>
  <c r="AK26" i="3"/>
  <c r="AJ26" i="3"/>
  <c r="AH26" i="3"/>
  <c r="AG26" i="3"/>
  <c r="N26" i="3"/>
  <c r="K26" i="3" s="1"/>
  <c r="M26" i="3"/>
  <c r="L26" i="3"/>
  <c r="J26" i="3"/>
  <c r="I26" i="3"/>
  <c r="BF25" i="3"/>
  <c r="AL25" i="3"/>
  <c r="AI25" i="3" s="1"/>
  <c r="AK25" i="3"/>
  <c r="AJ25" i="3"/>
  <c r="AH25" i="3"/>
  <c r="AG25" i="3"/>
  <c r="N25" i="3"/>
  <c r="K25" i="3" s="1"/>
  <c r="M25" i="3"/>
  <c r="L25" i="3"/>
  <c r="J25" i="3"/>
  <c r="I25" i="3"/>
  <c r="BF24" i="3"/>
  <c r="AL24" i="3"/>
  <c r="AI24" i="3" s="1"/>
  <c r="AK24" i="3"/>
  <c r="AJ24" i="3"/>
  <c r="AH24" i="3"/>
  <c r="AG24" i="3"/>
  <c r="N24" i="3"/>
  <c r="K24" i="3" s="1"/>
  <c r="M24" i="3"/>
  <c r="L24" i="3"/>
  <c r="J24" i="3"/>
  <c r="I24" i="3"/>
  <c r="BF23" i="3"/>
  <c r="AL23" i="3"/>
  <c r="AI23" i="3" s="1"/>
  <c r="AK23" i="3"/>
  <c r="AJ23" i="3"/>
  <c r="AH23" i="3"/>
  <c r="AG23" i="3"/>
  <c r="N23" i="3"/>
  <c r="K23" i="3" s="1"/>
  <c r="M23" i="3"/>
  <c r="L23" i="3"/>
  <c r="J23" i="3"/>
  <c r="I23" i="3"/>
  <c r="BF22" i="3"/>
  <c r="AL22" i="3"/>
  <c r="AI22" i="3" s="1"/>
  <c r="AK22" i="3"/>
  <c r="AJ22" i="3"/>
  <c r="AH22" i="3"/>
  <c r="AG22" i="3"/>
  <c r="N22" i="3"/>
  <c r="K22" i="3" s="1"/>
  <c r="M22" i="3"/>
  <c r="L22" i="3"/>
  <c r="J22" i="3"/>
  <c r="I22" i="3"/>
  <c r="BF21" i="3"/>
  <c r="AL21" i="3"/>
  <c r="AK21" i="3"/>
  <c r="AJ21" i="3"/>
  <c r="AH21" i="3"/>
  <c r="AG21" i="3"/>
  <c r="N21" i="3"/>
  <c r="K21" i="3" s="1"/>
  <c r="M21" i="3"/>
  <c r="L21" i="3"/>
  <c r="J21" i="3"/>
  <c r="I21" i="3"/>
  <c r="BF20" i="3"/>
  <c r="AL20" i="3"/>
  <c r="AI20" i="3" s="1"/>
  <c r="AK20" i="3"/>
  <c r="AJ20" i="3"/>
  <c r="AH20" i="3"/>
  <c r="AG20" i="3"/>
  <c r="N20" i="3"/>
  <c r="M20" i="3"/>
  <c r="L20" i="3"/>
  <c r="K20" i="3"/>
  <c r="J20" i="3"/>
  <c r="I20" i="3"/>
  <c r="BF19" i="3"/>
  <c r="AL19" i="3"/>
  <c r="BG19" i="3" s="1"/>
  <c r="AK19" i="3"/>
  <c r="AJ19" i="3"/>
  <c r="AH19" i="3"/>
  <c r="AG19" i="3"/>
  <c r="N19" i="3"/>
  <c r="K19" i="3" s="1"/>
  <c r="M19" i="3"/>
  <c r="L19" i="3"/>
  <c r="J19" i="3"/>
  <c r="I19" i="3"/>
  <c r="BF18" i="3"/>
  <c r="AL18" i="3"/>
  <c r="AK18" i="3"/>
  <c r="AJ18" i="3"/>
  <c r="AH18" i="3"/>
  <c r="AG18" i="3"/>
  <c r="N18" i="3"/>
  <c r="K18" i="3" s="1"/>
  <c r="M18" i="3"/>
  <c r="L18" i="3"/>
  <c r="J18" i="3"/>
  <c r="I18" i="3"/>
  <c r="BF17" i="3"/>
  <c r="AL17" i="3"/>
  <c r="AI17" i="3" s="1"/>
  <c r="AK17" i="3"/>
  <c r="AJ17" i="3"/>
  <c r="AH17" i="3"/>
  <c r="AG17" i="3"/>
  <c r="N17" i="3"/>
  <c r="K17" i="3" s="1"/>
  <c r="M17" i="3"/>
  <c r="L17" i="3"/>
  <c r="J17" i="3"/>
  <c r="I17" i="3"/>
  <c r="BF16" i="3"/>
  <c r="AL16" i="3"/>
  <c r="AK16" i="3"/>
  <c r="AJ16" i="3"/>
  <c r="AH16" i="3"/>
  <c r="AG16" i="3"/>
  <c r="N16" i="3"/>
  <c r="K16" i="3" s="1"/>
  <c r="M16" i="3"/>
  <c r="L16" i="3"/>
  <c r="J16" i="3"/>
  <c r="I16" i="3"/>
  <c r="BF15" i="3"/>
  <c r="AL15" i="3"/>
  <c r="AI15" i="3" s="1"/>
  <c r="AK15" i="3"/>
  <c r="AJ15" i="3"/>
  <c r="AH15" i="3"/>
  <c r="AG15" i="3"/>
  <c r="N15" i="3"/>
  <c r="K15" i="3" s="1"/>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K12" i="3"/>
  <c r="AJ12" i="3"/>
  <c r="AH12" i="3"/>
  <c r="AG12" i="3"/>
  <c r="N12" i="3"/>
  <c r="K12" i="3" s="1"/>
  <c r="M12" i="3"/>
  <c r="L12" i="3"/>
  <c r="J12" i="3"/>
  <c r="I12" i="3"/>
  <c r="BF11" i="3"/>
  <c r="AL11" i="3"/>
  <c r="AK11" i="3"/>
  <c r="AJ11" i="3"/>
  <c r="AH11" i="3"/>
  <c r="AG11" i="3"/>
  <c r="N11" i="3"/>
  <c r="K11" i="3" s="1"/>
  <c r="M11" i="3"/>
  <c r="L11" i="3"/>
  <c r="J11" i="3"/>
  <c r="I11" i="3"/>
  <c r="BH10" i="3" a="1"/>
  <c r="BF10" i="3"/>
  <c r="AL10" i="3"/>
  <c r="AI10" i="3" s="1"/>
  <c r="AK10" i="3"/>
  <c r="AJ10" i="3"/>
  <c r="AH10" i="3"/>
  <c r="AG10" i="3"/>
  <c r="N10" i="3"/>
  <c r="M10" i="3"/>
  <c r="L10" i="3"/>
  <c r="J10" i="3"/>
  <c r="I10" i="3"/>
  <c r="BF9" i="3"/>
  <c r="AL9" i="3"/>
  <c r="AK9" i="3"/>
  <c r="AJ9" i="3"/>
  <c r="AH9" i="3"/>
  <c r="AG9" i="3"/>
  <c r="N9" i="3"/>
  <c r="K9" i="3" s="1"/>
  <c r="M9" i="3"/>
  <c r="L9" i="3"/>
  <c r="J9" i="3"/>
  <c r="I9" i="3"/>
  <c r="BF8" i="3"/>
  <c r="AL8" i="3"/>
  <c r="AK8" i="3"/>
  <c r="AJ8" i="3"/>
  <c r="AH8" i="3"/>
  <c r="AG8" i="3"/>
  <c r="N8" i="3"/>
  <c r="K8" i="3" s="1"/>
  <c r="M8" i="3"/>
  <c r="L8" i="3"/>
  <c r="J8" i="3"/>
  <c r="I8" i="3"/>
  <c r="BF7" i="3"/>
  <c r="AL7" i="3"/>
  <c r="AI7" i="3" s="1"/>
  <c r="AK7" i="3"/>
  <c r="AJ7" i="3"/>
  <c r="AH7" i="3"/>
  <c r="AG7" i="3"/>
  <c r="N7" i="3"/>
  <c r="K7" i="3" s="1"/>
  <c r="M7" i="3"/>
  <c r="L7" i="3"/>
  <c r="J7" i="3"/>
  <c r="I7" i="3"/>
  <c r="BF6" i="3"/>
  <c r="AL6" i="3"/>
  <c r="AI6" i="3" s="1"/>
  <c r="AK6" i="3"/>
  <c r="AJ6" i="3"/>
  <c r="AH6" i="3"/>
  <c r="AG6" i="3"/>
  <c r="N6" i="3"/>
  <c r="K6" i="3" s="1"/>
  <c r="M6" i="3"/>
  <c r="L6" i="3"/>
  <c r="J6" i="3"/>
  <c r="I6" i="3"/>
  <c r="BF5" i="3"/>
  <c r="AL5" i="3"/>
  <c r="AI5" i="3" s="1"/>
  <c r="AK5" i="3"/>
  <c r="AJ5" i="3"/>
  <c r="AH5" i="3"/>
  <c r="AG5" i="3"/>
  <c r="N5" i="3"/>
  <c r="K5" i="3" s="1"/>
  <c r="M5" i="3"/>
  <c r="L5" i="3"/>
  <c r="J5" i="3"/>
  <c r="I5" i="3"/>
  <c r="AG1" i="3"/>
  <c r="B1" i="2"/>
  <c r="B2" i="2" s="1"/>
  <c r="BR30" i="7"/>
  <c r="BM30" i="7"/>
  <c r="BS5" i="3"/>
  <c r="BL25" i="7"/>
  <c r="BS20" i="3"/>
  <c r="BP20" i="7"/>
  <c r="BN30" i="3"/>
  <c r="BR35" i="7"/>
  <c r="BL30" i="3"/>
  <c r="BL30" i="7"/>
  <c r="BK15" i="7"/>
  <c r="BQ5" i="7"/>
  <c r="BQ25" i="7"/>
  <c r="BQ20" i="3"/>
  <c r="BM10" i="7"/>
  <c r="BS35" i="7"/>
  <c r="BT15" i="3"/>
  <c r="BP10" i="7"/>
  <c r="BL35" i="3"/>
  <c r="BQ30" i="3"/>
  <c r="BR35" i="3"/>
  <c r="BN35" i="7"/>
  <c r="BT25" i="7"/>
  <c r="BT20" i="7"/>
  <c r="BM35" i="7"/>
  <c r="BK30" i="7"/>
  <c r="BL15" i="3"/>
  <c r="BR30" i="3"/>
  <c r="BQ35" i="3"/>
  <c r="BK10" i="7"/>
  <c r="BN5" i="3"/>
  <c r="BR15" i="7"/>
  <c r="BS20" i="7"/>
  <c r="BT30" i="3"/>
  <c r="BM10" i="3"/>
  <c r="BQ35" i="7"/>
  <c r="BP35" i="3"/>
  <c r="BT5" i="7"/>
  <c r="BR5" i="7"/>
  <c r="BP25" i="3"/>
  <c r="BL35" i="7"/>
  <c r="BR15" i="3"/>
  <c r="BM20" i="3"/>
  <c r="BR5" i="3"/>
  <c r="BN25" i="3"/>
  <c r="BP10" i="3"/>
  <c r="BQ25" i="3"/>
  <c r="BS25" i="3"/>
  <c r="BS25" i="7"/>
  <c r="BP25" i="7"/>
  <c r="BT5" i="3"/>
  <c r="BT25" i="3"/>
  <c r="BT10" i="3"/>
  <c r="BR20" i="3"/>
  <c r="BL25" i="3"/>
  <c r="BS10" i="7"/>
  <c r="BN10" i="7"/>
  <c r="BM30" i="3"/>
  <c r="BQ15" i="7"/>
  <c r="BR10" i="3"/>
  <c r="BN35" i="3"/>
  <c r="BS15" i="3"/>
  <c r="BP15" i="3"/>
  <c r="BQ5" i="3"/>
  <c r="BK10" i="3"/>
  <c r="BR25" i="3"/>
  <c r="BQ15" i="3"/>
  <c r="BQ30" i="7"/>
  <c r="BN15" i="7"/>
  <c r="BP5" i="7"/>
  <c r="BN5" i="7"/>
  <c r="BT10" i="7"/>
  <c r="BQ10" i="3"/>
  <c r="BM5" i="3"/>
  <c r="BS15" i="7"/>
  <c r="BN20" i="3"/>
  <c r="BN25" i="7"/>
  <c r="BJ35" i="7"/>
  <c r="BK15" i="3"/>
  <c r="BT30" i="7"/>
  <c r="BL10" i="3"/>
  <c r="BL5" i="3"/>
  <c r="BS10" i="3"/>
  <c r="BS35" i="3"/>
  <c r="BR10" i="7"/>
  <c r="BP20" i="3"/>
  <c r="BT35" i="7"/>
  <c r="BN10" i="3"/>
  <c r="BR25" i="7"/>
  <c r="BM20" i="7"/>
  <c r="BL20" i="7"/>
  <c r="BP30" i="3"/>
  <c r="BM15" i="3"/>
  <c r="BK30" i="3"/>
  <c r="BT15" i="7"/>
  <c r="BL20" i="3"/>
  <c r="BL5" i="7"/>
  <c r="BS30" i="3"/>
  <c r="BJ35" i="3"/>
  <c r="BN30" i="7"/>
  <c r="BN20" i="7"/>
  <c r="BQ10" i="7"/>
  <c r="BL10" i="7"/>
  <c r="BT20" i="3"/>
  <c r="BL15" i="7"/>
  <c r="BM35" i="3"/>
  <c r="BP15" i="7"/>
  <c r="BP35" i="7"/>
  <c r="BQ20" i="7"/>
  <c r="BJ20" i="3"/>
  <c r="BM15" i="7"/>
  <c r="BN15" i="3"/>
  <c r="BM5" i="7"/>
  <c r="BM25" i="3"/>
  <c r="BT35" i="3"/>
  <c r="BP5" i="3"/>
  <c r="BR20" i="7"/>
  <c r="BM25" i="7"/>
  <c r="BP30" i="7"/>
  <c r="BS30" i="7"/>
  <c r="BS5" i="7"/>
  <c r="AZ47" i="3" l="1"/>
  <c r="C13" i="1" s="1"/>
  <c r="BG31" i="7"/>
  <c r="BG20" i="3"/>
  <c r="BG18" i="3"/>
  <c r="BG33" i="7"/>
  <c r="M41" i="7"/>
  <c r="BE14" i="3"/>
  <c r="BG21" i="3"/>
  <c r="BE9" i="7"/>
  <c r="BG12" i="7"/>
  <c r="BE13" i="7"/>
  <c r="BG18" i="7"/>
  <c r="BG26" i="7"/>
  <c r="AZ45" i="7"/>
  <c r="BA45" i="7"/>
  <c r="BG9" i="3"/>
  <c r="BG11" i="3"/>
  <c r="L41" i="3"/>
  <c r="BG33" i="3"/>
  <c r="AI11" i="3"/>
  <c r="BE11" i="3" s="1"/>
  <c r="AI18" i="3"/>
  <c r="AI21" i="3"/>
  <c r="BE21" i="3" s="1"/>
  <c r="BH30" i="7"/>
  <c r="AJ41" i="3"/>
  <c r="BG23" i="7"/>
  <c r="BG15" i="3"/>
  <c r="AJ42" i="3"/>
  <c r="AI30" i="7"/>
  <c r="AI10" i="7"/>
  <c r="BE10" i="7" s="1"/>
  <c r="AH42" i="7"/>
  <c r="AI12" i="7"/>
  <c r="BE12" i="7" s="1"/>
  <c r="AJ41" i="7"/>
  <c r="BG19" i="7"/>
  <c r="BG20" i="7"/>
  <c r="BE25" i="7"/>
  <c r="AK41" i="7"/>
  <c r="BG38" i="7"/>
  <c r="AI9" i="3"/>
  <c r="BE9" i="3" s="1"/>
  <c r="BH30" i="3"/>
  <c r="AI33" i="3"/>
  <c r="BE33" i="3" s="1"/>
  <c r="AK43" i="7"/>
  <c r="BG27" i="7"/>
  <c r="AH41" i="7"/>
  <c r="AI26" i="7"/>
  <c r="AI41" i="7" s="1"/>
  <c r="AJ42" i="7"/>
  <c r="AI31" i="7"/>
  <c r="BE31" i="7" s="1"/>
  <c r="AI33" i="7"/>
  <c r="BE33" i="7" s="1"/>
  <c r="AI18" i="7"/>
  <c r="BE18" i="7" s="1"/>
  <c r="AK42" i="7"/>
  <c r="AI35" i="7"/>
  <c r="BE35" i="7" s="1"/>
  <c r="BE5" i="7"/>
  <c r="BE15" i="7"/>
  <c r="BE7" i="7"/>
  <c r="BG24" i="7"/>
  <c r="BG35" i="7"/>
  <c r="AH43" i="7"/>
  <c r="BE11" i="7"/>
  <c r="BE21" i="7"/>
  <c r="J43" i="7"/>
  <c r="BG8" i="7"/>
  <c r="BE29" i="7"/>
  <c r="BB45" i="7"/>
  <c r="M43" i="7"/>
  <c r="BG10" i="7"/>
  <c r="BG11" i="7"/>
  <c r="J41" i="7"/>
  <c r="BG28" i="7"/>
  <c r="BC45" i="7"/>
  <c r="BE14" i="7"/>
  <c r="BE32" i="7"/>
  <c r="BE16" i="7"/>
  <c r="L41" i="7"/>
  <c r="J42" i="7"/>
  <c r="BG34" i="7"/>
  <c r="BE28" i="7"/>
  <c r="L42" i="7"/>
  <c r="BH35" i="7"/>
  <c r="BG39" i="7"/>
  <c r="BG14" i="7"/>
  <c r="BG15" i="7"/>
  <c r="M42" i="7"/>
  <c r="BE6" i="7"/>
  <c r="BE36" i="7"/>
  <c r="AZ47" i="7"/>
  <c r="C47" i="1" s="1"/>
  <c r="BE8" i="7"/>
  <c r="BH15" i="7"/>
  <c r="BE20" i="7"/>
  <c r="BA47" i="7"/>
  <c r="BG16" i="7"/>
  <c r="BB47" i="7"/>
  <c r="C48" i="1" s="1"/>
  <c r="BG6" i="7"/>
  <c r="BG7" i="7"/>
  <c r="BG22" i="7"/>
  <c r="BE24" i="7"/>
  <c r="BC47" i="7"/>
  <c r="BB6" i="6"/>
  <c r="BB8" i="6"/>
  <c r="BD7" i="6"/>
  <c r="BD8" i="6"/>
  <c r="AX17" i="6"/>
  <c r="BE7" i="6"/>
  <c r="BD11" i="6"/>
  <c r="AI15" i="6"/>
  <c r="BE8" i="6"/>
  <c r="BF9" i="6"/>
  <c r="J12" i="6"/>
  <c r="L15" i="6"/>
  <c r="BD15" i="6" s="1"/>
  <c r="BE11" i="6"/>
  <c r="AH9" i="6"/>
  <c r="AH13" i="6" s="1"/>
  <c r="BE9" i="6"/>
  <c r="AX19" i="6"/>
  <c r="BF10" i="6"/>
  <c r="BC5" i="6"/>
  <c r="K13" i="6"/>
  <c r="BB7" i="6"/>
  <c r="BB14" i="6"/>
  <c r="E33" i="1" s="1"/>
  <c r="M15" i="6"/>
  <c r="BG9" i="6"/>
  <c r="BG13" i="6" s="1"/>
  <c r="BC11" i="6"/>
  <c r="AY19" i="6"/>
  <c r="C36" i="1" s="1"/>
  <c r="BD6" i="6"/>
  <c r="AZ19" i="6"/>
  <c r="BF5" i="6"/>
  <c r="M13" i="6"/>
  <c r="BE13" i="6" s="1"/>
  <c r="D32" i="1" s="1"/>
  <c r="BG5" i="6"/>
  <c r="BC6" i="6"/>
  <c r="BF6" i="6"/>
  <c r="AZ17" i="6"/>
  <c r="L12" i="6"/>
  <c r="BC7" i="6"/>
  <c r="AZ19" i="5"/>
  <c r="BD5" i="5"/>
  <c r="AZ17" i="5"/>
  <c r="BD6" i="5"/>
  <c r="BE6" i="5"/>
  <c r="BB7" i="5"/>
  <c r="BB9" i="5"/>
  <c r="BD8" i="5"/>
  <c r="BC8" i="5"/>
  <c r="BE10" i="5"/>
  <c r="BB11" i="5"/>
  <c r="AI12" i="5"/>
  <c r="AH6" i="5"/>
  <c r="AH15" i="5" s="1"/>
  <c r="BC15" i="5" s="1"/>
  <c r="AY19" i="5"/>
  <c r="C24" i="1" s="1"/>
  <c r="BG6" i="5"/>
  <c r="AW17" i="5"/>
  <c r="AX17" i="5"/>
  <c r="BG9" i="5"/>
  <c r="BG13" i="5" s="1"/>
  <c r="J15" i="5"/>
  <c r="BF9" i="5"/>
  <c r="J14" i="5"/>
  <c r="BD11" i="5"/>
  <c r="L14" i="5"/>
  <c r="BD14" i="5" s="1"/>
  <c r="BF10" i="5"/>
  <c r="BE11" i="5"/>
  <c r="M14" i="5"/>
  <c r="BE14" i="5" s="1"/>
  <c r="D21" i="1" s="1"/>
  <c r="BG10" i="5"/>
  <c r="L12" i="5"/>
  <c r="BD12" i="5" s="1"/>
  <c r="J13" i="5"/>
  <c r="BB13" i="5" s="1"/>
  <c r="E20" i="1" s="1"/>
  <c r="BD7" i="5"/>
  <c r="BB8" i="5"/>
  <c r="AW19" i="5"/>
  <c r="C23" i="1" s="1"/>
  <c r="AH43" i="3"/>
  <c r="AH41" i="3"/>
  <c r="AK41" i="3"/>
  <c r="BE18" i="3"/>
  <c r="BG27" i="3"/>
  <c r="BG37" i="3"/>
  <c r="BG7" i="3"/>
  <c r="BG16" i="3"/>
  <c r="BG13" i="3"/>
  <c r="BE22" i="3"/>
  <c r="BE24" i="3"/>
  <c r="BE29" i="3"/>
  <c r="BE7" i="3"/>
  <c r="BE23" i="3"/>
  <c r="BG26" i="3"/>
  <c r="BE28" i="3"/>
  <c r="BB47" i="3"/>
  <c r="C14" i="1" s="1"/>
  <c r="BG31" i="3"/>
  <c r="BC47" i="3"/>
  <c r="BE6" i="3"/>
  <c r="BG22" i="3"/>
  <c r="BB45" i="3"/>
  <c r="BG24" i="3"/>
  <c r="BG29" i="3"/>
  <c r="BE35" i="3"/>
  <c r="BC45" i="3"/>
  <c r="BG5" i="3"/>
  <c r="BE13" i="3"/>
  <c r="BG32" i="3"/>
  <c r="BG8" i="3"/>
  <c r="BE15" i="3"/>
  <c r="J41" i="3"/>
  <c r="BH10" i="3"/>
  <c r="BG12" i="3"/>
  <c r="J42" i="3"/>
  <c r="BE38" i="3"/>
  <c r="BG39" i="3"/>
  <c r="M43" i="3"/>
  <c r="BE20" i="3"/>
  <c r="BM42" i="3"/>
  <c r="F11" i="1" s="1"/>
  <c r="BR43" i="3"/>
  <c r="J12" i="1" s="1"/>
  <c r="BQ40" i="3"/>
  <c r="I9" i="1" s="1"/>
  <c r="BN42" i="3"/>
  <c r="G11" i="1" s="1"/>
  <c r="BL41" i="3"/>
  <c r="E10" i="1" s="1"/>
  <c r="BL43" i="7"/>
  <c r="E46" i="1" s="1"/>
  <c r="BM41" i="3"/>
  <c r="F10" i="1" s="1"/>
  <c r="BL42" i="7"/>
  <c r="E45" i="1" s="1"/>
  <c r="BP41" i="3"/>
  <c r="BP43" i="3"/>
  <c r="H12" i="1" s="1"/>
  <c r="BN41" i="3"/>
  <c r="G10" i="1" s="1"/>
  <c r="BS42" i="3"/>
  <c r="BM42" i="7"/>
  <c r="F45" i="1" s="1"/>
  <c r="BM43" i="7"/>
  <c r="F46" i="1" s="1"/>
  <c r="BL41" i="7"/>
  <c r="E44" i="1" s="1"/>
  <c r="BP42" i="7"/>
  <c r="BN42" i="7"/>
  <c r="G45" i="1" s="1"/>
  <c r="BN43" i="7"/>
  <c r="G46" i="1" s="1"/>
  <c r="BM41" i="7"/>
  <c r="F44" i="1" s="1"/>
  <c r="BQ42" i="7"/>
  <c r="BN41" i="7"/>
  <c r="G44" i="1" s="1"/>
  <c r="BR42" i="7"/>
  <c r="BT41" i="3"/>
  <c r="BP41" i="7"/>
  <c r="BS42" i="7"/>
  <c r="BL42" i="3"/>
  <c r="E11" i="1" s="1"/>
  <c r="BQ41" i="7"/>
  <c r="BT42" i="7"/>
  <c r="BE25" i="3"/>
  <c r="BE17" i="3"/>
  <c r="BE5" i="3"/>
  <c r="BG17" i="3"/>
  <c r="AI19" i="3"/>
  <c r="BE19" i="3" s="1"/>
  <c r="M42" i="3"/>
  <c r="BE13" i="5"/>
  <c r="BF8" i="6"/>
  <c r="AJ15" i="5"/>
  <c r="AJ12" i="5"/>
  <c r="BE12" i="5" s="1"/>
  <c r="BT43" i="3"/>
  <c r="BT40" i="3"/>
  <c r="M41" i="3"/>
  <c r="K27" i="3"/>
  <c r="BE27" i="3" s="1"/>
  <c r="BE34" i="3"/>
  <c r="BG36" i="3"/>
  <c r="BP40" i="3"/>
  <c r="BQ43" i="3"/>
  <c r="BG5" i="5" a="1"/>
  <c r="BG5" i="5" s="1"/>
  <c r="BB6" i="5"/>
  <c r="AG15" i="5"/>
  <c r="AG12" i="5"/>
  <c r="BE9" i="5"/>
  <c r="BC14" i="5"/>
  <c r="BH5" i="3" a="1"/>
  <c r="BH5" i="3" s="1"/>
  <c r="AI16" i="3"/>
  <c r="BE16" i="3" s="1"/>
  <c r="BG28" i="3"/>
  <c r="AI30" i="3"/>
  <c r="BP42" i="3"/>
  <c r="AH42" i="3"/>
  <c r="BG34" i="3"/>
  <c r="BH35" i="3" a="1"/>
  <c r="BH35" i="3" s="1"/>
  <c r="AI39" i="3"/>
  <c r="BE39" i="3" s="1"/>
  <c r="BR40" i="3"/>
  <c r="J12" i="5"/>
  <c r="BF5" i="5"/>
  <c r="BD13" i="5"/>
  <c r="J15" i="6"/>
  <c r="BE6" i="6"/>
  <c r="AJ15" i="6"/>
  <c r="BE15" i="6" s="1"/>
  <c r="AJ12" i="6"/>
  <c r="AH14" i="6"/>
  <c r="L43" i="7"/>
  <c r="AI8" i="3"/>
  <c r="BE8" i="3" s="1"/>
  <c r="K10" i="3"/>
  <c r="K40" i="3" s="1"/>
  <c r="BG10" i="3"/>
  <c r="BG14" i="3"/>
  <c r="BG23" i="3"/>
  <c r="BQ42" i="3"/>
  <c r="BE31" i="3"/>
  <c r="K12" i="6"/>
  <c r="J43" i="3"/>
  <c r="J40" i="3"/>
  <c r="BG6" i="3"/>
  <c r="AI12" i="3"/>
  <c r="BE12" i="3" s="1"/>
  <c r="BH15" i="3" a="1"/>
  <c r="BH15" i="3" s="1"/>
  <c r="BQ41" i="3"/>
  <c r="AI26" i="3"/>
  <c r="BE26" i="3" s="1"/>
  <c r="AK42" i="3"/>
  <c r="BG35" i="3"/>
  <c r="K37" i="3"/>
  <c r="BE37" i="3" s="1"/>
  <c r="M15" i="5"/>
  <c r="BC10" i="5"/>
  <c r="L43" i="3"/>
  <c r="L40" i="3"/>
  <c r="BH25" i="3" a="1"/>
  <c r="BH25" i="3" s="1"/>
  <c r="BH41" i="3" s="1"/>
  <c r="BR41" i="3"/>
  <c r="BE32" i="3"/>
  <c r="BG38" i="3"/>
  <c r="K12" i="5"/>
  <c r="K15" i="5"/>
  <c r="BC11" i="5"/>
  <c r="M12" i="6"/>
  <c r="BC8" i="6"/>
  <c r="AI12" i="6"/>
  <c r="BB10" i="5"/>
  <c r="AG14" i="5"/>
  <c r="BB14" i="5" s="1"/>
  <c r="BE10" i="6"/>
  <c r="AJ14" i="6"/>
  <c r="BE14" i="6" s="1"/>
  <c r="BS41" i="3"/>
  <c r="BT42" i="3"/>
  <c r="BC7" i="5"/>
  <c r="BF11" i="5"/>
  <c r="BR43" i="7"/>
  <c r="BR40" i="7"/>
  <c r="BE5" i="5"/>
  <c r="AJ43" i="3"/>
  <c r="AJ40" i="3"/>
  <c r="BG30" i="3"/>
  <c r="M40" i="3"/>
  <c r="BF7" i="5"/>
  <c r="AJ43" i="7"/>
  <c r="BE26" i="7"/>
  <c r="BL43" i="3"/>
  <c r="E12" i="1" s="1"/>
  <c r="BL40" i="3"/>
  <c r="E9" i="1" s="1"/>
  <c r="AK43" i="3"/>
  <c r="AK40" i="3"/>
  <c r="BH20" i="3" a="1"/>
  <c r="BH20" i="3" s="1"/>
  <c r="BG25" i="3"/>
  <c r="K30" i="3"/>
  <c r="AH40" i="3"/>
  <c r="BG8" i="6" a="1"/>
  <c r="BG8" i="6" s="1"/>
  <c r="BB9" i="6"/>
  <c r="AG13" i="6"/>
  <c r="BB13" i="6" s="1"/>
  <c r="BE22" i="7"/>
  <c r="BS43" i="3"/>
  <c r="BS40" i="3"/>
  <c r="BM43" i="3"/>
  <c r="F12" i="1" s="1"/>
  <c r="BM40" i="3"/>
  <c r="F9" i="1" s="1"/>
  <c r="BN43" i="3"/>
  <c r="G12" i="1" s="1"/>
  <c r="BN40" i="3"/>
  <c r="G9" i="1" s="1"/>
  <c r="L42" i="3"/>
  <c r="BE36" i="3"/>
  <c r="BC5" i="5"/>
  <c r="AG12" i="6"/>
  <c r="BB12" i="6" s="1"/>
  <c r="BB5" i="6"/>
  <c r="AG15" i="6"/>
  <c r="BD13" i="6"/>
  <c r="AY17" i="6"/>
  <c r="BR41" i="7"/>
  <c r="BE37" i="7"/>
  <c r="AH12" i="6"/>
  <c r="BG32" i="7"/>
  <c r="AI34" i="7"/>
  <c r="BE34" i="7" s="1"/>
  <c r="BG36" i="7"/>
  <c r="L40" i="7"/>
  <c r="BN40" i="7"/>
  <c r="G43" i="1" s="1"/>
  <c r="BS41" i="7"/>
  <c r="M40" i="7"/>
  <c r="BP40" i="7"/>
  <c r="BT41" i="7"/>
  <c r="BP43" i="7"/>
  <c r="BH20" i="7" a="1"/>
  <c r="BH20" i="7" s="1"/>
  <c r="AH40" i="7"/>
  <c r="BQ40" i="7"/>
  <c r="BQ43" i="7"/>
  <c r="AH12" i="5"/>
  <c r="BC12" i="5" s="1"/>
  <c r="L15" i="5"/>
  <c r="BD15" i="5" s="1"/>
  <c r="BB10" i="6"/>
  <c r="AI14" i="6"/>
  <c r="BD14" i="6" s="1"/>
  <c r="BG5" i="7"/>
  <c r="BG9" i="7"/>
  <c r="BG13" i="7"/>
  <c r="BG17" i="7"/>
  <c r="BG21" i="7"/>
  <c r="BG25" i="7"/>
  <c r="BG29" i="7"/>
  <c r="BG37" i="7"/>
  <c r="AI39" i="7"/>
  <c r="BE39" i="7" s="1"/>
  <c r="BF8" i="5"/>
  <c r="AH13" i="5"/>
  <c r="BC13" i="5" s="1"/>
  <c r="BF7" i="6"/>
  <c r="K10" i="6"/>
  <c r="K14" i="6" s="1"/>
  <c r="BF11" i="6"/>
  <c r="AJ40" i="7"/>
  <c r="BS40" i="7"/>
  <c r="BS43" i="7"/>
  <c r="BH5" i="7" a="1"/>
  <c r="BH5" i="7" s="1"/>
  <c r="BH25" i="7" a="1"/>
  <c r="BH25" i="7" s="1"/>
  <c r="BH41" i="7" s="1"/>
  <c r="AK40" i="7"/>
  <c r="BT40" i="7"/>
  <c r="BT43" i="7"/>
  <c r="BR42" i="3"/>
  <c r="BG8" i="5" a="1"/>
  <c r="BG8" i="5" s="1"/>
  <c r="BG7" i="6" a="1"/>
  <c r="BG7" i="6" s="1"/>
  <c r="BG11" i="6" a="1"/>
  <c r="BG11" i="6" s="1"/>
  <c r="K30" i="7"/>
  <c r="BG30" i="7"/>
  <c r="K38" i="7"/>
  <c r="BE38" i="7" s="1"/>
  <c r="BD5" i="6"/>
  <c r="BD9" i="6"/>
  <c r="BH10" i="7" a="1"/>
  <c r="BH10" i="7" s="1"/>
  <c r="BB5" i="5"/>
  <c r="BG7" i="5" a="1"/>
  <c r="BG7" i="5" s="1"/>
  <c r="BG11" i="5" a="1"/>
  <c r="BG11" i="5" s="1"/>
  <c r="BE5" i="6"/>
  <c r="BG6" i="6" a="1"/>
  <c r="BG6" i="6" s="1"/>
  <c r="BG10" i="6" a="1"/>
  <c r="BG10" i="6" s="1"/>
  <c r="BG14" i="6" s="1"/>
  <c r="AI17" i="7"/>
  <c r="BE17" i="7" s="1"/>
  <c r="K19" i="7"/>
  <c r="BE19" i="7" s="1"/>
  <c r="K23" i="7"/>
  <c r="BE23" i="7" s="1"/>
  <c r="K27" i="7"/>
  <c r="BE27" i="7" s="1"/>
  <c r="J40" i="7"/>
  <c r="BL40" i="7"/>
  <c r="E43" i="1" s="1"/>
  <c r="BM40" i="7"/>
  <c r="F43" i="1" s="1"/>
  <c r="BJ5" i="7"/>
  <c r="BK5" i="7"/>
  <c r="BK5" i="3"/>
  <c r="BJ10" i="3"/>
  <c r="BJ30" i="7"/>
  <c r="BK25" i="7"/>
  <c r="BK20" i="3"/>
  <c r="BJ5" i="3"/>
  <c r="BJ15" i="7"/>
  <c r="BJ30" i="3"/>
  <c r="BJ25" i="3"/>
  <c r="BJ10" i="7"/>
  <c r="BJ15" i="3"/>
  <c r="BK35" i="3"/>
  <c r="BK35" i="7"/>
  <c r="BJ25" i="7"/>
  <c r="BK20" i="7"/>
  <c r="BK25" i="3"/>
  <c r="BJ20" i="7"/>
  <c r="BH42" i="3" l="1"/>
  <c r="BK42" i="3"/>
  <c r="D11" i="1" s="1"/>
  <c r="BK41" i="7"/>
  <c r="D44" i="1" s="1"/>
  <c r="K42" i="3"/>
  <c r="K40" i="7"/>
  <c r="BH42" i="7"/>
  <c r="BK40" i="7"/>
  <c r="D43" i="1" s="1"/>
  <c r="BJ41" i="7"/>
  <c r="C44" i="1" s="1"/>
  <c r="K42" i="7"/>
  <c r="BC9" i="6"/>
  <c r="BC13" i="6"/>
  <c r="C32" i="1" s="1"/>
  <c r="AH15" i="6"/>
  <c r="BC15" i="6" s="1"/>
  <c r="BB15" i="6"/>
  <c r="E34" i="1" s="1"/>
  <c r="K15" i="6"/>
  <c r="BG15" i="6"/>
  <c r="BD12" i="6"/>
  <c r="BC10" i="6"/>
  <c r="BC6" i="5"/>
  <c r="BB12" i="5"/>
  <c r="E19" i="1" s="1"/>
  <c r="BB15" i="5"/>
  <c r="BG14" i="5"/>
  <c r="K43" i="3"/>
  <c r="BE10" i="3"/>
  <c r="BK43" i="7"/>
  <c r="D46" i="1" s="1"/>
  <c r="BK42" i="7"/>
  <c r="D45" i="1" s="1"/>
  <c r="BK43" i="3"/>
  <c r="D12" i="1" s="1"/>
  <c r="BK40" i="3"/>
  <c r="D9" i="1" s="1"/>
  <c r="BK41" i="3"/>
  <c r="D10" i="1" s="1"/>
  <c r="BJ42" i="7"/>
  <c r="C45" i="1" s="1"/>
  <c r="BJ42" i="3"/>
  <c r="C11" i="1" s="1"/>
  <c r="BJ40" i="7"/>
  <c r="C43" i="1" s="1"/>
  <c r="BJ43" i="7"/>
  <c r="C46" i="1" s="1"/>
  <c r="BJ41" i="3"/>
  <c r="C10" i="1" s="1"/>
  <c r="I44" i="1"/>
  <c r="I45" i="1"/>
  <c r="K11" i="1"/>
  <c r="L10" i="1"/>
  <c r="H45" i="1"/>
  <c r="K45" i="1"/>
  <c r="J45" i="1"/>
  <c r="H10" i="1"/>
  <c r="H44" i="1"/>
  <c r="L45" i="1"/>
  <c r="I43" i="1"/>
  <c r="D34" i="1"/>
  <c r="BG12" i="5"/>
  <c r="BG15" i="5"/>
  <c r="D19" i="1"/>
  <c r="BE30" i="7"/>
  <c r="L11" i="1"/>
  <c r="AI42" i="3"/>
  <c r="BE30" i="3"/>
  <c r="I12" i="1"/>
  <c r="BE15" i="5"/>
  <c r="K9" i="1"/>
  <c r="K10" i="1"/>
  <c r="K43" i="7"/>
  <c r="AI43" i="3"/>
  <c r="BH43" i="7"/>
  <c r="BH40" i="7"/>
  <c r="J11" i="1"/>
  <c r="H9" i="1"/>
  <c r="L46" i="1"/>
  <c r="H46" i="1"/>
  <c r="BC12" i="6"/>
  <c r="E31" i="1"/>
  <c r="K12" i="1"/>
  <c r="BH43" i="3"/>
  <c r="BH40" i="3"/>
  <c r="D20" i="1"/>
  <c r="C22" i="1"/>
  <c r="L43" i="1"/>
  <c r="C20" i="1"/>
  <c r="L44" i="1"/>
  <c r="D33" i="1"/>
  <c r="AI41" i="3"/>
  <c r="H43" i="1"/>
  <c r="AI42" i="7"/>
  <c r="AI40" i="3"/>
  <c r="BE40" i="3" s="1"/>
  <c r="J10" i="1"/>
  <c r="BG12" i="6"/>
  <c r="BJ40" i="3"/>
  <c r="C9" i="1" s="1"/>
  <c r="BJ43" i="3"/>
  <c r="C12" i="1" s="1"/>
  <c r="J9" i="1"/>
  <c r="K41" i="3"/>
  <c r="J43" i="1"/>
  <c r="E21" i="1"/>
  <c r="C21" i="1"/>
  <c r="L9" i="1"/>
  <c r="J44" i="1"/>
  <c r="J46" i="1"/>
  <c r="L12" i="1"/>
  <c r="C19" i="1"/>
  <c r="K44" i="1"/>
  <c r="BC14" i="6"/>
  <c r="AI40" i="7"/>
  <c r="E32" i="1"/>
  <c r="K46" i="1"/>
  <c r="I10" i="1"/>
  <c r="E22" i="1"/>
  <c r="K43" i="1"/>
  <c r="I46" i="1"/>
  <c r="AI43" i="7"/>
  <c r="K41" i="7"/>
  <c r="BE41" i="7" s="1"/>
  <c r="I11" i="1"/>
  <c r="BE12" i="6"/>
  <c r="H11" i="1"/>
  <c r="BE42" i="3" l="1"/>
  <c r="BE40" i="7"/>
  <c r="BE42" i="7"/>
  <c r="BE43" i="7"/>
  <c r="BE43" i="3"/>
  <c r="BE41" i="3"/>
  <c r="C31" i="1"/>
  <c r="C34" i="1"/>
  <c r="C33" i="1"/>
  <c r="D22" i="1"/>
  <c r="D31" i="1"/>
</calcChain>
</file>

<file path=xl/sharedStrings.xml><?xml version="1.0" encoding="utf-8"?>
<sst xmlns="http://schemas.openxmlformats.org/spreadsheetml/2006/main" count="1461" uniqueCount="576">
  <si>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</si>
  <si>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</si>
  <si>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</si>
  <si>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</si>
  <si>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</si>
  <si>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</si>
  <si>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</si>
  <si>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</si>
  <si>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</si>
  <si>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</si>
  <si>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</si>
  <si>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</si>
  <si>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</si>
  <si>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</si>
  <si>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</si>
  <si>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</si>
  <si>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</si>
  <si>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</si>
  <si>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</si>
  <si>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</si>
  <si>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</si>
  <si>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</si>
  <si>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</si>
  <si>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</si>
  <si>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</si>
  <si>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</si>
  <si>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</si>
  <si>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</si>
  <si>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</si>
  <si>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</si>
  <si>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</si>
  <si>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</si>
  <si>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</si>
  <si>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</si>
  <si>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</si>
  <si>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</si>
  <si>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</si>
  <si>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</si>
  <si>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</si>
  <si>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</si>
  <si>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</si>
  <si>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</si>
  <si>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</si>
  <si>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</si>
  <si>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</si>
  <si>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</si>
  <si>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</si>
  <si>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</si>
  <si>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</si>
  <si>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</si>
  <si>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</si>
  <si>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</si>
  <si>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</si>
  <si>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</si>
  <si>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</si>
  <si>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</si>
  <si>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</si>
  <si>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</si>
  <si>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</si>
  <si>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</si>
  <si>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</si>
  <si>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</si>
  <si>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</si>
  <si>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</si>
  <si>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</si>
  <si>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</si>
  <si>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</si>
  <si>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</si>
  <si>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</si>
  <si>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</si>
  <si>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</si>
  <si>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</si>
  <si>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</si>
  <si>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</si>
  <si>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</si>
  <si>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</si>
  <si>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</si>
  <si>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</si>
  <si>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</si>
  <si>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</si>
  <si>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</si>
  <si>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</si>
  <si>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</si>
  <si>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</si>
  <si>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</si>
  <si>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</si>
  <si>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</si>
  <si>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</si>
  <si>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</si>
  <si>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</si>
  <si>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</si>
  <si>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</si>
  <si>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</si>
  <si>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</si>
  <si>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</si>
  <si>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</si>
  <si>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</si>
  <si>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</si>
  <si>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</si>
  <si>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</si>
  <si>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</si>
  <si>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</si>
  <si>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</si>
  <si>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</si>
  <si>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</si>
  <si>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</si>
  <si>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</si>
  <si>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</si>
  <si>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</si>
  <si>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</si>
  <si>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</si>
  <si>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</si>
  <si>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</si>
  <si>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</si>
  <si>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</si>
  <si>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</si>
  <si>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</si>
  <si>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</si>
  <si>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</si>
  <si>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</si>
  <si>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</si>
  <si>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</si>
  <si>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</si>
  <si>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</si>
  <si>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</si>
  <si>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</si>
  <si>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</si>
  <si>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</si>
  <si>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</si>
  <si>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</si>
  <si>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</si>
  <si>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</si>
  <si>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</si>
  <si>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</si>
  <si>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</si>
  <si>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</si>
  <si>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</si>
  <si>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</si>
  <si>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</si>
  <si>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</si>
  <si>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</si>
  <si>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</si>
  <si>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</si>
  <si>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</si>
  <si>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</si>
  <si>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</si>
  <si>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</si>
  <si>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</si>
  <si>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</si>
  <si>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</si>
  <si>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</si>
  <si>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</si>
  <si>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</si>
  <si>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</si>
  <si>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</si>
  <si>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</si>
  <si>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</si>
  <si>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</si>
  <si>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</si>
  <si>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</si>
  <si>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</si>
  <si>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</si>
  <si>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</si>
  <si>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</si>
  <si>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</si>
  <si>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</si>
  <si>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</si>
  <si>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</si>
  <si>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</si>
  <si>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</si>
  <si>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</si>
  <si>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</si>
  <si>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</si>
  <si>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</si>
  <si>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</si>
  <si>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</si>
  <si>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</si>
  <si>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</si>
  <si>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</si>
  <si>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</si>
  <si>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</si>
  <si>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</si>
  <si>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</si>
  <si>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</si>
  <si>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</si>
  <si>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</si>
  <si>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</si>
  <si>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</si>
  <si>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</si>
  <si>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</si>
  <si>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</si>
  <si>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</si>
  <si>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</si>
  <si>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</si>
  <si>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</si>
  <si>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</si>
  <si>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</si>
  <si>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</si>
  <si>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</si>
  <si>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</si>
  <si>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</si>
  <si>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</si>
  <si>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</si>
  <si>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</si>
  <si>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</si>
  <si>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</si>
  <si>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</si>
  <si>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</si>
  <si>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</si>
  <si>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</si>
  <si>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</si>
  <si>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</si>
  <si>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</si>
  <si>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</si>
  <si>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</si>
  <si>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</si>
  <si>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</si>
  <si>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</si>
  <si>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</si>
  <si>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</si>
  <si>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</si>
  <si>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</si>
  <si>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</si>
  <si>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</si>
  <si>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</si>
  <si>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</si>
  <si>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</si>
  <si>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</si>
  <si>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</si>
  <si>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</si>
  <si>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</si>
  <si>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</si>
  <si>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</si>
  <si>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</si>
  <si>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</si>
  <si>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</si>
  <si>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</si>
  <si>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</si>
  <si>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</si>
  <si>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</si>
  <si>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</si>
  <si>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</si>
  <si>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</si>
  <si>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</si>
  <si>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</si>
  <si>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</si>
  <si>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</si>
  <si>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</si>
  <si>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</si>
  <si>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</si>
  <si>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</si>
  <si>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</si>
  <si>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</si>
  <si>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</si>
  <si>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</si>
  <si>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</si>
  <si>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</si>
  <si>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</si>
  <si>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</si>
  <si>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</si>
  <si>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</si>
  <si>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</si>
  <si>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</si>
  <si>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</si>
  <si>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</si>
  <si>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</si>
  <si>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</si>
  <si>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</si>
  <si>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</si>
  <si>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</si>
  <si>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</si>
  <si>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</si>
  <si>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</si>
  <si>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</si>
  <si>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</si>
  <si>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</si>
  <si>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</si>
  <si>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</si>
  <si>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</si>
  <si>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</si>
  <si>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</si>
  <si>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</si>
  <si>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</si>
  <si>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</si>
  <si>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</si>
  <si>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</si>
  <si>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</si>
  <si>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</si>
  <si>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</si>
  <si>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</si>
  <si>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</si>
  <si>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</si>
  <si>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</si>
  <si>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</si>
  <si>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</si>
  <si>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</si>
  <si>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</si>
  <si>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</si>
  <si>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</si>
  <si>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</si>
  <si>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</si>
  <si>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</si>
  <si>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</si>
  <si>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</si>
  <si>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</si>
  <si>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</si>
  <si>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</si>
  <si>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</si>
  <si>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</si>
  <si>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</si>
  <si>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</si>
  <si>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</si>
  <si>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</si>
  <si>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</si>
  <si>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</si>
  <si>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</si>
  <si>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</si>
  <si>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</si>
  <si>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</si>
  <si>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</si>
  <si>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</si>
  <si>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</si>
  <si>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</si>
  <si>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</si>
  <si>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</si>
  <si>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</si>
  <si>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</si>
  <si>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</si>
  <si>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</si>
  <si>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</si>
  <si>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</si>
  <si>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</si>
  <si>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</si>
  <si>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</si>
  <si>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</si>
  <si>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</si>
  <si>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</si>
  <si>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</si>
  <si>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</si>
  <si>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</si>
  <si>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</si>
  <si>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</si>
  <si>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</si>
  <si>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</si>
  <si>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</si>
  <si>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</si>
  <si>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</si>
  <si>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</si>
  <si>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</si>
  <si>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</si>
  <si>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</si>
  <si>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</si>
  <si>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</si>
  <si>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</si>
  <si>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</si>
  <si>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</si>
  <si>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</si>
  <si>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</si>
  <si>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</si>
  <si>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</si>
  <si>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</si>
  <si>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</si>
  <si>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</si>
  <si>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</si>
  <si>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</si>
  <si>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</si>
  <si>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</si>
  <si>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</si>
  <si>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</si>
  <si>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</si>
  <si>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</si>
  <si>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</si>
  <si>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</si>
  <si>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</si>
  <si>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</si>
  <si>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</si>
  <si>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</si>
  <si>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</si>
  <si>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</si>
  <si>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</si>
  <si>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</si>
  <si>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</si>
  <si>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</si>
  <si>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</si>
  <si>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</si>
  <si>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</si>
  <si>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</si>
  <si>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</si>
  <si>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</si>
  <si>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</si>
  <si>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</si>
  <si>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</si>
  <si>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</si>
  <si>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</si>
  <si>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</si>
  <si>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</si>
  <si>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</si>
  <si>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</si>
  <si>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</si>
  <si>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</si>
  <si>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</si>
  <si>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</si>
  <si>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</si>
  <si>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</si>
  <si>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</si>
  <si>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</si>
  <si>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</si>
  <si>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</si>
  <si>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</si>
  <si>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</si>
  <si>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</si>
  <si>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</si>
  <si>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</si>
  <si>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</si>
  <si>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</si>
  <si>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</si>
  <si>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</si>
  <si>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</si>
  <si>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</si>
  <si>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</si>
  <si>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</si>
  <si>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</si>
  <si>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</si>
  <si>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</si>
  <si>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</si>
  <si>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</si>
  <si>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</si>
  <si>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</si>
  <si>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</si>
  <si>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</si>
  <si>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</si>
  <si>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</si>
  <si>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</si>
  <si>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</si>
  <si>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</si>
  <si>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</si>
  <si>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</si>
  <si>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</si>
  <si>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</si>
  <si>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</si>
  <si>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</si>
  <si>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</si>
  <si>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</si>
  <si>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</si>
  <si>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</si>
  <si>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</si>
  <si>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</si>
  <si>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</si>
  <si>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</si>
  <si>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</si>
  <si>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</si>
  <si>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</si>
  <si>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</si>
  <si>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</si>
  <si>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</si>
  <si>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</si>
  <si>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</si>
  <si>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</si>
  <si>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</si>
  <si>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</si>
  <si>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</si>
  <si>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</si>
  <si>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</si>
  <si>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</si>
  <si>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</si>
  <si>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</si>
  <si>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</si>
  <si>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</si>
  <si>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</si>
  <si>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</si>
  <si>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</si>
  <si>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</si>
  <si>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</si>
  <si>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</si>
  <si>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</si>
  <si>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</si>
  <si>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</si>
  <si>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</si>
  <si>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</si>
  <si>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</si>
  <si>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</si>
  <si>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</si>
  <si>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</si>
  <si>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</si>
  <si>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</si>
  <si>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</si>
  <si>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</si>
  <si>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</si>
  <si>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</si>
  <si>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</si>
  <si>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</si>
  <si>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</si>
  <si>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</si>
  <si>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</si>
  <si>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</si>
  <si>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</si>
  <si>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</si>
  <si>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</si>
  <si>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</si>
  <si>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</si>
  <si>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</si>
  <si>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</si>
  <si>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</si>
  <si>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</si>
  <si>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</si>
  <si>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</si>
  <si>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</si>
  <si>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</si>
  <si>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</si>
  <si>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</si>
  <si>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</si>
  <si>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</si>
  <si>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</si>
  <si>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</si>
  <si>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</si>
  <si>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</si>
  <si>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</si>
  <si>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</si>
  <si>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</si>
  <si>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</si>
  <si>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</si>
  <si>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</si>
  <si>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</si>
  <si>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</si>
  <si>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</si>
  <si>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</si>
  <si>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</si>
  <si>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</si>
  <si>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</si>
  <si>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</si>
  <si>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</si>
  <si>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</si>
  <si>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</si>
  <si>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</si>
  <si>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</si>
  <si>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</si>
  <si>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</si>
  <si>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</si>
  <si>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</si>
  <si>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</si>
  <si>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</si>
  <si>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</si>
  <si>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</si>
  <si>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</si>
  <si>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</si>
  <si>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</si>
  <si>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</si>
  <si>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</si>
  <si>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</si>
  <si>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</si>
  <si>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</si>
  <si>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</si>
  <si>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</si>
  <si>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</si>
  <si>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</si>
  <si>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</si>
  <si>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</si>
  <si>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</si>
  <si>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</si>
  <si>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</si>
  <si>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</si>
  <si>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</si>
  <si>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</si>
  <si>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</si>
  <si>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</si>
  <si>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</si>
  <si>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</si>
  <si>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</si>
  <si>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</si>
  <si>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</si>
  <si>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</si>
  <si>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</si>
  <si>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</si>
  <si>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</si>
  <si>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ALL_master+r110</t>
  </si>
  <si>
    <t>v11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</si>
</sst>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5">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v11</c:v>
                </c:pt>
              </c:strCache>
            </c:strRef>
          </c:tx>
          <c:spPr>
            <a:ln>
              <a:prstDash val="solid"/>
            </a:ln>
          </c:spPr>
          <c:marker>
            <c:symbol val="none"/>
          </c:marker>
          <c:xVal>
            <c:numRef>
              <c:f>Graphs!graph_a_x_range_A</c:f>
              <c:numCache>
                <c:formatCode>0.00</c:formatCode>
                <c:ptCount val="5"/>
                <c:pt idx="0">
                  <c:v>3.5274773490058895E-3</c:v>
                </c:pt>
                <c:pt idx="1">
                  <c:v>4.8916802606511055E-3</c:v>
                </c:pt>
                <c:pt idx="2">
                  <c:v>6.8389866970522345E-3</c:v>
                </c:pt>
                <c:pt idx="3">
                  <c:v>1.0101013875956659E-2</c:v>
                </c:pt>
                <c:pt idx="4">
                  <c:v>1.5548050022727408E-2</c:v>
                </c:pt>
              </c:numCache>
            </c:numRef>
          </c:xVal>
          <c:yVal>
            <c:numRef>
              <c:f>Graphs!graph_a_y_range_A</c:f>
              <c:numCache>
                <c:formatCode>0.00</c:formatCode>
                <c:ptCount val="5"/>
                <c:pt idx="0" formatCode="General">
                  <c:v>66.354630999999998</c:v>
                </c:pt>
                <c:pt idx="1">
                  <c:v>68.255983999999998</c:v>
                </c:pt>
                <c:pt idx="2">
                  <c:v>69.683722000000003</c:v>
                </c:pt>
                <c:pt idx="3">
                  <c:v>70.836841000000007</c:v>
                </c:pt>
                <c:pt idx="4">
                  <c:v>71.945244000000002</c:v>
                </c:pt>
              </c:numCache>
            </c:numRef>
          </c:yVal>
          <c:smooth val="1"/>
          <c:extLst>
            <c:ext xmlns:c16="http://schemas.microsoft.com/office/drawing/2014/chart" uri="{C3380CC4-5D6E-409C-BE32-E72D297353CC}">
              <c16:uniqueId val="{00000000-0888-4D31-9E02-18BF246D6568}"/>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3.5274773490058895E-3</c:v>
                </c:pt>
                <c:pt idx="1">
                  <c:v>4.8916802606511055E-3</c:v>
                </c:pt>
                <c:pt idx="2">
                  <c:v>6.8389866970522345E-3</c:v>
                </c:pt>
                <c:pt idx="3">
                  <c:v>1.0101013875956659E-2</c:v>
                </c:pt>
                <c:pt idx="4">
                  <c:v>1.5548050022727408E-2</c:v>
                </c:pt>
              </c:numCache>
            </c:numRef>
          </c:xVal>
          <c:yVal>
            <c:numRef>
              <c:f>Graphs!graph_a_y_range_B</c:f>
              <c:numCache>
                <c:formatCode>General</c:formatCode>
                <c:ptCount val="5"/>
                <c:pt idx="0">
                  <c:v>66.354630999999998</c:v>
                </c:pt>
                <c:pt idx="1">
                  <c:v>68.255983999999998</c:v>
                </c:pt>
                <c:pt idx="2">
                  <c:v>69.683722000000003</c:v>
                </c:pt>
                <c:pt idx="3">
                  <c:v>70.836841000000007</c:v>
                </c:pt>
                <c:pt idx="4">
                  <c:v>71.945244000000002</c:v>
                </c:pt>
              </c:numCache>
            </c:numRef>
          </c:yVal>
          <c:smooth val="1"/>
          <c:extLst>
            <c:ext xmlns:c16="http://schemas.microsoft.com/office/drawing/2014/chart" uri="{C3380CC4-5D6E-409C-BE32-E72D297353CC}">
              <c16:uniqueId val="{00000001-0888-4D31-9E02-18BF246D6568}"/>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v11</c:v>
                </c:pt>
              </c:strCache>
            </c:strRef>
          </c:tx>
          <c:spPr>
            <a:ln>
              <a:prstDash val="solid"/>
            </a:ln>
          </c:spPr>
          <c:marker>
            <c:symbol val="none"/>
          </c:marker>
          <c:xVal>
            <c:numRef>
              <c:f>Graphs!graph_b_x_range_A</c:f>
              <c:numCache>
                <c:formatCode>0.00</c:formatCode>
                <c:ptCount val="5"/>
                <c:pt idx="0">
                  <c:v>3.5274773490058895E-3</c:v>
                </c:pt>
                <c:pt idx="1">
                  <c:v>4.8916802606511055E-3</c:v>
                </c:pt>
                <c:pt idx="2">
                  <c:v>6.8389866970522345E-3</c:v>
                </c:pt>
                <c:pt idx="3">
                  <c:v>1.0101013875956659E-2</c:v>
                </c:pt>
                <c:pt idx="4">
                  <c:v>1.5548050022727408E-2</c:v>
                </c:pt>
              </c:numCache>
            </c:numRef>
          </c:xVal>
          <c:yVal>
            <c:numRef>
              <c:f>Graphs!graph_b_y_range_A</c:f>
              <c:numCache>
                <c:formatCode>0.00</c:formatCode>
                <c:ptCount val="5"/>
                <c:pt idx="0" formatCode="General">
                  <c:v>68.478521999999998</c:v>
                </c:pt>
                <c:pt idx="1">
                  <c:v>70.438462000000001</c:v>
                </c:pt>
                <c:pt idx="2">
                  <c:v>72.129402999999996</c:v>
                </c:pt>
                <c:pt idx="3">
                  <c:v>73.406981000000002</c:v>
                </c:pt>
                <c:pt idx="4">
                  <c:v>75.319247000000004</c:v>
                </c:pt>
              </c:numCache>
            </c:numRef>
          </c:yVal>
          <c:smooth val="1"/>
          <c:extLst>
            <c:ext xmlns:c16="http://schemas.microsoft.com/office/drawing/2014/chart" uri="{C3380CC4-5D6E-409C-BE32-E72D297353CC}">
              <c16:uniqueId val="{00000000-A32C-4BAE-8AA0-1A0A2C227950}"/>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3.5274773490058895E-3</c:v>
                </c:pt>
                <c:pt idx="1">
                  <c:v>4.8916802606511055E-3</c:v>
                </c:pt>
                <c:pt idx="2">
                  <c:v>6.8389866970522345E-3</c:v>
                </c:pt>
                <c:pt idx="3">
                  <c:v>1.0101013875956659E-2</c:v>
                </c:pt>
                <c:pt idx="4">
                  <c:v>1.5548050022727408E-2</c:v>
                </c:pt>
              </c:numCache>
            </c:numRef>
          </c:xVal>
          <c:yVal>
            <c:numRef>
              <c:f>Graphs!graph_b_y_range_B</c:f>
              <c:numCache>
                <c:formatCode>General</c:formatCode>
                <c:ptCount val="5"/>
                <c:pt idx="0">
                  <c:v>68.478521999999998</c:v>
                </c:pt>
                <c:pt idx="1">
                  <c:v>70.438462000000001</c:v>
                </c:pt>
                <c:pt idx="2">
                  <c:v>72.129402999999996</c:v>
                </c:pt>
                <c:pt idx="3">
                  <c:v>73.406981000000002</c:v>
                </c:pt>
                <c:pt idx="4">
                  <c:v>75.319247000000004</c:v>
                </c:pt>
              </c:numCache>
            </c:numRef>
          </c:yVal>
          <c:smooth val="1"/>
          <c:extLst>
            <c:ext xmlns:c16="http://schemas.microsoft.com/office/drawing/2014/chart" uri="{C3380CC4-5D6E-409C-BE32-E72D297353CC}">
              <c16:uniqueId val="{00000001-A32C-4BAE-8AA0-1A0A2C22795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v11</c:v>
                </c:pt>
              </c:strCache>
            </c:strRef>
          </c:tx>
          <c:spPr>
            <a:ln>
              <a:prstDash val="solid"/>
            </a:ln>
          </c:spPr>
          <c:marker>
            <c:symbol val="none"/>
          </c:marker>
          <c:xVal>
            <c:numRef>
              <c:f>Graphs!graph_c_x_range_A</c:f>
              <c:numCache>
                <c:formatCode>0.00</c:formatCode>
                <c:ptCount val="5"/>
                <c:pt idx="0">
                  <c:v>3.5788071212047045E-3</c:v>
                </c:pt>
                <c:pt idx="1">
                  <c:v>7.6602630522332798E-3</c:v>
                </c:pt>
                <c:pt idx="2">
                  <c:v>1.5457786215202397E-2</c:v>
                </c:pt>
                <c:pt idx="3">
                  <c:v>2.9503533395977433E-2</c:v>
                </c:pt>
                <c:pt idx="4">
                  <c:v>5.4642591665392905E-2</c:v>
                </c:pt>
              </c:numCache>
            </c:numRef>
          </c:xVal>
          <c:yVal>
            <c:numRef>
              <c:f>Graphs!graph_c_y_range_A</c:f>
              <c:numCache>
                <c:formatCode>0.00</c:formatCode>
                <c:ptCount val="5"/>
                <c:pt idx="0" formatCode="General">
                  <c:v>32.105369000000003</c:v>
                </c:pt>
                <c:pt idx="1">
                  <c:v>34.355713000000002</c:v>
                </c:pt>
                <c:pt idx="2">
                  <c:v>36.896805999999998</c:v>
                </c:pt>
                <c:pt idx="3">
                  <c:v>39.524644000000002</c:v>
                </c:pt>
                <c:pt idx="4">
                  <c:v>42.092658999999998</c:v>
                </c:pt>
              </c:numCache>
            </c:numRef>
          </c:yVal>
          <c:smooth val="1"/>
          <c:extLst>
            <c:ext xmlns:c16="http://schemas.microsoft.com/office/drawing/2014/chart" uri="{C3380CC4-5D6E-409C-BE32-E72D297353CC}">
              <c16:uniqueId val="{00000000-6BA6-46F7-908D-8011A47E468F}"/>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3.5788071212047045E-3</c:v>
                </c:pt>
                <c:pt idx="1">
                  <c:v>7.6602630522332798E-3</c:v>
                </c:pt>
                <c:pt idx="2">
                  <c:v>1.5457786215202397E-2</c:v>
                </c:pt>
                <c:pt idx="3">
                  <c:v>2.9503533395977433E-2</c:v>
                </c:pt>
                <c:pt idx="4">
                  <c:v>5.4642591665392905E-2</c:v>
                </c:pt>
              </c:numCache>
            </c:numRef>
          </c:xVal>
          <c:yVal>
            <c:numRef>
              <c:f>Graphs!graph_c_y_range_B</c:f>
              <c:numCache>
                <c:formatCode>General</c:formatCode>
                <c:ptCount val="5"/>
                <c:pt idx="0">
                  <c:v>32.104691000000003</c:v>
                </c:pt>
                <c:pt idx="1">
                  <c:v>34.356687000000001</c:v>
                </c:pt>
                <c:pt idx="2">
                  <c:v>36.898125</c:v>
                </c:pt>
                <c:pt idx="3">
                  <c:v>39.524641000000003</c:v>
                </c:pt>
                <c:pt idx="4">
                  <c:v>42.099418999999997</c:v>
                </c:pt>
              </c:numCache>
            </c:numRef>
          </c:yVal>
          <c:smooth val="1"/>
          <c:extLst>
            <c:ext xmlns:c16="http://schemas.microsoft.com/office/drawing/2014/chart" uri="{C3380CC4-5D6E-409C-BE32-E72D297353CC}">
              <c16:uniqueId val="{00000001-6BA6-46F7-908D-8011A47E468F}"/>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v11</c:v>
                </c:pt>
              </c:strCache>
            </c:strRef>
          </c:tx>
          <c:spPr>
            <a:ln>
              <a:prstDash val="solid"/>
            </a:ln>
          </c:spPr>
          <c:marker>
            <c:symbol val="none"/>
          </c:marker>
          <c:xVal>
            <c:numRef>
              <c:f>Graphs!graph_d_x_range_A</c:f>
              <c:numCache>
                <c:formatCode>0.00</c:formatCode>
                <c:ptCount val="5"/>
                <c:pt idx="0">
                  <c:v>3.5788071212047045E-3</c:v>
                </c:pt>
                <c:pt idx="1">
                  <c:v>7.6602630522332798E-3</c:v>
                </c:pt>
                <c:pt idx="2">
                  <c:v>1.5457786215202397E-2</c:v>
                </c:pt>
                <c:pt idx="3">
                  <c:v>2.9503533395977433E-2</c:v>
                </c:pt>
                <c:pt idx="4">
                  <c:v>5.4642591665392905E-2</c:v>
                </c:pt>
              </c:numCache>
            </c:numRef>
          </c:xVal>
          <c:yVal>
            <c:numRef>
              <c:f>Graphs!graph_d_y_range_A</c:f>
              <c:numCache>
                <c:formatCode>0.00</c:formatCode>
                <c:ptCount val="5"/>
                <c:pt idx="0" formatCode="General">
                  <c:v>44.165405999999997</c:v>
                </c:pt>
                <c:pt idx="1">
                  <c:v>45.462941000000001</c:v>
                </c:pt>
                <c:pt idx="2">
                  <c:v>46.595978000000002</c:v>
                </c:pt>
                <c:pt idx="3">
                  <c:v>47.911166000000001</c:v>
                </c:pt>
                <c:pt idx="4">
                  <c:v>49.412694000000002</c:v>
                </c:pt>
              </c:numCache>
            </c:numRef>
          </c:yVal>
          <c:smooth val="1"/>
          <c:extLst>
            <c:ext xmlns:c16="http://schemas.microsoft.com/office/drawing/2014/chart" uri="{C3380CC4-5D6E-409C-BE32-E72D297353CC}">
              <c16:uniqueId val="{00000000-1F3D-4663-A625-FB2E99B5B4F0}"/>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3.5788071212047045E-3</c:v>
                </c:pt>
                <c:pt idx="1">
                  <c:v>7.6602630522332798E-3</c:v>
                </c:pt>
                <c:pt idx="2">
                  <c:v>1.5457786215202397E-2</c:v>
                </c:pt>
                <c:pt idx="3">
                  <c:v>2.9503533395977433E-2</c:v>
                </c:pt>
                <c:pt idx="4">
                  <c:v>5.4642591665392905E-2</c:v>
                </c:pt>
              </c:numCache>
            </c:numRef>
          </c:xVal>
          <c:yVal>
            <c:numRef>
              <c:f>Graphs!graph_d_y_range_B</c:f>
              <c:numCache>
                <c:formatCode>General</c:formatCode>
                <c:ptCount val="5"/>
                <c:pt idx="0">
                  <c:v>44.160584</c:v>
                </c:pt>
                <c:pt idx="1">
                  <c:v>45.459246999999998</c:v>
                </c:pt>
                <c:pt idx="2">
                  <c:v>46.593172000000003</c:v>
                </c:pt>
                <c:pt idx="3">
                  <c:v>47.909146999999997</c:v>
                </c:pt>
                <c:pt idx="4">
                  <c:v>49.412241000000002</c:v>
                </c:pt>
              </c:numCache>
            </c:numRef>
          </c:yVal>
          <c:smooth val="1"/>
          <c:extLst>
            <c:ext xmlns:c16="http://schemas.microsoft.com/office/drawing/2014/chart" uri="{C3380CC4-5D6E-409C-BE32-E72D297353CC}">
              <c16:uniqueId val="{00000001-1F3D-4663-A625-FB2E99B5B4F0}"/>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v11</c:v>
                </c:pt>
              </c:strCache>
            </c:strRef>
          </c:tx>
          <c:spPr>
            <a:ln>
              <a:prstDash val="solid"/>
            </a:ln>
          </c:spPr>
          <c:marker>
            <c:symbol val="none"/>
          </c:marker>
          <c:xVal>
            <c:numRef>
              <c:f>Graphs!graph_e_x_range_A</c:f>
              <c:numCache>
                <c:formatCode>0.00</c:formatCode>
                <c:ptCount val="5"/>
                <c:pt idx="0">
                  <c:v>3.5788071212047045E-3</c:v>
                </c:pt>
                <c:pt idx="1">
                  <c:v>7.6602630522332798E-3</c:v>
                </c:pt>
                <c:pt idx="2">
                  <c:v>1.5457786215202397E-2</c:v>
                </c:pt>
                <c:pt idx="3">
                  <c:v>2.9503533395977433E-2</c:v>
                </c:pt>
                <c:pt idx="4">
                  <c:v>5.4642591665392905E-2</c:v>
                </c:pt>
              </c:numCache>
            </c:numRef>
          </c:xVal>
          <c:yVal>
            <c:numRef>
              <c:f>Graphs!graph_e_y_range_A</c:f>
              <c:numCache>
                <c:formatCode>0.00</c:formatCode>
                <c:ptCount val="5"/>
                <c:pt idx="0" formatCode="General">
                  <c:v>43.847447000000003</c:v>
                </c:pt>
                <c:pt idx="1">
                  <c:v>45.263540999999996</c:v>
                </c:pt>
                <c:pt idx="2">
                  <c:v>46.493755999999998</c:v>
                </c:pt>
                <c:pt idx="3">
                  <c:v>47.950046999999998</c:v>
                </c:pt>
                <c:pt idx="4">
                  <c:v>49.544708999999997</c:v>
                </c:pt>
              </c:numCache>
            </c:numRef>
          </c:yVal>
          <c:smooth val="1"/>
          <c:extLst>
            <c:ext xmlns:c16="http://schemas.microsoft.com/office/drawing/2014/chart" uri="{C3380CC4-5D6E-409C-BE32-E72D297353CC}">
              <c16:uniqueId val="{00000000-FEAE-4E9C-9206-E57BDF0ADD8D}"/>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3.5788071212047045E-3</c:v>
                </c:pt>
                <c:pt idx="1">
                  <c:v>7.6602630522332798E-3</c:v>
                </c:pt>
                <c:pt idx="2">
                  <c:v>1.5457786215202397E-2</c:v>
                </c:pt>
                <c:pt idx="3">
                  <c:v>2.9503533395977433E-2</c:v>
                </c:pt>
                <c:pt idx="4">
                  <c:v>5.4642591665392905E-2</c:v>
                </c:pt>
              </c:numCache>
            </c:numRef>
          </c:xVal>
          <c:yVal>
            <c:numRef>
              <c:f>Graphs!graph_e_y_range_B</c:f>
              <c:numCache>
                <c:formatCode>General</c:formatCode>
                <c:ptCount val="5"/>
                <c:pt idx="0">
                  <c:v>43.840884000000003</c:v>
                </c:pt>
                <c:pt idx="1">
                  <c:v>45.257083999999999</c:v>
                </c:pt>
                <c:pt idx="2">
                  <c:v>46.488300000000002</c:v>
                </c:pt>
                <c:pt idx="3">
                  <c:v>47.945197</c:v>
                </c:pt>
                <c:pt idx="4">
                  <c:v>49.543346999999997</c:v>
                </c:pt>
              </c:numCache>
            </c:numRef>
          </c:yVal>
          <c:smooth val="1"/>
          <c:extLst>
            <c:ext xmlns:c16="http://schemas.microsoft.com/office/drawing/2014/chart" uri="{C3380CC4-5D6E-409C-BE32-E72D297353CC}">
              <c16:uniqueId val="{00000001-FEAE-4E9C-9206-E57BDF0ADD8D}"/>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v11</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8189-458D-921F-42C11F4EED69}"/>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8189-458D-921F-42C11F4EED69}"/>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G26" sqref="G26"/>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59" t="s">
        <v>574</v>
      </c>
      <c r="D1" s="60"/>
      <c r="E1" s="60"/>
    </row>
    <row r="2" spans="2:12" x14ac:dyDescent="0.2">
      <c r="B2" t="s">
        <v>1</v>
      </c>
      <c r="C2" s="61"/>
      <c r="D2" s="60"/>
      <c r="E2" s="60"/>
    </row>
    <row r="4" spans="2:12" s="1" customFormat="1" x14ac:dyDescent="0.2">
      <c r="B4" s="1" t="s">
        <v>2</v>
      </c>
    </row>
    <row r="6" spans="2:12" x14ac:dyDescent="0.2">
      <c r="B6" s="62" t="s">
        <v>3</v>
      </c>
      <c r="C6" s="64" t="s">
        <v>4</v>
      </c>
      <c r="D6" s="65"/>
      <c r="E6" s="65"/>
      <c r="F6" s="65"/>
      <c r="G6" s="65"/>
      <c r="H6" s="65"/>
      <c r="I6" s="65"/>
      <c r="J6" s="65"/>
      <c r="K6" s="65"/>
      <c r="L6" s="65"/>
    </row>
    <row r="7" spans="2:12" x14ac:dyDescent="0.2">
      <c r="B7" s="60"/>
      <c r="C7" s="66" t="s">
        <v>5</v>
      </c>
      <c r="D7" s="60"/>
      <c r="E7" s="67" t="s">
        <v>6</v>
      </c>
      <c r="F7" s="60"/>
      <c r="G7" s="60"/>
      <c r="H7" s="66" t="s">
        <v>7</v>
      </c>
      <c r="I7" s="60"/>
      <c r="J7" s="67" t="s">
        <v>8</v>
      </c>
      <c r="K7" s="60"/>
      <c r="L7" s="60"/>
    </row>
    <row r="8" spans="2:12" ht="16" x14ac:dyDescent="0.2">
      <c r="B8" s="63"/>
      <c r="C8" s="2" t="s">
        <v>9</v>
      </c>
      <c r="D8" s="2" t="s">
        <v>10</v>
      </c>
      <c r="E8" s="3" t="s">
        <v>11</v>
      </c>
      <c r="F8" s="3" t="s">
        <v>12</v>
      </c>
      <c r="G8" s="3" t="s">
        <v>13</v>
      </c>
      <c r="H8" s="2" t="s">
        <v>9</v>
      </c>
      <c r="I8" s="2" t="s">
        <v>10</v>
      </c>
      <c r="J8" s="3" t="s">
        <v>11</v>
      </c>
      <c r="K8" s="3" t="s">
        <v>12</v>
      </c>
      <c r="L8" s="3" t="s">
        <v>13</v>
      </c>
    </row>
    <row r="9" spans="2:12" x14ac:dyDescent="0.2">
      <c r="B9" t="s">
        <v>14</v>
      </c>
      <c r="C9" s="52">
        <f>'C2 lossyG,lossyA,intra'!$BJ$40:$BJ$40</f>
        <v>0</v>
      </c>
      <c r="D9" s="52">
        <f>'C2 lossyG,lossyA,intra'!$BK$40:$BK$40</f>
        <v>0</v>
      </c>
      <c r="E9" s="52">
        <f>'C2 lossyG,lossyA,intra'!$BL$40:$BL$40</f>
        <v>1.4348384886236631E-3</v>
      </c>
      <c r="F9" s="52">
        <f>'C2 lossyG,lossyA,intra'!$BM$40:$BM$40</f>
        <v>-3.0910654844439611E-3</v>
      </c>
      <c r="G9" s="52">
        <f>'C2 lossyG,lossyA,intra'!$BN$40:$BN$40</f>
        <v>-5.2719620535028877E-3</v>
      </c>
      <c r="H9" s="52">
        <f>'C2 lossyG,lossyA,intra'!$BP$40:$BP$40</f>
        <v>0</v>
      </c>
      <c r="I9" s="52">
        <f>'C2 lossyG,lossyA,intra'!$BQ$40:$BQ$40</f>
        <v>0</v>
      </c>
      <c r="J9" s="52">
        <f>'C2 lossyG,lossyA,intra'!$BR$40:$BR$40</f>
        <v>1.1862956842197125E-3</v>
      </c>
      <c r="K9" s="52">
        <f>'C2 lossyG,lossyA,intra'!$BS$40:$BS$40</f>
        <v>-2.7773817512755095E-3</v>
      </c>
      <c r="L9" s="52">
        <f>'C2 lossyG,lossyA,intra'!$BT$40:$BT$40</f>
        <v>-4.5331268234449495E-3</v>
      </c>
    </row>
    <row r="10" spans="2:12" x14ac:dyDescent="0.2">
      <c r="B10" t="s">
        <v>15</v>
      </c>
      <c r="C10" s="52">
        <f>'C2 lossyG,lossyA,intra'!$BJ$41:$BJ$41</f>
        <v>0</v>
      </c>
      <c r="D10" s="52">
        <f>'C2 lossyG,lossyA,intra'!$BK$41:$BK$41</f>
        <v>0</v>
      </c>
      <c r="E10" s="52">
        <f>'C2 lossyG,lossyA,intra'!$BL$41:$BL$41</f>
        <v>3.3049312698607558E-4</v>
      </c>
      <c r="F10" s="52">
        <f>'C2 lossyG,lossyA,intra'!$BM$41:$BM$41</f>
        <v>3.8472136200828899E-4</v>
      </c>
      <c r="G10" s="52">
        <f>'C2 lossyG,lossyA,intra'!$BN$41:$BN$41</f>
        <v>3.1033073177288983E-4</v>
      </c>
      <c r="H10" s="52">
        <f>'C2 lossyG,lossyA,intra'!$BP$41:$BP$41</f>
        <v>0</v>
      </c>
      <c r="I10" s="52">
        <f>'C2 lossyG,lossyA,intra'!$BQ$41:$BQ$41</f>
        <v>0</v>
      </c>
      <c r="J10" s="52">
        <f>'C2 lossyG,lossyA,intra'!$BR$41:$BR$41</f>
        <v>3.0815306079712279E-4</v>
      </c>
      <c r="K10" s="52">
        <f>'C2 lossyG,lossyA,intra'!$BS$41:$BS$41</f>
        <v>3.2643892905337424E-4</v>
      </c>
      <c r="L10" s="52">
        <f>'C2 lossyG,lossyA,intra'!$BT$41:$BT$41</f>
        <v>2.596019610896505E-4</v>
      </c>
    </row>
    <row r="11" spans="2:12" x14ac:dyDescent="0.2">
      <c r="B11" t="s">
        <v>16</v>
      </c>
      <c r="C11" s="52">
        <f>'C2 lossyG,lossyA,intra'!$BJ$42:$BJ$42</f>
        <v>0</v>
      </c>
      <c r="D11" s="52">
        <f>'C2 lossyG,lossyA,intra'!$BK$42:$BK$42</f>
        <v>0</v>
      </c>
      <c r="E11" s="52">
        <f>'C2 lossyG,lossyA,intra'!$BL$42:$BL$42</f>
        <v>7.5176644481977917E-4</v>
      </c>
      <c r="F11" s="52">
        <f>'C2 lossyG,lossyA,intra'!$BM$42:$BM$42</f>
        <v>1.1732269746966839E-4</v>
      </c>
      <c r="G11" s="52">
        <f>'C2 lossyG,lossyA,intra'!$BN$42:$BN$42</f>
        <v>3.5827729179149781E-4</v>
      </c>
      <c r="H11" s="52">
        <f>'C2 lossyG,lossyA,intra'!$BP$42:$BP$42</f>
        <v>0</v>
      </c>
      <c r="I11" s="52">
        <f>'C2 lossyG,lossyA,intra'!$BQ$42:$BQ$42</f>
        <v>0</v>
      </c>
      <c r="J11" s="52">
        <f>'C2 lossyG,lossyA,intra'!$BR$42:$BR$42</f>
        <v>5.6734990462459223E-4</v>
      </c>
      <c r="K11" s="52">
        <f>'C2 lossyG,lossyA,intra'!$BS$42:$BS$42</f>
        <v>7.4491149455901962E-5</v>
      </c>
      <c r="L11" s="52">
        <f>'C2 lossyG,lossyA,intra'!$BT$42:$BT$42</f>
        <v>2.6517801872605329E-4</v>
      </c>
    </row>
    <row r="12" spans="2:12" x14ac:dyDescent="0.2">
      <c r="B12" s="4" t="s">
        <v>17</v>
      </c>
      <c r="C12" s="5">
        <f>'C2 lossyG,lossyA,intra'!$BJ$43:$BJ$43</f>
        <v>0</v>
      </c>
      <c r="D12" s="5">
        <f>'C2 lossyG,lossyA,intra'!$BK$43:$BK$43</f>
        <v>0</v>
      </c>
      <c r="E12" s="5">
        <f>'C2 lossyG,lossyA,intra'!$BL$43:$BL$43</f>
        <v>1.0819114244457553E-3</v>
      </c>
      <c r="F12" s="5">
        <f>'C2 lossyG,lossyA,intra'!$BM$43:$BM$43</f>
        <v>-1.6778421686897455E-3</v>
      </c>
      <c r="G12" s="5">
        <f>'C2 lossyG,lossyA,intra'!$BN$43:$BN$43</f>
        <v>-2.8658518426650952E-3</v>
      </c>
      <c r="H12" s="5">
        <f>'C2 lossyG,lossyA,intra'!$BP$43:$BP$43</f>
        <v>0</v>
      </c>
      <c r="I12" s="5">
        <f>'C2 lossyG,lossyA,intra'!$BQ$43:$BQ$43</f>
        <v>0</v>
      </c>
      <c r="J12" s="5">
        <f>'C2 lossyG,lossyA,intra'!$BR$43:$BR$43</f>
        <v>8.8400508670359395E-4</v>
      </c>
      <c r="K12" s="5">
        <f>'C2 lossyG,lossyA,intra'!$BS$43:$BS$43</f>
        <v>-1.5191579681624085E-3</v>
      </c>
      <c r="L12" s="5">
        <f>'C2 lossyG,lossyA,intra'!$BT$43:$BT$43</f>
        <v>-2.477507042176863E-3</v>
      </c>
    </row>
    <row r="13" spans="2:12" x14ac:dyDescent="0.2">
      <c r="B13" t="s">
        <v>18</v>
      </c>
      <c r="C13" s="68" t="e">
        <f>'C2 lossyG,lossyA,intra'!AZ47</f>
        <v>#NUM!</v>
      </c>
      <c r="D13" s="60"/>
      <c r="E13" s="60"/>
      <c r="F13" s="60"/>
      <c r="G13" s="60"/>
      <c r="H13" s="60"/>
      <c r="I13" s="60"/>
      <c r="J13" s="60"/>
      <c r="K13" s="60"/>
      <c r="L13" s="60"/>
    </row>
    <row r="14" spans="2:12" x14ac:dyDescent="0.2">
      <c r="B14" s="6" t="s">
        <v>19</v>
      </c>
      <c r="C14" s="69">
        <f>'C2 lossyG,lossyA,intra'!BB47</f>
        <v>0.94853507045157126</v>
      </c>
      <c r="D14" s="63"/>
      <c r="E14" s="63"/>
      <c r="F14" s="63"/>
      <c r="G14" s="63"/>
      <c r="H14" s="63"/>
      <c r="I14" s="63"/>
      <c r="J14" s="63"/>
      <c r="K14" s="63"/>
      <c r="L14" s="63"/>
    </row>
    <row r="16" spans="2:12" x14ac:dyDescent="0.2">
      <c r="B16" s="62" t="s">
        <v>20</v>
      </c>
      <c r="C16" s="64" t="s">
        <v>21</v>
      </c>
      <c r="D16" s="65"/>
      <c r="E16" s="65"/>
    </row>
    <row r="17" spans="2:5" x14ac:dyDescent="0.2">
      <c r="B17" s="60"/>
      <c r="C17" s="66" t="s">
        <v>22</v>
      </c>
      <c r="D17" s="60"/>
      <c r="E17" s="60"/>
    </row>
    <row r="18" spans="2:5" ht="16" x14ac:dyDescent="0.2">
      <c r="B18" s="63"/>
      <c r="C18" s="2" t="s">
        <v>23</v>
      </c>
      <c r="D18" s="2" t="s">
        <v>24</v>
      </c>
      <c r="E18" s="2" t="s">
        <v>25</v>
      </c>
    </row>
    <row r="19" spans="2:5" x14ac:dyDescent="0.2">
      <c r="B19" t="s">
        <v>14</v>
      </c>
      <c r="C19" s="52" t="e">
        <f>'CW losslG,losslA,intra'!BC12</f>
        <v>#DIV/0!</v>
      </c>
      <c r="D19" s="52" t="e">
        <f>'CW losslG,losslA,intra'!BE12</f>
        <v>#DIV/0!</v>
      </c>
      <c r="E19" s="52" t="e">
        <f>'CW losslG,losslA,intra'!BB12</f>
        <v>#DIV/0!</v>
      </c>
    </row>
    <row r="20" spans="2:5" x14ac:dyDescent="0.2">
      <c r="B20" t="s">
        <v>15</v>
      </c>
      <c r="C20" s="52" t="e">
        <f>'CW losslG,losslA,intra'!BC13</f>
        <v>#DIV/0!</v>
      </c>
      <c r="D20" s="52" t="e">
        <f>'CW losslG,losslA,intra'!BE13</f>
        <v>#DIV/0!</v>
      </c>
      <c r="E20" s="52" t="e">
        <f>'CW losslG,losslA,intra'!BB13</f>
        <v>#DIV/0!</v>
      </c>
    </row>
    <row r="21" spans="2:5" x14ac:dyDescent="0.2">
      <c r="B21" t="s">
        <v>16</v>
      </c>
      <c r="C21" s="52" t="e">
        <f>'CW losslG,losslA,intra'!BC14</f>
        <v>#DIV/0!</v>
      </c>
      <c r="D21" s="52" t="e">
        <f>'CW losslG,losslA,intra'!BE14</f>
        <v>#DIV/0!</v>
      </c>
      <c r="E21" s="52" t="e">
        <f>'CW losslG,losslA,intra'!BB14</f>
        <v>#DIV/0!</v>
      </c>
    </row>
    <row r="22" spans="2:5" x14ac:dyDescent="0.2">
      <c r="B22" s="4" t="s">
        <v>17</v>
      </c>
      <c r="C22" s="5" t="e">
        <f>'CW losslG,losslA,intra'!BC15</f>
        <v>#DIV/0!</v>
      </c>
      <c r="D22" s="5" t="e">
        <f>'CW losslG,losslA,intra'!BE15</f>
        <v>#DIV/0!</v>
      </c>
      <c r="E22" s="5" t="e">
        <f>'CW losslG,losslA,intra'!BB15</f>
        <v>#DIV/0!</v>
      </c>
    </row>
    <row r="23" spans="2:5" x14ac:dyDescent="0.2">
      <c r="B23" t="s">
        <v>18</v>
      </c>
      <c r="C23" s="68" t="e">
        <f>'CW losslG,losslA,intra'!AW19</f>
        <v>#NUM!</v>
      </c>
      <c r="D23" s="60"/>
      <c r="E23" s="60"/>
    </row>
    <row r="24" spans="2:5" x14ac:dyDescent="0.2">
      <c r="B24" s="6" t="s">
        <v>19</v>
      </c>
      <c r="C24" s="69" t="e">
        <f>'CW losslG,losslA,intra'!AY19</f>
        <v>#NUM!</v>
      </c>
      <c r="D24" s="63"/>
      <c r="E24" s="63"/>
    </row>
    <row r="26" spans="2:5" s="1" customFormat="1" x14ac:dyDescent="0.2">
      <c r="B26" s="1" t="s">
        <v>26</v>
      </c>
    </row>
    <row r="28" spans="2:5" x14ac:dyDescent="0.2">
      <c r="B28" s="62" t="s">
        <v>27</v>
      </c>
      <c r="C28" s="64" t="s">
        <v>28</v>
      </c>
      <c r="D28" s="65"/>
      <c r="E28" s="65"/>
    </row>
    <row r="29" spans="2:5" x14ac:dyDescent="0.2">
      <c r="B29" s="60"/>
      <c r="C29" s="66" t="s">
        <v>22</v>
      </c>
      <c r="D29" s="60"/>
      <c r="E29" s="60"/>
    </row>
    <row r="30" spans="2:5" ht="16" x14ac:dyDescent="0.2">
      <c r="B30" s="63"/>
      <c r="C30" s="2" t="s">
        <v>23</v>
      </c>
      <c r="D30" s="2" t="s">
        <v>24</v>
      </c>
      <c r="E30" s="2" t="s">
        <v>25</v>
      </c>
    </row>
    <row r="31" spans="2:5" x14ac:dyDescent="0.2">
      <c r="B31" t="s">
        <v>14</v>
      </c>
      <c r="C31" s="52" t="e">
        <f>'CW losslG,losslA,interLD'!BC12</f>
        <v>#DIV/0!</v>
      </c>
      <c r="D31" s="52" t="e">
        <f>'CW losslG,losslA,interLD'!BE12</f>
        <v>#DIV/0!</v>
      </c>
      <c r="E31" s="52" t="e">
        <f>'CW losslG,losslA,interLD'!BB12</f>
        <v>#DIV/0!</v>
      </c>
    </row>
    <row r="32" spans="2:5" x14ac:dyDescent="0.2">
      <c r="B32" t="s">
        <v>15</v>
      </c>
      <c r="C32" s="52" t="e">
        <f>'CW losslG,losslA,interLD'!BC13</f>
        <v>#DIV/0!</v>
      </c>
      <c r="D32" s="52" t="e">
        <f>'CW losslG,losslA,interLD'!BE13</f>
        <v>#DIV/0!</v>
      </c>
      <c r="E32" s="52" t="e">
        <f>'CW losslG,losslA,interLD'!BB13</f>
        <v>#DIV/0!</v>
      </c>
    </row>
    <row r="33" spans="2:12" x14ac:dyDescent="0.2">
      <c r="B33" t="s">
        <v>16</v>
      </c>
      <c r="C33" s="52" t="e">
        <f>'CW losslG,losslA,interLD'!BC14</f>
        <v>#DIV/0!</v>
      </c>
      <c r="D33" s="52" t="e">
        <f>'CW losslG,losslA,interLD'!BE14</f>
        <v>#DIV/0!</v>
      </c>
      <c r="E33" s="52" t="e">
        <f>'CW losslG,losslA,interLD'!BB14</f>
        <v>#DIV/0!</v>
      </c>
    </row>
    <row r="34" spans="2:12" x14ac:dyDescent="0.2">
      <c r="B34" s="4" t="s">
        <v>17</v>
      </c>
      <c r="C34" s="5" t="e">
        <f>'CW losslG,losslA,interLD'!BC15</f>
        <v>#DIV/0!</v>
      </c>
      <c r="D34" s="5" t="e">
        <f>'CW losslG,losslA,interLD'!BE15</f>
        <v>#DIV/0!</v>
      </c>
      <c r="E34" s="5" t="e">
        <f>'CW losslG,losslA,interLD'!BB15</f>
        <v>#DIV/0!</v>
      </c>
    </row>
    <row r="35" spans="2:12" x14ac:dyDescent="0.2">
      <c r="B35" t="s">
        <v>18</v>
      </c>
      <c r="C35" s="68" t="e">
        <f>'CW losslG,losslA,interLD'!AW19</f>
        <v>#NUM!</v>
      </c>
      <c r="D35" s="60"/>
      <c r="E35" s="60"/>
    </row>
    <row r="36" spans="2:12" x14ac:dyDescent="0.2">
      <c r="B36" s="6" t="s">
        <v>19</v>
      </c>
      <c r="C36" s="69" t="e">
        <f>'CW losslG,losslA,interLD'!AY19</f>
        <v>#NUM!</v>
      </c>
      <c r="D36" s="63"/>
      <c r="E36" s="63"/>
    </row>
    <row r="38" spans="2:12" s="1" customFormat="1" x14ac:dyDescent="0.2">
      <c r="B38" s="1" t="s">
        <v>29</v>
      </c>
    </row>
    <row r="40" spans="2:12" x14ac:dyDescent="0.2">
      <c r="B40" s="62" t="s">
        <v>30</v>
      </c>
      <c r="C40" s="64" t="s">
        <v>31</v>
      </c>
      <c r="D40" s="65"/>
      <c r="E40" s="65"/>
      <c r="F40" s="65"/>
      <c r="G40" s="65"/>
      <c r="H40" s="65"/>
      <c r="I40" s="65"/>
      <c r="J40" s="65"/>
      <c r="K40" s="65"/>
      <c r="L40" s="65"/>
    </row>
    <row r="41" spans="2:12" x14ac:dyDescent="0.2">
      <c r="B41" s="60"/>
      <c r="C41" s="66" t="s">
        <v>5</v>
      </c>
      <c r="D41" s="60"/>
      <c r="E41" s="67" t="s">
        <v>6</v>
      </c>
      <c r="F41" s="60"/>
      <c r="G41" s="60"/>
      <c r="H41" s="66" t="s">
        <v>7</v>
      </c>
      <c r="I41" s="60"/>
      <c r="J41" s="67" t="s">
        <v>8</v>
      </c>
      <c r="K41" s="60"/>
      <c r="L41" s="60"/>
    </row>
    <row r="42" spans="2:12" ht="16" x14ac:dyDescent="0.2">
      <c r="B42" s="63"/>
      <c r="C42" s="2" t="s">
        <v>9</v>
      </c>
      <c r="D42" s="2" t="s">
        <v>10</v>
      </c>
      <c r="E42" s="3" t="s">
        <v>11</v>
      </c>
      <c r="F42" s="3" t="s">
        <v>12</v>
      </c>
      <c r="G42" s="3" t="s">
        <v>13</v>
      </c>
      <c r="H42" s="2" t="s">
        <v>9</v>
      </c>
      <c r="I42" s="2" t="s">
        <v>10</v>
      </c>
      <c r="J42" s="3" t="s">
        <v>11</v>
      </c>
      <c r="K42" s="3" t="s">
        <v>12</v>
      </c>
      <c r="L42" s="3" t="s">
        <v>13</v>
      </c>
    </row>
    <row r="43" spans="2:12" x14ac:dyDescent="0.2">
      <c r="B43" t="s">
        <v>14</v>
      </c>
      <c r="C43" s="52">
        <f>'C2 lossyG,lossyA,interRA'!$BJ$40:$BJ$40</f>
        <v>0</v>
      </c>
      <c r="D43" s="52">
        <f>'C2 lossyG,lossyA,interRA'!$BK$40:$BK$40</f>
        <v>0</v>
      </c>
      <c r="E43" s="52">
        <f>'C2 lossyG,lossyA,interRA'!$BL$40:$BL$40</f>
        <v>-8.9869267273667841E-5</v>
      </c>
      <c r="F43" s="52">
        <f>'C2 lossyG,lossyA,interRA'!$BM$40:$BM$40</f>
        <v>-4.0933542525208866E-3</v>
      </c>
      <c r="G43" s="52">
        <f>'C2 lossyG,lossyA,interRA'!$BN$40:$BN$40</f>
        <v>-6.3800311858603631E-3</v>
      </c>
      <c r="H43" s="52">
        <f>'C2 lossyG,lossyA,interRA'!$BP$40:$BP$40</f>
        <v>0</v>
      </c>
      <c r="I43" s="52">
        <f>'C2 lossyG,lossyA,interRA'!$BQ$40:$BQ$40</f>
        <v>0</v>
      </c>
      <c r="J43" s="52">
        <f>'C2 lossyG,lossyA,interRA'!$BR$40:$BR$40</f>
        <v>-1.0687572316298022E-4</v>
      </c>
      <c r="K43" s="52">
        <f>'C2 lossyG,lossyA,interRA'!$BS$40:$BS$40</f>
        <v>-3.2929629086172474E-3</v>
      </c>
      <c r="L43" s="52">
        <f>'C2 lossyG,lossyA,interRA'!$BT$40:$BT$40</f>
        <v>-4.9720038964509439E-3</v>
      </c>
    </row>
    <row r="44" spans="2:12" x14ac:dyDescent="0.2">
      <c r="B44" t="s">
        <v>15</v>
      </c>
      <c r="C44" s="52">
        <f>'C2 lossyG,lossyA,interRA'!$BJ$41:$BJ$41</f>
        <v>0</v>
      </c>
      <c r="D44" s="52">
        <f>'C2 lossyG,lossyA,interRA'!$BK$41:$BK$41</f>
        <v>0</v>
      </c>
      <c r="E44" s="52">
        <f>'C2 lossyG,lossyA,interRA'!$BL$41:$BL$41</f>
        <v>4.1345227730804623E-4</v>
      </c>
      <c r="F44" s="52">
        <f>'C2 lossyG,lossyA,interRA'!$BM$41:$BM$41</f>
        <v>7.1794595286522878E-4</v>
      </c>
      <c r="G44" s="52">
        <f>'C2 lossyG,lossyA,interRA'!$BN$41:$BN$41</f>
        <v>5.3116915594908498E-4</v>
      </c>
      <c r="H44" s="52">
        <f>'C2 lossyG,lossyA,interRA'!$BP$41:$BP$41</f>
        <v>0</v>
      </c>
      <c r="I44" s="52">
        <f>'C2 lossyG,lossyA,interRA'!$BQ$41:$BQ$41</f>
        <v>0</v>
      </c>
      <c r="J44" s="52">
        <f>'C2 lossyG,lossyA,interRA'!$BR$41:$BR$41</f>
        <v>3.0173854882153961E-4</v>
      </c>
      <c r="K44" s="52">
        <f>'C2 lossyG,lossyA,interRA'!$BS$41:$BS$41</f>
        <v>5.2034502461939525E-4</v>
      </c>
      <c r="L44" s="52">
        <f>'C2 lossyG,lossyA,interRA'!$BT$41:$BT$41</f>
        <v>3.6995625196722948E-4</v>
      </c>
    </row>
    <row r="45" spans="2:12" x14ac:dyDescent="0.2">
      <c r="B45" t="s">
        <v>16</v>
      </c>
      <c r="C45" s="52">
        <f>'C2 lossyG,lossyA,interRA'!$BJ$42:$BJ$42</f>
        <v>0</v>
      </c>
      <c r="D45" s="52">
        <f>'C2 lossyG,lossyA,interRA'!$BK$42:$BK$42</f>
        <v>0</v>
      </c>
      <c r="E45" s="52">
        <f>'C2 lossyG,lossyA,interRA'!$BL$42:$BL$42</f>
        <v>9.1492108776358716E-4</v>
      </c>
      <c r="F45" s="52">
        <f>'C2 lossyG,lossyA,interRA'!$BM$42:$BM$42</f>
        <v>1.7137331276428913E-4</v>
      </c>
      <c r="G45" s="52">
        <f>'C2 lossyG,lossyA,interRA'!$BN$42:$BN$42</f>
        <v>4.4874017177698455E-4</v>
      </c>
      <c r="H45" s="52">
        <f>'C2 lossyG,lossyA,interRA'!$BP$42:$BP$42</f>
        <v>0</v>
      </c>
      <c r="I45" s="52">
        <f>'C2 lossyG,lossyA,interRA'!$BQ$42:$BQ$42</f>
        <v>0</v>
      </c>
      <c r="J45" s="52">
        <f>'C2 lossyG,lossyA,interRA'!$BR$42:$BR$42</f>
        <v>5.7357082558218142E-4</v>
      </c>
      <c r="K45" s="52">
        <f>'C2 lossyG,lossyA,interRA'!$BS$42:$BS$42</f>
        <v>1.0047954583225494E-4</v>
      </c>
      <c r="L45" s="52">
        <f>'C2 lossyG,lossyA,interRA'!$BT$42:$BT$42</f>
        <v>2.9216331104642279E-4</v>
      </c>
    </row>
    <row r="46" spans="2:12" x14ac:dyDescent="0.2">
      <c r="B46" s="4" t="s">
        <v>17</v>
      </c>
      <c r="C46" s="5">
        <f>'C2 lossyG,lossyA,interRA'!$BJ$43:$BJ$43</f>
        <v>0</v>
      </c>
      <c r="D46" s="5">
        <f>'C2 lossyG,lossyA,interRA'!$BK$43:$BK$43</f>
        <v>0</v>
      </c>
      <c r="E46" s="5">
        <f>'C2 lossyG,lossyA,interRA'!$BL$43:$BL$43</f>
        <v>2.6911676910579274E-4</v>
      </c>
      <c r="F46" s="5">
        <f>'C2 lossyG,lossyA,interRA'!$BM$43:$BM$43</f>
        <v>-2.1875320616699628E-3</v>
      </c>
      <c r="G46" s="5">
        <f>'C2 lossyG,lossyA,interRA'!$BN$43:$BN$43</f>
        <v>-3.4416393205626283E-3</v>
      </c>
      <c r="H46" s="5">
        <f>'C2 lossyG,lossyA,interRA'!$BP$43:$BP$43</f>
        <v>0</v>
      </c>
      <c r="I46" s="5">
        <f>'C2 lossyG,lossyA,interRA'!$BQ$43:$BQ$43</f>
        <v>0</v>
      </c>
      <c r="J46" s="5">
        <f>'C2 lossyG,lossyA,interRA'!$BR$43:$BR$43</f>
        <v>1.459110439048545E-4</v>
      </c>
      <c r="K46" s="5">
        <f>'C2 lossyG,lossyA,interRA'!$BS$43:$BS$43</f>
        <v>-1.7786496454550121E-3</v>
      </c>
      <c r="L46" s="5">
        <f>'C2 lossyG,lossyA,interRA'!$BT$43:$BT$43</f>
        <v>-2.7048189588205285E-3</v>
      </c>
    </row>
    <row r="47" spans="2:12" x14ac:dyDescent="0.2">
      <c r="B47" t="s">
        <v>18</v>
      </c>
      <c r="C47" s="68" t="e">
        <f>'C2 lossyG,lossyA,interRA'!AZ47</f>
        <v>#NUM!</v>
      </c>
      <c r="D47" s="60"/>
      <c r="E47" s="60"/>
      <c r="F47" s="60"/>
      <c r="G47" s="60"/>
      <c r="H47" s="60"/>
      <c r="I47" s="60"/>
      <c r="J47" s="60"/>
      <c r="K47" s="60"/>
      <c r="L47" s="60"/>
    </row>
    <row r="48" spans="2:12" x14ac:dyDescent="0.2">
      <c r="B48" s="6" t="s">
        <v>19</v>
      </c>
      <c r="C48" s="69">
        <f>'C2 lossyG,lossyA,interRA'!BB47</f>
        <v>0.92470835341515323</v>
      </c>
      <c r="D48" s="63"/>
      <c r="E48" s="63"/>
      <c r="F48" s="63"/>
      <c r="G48" s="63"/>
      <c r="H48" s="63"/>
      <c r="I48" s="63"/>
      <c r="J48" s="63"/>
      <c r="K48" s="63"/>
      <c r="L48" s="63"/>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32</v>
      </c>
      <c r="B1" s="7" t="str">
        <f>M1</f>
        <v>C2 lossyG,lossyA,intra</v>
      </c>
      <c r="C1" t="s">
        <v>33</v>
      </c>
      <c r="I1" t="s">
        <v>34</v>
      </c>
      <c r="M1" t="s">
        <v>35</v>
      </c>
      <c r="N1" t="s">
        <v>36</v>
      </c>
      <c r="O1" t="s">
        <v>37</v>
      </c>
      <c r="P1" t="s">
        <v>38</v>
      </c>
    </row>
    <row r="2" spans="1:16" x14ac:dyDescent="0.2">
      <c r="A2" t="s">
        <v>39</v>
      </c>
      <c r="B2" s="7" t="str">
        <f>HLOOKUP(B1,M1:ZZ3,3,0)</f>
        <v>8ivfbv2_loot_vox10</v>
      </c>
      <c r="C2" t="s">
        <v>40</v>
      </c>
      <c r="I2" t="s">
        <v>41</v>
      </c>
      <c r="J2" t="s">
        <v>42</v>
      </c>
      <c r="M2" t="s">
        <v>43</v>
      </c>
      <c r="N2" t="s">
        <v>44</v>
      </c>
      <c r="O2" t="s">
        <v>45</v>
      </c>
      <c r="P2" t="s">
        <v>46</v>
      </c>
    </row>
    <row r="3" spans="1:16" x14ac:dyDescent="0.2">
      <c r="I3" t="s">
        <v>47</v>
      </c>
      <c r="J3" t="s">
        <v>48</v>
      </c>
      <c r="M3" t="s">
        <v>49</v>
      </c>
      <c r="N3" t="s">
        <v>49</v>
      </c>
      <c r="O3" t="s">
        <v>49</v>
      </c>
      <c r="P3" t="s">
        <v>49</v>
      </c>
    </row>
    <row r="4" spans="1:16" x14ac:dyDescent="0.2">
      <c r="A4" t="s">
        <v>50</v>
      </c>
      <c r="B4" s="7" t="s">
        <v>51</v>
      </c>
      <c r="C4" t="s">
        <v>52</v>
      </c>
      <c r="D4" s="7" t="s">
        <v>53</v>
      </c>
      <c r="E4" t="s">
        <v>54</v>
      </c>
      <c r="I4" t="s">
        <v>55</v>
      </c>
      <c r="J4" t="s">
        <v>56</v>
      </c>
      <c r="M4" t="s">
        <v>57</v>
      </c>
      <c r="N4" t="s">
        <v>57</v>
      </c>
      <c r="O4" t="s">
        <v>57</v>
      </c>
      <c r="P4" t="s">
        <v>57</v>
      </c>
    </row>
    <row r="5" spans="1:16" x14ac:dyDescent="0.2">
      <c r="A5" t="s">
        <v>50</v>
      </c>
      <c r="B5" s="7" t="s">
        <v>51</v>
      </c>
      <c r="C5" t="s">
        <v>52</v>
      </c>
      <c r="D5" s="7" t="s">
        <v>58</v>
      </c>
      <c r="E5" t="s">
        <v>59</v>
      </c>
      <c r="I5" t="s">
        <v>60</v>
      </c>
      <c r="J5" t="s">
        <v>61</v>
      </c>
      <c r="M5" t="s">
        <v>62</v>
      </c>
      <c r="N5" t="s">
        <v>62</v>
      </c>
      <c r="O5" t="s">
        <v>62</v>
      </c>
      <c r="P5" t="s">
        <v>62</v>
      </c>
    </row>
    <row r="6" spans="1:16" x14ac:dyDescent="0.2">
      <c r="A6" t="s">
        <v>50</v>
      </c>
      <c r="B6" s="7" t="s">
        <v>63</v>
      </c>
      <c r="C6" t="s">
        <v>52</v>
      </c>
      <c r="D6" s="7" t="s">
        <v>64</v>
      </c>
      <c r="E6" t="s">
        <v>65</v>
      </c>
      <c r="I6" t="s">
        <v>66</v>
      </c>
      <c r="J6" t="s">
        <v>67</v>
      </c>
      <c r="M6" t="s">
        <v>68</v>
      </c>
      <c r="N6" t="s">
        <v>68</v>
      </c>
      <c r="O6" t="s">
        <v>68</v>
      </c>
      <c r="P6" t="s">
        <v>68</v>
      </c>
    </row>
    <row r="7" spans="1:16" x14ac:dyDescent="0.2">
      <c r="A7" t="s">
        <v>50</v>
      </c>
      <c r="B7" s="7" t="s">
        <v>63</v>
      </c>
      <c r="C7" t="s">
        <v>52</v>
      </c>
      <c r="D7" s="7" t="s">
        <v>47</v>
      </c>
      <c r="E7" t="s">
        <v>69</v>
      </c>
      <c r="I7" t="s">
        <v>53</v>
      </c>
      <c r="J7" t="s">
        <v>70</v>
      </c>
      <c r="M7" t="s">
        <v>71</v>
      </c>
      <c r="N7" t="s">
        <v>71</v>
      </c>
      <c r="O7" t="s">
        <v>71</v>
      </c>
      <c r="P7" t="s">
        <v>71</v>
      </c>
    </row>
    <row r="8" spans="1:16" x14ac:dyDescent="0.2">
      <c r="A8" t="s">
        <v>50</v>
      </c>
      <c r="B8" s="7" t="s">
        <v>63</v>
      </c>
      <c r="C8" t="s">
        <v>52</v>
      </c>
      <c r="D8" s="7" t="s">
        <v>60</v>
      </c>
      <c r="E8" t="s">
        <v>72</v>
      </c>
      <c r="I8" t="s">
        <v>73</v>
      </c>
      <c r="J8" t="s">
        <v>74</v>
      </c>
      <c r="M8" t="s">
        <v>75</v>
      </c>
      <c r="N8" t="s">
        <v>75</v>
      </c>
      <c r="O8" t="s">
        <v>75</v>
      </c>
      <c r="P8" t="s">
        <v>75</v>
      </c>
    </row>
    <row r="9" spans="1:16" x14ac:dyDescent="0.2">
      <c r="A9" t="s">
        <v>50</v>
      </c>
      <c r="B9" s="7" t="s">
        <v>76</v>
      </c>
      <c r="C9" t="s">
        <v>52</v>
      </c>
      <c r="D9" s="7" t="s">
        <v>77</v>
      </c>
      <c r="E9" t="s">
        <v>78</v>
      </c>
      <c r="I9" t="s">
        <v>58</v>
      </c>
      <c r="J9" t="s">
        <v>79</v>
      </c>
      <c r="M9" t="s">
        <v>80</v>
      </c>
      <c r="N9" t="s">
        <v>80</v>
      </c>
      <c r="O9" t="s">
        <v>80</v>
      </c>
      <c r="P9" t="s">
        <v>80</v>
      </c>
    </row>
    <row r="10" spans="1:16" x14ac:dyDescent="0.2">
      <c r="I10" t="s">
        <v>81</v>
      </c>
      <c r="J10" t="s">
        <v>82</v>
      </c>
    </row>
    <row r="11" spans="1:16" x14ac:dyDescent="0.2">
      <c r="I11" t="s">
        <v>83</v>
      </c>
      <c r="J11" t="s">
        <v>84</v>
      </c>
    </row>
    <row r="12" spans="1:16" x14ac:dyDescent="0.2">
      <c r="I12" t="s">
        <v>85</v>
      </c>
      <c r="J12" t="s">
        <v>86</v>
      </c>
    </row>
    <row r="13" spans="1:16" x14ac:dyDescent="0.2">
      <c r="I13" t="s">
        <v>87</v>
      </c>
      <c r="J13" t="s">
        <v>88</v>
      </c>
    </row>
    <row r="14" spans="1:16" x14ac:dyDescent="0.2">
      <c r="I14" t="s">
        <v>89</v>
      </c>
      <c r="J14" t="s">
        <v>90</v>
      </c>
    </row>
    <row r="15" spans="1:16" x14ac:dyDescent="0.2">
      <c r="I15" t="s">
        <v>91</v>
      </c>
      <c r="J15" t="s">
        <v>92</v>
      </c>
    </row>
    <row r="16" spans="1:16" x14ac:dyDescent="0.2">
      <c r="I16" t="s">
        <v>93</v>
      </c>
      <c r="J16" t="s">
        <v>94</v>
      </c>
    </row>
    <row r="17" spans="9:10" x14ac:dyDescent="0.2">
      <c r="I17" t="s">
        <v>77</v>
      </c>
      <c r="J17" t="s">
        <v>95</v>
      </c>
    </row>
    <row r="18" spans="9:10" x14ac:dyDescent="0.2">
      <c r="I18" t="s">
        <v>96</v>
      </c>
      <c r="J18" t="s">
        <v>97</v>
      </c>
    </row>
    <row r="19" spans="9:10" x14ac:dyDescent="0.2">
      <c r="I19" t="s">
        <v>98</v>
      </c>
      <c r="J19" t="s">
        <v>99</v>
      </c>
    </row>
    <row r="20" spans="9:10" x14ac:dyDescent="0.2">
      <c r="I20" t="s">
        <v>100</v>
      </c>
      <c r="J20" t="s">
        <v>101</v>
      </c>
    </row>
    <row r="21" spans="9:10" x14ac:dyDescent="0.2">
      <c r="I21" t="s">
        <v>102</v>
      </c>
      <c r="J21" t="s">
        <v>103</v>
      </c>
    </row>
    <row r="22" spans="9:10" x14ac:dyDescent="0.2">
      <c r="I22" t="s">
        <v>64</v>
      </c>
      <c r="J22" t="s">
        <v>104</v>
      </c>
    </row>
    <row r="23" spans="9:10" x14ac:dyDescent="0.2">
      <c r="I23" t="s">
        <v>105</v>
      </c>
      <c r="J23" t="s">
        <v>106</v>
      </c>
    </row>
    <row r="24" spans="9:10" x14ac:dyDescent="0.2">
      <c r="I24" t="s">
        <v>107</v>
      </c>
      <c r="J24" t="s">
        <v>108</v>
      </c>
    </row>
    <row r="25" spans="9:10" x14ac:dyDescent="0.2">
      <c r="I25" t="s">
        <v>109</v>
      </c>
      <c r="J25" t="s">
        <v>110</v>
      </c>
    </row>
    <row r="26" spans="9:10" x14ac:dyDescent="0.2">
      <c r="I26" t="s">
        <v>111</v>
      </c>
      <c r="J26" t="s">
        <v>112</v>
      </c>
    </row>
    <row r="27" spans="9:10" x14ac:dyDescent="0.2">
      <c r="I27" t="s">
        <v>113</v>
      </c>
      <c r="J27" t="s">
        <v>114</v>
      </c>
    </row>
    <row r="28" spans="9:10" x14ac:dyDescent="0.2">
      <c r="I28" t="s">
        <v>115</v>
      </c>
      <c r="J28" t="s">
        <v>116</v>
      </c>
    </row>
    <row r="29" spans="9:10" x14ac:dyDescent="0.2">
      <c r="I29" t="s">
        <v>117</v>
      </c>
      <c r="J29" t="s">
        <v>118</v>
      </c>
    </row>
    <row r="30" spans="9:10" x14ac:dyDescent="0.2">
      <c r="I30" t="s">
        <v>119</v>
      </c>
      <c r="J30" t="s">
        <v>120</v>
      </c>
    </row>
    <row r="31" spans="9:10" x14ac:dyDescent="0.2">
      <c r="I31" t="s">
        <v>121</v>
      </c>
      <c r="J31" t="s">
        <v>122</v>
      </c>
    </row>
    <row r="32" spans="9:10" x14ac:dyDescent="0.2">
      <c r="I32" t="s">
        <v>123</v>
      </c>
      <c r="J32" t="s">
        <v>124</v>
      </c>
    </row>
    <row r="33" spans="9:10" x14ac:dyDescent="0.2">
      <c r="I33" t="s">
        <v>125</v>
      </c>
      <c r="J33" t="s">
        <v>126</v>
      </c>
    </row>
    <row r="34" spans="9:10" x14ac:dyDescent="0.2">
      <c r="I34" t="s">
        <v>127</v>
      </c>
      <c r="J34" t="s">
        <v>128</v>
      </c>
    </row>
    <row r="35" spans="9:10" x14ac:dyDescent="0.2">
      <c r="I35" t="s">
        <v>63</v>
      </c>
      <c r="J35" t="s">
        <v>129</v>
      </c>
    </row>
    <row r="36" spans="9:10" x14ac:dyDescent="0.2">
      <c r="I36" t="s">
        <v>51</v>
      </c>
      <c r="J36" t="s">
        <v>130</v>
      </c>
    </row>
    <row r="37" spans="9:10" x14ac:dyDescent="0.2">
      <c r="I37" t="s">
        <v>131</v>
      </c>
      <c r="J37" t="s">
        <v>132</v>
      </c>
    </row>
    <row r="38" spans="9:10" x14ac:dyDescent="0.2">
      <c r="I38" t="s">
        <v>76</v>
      </c>
      <c r="J38" t="s">
        <v>133</v>
      </c>
    </row>
    <row r="39" spans="9:10" x14ac:dyDescent="0.2">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92"/>
  <sheetViews>
    <sheetView tabSelected="1" zoomScale="117" zoomScaleNormal="117" workbookViewId="0">
      <pane xSplit="2" ySplit="4" topLeftCell="I5" activePane="bottomRight" state="frozen"/>
      <selection pane="topRight" activeCell="C1" sqref="C1"/>
      <selection pane="bottomLeft" activeCell="A5" sqref="A5"/>
      <selection pane="bottomRight" activeCell="S38" sqref="S38"/>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2">
      <c r="A1" s="74" t="s">
        <v>136</v>
      </c>
      <c r="B1" s="60"/>
      <c r="C1" s="60"/>
      <c r="D1" s="60"/>
      <c r="E1" s="60"/>
      <c r="F1" s="60"/>
      <c r="G1" s="60"/>
      <c r="I1" s="59" t="s">
        <v>575</v>
      </c>
      <c r="J1" s="60"/>
      <c r="K1" s="60"/>
      <c r="L1" s="60"/>
      <c r="M1" s="60"/>
      <c r="N1" s="60"/>
      <c r="O1" s="60"/>
      <c r="P1" s="60"/>
      <c r="Q1" s="60"/>
      <c r="R1" s="60"/>
      <c r="S1" s="60"/>
      <c r="T1" s="60"/>
      <c r="U1" s="60"/>
      <c r="V1" s="60"/>
      <c r="W1" s="60"/>
      <c r="X1" s="60"/>
      <c r="Y1" s="60"/>
      <c r="Z1" s="60"/>
      <c r="AA1" s="60"/>
      <c r="AB1" s="60"/>
      <c r="AC1" s="60"/>
      <c r="AD1" s="60"/>
      <c r="AE1" s="60"/>
      <c r="AG1" s="61">
        <f>Summary!$C$2</f>
        <v>0</v>
      </c>
      <c r="AH1" s="60"/>
      <c r="AI1" s="60"/>
      <c r="AJ1" s="60"/>
      <c r="AK1" s="60"/>
      <c r="AL1" s="60"/>
      <c r="AM1" s="60"/>
      <c r="AN1" s="60"/>
      <c r="AO1" s="60"/>
      <c r="AP1" s="60"/>
      <c r="AQ1" s="60"/>
      <c r="AR1" s="60"/>
      <c r="AS1" s="60"/>
      <c r="AT1" s="60"/>
      <c r="AU1" s="60"/>
      <c r="AV1" s="60"/>
      <c r="AW1" s="60"/>
      <c r="AX1" s="60"/>
      <c r="AY1" s="60"/>
      <c r="AZ1" s="60"/>
      <c r="BA1" s="60"/>
      <c r="BB1" s="60"/>
      <c r="BC1" s="60"/>
    </row>
    <row r="2" spans="1:72" ht="30" customHeight="1" x14ac:dyDescent="0.2">
      <c r="A2" s="70" t="s">
        <v>137</v>
      </c>
      <c r="B2" s="71" t="s">
        <v>138</v>
      </c>
      <c r="C2" s="70" t="s">
        <v>139</v>
      </c>
      <c r="D2" s="71" t="s">
        <v>140</v>
      </c>
      <c r="E2" s="70" t="s">
        <v>141</v>
      </c>
      <c r="F2" s="71" t="s">
        <v>142</v>
      </c>
      <c r="G2" s="70" t="s">
        <v>143</v>
      </c>
      <c r="I2" s="71" t="s">
        <v>144</v>
      </c>
      <c r="J2" s="72" t="s">
        <v>145</v>
      </c>
      <c r="K2" s="60"/>
      <c r="L2" s="60"/>
      <c r="M2" s="60"/>
      <c r="N2" s="70" t="s">
        <v>146</v>
      </c>
      <c r="O2" s="71" t="s">
        <v>147</v>
      </c>
      <c r="P2" s="70" t="s">
        <v>84</v>
      </c>
      <c r="Q2" s="71" t="s">
        <v>86</v>
      </c>
      <c r="R2" s="70" t="s">
        <v>82</v>
      </c>
      <c r="S2" s="73" t="s">
        <v>148</v>
      </c>
      <c r="T2" s="60"/>
      <c r="U2" s="60"/>
      <c r="V2" s="60"/>
      <c r="W2" s="72" t="s">
        <v>149</v>
      </c>
      <c r="X2" s="60"/>
      <c r="Y2" s="73" t="s">
        <v>150</v>
      </c>
      <c r="Z2" s="60"/>
      <c r="AA2" s="60"/>
      <c r="AB2" s="72" t="s">
        <v>151</v>
      </c>
      <c r="AC2" s="60"/>
      <c r="AD2" s="73" t="s">
        <v>152</v>
      </c>
      <c r="AE2" s="60"/>
      <c r="AG2" s="70" t="s">
        <v>144</v>
      </c>
      <c r="AH2" s="73" t="s">
        <v>145</v>
      </c>
      <c r="AI2" s="60"/>
      <c r="AJ2" s="60"/>
      <c r="AK2" s="60"/>
      <c r="AL2" s="71" t="s">
        <v>153</v>
      </c>
      <c r="AM2" s="70" t="s">
        <v>147</v>
      </c>
      <c r="AN2" s="71" t="s">
        <v>84</v>
      </c>
      <c r="AO2" s="70" t="s">
        <v>86</v>
      </c>
      <c r="AP2" s="71" t="s">
        <v>82</v>
      </c>
      <c r="AQ2" s="72" t="s">
        <v>148</v>
      </c>
      <c r="AR2" s="60"/>
      <c r="AS2" s="60"/>
      <c r="AT2" s="60"/>
      <c r="AU2" s="73" t="s">
        <v>149</v>
      </c>
      <c r="AV2" s="60"/>
      <c r="AW2" s="72" t="s">
        <v>150</v>
      </c>
      <c r="AX2" s="60"/>
      <c r="AY2" s="60"/>
      <c r="AZ2" s="73" t="s">
        <v>151</v>
      </c>
      <c r="BA2" s="60"/>
      <c r="BB2" s="72" t="s">
        <v>152</v>
      </c>
      <c r="BC2" s="60"/>
      <c r="BE2" s="71" t="s">
        <v>154</v>
      </c>
      <c r="BF2" s="70" t="s">
        <v>155</v>
      </c>
      <c r="BG2" s="71" t="s">
        <v>156</v>
      </c>
      <c r="BH2" s="70" t="s">
        <v>156</v>
      </c>
      <c r="BJ2" s="73" t="s">
        <v>5</v>
      </c>
      <c r="BK2" s="60"/>
      <c r="BL2" s="72" t="s">
        <v>6</v>
      </c>
      <c r="BM2" s="60"/>
      <c r="BN2" s="60"/>
      <c r="BP2" s="73" t="s">
        <v>7</v>
      </c>
      <c r="BQ2" s="60"/>
      <c r="BR2" s="72" t="s">
        <v>8</v>
      </c>
      <c r="BS2" s="60"/>
      <c r="BT2" s="60"/>
    </row>
    <row r="3" spans="1:72" ht="16" x14ac:dyDescent="0.2">
      <c r="A3" s="63"/>
      <c r="B3" s="63"/>
      <c r="C3" s="63"/>
      <c r="D3" s="63"/>
      <c r="E3" s="63"/>
      <c r="F3" s="63"/>
      <c r="G3" s="63"/>
      <c r="I3" s="63"/>
      <c r="J3" s="56" t="s">
        <v>25</v>
      </c>
      <c r="K3" s="56" t="s">
        <v>23</v>
      </c>
      <c r="L3" s="56" t="s">
        <v>157</v>
      </c>
      <c r="M3" s="56" t="s">
        <v>158</v>
      </c>
      <c r="N3" s="63"/>
      <c r="O3" s="63"/>
      <c r="P3" s="63"/>
      <c r="Q3" s="63"/>
      <c r="R3" s="63"/>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3"/>
      <c r="AH3" s="57" t="s">
        <v>25</v>
      </c>
      <c r="AI3" s="57" t="s">
        <v>23</v>
      </c>
      <c r="AJ3" s="57" t="s">
        <v>157</v>
      </c>
      <c r="AK3" s="57" t="s">
        <v>158</v>
      </c>
      <c r="AL3" s="63"/>
      <c r="AM3" s="63"/>
      <c r="AN3" s="63"/>
      <c r="AO3" s="63"/>
      <c r="AP3" s="63"/>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3"/>
      <c r="BF3" s="63"/>
      <c r="BG3" s="63"/>
      <c r="BH3" s="63"/>
      <c r="BJ3" s="57" t="s">
        <v>9</v>
      </c>
      <c r="BK3" s="57" t="s">
        <v>10</v>
      </c>
      <c r="BL3" s="56" t="s">
        <v>11</v>
      </c>
      <c r="BM3" s="56" t="s">
        <v>12</v>
      </c>
      <c r="BN3" s="56" t="s">
        <v>13</v>
      </c>
      <c r="BP3" s="57" t="s">
        <v>9</v>
      </c>
      <c r="BQ3" s="57" t="s">
        <v>10</v>
      </c>
      <c r="BR3" s="56" t="s">
        <v>11</v>
      </c>
      <c r="BS3" s="56" t="s">
        <v>12</v>
      </c>
      <c r="BT3" s="56" t="s">
        <v>13</v>
      </c>
    </row>
    <row r="4" spans="1:72" ht="123" hidden="1" customHeight="1" x14ac:dyDescent="0.2">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
      <c r="A5" s="54" t="s">
        <v>229</v>
      </c>
      <c r="B5" s="54" t="s">
        <v>49</v>
      </c>
      <c r="C5" s="10" t="s">
        <v>230</v>
      </c>
      <c r="D5" s="54">
        <v>238146391</v>
      </c>
      <c r="E5" s="10">
        <v>10</v>
      </c>
      <c r="F5" s="10">
        <v>32</v>
      </c>
      <c r="G5" s="10">
        <v>30</v>
      </c>
      <c r="I5" s="11">
        <f t="shared" ref="I5:I39" si="0">IF(OR(ISBLANK(S5),ISBLANK(G5)),"·",S5*G5/F5/1000000)</f>
        <v>2.180145</v>
      </c>
      <c r="J5" s="12">
        <f t="shared" ref="J5:J39" si="1">IF(ISBLANK(S5),"·",S5/D5)</f>
        <v>9.7649516762989708E-3</v>
      </c>
      <c r="K5" s="12">
        <f t="shared" ref="K5:K39" si="2">IF(N5="","·",N5/D5)</f>
        <v>6.1861445550942659E-3</v>
      </c>
      <c r="L5" s="12">
        <f t="shared" ref="L5:L39" si="3">IF(T5="","·",T5/D5)</f>
        <v>3.5274773490058895E-3</v>
      </c>
      <c r="M5" s="12">
        <f t="shared" ref="M5:M39" si="4">IF(ISBLANK(V5),"·",V5/D5)</f>
        <v>3.5788071212047045E-3</v>
      </c>
      <c r="N5" s="54">
        <f t="shared" ref="N5:N39" si="5">IF(OR(ISBLANK(T5),ISBLANK(U5)),"",T5+U5)</f>
        <v>1473208</v>
      </c>
      <c r="O5" s="12">
        <v>16</v>
      </c>
      <c r="P5" s="13">
        <v>21785839</v>
      </c>
      <c r="Q5" s="13">
        <v>680807.46875</v>
      </c>
      <c r="R5" s="13">
        <v>13493.71875</v>
      </c>
      <c r="S5" s="13">
        <v>2325488</v>
      </c>
      <c r="T5" s="13">
        <v>840056</v>
      </c>
      <c r="U5" s="13">
        <v>633152</v>
      </c>
      <c r="V5" s="13">
        <v>852280</v>
      </c>
      <c r="W5" s="13">
        <v>66.354630999999998</v>
      </c>
      <c r="X5" s="13">
        <v>68.478521999999998</v>
      </c>
      <c r="Y5" s="13">
        <v>32.105369000000003</v>
      </c>
      <c r="Z5" s="13">
        <v>44.165405999999997</v>
      </c>
      <c r="AA5" s="13">
        <v>43.847447000000003</v>
      </c>
      <c r="AB5" s="13">
        <v>0</v>
      </c>
      <c r="AC5" s="13">
        <v>0</v>
      </c>
      <c r="AD5" s="13">
        <v>40.883000000000003</v>
      </c>
      <c r="AE5" s="13">
        <v>0</v>
      </c>
      <c r="AG5" s="11">
        <f t="shared" ref="AG5:AG39" si="6">IF(OR(ISBLANK(AQ5),ISBLANK(G5)),"·",AQ5*G5/F5/1000000)</f>
        <v>2.180145</v>
      </c>
      <c r="AH5" s="12">
        <f t="shared" ref="AH5:AH39" si="7">IF(ISBLANK(AQ5),"·",AQ5/D5)</f>
        <v>9.7649516762989708E-3</v>
      </c>
      <c r="AI5" s="12">
        <f t="shared" ref="AI5:AI39" si="8">IF(AL5="","·",AL5/D5)</f>
        <v>6.1861445550942659E-3</v>
      </c>
      <c r="AJ5" s="12">
        <f t="shared" ref="AJ5:AJ39" si="9">IF(AR5="","·",AR5/D5)</f>
        <v>3.5274773490058895E-3</v>
      </c>
      <c r="AK5" s="12">
        <f t="shared" ref="AK5:AK39" si="10">IF(ISBLANK(AT5),"·",AT5/D5)</f>
        <v>3.5788071212047045E-3</v>
      </c>
      <c r="AL5" s="54">
        <f t="shared" ref="AL5:AL39" si="11">IF(OR(ISBLANK(AR5),ISBLANK(AS5)),"",AR5+AS5)</f>
        <v>1473208</v>
      </c>
      <c r="AM5" s="12">
        <v>16</v>
      </c>
      <c r="AN5" s="13">
        <v>21785839</v>
      </c>
      <c r="AO5" s="13">
        <v>680807.46875</v>
      </c>
      <c r="AP5" s="13">
        <v>13493.71875</v>
      </c>
      <c r="AQ5" s="13">
        <v>2325488</v>
      </c>
      <c r="AR5" s="13">
        <v>840056</v>
      </c>
      <c r="AS5" s="13">
        <v>633152</v>
      </c>
      <c r="AT5" s="13">
        <v>852280</v>
      </c>
      <c r="AU5" s="13">
        <v>66.354630999999998</v>
      </c>
      <c r="AV5" s="13">
        <v>68.478521999999998</v>
      </c>
      <c r="AW5" s="13">
        <v>32.104691000000003</v>
      </c>
      <c r="AX5" s="13">
        <v>44.160584</v>
      </c>
      <c r="AY5" s="13">
        <v>43.840884000000003</v>
      </c>
      <c r="AZ5" s="13">
        <v>0</v>
      </c>
      <c r="BA5" s="13">
        <v>0</v>
      </c>
      <c r="BB5" s="13">
        <v>37.448</v>
      </c>
      <c r="BC5" s="13">
        <v>0</v>
      </c>
      <c r="BE5" s="51">
        <f t="shared" ref="BE5:BE43" si="12">AI5/K5</f>
        <v>1</v>
      </c>
      <c r="BF5" s="17">
        <f t="shared" ref="BF5:BF39" si="13">(AP5/AO5) - (R5/Q5)</f>
        <v>0</v>
      </c>
      <c r="BG5" s="17">
        <f t="shared" ref="BG5:BG39" si="14">(AL5/AQ5) - (N5/S5)</f>
        <v>0</v>
      </c>
      <c r="BH5" s="17">
        <f t="array" ref="BH5">AVERAGE(AL5:AL9/AQ5:AQ9) - AVERAGE(N5:N9/S5:S9)</f>
        <v>0</v>
      </c>
      <c r="BJ5" s="51">
        <f>IF( OR(ISBLANK(N5:N9),ISBLANK(AL5:AL9), ISBLANK(W5:W9),ISBLANK(AU5:AU9)), "·", bdRateExtend( N5:N9,W5:W9, AL5:AL9,AU5:AU9))</f>
        <v>0</v>
      </c>
      <c r="BK5" s="51">
        <f>IF( OR(ISBLANK(N5:N9),ISBLANK(AL5:AL9), ISBLANK(X5:X9),ISBLANK(AV5:AV9)), "·", bdRateExtend( N5:N9,X5:X9, AL5:AL9,AV5:AV9))</f>
        <v>0</v>
      </c>
      <c r="BL5" s="51">
        <f>IF( OR(ISBLANK(V5:V9),ISBLANK(AT5:AT9), ISBLANK(Y5:Y9),ISBLANK(AW5:AW9)), "·", bdRateExtend( V5:V9,Y5:Y9, AT5:AT9,AW5:AW9))</f>
        <v>-2.9635317987597443E-4</v>
      </c>
      <c r="BM5" s="51">
        <f>IF( OR(ISBLANK(V5:V9),ISBLANK(AT5:AT9), ISBLANK(Z5:Z9),ISBLANK(AX5:AX9)), "·", bdRateExtend( V5:V9,Z5:Z9, AT5:AT9,AX5:AX9))</f>
        <v>1.5058354501742421E-3</v>
      </c>
      <c r="BN5" s="51">
        <f>IF( OR(ISBLANK(V5:V9),ISBLANK(AT5:AT9), ISBLANK(AA5:AA9),ISBLANK(AY5:AY9)), "·", bdRateExtend( V5:V9,AA5:AA9, AT5:AT9,AY5:AY9))</f>
        <v>2.5860841952765057E-3</v>
      </c>
      <c r="BP5" s="51">
        <f>IF( OR(ISBLANK(S5:S9),ISBLANK(AQ5:AQ9), ISBLANK(W5:W9),ISBLANK(AU5:AU9)), "·", bdRateExtend( S5:S9,W5:W9, AQ5:AQ9,AU5:AU9))</f>
        <v>0</v>
      </c>
      <c r="BQ5" s="51">
        <f>IF( OR(ISBLANK(S5:S9),ISBLANK(AQ5:AQ9), ISBLANK(X5:X9),ISBLANK(AV5:AV9)), "·", bdRateExtend( S5:S9,X5:X9, AQ5:AQ9,AV5:AV9))</f>
        <v>0</v>
      </c>
      <c r="BR5" s="51">
        <f>IF( OR(ISBLANK(S5:S9),ISBLANK(AQ5:AQ9), ISBLANK(Y5:Y9),ISBLANK(AW5:AW9)), "·", bdRateExtend( S5:S9,Y5:Y9, AQ5:AQ9,AW5:AW9))</f>
        <v>-2.5753432245700925E-4</v>
      </c>
      <c r="BS5" s="51">
        <f>IF( OR(ISBLANK(S5:S9),ISBLANK(AQ5:AQ9), ISBLANK(Z5:Z9),ISBLANK(AX5:AX9)), "·", bdRateExtend( S5:S9,Z5:Z9, AQ5:AQ9,AX5:AX9))</f>
        <v>1.0486489601471138E-3</v>
      </c>
      <c r="BT5" s="51">
        <f>IF( OR(ISBLANK(S5:S9),ISBLANK(AQ5:AQ9), ISBLANK(AA5:AA9),ISBLANK(AY5:AY9)), "·", bdRateExtend( S5:S9,AA5:AA9, AQ5:AQ9,AY5:AY9))</f>
        <v>1.8582386721786026E-3</v>
      </c>
    </row>
    <row r="6" spans="1:72" outlineLevel="1" x14ac:dyDescent="0.2">
      <c r="A6" s="18"/>
      <c r="B6" s="18" t="s">
        <v>49</v>
      </c>
      <c r="C6" s="19" t="s">
        <v>231</v>
      </c>
      <c r="D6" s="18">
        <v>238146391</v>
      </c>
      <c r="E6" s="19">
        <v>10</v>
      </c>
      <c r="F6" s="19">
        <v>32</v>
      </c>
      <c r="G6" s="19">
        <v>30</v>
      </c>
      <c r="I6" s="20">
        <f t="shared" si="0"/>
        <v>3.3959549999999998</v>
      </c>
      <c r="J6" s="21">
        <f t="shared" si="1"/>
        <v>1.521061051897276E-2</v>
      </c>
      <c r="K6" s="21">
        <f t="shared" si="2"/>
        <v>7.5503474667394811E-3</v>
      </c>
      <c r="L6" s="21">
        <f t="shared" si="3"/>
        <v>4.8916802606511055E-3</v>
      </c>
      <c r="M6" s="21">
        <f t="shared" si="4"/>
        <v>7.6602630522332798E-3</v>
      </c>
      <c r="N6" s="18">
        <f t="shared" si="5"/>
        <v>1798088</v>
      </c>
      <c r="O6" s="21">
        <v>16</v>
      </c>
      <c r="P6" s="22">
        <v>24191962</v>
      </c>
      <c r="Q6" s="22">
        <v>755998.8125</v>
      </c>
      <c r="R6" s="22">
        <v>19085.96875</v>
      </c>
      <c r="S6" s="23">
        <v>3622352</v>
      </c>
      <c r="T6" s="23">
        <v>1164936</v>
      </c>
      <c r="U6" s="23">
        <v>633152</v>
      </c>
      <c r="V6" s="23">
        <v>1824264</v>
      </c>
      <c r="W6" s="24">
        <v>68.255983999999998</v>
      </c>
      <c r="X6" s="24">
        <v>70.438462000000001</v>
      </c>
      <c r="Y6" s="24">
        <v>34.355713000000002</v>
      </c>
      <c r="Z6" s="24">
        <v>45.462941000000001</v>
      </c>
      <c r="AA6" s="24">
        <v>45.263540999999996</v>
      </c>
      <c r="AB6" s="25">
        <v>0</v>
      </c>
      <c r="AC6" s="25">
        <v>0</v>
      </c>
      <c r="AD6" s="25">
        <v>41.390999999999998</v>
      </c>
      <c r="AE6" s="25">
        <v>0</v>
      </c>
      <c r="AG6" s="20">
        <f t="shared" si="6"/>
        <v>3.3959549999999998</v>
      </c>
      <c r="AH6" s="21">
        <f t="shared" si="7"/>
        <v>1.521061051897276E-2</v>
      </c>
      <c r="AI6" s="21">
        <f t="shared" si="8"/>
        <v>7.5503474667394811E-3</v>
      </c>
      <c r="AJ6" s="21">
        <f t="shared" si="9"/>
        <v>4.8916802606511055E-3</v>
      </c>
      <c r="AK6" s="21">
        <f t="shared" si="10"/>
        <v>7.6602630522332798E-3</v>
      </c>
      <c r="AL6" s="18">
        <f t="shared" si="11"/>
        <v>1798088</v>
      </c>
      <c r="AM6" s="21">
        <v>16</v>
      </c>
      <c r="AN6" s="22">
        <v>24191962</v>
      </c>
      <c r="AO6" s="22">
        <v>755998.8125</v>
      </c>
      <c r="AP6" s="22">
        <v>19085.96875</v>
      </c>
      <c r="AQ6" s="22">
        <v>3622352</v>
      </c>
      <c r="AR6" s="22">
        <v>1164936</v>
      </c>
      <c r="AS6" s="22">
        <v>633152</v>
      </c>
      <c r="AT6" s="22">
        <v>1824264</v>
      </c>
      <c r="AU6" s="22">
        <v>68.255983999999998</v>
      </c>
      <c r="AV6" s="22">
        <v>70.438462000000001</v>
      </c>
      <c r="AW6" s="22">
        <v>34.356687000000001</v>
      </c>
      <c r="AX6" s="22">
        <v>45.459246999999998</v>
      </c>
      <c r="AY6" s="22">
        <v>45.257083999999999</v>
      </c>
      <c r="AZ6" s="22">
        <v>0</v>
      </c>
      <c r="BA6" s="22">
        <v>0</v>
      </c>
      <c r="BB6" s="22">
        <v>39.838999999999999</v>
      </c>
      <c r="BC6" s="22">
        <v>0</v>
      </c>
      <c r="BE6" s="50">
        <f t="shared" si="12"/>
        <v>1</v>
      </c>
      <c r="BF6" s="26">
        <f t="shared" si="13"/>
        <v>0</v>
      </c>
      <c r="BG6" s="26">
        <f t="shared" si="14"/>
        <v>0</v>
      </c>
      <c r="BH6" s="26"/>
      <c r="BJ6" s="50"/>
      <c r="BK6" s="50"/>
      <c r="BL6" s="50"/>
      <c r="BM6" s="50"/>
      <c r="BN6" s="50"/>
      <c r="BP6" s="50"/>
      <c r="BQ6" s="50"/>
      <c r="BR6" s="50"/>
      <c r="BS6" s="50"/>
      <c r="BT6" s="50"/>
    </row>
    <row r="7" spans="1:72" outlineLevel="1" x14ac:dyDescent="0.2">
      <c r="A7" s="54"/>
      <c r="B7" s="54" t="s">
        <v>49</v>
      </c>
      <c r="C7" s="10" t="s">
        <v>232</v>
      </c>
      <c r="D7" s="54">
        <v>238146391</v>
      </c>
      <c r="E7" s="10">
        <v>10</v>
      </c>
      <c r="F7" s="10">
        <v>32</v>
      </c>
      <c r="G7" s="10">
        <v>30</v>
      </c>
      <c r="I7" s="11">
        <f t="shared" si="0"/>
        <v>5.5716074999999998</v>
      </c>
      <c r="J7" s="12">
        <f t="shared" si="1"/>
        <v>2.4955440118343008E-2</v>
      </c>
      <c r="K7" s="12">
        <f t="shared" si="2"/>
        <v>9.4976539031406109E-3</v>
      </c>
      <c r="L7" s="12">
        <f t="shared" si="3"/>
        <v>6.8389866970522345E-3</v>
      </c>
      <c r="M7" s="12">
        <f t="shared" si="4"/>
        <v>1.5457786215202397E-2</v>
      </c>
      <c r="N7" s="54">
        <f t="shared" si="5"/>
        <v>2261832</v>
      </c>
      <c r="O7" s="12">
        <v>16</v>
      </c>
      <c r="P7" s="13">
        <v>24808216</v>
      </c>
      <c r="Q7" s="13">
        <v>775256.75</v>
      </c>
      <c r="R7" s="13">
        <v>20954.78125</v>
      </c>
      <c r="S7" s="14">
        <v>5943048</v>
      </c>
      <c r="T7" s="14">
        <v>1628680</v>
      </c>
      <c r="U7" s="14">
        <v>633152</v>
      </c>
      <c r="V7" s="14">
        <v>3681216</v>
      </c>
      <c r="W7" s="15">
        <v>69.683722000000003</v>
      </c>
      <c r="X7" s="15">
        <v>72.129402999999996</v>
      </c>
      <c r="Y7" s="15">
        <v>36.896805999999998</v>
      </c>
      <c r="Z7" s="15">
        <v>46.595978000000002</v>
      </c>
      <c r="AA7" s="15">
        <v>46.493755999999998</v>
      </c>
      <c r="AB7" s="16">
        <v>0</v>
      </c>
      <c r="AC7" s="16">
        <v>0</v>
      </c>
      <c r="AD7" s="16">
        <v>46.15</v>
      </c>
      <c r="AE7" s="16">
        <v>0</v>
      </c>
      <c r="AG7" s="11">
        <f t="shared" si="6"/>
        <v>5.5716074999999998</v>
      </c>
      <c r="AH7" s="12">
        <f t="shared" si="7"/>
        <v>2.4955440118343008E-2</v>
      </c>
      <c r="AI7" s="12">
        <f t="shared" si="8"/>
        <v>9.4976539031406109E-3</v>
      </c>
      <c r="AJ7" s="12">
        <f t="shared" si="9"/>
        <v>6.8389866970522345E-3</v>
      </c>
      <c r="AK7" s="12">
        <f t="shared" si="10"/>
        <v>1.5457786215202397E-2</v>
      </c>
      <c r="AL7" s="54">
        <f t="shared" si="11"/>
        <v>2261832</v>
      </c>
      <c r="AM7" s="12">
        <v>16</v>
      </c>
      <c r="AN7" s="13">
        <v>24808216</v>
      </c>
      <c r="AO7" s="13">
        <v>775256.75</v>
      </c>
      <c r="AP7" s="13">
        <v>20954.78125</v>
      </c>
      <c r="AQ7" s="13">
        <v>5943048</v>
      </c>
      <c r="AR7" s="13">
        <v>1628680</v>
      </c>
      <c r="AS7" s="13">
        <v>633152</v>
      </c>
      <c r="AT7" s="13">
        <v>3681216</v>
      </c>
      <c r="AU7" s="13">
        <v>69.683722000000003</v>
      </c>
      <c r="AV7" s="13">
        <v>72.129402999999996</v>
      </c>
      <c r="AW7" s="13">
        <v>36.898125</v>
      </c>
      <c r="AX7" s="13">
        <v>46.593172000000003</v>
      </c>
      <c r="AY7" s="13">
        <v>46.488300000000002</v>
      </c>
      <c r="AZ7" s="13">
        <v>0</v>
      </c>
      <c r="BA7" s="13">
        <v>0</v>
      </c>
      <c r="BB7" s="13">
        <v>39.436999999999998</v>
      </c>
      <c r="BC7" s="13">
        <v>0</v>
      </c>
      <c r="BE7" s="51">
        <f t="shared" si="12"/>
        <v>1</v>
      </c>
      <c r="BF7" s="17">
        <f t="shared" si="13"/>
        <v>0</v>
      </c>
      <c r="BG7" s="17">
        <f t="shared" si="14"/>
        <v>0</v>
      </c>
      <c r="BH7" s="17"/>
      <c r="BJ7" s="51"/>
      <c r="BK7" s="51"/>
      <c r="BL7" s="51"/>
      <c r="BM7" s="51"/>
      <c r="BN7" s="51"/>
      <c r="BP7" s="51"/>
      <c r="BQ7" s="51"/>
      <c r="BR7" s="51"/>
      <c r="BS7" s="51"/>
      <c r="BT7" s="51"/>
    </row>
    <row r="8" spans="1:72" outlineLevel="1" x14ac:dyDescent="0.2">
      <c r="A8" s="18"/>
      <c r="B8" s="18" t="s">
        <v>49</v>
      </c>
      <c r="C8" s="19" t="s">
        <v>233</v>
      </c>
      <c r="D8" s="18">
        <v>238146391</v>
      </c>
      <c r="E8" s="19">
        <v>10</v>
      </c>
      <c r="F8" s="19">
        <v>32</v>
      </c>
      <c r="G8" s="19">
        <v>30</v>
      </c>
      <c r="I8" s="20">
        <f t="shared" si="0"/>
        <v>9.4357799999999994</v>
      </c>
      <c r="J8" s="21">
        <f t="shared" si="1"/>
        <v>4.2263214478022469E-2</v>
      </c>
      <c r="K8" s="21">
        <f t="shared" si="2"/>
        <v>1.2759681082045036E-2</v>
      </c>
      <c r="L8" s="21">
        <f t="shared" si="3"/>
        <v>1.0101013875956659E-2</v>
      </c>
      <c r="M8" s="21">
        <f t="shared" si="4"/>
        <v>2.9503533395977433E-2</v>
      </c>
      <c r="N8" s="18">
        <f t="shared" si="5"/>
        <v>3038672</v>
      </c>
      <c r="O8" s="21">
        <v>16</v>
      </c>
      <c r="P8" s="22">
        <v>25797809</v>
      </c>
      <c r="Q8" s="22">
        <v>806181.53125</v>
      </c>
      <c r="R8" s="22">
        <v>24199.84375</v>
      </c>
      <c r="S8" s="23">
        <v>10064832</v>
      </c>
      <c r="T8" s="23">
        <v>2405520</v>
      </c>
      <c r="U8" s="23">
        <v>633152</v>
      </c>
      <c r="V8" s="23">
        <v>7026160</v>
      </c>
      <c r="W8" s="24">
        <v>70.836841000000007</v>
      </c>
      <c r="X8" s="24">
        <v>73.406981000000002</v>
      </c>
      <c r="Y8" s="24">
        <v>39.524644000000002</v>
      </c>
      <c r="Z8" s="24">
        <v>47.911166000000001</v>
      </c>
      <c r="AA8" s="24">
        <v>47.950046999999998</v>
      </c>
      <c r="AB8" s="25">
        <v>0</v>
      </c>
      <c r="AC8" s="25">
        <v>0</v>
      </c>
      <c r="AD8" s="25">
        <v>43.372</v>
      </c>
      <c r="AE8" s="25">
        <v>0</v>
      </c>
      <c r="AG8" s="20">
        <f t="shared" si="6"/>
        <v>9.4357799999999994</v>
      </c>
      <c r="AH8" s="21">
        <f t="shared" si="7"/>
        <v>4.2263214478022469E-2</v>
      </c>
      <c r="AI8" s="21">
        <f t="shared" si="8"/>
        <v>1.2759681082045036E-2</v>
      </c>
      <c r="AJ8" s="21">
        <f t="shared" si="9"/>
        <v>1.0101013875956659E-2</v>
      </c>
      <c r="AK8" s="21">
        <f t="shared" si="10"/>
        <v>2.9503533395977433E-2</v>
      </c>
      <c r="AL8" s="18">
        <f t="shared" si="11"/>
        <v>3038672</v>
      </c>
      <c r="AM8" s="21">
        <v>16</v>
      </c>
      <c r="AN8" s="22">
        <v>25797809</v>
      </c>
      <c r="AO8" s="22">
        <v>806181.53125</v>
      </c>
      <c r="AP8" s="22">
        <v>24199.84375</v>
      </c>
      <c r="AQ8" s="22">
        <v>10064832</v>
      </c>
      <c r="AR8" s="22">
        <v>2405520</v>
      </c>
      <c r="AS8" s="22">
        <v>633152</v>
      </c>
      <c r="AT8" s="22">
        <v>7026160</v>
      </c>
      <c r="AU8" s="22">
        <v>70.836841000000007</v>
      </c>
      <c r="AV8" s="22">
        <v>73.406981000000002</v>
      </c>
      <c r="AW8" s="22">
        <v>39.524641000000003</v>
      </c>
      <c r="AX8" s="22">
        <v>47.909146999999997</v>
      </c>
      <c r="AY8" s="22">
        <v>47.945197</v>
      </c>
      <c r="AZ8" s="22">
        <v>0</v>
      </c>
      <c r="BA8" s="22">
        <v>0</v>
      </c>
      <c r="BB8" s="22">
        <v>38.972000000000001</v>
      </c>
      <c r="BC8" s="22">
        <v>0</v>
      </c>
      <c r="BE8" s="50">
        <f t="shared" si="12"/>
        <v>1</v>
      </c>
      <c r="BF8" s="26">
        <f t="shared" si="13"/>
        <v>0</v>
      </c>
      <c r="BG8" s="26">
        <f t="shared" si="14"/>
        <v>0</v>
      </c>
      <c r="BH8" s="26"/>
      <c r="BJ8" s="50"/>
      <c r="BK8" s="50"/>
      <c r="BL8" s="50"/>
      <c r="BM8" s="50"/>
      <c r="BN8" s="50"/>
      <c r="BP8" s="50"/>
      <c r="BQ8" s="50"/>
      <c r="BR8" s="50"/>
      <c r="BS8" s="50"/>
      <c r="BT8" s="50"/>
    </row>
    <row r="9" spans="1:72" outlineLevel="1" x14ac:dyDescent="0.2">
      <c r="A9" s="54"/>
      <c r="B9" s="27" t="s">
        <v>49</v>
      </c>
      <c r="C9" s="28" t="s">
        <v>234</v>
      </c>
      <c r="D9" s="27">
        <v>238146391</v>
      </c>
      <c r="E9" s="28">
        <v>10</v>
      </c>
      <c r="F9" s="28">
        <v>32</v>
      </c>
      <c r="G9" s="28">
        <v>30</v>
      </c>
      <c r="I9" s="29">
        <f t="shared" si="0"/>
        <v>16.813320000000001</v>
      </c>
      <c r="J9" s="30">
        <f t="shared" si="1"/>
        <v>7.5307494372232581E-2</v>
      </c>
      <c r="K9" s="30">
        <f t="shared" si="2"/>
        <v>2.0664902706839676E-2</v>
      </c>
      <c r="L9" s="30">
        <f t="shared" si="3"/>
        <v>1.5548050022727408E-2</v>
      </c>
      <c r="M9" s="30">
        <f t="shared" si="4"/>
        <v>5.4642591665392905E-2</v>
      </c>
      <c r="N9" s="27">
        <f t="shared" si="5"/>
        <v>4921272</v>
      </c>
      <c r="O9" s="30">
        <v>16</v>
      </c>
      <c r="P9" s="31">
        <v>24868389</v>
      </c>
      <c r="Q9" s="31">
        <v>777137.15625</v>
      </c>
      <c r="R9" s="31">
        <v>10635.96875</v>
      </c>
      <c r="S9" s="32">
        <v>17934208</v>
      </c>
      <c r="T9" s="32">
        <v>3702712</v>
      </c>
      <c r="U9" s="32">
        <v>1218560</v>
      </c>
      <c r="V9" s="32">
        <v>13012936</v>
      </c>
      <c r="W9" s="33">
        <v>71.945244000000002</v>
      </c>
      <c r="X9" s="33">
        <v>75.319247000000004</v>
      </c>
      <c r="Y9" s="33">
        <v>42.092658999999998</v>
      </c>
      <c r="Z9" s="33">
        <v>49.412694000000002</v>
      </c>
      <c r="AA9" s="33">
        <v>49.544708999999997</v>
      </c>
      <c r="AB9" s="34">
        <v>0</v>
      </c>
      <c r="AC9" s="34">
        <v>0</v>
      </c>
      <c r="AD9" s="34">
        <v>39.612000000000002</v>
      </c>
      <c r="AE9" s="34">
        <v>0</v>
      </c>
      <c r="AG9" s="29">
        <f t="shared" si="6"/>
        <v>16.813320000000001</v>
      </c>
      <c r="AH9" s="30">
        <f t="shared" si="7"/>
        <v>7.5307494372232581E-2</v>
      </c>
      <c r="AI9" s="30">
        <f t="shared" si="8"/>
        <v>2.0664902706839676E-2</v>
      </c>
      <c r="AJ9" s="30">
        <f t="shared" si="9"/>
        <v>1.5548050022727408E-2</v>
      </c>
      <c r="AK9" s="30">
        <f t="shared" si="10"/>
        <v>5.4642591665392905E-2</v>
      </c>
      <c r="AL9" s="27">
        <f t="shared" si="11"/>
        <v>4921272</v>
      </c>
      <c r="AM9" s="30">
        <v>16</v>
      </c>
      <c r="AN9" s="31">
        <v>24868389</v>
      </c>
      <c r="AO9" s="31">
        <v>777137.15625</v>
      </c>
      <c r="AP9" s="31">
        <v>10635.96875</v>
      </c>
      <c r="AQ9" s="31">
        <v>17934208</v>
      </c>
      <c r="AR9" s="31">
        <v>3702712</v>
      </c>
      <c r="AS9" s="31">
        <v>1218560</v>
      </c>
      <c r="AT9" s="31">
        <v>13012936</v>
      </c>
      <c r="AU9" s="31">
        <v>71.945244000000002</v>
      </c>
      <c r="AV9" s="31">
        <v>75.319247000000004</v>
      </c>
      <c r="AW9" s="31">
        <v>42.099418999999997</v>
      </c>
      <c r="AX9" s="31">
        <v>49.412241000000002</v>
      </c>
      <c r="AY9" s="31">
        <v>49.543346999999997</v>
      </c>
      <c r="AZ9" s="31">
        <v>0</v>
      </c>
      <c r="BA9" s="31">
        <v>0</v>
      </c>
      <c r="BB9" s="31">
        <v>41.673000000000002</v>
      </c>
      <c r="BC9" s="31">
        <v>0</v>
      </c>
      <c r="BE9" s="35">
        <f t="shared" si="12"/>
        <v>1</v>
      </c>
      <c r="BF9" s="36">
        <f t="shared" si="13"/>
        <v>0</v>
      </c>
      <c r="BG9" s="36">
        <f t="shared" si="14"/>
        <v>0</v>
      </c>
      <c r="BH9" s="36"/>
      <c r="BJ9" s="35"/>
      <c r="BK9" s="35"/>
      <c r="BL9" s="35"/>
      <c r="BM9" s="35"/>
      <c r="BN9" s="35"/>
      <c r="BP9" s="35"/>
      <c r="BQ9" s="35"/>
      <c r="BR9" s="35"/>
      <c r="BS9" s="35"/>
      <c r="BT9" s="35"/>
    </row>
    <row r="10" spans="1:72" x14ac:dyDescent="0.2">
      <c r="A10" s="18"/>
      <c r="B10" s="18" t="s">
        <v>57</v>
      </c>
      <c r="C10" s="19" t="s">
        <v>230</v>
      </c>
      <c r="D10" s="18">
        <v>218121242</v>
      </c>
      <c r="E10" s="19">
        <v>10</v>
      </c>
      <c r="F10" s="19">
        <v>32</v>
      </c>
      <c r="G10" s="19">
        <v>30</v>
      </c>
      <c r="I10" s="20">
        <f t="shared" si="0"/>
        <v>3.1913100000000001</v>
      </c>
      <c r="J10" s="21">
        <f t="shared" si="1"/>
        <v>1.5606292944178266E-2</v>
      </c>
      <c r="K10" s="21">
        <f t="shared" si="2"/>
        <v>8.0849713848594358E-3</v>
      </c>
      <c r="L10" s="21">
        <f t="shared" si="3"/>
        <v>4.2811052763031673E-3</v>
      </c>
      <c r="M10" s="21">
        <f t="shared" si="4"/>
        <v>7.5213215593188309E-3</v>
      </c>
      <c r="N10" s="18">
        <f t="shared" si="5"/>
        <v>1763504</v>
      </c>
      <c r="O10" s="21">
        <v>16</v>
      </c>
      <c r="P10" s="22">
        <v>20669095</v>
      </c>
      <c r="Q10" s="22">
        <v>645909.21875</v>
      </c>
      <c r="R10" s="22">
        <v>18184.71875</v>
      </c>
      <c r="S10" s="23">
        <v>3404064</v>
      </c>
      <c r="T10" s="23">
        <v>933800</v>
      </c>
      <c r="U10" s="23">
        <v>829704</v>
      </c>
      <c r="V10" s="23">
        <v>1640560</v>
      </c>
      <c r="W10" s="24">
        <v>65.902412999999996</v>
      </c>
      <c r="X10" s="24">
        <v>67.818875000000006</v>
      </c>
      <c r="Y10" s="24">
        <v>32.387411999999998</v>
      </c>
      <c r="Z10" s="24">
        <v>39.175156000000001</v>
      </c>
      <c r="AA10" s="24">
        <v>32.088763</v>
      </c>
      <c r="AB10" s="25">
        <v>0</v>
      </c>
      <c r="AC10" s="25">
        <v>0</v>
      </c>
      <c r="AD10" s="25">
        <v>41.366999999999997</v>
      </c>
      <c r="AE10" s="25">
        <v>0</v>
      </c>
      <c r="AG10" s="20">
        <f t="shared" si="6"/>
        <v>3.1913100000000001</v>
      </c>
      <c r="AH10" s="21">
        <f t="shared" si="7"/>
        <v>1.5606292944178266E-2</v>
      </c>
      <c r="AI10" s="21">
        <f t="shared" si="8"/>
        <v>8.0849713848594358E-3</v>
      </c>
      <c r="AJ10" s="21">
        <f t="shared" si="9"/>
        <v>4.2811052763031673E-3</v>
      </c>
      <c r="AK10" s="21">
        <f t="shared" si="10"/>
        <v>7.5213215593188309E-3</v>
      </c>
      <c r="AL10" s="18">
        <f t="shared" si="11"/>
        <v>1763504</v>
      </c>
      <c r="AM10" s="21">
        <v>16</v>
      </c>
      <c r="AN10" s="22">
        <v>20669095</v>
      </c>
      <c r="AO10" s="22">
        <v>645909.21875</v>
      </c>
      <c r="AP10" s="22">
        <v>18184.71875</v>
      </c>
      <c r="AQ10" s="22">
        <v>3404064</v>
      </c>
      <c r="AR10" s="22">
        <v>933800</v>
      </c>
      <c r="AS10" s="22">
        <v>829704</v>
      </c>
      <c r="AT10" s="22">
        <v>1640560</v>
      </c>
      <c r="AU10" s="22">
        <v>65.902412999999996</v>
      </c>
      <c r="AV10" s="22">
        <v>67.818875000000006</v>
      </c>
      <c r="AW10" s="22">
        <v>32.383094</v>
      </c>
      <c r="AX10" s="22">
        <v>39.172640999999999</v>
      </c>
      <c r="AY10" s="22">
        <v>32.086537999999997</v>
      </c>
      <c r="AZ10" s="22">
        <v>0</v>
      </c>
      <c r="BA10" s="22">
        <v>0</v>
      </c>
      <c r="BB10" s="22">
        <v>38.125999999999998</v>
      </c>
      <c r="BC10" s="22">
        <v>0</v>
      </c>
      <c r="BE10" s="50">
        <f t="shared" si="12"/>
        <v>1</v>
      </c>
      <c r="BF10" s="26">
        <f t="shared" si="13"/>
        <v>0</v>
      </c>
      <c r="BG10" s="26">
        <f t="shared" si="14"/>
        <v>0</v>
      </c>
      <c r="BH10" s="26">
        <f t="array" ref="BH10">AVERAGE(AL10:AL14/AQ10:AQ14) - AVERAGE(N10:N14/S10:S14)</f>
        <v>0</v>
      </c>
      <c r="BJ10" s="50">
        <f>IF( OR(ISBLANK(N10:N14),ISBLANK(AL10:AL14), ISBLANK(W10:W14),ISBLANK(AU10:AU14)), "·", bdRateExtend( N10:N14,W10:W14, AL10:AL14,AU10:AU14))</f>
        <v>0</v>
      </c>
      <c r="BK10" s="50">
        <f>IF( OR(ISBLANK(N10:N14),ISBLANK(AL10:AL14), ISBLANK(X10:X14),ISBLANK(AV10:AV14)), "·", bdRateExtend( N10:N14,X10:X14, AL10:AL14,AV10:AV14))</f>
        <v>0</v>
      </c>
      <c r="BL10" s="50">
        <f>IF( OR(ISBLANK(V10:V14),ISBLANK(AT10:AT14), ISBLANK(Y10:Y14),ISBLANK(AW10:AW14)), "·", bdRateExtend( V10:V14,Y10:Y14, AT10:AT14,AW10:AW14))</f>
        <v>7.4757614379539206E-4</v>
      </c>
      <c r="BM10" s="50">
        <f>IF( OR(ISBLANK(V10:V14),ISBLANK(AT10:AT14), ISBLANK(Z10:Z14),ISBLANK(AX10:AX14)), "·", bdRateExtend( V10:V14,Z10:Z14, AT10:AT14,AX10:AX14))</f>
        <v>7.0422322405927495E-4</v>
      </c>
      <c r="BN10" s="50">
        <f>IF( OR(ISBLANK(V10:V14),ISBLANK(AT10:AT14), ISBLANK(AA10:AA14),ISBLANK(AY10:AY14)), "·", bdRateExtend( V10:V14,AA10:AA14, AT10:AT14,AY10:AY14))</f>
        <v>3.7338945310638749E-4</v>
      </c>
      <c r="BP10" s="50">
        <f>IF( OR(ISBLANK(S10:S14),ISBLANK(AQ10:AQ14), ISBLANK(W10:W14),ISBLANK(AU10:AU14)), "·", bdRateExtend( S10:S14,W10:W14, AQ10:AQ14,AU10:AU14))</f>
        <v>0</v>
      </c>
      <c r="BQ10" s="50">
        <f>IF( OR(ISBLANK(S10:S14),ISBLANK(AQ10:AQ14), ISBLANK(X10:X14),ISBLANK(AV10:AV14)), "·", bdRateExtend( S10:S14,X10:X14, AQ10:AQ14,AV10:AV14))</f>
        <v>0</v>
      </c>
      <c r="BR10" s="50">
        <f>IF( OR(ISBLANK(S10:S14),ISBLANK(AQ10:AQ14), ISBLANK(Y10:Y14),ISBLANK(AW10:AW14)), "·", bdRateExtend( S10:S14,Y10:Y14, AQ10:AQ14,AW10:AW14))</f>
        <v>6.0614031433292581E-4</v>
      </c>
      <c r="BS10" s="50">
        <f>IF( OR(ISBLANK(S10:S14),ISBLANK(AQ10:AQ14), ISBLANK(Z10:Z14),ISBLANK(AX10:AX14)), "·", bdRateExtend( S10:S14,Z10:Z14, AQ10:AQ14,AX10:AX14))</f>
        <v>5.5641161430886044E-4</v>
      </c>
      <c r="BT10" s="50">
        <f>IF( OR(ISBLANK(S10:S14),ISBLANK(AQ10:AQ14), ISBLANK(AA10:AA14),ISBLANK(AY10:AY14)), "·", bdRateExtend( S10:S14,AA10:AA14, AQ10:AQ14,AY10:AY14))</f>
        <v>2.8890382690360816E-4</v>
      </c>
    </row>
    <row r="11" spans="1:72" outlineLevel="1" x14ac:dyDescent="0.2">
      <c r="A11" s="54"/>
      <c r="B11" s="54" t="s">
        <v>57</v>
      </c>
      <c r="C11" s="10" t="s">
        <v>231</v>
      </c>
      <c r="D11" s="54">
        <v>218121242</v>
      </c>
      <c r="E11" s="10">
        <v>10</v>
      </c>
      <c r="F11" s="10">
        <v>32</v>
      </c>
      <c r="G11" s="10">
        <v>30</v>
      </c>
      <c r="I11" s="11">
        <f t="shared" si="0"/>
        <v>4.6060650000000001</v>
      </c>
      <c r="J11" s="12">
        <f t="shared" si="1"/>
        <v>2.2524793802521995E-2</v>
      </c>
      <c r="K11" s="12">
        <f t="shared" si="2"/>
        <v>9.8394451650885058E-3</v>
      </c>
      <c r="L11" s="12">
        <f t="shared" si="3"/>
        <v>6.0355790565322382E-3</v>
      </c>
      <c r="M11" s="12">
        <f t="shared" si="4"/>
        <v>1.2685348637433487E-2</v>
      </c>
      <c r="N11" s="54">
        <f t="shared" si="5"/>
        <v>2146192</v>
      </c>
      <c r="O11" s="12">
        <v>16</v>
      </c>
      <c r="P11" s="13">
        <v>22097416</v>
      </c>
      <c r="Q11" s="13">
        <v>690544.25</v>
      </c>
      <c r="R11" s="13">
        <v>22962.71875</v>
      </c>
      <c r="S11" s="14">
        <v>4913136</v>
      </c>
      <c r="T11" s="14">
        <v>1316488</v>
      </c>
      <c r="U11" s="14">
        <v>829704</v>
      </c>
      <c r="V11" s="14">
        <v>2766944</v>
      </c>
      <c r="W11" s="15">
        <v>67.609744000000006</v>
      </c>
      <c r="X11" s="15">
        <v>69.703928000000005</v>
      </c>
      <c r="Y11" s="15">
        <v>34.243777999999999</v>
      </c>
      <c r="Z11" s="15">
        <v>40.024016000000003</v>
      </c>
      <c r="AA11" s="15">
        <v>33.861578000000002</v>
      </c>
      <c r="AB11" s="16">
        <v>0</v>
      </c>
      <c r="AC11" s="16">
        <v>0</v>
      </c>
      <c r="AD11" s="16">
        <v>38.468000000000004</v>
      </c>
      <c r="AE11" s="16">
        <v>0</v>
      </c>
      <c r="AG11" s="11">
        <f t="shared" si="6"/>
        <v>4.6060650000000001</v>
      </c>
      <c r="AH11" s="12">
        <f t="shared" si="7"/>
        <v>2.2524793802521995E-2</v>
      </c>
      <c r="AI11" s="12">
        <f t="shared" si="8"/>
        <v>9.8394451650885058E-3</v>
      </c>
      <c r="AJ11" s="12">
        <f t="shared" si="9"/>
        <v>6.0355790565322382E-3</v>
      </c>
      <c r="AK11" s="12">
        <f t="shared" si="10"/>
        <v>1.2685348637433487E-2</v>
      </c>
      <c r="AL11" s="54">
        <f t="shared" si="11"/>
        <v>2146192</v>
      </c>
      <c r="AM11" s="12">
        <v>16</v>
      </c>
      <c r="AN11" s="13">
        <v>22097416</v>
      </c>
      <c r="AO11" s="13">
        <v>690544.25</v>
      </c>
      <c r="AP11" s="13">
        <v>22962.71875</v>
      </c>
      <c r="AQ11" s="13">
        <v>4913136</v>
      </c>
      <c r="AR11" s="13">
        <v>1316488</v>
      </c>
      <c r="AS11" s="13">
        <v>829704</v>
      </c>
      <c r="AT11" s="13">
        <v>2766944</v>
      </c>
      <c r="AU11" s="13">
        <v>67.609744000000006</v>
      </c>
      <c r="AV11" s="13">
        <v>69.703928000000005</v>
      </c>
      <c r="AW11" s="13">
        <v>34.241447000000001</v>
      </c>
      <c r="AX11" s="13">
        <v>40.022494000000002</v>
      </c>
      <c r="AY11" s="13">
        <v>33.860343999999998</v>
      </c>
      <c r="AZ11" s="13">
        <v>0</v>
      </c>
      <c r="BA11" s="13">
        <v>0</v>
      </c>
      <c r="BB11" s="13">
        <v>35.887</v>
      </c>
      <c r="BC11" s="13">
        <v>0</v>
      </c>
      <c r="BE11" s="51">
        <f t="shared" si="12"/>
        <v>1</v>
      </c>
      <c r="BF11" s="17">
        <f t="shared" si="13"/>
        <v>0</v>
      </c>
      <c r="BG11" s="17">
        <f t="shared" si="14"/>
        <v>0</v>
      </c>
      <c r="BH11" s="17"/>
      <c r="BJ11" s="51"/>
      <c r="BK11" s="51"/>
      <c r="BL11" s="51"/>
      <c r="BM11" s="51"/>
      <c r="BN11" s="51"/>
      <c r="BP11" s="51"/>
      <c r="BQ11" s="51"/>
      <c r="BR11" s="51"/>
      <c r="BS11" s="51"/>
      <c r="BT11" s="51"/>
    </row>
    <row r="12" spans="1:72" outlineLevel="1" x14ac:dyDescent="0.2">
      <c r="A12" s="18"/>
      <c r="B12" s="18" t="s">
        <v>57</v>
      </c>
      <c r="C12" s="19" t="s">
        <v>232</v>
      </c>
      <c r="D12" s="18">
        <v>218121242</v>
      </c>
      <c r="E12" s="19">
        <v>10</v>
      </c>
      <c r="F12" s="19">
        <v>32</v>
      </c>
      <c r="G12" s="19">
        <v>30</v>
      </c>
      <c r="I12" s="20">
        <f t="shared" si="0"/>
        <v>7.1247449999999999</v>
      </c>
      <c r="J12" s="21">
        <f t="shared" si="1"/>
        <v>3.4841760161992842E-2</v>
      </c>
      <c r="K12" s="21">
        <f t="shared" si="2"/>
        <v>1.2514801286524858E-2</v>
      </c>
      <c r="L12" s="21">
        <f t="shared" si="3"/>
        <v>8.7109351779685908E-3</v>
      </c>
      <c r="M12" s="21">
        <f t="shared" si="4"/>
        <v>2.2326958875467984E-2</v>
      </c>
      <c r="N12" s="18">
        <f t="shared" si="5"/>
        <v>2729744</v>
      </c>
      <c r="O12" s="21">
        <v>16</v>
      </c>
      <c r="P12" s="22">
        <v>22514733</v>
      </c>
      <c r="Q12" s="22">
        <v>703585.40625</v>
      </c>
      <c r="R12" s="22">
        <v>24682.8125</v>
      </c>
      <c r="S12" s="23">
        <v>7599728</v>
      </c>
      <c r="T12" s="23">
        <v>1900040</v>
      </c>
      <c r="U12" s="23">
        <v>829704</v>
      </c>
      <c r="V12" s="23">
        <v>4869984</v>
      </c>
      <c r="W12" s="24">
        <v>68.954471999999996</v>
      </c>
      <c r="X12" s="24">
        <v>71.328387000000006</v>
      </c>
      <c r="Y12" s="24">
        <v>36.344050000000003</v>
      </c>
      <c r="Z12" s="24">
        <v>40.924225</v>
      </c>
      <c r="AA12" s="24">
        <v>35.641858999999997</v>
      </c>
      <c r="AB12" s="25">
        <v>0</v>
      </c>
      <c r="AC12" s="25">
        <v>0</v>
      </c>
      <c r="AD12" s="25">
        <v>40.048000000000002</v>
      </c>
      <c r="AE12" s="25">
        <v>0</v>
      </c>
      <c r="AG12" s="20">
        <f t="shared" si="6"/>
        <v>7.1247449999999999</v>
      </c>
      <c r="AH12" s="21">
        <f t="shared" si="7"/>
        <v>3.4841760161992842E-2</v>
      </c>
      <c r="AI12" s="21">
        <f t="shared" si="8"/>
        <v>1.2514801286524858E-2</v>
      </c>
      <c r="AJ12" s="21">
        <f t="shared" si="9"/>
        <v>8.7109351779685908E-3</v>
      </c>
      <c r="AK12" s="21">
        <f t="shared" si="10"/>
        <v>2.2326958875467984E-2</v>
      </c>
      <c r="AL12" s="18">
        <f t="shared" si="11"/>
        <v>2729744</v>
      </c>
      <c r="AM12" s="21">
        <v>16</v>
      </c>
      <c r="AN12" s="22">
        <v>22514733</v>
      </c>
      <c r="AO12" s="22">
        <v>703585.40625</v>
      </c>
      <c r="AP12" s="22">
        <v>24682.8125</v>
      </c>
      <c r="AQ12" s="22">
        <v>7599728</v>
      </c>
      <c r="AR12" s="22">
        <v>1900040</v>
      </c>
      <c r="AS12" s="22">
        <v>829704</v>
      </c>
      <c r="AT12" s="22">
        <v>4869984</v>
      </c>
      <c r="AU12" s="22">
        <v>68.954471999999996</v>
      </c>
      <c r="AV12" s="22">
        <v>71.328387000000006</v>
      </c>
      <c r="AW12" s="22">
        <v>36.341284000000002</v>
      </c>
      <c r="AX12" s="22">
        <v>40.922806000000001</v>
      </c>
      <c r="AY12" s="22">
        <v>35.640312999999999</v>
      </c>
      <c r="AZ12" s="22">
        <v>0</v>
      </c>
      <c r="BA12" s="22">
        <v>0</v>
      </c>
      <c r="BB12" s="22">
        <v>36.74</v>
      </c>
      <c r="BC12" s="22">
        <v>0</v>
      </c>
      <c r="BE12" s="50">
        <f t="shared" si="12"/>
        <v>1</v>
      </c>
      <c r="BF12" s="26">
        <f t="shared" si="13"/>
        <v>0</v>
      </c>
      <c r="BG12" s="26">
        <f t="shared" si="14"/>
        <v>0</v>
      </c>
      <c r="BH12" s="26"/>
      <c r="BJ12" s="50"/>
      <c r="BK12" s="50"/>
      <c r="BL12" s="50"/>
      <c r="BM12" s="50"/>
      <c r="BN12" s="50"/>
      <c r="BP12" s="50"/>
      <c r="BQ12" s="50"/>
      <c r="BR12" s="50"/>
      <c r="BS12" s="50"/>
      <c r="BT12" s="50"/>
    </row>
    <row r="13" spans="1:72" outlineLevel="1" x14ac:dyDescent="0.2">
      <c r="A13" s="54"/>
      <c r="B13" s="54" t="s">
        <v>57</v>
      </c>
      <c r="C13" s="10" t="s">
        <v>233</v>
      </c>
      <c r="D13" s="54">
        <v>218121242</v>
      </c>
      <c r="E13" s="10">
        <v>10</v>
      </c>
      <c r="F13" s="10">
        <v>32</v>
      </c>
      <c r="G13" s="10">
        <v>30</v>
      </c>
      <c r="I13" s="11">
        <f t="shared" si="0"/>
        <v>12.009029999999999</v>
      </c>
      <c r="J13" s="12">
        <f t="shared" si="1"/>
        <v>5.8727118379419463E-2</v>
      </c>
      <c r="K13" s="12">
        <f t="shared" si="2"/>
        <v>1.7198985140566916E-2</v>
      </c>
      <c r="L13" s="12">
        <f t="shared" si="3"/>
        <v>1.3395119032010646E-2</v>
      </c>
      <c r="M13" s="12">
        <f t="shared" si="4"/>
        <v>4.1528133238852544E-2</v>
      </c>
      <c r="N13" s="54">
        <f t="shared" si="5"/>
        <v>3751464</v>
      </c>
      <c r="O13" s="12">
        <v>16</v>
      </c>
      <c r="P13" s="13">
        <v>23299291</v>
      </c>
      <c r="Q13" s="13">
        <v>728102.84375</v>
      </c>
      <c r="R13" s="13">
        <v>28059</v>
      </c>
      <c r="S13" s="14">
        <v>12809632</v>
      </c>
      <c r="T13" s="14">
        <v>2921760</v>
      </c>
      <c r="U13" s="14">
        <v>829704</v>
      </c>
      <c r="V13" s="14">
        <v>9058168</v>
      </c>
      <c r="W13" s="15">
        <v>70.067155999999997</v>
      </c>
      <c r="X13" s="15">
        <v>72.583797000000004</v>
      </c>
      <c r="Y13" s="15">
        <v>38.661591000000001</v>
      </c>
      <c r="Z13" s="15">
        <v>42.108584</v>
      </c>
      <c r="AA13" s="15">
        <v>37.692183999999997</v>
      </c>
      <c r="AB13" s="16">
        <v>0</v>
      </c>
      <c r="AC13" s="16">
        <v>0</v>
      </c>
      <c r="AD13" s="16">
        <v>55.723999999999997</v>
      </c>
      <c r="AE13" s="16">
        <v>0</v>
      </c>
      <c r="AG13" s="11">
        <f t="shared" si="6"/>
        <v>12.009029999999999</v>
      </c>
      <c r="AH13" s="12">
        <f t="shared" si="7"/>
        <v>5.8727118379419463E-2</v>
      </c>
      <c r="AI13" s="12">
        <f t="shared" si="8"/>
        <v>1.7198985140566916E-2</v>
      </c>
      <c r="AJ13" s="12">
        <f t="shared" si="9"/>
        <v>1.3395119032010646E-2</v>
      </c>
      <c r="AK13" s="12">
        <f t="shared" si="10"/>
        <v>4.1528133238852544E-2</v>
      </c>
      <c r="AL13" s="54">
        <f t="shared" si="11"/>
        <v>3751464</v>
      </c>
      <c r="AM13" s="12">
        <v>16</v>
      </c>
      <c r="AN13" s="13">
        <v>23299291</v>
      </c>
      <c r="AO13" s="13">
        <v>728102.84375</v>
      </c>
      <c r="AP13" s="13">
        <v>28059</v>
      </c>
      <c r="AQ13" s="13">
        <v>12809632</v>
      </c>
      <c r="AR13" s="13">
        <v>2921760</v>
      </c>
      <c r="AS13" s="13">
        <v>829704</v>
      </c>
      <c r="AT13" s="13">
        <v>9058168</v>
      </c>
      <c r="AU13" s="13">
        <v>70.067155999999997</v>
      </c>
      <c r="AV13" s="13">
        <v>72.583797000000004</v>
      </c>
      <c r="AW13" s="13">
        <v>38.658543999999999</v>
      </c>
      <c r="AX13" s="13">
        <v>42.107796999999998</v>
      </c>
      <c r="AY13" s="13">
        <v>37.690719000000001</v>
      </c>
      <c r="AZ13" s="13">
        <v>0</v>
      </c>
      <c r="BA13" s="13">
        <v>0</v>
      </c>
      <c r="BB13" s="13">
        <v>53.22</v>
      </c>
      <c r="BC13" s="13">
        <v>0</v>
      </c>
      <c r="BE13" s="51">
        <f t="shared" si="12"/>
        <v>1</v>
      </c>
      <c r="BF13" s="17">
        <f t="shared" si="13"/>
        <v>0</v>
      </c>
      <c r="BG13" s="17">
        <f t="shared" si="14"/>
        <v>0</v>
      </c>
      <c r="BH13" s="17"/>
      <c r="BJ13" s="51"/>
      <c r="BK13" s="51"/>
      <c r="BL13" s="51"/>
      <c r="BM13" s="51"/>
      <c r="BN13" s="51"/>
      <c r="BP13" s="51"/>
      <c r="BQ13" s="51"/>
      <c r="BR13" s="51"/>
      <c r="BS13" s="51"/>
      <c r="BT13" s="51"/>
    </row>
    <row r="14" spans="1:72" outlineLevel="1" x14ac:dyDescent="0.2">
      <c r="A14" s="18"/>
      <c r="B14" s="37" t="s">
        <v>57</v>
      </c>
      <c r="C14" s="38" t="s">
        <v>234</v>
      </c>
      <c r="D14" s="37">
        <v>218121242</v>
      </c>
      <c r="E14" s="38">
        <v>10</v>
      </c>
      <c r="F14" s="38">
        <v>32</v>
      </c>
      <c r="G14" s="38">
        <v>30</v>
      </c>
      <c r="I14" s="39">
        <f t="shared" si="0"/>
        <v>21.563925000000001</v>
      </c>
      <c r="J14" s="40">
        <f t="shared" si="1"/>
        <v>0.10545291136752284</v>
      </c>
      <c r="K14" s="40">
        <f t="shared" si="2"/>
        <v>2.827737428709488E-2</v>
      </c>
      <c r="L14" s="40">
        <f t="shared" si="3"/>
        <v>2.1153006271622091E-2</v>
      </c>
      <c r="M14" s="40">
        <f t="shared" si="4"/>
        <v>7.7175537080427958E-2</v>
      </c>
      <c r="N14" s="37">
        <f t="shared" si="5"/>
        <v>6167896</v>
      </c>
      <c r="O14" s="40">
        <v>16</v>
      </c>
      <c r="P14" s="41">
        <v>22125335</v>
      </c>
      <c r="Q14" s="41">
        <v>691416.71875</v>
      </c>
      <c r="R14" s="41">
        <v>13294.1875</v>
      </c>
      <c r="S14" s="42">
        <v>23001520</v>
      </c>
      <c r="T14" s="42">
        <v>4613920</v>
      </c>
      <c r="U14" s="42">
        <v>1553976</v>
      </c>
      <c r="V14" s="42">
        <v>16833624</v>
      </c>
      <c r="W14" s="43">
        <v>70.921865999999994</v>
      </c>
      <c r="X14" s="43">
        <v>74.681325000000001</v>
      </c>
      <c r="Y14" s="43">
        <v>40.919333999999999</v>
      </c>
      <c r="Z14" s="43">
        <v>43.42165</v>
      </c>
      <c r="AA14" s="43">
        <v>39.491033999999999</v>
      </c>
      <c r="AB14" s="44">
        <v>0</v>
      </c>
      <c r="AC14" s="44">
        <v>0</v>
      </c>
      <c r="AD14" s="44">
        <v>45.963000000000001</v>
      </c>
      <c r="AE14" s="44">
        <v>0</v>
      </c>
      <c r="AG14" s="39">
        <f t="shared" si="6"/>
        <v>21.563925000000001</v>
      </c>
      <c r="AH14" s="40">
        <f t="shared" si="7"/>
        <v>0.10545291136752284</v>
      </c>
      <c r="AI14" s="40">
        <f t="shared" si="8"/>
        <v>2.827737428709488E-2</v>
      </c>
      <c r="AJ14" s="40">
        <f t="shared" si="9"/>
        <v>2.1153006271622091E-2</v>
      </c>
      <c r="AK14" s="40">
        <f t="shared" si="10"/>
        <v>7.7175537080427958E-2</v>
      </c>
      <c r="AL14" s="37">
        <f t="shared" si="11"/>
        <v>6167896</v>
      </c>
      <c r="AM14" s="40">
        <v>16</v>
      </c>
      <c r="AN14" s="41">
        <v>22125335</v>
      </c>
      <c r="AO14" s="41">
        <v>691416.71875</v>
      </c>
      <c r="AP14" s="41">
        <v>13294.1875</v>
      </c>
      <c r="AQ14" s="41">
        <v>23001520</v>
      </c>
      <c r="AR14" s="41">
        <v>4613920</v>
      </c>
      <c r="AS14" s="41">
        <v>1553976</v>
      </c>
      <c r="AT14" s="41">
        <v>16833624</v>
      </c>
      <c r="AU14" s="41">
        <v>70.921865999999994</v>
      </c>
      <c r="AV14" s="41">
        <v>74.681325000000001</v>
      </c>
      <c r="AW14" s="41">
        <v>40.917850000000001</v>
      </c>
      <c r="AX14" s="41">
        <v>43.420755999999997</v>
      </c>
      <c r="AY14" s="41">
        <v>39.492431000000003</v>
      </c>
      <c r="AZ14" s="41">
        <v>0</v>
      </c>
      <c r="BA14" s="41">
        <v>0</v>
      </c>
      <c r="BB14" s="41">
        <v>44.648000000000003</v>
      </c>
      <c r="BC14" s="41">
        <v>0</v>
      </c>
      <c r="BE14" s="45">
        <f t="shared" si="12"/>
        <v>1</v>
      </c>
      <c r="BF14" s="46">
        <f t="shared" si="13"/>
        <v>0</v>
      </c>
      <c r="BG14" s="46">
        <f t="shared" si="14"/>
        <v>0</v>
      </c>
      <c r="BH14" s="46"/>
      <c r="BJ14" s="45"/>
      <c r="BK14" s="45"/>
      <c r="BL14" s="45"/>
      <c r="BM14" s="45"/>
      <c r="BN14" s="45"/>
      <c r="BP14" s="45"/>
      <c r="BQ14" s="45"/>
      <c r="BR14" s="45"/>
      <c r="BS14" s="45"/>
      <c r="BT14" s="45"/>
    </row>
    <row r="15" spans="1:72" x14ac:dyDescent="0.2">
      <c r="A15" s="54"/>
      <c r="B15" s="54" t="s">
        <v>62</v>
      </c>
      <c r="C15" s="10" t="s">
        <v>230</v>
      </c>
      <c r="D15" s="54">
        <v>322589704</v>
      </c>
      <c r="E15" s="10">
        <v>10</v>
      </c>
      <c r="F15" s="10">
        <v>32</v>
      </c>
      <c r="G15" s="10">
        <v>30</v>
      </c>
      <c r="I15" s="11">
        <f t="shared" si="0"/>
        <v>4.409535</v>
      </c>
      <c r="J15" s="12">
        <f t="shared" si="1"/>
        <v>1.4580452945888193E-2</v>
      </c>
      <c r="K15" s="12">
        <f t="shared" si="2"/>
        <v>8.2591600629634485E-3</v>
      </c>
      <c r="L15" s="12">
        <f t="shared" si="3"/>
        <v>4.3925518466020226E-3</v>
      </c>
      <c r="M15" s="12">
        <f t="shared" si="4"/>
        <v>6.3212928829247447E-3</v>
      </c>
      <c r="N15" s="54">
        <f t="shared" si="5"/>
        <v>2664320</v>
      </c>
      <c r="O15" s="12">
        <v>16</v>
      </c>
      <c r="P15" s="13">
        <v>31086837</v>
      </c>
      <c r="Q15" s="13">
        <v>971463.65625</v>
      </c>
      <c r="R15" s="13">
        <v>27944.34375</v>
      </c>
      <c r="S15" s="14">
        <v>4703504</v>
      </c>
      <c r="T15" s="14">
        <v>1416992</v>
      </c>
      <c r="U15" s="14">
        <v>1247328</v>
      </c>
      <c r="V15" s="14">
        <v>2039184</v>
      </c>
      <c r="W15" s="15">
        <v>65.923106000000004</v>
      </c>
      <c r="X15" s="15">
        <v>67.661797000000007</v>
      </c>
      <c r="Y15" s="15">
        <v>29.416015999999999</v>
      </c>
      <c r="Z15" s="15">
        <v>43.127603000000001</v>
      </c>
      <c r="AA15" s="15">
        <v>43.264449999999997</v>
      </c>
      <c r="AB15" s="16">
        <v>0</v>
      </c>
      <c r="AC15" s="16">
        <v>0</v>
      </c>
      <c r="AD15" s="16">
        <v>49.837000000000003</v>
      </c>
      <c r="AE15" s="16">
        <v>0</v>
      </c>
      <c r="AG15" s="11">
        <f t="shared" si="6"/>
        <v>4.409535</v>
      </c>
      <c r="AH15" s="12">
        <f t="shared" si="7"/>
        <v>1.4580452945888193E-2</v>
      </c>
      <c r="AI15" s="12">
        <f t="shared" si="8"/>
        <v>8.2591600629634485E-3</v>
      </c>
      <c r="AJ15" s="12">
        <f t="shared" si="9"/>
        <v>4.3925518466020226E-3</v>
      </c>
      <c r="AK15" s="12">
        <f t="shared" si="10"/>
        <v>6.3212928829247447E-3</v>
      </c>
      <c r="AL15" s="54">
        <f t="shared" si="11"/>
        <v>2664320</v>
      </c>
      <c r="AM15" s="12">
        <v>16</v>
      </c>
      <c r="AN15" s="13">
        <v>31086837</v>
      </c>
      <c r="AO15" s="13">
        <v>971463.65625</v>
      </c>
      <c r="AP15" s="13">
        <v>27944.34375</v>
      </c>
      <c r="AQ15" s="13">
        <v>4703504</v>
      </c>
      <c r="AR15" s="13">
        <v>1416992</v>
      </c>
      <c r="AS15" s="13">
        <v>1247328</v>
      </c>
      <c r="AT15" s="13">
        <v>2039184</v>
      </c>
      <c r="AU15" s="13">
        <v>65.923106000000004</v>
      </c>
      <c r="AV15" s="13">
        <v>67.661797000000007</v>
      </c>
      <c r="AW15" s="13">
        <v>29.414003000000001</v>
      </c>
      <c r="AX15" s="13">
        <v>43.126221999999999</v>
      </c>
      <c r="AY15" s="13">
        <v>43.263421999999998</v>
      </c>
      <c r="AZ15" s="13">
        <v>0</v>
      </c>
      <c r="BA15" s="13">
        <v>0</v>
      </c>
      <c r="BB15" s="13">
        <v>45.005000000000003</v>
      </c>
      <c r="BC15" s="13">
        <v>0</v>
      </c>
      <c r="BE15" s="51">
        <f t="shared" si="12"/>
        <v>1</v>
      </c>
      <c r="BF15" s="17">
        <f t="shared" si="13"/>
        <v>0</v>
      </c>
      <c r="BG15" s="17">
        <f t="shared" si="14"/>
        <v>0</v>
      </c>
      <c r="BH15" s="17">
        <f t="array" ref="BH15">AVERAGE(AL15:AL19/AQ15:AQ19) - AVERAGE(N15:N19/S15:S19)</f>
        <v>0</v>
      </c>
      <c r="BJ15" s="51">
        <f>IF( OR(ISBLANK(N15:N19),ISBLANK(AL15:AL19), ISBLANK(W15:W19),ISBLANK(AU15:AU19)), "·", bdRateExtend( N15:N19,W15:W19, AL15:AL19,AU15:AU19))</f>
        <v>0</v>
      </c>
      <c r="BK15" s="51">
        <f>IF( OR(ISBLANK(N15:N19),ISBLANK(AL15:AL19), ISBLANK(X15:X19),ISBLANK(AV15:AV19)), "·", bdRateExtend( N15:N19,X15:X19, AL15:AL19,AV15:AV19))</f>
        <v>0</v>
      </c>
      <c r="BL15" s="51">
        <f>IF( OR(ISBLANK(V15:V19),ISBLANK(AT15:AT19), ISBLANK(Y15:Y19),ISBLANK(AW15:AW19)), "·", bdRateExtend( V15:V19,Y15:Y19, AT15:AT19,AW15:AW19))</f>
        <v>2.6439886874962681E-4</v>
      </c>
      <c r="BM15" s="51">
        <f>IF( OR(ISBLANK(V15:V19),ISBLANK(AT15:AT19), ISBLANK(Z15:Z19),ISBLANK(AX15:AX19)), "·", bdRateExtend( V15:V19,Z15:Z19, AT15:AT19,AX15:AX19))</f>
        <v>1.9991514593398207E-4</v>
      </c>
      <c r="BN15" s="51">
        <f>IF( OR(ISBLANK(V15:V19),ISBLANK(AT15:AT19), ISBLANK(AA15:AA19),ISBLANK(AY15:AY19)), "·", bdRateExtend( V15:V19,AA15:AA19, AT15:AT19,AY15:AY19))</f>
        <v>1.8798524382868109E-4</v>
      </c>
      <c r="BP15" s="51">
        <f>IF( OR(ISBLANK(S15:S19),ISBLANK(AQ15:AQ19), ISBLANK(W15:W19),ISBLANK(AU15:AU19)), "·", bdRateExtend( S15:S19,W15:W19, AQ15:AQ19,AU15:AU19))</f>
        <v>0</v>
      </c>
      <c r="BQ15" s="51">
        <f>IF( OR(ISBLANK(S15:S19),ISBLANK(AQ15:AQ19), ISBLANK(X15:X19),ISBLANK(AV15:AV19)), "·", bdRateExtend( S15:S19,X15:X19, AQ15:AQ19,AV15:AV19))</f>
        <v>0</v>
      </c>
      <c r="BR15" s="51">
        <f>IF( OR(ISBLANK(S15:S19),ISBLANK(AQ15:AQ19), ISBLANK(Y15:Y19),ISBLANK(AW15:AW19)), "·", bdRateExtend( S15:S19,Y15:Y19, AQ15:AQ19,AW15:AW19))</f>
        <v>1.9183015737467279E-4</v>
      </c>
      <c r="BS15" s="51">
        <f>IF( OR(ISBLANK(S15:S19),ISBLANK(AQ15:AQ19), ISBLANK(Z15:Z19),ISBLANK(AX15:AX19)), "·", bdRateExtend( S15:S19,Z15:Z19, AQ15:AQ19,AX15:AX19))</f>
        <v>1.3987549481919714E-4</v>
      </c>
      <c r="BT15" s="51">
        <f>IF( OR(ISBLANK(S15:S19),ISBLANK(AQ15:AQ19), ISBLANK(AA15:AA19),ISBLANK(AY15:AY19)), "·", bdRateExtend( S15:S19,AA15:AA19, AQ15:AQ19,AY15:AY19))</f>
        <v>1.4310680236162554E-4</v>
      </c>
    </row>
    <row r="16" spans="1:72" outlineLevel="1" x14ac:dyDescent="0.2">
      <c r="A16" s="18"/>
      <c r="B16" s="18" t="s">
        <v>62</v>
      </c>
      <c r="C16" s="19" t="s">
        <v>231</v>
      </c>
      <c r="D16" s="18">
        <v>322589704</v>
      </c>
      <c r="E16" s="19">
        <v>10</v>
      </c>
      <c r="F16" s="19">
        <v>32</v>
      </c>
      <c r="G16" s="19">
        <v>30</v>
      </c>
      <c r="I16" s="20">
        <f t="shared" si="0"/>
        <v>7.0055775000000002</v>
      </c>
      <c r="J16" s="21">
        <f t="shared" si="1"/>
        <v>2.3164459086394151E-2</v>
      </c>
      <c r="K16" s="21">
        <f t="shared" si="2"/>
        <v>1.0064549363298959E-2</v>
      </c>
      <c r="L16" s="21">
        <f t="shared" si="3"/>
        <v>6.1979411469375353E-3</v>
      </c>
      <c r="M16" s="21">
        <f t="shared" si="4"/>
        <v>1.3099909723095193E-2</v>
      </c>
      <c r="N16" s="18">
        <f t="shared" si="5"/>
        <v>3246720</v>
      </c>
      <c r="O16" s="21">
        <v>16</v>
      </c>
      <c r="P16" s="22">
        <v>33185472</v>
      </c>
      <c r="Q16" s="22">
        <v>1037046</v>
      </c>
      <c r="R16" s="22">
        <v>34748.53125</v>
      </c>
      <c r="S16" s="23">
        <v>7472616</v>
      </c>
      <c r="T16" s="23">
        <v>1999392</v>
      </c>
      <c r="U16" s="23">
        <v>1247328</v>
      </c>
      <c r="V16" s="23">
        <v>4225896</v>
      </c>
      <c r="W16" s="24">
        <v>67.712850000000003</v>
      </c>
      <c r="X16" s="24">
        <v>69.741403000000005</v>
      </c>
      <c r="Y16" s="24">
        <v>31.808668999999998</v>
      </c>
      <c r="Z16" s="24">
        <v>43.978478000000003</v>
      </c>
      <c r="AA16" s="24">
        <v>44.264780999999999</v>
      </c>
      <c r="AB16" s="25">
        <v>0</v>
      </c>
      <c r="AC16" s="25">
        <v>0</v>
      </c>
      <c r="AD16" s="25">
        <v>53.798000000000002</v>
      </c>
      <c r="AE16" s="25">
        <v>0</v>
      </c>
      <c r="AG16" s="20">
        <f t="shared" si="6"/>
        <v>7.0055775000000002</v>
      </c>
      <c r="AH16" s="21">
        <f t="shared" si="7"/>
        <v>2.3164459086394151E-2</v>
      </c>
      <c r="AI16" s="21">
        <f t="shared" si="8"/>
        <v>1.0064549363298959E-2</v>
      </c>
      <c r="AJ16" s="21">
        <f t="shared" si="9"/>
        <v>6.1979411469375353E-3</v>
      </c>
      <c r="AK16" s="21">
        <f t="shared" si="10"/>
        <v>1.3099909723095193E-2</v>
      </c>
      <c r="AL16" s="18">
        <f t="shared" si="11"/>
        <v>3246720</v>
      </c>
      <c r="AM16" s="21">
        <v>16</v>
      </c>
      <c r="AN16" s="22">
        <v>33185472</v>
      </c>
      <c r="AO16" s="22">
        <v>1037046</v>
      </c>
      <c r="AP16" s="22">
        <v>34748.53125</v>
      </c>
      <c r="AQ16" s="22">
        <v>7472616</v>
      </c>
      <c r="AR16" s="22">
        <v>1999392</v>
      </c>
      <c r="AS16" s="22">
        <v>1247328</v>
      </c>
      <c r="AT16" s="22">
        <v>4225896</v>
      </c>
      <c r="AU16" s="22">
        <v>67.712850000000003</v>
      </c>
      <c r="AV16" s="22">
        <v>69.741403000000005</v>
      </c>
      <c r="AW16" s="22">
        <v>31.807887000000001</v>
      </c>
      <c r="AX16" s="22">
        <v>43.977880999999996</v>
      </c>
      <c r="AY16" s="22">
        <v>44.264274999999998</v>
      </c>
      <c r="AZ16" s="22">
        <v>0</v>
      </c>
      <c r="BA16" s="22">
        <v>0</v>
      </c>
      <c r="BB16" s="22">
        <v>48.655000000000001</v>
      </c>
      <c r="BC16" s="22">
        <v>0</v>
      </c>
      <c r="BE16" s="50">
        <f t="shared" si="12"/>
        <v>1</v>
      </c>
      <c r="BF16" s="26">
        <f t="shared" si="13"/>
        <v>0</v>
      </c>
      <c r="BG16" s="26">
        <f t="shared" si="14"/>
        <v>0</v>
      </c>
      <c r="BH16" s="26"/>
      <c r="BJ16" s="50"/>
      <c r="BK16" s="50"/>
      <c r="BL16" s="50"/>
      <c r="BM16" s="50"/>
      <c r="BN16" s="50"/>
      <c r="BP16" s="50"/>
      <c r="BQ16" s="50"/>
      <c r="BR16" s="50"/>
      <c r="BS16" s="50"/>
      <c r="BT16" s="50"/>
    </row>
    <row r="17" spans="1:72" outlineLevel="1" x14ac:dyDescent="0.2">
      <c r="A17" s="54"/>
      <c r="B17" s="54" t="s">
        <v>62</v>
      </c>
      <c r="C17" s="10" t="s">
        <v>232</v>
      </c>
      <c r="D17" s="54">
        <v>322589704</v>
      </c>
      <c r="E17" s="10">
        <v>10</v>
      </c>
      <c r="F17" s="10">
        <v>32</v>
      </c>
      <c r="G17" s="10">
        <v>30</v>
      </c>
      <c r="I17" s="11">
        <f t="shared" si="0"/>
        <v>11.691022500000001</v>
      </c>
      <c r="J17" s="12">
        <f t="shared" si="1"/>
        <v>3.8657228812237605E-2</v>
      </c>
      <c r="K17" s="12">
        <f t="shared" si="2"/>
        <v>1.2822926301454433E-2</v>
      </c>
      <c r="L17" s="12">
        <f t="shared" si="3"/>
        <v>8.9563180850930069E-3</v>
      </c>
      <c r="M17" s="12">
        <f t="shared" si="4"/>
        <v>2.5834302510783173E-2</v>
      </c>
      <c r="N17" s="54">
        <f t="shared" si="5"/>
        <v>4136544</v>
      </c>
      <c r="O17" s="12">
        <v>16</v>
      </c>
      <c r="P17" s="13">
        <v>33602137</v>
      </c>
      <c r="Q17" s="13">
        <v>1050066.78125</v>
      </c>
      <c r="R17" s="13">
        <v>36579.4375</v>
      </c>
      <c r="S17" s="14">
        <v>12470424</v>
      </c>
      <c r="T17" s="14">
        <v>2889216</v>
      </c>
      <c r="U17" s="14">
        <v>1247328</v>
      </c>
      <c r="V17" s="14">
        <v>8333880</v>
      </c>
      <c r="W17" s="15">
        <v>69.134241000000003</v>
      </c>
      <c r="X17" s="15">
        <v>71.597499999999997</v>
      </c>
      <c r="Y17" s="15">
        <v>34.351258999999999</v>
      </c>
      <c r="Z17" s="15">
        <v>44.801000000000002</v>
      </c>
      <c r="AA17" s="15">
        <v>45.210155999999998</v>
      </c>
      <c r="AB17" s="16">
        <v>0</v>
      </c>
      <c r="AC17" s="16">
        <v>0</v>
      </c>
      <c r="AD17" s="16">
        <v>56.496000000000002</v>
      </c>
      <c r="AE17" s="16">
        <v>0</v>
      </c>
      <c r="AG17" s="11">
        <f t="shared" si="6"/>
        <v>11.691022500000001</v>
      </c>
      <c r="AH17" s="12">
        <f t="shared" si="7"/>
        <v>3.8657228812237605E-2</v>
      </c>
      <c r="AI17" s="12">
        <f t="shared" si="8"/>
        <v>1.2822926301454433E-2</v>
      </c>
      <c r="AJ17" s="12">
        <f t="shared" si="9"/>
        <v>8.9563180850930069E-3</v>
      </c>
      <c r="AK17" s="12">
        <f t="shared" si="10"/>
        <v>2.5834302510783173E-2</v>
      </c>
      <c r="AL17" s="54">
        <f t="shared" si="11"/>
        <v>4136544</v>
      </c>
      <c r="AM17" s="12">
        <v>16</v>
      </c>
      <c r="AN17" s="13">
        <v>33602137</v>
      </c>
      <c r="AO17" s="13">
        <v>1050066.78125</v>
      </c>
      <c r="AP17" s="13">
        <v>36579.4375</v>
      </c>
      <c r="AQ17" s="13">
        <v>12470424</v>
      </c>
      <c r="AR17" s="13">
        <v>2889216</v>
      </c>
      <c r="AS17" s="13">
        <v>1247328</v>
      </c>
      <c r="AT17" s="13">
        <v>8333880</v>
      </c>
      <c r="AU17" s="13">
        <v>69.134241000000003</v>
      </c>
      <c r="AV17" s="13">
        <v>71.597499999999997</v>
      </c>
      <c r="AW17" s="13">
        <v>34.350906000000002</v>
      </c>
      <c r="AX17" s="13">
        <v>44.800902999999998</v>
      </c>
      <c r="AY17" s="13">
        <v>45.209918999999999</v>
      </c>
      <c r="AZ17" s="13">
        <v>0</v>
      </c>
      <c r="BA17" s="13">
        <v>0</v>
      </c>
      <c r="BB17" s="13">
        <v>51.241999999999997</v>
      </c>
      <c r="BC17" s="13">
        <v>0</v>
      </c>
      <c r="BE17" s="51">
        <f t="shared" si="12"/>
        <v>1</v>
      </c>
      <c r="BF17" s="17">
        <f t="shared" si="13"/>
        <v>0</v>
      </c>
      <c r="BG17" s="17">
        <f t="shared" si="14"/>
        <v>0</v>
      </c>
      <c r="BH17" s="17"/>
      <c r="BJ17" s="51"/>
      <c r="BK17" s="51"/>
      <c r="BL17" s="51"/>
      <c r="BM17" s="51"/>
      <c r="BN17" s="51"/>
      <c r="BP17" s="51"/>
      <c r="BQ17" s="51"/>
      <c r="BR17" s="51"/>
      <c r="BS17" s="51"/>
      <c r="BT17" s="51"/>
    </row>
    <row r="18" spans="1:72" outlineLevel="1" x14ac:dyDescent="0.2">
      <c r="A18" s="18"/>
      <c r="B18" s="18" t="s">
        <v>62</v>
      </c>
      <c r="C18" s="19" t="s">
        <v>233</v>
      </c>
      <c r="D18" s="18">
        <v>322589704</v>
      </c>
      <c r="E18" s="19">
        <v>10</v>
      </c>
      <c r="F18" s="19">
        <v>32</v>
      </c>
      <c r="G18" s="19">
        <v>30</v>
      </c>
      <c r="I18" s="20">
        <f t="shared" si="0"/>
        <v>20.1795075</v>
      </c>
      <c r="J18" s="21">
        <f t="shared" si="1"/>
        <v>6.6725031000989421E-2</v>
      </c>
      <c r="K18" s="21">
        <f t="shared" si="2"/>
        <v>1.7326876619720013E-2</v>
      </c>
      <c r="L18" s="21">
        <f t="shared" si="3"/>
        <v>1.3460268403358589E-2</v>
      </c>
      <c r="M18" s="21">
        <f t="shared" si="4"/>
        <v>4.9398154381269405E-2</v>
      </c>
      <c r="N18" s="18">
        <f t="shared" si="5"/>
        <v>5589472</v>
      </c>
      <c r="O18" s="21">
        <v>16</v>
      </c>
      <c r="P18" s="22">
        <v>34802570</v>
      </c>
      <c r="Q18" s="22">
        <v>1087580.3125</v>
      </c>
      <c r="R18" s="22">
        <v>40873.28125</v>
      </c>
      <c r="S18" s="23">
        <v>21524808</v>
      </c>
      <c r="T18" s="23">
        <v>4342144</v>
      </c>
      <c r="U18" s="23">
        <v>1247328</v>
      </c>
      <c r="V18" s="23">
        <v>15935336</v>
      </c>
      <c r="W18" s="24">
        <v>70.372422</v>
      </c>
      <c r="X18" s="24">
        <v>72.950705999999997</v>
      </c>
      <c r="Y18" s="24">
        <v>37.032699999999998</v>
      </c>
      <c r="Z18" s="24">
        <v>46.141669</v>
      </c>
      <c r="AA18" s="24">
        <v>46.647602999999997</v>
      </c>
      <c r="AB18" s="25">
        <v>0</v>
      </c>
      <c r="AC18" s="25">
        <v>0</v>
      </c>
      <c r="AD18" s="25">
        <v>62.185000000000002</v>
      </c>
      <c r="AE18" s="25">
        <v>0</v>
      </c>
      <c r="AG18" s="20">
        <f t="shared" si="6"/>
        <v>20.1795075</v>
      </c>
      <c r="AH18" s="21">
        <f t="shared" si="7"/>
        <v>6.6725031000989421E-2</v>
      </c>
      <c r="AI18" s="21">
        <f t="shared" si="8"/>
        <v>1.7326876619720013E-2</v>
      </c>
      <c r="AJ18" s="21">
        <f t="shared" si="9"/>
        <v>1.3460268403358589E-2</v>
      </c>
      <c r="AK18" s="21">
        <f t="shared" si="10"/>
        <v>4.9398154381269405E-2</v>
      </c>
      <c r="AL18" s="18">
        <f t="shared" si="11"/>
        <v>5589472</v>
      </c>
      <c r="AM18" s="21">
        <v>16</v>
      </c>
      <c r="AN18" s="22">
        <v>34802570</v>
      </c>
      <c r="AO18" s="22">
        <v>1087580.3125</v>
      </c>
      <c r="AP18" s="22">
        <v>40873.28125</v>
      </c>
      <c r="AQ18" s="22">
        <v>21524808</v>
      </c>
      <c r="AR18" s="22">
        <v>4342144</v>
      </c>
      <c r="AS18" s="22">
        <v>1247328</v>
      </c>
      <c r="AT18" s="22">
        <v>15935336</v>
      </c>
      <c r="AU18" s="22">
        <v>70.372422</v>
      </c>
      <c r="AV18" s="22">
        <v>72.950705999999997</v>
      </c>
      <c r="AW18" s="22">
        <v>37.029434000000002</v>
      </c>
      <c r="AX18" s="22">
        <v>46.142031000000003</v>
      </c>
      <c r="AY18" s="22">
        <v>46.647978000000002</v>
      </c>
      <c r="AZ18" s="22">
        <v>0</v>
      </c>
      <c r="BA18" s="22">
        <v>0</v>
      </c>
      <c r="BB18" s="22">
        <v>55.177999999999997</v>
      </c>
      <c r="BC18" s="22">
        <v>0</v>
      </c>
      <c r="BE18" s="50">
        <f t="shared" si="12"/>
        <v>1</v>
      </c>
      <c r="BF18" s="26">
        <f t="shared" si="13"/>
        <v>0</v>
      </c>
      <c r="BG18" s="26">
        <f t="shared" si="14"/>
        <v>0</v>
      </c>
      <c r="BH18" s="26"/>
      <c r="BJ18" s="50"/>
      <c r="BK18" s="50"/>
      <c r="BL18" s="50"/>
      <c r="BM18" s="50"/>
      <c r="BN18" s="50"/>
      <c r="BP18" s="50"/>
      <c r="BQ18" s="50"/>
      <c r="BR18" s="50"/>
      <c r="BS18" s="50"/>
      <c r="BT18" s="50"/>
    </row>
    <row r="19" spans="1:72" outlineLevel="1" x14ac:dyDescent="0.2">
      <c r="A19" s="54"/>
      <c r="B19" s="27" t="s">
        <v>62</v>
      </c>
      <c r="C19" s="28" t="s">
        <v>234</v>
      </c>
      <c r="D19" s="27">
        <v>322589704</v>
      </c>
      <c r="E19" s="28">
        <v>10</v>
      </c>
      <c r="F19" s="28">
        <v>32</v>
      </c>
      <c r="G19" s="28">
        <v>30</v>
      </c>
      <c r="I19" s="29">
        <f t="shared" si="0"/>
        <v>35.694022500000003</v>
      </c>
      <c r="J19" s="30">
        <f t="shared" si="1"/>
        <v>0.11802491997698723</v>
      </c>
      <c r="K19" s="30">
        <f t="shared" si="2"/>
        <v>2.7796150617379903E-2</v>
      </c>
      <c r="L19" s="30">
        <f t="shared" si="3"/>
        <v>2.0647676963676434E-2</v>
      </c>
      <c r="M19" s="30">
        <f t="shared" si="4"/>
        <v>9.022876935960733E-2</v>
      </c>
      <c r="N19" s="27">
        <f t="shared" si="5"/>
        <v>8966752</v>
      </c>
      <c r="O19" s="30">
        <v>16</v>
      </c>
      <c r="P19" s="31">
        <v>33042374</v>
      </c>
      <c r="Q19" s="31">
        <v>1032574.1875</v>
      </c>
      <c r="R19" s="31">
        <v>17761.0625</v>
      </c>
      <c r="S19" s="32">
        <v>38073624</v>
      </c>
      <c r="T19" s="32">
        <v>6660728</v>
      </c>
      <c r="U19" s="32">
        <v>2306024</v>
      </c>
      <c r="V19" s="32">
        <v>29106872</v>
      </c>
      <c r="W19" s="33">
        <v>71.149422000000001</v>
      </c>
      <c r="X19" s="33">
        <v>75.002240999999998</v>
      </c>
      <c r="Y19" s="33">
        <v>39.490022000000003</v>
      </c>
      <c r="Z19" s="33">
        <v>47.872225</v>
      </c>
      <c r="AA19" s="33">
        <v>48.471881000000003</v>
      </c>
      <c r="AB19" s="34">
        <v>0</v>
      </c>
      <c r="AC19" s="34">
        <v>0</v>
      </c>
      <c r="AD19" s="34">
        <v>52.667999999999999</v>
      </c>
      <c r="AE19" s="34">
        <v>0</v>
      </c>
      <c r="AG19" s="29">
        <f t="shared" si="6"/>
        <v>35.694022500000003</v>
      </c>
      <c r="AH19" s="30">
        <f t="shared" si="7"/>
        <v>0.11802491997698723</v>
      </c>
      <c r="AI19" s="30">
        <f t="shared" si="8"/>
        <v>2.7796150617379903E-2</v>
      </c>
      <c r="AJ19" s="30">
        <f t="shared" si="9"/>
        <v>2.0647676963676434E-2</v>
      </c>
      <c r="AK19" s="30">
        <f t="shared" si="10"/>
        <v>9.022876935960733E-2</v>
      </c>
      <c r="AL19" s="27">
        <f t="shared" si="11"/>
        <v>8966752</v>
      </c>
      <c r="AM19" s="30">
        <v>16</v>
      </c>
      <c r="AN19" s="31">
        <v>33042374</v>
      </c>
      <c r="AO19" s="31">
        <v>1032574.1875</v>
      </c>
      <c r="AP19" s="31">
        <v>17761.0625</v>
      </c>
      <c r="AQ19" s="31">
        <v>38073624</v>
      </c>
      <c r="AR19" s="31">
        <v>6660728</v>
      </c>
      <c r="AS19" s="31">
        <v>2306024</v>
      </c>
      <c r="AT19" s="31">
        <v>29106872</v>
      </c>
      <c r="AU19" s="31">
        <v>71.149422000000001</v>
      </c>
      <c r="AV19" s="31">
        <v>75.002240999999998</v>
      </c>
      <c r="AW19" s="31">
        <v>39.495016</v>
      </c>
      <c r="AX19" s="31">
        <v>47.870655999999997</v>
      </c>
      <c r="AY19" s="31">
        <v>48.469659</v>
      </c>
      <c r="AZ19" s="31">
        <v>0</v>
      </c>
      <c r="BA19" s="31">
        <v>0</v>
      </c>
      <c r="BB19" s="31">
        <v>54.540999999999997</v>
      </c>
      <c r="BC19" s="31">
        <v>0</v>
      </c>
      <c r="BE19" s="35">
        <f t="shared" si="12"/>
        <v>1</v>
      </c>
      <c r="BF19" s="36">
        <f t="shared" si="13"/>
        <v>0</v>
      </c>
      <c r="BG19" s="36">
        <f t="shared" si="14"/>
        <v>0</v>
      </c>
      <c r="BH19" s="36"/>
      <c r="BJ19" s="35"/>
      <c r="BK19" s="35"/>
      <c r="BL19" s="35"/>
      <c r="BM19" s="35"/>
      <c r="BN19" s="35"/>
      <c r="BP19" s="35"/>
      <c r="BQ19" s="35"/>
      <c r="BR19" s="35"/>
      <c r="BS19" s="35"/>
      <c r="BT19" s="35"/>
    </row>
    <row r="20" spans="1:72" x14ac:dyDescent="0.2">
      <c r="A20" s="18"/>
      <c r="B20" s="18" t="s">
        <v>68</v>
      </c>
      <c r="C20" s="19" t="s">
        <v>230</v>
      </c>
      <c r="D20" s="18">
        <v>250602891</v>
      </c>
      <c r="E20" s="19">
        <v>10</v>
      </c>
      <c r="F20" s="19">
        <v>32</v>
      </c>
      <c r="G20" s="19">
        <v>50</v>
      </c>
      <c r="I20" s="20">
        <f t="shared" si="0"/>
        <v>5.1031000000000004</v>
      </c>
      <c r="J20" s="21">
        <f t="shared" si="1"/>
        <v>1.3032507274626771E-2</v>
      </c>
      <c r="K20" s="21">
        <f t="shared" si="2"/>
        <v>7.6034877027815291E-3</v>
      </c>
      <c r="L20" s="21">
        <f t="shared" si="3"/>
        <v>3.776301207953742E-3</v>
      </c>
      <c r="M20" s="21">
        <f t="shared" si="4"/>
        <v>5.4290195718452424E-3</v>
      </c>
      <c r="N20" s="18">
        <f t="shared" si="5"/>
        <v>1905456</v>
      </c>
      <c r="O20" s="21">
        <v>16</v>
      </c>
      <c r="P20" s="22">
        <v>30323913</v>
      </c>
      <c r="Q20" s="22">
        <v>947622.28125</v>
      </c>
      <c r="R20" s="22">
        <v>27816.5625</v>
      </c>
      <c r="S20" s="23">
        <v>3265984</v>
      </c>
      <c r="T20" s="23">
        <v>946352</v>
      </c>
      <c r="U20" s="23">
        <v>959104</v>
      </c>
      <c r="V20" s="23">
        <v>1360528</v>
      </c>
      <c r="W20" s="24">
        <v>67.129975000000002</v>
      </c>
      <c r="X20" s="24">
        <v>68.823369</v>
      </c>
      <c r="Y20" s="24">
        <v>30.707647000000001</v>
      </c>
      <c r="Z20" s="24">
        <v>39.523800000000001</v>
      </c>
      <c r="AA20" s="24">
        <v>38.234321999999999</v>
      </c>
      <c r="AB20" s="25">
        <v>0</v>
      </c>
      <c r="AC20" s="25">
        <v>0</v>
      </c>
      <c r="AD20" s="25">
        <v>46.094000000000001</v>
      </c>
      <c r="AE20" s="25">
        <v>0</v>
      </c>
      <c r="AG20" s="20">
        <f t="shared" si="6"/>
        <v>5.1031000000000004</v>
      </c>
      <c r="AH20" s="21">
        <f t="shared" si="7"/>
        <v>1.3032507274626771E-2</v>
      </c>
      <c r="AI20" s="21">
        <f t="shared" si="8"/>
        <v>7.6034877027815291E-3</v>
      </c>
      <c r="AJ20" s="21">
        <f t="shared" si="9"/>
        <v>3.776301207953742E-3</v>
      </c>
      <c r="AK20" s="21">
        <f t="shared" si="10"/>
        <v>5.4290195718452424E-3</v>
      </c>
      <c r="AL20" s="18">
        <f t="shared" si="11"/>
        <v>1905456</v>
      </c>
      <c r="AM20" s="21">
        <v>16</v>
      </c>
      <c r="AN20" s="22">
        <v>30323913</v>
      </c>
      <c r="AO20" s="22">
        <v>947622.28125</v>
      </c>
      <c r="AP20" s="22">
        <v>27816.5625</v>
      </c>
      <c r="AQ20" s="22">
        <v>3265984</v>
      </c>
      <c r="AR20" s="22">
        <v>946352</v>
      </c>
      <c r="AS20" s="22">
        <v>959104</v>
      </c>
      <c r="AT20" s="22">
        <v>1360528</v>
      </c>
      <c r="AU20" s="22">
        <v>67.129975000000002</v>
      </c>
      <c r="AV20" s="22">
        <v>68.823369</v>
      </c>
      <c r="AW20" s="22">
        <v>30.722480999999998</v>
      </c>
      <c r="AX20" s="22">
        <v>39.525134000000001</v>
      </c>
      <c r="AY20" s="22">
        <v>38.244712999999997</v>
      </c>
      <c r="AZ20" s="22">
        <v>0</v>
      </c>
      <c r="BA20" s="22">
        <v>0</v>
      </c>
      <c r="BB20" s="22">
        <v>41.67</v>
      </c>
      <c r="BC20" s="22">
        <v>0</v>
      </c>
      <c r="BE20" s="50">
        <f t="shared" si="12"/>
        <v>1</v>
      </c>
      <c r="BF20" s="26">
        <f t="shared" si="13"/>
        <v>0</v>
      </c>
      <c r="BG20" s="26">
        <f t="shared" si="14"/>
        <v>0</v>
      </c>
      <c r="BH20" s="26">
        <f t="array" ref="BH20">AVERAGE(AL20:AL24/AQ20:AQ24) - AVERAGE(N20:N24/S20:S24)</f>
        <v>0</v>
      </c>
      <c r="BJ20" s="50">
        <f>IF( OR(ISBLANK(N20:N24),ISBLANK(AL20:AL24), ISBLANK(W20:W24),ISBLANK(AU20:AU24)), "·", bdRateExtend( N20:N24,W20:W24, AL20:AL24,AU20:AU24))</f>
        <v>0</v>
      </c>
      <c r="BK20" s="50">
        <f>IF( OR(ISBLANK(N20:N24),ISBLANK(AL20:AL24), ISBLANK(X20:X24),ISBLANK(AV20:AV24)), "·", bdRateExtend( N20:N24,X20:X24, AL20:AL24,AV20:AV24))</f>
        <v>0</v>
      </c>
      <c r="BL20" s="50">
        <f>IF( OR(ISBLANK(V20:V24),ISBLANK(AT20:AT24), ISBLANK(Y20:Y24),ISBLANK(AW20:AW24)), "·", bdRateExtend( V20:V24,Y20:Y24, AT20:AT24,AW20:AW24))</f>
        <v>5.0237321218256081E-3</v>
      </c>
      <c r="BM20" s="50">
        <f>IF( OR(ISBLANK(V20:V24),ISBLANK(AT20:AT24), ISBLANK(Z20:Z24),ISBLANK(AX20:AX24)), "·", bdRateExtend( V20:V24,Z20:Z24, AT20:AT24,AX20:AX24))</f>
        <v>-1.4774235757943344E-2</v>
      </c>
      <c r="BN20" s="50">
        <f>IF( OR(ISBLANK(V20:V24),ISBLANK(AT20:AT24), ISBLANK(AA20:AA24),ISBLANK(AY20:AY24)), "·", bdRateExtend( V20:V24,AA20:AA24, AT20:AT24,AY20:AY24))</f>
        <v>-2.4235307106223125E-2</v>
      </c>
      <c r="BP20" s="50">
        <f>IF( OR(ISBLANK(S20:S24),ISBLANK(AQ20:AQ24), ISBLANK(W20:W24),ISBLANK(AU20:AU24)), "·", bdRateExtend( S20:S24,W20:W24, AQ20:AQ24,AU20:AU24))</f>
        <v>0</v>
      </c>
      <c r="BQ20" s="50">
        <f>IF( OR(ISBLANK(S20:S24),ISBLANK(AQ20:AQ24), ISBLANK(X20:X24),ISBLANK(AV20:AV24)), "·", bdRateExtend( S20:S24,X20:X24, AQ20:AQ24,AV20:AV24))</f>
        <v>0</v>
      </c>
      <c r="BR20" s="50">
        <f>IF( OR(ISBLANK(S20:S24),ISBLANK(AQ20:AQ24), ISBLANK(Y20:Y24),ISBLANK(AW20:AW24)), "·", bdRateExtend( S20:S24,Y20:Y24, AQ20:AQ24,AW20:AW24))</f>
        <v>4.2047465876282608E-3</v>
      </c>
      <c r="BS20" s="50">
        <f>IF( OR(ISBLANK(S20:S24),ISBLANK(AQ20:AQ24), ISBLANK(Z20:Z24),ISBLANK(AX20:AX24)), "·", bdRateExtend( S20:S24,Z20:Z24, AQ20:AQ24,AX20:AX24))</f>
        <v>-1.2854463074377209E-2</v>
      </c>
      <c r="BT20" s="50">
        <f>IF( OR(ISBLANK(S20:S24),ISBLANK(AQ20:AQ24), ISBLANK(AA20:AA24),ISBLANK(AY20:AY24)), "·", bdRateExtend( S20:S24,AA20:AA24, AQ20:AQ24,AY20:AY24))</f>
        <v>-2.0422756595223635E-2</v>
      </c>
    </row>
    <row r="21" spans="1:72" outlineLevel="1" x14ac:dyDescent="0.2">
      <c r="A21" s="54"/>
      <c r="B21" s="54" t="s">
        <v>68</v>
      </c>
      <c r="C21" s="10" t="s">
        <v>231</v>
      </c>
      <c r="D21" s="54">
        <v>250602891</v>
      </c>
      <c r="E21" s="10">
        <v>10</v>
      </c>
      <c r="F21" s="10">
        <v>32</v>
      </c>
      <c r="G21" s="10">
        <v>50</v>
      </c>
      <c r="I21" s="11">
        <f t="shared" si="0"/>
        <v>7.6039124999999999</v>
      </c>
      <c r="J21" s="12">
        <f t="shared" si="1"/>
        <v>1.9419185391600292E-2</v>
      </c>
      <c r="K21" s="12">
        <f t="shared" si="2"/>
        <v>9.0531437644109213E-3</v>
      </c>
      <c r="L21" s="12">
        <f t="shared" si="3"/>
        <v>5.2259572695831352E-3</v>
      </c>
      <c r="M21" s="12">
        <f t="shared" si="4"/>
        <v>1.0366041627189369E-2</v>
      </c>
      <c r="N21" s="54">
        <f t="shared" si="5"/>
        <v>2268744</v>
      </c>
      <c r="O21" s="12">
        <v>16</v>
      </c>
      <c r="P21" s="13">
        <v>31547254</v>
      </c>
      <c r="Q21" s="13">
        <v>985851.6875</v>
      </c>
      <c r="R21" s="13">
        <v>32992.53125</v>
      </c>
      <c r="S21" s="14">
        <v>4866504</v>
      </c>
      <c r="T21" s="14">
        <v>1309640</v>
      </c>
      <c r="U21" s="14">
        <v>959104</v>
      </c>
      <c r="V21" s="14">
        <v>2597760</v>
      </c>
      <c r="W21" s="15">
        <v>68.684825000000004</v>
      </c>
      <c r="X21" s="15">
        <v>70.763768999999996</v>
      </c>
      <c r="Y21" s="15">
        <v>32.498399999999997</v>
      </c>
      <c r="Z21" s="15">
        <v>40.653236999999997</v>
      </c>
      <c r="AA21" s="15">
        <v>39.544649999999997</v>
      </c>
      <c r="AB21" s="16">
        <v>0</v>
      </c>
      <c r="AC21" s="16">
        <v>0</v>
      </c>
      <c r="AD21" s="16">
        <v>64.718000000000004</v>
      </c>
      <c r="AE21" s="16">
        <v>0</v>
      </c>
      <c r="AG21" s="11">
        <f t="shared" si="6"/>
        <v>7.6039124999999999</v>
      </c>
      <c r="AH21" s="12">
        <f t="shared" si="7"/>
        <v>1.9419185391600292E-2</v>
      </c>
      <c r="AI21" s="12">
        <f t="shared" si="8"/>
        <v>9.0531437644109213E-3</v>
      </c>
      <c r="AJ21" s="12">
        <f t="shared" si="9"/>
        <v>5.2259572695831352E-3</v>
      </c>
      <c r="AK21" s="12">
        <f t="shared" si="10"/>
        <v>1.0366041627189369E-2</v>
      </c>
      <c r="AL21" s="54">
        <f t="shared" si="11"/>
        <v>2268744</v>
      </c>
      <c r="AM21" s="12">
        <v>16</v>
      </c>
      <c r="AN21" s="13">
        <v>31547254</v>
      </c>
      <c r="AO21" s="13">
        <v>985851.6875</v>
      </c>
      <c r="AP21" s="13">
        <v>32992.53125</v>
      </c>
      <c r="AQ21" s="13">
        <v>4866504</v>
      </c>
      <c r="AR21" s="13">
        <v>1309640</v>
      </c>
      <c r="AS21" s="13">
        <v>959104</v>
      </c>
      <c r="AT21" s="13">
        <v>2597760</v>
      </c>
      <c r="AU21" s="13">
        <v>68.684825000000004</v>
      </c>
      <c r="AV21" s="13">
        <v>70.763768999999996</v>
      </c>
      <c r="AW21" s="13">
        <v>32.517578</v>
      </c>
      <c r="AX21" s="13">
        <v>40.665318999999997</v>
      </c>
      <c r="AY21" s="13">
        <v>39.568356000000001</v>
      </c>
      <c r="AZ21" s="13">
        <v>0</v>
      </c>
      <c r="BA21" s="13">
        <v>0</v>
      </c>
      <c r="BB21" s="13">
        <v>55.09</v>
      </c>
      <c r="BC21" s="13">
        <v>0</v>
      </c>
      <c r="BE21" s="51">
        <f t="shared" si="12"/>
        <v>1</v>
      </c>
      <c r="BF21" s="17">
        <f t="shared" si="13"/>
        <v>0</v>
      </c>
      <c r="BG21" s="17">
        <f t="shared" si="14"/>
        <v>0</v>
      </c>
      <c r="BH21" s="17"/>
      <c r="BJ21" s="51"/>
      <c r="BK21" s="51"/>
      <c r="BL21" s="51"/>
      <c r="BM21" s="51"/>
      <c r="BN21" s="51"/>
      <c r="BP21" s="51"/>
      <c r="BQ21" s="51"/>
      <c r="BR21" s="51"/>
      <c r="BS21" s="51"/>
      <c r="BT21" s="51"/>
    </row>
    <row r="22" spans="1:72" outlineLevel="1" x14ac:dyDescent="0.2">
      <c r="A22" s="18"/>
      <c r="B22" s="18" t="s">
        <v>68</v>
      </c>
      <c r="C22" s="19" t="s">
        <v>232</v>
      </c>
      <c r="D22" s="18">
        <v>250602891</v>
      </c>
      <c r="E22" s="19">
        <v>10</v>
      </c>
      <c r="F22" s="19">
        <v>32</v>
      </c>
      <c r="G22" s="19">
        <v>50</v>
      </c>
      <c r="I22" s="20">
        <f t="shared" si="0"/>
        <v>12.370525000000001</v>
      </c>
      <c r="J22" s="21">
        <f t="shared" si="1"/>
        <v>3.1592357009161555E-2</v>
      </c>
      <c r="K22" s="21">
        <f t="shared" si="2"/>
        <v>1.1313165577168062E-2</v>
      </c>
      <c r="L22" s="21">
        <f t="shared" si="3"/>
        <v>7.4859790823402755E-3</v>
      </c>
      <c r="M22" s="21">
        <f t="shared" si="4"/>
        <v>2.0279191431993495E-2</v>
      </c>
      <c r="N22" s="18">
        <f t="shared" si="5"/>
        <v>2835112</v>
      </c>
      <c r="O22" s="21">
        <v>16</v>
      </c>
      <c r="P22" s="22">
        <v>32778173</v>
      </c>
      <c r="Q22" s="22">
        <v>1024317.90625</v>
      </c>
      <c r="R22" s="22">
        <v>35188.46875</v>
      </c>
      <c r="S22" s="23">
        <v>7917136</v>
      </c>
      <c r="T22" s="23">
        <v>1876008</v>
      </c>
      <c r="U22" s="23">
        <v>959104</v>
      </c>
      <c r="V22" s="23">
        <v>5082024</v>
      </c>
      <c r="W22" s="24">
        <v>69.862159000000005</v>
      </c>
      <c r="X22" s="24">
        <v>72.260553000000002</v>
      </c>
      <c r="Y22" s="24">
        <v>34.237662</v>
      </c>
      <c r="Z22" s="24">
        <v>41.667447000000003</v>
      </c>
      <c r="AA22" s="24">
        <v>40.554246999999997</v>
      </c>
      <c r="AB22" s="25">
        <v>0</v>
      </c>
      <c r="AC22" s="25">
        <v>0</v>
      </c>
      <c r="AD22" s="25">
        <v>65.361999999999995</v>
      </c>
      <c r="AE22" s="25">
        <v>0</v>
      </c>
      <c r="AG22" s="20">
        <f t="shared" si="6"/>
        <v>12.370525000000001</v>
      </c>
      <c r="AH22" s="21">
        <f t="shared" si="7"/>
        <v>3.1592357009161555E-2</v>
      </c>
      <c r="AI22" s="21">
        <f t="shared" si="8"/>
        <v>1.1313165577168062E-2</v>
      </c>
      <c r="AJ22" s="21">
        <f t="shared" si="9"/>
        <v>7.4859790823402755E-3</v>
      </c>
      <c r="AK22" s="21">
        <f t="shared" si="10"/>
        <v>2.0279191431993495E-2</v>
      </c>
      <c r="AL22" s="18">
        <f t="shared" si="11"/>
        <v>2835112</v>
      </c>
      <c r="AM22" s="21">
        <v>16</v>
      </c>
      <c r="AN22" s="22">
        <v>32778173</v>
      </c>
      <c r="AO22" s="22">
        <v>1024317.90625</v>
      </c>
      <c r="AP22" s="22">
        <v>35188.46875</v>
      </c>
      <c r="AQ22" s="22">
        <v>7917136</v>
      </c>
      <c r="AR22" s="22">
        <v>1876008</v>
      </c>
      <c r="AS22" s="22">
        <v>959104</v>
      </c>
      <c r="AT22" s="22">
        <v>5082024</v>
      </c>
      <c r="AU22" s="22">
        <v>69.862159000000005</v>
      </c>
      <c r="AV22" s="22">
        <v>72.260553000000002</v>
      </c>
      <c r="AW22" s="22">
        <v>34.218375000000002</v>
      </c>
      <c r="AX22" s="22">
        <v>41.688262000000002</v>
      </c>
      <c r="AY22" s="22">
        <v>40.590234000000002</v>
      </c>
      <c r="AZ22" s="22">
        <v>0</v>
      </c>
      <c r="BA22" s="22">
        <v>0</v>
      </c>
      <c r="BB22" s="22">
        <v>58.662999999999997</v>
      </c>
      <c r="BC22" s="22">
        <v>0</v>
      </c>
      <c r="BE22" s="50">
        <f t="shared" si="12"/>
        <v>1</v>
      </c>
      <c r="BF22" s="26">
        <f t="shared" si="13"/>
        <v>0</v>
      </c>
      <c r="BG22" s="26">
        <f t="shared" si="14"/>
        <v>0</v>
      </c>
      <c r="BH22" s="26"/>
      <c r="BJ22" s="50"/>
      <c r="BK22" s="50"/>
      <c r="BL22" s="50"/>
      <c r="BM22" s="50"/>
      <c r="BN22" s="50"/>
      <c r="BP22" s="50"/>
      <c r="BQ22" s="50"/>
      <c r="BR22" s="50"/>
      <c r="BS22" s="50"/>
      <c r="BT22" s="50"/>
    </row>
    <row r="23" spans="1:72" outlineLevel="1" x14ac:dyDescent="0.2">
      <c r="A23" s="54"/>
      <c r="B23" s="54" t="s">
        <v>68</v>
      </c>
      <c r="C23" s="10" t="s">
        <v>233</v>
      </c>
      <c r="D23" s="54">
        <v>250602891</v>
      </c>
      <c r="E23" s="10">
        <v>10</v>
      </c>
      <c r="F23" s="10">
        <v>32</v>
      </c>
      <c r="G23" s="10">
        <v>50</v>
      </c>
      <c r="I23" s="11">
        <f t="shared" si="0"/>
        <v>22.0129625</v>
      </c>
      <c r="J23" s="12">
        <f t="shared" si="1"/>
        <v>5.6217611631623199E-2</v>
      </c>
      <c r="K23" s="12">
        <f t="shared" si="2"/>
        <v>1.5234588814061208E-2</v>
      </c>
      <c r="L23" s="12">
        <f t="shared" si="3"/>
        <v>1.140740231923342E-2</v>
      </c>
      <c r="M23" s="12">
        <f t="shared" si="4"/>
        <v>4.0983022817561991E-2</v>
      </c>
      <c r="N23" s="54">
        <f t="shared" si="5"/>
        <v>3817832</v>
      </c>
      <c r="O23" s="12">
        <v>16</v>
      </c>
      <c r="P23" s="13">
        <v>32789353</v>
      </c>
      <c r="Q23" s="13">
        <v>1024667.28125</v>
      </c>
      <c r="R23" s="13">
        <v>36955.375</v>
      </c>
      <c r="S23" s="14">
        <v>14088296</v>
      </c>
      <c r="T23" s="14">
        <v>2858728</v>
      </c>
      <c r="U23" s="14">
        <v>959104</v>
      </c>
      <c r="V23" s="14">
        <v>10270464</v>
      </c>
      <c r="W23" s="15">
        <v>70.885131000000001</v>
      </c>
      <c r="X23" s="15">
        <v>73.609525000000005</v>
      </c>
      <c r="Y23" s="15">
        <v>35.685465999999998</v>
      </c>
      <c r="Z23" s="15">
        <v>42.817408999999998</v>
      </c>
      <c r="AA23" s="15">
        <v>41.612730999999997</v>
      </c>
      <c r="AB23" s="16">
        <v>0</v>
      </c>
      <c r="AC23" s="16">
        <v>0</v>
      </c>
      <c r="AD23" s="16">
        <v>54.621000000000002</v>
      </c>
      <c r="AE23" s="16">
        <v>0</v>
      </c>
      <c r="AG23" s="11">
        <f t="shared" si="6"/>
        <v>22.0129625</v>
      </c>
      <c r="AH23" s="12">
        <f t="shared" si="7"/>
        <v>5.6217611631623199E-2</v>
      </c>
      <c r="AI23" s="12">
        <f t="shared" si="8"/>
        <v>1.5234588814061208E-2</v>
      </c>
      <c r="AJ23" s="12">
        <f t="shared" si="9"/>
        <v>1.140740231923342E-2</v>
      </c>
      <c r="AK23" s="12">
        <f t="shared" si="10"/>
        <v>4.0983022817561991E-2</v>
      </c>
      <c r="AL23" s="54">
        <f t="shared" si="11"/>
        <v>3817832</v>
      </c>
      <c r="AM23" s="12">
        <v>16</v>
      </c>
      <c r="AN23" s="13">
        <v>32789353</v>
      </c>
      <c r="AO23" s="13">
        <v>1024667.28125</v>
      </c>
      <c r="AP23" s="13">
        <v>36955.375</v>
      </c>
      <c r="AQ23" s="13">
        <v>14088296</v>
      </c>
      <c r="AR23" s="13">
        <v>2858728</v>
      </c>
      <c r="AS23" s="13">
        <v>959104</v>
      </c>
      <c r="AT23" s="13">
        <v>10270464</v>
      </c>
      <c r="AU23" s="13">
        <v>70.885131000000001</v>
      </c>
      <c r="AV23" s="13">
        <v>73.609525000000005</v>
      </c>
      <c r="AW23" s="13">
        <v>35.601044000000002</v>
      </c>
      <c r="AX23" s="13">
        <v>42.846409000000001</v>
      </c>
      <c r="AY23" s="13">
        <v>41.658437999999997</v>
      </c>
      <c r="AZ23" s="13">
        <v>0</v>
      </c>
      <c r="BA23" s="13">
        <v>0</v>
      </c>
      <c r="BB23" s="13">
        <v>49.731000000000002</v>
      </c>
      <c r="BC23" s="13">
        <v>0</v>
      </c>
      <c r="BE23" s="51">
        <f t="shared" si="12"/>
        <v>1</v>
      </c>
      <c r="BF23" s="17">
        <f t="shared" si="13"/>
        <v>0</v>
      </c>
      <c r="BG23" s="17">
        <f t="shared" si="14"/>
        <v>0</v>
      </c>
      <c r="BH23" s="17"/>
      <c r="BJ23" s="51"/>
      <c r="BK23" s="51"/>
      <c r="BL23" s="51"/>
      <c r="BM23" s="51"/>
      <c r="BN23" s="51"/>
      <c r="BP23" s="51"/>
      <c r="BQ23" s="51"/>
      <c r="BR23" s="51"/>
      <c r="BS23" s="51"/>
      <c r="BT23" s="51"/>
    </row>
    <row r="24" spans="1:72" outlineLevel="1" x14ac:dyDescent="0.2">
      <c r="A24" s="37"/>
      <c r="B24" s="37" t="s">
        <v>68</v>
      </c>
      <c r="C24" s="38" t="s">
        <v>234</v>
      </c>
      <c r="D24" s="37">
        <v>250602891</v>
      </c>
      <c r="E24" s="38">
        <v>10</v>
      </c>
      <c r="F24" s="38">
        <v>32</v>
      </c>
      <c r="G24" s="38">
        <v>50</v>
      </c>
      <c r="I24" s="39">
        <f t="shared" si="0"/>
        <v>38.643700000000003</v>
      </c>
      <c r="J24" s="40">
        <f t="shared" si="1"/>
        <v>9.8689875050164522E-2</v>
      </c>
      <c r="K24" s="40">
        <f t="shared" si="2"/>
        <v>2.5294297183506953E-2</v>
      </c>
      <c r="L24" s="40">
        <f t="shared" si="3"/>
        <v>1.7939010927052714E-2</v>
      </c>
      <c r="M24" s="40">
        <f t="shared" si="4"/>
        <v>7.3395577866657569E-2</v>
      </c>
      <c r="N24" s="37">
        <f t="shared" si="5"/>
        <v>6338824</v>
      </c>
      <c r="O24" s="40">
        <v>16</v>
      </c>
      <c r="P24" s="41">
        <v>31420466</v>
      </c>
      <c r="Q24" s="41">
        <v>981889.5625</v>
      </c>
      <c r="R24" s="41">
        <v>18332.15625</v>
      </c>
      <c r="S24" s="42">
        <v>24731968</v>
      </c>
      <c r="T24" s="42">
        <v>4495568</v>
      </c>
      <c r="U24" s="42">
        <v>1843256</v>
      </c>
      <c r="V24" s="42">
        <v>18393144</v>
      </c>
      <c r="W24" s="43">
        <v>71.729253</v>
      </c>
      <c r="X24" s="43">
        <v>75.633027999999996</v>
      </c>
      <c r="Y24" s="43">
        <v>36.551428000000001</v>
      </c>
      <c r="Z24" s="43">
        <v>43.594028000000002</v>
      </c>
      <c r="AA24" s="43">
        <v>42.058259</v>
      </c>
      <c r="AB24" s="44">
        <v>0</v>
      </c>
      <c r="AC24" s="44">
        <v>0</v>
      </c>
      <c r="AD24" s="44">
        <v>53.664000000000001</v>
      </c>
      <c r="AE24" s="44">
        <v>0</v>
      </c>
      <c r="AG24" s="39">
        <f t="shared" si="6"/>
        <v>38.643700000000003</v>
      </c>
      <c r="AH24" s="40">
        <f t="shared" si="7"/>
        <v>9.8689875050164522E-2</v>
      </c>
      <c r="AI24" s="40">
        <f t="shared" si="8"/>
        <v>2.5294297183506953E-2</v>
      </c>
      <c r="AJ24" s="40">
        <f t="shared" si="9"/>
        <v>1.7939010927052714E-2</v>
      </c>
      <c r="AK24" s="40">
        <f t="shared" si="10"/>
        <v>7.3395577866657569E-2</v>
      </c>
      <c r="AL24" s="37">
        <f t="shared" si="11"/>
        <v>6338824</v>
      </c>
      <c r="AM24" s="40">
        <v>16</v>
      </c>
      <c r="AN24" s="41">
        <v>31420466</v>
      </c>
      <c r="AO24" s="41">
        <v>981889.5625</v>
      </c>
      <c r="AP24" s="41">
        <v>18332.15625</v>
      </c>
      <c r="AQ24" s="41">
        <v>24731968</v>
      </c>
      <c r="AR24" s="41">
        <v>4495568</v>
      </c>
      <c r="AS24" s="41">
        <v>1843256</v>
      </c>
      <c r="AT24" s="41">
        <v>18393144</v>
      </c>
      <c r="AU24" s="41">
        <v>71.729253</v>
      </c>
      <c r="AV24" s="41">
        <v>75.633027999999996</v>
      </c>
      <c r="AW24" s="41">
        <v>36.703434000000001</v>
      </c>
      <c r="AX24" s="41">
        <v>43.682783999999998</v>
      </c>
      <c r="AY24" s="41">
        <v>42.175994000000003</v>
      </c>
      <c r="AZ24" s="41">
        <v>0</v>
      </c>
      <c r="BA24" s="41">
        <v>0</v>
      </c>
      <c r="BB24" s="41">
        <v>50.418999999999997</v>
      </c>
      <c r="BC24" s="41">
        <v>0</v>
      </c>
      <c r="BE24" s="45">
        <f t="shared" si="12"/>
        <v>1</v>
      </c>
      <c r="BF24" s="46">
        <f t="shared" si="13"/>
        <v>0</v>
      </c>
      <c r="BG24" s="46">
        <f t="shared" si="14"/>
        <v>0</v>
      </c>
      <c r="BH24" s="46"/>
      <c r="BJ24" s="45"/>
      <c r="BK24" s="45"/>
      <c r="BL24" s="45"/>
      <c r="BM24" s="45"/>
      <c r="BN24" s="45"/>
      <c r="BP24" s="45"/>
      <c r="BQ24" s="45"/>
      <c r="BR24" s="45"/>
      <c r="BS24" s="45"/>
      <c r="BT24" s="45"/>
    </row>
    <row r="25" spans="1:72" x14ac:dyDescent="0.2">
      <c r="A25" s="54" t="s">
        <v>235</v>
      </c>
      <c r="B25" s="54" t="s">
        <v>71</v>
      </c>
      <c r="C25" s="10" t="s">
        <v>230</v>
      </c>
      <c r="D25" s="54">
        <v>250294582</v>
      </c>
      <c r="E25" s="10">
        <v>10</v>
      </c>
      <c r="F25" s="10">
        <v>32</v>
      </c>
      <c r="G25" s="10">
        <v>30</v>
      </c>
      <c r="I25" s="11">
        <f t="shared" si="0"/>
        <v>4.3768874999999996</v>
      </c>
      <c r="J25" s="12">
        <f t="shared" si="1"/>
        <v>1.8652740953058265E-2</v>
      </c>
      <c r="K25" s="12">
        <f t="shared" si="2"/>
        <v>6.5152349162715794E-3</v>
      </c>
      <c r="L25" s="12">
        <f t="shared" si="3"/>
        <v>3.729077923069066E-3</v>
      </c>
      <c r="M25" s="12">
        <f t="shared" si="4"/>
        <v>1.2137506036786686E-2</v>
      </c>
      <c r="N25" s="54">
        <f t="shared" si="5"/>
        <v>1630728</v>
      </c>
      <c r="O25" s="12">
        <v>16</v>
      </c>
      <c r="P25" s="13">
        <v>23138864</v>
      </c>
      <c r="Q25" s="13">
        <v>723089.5</v>
      </c>
      <c r="R25" s="13">
        <v>14043.03125</v>
      </c>
      <c r="S25" s="14">
        <v>4668680</v>
      </c>
      <c r="T25" s="14">
        <v>933368</v>
      </c>
      <c r="U25" s="14">
        <v>697360</v>
      </c>
      <c r="V25" s="14">
        <v>3037952</v>
      </c>
      <c r="W25" s="15">
        <v>66.207505999999995</v>
      </c>
      <c r="X25" s="15">
        <v>67.988172000000006</v>
      </c>
      <c r="Y25" s="15">
        <v>27.335397</v>
      </c>
      <c r="Z25" s="15">
        <v>33.163116000000002</v>
      </c>
      <c r="AA25" s="15">
        <v>32.596747000000001</v>
      </c>
      <c r="AB25" s="16">
        <v>0</v>
      </c>
      <c r="AC25" s="16">
        <v>0</v>
      </c>
      <c r="AD25" s="16">
        <v>41.76</v>
      </c>
      <c r="AE25" s="16">
        <v>0</v>
      </c>
      <c r="AG25" s="11">
        <f t="shared" si="6"/>
        <v>4.3768874999999996</v>
      </c>
      <c r="AH25" s="12">
        <f t="shared" si="7"/>
        <v>1.8652740953058265E-2</v>
      </c>
      <c r="AI25" s="12">
        <f t="shared" si="8"/>
        <v>6.5152349162715794E-3</v>
      </c>
      <c r="AJ25" s="12">
        <f t="shared" si="9"/>
        <v>3.729077923069066E-3</v>
      </c>
      <c r="AK25" s="12">
        <f t="shared" si="10"/>
        <v>1.2137506036786686E-2</v>
      </c>
      <c r="AL25" s="54">
        <f t="shared" si="11"/>
        <v>1630728</v>
      </c>
      <c r="AM25" s="12">
        <v>16</v>
      </c>
      <c r="AN25" s="13">
        <v>23138864</v>
      </c>
      <c r="AO25" s="13">
        <v>723089.5</v>
      </c>
      <c r="AP25" s="13">
        <v>14043.03125</v>
      </c>
      <c r="AQ25" s="13">
        <v>4668680</v>
      </c>
      <c r="AR25" s="13">
        <v>933368</v>
      </c>
      <c r="AS25" s="13">
        <v>697360</v>
      </c>
      <c r="AT25" s="13">
        <v>3037952</v>
      </c>
      <c r="AU25" s="13">
        <v>66.207505999999995</v>
      </c>
      <c r="AV25" s="13">
        <v>67.988172000000006</v>
      </c>
      <c r="AW25" s="13">
        <v>27.335205999999999</v>
      </c>
      <c r="AX25" s="13">
        <v>33.161244000000003</v>
      </c>
      <c r="AY25" s="13">
        <v>32.595128000000003</v>
      </c>
      <c r="AZ25" s="13">
        <v>0</v>
      </c>
      <c r="BA25" s="13">
        <v>0</v>
      </c>
      <c r="BB25" s="13">
        <v>40.783999999999999</v>
      </c>
      <c r="BC25" s="13">
        <v>0</v>
      </c>
      <c r="BE25" s="51">
        <f t="shared" si="12"/>
        <v>1</v>
      </c>
      <c r="BF25" s="17">
        <f t="shared" si="13"/>
        <v>0</v>
      </c>
      <c r="BG25" s="17">
        <f t="shared" si="14"/>
        <v>0</v>
      </c>
      <c r="BH25" s="17">
        <f t="array" ref="BH25">AVERAGE(AL25:AL29/AQ25:AQ29) - AVERAGE(N25:N29/S25:S29)</f>
        <v>0</v>
      </c>
      <c r="BJ25" s="51">
        <f>IF( OR(ISBLANK(N25:N29),ISBLANK(AL25:AL29), ISBLANK(W25:W29),ISBLANK(AU25:AU29)), "·", bdRateExtend( N25:N29,W25:W29, AL25:AL29,AU25:AU29))</f>
        <v>0</v>
      </c>
      <c r="BK25" s="51">
        <f>IF( OR(ISBLANK(N25:N29),ISBLANK(AL25:AL29), ISBLANK(X25:X29),ISBLANK(AV25:AV29)), "·", bdRateExtend( N25:N29,X25:X29, AL25:AL29,AV25:AV29))</f>
        <v>0</v>
      </c>
      <c r="BL25" s="51">
        <f>IF( OR(ISBLANK(V25:V29),ISBLANK(AT25:AT29), ISBLANK(Y25:Y29),ISBLANK(AW25:AW29)), "·", bdRateExtend( V25:V29,Y25:Y29, AT25:AT29,AW25:AW29))</f>
        <v>3.3049312698607558E-4</v>
      </c>
      <c r="BM25" s="51">
        <f>IF( OR(ISBLANK(V25:V29),ISBLANK(AT25:AT29), ISBLANK(Z25:Z29),ISBLANK(AX25:AX29)), "·", bdRateExtend( V25:V29,Z25:Z29, AT25:AT29,AX25:AX29))</f>
        <v>3.8472136200828899E-4</v>
      </c>
      <c r="BN25" s="51">
        <f>IF( OR(ISBLANK(V25:V29),ISBLANK(AT25:AT29), ISBLANK(AA25:AA29),ISBLANK(AY25:AY29)), "·", bdRateExtend( V25:V29,AA25:AA29, AT25:AT29,AY25:AY29))</f>
        <v>3.1033073177288983E-4</v>
      </c>
      <c r="BP25" s="51">
        <f>IF( OR(ISBLANK(S25:S29),ISBLANK(AQ25:AQ29), ISBLANK(W25:W29),ISBLANK(AU25:AU29)), "·", bdRateExtend( S25:S29,W25:W29, AQ25:AQ29,AU25:AU29))</f>
        <v>0</v>
      </c>
      <c r="BQ25" s="51">
        <f>IF( OR(ISBLANK(S25:S29),ISBLANK(AQ25:AQ29), ISBLANK(X25:X29),ISBLANK(AV25:AV29)), "·", bdRateExtend( S25:S29,X25:X29, AQ25:AQ29,AV25:AV29))</f>
        <v>0</v>
      </c>
      <c r="BR25" s="51">
        <f>IF( OR(ISBLANK(S25:S29),ISBLANK(AQ25:AQ29), ISBLANK(Y25:Y29),ISBLANK(AW25:AW29)), "·", bdRateExtend( S25:S29,Y25:Y29, AQ25:AQ29,AW25:AW29))</f>
        <v>3.0815306079712279E-4</v>
      </c>
      <c r="BS25" s="51">
        <f>IF( OR(ISBLANK(S25:S29),ISBLANK(AQ25:AQ29), ISBLANK(Z25:Z29),ISBLANK(AX25:AX29)), "·", bdRateExtend( S25:S29,Z25:Z29, AQ25:AQ29,AX25:AX29))</f>
        <v>3.2643892905337424E-4</v>
      </c>
      <c r="BT25" s="51">
        <f>IF( OR(ISBLANK(S25:S29),ISBLANK(AQ25:AQ29), ISBLANK(AA25:AA29),ISBLANK(AY25:AY29)), "·", bdRateExtend( S25:S29,AA25:AA29, AQ25:AQ29,AY25:AY29))</f>
        <v>2.596019610896505E-4</v>
      </c>
    </row>
    <row r="26" spans="1:72" outlineLevel="1" x14ac:dyDescent="0.2">
      <c r="A26" s="18"/>
      <c r="B26" s="18" t="s">
        <v>71</v>
      </c>
      <c r="C26" s="19" t="s">
        <v>231</v>
      </c>
      <c r="D26" s="18">
        <v>250294582</v>
      </c>
      <c r="E26" s="19">
        <v>10</v>
      </c>
      <c r="F26" s="19">
        <v>32</v>
      </c>
      <c r="G26" s="19">
        <v>30</v>
      </c>
      <c r="I26" s="20">
        <f t="shared" si="0"/>
        <v>7.5035625000000001</v>
      </c>
      <c r="J26" s="21">
        <f t="shared" si="1"/>
        <v>3.1977519992821897E-2</v>
      </c>
      <c r="K26" s="21">
        <f t="shared" si="2"/>
        <v>8.0376649942826162E-3</v>
      </c>
      <c r="L26" s="21">
        <f t="shared" si="3"/>
        <v>5.2515080010801032E-3</v>
      </c>
      <c r="M26" s="21">
        <f t="shared" si="4"/>
        <v>2.3939854998539283E-2</v>
      </c>
      <c r="N26" s="18">
        <f t="shared" si="5"/>
        <v>2011784</v>
      </c>
      <c r="O26" s="21">
        <v>16</v>
      </c>
      <c r="P26" s="22">
        <v>24580782</v>
      </c>
      <c r="Q26" s="22">
        <v>768149.4375</v>
      </c>
      <c r="R26" s="22">
        <v>17704.59375</v>
      </c>
      <c r="S26" s="23">
        <v>8003800</v>
      </c>
      <c r="T26" s="23">
        <v>1314424</v>
      </c>
      <c r="U26" s="23">
        <v>697360</v>
      </c>
      <c r="V26" s="23">
        <v>5992016</v>
      </c>
      <c r="W26" s="24">
        <v>67.944759000000005</v>
      </c>
      <c r="X26" s="24">
        <v>69.940765999999996</v>
      </c>
      <c r="Y26" s="24">
        <v>29.714928</v>
      </c>
      <c r="Z26" s="24">
        <v>34.341006</v>
      </c>
      <c r="AA26" s="24">
        <v>33.890861999999998</v>
      </c>
      <c r="AB26" s="25">
        <v>0</v>
      </c>
      <c r="AC26" s="25">
        <v>0</v>
      </c>
      <c r="AD26" s="25">
        <v>48.055</v>
      </c>
      <c r="AE26" s="25">
        <v>0</v>
      </c>
      <c r="AG26" s="20">
        <f t="shared" si="6"/>
        <v>7.5035625000000001</v>
      </c>
      <c r="AH26" s="21">
        <f t="shared" si="7"/>
        <v>3.1977519992821897E-2</v>
      </c>
      <c r="AI26" s="21">
        <f t="shared" si="8"/>
        <v>8.0376649942826162E-3</v>
      </c>
      <c r="AJ26" s="21">
        <f t="shared" si="9"/>
        <v>5.2515080010801032E-3</v>
      </c>
      <c r="AK26" s="21">
        <f t="shared" si="10"/>
        <v>2.3939854998539283E-2</v>
      </c>
      <c r="AL26" s="18">
        <f t="shared" si="11"/>
        <v>2011784</v>
      </c>
      <c r="AM26" s="21">
        <v>16</v>
      </c>
      <c r="AN26" s="22">
        <v>24580782</v>
      </c>
      <c r="AO26" s="22">
        <v>768149.4375</v>
      </c>
      <c r="AP26" s="22">
        <v>17704.59375</v>
      </c>
      <c r="AQ26" s="22">
        <v>8003800</v>
      </c>
      <c r="AR26" s="22">
        <v>1314424</v>
      </c>
      <c r="AS26" s="22">
        <v>697360</v>
      </c>
      <c r="AT26" s="22">
        <v>5992016</v>
      </c>
      <c r="AU26" s="22">
        <v>67.944759000000005</v>
      </c>
      <c r="AV26" s="22">
        <v>69.940765999999996</v>
      </c>
      <c r="AW26" s="22">
        <v>29.714815999999999</v>
      </c>
      <c r="AX26" s="22">
        <v>34.339669000000001</v>
      </c>
      <c r="AY26" s="22">
        <v>33.889671999999997</v>
      </c>
      <c r="AZ26" s="22">
        <v>0</v>
      </c>
      <c r="BA26" s="22">
        <v>0</v>
      </c>
      <c r="BB26" s="22">
        <v>49.814</v>
      </c>
      <c r="BC26" s="22">
        <v>0</v>
      </c>
      <c r="BE26" s="50">
        <f t="shared" si="12"/>
        <v>1</v>
      </c>
      <c r="BF26" s="26">
        <f t="shared" si="13"/>
        <v>0</v>
      </c>
      <c r="BG26" s="26">
        <f t="shared" si="14"/>
        <v>0</v>
      </c>
      <c r="BH26" s="26"/>
      <c r="BJ26" s="50"/>
      <c r="BK26" s="50"/>
      <c r="BL26" s="50"/>
      <c r="BM26" s="50"/>
      <c r="BN26" s="50"/>
      <c r="BP26" s="50"/>
      <c r="BQ26" s="50"/>
      <c r="BR26" s="50"/>
      <c r="BS26" s="50"/>
      <c r="BT26" s="50"/>
    </row>
    <row r="27" spans="1:72" outlineLevel="1" x14ac:dyDescent="0.2">
      <c r="A27" s="54"/>
      <c r="B27" s="54" t="s">
        <v>71</v>
      </c>
      <c r="C27" s="10" t="s">
        <v>232</v>
      </c>
      <c r="D27" s="54">
        <v>250294582</v>
      </c>
      <c r="E27" s="10">
        <v>10</v>
      </c>
      <c r="F27" s="10">
        <v>32</v>
      </c>
      <c r="G27" s="10">
        <v>30</v>
      </c>
      <c r="I27" s="11">
        <f t="shared" si="0"/>
        <v>13.201320000000001</v>
      </c>
      <c r="J27" s="12">
        <f t="shared" si="1"/>
        <v>5.6259340044364205E-2</v>
      </c>
      <c r="K27" s="12">
        <f t="shared" si="2"/>
        <v>1.0337323242578219E-2</v>
      </c>
      <c r="L27" s="12">
        <f t="shared" si="3"/>
        <v>7.5511662493757056E-3</v>
      </c>
      <c r="M27" s="12">
        <f t="shared" si="4"/>
        <v>4.5922016801785988E-2</v>
      </c>
      <c r="N27" s="54">
        <f t="shared" si="5"/>
        <v>2587376</v>
      </c>
      <c r="O27" s="12">
        <v>16</v>
      </c>
      <c r="P27" s="13">
        <v>24854017</v>
      </c>
      <c r="Q27" s="13">
        <v>776688.03125</v>
      </c>
      <c r="R27" s="13">
        <v>18708.96875</v>
      </c>
      <c r="S27" s="14">
        <v>14081408</v>
      </c>
      <c r="T27" s="14">
        <v>1890016</v>
      </c>
      <c r="U27" s="14">
        <v>697360</v>
      </c>
      <c r="V27" s="14">
        <v>11494032</v>
      </c>
      <c r="W27" s="15">
        <v>69.264531000000005</v>
      </c>
      <c r="X27" s="15">
        <v>71.652259000000001</v>
      </c>
      <c r="Y27" s="15">
        <v>32.213558999999997</v>
      </c>
      <c r="Z27" s="15">
        <v>35.579383999999997</v>
      </c>
      <c r="AA27" s="15">
        <v>35.201922000000003</v>
      </c>
      <c r="AB27" s="16">
        <v>0</v>
      </c>
      <c r="AC27" s="16">
        <v>0</v>
      </c>
      <c r="AD27" s="16">
        <v>52.183</v>
      </c>
      <c r="AE27" s="16">
        <v>0</v>
      </c>
      <c r="AG27" s="11">
        <f t="shared" si="6"/>
        <v>13.201320000000001</v>
      </c>
      <c r="AH27" s="12">
        <f t="shared" si="7"/>
        <v>5.6259340044364205E-2</v>
      </c>
      <c r="AI27" s="12">
        <f t="shared" si="8"/>
        <v>1.0337323242578219E-2</v>
      </c>
      <c r="AJ27" s="12">
        <f t="shared" si="9"/>
        <v>7.5511662493757056E-3</v>
      </c>
      <c r="AK27" s="12">
        <f t="shared" si="10"/>
        <v>4.5922016801785988E-2</v>
      </c>
      <c r="AL27" s="54">
        <f t="shared" si="11"/>
        <v>2587376</v>
      </c>
      <c r="AM27" s="12">
        <v>16</v>
      </c>
      <c r="AN27" s="13">
        <v>24854017</v>
      </c>
      <c r="AO27" s="13">
        <v>776688.03125</v>
      </c>
      <c r="AP27" s="13">
        <v>18708.96875</v>
      </c>
      <c r="AQ27" s="13">
        <v>14081408</v>
      </c>
      <c r="AR27" s="13">
        <v>1890016</v>
      </c>
      <c r="AS27" s="13">
        <v>697360</v>
      </c>
      <c r="AT27" s="13">
        <v>11494032</v>
      </c>
      <c r="AU27" s="13">
        <v>69.264531000000005</v>
      </c>
      <c r="AV27" s="13">
        <v>71.652259000000001</v>
      </c>
      <c r="AW27" s="13">
        <v>32.212941000000001</v>
      </c>
      <c r="AX27" s="13">
        <v>35.578634000000001</v>
      </c>
      <c r="AY27" s="13">
        <v>35.201481000000001</v>
      </c>
      <c r="AZ27" s="13">
        <v>0</v>
      </c>
      <c r="BA27" s="13">
        <v>0</v>
      </c>
      <c r="BB27" s="13">
        <v>49.731999999999999</v>
      </c>
      <c r="BC27" s="13">
        <v>0</v>
      </c>
      <c r="BE27" s="51">
        <f t="shared" si="12"/>
        <v>1</v>
      </c>
      <c r="BF27" s="17">
        <f t="shared" si="13"/>
        <v>0</v>
      </c>
      <c r="BG27" s="17">
        <f t="shared" si="14"/>
        <v>0</v>
      </c>
      <c r="BH27" s="17"/>
      <c r="BJ27" s="51"/>
      <c r="BK27" s="51"/>
      <c r="BL27" s="51"/>
      <c r="BM27" s="51"/>
      <c r="BN27" s="51"/>
      <c r="BP27" s="51"/>
      <c r="BQ27" s="51"/>
      <c r="BR27" s="51"/>
      <c r="BS27" s="51"/>
      <c r="BT27" s="51"/>
    </row>
    <row r="28" spans="1:72" outlineLevel="1" x14ac:dyDescent="0.2">
      <c r="A28" s="18"/>
      <c r="B28" s="18" t="s">
        <v>71</v>
      </c>
      <c r="C28" s="19" t="s">
        <v>233</v>
      </c>
      <c r="D28" s="18">
        <v>250294582</v>
      </c>
      <c r="E28" s="19">
        <v>10</v>
      </c>
      <c r="F28" s="19">
        <v>32</v>
      </c>
      <c r="G28" s="19">
        <v>30</v>
      </c>
      <c r="I28" s="20">
        <f t="shared" si="0"/>
        <v>24.464745000000001</v>
      </c>
      <c r="J28" s="21">
        <f t="shared" si="1"/>
        <v>0.10426005945266525</v>
      </c>
      <c r="K28" s="21">
        <f t="shared" si="2"/>
        <v>1.4190159337927659E-2</v>
      </c>
      <c r="L28" s="21">
        <f t="shared" si="3"/>
        <v>1.1404002344725144E-2</v>
      </c>
      <c r="M28" s="21">
        <f t="shared" si="4"/>
        <v>9.0069900114737603E-2</v>
      </c>
      <c r="N28" s="18">
        <f t="shared" si="5"/>
        <v>3551720</v>
      </c>
      <c r="O28" s="21">
        <v>16</v>
      </c>
      <c r="P28" s="22">
        <v>25513364</v>
      </c>
      <c r="Q28" s="22">
        <v>797292.625</v>
      </c>
      <c r="R28" s="22">
        <v>20938.9375</v>
      </c>
      <c r="S28" s="23">
        <v>26095728</v>
      </c>
      <c r="T28" s="23">
        <v>2854360</v>
      </c>
      <c r="U28" s="23">
        <v>697360</v>
      </c>
      <c r="V28" s="23">
        <v>22544008</v>
      </c>
      <c r="W28" s="24">
        <v>70.431272000000007</v>
      </c>
      <c r="X28" s="24">
        <v>72.970453000000006</v>
      </c>
      <c r="Y28" s="24">
        <v>34.907536999999998</v>
      </c>
      <c r="Z28" s="24">
        <v>37.368341000000001</v>
      </c>
      <c r="AA28" s="24">
        <v>36.934368999999997</v>
      </c>
      <c r="AB28" s="25">
        <v>0</v>
      </c>
      <c r="AC28" s="25">
        <v>0</v>
      </c>
      <c r="AD28" s="25">
        <v>43.411999999999999</v>
      </c>
      <c r="AE28" s="25">
        <v>0</v>
      </c>
      <c r="AG28" s="20">
        <f t="shared" si="6"/>
        <v>24.464745000000001</v>
      </c>
      <c r="AH28" s="21">
        <f t="shared" si="7"/>
        <v>0.10426005945266525</v>
      </c>
      <c r="AI28" s="21">
        <f t="shared" si="8"/>
        <v>1.4190159337927659E-2</v>
      </c>
      <c r="AJ28" s="21">
        <f t="shared" si="9"/>
        <v>1.1404002344725144E-2</v>
      </c>
      <c r="AK28" s="21">
        <f t="shared" si="10"/>
        <v>9.0069900114737603E-2</v>
      </c>
      <c r="AL28" s="18">
        <f t="shared" si="11"/>
        <v>3551720</v>
      </c>
      <c r="AM28" s="21">
        <v>16</v>
      </c>
      <c r="AN28" s="22">
        <v>25513364</v>
      </c>
      <c r="AO28" s="22">
        <v>797292.625</v>
      </c>
      <c r="AP28" s="22">
        <v>20938.9375</v>
      </c>
      <c r="AQ28" s="22">
        <v>26095728</v>
      </c>
      <c r="AR28" s="22">
        <v>2854360</v>
      </c>
      <c r="AS28" s="22">
        <v>697360</v>
      </c>
      <c r="AT28" s="22">
        <v>22544008</v>
      </c>
      <c r="AU28" s="22">
        <v>70.431272000000007</v>
      </c>
      <c r="AV28" s="22">
        <v>72.970453000000006</v>
      </c>
      <c r="AW28" s="22">
        <v>34.903824999999998</v>
      </c>
      <c r="AX28" s="22">
        <v>37.367797000000003</v>
      </c>
      <c r="AY28" s="22">
        <v>36.933762000000002</v>
      </c>
      <c r="AZ28" s="22">
        <v>0</v>
      </c>
      <c r="BA28" s="22">
        <v>0</v>
      </c>
      <c r="BB28" s="22">
        <v>42.637999999999998</v>
      </c>
      <c r="BC28" s="22">
        <v>0</v>
      </c>
      <c r="BE28" s="50">
        <f t="shared" si="12"/>
        <v>1</v>
      </c>
      <c r="BF28" s="26">
        <f t="shared" si="13"/>
        <v>0</v>
      </c>
      <c r="BG28" s="26">
        <f t="shared" si="14"/>
        <v>0</v>
      </c>
      <c r="BH28" s="26"/>
      <c r="BJ28" s="50"/>
      <c r="BK28" s="50"/>
      <c r="BL28" s="50"/>
      <c r="BM28" s="50"/>
      <c r="BN28" s="50"/>
      <c r="BP28" s="50"/>
      <c r="BQ28" s="50"/>
      <c r="BR28" s="50"/>
      <c r="BS28" s="50"/>
      <c r="BT28" s="50"/>
    </row>
    <row r="29" spans="1:72" outlineLevel="1" x14ac:dyDescent="0.2">
      <c r="A29" s="27"/>
      <c r="B29" s="27" t="s">
        <v>71</v>
      </c>
      <c r="C29" s="28" t="s">
        <v>234</v>
      </c>
      <c r="D29" s="27">
        <v>250294582</v>
      </c>
      <c r="E29" s="28">
        <v>10</v>
      </c>
      <c r="F29" s="28">
        <v>32</v>
      </c>
      <c r="G29" s="28">
        <v>30</v>
      </c>
      <c r="I29" s="29">
        <f t="shared" si="0"/>
        <v>44.187779999999997</v>
      </c>
      <c r="J29" s="30">
        <f t="shared" si="1"/>
        <v>0.18831263395066219</v>
      </c>
      <c r="K29" s="30">
        <f t="shared" si="2"/>
        <v>2.2930420443539604E-2</v>
      </c>
      <c r="L29" s="30">
        <f t="shared" si="3"/>
        <v>1.7641740243502353E-2</v>
      </c>
      <c r="M29" s="30">
        <f t="shared" si="4"/>
        <v>0.16538221350712257</v>
      </c>
      <c r="N29" s="27">
        <f t="shared" si="5"/>
        <v>5739360</v>
      </c>
      <c r="O29" s="30">
        <v>16</v>
      </c>
      <c r="P29" s="31">
        <v>24573689</v>
      </c>
      <c r="Q29" s="31">
        <v>767927.78125</v>
      </c>
      <c r="R29" s="31">
        <v>9762.53125</v>
      </c>
      <c r="S29" s="32">
        <v>47133632</v>
      </c>
      <c r="T29" s="32">
        <v>4415632</v>
      </c>
      <c r="U29" s="32">
        <v>1323728</v>
      </c>
      <c r="V29" s="32">
        <v>41394272</v>
      </c>
      <c r="W29" s="33">
        <v>71.151606000000001</v>
      </c>
      <c r="X29" s="33">
        <v>74.903306000000001</v>
      </c>
      <c r="Y29" s="33">
        <v>37.339855999999997</v>
      </c>
      <c r="Z29" s="33">
        <v>39.402506000000002</v>
      </c>
      <c r="AA29" s="33">
        <v>38.756596999999999</v>
      </c>
      <c r="AB29" s="34">
        <v>0</v>
      </c>
      <c r="AC29" s="34">
        <v>0</v>
      </c>
      <c r="AD29" s="34">
        <v>44.408999999999999</v>
      </c>
      <c r="AE29" s="34">
        <v>0</v>
      </c>
      <c r="AG29" s="29">
        <f t="shared" si="6"/>
        <v>44.187779999999997</v>
      </c>
      <c r="AH29" s="30">
        <f t="shared" si="7"/>
        <v>0.18831263395066219</v>
      </c>
      <c r="AI29" s="30">
        <f t="shared" si="8"/>
        <v>2.2930420443539604E-2</v>
      </c>
      <c r="AJ29" s="30">
        <f t="shared" si="9"/>
        <v>1.7641740243502353E-2</v>
      </c>
      <c r="AK29" s="30">
        <f t="shared" si="10"/>
        <v>0.16538221350712257</v>
      </c>
      <c r="AL29" s="27">
        <f t="shared" si="11"/>
        <v>5739360</v>
      </c>
      <c r="AM29" s="30">
        <v>16</v>
      </c>
      <c r="AN29" s="31">
        <v>24573689</v>
      </c>
      <c r="AO29" s="31">
        <v>767927.78125</v>
      </c>
      <c r="AP29" s="31">
        <v>9762.53125</v>
      </c>
      <c r="AQ29" s="31">
        <v>47133632</v>
      </c>
      <c r="AR29" s="31">
        <v>4415632</v>
      </c>
      <c r="AS29" s="31">
        <v>1323728</v>
      </c>
      <c r="AT29" s="31">
        <v>41394272</v>
      </c>
      <c r="AU29" s="31">
        <v>71.151606000000001</v>
      </c>
      <c r="AV29" s="31">
        <v>74.903306000000001</v>
      </c>
      <c r="AW29" s="31">
        <v>37.339675</v>
      </c>
      <c r="AX29" s="31">
        <v>39.402444000000003</v>
      </c>
      <c r="AY29" s="31">
        <v>38.757331000000001</v>
      </c>
      <c r="AZ29" s="31">
        <v>0</v>
      </c>
      <c r="BA29" s="31">
        <v>0</v>
      </c>
      <c r="BB29" s="31">
        <v>44.433999999999997</v>
      </c>
      <c r="BC29" s="31">
        <v>0</v>
      </c>
      <c r="BE29" s="35">
        <f t="shared" si="12"/>
        <v>1</v>
      </c>
      <c r="BF29" s="36">
        <f t="shared" si="13"/>
        <v>0</v>
      </c>
      <c r="BG29" s="36">
        <f t="shared" si="14"/>
        <v>0</v>
      </c>
      <c r="BH29" s="36"/>
      <c r="BJ29" s="35"/>
      <c r="BK29" s="35"/>
      <c r="BL29" s="35"/>
      <c r="BM29" s="35"/>
      <c r="BN29" s="35"/>
      <c r="BP29" s="35"/>
      <c r="BQ29" s="35"/>
      <c r="BR29" s="35"/>
      <c r="BS29" s="35"/>
      <c r="BT29" s="35"/>
    </row>
    <row r="30" spans="1:72" x14ac:dyDescent="0.2">
      <c r="A30" s="18" t="s">
        <v>236</v>
      </c>
      <c r="B30" s="18" t="s">
        <v>75</v>
      </c>
      <c r="C30" s="19" t="s">
        <v>230</v>
      </c>
      <c r="D30" s="18">
        <v>375422539</v>
      </c>
      <c r="E30" s="19">
        <v>11</v>
      </c>
      <c r="F30" s="19">
        <v>32</v>
      </c>
      <c r="G30" s="19">
        <v>30</v>
      </c>
      <c r="I30" s="20">
        <f t="shared" si="0"/>
        <v>5.7380174999999998</v>
      </c>
      <c r="J30" s="21">
        <f t="shared" si="1"/>
        <v>1.6303102142729901E-2</v>
      </c>
      <c r="K30" s="21">
        <f t="shared" si="2"/>
        <v>9.9348750075977724E-3</v>
      </c>
      <c r="L30" s="21">
        <f t="shared" si="3"/>
        <v>6.1528111928303804E-3</v>
      </c>
      <c r="M30" s="21">
        <f t="shared" si="4"/>
        <v>6.3682271351321292E-3</v>
      </c>
      <c r="N30" s="18">
        <f t="shared" si="5"/>
        <v>3729776</v>
      </c>
      <c r="O30" s="21">
        <v>16</v>
      </c>
      <c r="P30" s="22">
        <v>84194687</v>
      </c>
      <c r="Q30" s="22">
        <v>2631083.96875</v>
      </c>
      <c r="R30" s="22">
        <v>31462.6875</v>
      </c>
      <c r="S30" s="23">
        <v>6120552</v>
      </c>
      <c r="T30" s="23">
        <v>2309904</v>
      </c>
      <c r="U30" s="23">
        <v>1419872</v>
      </c>
      <c r="V30" s="23">
        <v>2390776</v>
      </c>
      <c r="W30" s="24">
        <v>73.452546999999996</v>
      </c>
      <c r="X30" s="24">
        <v>75.663180999999994</v>
      </c>
      <c r="Y30" s="24">
        <v>34.728262999999998</v>
      </c>
      <c r="Z30" s="24">
        <v>42.120178000000003</v>
      </c>
      <c r="AA30" s="24">
        <v>43.745688000000001</v>
      </c>
      <c r="AB30" s="25">
        <v>0</v>
      </c>
      <c r="AC30" s="25">
        <v>0</v>
      </c>
      <c r="AD30" s="25">
        <v>143.63399999999999</v>
      </c>
      <c r="AE30" s="25">
        <v>0</v>
      </c>
      <c r="AG30" s="20">
        <f t="shared" si="6"/>
        <v>5.7380174999999998</v>
      </c>
      <c r="AH30" s="21">
        <f t="shared" si="7"/>
        <v>1.6303102142729901E-2</v>
      </c>
      <c r="AI30" s="21">
        <f t="shared" si="8"/>
        <v>9.9348750075977724E-3</v>
      </c>
      <c r="AJ30" s="21">
        <f t="shared" si="9"/>
        <v>6.1528111928303804E-3</v>
      </c>
      <c r="AK30" s="21">
        <f t="shared" si="10"/>
        <v>6.3682271351321292E-3</v>
      </c>
      <c r="AL30" s="18">
        <f t="shared" si="11"/>
        <v>3729776</v>
      </c>
      <c r="AM30" s="21">
        <v>16</v>
      </c>
      <c r="AN30" s="22">
        <v>84194687</v>
      </c>
      <c r="AO30" s="22">
        <v>2631083.96875</v>
      </c>
      <c r="AP30" s="22">
        <v>31462.6875</v>
      </c>
      <c r="AQ30" s="22">
        <v>6120552</v>
      </c>
      <c r="AR30" s="22">
        <v>2309904</v>
      </c>
      <c r="AS30" s="22">
        <v>1419872</v>
      </c>
      <c r="AT30" s="22">
        <v>2390776</v>
      </c>
      <c r="AU30" s="22">
        <v>73.452546999999996</v>
      </c>
      <c r="AV30" s="22">
        <v>75.663180999999994</v>
      </c>
      <c r="AW30" s="22">
        <v>34.724859000000002</v>
      </c>
      <c r="AX30" s="22">
        <v>42.119546999999997</v>
      </c>
      <c r="AY30" s="22">
        <v>43.744371999999998</v>
      </c>
      <c r="AZ30" s="22">
        <v>0</v>
      </c>
      <c r="BA30" s="22">
        <v>0</v>
      </c>
      <c r="BB30" s="22">
        <v>138.32300000000001</v>
      </c>
      <c r="BC30" s="22">
        <v>0</v>
      </c>
      <c r="BE30" s="50">
        <f t="shared" si="12"/>
        <v>1</v>
      </c>
      <c r="BF30" s="26">
        <f t="shared" si="13"/>
        <v>0</v>
      </c>
      <c r="BG30" s="26">
        <f t="shared" si="14"/>
        <v>0</v>
      </c>
      <c r="BH30" s="26">
        <f t="array" ref="BH30">AVERAGE(AL30:AL34/AQ30:AQ34) - AVERAGE(N30:N34/S30:S34)</f>
        <v>0</v>
      </c>
      <c r="BJ30" s="50">
        <f>IF( OR(ISBLANK(N30:N34),ISBLANK(AL30:AL34), ISBLANK(W30:W34),ISBLANK(AU30:AU34)), "·", bdRateExtend( N30:N34,W30:W34, AL30:AL34,AU30:AU34))</f>
        <v>0</v>
      </c>
      <c r="BK30" s="50">
        <f>IF( OR(ISBLANK(N30:N34),ISBLANK(AL30:AL34), ISBLANK(X30:X34),ISBLANK(AV30:AV34)), "·", bdRateExtend( N30:N34,X30:X34, AL30:AL34,AV30:AV34))</f>
        <v>0</v>
      </c>
      <c r="BL30" s="50">
        <f>IF( OR(ISBLANK(V30:V34),ISBLANK(AT30:AT34), ISBLANK(Y30:Y34),ISBLANK(AW30:AW34)), "·", bdRateExtend( V30:V34,Y30:Y34, AT30:AT34,AW30:AW34))</f>
        <v>7.9458913330054948E-4</v>
      </c>
      <c r="BM30" s="50">
        <f>IF( OR(ISBLANK(V30:V34),ISBLANK(AT30:AT34), ISBLANK(Z30:Z34),ISBLANK(AX30:AX34)), "·", bdRateExtend( V30:V34,Z30:Z34, AT30:AT34,AX30:AX34))</f>
        <v>1.2016891160859799E-4</v>
      </c>
      <c r="BN30" s="50">
        <f>IF( OR(ISBLANK(V30:V34),ISBLANK(AT30:AT34), ISBLANK(AA30:AA34),ISBLANK(AY30:AY34)), "·", bdRateExtend( V30:V34,AA30:AA34, AT30:AT34,AY30:AY34))</f>
        <v>3.272402408120989E-4</v>
      </c>
      <c r="BP30" s="50">
        <f>IF( OR(ISBLANK(S30:S34),ISBLANK(AQ30:AQ34), ISBLANK(W30:W34),ISBLANK(AU30:AU34)), "·", bdRateExtend( S30:S34,W30:W34, AQ30:AQ34,AU30:AU34))</f>
        <v>0</v>
      </c>
      <c r="BQ30" s="50">
        <f>IF( OR(ISBLANK(S30:S34),ISBLANK(AQ30:AQ34), ISBLANK(X30:X34),ISBLANK(AV30:AV34)), "·", bdRateExtend( S30:S34,X30:X34, AQ30:AQ34,AV30:AV34))</f>
        <v>0</v>
      </c>
      <c r="BR30" s="50">
        <f>IF( OR(ISBLANK(S30:S34),ISBLANK(AQ30:AQ34), ISBLANK(Y30:Y34),ISBLANK(AW30:AW34)), "·", bdRateExtend( S30:S34,Y30:Y34, AQ30:AQ34,AW30:AW34))</f>
        <v>5.9402146298692671E-4</v>
      </c>
      <c r="BS30" s="50">
        <f>IF( OR(ISBLANK(S30:S34),ISBLANK(AQ30:AQ34), ISBLANK(Z30:Z34),ISBLANK(AX30:AX34)), "·", bdRateExtend( S30:S34,Z30:Z34, AQ30:AQ34,AX30:AX34))</f>
        <v>7.4076559666291786E-5</v>
      </c>
      <c r="BT30" s="50">
        <f>IF( OR(ISBLANK(S30:S34),ISBLANK(AQ30:AQ34), ISBLANK(AA30:AA34),ISBLANK(AY30:AY34)), "·", bdRateExtend( S30:S34,AA30:AA34, AQ30:AQ34,AY30:AY34))</f>
        <v>2.3862167984400884E-4</v>
      </c>
    </row>
    <row r="31" spans="1:72" outlineLevel="1" x14ac:dyDescent="0.2">
      <c r="A31" s="54"/>
      <c r="B31" s="54" t="s">
        <v>75</v>
      </c>
      <c r="C31" s="10" t="s">
        <v>231</v>
      </c>
      <c r="D31" s="54">
        <v>375422539</v>
      </c>
      <c r="E31" s="10">
        <v>11</v>
      </c>
      <c r="F31" s="10">
        <v>32</v>
      </c>
      <c r="G31" s="10">
        <v>30</v>
      </c>
      <c r="I31" s="11">
        <f t="shared" si="0"/>
        <v>8.1886574999999997</v>
      </c>
      <c r="J31" s="12">
        <f t="shared" si="1"/>
        <v>2.3265965925396929E-2</v>
      </c>
      <c r="K31" s="12">
        <f t="shared" si="2"/>
        <v>1.2194877836037437E-2</v>
      </c>
      <c r="L31" s="12">
        <f t="shared" si="3"/>
        <v>8.4128140212700441E-3</v>
      </c>
      <c r="M31" s="12">
        <f t="shared" si="4"/>
        <v>1.1071088089359494E-2</v>
      </c>
      <c r="N31" s="54">
        <f t="shared" si="5"/>
        <v>4578232</v>
      </c>
      <c r="O31" s="12">
        <v>16</v>
      </c>
      <c r="P31" s="13">
        <v>89719650</v>
      </c>
      <c r="Q31" s="13">
        <v>2803739.0625</v>
      </c>
      <c r="R31" s="13">
        <v>39437.21875</v>
      </c>
      <c r="S31" s="14">
        <v>8734568</v>
      </c>
      <c r="T31" s="14">
        <v>3158360</v>
      </c>
      <c r="U31" s="14">
        <v>1419872</v>
      </c>
      <c r="V31" s="14">
        <v>4156336</v>
      </c>
      <c r="W31" s="15">
        <v>75.152659</v>
      </c>
      <c r="X31" s="15">
        <v>77.552828000000005</v>
      </c>
      <c r="Y31" s="15">
        <v>36.649746999999998</v>
      </c>
      <c r="Z31" s="15">
        <v>42.655768999999999</v>
      </c>
      <c r="AA31" s="15">
        <v>45.032587999999997</v>
      </c>
      <c r="AB31" s="16">
        <v>0</v>
      </c>
      <c r="AC31" s="16">
        <v>0</v>
      </c>
      <c r="AD31" s="16">
        <v>151.304</v>
      </c>
      <c r="AE31" s="16">
        <v>0</v>
      </c>
      <c r="AG31" s="11">
        <f t="shared" si="6"/>
        <v>8.1886574999999997</v>
      </c>
      <c r="AH31" s="12">
        <f t="shared" si="7"/>
        <v>2.3265965925396929E-2</v>
      </c>
      <c r="AI31" s="12">
        <f t="shared" si="8"/>
        <v>1.2194877836037437E-2</v>
      </c>
      <c r="AJ31" s="12">
        <f t="shared" si="9"/>
        <v>8.4128140212700441E-3</v>
      </c>
      <c r="AK31" s="12">
        <f t="shared" si="10"/>
        <v>1.1071088089359494E-2</v>
      </c>
      <c r="AL31" s="54">
        <f t="shared" si="11"/>
        <v>4578232</v>
      </c>
      <c r="AM31" s="12">
        <v>16</v>
      </c>
      <c r="AN31" s="13">
        <v>89719650</v>
      </c>
      <c r="AO31" s="13">
        <v>2803739.0625</v>
      </c>
      <c r="AP31" s="13">
        <v>39437.21875</v>
      </c>
      <c r="AQ31" s="13">
        <v>8734568</v>
      </c>
      <c r="AR31" s="13">
        <v>3158360</v>
      </c>
      <c r="AS31" s="13">
        <v>1419872</v>
      </c>
      <c r="AT31" s="13">
        <v>4156336</v>
      </c>
      <c r="AU31" s="13">
        <v>75.152659</v>
      </c>
      <c r="AV31" s="13">
        <v>77.552828000000005</v>
      </c>
      <c r="AW31" s="13">
        <v>36.647347000000003</v>
      </c>
      <c r="AX31" s="13">
        <v>42.655444000000003</v>
      </c>
      <c r="AY31" s="13">
        <v>45.031550000000003</v>
      </c>
      <c r="AZ31" s="13">
        <v>0</v>
      </c>
      <c r="BA31" s="13">
        <v>0</v>
      </c>
      <c r="BB31" s="13">
        <v>145.85499999999999</v>
      </c>
      <c r="BC31" s="13">
        <v>0</v>
      </c>
      <c r="BE31" s="51">
        <f t="shared" si="12"/>
        <v>1</v>
      </c>
      <c r="BF31" s="17">
        <f t="shared" si="13"/>
        <v>0</v>
      </c>
      <c r="BG31" s="17">
        <f t="shared" si="14"/>
        <v>0</v>
      </c>
      <c r="BH31" s="17"/>
      <c r="BJ31" s="51"/>
      <c r="BK31" s="51"/>
      <c r="BL31" s="51"/>
      <c r="BM31" s="51"/>
      <c r="BN31" s="51"/>
      <c r="BP31" s="51"/>
      <c r="BQ31" s="51"/>
      <c r="BR31" s="51"/>
      <c r="BS31" s="51"/>
      <c r="BT31" s="51"/>
    </row>
    <row r="32" spans="1:72" outlineLevel="1" x14ac:dyDescent="0.2">
      <c r="A32" s="18"/>
      <c r="B32" s="18" t="s">
        <v>75</v>
      </c>
      <c r="C32" s="19" t="s">
        <v>232</v>
      </c>
      <c r="D32" s="18">
        <v>375422539</v>
      </c>
      <c r="E32" s="19">
        <v>11</v>
      </c>
      <c r="F32" s="19">
        <v>32</v>
      </c>
      <c r="G32" s="19">
        <v>30</v>
      </c>
      <c r="I32" s="20">
        <f t="shared" si="0"/>
        <v>12.660105</v>
      </c>
      <c r="J32" s="21">
        <f t="shared" si="1"/>
        <v>3.5970434902418046E-2</v>
      </c>
      <c r="K32" s="21">
        <f t="shared" si="2"/>
        <v>1.548354559500755E-2</v>
      </c>
      <c r="L32" s="21">
        <f t="shared" si="3"/>
        <v>1.1701481780240157E-2</v>
      </c>
      <c r="M32" s="21">
        <f t="shared" si="4"/>
        <v>2.0486889307410498E-2</v>
      </c>
      <c r="N32" s="18">
        <f t="shared" si="5"/>
        <v>5812872</v>
      </c>
      <c r="O32" s="21">
        <v>16</v>
      </c>
      <c r="P32" s="22">
        <v>91500693</v>
      </c>
      <c r="Q32" s="22">
        <v>2859396.65625</v>
      </c>
      <c r="R32" s="22">
        <v>42605.15625</v>
      </c>
      <c r="S32" s="23">
        <v>13504112</v>
      </c>
      <c r="T32" s="23">
        <v>4393000</v>
      </c>
      <c r="U32" s="23">
        <v>1419872</v>
      </c>
      <c r="V32" s="23">
        <v>7691240</v>
      </c>
      <c r="W32" s="24">
        <v>76.435394000000002</v>
      </c>
      <c r="X32" s="24">
        <v>79.124159000000006</v>
      </c>
      <c r="Y32" s="24">
        <v>38.391402999999997</v>
      </c>
      <c r="Z32" s="24">
        <v>43.175809000000001</v>
      </c>
      <c r="AA32" s="24">
        <v>46.199669</v>
      </c>
      <c r="AB32" s="25">
        <v>0</v>
      </c>
      <c r="AC32" s="25">
        <v>0</v>
      </c>
      <c r="AD32" s="25">
        <v>143.559</v>
      </c>
      <c r="AE32" s="25">
        <v>0</v>
      </c>
      <c r="AG32" s="20">
        <f t="shared" si="6"/>
        <v>12.660105</v>
      </c>
      <c r="AH32" s="21">
        <f t="shared" si="7"/>
        <v>3.5970434902418046E-2</v>
      </c>
      <c r="AI32" s="21">
        <f t="shared" si="8"/>
        <v>1.548354559500755E-2</v>
      </c>
      <c r="AJ32" s="21">
        <f t="shared" si="9"/>
        <v>1.1701481780240157E-2</v>
      </c>
      <c r="AK32" s="21">
        <f t="shared" si="10"/>
        <v>2.0486889307410498E-2</v>
      </c>
      <c r="AL32" s="18">
        <f t="shared" si="11"/>
        <v>5812872</v>
      </c>
      <c r="AM32" s="21">
        <v>16</v>
      </c>
      <c r="AN32" s="22">
        <v>91500693</v>
      </c>
      <c r="AO32" s="22">
        <v>2859396.65625</v>
      </c>
      <c r="AP32" s="22">
        <v>42605.15625</v>
      </c>
      <c r="AQ32" s="22">
        <v>13504112</v>
      </c>
      <c r="AR32" s="22">
        <v>4393000</v>
      </c>
      <c r="AS32" s="22">
        <v>1419872</v>
      </c>
      <c r="AT32" s="22">
        <v>7691240</v>
      </c>
      <c r="AU32" s="22">
        <v>76.435394000000002</v>
      </c>
      <c r="AV32" s="22">
        <v>79.124159000000006</v>
      </c>
      <c r="AW32" s="22">
        <v>38.389499999999998</v>
      </c>
      <c r="AX32" s="22">
        <v>43.175725</v>
      </c>
      <c r="AY32" s="22">
        <v>46.199100000000001</v>
      </c>
      <c r="AZ32" s="22">
        <v>0</v>
      </c>
      <c r="BA32" s="22">
        <v>0</v>
      </c>
      <c r="BB32" s="22">
        <v>139.26300000000001</v>
      </c>
      <c r="BC32" s="22">
        <v>0</v>
      </c>
      <c r="BE32" s="50">
        <f t="shared" si="12"/>
        <v>1</v>
      </c>
      <c r="BF32" s="26">
        <f t="shared" si="13"/>
        <v>0</v>
      </c>
      <c r="BG32" s="26">
        <f t="shared" si="14"/>
        <v>0</v>
      </c>
      <c r="BH32" s="26"/>
      <c r="BJ32" s="50"/>
      <c r="BK32" s="50"/>
      <c r="BL32" s="50"/>
      <c r="BM32" s="50"/>
      <c r="BN32" s="50"/>
      <c r="BP32" s="50"/>
      <c r="BQ32" s="50"/>
      <c r="BR32" s="50"/>
      <c r="BS32" s="50"/>
      <c r="BT32" s="50"/>
    </row>
    <row r="33" spans="1:72" outlineLevel="1" x14ac:dyDescent="0.2">
      <c r="A33" s="54"/>
      <c r="B33" s="54" t="s">
        <v>75</v>
      </c>
      <c r="C33" s="10" t="s">
        <v>233</v>
      </c>
      <c r="D33" s="54">
        <v>375422539</v>
      </c>
      <c r="E33" s="10">
        <v>11</v>
      </c>
      <c r="F33" s="10">
        <v>32</v>
      </c>
      <c r="G33" s="10">
        <v>30</v>
      </c>
      <c r="I33" s="11">
        <f t="shared" si="0"/>
        <v>21.180037500000001</v>
      </c>
      <c r="J33" s="12">
        <f t="shared" si="1"/>
        <v>6.0177633607661471E-2</v>
      </c>
      <c r="K33" s="12">
        <f t="shared" si="2"/>
        <v>2.0952050510744641E-2</v>
      </c>
      <c r="L33" s="12">
        <f t="shared" si="3"/>
        <v>1.716998669597725E-2</v>
      </c>
      <c r="M33" s="12">
        <f t="shared" si="4"/>
        <v>3.922558309691683E-2</v>
      </c>
      <c r="N33" s="54">
        <f t="shared" si="5"/>
        <v>7865872</v>
      </c>
      <c r="O33" s="12">
        <v>16</v>
      </c>
      <c r="P33" s="13">
        <v>93793516</v>
      </c>
      <c r="Q33" s="13">
        <v>2931047.375</v>
      </c>
      <c r="R33" s="13">
        <v>47266.125</v>
      </c>
      <c r="S33" s="14">
        <v>22592040</v>
      </c>
      <c r="T33" s="14">
        <v>6446000</v>
      </c>
      <c r="U33" s="14">
        <v>1419872</v>
      </c>
      <c r="V33" s="14">
        <v>14726168</v>
      </c>
      <c r="W33" s="15">
        <v>77.585915999999997</v>
      </c>
      <c r="X33" s="15">
        <v>80.310303000000005</v>
      </c>
      <c r="Y33" s="15">
        <v>39.992905999999998</v>
      </c>
      <c r="Z33" s="15">
        <v>43.898744000000001</v>
      </c>
      <c r="AA33" s="15">
        <v>47.812806000000002</v>
      </c>
      <c r="AB33" s="16">
        <v>0</v>
      </c>
      <c r="AC33" s="16">
        <v>0</v>
      </c>
      <c r="AD33" s="16">
        <v>138.1</v>
      </c>
      <c r="AE33" s="16">
        <v>0</v>
      </c>
      <c r="AG33" s="11">
        <f t="shared" si="6"/>
        <v>21.180037500000001</v>
      </c>
      <c r="AH33" s="12">
        <f t="shared" si="7"/>
        <v>6.0177633607661471E-2</v>
      </c>
      <c r="AI33" s="12">
        <f t="shared" si="8"/>
        <v>2.0952050510744641E-2</v>
      </c>
      <c r="AJ33" s="12">
        <f t="shared" si="9"/>
        <v>1.716998669597725E-2</v>
      </c>
      <c r="AK33" s="12">
        <f t="shared" si="10"/>
        <v>3.922558309691683E-2</v>
      </c>
      <c r="AL33" s="54">
        <f t="shared" si="11"/>
        <v>7865872</v>
      </c>
      <c r="AM33" s="12">
        <v>16</v>
      </c>
      <c r="AN33" s="13">
        <v>93793516</v>
      </c>
      <c r="AO33" s="13">
        <v>2931047.375</v>
      </c>
      <c r="AP33" s="13">
        <v>47266.125</v>
      </c>
      <c r="AQ33" s="13">
        <v>22592040</v>
      </c>
      <c r="AR33" s="13">
        <v>6446000</v>
      </c>
      <c r="AS33" s="13">
        <v>1419872</v>
      </c>
      <c r="AT33" s="13">
        <v>14726168</v>
      </c>
      <c r="AU33" s="13">
        <v>77.585915999999997</v>
      </c>
      <c r="AV33" s="13">
        <v>80.310303000000005</v>
      </c>
      <c r="AW33" s="13">
        <v>39.990769</v>
      </c>
      <c r="AX33" s="13">
        <v>43.898859000000002</v>
      </c>
      <c r="AY33" s="13">
        <v>47.812308999999999</v>
      </c>
      <c r="AZ33" s="13">
        <v>0</v>
      </c>
      <c r="BA33" s="13">
        <v>0</v>
      </c>
      <c r="BB33" s="13">
        <v>136.465</v>
      </c>
      <c r="BC33" s="13">
        <v>0</v>
      </c>
      <c r="BE33" s="51">
        <f t="shared" si="12"/>
        <v>1</v>
      </c>
      <c r="BF33" s="17">
        <f t="shared" si="13"/>
        <v>0</v>
      </c>
      <c r="BG33" s="17">
        <f t="shared" si="14"/>
        <v>0</v>
      </c>
      <c r="BH33" s="17"/>
      <c r="BJ33" s="51"/>
      <c r="BK33" s="51"/>
      <c r="BL33" s="51"/>
      <c r="BM33" s="51"/>
      <c r="BN33" s="51"/>
      <c r="BP33" s="51"/>
      <c r="BQ33" s="51"/>
      <c r="BR33" s="51"/>
      <c r="BS33" s="51"/>
      <c r="BT33" s="51"/>
    </row>
    <row r="34" spans="1:72" outlineLevel="1" x14ac:dyDescent="0.2">
      <c r="A34" s="18"/>
      <c r="B34" s="37" t="s">
        <v>75</v>
      </c>
      <c r="C34" s="38" t="s">
        <v>234</v>
      </c>
      <c r="D34" s="37">
        <v>375422539</v>
      </c>
      <c r="E34" s="38">
        <v>11</v>
      </c>
      <c r="F34" s="38">
        <v>32</v>
      </c>
      <c r="G34" s="38">
        <v>30</v>
      </c>
      <c r="I34" s="39">
        <f t="shared" si="0"/>
        <v>39.860947500000002</v>
      </c>
      <c r="J34" s="40">
        <f t="shared" si="1"/>
        <v>0.11325463866195844</v>
      </c>
      <c r="K34" s="40">
        <f t="shared" si="2"/>
        <v>3.357882569751626E-2</v>
      </c>
      <c r="L34" s="40">
        <f t="shared" si="3"/>
        <v>2.6096163608333594E-2</v>
      </c>
      <c r="M34" s="40">
        <f t="shared" si="4"/>
        <v>7.9675812964442178E-2</v>
      </c>
      <c r="N34" s="37">
        <f t="shared" si="5"/>
        <v>12606248</v>
      </c>
      <c r="O34" s="40">
        <v>16</v>
      </c>
      <c r="P34" s="41">
        <v>91942150</v>
      </c>
      <c r="Q34" s="41">
        <v>2873192.1875</v>
      </c>
      <c r="R34" s="41">
        <v>18754.625</v>
      </c>
      <c r="S34" s="42">
        <v>42518344</v>
      </c>
      <c r="T34" s="42">
        <v>9797088</v>
      </c>
      <c r="U34" s="42">
        <v>2809160</v>
      </c>
      <c r="V34" s="42">
        <v>29912096</v>
      </c>
      <c r="W34" s="43">
        <v>78.522000000000006</v>
      </c>
      <c r="X34" s="43">
        <v>81.989725000000007</v>
      </c>
      <c r="Y34" s="43">
        <v>41.503915999999997</v>
      </c>
      <c r="Z34" s="43">
        <v>44.694487000000002</v>
      </c>
      <c r="AA34" s="43">
        <v>49.213816000000001</v>
      </c>
      <c r="AB34" s="44">
        <v>0</v>
      </c>
      <c r="AC34" s="44">
        <v>0</v>
      </c>
      <c r="AD34" s="44">
        <v>143.876</v>
      </c>
      <c r="AE34" s="44">
        <v>0</v>
      </c>
      <c r="AG34" s="39">
        <f t="shared" si="6"/>
        <v>39.860947500000002</v>
      </c>
      <c r="AH34" s="40">
        <f t="shared" si="7"/>
        <v>0.11325463866195844</v>
      </c>
      <c r="AI34" s="40">
        <f t="shared" si="8"/>
        <v>3.357882569751626E-2</v>
      </c>
      <c r="AJ34" s="40">
        <f t="shared" si="9"/>
        <v>2.6096163608333594E-2</v>
      </c>
      <c r="AK34" s="40">
        <f t="shared" si="10"/>
        <v>7.9675812964442178E-2</v>
      </c>
      <c r="AL34" s="37">
        <f t="shared" si="11"/>
        <v>12606248</v>
      </c>
      <c r="AM34" s="40">
        <v>16</v>
      </c>
      <c r="AN34" s="41">
        <v>91942150</v>
      </c>
      <c r="AO34" s="41">
        <v>2873192.1875</v>
      </c>
      <c r="AP34" s="41">
        <v>18754.625</v>
      </c>
      <c r="AQ34" s="41">
        <v>42518344</v>
      </c>
      <c r="AR34" s="41">
        <v>9797088</v>
      </c>
      <c r="AS34" s="41">
        <v>2809160</v>
      </c>
      <c r="AT34" s="41">
        <v>29912096</v>
      </c>
      <c r="AU34" s="41">
        <v>78.522000000000006</v>
      </c>
      <c r="AV34" s="41">
        <v>81.989725000000007</v>
      </c>
      <c r="AW34" s="41">
        <v>41.502859000000001</v>
      </c>
      <c r="AX34" s="41">
        <v>44.694453000000003</v>
      </c>
      <c r="AY34" s="41">
        <v>49.213456000000001</v>
      </c>
      <c r="AZ34" s="41">
        <v>0</v>
      </c>
      <c r="BA34" s="41">
        <v>0</v>
      </c>
      <c r="BB34" s="41">
        <v>145.68</v>
      </c>
      <c r="BC34" s="41">
        <v>0</v>
      </c>
      <c r="BE34" s="45">
        <f t="shared" si="12"/>
        <v>1</v>
      </c>
      <c r="BF34" s="46">
        <f t="shared" si="13"/>
        <v>0</v>
      </c>
      <c r="BG34" s="46">
        <f t="shared" si="14"/>
        <v>0</v>
      </c>
      <c r="BH34" s="46"/>
      <c r="BJ34" s="45"/>
      <c r="BK34" s="45"/>
      <c r="BL34" s="45"/>
      <c r="BM34" s="45"/>
      <c r="BN34" s="45"/>
      <c r="BP34" s="45"/>
      <c r="BQ34" s="45"/>
      <c r="BR34" s="45"/>
      <c r="BS34" s="45"/>
      <c r="BT34" s="45"/>
    </row>
    <row r="35" spans="1:72" x14ac:dyDescent="0.2">
      <c r="A35" s="54"/>
      <c r="B35" s="54" t="s">
        <v>80</v>
      </c>
      <c r="C35" s="10" t="s">
        <v>230</v>
      </c>
      <c r="D35" s="54">
        <v>333190689</v>
      </c>
      <c r="E35" s="10">
        <v>11</v>
      </c>
      <c r="F35" s="10">
        <v>32</v>
      </c>
      <c r="G35" s="10">
        <v>30</v>
      </c>
      <c r="I35" s="11">
        <f t="shared" si="0"/>
        <v>6.0764100000000001</v>
      </c>
      <c r="J35" s="12">
        <f t="shared" si="1"/>
        <v>1.9452836510686529E-2</v>
      </c>
      <c r="K35" s="12">
        <f t="shared" si="2"/>
        <v>1.1420031008129402E-2</v>
      </c>
      <c r="L35" s="12">
        <f t="shared" si="3"/>
        <v>6.9750328467311998E-3</v>
      </c>
      <c r="M35" s="12">
        <f t="shared" si="4"/>
        <v>8.0328055025571266E-3</v>
      </c>
      <c r="N35" s="54">
        <f t="shared" si="5"/>
        <v>3805048</v>
      </c>
      <c r="O35" s="12">
        <v>16</v>
      </c>
      <c r="P35" s="13">
        <v>74778557</v>
      </c>
      <c r="Q35" s="13">
        <v>2336829.90625</v>
      </c>
      <c r="R35" s="13">
        <v>30441.96875</v>
      </c>
      <c r="S35" s="14">
        <v>6481504</v>
      </c>
      <c r="T35" s="14">
        <v>2324016</v>
      </c>
      <c r="U35" s="14">
        <v>1481032</v>
      </c>
      <c r="V35" s="14">
        <v>2676456</v>
      </c>
      <c r="W35" s="15">
        <v>73.193674999999999</v>
      </c>
      <c r="X35" s="15">
        <v>75.403147000000004</v>
      </c>
      <c r="Y35" s="15">
        <v>34.017662999999999</v>
      </c>
      <c r="Z35" s="15">
        <v>42.567028000000001</v>
      </c>
      <c r="AA35" s="15">
        <v>43.978003000000001</v>
      </c>
      <c r="AB35" s="16">
        <v>0</v>
      </c>
      <c r="AC35" s="16">
        <v>0</v>
      </c>
      <c r="AD35" s="16">
        <v>122.998</v>
      </c>
      <c r="AE35" s="16">
        <v>0</v>
      </c>
      <c r="AG35" s="11">
        <f t="shared" si="6"/>
        <v>6.0764100000000001</v>
      </c>
      <c r="AH35" s="12">
        <f t="shared" si="7"/>
        <v>1.9452836510686529E-2</v>
      </c>
      <c r="AI35" s="12">
        <f t="shared" si="8"/>
        <v>1.1420031008129402E-2</v>
      </c>
      <c r="AJ35" s="12">
        <f t="shared" si="9"/>
        <v>6.9750328467311998E-3</v>
      </c>
      <c r="AK35" s="12">
        <f t="shared" si="10"/>
        <v>8.0328055025571266E-3</v>
      </c>
      <c r="AL35" s="54">
        <f t="shared" si="11"/>
        <v>3805048</v>
      </c>
      <c r="AM35" s="12">
        <v>16</v>
      </c>
      <c r="AN35" s="13">
        <v>74778557</v>
      </c>
      <c r="AO35" s="13">
        <v>2336829.90625</v>
      </c>
      <c r="AP35" s="13">
        <v>30441.96875</v>
      </c>
      <c r="AQ35" s="13">
        <v>6481504</v>
      </c>
      <c r="AR35" s="13">
        <v>2324016</v>
      </c>
      <c r="AS35" s="13">
        <v>1481032</v>
      </c>
      <c r="AT35" s="13">
        <v>2676456</v>
      </c>
      <c r="AU35" s="13">
        <v>73.193674999999999</v>
      </c>
      <c r="AV35" s="13">
        <v>75.403147000000004</v>
      </c>
      <c r="AW35" s="13">
        <v>34.014018999999998</v>
      </c>
      <c r="AX35" s="13">
        <v>42.566240999999998</v>
      </c>
      <c r="AY35" s="13">
        <v>43.976241000000002</v>
      </c>
      <c r="AZ35" s="13">
        <v>0</v>
      </c>
      <c r="BA35" s="13">
        <v>0</v>
      </c>
      <c r="BB35" s="13">
        <v>123.361</v>
      </c>
      <c r="BC35" s="13">
        <v>0</v>
      </c>
      <c r="BE35" s="51">
        <f t="shared" si="12"/>
        <v>1</v>
      </c>
      <c r="BF35" s="17">
        <f t="shared" si="13"/>
        <v>0</v>
      </c>
      <c r="BG35" s="17">
        <f t="shared" si="14"/>
        <v>0</v>
      </c>
      <c r="BH35" s="17">
        <f t="array" ref="BH35">AVERAGE(AL35:AL39/AQ35:AQ39) - AVERAGE(N35:N39/S35:S39)</f>
        <v>0</v>
      </c>
      <c r="BJ35" s="51">
        <f>IF( OR(ISBLANK(N35:N39),ISBLANK(AL35:AL39), ISBLANK(W35:W39),ISBLANK(AU35:AU39)), "·", bdRateExtend( N35:N39,W35:W39, AL35:AL39,AU35:AU39))</f>
        <v>0</v>
      </c>
      <c r="BK35" s="51">
        <f>IF( OR(ISBLANK(N35:N39),ISBLANK(AL35:AL39), ISBLANK(X35:X39),ISBLANK(AV35:AV39)), "·", bdRateExtend( N35:N39,X35:X39, AL35:AL39,AV35:AV39))</f>
        <v>0</v>
      </c>
      <c r="BL35" s="51">
        <f>IF( OR(ISBLANK(V35:V39),ISBLANK(AT35:AT39), ISBLANK(Y35:Y39),ISBLANK(AW35:AW39)), "·", bdRateExtend( V35:V39,Y35:Y39, AT35:AT39,AW35:AW39))</f>
        <v>7.0894375633900886E-4</v>
      </c>
      <c r="BM35" s="51">
        <f>IF( OR(ISBLANK(V35:V39),ISBLANK(AT35:AT39), ISBLANK(Z35:Z39),ISBLANK(AX35:AX39)), "·", bdRateExtend( V35:V39,Z35:Z39, AT35:AT39,AX35:AX39))</f>
        <v>1.1447648333073879E-4</v>
      </c>
      <c r="BN35" s="51">
        <f>IF( OR(ISBLANK(V35:V39),ISBLANK(AT35:AT39), ISBLANK(AA35:AA39),ISBLANK(AY35:AY39)), "·", bdRateExtend( V35:V39,AA35:AA39, AT35:AT39,AY35:AY39))</f>
        <v>3.8931434277089672E-4</v>
      </c>
      <c r="BP35" s="51">
        <f>IF( OR(ISBLANK(S35:S39),ISBLANK(AQ35:AQ39), ISBLANK(W35:W39),ISBLANK(AU35:AU39)), "·", bdRateExtend( S35:S39,W35:W39, AQ35:AQ39,AU35:AU39))</f>
        <v>0</v>
      </c>
      <c r="BQ35" s="51">
        <f>IF( OR(ISBLANK(S35:S39),ISBLANK(AQ35:AQ39), ISBLANK(X35:X39),ISBLANK(AV35:AV39)), "·", bdRateExtend( S35:S39,X35:X39, AQ35:AQ39,AV35:AV39))</f>
        <v>0</v>
      </c>
      <c r="BR35" s="51">
        <f>IF( OR(ISBLANK(S35:S39),ISBLANK(AQ35:AQ39), ISBLANK(Y35:Y39),ISBLANK(AW35:AW39)), "·", bdRateExtend( S35:S39,Y35:Y39, AQ35:AQ39,AW35:AW39))</f>
        <v>5.4067834626225775E-4</v>
      </c>
      <c r="BS35" s="51">
        <f>IF( OR(ISBLANK(S35:S39),ISBLANK(AQ35:AQ39), ISBLANK(Z35:Z39),ISBLANK(AX35:AX39)), "·", bdRateExtend( S35:S39,Z35:Z39, AQ35:AQ39,AX35:AX39))</f>
        <v>7.4905739245512137E-5</v>
      </c>
      <c r="BT35" s="51">
        <f>IF( OR(ISBLANK(S35:S39),ISBLANK(AQ35:AQ39), ISBLANK(AA35:AA39),ISBLANK(AY35:AY39)), "·", bdRateExtend( S35:S39,AA35:AA39, AQ35:AQ39,AY35:AY39))</f>
        <v>2.9173435760809774E-4</v>
      </c>
    </row>
    <row r="36" spans="1:72" outlineLevel="1" x14ac:dyDescent="0.2">
      <c r="A36" s="18"/>
      <c r="B36" s="18" t="s">
        <v>80</v>
      </c>
      <c r="C36" s="19" t="s">
        <v>231</v>
      </c>
      <c r="D36" s="18">
        <v>333190689</v>
      </c>
      <c r="E36" s="19">
        <v>11</v>
      </c>
      <c r="F36" s="19">
        <v>32</v>
      </c>
      <c r="G36" s="19">
        <v>30</v>
      </c>
      <c r="I36" s="20">
        <f t="shared" si="0"/>
        <v>8.7021149999999992</v>
      </c>
      <c r="J36" s="21">
        <f t="shared" si="1"/>
        <v>2.7858689652639122E-2</v>
      </c>
      <c r="K36" s="21">
        <f t="shared" si="2"/>
        <v>1.4009875287961604E-2</v>
      </c>
      <c r="L36" s="21">
        <f t="shared" si="3"/>
        <v>9.5648771265634015E-3</v>
      </c>
      <c r="M36" s="21">
        <f t="shared" si="4"/>
        <v>1.384881436467752E-2</v>
      </c>
      <c r="N36" s="18">
        <f t="shared" si="5"/>
        <v>4667960</v>
      </c>
      <c r="O36" s="21">
        <v>16</v>
      </c>
      <c r="P36" s="22">
        <v>79943738</v>
      </c>
      <c r="Q36" s="22">
        <v>2498241.8125</v>
      </c>
      <c r="R36" s="22">
        <v>38917.4375</v>
      </c>
      <c r="S36" s="23">
        <v>9282256</v>
      </c>
      <c r="T36" s="23">
        <v>3186928</v>
      </c>
      <c r="U36" s="23">
        <v>1481032</v>
      </c>
      <c r="V36" s="23">
        <v>4614296</v>
      </c>
      <c r="W36" s="24">
        <v>74.934208999999996</v>
      </c>
      <c r="X36" s="24">
        <v>77.349309000000005</v>
      </c>
      <c r="Y36" s="24">
        <v>36.100591000000001</v>
      </c>
      <c r="Z36" s="24">
        <v>43.206612999999997</v>
      </c>
      <c r="AA36" s="24">
        <v>45.366546999999997</v>
      </c>
      <c r="AB36" s="25">
        <v>0</v>
      </c>
      <c r="AC36" s="25">
        <v>0</v>
      </c>
      <c r="AD36" s="25">
        <v>127.017</v>
      </c>
      <c r="AE36" s="25">
        <v>0</v>
      </c>
      <c r="AG36" s="20">
        <f t="shared" si="6"/>
        <v>8.7021149999999992</v>
      </c>
      <c r="AH36" s="21">
        <f t="shared" si="7"/>
        <v>2.7858689652639122E-2</v>
      </c>
      <c r="AI36" s="21">
        <f t="shared" si="8"/>
        <v>1.4009875287961604E-2</v>
      </c>
      <c r="AJ36" s="21">
        <f t="shared" si="9"/>
        <v>9.5648771265634015E-3</v>
      </c>
      <c r="AK36" s="21">
        <f t="shared" si="10"/>
        <v>1.384881436467752E-2</v>
      </c>
      <c r="AL36" s="18">
        <f t="shared" si="11"/>
        <v>4667960</v>
      </c>
      <c r="AM36" s="21">
        <v>16</v>
      </c>
      <c r="AN36" s="22">
        <v>79943738</v>
      </c>
      <c r="AO36" s="22">
        <v>2498241.8125</v>
      </c>
      <c r="AP36" s="22">
        <v>38917.4375</v>
      </c>
      <c r="AQ36" s="22">
        <v>9282256</v>
      </c>
      <c r="AR36" s="22">
        <v>3186928</v>
      </c>
      <c r="AS36" s="22">
        <v>1481032</v>
      </c>
      <c r="AT36" s="22">
        <v>4614296</v>
      </c>
      <c r="AU36" s="22">
        <v>74.934208999999996</v>
      </c>
      <c r="AV36" s="22">
        <v>77.349309000000005</v>
      </c>
      <c r="AW36" s="22">
        <v>36.098599999999998</v>
      </c>
      <c r="AX36" s="22">
        <v>43.206287000000003</v>
      </c>
      <c r="AY36" s="22">
        <v>45.365437999999997</v>
      </c>
      <c r="AZ36" s="22">
        <v>0</v>
      </c>
      <c r="BA36" s="22">
        <v>0</v>
      </c>
      <c r="BB36" s="22">
        <v>121.149</v>
      </c>
      <c r="BC36" s="22">
        <v>0</v>
      </c>
      <c r="BE36" s="50">
        <f t="shared" si="12"/>
        <v>1</v>
      </c>
      <c r="BF36" s="26">
        <f t="shared" si="13"/>
        <v>0</v>
      </c>
      <c r="BG36" s="26">
        <f t="shared" si="14"/>
        <v>0</v>
      </c>
      <c r="BH36" s="26"/>
      <c r="BJ36" s="50"/>
      <c r="BK36" s="50"/>
      <c r="BL36" s="50"/>
      <c r="BM36" s="50"/>
      <c r="BN36" s="50"/>
      <c r="BP36" s="50"/>
      <c r="BQ36" s="50"/>
      <c r="BR36" s="50"/>
      <c r="BS36" s="50"/>
      <c r="BT36" s="50"/>
    </row>
    <row r="37" spans="1:72" outlineLevel="1" x14ac:dyDescent="0.2">
      <c r="A37" s="54"/>
      <c r="B37" s="54" t="s">
        <v>80</v>
      </c>
      <c r="C37" s="10" t="s">
        <v>232</v>
      </c>
      <c r="D37" s="54">
        <v>333190689</v>
      </c>
      <c r="E37" s="10">
        <v>11</v>
      </c>
      <c r="F37" s="10">
        <v>32</v>
      </c>
      <c r="G37" s="10">
        <v>30</v>
      </c>
      <c r="I37" s="11">
        <f t="shared" si="0"/>
        <v>13.2886875</v>
      </c>
      <c r="J37" s="12">
        <f t="shared" si="1"/>
        <v>4.2542005127880388E-2</v>
      </c>
      <c r="K37" s="12">
        <f t="shared" si="2"/>
        <v>1.7730291376779738E-2</v>
      </c>
      <c r="L37" s="12">
        <f t="shared" si="3"/>
        <v>1.3285293215381537E-2</v>
      </c>
      <c r="M37" s="12">
        <f t="shared" si="4"/>
        <v>2.481171375110065E-2</v>
      </c>
      <c r="N37" s="54">
        <f t="shared" si="5"/>
        <v>5907568</v>
      </c>
      <c r="O37" s="12">
        <v>16</v>
      </c>
      <c r="P37" s="13">
        <v>81681853</v>
      </c>
      <c r="Q37" s="13">
        <v>2552557.90625</v>
      </c>
      <c r="R37" s="13">
        <v>42032.5625</v>
      </c>
      <c r="S37" s="14">
        <v>14174600</v>
      </c>
      <c r="T37" s="14">
        <v>4426536</v>
      </c>
      <c r="U37" s="14">
        <v>1481032</v>
      </c>
      <c r="V37" s="14">
        <v>8267032</v>
      </c>
      <c r="W37" s="15">
        <v>76.244416000000001</v>
      </c>
      <c r="X37" s="15">
        <v>78.960109000000003</v>
      </c>
      <c r="Y37" s="15">
        <v>37.932616000000003</v>
      </c>
      <c r="Z37" s="15">
        <v>43.749586999999998</v>
      </c>
      <c r="AA37" s="15">
        <v>46.467137000000001</v>
      </c>
      <c r="AB37" s="16">
        <v>0</v>
      </c>
      <c r="AC37" s="16">
        <v>0</v>
      </c>
      <c r="AD37" s="16">
        <v>136.256</v>
      </c>
      <c r="AE37" s="16">
        <v>0</v>
      </c>
      <c r="AG37" s="11">
        <f t="shared" si="6"/>
        <v>13.2886875</v>
      </c>
      <c r="AH37" s="12">
        <f t="shared" si="7"/>
        <v>4.2542005127880388E-2</v>
      </c>
      <c r="AI37" s="12">
        <f t="shared" si="8"/>
        <v>1.7730291376779738E-2</v>
      </c>
      <c r="AJ37" s="12">
        <f t="shared" si="9"/>
        <v>1.3285293215381537E-2</v>
      </c>
      <c r="AK37" s="12">
        <f t="shared" si="10"/>
        <v>2.481171375110065E-2</v>
      </c>
      <c r="AL37" s="54">
        <f t="shared" si="11"/>
        <v>5907568</v>
      </c>
      <c r="AM37" s="12">
        <v>16</v>
      </c>
      <c r="AN37" s="13">
        <v>81681853</v>
      </c>
      <c r="AO37" s="13">
        <v>2552557.90625</v>
      </c>
      <c r="AP37" s="13">
        <v>42032.5625</v>
      </c>
      <c r="AQ37" s="13">
        <v>14174600</v>
      </c>
      <c r="AR37" s="13">
        <v>4426536</v>
      </c>
      <c r="AS37" s="13">
        <v>1481032</v>
      </c>
      <c r="AT37" s="13">
        <v>8267032</v>
      </c>
      <c r="AU37" s="13">
        <v>76.244416000000001</v>
      </c>
      <c r="AV37" s="13">
        <v>78.960109000000003</v>
      </c>
      <c r="AW37" s="13">
        <v>37.930377999999997</v>
      </c>
      <c r="AX37" s="13">
        <v>43.749552999999999</v>
      </c>
      <c r="AY37" s="13">
        <v>46.466459</v>
      </c>
      <c r="AZ37" s="13">
        <v>0</v>
      </c>
      <c r="BA37" s="13">
        <v>0</v>
      </c>
      <c r="BB37" s="13">
        <v>131.43</v>
      </c>
      <c r="BC37" s="13">
        <v>0</v>
      </c>
      <c r="BE37" s="51">
        <f t="shared" si="12"/>
        <v>1</v>
      </c>
      <c r="BF37" s="17">
        <f t="shared" si="13"/>
        <v>0</v>
      </c>
      <c r="BG37" s="17">
        <f t="shared" si="14"/>
        <v>0</v>
      </c>
      <c r="BH37" s="17"/>
      <c r="BJ37" s="51"/>
      <c r="BK37" s="51"/>
      <c r="BL37" s="51"/>
      <c r="BM37" s="51"/>
      <c r="BN37" s="51"/>
      <c r="BP37" s="51"/>
      <c r="BQ37" s="51"/>
      <c r="BR37" s="51"/>
      <c r="BS37" s="51"/>
      <c r="BT37" s="51"/>
    </row>
    <row r="38" spans="1:72" outlineLevel="1" x14ac:dyDescent="0.2">
      <c r="A38" s="18"/>
      <c r="B38" s="18" t="s">
        <v>80</v>
      </c>
      <c r="C38" s="19" t="s">
        <v>233</v>
      </c>
      <c r="D38" s="18">
        <v>333190689</v>
      </c>
      <c r="E38" s="19">
        <v>11</v>
      </c>
      <c r="F38" s="19">
        <v>32</v>
      </c>
      <c r="G38" s="19">
        <v>30</v>
      </c>
      <c r="I38" s="20">
        <f t="shared" si="0"/>
        <v>22.361370000000001</v>
      </c>
      <c r="J38" s="21">
        <f t="shared" si="1"/>
        <v>7.158701844756532E-2</v>
      </c>
      <c r="K38" s="21">
        <f t="shared" si="2"/>
        <v>2.3936083039823482E-2</v>
      </c>
      <c r="L38" s="21">
        <f t="shared" si="3"/>
        <v>1.9491084878425279E-2</v>
      </c>
      <c r="M38" s="21">
        <f t="shared" si="4"/>
        <v>4.7650935407741839E-2</v>
      </c>
      <c r="N38" s="18">
        <f t="shared" si="5"/>
        <v>7975280</v>
      </c>
      <c r="O38" s="21">
        <v>16</v>
      </c>
      <c r="P38" s="22">
        <v>83704060</v>
      </c>
      <c r="Q38" s="22">
        <v>2615751.875</v>
      </c>
      <c r="R38" s="22">
        <v>46678.40625</v>
      </c>
      <c r="S38" s="23">
        <v>23852128</v>
      </c>
      <c r="T38" s="23">
        <v>6494248</v>
      </c>
      <c r="U38" s="23">
        <v>1481032</v>
      </c>
      <c r="V38" s="23">
        <v>15876848</v>
      </c>
      <c r="W38" s="24">
        <v>77.427519000000004</v>
      </c>
      <c r="X38" s="24">
        <v>80.182269000000005</v>
      </c>
      <c r="Y38" s="24">
        <v>39.701293999999997</v>
      </c>
      <c r="Z38" s="24">
        <v>44.545281000000003</v>
      </c>
      <c r="AA38" s="24">
        <v>47.796297000000003</v>
      </c>
      <c r="AB38" s="25">
        <v>0</v>
      </c>
      <c r="AC38" s="25">
        <v>0</v>
      </c>
      <c r="AD38" s="25">
        <v>133.654</v>
      </c>
      <c r="AE38" s="25">
        <v>0</v>
      </c>
      <c r="AG38" s="20">
        <f t="shared" si="6"/>
        <v>22.361370000000001</v>
      </c>
      <c r="AH38" s="21">
        <f t="shared" si="7"/>
        <v>7.158701844756532E-2</v>
      </c>
      <c r="AI38" s="21">
        <f t="shared" si="8"/>
        <v>2.3936083039823482E-2</v>
      </c>
      <c r="AJ38" s="21">
        <f t="shared" si="9"/>
        <v>1.9491084878425279E-2</v>
      </c>
      <c r="AK38" s="21">
        <f t="shared" si="10"/>
        <v>4.7650935407741839E-2</v>
      </c>
      <c r="AL38" s="18">
        <f t="shared" si="11"/>
        <v>7975280</v>
      </c>
      <c r="AM38" s="21">
        <v>16</v>
      </c>
      <c r="AN38" s="22">
        <v>83704060</v>
      </c>
      <c r="AO38" s="22">
        <v>2615751.875</v>
      </c>
      <c r="AP38" s="22">
        <v>46678.40625</v>
      </c>
      <c r="AQ38" s="22">
        <v>23852128</v>
      </c>
      <c r="AR38" s="22">
        <v>6494248</v>
      </c>
      <c r="AS38" s="22">
        <v>1481032</v>
      </c>
      <c r="AT38" s="22">
        <v>15876848</v>
      </c>
      <c r="AU38" s="22">
        <v>77.427519000000004</v>
      </c>
      <c r="AV38" s="22">
        <v>80.182269000000005</v>
      </c>
      <c r="AW38" s="22">
        <v>39.699244</v>
      </c>
      <c r="AX38" s="22">
        <v>44.545366000000001</v>
      </c>
      <c r="AY38" s="22">
        <v>47.795893999999997</v>
      </c>
      <c r="AZ38" s="22">
        <v>0</v>
      </c>
      <c r="BA38" s="22">
        <v>0</v>
      </c>
      <c r="BB38" s="22">
        <v>129.54</v>
      </c>
      <c r="BC38" s="22">
        <v>0</v>
      </c>
      <c r="BE38" s="50">
        <f t="shared" si="12"/>
        <v>1</v>
      </c>
      <c r="BF38" s="26">
        <f t="shared" si="13"/>
        <v>0</v>
      </c>
      <c r="BG38" s="26">
        <f t="shared" si="14"/>
        <v>0</v>
      </c>
      <c r="BH38" s="26"/>
      <c r="BJ38" s="50"/>
      <c r="BK38" s="50"/>
      <c r="BL38" s="50"/>
      <c r="BM38" s="50"/>
      <c r="BN38" s="50"/>
      <c r="BP38" s="50"/>
      <c r="BQ38" s="50"/>
      <c r="BR38" s="50"/>
      <c r="BS38" s="50"/>
      <c r="BT38" s="50"/>
    </row>
    <row r="39" spans="1:72" outlineLevel="1" x14ac:dyDescent="0.2">
      <c r="A39" s="27"/>
      <c r="B39" s="27" t="s">
        <v>80</v>
      </c>
      <c r="C39" s="28" t="s">
        <v>234</v>
      </c>
      <c r="D39" s="27">
        <v>333190689</v>
      </c>
      <c r="E39" s="28">
        <v>11</v>
      </c>
      <c r="F39" s="28">
        <v>32</v>
      </c>
      <c r="G39" s="28">
        <v>30</v>
      </c>
      <c r="I39" s="29">
        <f t="shared" si="0"/>
        <v>41.260964999999999</v>
      </c>
      <c r="J39" s="30">
        <f t="shared" si="1"/>
        <v>0.13209161436080827</v>
      </c>
      <c r="K39" s="30">
        <f t="shared" si="2"/>
        <v>3.8457065047216854E-2</v>
      </c>
      <c r="L39" s="30">
        <f t="shared" si="3"/>
        <v>2.9593215913665583E-2</v>
      </c>
      <c r="M39" s="30">
        <f t="shared" si="4"/>
        <v>9.3634549313591414E-2</v>
      </c>
      <c r="N39" s="27">
        <f t="shared" si="5"/>
        <v>12813536</v>
      </c>
      <c r="O39" s="30">
        <v>16</v>
      </c>
      <c r="P39" s="31">
        <v>82029822</v>
      </c>
      <c r="Q39" s="31">
        <v>2563431.9375</v>
      </c>
      <c r="R39" s="31">
        <v>18624.8125</v>
      </c>
      <c r="S39" s="32">
        <v>44011696</v>
      </c>
      <c r="T39" s="32">
        <v>9860184</v>
      </c>
      <c r="U39" s="32">
        <v>2953352</v>
      </c>
      <c r="V39" s="32">
        <v>31198160</v>
      </c>
      <c r="W39" s="33">
        <v>78.321349999999995</v>
      </c>
      <c r="X39" s="33">
        <v>81.871644000000003</v>
      </c>
      <c r="Y39" s="33">
        <v>41.292031000000001</v>
      </c>
      <c r="Z39" s="33">
        <v>45.5426</v>
      </c>
      <c r="AA39" s="33">
        <v>49.12885</v>
      </c>
      <c r="AB39" s="34">
        <v>0</v>
      </c>
      <c r="AC39" s="34">
        <v>0</v>
      </c>
      <c r="AD39" s="34">
        <v>149.87700000000001</v>
      </c>
      <c r="AE39" s="34">
        <v>0</v>
      </c>
      <c r="AG39" s="29">
        <f t="shared" si="6"/>
        <v>41.260964999999999</v>
      </c>
      <c r="AH39" s="30">
        <f t="shared" si="7"/>
        <v>0.13209161436080827</v>
      </c>
      <c r="AI39" s="30">
        <f t="shared" si="8"/>
        <v>3.8457065047216854E-2</v>
      </c>
      <c r="AJ39" s="30">
        <f t="shared" si="9"/>
        <v>2.9593215913665583E-2</v>
      </c>
      <c r="AK39" s="30">
        <f t="shared" si="10"/>
        <v>9.3634549313591414E-2</v>
      </c>
      <c r="AL39" s="27">
        <f t="shared" si="11"/>
        <v>12813536</v>
      </c>
      <c r="AM39" s="30">
        <v>16</v>
      </c>
      <c r="AN39" s="31">
        <v>82029822</v>
      </c>
      <c r="AO39" s="31">
        <v>2563431.9375</v>
      </c>
      <c r="AP39" s="31">
        <v>18624.8125</v>
      </c>
      <c r="AQ39" s="31">
        <v>44011696</v>
      </c>
      <c r="AR39" s="31">
        <v>9860184</v>
      </c>
      <c r="AS39" s="31">
        <v>2953352</v>
      </c>
      <c r="AT39" s="31">
        <v>31198160</v>
      </c>
      <c r="AU39" s="31">
        <v>78.321349999999995</v>
      </c>
      <c r="AV39" s="31">
        <v>81.871644000000003</v>
      </c>
      <c r="AW39" s="31">
        <v>41.290891000000002</v>
      </c>
      <c r="AX39" s="31">
        <v>45.542484000000002</v>
      </c>
      <c r="AY39" s="31">
        <v>49.127930999999997</v>
      </c>
      <c r="AZ39" s="31">
        <v>0</v>
      </c>
      <c r="BA39" s="31">
        <v>0</v>
      </c>
      <c r="BB39" s="31">
        <v>147.26900000000001</v>
      </c>
      <c r="BC39" s="31">
        <v>0</v>
      </c>
      <c r="BE39" s="35">
        <f t="shared" si="12"/>
        <v>1</v>
      </c>
      <c r="BF39" s="36">
        <f t="shared" si="13"/>
        <v>0</v>
      </c>
      <c r="BG39" s="36">
        <f t="shared" si="14"/>
        <v>0</v>
      </c>
      <c r="BH39" s="36"/>
      <c r="BJ39" s="35"/>
      <c r="BK39" s="35"/>
      <c r="BL39" s="35"/>
      <c r="BM39" s="35"/>
      <c r="BN39" s="35"/>
      <c r="BP39" s="35"/>
      <c r="BQ39" s="35"/>
      <c r="BR39" s="35"/>
      <c r="BS39" s="35"/>
      <c r="BT39" s="35"/>
    </row>
    <row r="40" spans="1:72" ht="16" x14ac:dyDescent="0.2">
      <c r="B40" s="47" t="s">
        <v>14</v>
      </c>
      <c r="J40" s="48">
        <f>AVERAGE(J5:J24)</f>
        <v>4.4237910799958903E-2</v>
      </c>
      <c r="K40" s="48">
        <f>AVERAGE(K5:K24)</f>
        <v>1.3867132649236951E-2</v>
      </c>
      <c r="L40" s="48">
        <f>AVERAGE(L5:L24)</f>
        <v>9.6986180135830453E-3</v>
      </c>
      <c r="M40" s="48">
        <f>AVERAGE(M5:M24)</f>
        <v>3.0370778150721943E-2</v>
      </c>
      <c r="AH40" s="48">
        <f>AVERAGE(AH5:AH24)</f>
        <v>4.4237910799958903E-2</v>
      </c>
      <c r="AI40" s="48">
        <f>AVERAGE(AI5:AI24)</f>
        <v>1.3867132649236951E-2</v>
      </c>
      <c r="AJ40" s="48">
        <f>AVERAGE(AJ5:AJ24)</f>
        <v>9.6986180135830453E-3</v>
      </c>
      <c r="AK40" s="48">
        <f>AVERAGE(AK5:AK24)</f>
        <v>3.0370778150721943E-2</v>
      </c>
      <c r="BE40" s="52">
        <f t="shared" si="12"/>
        <v>1</v>
      </c>
      <c r="BH40" s="55">
        <f>AVERAGE(BH5:BH24)</f>
        <v>0</v>
      </c>
      <c r="BJ40" s="52">
        <f>AVERAGE(BJ5:BJ24)</f>
        <v>0</v>
      </c>
      <c r="BK40" s="52">
        <f>AVERAGE(BK5:BK24)</f>
        <v>0</v>
      </c>
      <c r="BL40" s="52">
        <f>AVERAGE(BL5:BL24)</f>
        <v>1.4348384886236631E-3</v>
      </c>
      <c r="BM40" s="52">
        <f>AVERAGE(BM5:BM24)</f>
        <v>-3.0910654844439611E-3</v>
      </c>
      <c r="BN40" s="52">
        <f>AVERAGE(BN5:BN24)</f>
        <v>-5.2719620535028877E-3</v>
      </c>
      <c r="BP40" s="52">
        <f>AVERAGE(BP5:BP24)</f>
        <v>0</v>
      </c>
      <c r="BQ40" s="52">
        <f>AVERAGE(BQ5:BQ24)</f>
        <v>0</v>
      </c>
      <c r="BR40" s="52">
        <f>AVERAGE(BR5:BR24)</f>
        <v>1.1862956842197125E-3</v>
      </c>
      <c r="BS40" s="52">
        <f>AVERAGE(BS5:BS24)</f>
        <v>-2.7773817512755095E-3</v>
      </c>
      <c r="BT40" s="52">
        <f>AVERAGE(BT5:BT24)</f>
        <v>-4.5331268234449495E-3</v>
      </c>
    </row>
    <row r="41" spans="1:72" ht="16" x14ac:dyDescent="0.2">
      <c r="B41" s="47" t="s">
        <v>15</v>
      </c>
      <c r="J41" s="48">
        <f>AVERAGE(J25:J29)</f>
        <v>7.9892458878714365E-2</v>
      </c>
      <c r="K41" s="48">
        <f>AVERAGE(K25:K29)</f>
        <v>1.2402160586919935E-2</v>
      </c>
      <c r="L41" s="48">
        <f>AVERAGE(L25:L29)</f>
        <v>9.1154989523504742E-3</v>
      </c>
      <c r="M41" s="48">
        <f>AVERAGE(M25:M29)</f>
        <v>6.7490298291794426E-2</v>
      </c>
      <c r="AH41" s="48">
        <f>AVERAGE(AH25:AH29)</f>
        <v>7.9892458878714365E-2</v>
      </c>
      <c r="AI41" s="48">
        <f>AVERAGE(AI25:AI29)</f>
        <v>1.2402160586919935E-2</v>
      </c>
      <c r="AJ41" s="48">
        <f>AVERAGE(AJ25:AJ29)</f>
        <v>9.1154989523504742E-3</v>
      </c>
      <c r="AK41" s="48">
        <f>AVERAGE(AK25:AK29)</f>
        <v>6.7490298291794426E-2</v>
      </c>
      <c r="BE41" s="52">
        <f t="shared" si="12"/>
        <v>1</v>
      </c>
      <c r="BH41" s="55">
        <f>AVERAGE(BH25:BH29)</f>
        <v>0</v>
      </c>
      <c r="BJ41" s="52">
        <f>AVERAGE(BJ25:BJ29)</f>
        <v>0</v>
      </c>
      <c r="BK41" s="52">
        <f>AVERAGE(BK25:BK29)</f>
        <v>0</v>
      </c>
      <c r="BL41" s="52">
        <f>AVERAGE(BL25:BL29)</f>
        <v>3.3049312698607558E-4</v>
      </c>
      <c r="BM41" s="52">
        <f>AVERAGE(BM25:BM29)</f>
        <v>3.8472136200828899E-4</v>
      </c>
      <c r="BN41" s="52">
        <f>AVERAGE(BN25:BN29)</f>
        <v>3.1033073177288983E-4</v>
      </c>
      <c r="BP41" s="52">
        <f>AVERAGE(BP25:BP29)</f>
        <v>0</v>
      </c>
      <c r="BQ41" s="52">
        <f>AVERAGE(BQ25:BQ29)</f>
        <v>0</v>
      </c>
      <c r="BR41" s="52">
        <f>AVERAGE(BR25:BR29)</f>
        <v>3.0815306079712279E-4</v>
      </c>
      <c r="BS41" s="52">
        <f>AVERAGE(BS25:BS29)</f>
        <v>3.2643892905337424E-4</v>
      </c>
      <c r="BT41" s="52">
        <f>AVERAGE(BT25:BT29)</f>
        <v>2.596019610896505E-4</v>
      </c>
    </row>
    <row r="42" spans="1:72" ht="16" x14ac:dyDescent="0.2">
      <c r="B42" s="47" t="s">
        <v>16</v>
      </c>
      <c r="J42" s="48">
        <f>AVERAGE(J30:J39)</f>
        <v>5.425039393397444E-2</v>
      </c>
      <c r="K42" s="48">
        <f>AVERAGE(K30:K39)</f>
        <v>1.9769752040681474E-2</v>
      </c>
      <c r="L42" s="48">
        <f>AVERAGE(L30:L39)</f>
        <v>1.4844276127941845E-2</v>
      </c>
      <c r="M42" s="48">
        <f>AVERAGE(M30:M39)</f>
        <v>3.448064189329296E-2</v>
      </c>
      <c r="AH42" s="48">
        <f>AVERAGE(AH30:AH39)</f>
        <v>5.425039393397444E-2</v>
      </c>
      <c r="AI42" s="48">
        <f>AVERAGE(AI30:AI39)</f>
        <v>1.9769752040681474E-2</v>
      </c>
      <c r="AJ42" s="48">
        <f>AVERAGE(AJ30:AJ39)</f>
        <v>1.4844276127941845E-2</v>
      </c>
      <c r="AK42" s="48">
        <f>AVERAGE(AK30:AK39)</f>
        <v>3.448064189329296E-2</v>
      </c>
      <c r="BE42" s="52">
        <f t="shared" si="12"/>
        <v>1</v>
      </c>
      <c r="BH42" s="55">
        <f>AVERAGE(BH30:BH39)</f>
        <v>0</v>
      </c>
      <c r="BJ42" s="52">
        <f>AVERAGE(BJ30:BJ39)</f>
        <v>0</v>
      </c>
      <c r="BK42" s="52">
        <f>AVERAGE(BK30:BK39)</f>
        <v>0</v>
      </c>
      <c r="BL42" s="52">
        <f>AVERAGE(BL30:BL39)</f>
        <v>7.5176644481977917E-4</v>
      </c>
      <c r="BM42" s="52">
        <f>AVERAGE(BM30:BM39)</f>
        <v>1.1732269746966839E-4</v>
      </c>
      <c r="BN42" s="52">
        <f>AVERAGE(BN30:BN39)</f>
        <v>3.5827729179149781E-4</v>
      </c>
      <c r="BP42" s="52">
        <f>AVERAGE(BP30:BP39)</f>
        <v>0</v>
      </c>
      <c r="BQ42" s="52">
        <f>AVERAGE(BQ30:BQ39)</f>
        <v>0</v>
      </c>
      <c r="BR42" s="52">
        <f>AVERAGE(BR30:BR39)</f>
        <v>5.6734990462459223E-4</v>
      </c>
      <c r="BS42" s="52">
        <f>AVERAGE(BS30:BS39)</f>
        <v>7.4491149455901962E-5</v>
      </c>
      <c r="BT42" s="52">
        <f>AVERAGE(BT30:BT39)</f>
        <v>2.6517801872605329E-4</v>
      </c>
    </row>
    <row r="43" spans="1:72" ht="16" x14ac:dyDescent="0.2">
      <c r="B43" s="47" t="s">
        <v>17</v>
      </c>
      <c r="J43" s="48">
        <f>AVERAGE(J5:J39)</f>
        <v>5.2192127135214123E-2</v>
      </c>
      <c r="K43" s="48">
        <f>AVERAGE(K5:K39)</f>
        <v>1.5344313609318668E-2</v>
      </c>
      <c r="L43" s="48">
        <f>AVERAGE(L5:L39)</f>
        <v>1.1085503323223762E-2</v>
      </c>
      <c r="M43" s="48">
        <f>AVERAGE(M5:M39)</f>
        <v>3.6847813525895445E-2</v>
      </c>
      <c r="AH43" s="48">
        <f>AVERAGE(AH5:AH39)</f>
        <v>5.2192127135214123E-2</v>
      </c>
      <c r="AI43" s="48">
        <f>AVERAGE(AI5:AI39)</f>
        <v>1.5344313609318668E-2</v>
      </c>
      <c r="AJ43" s="48">
        <f>AVERAGE(AJ5:AJ39)</f>
        <v>1.1085503323223762E-2</v>
      </c>
      <c r="AK43" s="48">
        <f>AVERAGE(AK5:AK39)</f>
        <v>3.6847813525895445E-2</v>
      </c>
      <c r="BE43" s="52">
        <f t="shared" si="12"/>
        <v>1</v>
      </c>
      <c r="BH43" s="55">
        <f>AVERAGE(BH5:BH39)</f>
        <v>0</v>
      </c>
      <c r="BJ43" s="52">
        <f>AVERAGE(BJ5:BJ39)</f>
        <v>0</v>
      </c>
      <c r="BK43" s="52">
        <f>AVERAGE(BK5:BK39)</f>
        <v>0</v>
      </c>
      <c r="BL43" s="52">
        <f>AVERAGE(BL5:BL39)</f>
        <v>1.0819114244457553E-3</v>
      </c>
      <c r="BM43" s="52">
        <f>AVERAGE(BM5:BM39)</f>
        <v>-1.6778421686897455E-3</v>
      </c>
      <c r="BN43" s="52">
        <f>AVERAGE(BN5:BN39)</f>
        <v>-2.8658518426650952E-3</v>
      </c>
      <c r="BP43" s="52">
        <f>AVERAGE(BP5:BP39)</f>
        <v>0</v>
      </c>
      <c r="BQ43" s="52">
        <f>AVERAGE(BQ5:BQ39)</f>
        <v>0</v>
      </c>
      <c r="BR43" s="52">
        <f>AVERAGE(BR5:BR39)</f>
        <v>8.8400508670359395E-4</v>
      </c>
      <c r="BS43" s="52">
        <f>AVERAGE(BS5:BS39)</f>
        <v>-1.5191579681624085E-3</v>
      </c>
      <c r="BT43" s="52">
        <f>AVERAGE(BT5:BT39)</f>
        <v>-2.477507042176863E-3</v>
      </c>
    </row>
    <row r="44" spans="1:72" ht="16" hidden="1" outlineLevel="2" x14ac:dyDescent="0.2">
      <c r="A44" s="47" t="s">
        <v>237</v>
      </c>
      <c r="B44" s="47" t="s">
        <v>238</v>
      </c>
      <c r="AB44" s="49">
        <f>SUM(AB5:AB24,AB25:AB29,AB30:AB39)</f>
        <v>0</v>
      </c>
      <c r="AC44" s="49">
        <f>SUM(AC5:AC24,AC25:AC29,AC30:AC39)</f>
        <v>0</v>
      </c>
      <c r="AD44" s="49">
        <f>SUM(AD5:AD24,AD25:AD29,AD30:AD39)</f>
        <v>2612.5149999999999</v>
      </c>
      <c r="AE44" s="49">
        <f>SUM(AE5:AE24,AE25:AE29,AE30:AE39)</f>
        <v>0</v>
      </c>
      <c r="AZ44" s="49">
        <f>SUM(AZ5:AZ24,AZ25:AZ29,AZ30:AZ39)</f>
        <v>0</v>
      </c>
      <c r="BA44" s="49">
        <f>SUM(BA5:BA24,BA25:BA29,BA30:BA39)</f>
        <v>0</v>
      </c>
      <c r="BB44" s="49">
        <f>SUM(BB5:BB24,BB25:BB29,BB30:BB39)</f>
        <v>2501.9209999999994</v>
      </c>
      <c r="BC44" s="49">
        <f>SUM(BC5:BC24,BC25:BC29,BC30:BC39)</f>
        <v>0</v>
      </c>
    </row>
    <row r="45" spans="1:72" ht="16" hidden="1" outlineLevel="2" x14ac:dyDescent="0.2">
      <c r="B45" s="47" t="s">
        <v>239</v>
      </c>
      <c r="AZ45" s="55" t="e">
        <f>AZ44/AB44</f>
        <v>#DIV/0!</v>
      </c>
      <c r="BA45" s="55" t="e">
        <f>BA44/AC44</f>
        <v>#DIV/0!</v>
      </c>
      <c r="BB45" s="55">
        <f>BB44/AD44</f>
        <v>0.95766761147782864</v>
      </c>
      <c r="BC45" s="55" t="e">
        <f>BC44/AE44</f>
        <v>#DIV/0!</v>
      </c>
    </row>
    <row r="46" spans="1:72" ht="16" hidden="1" outlineLevel="2" x14ac:dyDescent="0.2">
      <c r="B46" s="47" t="s">
        <v>240</v>
      </c>
      <c r="AB46" s="49" t="e">
        <f>GEOMEAN(AB5:AB24,AB25:AB29,AB30:AB39)</f>
        <v>#NUM!</v>
      </c>
      <c r="AC46" s="49" t="e">
        <f>GEOMEAN(AC5:AC24,AC25:AC29,AC30:AC39)</f>
        <v>#NUM!</v>
      </c>
      <c r="AD46" s="49">
        <f>GEOMEAN(AD5:AD24,AD25:AD29,AD30:AD39)</f>
        <v>65.292901648617558</v>
      </c>
      <c r="AE46" s="49" t="e">
        <f>GEOMEAN(AE5:AE24,AE25:AE29,AE30:AE39)</f>
        <v>#NUM!</v>
      </c>
      <c r="AZ46" s="49" t="e">
        <f>GEOMEAN(AZ5:AZ24,AZ25:AZ29,AZ30:AZ39)</f>
        <v>#NUM!</v>
      </c>
      <c r="BA46" s="49" t="e">
        <f>GEOMEAN(BA5:BA24,BA25:BA29,BA30:BA39)</f>
        <v>#NUM!</v>
      </c>
      <c r="BB46" s="49">
        <f>GEOMEAN(BB5:BB24,BB25:BB29,BB30:BB39)</f>
        <v>61.932607065258971</v>
      </c>
      <c r="BC46" s="49" t="e">
        <f>GEOMEAN(BC5:BC24,BC25:BC29,BC30:BC39)</f>
        <v>#NUM!</v>
      </c>
    </row>
    <row r="47" spans="1:72" ht="16" outlineLevel="2" collapsed="1" x14ac:dyDescent="0.2">
      <c r="B47" s="47" t="s">
        <v>241</v>
      </c>
      <c r="AZ47" s="55" t="e">
        <f>AZ46/AB46</f>
        <v>#NUM!</v>
      </c>
      <c r="BA47" s="55" t="e">
        <f>BA46/AC46</f>
        <v>#NUM!</v>
      </c>
      <c r="BB47" s="55">
        <f>BB46/AD46</f>
        <v>0.94853507045157126</v>
      </c>
      <c r="BC47" s="55" t="e">
        <f>BC46/AE46</f>
        <v>#NUM!</v>
      </c>
    </row>
    <row r="50" spans="40:51" x14ac:dyDescent="0.2">
      <c r="AN50" s="53">
        <f>AN5-P5</f>
        <v>0</v>
      </c>
      <c r="AO50" s="58">
        <f t="shared" ref="AO50:AY65" si="15">AO5-Q5</f>
        <v>0</v>
      </c>
      <c r="AP50" s="58">
        <f t="shared" si="15"/>
        <v>0</v>
      </c>
      <c r="AQ50" s="58">
        <f t="shared" si="15"/>
        <v>0</v>
      </c>
      <c r="AR50" s="58">
        <f t="shared" si="15"/>
        <v>0</v>
      </c>
      <c r="AS50" s="58">
        <f t="shared" si="15"/>
        <v>0</v>
      </c>
      <c r="AT50" s="58">
        <f t="shared" si="15"/>
        <v>0</v>
      </c>
      <c r="AU50" s="58">
        <f t="shared" si="15"/>
        <v>0</v>
      </c>
      <c r="AV50" s="58">
        <f t="shared" si="15"/>
        <v>0</v>
      </c>
      <c r="AW50" s="58">
        <f t="shared" si="15"/>
        <v>-6.7800000000062255E-4</v>
      </c>
      <c r="AX50" s="58">
        <f t="shared" si="15"/>
        <v>-4.8219999999972174E-3</v>
      </c>
      <c r="AY50" s="58">
        <f t="shared" si="15"/>
        <v>-6.5629999999998745E-3</v>
      </c>
    </row>
    <row r="51" spans="40:51" x14ac:dyDescent="0.2">
      <c r="AN51" s="58">
        <f t="shared" ref="AN51:AN82" si="16">AN6-P6</f>
        <v>0</v>
      </c>
      <c r="AO51" s="58">
        <f t="shared" si="15"/>
        <v>0</v>
      </c>
      <c r="AP51" s="58">
        <f t="shared" si="15"/>
        <v>0</v>
      </c>
      <c r="AQ51" s="58">
        <f t="shared" si="15"/>
        <v>0</v>
      </c>
      <c r="AR51" s="58">
        <f t="shared" si="15"/>
        <v>0</v>
      </c>
      <c r="AS51" s="58">
        <f t="shared" si="15"/>
        <v>0</v>
      </c>
      <c r="AT51" s="58">
        <f t="shared" si="15"/>
        <v>0</v>
      </c>
      <c r="AU51" s="58">
        <f t="shared" si="15"/>
        <v>0</v>
      </c>
      <c r="AV51" s="58">
        <f t="shared" si="15"/>
        <v>0</v>
      </c>
      <c r="AW51" s="58">
        <f t="shared" si="15"/>
        <v>9.7399999999936426E-4</v>
      </c>
      <c r="AX51" s="58">
        <f t="shared" si="15"/>
        <v>-3.6940000000029727E-3</v>
      </c>
      <c r="AY51" s="58">
        <f t="shared" si="15"/>
        <v>-6.4569999999974925E-3</v>
      </c>
    </row>
    <row r="52" spans="40:51" x14ac:dyDescent="0.2">
      <c r="AN52" s="58">
        <f t="shared" si="16"/>
        <v>0</v>
      </c>
      <c r="AO52" s="58">
        <f t="shared" si="15"/>
        <v>0</v>
      </c>
      <c r="AP52" s="58">
        <f t="shared" si="15"/>
        <v>0</v>
      </c>
      <c r="AQ52" s="58">
        <f t="shared" si="15"/>
        <v>0</v>
      </c>
      <c r="AR52" s="58">
        <f t="shared" si="15"/>
        <v>0</v>
      </c>
      <c r="AS52" s="58">
        <f t="shared" si="15"/>
        <v>0</v>
      </c>
      <c r="AT52" s="58">
        <f t="shared" si="15"/>
        <v>0</v>
      </c>
      <c r="AU52" s="58">
        <f t="shared" si="15"/>
        <v>0</v>
      </c>
      <c r="AV52" s="58">
        <f t="shared" si="15"/>
        <v>0</v>
      </c>
      <c r="AW52" s="58">
        <f t="shared" si="15"/>
        <v>1.3190000000022906E-3</v>
      </c>
      <c r="AX52" s="58">
        <f t="shared" si="15"/>
        <v>-2.8059999999996421E-3</v>
      </c>
      <c r="AY52" s="58">
        <f t="shared" si="15"/>
        <v>-5.4559999999952424E-3</v>
      </c>
    </row>
    <row r="53" spans="40:51" x14ac:dyDescent="0.2">
      <c r="AN53" s="58">
        <f t="shared" si="16"/>
        <v>0</v>
      </c>
      <c r="AO53" s="58">
        <f t="shared" si="15"/>
        <v>0</v>
      </c>
      <c r="AP53" s="58">
        <f t="shared" si="15"/>
        <v>0</v>
      </c>
      <c r="AQ53" s="58">
        <f t="shared" si="15"/>
        <v>0</v>
      </c>
      <c r="AR53" s="58">
        <f t="shared" si="15"/>
        <v>0</v>
      </c>
      <c r="AS53" s="58">
        <f t="shared" si="15"/>
        <v>0</v>
      </c>
      <c r="AT53" s="58">
        <f t="shared" si="15"/>
        <v>0</v>
      </c>
      <c r="AU53" s="58">
        <f t="shared" si="15"/>
        <v>0</v>
      </c>
      <c r="AV53" s="58">
        <f t="shared" si="15"/>
        <v>0</v>
      </c>
      <c r="AW53" s="58">
        <f t="shared" si="15"/>
        <v>-2.9999999995311555E-6</v>
      </c>
      <c r="AX53" s="58">
        <f t="shared" si="15"/>
        <v>-2.0190000000042119E-3</v>
      </c>
      <c r="AY53" s="58">
        <f t="shared" si="15"/>
        <v>-4.8499999999975785E-3</v>
      </c>
    </row>
    <row r="54" spans="40:51" x14ac:dyDescent="0.2">
      <c r="AN54" s="58">
        <f t="shared" si="16"/>
        <v>0</v>
      </c>
      <c r="AO54" s="58">
        <f t="shared" si="15"/>
        <v>0</v>
      </c>
      <c r="AP54" s="58">
        <f t="shared" si="15"/>
        <v>0</v>
      </c>
      <c r="AQ54" s="58">
        <f t="shared" si="15"/>
        <v>0</v>
      </c>
      <c r="AR54" s="58">
        <f t="shared" si="15"/>
        <v>0</v>
      </c>
      <c r="AS54" s="58">
        <f t="shared" si="15"/>
        <v>0</v>
      </c>
      <c r="AT54" s="58">
        <f t="shared" si="15"/>
        <v>0</v>
      </c>
      <c r="AU54" s="58">
        <f t="shared" si="15"/>
        <v>0</v>
      </c>
      <c r="AV54" s="58">
        <f t="shared" si="15"/>
        <v>0</v>
      </c>
      <c r="AW54" s="58">
        <f t="shared" si="15"/>
        <v>6.7599999999998772E-3</v>
      </c>
      <c r="AX54" s="58">
        <f t="shared" si="15"/>
        <v>-4.5300000000025875E-4</v>
      </c>
      <c r="AY54" s="58">
        <f t="shared" si="15"/>
        <v>-1.3620000000003074E-3</v>
      </c>
    </row>
    <row r="55" spans="40:51" x14ac:dyDescent="0.2">
      <c r="AN55" s="58">
        <f t="shared" si="16"/>
        <v>0</v>
      </c>
      <c r="AO55" s="58">
        <f t="shared" si="15"/>
        <v>0</v>
      </c>
      <c r="AP55" s="58">
        <f t="shared" si="15"/>
        <v>0</v>
      </c>
      <c r="AQ55" s="58">
        <f t="shared" si="15"/>
        <v>0</v>
      </c>
      <c r="AR55" s="58">
        <f t="shared" si="15"/>
        <v>0</v>
      </c>
      <c r="AS55" s="58">
        <f t="shared" si="15"/>
        <v>0</v>
      </c>
      <c r="AT55" s="58">
        <f t="shared" si="15"/>
        <v>0</v>
      </c>
      <c r="AU55" s="58">
        <f t="shared" si="15"/>
        <v>0</v>
      </c>
      <c r="AV55" s="58">
        <f t="shared" si="15"/>
        <v>0</v>
      </c>
      <c r="AW55" s="58">
        <f t="shared" si="15"/>
        <v>-4.3179999999978236E-3</v>
      </c>
      <c r="AX55" s="58">
        <f t="shared" si="15"/>
        <v>-2.5150000000024875E-3</v>
      </c>
      <c r="AY55" s="58">
        <f t="shared" si="15"/>
        <v>-2.2250000000028081E-3</v>
      </c>
    </row>
    <row r="56" spans="40:51" x14ac:dyDescent="0.2">
      <c r="AN56" s="58">
        <f t="shared" si="16"/>
        <v>0</v>
      </c>
      <c r="AO56" s="58">
        <f t="shared" si="15"/>
        <v>0</v>
      </c>
      <c r="AP56" s="58">
        <f t="shared" si="15"/>
        <v>0</v>
      </c>
      <c r="AQ56" s="58">
        <f t="shared" si="15"/>
        <v>0</v>
      </c>
      <c r="AR56" s="58">
        <f t="shared" si="15"/>
        <v>0</v>
      </c>
      <c r="AS56" s="58">
        <f t="shared" si="15"/>
        <v>0</v>
      </c>
      <c r="AT56" s="58">
        <f t="shared" si="15"/>
        <v>0</v>
      </c>
      <c r="AU56" s="58">
        <f t="shared" si="15"/>
        <v>0</v>
      </c>
      <c r="AV56" s="58">
        <f t="shared" si="15"/>
        <v>0</v>
      </c>
      <c r="AW56" s="58">
        <f t="shared" si="15"/>
        <v>-2.3309999999980846E-3</v>
      </c>
      <c r="AX56" s="58">
        <f t="shared" si="15"/>
        <v>-1.5220000000013556E-3</v>
      </c>
      <c r="AY56" s="58">
        <f t="shared" si="15"/>
        <v>-1.2340000000037321E-3</v>
      </c>
    </row>
    <row r="57" spans="40:51" x14ac:dyDescent="0.2">
      <c r="AN57" s="58">
        <f t="shared" si="16"/>
        <v>0</v>
      </c>
      <c r="AO57" s="58">
        <f t="shared" si="15"/>
        <v>0</v>
      </c>
      <c r="AP57" s="58">
        <f t="shared" si="15"/>
        <v>0</v>
      </c>
      <c r="AQ57" s="58">
        <f t="shared" si="15"/>
        <v>0</v>
      </c>
      <c r="AR57" s="58">
        <f t="shared" si="15"/>
        <v>0</v>
      </c>
      <c r="AS57" s="58">
        <f t="shared" si="15"/>
        <v>0</v>
      </c>
      <c r="AT57" s="58">
        <f t="shared" si="15"/>
        <v>0</v>
      </c>
      <c r="AU57" s="58">
        <f t="shared" si="15"/>
        <v>0</v>
      </c>
      <c r="AV57" s="58">
        <f t="shared" si="15"/>
        <v>0</v>
      </c>
      <c r="AW57" s="58">
        <f t="shared" si="15"/>
        <v>-2.7660000000011564E-3</v>
      </c>
      <c r="AX57" s="58">
        <f t="shared" si="15"/>
        <v>-1.4189999999985048E-3</v>
      </c>
      <c r="AY57" s="58">
        <f t="shared" si="15"/>
        <v>-1.5459999999976048E-3</v>
      </c>
    </row>
    <row r="58" spans="40:51" x14ac:dyDescent="0.2">
      <c r="AN58" s="58">
        <f t="shared" si="16"/>
        <v>0</v>
      </c>
      <c r="AO58" s="58">
        <f t="shared" si="15"/>
        <v>0</v>
      </c>
      <c r="AP58" s="58">
        <f t="shared" si="15"/>
        <v>0</v>
      </c>
      <c r="AQ58" s="58">
        <f t="shared" si="15"/>
        <v>0</v>
      </c>
      <c r="AR58" s="58">
        <f t="shared" si="15"/>
        <v>0</v>
      </c>
      <c r="AS58" s="58">
        <f t="shared" si="15"/>
        <v>0</v>
      </c>
      <c r="AT58" s="58">
        <f t="shared" si="15"/>
        <v>0</v>
      </c>
      <c r="AU58" s="58">
        <f t="shared" si="15"/>
        <v>0</v>
      </c>
      <c r="AV58" s="58">
        <f t="shared" si="15"/>
        <v>0</v>
      </c>
      <c r="AW58" s="58">
        <f t="shared" si="15"/>
        <v>-3.0470000000022424E-3</v>
      </c>
      <c r="AX58" s="58">
        <f t="shared" si="15"/>
        <v>-7.8700000000253567E-4</v>
      </c>
      <c r="AY58" s="58">
        <f t="shared" si="15"/>
        <v>-1.4649999999960528E-3</v>
      </c>
    </row>
    <row r="59" spans="40:51" x14ac:dyDescent="0.2">
      <c r="AN59" s="58">
        <f t="shared" si="16"/>
        <v>0</v>
      </c>
      <c r="AO59" s="58">
        <f t="shared" si="15"/>
        <v>0</v>
      </c>
      <c r="AP59" s="58">
        <f t="shared" si="15"/>
        <v>0</v>
      </c>
      <c r="AQ59" s="58">
        <f t="shared" si="15"/>
        <v>0</v>
      </c>
      <c r="AR59" s="58">
        <f t="shared" si="15"/>
        <v>0</v>
      </c>
      <c r="AS59" s="58">
        <f t="shared" si="15"/>
        <v>0</v>
      </c>
      <c r="AT59" s="58">
        <f t="shared" si="15"/>
        <v>0</v>
      </c>
      <c r="AU59" s="58">
        <f t="shared" si="15"/>
        <v>0</v>
      </c>
      <c r="AV59" s="58">
        <f t="shared" si="15"/>
        <v>0</v>
      </c>
      <c r="AW59" s="58">
        <f t="shared" si="15"/>
        <v>-1.4839999999978204E-3</v>
      </c>
      <c r="AX59" s="58">
        <f t="shared" si="15"/>
        <v>-8.9400000000239288E-4</v>
      </c>
      <c r="AY59" s="58">
        <f t="shared" si="15"/>
        <v>1.3970000000043115E-3</v>
      </c>
    </row>
    <row r="60" spans="40:51" x14ac:dyDescent="0.2">
      <c r="AN60" s="58">
        <f t="shared" si="16"/>
        <v>0</v>
      </c>
      <c r="AO60" s="58">
        <f t="shared" si="15"/>
        <v>0</v>
      </c>
      <c r="AP60" s="58">
        <f t="shared" si="15"/>
        <v>0</v>
      </c>
      <c r="AQ60" s="58">
        <f t="shared" si="15"/>
        <v>0</v>
      </c>
      <c r="AR60" s="58">
        <f t="shared" si="15"/>
        <v>0</v>
      </c>
      <c r="AS60" s="58">
        <f t="shared" si="15"/>
        <v>0</v>
      </c>
      <c r="AT60" s="58">
        <f t="shared" si="15"/>
        <v>0</v>
      </c>
      <c r="AU60" s="58">
        <f t="shared" si="15"/>
        <v>0</v>
      </c>
      <c r="AV60" s="58">
        <f t="shared" si="15"/>
        <v>0</v>
      </c>
      <c r="AW60" s="58">
        <f t="shared" si="15"/>
        <v>-2.0129999999980441E-3</v>
      </c>
      <c r="AX60" s="58">
        <f t="shared" si="15"/>
        <v>-1.381000000002075E-3</v>
      </c>
      <c r="AY60" s="58">
        <f t="shared" si="15"/>
        <v>-1.0279999999980305E-3</v>
      </c>
    </row>
    <row r="61" spans="40:51" x14ac:dyDescent="0.2">
      <c r="AN61" s="58">
        <f t="shared" si="16"/>
        <v>0</v>
      </c>
      <c r="AO61" s="58">
        <f t="shared" si="15"/>
        <v>0</v>
      </c>
      <c r="AP61" s="58">
        <f t="shared" si="15"/>
        <v>0</v>
      </c>
      <c r="AQ61" s="58">
        <f t="shared" si="15"/>
        <v>0</v>
      </c>
      <c r="AR61" s="58">
        <f t="shared" si="15"/>
        <v>0</v>
      </c>
      <c r="AS61" s="58">
        <f t="shared" si="15"/>
        <v>0</v>
      </c>
      <c r="AT61" s="58">
        <f t="shared" si="15"/>
        <v>0</v>
      </c>
      <c r="AU61" s="58">
        <f t="shared" si="15"/>
        <v>0</v>
      </c>
      <c r="AV61" s="58">
        <f t="shared" si="15"/>
        <v>0</v>
      </c>
      <c r="AW61" s="58">
        <f t="shared" si="15"/>
        <v>-7.8199999999739589E-4</v>
      </c>
      <c r="AX61" s="58">
        <f t="shared" si="15"/>
        <v>-5.9700000000617592E-4</v>
      </c>
      <c r="AY61" s="58">
        <f t="shared" si="15"/>
        <v>-5.0600000000144973E-4</v>
      </c>
    </row>
    <row r="62" spans="40:51" x14ac:dyDescent="0.2">
      <c r="AN62" s="58">
        <f t="shared" si="16"/>
        <v>0</v>
      </c>
      <c r="AO62" s="58">
        <f t="shared" si="15"/>
        <v>0</v>
      </c>
      <c r="AP62" s="58">
        <f t="shared" si="15"/>
        <v>0</v>
      </c>
      <c r="AQ62" s="58">
        <f t="shared" si="15"/>
        <v>0</v>
      </c>
      <c r="AR62" s="58">
        <f t="shared" si="15"/>
        <v>0</v>
      </c>
      <c r="AS62" s="58">
        <f t="shared" si="15"/>
        <v>0</v>
      </c>
      <c r="AT62" s="58">
        <f t="shared" si="15"/>
        <v>0</v>
      </c>
      <c r="AU62" s="58">
        <f t="shared" si="15"/>
        <v>0</v>
      </c>
      <c r="AV62" s="58">
        <f t="shared" si="15"/>
        <v>0</v>
      </c>
      <c r="AW62" s="58">
        <f t="shared" si="15"/>
        <v>-3.529999999969391E-4</v>
      </c>
      <c r="AX62" s="58">
        <f t="shared" si="15"/>
        <v>-9.70000000037885E-5</v>
      </c>
      <c r="AY62" s="58">
        <f t="shared" si="15"/>
        <v>-2.3699999999848842E-4</v>
      </c>
    </row>
    <row r="63" spans="40:51" x14ac:dyDescent="0.2">
      <c r="AN63" s="58">
        <f t="shared" si="16"/>
        <v>0</v>
      </c>
      <c r="AO63" s="58">
        <f t="shared" si="15"/>
        <v>0</v>
      </c>
      <c r="AP63" s="58">
        <f t="shared" si="15"/>
        <v>0</v>
      </c>
      <c r="AQ63" s="58">
        <f t="shared" si="15"/>
        <v>0</v>
      </c>
      <c r="AR63" s="58">
        <f t="shared" si="15"/>
        <v>0</v>
      </c>
      <c r="AS63" s="58">
        <f t="shared" si="15"/>
        <v>0</v>
      </c>
      <c r="AT63" s="58">
        <f t="shared" si="15"/>
        <v>0</v>
      </c>
      <c r="AU63" s="58">
        <f t="shared" si="15"/>
        <v>0</v>
      </c>
      <c r="AV63" s="58">
        <f t="shared" si="15"/>
        <v>0</v>
      </c>
      <c r="AW63" s="58">
        <f t="shared" si="15"/>
        <v>-3.2659999999964384E-3</v>
      </c>
      <c r="AX63" s="58">
        <f t="shared" si="15"/>
        <v>3.6200000000263799E-4</v>
      </c>
      <c r="AY63" s="58">
        <f t="shared" si="15"/>
        <v>3.7500000000534328E-4</v>
      </c>
    </row>
    <row r="64" spans="40:51" x14ac:dyDescent="0.2">
      <c r="AN64" s="58">
        <f t="shared" si="16"/>
        <v>0</v>
      </c>
      <c r="AO64" s="58">
        <f t="shared" si="15"/>
        <v>0</v>
      </c>
      <c r="AP64" s="58">
        <f t="shared" si="15"/>
        <v>0</v>
      </c>
      <c r="AQ64" s="58">
        <f t="shared" si="15"/>
        <v>0</v>
      </c>
      <c r="AR64" s="58">
        <f t="shared" si="15"/>
        <v>0</v>
      </c>
      <c r="AS64" s="58">
        <f t="shared" si="15"/>
        <v>0</v>
      </c>
      <c r="AT64" s="58">
        <f t="shared" si="15"/>
        <v>0</v>
      </c>
      <c r="AU64" s="58">
        <f t="shared" si="15"/>
        <v>0</v>
      </c>
      <c r="AV64" s="58">
        <f t="shared" si="15"/>
        <v>0</v>
      </c>
      <c r="AW64" s="58">
        <f t="shared" si="15"/>
        <v>4.9939999999963902E-3</v>
      </c>
      <c r="AX64" s="58">
        <f t="shared" si="15"/>
        <v>-1.5690000000034843E-3</v>
      </c>
      <c r="AY64" s="58">
        <f t="shared" si="15"/>
        <v>-2.2220000000032769E-3</v>
      </c>
    </row>
    <row r="65" spans="40:51" x14ac:dyDescent="0.2">
      <c r="AN65" s="58">
        <f t="shared" si="16"/>
        <v>0</v>
      </c>
      <c r="AO65" s="58">
        <f t="shared" si="15"/>
        <v>0</v>
      </c>
      <c r="AP65" s="58">
        <f t="shared" si="15"/>
        <v>0</v>
      </c>
      <c r="AQ65" s="58">
        <f t="shared" si="15"/>
        <v>0</v>
      </c>
      <c r="AR65" s="58">
        <f t="shared" si="15"/>
        <v>0</v>
      </c>
      <c r="AS65" s="58">
        <f t="shared" si="15"/>
        <v>0</v>
      </c>
      <c r="AT65" s="58">
        <f t="shared" si="15"/>
        <v>0</v>
      </c>
      <c r="AU65" s="58">
        <f t="shared" si="15"/>
        <v>0</v>
      </c>
      <c r="AV65" s="58">
        <f t="shared" si="15"/>
        <v>0</v>
      </c>
      <c r="AW65" s="58">
        <f t="shared" si="15"/>
        <v>1.4833999999996905E-2</v>
      </c>
      <c r="AX65" s="58">
        <f t="shared" si="15"/>
        <v>1.3339999999999463E-3</v>
      </c>
      <c r="AY65" s="58">
        <f t="shared" si="15"/>
        <v>1.0390999999998485E-2</v>
      </c>
    </row>
    <row r="66" spans="40:51" x14ac:dyDescent="0.2">
      <c r="AN66" s="58">
        <f t="shared" si="16"/>
        <v>0</v>
      </c>
      <c r="AO66" s="58">
        <f t="shared" ref="AO66:AO84" si="17">AO21-Q21</f>
        <v>0</v>
      </c>
      <c r="AP66" s="58">
        <f t="shared" ref="AP66:AP84" si="18">AP21-R21</f>
        <v>0</v>
      </c>
      <c r="AQ66" s="58">
        <f t="shared" ref="AQ66:AQ84" si="19">AQ21-S21</f>
        <v>0</v>
      </c>
      <c r="AR66" s="58">
        <f t="shared" ref="AR66:AR84" si="20">AR21-T21</f>
        <v>0</v>
      </c>
      <c r="AS66" s="58">
        <f t="shared" ref="AS66:AS84" si="21">AS21-U21</f>
        <v>0</v>
      </c>
      <c r="AT66" s="58">
        <f t="shared" ref="AT66:AT84" si="22">AT21-V21</f>
        <v>0</v>
      </c>
      <c r="AU66" s="58">
        <f t="shared" ref="AU66:AU84" si="23">AU21-W21</f>
        <v>0</v>
      </c>
      <c r="AV66" s="58">
        <f t="shared" ref="AV66:AV84" si="24">AV21-X21</f>
        <v>0</v>
      </c>
      <c r="AW66" s="58">
        <f t="shared" ref="AW66:AW84" si="25">AW21-Y21</f>
        <v>1.9178000000003692E-2</v>
      </c>
      <c r="AX66" s="58">
        <f t="shared" ref="AX66:AX84" si="26">AX21-Z21</f>
        <v>1.2081999999999482E-2</v>
      </c>
      <c r="AY66" s="58">
        <f t="shared" ref="AY66:AY84" si="27">AY21-AA21</f>
        <v>2.3706000000004224E-2</v>
      </c>
    </row>
    <row r="67" spans="40:51" x14ac:dyDescent="0.2">
      <c r="AN67" s="58">
        <f t="shared" si="16"/>
        <v>0</v>
      </c>
      <c r="AO67" s="58">
        <f t="shared" si="17"/>
        <v>0</v>
      </c>
      <c r="AP67" s="58">
        <f t="shared" si="18"/>
        <v>0</v>
      </c>
      <c r="AQ67" s="58">
        <f t="shared" si="19"/>
        <v>0</v>
      </c>
      <c r="AR67" s="58">
        <f t="shared" si="20"/>
        <v>0</v>
      </c>
      <c r="AS67" s="58">
        <f t="shared" si="21"/>
        <v>0</v>
      </c>
      <c r="AT67" s="58">
        <f t="shared" si="22"/>
        <v>0</v>
      </c>
      <c r="AU67" s="58">
        <f t="shared" si="23"/>
        <v>0</v>
      </c>
      <c r="AV67" s="58">
        <f t="shared" si="24"/>
        <v>0</v>
      </c>
      <c r="AW67" s="58">
        <f t="shared" si="25"/>
        <v>-1.92869999999985E-2</v>
      </c>
      <c r="AX67" s="58">
        <f t="shared" si="26"/>
        <v>2.0814999999998918E-2</v>
      </c>
      <c r="AY67" s="58">
        <f t="shared" si="27"/>
        <v>3.5987000000005764E-2</v>
      </c>
    </row>
    <row r="68" spans="40:51" x14ac:dyDescent="0.2">
      <c r="AN68" s="58">
        <f t="shared" si="16"/>
        <v>0</v>
      </c>
      <c r="AO68" s="58">
        <f t="shared" si="17"/>
        <v>0</v>
      </c>
      <c r="AP68" s="58">
        <f t="shared" si="18"/>
        <v>0</v>
      </c>
      <c r="AQ68" s="58">
        <f t="shared" si="19"/>
        <v>0</v>
      </c>
      <c r="AR68" s="58">
        <f t="shared" si="20"/>
        <v>0</v>
      </c>
      <c r="AS68" s="58">
        <f t="shared" si="21"/>
        <v>0</v>
      </c>
      <c r="AT68" s="58">
        <f t="shared" si="22"/>
        <v>0</v>
      </c>
      <c r="AU68" s="58">
        <f t="shared" si="23"/>
        <v>0</v>
      </c>
      <c r="AV68" s="58">
        <f t="shared" si="24"/>
        <v>0</v>
      </c>
      <c r="AW68" s="58">
        <f t="shared" si="25"/>
        <v>-8.4421999999996444E-2</v>
      </c>
      <c r="AX68" s="58">
        <f t="shared" si="26"/>
        <v>2.9000000000003467E-2</v>
      </c>
      <c r="AY68" s="58">
        <f t="shared" si="27"/>
        <v>4.5707000000000164E-2</v>
      </c>
    </row>
    <row r="69" spans="40:51" x14ac:dyDescent="0.2">
      <c r="AN69" s="58">
        <f t="shared" si="16"/>
        <v>0</v>
      </c>
      <c r="AO69" s="58">
        <f t="shared" si="17"/>
        <v>0</v>
      </c>
      <c r="AP69" s="58">
        <f t="shared" si="18"/>
        <v>0</v>
      </c>
      <c r="AQ69" s="58">
        <f t="shared" si="19"/>
        <v>0</v>
      </c>
      <c r="AR69" s="58">
        <f t="shared" si="20"/>
        <v>0</v>
      </c>
      <c r="AS69" s="58">
        <f t="shared" si="21"/>
        <v>0</v>
      </c>
      <c r="AT69" s="58">
        <f t="shared" si="22"/>
        <v>0</v>
      </c>
      <c r="AU69" s="58">
        <f t="shared" si="23"/>
        <v>0</v>
      </c>
      <c r="AV69" s="58">
        <f t="shared" si="24"/>
        <v>0</v>
      </c>
      <c r="AW69" s="58">
        <f t="shared" si="25"/>
        <v>0.15200600000000009</v>
      </c>
      <c r="AX69" s="58">
        <f t="shared" si="26"/>
        <v>8.8755999999996504E-2</v>
      </c>
      <c r="AY69" s="58">
        <f t="shared" si="27"/>
        <v>0.11773500000000325</v>
      </c>
    </row>
    <row r="70" spans="40:51" x14ac:dyDescent="0.2">
      <c r="AN70" s="58">
        <f t="shared" si="16"/>
        <v>0</v>
      </c>
      <c r="AO70" s="58">
        <f t="shared" si="17"/>
        <v>0</v>
      </c>
      <c r="AP70" s="58">
        <f t="shared" si="18"/>
        <v>0</v>
      </c>
      <c r="AQ70" s="58">
        <f t="shared" si="19"/>
        <v>0</v>
      </c>
      <c r="AR70" s="58">
        <f t="shared" si="20"/>
        <v>0</v>
      </c>
      <c r="AS70" s="58">
        <f t="shared" si="21"/>
        <v>0</v>
      </c>
      <c r="AT70" s="58">
        <f t="shared" si="22"/>
        <v>0</v>
      </c>
      <c r="AU70" s="58">
        <f t="shared" si="23"/>
        <v>0</v>
      </c>
      <c r="AV70" s="58">
        <f t="shared" si="24"/>
        <v>0</v>
      </c>
      <c r="AW70" s="58">
        <f t="shared" si="25"/>
        <v>-1.9100000000094042E-4</v>
      </c>
      <c r="AX70" s="58">
        <f t="shared" si="26"/>
        <v>-1.8719999999987635E-3</v>
      </c>
      <c r="AY70" s="58">
        <f t="shared" si="27"/>
        <v>-1.6189999999980387E-3</v>
      </c>
    </row>
    <row r="71" spans="40:51" x14ac:dyDescent="0.2">
      <c r="AN71" s="58">
        <f t="shared" si="16"/>
        <v>0</v>
      </c>
      <c r="AO71" s="58">
        <f t="shared" si="17"/>
        <v>0</v>
      </c>
      <c r="AP71" s="58">
        <f t="shared" si="18"/>
        <v>0</v>
      </c>
      <c r="AQ71" s="58">
        <f t="shared" si="19"/>
        <v>0</v>
      </c>
      <c r="AR71" s="58">
        <f t="shared" si="20"/>
        <v>0</v>
      </c>
      <c r="AS71" s="58">
        <f t="shared" si="21"/>
        <v>0</v>
      </c>
      <c r="AT71" s="58">
        <f t="shared" si="22"/>
        <v>0</v>
      </c>
      <c r="AU71" s="58">
        <f t="shared" si="23"/>
        <v>0</v>
      </c>
      <c r="AV71" s="58">
        <f t="shared" si="24"/>
        <v>0</v>
      </c>
      <c r="AW71" s="58">
        <f t="shared" si="25"/>
        <v>-1.1200000000144428E-4</v>
      </c>
      <c r="AX71" s="58">
        <f t="shared" si="26"/>
        <v>-1.3369999999994775E-3</v>
      </c>
      <c r="AY71" s="58">
        <f t="shared" si="27"/>
        <v>-1.1900000000011346E-3</v>
      </c>
    </row>
    <row r="72" spans="40:51" x14ac:dyDescent="0.2">
      <c r="AN72" s="58">
        <f t="shared" si="16"/>
        <v>0</v>
      </c>
      <c r="AO72" s="58">
        <f t="shared" si="17"/>
        <v>0</v>
      </c>
      <c r="AP72" s="58">
        <f t="shared" si="18"/>
        <v>0</v>
      </c>
      <c r="AQ72" s="58">
        <f t="shared" si="19"/>
        <v>0</v>
      </c>
      <c r="AR72" s="58">
        <f t="shared" si="20"/>
        <v>0</v>
      </c>
      <c r="AS72" s="58">
        <f t="shared" si="21"/>
        <v>0</v>
      </c>
      <c r="AT72" s="58">
        <f t="shared" si="22"/>
        <v>0</v>
      </c>
      <c r="AU72" s="58">
        <f t="shared" si="23"/>
        <v>0</v>
      </c>
      <c r="AV72" s="58">
        <f t="shared" si="24"/>
        <v>0</v>
      </c>
      <c r="AW72" s="58">
        <f t="shared" si="25"/>
        <v>-6.1799999999578858E-4</v>
      </c>
      <c r="AX72" s="58">
        <f t="shared" si="26"/>
        <v>-7.4999999999647571E-4</v>
      </c>
      <c r="AY72" s="58">
        <f t="shared" si="27"/>
        <v>-4.4100000000213413E-4</v>
      </c>
    </row>
    <row r="73" spans="40:51" x14ac:dyDescent="0.2">
      <c r="AN73" s="58">
        <f t="shared" si="16"/>
        <v>0</v>
      </c>
      <c r="AO73" s="58">
        <f t="shared" si="17"/>
        <v>0</v>
      </c>
      <c r="AP73" s="58">
        <f t="shared" si="18"/>
        <v>0</v>
      </c>
      <c r="AQ73" s="58">
        <f t="shared" si="19"/>
        <v>0</v>
      </c>
      <c r="AR73" s="58">
        <f t="shared" si="20"/>
        <v>0</v>
      </c>
      <c r="AS73" s="58">
        <f t="shared" si="21"/>
        <v>0</v>
      </c>
      <c r="AT73" s="58">
        <f t="shared" si="22"/>
        <v>0</v>
      </c>
      <c r="AU73" s="58">
        <f t="shared" si="23"/>
        <v>0</v>
      </c>
      <c r="AV73" s="58">
        <f t="shared" si="24"/>
        <v>0</v>
      </c>
      <c r="AW73" s="58">
        <f t="shared" si="25"/>
        <v>-3.7120000000001596E-3</v>
      </c>
      <c r="AX73" s="58">
        <f t="shared" si="26"/>
        <v>-5.4399999999787951E-4</v>
      </c>
      <c r="AY73" s="58">
        <f t="shared" si="27"/>
        <v>-6.0699999999513921E-4</v>
      </c>
    </row>
    <row r="74" spans="40:51" x14ac:dyDescent="0.2">
      <c r="AN74" s="58">
        <f t="shared" si="16"/>
        <v>0</v>
      </c>
      <c r="AO74" s="58">
        <f t="shared" si="17"/>
        <v>0</v>
      </c>
      <c r="AP74" s="58">
        <f t="shared" si="18"/>
        <v>0</v>
      </c>
      <c r="AQ74" s="58">
        <f t="shared" si="19"/>
        <v>0</v>
      </c>
      <c r="AR74" s="58">
        <f t="shared" si="20"/>
        <v>0</v>
      </c>
      <c r="AS74" s="58">
        <f t="shared" si="21"/>
        <v>0</v>
      </c>
      <c r="AT74" s="58">
        <f t="shared" si="22"/>
        <v>0</v>
      </c>
      <c r="AU74" s="58">
        <f t="shared" si="23"/>
        <v>0</v>
      </c>
      <c r="AV74" s="58">
        <f t="shared" si="24"/>
        <v>0</v>
      </c>
      <c r="AW74" s="58">
        <f t="shared" si="25"/>
        <v>-1.8099999999776628E-4</v>
      </c>
      <c r="AX74" s="58">
        <f t="shared" si="26"/>
        <v>-6.199999999978445E-5</v>
      </c>
      <c r="AY74" s="58">
        <f t="shared" si="27"/>
        <v>7.3400000000134469E-4</v>
      </c>
    </row>
    <row r="75" spans="40:51" x14ac:dyDescent="0.2">
      <c r="AN75" s="58">
        <f t="shared" si="16"/>
        <v>0</v>
      </c>
      <c r="AO75" s="58">
        <f t="shared" si="17"/>
        <v>0</v>
      </c>
      <c r="AP75" s="58">
        <f t="shared" si="18"/>
        <v>0</v>
      </c>
      <c r="AQ75" s="58">
        <f t="shared" si="19"/>
        <v>0</v>
      </c>
      <c r="AR75" s="58">
        <f t="shared" si="20"/>
        <v>0</v>
      </c>
      <c r="AS75" s="58">
        <f t="shared" si="21"/>
        <v>0</v>
      </c>
      <c r="AT75" s="58">
        <f t="shared" si="22"/>
        <v>0</v>
      </c>
      <c r="AU75" s="58">
        <f t="shared" si="23"/>
        <v>0</v>
      </c>
      <c r="AV75" s="58">
        <f t="shared" si="24"/>
        <v>0</v>
      </c>
      <c r="AW75" s="58">
        <f t="shared" si="25"/>
        <v>-3.4039999999961879E-3</v>
      </c>
      <c r="AX75" s="58">
        <f t="shared" si="26"/>
        <v>-6.310000000055993E-4</v>
      </c>
      <c r="AY75" s="58">
        <f t="shared" si="27"/>
        <v>-1.3160000000027594E-3</v>
      </c>
    </row>
    <row r="76" spans="40:51" x14ac:dyDescent="0.2">
      <c r="AN76" s="58">
        <f t="shared" si="16"/>
        <v>0</v>
      </c>
      <c r="AO76" s="58">
        <f t="shared" si="17"/>
        <v>0</v>
      </c>
      <c r="AP76" s="58">
        <f t="shared" si="18"/>
        <v>0</v>
      </c>
      <c r="AQ76" s="58">
        <f t="shared" si="19"/>
        <v>0</v>
      </c>
      <c r="AR76" s="58">
        <f t="shared" si="20"/>
        <v>0</v>
      </c>
      <c r="AS76" s="58">
        <f t="shared" si="21"/>
        <v>0</v>
      </c>
      <c r="AT76" s="58">
        <f t="shared" si="22"/>
        <v>0</v>
      </c>
      <c r="AU76" s="58">
        <f t="shared" si="23"/>
        <v>0</v>
      </c>
      <c r="AV76" s="58">
        <f t="shared" si="24"/>
        <v>0</v>
      </c>
      <c r="AW76" s="58">
        <f t="shared" si="25"/>
        <v>-2.3999999999944066E-3</v>
      </c>
      <c r="AX76" s="58">
        <f t="shared" si="26"/>
        <v>-3.2499999999657803E-4</v>
      </c>
      <c r="AY76" s="58">
        <f t="shared" si="27"/>
        <v>-1.0379999999940992E-3</v>
      </c>
    </row>
    <row r="77" spans="40:51" x14ac:dyDescent="0.2">
      <c r="AN77" s="58">
        <f t="shared" si="16"/>
        <v>0</v>
      </c>
      <c r="AO77" s="58">
        <f t="shared" si="17"/>
        <v>0</v>
      </c>
      <c r="AP77" s="58">
        <f t="shared" si="18"/>
        <v>0</v>
      </c>
      <c r="AQ77" s="58">
        <f t="shared" si="19"/>
        <v>0</v>
      </c>
      <c r="AR77" s="58">
        <f t="shared" si="20"/>
        <v>0</v>
      </c>
      <c r="AS77" s="58">
        <f t="shared" si="21"/>
        <v>0</v>
      </c>
      <c r="AT77" s="58">
        <f t="shared" si="22"/>
        <v>0</v>
      </c>
      <c r="AU77" s="58">
        <f t="shared" si="23"/>
        <v>0</v>
      </c>
      <c r="AV77" s="58">
        <f t="shared" si="24"/>
        <v>0</v>
      </c>
      <c r="AW77" s="58">
        <f t="shared" si="25"/>
        <v>-1.9029999999986558E-3</v>
      </c>
      <c r="AX77" s="58">
        <f t="shared" si="26"/>
        <v>-8.4000000001083208E-5</v>
      </c>
      <c r="AY77" s="58">
        <f t="shared" si="27"/>
        <v>-5.6899999999870943E-4</v>
      </c>
    </row>
    <row r="78" spans="40:51" x14ac:dyDescent="0.2">
      <c r="AN78" s="58">
        <f t="shared" si="16"/>
        <v>0</v>
      </c>
      <c r="AO78" s="58">
        <f t="shared" si="17"/>
        <v>0</v>
      </c>
      <c r="AP78" s="58">
        <f t="shared" si="18"/>
        <v>0</v>
      </c>
      <c r="AQ78" s="58">
        <f t="shared" si="19"/>
        <v>0</v>
      </c>
      <c r="AR78" s="58">
        <f t="shared" si="20"/>
        <v>0</v>
      </c>
      <c r="AS78" s="58">
        <f t="shared" si="21"/>
        <v>0</v>
      </c>
      <c r="AT78" s="58">
        <f t="shared" si="22"/>
        <v>0</v>
      </c>
      <c r="AU78" s="58">
        <f t="shared" si="23"/>
        <v>0</v>
      </c>
      <c r="AV78" s="58">
        <f t="shared" si="24"/>
        <v>0</v>
      </c>
      <c r="AW78" s="58">
        <f t="shared" si="25"/>
        <v>-2.136999999997613E-3</v>
      </c>
      <c r="AX78" s="58">
        <f t="shared" si="26"/>
        <v>1.1500000000097543E-4</v>
      </c>
      <c r="AY78" s="58">
        <f t="shared" si="27"/>
        <v>-4.9700000000285627E-4</v>
      </c>
    </row>
    <row r="79" spans="40:51" x14ac:dyDescent="0.2">
      <c r="AN79" s="58">
        <f t="shared" si="16"/>
        <v>0</v>
      </c>
      <c r="AO79" s="58">
        <f t="shared" si="17"/>
        <v>0</v>
      </c>
      <c r="AP79" s="58">
        <f t="shared" si="18"/>
        <v>0</v>
      </c>
      <c r="AQ79" s="58">
        <f t="shared" si="19"/>
        <v>0</v>
      </c>
      <c r="AR79" s="58">
        <f t="shared" si="20"/>
        <v>0</v>
      </c>
      <c r="AS79" s="58">
        <f t="shared" si="21"/>
        <v>0</v>
      </c>
      <c r="AT79" s="58">
        <f t="shared" si="22"/>
        <v>0</v>
      </c>
      <c r="AU79" s="58">
        <f t="shared" si="23"/>
        <v>0</v>
      </c>
      <c r="AV79" s="58">
        <f t="shared" si="24"/>
        <v>0</v>
      </c>
      <c r="AW79" s="58">
        <f t="shared" si="25"/>
        <v>-1.0569999999958668E-3</v>
      </c>
      <c r="AX79" s="58">
        <f t="shared" si="26"/>
        <v>-3.399999999942338E-5</v>
      </c>
      <c r="AY79" s="58">
        <f t="shared" si="27"/>
        <v>-3.6000000000058208E-4</v>
      </c>
    </row>
    <row r="80" spans="40:51" x14ac:dyDescent="0.2">
      <c r="AN80" s="58">
        <f t="shared" si="16"/>
        <v>0</v>
      </c>
      <c r="AO80" s="58">
        <f t="shared" si="17"/>
        <v>0</v>
      </c>
      <c r="AP80" s="58">
        <f t="shared" si="18"/>
        <v>0</v>
      </c>
      <c r="AQ80" s="58">
        <f t="shared" si="19"/>
        <v>0</v>
      </c>
      <c r="AR80" s="58">
        <f t="shared" si="20"/>
        <v>0</v>
      </c>
      <c r="AS80" s="58">
        <f t="shared" si="21"/>
        <v>0</v>
      </c>
      <c r="AT80" s="58">
        <f t="shared" si="22"/>
        <v>0</v>
      </c>
      <c r="AU80" s="58">
        <f t="shared" si="23"/>
        <v>0</v>
      </c>
      <c r="AV80" s="58">
        <f t="shared" si="24"/>
        <v>0</v>
      </c>
      <c r="AW80" s="58">
        <f t="shared" si="25"/>
        <v>-3.6440000000013129E-3</v>
      </c>
      <c r="AX80" s="58">
        <f t="shared" si="26"/>
        <v>-7.8700000000253567E-4</v>
      </c>
      <c r="AY80" s="58">
        <f t="shared" si="27"/>
        <v>-1.7619999999993752E-3</v>
      </c>
    </row>
    <row r="81" spans="40:51" x14ac:dyDescent="0.2">
      <c r="AN81" s="58">
        <f t="shared" si="16"/>
        <v>0</v>
      </c>
      <c r="AO81" s="58">
        <f t="shared" si="17"/>
        <v>0</v>
      </c>
      <c r="AP81" s="58">
        <f t="shared" si="18"/>
        <v>0</v>
      </c>
      <c r="AQ81" s="58">
        <f t="shared" si="19"/>
        <v>0</v>
      </c>
      <c r="AR81" s="58">
        <f t="shared" si="20"/>
        <v>0</v>
      </c>
      <c r="AS81" s="58">
        <f t="shared" si="21"/>
        <v>0</v>
      </c>
      <c r="AT81" s="58">
        <f t="shared" si="22"/>
        <v>0</v>
      </c>
      <c r="AU81" s="58">
        <f t="shared" si="23"/>
        <v>0</v>
      </c>
      <c r="AV81" s="58">
        <f t="shared" si="24"/>
        <v>0</v>
      </c>
      <c r="AW81" s="58">
        <f t="shared" si="25"/>
        <v>-1.9910000000038508E-3</v>
      </c>
      <c r="AX81" s="58">
        <f t="shared" si="26"/>
        <v>-3.2599999999405327E-4</v>
      </c>
      <c r="AY81" s="58">
        <f t="shared" si="27"/>
        <v>-1.1089999999995825E-3</v>
      </c>
    </row>
    <row r="82" spans="40:51" x14ac:dyDescent="0.2">
      <c r="AN82" s="58">
        <f t="shared" si="16"/>
        <v>0</v>
      </c>
      <c r="AO82" s="58">
        <f t="shared" si="17"/>
        <v>0</v>
      </c>
      <c r="AP82" s="58">
        <f t="shared" si="18"/>
        <v>0</v>
      </c>
      <c r="AQ82" s="58">
        <f t="shared" si="19"/>
        <v>0</v>
      </c>
      <c r="AR82" s="58">
        <f t="shared" si="20"/>
        <v>0</v>
      </c>
      <c r="AS82" s="58">
        <f t="shared" si="21"/>
        <v>0</v>
      </c>
      <c r="AT82" s="58">
        <f t="shared" si="22"/>
        <v>0</v>
      </c>
      <c r="AU82" s="58">
        <f t="shared" si="23"/>
        <v>0</v>
      </c>
      <c r="AV82" s="58">
        <f t="shared" si="24"/>
        <v>0</v>
      </c>
      <c r="AW82" s="58">
        <f t="shared" si="25"/>
        <v>-2.2380000000055134E-3</v>
      </c>
      <c r="AX82" s="58">
        <f t="shared" si="26"/>
        <v>-3.399999999942338E-5</v>
      </c>
      <c r="AY82" s="58">
        <f t="shared" si="27"/>
        <v>-6.7800000000062255E-4</v>
      </c>
    </row>
    <row r="83" spans="40:51" x14ac:dyDescent="0.2">
      <c r="AN83" s="58">
        <f>AN38-P38</f>
        <v>0</v>
      </c>
      <c r="AO83" s="58">
        <f t="shared" si="17"/>
        <v>0</v>
      </c>
      <c r="AP83" s="58">
        <f t="shared" si="18"/>
        <v>0</v>
      </c>
      <c r="AQ83" s="58">
        <f t="shared" si="19"/>
        <v>0</v>
      </c>
      <c r="AR83" s="58">
        <f t="shared" si="20"/>
        <v>0</v>
      </c>
      <c r="AS83" s="58">
        <f t="shared" si="21"/>
        <v>0</v>
      </c>
      <c r="AT83" s="58">
        <f t="shared" si="22"/>
        <v>0</v>
      </c>
      <c r="AU83" s="58">
        <f t="shared" si="23"/>
        <v>0</v>
      </c>
      <c r="AV83" s="58">
        <f t="shared" si="24"/>
        <v>0</v>
      </c>
      <c r="AW83" s="58">
        <f t="shared" si="25"/>
        <v>-2.0499999999969987E-3</v>
      </c>
      <c r="AX83" s="58">
        <f t="shared" si="26"/>
        <v>8.4999999998558451E-5</v>
      </c>
      <c r="AY83" s="58">
        <f t="shared" si="27"/>
        <v>-4.0300000000570435E-4</v>
      </c>
    </row>
    <row r="84" spans="40:51" x14ac:dyDescent="0.2">
      <c r="AN84" s="58">
        <f>AN39-P39</f>
        <v>0</v>
      </c>
      <c r="AO84" s="58">
        <f t="shared" si="17"/>
        <v>0</v>
      </c>
      <c r="AP84" s="58">
        <f t="shared" si="18"/>
        <v>0</v>
      </c>
      <c r="AQ84" s="58">
        <f t="shared" si="19"/>
        <v>0</v>
      </c>
      <c r="AR84" s="58">
        <f t="shared" si="20"/>
        <v>0</v>
      </c>
      <c r="AS84" s="58">
        <f t="shared" si="21"/>
        <v>0</v>
      </c>
      <c r="AT84" s="58">
        <f t="shared" si="22"/>
        <v>0</v>
      </c>
      <c r="AU84" s="58">
        <f t="shared" si="23"/>
        <v>0</v>
      </c>
      <c r="AV84" s="58">
        <f t="shared" si="24"/>
        <v>0</v>
      </c>
      <c r="AW84" s="58">
        <f t="shared" si="25"/>
        <v>-1.1399999999994748E-3</v>
      </c>
      <c r="AX84" s="58">
        <f t="shared" si="26"/>
        <v>-1.1599999999845068E-4</v>
      </c>
      <c r="AY84" s="58">
        <f t="shared" si="27"/>
        <v>-9.1900000000322279E-4</v>
      </c>
    </row>
    <row r="85" spans="40:51" x14ac:dyDescent="0.2">
      <c r="AN85" s="58"/>
    </row>
    <row r="86" spans="40:51" x14ac:dyDescent="0.2">
      <c r="AN86" s="58"/>
    </row>
    <row r="87" spans="40:51" x14ac:dyDescent="0.2">
      <c r="AN87" s="58"/>
    </row>
    <row r="88" spans="40:51" x14ac:dyDescent="0.2">
      <c r="AN88" s="58"/>
    </row>
    <row r="89" spans="40:51" x14ac:dyDescent="0.2">
      <c r="AN89" s="58"/>
    </row>
    <row r="90" spans="40:51" x14ac:dyDescent="0.2">
      <c r="AN90" s="58"/>
    </row>
    <row r="91" spans="40:51" x14ac:dyDescent="0.2">
      <c r="AN91" s="58"/>
    </row>
    <row r="92" spans="40:51" x14ac:dyDescent="0.2">
      <c r="AN92" s="58"/>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242</v>
      </c>
      <c r="B1">
        <v>1</v>
      </c>
    </row>
    <row r="2" spans="1:2" x14ac:dyDescent="0.2">
      <c r="A2" t="s">
        <v>243</v>
      </c>
      <c r="B2">
        <v>2</v>
      </c>
    </row>
    <row r="3" spans="1:2" x14ac:dyDescent="0.2">
      <c r="A3" t="s">
        <v>244</v>
      </c>
      <c r="B3">
        <v>3</v>
      </c>
    </row>
    <row r="4" spans="1:2" x14ac:dyDescent="0.2">
      <c r="A4" t="s">
        <v>245</v>
      </c>
      <c r="B4">
        <v>4</v>
      </c>
    </row>
    <row r="5" spans="1:2" x14ac:dyDescent="0.2">
      <c r="A5" t="s">
        <v>246</v>
      </c>
      <c r="B5">
        <v>5</v>
      </c>
    </row>
    <row r="6" spans="1:2" x14ac:dyDescent="0.2">
      <c r="A6" t="s">
        <v>247</v>
      </c>
      <c r="B6">
        <v>6</v>
      </c>
    </row>
    <row r="7" spans="1:2" x14ac:dyDescent="0.2">
      <c r="A7" t="s">
        <v>248</v>
      </c>
      <c r="B7">
        <v>7</v>
      </c>
    </row>
    <row r="8" spans="1:2" x14ac:dyDescent="0.2">
      <c r="A8" t="s">
        <v>249</v>
      </c>
      <c r="B8">
        <v>9</v>
      </c>
    </row>
    <row r="9" spans="1:2" x14ac:dyDescent="0.2">
      <c r="A9" t="s">
        <v>250</v>
      </c>
      <c r="B9">
        <v>10</v>
      </c>
    </row>
    <row r="10" spans="1:2" x14ac:dyDescent="0.2">
      <c r="A10" t="s">
        <v>251</v>
      </c>
      <c r="B10">
        <v>11</v>
      </c>
    </row>
    <row r="11" spans="1:2" x14ac:dyDescent="0.2">
      <c r="A11" t="s">
        <v>252</v>
      </c>
      <c r="B11">
        <v>12</v>
      </c>
    </row>
    <row r="12" spans="1:2" x14ac:dyDescent="0.2">
      <c r="A12" t="s">
        <v>253</v>
      </c>
      <c r="B12">
        <v>13</v>
      </c>
    </row>
    <row r="13" spans="1:2" x14ac:dyDescent="0.2">
      <c r="A13" t="s">
        <v>254</v>
      </c>
      <c r="B13">
        <v>14</v>
      </c>
    </row>
    <row r="14" spans="1:2" x14ac:dyDescent="0.2">
      <c r="A14" t="s">
        <v>255</v>
      </c>
      <c r="B14">
        <v>15</v>
      </c>
    </row>
    <row r="15" spans="1:2" x14ac:dyDescent="0.2">
      <c r="A15" t="s">
        <v>256</v>
      </c>
      <c r="B15">
        <v>16</v>
      </c>
    </row>
    <row r="16" spans="1:2" x14ac:dyDescent="0.2">
      <c r="A16" t="s">
        <v>257</v>
      </c>
      <c r="B16">
        <v>17</v>
      </c>
    </row>
    <row r="17" spans="1:2" x14ac:dyDescent="0.2">
      <c r="A17" t="s">
        <v>258</v>
      </c>
      <c r="B17">
        <v>18</v>
      </c>
    </row>
    <row r="18" spans="1:2" x14ac:dyDescent="0.2">
      <c r="A18" t="s">
        <v>259</v>
      </c>
      <c r="B18">
        <v>19</v>
      </c>
    </row>
    <row r="19" spans="1:2" x14ac:dyDescent="0.2">
      <c r="A19" t="s">
        <v>260</v>
      </c>
      <c r="B19">
        <v>20</v>
      </c>
    </row>
    <row r="20" spans="1:2" x14ac:dyDescent="0.2">
      <c r="A20" t="s">
        <v>261</v>
      </c>
      <c r="B20">
        <v>21</v>
      </c>
    </row>
    <row r="21" spans="1:2" x14ac:dyDescent="0.2">
      <c r="A21" t="s">
        <v>262</v>
      </c>
      <c r="B21">
        <v>22</v>
      </c>
    </row>
    <row r="22" spans="1:2" x14ac:dyDescent="0.2">
      <c r="A22" t="s">
        <v>263</v>
      </c>
      <c r="B22">
        <v>23</v>
      </c>
    </row>
    <row r="23" spans="1:2" x14ac:dyDescent="0.2">
      <c r="A23" t="s">
        <v>264</v>
      </c>
      <c r="B23">
        <v>24</v>
      </c>
    </row>
    <row r="24" spans="1:2" x14ac:dyDescent="0.2">
      <c r="A24" t="s">
        <v>265</v>
      </c>
      <c r="B24">
        <v>25</v>
      </c>
    </row>
    <row r="25" spans="1:2" x14ac:dyDescent="0.2">
      <c r="A25" t="s">
        <v>266</v>
      </c>
      <c r="B25">
        <v>26</v>
      </c>
    </row>
    <row r="26" spans="1:2" x14ac:dyDescent="0.2">
      <c r="A26" t="s">
        <v>267</v>
      </c>
      <c r="B26">
        <v>27</v>
      </c>
    </row>
    <row r="27" spans="1:2" x14ac:dyDescent="0.2">
      <c r="A27" t="s">
        <v>268</v>
      </c>
      <c r="B27">
        <v>28</v>
      </c>
    </row>
    <row r="28" spans="1:2" x14ac:dyDescent="0.2">
      <c r="A28" t="s">
        <v>269</v>
      </c>
      <c r="B28">
        <v>29</v>
      </c>
    </row>
    <row r="29" spans="1:2" x14ac:dyDescent="0.2">
      <c r="A29" t="s">
        <v>270</v>
      </c>
      <c r="B29">
        <v>30</v>
      </c>
    </row>
    <row r="30" spans="1:2" x14ac:dyDescent="0.2">
      <c r="A30" t="s">
        <v>271</v>
      </c>
      <c r="B30">
        <v>31</v>
      </c>
    </row>
    <row r="31" spans="1:2" x14ac:dyDescent="0.2">
      <c r="A31" t="s">
        <v>272</v>
      </c>
      <c r="B31">
        <v>33</v>
      </c>
    </row>
    <row r="32" spans="1:2" x14ac:dyDescent="0.2">
      <c r="A32" t="s">
        <v>273</v>
      </c>
      <c r="B32">
        <v>34</v>
      </c>
    </row>
    <row r="33" spans="1:2" x14ac:dyDescent="0.2">
      <c r="A33" t="s">
        <v>274</v>
      </c>
      <c r="B33">
        <v>35</v>
      </c>
    </row>
    <row r="34" spans="1:2" x14ac:dyDescent="0.2">
      <c r="A34" t="s">
        <v>275</v>
      </c>
      <c r="B34">
        <v>36</v>
      </c>
    </row>
    <row r="35" spans="1:2" x14ac:dyDescent="0.2">
      <c r="A35" t="s">
        <v>276</v>
      </c>
      <c r="B35">
        <v>37</v>
      </c>
    </row>
    <row r="36" spans="1:2" x14ac:dyDescent="0.2">
      <c r="A36" t="s">
        <v>277</v>
      </c>
      <c r="B36">
        <v>38</v>
      </c>
    </row>
    <row r="37" spans="1:2" x14ac:dyDescent="0.2">
      <c r="A37" t="s">
        <v>278</v>
      </c>
      <c r="B37">
        <v>39</v>
      </c>
    </row>
    <row r="38" spans="1:2" x14ac:dyDescent="0.2">
      <c r="A38" t="s">
        <v>279</v>
      </c>
      <c r="B38">
        <v>40</v>
      </c>
    </row>
    <row r="39" spans="1:2" x14ac:dyDescent="0.2">
      <c r="A39" t="s">
        <v>280</v>
      </c>
      <c r="B39">
        <v>41</v>
      </c>
    </row>
    <row r="40" spans="1:2" x14ac:dyDescent="0.2">
      <c r="A40" t="s">
        <v>281</v>
      </c>
      <c r="B40">
        <v>42</v>
      </c>
    </row>
    <row r="41" spans="1:2" x14ac:dyDescent="0.2">
      <c r="A41" t="s">
        <v>282</v>
      </c>
      <c r="B41">
        <v>43</v>
      </c>
    </row>
    <row r="42" spans="1:2" x14ac:dyDescent="0.2">
      <c r="A42" t="s">
        <v>283</v>
      </c>
      <c r="B42">
        <v>44</v>
      </c>
    </row>
    <row r="43" spans="1:2" x14ac:dyDescent="0.2">
      <c r="A43" t="s">
        <v>284</v>
      </c>
      <c r="B43">
        <v>45</v>
      </c>
    </row>
    <row r="44" spans="1:2" x14ac:dyDescent="0.2">
      <c r="A44" t="s">
        <v>285</v>
      </c>
      <c r="B44">
        <v>46</v>
      </c>
    </row>
    <row r="45" spans="1:2" x14ac:dyDescent="0.2">
      <c r="A45" t="s">
        <v>286</v>
      </c>
      <c r="B45">
        <v>47</v>
      </c>
    </row>
    <row r="46" spans="1:2" x14ac:dyDescent="0.2">
      <c r="A46" t="s">
        <v>287</v>
      </c>
      <c r="B46">
        <v>48</v>
      </c>
    </row>
    <row r="47" spans="1:2" x14ac:dyDescent="0.2">
      <c r="A47" t="s">
        <v>288</v>
      </c>
      <c r="B47">
        <v>49</v>
      </c>
    </row>
    <row r="48" spans="1:2" x14ac:dyDescent="0.2">
      <c r="A48" t="s">
        <v>289</v>
      </c>
      <c r="B48">
        <v>50</v>
      </c>
    </row>
    <row r="49" spans="1:2" x14ac:dyDescent="0.2">
      <c r="A49" t="s">
        <v>290</v>
      </c>
      <c r="B49">
        <v>51</v>
      </c>
    </row>
    <row r="50" spans="1:2" x14ac:dyDescent="0.2">
      <c r="A50" t="s">
        <v>291</v>
      </c>
      <c r="B50">
        <v>52</v>
      </c>
    </row>
    <row r="51" spans="1:2" x14ac:dyDescent="0.2">
      <c r="A51" t="s">
        <v>292</v>
      </c>
      <c r="B51">
        <v>53</v>
      </c>
    </row>
    <row r="52" spans="1:2" x14ac:dyDescent="0.2">
      <c r="A52" t="s">
        <v>293</v>
      </c>
      <c r="B52">
        <v>54</v>
      </c>
    </row>
    <row r="53" spans="1:2" x14ac:dyDescent="0.2">
      <c r="A53" t="s">
        <v>294</v>
      </c>
      <c r="B53">
        <v>55</v>
      </c>
    </row>
    <row r="54" spans="1:2" x14ac:dyDescent="0.2">
      <c r="A54" t="s">
        <v>295</v>
      </c>
      <c r="B54">
        <v>57</v>
      </c>
    </row>
    <row r="55" spans="1:2" x14ac:dyDescent="0.2">
      <c r="A55" t="s">
        <v>296</v>
      </c>
      <c r="B55">
        <v>58</v>
      </c>
    </row>
    <row r="56" spans="1:2" x14ac:dyDescent="0.2">
      <c r="A56" t="s">
        <v>297</v>
      </c>
      <c r="B56">
        <v>59</v>
      </c>
    </row>
    <row r="57" spans="1:2" x14ac:dyDescent="0.2">
      <c r="A57" t="s">
        <v>298</v>
      </c>
      <c r="B57">
        <v>60</v>
      </c>
    </row>
    <row r="58" spans="1:2" x14ac:dyDescent="0.2">
      <c r="A58" t="s">
        <v>299</v>
      </c>
      <c r="B58">
        <v>62</v>
      </c>
    </row>
    <row r="59" spans="1:2" x14ac:dyDescent="0.2">
      <c r="A59" t="s">
        <v>300</v>
      </c>
      <c r="B59">
        <v>63</v>
      </c>
    </row>
    <row r="60" spans="1:2" x14ac:dyDescent="0.2">
      <c r="A60" t="s">
        <v>301</v>
      </c>
      <c r="B60">
        <v>64</v>
      </c>
    </row>
    <row r="61" spans="1:2" x14ac:dyDescent="0.2">
      <c r="A61" t="s">
        <v>302</v>
      </c>
      <c r="B61">
        <v>65</v>
      </c>
    </row>
    <row r="62" spans="1:2" x14ac:dyDescent="0.2">
      <c r="A62" t="s">
        <v>303</v>
      </c>
      <c r="B62">
        <v>66</v>
      </c>
    </row>
    <row r="63" spans="1:2" x14ac:dyDescent="0.2">
      <c r="A63" t="s">
        <v>304</v>
      </c>
      <c r="B63">
        <v>68</v>
      </c>
    </row>
    <row r="64" spans="1:2" x14ac:dyDescent="0.2">
      <c r="A64" t="s">
        <v>305</v>
      </c>
      <c r="B64">
        <v>69</v>
      </c>
    </row>
    <row r="65" spans="1:24" x14ac:dyDescent="0.2">
      <c r="A65" t="s">
        <v>306</v>
      </c>
      <c r="B65">
        <v>70</v>
      </c>
    </row>
    <row r="66" spans="1:24" x14ac:dyDescent="0.2">
      <c r="A66" t="s">
        <v>307</v>
      </c>
      <c r="B66">
        <v>71</v>
      </c>
    </row>
    <row r="67" spans="1:24" x14ac:dyDescent="0.2">
      <c r="A67" t="s">
        <v>308</v>
      </c>
      <c r="B67">
        <v>72</v>
      </c>
    </row>
    <row r="68" spans="1:24" x14ac:dyDescent="0.2">
      <c r="A68" t="s">
        <v>309</v>
      </c>
      <c r="B68" t="s">
        <v>310</v>
      </c>
    </row>
    <row r="69" spans="1:24" x14ac:dyDescent="0.2">
      <c r="A69" t="s">
        <v>311</v>
      </c>
      <c r="B69" t="s">
        <v>312</v>
      </c>
    </row>
    <row r="70" spans="1:24" x14ac:dyDescent="0.2">
      <c r="A70" t="s">
        <v>313</v>
      </c>
      <c r="B70" t="s">
        <v>314</v>
      </c>
    </row>
    <row r="71" spans="1:24" x14ac:dyDescent="0.2">
      <c r="A71" t="s">
        <v>315</v>
      </c>
      <c r="B71" t="s">
        <v>316</v>
      </c>
    </row>
    <row r="72" spans="1:24" x14ac:dyDescent="0.2">
      <c r="A72" t="s">
        <v>317</v>
      </c>
      <c r="B72" t="s">
        <v>318</v>
      </c>
    </row>
    <row r="73" spans="1:24" x14ac:dyDescent="0.2">
      <c r="A73" t="s">
        <v>319</v>
      </c>
      <c r="B73" t="s">
        <v>320</v>
      </c>
    </row>
    <row r="74" spans="1:24" x14ac:dyDescent="0.2">
      <c r="A74" t="s">
        <v>321</v>
      </c>
      <c r="B74" t="s">
        <v>322</v>
      </c>
    </row>
    <row r="75" spans="1:24" x14ac:dyDescent="0.2">
      <c r="A75" t="s">
        <v>323</v>
      </c>
      <c r="B75" t="s">
        <v>324</v>
      </c>
    </row>
    <row r="76" spans="1:24" x14ac:dyDescent="0.2">
      <c r="A76" t="s">
        <v>325</v>
      </c>
      <c r="B76" t="s">
        <v>326</v>
      </c>
    </row>
    <row r="77" spans="1:24" x14ac:dyDescent="0.2">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
      <c r="A78" t="s">
        <v>328</v>
      </c>
      <c r="B78">
        <v>1</v>
      </c>
    </row>
    <row r="79" spans="1:24" x14ac:dyDescent="0.2">
      <c r="A79" t="s">
        <v>329</v>
      </c>
      <c r="B79">
        <v>2</v>
      </c>
    </row>
    <row r="80" spans="1:24" x14ac:dyDescent="0.2">
      <c r="A80" t="s">
        <v>330</v>
      </c>
      <c r="B80">
        <v>3</v>
      </c>
    </row>
    <row r="81" spans="1:2" x14ac:dyDescent="0.2">
      <c r="A81" t="s">
        <v>331</v>
      </c>
      <c r="B81">
        <v>4</v>
      </c>
    </row>
    <row r="82" spans="1:2" x14ac:dyDescent="0.2">
      <c r="A82" t="s">
        <v>332</v>
      </c>
      <c r="B82">
        <v>5</v>
      </c>
    </row>
    <row r="83" spans="1:2" x14ac:dyDescent="0.2">
      <c r="A83" t="s">
        <v>333</v>
      </c>
      <c r="B83">
        <v>6</v>
      </c>
    </row>
    <row r="84" spans="1:2" x14ac:dyDescent="0.2">
      <c r="A84" t="s">
        <v>334</v>
      </c>
      <c r="B84">
        <v>8</v>
      </c>
    </row>
    <row r="85" spans="1:2" x14ac:dyDescent="0.2">
      <c r="A85" t="s">
        <v>335</v>
      </c>
      <c r="B85">
        <v>9</v>
      </c>
    </row>
    <row r="86" spans="1:2" x14ac:dyDescent="0.2">
      <c r="A86" t="s">
        <v>336</v>
      </c>
      <c r="B86">
        <v>10</v>
      </c>
    </row>
    <row r="87" spans="1:2" x14ac:dyDescent="0.2">
      <c r="A87" t="s">
        <v>337</v>
      </c>
      <c r="B87">
        <v>11</v>
      </c>
    </row>
    <row r="88" spans="1:2" x14ac:dyDescent="0.2">
      <c r="A88" t="s">
        <v>338</v>
      </c>
      <c r="B88">
        <v>12</v>
      </c>
    </row>
    <row r="89" spans="1:2" x14ac:dyDescent="0.2">
      <c r="A89" t="s">
        <v>339</v>
      </c>
      <c r="B89">
        <v>13</v>
      </c>
    </row>
    <row r="90" spans="1:2" x14ac:dyDescent="0.2">
      <c r="A90" t="s">
        <v>340</v>
      </c>
      <c r="B90">
        <v>14</v>
      </c>
    </row>
    <row r="91" spans="1:2" x14ac:dyDescent="0.2">
      <c r="A91" t="s">
        <v>341</v>
      </c>
      <c r="B91">
        <v>15</v>
      </c>
    </row>
    <row r="92" spans="1:2" x14ac:dyDescent="0.2">
      <c r="A92" t="s">
        <v>342</v>
      </c>
      <c r="B92">
        <v>16</v>
      </c>
    </row>
    <row r="93" spans="1:2" x14ac:dyDescent="0.2">
      <c r="A93" t="s">
        <v>343</v>
      </c>
      <c r="B93">
        <v>17</v>
      </c>
    </row>
    <row r="94" spans="1:2" x14ac:dyDescent="0.2">
      <c r="A94" t="s">
        <v>344</v>
      </c>
      <c r="B94">
        <v>18</v>
      </c>
    </row>
    <row r="95" spans="1:2" x14ac:dyDescent="0.2">
      <c r="A95" t="s">
        <v>345</v>
      </c>
      <c r="B95">
        <v>19</v>
      </c>
    </row>
    <row r="96" spans="1:2" x14ac:dyDescent="0.2">
      <c r="A96" t="s">
        <v>346</v>
      </c>
      <c r="B96">
        <v>20</v>
      </c>
    </row>
    <row r="97" spans="1:2" x14ac:dyDescent="0.2">
      <c r="A97" t="s">
        <v>347</v>
      </c>
      <c r="B97">
        <v>21</v>
      </c>
    </row>
    <row r="98" spans="1:2" x14ac:dyDescent="0.2">
      <c r="A98" t="s">
        <v>348</v>
      </c>
      <c r="B98">
        <v>22</v>
      </c>
    </row>
    <row r="99" spans="1:2" x14ac:dyDescent="0.2">
      <c r="A99" t="s">
        <v>349</v>
      </c>
      <c r="B99">
        <v>23</v>
      </c>
    </row>
    <row r="100" spans="1:2" x14ac:dyDescent="0.2">
      <c r="A100" t="s">
        <v>350</v>
      </c>
      <c r="B100">
        <v>24</v>
      </c>
    </row>
    <row r="101" spans="1:2" x14ac:dyDescent="0.2">
      <c r="A101" t="s">
        <v>351</v>
      </c>
      <c r="B101">
        <v>25</v>
      </c>
    </row>
    <row r="102" spans="1:2" x14ac:dyDescent="0.2">
      <c r="A102" t="s">
        <v>352</v>
      </c>
      <c r="B102">
        <v>26</v>
      </c>
    </row>
    <row r="103" spans="1:2" x14ac:dyDescent="0.2">
      <c r="A103" t="s">
        <v>353</v>
      </c>
      <c r="B103">
        <v>27</v>
      </c>
    </row>
    <row r="104" spans="1:2" x14ac:dyDescent="0.2">
      <c r="A104" t="s">
        <v>354</v>
      </c>
      <c r="B104">
        <v>28</v>
      </c>
    </row>
    <row r="105" spans="1:2" x14ac:dyDescent="0.2">
      <c r="A105" t="s">
        <v>355</v>
      </c>
      <c r="B105">
        <v>29</v>
      </c>
    </row>
    <row r="106" spans="1:2" x14ac:dyDescent="0.2">
      <c r="A106" t="s">
        <v>356</v>
      </c>
      <c r="B106">
        <v>31</v>
      </c>
    </row>
    <row r="107" spans="1:2" x14ac:dyDescent="0.2">
      <c r="A107" t="s">
        <v>357</v>
      </c>
      <c r="B107">
        <v>32</v>
      </c>
    </row>
    <row r="108" spans="1:2" x14ac:dyDescent="0.2">
      <c r="A108" t="s">
        <v>358</v>
      </c>
      <c r="B108">
        <v>33</v>
      </c>
    </row>
    <row r="109" spans="1:2" x14ac:dyDescent="0.2">
      <c r="A109" t="s">
        <v>359</v>
      </c>
      <c r="B109">
        <v>34</v>
      </c>
    </row>
    <row r="110" spans="1:2" x14ac:dyDescent="0.2">
      <c r="A110" t="s">
        <v>360</v>
      </c>
      <c r="B110">
        <v>35</v>
      </c>
    </row>
    <row r="111" spans="1:2" x14ac:dyDescent="0.2">
      <c r="A111" t="s">
        <v>361</v>
      </c>
      <c r="B111">
        <v>36</v>
      </c>
    </row>
    <row r="112" spans="1:2" x14ac:dyDescent="0.2">
      <c r="A112" t="s">
        <v>362</v>
      </c>
      <c r="B112">
        <v>37</v>
      </c>
    </row>
    <row r="113" spans="1:2" x14ac:dyDescent="0.2">
      <c r="A113" t="s">
        <v>363</v>
      </c>
      <c r="B113">
        <v>38</v>
      </c>
    </row>
    <row r="114" spans="1:2" x14ac:dyDescent="0.2">
      <c r="A114" t="s">
        <v>364</v>
      </c>
      <c r="B114">
        <v>39</v>
      </c>
    </row>
    <row r="115" spans="1:2" x14ac:dyDescent="0.2">
      <c r="A115" t="s">
        <v>365</v>
      </c>
      <c r="B115">
        <v>40</v>
      </c>
    </row>
    <row r="116" spans="1:2" x14ac:dyDescent="0.2">
      <c r="A116" t="s">
        <v>366</v>
      </c>
      <c r="B116">
        <v>41</v>
      </c>
    </row>
    <row r="117" spans="1:2" x14ac:dyDescent="0.2">
      <c r="A117" t="s">
        <v>367</v>
      </c>
      <c r="B117">
        <v>42</v>
      </c>
    </row>
    <row r="118" spans="1:2" x14ac:dyDescent="0.2">
      <c r="A118" t="s">
        <v>368</v>
      </c>
      <c r="B118">
        <v>43</v>
      </c>
    </row>
    <row r="119" spans="1:2" x14ac:dyDescent="0.2">
      <c r="A119" t="s">
        <v>369</v>
      </c>
      <c r="B119">
        <v>44</v>
      </c>
    </row>
    <row r="120" spans="1:2" x14ac:dyDescent="0.2">
      <c r="A120" t="s">
        <v>370</v>
      </c>
      <c r="B120">
        <v>45</v>
      </c>
    </row>
    <row r="121" spans="1:2" x14ac:dyDescent="0.2">
      <c r="A121" t="s">
        <v>371</v>
      </c>
      <c r="B121">
        <v>46</v>
      </c>
    </row>
    <row r="122" spans="1:2" x14ac:dyDescent="0.2">
      <c r="A122" t="s">
        <v>372</v>
      </c>
      <c r="B122">
        <v>47</v>
      </c>
    </row>
    <row r="123" spans="1:2" x14ac:dyDescent="0.2">
      <c r="A123" t="s">
        <v>373</v>
      </c>
      <c r="B123">
        <v>48</v>
      </c>
    </row>
    <row r="124" spans="1:2" x14ac:dyDescent="0.2">
      <c r="A124" t="s">
        <v>374</v>
      </c>
      <c r="B124">
        <v>49</v>
      </c>
    </row>
    <row r="125" spans="1:2" x14ac:dyDescent="0.2">
      <c r="A125" t="s">
        <v>375</v>
      </c>
      <c r="B125">
        <v>50</v>
      </c>
    </row>
    <row r="126" spans="1:2" x14ac:dyDescent="0.2">
      <c r="A126" t="s">
        <v>376</v>
      </c>
      <c r="B126">
        <v>51</v>
      </c>
    </row>
    <row r="127" spans="1:2" x14ac:dyDescent="0.2">
      <c r="A127" t="s">
        <v>377</v>
      </c>
      <c r="B127">
        <v>52</v>
      </c>
    </row>
    <row r="128" spans="1:2" x14ac:dyDescent="0.2">
      <c r="A128" t="s">
        <v>378</v>
      </c>
      <c r="B128">
        <v>54</v>
      </c>
    </row>
    <row r="129" spans="1:23" x14ac:dyDescent="0.2">
      <c r="A129" t="s">
        <v>379</v>
      </c>
      <c r="B129">
        <v>55</v>
      </c>
    </row>
    <row r="130" spans="1:23" x14ac:dyDescent="0.2">
      <c r="A130" t="s">
        <v>380</v>
      </c>
      <c r="B130">
        <v>56</v>
      </c>
    </row>
    <row r="131" spans="1:23" x14ac:dyDescent="0.2">
      <c r="A131" t="s">
        <v>381</v>
      </c>
      <c r="B131">
        <v>57</v>
      </c>
    </row>
    <row r="132" spans="1:23" x14ac:dyDescent="0.2">
      <c r="A132" t="s">
        <v>382</v>
      </c>
      <c r="B132">
        <v>58</v>
      </c>
    </row>
    <row r="133" spans="1:23" x14ac:dyDescent="0.2">
      <c r="A133" t="s">
        <v>383</v>
      </c>
      <c r="B133">
        <v>59</v>
      </c>
    </row>
    <row r="134" spans="1:23" x14ac:dyDescent="0.2">
      <c r="A134" t="s">
        <v>384</v>
      </c>
      <c r="B134" t="s">
        <v>385</v>
      </c>
    </row>
    <row r="135" spans="1:23" x14ac:dyDescent="0.2">
      <c r="A135" t="s">
        <v>386</v>
      </c>
      <c r="B135" t="s">
        <v>387</v>
      </c>
    </row>
    <row r="136" spans="1:23" x14ac:dyDescent="0.2">
      <c r="A136" t="s">
        <v>388</v>
      </c>
      <c r="B136" t="s">
        <v>389</v>
      </c>
    </row>
    <row r="137" spans="1:23" x14ac:dyDescent="0.2">
      <c r="A137" t="s">
        <v>390</v>
      </c>
      <c r="B137" t="s">
        <v>391</v>
      </c>
    </row>
    <row r="138" spans="1:23" x14ac:dyDescent="0.2">
      <c r="A138" t="s">
        <v>392</v>
      </c>
      <c r="B138" t="s">
        <v>393</v>
      </c>
    </row>
    <row r="139" spans="1:23" x14ac:dyDescent="0.2">
      <c r="A139" t="s">
        <v>394</v>
      </c>
      <c r="B139" t="s">
        <v>395</v>
      </c>
    </row>
    <row r="140" spans="1:23" x14ac:dyDescent="0.2">
      <c r="A140" t="s">
        <v>396</v>
      </c>
      <c r="B140" t="s">
        <v>397</v>
      </c>
    </row>
    <row r="141" spans="1:23" x14ac:dyDescent="0.2">
      <c r="A141" t="s">
        <v>398</v>
      </c>
      <c r="B141" t="s">
        <v>399</v>
      </c>
    </row>
    <row r="142" spans="1:23" x14ac:dyDescent="0.2">
      <c r="A142" t="s">
        <v>400</v>
      </c>
      <c r="B142" t="s">
        <v>401</v>
      </c>
    </row>
    <row r="143" spans="1:23" x14ac:dyDescent="0.2">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
      <c r="A144" t="s">
        <v>403</v>
      </c>
      <c r="B144">
        <v>1</v>
      </c>
    </row>
    <row r="145" spans="1:2" x14ac:dyDescent="0.2">
      <c r="A145" t="s">
        <v>404</v>
      </c>
      <c r="B145">
        <v>2</v>
      </c>
    </row>
    <row r="146" spans="1:2" x14ac:dyDescent="0.2">
      <c r="A146" t="s">
        <v>405</v>
      </c>
      <c r="B146">
        <v>3</v>
      </c>
    </row>
    <row r="147" spans="1:2" x14ac:dyDescent="0.2">
      <c r="A147" t="s">
        <v>406</v>
      </c>
      <c r="B147">
        <v>4</v>
      </c>
    </row>
    <row r="148" spans="1:2" x14ac:dyDescent="0.2">
      <c r="A148" t="s">
        <v>407</v>
      </c>
      <c r="B148">
        <v>5</v>
      </c>
    </row>
    <row r="149" spans="1:2" x14ac:dyDescent="0.2">
      <c r="A149" t="s">
        <v>408</v>
      </c>
      <c r="B149">
        <v>6</v>
      </c>
    </row>
    <row r="150" spans="1:2" x14ac:dyDescent="0.2">
      <c r="A150" t="s">
        <v>409</v>
      </c>
      <c r="B150">
        <v>8</v>
      </c>
    </row>
    <row r="151" spans="1:2" x14ac:dyDescent="0.2">
      <c r="A151" t="s">
        <v>410</v>
      </c>
      <c r="B151">
        <v>9</v>
      </c>
    </row>
    <row r="152" spans="1:2" x14ac:dyDescent="0.2">
      <c r="A152" t="s">
        <v>411</v>
      </c>
      <c r="B152">
        <v>10</v>
      </c>
    </row>
    <row r="153" spans="1:2" x14ac:dyDescent="0.2">
      <c r="A153" t="s">
        <v>412</v>
      </c>
      <c r="B153">
        <v>11</v>
      </c>
    </row>
    <row r="154" spans="1:2" x14ac:dyDescent="0.2">
      <c r="A154" t="s">
        <v>413</v>
      </c>
      <c r="B154">
        <v>12</v>
      </c>
    </row>
    <row r="155" spans="1:2" x14ac:dyDescent="0.2">
      <c r="A155" t="s">
        <v>414</v>
      </c>
      <c r="B155">
        <v>13</v>
      </c>
    </row>
    <row r="156" spans="1:2" x14ac:dyDescent="0.2">
      <c r="A156" t="s">
        <v>415</v>
      </c>
      <c r="B156">
        <v>14</v>
      </c>
    </row>
    <row r="157" spans="1:2" x14ac:dyDescent="0.2">
      <c r="A157" t="s">
        <v>416</v>
      </c>
      <c r="B157">
        <v>15</v>
      </c>
    </row>
    <row r="158" spans="1:2" x14ac:dyDescent="0.2">
      <c r="A158" t="s">
        <v>417</v>
      </c>
      <c r="B158">
        <v>16</v>
      </c>
    </row>
    <row r="159" spans="1:2" x14ac:dyDescent="0.2">
      <c r="A159" t="s">
        <v>418</v>
      </c>
      <c r="B159">
        <v>17</v>
      </c>
    </row>
    <row r="160" spans="1:2" x14ac:dyDescent="0.2">
      <c r="A160" t="s">
        <v>419</v>
      </c>
      <c r="B160">
        <v>18</v>
      </c>
    </row>
    <row r="161" spans="1:2" x14ac:dyDescent="0.2">
      <c r="A161" t="s">
        <v>420</v>
      </c>
      <c r="B161">
        <v>19</v>
      </c>
    </row>
    <row r="162" spans="1:2" x14ac:dyDescent="0.2">
      <c r="A162" t="s">
        <v>421</v>
      </c>
      <c r="B162">
        <v>20</v>
      </c>
    </row>
    <row r="163" spans="1:2" x14ac:dyDescent="0.2">
      <c r="A163" t="s">
        <v>422</v>
      </c>
      <c r="B163">
        <v>21</v>
      </c>
    </row>
    <row r="164" spans="1:2" x14ac:dyDescent="0.2">
      <c r="A164" t="s">
        <v>423</v>
      </c>
      <c r="B164">
        <v>22</v>
      </c>
    </row>
    <row r="165" spans="1:2" x14ac:dyDescent="0.2">
      <c r="A165" t="s">
        <v>424</v>
      </c>
      <c r="B165">
        <v>23</v>
      </c>
    </row>
    <row r="166" spans="1:2" x14ac:dyDescent="0.2">
      <c r="A166" t="s">
        <v>425</v>
      </c>
      <c r="B166">
        <v>24</v>
      </c>
    </row>
    <row r="167" spans="1:2" x14ac:dyDescent="0.2">
      <c r="A167" t="s">
        <v>426</v>
      </c>
      <c r="B167">
        <v>25</v>
      </c>
    </row>
    <row r="168" spans="1:2" x14ac:dyDescent="0.2">
      <c r="A168" t="s">
        <v>427</v>
      </c>
      <c r="B168">
        <v>26</v>
      </c>
    </row>
    <row r="169" spans="1:2" x14ac:dyDescent="0.2">
      <c r="A169" t="s">
        <v>428</v>
      </c>
      <c r="B169">
        <v>27</v>
      </c>
    </row>
    <row r="170" spans="1:2" x14ac:dyDescent="0.2">
      <c r="A170" t="s">
        <v>429</v>
      </c>
      <c r="B170">
        <v>28</v>
      </c>
    </row>
    <row r="171" spans="1:2" x14ac:dyDescent="0.2">
      <c r="A171" t="s">
        <v>430</v>
      </c>
      <c r="B171">
        <v>29</v>
      </c>
    </row>
    <row r="172" spans="1:2" x14ac:dyDescent="0.2">
      <c r="A172" t="s">
        <v>431</v>
      </c>
      <c r="B172">
        <v>31</v>
      </c>
    </row>
    <row r="173" spans="1:2" x14ac:dyDescent="0.2">
      <c r="A173" t="s">
        <v>432</v>
      </c>
      <c r="B173">
        <v>32</v>
      </c>
    </row>
    <row r="174" spans="1:2" x14ac:dyDescent="0.2">
      <c r="A174" t="s">
        <v>433</v>
      </c>
      <c r="B174">
        <v>33</v>
      </c>
    </row>
    <row r="175" spans="1:2" x14ac:dyDescent="0.2">
      <c r="A175" t="s">
        <v>434</v>
      </c>
      <c r="B175">
        <v>34</v>
      </c>
    </row>
    <row r="176" spans="1:2" x14ac:dyDescent="0.2">
      <c r="A176" t="s">
        <v>435</v>
      </c>
      <c r="B176">
        <v>35</v>
      </c>
    </row>
    <row r="177" spans="1:2" x14ac:dyDescent="0.2">
      <c r="A177" t="s">
        <v>436</v>
      </c>
      <c r="B177">
        <v>36</v>
      </c>
    </row>
    <row r="178" spans="1:2" x14ac:dyDescent="0.2">
      <c r="A178" t="s">
        <v>437</v>
      </c>
      <c r="B178">
        <v>37</v>
      </c>
    </row>
    <row r="179" spans="1:2" x14ac:dyDescent="0.2">
      <c r="A179" t="s">
        <v>438</v>
      </c>
      <c r="B179">
        <v>38</v>
      </c>
    </row>
    <row r="180" spans="1:2" x14ac:dyDescent="0.2">
      <c r="A180" t="s">
        <v>439</v>
      </c>
      <c r="B180">
        <v>39</v>
      </c>
    </row>
    <row r="181" spans="1:2" x14ac:dyDescent="0.2">
      <c r="A181" t="s">
        <v>440</v>
      </c>
      <c r="B181">
        <v>40</v>
      </c>
    </row>
    <row r="182" spans="1:2" x14ac:dyDescent="0.2">
      <c r="A182" t="s">
        <v>441</v>
      </c>
      <c r="B182">
        <v>41</v>
      </c>
    </row>
    <row r="183" spans="1:2" x14ac:dyDescent="0.2">
      <c r="A183" t="s">
        <v>442</v>
      </c>
      <c r="B183">
        <v>42</v>
      </c>
    </row>
    <row r="184" spans="1:2" x14ac:dyDescent="0.2">
      <c r="A184" t="s">
        <v>443</v>
      </c>
      <c r="B184">
        <v>43</v>
      </c>
    </row>
    <row r="185" spans="1:2" x14ac:dyDescent="0.2">
      <c r="A185" t="s">
        <v>444</v>
      </c>
      <c r="B185">
        <v>44</v>
      </c>
    </row>
    <row r="186" spans="1:2" x14ac:dyDescent="0.2">
      <c r="A186" t="s">
        <v>445</v>
      </c>
      <c r="B186">
        <v>45</v>
      </c>
    </row>
    <row r="187" spans="1:2" x14ac:dyDescent="0.2">
      <c r="A187" t="s">
        <v>446</v>
      </c>
      <c r="B187">
        <v>46</v>
      </c>
    </row>
    <row r="188" spans="1:2" x14ac:dyDescent="0.2">
      <c r="A188" t="s">
        <v>447</v>
      </c>
      <c r="B188">
        <v>47</v>
      </c>
    </row>
    <row r="189" spans="1:2" x14ac:dyDescent="0.2">
      <c r="A189" t="s">
        <v>448</v>
      </c>
      <c r="B189">
        <v>48</v>
      </c>
    </row>
    <row r="190" spans="1:2" x14ac:dyDescent="0.2">
      <c r="A190" t="s">
        <v>449</v>
      </c>
      <c r="B190">
        <v>49</v>
      </c>
    </row>
    <row r="191" spans="1:2" x14ac:dyDescent="0.2">
      <c r="A191" t="s">
        <v>450</v>
      </c>
      <c r="B191">
        <v>50</v>
      </c>
    </row>
    <row r="192" spans="1:2" x14ac:dyDescent="0.2">
      <c r="A192" t="s">
        <v>451</v>
      </c>
      <c r="B192">
        <v>51</v>
      </c>
    </row>
    <row r="193" spans="1:2" x14ac:dyDescent="0.2">
      <c r="A193" t="s">
        <v>452</v>
      </c>
      <c r="B193">
        <v>52</v>
      </c>
    </row>
    <row r="194" spans="1:2" x14ac:dyDescent="0.2">
      <c r="A194" t="s">
        <v>453</v>
      </c>
      <c r="B194">
        <v>54</v>
      </c>
    </row>
    <row r="195" spans="1:2" x14ac:dyDescent="0.2">
      <c r="A195" t="s">
        <v>454</v>
      </c>
      <c r="B195">
        <v>55</v>
      </c>
    </row>
    <row r="196" spans="1:2" x14ac:dyDescent="0.2">
      <c r="A196" t="s">
        <v>455</v>
      </c>
      <c r="B196">
        <v>56</v>
      </c>
    </row>
    <row r="197" spans="1:2" x14ac:dyDescent="0.2">
      <c r="A197" t="s">
        <v>456</v>
      </c>
      <c r="B197">
        <v>57</v>
      </c>
    </row>
    <row r="198" spans="1:2" x14ac:dyDescent="0.2">
      <c r="A198" t="s">
        <v>457</v>
      </c>
      <c r="B198">
        <v>58</v>
      </c>
    </row>
    <row r="199" spans="1:2" x14ac:dyDescent="0.2">
      <c r="A199" t="s">
        <v>458</v>
      </c>
      <c r="B199">
        <v>59</v>
      </c>
    </row>
    <row r="200" spans="1:2" x14ac:dyDescent="0.2">
      <c r="A200" t="s">
        <v>459</v>
      </c>
      <c r="B200" t="s">
        <v>460</v>
      </c>
    </row>
    <row r="201" spans="1:2" x14ac:dyDescent="0.2">
      <c r="A201" t="s">
        <v>461</v>
      </c>
      <c r="B201" t="s">
        <v>462</v>
      </c>
    </row>
    <row r="202" spans="1:2" x14ac:dyDescent="0.2">
      <c r="A202" t="s">
        <v>463</v>
      </c>
      <c r="B202" t="s">
        <v>464</v>
      </c>
    </row>
    <row r="203" spans="1:2" x14ac:dyDescent="0.2">
      <c r="A203" t="s">
        <v>465</v>
      </c>
      <c r="B203" t="s">
        <v>466</v>
      </c>
    </row>
    <row r="204" spans="1:2" x14ac:dyDescent="0.2">
      <c r="A204" t="s">
        <v>467</v>
      </c>
      <c r="B204" t="s">
        <v>468</v>
      </c>
    </row>
    <row r="205" spans="1:2" x14ac:dyDescent="0.2">
      <c r="A205" t="s">
        <v>469</v>
      </c>
      <c r="B205" t="s">
        <v>470</v>
      </c>
    </row>
    <row r="206" spans="1:2" x14ac:dyDescent="0.2">
      <c r="A206" t="s">
        <v>471</v>
      </c>
      <c r="B206" t="s">
        <v>472</v>
      </c>
    </row>
    <row r="207" spans="1:2" x14ac:dyDescent="0.2">
      <c r="A207" t="s">
        <v>473</v>
      </c>
      <c r="B207" t="s">
        <v>474</v>
      </c>
    </row>
    <row r="208" spans="1:2" x14ac:dyDescent="0.2">
      <c r="A208" t="s">
        <v>475</v>
      </c>
      <c r="B208" t="s">
        <v>476</v>
      </c>
    </row>
    <row r="209" spans="1:23" x14ac:dyDescent="0.2">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
      <c r="A210" t="s">
        <v>478</v>
      </c>
      <c r="B210">
        <v>1</v>
      </c>
    </row>
    <row r="211" spans="1:23" x14ac:dyDescent="0.2">
      <c r="A211" t="s">
        <v>479</v>
      </c>
      <c r="B211">
        <v>2</v>
      </c>
    </row>
    <row r="212" spans="1:23" x14ac:dyDescent="0.2">
      <c r="A212" t="s">
        <v>480</v>
      </c>
      <c r="B212">
        <v>3</v>
      </c>
    </row>
    <row r="213" spans="1:23" x14ac:dyDescent="0.2">
      <c r="A213" t="s">
        <v>481</v>
      </c>
      <c r="B213">
        <v>4</v>
      </c>
    </row>
    <row r="214" spans="1:23" x14ac:dyDescent="0.2">
      <c r="A214" t="s">
        <v>482</v>
      </c>
      <c r="B214">
        <v>5</v>
      </c>
    </row>
    <row r="215" spans="1:23" x14ac:dyDescent="0.2">
      <c r="A215" t="s">
        <v>483</v>
      </c>
      <c r="B215">
        <v>6</v>
      </c>
    </row>
    <row r="216" spans="1:23" x14ac:dyDescent="0.2">
      <c r="A216" t="s">
        <v>484</v>
      </c>
      <c r="B216">
        <v>7</v>
      </c>
    </row>
    <row r="217" spans="1:23" x14ac:dyDescent="0.2">
      <c r="A217" t="s">
        <v>485</v>
      </c>
      <c r="B217">
        <v>9</v>
      </c>
    </row>
    <row r="218" spans="1:23" x14ac:dyDescent="0.2">
      <c r="A218" t="s">
        <v>486</v>
      </c>
      <c r="B218">
        <v>10</v>
      </c>
    </row>
    <row r="219" spans="1:23" x14ac:dyDescent="0.2">
      <c r="A219" t="s">
        <v>487</v>
      </c>
      <c r="B219">
        <v>11</v>
      </c>
    </row>
    <row r="220" spans="1:23" x14ac:dyDescent="0.2">
      <c r="A220" t="s">
        <v>488</v>
      </c>
      <c r="B220">
        <v>12</v>
      </c>
    </row>
    <row r="221" spans="1:23" x14ac:dyDescent="0.2">
      <c r="A221" t="s">
        <v>489</v>
      </c>
      <c r="B221">
        <v>13</v>
      </c>
    </row>
    <row r="222" spans="1:23" x14ac:dyDescent="0.2">
      <c r="A222" t="s">
        <v>490</v>
      </c>
      <c r="B222">
        <v>14</v>
      </c>
    </row>
    <row r="223" spans="1:23" x14ac:dyDescent="0.2">
      <c r="A223" t="s">
        <v>491</v>
      </c>
      <c r="B223">
        <v>15</v>
      </c>
    </row>
    <row r="224" spans="1:23" x14ac:dyDescent="0.2">
      <c r="A224" t="s">
        <v>492</v>
      </c>
      <c r="B224">
        <v>16</v>
      </c>
    </row>
    <row r="225" spans="1:2" x14ac:dyDescent="0.2">
      <c r="A225" t="s">
        <v>493</v>
      </c>
      <c r="B225">
        <v>17</v>
      </c>
    </row>
    <row r="226" spans="1:2" x14ac:dyDescent="0.2">
      <c r="A226" t="s">
        <v>494</v>
      </c>
      <c r="B226">
        <v>18</v>
      </c>
    </row>
    <row r="227" spans="1:2" x14ac:dyDescent="0.2">
      <c r="A227" t="s">
        <v>495</v>
      </c>
      <c r="B227">
        <v>19</v>
      </c>
    </row>
    <row r="228" spans="1:2" x14ac:dyDescent="0.2">
      <c r="A228" t="s">
        <v>496</v>
      </c>
      <c r="B228">
        <v>20</v>
      </c>
    </row>
    <row r="229" spans="1:2" x14ac:dyDescent="0.2">
      <c r="A229" t="s">
        <v>497</v>
      </c>
      <c r="B229">
        <v>21</v>
      </c>
    </row>
    <row r="230" spans="1:2" x14ac:dyDescent="0.2">
      <c r="A230" t="s">
        <v>498</v>
      </c>
      <c r="B230">
        <v>22</v>
      </c>
    </row>
    <row r="231" spans="1:2" x14ac:dyDescent="0.2">
      <c r="A231" t="s">
        <v>499</v>
      </c>
      <c r="B231">
        <v>23</v>
      </c>
    </row>
    <row r="232" spans="1:2" x14ac:dyDescent="0.2">
      <c r="A232" t="s">
        <v>500</v>
      </c>
      <c r="B232">
        <v>24</v>
      </c>
    </row>
    <row r="233" spans="1:2" x14ac:dyDescent="0.2">
      <c r="A233" t="s">
        <v>501</v>
      </c>
      <c r="B233">
        <v>25</v>
      </c>
    </row>
    <row r="234" spans="1:2" x14ac:dyDescent="0.2">
      <c r="A234" t="s">
        <v>502</v>
      </c>
      <c r="B234">
        <v>26</v>
      </c>
    </row>
    <row r="235" spans="1:2" x14ac:dyDescent="0.2">
      <c r="A235" t="s">
        <v>503</v>
      </c>
      <c r="B235">
        <v>27</v>
      </c>
    </row>
    <row r="236" spans="1:2" x14ac:dyDescent="0.2">
      <c r="A236" t="s">
        <v>504</v>
      </c>
      <c r="B236">
        <v>28</v>
      </c>
    </row>
    <row r="237" spans="1:2" x14ac:dyDescent="0.2">
      <c r="A237" t="s">
        <v>505</v>
      </c>
      <c r="B237">
        <v>29</v>
      </c>
    </row>
    <row r="238" spans="1:2" x14ac:dyDescent="0.2">
      <c r="A238" t="s">
        <v>506</v>
      </c>
      <c r="B238">
        <v>30</v>
      </c>
    </row>
    <row r="239" spans="1:2" x14ac:dyDescent="0.2">
      <c r="A239" t="s">
        <v>507</v>
      </c>
      <c r="B239">
        <v>31</v>
      </c>
    </row>
    <row r="240" spans="1:2" x14ac:dyDescent="0.2">
      <c r="A240" t="s">
        <v>508</v>
      </c>
      <c r="B240">
        <v>33</v>
      </c>
    </row>
    <row r="241" spans="1:2" x14ac:dyDescent="0.2">
      <c r="A241" t="s">
        <v>509</v>
      </c>
      <c r="B241">
        <v>34</v>
      </c>
    </row>
    <row r="242" spans="1:2" x14ac:dyDescent="0.2">
      <c r="A242" t="s">
        <v>510</v>
      </c>
      <c r="B242">
        <v>35</v>
      </c>
    </row>
    <row r="243" spans="1:2" x14ac:dyDescent="0.2">
      <c r="A243" t="s">
        <v>511</v>
      </c>
      <c r="B243">
        <v>36</v>
      </c>
    </row>
    <row r="244" spans="1:2" x14ac:dyDescent="0.2">
      <c r="A244" t="s">
        <v>512</v>
      </c>
      <c r="B244">
        <v>37</v>
      </c>
    </row>
    <row r="245" spans="1:2" x14ac:dyDescent="0.2">
      <c r="A245" t="s">
        <v>513</v>
      </c>
      <c r="B245">
        <v>38</v>
      </c>
    </row>
    <row r="246" spans="1:2" x14ac:dyDescent="0.2">
      <c r="A246" t="s">
        <v>514</v>
      </c>
      <c r="B246">
        <v>39</v>
      </c>
    </row>
    <row r="247" spans="1:2" x14ac:dyDescent="0.2">
      <c r="A247" t="s">
        <v>515</v>
      </c>
      <c r="B247">
        <v>40</v>
      </c>
    </row>
    <row r="248" spans="1:2" x14ac:dyDescent="0.2">
      <c r="A248" t="s">
        <v>516</v>
      </c>
      <c r="B248">
        <v>41</v>
      </c>
    </row>
    <row r="249" spans="1:2" x14ac:dyDescent="0.2">
      <c r="A249" t="s">
        <v>517</v>
      </c>
      <c r="B249">
        <v>42</v>
      </c>
    </row>
    <row r="250" spans="1:2" x14ac:dyDescent="0.2">
      <c r="A250" t="s">
        <v>518</v>
      </c>
      <c r="B250">
        <v>43</v>
      </c>
    </row>
    <row r="251" spans="1:2" x14ac:dyDescent="0.2">
      <c r="A251" t="s">
        <v>519</v>
      </c>
      <c r="B251">
        <v>44</v>
      </c>
    </row>
    <row r="252" spans="1:2" x14ac:dyDescent="0.2">
      <c r="A252" t="s">
        <v>520</v>
      </c>
      <c r="B252">
        <v>45</v>
      </c>
    </row>
    <row r="253" spans="1:2" x14ac:dyDescent="0.2">
      <c r="A253" t="s">
        <v>521</v>
      </c>
      <c r="B253">
        <v>46</v>
      </c>
    </row>
    <row r="254" spans="1:2" x14ac:dyDescent="0.2">
      <c r="A254" t="s">
        <v>522</v>
      </c>
      <c r="B254">
        <v>47</v>
      </c>
    </row>
    <row r="255" spans="1:2" x14ac:dyDescent="0.2">
      <c r="A255" t="s">
        <v>523</v>
      </c>
      <c r="B255">
        <v>48</v>
      </c>
    </row>
    <row r="256" spans="1:2" x14ac:dyDescent="0.2">
      <c r="A256" t="s">
        <v>524</v>
      </c>
      <c r="B256">
        <v>49</v>
      </c>
    </row>
    <row r="257" spans="1:2" x14ac:dyDescent="0.2">
      <c r="A257" t="s">
        <v>525</v>
      </c>
      <c r="B257">
        <v>50</v>
      </c>
    </row>
    <row r="258" spans="1:2" x14ac:dyDescent="0.2">
      <c r="A258" t="s">
        <v>526</v>
      </c>
      <c r="B258">
        <v>51</v>
      </c>
    </row>
    <row r="259" spans="1:2" x14ac:dyDescent="0.2">
      <c r="A259" t="s">
        <v>527</v>
      </c>
      <c r="B259">
        <v>52</v>
      </c>
    </row>
    <row r="260" spans="1:2" x14ac:dyDescent="0.2">
      <c r="A260" t="s">
        <v>528</v>
      </c>
      <c r="B260">
        <v>53</v>
      </c>
    </row>
    <row r="261" spans="1:2" x14ac:dyDescent="0.2">
      <c r="A261" t="s">
        <v>529</v>
      </c>
      <c r="B261">
        <v>54</v>
      </c>
    </row>
    <row r="262" spans="1:2" x14ac:dyDescent="0.2">
      <c r="A262" t="s">
        <v>530</v>
      </c>
      <c r="B262">
        <v>55</v>
      </c>
    </row>
    <row r="263" spans="1:2" x14ac:dyDescent="0.2">
      <c r="A263" t="s">
        <v>531</v>
      </c>
      <c r="B263">
        <v>57</v>
      </c>
    </row>
    <row r="264" spans="1:2" x14ac:dyDescent="0.2">
      <c r="A264" t="s">
        <v>532</v>
      </c>
      <c r="B264">
        <v>58</v>
      </c>
    </row>
    <row r="265" spans="1:2" x14ac:dyDescent="0.2">
      <c r="A265" t="s">
        <v>533</v>
      </c>
      <c r="B265">
        <v>59</v>
      </c>
    </row>
    <row r="266" spans="1:2" x14ac:dyDescent="0.2">
      <c r="A266" t="s">
        <v>534</v>
      </c>
      <c r="B266">
        <v>60</v>
      </c>
    </row>
    <row r="267" spans="1:2" x14ac:dyDescent="0.2">
      <c r="A267" t="s">
        <v>535</v>
      </c>
      <c r="B267">
        <v>62</v>
      </c>
    </row>
    <row r="268" spans="1:2" x14ac:dyDescent="0.2">
      <c r="A268" t="s">
        <v>536</v>
      </c>
      <c r="B268">
        <v>63</v>
      </c>
    </row>
    <row r="269" spans="1:2" x14ac:dyDescent="0.2">
      <c r="A269" t="s">
        <v>537</v>
      </c>
      <c r="B269">
        <v>64</v>
      </c>
    </row>
    <row r="270" spans="1:2" x14ac:dyDescent="0.2">
      <c r="A270" t="s">
        <v>538</v>
      </c>
      <c r="B270">
        <v>65</v>
      </c>
    </row>
    <row r="271" spans="1:2" x14ac:dyDescent="0.2">
      <c r="A271" t="s">
        <v>539</v>
      </c>
      <c r="B271">
        <v>66</v>
      </c>
    </row>
    <row r="272" spans="1:2" x14ac:dyDescent="0.2">
      <c r="A272" t="s">
        <v>540</v>
      </c>
      <c r="B272">
        <v>68</v>
      </c>
    </row>
    <row r="273" spans="1:24" x14ac:dyDescent="0.2">
      <c r="A273" t="s">
        <v>541</v>
      </c>
      <c r="B273">
        <v>69</v>
      </c>
    </row>
    <row r="274" spans="1:24" x14ac:dyDescent="0.2">
      <c r="A274" t="s">
        <v>542</v>
      </c>
      <c r="B274">
        <v>70</v>
      </c>
    </row>
    <row r="275" spans="1:24" x14ac:dyDescent="0.2">
      <c r="A275" t="s">
        <v>543</v>
      </c>
      <c r="B275">
        <v>71</v>
      </c>
    </row>
    <row r="276" spans="1:24" x14ac:dyDescent="0.2">
      <c r="A276" t="s">
        <v>544</v>
      </c>
      <c r="B276">
        <v>72</v>
      </c>
    </row>
    <row r="277" spans="1:24" x14ac:dyDescent="0.2">
      <c r="A277" t="s">
        <v>545</v>
      </c>
      <c r="B277" t="s">
        <v>546</v>
      </c>
    </row>
    <row r="278" spans="1:24" x14ac:dyDescent="0.2">
      <c r="A278" t="s">
        <v>547</v>
      </c>
      <c r="B278" t="s">
        <v>548</v>
      </c>
    </row>
    <row r="279" spans="1:24" x14ac:dyDescent="0.2">
      <c r="A279" t="s">
        <v>549</v>
      </c>
      <c r="B279" t="s">
        <v>550</v>
      </c>
    </row>
    <row r="280" spans="1:24" x14ac:dyDescent="0.2">
      <c r="A280" t="s">
        <v>551</v>
      </c>
      <c r="B280" t="s">
        <v>552</v>
      </c>
    </row>
    <row r="281" spans="1:24" x14ac:dyDescent="0.2">
      <c r="A281" t="s">
        <v>553</v>
      </c>
      <c r="B281" t="s">
        <v>554</v>
      </c>
    </row>
    <row r="282" spans="1:24" x14ac:dyDescent="0.2">
      <c r="A282" t="s">
        <v>555</v>
      </c>
      <c r="B282" t="s">
        <v>556</v>
      </c>
    </row>
    <row r="283" spans="1:24" x14ac:dyDescent="0.2">
      <c r="A283" t="s">
        <v>557</v>
      </c>
      <c r="B283" t="s">
        <v>558</v>
      </c>
    </row>
    <row r="284" spans="1:24" x14ac:dyDescent="0.2">
      <c r="A284" t="s">
        <v>559</v>
      </c>
      <c r="B284" t="s">
        <v>560</v>
      </c>
    </row>
    <row r="285" spans="1:24" x14ac:dyDescent="0.2">
      <c r="A285" t="s">
        <v>561</v>
      </c>
      <c r="B285" t="s">
        <v>562</v>
      </c>
    </row>
    <row r="286" spans="1:24" x14ac:dyDescent="0.2">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M5" sqref="AM5:AZ11"/>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2">
      <c r="A1" s="74" t="s">
        <v>564</v>
      </c>
      <c r="B1" s="60"/>
      <c r="C1" s="60"/>
      <c r="D1" s="60"/>
      <c r="E1" s="60"/>
      <c r="F1" s="60"/>
      <c r="H1" s="59" t="str">
        <f>Summary!$C$1</f>
        <v>ALL_master+r110</v>
      </c>
      <c r="I1" s="60"/>
      <c r="J1" s="60"/>
      <c r="K1" s="60"/>
      <c r="L1" s="60"/>
      <c r="M1" s="60"/>
      <c r="N1" s="60"/>
      <c r="O1" s="60"/>
      <c r="P1" s="60"/>
      <c r="Q1" s="60"/>
      <c r="R1" s="60"/>
      <c r="S1" s="60"/>
      <c r="T1" s="60"/>
      <c r="U1" s="60"/>
      <c r="V1" s="60"/>
      <c r="W1" s="60"/>
      <c r="X1" s="60"/>
      <c r="Y1" s="60"/>
      <c r="Z1" s="60"/>
      <c r="AA1" s="60"/>
      <c r="AB1" s="60"/>
      <c r="AC1" s="60"/>
      <c r="AE1" s="61">
        <f>Summary!$C$2</f>
        <v>0</v>
      </c>
      <c r="AF1" s="60"/>
      <c r="AG1" s="60"/>
      <c r="AH1" s="60"/>
      <c r="AI1" s="60"/>
      <c r="AJ1" s="60"/>
      <c r="AK1" s="60"/>
      <c r="AL1" s="60"/>
      <c r="AM1" s="60"/>
      <c r="AN1" s="60"/>
      <c r="AO1" s="60"/>
      <c r="AP1" s="60"/>
      <c r="AQ1" s="60"/>
      <c r="AR1" s="60"/>
      <c r="AS1" s="60"/>
      <c r="AT1" s="60"/>
      <c r="AU1" s="60"/>
      <c r="AV1" s="60"/>
      <c r="AW1" s="60"/>
      <c r="AX1" s="60"/>
      <c r="AY1" s="60"/>
      <c r="AZ1" s="60"/>
    </row>
    <row r="2" spans="1:59" ht="30" customHeight="1" x14ac:dyDescent="0.2">
      <c r="A2" s="70" t="s">
        <v>137</v>
      </c>
      <c r="B2" s="71" t="s">
        <v>138</v>
      </c>
      <c r="C2" s="70" t="s">
        <v>140</v>
      </c>
      <c r="D2" s="71" t="s">
        <v>141</v>
      </c>
      <c r="E2" s="70" t="s">
        <v>142</v>
      </c>
      <c r="F2" s="71" t="s">
        <v>143</v>
      </c>
      <c r="H2" s="70" t="s">
        <v>565</v>
      </c>
      <c r="I2" s="71" t="s">
        <v>144</v>
      </c>
      <c r="J2" s="72" t="s">
        <v>145</v>
      </c>
      <c r="K2" s="60"/>
      <c r="L2" s="60"/>
      <c r="M2" s="60"/>
      <c r="N2" s="70" t="s">
        <v>146</v>
      </c>
      <c r="O2" s="71" t="s">
        <v>147</v>
      </c>
      <c r="P2" s="70" t="s">
        <v>84</v>
      </c>
      <c r="Q2" s="73" t="s">
        <v>148</v>
      </c>
      <c r="R2" s="60"/>
      <c r="S2" s="60"/>
      <c r="T2" s="60"/>
      <c r="U2" s="72" t="s">
        <v>149</v>
      </c>
      <c r="V2" s="60"/>
      <c r="W2" s="73" t="s">
        <v>150</v>
      </c>
      <c r="X2" s="60"/>
      <c r="Y2" s="60"/>
      <c r="Z2" s="72" t="s">
        <v>151</v>
      </c>
      <c r="AA2" s="60"/>
      <c r="AB2" s="73" t="s">
        <v>152</v>
      </c>
      <c r="AC2" s="60"/>
      <c r="AE2" s="70" t="s">
        <v>565</v>
      </c>
      <c r="AF2" s="71" t="s">
        <v>144</v>
      </c>
      <c r="AG2" s="72" t="s">
        <v>145</v>
      </c>
      <c r="AH2" s="60"/>
      <c r="AI2" s="60"/>
      <c r="AJ2" s="60"/>
      <c r="AK2" s="70" t="s">
        <v>153</v>
      </c>
      <c r="AL2" s="71" t="s">
        <v>147</v>
      </c>
      <c r="AM2" s="70" t="s">
        <v>84</v>
      </c>
      <c r="AN2" s="73" t="s">
        <v>148</v>
      </c>
      <c r="AO2" s="60"/>
      <c r="AP2" s="60"/>
      <c r="AQ2" s="60"/>
      <c r="AR2" s="72" t="s">
        <v>149</v>
      </c>
      <c r="AS2" s="60"/>
      <c r="AT2" s="73" t="s">
        <v>150</v>
      </c>
      <c r="AU2" s="60"/>
      <c r="AV2" s="60"/>
      <c r="AW2" s="72" t="s">
        <v>151</v>
      </c>
      <c r="AX2" s="60"/>
      <c r="AY2" s="73" t="s">
        <v>152</v>
      </c>
      <c r="AZ2" s="60"/>
      <c r="BB2" s="72" t="s">
        <v>22</v>
      </c>
      <c r="BC2" s="60"/>
      <c r="BD2" s="60"/>
      <c r="BE2" s="60"/>
      <c r="BF2" s="71" t="s">
        <v>156</v>
      </c>
      <c r="BG2" s="70" t="s">
        <v>156</v>
      </c>
    </row>
    <row r="3" spans="1:59" ht="29" customHeight="1" x14ac:dyDescent="0.2">
      <c r="A3" s="63"/>
      <c r="B3" s="63"/>
      <c r="C3" s="63"/>
      <c r="D3" s="63"/>
      <c r="E3" s="63"/>
      <c r="F3" s="63"/>
      <c r="H3" s="63"/>
      <c r="I3" s="63"/>
      <c r="J3" s="56" t="s">
        <v>25</v>
      </c>
      <c r="K3" s="56" t="s">
        <v>23</v>
      </c>
      <c r="L3" s="56" t="s">
        <v>157</v>
      </c>
      <c r="M3" s="56" t="s">
        <v>158</v>
      </c>
      <c r="N3" s="63"/>
      <c r="O3" s="63"/>
      <c r="P3" s="63"/>
      <c r="Q3" s="57" t="s">
        <v>25</v>
      </c>
      <c r="R3" s="57" t="s">
        <v>157</v>
      </c>
      <c r="S3" s="57" t="s">
        <v>159</v>
      </c>
      <c r="T3" s="57" t="s">
        <v>24</v>
      </c>
      <c r="U3" s="56" t="s">
        <v>9</v>
      </c>
      <c r="V3" s="56" t="s">
        <v>10</v>
      </c>
      <c r="W3" s="57" t="s">
        <v>11</v>
      </c>
      <c r="X3" s="57" t="s">
        <v>12</v>
      </c>
      <c r="Y3" s="57" t="s">
        <v>13</v>
      </c>
      <c r="Z3" s="56" t="s">
        <v>160</v>
      </c>
      <c r="AA3" s="56" t="s">
        <v>161</v>
      </c>
      <c r="AB3" s="57" t="s">
        <v>160</v>
      </c>
      <c r="AC3" s="57" t="s">
        <v>161</v>
      </c>
      <c r="AE3" s="63"/>
      <c r="AF3" s="63"/>
      <c r="AG3" s="56" t="s">
        <v>25</v>
      </c>
      <c r="AH3" s="56" t="s">
        <v>23</v>
      </c>
      <c r="AI3" s="56" t="s">
        <v>157</v>
      </c>
      <c r="AJ3" s="56" t="s">
        <v>158</v>
      </c>
      <c r="AK3" s="63"/>
      <c r="AL3" s="63"/>
      <c r="AM3" s="63"/>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3"/>
      <c r="BG3" s="63"/>
    </row>
    <row r="4" spans="1:59" ht="123" hidden="1" customHeight="1" x14ac:dyDescent="0.2">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
      <c r="A5" s="54" t="s">
        <v>229</v>
      </c>
      <c r="B5" s="54" t="s">
        <v>49</v>
      </c>
      <c r="C5" s="54">
        <v>238146391</v>
      </c>
      <c r="D5" s="10">
        <v>10</v>
      </c>
      <c r="E5" s="10">
        <v>32</v>
      </c>
      <c r="F5" s="10">
        <v>30</v>
      </c>
      <c r="H5" s="17">
        <f t="shared" ref="H5:H11" si="0">IF(ISBLANK(Q5),"·",Q5/(C5*(D5*3+IF(AND(ISNUMBER(T5),T5&gt;0),24,0))))</f>
        <v>2.4156840135764628E-2</v>
      </c>
      <c r="I5" s="11">
        <f t="shared" ref="I5:I11" si="1">IF(OR(ISBLANK(Q5),ISBLANK(F5)),"·",Q5*F5/E5/1000000)</f>
        <v>291.23875500000003</v>
      </c>
      <c r="J5" s="12">
        <f t="shared" ref="J5:J11" si="2">IF(ISBLANK(Q5),"·",Q5/C5)</f>
        <v>1.3044693673312899</v>
      </c>
      <c r="K5" s="12">
        <f t="shared" ref="K5:K11" si="3">IF(N5="","·",N5/C5)</f>
        <v>0.14561372882614879</v>
      </c>
      <c r="L5" s="12">
        <f t="shared" ref="L5:L11" si="4">IF(R5="","·",R5/C5)</f>
        <v>0.13670905472592276</v>
      </c>
      <c r="M5" s="12">
        <f t="shared" ref="M5:M11" si="5">IF(ISBLANK(T5),"·",T5/C5)</f>
        <v>1.1588556385051412</v>
      </c>
      <c r="N5" s="54">
        <f t="shared" ref="N5:N11" si="6">IF(OR(ISBLANK(R5),ISBLANK(S5)),"",R5+S5)</f>
        <v>34677384</v>
      </c>
      <c r="O5" s="12">
        <v>16</v>
      </c>
      <c r="P5" s="13">
        <v>24964341</v>
      </c>
      <c r="Q5" s="14">
        <v>310654672</v>
      </c>
      <c r="R5" s="14">
        <v>32556768</v>
      </c>
      <c r="S5" s="14">
        <v>2120616</v>
      </c>
      <c r="T5" s="14">
        <v>275977288</v>
      </c>
      <c r="U5" s="15" t="s">
        <v>571</v>
      </c>
      <c r="V5" s="15" t="s">
        <v>571</v>
      </c>
      <c r="W5" s="15" t="s">
        <v>571</v>
      </c>
      <c r="X5" s="15" t="s">
        <v>571</v>
      </c>
      <c r="Y5" s="15" t="s">
        <v>571</v>
      </c>
      <c r="Z5" s="16">
        <v>7747.98</v>
      </c>
      <c r="AA5" s="16">
        <v>0</v>
      </c>
      <c r="AB5" s="16">
        <v>34.918999999999997</v>
      </c>
      <c r="AC5" s="16">
        <v>0</v>
      </c>
      <c r="AE5" s="17">
        <f t="shared" ref="AE5:AE11" si="7">IF(ISBLANK(Q5),"·",Q5/(C5*(D5*3+IF(AND(ISNUMBER(T5),T5&gt;0),24,0))))</f>
        <v>2.4156840135764628E-2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
      <c r="A6" s="18"/>
      <c r="B6" s="18" t="s">
        <v>57</v>
      </c>
      <c r="C6" s="18">
        <v>218121242</v>
      </c>
      <c r="D6" s="19">
        <v>10</v>
      </c>
      <c r="E6" s="19">
        <v>32</v>
      </c>
      <c r="F6" s="19">
        <v>30</v>
      </c>
      <c r="H6" s="26">
        <f t="shared" si="0"/>
        <v>3.3812963661877686E-2</v>
      </c>
      <c r="I6" s="20">
        <f t="shared" si="1"/>
        <v>373.37585999999999</v>
      </c>
      <c r="J6" s="21">
        <f t="shared" si="2"/>
        <v>1.8259000377413952</v>
      </c>
      <c r="K6" s="21">
        <f t="shared" si="3"/>
        <v>0.17693290046459573</v>
      </c>
      <c r="L6" s="21">
        <f t="shared" si="4"/>
        <v>0.16169106537546674</v>
      </c>
      <c r="M6" s="21">
        <f t="shared" si="5"/>
        <v>1.6489671372767996</v>
      </c>
      <c r="N6" s="18">
        <f t="shared" si="6"/>
        <v>38592824</v>
      </c>
      <c r="O6" s="21">
        <v>16</v>
      </c>
      <c r="P6" s="22">
        <v>22654789</v>
      </c>
      <c r="Q6" s="23">
        <v>398267584</v>
      </c>
      <c r="R6" s="23">
        <v>35268256</v>
      </c>
      <c r="S6" s="23">
        <v>3324568</v>
      </c>
      <c r="T6" s="23">
        <v>359674760</v>
      </c>
      <c r="U6" s="24" t="s">
        <v>571</v>
      </c>
      <c r="V6" s="24" t="s">
        <v>571</v>
      </c>
      <c r="W6" s="24" t="s">
        <v>571</v>
      </c>
      <c r="X6" s="24" t="s">
        <v>571</v>
      </c>
      <c r="Y6" s="24" t="s">
        <v>571</v>
      </c>
      <c r="Z6" s="25">
        <v>7471.98</v>
      </c>
      <c r="AA6" s="25">
        <v>0</v>
      </c>
      <c r="AB6" s="25">
        <v>36.877000000000002</v>
      </c>
      <c r="AC6" s="25">
        <v>0</v>
      </c>
      <c r="AE6" s="26">
        <f t="shared" si="7"/>
        <v>3.3812963661877686E-2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
      <c r="A7" s="54"/>
      <c r="B7" s="54" t="s">
        <v>62</v>
      </c>
      <c r="C7" s="54">
        <v>322589704</v>
      </c>
      <c r="D7" s="10">
        <v>10</v>
      </c>
      <c r="E7" s="10">
        <v>32</v>
      </c>
      <c r="F7" s="10">
        <v>30</v>
      </c>
      <c r="H7" s="17">
        <f t="shared" si="0"/>
        <v>2.6903697161096325E-2</v>
      </c>
      <c r="I7" s="11">
        <f t="shared" si="1"/>
        <v>439.36707000000001</v>
      </c>
      <c r="J7" s="12">
        <f t="shared" si="2"/>
        <v>1.4527996466992015</v>
      </c>
      <c r="K7" s="12">
        <f t="shared" si="3"/>
        <v>0.17336518588950378</v>
      </c>
      <c r="L7" s="12">
        <f t="shared" si="4"/>
        <v>0.16059818201761331</v>
      </c>
      <c r="M7" s="12">
        <f t="shared" si="5"/>
        <v>1.2794344608096977</v>
      </c>
      <c r="N7" s="54">
        <f t="shared" si="6"/>
        <v>55925824</v>
      </c>
      <c r="O7" s="12">
        <v>16</v>
      </c>
      <c r="P7" s="13">
        <v>33947718</v>
      </c>
      <c r="Q7" s="14">
        <v>468658208</v>
      </c>
      <c r="R7" s="14">
        <v>51807320</v>
      </c>
      <c r="S7" s="14">
        <v>4118504</v>
      </c>
      <c r="T7" s="14">
        <v>412732384</v>
      </c>
      <c r="U7" s="15" t="s">
        <v>571</v>
      </c>
      <c r="V7" s="15" t="s">
        <v>571</v>
      </c>
      <c r="W7" s="15" t="s">
        <v>571</v>
      </c>
      <c r="X7" s="15" t="s">
        <v>571</v>
      </c>
      <c r="Y7" s="15" t="s">
        <v>571</v>
      </c>
      <c r="Z7" s="16">
        <v>10293.1</v>
      </c>
      <c r="AA7" s="16">
        <v>0</v>
      </c>
      <c r="AB7" s="16">
        <v>44.817999999999998</v>
      </c>
      <c r="AC7" s="16">
        <v>0</v>
      </c>
      <c r="AE7" s="17">
        <f t="shared" si="7"/>
        <v>2.6903697161096325E-2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
      <c r="A8" s="37"/>
      <c r="B8" s="37" t="s">
        <v>68</v>
      </c>
      <c r="C8" s="37">
        <v>250602891</v>
      </c>
      <c r="D8" s="38">
        <v>10</v>
      </c>
      <c r="E8" s="38">
        <v>32</v>
      </c>
      <c r="F8" s="38">
        <v>50</v>
      </c>
      <c r="H8" s="46">
        <f t="shared" si="0"/>
        <v>2.6516771922250902E-2</v>
      </c>
      <c r="I8" s="39">
        <f t="shared" si="1"/>
        <v>560.68703749999997</v>
      </c>
      <c r="J8" s="40">
        <f t="shared" si="2"/>
        <v>1.4319056838015487</v>
      </c>
      <c r="K8" s="40">
        <f t="shared" si="3"/>
        <v>0.16356791350822844</v>
      </c>
      <c r="L8" s="40">
        <f t="shared" si="4"/>
        <v>0.14347990901669208</v>
      </c>
      <c r="M8" s="40">
        <f t="shared" si="5"/>
        <v>1.2683377702933203</v>
      </c>
      <c r="N8" s="37">
        <f t="shared" si="6"/>
        <v>40990592</v>
      </c>
      <c r="O8" s="40">
        <v>16</v>
      </c>
      <c r="P8" s="41">
        <v>32209643</v>
      </c>
      <c r="Q8" s="42">
        <v>358839704</v>
      </c>
      <c r="R8" s="42">
        <v>35956480</v>
      </c>
      <c r="S8" s="42">
        <v>5034112</v>
      </c>
      <c r="T8" s="42">
        <v>317849112</v>
      </c>
      <c r="U8" s="43" t="s">
        <v>571</v>
      </c>
      <c r="V8" s="43" t="s">
        <v>571</v>
      </c>
      <c r="W8" s="43" t="s">
        <v>571</v>
      </c>
      <c r="X8" s="43" t="s">
        <v>571</v>
      </c>
      <c r="Y8" s="43" t="s">
        <v>571</v>
      </c>
      <c r="Z8" s="44">
        <v>8940.9699999999993</v>
      </c>
      <c r="AA8" s="44">
        <v>0</v>
      </c>
      <c r="AB8" s="44">
        <v>40.6</v>
      </c>
      <c r="AC8" s="44">
        <v>0</v>
      </c>
      <c r="AE8" s="46">
        <f t="shared" si="7"/>
        <v>2.6516771922250902E-2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
      <c r="A9" s="27" t="s">
        <v>235</v>
      </c>
      <c r="B9" s="27" t="s">
        <v>71</v>
      </c>
      <c r="C9" s="27">
        <v>250294582</v>
      </c>
      <c r="D9" s="28">
        <v>10</v>
      </c>
      <c r="E9" s="28">
        <v>32</v>
      </c>
      <c r="F9" s="28">
        <v>30</v>
      </c>
      <c r="H9" s="36">
        <f t="shared" si="0"/>
        <v>3.8535048184853551E-2</v>
      </c>
      <c r="I9" s="29">
        <f t="shared" si="1"/>
        <v>488.283885</v>
      </c>
      <c r="J9" s="30">
        <f t="shared" si="2"/>
        <v>2.0808926019820917</v>
      </c>
      <c r="K9" s="30">
        <f t="shared" si="3"/>
        <v>0.15212839085745772</v>
      </c>
      <c r="L9" s="30">
        <f t="shared" si="4"/>
        <v>0.14250548979122529</v>
      </c>
      <c r="M9" s="30">
        <f t="shared" si="5"/>
        <v>1.9287642111246339</v>
      </c>
      <c r="N9" s="27">
        <f t="shared" si="6"/>
        <v>38076912</v>
      </c>
      <c r="O9" s="30">
        <v>16</v>
      </c>
      <c r="P9" s="31">
        <v>25312408</v>
      </c>
      <c r="Q9" s="32">
        <v>520836144</v>
      </c>
      <c r="R9" s="32">
        <v>35668352</v>
      </c>
      <c r="S9" s="32">
        <v>2408560</v>
      </c>
      <c r="T9" s="32">
        <v>482759232</v>
      </c>
      <c r="U9" s="33" t="s">
        <v>571</v>
      </c>
      <c r="V9" s="33" t="s">
        <v>571</v>
      </c>
      <c r="W9" s="33" t="s">
        <v>571</v>
      </c>
      <c r="X9" s="33" t="s">
        <v>571</v>
      </c>
      <c r="Y9" s="33" t="s">
        <v>571</v>
      </c>
      <c r="Z9" s="34">
        <v>7240.9</v>
      </c>
      <c r="AA9" s="34">
        <v>0</v>
      </c>
      <c r="AB9" s="34">
        <v>41.648000000000003</v>
      </c>
      <c r="AC9" s="34">
        <v>0</v>
      </c>
      <c r="AE9" s="36">
        <f t="shared" si="7"/>
        <v>3.8535048184853551E-2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
      <c r="A10" s="18" t="s">
        <v>236</v>
      </c>
      <c r="B10" s="18" t="s">
        <v>75</v>
      </c>
      <c r="C10" s="18">
        <v>375422539</v>
      </c>
      <c r="D10" s="19">
        <v>11</v>
      </c>
      <c r="E10" s="19">
        <v>32</v>
      </c>
      <c r="F10" s="19">
        <v>30</v>
      </c>
      <c r="H10" s="26">
        <f t="shared" si="0"/>
        <v>5.7438417012243351E-2</v>
      </c>
      <c r="I10" s="20">
        <f t="shared" si="1"/>
        <v>1152.308955</v>
      </c>
      <c r="J10" s="21">
        <f t="shared" si="2"/>
        <v>3.273989769697871</v>
      </c>
      <c r="K10" s="21">
        <f t="shared" si="3"/>
        <v>0.27628024752131358</v>
      </c>
      <c r="L10" s="21">
        <f t="shared" si="4"/>
        <v>0.26399395269126341</v>
      </c>
      <c r="M10" s="21">
        <f t="shared" si="5"/>
        <v>2.9977095221765575</v>
      </c>
      <c r="N10" s="18">
        <f t="shared" si="6"/>
        <v>103721832</v>
      </c>
      <c r="O10" s="21">
        <v>16</v>
      </c>
      <c r="P10" s="22">
        <v>92854683</v>
      </c>
      <c r="Q10" s="23">
        <v>1229129552</v>
      </c>
      <c r="R10" s="23">
        <v>99109280</v>
      </c>
      <c r="S10" s="23">
        <v>4612552</v>
      </c>
      <c r="T10" s="23">
        <v>1125407720</v>
      </c>
      <c r="U10" s="24" t="s">
        <v>571</v>
      </c>
      <c r="V10" s="24" t="s">
        <v>571</v>
      </c>
      <c r="W10" s="24" t="s">
        <v>571</v>
      </c>
      <c r="X10" s="24" t="s">
        <v>571</v>
      </c>
      <c r="Y10" s="24" t="s">
        <v>571</v>
      </c>
      <c r="Z10" s="25">
        <v>22180.3</v>
      </c>
      <c r="AA10" s="25">
        <v>0</v>
      </c>
      <c r="AB10" s="25">
        <v>118.998</v>
      </c>
      <c r="AC10" s="25">
        <v>0</v>
      </c>
      <c r="AE10" s="26">
        <f t="shared" si="7"/>
        <v>5.7438417012243351E-2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
      <c r="A11" s="27"/>
      <c r="B11" s="27" t="s">
        <v>80</v>
      </c>
      <c r="C11" s="27">
        <v>333190689</v>
      </c>
      <c r="D11" s="28">
        <v>11</v>
      </c>
      <c r="E11" s="28">
        <v>32</v>
      </c>
      <c r="F11" s="28">
        <v>30</v>
      </c>
      <c r="H11" s="36">
        <f t="shared" si="0"/>
        <v>5.8953326178994916E-2</v>
      </c>
      <c r="I11" s="29">
        <f t="shared" si="1"/>
        <v>1049.6567474999999</v>
      </c>
      <c r="J11" s="30">
        <f t="shared" si="2"/>
        <v>3.3603395922027102</v>
      </c>
      <c r="K11" s="30">
        <f t="shared" si="3"/>
        <v>0.29579402802579519</v>
      </c>
      <c r="L11" s="30">
        <f t="shared" si="4"/>
        <v>0.28154784361336099</v>
      </c>
      <c r="M11" s="30">
        <f t="shared" si="5"/>
        <v>3.0645455641769148</v>
      </c>
      <c r="N11" s="27">
        <f t="shared" si="6"/>
        <v>98555816</v>
      </c>
      <c r="O11" s="30">
        <v>16</v>
      </c>
      <c r="P11" s="31">
        <v>83104648</v>
      </c>
      <c r="Q11" s="32">
        <v>1119633864</v>
      </c>
      <c r="R11" s="32">
        <v>93809120</v>
      </c>
      <c r="S11" s="32">
        <v>4746696</v>
      </c>
      <c r="T11" s="32">
        <v>1021078048</v>
      </c>
      <c r="U11" s="33" t="s">
        <v>571</v>
      </c>
      <c r="V11" s="33" t="s">
        <v>571</v>
      </c>
      <c r="W11" s="33" t="s">
        <v>571</v>
      </c>
      <c r="X11" s="33" t="s">
        <v>571</v>
      </c>
      <c r="Y11" s="33" t="s">
        <v>571</v>
      </c>
      <c r="Z11" s="34">
        <v>20850.5</v>
      </c>
      <c r="AA11" s="34">
        <v>0</v>
      </c>
      <c r="AB11" s="34">
        <v>114.66500000000001</v>
      </c>
      <c r="AC11" s="34">
        <v>0</v>
      </c>
      <c r="AE11" s="36">
        <f t="shared" si="7"/>
        <v>5.8953326178994916E-2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ht="16" x14ac:dyDescent="0.2">
      <c r="B12" s="47" t="s">
        <v>14</v>
      </c>
      <c r="J12" s="48">
        <f>AVERAGE(J5:J8)</f>
        <v>1.5037686838933588</v>
      </c>
      <c r="K12" s="48">
        <f>AVERAGE(K5:K8)</f>
        <v>0.16486993217211918</v>
      </c>
      <c r="L12" s="48">
        <f>AVERAGE(L5:L8)</f>
        <v>0.15061955278392372</v>
      </c>
      <c r="M12" s="48">
        <f>AVERAGE(M5:M8)</f>
        <v>1.3388987517212396</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ht="16" x14ac:dyDescent="0.2">
      <c r="B13" s="47" t="s">
        <v>15</v>
      </c>
      <c r="J13" s="48">
        <f>AVERAGE(J9:J9)</f>
        <v>2.0808926019820917</v>
      </c>
      <c r="K13" s="48">
        <f>AVERAGE(K9:K9)</f>
        <v>0.15212839085745772</v>
      </c>
      <c r="L13" s="48">
        <f>AVERAGE(L9:L9)</f>
        <v>0.14250548979122529</v>
      </c>
      <c r="M13" s="48">
        <f>AVERAGE(M9:M9)</f>
        <v>1.9287642111246339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ht="16" x14ac:dyDescent="0.2">
      <c r="B14" s="47" t="s">
        <v>16</v>
      </c>
      <c r="J14" s="48">
        <f>AVERAGE(J10:J11)</f>
        <v>3.3171646809502908</v>
      </c>
      <c r="K14" s="48">
        <f>AVERAGE(K10:K11)</f>
        <v>0.28603713777355438</v>
      </c>
      <c r="L14" s="48">
        <f>AVERAGE(L10:L11)</f>
        <v>0.2727708981523122</v>
      </c>
      <c r="M14" s="48">
        <f>AVERAGE(M10:M11)</f>
        <v>3.0311275431767362</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ht="16" x14ac:dyDescent="0.2">
      <c r="B15" s="47" t="s">
        <v>17</v>
      </c>
      <c r="J15" s="48">
        <f>AVERAGE(J5:J11)</f>
        <v>2.1043280999223013</v>
      </c>
      <c r="K15" s="48">
        <f>AVERAGE(K5:K11)</f>
        <v>0.19766891358472044</v>
      </c>
      <c r="L15" s="48">
        <f>AVERAGE(L5:L11)</f>
        <v>0.18436078531879208</v>
      </c>
      <c r="M15" s="48">
        <f>AVERAGE(M5:M11)</f>
        <v>1.9066591863375808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t="16" hidden="1" outlineLevel="2" x14ac:dyDescent="0.2">
      <c r="A16" s="47" t="s">
        <v>237</v>
      </c>
      <c r="B16" s="47" t="s">
        <v>238</v>
      </c>
      <c r="Z16" s="49">
        <f>SUM(Z5:Z8,Z9:Z9,Z10:Z11)</f>
        <v>84725.73</v>
      </c>
      <c r="AA16" s="49">
        <f>SUM(AA5:AA8,AA9:AA9,AA10:AA11)</f>
        <v>0</v>
      </c>
      <c r="AB16" s="49">
        <f>SUM(AB5:AB8,AB9:AB9,AB10:AB11)</f>
        <v>432.52500000000003</v>
      </c>
      <c r="AC16" s="49">
        <f>SUM(AC5:AC8,AC9:AC9,AC10:AC11)</f>
        <v>0</v>
      </c>
      <c r="AW16" s="49">
        <f>SUM(AW5:AW8,AW9:AW9,AW10:AW11)</f>
        <v>0</v>
      </c>
      <c r="AX16" s="49">
        <f>SUM(AX5:AX8,AX9:AX9,AX10:AX11)</f>
        <v>0</v>
      </c>
      <c r="AY16" s="49">
        <f>SUM(AY5:AY8,AY9:AY9,AY10:AY11)</f>
        <v>0</v>
      </c>
      <c r="AZ16" s="49">
        <f>SUM(AZ5:AZ8,AZ9:AZ9,AZ10:AZ11)</f>
        <v>0</v>
      </c>
    </row>
    <row r="17" spans="2:52" ht="16" hidden="1" outlineLevel="2" x14ac:dyDescent="0.2">
      <c r="B17" s="47" t="s">
        <v>239</v>
      </c>
      <c r="AW17" s="55">
        <f>AW16/Z16</f>
        <v>0</v>
      </c>
      <c r="AX17" s="55" t="e">
        <f>AX16/AA16</f>
        <v>#DIV/0!</v>
      </c>
      <c r="AY17" s="55">
        <f>AY16/AB16</f>
        <v>0</v>
      </c>
      <c r="AZ17" s="55" t="e">
        <f>AZ16/AC16</f>
        <v>#DIV/0!</v>
      </c>
    </row>
    <row r="18" spans="2:52" ht="16" hidden="1" outlineLevel="2" x14ac:dyDescent="0.2">
      <c r="B18" s="47" t="s">
        <v>240</v>
      </c>
      <c r="Z18" s="49">
        <f>GEOMEAN(Z5:Z8,Z9:Z9,Z10:Z11)</f>
        <v>10862.22464062849</v>
      </c>
      <c r="AA18" s="49" t="e">
        <f>GEOMEAN(AA5:AA8,AA9:AA9,AA10:AA11)</f>
        <v>#NUM!</v>
      </c>
      <c r="AB18" s="49">
        <f>GEOMEAN(AB5:AB8,AB9:AB9,AB10:AB11)</f>
        <v>53.957461658290946</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ht="16" outlineLevel="2" collapsed="1" x14ac:dyDescent="0.2">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V33" sqref="AV33"/>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x14ac:dyDescent="0.2">
      <c r="A1" s="74" t="s">
        <v>572</v>
      </c>
      <c r="B1" s="60"/>
      <c r="C1" s="60"/>
      <c r="D1" s="60"/>
      <c r="E1" s="60"/>
      <c r="F1" s="60"/>
      <c r="H1" s="59" t="str">
        <f>Summary!$C$1</f>
        <v>ALL_master+r110</v>
      </c>
      <c r="I1" s="60"/>
      <c r="J1" s="60"/>
      <c r="K1" s="60"/>
      <c r="L1" s="60"/>
      <c r="M1" s="60"/>
      <c r="N1" s="60"/>
      <c r="O1" s="60"/>
      <c r="P1" s="60"/>
      <c r="Q1" s="60"/>
      <c r="R1" s="60"/>
      <c r="S1" s="60"/>
      <c r="T1" s="60"/>
      <c r="U1" s="60"/>
      <c r="V1" s="60"/>
      <c r="W1" s="60"/>
      <c r="X1" s="60"/>
      <c r="Y1" s="60"/>
      <c r="Z1" s="60"/>
      <c r="AA1" s="60"/>
      <c r="AB1" s="60"/>
      <c r="AC1" s="60"/>
      <c r="AE1" s="61">
        <f>Summary!$C$2</f>
        <v>0</v>
      </c>
      <c r="AF1" s="60"/>
      <c r="AG1" s="60"/>
      <c r="AH1" s="60"/>
      <c r="AI1" s="60"/>
      <c r="AJ1" s="60"/>
      <c r="AK1" s="60"/>
      <c r="AL1" s="60"/>
      <c r="AM1" s="60"/>
      <c r="AN1" s="60"/>
      <c r="AO1" s="60"/>
      <c r="AP1" s="60"/>
      <c r="AQ1" s="60"/>
      <c r="AR1" s="60"/>
      <c r="AS1" s="60"/>
      <c r="AT1" s="60"/>
      <c r="AU1" s="60"/>
      <c r="AV1" s="60"/>
      <c r="AW1" s="60"/>
      <c r="AX1" s="60"/>
      <c r="AY1" s="60"/>
      <c r="AZ1" s="60"/>
    </row>
    <row r="2" spans="1:59" ht="30" customHeight="1" x14ac:dyDescent="0.2">
      <c r="A2" s="70" t="s">
        <v>137</v>
      </c>
      <c r="B2" s="71" t="s">
        <v>138</v>
      </c>
      <c r="C2" s="70" t="s">
        <v>140</v>
      </c>
      <c r="D2" s="71" t="s">
        <v>141</v>
      </c>
      <c r="E2" s="70" t="s">
        <v>142</v>
      </c>
      <c r="F2" s="71" t="s">
        <v>143</v>
      </c>
      <c r="H2" s="70" t="s">
        <v>565</v>
      </c>
      <c r="I2" s="71" t="s">
        <v>144</v>
      </c>
      <c r="J2" s="72" t="s">
        <v>145</v>
      </c>
      <c r="K2" s="60"/>
      <c r="L2" s="60"/>
      <c r="M2" s="60"/>
      <c r="N2" s="70" t="s">
        <v>146</v>
      </c>
      <c r="O2" s="71" t="s">
        <v>147</v>
      </c>
      <c r="P2" s="70" t="s">
        <v>84</v>
      </c>
      <c r="Q2" s="73" t="s">
        <v>148</v>
      </c>
      <c r="R2" s="60"/>
      <c r="S2" s="60"/>
      <c r="T2" s="60"/>
      <c r="U2" s="72" t="s">
        <v>149</v>
      </c>
      <c r="V2" s="60"/>
      <c r="W2" s="73" t="s">
        <v>150</v>
      </c>
      <c r="X2" s="60"/>
      <c r="Y2" s="60"/>
      <c r="Z2" s="72" t="s">
        <v>151</v>
      </c>
      <c r="AA2" s="60"/>
      <c r="AB2" s="73" t="s">
        <v>152</v>
      </c>
      <c r="AC2" s="60"/>
      <c r="AE2" s="70" t="s">
        <v>565</v>
      </c>
      <c r="AF2" s="71" t="s">
        <v>144</v>
      </c>
      <c r="AG2" s="72" t="s">
        <v>145</v>
      </c>
      <c r="AH2" s="60"/>
      <c r="AI2" s="60"/>
      <c r="AJ2" s="60"/>
      <c r="AK2" s="70" t="s">
        <v>153</v>
      </c>
      <c r="AL2" s="71" t="s">
        <v>147</v>
      </c>
      <c r="AM2" s="70" t="s">
        <v>84</v>
      </c>
      <c r="AN2" s="73" t="s">
        <v>148</v>
      </c>
      <c r="AO2" s="60"/>
      <c r="AP2" s="60"/>
      <c r="AQ2" s="60"/>
      <c r="AR2" s="72" t="s">
        <v>149</v>
      </c>
      <c r="AS2" s="60"/>
      <c r="AT2" s="73" t="s">
        <v>150</v>
      </c>
      <c r="AU2" s="60"/>
      <c r="AV2" s="60"/>
      <c r="AW2" s="72" t="s">
        <v>151</v>
      </c>
      <c r="AX2" s="60"/>
      <c r="AY2" s="73" t="s">
        <v>152</v>
      </c>
      <c r="AZ2" s="60"/>
      <c r="BB2" s="72" t="s">
        <v>22</v>
      </c>
      <c r="BC2" s="60"/>
      <c r="BD2" s="60"/>
      <c r="BE2" s="60"/>
      <c r="BF2" s="71" t="s">
        <v>156</v>
      </c>
      <c r="BG2" s="70" t="s">
        <v>156</v>
      </c>
    </row>
    <row r="3" spans="1:59" ht="29" customHeight="1" thickBot="1" x14ac:dyDescent="0.25">
      <c r="A3" s="63"/>
      <c r="B3" s="63"/>
      <c r="C3" s="63"/>
      <c r="D3" s="63"/>
      <c r="E3" s="63"/>
      <c r="F3" s="63"/>
      <c r="H3" s="63"/>
      <c r="I3" s="63"/>
      <c r="J3" s="56" t="s">
        <v>25</v>
      </c>
      <c r="K3" s="56" t="s">
        <v>23</v>
      </c>
      <c r="L3" s="56" t="s">
        <v>157</v>
      </c>
      <c r="M3" s="56" t="s">
        <v>158</v>
      </c>
      <c r="N3" s="63"/>
      <c r="O3" s="63"/>
      <c r="P3" s="63"/>
      <c r="Q3" s="57" t="s">
        <v>25</v>
      </c>
      <c r="R3" s="57" t="s">
        <v>157</v>
      </c>
      <c r="S3" s="57" t="s">
        <v>159</v>
      </c>
      <c r="T3" s="57" t="s">
        <v>24</v>
      </c>
      <c r="U3" s="56" t="s">
        <v>9</v>
      </c>
      <c r="V3" s="56" t="s">
        <v>10</v>
      </c>
      <c r="W3" s="57" t="s">
        <v>11</v>
      </c>
      <c r="X3" s="57" t="s">
        <v>12</v>
      </c>
      <c r="Y3" s="57" t="s">
        <v>13</v>
      </c>
      <c r="Z3" s="56" t="s">
        <v>160</v>
      </c>
      <c r="AA3" s="56" t="s">
        <v>161</v>
      </c>
      <c r="AB3" s="57" t="s">
        <v>160</v>
      </c>
      <c r="AC3" s="57" t="s">
        <v>161</v>
      </c>
      <c r="AE3" s="63"/>
      <c r="AF3" s="63"/>
      <c r="AG3" s="56" t="s">
        <v>25</v>
      </c>
      <c r="AH3" s="56" t="s">
        <v>23</v>
      </c>
      <c r="AI3" s="56" t="s">
        <v>157</v>
      </c>
      <c r="AJ3" s="56" t="s">
        <v>158</v>
      </c>
      <c r="AK3" s="63"/>
      <c r="AL3" s="63"/>
      <c r="AM3" s="63"/>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3"/>
      <c r="BG3" s="63"/>
    </row>
    <row r="4" spans="1:59" ht="123" hidden="1" customHeight="1" x14ac:dyDescent="0.2">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
      <c r="A5" s="54" t="s">
        <v>229</v>
      </c>
      <c r="B5" s="54" t="s">
        <v>49</v>
      </c>
      <c r="C5" s="54">
        <v>238146391</v>
      </c>
      <c r="D5" s="10">
        <v>10</v>
      </c>
      <c r="E5" s="10">
        <v>32</v>
      </c>
      <c r="F5" s="10">
        <v>30</v>
      </c>
      <c r="H5" s="17">
        <f t="shared" ref="H5:H11" si="0">IF(ISBLANK(Q5),"·",Q5/(C5*(D5*3+IF(AND(ISNUMBER(T5),T5&gt;0),24,0))))</f>
        <v>2.3969129263981287E-2</v>
      </c>
      <c r="I5" s="11">
        <f t="shared" ref="I5:I11" si="1">IF(OR(ISBLANK(Q5),ISBLANK(F5)),"·",Q5*F5/E5/1000000)</f>
        <v>288.9756825</v>
      </c>
      <c r="J5" s="12">
        <f t="shared" ref="J5:J11" si="2">IF(ISBLANK(Q5),"·",Q5/C5)</f>
        <v>1.2943329802549894</v>
      </c>
      <c r="K5" s="12">
        <f t="shared" ref="K5:K11" si="3">IF(N5="","·",N5/C5)</f>
        <v>0.14288125827613318</v>
      </c>
      <c r="L5" s="12">
        <f t="shared" ref="L5:L11" si="4">IF(R5="","·",R5/C5)</f>
        <v>0.13400974025258269</v>
      </c>
      <c r="M5" s="12">
        <f t="shared" ref="M5:M11" si="5">IF(ISBLANK(T5),"·",T5/C5)</f>
        <v>1.1514517219788563</v>
      </c>
      <c r="N5" s="54">
        <f t="shared" ref="N5:N11" si="6">IF(OR(ISBLANK(R5),ISBLANK(S5)),"",R5+S5)</f>
        <v>34026656</v>
      </c>
      <c r="O5" s="12">
        <v>16</v>
      </c>
      <c r="P5" s="13">
        <v>24964341</v>
      </c>
      <c r="Q5" s="14">
        <v>308240728</v>
      </c>
      <c r="R5" s="14">
        <v>31913936</v>
      </c>
      <c r="S5" s="14">
        <v>2112720</v>
      </c>
      <c r="T5" s="14">
        <v>274214072</v>
      </c>
      <c r="U5" s="15" t="s">
        <v>571</v>
      </c>
      <c r="V5" s="15" t="s">
        <v>571</v>
      </c>
      <c r="W5" s="15" t="s">
        <v>571</v>
      </c>
      <c r="X5" s="15" t="s">
        <v>571</v>
      </c>
      <c r="Y5" s="15" t="s">
        <v>571</v>
      </c>
      <c r="Z5" s="16">
        <v>9816.1</v>
      </c>
      <c r="AA5" s="16">
        <v>0</v>
      </c>
      <c r="AB5" s="16">
        <v>35.462000000000003</v>
      </c>
      <c r="AC5" s="16">
        <v>0</v>
      </c>
      <c r="AE5" s="17">
        <f t="shared" ref="AE5:AE11" si="7">IF(ISBLANK(Q5),"·",Q5/(C5*(D5*3+IF(AND(ISNUMBER(T5),T5&gt;0),24,0))))</f>
        <v>2.3969129263981287E-2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
      <c r="A6" s="18"/>
      <c r="B6" s="18" t="s">
        <v>57</v>
      </c>
      <c r="C6" s="18">
        <v>218121242</v>
      </c>
      <c r="D6" s="19">
        <v>10</v>
      </c>
      <c r="E6" s="19">
        <v>32</v>
      </c>
      <c r="F6" s="19">
        <v>30</v>
      </c>
      <c r="H6" s="26">
        <f t="shared" si="0"/>
        <v>3.3699185282230093E-2</v>
      </c>
      <c r="I6" s="20">
        <f t="shared" si="1"/>
        <v>372.11947500000002</v>
      </c>
      <c r="J6" s="21">
        <f t="shared" si="2"/>
        <v>1.8197560052404249</v>
      </c>
      <c r="K6" s="21">
        <f t="shared" si="3"/>
        <v>0.17650117726727413</v>
      </c>
      <c r="L6" s="21">
        <f t="shared" si="4"/>
        <v>0.16081034418463472</v>
      </c>
      <c r="M6" s="21">
        <f t="shared" si="5"/>
        <v>1.6432548279731509</v>
      </c>
      <c r="N6" s="18">
        <f t="shared" si="6"/>
        <v>38498656</v>
      </c>
      <c r="O6" s="21">
        <v>16</v>
      </c>
      <c r="P6" s="22">
        <v>22654789</v>
      </c>
      <c r="Q6" s="23">
        <v>396927440</v>
      </c>
      <c r="R6" s="23">
        <v>35076152</v>
      </c>
      <c r="S6" s="23">
        <v>3422504</v>
      </c>
      <c r="T6" s="23">
        <v>358428784</v>
      </c>
      <c r="U6" s="24" t="s">
        <v>571</v>
      </c>
      <c r="V6" s="24" t="s">
        <v>571</v>
      </c>
      <c r="W6" s="24" t="s">
        <v>571</v>
      </c>
      <c r="X6" s="24" t="s">
        <v>571</v>
      </c>
      <c r="Y6" s="24" t="s">
        <v>571</v>
      </c>
      <c r="Z6" s="25">
        <v>11462.5</v>
      </c>
      <c r="AA6" s="25">
        <v>0</v>
      </c>
      <c r="AB6" s="25">
        <v>36.154000000000003</v>
      </c>
      <c r="AC6" s="25">
        <v>0</v>
      </c>
      <c r="AE6" s="26">
        <f t="shared" si="7"/>
        <v>3.3699185282230093E-2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
      <c r="A7" s="54"/>
      <c r="B7" s="54" t="s">
        <v>62</v>
      </c>
      <c r="C7" s="54">
        <v>322589704</v>
      </c>
      <c r="D7" s="10">
        <v>10</v>
      </c>
      <c r="E7" s="10">
        <v>32</v>
      </c>
      <c r="F7" s="10">
        <v>30</v>
      </c>
      <c r="H7" s="17">
        <f t="shared" si="0"/>
        <v>2.6213351140262013E-2</v>
      </c>
      <c r="I7" s="11">
        <f t="shared" si="1"/>
        <v>428.09295750000001</v>
      </c>
      <c r="J7" s="12">
        <f t="shared" si="2"/>
        <v>1.4155209615741486</v>
      </c>
      <c r="K7" s="12">
        <f t="shared" si="3"/>
        <v>0.15693207617066415</v>
      </c>
      <c r="L7" s="12">
        <f t="shared" si="4"/>
        <v>0.14511364566055709</v>
      </c>
      <c r="M7" s="12">
        <f t="shared" si="5"/>
        <v>1.2585888854034846</v>
      </c>
      <c r="N7" s="54">
        <f t="shared" si="6"/>
        <v>50624672</v>
      </c>
      <c r="O7" s="12">
        <v>16</v>
      </c>
      <c r="P7" s="13">
        <v>33947718</v>
      </c>
      <c r="Q7" s="14">
        <v>456632488</v>
      </c>
      <c r="R7" s="14">
        <v>46812168</v>
      </c>
      <c r="S7" s="14">
        <v>3812504</v>
      </c>
      <c r="T7" s="14">
        <v>406007816</v>
      </c>
      <c r="U7" s="15" t="s">
        <v>571</v>
      </c>
      <c r="V7" s="15" t="s">
        <v>571</v>
      </c>
      <c r="W7" s="15" t="s">
        <v>571</v>
      </c>
      <c r="X7" s="15" t="s">
        <v>571</v>
      </c>
      <c r="Y7" s="15" t="s">
        <v>571</v>
      </c>
      <c r="Z7" s="16">
        <v>12586.1</v>
      </c>
      <c r="AA7" s="16">
        <v>0</v>
      </c>
      <c r="AB7" s="16">
        <v>44.302</v>
      </c>
      <c r="AC7" s="16">
        <v>0</v>
      </c>
      <c r="AE7" s="17">
        <f t="shared" si="7"/>
        <v>2.6213351140262013E-2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6" collapsed="1" thickBot="1" x14ac:dyDescent="0.25">
      <c r="A8" s="37"/>
      <c r="B8" s="37" t="s">
        <v>68</v>
      </c>
      <c r="C8" s="37">
        <v>250602891</v>
      </c>
      <c r="D8" s="38">
        <v>10</v>
      </c>
      <c r="E8" s="38">
        <v>32</v>
      </c>
      <c r="F8" s="38">
        <v>50</v>
      </c>
      <c r="H8" s="46">
        <f t="shared" si="0"/>
        <v>2.3936240076986835E-2</v>
      </c>
      <c r="I8" s="39">
        <f t="shared" si="1"/>
        <v>506.12267500000002</v>
      </c>
      <c r="J8" s="40">
        <f t="shared" si="2"/>
        <v>1.2925569641572889</v>
      </c>
      <c r="K8" s="40">
        <f t="shared" si="3"/>
        <v>0.11764697479088539</v>
      </c>
      <c r="L8" s="40">
        <f t="shared" si="4"/>
        <v>0.10443241055826447</v>
      </c>
      <c r="M8" s="40">
        <f t="shared" si="5"/>
        <v>1.1749099893664037</v>
      </c>
      <c r="N8" s="37">
        <f t="shared" si="6"/>
        <v>29482672</v>
      </c>
      <c r="O8" s="40">
        <v>16</v>
      </c>
      <c r="P8" s="41">
        <v>32209643</v>
      </c>
      <c r="Q8" s="42">
        <v>323918512</v>
      </c>
      <c r="R8" s="42">
        <v>26171064</v>
      </c>
      <c r="S8" s="42">
        <v>3311608</v>
      </c>
      <c r="T8" s="42">
        <v>294435840</v>
      </c>
      <c r="U8" s="43" t="s">
        <v>571</v>
      </c>
      <c r="V8" s="43" t="s">
        <v>571</v>
      </c>
      <c r="W8" s="43" t="s">
        <v>571</v>
      </c>
      <c r="X8" s="43" t="s">
        <v>571</v>
      </c>
      <c r="Y8" s="43" t="s">
        <v>571</v>
      </c>
      <c r="Z8" s="44">
        <v>10539</v>
      </c>
      <c r="AA8" s="44">
        <v>0</v>
      </c>
      <c r="AB8" s="44">
        <v>38.207000000000001</v>
      </c>
      <c r="AC8" s="44">
        <v>0</v>
      </c>
      <c r="AE8" s="46">
        <f t="shared" si="7"/>
        <v>2.3936240076986835E-2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6" collapsed="1" thickBot="1" x14ac:dyDescent="0.25">
      <c r="A9" s="27" t="s">
        <v>235</v>
      </c>
      <c r="B9" s="27" t="s">
        <v>71</v>
      </c>
      <c r="C9" s="27">
        <v>250294582</v>
      </c>
      <c r="D9" s="28">
        <v>10</v>
      </c>
      <c r="E9" s="28">
        <v>32</v>
      </c>
      <c r="F9" s="28">
        <v>30</v>
      </c>
      <c r="H9" s="36">
        <f t="shared" si="0"/>
        <v>3.838860148783789E-2</v>
      </c>
      <c r="I9" s="29">
        <f t="shared" si="1"/>
        <v>486.42823499999997</v>
      </c>
      <c r="J9" s="30">
        <f t="shared" si="2"/>
        <v>2.072984480343246</v>
      </c>
      <c r="K9" s="30">
        <f t="shared" si="3"/>
        <v>0.1519871492863557</v>
      </c>
      <c r="L9" s="30">
        <f t="shared" si="4"/>
        <v>0.14215230595762557</v>
      </c>
      <c r="M9" s="30">
        <f t="shared" si="5"/>
        <v>1.9209973310568904</v>
      </c>
      <c r="N9" s="27">
        <f t="shared" si="6"/>
        <v>38041560</v>
      </c>
      <c r="O9" s="30">
        <v>16</v>
      </c>
      <c r="P9" s="31">
        <v>25312408</v>
      </c>
      <c r="Q9" s="32">
        <v>518856784</v>
      </c>
      <c r="R9" s="32">
        <v>35579952</v>
      </c>
      <c r="S9" s="32">
        <v>2461608</v>
      </c>
      <c r="T9" s="32">
        <v>480815224</v>
      </c>
      <c r="U9" s="33" t="s">
        <v>571</v>
      </c>
      <c r="V9" s="33" t="s">
        <v>571</v>
      </c>
      <c r="W9" s="33" t="s">
        <v>571</v>
      </c>
      <c r="X9" s="33" t="s">
        <v>571</v>
      </c>
      <c r="Y9" s="33" t="s">
        <v>571</v>
      </c>
      <c r="Z9" s="34">
        <v>11624.5</v>
      </c>
      <c r="AA9" s="34">
        <v>0</v>
      </c>
      <c r="AB9" s="34">
        <v>42.738999999999997</v>
      </c>
      <c r="AC9" s="34">
        <v>0</v>
      </c>
      <c r="AE9" s="36">
        <f t="shared" si="7"/>
        <v>3.838860148783789E-2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
      <c r="A10" s="18" t="s">
        <v>236</v>
      </c>
      <c r="B10" s="18" t="s">
        <v>75</v>
      </c>
      <c r="C10" s="18">
        <v>375422539</v>
      </c>
      <c r="D10" s="19">
        <v>11</v>
      </c>
      <c r="E10" s="19">
        <v>32</v>
      </c>
      <c r="F10" s="19">
        <v>30</v>
      </c>
      <c r="H10" s="26">
        <f t="shared" si="0"/>
        <v>5.7463958291558564E-2</v>
      </c>
      <c r="I10" s="20">
        <f t="shared" si="1"/>
        <v>1152.821355</v>
      </c>
      <c r="J10" s="21">
        <f t="shared" si="2"/>
        <v>3.2754456226188382</v>
      </c>
      <c r="K10" s="21">
        <f t="shared" si="3"/>
        <v>0.27542269645137102</v>
      </c>
      <c r="L10" s="21">
        <f t="shared" si="4"/>
        <v>0.26290847710664489</v>
      </c>
      <c r="M10" s="21">
        <f t="shared" si="5"/>
        <v>3.0000229261674671</v>
      </c>
      <c r="N10" s="18">
        <f t="shared" si="6"/>
        <v>103399888</v>
      </c>
      <c r="O10" s="21">
        <v>16</v>
      </c>
      <c r="P10" s="22">
        <v>92854683</v>
      </c>
      <c r="Q10" s="23">
        <v>1229676112</v>
      </c>
      <c r="R10" s="23">
        <v>98701768</v>
      </c>
      <c r="S10" s="23">
        <v>4698120</v>
      </c>
      <c r="T10" s="23">
        <v>1126276224</v>
      </c>
      <c r="U10" s="24" t="s">
        <v>571</v>
      </c>
      <c r="V10" s="24" t="s">
        <v>571</v>
      </c>
      <c r="W10" s="24" t="s">
        <v>571</v>
      </c>
      <c r="X10" s="24" t="s">
        <v>571</v>
      </c>
      <c r="Y10" s="24" t="s">
        <v>571</v>
      </c>
      <c r="Z10" s="25">
        <v>36741.699999999997</v>
      </c>
      <c r="AA10" s="25">
        <v>0</v>
      </c>
      <c r="AB10" s="25">
        <v>118.41500000000001</v>
      </c>
      <c r="AC10" s="25">
        <v>0</v>
      </c>
      <c r="AE10" s="26">
        <f t="shared" si="7"/>
        <v>5.7463958291558564E-2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6" collapsed="1" thickBot="1" x14ac:dyDescent="0.25">
      <c r="A11" s="27"/>
      <c r="B11" s="27" t="s">
        <v>80</v>
      </c>
      <c r="C11" s="27">
        <v>333190689</v>
      </c>
      <c r="D11" s="28">
        <v>11</v>
      </c>
      <c r="E11" s="28">
        <v>32</v>
      </c>
      <c r="F11" s="28">
        <v>30</v>
      </c>
      <c r="H11" s="36">
        <f t="shared" si="0"/>
        <v>5.8958143819569667E-2</v>
      </c>
      <c r="I11" s="29">
        <f t="shared" si="1"/>
        <v>1049.7425249999999</v>
      </c>
      <c r="J11" s="30">
        <f t="shared" si="2"/>
        <v>3.3606141977154711</v>
      </c>
      <c r="K11" s="30">
        <f t="shared" si="3"/>
        <v>0.29562756479068358</v>
      </c>
      <c r="L11" s="30">
        <f t="shared" si="4"/>
        <v>0.28101527170826796</v>
      </c>
      <c r="M11" s="30">
        <f t="shared" si="5"/>
        <v>3.0649866329247875</v>
      </c>
      <c r="N11" s="27">
        <f t="shared" si="6"/>
        <v>98500352</v>
      </c>
      <c r="O11" s="30">
        <v>16</v>
      </c>
      <c r="P11" s="31">
        <v>83104648</v>
      </c>
      <c r="Q11" s="32">
        <v>1119725360</v>
      </c>
      <c r="R11" s="32">
        <v>93631672</v>
      </c>
      <c r="S11" s="32">
        <v>4868680</v>
      </c>
      <c r="T11" s="32">
        <v>1021225008</v>
      </c>
      <c r="U11" s="33" t="s">
        <v>571</v>
      </c>
      <c r="V11" s="33" t="s">
        <v>571</v>
      </c>
      <c r="W11" s="33" t="s">
        <v>571</v>
      </c>
      <c r="X11" s="33" t="s">
        <v>571</v>
      </c>
      <c r="Y11" s="33" t="s">
        <v>571</v>
      </c>
      <c r="Z11" s="34">
        <v>38745.699999999997</v>
      </c>
      <c r="AA11" s="34">
        <v>0</v>
      </c>
      <c r="AB11" s="34">
        <v>114.03100000000001</v>
      </c>
      <c r="AC11" s="34">
        <v>0</v>
      </c>
      <c r="AE11" s="36">
        <f t="shared" si="7"/>
        <v>5.8958143819569667E-2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ht="16" x14ac:dyDescent="0.2">
      <c r="B12" s="47" t="s">
        <v>14</v>
      </c>
      <c r="J12" s="48">
        <f>AVERAGE(J5:J8)</f>
        <v>1.4555417278067129</v>
      </c>
      <c r="K12" s="48">
        <f>AVERAGE(K5:K8)</f>
        <v>0.14849037162623921</v>
      </c>
      <c r="L12" s="48">
        <f>AVERAGE(L5:L8)</f>
        <v>0.13609153516400974</v>
      </c>
      <c r="M12" s="48">
        <f>AVERAGE(M5:M8)</f>
        <v>1.3070513561804737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ht="16" x14ac:dyDescent="0.2">
      <c r="B13" s="47" t="s">
        <v>15</v>
      </c>
      <c r="J13" s="48">
        <f>AVERAGE(J9:J9)</f>
        <v>2.072984480343246</v>
      </c>
      <c r="K13" s="48">
        <f>AVERAGE(K9:K9)</f>
        <v>0.1519871492863557</v>
      </c>
      <c r="L13" s="48">
        <f>AVERAGE(L9:L9)</f>
        <v>0.14215230595762557</v>
      </c>
      <c r="M13" s="48">
        <f>AVERAGE(M9:M9)</f>
        <v>1.9209973310568904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ht="16" x14ac:dyDescent="0.2">
      <c r="B14" s="47" t="s">
        <v>16</v>
      </c>
      <c r="J14" s="48">
        <f>AVERAGE(J10:J11)</f>
        <v>3.3180299101671547</v>
      </c>
      <c r="K14" s="48">
        <f>AVERAGE(K10:K11)</f>
        <v>0.2855251306210273</v>
      </c>
      <c r="L14" s="48">
        <f>AVERAGE(L10:L11)</f>
        <v>0.27196187440745645</v>
      </c>
      <c r="M14" s="48">
        <f>AVERAGE(M10:M11)</f>
        <v>3.0325047795461275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ht="16" x14ac:dyDescent="0.2">
      <c r="B15" s="47" t="s">
        <v>17</v>
      </c>
      <c r="J15" s="48">
        <f>AVERAGE(J5:J11)</f>
        <v>2.0758873159863436</v>
      </c>
      <c r="K15" s="48">
        <f>AVERAGE(K5:K11)</f>
        <v>0.18814269957619531</v>
      </c>
      <c r="L15" s="48">
        <f>AVERAGE(L5:L11)</f>
        <v>0.17577745648979676</v>
      </c>
      <c r="M15" s="48">
        <f>AVERAGE(M5:M11)</f>
        <v>1.8877446164101486</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t="16" hidden="1" outlineLevel="2" x14ac:dyDescent="0.2">
      <c r="A16" s="47" t="s">
        <v>237</v>
      </c>
      <c r="B16" s="47" t="s">
        <v>238</v>
      </c>
      <c r="Z16" s="49">
        <f>SUM(Z5:Z8,Z9:Z9,Z10:Z11)</f>
        <v>131515.59999999998</v>
      </c>
      <c r="AA16" s="49">
        <f>SUM(AA5:AA8,AA9:AA9,AA10:AA11)</f>
        <v>0</v>
      </c>
      <c r="AB16" s="49">
        <f>SUM(AB5:AB8,AB9:AB9,AB10:AB11)</f>
        <v>429.31</v>
      </c>
      <c r="AC16" s="49">
        <f>SUM(AC5:AC8,AC9:AC9,AC10:AC11)</f>
        <v>0</v>
      </c>
      <c r="AW16" s="49">
        <f>SUM(AW5:AW8,AW9:AW9,AW10:AW11)</f>
        <v>0</v>
      </c>
      <c r="AX16" s="49">
        <f>SUM(AX5:AX8,AX9:AX9,AX10:AX11)</f>
        <v>0</v>
      </c>
      <c r="AY16" s="49">
        <f>SUM(AY5:AY8,AY9:AY9,AY10:AY11)</f>
        <v>0</v>
      </c>
      <c r="AZ16" s="49">
        <f>SUM(AZ5:AZ8,AZ9:AZ9,AZ10:AZ11)</f>
        <v>0</v>
      </c>
    </row>
    <row r="17" spans="2:52" ht="16" hidden="1" outlineLevel="2" x14ac:dyDescent="0.2">
      <c r="B17" s="47" t="s">
        <v>239</v>
      </c>
      <c r="AW17" s="55">
        <f>AW16/Z16</f>
        <v>0</v>
      </c>
      <c r="AX17" s="55" t="e">
        <f>AX16/AA16</f>
        <v>#DIV/0!</v>
      </c>
      <c r="AY17" s="55">
        <f>AY16/AB16</f>
        <v>0</v>
      </c>
      <c r="AZ17" s="55" t="e">
        <f>AZ16/AC16</f>
        <v>#DIV/0!</v>
      </c>
    </row>
    <row r="18" spans="2:52" ht="16" hidden="1" outlineLevel="2" x14ac:dyDescent="0.2">
      <c r="B18" s="47" t="s">
        <v>240</v>
      </c>
      <c r="Z18" s="49">
        <f>GEOMEAN(Z5:Z8,Z9:Z9,Z10:Z11)</f>
        <v>15810.742946760885</v>
      </c>
      <c r="AA18" s="49" t="e">
        <f>GEOMEAN(AA5:AA8,AA9:AA9,AA10:AA11)</f>
        <v>#NUM!</v>
      </c>
      <c r="AB18" s="49">
        <f>GEOMEAN(AB5:AB8,AB9:AB9,AB10:AB11)</f>
        <v>53.487038373103168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ht="16" outlineLevel="2" collapsed="1" x14ac:dyDescent="0.2">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84"/>
  <sheetViews>
    <sheetView zoomScale="97" zoomScaleNormal="97" workbookViewId="0">
      <pane xSplit="2" ySplit="4" topLeftCell="T5" activePane="bottomRight" state="frozen"/>
      <selection pane="topRight" activeCell="C1" sqref="C1"/>
      <selection pane="bottomLeft" activeCell="A5" sqref="A5"/>
      <selection pane="bottomRight" activeCell="AG70" sqref="AG70"/>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72" x14ac:dyDescent="0.2">
      <c r="A1" s="74" t="s">
        <v>573</v>
      </c>
      <c r="B1" s="60"/>
      <c r="C1" s="60"/>
      <c r="D1" s="60"/>
      <c r="E1" s="60"/>
      <c r="F1" s="60"/>
      <c r="G1" s="60"/>
      <c r="I1" s="59" t="s">
        <v>575</v>
      </c>
      <c r="J1" s="60"/>
      <c r="K1" s="60"/>
      <c r="L1" s="60"/>
      <c r="M1" s="60"/>
      <c r="N1" s="60"/>
      <c r="O1" s="60"/>
      <c r="P1" s="60"/>
      <c r="Q1" s="60"/>
      <c r="R1" s="60"/>
      <c r="S1" s="60"/>
      <c r="T1" s="60"/>
      <c r="U1" s="60"/>
      <c r="V1" s="60"/>
      <c r="W1" s="60"/>
      <c r="X1" s="60"/>
      <c r="Y1" s="60"/>
      <c r="Z1" s="60"/>
      <c r="AA1" s="60"/>
      <c r="AB1" s="60"/>
      <c r="AC1" s="60"/>
      <c r="AD1" s="60"/>
      <c r="AE1" s="60"/>
      <c r="AG1" s="61">
        <f>Summary!$C$2</f>
        <v>0</v>
      </c>
      <c r="AH1" s="60"/>
      <c r="AI1" s="60"/>
      <c r="AJ1" s="60"/>
      <c r="AK1" s="60"/>
      <c r="AL1" s="60"/>
      <c r="AM1" s="60"/>
      <c r="AN1" s="60"/>
      <c r="AO1" s="60"/>
      <c r="AP1" s="60"/>
      <c r="AQ1" s="60"/>
      <c r="AR1" s="60"/>
      <c r="AS1" s="60"/>
      <c r="AT1" s="60"/>
      <c r="AU1" s="60"/>
      <c r="AV1" s="60"/>
      <c r="AW1" s="60"/>
      <c r="AX1" s="60"/>
      <c r="AY1" s="60"/>
      <c r="AZ1" s="60"/>
      <c r="BA1" s="60"/>
      <c r="BB1" s="60"/>
      <c r="BC1" s="60"/>
    </row>
    <row r="2" spans="1:72" ht="30" customHeight="1" x14ac:dyDescent="0.2">
      <c r="A2" s="70" t="s">
        <v>137</v>
      </c>
      <c r="B2" s="71" t="s">
        <v>138</v>
      </c>
      <c r="C2" s="70" t="s">
        <v>139</v>
      </c>
      <c r="D2" s="71" t="s">
        <v>140</v>
      </c>
      <c r="E2" s="70" t="s">
        <v>141</v>
      </c>
      <c r="F2" s="71" t="s">
        <v>142</v>
      </c>
      <c r="G2" s="70" t="s">
        <v>143</v>
      </c>
      <c r="I2" s="71" t="s">
        <v>144</v>
      </c>
      <c r="J2" s="72" t="s">
        <v>145</v>
      </c>
      <c r="K2" s="60"/>
      <c r="L2" s="60"/>
      <c r="M2" s="60"/>
      <c r="N2" s="70" t="s">
        <v>146</v>
      </c>
      <c r="O2" s="71" t="s">
        <v>147</v>
      </c>
      <c r="P2" s="70" t="s">
        <v>84</v>
      </c>
      <c r="Q2" s="71" t="s">
        <v>86</v>
      </c>
      <c r="R2" s="70" t="s">
        <v>82</v>
      </c>
      <c r="S2" s="73" t="s">
        <v>148</v>
      </c>
      <c r="T2" s="60"/>
      <c r="U2" s="60"/>
      <c r="V2" s="60"/>
      <c r="W2" s="72" t="s">
        <v>149</v>
      </c>
      <c r="X2" s="60"/>
      <c r="Y2" s="73" t="s">
        <v>150</v>
      </c>
      <c r="Z2" s="60"/>
      <c r="AA2" s="60"/>
      <c r="AB2" s="72" t="s">
        <v>151</v>
      </c>
      <c r="AC2" s="60"/>
      <c r="AD2" s="73" t="s">
        <v>152</v>
      </c>
      <c r="AE2" s="60"/>
      <c r="AG2" s="70" t="s">
        <v>144</v>
      </c>
      <c r="AH2" s="73" t="s">
        <v>145</v>
      </c>
      <c r="AI2" s="60"/>
      <c r="AJ2" s="60"/>
      <c r="AK2" s="60"/>
      <c r="AL2" s="71" t="s">
        <v>153</v>
      </c>
      <c r="AM2" s="70" t="s">
        <v>147</v>
      </c>
      <c r="AN2" s="71" t="s">
        <v>84</v>
      </c>
      <c r="AO2" s="70" t="s">
        <v>86</v>
      </c>
      <c r="AP2" s="71" t="s">
        <v>82</v>
      </c>
      <c r="AQ2" s="72" t="s">
        <v>148</v>
      </c>
      <c r="AR2" s="60"/>
      <c r="AS2" s="60"/>
      <c r="AT2" s="60"/>
      <c r="AU2" s="73" t="s">
        <v>149</v>
      </c>
      <c r="AV2" s="60"/>
      <c r="AW2" s="72" t="s">
        <v>150</v>
      </c>
      <c r="AX2" s="60"/>
      <c r="AY2" s="60"/>
      <c r="AZ2" s="73" t="s">
        <v>151</v>
      </c>
      <c r="BA2" s="60"/>
      <c r="BB2" s="72" t="s">
        <v>152</v>
      </c>
      <c r="BC2" s="60"/>
      <c r="BE2" s="71" t="s">
        <v>154</v>
      </c>
      <c r="BF2" s="70" t="s">
        <v>155</v>
      </c>
      <c r="BG2" s="71" t="s">
        <v>156</v>
      </c>
      <c r="BH2" s="70" t="s">
        <v>156</v>
      </c>
      <c r="BJ2" s="73" t="s">
        <v>5</v>
      </c>
      <c r="BK2" s="60"/>
      <c r="BL2" s="72" t="s">
        <v>6</v>
      </c>
      <c r="BM2" s="60"/>
      <c r="BN2" s="60"/>
      <c r="BP2" s="73" t="s">
        <v>7</v>
      </c>
      <c r="BQ2" s="60"/>
      <c r="BR2" s="72" t="s">
        <v>8</v>
      </c>
      <c r="BS2" s="60"/>
      <c r="BT2" s="60"/>
    </row>
    <row r="3" spans="1:72" ht="16" x14ac:dyDescent="0.2">
      <c r="A3" s="63"/>
      <c r="B3" s="63"/>
      <c r="C3" s="63"/>
      <c r="D3" s="63"/>
      <c r="E3" s="63"/>
      <c r="F3" s="63"/>
      <c r="G3" s="63"/>
      <c r="I3" s="63"/>
      <c r="J3" s="56" t="s">
        <v>25</v>
      </c>
      <c r="K3" s="56" t="s">
        <v>23</v>
      </c>
      <c r="L3" s="56" t="s">
        <v>157</v>
      </c>
      <c r="M3" s="56" t="s">
        <v>158</v>
      </c>
      <c r="N3" s="63"/>
      <c r="O3" s="63"/>
      <c r="P3" s="63"/>
      <c r="Q3" s="63"/>
      <c r="R3" s="63"/>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3"/>
      <c r="AH3" s="57" t="s">
        <v>25</v>
      </c>
      <c r="AI3" s="57" t="s">
        <v>23</v>
      </c>
      <c r="AJ3" s="57" t="s">
        <v>157</v>
      </c>
      <c r="AK3" s="57" t="s">
        <v>158</v>
      </c>
      <c r="AL3" s="63"/>
      <c r="AM3" s="63"/>
      <c r="AN3" s="63"/>
      <c r="AO3" s="63"/>
      <c r="AP3" s="63"/>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3"/>
      <c r="BF3" s="63"/>
      <c r="BG3" s="63"/>
      <c r="BH3" s="63"/>
      <c r="BJ3" s="57" t="s">
        <v>9</v>
      </c>
      <c r="BK3" s="57" t="s">
        <v>10</v>
      </c>
      <c r="BL3" s="56" t="s">
        <v>11</v>
      </c>
      <c r="BM3" s="56" t="s">
        <v>12</v>
      </c>
      <c r="BN3" s="56" t="s">
        <v>13</v>
      </c>
      <c r="BP3" s="57" t="s">
        <v>9</v>
      </c>
      <c r="BQ3" s="57" t="s">
        <v>10</v>
      </c>
      <c r="BR3" s="56" t="s">
        <v>11</v>
      </c>
      <c r="BS3" s="56" t="s">
        <v>12</v>
      </c>
      <c r="BT3" s="56" t="s">
        <v>13</v>
      </c>
    </row>
    <row r="4" spans="1:72" ht="123" hidden="1" customHeight="1" x14ac:dyDescent="0.2">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
      <c r="A5" s="54" t="s">
        <v>229</v>
      </c>
      <c r="B5" s="54" t="s">
        <v>49</v>
      </c>
      <c r="C5" s="10" t="s">
        <v>230</v>
      </c>
      <c r="D5" s="54">
        <v>238146391</v>
      </c>
      <c r="E5" s="10">
        <v>10</v>
      </c>
      <c r="F5" s="10">
        <v>32</v>
      </c>
      <c r="G5" s="10">
        <v>30</v>
      </c>
      <c r="I5" s="11">
        <f t="shared" ref="I5:I39" si="0">IF(OR(ISBLANK(S5),ISBLANK(G5)),"·",S5*G5/F5/1000000)</f>
        <v>1.0415775</v>
      </c>
      <c r="J5" s="12">
        <f t="shared" ref="J5:J39" si="1">IF(ISBLANK(S5),"·",S5/D5)</f>
        <v>4.6652649042243938E-3</v>
      </c>
      <c r="K5" s="12">
        <f t="shared" ref="K5:K39" si="2">IF(N5="","·",N5/D5)</f>
        <v>4.0525997305581674E-3</v>
      </c>
      <c r="L5" s="12">
        <f t="shared" ref="L5:L39" si="3">IF(T5="","·",T5/D5)</f>
        <v>2.5513046720913777E-3</v>
      </c>
      <c r="M5" s="12">
        <f t="shared" ref="M5:M39" si="4">IF(ISBLANK(V5),"·",V5/D5)</f>
        <v>6.1266517366622612E-4</v>
      </c>
      <c r="N5" s="54">
        <f t="shared" ref="N5:N39" si="5">IF(OR(ISBLANK(T5),ISBLANK(U5)),"",T5+U5)</f>
        <v>965112</v>
      </c>
      <c r="O5" s="12">
        <v>16</v>
      </c>
      <c r="P5" s="13">
        <v>23582209</v>
      </c>
      <c r="Q5" s="13">
        <v>736944.03125</v>
      </c>
      <c r="R5" s="13">
        <v>16985</v>
      </c>
      <c r="S5" s="13">
        <v>1111016</v>
      </c>
      <c r="T5" s="13">
        <v>607584</v>
      </c>
      <c r="U5" s="13">
        <v>357528</v>
      </c>
      <c r="V5" s="13">
        <v>145904</v>
      </c>
      <c r="W5" s="13">
        <v>66.845706000000007</v>
      </c>
      <c r="X5" s="13">
        <v>68.619978000000003</v>
      </c>
      <c r="Y5" s="13">
        <v>31.7209</v>
      </c>
      <c r="Z5" s="13">
        <v>44.575055999999996</v>
      </c>
      <c r="AA5" s="13">
        <v>44.244737999999998</v>
      </c>
      <c r="AB5" s="13">
        <v>0</v>
      </c>
      <c r="AC5" s="13">
        <v>0</v>
      </c>
      <c r="AD5" s="13">
        <v>41.283000000000001</v>
      </c>
      <c r="AE5" s="13">
        <v>0</v>
      </c>
      <c r="AG5" s="11">
        <f t="shared" ref="AG5:AG39" si="6">IF(OR(ISBLANK(AQ5),ISBLANK(G5)),"·",AQ5*G5/F5/1000000)</f>
        <v>1.0415775</v>
      </c>
      <c r="AH5" s="12">
        <f t="shared" ref="AH5:AH39" si="7">IF(ISBLANK(AQ5),"·",AQ5/D5)</f>
        <v>4.6652649042243938E-3</v>
      </c>
      <c r="AI5" s="12">
        <f t="shared" ref="AI5:AI39" si="8">IF(AL5="","·",AL5/D5)</f>
        <v>4.0525997305581674E-3</v>
      </c>
      <c r="AJ5" s="12">
        <f t="shared" ref="AJ5:AJ39" si="9">IF(AR5="","·",AR5/D5)</f>
        <v>2.5513046720913777E-3</v>
      </c>
      <c r="AK5" s="12">
        <f t="shared" ref="AK5:AK39" si="10">IF(ISBLANK(AT5),"·",AT5/D5)</f>
        <v>6.1266517366622612E-4</v>
      </c>
      <c r="AL5" s="54">
        <f t="shared" ref="AL5:AL39" si="11">IF(OR(ISBLANK(AR5),ISBLANK(AS5)),"",AR5+AS5)</f>
        <v>965112</v>
      </c>
      <c r="AM5" s="12">
        <v>16</v>
      </c>
      <c r="AN5" s="13">
        <v>23582209</v>
      </c>
      <c r="AO5" s="13">
        <v>736944.03125</v>
      </c>
      <c r="AP5" s="13">
        <v>16985</v>
      </c>
      <c r="AQ5" s="13">
        <v>1111016</v>
      </c>
      <c r="AR5" s="13">
        <v>607584</v>
      </c>
      <c r="AS5" s="13">
        <v>357528</v>
      </c>
      <c r="AT5" s="13">
        <v>145904</v>
      </c>
      <c r="AU5" s="13">
        <v>66.845706000000007</v>
      </c>
      <c r="AV5" s="13">
        <v>68.619978000000003</v>
      </c>
      <c r="AW5" s="13">
        <v>31.718947</v>
      </c>
      <c r="AX5" s="13">
        <v>44.570534000000002</v>
      </c>
      <c r="AY5" s="13">
        <v>44.236277999999999</v>
      </c>
      <c r="AZ5" s="13">
        <v>0</v>
      </c>
      <c r="BA5" s="13">
        <v>0</v>
      </c>
      <c r="BB5" s="13">
        <v>41.116999999999997</v>
      </c>
      <c r="BC5" s="13">
        <v>0</v>
      </c>
      <c r="BE5" s="51">
        <f t="shared" ref="BE5:BE43" si="12">AI5/K5</f>
        <v>1</v>
      </c>
      <c r="BF5" s="17">
        <f t="shared" ref="BF5:BF39" si="13">(AP5/AO5) - (R5/Q5)</f>
        <v>0</v>
      </c>
      <c r="BG5" s="17">
        <f t="shared" ref="BG5:BG39" si="14">(AL5/AQ5) - (N5/S5)</f>
        <v>0</v>
      </c>
      <c r="BH5" s="17">
        <f t="array" ref="BH5">AVERAGE(AL5:AL9/AQ5:AQ9) - AVERAGE(N5:N9/S5:S9)</f>
        <v>0</v>
      </c>
      <c r="BJ5" s="51">
        <f>IF( OR(ISBLANK(N5:N9),ISBLANK(AL5:AL9), ISBLANK(W5:W9),ISBLANK(AU5:AU9)), "·", bdRateExtend( N5:N9,W5:W9, AL5:AL9,AU5:AU9))</f>
        <v>0</v>
      </c>
      <c r="BK5" s="51">
        <f>IF( OR(ISBLANK(N5:N9),ISBLANK(AL5:AL9), ISBLANK(X5:X9),ISBLANK(AV5:AV9)), "·", bdRateExtend( N5:N9,X5:X9, AL5:AL9,AV5:AV9))</f>
        <v>0</v>
      </c>
      <c r="BL5" s="51">
        <f>IF( OR(ISBLANK(V5:V9),ISBLANK(AT5:AT9), ISBLANK(Y5:Y9),ISBLANK(AW5:AW9)), "·", bdRateExtend( V5:V9,Y5:Y9, AT5:AT9,AW5:AW9))</f>
        <v>8.1798066930316438E-5</v>
      </c>
      <c r="BM5" s="51">
        <f>IF( OR(ISBLANK(V5:V9),ISBLANK(AT5:AT9), ISBLANK(Z5:Z9),ISBLANK(AX5:AX9)), "·", bdRateExtend( V5:V9,Z5:Z9, AT5:AT9,AX5:AX9))</f>
        <v>1.3297489134174167E-3</v>
      </c>
      <c r="BN5" s="51">
        <f>IF( OR(ISBLANK(V5:V9),ISBLANK(AT5:AT9), ISBLANK(AA5:AA9),ISBLANK(AY5:AY9)), "·", bdRateExtend( V5:V9,AA5:AA9, AT5:AT9,AY5:AY9))</f>
        <v>2.0812013164419607E-3</v>
      </c>
      <c r="BP5" s="51">
        <f>IF( OR(ISBLANK(S5:S9),ISBLANK(AQ5:AQ9), ISBLANK(W5:W9),ISBLANK(AU5:AU9)), "·", bdRateExtend( S5:S9,W5:W9, AQ5:AQ9,AU5:AU9))</f>
        <v>0</v>
      </c>
      <c r="BQ5" s="51">
        <f>IF( OR(ISBLANK(S5:S9),ISBLANK(AQ5:AQ9), ISBLANK(X5:X9),ISBLANK(AV5:AV9)), "·", bdRateExtend( S5:S9,X5:X9, AQ5:AQ9,AV5:AV9))</f>
        <v>0</v>
      </c>
      <c r="BR5" s="51">
        <f>IF( OR(ISBLANK(S5:S9),ISBLANK(AQ5:AQ9), ISBLANK(Y5:Y9),ISBLANK(AW5:AW9)), "·", bdRateExtend( S5:S9,Y5:Y9, AQ5:AQ9,AW5:AW9))</f>
        <v>-2.6901579419424948E-5</v>
      </c>
      <c r="BS5" s="51">
        <f>IF( OR(ISBLANK(S5:S9),ISBLANK(AQ5:AQ9), ISBLANK(Z5:Z9),ISBLANK(AX5:AX9)), "·", bdRateExtend( S5:S9,Z5:Z9, AQ5:AQ9,AX5:AX9))</f>
        <v>7.1449016805380516E-4</v>
      </c>
      <c r="BT5" s="51">
        <f>IF( OR(ISBLANK(S5:S9),ISBLANK(AQ5:AQ9), ISBLANK(AA5:AA9),ISBLANK(AY5:AY9)), "·", bdRateExtend( S5:S9,AA5:AA9, AQ5:AQ9,AY5:AY9))</f>
        <v>1.1698112992659659E-3</v>
      </c>
    </row>
    <row r="6" spans="1:72" outlineLevel="1" x14ac:dyDescent="0.2">
      <c r="A6" s="18"/>
      <c r="B6" s="18" t="s">
        <v>49</v>
      </c>
      <c r="C6" s="19" t="s">
        <v>231</v>
      </c>
      <c r="D6" s="18">
        <v>238146391</v>
      </c>
      <c r="E6" s="19">
        <v>10</v>
      </c>
      <c r="F6" s="19">
        <v>32</v>
      </c>
      <c r="G6" s="19">
        <v>30</v>
      </c>
      <c r="I6" s="20">
        <f t="shared" si="0"/>
        <v>1.3541924999999999</v>
      </c>
      <c r="J6" s="21">
        <f t="shared" si="1"/>
        <v>6.0654792790876266E-3</v>
      </c>
      <c r="K6" s="21">
        <f t="shared" si="2"/>
        <v>4.9428420689356569E-3</v>
      </c>
      <c r="L6" s="21">
        <f t="shared" si="3"/>
        <v>3.4415470104688676E-3</v>
      </c>
      <c r="M6" s="21">
        <f t="shared" si="4"/>
        <v>1.1226372101519691E-3</v>
      </c>
      <c r="N6" s="18">
        <f t="shared" si="5"/>
        <v>1177120</v>
      </c>
      <c r="O6" s="21">
        <v>16</v>
      </c>
      <c r="P6" s="22">
        <v>24777501</v>
      </c>
      <c r="Q6" s="22">
        <v>774296.90625</v>
      </c>
      <c r="R6" s="22">
        <v>19924.375</v>
      </c>
      <c r="S6" s="23">
        <v>1444472</v>
      </c>
      <c r="T6" s="23">
        <v>819592</v>
      </c>
      <c r="U6" s="23">
        <v>357528</v>
      </c>
      <c r="V6" s="23">
        <v>267352</v>
      </c>
      <c r="W6" s="24">
        <v>68.552899999999994</v>
      </c>
      <c r="X6" s="24">
        <v>70.622062</v>
      </c>
      <c r="Y6" s="24">
        <v>33.798977999999998</v>
      </c>
      <c r="Z6" s="24">
        <v>45.497103000000003</v>
      </c>
      <c r="AA6" s="24">
        <v>45.158875000000002</v>
      </c>
      <c r="AB6" s="25">
        <v>0</v>
      </c>
      <c r="AC6" s="25">
        <v>0</v>
      </c>
      <c r="AD6" s="25">
        <v>41.91</v>
      </c>
      <c r="AE6" s="25">
        <v>0</v>
      </c>
      <c r="AG6" s="20">
        <f t="shared" si="6"/>
        <v>1.3541924999999999</v>
      </c>
      <c r="AH6" s="21">
        <f t="shared" si="7"/>
        <v>6.0654792790876266E-3</v>
      </c>
      <c r="AI6" s="21">
        <f t="shared" si="8"/>
        <v>4.9428420689356569E-3</v>
      </c>
      <c r="AJ6" s="21">
        <f t="shared" si="9"/>
        <v>3.4415470104688676E-3</v>
      </c>
      <c r="AK6" s="21">
        <f t="shared" si="10"/>
        <v>1.1226372101519691E-3</v>
      </c>
      <c r="AL6" s="18">
        <f t="shared" si="11"/>
        <v>1177120</v>
      </c>
      <c r="AM6" s="21">
        <v>16</v>
      </c>
      <c r="AN6" s="22">
        <v>24777501</v>
      </c>
      <c r="AO6" s="22">
        <v>774296.90625</v>
      </c>
      <c r="AP6" s="22">
        <v>19924.375</v>
      </c>
      <c r="AQ6" s="22">
        <v>1444472</v>
      </c>
      <c r="AR6" s="22">
        <v>819592</v>
      </c>
      <c r="AS6" s="22">
        <v>357528</v>
      </c>
      <c r="AT6" s="22">
        <v>267352</v>
      </c>
      <c r="AU6" s="22">
        <v>68.552899999999994</v>
      </c>
      <c r="AV6" s="22">
        <v>70.622062</v>
      </c>
      <c r="AW6" s="22">
        <v>33.797671999999999</v>
      </c>
      <c r="AX6" s="22">
        <v>45.495331</v>
      </c>
      <c r="AY6" s="22">
        <v>45.156091000000004</v>
      </c>
      <c r="AZ6" s="22">
        <v>0</v>
      </c>
      <c r="BA6" s="22">
        <v>0</v>
      </c>
      <c r="BB6" s="22">
        <v>38.399000000000001</v>
      </c>
      <c r="BC6" s="22">
        <v>0</v>
      </c>
      <c r="BE6" s="50">
        <f t="shared" si="12"/>
        <v>1</v>
      </c>
      <c r="BF6" s="26">
        <f t="shared" si="13"/>
        <v>0</v>
      </c>
      <c r="BG6" s="26">
        <f t="shared" si="14"/>
        <v>0</v>
      </c>
      <c r="BH6" s="26"/>
      <c r="BJ6" s="50"/>
      <c r="BK6" s="50"/>
      <c r="BL6" s="50"/>
      <c r="BM6" s="50"/>
      <c r="BN6" s="50"/>
      <c r="BP6" s="50"/>
      <c r="BQ6" s="50"/>
      <c r="BR6" s="50"/>
      <c r="BS6" s="50"/>
      <c r="BT6" s="50"/>
    </row>
    <row r="7" spans="1:72" outlineLevel="1" x14ac:dyDescent="0.2">
      <c r="A7" s="54"/>
      <c r="B7" s="54" t="s">
        <v>49</v>
      </c>
      <c r="C7" s="10" t="s">
        <v>232</v>
      </c>
      <c r="D7" s="54">
        <v>238146391</v>
      </c>
      <c r="E7" s="10">
        <v>10</v>
      </c>
      <c r="F7" s="10">
        <v>32</v>
      </c>
      <c r="G7" s="10">
        <v>30</v>
      </c>
      <c r="I7" s="11">
        <f t="shared" si="0"/>
        <v>1.8744225000000001</v>
      </c>
      <c r="J7" s="12">
        <f t="shared" si="1"/>
        <v>8.3956090688773032E-3</v>
      </c>
      <c r="K7" s="12">
        <f t="shared" si="2"/>
        <v>6.1414661539002709E-3</v>
      </c>
      <c r="L7" s="12">
        <f t="shared" si="3"/>
        <v>4.6401710954334808E-3</v>
      </c>
      <c r="M7" s="12">
        <f t="shared" si="4"/>
        <v>2.2541429149770319E-3</v>
      </c>
      <c r="N7" s="54">
        <f t="shared" si="5"/>
        <v>1462568</v>
      </c>
      <c r="O7" s="12">
        <v>16</v>
      </c>
      <c r="P7" s="13">
        <v>24923704</v>
      </c>
      <c r="Q7" s="13">
        <v>778865.75</v>
      </c>
      <c r="R7" s="13">
        <v>21104.84375</v>
      </c>
      <c r="S7" s="14">
        <v>1999384</v>
      </c>
      <c r="T7" s="14">
        <v>1105040</v>
      </c>
      <c r="U7" s="14">
        <v>357528</v>
      </c>
      <c r="V7" s="14">
        <v>536816</v>
      </c>
      <c r="W7" s="15">
        <v>69.837428000000003</v>
      </c>
      <c r="X7" s="15">
        <v>72.274171999999993</v>
      </c>
      <c r="Y7" s="15">
        <v>36.190461999999997</v>
      </c>
      <c r="Z7" s="15">
        <v>46.891187000000002</v>
      </c>
      <c r="AA7" s="15">
        <v>46.671833999999997</v>
      </c>
      <c r="AB7" s="16">
        <v>0</v>
      </c>
      <c r="AC7" s="16">
        <v>0</v>
      </c>
      <c r="AD7" s="16">
        <v>52.204999999999998</v>
      </c>
      <c r="AE7" s="16">
        <v>0</v>
      </c>
      <c r="AG7" s="11">
        <f t="shared" si="6"/>
        <v>1.8744225000000001</v>
      </c>
      <c r="AH7" s="12">
        <f t="shared" si="7"/>
        <v>8.3956090688773032E-3</v>
      </c>
      <c r="AI7" s="12">
        <f t="shared" si="8"/>
        <v>6.1414661539002709E-3</v>
      </c>
      <c r="AJ7" s="12">
        <f t="shared" si="9"/>
        <v>4.6401710954334808E-3</v>
      </c>
      <c r="AK7" s="12">
        <f t="shared" si="10"/>
        <v>2.2541429149770319E-3</v>
      </c>
      <c r="AL7" s="54">
        <f t="shared" si="11"/>
        <v>1462568</v>
      </c>
      <c r="AM7" s="12">
        <v>16</v>
      </c>
      <c r="AN7" s="13">
        <v>24923704</v>
      </c>
      <c r="AO7" s="13">
        <v>778865.75</v>
      </c>
      <c r="AP7" s="13">
        <v>21104.84375</v>
      </c>
      <c r="AQ7" s="13">
        <v>1999384</v>
      </c>
      <c r="AR7" s="13">
        <v>1105040</v>
      </c>
      <c r="AS7" s="13">
        <v>357528</v>
      </c>
      <c r="AT7" s="13">
        <v>536816</v>
      </c>
      <c r="AU7" s="13">
        <v>69.837428000000003</v>
      </c>
      <c r="AV7" s="13">
        <v>72.274171999999993</v>
      </c>
      <c r="AW7" s="13">
        <v>36.189402999999999</v>
      </c>
      <c r="AX7" s="13">
        <v>46.887036999999999</v>
      </c>
      <c r="AY7" s="13">
        <v>46.667375</v>
      </c>
      <c r="AZ7" s="13">
        <v>0</v>
      </c>
      <c r="BA7" s="13">
        <v>0</v>
      </c>
      <c r="BB7" s="13">
        <v>47.886000000000003</v>
      </c>
      <c r="BC7" s="13">
        <v>0</v>
      </c>
      <c r="BE7" s="51">
        <f t="shared" si="12"/>
        <v>1</v>
      </c>
      <c r="BF7" s="17">
        <f t="shared" si="13"/>
        <v>0</v>
      </c>
      <c r="BG7" s="17">
        <f t="shared" si="14"/>
        <v>0</v>
      </c>
      <c r="BH7" s="17"/>
      <c r="BJ7" s="51"/>
      <c r="BK7" s="51"/>
      <c r="BL7" s="51"/>
      <c r="BM7" s="51"/>
      <c r="BN7" s="51"/>
      <c r="BP7" s="51"/>
      <c r="BQ7" s="51"/>
      <c r="BR7" s="51"/>
      <c r="BS7" s="51"/>
      <c r="BT7" s="51"/>
    </row>
    <row r="8" spans="1:72" outlineLevel="1" x14ac:dyDescent="0.2">
      <c r="A8" s="18"/>
      <c r="B8" s="18" t="s">
        <v>49</v>
      </c>
      <c r="C8" s="19" t="s">
        <v>233</v>
      </c>
      <c r="D8" s="18">
        <v>238146391</v>
      </c>
      <c r="E8" s="19">
        <v>10</v>
      </c>
      <c r="F8" s="19">
        <v>32</v>
      </c>
      <c r="G8" s="19">
        <v>30</v>
      </c>
      <c r="I8" s="20">
        <f t="shared" si="0"/>
        <v>3.0919050000000001</v>
      </c>
      <c r="J8" s="21">
        <f t="shared" si="1"/>
        <v>1.3848759102127229E-2</v>
      </c>
      <c r="K8" s="21">
        <f t="shared" si="2"/>
        <v>8.8559645650897138E-3</v>
      </c>
      <c r="L8" s="21">
        <f t="shared" si="3"/>
        <v>7.3546695066229245E-3</v>
      </c>
      <c r="M8" s="21">
        <f t="shared" si="4"/>
        <v>4.9927945370375152E-3</v>
      </c>
      <c r="N8" s="18">
        <f t="shared" si="5"/>
        <v>2109016</v>
      </c>
      <c r="O8" s="21">
        <v>16</v>
      </c>
      <c r="P8" s="22">
        <v>25894561</v>
      </c>
      <c r="Q8" s="22">
        <v>809205.03125</v>
      </c>
      <c r="R8" s="22">
        <v>24362.6875</v>
      </c>
      <c r="S8" s="23">
        <v>3298032</v>
      </c>
      <c r="T8" s="23">
        <v>1751488</v>
      </c>
      <c r="U8" s="23">
        <v>357528</v>
      </c>
      <c r="V8" s="23">
        <v>1189016</v>
      </c>
      <c r="W8" s="24">
        <v>70.899375000000006</v>
      </c>
      <c r="X8" s="24">
        <v>73.460280999999995</v>
      </c>
      <c r="Y8" s="24">
        <v>38.672027999999997</v>
      </c>
      <c r="Z8" s="24">
        <v>48.127665999999998</v>
      </c>
      <c r="AA8" s="24">
        <v>48.148988000000003</v>
      </c>
      <c r="AB8" s="25">
        <v>0</v>
      </c>
      <c r="AC8" s="25">
        <v>0</v>
      </c>
      <c r="AD8" s="25">
        <v>44.353000000000002</v>
      </c>
      <c r="AE8" s="25">
        <v>0</v>
      </c>
      <c r="AG8" s="20">
        <f t="shared" si="6"/>
        <v>3.0919050000000001</v>
      </c>
      <c r="AH8" s="21">
        <f t="shared" si="7"/>
        <v>1.3848759102127229E-2</v>
      </c>
      <c r="AI8" s="21">
        <f t="shared" si="8"/>
        <v>8.8559645650897138E-3</v>
      </c>
      <c r="AJ8" s="21">
        <f t="shared" si="9"/>
        <v>7.3546695066229245E-3</v>
      </c>
      <c r="AK8" s="21">
        <f t="shared" si="10"/>
        <v>4.9927945370375152E-3</v>
      </c>
      <c r="AL8" s="18">
        <f t="shared" si="11"/>
        <v>2109016</v>
      </c>
      <c r="AM8" s="21">
        <v>16</v>
      </c>
      <c r="AN8" s="22">
        <v>25894561</v>
      </c>
      <c r="AO8" s="22">
        <v>809205.03125</v>
      </c>
      <c r="AP8" s="22">
        <v>24362.6875</v>
      </c>
      <c r="AQ8" s="22">
        <v>3298032</v>
      </c>
      <c r="AR8" s="22">
        <v>1751488</v>
      </c>
      <c r="AS8" s="22">
        <v>357528</v>
      </c>
      <c r="AT8" s="22">
        <v>1189016</v>
      </c>
      <c r="AU8" s="22">
        <v>70.899375000000006</v>
      </c>
      <c r="AV8" s="22">
        <v>73.460280999999995</v>
      </c>
      <c r="AW8" s="22">
        <v>38.670980999999998</v>
      </c>
      <c r="AX8" s="22">
        <v>48.126458999999997</v>
      </c>
      <c r="AY8" s="22">
        <v>48.144959</v>
      </c>
      <c r="AZ8" s="22">
        <v>0</v>
      </c>
      <c r="BA8" s="22">
        <v>0</v>
      </c>
      <c r="BB8" s="22">
        <v>40.340000000000003</v>
      </c>
      <c r="BC8" s="22">
        <v>0</v>
      </c>
      <c r="BE8" s="50">
        <f t="shared" si="12"/>
        <v>1</v>
      </c>
      <c r="BF8" s="26">
        <f t="shared" si="13"/>
        <v>0</v>
      </c>
      <c r="BG8" s="26">
        <f t="shared" si="14"/>
        <v>0</v>
      </c>
      <c r="BH8" s="26"/>
      <c r="BJ8" s="50"/>
      <c r="BK8" s="50"/>
      <c r="BL8" s="50"/>
      <c r="BM8" s="50"/>
      <c r="BN8" s="50"/>
      <c r="BP8" s="50"/>
      <c r="BQ8" s="50"/>
      <c r="BR8" s="50"/>
      <c r="BS8" s="50"/>
      <c r="BT8" s="50"/>
    </row>
    <row r="9" spans="1:72" outlineLevel="1" x14ac:dyDescent="0.2">
      <c r="A9" s="54"/>
      <c r="B9" s="27" t="s">
        <v>49</v>
      </c>
      <c r="C9" s="28" t="s">
        <v>234</v>
      </c>
      <c r="D9" s="27">
        <v>238146391</v>
      </c>
      <c r="E9" s="28">
        <v>10</v>
      </c>
      <c r="F9" s="28">
        <v>32</v>
      </c>
      <c r="G9" s="28">
        <v>30</v>
      </c>
      <c r="I9" s="29">
        <f t="shared" si="0"/>
        <v>6.3072900000000001</v>
      </c>
      <c r="J9" s="30">
        <f t="shared" si="1"/>
        <v>2.8250589781140121E-2</v>
      </c>
      <c r="K9" s="30">
        <f t="shared" si="2"/>
        <v>1.5565014378067983E-2</v>
      </c>
      <c r="L9" s="30">
        <f t="shared" si="3"/>
        <v>1.2147922913515829E-2</v>
      </c>
      <c r="M9" s="30">
        <f t="shared" si="4"/>
        <v>1.2685575403072137E-2</v>
      </c>
      <c r="N9" s="27">
        <f t="shared" si="5"/>
        <v>3706752</v>
      </c>
      <c r="O9" s="30">
        <v>16</v>
      </c>
      <c r="P9" s="31">
        <v>24903158</v>
      </c>
      <c r="Q9" s="31">
        <v>778223.6875</v>
      </c>
      <c r="R9" s="31">
        <v>10582.96875</v>
      </c>
      <c r="S9" s="32">
        <v>6727776</v>
      </c>
      <c r="T9" s="32">
        <v>2892984</v>
      </c>
      <c r="U9" s="32">
        <v>813768</v>
      </c>
      <c r="V9" s="32">
        <v>3021024</v>
      </c>
      <c r="W9" s="33">
        <v>71.932040999999998</v>
      </c>
      <c r="X9" s="33">
        <v>75.246168999999995</v>
      </c>
      <c r="Y9" s="33">
        <v>41.106161999999998</v>
      </c>
      <c r="Z9" s="33">
        <v>49.546553000000003</v>
      </c>
      <c r="AA9" s="33">
        <v>49.676209</v>
      </c>
      <c r="AB9" s="34">
        <v>0</v>
      </c>
      <c r="AC9" s="34">
        <v>0</v>
      </c>
      <c r="AD9" s="34">
        <v>40.601999999999997</v>
      </c>
      <c r="AE9" s="34">
        <v>0</v>
      </c>
      <c r="AG9" s="29">
        <f t="shared" si="6"/>
        <v>6.3072900000000001</v>
      </c>
      <c r="AH9" s="30">
        <f t="shared" si="7"/>
        <v>2.8250589781140121E-2</v>
      </c>
      <c r="AI9" s="30">
        <f t="shared" si="8"/>
        <v>1.5565014378067983E-2</v>
      </c>
      <c r="AJ9" s="30">
        <f t="shared" si="9"/>
        <v>1.2147922913515829E-2</v>
      </c>
      <c r="AK9" s="30">
        <f t="shared" si="10"/>
        <v>1.2685575403072137E-2</v>
      </c>
      <c r="AL9" s="27">
        <f t="shared" si="11"/>
        <v>3706752</v>
      </c>
      <c r="AM9" s="30">
        <v>16</v>
      </c>
      <c r="AN9" s="31">
        <v>24903158</v>
      </c>
      <c r="AO9" s="31">
        <v>778223.6875</v>
      </c>
      <c r="AP9" s="31">
        <v>10582.96875</v>
      </c>
      <c r="AQ9" s="31">
        <v>6727776</v>
      </c>
      <c r="AR9" s="31">
        <v>2892984</v>
      </c>
      <c r="AS9" s="31">
        <v>813768</v>
      </c>
      <c r="AT9" s="31">
        <v>3021024</v>
      </c>
      <c r="AU9" s="31">
        <v>71.932040999999998</v>
      </c>
      <c r="AV9" s="31">
        <v>75.246168999999995</v>
      </c>
      <c r="AW9" s="31">
        <v>41.112552999999998</v>
      </c>
      <c r="AX9" s="31">
        <v>49.545949999999998</v>
      </c>
      <c r="AY9" s="31">
        <v>49.675702999999999</v>
      </c>
      <c r="AZ9" s="31">
        <v>0</v>
      </c>
      <c r="BA9" s="31">
        <v>0</v>
      </c>
      <c r="BB9" s="31">
        <v>42.88</v>
      </c>
      <c r="BC9" s="31">
        <v>0</v>
      </c>
      <c r="BE9" s="35">
        <f t="shared" si="12"/>
        <v>1</v>
      </c>
      <c r="BF9" s="36">
        <f t="shared" si="13"/>
        <v>0</v>
      </c>
      <c r="BG9" s="36">
        <f t="shared" si="14"/>
        <v>0</v>
      </c>
      <c r="BH9" s="36"/>
      <c r="BJ9" s="35"/>
      <c r="BK9" s="35"/>
      <c r="BL9" s="35"/>
      <c r="BM9" s="35"/>
      <c r="BN9" s="35"/>
      <c r="BP9" s="35"/>
      <c r="BQ9" s="35"/>
      <c r="BR9" s="35"/>
      <c r="BS9" s="35"/>
      <c r="BT9" s="35"/>
    </row>
    <row r="10" spans="1:72" x14ac:dyDescent="0.2">
      <c r="A10" s="18"/>
      <c r="B10" s="18" t="s">
        <v>57</v>
      </c>
      <c r="C10" s="19" t="s">
        <v>230</v>
      </c>
      <c r="D10" s="18">
        <v>218121242</v>
      </c>
      <c r="E10" s="19">
        <v>10</v>
      </c>
      <c r="F10" s="19">
        <v>32</v>
      </c>
      <c r="G10" s="19">
        <v>30</v>
      </c>
      <c r="I10" s="20">
        <f t="shared" si="0"/>
        <v>1.9621725000000001</v>
      </c>
      <c r="J10" s="21">
        <f t="shared" si="1"/>
        <v>9.5955074380146797E-3</v>
      </c>
      <c r="K10" s="21">
        <f t="shared" si="2"/>
        <v>7.1809237176450698E-3</v>
      </c>
      <c r="L10" s="21">
        <f t="shared" si="3"/>
        <v>4.1203873211028202E-3</v>
      </c>
      <c r="M10" s="21">
        <f t="shared" si="4"/>
        <v>2.41458372036961E-3</v>
      </c>
      <c r="N10" s="18">
        <f t="shared" si="5"/>
        <v>1566312</v>
      </c>
      <c r="O10" s="21">
        <v>16</v>
      </c>
      <c r="P10" s="22">
        <v>21022693</v>
      </c>
      <c r="Q10" s="22">
        <v>656959.15625</v>
      </c>
      <c r="R10" s="22">
        <v>19029.53125</v>
      </c>
      <c r="S10" s="23">
        <v>2092984</v>
      </c>
      <c r="T10" s="23">
        <v>898744</v>
      </c>
      <c r="U10" s="23">
        <v>667568</v>
      </c>
      <c r="V10" s="23">
        <v>526672</v>
      </c>
      <c r="W10" s="24">
        <v>65.986408999999995</v>
      </c>
      <c r="X10" s="24">
        <v>67.859938</v>
      </c>
      <c r="Y10" s="24">
        <v>31.011700000000001</v>
      </c>
      <c r="Z10" s="24">
        <v>38.738852999999999</v>
      </c>
      <c r="AA10" s="24">
        <v>30.108955999999999</v>
      </c>
      <c r="AB10" s="25">
        <v>0</v>
      </c>
      <c r="AC10" s="25">
        <v>0</v>
      </c>
      <c r="AD10" s="25">
        <v>42.48</v>
      </c>
      <c r="AE10" s="25">
        <v>0</v>
      </c>
      <c r="AG10" s="20">
        <f t="shared" si="6"/>
        <v>1.9621725000000001</v>
      </c>
      <c r="AH10" s="21">
        <f t="shared" si="7"/>
        <v>9.5955074380146797E-3</v>
      </c>
      <c r="AI10" s="21">
        <f t="shared" si="8"/>
        <v>7.1809237176450698E-3</v>
      </c>
      <c r="AJ10" s="21">
        <f t="shared" si="9"/>
        <v>4.1203873211028202E-3</v>
      </c>
      <c r="AK10" s="21">
        <f t="shared" si="10"/>
        <v>2.41458372036961E-3</v>
      </c>
      <c r="AL10" s="18">
        <f t="shared" si="11"/>
        <v>1566312</v>
      </c>
      <c r="AM10" s="21">
        <v>16</v>
      </c>
      <c r="AN10" s="22">
        <v>21022693</v>
      </c>
      <c r="AO10" s="22">
        <v>656959.15625</v>
      </c>
      <c r="AP10" s="22">
        <v>19029.53125</v>
      </c>
      <c r="AQ10" s="22">
        <v>2092984</v>
      </c>
      <c r="AR10" s="22">
        <v>898744</v>
      </c>
      <c r="AS10" s="22">
        <v>667568</v>
      </c>
      <c r="AT10" s="22">
        <v>526672</v>
      </c>
      <c r="AU10" s="22">
        <v>65.986408999999995</v>
      </c>
      <c r="AV10" s="22">
        <v>67.859938</v>
      </c>
      <c r="AW10" s="22">
        <v>31.006128</v>
      </c>
      <c r="AX10" s="22">
        <v>38.736449999999998</v>
      </c>
      <c r="AY10" s="22">
        <v>30.106544</v>
      </c>
      <c r="AZ10" s="22">
        <v>0</v>
      </c>
      <c r="BA10" s="22">
        <v>0</v>
      </c>
      <c r="BB10" s="22">
        <v>37.206000000000003</v>
      </c>
      <c r="BC10" s="22">
        <v>0</v>
      </c>
      <c r="BE10" s="50">
        <f t="shared" si="12"/>
        <v>1</v>
      </c>
      <c r="BF10" s="26">
        <f t="shared" si="13"/>
        <v>0</v>
      </c>
      <c r="BG10" s="26">
        <f t="shared" si="14"/>
        <v>0</v>
      </c>
      <c r="BH10" s="26">
        <f t="array" ref="BH10">AVERAGE(AL10:AL14/AQ10:AQ14) - AVERAGE(N10:N14/S10:S14)</f>
        <v>0</v>
      </c>
      <c r="BJ10" s="50">
        <f>IF( OR(ISBLANK(N10:N14),ISBLANK(AL10:AL14), ISBLANK(W10:W14),ISBLANK(AU10:AU14)), "·", bdRateExtend( N10:N14,W10:W14, AL10:AL14,AU10:AU14))</f>
        <v>0</v>
      </c>
      <c r="BK10" s="50">
        <f>IF( OR(ISBLANK(N10:N14),ISBLANK(AL10:AL14), ISBLANK(X10:X14),ISBLANK(AV10:AV14)), "·", bdRateExtend( N10:N14,X10:X14, AL10:AL14,AV10:AV14))</f>
        <v>0</v>
      </c>
      <c r="BL10" s="50">
        <f>IF( OR(ISBLANK(V10:V14),ISBLANK(AT10:AT14), ISBLANK(Y10:Y14),ISBLANK(AW10:AW14)), "·", bdRateExtend( V10:V14,Y10:Y14, AT10:AT14,AW10:AW14))</f>
        <v>9.1225605097844387E-4</v>
      </c>
      <c r="BM10" s="50">
        <f>IF( OR(ISBLANK(V10:V14),ISBLANK(AT10:AT14), ISBLANK(Z10:Z14),ISBLANK(AX10:AX14)), "·", bdRateExtend( V10:V14,Z10:Z14, AT10:AT14,AX10:AX14))</f>
        <v>9.6592794805716586E-4</v>
      </c>
      <c r="BN10" s="50">
        <f>IF( OR(ISBLANK(V10:V14),ISBLANK(AT10:AT14), ISBLANK(AA10:AA14),ISBLANK(AY10:AY14)), "·", bdRateExtend( V10:V14,AA10:AA14, AT10:AT14,AY10:AY14))</f>
        <v>4.4291827702758191E-4</v>
      </c>
      <c r="BP10" s="50">
        <f>IF( OR(ISBLANK(S10:S14),ISBLANK(AQ10:AQ14), ISBLANK(W10:W14),ISBLANK(AU10:AU14)), "·", bdRateExtend( S10:S14,W10:W14, AQ10:AQ14,AU10:AU14))</f>
        <v>0</v>
      </c>
      <c r="BQ10" s="50">
        <f>IF( OR(ISBLANK(S10:S14),ISBLANK(AQ10:AQ14), ISBLANK(X10:X14),ISBLANK(AV10:AV14)), "·", bdRateExtend( S10:S14,X10:X14, AQ10:AQ14,AV10:AV14))</f>
        <v>0</v>
      </c>
      <c r="BR10" s="50">
        <f>IF( OR(ISBLANK(S10:S14),ISBLANK(AQ10:AQ14), ISBLANK(Y10:Y14),ISBLANK(AW10:AW14)), "·", bdRateExtend( S10:S14,Y10:Y14, AQ10:AQ14,AW10:AW14))</f>
        <v>5.889550278599387E-4</v>
      </c>
      <c r="BS10" s="50">
        <f>IF( OR(ISBLANK(S10:S14),ISBLANK(AQ10:AQ14), ISBLANK(Z10:Z14),ISBLANK(AX10:AX14)), "·", bdRateExtend( S10:S14,Z10:Z14, AQ10:AQ14,AX10:AX14))</f>
        <v>6.5603392464508303E-4</v>
      </c>
      <c r="BT10" s="50">
        <f>IF( OR(ISBLANK(S10:S14),ISBLANK(AQ10:AQ14), ISBLANK(AA10:AA14),ISBLANK(AY10:AY14)), "·", bdRateExtend( S10:S14,AA10:AA14, AQ10:AQ14,AY10:AY14))</f>
        <v>2.8629382576061957E-4</v>
      </c>
    </row>
    <row r="11" spans="1:72" outlineLevel="1" x14ac:dyDescent="0.2">
      <c r="A11" s="54"/>
      <c r="B11" s="54" t="s">
        <v>57</v>
      </c>
      <c r="C11" s="10" t="s">
        <v>231</v>
      </c>
      <c r="D11" s="54">
        <v>218121242</v>
      </c>
      <c r="E11" s="10">
        <v>10</v>
      </c>
      <c r="F11" s="10">
        <v>32</v>
      </c>
      <c r="G11" s="10">
        <v>30</v>
      </c>
      <c r="I11" s="11">
        <f t="shared" si="0"/>
        <v>2.6840250000000001</v>
      </c>
      <c r="J11" s="12">
        <f t="shared" si="1"/>
        <v>1.312554418702604E-2</v>
      </c>
      <c r="K11" s="12">
        <f t="shared" si="2"/>
        <v>8.8238631980648626E-3</v>
      </c>
      <c r="L11" s="12">
        <f t="shared" si="3"/>
        <v>5.7633268015226139E-3</v>
      </c>
      <c r="M11" s="12">
        <f t="shared" si="4"/>
        <v>4.3016809889611764E-3</v>
      </c>
      <c r="N11" s="54">
        <f t="shared" si="5"/>
        <v>1924672</v>
      </c>
      <c r="O11" s="12">
        <v>16</v>
      </c>
      <c r="P11" s="13">
        <v>22225091</v>
      </c>
      <c r="Q11" s="13">
        <v>694534.09375</v>
      </c>
      <c r="R11" s="13">
        <v>23225.96875</v>
      </c>
      <c r="S11" s="14">
        <v>2862960</v>
      </c>
      <c r="T11" s="14">
        <v>1257104</v>
      </c>
      <c r="U11" s="14">
        <v>667568</v>
      </c>
      <c r="V11" s="14">
        <v>938288</v>
      </c>
      <c r="W11" s="15">
        <v>67.670468999999997</v>
      </c>
      <c r="X11" s="15">
        <v>69.746769</v>
      </c>
      <c r="Y11" s="15">
        <v>32.851759000000001</v>
      </c>
      <c r="Z11" s="15">
        <v>39.672181000000002</v>
      </c>
      <c r="AA11" s="15">
        <v>32.236640999999999</v>
      </c>
      <c r="AB11" s="16">
        <v>0</v>
      </c>
      <c r="AC11" s="16">
        <v>0</v>
      </c>
      <c r="AD11" s="16">
        <v>41.189</v>
      </c>
      <c r="AE11" s="16">
        <v>0</v>
      </c>
      <c r="AG11" s="11">
        <f t="shared" si="6"/>
        <v>2.6840250000000001</v>
      </c>
      <c r="AH11" s="12">
        <f t="shared" si="7"/>
        <v>1.312554418702604E-2</v>
      </c>
      <c r="AI11" s="12">
        <f t="shared" si="8"/>
        <v>8.8238631980648626E-3</v>
      </c>
      <c r="AJ11" s="12">
        <f t="shared" si="9"/>
        <v>5.7633268015226139E-3</v>
      </c>
      <c r="AK11" s="12">
        <f t="shared" si="10"/>
        <v>4.3016809889611764E-3</v>
      </c>
      <c r="AL11" s="54">
        <f t="shared" si="11"/>
        <v>1924672</v>
      </c>
      <c r="AM11" s="12">
        <v>16</v>
      </c>
      <c r="AN11" s="13">
        <v>22225091</v>
      </c>
      <c r="AO11" s="13">
        <v>694534.09375</v>
      </c>
      <c r="AP11" s="13">
        <v>23225.96875</v>
      </c>
      <c r="AQ11" s="13">
        <v>2862960</v>
      </c>
      <c r="AR11" s="13">
        <v>1257104</v>
      </c>
      <c r="AS11" s="13">
        <v>667568</v>
      </c>
      <c r="AT11" s="13">
        <v>938288</v>
      </c>
      <c r="AU11" s="13">
        <v>67.670468999999997</v>
      </c>
      <c r="AV11" s="13">
        <v>69.746769</v>
      </c>
      <c r="AW11" s="13">
        <v>32.847369</v>
      </c>
      <c r="AX11" s="13">
        <v>39.670459000000001</v>
      </c>
      <c r="AY11" s="13">
        <v>32.234903000000003</v>
      </c>
      <c r="AZ11" s="13">
        <v>0</v>
      </c>
      <c r="BA11" s="13">
        <v>0</v>
      </c>
      <c r="BB11" s="13">
        <v>36.959000000000003</v>
      </c>
      <c r="BC11" s="13">
        <v>0</v>
      </c>
      <c r="BE11" s="51">
        <f t="shared" si="12"/>
        <v>1</v>
      </c>
      <c r="BF11" s="17">
        <f t="shared" si="13"/>
        <v>0</v>
      </c>
      <c r="BG11" s="17">
        <f t="shared" si="14"/>
        <v>0</v>
      </c>
      <c r="BH11" s="17"/>
      <c r="BJ11" s="51"/>
      <c r="BK11" s="51"/>
      <c r="BL11" s="51"/>
      <c r="BM11" s="51"/>
      <c r="BN11" s="51"/>
      <c r="BP11" s="51"/>
      <c r="BQ11" s="51"/>
      <c r="BR11" s="51"/>
      <c r="BS11" s="51"/>
      <c r="BT11" s="51"/>
    </row>
    <row r="12" spans="1:72" outlineLevel="1" x14ac:dyDescent="0.2">
      <c r="A12" s="18"/>
      <c r="B12" s="18" t="s">
        <v>57</v>
      </c>
      <c r="C12" s="19" t="s">
        <v>232</v>
      </c>
      <c r="D12" s="18">
        <v>218121242</v>
      </c>
      <c r="E12" s="19">
        <v>10</v>
      </c>
      <c r="F12" s="19">
        <v>32</v>
      </c>
      <c r="G12" s="19">
        <v>30</v>
      </c>
      <c r="I12" s="20">
        <f t="shared" si="0"/>
        <v>3.8271299999999999</v>
      </c>
      <c r="J12" s="21">
        <f t="shared" si="1"/>
        <v>1.8715609550765348E-2</v>
      </c>
      <c r="K12" s="21">
        <f t="shared" si="2"/>
        <v>1.1330359103676845E-2</v>
      </c>
      <c r="L12" s="21">
        <f t="shared" si="3"/>
        <v>8.2698227071345953E-3</v>
      </c>
      <c r="M12" s="21">
        <f t="shared" si="4"/>
        <v>7.3852504470885054E-3</v>
      </c>
      <c r="N12" s="18">
        <f t="shared" si="5"/>
        <v>2471392</v>
      </c>
      <c r="O12" s="21">
        <v>16</v>
      </c>
      <c r="P12" s="22">
        <v>22547007</v>
      </c>
      <c r="Q12" s="22">
        <v>704593.96875</v>
      </c>
      <c r="R12" s="22">
        <v>24701.21875</v>
      </c>
      <c r="S12" s="23">
        <v>4082272</v>
      </c>
      <c r="T12" s="23">
        <v>1803824</v>
      </c>
      <c r="U12" s="23">
        <v>667568</v>
      </c>
      <c r="V12" s="23">
        <v>1610880</v>
      </c>
      <c r="W12" s="24">
        <v>69.008019000000004</v>
      </c>
      <c r="X12" s="24">
        <v>71.384221999999994</v>
      </c>
      <c r="Y12" s="24">
        <v>34.861624999999997</v>
      </c>
      <c r="Z12" s="24">
        <v>40.634022000000002</v>
      </c>
      <c r="AA12" s="24">
        <v>34.136197000000003</v>
      </c>
      <c r="AB12" s="25">
        <v>0</v>
      </c>
      <c r="AC12" s="25">
        <v>0</v>
      </c>
      <c r="AD12" s="25">
        <v>41.665999999999997</v>
      </c>
      <c r="AE12" s="25">
        <v>0</v>
      </c>
      <c r="AG12" s="20">
        <f t="shared" si="6"/>
        <v>3.8271299999999999</v>
      </c>
      <c r="AH12" s="21">
        <f t="shared" si="7"/>
        <v>1.8715609550765348E-2</v>
      </c>
      <c r="AI12" s="21">
        <f t="shared" si="8"/>
        <v>1.1330359103676845E-2</v>
      </c>
      <c r="AJ12" s="21">
        <f t="shared" si="9"/>
        <v>8.2698227071345953E-3</v>
      </c>
      <c r="AK12" s="21">
        <f t="shared" si="10"/>
        <v>7.3852504470885054E-3</v>
      </c>
      <c r="AL12" s="18">
        <f t="shared" si="11"/>
        <v>2471392</v>
      </c>
      <c r="AM12" s="21">
        <v>16</v>
      </c>
      <c r="AN12" s="22">
        <v>22547007</v>
      </c>
      <c r="AO12" s="22">
        <v>704593.96875</v>
      </c>
      <c r="AP12" s="22">
        <v>24701.21875</v>
      </c>
      <c r="AQ12" s="22">
        <v>4082272</v>
      </c>
      <c r="AR12" s="22">
        <v>1803824</v>
      </c>
      <c r="AS12" s="22">
        <v>667568</v>
      </c>
      <c r="AT12" s="22">
        <v>1610880</v>
      </c>
      <c r="AU12" s="22">
        <v>69.008019000000004</v>
      </c>
      <c r="AV12" s="22">
        <v>71.384221999999994</v>
      </c>
      <c r="AW12" s="22">
        <v>34.858891</v>
      </c>
      <c r="AX12" s="22">
        <v>40.632406000000003</v>
      </c>
      <c r="AY12" s="22">
        <v>34.134512000000001</v>
      </c>
      <c r="AZ12" s="22">
        <v>0</v>
      </c>
      <c r="BA12" s="22">
        <v>0</v>
      </c>
      <c r="BB12" s="22">
        <v>38.924999999999997</v>
      </c>
      <c r="BC12" s="22">
        <v>0</v>
      </c>
      <c r="BE12" s="50">
        <f t="shared" si="12"/>
        <v>1</v>
      </c>
      <c r="BF12" s="26">
        <f t="shared" si="13"/>
        <v>0</v>
      </c>
      <c r="BG12" s="26">
        <f t="shared" si="14"/>
        <v>0</v>
      </c>
      <c r="BH12" s="26"/>
      <c r="BJ12" s="50"/>
      <c r="BK12" s="50"/>
      <c r="BL12" s="50"/>
      <c r="BM12" s="50"/>
      <c r="BN12" s="50"/>
      <c r="BP12" s="50"/>
      <c r="BQ12" s="50"/>
      <c r="BR12" s="50"/>
      <c r="BS12" s="50"/>
      <c r="BT12" s="50"/>
    </row>
    <row r="13" spans="1:72" outlineLevel="1" x14ac:dyDescent="0.2">
      <c r="A13" s="54"/>
      <c r="B13" s="54" t="s">
        <v>57</v>
      </c>
      <c r="C13" s="10" t="s">
        <v>233</v>
      </c>
      <c r="D13" s="54">
        <v>218121242</v>
      </c>
      <c r="E13" s="10">
        <v>10</v>
      </c>
      <c r="F13" s="10">
        <v>32</v>
      </c>
      <c r="G13" s="10">
        <v>30</v>
      </c>
      <c r="I13" s="11">
        <f t="shared" si="0"/>
        <v>6.1983449999999998</v>
      </c>
      <c r="J13" s="12">
        <f t="shared" si="1"/>
        <v>3.0311435692265132E-2</v>
      </c>
      <c r="K13" s="12">
        <f t="shared" si="2"/>
        <v>1.5864571319468279E-2</v>
      </c>
      <c r="L13" s="12">
        <f t="shared" si="3"/>
        <v>1.280403492292603E-2</v>
      </c>
      <c r="M13" s="12">
        <f t="shared" si="4"/>
        <v>1.4446864372796851E-2</v>
      </c>
      <c r="N13" s="54">
        <f t="shared" si="5"/>
        <v>3460400</v>
      </c>
      <c r="O13" s="12">
        <v>16</v>
      </c>
      <c r="P13" s="13">
        <v>23302548</v>
      </c>
      <c r="Q13" s="13">
        <v>728204.625</v>
      </c>
      <c r="R13" s="13">
        <v>28114</v>
      </c>
      <c r="S13" s="14">
        <v>6611568</v>
      </c>
      <c r="T13" s="14">
        <v>2792832</v>
      </c>
      <c r="U13" s="14">
        <v>667568</v>
      </c>
      <c r="V13" s="14">
        <v>3151168</v>
      </c>
      <c r="W13" s="15">
        <v>70.065494000000001</v>
      </c>
      <c r="X13" s="15">
        <v>72.574931000000007</v>
      </c>
      <c r="Y13" s="15">
        <v>37.046802999999997</v>
      </c>
      <c r="Z13" s="15">
        <v>41.695096999999997</v>
      </c>
      <c r="AA13" s="15">
        <v>36.089156000000003</v>
      </c>
      <c r="AB13" s="16">
        <v>0</v>
      </c>
      <c r="AC13" s="16">
        <v>0</v>
      </c>
      <c r="AD13" s="16">
        <v>42.658000000000001</v>
      </c>
      <c r="AE13" s="16">
        <v>0</v>
      </c>
      <c r="AG13" s="11">
        <f t="shared" si="6"/>
        <v>6.1983449999999998</v>
      </c>
      <c r="AH13" s="12">
        <f t="shared" si="7"/>
        <v>3.0311435692265132E-2</v>
      </c>
      <c r="AI13" s="12">
        <f t="shared" si="8"/>
        <v>1.5864571319468279E-2</v>
      </c>
      <c r="AJ13" s="12">
        <f t="shared" si="9"/>
        <v>1.280403492292603E-2</v>
      </c>
      <c r="AK13" s="12">
        <f t="shared" si="10"/>
        <v>1.4446864372796851E-2</v>
      </c>
      <c r="AL13" s="54">
        <f t="shared" si="11"/>
        <v>3460400</v>
      </c>
      <c r="AM13" s="12">
        <v>16</v>
      </c>
      <c r="AN13" s="13">
        <v>23302548</v>
      </c>
      <c r="AO13" s="13">
        <v>728204.625</v>
      </c>
      <c r="AP13" s="13">
        <v>28114</v>
      </c>
      <c r="AQ13" s="13">
        <v>6611568</v>
      </c>
      <c r="AR13" s="13">
        <v>2792832</v>
      </c>
      <c r="AS13" s="13">
        <v>667568</v>
      </c>
      <c r="AT13" s="13">
        <v>3151168</v>
      </c>
      <c r="AU13" s="13">
        <v>70.065494000000001</v>
      </c>
      <c r="AV13" s="13">
        <v>72.574931000000007</v>
      </c>
      <c r="AW13" s="13">
        <v>37.044231000000003</v>
      </c>
      <c r="AX13" s="13">
        <v>41.693750000000001</v>
      </c>
      <c r="AY13" s="13">
        <v>36.087612</v>
      </c>
      <c r="AZ13" s="13">
        <v>0</v>
      </c>
      <c r="BA13" s="13">
        <v>0</v>
      </c>
      <c r="BB13" s="13">
        <v>38.508000000000003</v>
      </c>
      <c r="BC13" s="13">
        <v>0</v>
      </c>
      <c r="BE13" s="51">
        <f t="shared" si="12"/>
        <v>1</v>
      </c>
      <c r="BF13" s="17">
        <f t="shared" si="13"/>
        <v>0</v>
      </c>
      <c r="BG13" s="17">
        <f t="shared" si="14"/>
        <v>0</v>
      </c>
      <c r="BH13" s="17"/>
      <c r="BJ13" s="51"/>
      <c r="BK13" s="51"/>
      <c r="BL13" s="51"/>
      <c r="BM13" s="51"/>
      <c r="BN13" s="51"/>
      <c r="BP13" s="51"/>
      <c r="BQ13" s="51"/>
      <c r="BR13" s="51"/>
      <c r="BS13" s="51"/>
      <c r="BT13" s="51"/>
    </row>
    <row r="14" spans="1:72" outlineLevel="1" x14ac:dyDescent="0.2">
      <c r="A14" s="18"/>
      <c r="B14" s="37" t="s">
        <v>57</v>
      </c>
      <c r="C14" s="38" t="s">
        <v>234</v>
      </c>
      <c r="D14" s="37">
        <v>218121242</v>
      </c>
      <c r="E14" s="38">
        <v>10</v>
      </c>
      <c r="F14" s="38">
        <v>32</v>
      </c>
      <c r="G14" s="38">
        <v>30</v>
      </c>
      <c r="I14" s="39">
        <f t="shared" si="0"/>
        <v>12.218685000000001</v>
      </c>
      <c r="J14" s="40">
        <f t="shared" si="1"/>
        <v>5.9752383034752755E-2</v>
      </c>
      <c r="K14" s="40">
        <f t="shared" si="2"/>
        <v>2.6746299198131287E-2</v>
      </c>
      <c r="L14" s="40">
        <f t="shared" si="3"/>
        <v>2.0743949367388985E-2</v>
      </c>
      <c r="M14" s="40">
        <f t="shared" si="4"/>
        <v>3.3006083836621472E-2</v>
      </c>
      <c r="N14" s="37">
        <f t="shared" si="5"/>
        <v>5833936</v>
      </c>
      <c r="O14" s="40">
        <v>16</v>
      </c>
      <c r="P14" s="41">
        <v>22137685</v>
      </c>
      <c r="Q14" s="41">
        <v>691802.65625</v>
      </c>
      <c r="R14" s="41">
        <v>13319.59375</v>
      </c>
      <c r="S14" s="42">
        <v>13033264</v>
      </c>
      <c r="T14" s="42">
        <v>4524696</v>
      </c>
      <c r="U14" s="42">
        <v>1309240</v>
      </c>
      <c r="V14" s="42">
        <v>7199328</v>
      </c>
      <c r="W14" s="43">
        <v>70.915209000000004</v>
      </c>
      <c r="X14" s="43">
        <v>74.637884</v>
      </c>
      <c r="Y14" s="43">
        <v>39.451509000000001</v>
      </c>
      <c r="Z14" s="43">
        <v>42.978534000000003</v>
      </c>
      <c r="AA14" s="43">
        <v>38.253678000000001</v>
      </c>
      <c r="AB14" s="44">
        <v>0</v>
      </c>
      <c r="AC14" s="44">
        <v>0</v>
      </c>
      <c r="AD14" s="44">
        <v>42.231999999999999</v>
      </c>
      <c r="AE14" s="44">
        <v>0</v>
      </c>
      <c r="AG14" s="39">
        <f t="shared" si="6"/>
        <v>12.218685000000001</v>
      </c>
      <c r="AH14" s="40">
        <f t="shared" si="7"/>
        <v>5.9752383034752755E-2</v>
      </c>
      <c r="AI14" s="40">
        <f t="shared" si="8"/>
        <v>2.6746299198131287E-2</v>
      </c>
      <c r="AJ14" s="40">
        <f t="shared" si="9"/>
        <v>2.0743949367388985E-2</v>
      </c>
      <c r="AK14" s="40">
        <f t="shared" si="10"/>
        <v>3.3006083836621472E-2</v>
      </c>
      <c r="AL14" s="37">
        <f t="shared" si="11"/>
        <v>5833936</v>
      </c>
      <c r="AM14" s="40">
        <v>16</v>
      </c>
      <c r="AN14" s="41">
        <v>22137685</v>
      </c>
      <c r="AO14" s="41">
        <v>691802.65625</v>
      </c>
      <c r="AP14" s="41">
        <v>13319.59375</v>
      </c>
      <c r="AQ14" s="41">
        <v>13033264</v>
      </c>
      <c r="AR14" s="41">
        <v>4524696</v>
      </c>
      <c r="AS14" s="41">
        <v>1309240</v>
      </c>
      <c r="AT14" s="41">
        <v>7199328</v>
      </c>
      <c r="AU14" s="41">
        <v>70.915209000000004</v>
      </c>
      <c r="AV14" s="41">
        <v>74.637884</v>
      </c>
      <c r="AW14" s="41">
        <v>39.451780999999997</v>
      </c>
      <c r="AX14" s="41">
        <v>42.977328</v>
      </c>
      <c r="AY14" s="41">
        <v>38.254612999999999</v>
      </c>
      <c r="AZ14" s="41">
        <v>0</v>
      </c>
      <c r="BA14" s="41">
        <v>0</v>
      </c>
      <c r="BB14" s="41">
        <v>38.424999999999997</v>
      </c>
      <c r="BC14" s="41">
        <v>0</v>
      </c>
      <c r="BE14" s="45">
        <f t="shared" si="12"/>
        <v>1</v>
      </c>
      <c r="BF14" s="46">
        <f t="shared" si="13"/>
        <v>0</v>
      </c>
      <c r="BG14" s="46">
        <f t="shared" si="14"/>
        <v>0</v>
      </c>
      <c r="BH14" s="46"/>
      <c r="BJ14" s="45"/>
      <c r="BK14" s="45"/>
      <c r="BL14" s="45"/>
      <c r="BM14" s="45"/>
      <c r="BN14" s="45"/>
      <c r="BP14" s="45"/>
      <c r="BQ14" s="45"/>
      <c r="BR14" s="45"/>
      <c r="BS14" s="45"/>
      <c r="BT14" s="45"/>
    </row>
    <row r="15" spans="1:72" x14ac:dyDescent="0.2">
      <c r="A15" s="54"/>
      <c r="B15" s="54" t="s">
        <v>62</v>
      </c>
      <c r="C15" s="10" t="s">
        <v>230</v>
      </c>
      <c r="D15" s="54">
        <v>322589704</v>
      </c>
      <c r="E15" s="10">
        <v>10</v>
      </c>
      <c r="F15" s="10">
        <v>32</v>
      </c>
      <c r="G15" s="10">
        <v>30</v>
      </c>
      <c r="I15" s="11">
        <f t="shared" si="0"/>
        <v>1.6193774999999999</v>
      </c>
      <c r="J15" s="12">
        <f t="shared" si="1"/>
        <v>5.3545912302272363E-3</v>
      </c>
      <c r="K15" s="12">
        <f t="shared" si="2"/>
        <v>4.5021399691045315E-3</v>
      </c>
      <c r="L15" s="12">
        <f t="shared" si="3"/>
        <v>2.3658535611539543E-3</v>
      </c>
      <c r="M15" s="12">
        <f t="shared" si="4"/>
        <v>8.5245126112270468E-4</v>
      </c>
      <c r="N15" s="54">
        <f t="shared" si="5"/>
        <v>1452344</v>
      </c>
      <c r="O15" s="12">
        <v>16</v>
      </c>
      <c r="P15" s="13">
        <v>32415907</v>
      </c>
      <c r="Q15" s="13">
        <v>1012997.09375</v>
      </c>
      <c r="R15" s="13">
        <v>32038.0625</v>
      </c>
      <c r="S15" s="14">
        <v>1727336</v>
      </c>
      <c r="T15" s="14">
        <v>763200</v>
      </c>
      <c r="U15" s="14">
        <v>689144</v>
      </c>
      <c r="V15" s="14">
        <v>274992</v>
      </c>
      <c r="W15" s="15">
        <v>66.298768999999993</v>
      </c>
      <c r="X15" s="15">
        <v>67.850188000000003</v>
      </c>
      <c r="Y15" s="15">
        <v>29.254943999999998</v>
      </c>
      <c r="Z15" s="15">
        <v>43.489891</v>
      </c>
      <c r="AA15" s="15">
        <v>43.7181</v>
      </c>
      <c r="AB15" s="16">
        <v>0</v>
      </c>
      <c r="AC15" s="16">
        <v>0</v>
      </c>
      <c r="AD15" s="16">
        <v>51.491</v>
      </c>
      <c r="AE15" s="16">
        <v>0</v>
      </c>
      <c r="AG15" s="11">
        <f t="shared" si="6"/>
        <v>1.6193774999999999</v>
      </c>
      <c r="AH15" s="12">
        <f t="shared" si="7"/>
        <v>5.3545912302272363E-3</v>
      </c>
      <c r="AI15" s="12">
        <f t="shared" si="8"/>
        <v>4.5021399691045315E-3</v>
      </c>
      <c r="AJ15" s="12">
        <f t="shared" si="9"/>
        <v>2.3658535611539543E-3</v>
      </c>
      <c r="AK15" s="12">
        <f t="shared" si="10"/>
        <v>8.5245126112270468E-4</v>
      </c>
      <c r="AL15" s="54">
        <f t="shared" si="11"/>
        <v>1452344</v>
      </c>
      <c r="AM15" s="12">
        <v>16</v>
      </c>
      <c r="AN15" s="13">
        <v>32415907</v>
      </c>
      <c r="AO15" s="13">
        <v>1012997.09375</v>
      </c>
      <c r="AP15" s="13">
        <v>32038.0625</v>
      </c>
      <c r="AQ15" s="13">
        <v>1727336</v>
      </c>
      <c r="AR15" s="13">
        <v>763200</v>
      </c>
      <c r="AS15" s="13">
        <v>689144</v>
      </c>
      <c r="AT15" s="13">
        <v>274992</v>
      </c>
      <c r="AU15" s="13">
        <v>66.298768999999993</v>
      </c>
      <c r="AV15" s="13">
        <v>67.850188000000003</v>
      </c>
      <c r="AW15" s="13">
        <v>29.250343999999998</v>
      </c>
      <c r="AX15" s="13">
        <v>43.488475000000001</v>
      </c>
      <c r="AY15" s="13">
        <v>43.716537000000002</v>
      </c>
      <c r="AZ15" s="13">
        <v>0</v>
      </c>
      <c r="BA15" s="13">
        <v>0</v>
      </c>
      <c r="BB15" s="13">
        <v>44.643000000000001</v>
      </c>
      <c r="BC15" s="13">
        <v>0</v>
      </c>
      <c r="BE15" s="51">
        <f t="shared" si="12"/>
        <v>1</v>
      </c>
      <c r="BF15" s="17">
        <f t="shared" si="13"/>
        <v>0</v>
      </c>
      <c r="BG15" s="17">
        <f t="shared" si="14"/>
        <v>0</v>
      </c>
      <c r="BH15" s="17">
        <f t="array" ref="BH15">AVERAGE(AL15:AL19/AQ15:AQ19) - AVERAGE(N15:N19/S15:S19)</f>
        <v>0</v>
      </c>
      <c r="BJ15" s="51">
        <f>IF( OR(ISBLANK(N15:N19),ISBLANK(AL15:AL19), ISBLANK(W15:W19),ISBLANK(AU15:AU19)), "·", bdRateExtend( N15:N19,W15:W19, AL15:AL19,AU15:AU19))</f>
        <v>0</v>
      </c>
      <c r="BK15" s="51">
        <f>IF( OR(ISBLANK(N15:N19),ISBLANK(AL15:AL19), ISBLANK(X15:X19),ISBLANK(AV15:AV19)), "·", bdRateExtend( N15:N19,X15:X19, AL15:AL19,AV15:AV19))</f>
        <v>0</v>
      </c>
      <c r="BL15" s="51">
        <f>IF( OR(ISBLANK(V15:V19),ISBLANK(AT15:AT19), ISBLANK(Y15:Y19),ISBLANK(AW15:AW19)), "·", bdRateExtend( V15:V19,Y15:Y19, AT15:AT19,AW15:AW19))</f>
        <v>1.6193949406502206E-3</v>
      </c>
      <c r="BM15" s="51">
        <f>IF( OR(ISBLANK(V15:V19),ISBLANK(AT15:AT19), ISBLANK(Z15:Z19),ISBLANK(AX15:AX19)), "·", bdRateExtend( V15:V19,Z15:Z19, AT15:AT19,AX15:AX19))</f>
        <v>4.1402593287864775E-4</v>
      </c>
      <c r="BN15" s="51">
        <f>IF( OR(ISBLANK(V15:V19),ISBLANK(AT15:AT19), ISBLANK(AA15:AA19),ISBLANK(AY15:AY19)), "·", bdRateExtend( V15:V19,AA15:AA19, AT15:AT19,AY15:AY19))</f>
        <v>4.1811118732204555E-4</v>
      </c>
      <c r="BP15" s="51">
        <f>IF( OR(ISBLANK(S15:S19),ISBLANK(AQ15:AQ19), ISBLANK(W15:W19),ISBLANK(AU15:AU19)), "·", bdRateExtend( S15:S19,W15:W19, AQ15:AQ19,AU15:AU19))</f>
        <v>0</v>
      </c>
      <c r="BQ15" s="51">
        <f>IF( OR(ISBLANK(S15:S19),ISBLANK(AQ15:AQ19), ISBLANK(X15:X19),ISBLANK(AV15:AV19)), "·", bdRateExtend( S15:S19,X15:X19, AQ15:AQ19,AV15:AV19))</f>
        <v>0</v>
      </c>
      <c r="BR15" s="51">
        <f>IF( OR(ISBLANK(S15:S19),ISBLANK(AQ15:AQ19), ISBLANK(Y15:Y19),ISBLANK(AW15:AW19)), "·", bdRateExtend( S15:S19,Y15:Y19, AQ15:AQ19,AW15:AW19))</f>
        <v>9.6649751562205566E-4</v>
      </c>
      <c r="BS15" s="51">
        <f>IF( OR(ISBLANK(S15:S19),ISBLANK(AQ15:AQ19), ISBLANK(Z15:Z19),ISBLANK(AX15:AX19)), "·", bdRateExtend( S15:S19,Z15:Z19, AQ15:AQ19,AX15:AX19))</f>
        <v>2.5086127990370244E-4</v>
      </c>
      <c r="BT15" s="51">
        <f>IF( OR(ISBLANK(S15:S19),ISBLANK(AQ15:AQ19), ISBLANK(AA15:AA19),ISBLANK(AY15:AY19)), "·", bdRateExtend( S15:S19,AA15:AA19, AQ15:AQ19,AY15:AY19))</f>
        <v>2.6562370519522815E-4</v>
      </c>
    </row>
    <row r="16" spans="1:72" outlineLevel="1" x14ac:dyDescent="0.2">
      <c r="A16" s="18"/>
      <c r="B16" s="18" t="s">
        <v>62</v>
      </c>
      <c r="C16" s="19" t="s">
        <v>231</v>
      </c>
      <c r="D16" s="18">
        <v>322589704</v>
      </c>
      <c r="E16" s="19">
        <v>10</v>
      </c>
      <c r="F16" s="19">
        <v>32</v>
      </c>
      <c r="G16" s="19">
        <v>30</v>
      </c>
      <c r="I16" s="20">
        <f t="shared" si="0"/>
        <v>2.1224474999999998</v>
      </c>
      <c r="J16" s="21">
        <f t="shared" si="1"/>
        <v>7.0180293168935108E-3</v>
      </c>
      <c r="K16" s="21">
        <f t="shared" si="2"/>
        <v>5.4326842371881772E-3</v>
      </c>
      <c r="L16" s="21">
        <f t="shared" si="3"/>
        <v>3.2963978292376004E-3</v>
      </c>
      <c r="M16" s="21">
        <f t="shared" si="4"/>
        <v>1.5853450797053336E-3</v>
      </c>
      <c r="N16" s="18">
        <f t="shared" si="5"/>
        <v>1752528</v>
      </c>
      <c r="O16" s="21">
        <v>16</v>
      </c>
      <c r="P16" s="22">
        <v>33875717</v>
      </c>
      <c r="Q16" s="22">
        <v>1058616.15625</v>
      </c>
      <c r="R16" s="22">
        <v>36874.3125</v>
      </c>
      <c r="S16" s="23">
        <v>2263944</v>
      </c>
      <c r="T16" s="23">
        <v>1063384</v>
      </c>
      <c r="U16" s="23">
        <v>689144</v>
      </c>
      <c r="V16" s="23">
        <v>511416</v>
      </c>
      <c r="W16" s="24">
        <v>68.029883999999996</v>
      </c>
      <c r="X16" s="24">
        <v>70.006803000000005</v>
      </c>
      <c r="Y16" s="24">
        <v>31.572084</v>
      </c>
      <c r="Z16" s="24">
        <v>44.071680999999998</v>
      </c>
      <c r="AA16" s="24">
        <v>44.425502999999999</v>
      </c>
      <c r="AB16" s="25">
        <v>0</v>
      </c>
      <c r="AC16" s="25">
        <v>0</v>
      </c>
      <c r="AD16" s="25">
        <v>58.64</v>
      </c>
      <c r="AE16" s="25">
        <v>0</v>
      </c>
      <c r="AG16" s="20">
        <f t="shared" si="6"/>
        <v>2.1224474999999998</v>
      </c>
      <c r="AH16" s="21">
        <f t="shared" si="7"/>
        <v>7.0180293168935108E-3</v>
      </c>
      <c r="AI16" s="21">
        <f t="shared" si="8"/>
        <v>5.4326842371881772E-3</v>
      </c>
      <c r="AJ16" s="21">
        <f t="shared" si="9"/>
        <v>3.2963978292376004E-3</v>
      </c>
      <c r="AK16" s="21">
        <f t="shared" si="10"/>
        <v>1.5853450797053336E-3</v>
      </c>
      <c r="AL16" s="18">
        <f t="shared" si="11"/>
        <v>1752528</v>
      </c>
      <c r="AM16" s="21">
        <v>16</v>
      </c>
      <c r="AN16" s="22">
        <v>33875717</v>
      </c>
      <c r="AO16" s="22">
        <v>1058616.15625</v>
      </c>
      <c r="AP16" s="22">
        <v>36874.3125</v>
      </c>
      <c r="AQ16" s="22">
        <v>2263944</v>
      </c>
      <c r="AR16" s="22">
        <v>1063384</v>
      </c>
      <c r="AS16" s="22">
        <v>689144</v>
      </c>
      <c r="AT16" s="22">
        <v>511416</v>
      </c>
      <c r="AU16" s="22">
        <v>68.029883999999996</v>
      </c>
      <c r="AV16" s="22">
        <v>70.006803000000005</v>
      </c>
      <c r="AW16" s="22">
        <v>31.567212000000001</v>
      </c>
      <c r="AX16" s="22">
        <v>44.071125000000002</v>
      </c>
      <c r="AY16" s="22">
        <v>44.424756000000002</v>
      </c>
      <c r="AZ16" s="22">
        <v>0</v>
      </c>
      <c r="BA16" s="22">
        <v>0</v>
      </c>
      <c r="BB16" s="22">
        <v>44.606000000000002</v>
      </c>
      <c r="BC16" s="22">
        <v>0</v>
      </c>
      <c r="BE16" s="50">
        <f t="shared" si="12"/>
        <v>1</v>
      </c>
      <c r="BF16" s="26">
        <f t="shared" si="13"/>
        <v>0</v>
      </c>
      <c r="BG16" s="26">
        <f t="shared" si="14"/>
        <v>0</v>
      </c>
      <c r="BH16" s="26"/>
      <c r="BJ16" s="50"/>
      <c r="BK16" s="50"/>
      <c r="BL16" s="50"/>
      <c r="BM16" s="50"/>
      <c r="BN16" s="50"/>
      <c r="BP16" s="50"/>
      <c r="BQ16" s="50"/>
      <c r="BR16" s="50"/>
      <c r="BS16" s="50"/>
      <c r="BT16" s="50"/>
    </row>
    <row r="17" spans="1:72" outlineLevel="1" x14ac:dyDescent="0.2">
      <c r="A17" s="54"/>
      <c r="B17" s="54" t="s">
        <v>62</v>
      </c>
      <c r="C17" s="10" t="s">
        <v>232</v>
      </c>
      <c r="D17" s="54">
        <v>322589704</v>
      </c>
      <c r="E17" s="10">
        <v>10</v>
      </c>
      <c r="F17" s="10">
        <v>32</v>
      </c>
      <c r="G17" s="10">
        <v>30</v>
      </c>
      <c r="I17" s="11">
        <f t="shared" si="0"/>
        <v>2.9922825</v>
      </c>
      <c r="J17" s="12">
        <f t="shared" si="1"/>
        <v>9.8942029470351599E-3</v>
      </c>
      <c r="K17" s="12">
        <f t="shared" si="2"/>
        <v>6.6372112111798831E-3</v>
      </c>
      <c r="L17" s="12">
        <f t="shared" si="3"/>
        <v>4.5009248032293059E-3</v>
      </c>
      <c r="M17" s="12">
        <f t="shared" si="4"/>
        <v>3.2569917358552772E-3</v>
      </c>
      <c r="N17" s="54">
        <f t="shared" si="5"/>
        <v>2141096</v>
      </c>
      <c r="O17" s="12">
        <v>16</v>
      </c>
      <c r="P17" s="13">
        <v>33778649</v>
      </c>
      <c r="Q17" s="13">
        <v>1055582.78125</v>
      </c>
      <c r="R17" s="13">
        <v>37421.15625</v>
      </c>
      <c r="S17" s="14">
        <v>3191768</v>
      </c>
      <c r="T17" s="14">
        <v>1451952</v>
      </c>
      <c r="U17" s="14">
        <v>689144</v>
      </c>
      <c r="V17" s="14">
        <v>1050672</v>
      </c>
      <c r="W17" s="15">
        <v>69.351502999999994</v>
      </c>
      <c r="X17" s="15">
        <v>71.840318999999994</v>
      </c>
      <c r="Y17" s="15">
        <v>33.953462999999999</v>
      </c>
      <c r="Z17" s="15">
        <v>45.161952999999997</v>
      </c>
      <c r="AA17" s="15">
        <v>45.541066000000001</v>
      </c>
      <c r="AB17" s="16">
        <v>0</v>
      </c>
      <c r="AC17" s="16">
        <v>0</v>
      </c>
      <c r="AD17" s="16">
        <v>57.561</v>
      </c>
      <c r="AE17" s="16">
        <v>0</v>
      </c>
      <c r="AG17" s="11">
        <f t="shared" si="6"/>
        <v>2.9922825</v>
      </c>
      <c r="AH17" s="12">
        <f t="shared" si="7"/>
        <v>9.8942029470351599E-3</v>
      </c>
      <c r="AI17" s="12">
        <f t="shared" si="8"/>
        <v>6.6372112111798831E-3</v>
      </c>
      <c r="AJ17" s="12">
        <f t="shared" si="9"/>
        <v>4.5009248032293059E-3</v>
      </c>
      <c r="AK17" s="12">
        <f t="shared" si="10"/>
        <v>3.2569917358552772E-3</v>
      </c>
      <c r="AL17" s="54">
        <f t="shared" si="11"/>
        <v>2141096</v>
      </c>
      <c r="AM17" s="12">
        <v>16</v>
      </c>
      <c r="AN17" s="13">
        <v>33778649</v>
      </c>
      <c r="AO17" s="13">
        <v>1055582.78125</v>
      </c>
      <c r="AP17" s="13">
        <v>37421.15625</v>
      </c>
      <c r="AQ17" s="13">
        <v>3191768</v>
      </c>
      <c r="AR17" s="13">
        <v>1451952</v>
      </c>
      <c r="AS17" s="13">
        <v>689144</v>
      </c>
      <c r="AT17" s="13">
        <v>1050672</v>
      </c>
      <c r="AU17" s="13">
        <v>69.351502999999994</v>
      </c>
      <c r="AV17" s="13">
        <v>71.840318999999994</v>
      </c>
      <c r="AW17" s="13">
        <v>33.947828000000001</v>
      </c>
      <c r="AX17" s="13">
        <v>45.161228000000001</v>
      </c>
      <c r="AY17" s="13">
        <v>45.540877999999999</v>
      </c>
      <c r="AZ17" s="13">
        <v>0</v>
      </c>
      <c r="BA17" s="13">
        <v>0</v>
      </c>
      <c r="BB17" s="13">
        <v>49.4</v>
      </c>
      <c r="BC17" s="13">
        <v>0</v>
      </c>
      <c r="BE17" s="51">
        <f t="shared" si="12"/>
        <v>1</v>
      </c>
      <c r="BF17" s="17">
        <f t="shared" si="13"/>
        <v>0</v>
      </c>
      <c r="BG17" s="17">
        <f t="shared" si="14"/>
        <v>0</v>
      </c>
      <c r="BH17" s="17"/>
      <c r="BJ17" s="51"/>
      <c r="BK17" s="51"/>
      <c r="BL17" s="51"/>
      <c r="BM17" s="51"/>
      <c r="BN17" s="51"/>
      <c r="BP17" s="51"/>
      <c r="BQ17" s="51"/>
      <c r="BR17" s="51"/>
      <c r="BS17" s="51"/>
      <c r="BT17" s="51"/>
    </row>
    <row r="18" spans="1:72" outlineLevel="1" x14ac:dyDescent="0.2">
      <c r="A18" s="18"/>
      <c r="B18" s="18" t="s">
        <v>62</v>
      </c>
      <c r="C18" s="19" t="s">
        <v>233</v>
      </c>
      <c r="D18" s="18">
        <v>322589704</v>
      </c>
      <c r="E18" s="19">
        <v>10</v>
      </c>
      <c r="F18" s="19">
        <v>32</v>
      </c>
      <c r="G18" s="19">
        <v>30</v>
      </c>
      <c r="I18" s="20">
        <f t="shared" si="0"/>
        <v>5.2690950000000001</v>
      </c>
      <c r="J18" s="21">
        <f t="shared" si="1"/>
        <v>1.7422651530130669E-2</v>
      </c>
      <c r="K18" s="21">
        <f t="shared" si="2"/>
        <v>9.8981708356073259E-3</v>
      </c>
      <c r="L18" s="21">
        <f t="shared" si="3"/>
        <v>7.7618844276567487E-3</v>
      </c>
      <c r="M18" s="21">
        <f t="shared" si="4"/>
        <v>7.5244806945233443E-3</v>
      </c>
      <c r="N18" s="18">
        <f t="shared" si="5"/>
        <v>3193048</v>
      </c>
      <c r="O18" s="21">
        <v>16</v>
      </c>
      <c r="P18" s="22">
        <v>34914211</v>
      </c>
      <c r="Q18" s="22">
        <v>1091069.09375</v>
      </c>
      <c r="R18" s="22">
        <v>41605.03125</v>
      </c>
      <c r="S18" s="23">
        <v>5620368</v>
      </c>
      <c r="T18" s="23">
        <v>2503904</v>
      </c>
      <c r="U18" s="23">
        <v>689144</v>
      </c>
      <c r="V18" s="23">
        <v>2427320</v>
      </c>
      <c r="W18" s="24">
        <v>70.529827999999995</v>
      </c>
      <c r="X18" s="24">
        <v>73.133280999999997</v>
      </c>
      <c r="Y18" s="24">
        <v>36.286499999999997</v>
      </c>
      <c r="Z18" s="24">
        <v>46.415525000000002</v>
      </c>
      <c r="AA18" s="24">
        <v>47.009934000000001</v>
      </c>
      <c r="AB18" s="25">
        <v>0</v>
      </c>
      <c r="AC18" s="25">
        <v>0</v>
      </c>
      <c r="AD18" s="25">
        <v>55.256999999999998</v>
      </c>
      <c r="AE18" s="25">
        <v>0</v>
      </c>
      <c r="AG18" s="20">
        <f t="shared" si="6"/>
        <v>5.2690950000000001</v>
      </c>
      <c r="AH18" s="21">
        <f t="shared" si="7"/>
        <v>1.7422651530130669E-2</v>
      </c>
      <c r="AI18" s="21">
        <f t="shared" si="8"/>
        <v>9.8981708356073259E-3</v>
      </c>
      <c r="AJ18" s="21">
        <f t="shared" si="9"/>
        <v>7.7618844276567487E-3</v>
      </c>
      <c r="AK18" s="21">
        <f t="shared" si="10"/>
        <v>7.5244806945233443E-3</v>
      </c>
      <c r="AL18" s="18">
        <f t="shared" si="11"/>
        <v>3193048</v>
      </c>
      <c r="AM18" s="21">
        <v>16</v>
      </c>
      <c r="AN18" s="22">
        <v>34914211</v>
      </c>
      <c r="AO18" s="22">
        <v>1091069.09375</v>
      </c>
      <c r="AP18" s="22">
        <v>41605.03125</v>
      </c>
      <c r="AQ18" s="22">
        <v>5620368</v>
      </c>
      <c r="AR18" s="22">
        <v>2503904</v>
      </c>
      <c r="AS18" s="22">
        <v>689144</v>
      </c>
      <c r="AT18" s="22">
        <v>2427320</v>
      </c>
      <c r="AU18" s="22">
        <v>70.529827999999995</v>
      </c>
      <c r="AV18" s="22">
        <v>73.133280999999997</v>
      </c>
      <c r="AW18" s="22">
        <v>36.280278000000003</v>
      </c>
      <c r="AX18" s="22">
        <v>46.415402999999998</v>
      </c>
      <c r="AY18" s="22">
        <v>47.009784000000003</v>
      </c>
      <c r="AZ18" s="22">
        <v>0</v>
      </c>
      <c r="BA18" s="22">
        <v>0</v>
      </c>
      <c r="BB18" s="22">
        <v>48.829000000000001</v>
      </c>
      <c r="BC18" s="22">
        <v>0</v>
      </c>
      <c r="BE18" s="50">
        <f t="shared" si="12"/>
        <v>1</v>
      </c>
      <c r="BF18" s="26">
        <f t="shared" si="13"/>
        <v>0</v>
      </c>
      <c r="BG18" s="26">
        <f t="shared" si="14"/>
        <v>0</v>
      </c>
      <c r="BH18" s="26"/>
      <c r="BJ18" s="50"/>
      <c r="BK18" s="50"/>
      <c r="BL18" s="50"/>
      <c r="BM18" s="50"/>
      <c r="BN18" s="50"/>
      <c r="BP18" s="50"/>
      <c r="BQ18" s="50"/>
      <c r="BR18" s="50"/>
      <c r="BS18" s="50"/>
      <c r="BT18" s="50"/>
    </row>
    <row r="19" spans="1:72" outlineLevel="1" x14ac:dyDescent="0.2">
      <c r="A19" s="54"/>
      <c r="B19" s="27" t="s">
        <v>62</v>
      </c>
      <c r="C19" s="28" t="s">
        <v>234</v>
      </c>
      <c r="D19" s="27">
        <v>322589704</v>
      </c>
      <c r="E19" s="28">
        <v>10</v>
      </c>
      <c r="F19" s="28">
        <v>32</v>
      </c>
      <c r="G19" s="28">
        <v>30</v>
      </c>
      <c r="I19" s="29">
        <f t="shared" si="0"/>
        <v>11.407154999999999</v>
      </c>
      <c r="J19" s="30">
        <f t="shared" si="1"/>
        <v>3.771859997118817E-2</v>
      </c>
      <c r="K19" s="30">
        <f t="shared" si="2"/>
        <v>1.7427313799202964E-2</v>
      </c>
      <c r="L19" s="30">
        <f t="shared" si="3"/>
        <v>1.2813353770274082E-2</v>
      </c>
      <c r="M19" s="30">
        <f t="shared" si="4"/>
        <v>2.0291286171985203E-2</v>
      </c>
      <c r="N19" s="27">
        <f t="shared" si="5"/>
        <v>5621872</v>
      </c>
      <c r="O19" s="30">
        <v>16</v>
      </c>
      <c r="P19" s="31">
        <v>33017129</v>
      </c>
      <c r="Q19" s="31">
        <v>1031785.28125</v>
      </c>
      <c r="R19" s="31">
        <v>17789.875</v>
      </c>
      <c r="S19" s="32">
        <v>12167632</v>
      </c>
      <c r="T19" s="32">
        <v>4133456</v>
      </c>
      <c r="U19" s="32">
        <v>1488416</v>
      </c>
      <c r="V19" s="32">
        <v>6545760</v>
      </c>
      <c r="W19" s="33">
        <v>71.185462999999999</v>
      </c>
      <c r="X19" s="33">
        <v>75.071727999999993</v>
      </c>
      <c r="Y19" s="33">
        <v>38.667636999999999</v>
      </c>
      <c r="Z19" s="33">
        <v>48.193178000000003</v>
      </c>
      <c r="AA19" s="33">
        <v>48.815303</v>
      </c>
      <c r="AB19" s="34">
        <v>0</v>
      </c>
      <c r="AC19" s="34">
        <v>0</v>
      </c>
      <c r="AD19" s="34">
        <v>53.343000000000004</v>
      </c>
      <c r="AE19" s="34">
        <v>0</v>
      </c>
      <c r="AG19" s="29">
        <f t="shared" si="6"/>
        <v>11.407154999999999</v>
      </c>
      <c r="AH19" s="30">
        <f t="shared" si="7"/>
        <v>3.771859997118817E-2</v>
      </c>
      <c r="AI19" s="30">
        <f t="shared" si="8"/>
        <v>1.7427313799202964E-2</v>
      </c>
      <c r="AJ19" s="30">
        <f t="shared" si="9"/>
        <v>1.2813353770274082E-2</v>
      </c>
      <c r="AK19" s="30">
        <f t="shared" si="10"/>
        <v>2.0291286171985203E-2</v>
      </c>
      <c r="AL19" s="27">
        <f t="shared" si="11"/>
        <v>5621872</v>
      </c>
      <c r="AM19" s="30">
        <v>16</v>
      </c>
      <c r="AN19" s="31">
        <v>33017129</v>
      </c>
      <c r="AO19" s="31">
        <v>1031785.28125</v>
      </c>
      <c r="AP19" s="31">
        <v>17789.875</v>
      </c>
      <c r="AQ19" s="31">
        <v>12167632</v>
      </c>
      <c r="AR19" s="31">
        <v>4133456</v>
      </c>
      <c r="AS19" s="31">
        <v>1488416</v>
      </c>
      <c r="AT19" s="31">
        <v>6545760</v>
      </c>
      <c r="AU19" s="31">
        <v>71.185462999999999</v>
      </c>
      <c r="AV19" s="31">
        <v>75.071727999999993</v>
      </c>
      <c r="AW19" s="31">
        <v>38.668106000000002</v>
      </c>
      <c r="AX19" s="31">
        <v>48.191521999999999</v>
      </c>
      <c r="AY19" s="31">
        <v>48.812862000000003</v>
      </c>
      <c r="AZ19" s="31">
        <v>0</v>
      </c>
      <c r="BA19" s="31">
        <v>0</v>
      </c>
      <c r="BB19" s="31">
        <v>49.838999999999999</v>
      </c>
      <c r="BC19" s="31">
        <v>0</v>
      </c>
      <c r="BE19" s="35">
        <f t="shared" si="12"/>
        <v>1</v>
      </c>
      <c r="BF19" s="36">
        <f t="shared" si="13"/>
        <v>0</v>
      </c>
      <c r="BG19" s="36">
        <f t="shared" si="14"/>
        <v>0</v>
      </c>
      <c r="BH19" s="36"/>
      <c r="BJ19" s="35"/>
      <c r="BK19" s="35"/>
      <c r="BL19" s="35"/>
      <c r="BM19" s="35"/>
      <c r="BN19" s="35"/>
      <c r="BP19" s="35"/>
      <c r="BQ19" s="35"/>
      <c r="BR19" s="35"/>
      <c r="BS19" s="35"/>
      <c r="BT19" s="35"/>
    </row>
    <row r="20" spans="1:72" x14ac:dyDescent="0.2">
      <c r="A20" s="18"/>
      <c r="B20" s="18" t="s">
        <v>68</v>
      </c>
      <c r="C20" s="19" t="s">
        <v>230</v>
      </c>
      <c r="D20" s="18">
        <v>250602891</v>
      </c>
      <c r="E20" s="19">
        <v>10</v>
      </c>
      <c r="F20" s="19">
        <v>32</v>
      </c>
      <c r="G20" s="19">
        <v>50</v>
      </c>
      <c r="I20" s="20">
        <f t="shared" si="0"/>
        <v>1.9653499999999999</v>
      </c>
      <c r="J20" s="21">
        <f t="shared" si="1"/>
        <v>5.0191918975108713E-3</v>
      </c>
      <c r="K20" s="21">
        <f t="shared" si="2"/>
        <v>3.9034186560920402E-3</v>
      </c>
      <c r="L20" s="21">
        <f t="shared" si="3"/>
        <v>2.2616179635373801E-3</v>
      </c>
      <c r="M20" s="21">
        <f t="shared" si="4"/>
        <v>1.1157732414188311E-3</v>
      </c>
      <c r="N20" s="18">
        <f t="shared" si="5"/>
        <v>978208</v>
      </c>
      <c r="O20" s="21">
        <v>16</v>
      </c>
      <c r="P20" s="22">
        <v>30601694</v>
      </c>
      <c r="Q20" s="22">
        <v>956302.9375</v>
      </c>
      <c r="R20" s="22">
        <v>28916.46875</v>
      </c>
      <c r="S20" s="23">
        <v>1257824</v>
      </c>
      <c r="T20" s="23">
        <v>566768</v>
      </c>
      <c r="U20" s="23">
        <v>411440</v>
      </c>
      <c r="V20" s="23">
        <v>279616</v>
      </c>
      <c r="W20" s="24">
        <v>67.295671999999996</v>
      </c>
      <c r="X20" s="24">
        <v>69.019294000000002</v>
      </c>
      <c r="Y20" s="24">
        <v>30.055969000000001</v>
      </c>
      <c r="Z20" s="24">
        <v>39.455378000000003</v>
      </c>
      <c r="AA20" s="24">
        <v>38.054138000000002</v>
      </c>
      <c r="AB20" s="25">
        <v>0</v>
      </c>
      <c r="AC20" s="25">
        <v>0</v>
      </c>
      <c r="AD20" s="25">
        <v>50.194000000000003</v>
      </c>
      <c r="AE20" s="25">
        <v>0</v>
      </c>
      <c r="AG20" s="20">
        <f t="shared" si="6"/>
        <v>1.9653499999999999</v>
      </c>
      <c r="AH20" s="21">
        <f t="shared" si="7"/>
        <v>5.0191918975108713E-3</v>
      </c>
      <c r="AI20" s="21">
        <f t="shared" si="8"/>
        <v>3.9034186560920402E-3</v>
      </c>
      <c r="AJ20" s="21">
        <f t="shared" si="9"/>
        <v>2.2616179635373801E-3</v>
      </c>
      <c r="AK20" s="21">
        <f t="shared" si="10"/>
        <v>1.1157732414188311E-3</v>
      </c>
      <c r="AL20" s="18">
        <f t="shared" si="11"/>
        <v>978208</v>
      </c>
      <c r="AM20" s="21">
        <v>16</v>
      </c>
      <c r="AN20" s="22">
        <v>30601694</v>
      </c>
      <c r="AO20" s="22">
        <v>956302.9375</v>
      </c>
      <c r="AP20" s="22">
        <v>28916.46875</v>
      </c>
      <c r="AQ20" s="22">
        <v>1257824</v>
      </c>
      <c r="AR20" s="22">
        <v>566768</v>
      </c>
      <c r="AS20" s="22">
        <v>411440</v>
      </c>
      <c r="AT20" s="22">
        <v>279616</v>
      </c>
      <c r="AU20" s="22">
        <v>67.295671999999996</v>
      </c>
      <c r="AV20" s="22">
        <v>69.019294000000002</v>
      </c>
      <c r="AW20" s="22">
        <v>30.067784</v>
      </c>
      <c r="AX20" s="22">
        <v>39.458230999999998</v>
      </c>
      <c r="AY20" s="22">
        <v>38.062987999999997</v>
      </c>
      <c r="AZ20" s="22">
        <v>0</v>
      </c>
      <c r="BA20" s="22">
        <v>0</v>
      </c>
      <c r="BB20" s="22">
        <v>47.206000000000003</v>
      </c>
      <c r="BC20" s="22">
        <v>0</v>
      </c>
      <c r="BE20" s="50">
        <f t="shared" si="12"/>
        <v>1</v>
      </c>
      <c r="BF20" s="26">
        <f t="shared" si="13"/>
        <v>0</v>
      </c>
      <c r="BG20" s="26">
        <f t="shared" si="14"/>
        <v>0</v>
      </c>
      <c r="BH20" s="26">
        <f t="array" ref="BH20">AVERAGE(AL20:AL24/AQ20:AQ24) - AVERAGE(N20:N24/S20:S24)</f>
        <v>0</v>
      </c>
      <c r="BJ20" s="50">
        <f>IF( OR(ISBLANK(N20:N24),ISBLANK(AL20:AL24), ISBLANK(W20:W24),ISBLANK(AU20:AU24)), "·", bdRateExtend( N20:N24,W20:W24, AL20:AL24,AU20:AU24))</f>
        <v>0</v>
      </c>
      <c r="BK20" s="50">
        <f>IF( OR(ISBLANK(N20:N24),ISBLANK(AL20:AL24), ISBLANK(X20:X24),ISBLANK(AV20:AV24)), "·", bdRateExtend( N20:N24,X20:X24, AL20:AL24,AV20:AV24))</f>
        <v>0</v>
      </c>
      <c r="BL20" s="50">
        <f>IF( OR(ISBLANK(V20:V24),ISBLANK(AT20:AT24), ISBLANK(Y20:Y24),ISBLANK(AW20:AW24)), "·", bdRateExtend( V20:V24,Y20:Y24, AT20:AT24,AW20:AW24))</f>
        <v>-2.9729261276536523E-3</v>
      </c>
      <c r="BM20" s="50">
        <f>IF( OR(ISBLANK(V20:V24),ISBLANK(AT20:AT24), ISBLANK(Z20:Z24),ISBLANK(AX20:AX24)), "·", bdRateExtend( V20:V24,Z20:Z24, AT20:AT24,AX20:AX24))</f>
        <v>-1.9083119804436777E-2</v>
      </c>
      <c r="BN20" s="50">
        <f>IF( OR(ISBLANK(V20:V24),ISBLANK(AT20:AT24), ISBLANK(AA20:AA24),ISBLANK(AY20:AY24)), "·", bdRateExtend( V20:V24,AA20:AA24, AT20:AT24,AY20:AY24))</f>
        <v>-2.8462355524233041E-2</v>
      </c>
      <c r="BP20" s="50">
        <f>IF( OR(ISBLANK(S20:S24),ISBLANK(AQ20:AQ24), ISBLANK(W20:W24),ISBLANK(AU20:AU24)), "·", bdRateExtend( S20:S24,W20:W24, AQ20:AQ24,AU20:AU24))</f>
        <v>0</v>
      </c>
      <c r="BQ20" s="50">
        <f>IF( OR(ISBLANK(S20:S24),ISBLANK(AQ20:AQ24), ISBLANK(X20:X24),ISBLANK(AV20:AV24)), "·", bdRateExtend( S20:S24,X20:X24, AQ20:AQ24,AV20:AV24))</f>
        <v>0</v>
      </c>
      <c r="BR20" s="50">
        <f>IF( OR(ISBLANK(S20:S24),ISBLANK(AQ20:AQ24), ISBLANK(Y20:Y24),ISBLANK(AW20:AW24)), "·", bdRateExtend( S20:S24,Y20:Y24, AQ20:AQ24,AW20:AW24))</f>
        <v>-1.9560538567144903E-3</v>
      </c>
      <c r="BS20" s="50">
        <f>IF( OR(ISBLANK(S20:S24),ISBLANK(AQ20:AQ24), ISBLANK(Z20:Z24),ISBLANK(AX20:AX24)), "·", bdRateExtend( S20:S24,Z20:Z24, AQ20:AQ24,AX20:AX24))</f>
        <v>-1.479323700707158E-2</v>
      </c>
      <c r="BT20" s="50">
        <f>IF( OR(ISBLANK(S20:S24),ISBLANK(AQ20:AQ24), ISBLANK(AA20:AA24),ISBLANK(AY20:AY24)), "·", bdRateExtend( S20:S24,AA20:AA24, AQ20:AQ24,AY20:AY24))</f>
        <v>-2.1609744416025589E-2</v>
      </c>
    </row>
    <row r="21" spans="1:72" outlineLevel="1" x14ac:dyDescent="0.2">
      <c r="A21" s="54"/>
      <c r="B21" s="54" t="s">
        <v>68</v>
      </c>
      <c r="C21" s="10" t="s">
        <v>231</v>
      </c>
      <c r="D21" s="54">
        <v>250602891</v>
      </c>
      <c r="E21" s="10">
        <v>10</v>
      </c>
      <c r="F21" s="10">
        <v>32</v>
      </c>
      <c r="G21" s="10">
        <v>50</v>
      </c>
      <c r="I21" s="11">
        <f t="shared" si="0"/>
        <v>2.6317499999999998</v>
      </c>
      <c r="J21" s="12">
        <f t="shared" si="1"/>
        <v>6.7210717054337578E-3</v>
      </c>
      <c r="K21" s="12">
        <f t="shared" si="2"/>
        <v>4.6400741641883132E-3</v>
      </c>
      <c r="L21" s="12">
        <f t="shared" si="3"/>
        <v>2.9982734716336532E-3</v>
      </c>
      <c r="M21" s="12">
        <f t="shared" si="4"/>
        <v>2.0809975412454441E-3</v>
      </c>
      <c r="N21" s="54">
        <f t="shared" si="5"/>
        <v>1162816</v>
      </c>
      <c r="O21" s="12">
        <v>16</v>
      </c>
      <c r="P21" s="13">
        <v>31545436</v>
      </c>
      <c r="Q21" s="13">
        <v>985794.875</v>
      </c>
      <c r="R21" s="13">
        <v>33037.84375</v>
      </c>
      <c r="S21" s="14">
        <v>1684320</v>
      </c>
      <c r="T21" s="14">
        <v>751376</v>
      </c>
      <c r="U21" s="14">
        <v>411440</v>
      </c>
      <c r="V21" s="14">
        <v>521504</v>
      </c>
      <c r="W21" s="15">
        <v>68.839996999999997</v>
      </c>
      <c r="X21" s="15">
        <v>70.960471999999996</v>
      </c>
      <c r="Y21" s="15">
        <v>31.511980999999999</v>
      </c>
      <c r="Z21" s="15">
        <v>40.439912</v>
      </c>
      <c r="AA21" s="15">
        <v>39.227077999999999</v>
      </c>
      <c r="AB21" s="16">
        <v>0</v>
      </c>
      <c r="AC21" s="16">
        <v>0</v>
      </c>
      <c r="AD21" s="16">
        <v>52.591999999999999</v>
      </c>
      <c r="AE21" s="16">
        <v>0</v>
      </c>
      <c r="AG21" s="11">
        <f t="shared" si="6"/>
        <v>2.6317499999999998</v>
      </c>
      <c r="AH21" s="12">
        <f t="shared" si="7"/>
        <v>6.7210717054337578E-3</v>
      </c>
      <c r="AI21" s="12">
        <f t="shared" si="8"/>
        <v>4.6400741641883132E-3</v>
      </c>
      <c r="AJ21" s="12">
        <f t="shared" si="9"/>
        <v>2.9982734716336532E-3</v>
      </c>
      <c r="AK21" s="12">
        <f t="shared" si="10"/>
        <v>2.0809975412454441E-3</v>
      </c>
      <c r="AL21" s="54">
        <f t="shared" si="11"/>
        <v>1162816</v>
      </c>
      <c r="AM21" s="12">
        <v>16</v>
      </c>
      <c r="AN21" s="13">
        <v>31545436</v>
      </c>
      <c r="AO21" s="13">
        <v>985794.875</v>
      </c>
      <c r="AP21" s="13">
        <v>33037.84375</v>
      </c>
      <c r="AQ21" s="13">
        <v>1684320</v>
      </c>
      <c r="AR21" s="13">
        <v>751376</v>
      </c>
      <c r="AS21" s="13">
        <v>411440</v>
      </c>
      <c r="AT21" s="13">
        <v>521504</v>
      </c>
      <c r="AU21" s="13">
        <v>68.839996999999997</v>
      </c>
      <c r="AV21" s="13">
        <v>70.960471999999996</v>
      </c>
      <c r="AW21" s="13">
        <v>31.523781</v>
      </c>
      <c r="AX21" s="13">
        <v>40.447606</v>
      </c>
      <c r="AY21" s="13">
        <v>39.239375000000003</v>
      </c>
      <c r="AZ21" s="13">
        <v>0</v>
      </c>
      <c r="BA21" s="13">
        <v>0</v>
      </c>
      <c r="BB21" s="13">
        <v>49.88</v>
      </c>
      <c r="BC21" s="13">
        <v>0</v>
      </c>
      <c r="BE21" s="51">
        <f t="shared" si="12"/>
        <v>1</v>
      </c>
      <c r="BF21" s="17">
        <f t="shared" si="13"/>
        <v>0</v>
      </c>
      <c r="BG21" s="17">
        <f t="shared" si="14"/>
        <v>0</v>
      </c>
      <c r="BH21" s="17"/>
      <c r="BJ21" s="51"/>
      <c r="BK21" s="51"/>
      <c r="BL21" s="51"/>
      <c r="BM21" s="51"/>
      <c r="BN21" s="51"/>
      <c r="BP21" s="51"/>
      <c r="BQ21" s="51"/>
      <c r="BR21" s="51"/>
      <c r="BS21" s="51"/>
      <c r="BT21" s="51"/>
    </row>
    <row r="22" spans="1:72" outlineLevel="1" x14ac:dyDescent="0.2">
      <c r="A22" s="18"/>
      <c r="B22" s="18" t="s">
        <v>68</v>
      </c>
      <c r="C22" s="19" t="s">
        <v>232</v>
      </c>
      <c r="D22" s="18">
        <v>250602891</v>
      </c>
      <c r="E22" s="19">
        <v>10</v>
      </c>
      <c r="F22" s="19">
        <v>32</v>
      </c>
      <c r="G22" s="19">
        <v>50</v>
      </c>
      <c r="I22" s="20">
        <f t="shared" si="0"/>
        <v>4.0655999999999999</v>
      </c>
      <c r="J22" s="21">
        <f t="shared" si="1"/>
        <v>1.03828969794287E-2</v>
      </c>
      <c r="K22" s="21">
        <f t="shared" si="2"/>
        <v>5.5807815880304429E-3</v>
      </c>
      <c r="L22" s="21">
        <f t="shared" si="3"/>
        <v>3.9389808954757828E-3</v>
      </c>
      <c r="M22" s="21">
        <f t="shared" si="4"/>
        <v>4.8021153913982585E-3</v>
      </c>
      <c r="N22" s="18">
        <f t="shared" si="5"/>
        <v>1398560</v>
      </c>
      <c r="O22" s="21">
        <v>16</v>
      </c>
      <c r="P22" s="22">
        <v>32600579</v>
      </c>
      <c r="Q22" s="22">
        <v>1018768.09375</v>
      </c>
      <c r="R22" s="22">
        <v>35285.59375</v>
      </c>
      <c r="S22" s="23">
        <v>2601984</v>
      </c>
      <c r="T22" s="23">
        <v>987120</v>
      </c>
      <c r="U22" s="23">
        <v>411440</v>
      </c>
      <c r="V22" s="23">
        <v>1203424</v>
      </c>
      <c r="W22" s="24">
        <v>70.051181</v>
      </c>
      <c r="X22" s="24">
        <v>72.501681000000005</v>
      </c>
      <c r="Y22" s="24">
        <v>33.310659000000001</v>
      </c>
      <c r="Z22" s="24">
        <v>41.682622000000002</v>
      </c>
      <c r="AA22" s="24">
        <v>40.405306000000003</v>
      </c>
      <c r="AB22" s="25">
        <v>0</v>
      </c>
      <c r="AC22" s="25">
        <v>0</v>
      </c>
      <c r="AD22" s="25">
        <v>49.145000000000003</v>
      </c>
      <c r="AE22" s="25">
        <v>0</v>
      </c>
      <c r="AG22" s="20">
        <f t="shared" si="6"/>
        <v>4.0655999999999999</v>
      </c>
      <c r="AH22" s="21">
        <f t="shared" si="7"/>
        <v>1.03828969794287E-2</v>
      </c>
      <c r="AI22" s="21">
        <f t="shared" si="8"/>
        <v>5.5807815880304429E-3</v>
      </c>
      <c r="AJ22" s="21">
        <f t="shared" si="9"/>
        <v>3.9389808954757828E-3</v>
      </c>
      <c r="AK22" s="21">
        <f t="shared" si="10"/>
        <v>4.8021153913982585E-3</v>
      </c>
      <c r="AL22" s="18">
        <f t="shared" si="11"/>
        <v>1398560</v>
      </c>
      <c r="AM22" s="21">
        <v>16</v>
      </c>
      <c r="AN22" s="22">
        <v>32600579</v>
      </c>
      <c r="AO22" s="22">
        <v>1018768.09375</v>
      </c>
      <c r="AP22" s="22">
        <v>35285.59375</v>
      </c>
      <c r="AQ22" s="22">
        <v>2601984</v>
      </c>
      <c r="AR22" s="22">
        <v>987120</v>
      </c>
      <c r="AS22" s="22">
        <v>411440</v>
      </c>
      <c r="AT22" s="22">
        <v>1203424</v>
      </c>
      <c r="AU22" s="22">
        <v>70.051181</v>
      </c>
      <c r="AV22" s="22">
        <v>72.501681000000005</v>
      </c>
      <c r="AW22" s="22">
        <v>33.332825</v>
      </c>
      <c r="AX22" s="22">
        <v>41.705168999999998</v>
      </c>
      <c r="AY22" s="22">
        <v>40.441816000000003</v>
      </c>
      <c r="AZ22" s="22">
        <v>0</v>
      </c>
      <c r="BA22" s="22">
        <v>0</v>
      </c>
      <c r="BB22" s="22">
        <v>43.634999999999998</v>
      </c>
      <c r="BC22" s="22">
        <v>0</v>
      </c>
      <c r="BE22" s="50">
        <f t="shared" si="12"/>
        <v>1</v>
      </c>
      <c r="BF22" s="26">
        <f t="shared" si="13"/>
        <v>0</v>
      </c>
      <c r="BG22" s="26">
        <f t="shared" si="14"/>
        <v>0</v>
      </c>
      <c r="BH22" s="26"/>
      <c r="BJ22" s="50"/>
      <c r="BK22" s="50"/>
      <c r="BL22" s="50"/>
      <c r="BM22" s="50"/>
      <c r="BN22" s="50"/>
      <c r="BP22" s="50"/>
      <c r="BQ22" s="50"/>
      <c r="BR22" s="50"/>
      <c r="BS22" s="50"/>
      <c r="BT22" s="50"/>
    </row>
    <row r="23" spans="1:72" outlineLevel="1" x14ac:dyDescent="0.2">
      <c r="A23" s="54"/>
      <c r="B23" s="54" t="s">
        <v>68</v>
      </c>
      <c r="C23" s="10" t="s">
        <v>233</v>
      </c>
      <c r="D23" s="54">
        <v>250602891</v>
      </c>
      <c r="E23" s="10">
        <v>10</v>
      </c>
      <c r="F23" s="10">
        <v>32</v>
      </c>
      <c r="G23" s="10">
        <v>50</v>
      </c>
      <c r="I23" s="11">
        <f t="shared" si="0"/>
        <v>7.6336500000000003</v>
      </c>
      <c r="J23" s="12">
        <f t="shared" si="1"/>
        <v>1.94951302457241E-2</v>
      </c>
      <c r="K23" s="12">
        <f t="shared" si="2"/>
        <v>8.2531529933547332E-3</v>
      </c>
      <c r="L23" s="12">
        <f t="shared" si="3"/>
        <v>6.6113523008000732E-3</v>
      </c>
      <c r="M23" s="12">
        <f t="shared" si="4"/>
        <v>1.1241977252369367E-2</v>
      </c>
      <c r="N23" s="54">
        <f t="shared" si="5"/>
        <v>2068264</v>
      </c>
      <c r="O23" s="12">
        <v>16</v>
      </c>
      <c r="P23" s="13">
        <v>32844561</v>
      </c>
      <c r="Q23" s="13">
        <v>1026392.53125</v>
      </c>
      <c r="R23" s="13">
        <v>37184.71875</v>
      </c>
      <c r="S23" s="14">
        <v>4885536</v>
      </c>
      <c r="T23" s="14">
        <v>1656824</v>
      </c>
      <c r="U23" s="14">
        <v>411440</v>
      </c>
      <c r="V23" s="14">
        <v>2817272</v>
      </c>
      <c r="W23" s="15">
        <v>71.043290999999996</v>
      </c>
      <c r="X23" s="15">
        <v>73.804866000000004</v>
      </c>
      <c r="Y23" s="15">
        <v>35.156069000000002</v>
      </c>
      <c r="Z23" s="15">
        <v>42.689112999999999</v>
      </c>
      <c r="AA23" s="15">
        <v>41.408472000000003</v>
      </c>
      <c r="AB23" s="16">
        <v>0</v>
      </c>
      <c r="AC23" s="16">
        <v>0</v>
      </c>
      <c r="AD23" s="16">
        <v>51.301000000000002</v>
      </c>
      <c r="AE23" s="16">
        <v>0</v>
      </c>
      <c r="AG23" s="11">
        <f t="shared" si="6"/>
        <v>7.6336500000000003</v>
      </c>
      <c r="AH23" s="12">
        <f t="shared" si="7"/>
        <v>1.94951302457241E-2</v>
      </c>
      <c r="AI23" s="12">
        <f t="shared" si="8"/>
        <v>8.2531529933547332E-3</v>
      </c>
      <c r="AJ23" s="12">
        <f t="shared" si="9"/>
        <v>6.6113523008000732E-3</v>
      </c>
      <c r="AK23" s="12">
        <f t="shared" si="10"/>
        <v>1.1241977252369367E-2</v>
      </c>
      <c r="AL23" s="54">
        <f t="shared" si="11"/>
        <v>2068264</v>
      </c>
      <c r="AM23" s="12">
        <v>16</v>
      </c>
      <c r="AN23" s="13">
        <v>32844561</v>
      </c>
      <c r="AO23" s="13">
        <v>1026392.53125</v>
      </c>
      <c r="AP23" s="13">
        <v>37184.71875</v>
      </c>
      <c r="AQ23" s="13">
        <v>4885536</v>
      </c>
      <c r="AR23" s="13">
        <v>1656824</v>
      </c>
      <c r="AS23" s="13">
        <v>411440</v>
      </c>
      <c r="AT23" s="13">
        <v>2817272</v>
      </c>
      <c r="AU23" s="13">
        <v>71.043290999999996</v>
      </c>
      <c r="AV23" s="13">
        <v>73.804866000000004</v>
      </c>
      <c r="AW23" s="13">
        <v>35.099684000000003</v>
      </c>
      <c r="AX23" s="13">
        <v>42.718547000000001</v>
      </c>
      <c r="AY23" s="13">
        <v>41.453816000000003</v>
      </c>
      <c r="AZ23" s="13">
        <v>0</v>
      </c>
      <c r="BA23" s="13">
        <v>0</v>
      </c>
      <c r="BB23" s="13">
        <v>45.067</v>
      </c>
      <c r="BC23" s="13">
        <v>0</v>
      </c>
      <c r="BE23" s="51">
        <f t="shared" si="12"/>
        <v>1</v>
      </c>
      <c r="BF23" s="17">
        <f t="shared" si="13"/>
        <v>0</v>
      </c>
      <c r="BG23" s="17">
        <f t="shared" si="14"/>
        <v>0</v>
      </c>
      <c r="BH23" s="17"/>
      <c r="BJ23" s="51"/>
      <c r="BK23" s="51"/>
      <c r="BL23" s="51"/>
      <c r="BM23" s="51"/>
      <c r="BN23" s="51"/>
      <c r="BP23" s="51"/>
      <c r="BQ23" s="51"/>
      <c r="BR23" s="51"/>
      <c r="BS23" s="51"/>
      <c r="BT23" s="51"/>
    </row>
    <row r="24" spans="1:72" outlineLevel="1" x14ac:dyDescent="0.2">
      <c r="A24" s="37"/>
      <c r="B24" s="37" t="s">
        <v>68</v>
      </c>
      <c r="C24" s="38" t="s">
        <v>234</v>
      </c>
      <c r="D24" s="37">
        <v>250602891</v>
      </c>
      <c r="E24" s="38">
        <v>10</v>
      </c>
      <c r="F24" s="38">
        <v>32</v>
      </c>
      <c r="G24" s="38">
        <v>50</v>
      </c>
      <c r="I24" s="39">
        <f t="shared" si="0"/>
        <v>15.627675</v>
      </c>
      <c r="J24" s="40">
        <f t="shared" si="1"/>
        <v>3.9910601031334474E-2</v>
      </c>
      <c r="K24" s="40">
        <f t="shared" si="2"/>
        <v>1.4310545204364781E-2</v>
      </c>
      <c r="L24" s="40">
        <f t="shared" si="3"/>
        <v>1.0695295610137235E-2</v>
      </c>
      <c r="M24" s="40">
        <f t="shared" si="4"/>
        <v>2.5600055826969691E-2</v>
      </c>
      <c r="N24" s="37">
        <f t="shared" si="5"/>
        <v>3586264</v>
      </c>
      <c r="O24" s="40">
        <v>16</v>
      </c>
      <c r="P24" s="41">
        <v>31330577</v>
      </c>
      <c r="Q24" s="41">
        <v>979080.53125</v>
      </c>
      <c r="R24" s="41">
        <v>17954.65625</v>
      </c>
      <c r="S24" s="42">
        <v>10001712</v>
      </c>
      <c r="T24" s="42">
        <v>2680272</v>
      </c>
      <c r="U24" s="42">
        <v>905992</v>
      </c>
      <c r="V24" s="42">
        <v>6415448</v>
      </c>
      <c r="W24" s="43">
        <v>71.781302999999994</v>
      </c>
      <c r="X24" s="43">
        <v>75.790836999999996</v>
      </c>
      <c r="Y24" s="43">
        <v>36.237465999999998</v>
      </c>
      <c r="Z24" s="43">
        <v>43.457822</v>
      </c>
      <c r="AA24" s="43">
        <v>41.899444000000003</v>
      </c>
      <c r="AB24" s="44">
        <v>0</v>
      </c>
      <c r="AC24" s="44">
        <v>0</v>
      </c>
      <c r="AD24" s="44">
        <v>48.981000000000002</v>
      </c>
      <c r="AE24" s="44">
        <v>0</v>
      </c>
      <c r="AG24" s="39">
        <f t="shared" si="6"/>
        <v>15.627675</v>
      </c>
      <c r="AH24" s="40">
        <f t="shared" si="7"/>
        <v>3.9910601031334474E-2</v>
      </c>
      <c r="AI24" s="40">
        <f t="shared" si="8"/>
        <v>1.4310545204364781E-2</v>
      </c>
      <c r="AJ24" s="40">
        <f t="shared" si="9"/>
        <v>1.0695295610137235E-2</v>
      </c>
      <c r="AK24" s="40">
        <f t="shared" si="10"/>
        <v>2.5600055826969691E-2</v>
      </c>
      <c r="AL24" s="37">
        <f t="shared" si="11"/>
        <v>3586264</v>
      </c>
      <c r="AM24" s="40">
        <v>16</v>
      </c>
      <c r="AN24" s="41">
        <v>31330577</v>
      </c>
      <c r="AO24" s="41">
        <v>979080.53125</v>
      </c>
      <c r="AP24" s="41">
        <v>17954.65625</v>
      </c>
      <c r="AQ24" s="41">
        <v>10001712</v>
      </c>
      <c r="AR24" s="41">
        <v>2680272</v>
      </c>
      <c r="AS24" s="41">
        <v>905992</v>
      </c>
      <c r="AT24" s="41">
        <v>6415448</v>
      </c>
      <c r="AU24" s="41">
        <v>71.781302999999994</v>
      </c>
      <c r="AV24" s="41">
        <v>75.790836999999996</v>
      </c>
      <c r="AW24" s="41">
        <v>36.383459000000002</v>
      </c>
      <c r="AX24" s="41">
        <v>43.543584000000003</v>
      </c>
      <c r="AY24" s="41">
        <v>42.013630999999997</v>
      </c>
      <c r="AZ24" s="41">
        <v>0</v>
      </c>
      <c r="BA24" s="41">
        <v>0</v>
      </c>
      <c r="BB24" s="41">
        <v>44.432000000000002</v>
      </c>
      <c r="BC24" s="41">
        <v>0</v>
      </c>
      <c r="BE24" s="45">
        <f t="shared" si="12"/>
        <v>1</v>
      </c>
      <c r="BF24" s="46">
        <f t="shared" si="13"/>
        <v>0</v>
      </c>
      <c r="BG24" s="46">
        <f t="shared" si="14"/>
        <v>0</v>
      </c>
      <c r="BH24" s="46"/>
      <c r="BJ24" s="45"/>
      <c r="BK24" s="45"/>
      <c r="BL24" s="45"/>
      <c r="BM24" s="45"/>
      <c r="BN24" s="45"/>
      <c r="BP24" s="45"/>
      <c r="BQ24" s="45"/>
      <c r="BR24" s="45"/>
      <c r="BS24" s="45"/>
      <c r="BT24" s="45"/>
    </row>
    <row r="25" spans="1:72" x14ac:dyDescent="0.2">
      <c r="A25" s="54" t="s">
        <v>235</v>
      </c>
      <c r="B25" s="54" t="s">
        <v>71</v>
      </c>
      <c r="C25" s="10" t="s">
        <v>230</v>
      </c>
      <c r="D25" s="54">
        <v>250294582</v>
      </c>
      <c r="E25" s="10">
        <v>10</v>
      </c>
      <c r="F25" s="10">
        <v>32</v>
      </c>
      <c r="G25" s="10">
        <v>30</v>
      </c>
      <c r="I25" s="11">
        <f t="shared" si="0"/>
        <v>2.04867</v>
      </c>
      <c r="J25" s="12">
        <f t="shared" si="1"/>
        <v>8.7307043665851309E-3</v>
      </c>
      <c r="K25" s="12">
        <f t="shared" si="2"/>
        <v>5.6715250831917731E-3</v>
      </c>
      <c r="L25" s="12">
        <f t="shared" si="3"/>
        <v>3.5055972565958301E-3</v>
      </c>
      <c r="M25" s="12">
        <f t="shared" si="4"/>
        <v>3.0591792833933578E-3</v>
      </c>
      <c r="N25" s="54">
        <f t="shared" si="5"/>
        <v>1419552</v>
      </c>
      <c r="O25" s="12">
        <v>16</v>
      </c>
      <c r="P25" s="13">
        <v>23412684</v>
      </c>
      <c r="Q25" s="13">
        <v>731646.375</v>
      </c>
      <c r="R25" s="13">
        <v>14608.71875</v>
      </c>
      <c r="S25" s="14">
        <v>2185248</v>
      </c>
      <c r="T25" s="14">
        <v>877432</v>
      </c>
      <c r="U25" s="14">
        <v>542120</v>
      </c>
      <c r="V25" s="14">
        <v>765696</v>
      </c>
      <c r="W25" s="15">
        <v>66.251328000000001</v>
      </c>
      <c r="X25" s="15">
        <v>68.010480999999999</v>
      </c>
      <c r="Y25" s="15">
        <v>25.910527999999999</v>
      </c>
      <c r="Z25" s="15">
        <v>32.464300000000001</v>
      </c>
      <c r="AA25" s="15">
        <v>31.666947</v>
      </c>
      <c r="AB25" s="16">
        <v>0</v>
      </c>
      <c r="AC25" s="16">
        <v>0</v>
      </c>
      <c r="AD25" s="16">
        <v>45.308999999999997</v>
      </c>
      <c r="AE25" s="16">
        <v>0</v>
      </c>
      <c r="AG25" s="11">
        <f t="shared" si="6"/>
        <v>2.04867</v>
      </c>
      <c r="AH25" s="12">
        <f t="shared" si="7"/>
        <v>8.7307043665851309E-3</v>
      </c>
      <c r="AI25" s="12">
        <f t="shared" si="8"/>
        <v>5.6715250831917731E-3</v>
      </c>
      <c r="AJ25" s="12">
        <f t="shared" si="9"/>
        <v>3.5055972565958301E-3</v>
      </c>
      <c r="AK25" s="12">
        <f t="shared" si="10"/>
        <v>3.0591792833933578E-3</v>
      </c>
      <c r="AL25" s="54">
        <f t="shared" si="11"/>
        <v>1419552</v>
      </c>
      <c r="AM25" s="12">
        <v>16</v>
      </c>
      <c r="AN25" s="13">
        <v>23412684</v>
      </c>
      <c r="AO25" s="13">
        <v>731646.375</v>
      </c>
      <c r="AP25" s="13">
        <v>14608.71875</v>
      </c>
      <c r="AQ25" s="13">
        <v>2185248</v>
      </c>
      <c r="AR25" s="13">
        <v>877432</v>
      </c>
      <c r="AS25" s="13">
        <v>542120</v>
      </c>
      <c r="AT25" s="13">
        <v>765696</v>
      </c>
      <c r="AU25" s="13">
        <v>66.251328000000001</v>
      </c>
      <c r="AV25" s="13">
        <v>68.010480999999999</v>
      </c>
      <c r="AW25" s="13">
        <v>25.909058999999999</v>
      </c>
      <c r="AX25" s="13">
        <v>32.462387</v>
      </c>
      <c r="AY25" s="13">
        <v>31.665509</v>
      </c>
      <c r="AZ25" s="13">
        <v>0</v>
      </c>
      <c r="BA25" s="13">
        <v>0</v>
      </c>
      <c r="BB25" s="13">
        <v>39.466000000000001</v>
      </c>
      <c r="BC25" s="13">
        <v>0</v>
      </c>
      <c r="BE25" s="51">
        <f t="shared" si="12"/>
        <v>1</v>
      </c>
      <c r="BF25" s="17">
        <f t="shared" si="13"/>
        <v>0</v>
      </c>
      <c r="BG25" s="17">
        <f t="shared" si="14"/>
        <v>0</v>
      </c>
      <c r="BH25" s="17">
        <f t="array" ref="BH25">AVERAGE(AL25:AL29/AQ25:AQ29) - AVERAGE(N25:N29/S25:S29)</f>
        <v>0</v>
      </c>
      <c r="BJ25" s="51">
        <f>IF( OR(ISBLANK(N25:N29),ISBLANK(AL25:AL29), ISBLANK(W25:W29),ISBLANK(AU25:AU29)), "·", bdRateExtend( N25:N29,W25:W29, AL25:AL29,AU25:AU29))</f>
        <v>0</v>
      </c>
      <c r="BK25" s="51">
        <f>IF( OR(ISBLANK(N25:N29),ISBLANK(AL25:AL29), ISBLANK(X25:X29),ISBLANK(AV25:AV29)), "·", bdRateExtend( N25:N29,X25:X29, AL25:AL29,AV25:AV29))</f>
        <v>0</v>
      </c>
      <c r="BL25" s="51">
        <f>IF( OR(ISBLANK(V25:V29),ISBLANK(AT25:AT29), ISBLANK(Y25:Y29),ISBLANK(AW25:AW29)), "·", bdRateExtend( V25:V29,Y25:Y29, AT25:AT29,AW25:AW29))</f>
        <v>4.1345227730804623E-4</v>
      </c>
      <c r="BM25" s="51">
        <f>IF( OR(ISBLANK(V25:V29),ISBLANK(AT25:AT29), ISBLANK(Z25:Z29),ISBLANK(AX25:AX29)), "·", bdRateExtend( V25:V29,Z25:Z29, AT25:AT29,AX25:AX29))</f>
        <v>7.1794595286522878E-4</v>
      </c>
      <c r="BN25" s="51">
        <f>IF( OR(ISBLANK(V25:V29),ISBLANK(AT25:AT29), ISBLANK(AA25:AA29),ISBLANK(AY25:AY29)), "·", bdRateExtend( V25:V29,AA25:AA29, AT25:AT29,AY25:AY29))</f>
        <v>5.3116915594908498E-4</v>
      </c>
      <c r="BP25" s="51">
        <f>IF( OR(ISBLANK(S25:S29),ISBLANK(AQ25:AQ29), ISBLANK(W25:W29),ISBLANK(AU25:AU29)), "·", bdRateExtend( S25:S29,W25:W29, AQ25:AQ29,AU25:AU29))</f>
        <v>0</v>
      </c>
      <c r="BQ25" s="51">
        <f>IF( OR(ISBLANK(S25:S29),ISBLANK(AQ25:AQ29), ISBLANK(X25:X29),ISBLANK(AV25:AV29)), "·", bdRateExtend( S25:S29,X25:X29, AQ25:AQ29,AV25:AV29))</f>
        <v>0</v>
      </c>
      <c r="BR25" s="51">
        <f>IF( OR(ISBLANK(S25:S29),ISBLANK(AQ25:AQ29), ISBLANK(Y25:Y29),ISBLANK(AW25:AW29)), "·", bdRateExtend( S25:S29,Y25:Y29, AQ25:AQ29,AW25:AW29))</f>
        <v>3.0173854882153961E-4</v>
      </c>
      <c r="BS25" s="51">
        <f>IF( OR(ISBLANK(S25:S29),ISBLANK(AQ25:AQ29), ISBLANK(Z25:Z29),ISBLANK(AX25:AX29)), "·", bdRateExtend( S25:S29,Z25:Z29, AQ25:AQ29,AX25:AX29))</f>
        <v>5.2034502461939525E-4</v>
      </c>
      <c r="BT25" s="51">
        <f>IF( OR(ISBLANK(S25:S29),ISBLANK(AQ25:AQ29), ISBLANK(AA25:AA29),ISBLANK(AY25:AY29)), "·", bdRateExtend( S25:S29,AA25:AA29, AQ25:AQ29,AY25:AY29))</f>
        <v>3.6995625196722948E-4</v>
      </c>
    </row>
    <row r="26" spans="1:72" outlineLevel="1" x14ac:dyDescent="0.2">
      <c r="A26" s="18"/>
      <c r="B26" s="18" t="s">
        <v>71</v>
      </c>
      <c r="C26" s="19" t="s">
        <v>231</v>
      </c>
      <c r="D26" s="18">
        <v>250294582</v>
      </c>
      <c r="E26" s="19">
        <v>10</v>
      </c>
      <c r="F26" s="19">
        <v>32</v>
      </c>
      <c r="G26" s="19">
        <v>30</v>
      </c>
      <c r="I26" s="20">
        <f t="shared" si="0"/>
        <v>3.1635525000000002</v>
      </c>
      <c r="J26" s="21">
        <f t="shared" si="1"/>
        <v>1.3481937855131038E-2</v>
      </c>
      <c r="K26" s="21">
        <f t="shared" si="2"/>
        <v>7.14342270501085E-3</v>
      </c>
      <c r="L26" s="21">
        <f t="shared" si="3"/>
        <v>4.9774948784149075E-3</v>
      </c>
      <c r="M26" s="21">
        <f t="shared" si="4"/>
        <v>6.3385151501201891E-3</v>
      </c>
      <c r="N26" s="18">
        <f t="shared" si="5"/>
        <v>1787960</v>
      </c>
      <c r="O26" s="21">
        <v>16</v>
      </c>
      <c r="P26" s="22">
        <v>24648707</v>
      </c>
      <c r="Q26" s="22">
        <v>770272.09375</v>
      </c>
      <c r="R26" s="22">
        <v>17797.59375</v>
      </c>
      <c r="S26" s="23">
        <v>3374456</v>
      </c>
      <c r="T26" s="23">
        <v>1245840</v>
      </c>
      <c r="U26" s="23">
        <v>542120</v>
      </c>
      <c r="V26" s="23">
        <v>1586496</v>
      </c>
      <c r="W26" s="24">
        <v>68.002734000000004</v>
      </c>
      <c r="X26" s="24">
        <v>70.010191000000006</v>
      </c>
      <c r="Y26" s="24">
        <v>27.926349999999999</v>
      </c>
      <c r="Z26" s="24">
        <v>33.678341000000003</v>
      </c>
      <c r="AA26" s="24">
        <v>33.052799999999998</v>
      </c>
      <c r="AB26" s="25">
        <v>0</v>
      </c>
      <c r="AC26" s="25">
        <v>0</v>
      </c>
      <c r="AD26" s="25">
        <v>58.884</v>
      </c>
      <c r="AE26" s="25">
        <v>0</v>
      </c>
      <c r="AG26" s="20">
        <f t="shared" si="6"/>
        <v>3.1635525000000002</v>
      </c>
      <c r="AH26" s="21">
        <f t="shared" si="7"/>
        <v>1.3481937855131038E-2</v>
      </c>
      <c r="AI26" s="21">
        <f t="shared" si="8"/>
        <v>7.14342270501085E-3</v>
      </c>
      <c r="AJ26" s="21">
        <f t="shared" si="9"/>
        <v>4.9774948784149075E-3</v>
      </c>
      <c r="AK26" s="21">
        <f t="shared" si="10"/>
        <v>6.3385151501201891E-3</v>
      </c>
      <c r="AL26" s="18">
        <f t="shared" si="11"/>
        <v>1787960</v>
      </c>
      <c r="AM26" s="21">
        <v>16</v>
      </c>
      <c r="AN26" s="22">
        <v>24648707</v>
      </c>
      <c r="AO26" s="22">
        <v>770272.09375</v>
      </c>
      <c r="AP26" s="22">
        <v>17797.59375</v>
      </c>
      <c r="AQ26" s="22">
        <v>3374456</v>
      </c>
      <c r="AR26" s="22">
        <v>1245840</v>
      </c>
      <c r="AS26" s="22">
        <v>542120</v>
      </c>
      <c r="AT26" s="22">
        <v>1586496</v>
      </c>
      <c r="AU26" s="22">
        <v>68.002734000000004</v>
      </c>
      <c r="AV26" s="22">
        <v>70.010191000000006</v>
      </c>
      <c r="AW26" s="22">
        <v>27.925044</v>
      </c>
      <c r="AX26" s="22">
        <v>33.676900000000003</v>
      </c>
      <c r="AY26" s="22">
        <v>33.051383999999999</v>
      </c>
      <c r="AZ26" s="22">
        <v>0</v>
      </c>
      <c r="BA26" s="22">
        <v>0</v>
      </c>
      <c r="BB26" s="22">
        <v>49.72</v>
      </c>
      <c r="BC26" s="22">
        <v>0</v>
      </c>
      <c r="BE26" s="50">
        <f t="shared" si="12"/>
        <v>1</v>
      </c>
      <c r="BF26" s="26">
        <f t="shared" si="13"/>
        <v>0</v>
      </c>
      <c r="BG26" s="26">
        <f t="shared" si="14"/>
        <v>0</v>
      </c>
      <c r="BH26" s="26"/>
      <c r="BJ26" s="50"/>
      <c r="BK26" s="50"/>
      <c r="BL26" s="50"/>
      <c r="BM26" s="50"/>
      <c r="BN26" s="50"/>
      <c r="BP26" s="50"/>
      <c r="BQ26" s="50"/>
      <c r="BR26" s="50"/>
      <c r="BS26" s="50"/>
      <c r="BT26" s="50"/>
    </row>
    <row r="27" spans="1:72" outlineLevel="1" x14ac:dyDescent="0.2">
      <c r="A27" s="54"/>
      <c r="B27" s="54" t="s">
        <v>71</v>
      </c>
      <c r="C27" s="10" t="s">
        <v>232</v>
      </c>
      <c r="D27" s="54">
        <v>250294582</v>
      </c>
      <c r="E27" s="10">
        <v>10</v>
      </c>
      <c r="F27" s="10">
        <v>32</v>
      </c>
      <c r="G27" s="10">
        <v>30</v>
      </c>
      <c r="I27" s="11">
        <f t="shared" si="0"/>
        <v>5.3401125</v>
      </c>
      <c r="J27" s="12">
        <f t="shared" si="1"/>
        <v>2.2757664007285624E-2</v>
      </c>
      <c r="K27" s="12">
        <f t="shared" si="2"/>
        <v>9.3059944861291488E-3</v>
      </c>
      <c r="L27" s="12">
        <f t="shared" si="3"/>
        <v>7.1400666595332054E-3</v>
      </c>
      <c r="M27" s="12">
        <f t="shared" si="4"/>
        <v>1.3451669521156475E-2</v>
      </c>
      <c r="N27" s="54">
        <f t="shared" si="5"/>
        <v>2329240</v>
      </c>
      <c r="O27" s="12">
        <v>16</v>
      </c>
      <c r="P27" s="13">
        <v>24857847</v>
      </c>
      <c r="Q27" s="13">
        <v>776807.71875</v>
      </c>
      <c r="R27" s="13">
        <v>18658.4375</v>
      </c>
      <c r="S27" s="14">
        <v>5696120</v>
      </c>
      <c r="T27" s="14">
        <v>1787120</v>
      </c>
      <c r="U27" s="14">
        <v>542120</v>
      </c>
      <c r="V27" s="14">
        <v>3366880</v>
      </c>
      <c r="W27" s="15">
        <v>69.296153000000004</v>
      </c>
      <c r="X27" s="15">
        <v>71.689296999999996</v>
      </c>
      <c r="Y27" s="15">
        <v>30.202444</v>
      </c>
      <c r="Z27" s="15">
        <v>34.930669000000002</v>
      </c>
      <c r="AA27" s="15">
        <v>34.361666</v>
      </c>
      <c r="AB27" s="16">
        <v>0</v>
      </c>
      <c r="AC27" s="16">
        <v>0</v>
      </c>
      <c r="AD27" s="16">
        <v>41.854999999999997</v>
      </c>
      <c r="AE27" s="16">
        <v>0</v>
      </c>
      <c r="AG27" s="11">
        <f t="shared" si="6"/>
        <v>5.3401125</v>
      </c>
      <c r="AH27" s="12">
        <f t="shared" si="7"/>
        <v>2.2757664007285624E-2</v>
      </c>
      <c r="AI27" s="12">
        <f t="shared" si="8"/>
        <v>9.3059944861291488E-3</v>
      </c>
      <c r="AJ27" s="12">
        <f t="shared" si="9"/>
        <v>7.1400666595332054E-3</v>
      </c>
      <c r="AK27" s="12">
        <f t="shared" si="10"/>
        <v>1.3451669521156475E-2</v>
      </c>
      <c r="AL27" s="54">
        <f t="shared" si="11"/>
        <v>2329240</v>
      </c>
      <c r="AM27" s="12">
        <v>16</v>
      </c>
      <c r="AN27" s="13">
        <v>24857847</v>
      </c>
      <c r="AO27" s="13">
        <v>776807.71875</v>
      </c>
      <c r="AP27" s="13">
        <v>18658.4375</v>
      </c>
      <c r="AQ27" s="13">
        <v>5696120</v>
      </c>
      <c r="AR27" s="13">
        <v>1787120</v>
      </c>
      <c r="AS27" s="13">
        <v>542120</v>
      </c>
      <c r="AT27" s="13">
        <v>3366880</v>
      </c>
      <c r="AU27" s="13">
        <v>69.296153000000004</v>
      </c>
      <c r="AV27" s="13">
        <v>71.689296999999996</v>
      </c>
      <c r="AW27" s="13">
        <v>30.201174999999999</v>
      </c>
      <c r="AX27" s="13">
        <v>34.929250000000003</v>
      </c>
      <c r="AY27" s="13">
        <v>34.360466000000002</v>
      </c>
      <c r="AZ27" s="13">
        <v>0</v>
      </c>
      <c r="BA27" s="13">
        <v>0</v>
      </c>
      <c r="BB27" s="13">
        <v>39.448</v>
      </c>
      <c r="BC27" s="13">
        <v>0</v>
      </c>
      <c r="BE27" s="51">
        <f t="shared" si="12"/>
        <v>1</v>
      </c>
      <c r="BF27" s="17">
        <f t="shared" si="13"/>
        <v>0</v>
      </c>
      <c r="BG27" s="17">
        <f t="shared" si="14"/>
        <v>0</v>
      </c>
      <c r="BH27" s="17"/>
      <c r="BJ27" s="51"/>
      <c r="BK27" s="51"/>
      <c r="BL27" s="51"/>
      <c r="BM27" s="51"/>
      <c r="BN27" s="51"/>
      <c r="BP27" s="51"/>
      <c r="BQ27" s="51"/>
      <c r="BR27" s="51"/>
      <c r="BS27" s="51"/>
      <c r="BT27" s="51"/>
    </row>
    <row r="28" spans="1:72" outlineLevel="1" x14ac:dyDescent="0.2">
      <c r="A28" s="18"/>
      <c r="B28" s="18" t="s">
        <v>71</v>
      </c>
      <c r="C28" s="19" t="s">
        <v>233</v>
      </c>
      <c r="D28" s="18">
        <v>250294582</v>
      </c>
      <c r="E28" s="19">
        <v>10</v>
      </c>
      <c r="F28" s="19">
        <v>32</v>
      </c>
      <c r="G28" s="19">
        <v>30</v>
      </c>
      <c r="I28" s="20">
        <f t="shared" si="0"/>
        <v>10.2942675</v>
      </c>
      <c r="J28" s="21">
        <f t="shared" si="1"/>
        <v>4.3870514144808775E-2</v>
      </c>
      <c r="K28" s="21">
        <f t="shared" si="2"/>
        <v>1.3063902437968074E-2</v>
      </c>
      <c r="L28" s="21">
        <f t="shared" si="3"/>
        <v>1.0897974611372131E-2</v>
      </c>
      <c r="M28" s="21">
        <f t="shared" si="4"/>
        <v>3.0806611706840702E-2</v>
      </c>
      <c r="N28" s="18">
        <f t="shared" si="5"/>
        <v>3269824</v>
      </c>
      <c r="O28" s="21">
        <v>16</v>
      </c>
      <c r="P28" s="22">
        <v>25537404</v>
      </c>
      <c r="Q28" s="22">
        <v>798043.875</v>
      </c>
      <c r="R28" s="22">
        <v>21046.25</v>
      </c>
      <c r="S28" s="23">
        <v>10980552</v>
      </c>
      <c r="T28" s="23">
        <v>2727704</v>
      </c>
      <c r="U28" s="23">
        <v>542120</v>
      </c>
      <c r="V28" s="23">
        <v>7710728</v>
      </c>
      <c r="W28" s="24">
        <v>70.432884000000001</v>
      </c>
      <c r="X28" s="24">
        <v>72.951308999999995</v>
      </c>
      <c r="Y28" s="24">
        <v>32.697575000000001</v>
      </c>
      <c r="Z28" s="24">
        <v>36.426772</v>
      </c>
      <c r="AA28" s="24">
        <v>35.862791000000001</v>
      </c>
      <c r="AB28" s="25">
        <v>0</v>
      </c>
      <c r="AC28" s="25">
        <v>0</v>
      </c>
      <c r="AD28" s="25">
        <v>45.792999999999999</v>
      </c>
      <c r="AE28" s="25">
        <v>0</v>
      </c>
      <c r="AG28" s="20">
        <f t="shared" si="6"/>
        <v>10.2942675</v>
      </c>
      <c r="AH28" s="21">
        <f t="shared" si="7"/>
        <v>4.3870514144808775E-2</v>
      </c>
      <c r="AI28" s="21">
        <f t="shared" si="8"/>
        <v>1.3063902437968074E-2</v>
      </c>
      <c r="AJ28" s="21">
        <f t="shared" si="9"/>
        <v>1.0897974611372131E-2</v>
      </c>
      <c r="AK28" s="21">
        <f t="shared" si="10"/>
        <v>3.0806611706840702E-2</v>
      </c>
      <c r="AL28" s="18">
        <f t="shared" si="11"/>
        <v>3269824</v>
      </c>
      <c r="AM28" s="21">
        <v>16</v>
      </c>
      <c r="AN28" s="22">
        <v>25537404</v>
      </c>
      <c r="AO28" s="22">
        <v>798043.875</v>
      </c>
      <c r="AP28" s="22">
        <v>21046.25</v>
      </c>
      <c r="AQ28" s="22">
        <v>10980552</v>
      </c>
      <c r="AR28" s="22">
        <v>2727704</v>
      </c>
      <c r="AS28" s="22">
        <v>542120</v>
      </c>
      <c r="AT28" s="22">
        <v>7710728</v>
      </c>
      <c r="AU28" s="22">
        <v>70.432884000000001</v>
      </c>
      <c r="AV28" s="22">
        <v>72.951308999999995</v>
      </c>
      <c r="AW28" s="22">
        <v>32.695841000000001</v>
      </c>
      <c r="AX28" s="22">
        <v>36.425449999999998</v>
      </c>
      <c r="AY28" s="22">
        <v>35.861766000000003</v>
      </c>
      <c r="AZ28" s="22">
        <v>0</v>
      </c>
      <c r="BA28" s="22">
        <v>0</v>
      </c>
      <c r="BB28" s="22">
        <v>40.625</v>
      </c>
      <c r="BC28" s="22">
        <v>0</v>
      </c>
      <c r="BE28" s="50">
        <f t="shared" si="12"/>
        <v>1</v>
      </c>
      <c r="BF28" s="26">
        <f t="shared" si="13"/>
        <v>0</v>
      </c>
      <c r="BG28" s="26">
        <f t="shared" si="14"/>
        <v>0</v>
      </c>
      <c r="BH28" s="26"/>
      <c r="BJ28" s="50"/>
      <c r="BK28" s="50"/>
      <c r="BL28" s="50"/>
      <c r="BM28" s="50"/>
      <c r="BN28" s="50"/>
      <c r="BP28" s="50"/>
      <c r="BQ28" s="50"/>
      <c r="BR28" s="50"/>
      <c r="BS28" s="50"/>
      <c r="BT28" s="50"/>
    </row>
    <row r="29" spans="1:72" outlineLevel="1" x14ac:dyDescent="0.2">
      <c r="A29" s="27"/>
      <c r="B29" s="27" t="s">
        <v>71</v>
      </c>
      <c r="C29" s="28" t="s">
        <v>234</v>
      </c>
      <c r="D29" s="27">
        <v>250294582</v>
      </c>
      <c r="E29" s="28">
        <v>10</v>
      </c>
      <c r="F29" s="28">
        <v>32</v>
      </c>
      <c r="G29" s="28">
        <v>30</v>
      </c>
      <c r="I29" s="29">
        <f t="shared" si="0"/>
        <v>23.849924999999999</v>
      </c>
      <c r="J29" s="30">
        <f t="shared" si="1"/>
        <v>0.10163991484242356</v>
      </c>
      <c r="K29" s="30">
        <f t="shared" si="2"/>
        <v>2.1617151904630521E-2</v>
      </c>
      <c r="L29" s="30">
        <f t="shared" si="3"/>
        <v>1.7255091842139834E-2</v>
      </c>
      <c r="M29" s="30">
        <f t="shared" si="4"/>
        <v>8.0022762937793035E-2</v>
      </c>
      <c r="N29" s="27">
        <f t="shared" si="5"/>
        <v>5410656</v>
      </c>
      <c r="O29" s="30">
        <v>16</v>
      </c>
      <c r="P29" s="31">
        <v>24583774</v>
      </c>
      <c r="Q29" s="31">
        <v>768242.9375</v>
      </c>
      <c r="R29" s="31">
        <v>9806.6875</v>
      </c>
      <c r="S29" s="32">
        <v>25439920</v>
      </c>
      <c r="T29" s="32">
        <v>4318856</v>
      </c>
      <c r="U29" s="32">
        <v>1091800</v>
      </c>
      <c r="V29" s="32">
        <v>20029264</v>
      </c>
      <c r="W29" s="33">
        <v>71.135999999999996</v>
      </c>
      <c r="X29" s="33">
        <v>74.866600000000005</v>
      </c>
      <c r="Y29" s="33">
        <v>35.733812</v>
      </c>
      <c r="Z29" s="33">
        <v>38.377409</v>
      </c>
      <c r="AA29" s="33">
        <v>37.761606</v>
      </c>
      <c r="AB29" s="34">
        <v>0</v>
      </c>
      <c r="AC29" s="34">
        <v>0</v>
      </c>
      <c r="AD29" s="34">
        <v>44.537999999999997</v>
      </c>
      <c r="AE29" s="34">
        <v>0</v>
      </c>
      <c r="AG29" s="29">
        <f t="shared" si="6"/>
        <v>23.849924999999999</v>
      </c>
      <c r="AH29" s="30">
        <f t="shared" si="7"/>
        <v>0.10163991484242356</v>
      </c>
      <c r="AI29" s="30">
        <f t="shared" si="8"/>
        <v>2.1617151904630521E-2</v>
      </c>
      <c r="AJ29" s="30">
        <f t="shared" si="9"/>
        <v>1.7255091842139834E-2</v>
      </c>
      <c r="AK29" s="30">
        <f t="shared" si="10"/>
        <v>8.0022762937793035E-2</v>
      </c>
      <c r="AL29" s="27">
        <f t="shared" si="11"/>
        <v>5410656</v>
      </c>
      <c r="AM29" s="30">
        <v>16</v>
      </c>
      <c r="AN29" s="31">
        <v>24583774</v>
      </c>
      <c r="AO29" s="31">
        <v>768242.9375</v>
      </c>
      <c r="AP29" s="31">
        <v>9806.6875</v>
      </c>
      <c r="AQ29" s="31">
        <v>25439920</v>
      </c>
      <c r="AR29" s="31">
        <v>4318856</v>
      </c>
      <c r="AS29" s="31">
        <v>1091800</v>
      </c>
      <c r="AT29" s="31">
        <v>20029264</v>
      </c>
      <c r="AU29" s="31">
        <v>71.135999999999996</v>
      </c>
      <c r="AV29" s="31">
        <v>74.866600000000005</v>
      </c>
      <c r="AW29" s="31">
        <v>35.734434</v>
      </c>
      <c r="AX29" s="31">
        <v>38.377240999999998</v>
      </c>
      <c r="AY29" s="31">
        <v>37.762512000000001</v>
      </c>
      <c r="AZ29" s="31">
        <v>0</v>
      </c>
      <c r="BA29" s="31">
        <v>0</v>
      </c>
      <c r="BB29" s="31">
        <v>44.445</v>
      </c>
      <c r="BC29" s="31">
        <v>0</v>
      </c>
      <c r="BE29" s="35">
        <f t="shared" si="12"/>
        <v>1</v>
      </c>
      <c r="BF29" s="36">
        <f t="shared" si="13"/>
        <v>0</v>
      </c>
      <c r="BG29" s="36">
        <f t="shared" si="14"/>
        <v>0</v>
      </c>
      <c r="BH29" s="36"/>
      <c r="BJ29" s="35"/>
      <c r="BK29" s="35"/>
      <c r="BL29" s="35"/>
      <c r="BM29" s="35"/>
      <c r="BN29" s="35"/>
      <c r="BP29" s="35"/>
      <c r="BQ29" s="35"/>
      <c r="BR29" s="35"/>
      <c r="BS29" s="35"/>
      <c r="BT29" s="35"/>
    </row>
    <row r="30" spans="1:72" x14ac:dyDescent="0.2">
      <c r="A30" s="18" t="s">
        <v>236</v>
      </c>
      <c r="B30" s="18" t="s">
        <v>75</v>
      </c>
      <c r="C30" s="19" t="s">
        <v>230</v>
      </c>
      <c r="D30" s="18">
        <v>375422539</v>
      </c>
      <c r="E30" s="19">
        <v>11</v>
      </c>
      <c r="F30" s="19">
        <v>32</v>
      </c>
      <c r="G30" s="19">
        <v>30</v>
      </c>
      <c r="I30" s="20">
        <f t="shared" si="0"/>
        <v>3.65442</v>
      </c>
      <c r="J30" s="21">
        <f t="shared" si="1"/>
        <v>1.0383095299454038E-2</v>
      </c>
      <c r="K30" s="21">
        <f t="shared" si="2"/>
        <v>8.2360744995121343E-3</v>
      </c>
      <c r="L30" s="21">
        <f t="shared" si="3"/>
        <v>5.1778244459638051E-3</v>
      </c>
      <c r="M30" s="21">
        <f t="shared" si="4"/>
        <v>2.1470207999419021E-3</v>
      </c>
      <c r="N30" s="18">
        <f t="shared" si="5"/>
        <v>3092008</v>
      </c>
      <c r="O30" s="21">
        <v>16</v>
      </c>
      <c r="P30" s="22">
        <v>86257126</v>
      </c>
      <c r="Q30" s="22">
        <v>2695535.1875</v>
      </c>
      <c r="R30" s="22">
        <v>32930.59375</v>
      </c>
      <c r="S30" s="23">
        <v>3898048</v>
      </c>
      <c r="T30" s="23">
        <v>1943872</v>
      </c>
      <c r="U30" s="23">
        <v>1148136</v>
      </c>
      <c r="V30" s="23">
        <v>806040</v>
      </c>
      <c r="W30" s="24">
        <v>73.633009000000001</v>
      </c>
      <c r="X30" s="24">
        <v>75.669715999999994</v>
      </c>
      <c r="Y30" s="24">
        <v>33.194769000000001</v>
      </c>
      <c r="Z30" s="24">
        <v>41.822788000000003</v>
      </c>
      <c r="AA30" s="24">
        <v>43.457965999999999</v>
      </c>
      <c r="AB30" s="25">
        <v>0</v>
      </c>
      <c r="AC30" s="25">
        <v>0</v>
      </c>
      <c r="AD30" s="25">
        <v>164.97499999999999</v>
      </c>
      <c r="AE30" s="25">
        <v>0</v>
      </c>
      <c r="AG30" s="20">
        <f t="shared" si="6"/>
        <v>3.65442</v>
      </c>
      <c r="AH30" s="21">
        <f t="shared" si="7"/>
        <v>1.0383095299454038E-2</v>
      </c>
      <c r="AI30" s="21">
        <f t="shared" si="8"/>
        <v>8.2360744995121343E-3</v>
      </c>
      <c r="AJ30" s="21">
        <f t="shared" si="9"/>
        <v>5.1778244459638051E-3</v>
      </c>
      <c r="AK30" s="21">
        <f t="shared" si="10"/>
        <v>2.1470207999419021E-3</v>
      </c>
      <c r="AL30" s="18">
        <f t="shared" si="11"/>
        <v>3092008</v>
      </c>
      <c r="AM30" s="21">
        <v>16</v>
      </c>
      <c r="AN30" s="22">
        <v>86257126</v>
      </c>
      <c r="AO30" s="22">
        <v>2695535.1875</v>
      </c>
      <c r="AP30" s="22">
        <v>32930.59375</v>
      </c>
      <c r="AQ30" s="22">
        <v>3898048</v>
      </c>
      <c r="AR30" s="22">
        <v>1943872</v>
      </c>
      <c r="AS30" s="22">
        <v>1148136</v>
      </c>
      <c r="AT30" s="22">
        <v>806040</v>
      </c>
      <c r="AU30" s="22">
        <v>73.633009000000001</v>
      </c>
      <c r="AV30" s="22">
        <v>75.669715999999994</v>
      </c>
      <c r="AW30" s="22">
        <v>33.190091000000002</v>
      </c>
      <c r="AX30" s="22">
        <v>41.822234000000002</v>
      </c>
      <c r="AY30" s="22">
        <v>43.456499999999998</v>
      </c>
      <c r="AZ30" s="22">
        <v>0</v>
      </c>
      <c r="BA30" s="22">
        <v>0</v>
      </c>
      <c r="BB30" s="22">
        <v>154.58699999999999</v>
      </c>
      <c r="BC30" s="22">
        <v>0</v>
      </c>
      <c r="BE30" s="50">
        <f t="shared" si="12"/>
        <v>1</v>
      </c>
      <c r="BF30" s="26">
        <f t="shared" si="13"/>
        <v>0</v>
      </c>
      <c r="BG30" s="26">
        <f t="shared" si="14"/>
        <v>0</v>
      </c>
      <c r="BH30" s="26">
        <f t="array" ref="BH30">AVERAGE(AL30:AL34/AQ30:AQ34) - AVERAGE(N30:N34/S30:S34)</f>
        <v>0</v>
      </c>
      <c r="BJ30" s="50">
        <f>IF( OR(ISBLANK(N30:N34),ISBLANK(AL30:AL34), ISBLANK(W30:W34),ISBLANK(AU30:AU34)), "·", bdRateExtend( N30:N34,W30:W34, AL30:AL34,AU30:AU34))</f>
        <v>0</v>
      </c>
      <c r="BK30" s="50">
        <f>IF( OR(ISBLANK(N30:N34),ISBLANK(AL30:AL34), ISBLANK(X30:X34),ISBLANK(AV30:AV34)), "·", bdRateExtend( N30:N34,X30:X34, AL30:AL34,AV30:AV34))</f>
        <v>0</v>
      </c>
      <c r="BL30" s="50">
        <f>IF( OR(ISBLANK(V30:V34),ISBLANK(AT30:AT34), ISBLANK(Y30:Y34),ISBLANK(AW30:AW34)), "·", bdRateExtend( V30:V34,Y30:Y34, AT30:AT34,AW30:AW34))</f>
        <v>1.1034668247362767E-3</v>
      </c>
      <c r="BM30" s="50">
        <f>IF( OR(ISBLANK(V30:V34),ISBLANK(AT30:AT34), ISBLANK(Z30:Z34),ISBLANK(AX30:AX34)), "·", bdRateExtend( V30:V34,Z30:Z34, AT30:AT34,AX30:AX34))</f>
        <v>1.774924261530586E-4</v>
      </c>
      <c r="BN30" s="50">
        <f>IF( OR(ISBLANK(V30:V34),ISBLANK(AT30:AT34), ISBLANK(AA30:AA34),ISBLANK(AY30:AY34)), "·", bdRateExtend( V30:V34,AA30:AA34, AT30:AT34,AY30:AY34))</f>
        <v>3.8001067632520424E-4</v>
      </c>
      <c r="BP30" s="50">
        <f>IF( OR(ISBLANK(S30:S34),ISBLANK(AQ30:AQ34), ISBLANK(W30:W34),ISBLANK(AU30:AU34)), "·", bdRateExtend( S30:S34,W30:W34, AQ30:AQ34,AU30:AU34))</f>
        <v>0</v>
      </c>
      <c r="BQ30" s="50">
        <f>IF( OR(ISBLANK(S30:S34),ISBLANK(AQ30:AQ34), ISBLANK(X30:X34),ISBLANK(AV30:AV34)), "·", bdRateExtend( S30:S34,X30:X34, AQ30:AQ34,AV30:AV34))</f>
        <v>0</v>
      </c>
      <c r="BR30" s="50">
        <f>IF( OR(ISBLANK(S30:S34),ISBLANK(AQ30:AQ34), ISBLANK(Y30:Y34),ISBLANK(AW30:AW34)), "·", bdRateExtend( S30:S34,Y30:Y34, AQ30:AQ34,AW30:AW34))</f>
        <v>6.8273047613010007E-4</v>
      </c>
      <c r="BS30" s="50">
        <f>IF( OR(ISBLANK(S30:S34),ISBLANK(AQ30:AQ34), ISBLANK(Z30:Z34),ISBLANK(AX30:AX34)), "·", bdRateExtend( S30:S34,Z30:Z34, AQ30:AQ34,AX30:AX34))</f>
        <v>1.0221864958759319E-4</v>
      </c>
      <c r="BT30" s="50">
        <f>IF( OR(ISBLANK(S30:S34),ISBLANK(AQ30:AQ34), ISBLANK(AA30:AA34),ISBLANK(AY30:AY34)), "·", bdRateExtend( S30:S34,AA30:AA34, AQ30:AQ34,AY30:AY34))</f>
        <v>2.424391293804895E-4</v>
      </c>
    </row>
    <row r="31" spans="1:72" outlineLevel="1" x14ac:dyDescent="0.2">
      <c r="A31" s="54"/>
      <c r="B31" s="54" t="s">
        <v>75</v>
      </c>
      <c r="C31" s="10" t="s">
        <v>231</v>
      </c>
      <c r="D31" s="54">
        <v>375422539</v>
      </c>
      <c r="E31" s="10">
        <v>11</v>
      </c>
      <c r="F31" s="10">
        <v>32</v>
      </c>
      <c r="G31" s="10">
        <v>30</v>
      </c>
      <c r="I31" s="11">
        <f t="shared" si="0"/>
        <v>4.8781800000000004</v>
      </c>
      <c r="J31" s="12">
        <f t="shared" si="1"/>
        <v>1.3860094851683906E-2</v>
      </c>
      <c r="K31" s="12">
        <f t="shared" si="2"/>
        <v>1.0154062700002143E-2</v>
      </c>
      <c r="L31" s="12">
        <f t="shared" si="3"/>
        <v>7.0958126464538132E-3</v>
      </c>
      <c r="M31" s="12">
        <f t="shared" si="4"/>
        <v>3.7060321516817615E-3</v>
      </c>
      <c r="N31" s="54">
        <f t="shared" si="5"/>
        <v>3812064</v>
      </c>
      <c r="O31" s="12">
        <v>16</v>
      </c>
      <c r="P31" s="13">
        <v>90463055</v>
      </c>
      <c r="Q31" s="13">
        <v>2826970.46875</v>
      </c>
      <c r="R31" s="13">
        <v>39929.25</v>
      </c>
      <c r="S31" s="14">
        <v>5203392</v>
      </c>
      <c r="T31" s="14">
        <v>2663928</v>
      </c>
      <c r="U31" s="14">
        <v>1148136</v>
      </c>
      <c r="V31" s="14">
        <v>1391328</v>
      </c>
      <c r="W31" s="15">
        <v>75.236975000000001</v>
      </c>
      <c r="X31" s="15">
        <v>77.560319000000007</v>
      </c>
      <c r="Y31" s="15">
        <v>35.162233999999998</v>
      </c>
      <c r="Z31" s="15">
        <v>42.443596999999997</v>
      </c>
      <c r="AA31" s="15">
        <v>44.625512000000001</v>
      </c>
      <c r="AB31" s="16">
        <v>0</v>
      </c>
      <c r="AC31" s="16">
        <v>0</v>
      </c>
      <c r="AD31" s="16">
        <v>178.85400000000001</v>
      </c>
      <c r="AE31" s="16">
        <v>0</v>
      </c>
      <c r="AG31" s="11">
        <f t="shared" si="6"/>
        <v>4.8781800000000004</v>
      </c>
      <c r="AH31" s="12">
        <f t="shared" si="7"/>
        <v>1.3860094851683906E-2</v>
      </c>
      <c r="AI31" s="12">
        <f t="shared" si="8"/>
        <v>1.0154062700002143E-2</v>
      </c>
      <c r="AJ31" s="12">
        <f t="shared" si="9"/>
        <v>7.0958126464538132E-3</v>
      </c>
      <c r="AK31" s="12">
        <f t="shared" si="10"/>
        <v>3.7060321516817615E-3</v>
      </c>
      <c r="AL31" s="54">
        <f t="shared" si="11"/>
        <v>3812064</v>
      </c>
      <c r="AM31" s="12">
        <v>16</v>
      </c>
      <c r="AN31" s="13">
        <v>90463055</v>
      </c>
      <c r="AO31" s="13">
        <v>2826970.46875</v>
      </c>
      <c r="AP31" s="13">
        <v>39929.25</v>
      </c>
      <c r="AQ31" s="13">
        <v>5203392</v>
      </c>
      <c r="AR31" s="13">
        <v>2663928</v>
      </c>
      <c r="AS31" s="13">
        <v>1148136</v>
      </c>
      <c r="AT31" s="13">
        <v>1391328</v>
      </c>
      <c r="AU31" s="13">
        <v>75.236975000000001</v>
      </c>
      <c r="AV31" s="13">
        <v>77.560319000000007</v>
      </c>
      <c r="AW31" s="13">
        <v>35.158225000000002</v>
      </c>
      <c r="AX31" s="13">
        <v>42.443280999999999</v>
      </c>
      <c r="AY31" s="13">
        <v>44.6248</v>
      </c>
      <c r="AZ31" s="13">
        <v>0</v>
      </c>
      <c r="BA31" s="13">
        <v>0</v>
      </c>
      <c r="BB31" s="13">
        <v>179.261</v>
      </c>
      <c r="BC31" s="13">
        <v>0</v>
      </c>
      <c r="BE31" s="51">
        <f t="shared" si="12"/>
        <v>1</v>
      </c>
      <c r="BF31" s="17">
        <f t="shared" si="13"/>
        <v>0</v>
      </c>
      <c r="BG31" s="17">
        <f t="shared" si="14"/>
        <v>0</v>
      </c>
      <c r="BH31" s="17"/>
      <c r="BJ31" s="51"/>
      <c r="BK31" s="51"/>
      <c r="BL31" s="51"/>
      <c r="BM31" s="51"/>
      <c r="BN31" s="51"/>
      <c r="BP31" s="51"/>
      <c r="BQ31" s="51"/>
      <c r="BR31" s="51"/>
      <c r="BS31" s="51"/>
      <c r="BT31" s="51"/>
    </row>
    <row r="32" spans="1:72" outlineLevel="1" x14ac:dyDescent="0.2">
      <c r="A32" s="18"/>
      <c r="B32" s="18" t="s">
        <v>75</v>
      </c>
      <c r="C32" s="19" t="s">
        <v>232</v>
      </c>
      <c r="D32" s="18">
        <v>375422539</v>
      </c>
      <c r="E32" s="19">
        <v>11</v>
      </c>
      <c r="F32" s="19">
        <v>32</v>
      </c>
      <c r="G32" s="19">
        <v>30</v>
      </c>
      <c r="I32" s="20">
        <f t="shared" si="0"/>
        <v>7.0718025000000004</v>
      </c>
      <c r="J32" s="21">
        <f t="shared" si="1"/>
        <v>2.0092709457702539E-2</v>
      </c>
      <c r="K32" s="21">
        <f t="shared" si="2"/>
        <v>1.30312687486246E-2</v>
      </c>
      <c r="L32" s="21">
        <f t="shared" si="3"/>
        <v>9.9730186950762693E-3</v>
      </c>
      <c r="M32" s="21">
        <f t="shared" si="4"/>
        <v>7.0614407090779383E-3</v>
      </c>
      <c r="N32" s="18">
        <f t="shared" si="5"/>
        <v>4892232</v>
      </c>
      <c r="O32" s="21">
        <v>16</v>
      </c>
      <c r="P32" s="22">
        <v>91578144</v>
      </c>
      <c r="Q32" s="22">
        <v>2861817</v>
      </c>
      <c r="R32" s="22">
        <v>42558.21875</v>
      </c>
      <c r="S32" s="23">
        <v>7543256</v>
      </c>
      <c r="T32" s="23">
        <v>3744096</v>
      </c>
      <c r="U32" s="23">
        <v>1148136</v>
      </c>
      <c r="V32" s="23">
        <v>2651024</v>
      </c>
      <c r="W32" s="24">
        <v>76.450556000000006</v>
      </c>
      <c r="X32" s="24">
        <v>79.112555999999998</v>
      </c>
      <c r="Y32" s="24">
        <v>36.954512000000001</v>
      </c>
      <c r="Z32" s="24">
        <v>43.078394000000003</v>
      </c>
      <c r="AA32" s="24">
        <v>46.069583999999999</v>
      </c>
      <c r="AB32" s="25">
        <v>0</v>
      </c>
      <c r="AC32" s="25">
        <v>0</v>
      </c>
      <c r="AD32" s="25">
        <v>156.011</v>
      </c>
      <c r="AE32" s="25">
        <v>0</v>
      </c>
      <c r="AG32" s="20">
        <f t="shared" si="6"/>
        <v>7.0718025000000004</v>
      </c>
      <c r="AH32" s="21">
        <f t="shared" si="7"/>
        <v>2.0092709457702539E-2</v>
      </c>
      <c r="AI32" s="21">
        <f t="shared" si="8"/>
        <v>1.30312687486246E-2</v>
      </c>
      <c r="AJ32" s="21">
        <f t="shared" si="9"/>
        <v>9.9730186950762693E-3</v>
      </c>
      <c r="AK32" s="21">
        <f t="shared" si="10"/>
        <v>7.0614407090779383E-3</v>
      </c>
      <c r="AL32" s="18">
        <f t="shared" si="11"/>
        <v>4892232</v>
      </c>
      <c r="AM32" s="21">
        <v>16</v>
      </c>
      <c r="AN32" s="22">
        <v>91578144</v>
      </c>
      <c r="AO32" s="22">
        <v>2861817</v>
      </c>
      <c r="AP32" s="22">
        <v>42558.21875</v>
      </c>
      <c r="AQ32" s="22">
        <v>7543256</v>
      </c>
      <c r="AR32" s="22">
        <v>3744096</v>
      </c>
      <c r="AS32" s="22">
        <v>1148136</v>
      </c>
      <c r="AT32" s="22">
        <v>2651024</v>
      </c>
      <c r="AU32" s="22">
        <v>76.450556000000006</v>
      </c>
      <c r="AV32" s="22">
        <v>79.112555999999998</v>
      </c>
      <c r="AW32" s="22">
        <v>36.951794</v>
      </c>
      <c r="AX32" s="22">
        <v>43.078283999999996</v>
      </c>
      <c r="AY32" s="22">
        <v>46.068886999999997</v>
      </c>
      <c r="AZ32" s="22">
        <v>0</v>
      </c>
      <c r="BA32" s="22">
        <v>0</v>
      </c>
      <c r="BB32" s="22">
        <v>152.697</v>
      </c>
      <c r="BC32" s="22">
        <v>0</v>
      </c>
      <c r="BE32" s="50">
        <f t="shared" si="12"/>
        <v>1</v>
      </c>
      <c r="BF32" s="26">
        <f t="shared" si="13"/>
        <v>0</v>
      </c>
      <c r="BG32" s="26">
        <f t="shared" si="14"/>
        <v>0</v>
      </c>
      <c r="BH32" s="26"/>
      <c r="BJ32" s="50"/>
      <c r="BK32" s="50"/>
      <c r="BL32" s="50"/>
      <c r="BM32" s="50"/>
      <c r="BN32" s="50"/>
      <c r="BP32" s="50"/>
      <c r="BQ32" s="50"/>
      <c r="BR32" s="50"/>
      <c r="BS32" s="50"/>
      <c r="BT32" s="50"/>
    </row>
    <row r="33" spans="1:72" outlineLevel="1" x14ac:dyDescent="0.2">
      <c r="A33" s="54"/>
      <c r="B33" s="54" t="s">
        <v>75</v>
      </c>
      <c r="C33" s="10" t="s">
        <v>233</v>
      </c>
      <c r="D33" s="54">
        <v>375422539</v>
      </c>
      <c r="E33" s="10">
        <v>11</v>
      </c>
      <c r="F33" s="10">
        <v>32</v>
      </c>
      <c r="G33" s="10">
        <v>30</v>
      </c>
      <c r="I33" s="11">
        <f t="shared" si="0"/>
        <v>11.8329825</v>
      </c>
      <c r="J33" s="12">
        <f t="shared" si="1"/>
        <v>3.3620378876612948E-2</v>
      </c>
      <c r="K33" s="12">
        <f t="shared" si="2"/>
        <v>1.8229230504458339E-2</v>
      </c>
      <c r="L33" s="12">
        <f t="shared" si="3"/>
        <v>1.5170980450910008E-2</v>
      </c>
      <c r="M33" s="12">
        <f t="shared" si="4"/>
        <v>1.5391148372154608E-2</v>
      </c>
      <c r="N33" s="54">
        <f t="shared" si="5"/>
        <v>6843664</v>
      </c>
      <c r="O33" s="12">
        <v>16</v>
      </c>
      <c r="P33" s="13">
        <v>93892836</v>
      </c>
      <c r="Q33" s="13">
        <v>2934151.125</v>
      </c>
      <c r="R33" s="13">
        <v>47454.25</v>
      </c>
      <c r="S33" s="14">
        <v>12621848</v>
      </c>
      <c r="T33" s="14">
        <v>5695528</v>
      </c>
      <c r="U33" s="14">
        <v>1148136</v>
      </c>
      <c r="V33" s="14">
        <v>5778184</v>
      </c>
      <c r="W33" s="15">
        <v>77.563806</v>
      </c>
      <c r="X33" s="15">
        <v>80.260216</v>
      </c>
      <c r="Y33" s="15">
        <v>38.703218999999997</v>
      </c>
      <c r="Z33" s="15">
        <v>43.686368999999999</v>
      </c>
      <c r="AA33" s="15">
        <v>47.341265999999997</v>
      </c>
      <c r="AB33" s="16">
        <v>0</v>
      </c>
      <c r="AC33" s="16">
        <v>0</v>
      </c>
      <c r="AD33" s="16">
        <v>151.791</v>
      </c>
      <c r="AE33" s="16">
        <v>0</v>
      </c>
      <c r="AG33" s="11">
        <f t="shared" si="6"/>
        <v>11.8329825</v>
      </c>
      <c r="AH33" s="12">
        <f t="shared" si="7"/>
        <v>3.3620378876612948E-2</v>
      </c>
      <c r="AI33" s="12">
        <f t="shared" si="8"/>
        <v>1.8229230504458339E-2</v>
      </c>
      <c r="AJ33" s="12">
        <f t="shared" si="9"/>
        <v>1.5170980450910008E-2</v>
      </c>
      <c r="AK33" s="12">
        <f t="shared" si="10"/>
        <v>1.5391148372154608E-2</v>
      </c>
      <c r="AL33" s="54">
        <f t="shared" si="11"/>
        <v>6843664</v>
      </c>
      <c r="AM33" s="12">
        <v>16</v>
      </c>
      <c r="AN33" s="13">
        <v>93892836</v>
      </c>
      <c r="AO33" s="13">
        <v>2934151.125</v>
      </c>
      <c r="AP33" s="13">
        <v>47454.25</v>
      </c>
      <c r="AQ33" s="13">
        <v>12621848</v>
      </c>
      <c r="AR33" s="13">
        <v>5695528</v>
      </c>
      <c r="AS33" s="13">
        <v>1148136</v>
      </c>
      <c r="AT33" s="13">
        <v>5778184</v>
      </c>
      <c r="AU33" s="13">
        <v>77.563806</v>
      </c>
      <c r="AV33" s="13">
        <v>80.260216</v>
      </c>
      <c r="AW33" s="13">
        <v>38.700853000000002</v>
      </c>
      <c r="AX33" s="13">
        <v>43.686328000000003</v>
      </c>
      <c r="AY33" s="13">
        <v>47.340688</v>
      </c>
      <c r="AZ33" s="13">
        <v>0</v>
      </c>
      <c r="BA33" s="13">
        <v>0</v>
      </c>
      <c r="BB33" s="13">
        <v>156.61199999999999</v>
      </c>
      <c r="BC33" s="13">
        <v>0</v>
      </c>
      <c r="BE33" s="51">
        <f t="shared" si="12"/>
        <v>1</v>
      </c>
      <c r="BF33" s="17">
        <f t="shared" si="13"/>
        <v>0</v>
      </c>
      <c r="BG33" s="17">
        <f t="shared" si="14"/>
        <v>0</v>
      </c>
      <c r="BH33" s="17"/>
      <c r="BJ33" s="51"/>
      <c r="BK33" s="51"/>
      <c r="BL33" s="51"/>
      <c r="BM33" s="51"/>
      <c r="BN33" s="51"/>
      <c r="BP33" s="51"/>
      <c r="BQ33" s="51"/>
      <c r="BR33" s="51"/>
      <c r="BS33" s="51"/>
      <c r="BT33" s="51"/>
    </row>
    <row r="34" spans="1:72" outlineLevel="1" x14ac:dyDescent="0.2">
      <c r="A34" s="18"/>
      <c r="B34" s="37" t="s">
        <v>75</v>
      </c>
      <c r="C34" s="38" t="s">
        <v>234</v>
      </c>
      <c r="D34" s="37">
        <v>375422539</v>
      </c>
      <c r="E34" s="38">
        <v>11</v>
      </c>
      <c r="F34" s="38">
        <v>32</v>
      </c>
      <c r="G34" s="38">
        <v>30</v>
      </c>
      <c r="I34" s="39">
        <f t="shared" si="0"/>
        <v>24.410677499999998</v>
      </c>
      <c r="J34" s="40">
        <f t="shared" si="1"/>
        <v>6.9356666942151812E-2</v>
      </c>
      <c r="K34" s="40">
        <f t="shared" si="2"/>
        <v>3.0677241783823746E-2</v>
      </c>
      <c r="L34" s="40">
        <f t="shared" si="3"/>
        <v>2.4356363963539227E-2</v>
      </c>
      <c r="M34" s="40">
        <f t="shared" si="4"/>
        <v>3.8679425158328069E-2</v>
      </c>
      <c r="N34" s="37">
        <f t="shared" si="5"/>
        <v>11516928</v>
      </c>
      <c r="O34" s="40">
        <v>16</v>
      </c>
      <c r="P34" s="41">
        <v>91994509</v>
      </c>
      <c r="Q34" s="41">
        <v>2874828.40625</v>
      </c>
      <c r="R34" s="41">
        <v>18636.9375</v>
      </c>
      <c r="S34" s="42">
        <v>26038056</v>
      </c>
      <c r="T34" s="42">
        <v>9143928</v>
      </c>
      <c r="U34" s="42">
        <v>2373000</v>
      </c>
      <c r="V34" s="42">
        <v>14521128</v>
      </c>
      <c r="W34" s="43">
        <v>78.478308999999996</v>
      </c>
      <c r="X34" s="43">
        <v>81.904306000000005</v>
      </c>
      <c r="Y34" s="43">
        <v>40.500408999999998</v>
      </c>
      <c r="Z34" s="43">
        <v>44.367156000000001</v>
      </c>
      <c r="AA34" s="43">
        <v>48.785156000000001</v>
      </c>
      <c r="AB34" s="44">
        <v>0</v>
      </c>
      <c r="AC34" s="44">
        <v>0</v>
      </c>
      <c r="AD34" s="44">
        <v>142.66499999999999</v>
      </c>
      <c r="AE34" s="44">
        <v>0</v>
      </c>
      <c r="AG34" s="39">
        <f t="shared" si="6"/>
        <v>24.410677499999998</v>
      </c>
      <c r="AH34" s="40">
        <f t="shared" si="7"/>
        <v>6.9356666942151812E-2</v>
      </c>
      <c r="AI34" s="40">
        <f t="shared" si="8"/>
        <v>3.0677241783823746E-2</v>
      </c>
      <c r="AJ34" s="40">
        <f t="shared" si="9"/>
        <v>2.4356363963539227E-2</v>
      </c>
      <c r="AK34" s="40">
        <f t="shared" si="10"/>
        <v>3.8679425158328069E-2</v>
      </c>
      <c r="AL34" s="37">
        <f t="shared" si="11"/>
        <v>11516928</v>
      </c>
      <c r="AM34" s="40">
        <v>16</v>
      </c>
      <c r="AN34" s="41">
        <v>91994509</v>
      </c>
      <c r="AO34" s="41">
        <v>2874828.40625</v>
      </c>
      <c r="AP34" s="41">
        <v>18636.9375</v>
      </c>
      <c r="AQ34" s="41">
        <v>26038056</v>
      </c>
      <c r="AR34" s="41">
        <v>9143928</v>
      </c>
      <c r="AS34" s="41">
        <v>2373000</v>
      </c>
      <c r="AT34" s="41">
        <v>14521128</v>
      </c>
      <c r="AU34" s="41">
        <v>78.478308999999996</v>
      </c>
      <c r="AV34" s="41">
        <v>81.904306000000005</v>
      </c>
      <c r="AW34" s="41">
        <v>40.499616000000003</v>
      </c>
      <c r="AX34" s="41">
        <v>44.367106</v>
      </c>
      <c r="AY34" s="41">
        <v>48.784550000000003</v>
      </c>
      <c r="AZ34" s="41">
        <v>0</v>
      </c>
      <c r="BA34" s="41">
        <v>0</v>
      </c>
      <c r="BB34" s="41">
        <v>142.29</v>
      </c>
      <c r="BC34" s="41">
        <v>0</v>
      </c>
      <c r="BE34" s="45">
        <f t="shared" si="12"/>
        <v>1</v>
      </c>
      <c r="BF34" s="46">
        <f t="shared" si="13"/>
        <v>0</v>
      </c>
      <c r="BG34" s="46">
        <f t="shared" si="14"/>
        <v>0</v>
      </c>
      <c r="BH34" s="46"/>
      <c r="BJ34" s="45"/>
      <c r="BK34" s="45"/>
      <c r="BL34" s="45"/>
      <c r="BM34" s="45"/>
      <c r="BN34" s="45"/>
      <c r="BP34" s="45"/>
      <c r="BQ34" s="45"/>
      <c r="BR34" s="45"/>
      <c r="BS34" s="45"/>
      <c r="BT34" s="45"/>
    </row>
    <row r="35" spans="1:72" x14ac:dyDescent="0.2">
      <c r="A35" s="54"/>
      <c r="B35" s="54" t="s">
        <v>80</v>
      </c>
      <c r="C35" s="10" t="s">
        <v>230</v>
      </c>
      <c r="D35" s="54">
        <v>333190689</v>
      </c>
      <c r="E35" s="10">
        <v>11</v>
      </c>
      <c r="F35" s="10">
        <v>32</v>
      </c>
      <c r="G35" s="10">
        <v>30</v>
      </c>
      <c r="I35" s="11">
        <f t="shared" si="0"/>
        <v>4.3448250000000002</v>
      </c>
      <c r="J35" s="12">
        <f t="shared" si="1"/>
        <v>1.3909392287969969E-2</v>
      </c>
      <c r="K35" s="12">
        <f t="shared" si="2"/>
        <v>1.0627547878446266E-2</v>
      </c>
      <c r="L35" s="12">
        <f t="shared" si="3"/>
        <v>6.8193022044502572E-3</v>
      </c>
      <c r="M35" s="12">
        <f t="shared" si="4"/>
        <v>3.2818444095237009E-3</v>
      </c>
      <c r="N35" s="54">
        <f t="shared" si="5"/>
        <v>3541000</v>
      </c>
      <c r="O35" s="12">
        <v>16</v>
      </c>
      <c r="P35" s="13">
        <v>75171639</v>
      </c>
      <c r="Q35" s="13">
        <v>2349113.71875</v>
      </c>
      <c r="R35" s="13">
        <v>30593.28125</v>
      </c>
      <c r="S35" s="14">
        <v>4634480</v>
      </c>
      <c r="T35" s="14">
        <v>2272128</v>
      </c>
      <c r="U35" s="14">
        <v>1268872</v>
      </c>
      <c r="V35" s="14">
        <v>1093480</v>
      </c>
      <c r="W35" s="15">
        <v>73.209165999999996</v>
      </c>
      <c r="X35" s="15">
        <v>75.382358999999994</v>
      </c>
      <c r="Y35" s="15">
        <v>31.812024999999998</v>
      </c>
      <c r="Z35" s="15">
        <v>42.256780999999997</v>
      </c>
      <c r="AA35" s="15">
        <v>43.453665999999998</v>
      </c>
      <c r="AB35" s="16">
        <v>0</v>
      </c>
      <c r="AC35" s="16">
        <v>0</v>
      </c>
      <c r="AD35" s="16">
        <v>128.566</v>
      </c>
      <c r="AE35" s="16">
        <v>0</v>
      </c>
      <c r="AG35" s="11">
        <f t="shared" si="6"/>
        <v>4.3448250000000002</v>
      </c>
      <c r="AH35" s="12">
        <f t="shared" si="7"/>
        <v>1.3909392287969969E-2</v>
      </c>
      <c r="AI35" s="12">
        <f t="shared" si="8"/>
        <v>1.0627547878446266E-2</v>
      </c>
      <c r="AJ35" s="12">
        <f t="shared" si="9"/>
        <v>6.8193022044502572E-3</v>
      </c>
      <c r="AK35" s="12">
        <f t="shared" si="10"/>
        <v>3.2818444095237009E-3</v>
      </c>
      <c r="AL35" s="54">
        <f t="shared" si="11"/>
        <v>3541000</v>
      </c>
      <c r="AM35" s="12">
        <v>16</v>
      </c>
      <c r="AN35" s="13">
        <v>75171639</v>
      </c>
      <c r="AO35" s="13">
        <v>2349113.71875</v>
      </c>
      <c r="AP35" s="13">
        <v>30593.28125</v>
      </c>
      <c r="AQ35" s="13">
        <v>4634480</v>
      </c>
      <c r="AR35" s="13">
        <v>2272128</v>
      </c>
      <c r="AS35" s="13">
        <v>1268872</v>
      </c>
      <c r="AT35" s="13">
        <v>1093480</v>
      </c>
      <c r="AU35" s="13">
        <v>73.209165999999996</v>
      </c>
      <c r="AV35" s="13">
        <v>75.382358999999994</v>
      </c>
      <c r="AW35" s="13">
        <v>31.808115999999998</v>
      </c>
      <c r="AX35" s="13">
        <v>42.256011999999998</v>
      </c>
      <c r="AY35" s="13">
        <v>43.451968999999998</v>
      </c>
      <c r="AZ35" s="13">
        <v>0</v>
      </c>
      <c r="BA35" s="13">
        <v>0</v>
      </c>
      <c r="BB35" s="13">
        <v>121.402</v>
      </c>
      <c r="BC35" s="13">
        <v>0</v>
      </c>
      <c r="BE35" s="51">
        <f t="shared" si="12"/>
        <v>1</v>
      </c>
      <c r="BF35" s="17">
        <f t="shared" si="13"/>
        <v>0</v>
      </c>
      <c r="BG35" s="17">
        <f t="shared" si="14"/>
        <v>0</v>
      </c>
      <c r="BH35" s="17">
        <f t="array" ref="BH35">AVERAGE(AL35:AL39/AQ35:AQ39) - AVERAGE(N35:N39/S35:S39)</f>
        <v>0</v>
      </c>
      <c r="BJ35" s="51">
        <f>IF( OR(ISBLANK(N35:N39),ISBLANK(AL35:AL39), ISBLANK(W35:W39),ISBLANK(AU35:AU39)), "·", bdRateExtend( N35:N39,W35:W39, AL35:AL39,AU35:AU39))</f>
        <v>0</v>
      </c>
      <c r="BK35" s="51">
        <f>IF( OR(ISBLANK(N35:N39),ISBLANK(AL35:AL39), ISBLANK(X35:X39),ISBLANK(AV35:AV39)), "·", bdRateExtend( N35:N39,X35:X39, AL35:AL39,AV35:AV39))</f>
        <v>0</v>
      </c>
      <c r="BL35" s="51">
        <f>IF( OR(ISBLANK(V35:V39),ISBLANK(AT35:AT39), ISBLANK(Y35:Y39),ISBLANK(AW35:AW39)), "·", bdRateExtend( V35:V39,Y35:Y39, AT35:AT39,AW35:AW39))</f>
        <v>7.2637535079089766E-4</v>
      </c>
      <c r="BM35" s="51">
        <f>IF( OR(ISBLANK(V35:V39),ISBLANK(AT35:AT39), ISBLANK(Z35:Z39),ISBLANK(AX35:AX39)), "·", bdRateExtend( V35:V39,Z35:Z39, AT35:AT39,AX35:AX39))</f>
        <v>1.6525419937551966E-4</v>
      </c>
      <c r="BN35" s="51">
        <f>IF( OR(ISBLANK(V35:V39),ISBLANK(AT35:AT39), ISBLANK(AA35:AA39),ISBLANK(AY35:AY39)), "·", bdRateExtend( V35:V39,AA35:AA39, AT35:AT39,AY35:AY39))</f>
        <v>5.1746966722876486E-4</v>
      </c>
      <c r="BP35" s="51">
        <f>IF( OR(ISBLANK(S35:S39),ISBLANK(AQ35:AQ39), ISBLANK(W35:W39),ISBLANK(AU35:AU39)), "·", bdRateExtend( S35:S39,W35:W39, AQ35:AQ39,AU35:AU39))</f>
        <v>0</v>
      </c>
      <c r="BQ35" s="51">
        <f>IF( OR(ISBLANK(S35:S39),ISBLANK(AQ35:AQ39), ISBLANK(X35:X39),ISBLANK(AV35:AV39)), "·", bdRateExtend( S35:S39,X35:X39, AQ35:AQ39,AV35:AV39))</f>
        <v>0</v>
      </c>
      <c r="BR35" s="51">
        <f>IF( OR(ISBLANK(S35:S39),ISBLANK(AQ35:AQ39), ISBLANK(Y35:Y39),ISBLANK(AW35:AW39)), "·", bdRateExtend( S35:S39,Y35:Y39, AQ35:AQ39,AW35:AW39))</f>
        <v>4.6441117503426277E-4</v>
      </c>
      <c r="BS35" s="51">
        <f>IF( OR(ISBLANK(S35:S39),ISBLANK(AQ35:AQ39), ISBLANK(Z35:Z39),ISBLANK(AX35:AX39)), "·", bdRateExtend( S35:S39,Z35:Z39, AQ35:AQ39,AX35:AX39))</f>
        <v>9.8740442076916679E-5</v>
      </c>
      <c r="BT35" s="51">
        <f>IF( OR(ISBLANK(S35:S39),ISBLANK(AQ35:AQ39), ISBLANK(AA35:AA39),ISBLANK(AY35:AY39)), "·", bdRateExtend( S35:S39,AA35:AA39, AQ35:AQ39,AY35:AY39))</f>
        <v>3.4188749271235608E-4</v>
      </c>
    </row>
    <row r="36" spans="1:72" outlineLevel="1" x14ac:dyDescent="0.2">
      <c r="A36" s="18"/>
      <c r="B36" s="18" t="s">
        <v>80</v>
      </c>
      <c r="C36" s="19" t="s">
        <v>231</v>
      </c>
      <c r="D36" s="18">
        <v>333190689</v>
      </c>
      <c r="E36" s="19">
        <v>11</v>
      </c>
      <c r="F36" s="19">
        <v>32</v>
      </c>
      <c r="G36" s="19">
        <v>30</v>
      </c>
      <c r="I36" s="20">
        <f t="shared" si="0"/>
        <v>5.8538100000000002</v>
      </c>
      <c r="J36" s="21">
        <f t="shared" si="1"/>
        <v>1.8740211554951345E-2</v>
      </c>
      <c r="K36" s="21">
        <f t="shared" si="2"/>
        <v>1.3163297009179028E-2</v>
      </c>
      <c r="L36" s="21">
        <f t="shared" si="3"/>
        <v>9.3550513351830181E-3</v>
      </c>
      <c r="M36" s="21">
        <f t="shared" si="4"/>
        <v>5.5769145457723159E-3</v>
      </c>
      <c r="N36" s="18">
        <f t="shared" si="5"/>
        <v>4385888</v>
      </c>
      <c r="O36" s="21">
        <v>16</v>
      </c>
      <c r="P36" s="22">
        <v>79962035</v>
      </c>
      <c r="Q36" s="22">
        <v>2498813.59375</v>
      </c>
      <c r="R36" s="22">
        <v>38421.15625</v>
      </c>
      <c r="S36" s="23">
        <v>6244064</v>
      </c>
      <c r="T36" s="23">
        <v>3117016</v>
      </c>
      <c r="U36" s="23">
        <v>1268872</v>
      </c>
      <c r="V36" s="23">
        <v>1858176</v>
      </c>
      <c r="W36" s="24">
        <v>74.936625000000006</v>
      </c>
      <c r="X36" s="24">
        <v>77.345194000000006</v>
      </c>
      <c r="Y36" s="24">
        <v>34.068941000000002</v>
      </c>
      <c r="Z36" s="24">
        <v>42.997872000000001</v>
      </c>
      <c r="AA36" s="24">
        <v>44.790540999999997</v>
      </c>
      <c r="AB36" s="25">
        <v>0</v>
      </c>
      <c r="AC36" s="25">
        <v>0</v>
      </c>
      <c r="AD36" s="25">
        <v>146.142</v>
      </c>
      <c r="AE36" s="25">
        <v>0</v>
      </c>
      <c r="AG36" s="20">
        <f t="shared" si="6"/>
        <v>5.8538100000000002</v>
      </c>
      <c r="AH36" s="21">
        <f t="shared" si="7"/>
        <v>1.8740211554951345E-2</v>
      </c>
      <c r="AI36" s="21">
        <f t="shared" si="8"/>
        <v>1.3163297009179028E-2</v>
      </c>
      <c r="AJ36" s="21">
        <f t="shared" si="9"/>
        <v>9.3550513351830181E-3</v>
      </c>
      <c r="AK36" s="21">
        <f t="shared" si="10"/>
        <v>5.5769145457723159E-3</v>
      </c>
      <c r="AL36" s="18">
        <f t="shared" si="11"/>
        <v>4385888</v>
      </c>
      <c r="AM36" s="21">
        <v>16</v>
      </c>
      <c r="AN36" s="22">
        <v>79962035</v>
      </c>
      <c r="AO36" s="22">
        <v>2498813.59375</v>
      </c>
      <c r="AP36" s="22">
        <v>38421.15625</v>
      </c>
      <c r="AQ36" s="22">
        <v>6244064</v>
      </c>
      <c r="AR36" s="22">
        <v>3117016</v>
      </c>
      <c r="AS36" s="22">
        <v>1268872</v>
      </c>
      <c r="AT36" s="22">
        <v>1858176</v>
      </c>
      <c r="AU36" s="22">
        <v>74.936625000000006</v>
      </c>
      <c r="AV36" s="22">
        <v>77.345194000000006</v>
      </c>
      <c r="AW36" s="22">
        <v>34.065643999999999</v>
      </c>
      <c r="AX36" s="22">
        <v>42.997425</v>
      </c>
      <c r="AY36" s="22">
        <v>44.789324999999998</v>
      </c>
      <c r="AZ36" s="22">
        <v>0</v>
      </c>
      <c r="BA36" s="22">
        <v>0</v>
      </c>
      <c r="BB36" s="22">
        <v>130.13499999999999</v>
      </c>
      <c r="BC36" s="22">
        <v>0</v>
      </c>
      <c r="BE36" s="50">
        <f t="shared" si="12"/>
        <v>1</v>
      </c>
      <c r="BF36" s="26">
        <f t="shared" si="13"/>
        <v>0</v>
      </c>
      <c r="BG36" s="26">
        <f t="shared" si="14"/>
        <v>0</v>
      </c>
      <c r="BH36" s="26"/>
      <c r="BJ36" s="50"/>
      <c r="BK36" s="50"/>
      <c r="BL36" s="50"/>
      <c r="BM36" s="50"/>
      <c r="BN36" s="50"/>
      <c r="BP36" s="50"/>
      <c r="BQ36" s="50"/>
      <c r="BR36" s="50"/>
      <c r="BS36" s="50"/>
      <c r="BT36" s="50"/>
    </row>
    <row r="37" spans="1:72" outlineLevel="1" x14ac:dyDescent="0.2">
      <c r="A37" s="54"/>
      <c r="B37" s="54" t="s">
        <v>80</v>
      </c>
      <c r="C37" s="10" t="s">
        <v>232</v>
      </c>
      <c r="D37" s="54">
        <v>333190689</v>
      </c>
      <c r="E37" s="10">
        <v>11</v>
      </c>
      <c r="F37" s="10">
        <v>32</v>
      </c>
      <c r="G37" s="10">
        <v>30</v>
      </c>
      <c r="I37" s="11">
        <f t="shared" si="0"/>
        <v>8.4145350000000008</v>
      </c>
      <c r="J37" s="12">
        <f t="shared" si="1"/>
        <v>2.6938039676132727E-2</v>
      </c>
      <c r="K37" s="12">
        <f t="shared" si="2"/>
        <v>1.6845128586411368E-2</v>
      </c>
      <c r="L37" s="12">
        <f t="shared" si="3"/>
        <v>1.3036882912415358E-2</v>
      </c>
      <c r="M37" s="12">
        <f t="shared" si="4"/>
        <v>1.0092911089721358E-2</v>
      </c>
      <c r="N37" s="54">
        <f t="shared" si="5"/>
        <v>5612640</v>
      </c>
      <c r="O37" s="12">
        <v>16</v>
      </c>
      <c r="P37" s="13">
        <v>81699300</v>
      </c>
      <c r="Q37" s="13">
        <v>2553103.125</v>
      </c>
      <c r="R37" s="13">
        <v>41943.78125</v>
      </c>
      <c r="S37" s="14">
        <v>8975504</v>
      </c>
      <c r="T37" s="14">
        <v>4343768</v>
      </c>
      <c r="U37" s="14">
        <v>1268872</v>
      </c>
      <c r="V37" s="14">
        <v>3362864</v>
      </c>
      <c r="W37" s="15">
        <v>76.252566000000002</v>
      </c>
      <c r="X37" s="15">
        <v>78.956402999999995</v>
      </c>
      <c r="Y37" s="15">
        <v>36.146144</v>
      </c>
      <c r="Z37" s="15">
        <v>43.582515999999998</v>
      </c>
      <c r="AA37" s="15">
        <v>46.119703000000001</v>
      </c>
      <c r="AB37" s="16">
        <v>0</v>
      </c>
      <c r="AC37" s="16">
        <v>0</v>
      </c>
      <c r="AD37" s="16">
        <v>134.75800000000001</v>
      </c>
      <c r="AE37" s="16">
        <v>0</v>
      </c>
      <c r="AG37" s="11">
        <f t="shared" si="6"/>
        <v>8.4145350000000008</v>
      </c>
      <c r="AH37" s="12">
        <f t="shared" si="7"/>
        <v>2.6938039676132727E-2</v>
      </c>
      <c r="AI37" s="12">
        <f t="shared" si="8"/>
        <v>1.6845128586411368E-2</v>
      </c>
      <c r="AJ37" s="12">
        <f t="shared" si="9"/>
        <v>1.3036882912415358E-2</v>
      </c>
      <c r="AK37" s="12">
        <f t="shared" si="10"/>
        <v>1.0092911089721358E-2</v>
      </c>
      <c r="AL37" s="54">
        <f t="shared" si="11"/>
        <v>5612640</v>
      </c>
      <c r="AM37" s="12">
        <v>16</v>
      </c>
      <c r="AN37" s="13">
        <v>81699300</v>
      </c>
      <c r="AO37" s="13">
        <v>2553103.125</v>
      </c>
      <c r="AP37" s="13">
        <v>41943.78125</v>
      </c>
      <c r="AQ37" s="13">
        <v>8975504</v>
      </c>
      <c r="AR37" s="13">
        <v>4343768</v>
      </c>
      <c r="AS37" s="13">
        <v>1268872</v>
      </c>
      <c r="AT37" s="13">
        <v>3362864</v>
      </c>
      <c r="AU37" s="13">
        <v>76.252566000000002</v>
      </c>
      <c r="AV37" s="13">
        <v>78.956402999999995</v>
      </c>
      <c r="AW37" s="13">
        <v>36.144005999999997</v>
      </c>
      <c r="AX37" s="13">
        <v>43.582478000000002</v>
      </c>
      <c r="AY37" s="13">
        <v>46.118752999999998</v>
      </c>
      <c r="AZ37" s="13">
        <v>0</v>
      </c>
      <c r="BA37" s="13">
        <v>0</v>
      </c>
      <c r="BB37" s="13">
        <v>137.06700000000001</v>
      </c>
      <c r="BC37" s="13">
        <v>0</v>
      </c>
      <c r="BE37" s="51">
        <f t="shared" si="12"/>
        <v>1</v>
      </c>
      <c r="BF37" s="17">
        <f t="shared" si="13"/>
        <v>0</v>
      </c>
      <c r="BG37" s="17">
        <f t="shared" si="14"/>
        <v>0</v>
      </c>
      <c r="BH37" s="17"/>
      <c r="BJ37" s="51"/>
      <c r="BK37" s="51"/>
      <c r="BL37" s="51"/>
      <c r="BM37" s="51"/>
      <c r="BN37" s="51"/>
      <c r="BP37" s="51"/>
      <c r="BQ37" s="51"/>
      <c r="BR37" s="51"/>
      <c r="BS37" s="51"/>
      <c r="BT37" s="51"/>
    </row>
    <row r="38" spans="1:72" outlineLevel="1" x14ac:dyDescent="0.2">
      <c r="A38" s="18"/>
      <c r="B38" s="18" t="s">
        <v>80</v>
      </c>
      <c r="C38" s="19" t="s">
        <v>233</v>
      </c>
      <c r="D38" s="18">
        <v>333190689</v>
      </c>
      <c r="E38" s="19">
        <v>11</v>
      </c>
      <c r="F38" s="19">
        <v>32</v>
      </c>
      <c r="G38" s="19">
        <v>30</v>
      </c>
      <c r="I38" s="20">
        <f t="shared" si="0"/>
        <v>13.766512499999999</v>
      </c>
      <c r="J38" s="21">
        <f t="shared" si="1"/>
        <v>4.4071699734682564E-2</v>
      </c>
      <c r="K38" s="21">
        <f t="shared" si="2"/>
        <v>2.3096227637981803E-2</v>
      </c>
      <c r="L38" s="21">
        <f t="shared" si="3"/>
        <v>1.9287981963985793E-2</v>
      </c>
      <c r="M38" s="21">
        <f t="shared" si="4"/>
        <v>2.0975472096700757E-2</v>
      </c>
      <c r="N38" s="18">
        <f t="shared" si="5"/>
        <v>7695448</v>
      </c>
      <c r="O38" s="21">
        <v>16</v>
      </c>
      <c r="P38" s="22">
        <v>83829905</v>
      </c>
      <c r="Q38" s="22">
        <v>2619684.53125</v>
      </c>
      <c r="R38" s="22">
        <v>46889.03125</v>
      </c>
      <c r="S38" s="23">
        <v>14684280</v>
      </c>
      <c r="T38" s="23">
        <v>6426576</v>
      </c>
      <c r="U38" s="23">
        <v>1268872</v>
      </c>
      <c r="V38" s="23">
        <v>6988832</v>
      </c>
      <c r="W38" s="24">
        <v>77.428777999999994</v>
      </c>
      <c r="X38" s="24">
        <v>80.151403000000002</v>
      </c>
      <c r="Y38" s="24">
        <v>38.094127999999998</v>
      </c>
      <c r="Z38" s="24">
        <v>44.192028000000001</v>
      </c>
      <c r="AA38" s="24">
        <v>47.263536999999999</v>
      </c>
      <c r="AB38" s="25">
        <v>0</v>
      </c>
      <c r="AC38" s="25">
        <v>0</v>
      </c>
      <c r="AD38" s="25">
        <v>165.91399999999999</v>
      </c>
      <c r="AE38" s="25">
        <v>0</v>
      </c>
      <c r="AG38" s="20">
        <f t="shared" si="6"/>
        <v>13.766512499999999</v>
      </c>
      <c r="AH38" s="21">
        <f t="shared" si="7"/>
        <v>4.4071699734682564E-2</v>
      </c>
      <c r="AI38" s="21">
        <f t="shared" si="8"/>
        <v>2.3096227637981803E-2</v>
      </c>
      <c r="AJ38" s="21">
        <f t="shared" si="9"/>
        <v>1.9287981963985793E-2</v>
      </c>
      <c r="AK38" s="21">
        <f t="shared" si="10"/>
        <v>2.0975472096700757E-2</v>
      </c>
      <c r="AL38" s="18">
        <f t="shared" si="11"/>
        <v>7695448</v>
      </c>
      <c r="AM38" s="21">
        <v>16</v>
      </c>
      <c r="AN38" s="22">
        <v>83829905</v>
      </c>
      <c r="AO38" s="22">
        <v>2619684.53125</v>
      </c>
      <c r="AP38" s="22">
        <v>46889.03125</v>
      </c>
      <c r="AQ38" s="22">
        <v>14684280</v>
      </c>
      <c r="AR38" s="22">
        <v>6426576</v>
      </c>
      <c r="AS38" s="22">
        <v>1268872</v>
      </c>
      <c r="AT38" s="22">
        <v>6988832</v>
      </c>
      <c r="AU38" s="22">
        <v>77.428777999999994</v>
      </c>
      <c r="AV38" s="22">
        <v>80.151403000000002</v>
      </c>
      <c r="AW38" s="22">
        <v>38.092384000000003</v>
      </c>
      <c r="AX38" s="22">
        <v>44.192075000000003</v>
      </c>
      <c r="AY38" s="22">
        <v>47.262903000000001</v>
      </c>
      <c r="AZ38" s="22">
        <v>0</v>
      </c>
      <c r="BA38" s="22">
        <v>0</v>
      </c>
      <c r="BB38" s="22">
        <v>154.13399999999999</v>
      </c>
      <c r="BC38" s="22">
        <v>0</v>
      </c>
      <c r="BE38" s="50">
        <f t="shared" si="12"/>
        <v>1</v>
      </c>
      <c r="BF38" s="26">
        <f t="shared" si="13"/>
        <v>0</v>
      </c>
      <c r="BG38" s="26">
        <f t="shared" si="14"/>
        <v>0</v>
      </c>
      <c r="BH38" s="26"/>
      <c r="BJ38" s="50"/>
      <c r="BK38" s="50"/>
      <c r="BL38" s="50"/>
      <c r="BM38" s="50"/>
      <c r="BN38" s="50"/>
      <c r="BP38" s="50"/>
      <c r="BQ38" s="50"/>
      <c r="BR38" s="50"/>
      <c r="BS38" s="50"/>
      <c r="BT38" s="50"/>
    </row>
    <row r="39" spans="1:72" outlineLevel="1" x14ac:dyDescent="0.2">
      <c r="A39" s="27"/>
      <c r="B39" s="27" t="s">
        <v>80</v>
      </c>
      <c r="C39" s="28" t="s">
        <v>234</v>
      </c>
      <c r="D39" s="27">
        <v>333190689</v>
      </c>
      <c r="E39" s="28">
        <v>11</v>
      </c>
      <c r="F39" s="28">
        <v>32</v>
      </c>
      <c r="G39" s="28">
        <v>30</v>
      </c>
      <c r="I39" s="29">
        <f t="shared" si="0"/>
        <v>27.58728</v>
      </c>
      <c r="J39" s="30">
        <f t="shared" si="1"/>
        <v>8.8317089797188178E-2</v>
      </c>
      <c r="K39" s="30">
        <f t="shared" si="2"/>
        <v>3.7549812804042675E-2</v>
      </c>
      <c r="L39" s="30">
        <f t="shared" si="3"/>
        <v>2.9801360985810741E-2</v>
      </c>
      <c r="M39" s="30">
        <f t="shared" si="4"/>
        <v>5.076727699314551E-2</v>
      </c>
      <c r="N39" s="27">
        <f t="shared" si="5"/>
        <v>12511248</v>
      </c>
      <c r="O39" s="30">
        <v>16</v>
      </c>
      <c r="P39" s="31">
        <v>81969625</v>
      </c>
      <c r="Q39" s="31">
        <v>2561550.78125</v>
      </c>
      <c r="R39" s="31">
        <v>18543.34375</v>
      </c>
      <c r="S39" s="32">
        <v>29426432</v>
      </c>
      <c r="T39" s="32">
        <v>9929536</v>
      </c>
      <c r="U39" s="32">
        <v>2581712</v>
      </c>
      <c r="V39" s="32">
        <v>16915184</v>
      </c>
      <c r="W39" s="33">
        <v>78.304288</v>
      </c>
      <c r="X39" s="33">
        <v>81.862469000000004</v>
      </c>
      <c r="Y39" s="33">
        <v>40.158625000000001</v>
      </c>
      <c r="Z39" s="33">
        <v>45.129541000000003</v>
      </c>
      <c r="AA39" s="33">
        <v>48.632187999999999</v>
      </c>
      <c r="AB39" s="34">
        <v>0</v>
      </c>
      <c r="AC39" s="34">
        <v>0</v>
      </c>
      <c r="AD39" s="34">
        <v>132.29599999999999</v>
      </c>
      <c r="AE39" s="34">
        <v>0</v>
      </c>
      <c r="AG39" s="29">
        <f t="shared" si="6"/>
        <v>27.58728</v>
      </c>
      <c r="AH39" s="30">
        <f t="shared" si="7"/>
        <v>8.8317089797188178E-2</v>
      </c>
      <c r="AI39" s="30">
        <f t="shared" si="8"/>
        <v>3.7549812804042675E-2</v>
      </c>
      <c r="AJ39" s="30">
        <f t="shared" si="9"/>
        <v>2.9801360985810741E-2</v>
      </c>
      <c r="AK39" s="30">
        <f t="shared" si="10"/>
        <v>5.076727699314551E-2</v>
      </c>
      <c r="AL39" s="27">
        <f t="shared" si="11"/>
        <v>12511248</v>
      </c>
      <c r="AM39" s="30">
        <v>16</v>
      </c>
      <c r="AN39" s="31">
        <v>81969625</v>
      </c>
      <c r="AO39" s="31">
        <v>2561550.78125</v>
      </c>
      <c r="AP39" s="31">
        <v>18543.34375</v>
      </c>
      <c r="AQ39" s="31">
        <v>29426432</v>
      </c>
      <c r="AR39" s="31">
        <v>9929536</v>
      </c>
      <c r="AS39" s="31">
        <v>2581712</v>
      </c>
      <c r="AT39" s="31">
        <v>16915184</v>
      </c>
      <c r="AU39" s="31">
        <v>78.304288</v>
      </c>
      <c r="AV39" s="31">
        <v>81.862469000000004</v>
      </c>
      <c r="AW39" s="31">
        <v>40.157916</v>
      </c>
      <c r="AX39" s="31">
        <v>45.129313000000003</v>
      </c>
      <c r="AY39" s="31">
        <v>48.631016000000002</v>
      </c>
      <c r="AZ39" s="31">
        <v>0</v>
      </c>
      <c r="BA39" s="31">
        <v>0</v>
      </c>
      <c r="BB39" s="31">
        <v>129.56700000000001</v>
      </c>
      <c r="BC39" s="31">
        <v>0</v>
      </c>
      <c r="BE39" s="35">
        <f t="shared" si="12"/>
        <v>1</v>
      </c>
      <c r="BF39" s="36">
        <f t="shared" si="13"/>
        <v>0</v>
      </c>
      <c r="BG39" s="36">
        <f t="shared" si="14"/>
        <v>0</v>
      </c>
      <c r="BH39" s="36"/>
      <c r="BJ39" s="35"/>
      <c r="BK39" s="35"/>
      <c r="BL39" s="35"/>
      <c r="BM39" s="35"/>
      <c r="BN39" s="35"/>
      <c r="BP39" s="35"/>
      <c r="BQ39" s="35"/>
      <c r="BR39" s="35"/>
      <c r="BS39" s="35"/>
      <c r="BT39" s="35"/>
    </row>
    <row r="40" spans="1:72" ht="16" x14ac:dyDescent="0.2">
      <c r="B40" s="47" t="s">
        <v>14</v>
      </c>
      <c r="J40" s="48">
        <f>AVERAGE(J5:J24)</f>
        <v>1.758315744465936E-2</v>
      </c>
      <c r="K40" s="48">
        <f>AVERAGE(K5:K24)</f>
        <v>9.5044698045925659E-3</v>
      </c>
      <c r="L40" s="48">
        <f>AVERAGE(L5:L24)</f>
        <v>6.9540535475671687E-3</v>
      </c>
      <c r="M40" s="48">
        <f>AVERAGE(M5:M24)</f>
        <v>8.0786876400667958E-3</v>
      </c>
      <c r="AH40" s="48">
        <f>AVERAGE(AH5:AH24)</f>
        <v>1.758315744465936E-2</v>
      </c>
      <c r="AI40" s="48">
        <f>AVERAGE(AI5:AI24)</f>
        <v>9.5044698045925659E-3</v>
      </c>
      <c r="AJ40" s="48">
        <f>AVERAGE(AJ5:AJ24)</f>
        <v>6.9540535475671687E-3</v>
      </c>
      <c r="AK40" s="48">
        <f>AVERAGE(AK5:AK24)</f>
        <v>8.0786876400667958E-3</v>
      </c>
      <c r="BE40" s="52">
        <f t="shared" si="12"/>
        <v>1</v>
      </c>
      <c r="BH40" s="55">
        <f>AVERAGE(BH5:BH24)</f>
        <v>0</v>
      </c>
      <c r="BJ40" s="52">
        <f>AVERAGE(BJ5:BJ24)</f>
        <v>0</v>
      </c>
      <c r="BK40" s="52">
        <f>AVERAGE(BK5:BK24)</f>
        <v>0</v>
      </c>
      <c r="BL40" s="52">
        <f>AVERAGE(BL5:BL24)</f>
        <v>-8.9869267273667841E-5</v>
      </c>
      <c r="BM40" s="52">
        <f>AVERAGE(BM5:BM24)</f>
        <v>-4.0933542525208866E-3</v>
      </c>
      <c r="BN40" s="52">
        <f>AVERAGE(BN5:BN24)</f>
        <v>-6.3800311858603631E-3</v>
      </c>
      <c r="BP40" s="52">
        <f>AVERAGE(BP5:BP24)</f>
        <v>0</v>
      </c>
      <c r="BQ40" s="52">
        <f>AVERAGE(BQ5:BQ24)</f>
        <v>0</v>
      </c>
      <c r="BR40" s="52">
        <f>AVERAGE(BR5:BR24)</f>
        <v>-1.0687572316298022E-4</v>
      </c>
      <c r="BS40" s="52">
        <f>AVERAGE(BS5:BS24)</f>
        <v>-3.2929629086172474E-3</v>
      </c>
      <c r="BT40" s="52">
        <f>AVERAGE(BT5:BT24)</f>
        <v>-4.9720038964509439E-3</v>
      </c>
    </row>
    <row r="41" spans="1:72" ht="16" x14ac:dyDescent="0.2">
      <c r="B41" s="47" t="s">
        <v>15</v>
      </c>
      <c r="J41" s="48">
        <f>AVERAGE(J25:J29)</f>
        <v>3.8096147043246827E-2</v>
      </c>
      <c r="K41" s="48">
        <f>AVERAGE(K25:K29)</f>
        <v>1.1360399323386072E-2</v>
      </c>
      <c r="L41" s="48">
        <f>AVERAGE(L25:L29)</f>
        <v>8.7552450496111815E-3</v>
      </c>
      <c r="M41" s="48">
        <f>AVERAGE(M25:M29)</f>
        <v>2.6735747719860752E-2</v>
      </c>
      <c r="AH41" s="48">
        <f>AVERAGE(AH25:AH29)</f>
        <v>3.8096147043246827E-2</v>
      </c>
      <c r="AI41" s="48">
        <f>AVERAGE(AI25:AI29)</f>
        <v>1.1360399323386072E-2</v>
      </c>
      <c r="AJ41" s="48">
        <f>AVERAGE(AJ25:AJ29)</f>
        <v>8.7552450496111815E-3</v>
      </c>
      <c r="AK41" s="48">
        <f>AVERAGE(AK25:AK29)</f>
        <v>2.6735747719860752E-2</v>
      </c>
      <c r="BE41" s="52">
        <f t="shared" si="12"/>
        <v>1</v>
      </c>
      <c r="BH41" s="55">
        <f>AVERAGE(BH25:BH29)</f>
        <v>0</v>
      </c>
      <c r="BJ41" s="52">
        <f>AVERAGE(BJ25:BJ29)</f>
        <v>0</v>
      </c>
      <c r="BK41" s="52">
        <f>AVERAGE(BK25:BK29)</f>
        <v>0</v>
      </c>
      <c r="BL41" s="52">
        <f>AVERAGE(BL25:BL29)</f>
        <v>4.1345227730804623E-4</v>
      </c>
      <c r="BM41" s="52">
        <f>AVERAGE(BM25:BM29)</f>
        <v>7.1794595286522878E-4</v>
      </c>
      <c r="BN41" s="52">
        <f>AVERAGE(BN25:BN29)</f>
        <v>5.3116915594908498E-4</v>
      </c>
      <c r="BP41" s="52">
        <f>AVERAGE(BP25:BP29)</f>
        <v>0</v>
      </c>
      <c r="BQ41" s="52">
        <f>AVERAGE(BQ25:BQ29)</f>
        <v>0</v>
      </c>
      <c r="BR41" s="52">
        <f>AVERAGE(BR25:BR29)</f>
        <v>3.0173854882153961E-4</v>
      </c>
      <c r="BS41" s="52">
        <f>AVERAGE(BS25:BS29)</f>
        <v>5.2034502461939525E-4</v>
      </c>
      <c r="BT41" s="52">
        <f>AVERAGE(BT25:BT29)</f>
        <v>3.6995625196722948E-4</v>
      </c>
    </row>
    <row r="42" spans="1:72" ht="16" x14ac:dyDescent="0.2">
      <c r="B42" s="47" t="s">
        <v>16</v>
      </c>
      <c r="J42" s="48">
        <f>AVERAGE(J30:J39)</f>
        <v>3.3928937847853002E-2</v>
      </c>
      <c r="K42" s="48">
        <f>AVERAGE(K30:K39)</f>
        <v>1.8160989215248211E-2</v>
      </c>
      <c r="L42" s="48">
        <f>AVERAGE(L30:L39)</f>
        <v>1.4007457960378829E-2</v>
      </c>
      <c r="M42" s="48">
        <f>AVERAGE(M30:M39)</f>
        <v>1.5767948632604792E-2</v>
      </c>
      <c r="AH42" s="48">
        <f>AVERAGE(AH30:AH39)</f>
        <v>3.3928937847853002E-2</v>
      </c>
      <c r="AI42" s="48">
        <f>AVERAGE(AI30:AI39)</f>
        <v>1.8160989215248211E-2</v>
      </c>
      <c r="AJ42" s="48">
        <f>AVERAGE(AJ30:AJ39)</f>
        <v>1.4007457960378829E-2</v>
      </c>
      <c r="AK42" s="48">
        <f>AVERAGE(AK30:AK39)</f>
        <v>1.5767948632604792E-2</v>
      </c>
      <c r="BE42" s="52">
        <f t="shared" si="12"/>
        <v>1</v>
      </c>
      <c r="BH42" s="55">
        <f>AVERAGE(BH30:BH39)</f>
        <v>0</v>
      </c>
      <c r="BJ42" s="52">
        <f>AVERAGE(BJ30:BJ39)</f>
        <v>0</v>
      </c>
      <c r="BK42" s="52">
        <f>AVERAGE(BK30:BK39)</f>
        <v>0</v>
      </c>
      <c r="BL42" s="52">
        <f>AVERAGE(BL30:BL39)</f>
        <v>9.1492108776358716E-4</v>
      </c>
      <c r="BM42" s="52">
        <f>AVERAGE(BM30:BM39)</f>
        <v>1.7137331276428913E-4</v>
      </c>
      <c r="BN42" s="52">
        <f>AVERAGE(BN30:BN39)</f>
        <v>4.4874017177698455E-4</v>
      </c>
      <c r="BP42" s="52">
        <f>AVERAGE(BP30:BP39)</f>
        <v>0</v>
      </c>
      <c r="BQ42" s="52">
        <f>AVERAGE(BQ30:BQ39)</f>
        <v>0</v>
      </c>
      <c r="BR42" s="52">
        <f>AVERAGE(BR30:BR39)</f>
        <v>5.7357082558218142E-4</v>
      </c>
      <c r="BS42" s="52">
        <f>AVERAGE(BS30:BS39)</f>
        <v>1.0047954583225494E-4</v>
      </c>
      <c r="BT42" s="52">
        <f>AVERAGE(BT30:BT39)</f>
        <v>2.9216331104642279E-4</v>
      </c>
    </row>
    <row r="43" spans="1:72" ht="16" x14ac:dyDescent="0.2">
      <c r="B43" s="47" t="s">
        <v>17</v>
      </c>
      <c r="J43" s="48">
        <f>AVERAGE(J5:J39)</f>
        <v>2.5183807502512898E-2</v>
      </c>
      <c r="K43" s="48">
        <f>AVERAGE(K5:K39)</f>
        <v>1.2242893853178963E-2</v>
      </c>
      <c r="L43" s="48">
        <f>AVERAGE(L5:L39)</f>
        <v>9.226625022948215E-3</v>
      </c>
      <c r="M43" s="48">
        <f>AVERAGE(M5:M39)</f>
        <v>1.294091364933393E-2</v>
      </c>
      <c r="AH43" s="48">
        <f>AVERAGE(AH5:AH39)</f>
        <v>2.5183807502512898E-2</v>
      </c>
      <c r="AI43" s="48">
        <f>AVERAGE(AI5:AI39)</f>
        <v>1.2242893853178963E-2</v>
      </c>
      <c r="AJ43" s="48">
        <f>AVERAGE(AJ5:AJ39)</f>
        <v>9.226625022948215E-3</v>
      </c>
      <c r="AK43" s="48">
        <f>AVERAGE(AK5:AK39)</f>
        <v>1.294091364933393E-2</v>
      </c>
      <c r="BE43" s="52">
        <f t="shared" si="12"/>
        <v>1</v>
      </c>
      <c r="BH43" s="55">
        <f>AVERAGE(BH5:BH39)</f>
        <v>0</v>
      </c>
      <c r="BJ43" s="52">
        <f>AVERAGE(BJ5:BJ39)</f>
        <v>0</v>
      </c>
      <c r="BK43" s="52">
        <f>AVERAGE(BK5:BK39)</f>
        <v>0</v>
      </c>
      <c r="BL43" s="52">
        <f>AVERAGE(BL5:BL39)</f>
        <v>2.6911676910579274E-4</v>
      </c>
      <c r="BM43" s="52">
        <f>AVERAGE(BM5:BM39)</f>
        <v>-2.1875320616699628E-3</v>
      </c>
      <c r="BN43" s="52">
        <f>AVERAGE(BN5:BN39)</f>
        <v>-3.4416393205626283E-3</v>
      </c>
      <c r="BP43" s="52">
        <f>AVERAGE(BP5:BP39)</f>
        <v>0</v>
      </c>
      <c r="BQ43" s="52">
        <f>AVERAGE(BQ5:BQ39)</f>
        <v>0</v>
      </c>
      <c r="BR43" s="52">
        <f>AVERAGE(BR5:BR39)</f>
        <v>1.459110439048545E-4</v>
      </c>
      <c r="BS43" s="52">
        <f>AVERAGE(BS5:BS39)</f>
        <v>-1.7786496454550121E-3</v>
      </c>
      <c r="BT43" s="52">
        <f>AVERAGE(BT5:BT39)</f>
        <v>-2.7048189588205285E-3</v>
      </c>
    </row>
    <row r="44" spans="1:72" ht="16" hidden="1" outlineLevel="2" x14ac:dyDescent="0.2">
      <c r="A44" s="47" t="s">
        <v>237</v>
      </c>
      <c r="B44" s="47" t="s">
        <v>238</v>
      </c>
      <c r="AB44" s="49">
        <f>SUM(AB5:AB24,AB25:AB29,AB30:AB39)</f>
        <v>0</v>
      </c>
      <c r="AC44" s="49">
        <f>SUM(AC5:AC24,AC25:AC29,AC30:AC39)</f>
        <v>0</v>
      </c>
      <c r="AD44" s="49">
        <f>SUM(AD5:AD24,AD25:AD29,AD30:AD39)</f>
        <v>2697.4339999999988</v>
      </c>
      <c r="AE44" s="49">
        <f>SUM(AE5:AE24,AE25:AE29,AE30:AE39)</f>
        <v>0</v>
      </c>
      <c r="AZ44" s="49">
        <f>SUM(AZ5:AZ24,AZ25:AZ29,AZ30:AZ39)</f>
        <v>0</v>
      </c>
      <c r="BA44" s="49">
        <f>SUM(BA5:BA24,BA25:BA29,BA30:BA39)</f>
        <v>0</v>
      </c>
      <c r="BB44" s="49">
        <f>SUM(BB5:BB24,BB25:BB29,BB30:BB39)</f>
        <v>2539.6379999999999</v>
      </c>
      <c r="BC44" s="49">
        <f>SUM(BC5:BC24,BC25:BC29,BC30:BC39)</f>
        <v>0</v>
      </c>
    </row>
    <row r="45" spans="1:72" ht="16" hidden="1" outlineLevel="2" x14ac:dyDescent="0.2">
      <c r="B45" s="47" t="s">
        <v>239</v>
      </c>
      <c r="AZ45" s="55" t="e">
        <f>AZ44/AB44</f>
        <v>#DIV/0!</v>
      </c>
      <c r="BA45" s="55" t="e">
        <f>BA44/AC44</f>
        <v>#DIV/0!</v>
      </c>
      <c r="BB45" s="55">
        <f>BB44/AD44</f>
        <v>0.94150144174055828</v>
      </c>
      <c r="BC45" s="55" t="e">
        <f>BC44/AE44</f>
        <v>#DIV/0!</v>
      </c>
    </row>
    <row r="46" spans="1:72" ht="16" hidden="1" outlineLevel="2" x14ac:dyDescent="0.2">
      <c r="B46" s="47" t="s">
        <v>240</v>
      </c>
      <c r="AB46" s="49" t="e">
        <f>GEOMEAN(AB5:AB24,AB25:AB29,AB30:AB39)</f>
        <v>#NUM!</v>
      </c>
      <c r="AC46" s="49" t="e">
        <f>GEOMEAN(AC5:AC24,AC25:AC29,AC30:AC39)</f>
        <v>#NUM!</v>
      </c>
      <c r="AD46" s="49">
        <f>GEOMEAN(AD5:AD24,AD25:AD29,AD30:AD39)</f>
        <v>65.866947080510215</v>
      </c>
      <c r="AE46" s="49" t="e">
        <f>GEOMEAN(AE5:AE24,AE25:AE29,AE30:AE39)</f>
        <v>#NUM!</v>
      </c>
      <c r="AZ46" s="49" t="e">
        <f>GEOMEAN(AZ5:AZ24,AZ25:AZ29,AZ30:AZ39)</f>
        <v>#NUM!</v>
      </c>
      <c r="BA46" s="49" t="e">
        <f>GEOMEAN(BA5:BA24,BA25:BA29,BA30:BA39)</f>
        <v>#NUM!</v>
      </c>
      <c r="BB46" s="49">
        <f>GEOMEAN(BB5:BB24,BB25:BB29,BB30:BB39)</f>
        <v>60.907716179301637</v>
      </c>
      <c r="BC46" s="49" t="e">
        <f>GEOMEAN(BC5:BC24,BC25:BC29,BC30:BC39)</f>
        <v>#NUM!</v>
      </c>
    </row>
    <row r="47" spans="1:72" ht="16" outlineLevel="2" collapsed="1" x14ac:dyDescent="0.2">
      <c r="B47" s="47" t="s">
        <v>241</v>
      </c>
      <c r="AZ47" s="55" t="e">
        <f>AZ46/AB46</f>
        <v>#NUM!</v>
      </c>
      <c r="BA47" s="55" t="e">
        <f>BA46/AC46</f>
        <v>#NUM!</v>
      </c>
      <c r="BB47" s="55">
        <f>BB46/AD46</f>
        <v>0.92470835341515323</v>
      </c>
      <c r="BC47" s="55" t="e">
        <f>BC46/AE46</f>
        <v>#NUM!</v>
      </c>
    </row>
    <row r="50" spans="40:51" x14ac:dyDescent="0.2">
      <c r="AN50" s="58">
        <f>AN5-P5</f>
        <v>0</v>
      </c>
      <c r="AO50" s="58">
        <f t="shared" ref="AO50:AY65" si="15">AO5-Q5</f>
        <v>0</v>
      </c>
      <c r="AP50" s="58">
        <f t="shared" si="15"/>
        <v>0</v>
      </c>
      <c r="AQ50" s="58">
        <f t="shared" si="15"/>
        <v>0</v>
      </c>
      <c r="AR50" s="58">
        <f t="shared" si="15"/>
        <v>0</v>
      </c>
      <c r="AS50" s="58">
        <f t="shared" si="15"/>
        <v>0</v>
      </c>
      <c r="AT50" s="58">
        <f t="shared" si="15"/>
        <v>0</v>
      </c>
      <c r="AU50" s="58">
        <f t="shared" si="15"/>
        <v>0</v>
      </c>
      <c r="AV50" s="58">
        <f t="shared" si="15"/>
        <v>0</v>
      </c>
      <c r="AW50" s="58">
        <f t="shared" si="15"/>
        <v>-1.9530000000003156E-3</v>
      </c>
      <c r="AX50" s="58">
        <f t="shared" si="15"/>
        <v>-4.5219999999943639E-3</v>
      </c>
      <c r="AY50" s="58">
        <f t="shared" si="15"/>
        <v>-8.4599999999994679E-3</v>
      </c>
    </row>
    <row r="51" spans="40:51" x14ac:dyDescent="0.2">
      <c r="AN51" s="58">
        <f t="shared" ref="AN51:AY66" si="16">AN6-P6</f>
        <v>0</v>
      </c>
      <c r="AO51" s="58">
        <f t="shared" si="15"/>
        <v>0</v>
      </c>
      <c r="AP51" s="58">
        <f t="shared" si="15"/>
        <v>0</v>
      </c>
      <c r="AQ51" s="58">
        <f t="shared" si="15"/>
        <v>0</v>
      </c>
      <c r="AR51" s="58">
        <f t="shared" si="15"/>
        <v>0</v>
      </c>
      <c r="AS51" s="58">
        <f t="shared" si="15"/>
        <v>0</v>
      </c>
      <c r="AT51" s="58">
        <f t="shared" si="15"/>
        <v>0</v>
      </c>
      <c r="AU51" s="58">
        <f t="shared" si="15"/>
        <v>0</v>
      </c>
      <c r="AV51" s="58">
        <f t="shared" si="15"/>
        <v>0</v>
      </c>
      <c r="AW51" s="58">
        <f t="shared" si="15"/>
        <v>-1.3059999999995853E-3</v>
      </c>
      <c r="AX51" s="58">
        <f t="shared" si="15"/>
        <v>-1.7720000000025493E-3</v>
      </c>
      <c r="AY51" s="58">
        <f t="shared" si="15"/>
        <v>-2.7839999999983434E-3</v>
      </c>
    </row>
    <row r="52" spans="40:51" x14ac:dyDescent="0.2">
      <c r="AN52" s="58">
        <f t="shared" si="16"/>
        <v>0</v>
      </c>
      <c r="AO52" s="58">
        <f t="shared" si="15"/>
        <v>0</v>
      </c>
      <c r="AP52" s="58">
        <f t="shared" si="15"/>
        <v>0</v>
      </c>
      <c r="AQ52" s="58">
        <f t="shared" si="15"/>
        <v>0</v>
      </c>
      <c r="AR52" s="58">
        <f t="shared" si="15"/>
        <v>0</v>
      </c>
      <c r="AS52" s="58">
        <f t="shared" si="15"/>
        <v>0</v>
      </c>
      <c r="AT52" s="58">
        <f t="shared" si="15"/>
        <v>0</v>
      </c>
      <c r="AU52" s="58">
        <f t="shared" si="15"/>
        <v>0</v>
      </c>
      <c r="AV52" s="58">
        <f t="shared" si="15"/>
        <v>0</v>
      </c>
      <c r="AW52" s="58">
        <f t="shared" si="15"/>
        <v>-1.0589999999979227E-3</v>
      </c>
      <c r="AX52" s="58">
        <f t="shared" si="15"/>
        <v>-4.1500000000027626E-3</v>
      </c>
      <c r="AY52" s="58">
        <f t="shared" si="15"/>
        <v>-4.4589999999971042E-3</v>
      </c>
    </row>
    <row r="53" spans="40:51" x14ac:dyDescent="0.2">
      <c r="AN53" s="58">
        <f t="shared" si="16"/>
        <v>0</v>
      </c>
      <c r="AO53" s="58">
        <f t="shared" si="15"/>
        <v>0</v>
      </c>
      <c r="AP53" s="58">
        <f t="shared" si="15"/>
        <v>0</v>
      </c>
      <c r="AQ53" s="58">
        <f t="shared" si="15"/>
        <v>0</v>
      </c>
      <c r="AR53" s="58">
        <f t="shared" si="15"/>
        <v>0</v>
      </c>
      <c r="AS53" s="58">
        <f t="shared" si="15"/>
        <v>0</v>
      </c>
      <c r="AT53" s="58">
        <f t="shared" si="15"/>
        <v>0</v>
      </c>
      <c r="AU53" s="58">
        <f t="shared" si="15"/>
        <v>0</v>
      </c>
      <c r="AV53" s="58">
        <f t="shared" si="15"/>
        <v>0</v>
      </c>
      <c r="AW53" s="58">
        <f t="shared" si="15"/>
        <v>-1.0469999999997981E-3</v>
      </c>
      <c r="AX53" s="58">
        <f t="shared" si="15"/>
        <v>-1.2070000000008463E-3</v>
      </c>
      <c r="AY53" s="58">
        <f t="shared" si="15"/>
        <v>-4.0290000000027248E-3</v>
      </c>
    </row>
    <row r="54" spans="40:51" x14ac:dyDescent="0.2">
      <c r="AN54" s="58">
        <f t="shared" si="16"/>
        <v>0</v>
      </c>
      <c r="AO54" s="58">
        <f t="shared" si="15"/>
        <v>0</v>
      </c>
      <c r="AP54" s="58">
        <f t="shared" si="15"/>
        <v>0</v>
      </c>
      <c r="AQ54" s="58">
        <f t="shared" si="15"/>
        <v>0</v>
      </c>
      <c r="AR54" s="58">
        <f t="shared" si="15"/>
        <v>0</v>
      </c>
      <c r="AS54" s="58">
        <f t="shared" si="15"/>
        <v>0</v>
      </c>
      <c r="AT54" s="58">
        <f t="shared" si="15"/>
        <v>0</v>
      </c>
      <c r="AU54" s="58">
        <f t="shared" si="15"/>
        <v>0</v>
      </c>
      <c r="AV54" s="58">
        <f t="shared" si="15"/>
        <v>0</v>
      </c>
      <c r="AW54" s="58">
        <f t="shared" si="15"/>
        <v>6.3910000000007017E-3</v>
      </c>
      <c r="AX54" s="58">
        <f t="shared" si="15"/>
        <v>-6.0300000000523823E-4</v>
      </c>
      <c r="AY54" s="58">
        <f t="shared" si="15"/>
        <v>-5.0600000000144973E-4</v>
      </c>
    </row>
    <row r="55" spans="40:51" x14ac:dyDescent="0.2">
      <c r="AN55" s="58">
        <f t="shared" si="16"/>
        <v>0</v>
      </c>
      <c r="AO55" s="58">
        <f t="shared" si="15"/>
        <v>0</v>
      </c>
      <c r="AP55" s="58">
        <f t="shared" si="15"/>
        <v>0</v>
      </c>
      <c r="AQ55" s="58">
        <f t="shared" si="15"/>
        <v>0</v>
      </c>
      <c r="AR55" s="58">
        <f t="shared" si="15"/>
        <v>0</v>
      </c>
      <c r="AS55" s="58">
        <f t="shared" si="15"/>
        <v>0</v>
      </c>
      <c r="AT55" s="58">
        <f t="shared" si="15"/>
        <v>0</v>
      </c>
      <c r="AU55" s="58">
        <f t="shared" si="15"/>
        <v>0</v>
      </c>
      <c r="AV55" s="58">
        <f t="shared" si="15"/>
        <v>0</v>
      </c>
      <c r="AW55" s="58">
        <f t="shared" si="15"/>
        <v>-5.5720000000007985E-3</v>
      </c>
      <c r="AX55" s="58">
        <f t="shared" si="15"/>
        <v>-2.4030000000010432E-3</v>
      </c>
      <c r="AY55" s="58">
        <f t="shared" si="15"/>
        <v>-2.4119999999996367E-3</v>
      </c>
    </row>
    <row r="56" spans="40:51" x14ac:dyDescent="0.2">
      <c r="AN56" s="58">
        <f t="shared" si="16"/>
        <v>0</v>
      </c>
      <c r="AO56" s="58">
        <f t="shared" si="15"/>
        <v>0</v>
      </c>
      <c r="AP56" s="58">
        <f t="shared" si="15"/>
        <v>0</v>
      </c>
      <c r="AQ56" s="58">
        <f t="shared" si="15"/>
        <v>0</v>
      </c>
      <c r="AR56" s="58">
        <f t="shared" si="15"/>
        <v>0</v>
      </c>
      <c r="AS56" s="58">
        <f t="shared" si="15"/>
        <v>0</v>
      </c>
      <c r="AT56" s="58">
        <f t="shared" si="15"/>
        <v>0</v>
      </c>
      <c r="AU56" s="58">
        <f t="shared" si="15"/>
        <v>0</v>
      </c>
      <c r="AV56" s="58">
        <f t="shared" si="15"/>
        <v>0</v>
      </c>
      <c r="AW56" s="58">
        <f t="shared" si="15"/>
        <v>-4.3900000000007822E-3</v>
      </c>
      <c r="AX56" s="58">
        <f t="shared" si="15"/>
        <v>-1.7220000000008895E-3</v>
      </c>
      <c r="AY56" s="58">
        <f t="shared" si="15"/>
        <v>-1.7379999999960205E-3</v>
      </c>
    </row>
    <row r="57" spans="40:51" x14ac:dyDescent="0.2">
      <c r="AN57" s="58">
        <f t="shared" si="16"/>
        <v>0</v>
      </c>
      <c r="AO57" s="58">
        <f t="shared" si="15"/>
        <v>0</v>
      </c>
      <c r="AP57" s="58">
        <f t="shared" si="15"/>
        <v>0</v>
      </c>
      <c r="AQ57" s="58">
        <f t="shared" si="15"/>
        <v>0</v>
      </c>
      <c r="AR57" s="58">
        <f t="shared" si="15"/>
        <v>0</v>
      </c>
      <c r="AS57" s="58">
        <f t="shared" si="15"/>
        <v>0</v>
      </c>
      <c r="AT57" s="58">
        <f t="shared" si="15"/>
        <v>0</v>
      </c>
      <c r="AU57" s="58">
        <f t="shared" si="15"/>
        <v>0</v>
      </c>
      <c r="AV57" s="58">
        <f t="shared" si="15"/>
        <v>0</v>
      </c>
      <c r="AW57" s="58">
        <f t="shared" si="15"/>
        <v>-2.7339999999966835E-3</v>
      </c>
      <c r="AX57" s="58">
        <f t="shared" si="15"/>
        <v>-1.6159999999985075E-3</v>
      </c>
      <c r="AY57" s="58">
        <f t="shared" si="15"/>
        <v>-1.6850000000019349E-3</v>
      </c>
    </row>
    <row r="58" spans="40:51" x14ac:dyDescent="0.2">
      <c r="AN58" s="58">
        <f t="shared" si="16"/>
        <v>0</v>
      </c>
      <c r="AO58" s="58">
        <f t="shared" si="15"/>
        <v>0</v>
      </c>
      <c r="AP58" s="58">
        <f t="shared" si="15"/>
        <v>0</v>
      </c>
      <c r="AQ58" s="58">
        <f t="shared" si="15"/>
        <v>0</v>
      </c>
      <c r="AR58" s="58">
        <f t="shared" si="15"/>
        <v>0</v>
      </c>
      <c r="AS58" s="58">
        <f t="shared" si="15"/>
        <v>0</v>
      </c>
      <c r="AT58" s="58">
        <f t="shared" si="15"/>
        <v>0</v>
      </c>
      <c r="AU58" s="58">
        <f t="shared" si="15"/>
        <v>0</v>
      </c>
      <c r="AV58" s="58">
        <f t="shared" si="15"/>
        <v>0</v>
      </c>
      <c r="AW58" s="58">
        <f t="shared" si="15"/>
        <v>-2.5719999999935794E-3</v>
      </c>
      <c r="AX58" s="58">
        <f t="shared" si="15"/>
        <v>-1.3469999999955462E-3</v>
      </c>
      <c r="AY58" s="58">
        <f t="shared" si="15"/>
        <v>-1.5440000000026544E-3</v>
      </c>
    </row>
    <row r="59" spans="40:51" x14ac:dyDescent="0.2">
      <c r="AN59" s="58">
        <f t="shared" si="16"/>
        <v>0</v>
      </c>
      <c r="AO59" s="58">
        <f t="shared" si="15"/>
        <v>0</v>
      </c>
      <c r="AP59" s="58">
        <f t="shared" si="15"/>
        <v>0</v>
      </c>
      <c r="AQ59" s="58">
        <f t="shared" si="15"/>
        <v>0</v>
      </c>
      <c r="AR59" s="58">
        <f t="shared" si="15"/>
        <v>0</v>
      </c>
      <c r="AS59" s="58">
        <f t="shared" si="15"/>
        <v>0</v>
      </c>
      <c r="AT59" s="58">
        <f t="shared" si="15"/>
        <v>0</v>
      </c>
      <c r="AU59" s="58">
        <f t="shared" si="15"/>
        <v>0</v>
      </c>
      <c r="AV59" s="58">
        <f t="shared" si="15"/>
        <v>0</v>
      </c>
      <c r="AW59" s="58">
        <f t="shared" si="15"/>
        <v>2.7199999999538704E-4</v>
      </c>
      <c r="AX59" s="58">
        <f t="shared" si="15"/>
        <v>-1.206000000003371E-3</v>
      </c>
      <c r="AY59" s="58">
        <f t="shared" si="15"/>
        <v>9.3499999999835381E-4</v>
      </c>
    </row>
    <row r="60" spans="40:51" x14ac:dyDescent="0.2">
      <c r="AN60" s="58">
        <f t="shared" si="16"/>
        <v>0</v>
      </c>
      <c r="AO60" s="58">
        <f t="shared" si="15"/>
        <v>0</v>
      </c>
      <c r="AP60" s="58">
        <f t="shared" si="15"/>
        <v>0</v>
      </c>
      <c r="AQ60" s="58">
        <f t="shared" si="15"/>
        <v>0</v>
      </c>
      <c r="AR60" s="58">
        <f t="shared" si="15"/>
        <v>0</v>
      </c>
      <c r="AS60" s="58">
        <f t="shared" si="15"/>
        <v>0</v>
      </c>
      <c r="AT60" s="58">
        <f t="shared" si="15"/>
        <v>0</v>
      </c>
      <c r="AU60" s="58">
        <f t="shared" si="15"/>
        <v>0</v>
      </c>
      <c r="AV60" s="58">
        <f t="shared" si="15"/>
        <v>0</v>
      </c>
      <c r="AW60" s="58">
        <f t="shared" si="15"/>
        <v>-4.5999999999999375E-3</v>
      </c>
      <c r="AX60" s="58">
        <f t="shared" si="15"/>
        <v>-1.4159999999989736E-3</v>
      </c>
      <c r="AY60" s="58">
        <f t="shared" si="15"/>
        <v>-1.5629999999973165E-3</v>
      </c>
    </row>
    <row r="61" spans="40:51" x14ac:dyDescent="0.2">
      <c r="AN61" s="58">
        <f t="shared" si="16"/>
        <v>0</v>
      </c>
      <c r="AO61" s="58">
        <f t="shared" si="15"/>
        <v>0</v>
      </c>
      <c r="AP61" s="58">
        <f t="shared" si="15"/>
        <v>0</v>
      </c>
      <c r="AQ61" s="58">
        <f t="shared" si="15"/>
        <v>0</v>
      </c>
      <c r="AR61" s="58">
        <f t="shared" si="15"/>
        <v>0</v>
      </c>
      <c r="AS61" s="58">
        <f t="shared" si="15"/>
        <v>0</v>
      </c>
      <c r="AT61" s="58">
        <f t="shared" si="15"/>
        <v>0</v>
      </c>
      <c r="AU61" s="58">
        <f t="shared" si="15"/>
        <v>0</v>
      </c>
      <c r="AV61" s="58">
        <f t="shared" si="15"/>
        <v>0</v>
      </c>
      <c r="AW61" s="58">
        <f t="shared" si="15"/>
        <v>-4.8719999999988772E-3</v>
      </c>
      <c r="AX61" s="58">
        <f t="shared" si="15"/>
        <v>-5.5599999999600414E-4</v>
      </c>
      <c r="AY61" s="58">
        <f t="shared" si="15"/>
        <v>-7.4699999999694455E-4</v>
      </c>
    </row>
    <row r="62" spans="40:51" x14ac:dyDescent="0.2">
      <c r="AN62" s="58">
        <f t="shared" si="16"/>
        <v>0</v>
      </c>
      <c r="AO62" s="58">
        <f t="shared" si="15"/>
        <v>0</v>
      </c>
      <c r="AP62" s="58">
        <f t="shared" si="15"/>
        <v>0</v>
      </c>
      <c r="AQ62" s="58">
        <f t="shared" si="15"/>
        <v>0</v>
      </c>
      <c r="AR62" s="58">
        <f t="shared" si="15"/>
        <v>0</v>
      </c>
      <c r="AS62" s="58">
        <f t="shared" si="15"/>
        <v>0</v>
      </c>
      <c r="AT62" s="58">
        <f t="shared" si="15"/>
        <v>0</v>
      </c>
      <c r="AU62" s="58">
        <f t="shared" si="15"/>
        <v>0</v>
      </c>
      <c r="AV62" s="58">
        <f t="shared" si="15"/>
        <v>0</v>
      </c>
      <c r="AW62" s="58">
        <f t="shared" si="15"/>
        <v>-5.6349999999980582E-3</v>
      </c>
      <c r="AX62" s="58">
        <f t="shared" si="15"/>
        <v>-7.2499999999564579E-4</v>
      </c>
      <c r="AY62" s="58">
        <f t="shared" si="15"/>
        <v>-1.8800000000140926E-4</v>
      </c>
    </row>
    <row r="63" spans="40:51" x14ac:dyDescent="0.2">
      <c r="AN63" s="58">
        <f t="shared" si="16"/>
        <v>0</v>
      </c>
      <c r="AO63" s="58">
        <f t="shared" si="15"/>
        <v>0</v>
      </c>
      <c r="AP63" s="58">
        <f t="shared" si="15"/>
        <v>0</v>
      </c>
      <c r="AQ63" s="58">
        <f t="shared" si="15"/>
        <v>0</v>
      </c>
      <c r="AR63" s="58">
        <f t="shared" si="15"/>
        <v>0</v>
      </c>
      <c r="AS63" s="58">
        <f t="shared" si="15"/>
        <v>0</v>
      </c>
      <c r="AT63" s="58">
        <f t="shared" si="15"/>
        <v>0</v>
      </c>
      <c r="AU63" s="58">
        <f t="shared" si="15"/>
        <v>0</v>
      </c>
      <c r="AV63" s="58">
        <f t="shared" si="15"/>
        <v>0</v>
      </c>
      <c r="AW63" s="58">
        <f t="shared" si="15"/>
        <v>-6.2219999999939546E-3</v>
      </c>
      <c r="AX63" s="58">
        <f t="shared" si="15"/>
        <v>-1.2200000000461841E-4</v>
      </c>
      <c r="AY63" s="58">
        <f t="shared" si="15"/>
        <v>-1.4999999999787406E-4</v>
      </c>
    </row>
    <row r="64" spans="40:51" x14ac:dyDescent="0.2">
      <c r="AN64" s="58">
        <f t="shared" si="16"/>
        <v>0</v>
      </c>
      <c r="AO64" s="58">
        <f t="shared" si="15"/>
        <v>0</v>
      </c>
      <c r="AP64" s="58">
        <f t="shared" si="15"/>
        <v>0</v>
      </c>
      <c r="AQ64" s="58">
        <f t="shared" si="15"/>
        <v>0</v>
      </c>
      <c r="AR64" s="58">
        <f t="shared" si="15"/>
        <v>0</v>
      </c>
      <c r="AS64" s="58">
        <f t="shared" si="15"/>
        <v>0</v>
      </c>
      <c r="AT64" s="58">
        <f t="shared" si="15"/>
        <v>0</v>
      </c>
      <c r="AU64" s="58">
        <f t="shared" si="15"/>
        <v>0</v>
      </c>
      <c r="AV64" s="58">
        <f t="shared" si="15"/>
        <v>0</v>
      </c>
      <c r="AW64" s="58">
        <f t="shared" si="15"/>
        <v>4.690000000024952E-4</v>
      </c>
      <c r="AX64" s="58">
        <f t="shared" si="15"/>
        <v>-1.6560000000040986E-3</v>
      </c>
      <c r="AY64" s="58">
        <f t="shared" si="15"/>
        <v>-2.440999999997473E-3</v>
      </c>
    </row>
    <row r="65" spans="40:51" x14ac:dyDescent="0.2">
      <c r="AN65" s="58">
        <f t="shared" si="16"/>
        <v>0</v>
      </c>
      <c r="AO65" s="58">
        <f t="shared" si="15"/>
        <v>0</v>
      </c>
      <c r="AP65" s="58">
        <f t="shared" si="15"/>
        <v>0</v>
      </c>
      <c r="AQ65" s="58">
        <f t="shared" si="15"/>
        <v>0</v>
      </c>
      <c r="AR65" s="58">
        <f t="shared" si="15"/>
        <v>0</v>
      </c>
      <c r="AS65" s="58">
        <f t="shared" si="15"/>
        <v>0</v>
      </c>
      <c r="AT65" s="58">
        <f t="shared" si="15"/>
        <v>0</v>
      </c>
      <c r="AU65" s="58">
        <f t="shared" si="15"/>
        <v>0</v>
      </c>
      <c r="AV65" s="58">
        <f t="shared" si="15"/>
        <v>0</v>
      </c>
      <c r="AW65" s="58">
        <f t="shared" si="15"/>
        <v>1.1814999999998577E-2</v>
      </c>
      <c r="AX65" s="58">
        <f t="shared" si="15"/>
        <v>2.8529999999946654E-3</v>
      </c>
      <c r="AY65" s="58">
        <f t="shared" si="15"/>
        <v>8.8499999999953616E-3</v>
      </c>
    </row>
    <row r="66" spans="40:51" x14ac:dyDescent="0.2">
      <c r="AN66" s="58">
        <f t="shared" si="16"/>
        <v>0</v>
      </c>
      <c r="AO66" s="58">
        <f t="shared" si="16"/>
        <v>0</v>
      </c>
      <c r="AP66" s="58">
        <f t="shared" si="16"/>
        <v>0</v>
      </c>
      <c r="AQ66" s="58">
        <f t="shared" si="16"/>
        <v>0</v>
      </c>
      <c r="AR66" s="58">
        <f t="shared" si="16"/>
        <v>0</v>
      </c>
      <c r="AS66" s="58">
        <f t="shared" si="16"/>
        <v>0</v>
      </c>
      <c r="AT66" s="58">
        <f t="shared" si="16"/>
        <v>0</v>
      </c>
      <c r="AU66" s="58">
        <f t="shared" si="16"/>
        <v>0</v>
      </c>
      <c r="AV66" s="58">
        <f t="shared" si="16"/>
        <v>0</v>
      </c>
      <c r="AW66" s="58">
        <f t="shared" si="16"/>
        <v>1.1800000000000921E-2</v>
      </c>
      <c r="AX66" s="58">
        <f t="shared" si="16"/>
        <v>7.6940000000007558E-3</v>
      </c>
      <c r="AY66" s="58">
        <f t="shared" si="16"/>
        <v>1.2297000000003777E-2</v>
      </c>
    </row>
    <row r="67" spans="40:51" x14ac:dyDescent="0.2">
      <c r="AN67" s="58">
        <f t="shared" ref="AN67:AY82" si="17">AN22-P22</f>
        <v>0</v>
      </c>
      <c r="AO67" s="58">
        <f t="shared" si="17"/>
        <v>0</v>
      </c>
      <c r="AP67" s="58">
        <f t="shared" si="17"/>
        <v>0</v>
      </c>
      <c r="AQ67" s="58">
        <f t="shared" si="17"/>
        <v>0</v>
      </c>
      <c r="AR67" s="58">
        <f t="shared" si="17"/>
        <v>0</v>
      </c>
      <c r="AS67" s="58">
        <f t="shared" si="17"/>
        <v>0</v>
      </c>
      <c r="AT67" s="58">
        <f t="shared" si="17"/>
        <v>0</v>
      </c>
      <c r="AU67" s="58">
        <f t="shared" si="17"/>
        <v>0</v>
      </c>
      <c r="AV67" s="58">
        <f t="shared" si="17"/>
        <v>0</v>
      </c>
      <c r="AW67" s="58">
        <f t="shared" si="17"/>
        <v>2.2165999999998576E-2</v>
      </c>
      <c r="AX67" s="58">
        <f t="shared" si="17"/>
        <v>2.2546999999995876E-2</v>
      </c>
      <c r="AY67" s="58">
        <f t="shared" si="17"/>
        <v>3.650999999999982E-2</v>
      </c>
    </row>
    <row r="68" spans="40:51" x14ac:dyDescent="0.2">
      <c r="AN68" s="58">
        <f t="shared" si="17"/>
        <v>0</v>
      </c>
      <c r="AO68" s="58">
        <f t="shared" si="17"/>
        <v>0</v>
      </c>
      <c r="AP68" s="58">
        <f t="shared" si="17"/>
        <v>0</v>
      </c>
      <c r="AQ68" s="58">
        <f t="shared" si="17"/>
        <v>0</v>
      </c>
      <c r="AR68" s="58">
        <f t="shared" si="17"/>
        <v>0</v>
      </c>
      <c r="AS68" s="58">
        <f t="shared" si="17"/>
        <v>0</v>
      </c>
      <c r="AT68" s="58">
        <f t="shared" si="17"/>
        <v>0</v>
      </c>
      <c r="AU68" s="58">
        <f t="shared" si="17"/>
        <v>0</v>
      </c>
      <c r="AV68" s="58">
        <f t="shared" si="17"/>
        <v>0</v>
      </c>
      <c r="AW68" s="58">
        <f t="shared" si="17"/>
        <v>-5.6384999999998797E-2</v>
      </c>
      <c r="AX68" s="58">
        <f t="shared" si="17"/>
        <v>2.9434000000001959E-2</v>
      </c>
      <c r="AY68" s="58">
        <f t="shared" si="17"/>
        <v>4.5344000000000051E-2</v>
      </c>
    </row>
    <row r="69" spans="40:51" x14ac:dyDescent="0.2">
      <c r="AN69" s="58">
        <f t="shared" si="17"/>
        <v>0</v>
      </c>
      <c r="AO69" s="58">
        <f t="shared" si="17"/>
        <v>0</v>
      </c>
      <c r="AP69" s="58">
        <f t="shared" si="17"/>
        <v>0</v>
      </c>
      <c r="AQ69" s="58">
        <f t="shared" si="17"/>
        <v>0</v>
      </c>
      <c r="AR69" s="58">
        <f t="shared" si="17"/>
        <v>0</v>
      </c>
      <c r="AS69" s="58">
        <f t="shared" si="17"/>
        <v>0</v>
      </c>
      <c r="AT69" s="58">
        <f t="shared" si="17"/>
        <v>0</v>
      </c>
      <c r="AU69" s="58">
        <f t="shared" si="17"/>
        <v>0</v>
      </c>
      <c r="AV69" s="58">
        <f t="shared" si="17"/>
        <v>0</v>
      </c>
      <c r="AW69" s="58">
        <f t="shared" si="17"/>
        <v>0.14599300000000426</v>
      </c>
      <c r="AX69" s="58">
        <f t="shared" si="17"/>
        <v>8.5762000000002558E-2</v>
      </c>
      <c r="AY69" s="58">
        <f t="shared" si="17"/>
        <v>0.11418699999999404</v>
      </c>
    </row>
    <row r="70" spans="40:51" x14ac:dyDescent="0.2">
      <c r="AN70" s="58">
        <f t="shared" si="17"/>
        <v>0</v>
      </c>
      <c r="AO70" s="58">
        <f t="shared" si="17"/>
        <v>0</v>
      </c>
      <c r="AP70" s="58">
        <f t="shared" si="17"/>
        <v>0</v>
      </c>
      <c r="AQ70" s="58">
        <f t="shared" si="17"/>
        <v>0</v>
      </c>
      <c r="AR70" s="58">
        <f t="shared" si="17"/>
        <v>0</v>
      </c>
      <c r="AS70" s="58">
        <f t="shared" si="17"/>
        <v>0</v>
      </c>
      <c r="AT70" s="58">
        <f t="shared" si="17"/>
        <v>0</v>
      </c>
      <c r="AU70" s="58">
        <f t="shared" si="17"/>
        <v>0</v>
      </c>
      <c r="AV70" s="58">
        <f t="shared" si="17"/>
        <v>0</v>
      </c>
      <c r="AW70" s="58">
        <f t="shared" si="17"/>
        <v>-1.4690000000001646E-3</v>
      </c>
      <c r="AX70" s="58">
        <f t="shared" si="17"/>
        <v>-1.9130000000018299E-3</v>
      </c>
      <c r="AY70" s="58">
        <f t="shared" si="17"/>
        <v>-1.4380000000002724E-3</v>
      </c>
    </row>
    <row r="71" spans="40:51" x14ac:dyDescent="0.2">
      <c r="AN71" s="58">
        <f t="shared" si="17"/>
        <v>0</v>
      </c>
      <c r="AO71" s="58">
        <f t="shared" si="17"/>
        <v>0</v>
      </c>
      <c r="AP71" s="58">
        <f t="shared" si="17"/>
        <v>0</v>
      </c>
      <c r="AQ71" s="58">
        <f t="shared" si="17"/>
        <v>0</v>
      </c>
      <c r="AR71" s="58">
        <f t="shared" si="17"/>
        <v>0</v>
      </c>
      <c r="AS71" s="58">
        <f t="shared" si="17"/>
        <v>0</v>
      </c>
      <c r="AT71" s="58">
        <f t="shared" si="17"/>
        <v>0</v>
      </c>
      <c r="AU71" s="58">
        <f t="shared" si="17"/>
        <v>0</v>
      </c>
      <c r="AV71" s="58">
        <f t="shared" si="17"/>
        <v>0</v>
      </c>
      <c r="AW71" s="58">
        <f t="shared" si="17"/>
        <v>-1.3059999999995853E-3</v>
      </c>
      <c r="AX71" s="58">
        <f t="shared" si="17"/>
        <v>-1.4409999999998035E-3</v>
      </c>
      <c r="AY71" s="58">
        <f t="shared" si="17"/>
        <v>-1.4159999999989736E-3</v>
      </c>
    </row>
    <row r="72" spans="40:51" x14ac:dyDescent="0.2">
      <c r="AN72" s="58">
        <f t="shared" si="17"/>
        <v>0</v>
      </c>
      <c r="AO72" s="58">
        <f t="shared" si="17"/>
        <v>0</v>
      </c>
      <c r="AP72" s="58">
        <f t="shared" si="17"/>
        <v>0</v>
      </c>
      <c r="AQ72" s="58">
        <f t="shared" si="17"/>
        <v>0</v>
      </c>
      <c r="AR72" s="58">
        <f t="shared" si="17"/>
        <v>0</v>
      </c>
      <c r="AS72" s="58">
        <f t="shared" si="17"/>
        <v>0</v>
      </c>
      <c r="AT72" s="58">
        <f t="shared" si="17"/>
        <v>0</v>
      </c>
      <c r="AU72" s="58">
        <f t="shared" si="17"/>
        <v>0</v>
      </c>
      <c r="AV72" s="58">
        <f t="shared" si="17"/>
        <v>0</v>
      </c>
      <c r="AW72" s="58">
        <f t="shared" si="17"/>
        <v>-1.2690000000006307E-3</v>
      </c>
      <c r="AX72" s="58">
        <f t="shared" si="17"/>
        <v>-1.4189999999985048E-3</v>
      </c>
      <c r="AY72" s="58">
        <f t="shared" si="17"/>
        <v>-1.1999999999972033E-3</v>
      </c>
    </row>
    <row r="73" spans="40:51" x14ac:dyDescent="0.2">
      <c r="AN73" s="58">
        <f t="shared" si="17"/>
        <v>0</v>
      </c>
      <c r="AO73" s="58">
        <f t="shared" si="17"/>
        <v>0</v>
      </c>
      <c r="AP73" s="58">
        <f t="shared" si="17"/>
        <v>0</v>
      </c>
      <c r="AQ73" s="58">
        <f t="shared" si="17"/>
        <v>0</v>
      </c>
      <c r="AR73" s="58">
        <f t="shared" si="17"/>
        <v>0</v>
      </c>
      <c r="AS73" s="58">
        <f t="shared" si="17"/>
        <v>0</v>
      </c>
      <c r="AT73" s="58">
        <f t="shared" si="17"/>
        <v>0</v>
      </c>
      <c r="AU73" s="58">
        <f t="shared" si="17"/>
        <v>0</v>
      </c>
      <c r="AV73" s="58">
        <f t="shared" si="17"/>
        <v>0</v>
      </c>
      <c r="AW73" s="58">
        <f t="shared" si="17"/>
        <v>-1.7339999999990141E-3</v>
      </c>
      <c r="AX73" s="58">
        <f t="shared" si="17"/>
        <v>-1.3220000000018217E-3</v>
      </c>
      <c r="AY73" s="58">
        <f t="shared" si="17"/>
        <v>-1.0249999999984993E-3</v>
      </c>
    </row>
    <row r="74" spans="40:51" x14ac:dyDescent="0.2">
      <c r="AN74" s="58">
        <f t="shared" si="17"/>
        <v>0</v>
      </c>
      <c r="AO74" s="58">
        <f t="shared" si="17"/>
        <v>0</v>
      </c>
      <c r="AP74" s="58">
        <f t="shared" si="17"/>
        <v>0</v>
      </c>
      <c r="AQ74" s="58">
        <f t="shared" si="17"/>
        <v>0</v>
      </c>
      <c r="AR74" s="58">
        <f t="shared" si="17"/>
        <v>0</v>
      </c>
      <c r="AS74" s="58">
        <f t="shared" si="17"/>
        <v>0</v>
      </c>
      <c r="AT74" s="58">
        <f t="shared" si="17"/>
        <v>0</v>
      </c>
      <c r="AU74" s="58">
        <f t="shared" si="17"/>
        <v>0</v>
      </c>
      <c r="AV74" s="58">
        <f t="shared" si="17"/>
        <v>0</v>
      </c>
      <c r="AW74" s="58">
        <f t="shared" si="17"/>
        <v>6.2199999999990041E-4</v>
      </c>
      <c r="AX74" s="58">
        <f t="shared" si="17"/>
        <v>-1.6800000000216642E-4</v>
      </c>
      <c r="AY74" s="58">
        <f t="shared" si="17"/>
        <v>9.060000000005175E-4</v>
      </c>
    </row>
    <row r="75" spans="40:51" x14ac:dyDescent="0.2">
      <c r="AN75" s="58">
        <f t="shared" si="17"/>
        <v>0</v>
      </c>
      <c r="AO75" s="58">
        <f t="shared" si="17"/>
        <v>0</v>
      </c>
      <c r="AP75" s="58">
        <f t="shared" si="17"/>
        <v>0</v>
      </c>
      <c r="AQ75" s="58">
        <f t="shared" si="17"/>
        <v>0</v>
      </c>
      <c r="AR75" s="58">
        <f t="shared" si="17"/>
        <v>0</v>
      </c>
      <c r="AS75" s="58">
        <f t="shared" si="17"/>
        <v>0</v>
      </c>
      <c r="AT75" s="58">
        <f t="shared" si="17"/>
        <v>0</v>
      </c>
      <c r="AU75" s="58">
        <f t="shared" si="17"/>
        <v>0</v>
      </c>
      <c r="AV75" s="58">
        <f t="shared" si="17"/>
        <v>0</v>
      </c>
      <c r="AW75" s="58">
        <f t="shared" si="17"/>
        <v>-4.6779999999984057E-3</v>
      </c>
      <c r="AX75" s="58">
        <f t="shared" si="17"/>
        <v>-5.5400000000105365E-4</v>
      </c>
      <c r="AY75" s="58">
        <f t="shared" si="17"/>
        <v>-1.4660000000006335E-3</v>
      </c>
    </row>
    <row r="76" spans="40:51" x14ac:dyDescent="0.2">
      <c r="AN76" s="58">
        <f t="shared" si="17"/>
        <v>0</v>
      </c>
      <c r="AO76" s="58">
        <f t="shared" si="17"/>
        <v>0</v>
      </c>
      <c r="AP76" s="58">
        <f t="shared" si="17"/>
        <v>0</v>
      </c>
      <c r="AQ76" s="58">
        <f t="shared" si="17"/>
        <v>0</v>
      </c>
      <c r="AR76" s="58">
        <f t="shared" si="17"/>
        <v>0</v>
      </c>
      <c r="AS76" s="58">
        <f t="shared" si="17"/>
        <v>0</v>
      </c>
      <c r="AT76" s="58">
        <f t="shared" si="17"/>
        <v>0</v>
      </c>
      <c r="AU76" s="58">
        <f t="shared" si="17"/>
        <v>0</v>
      </c>
      <c r="AV76" s="58">
        <f t="shared" si="17"/>
        <v>0</v>
      </c>
      <c r="AW76" s="58">
        <f t="shared" si="17"/>
        <v>-4.0089999999963766E-3</v>
      </c>
      <c r="AX76" s="58">
        <f t="shared" si="17"/>
        <v>-3.1599999999798456E-4</v>
      </c>
      <c r="AY76" s="58">
        <f t="shared" si="17"/>
        <v>-7.1200000000004593E-4</v>
      </c>
    </row>
    <row r="77" spans="40:51" x14ac:dyDescent="0.2">
      <c r="AN77" s="58">
        <f t="shared" si="17"/>
        <v>0</v>
      </c>
      <c r="AO77" s="58">
        <f t="shared" si="17"/>
        <v>0</v>
      </c>
      <c r="AP77" s="58">
        <f t="shared" si="17"/>
        <v>0</v>
      </c>
      <c r="AQ77" s="58">
        <f t="shared" si="17"/>
        <v>0</v>
      </c>
      <c r="AR77" s="58">
        <f t="shared" si="17"/>
        <v>0</v>
      </c>
      <c r="AS77" s="58">
        <f t="shared" si="17"/>
        <v>0</v>
      </c>
      <c r="AT77" s="58">
        <f t="shared" si="17"/>
        <v>0</v>
      </c>
      <c r="AU77" s="58">
        <f t="shared" si="17"/>
        <v>0</v>
      </c>
      <c r="AV77" s="58">
        <f t="shared" si="17"/>
        <v>0</v>
      </c>
      <c r="AW77" s="58">
        <f t="shared" si="17"/>
        <v>-2.7180000000015525E-3</v>
      </c>
      <c r="AX77" s="58">
        <f t="shared" si="17"/>
        <v>-1.1000000000649379E-4</v>
      </c>
      <c r="AY77" s="58">
        <f t="shared" si="17"/>
        <v>-6.9700000000239015E-4</v>
      </c>
    </row>
    <row r="78" spans="40:51" x14ac:dyDescent="0.2">
      <c r="AN78" s="58">
        <f t="shared" si="17"/>
        <v>0</v>
      </c>
      <c r="AO78" s="58">
        <f t="shared" si="17"/>
        <v>0</v>
      </c>
      <c r="AP78" s="58">
        <f t="shared" si="17"/>
        <v>0</v>
      </c>
      <c r="AQ78" s="58">
        <f t="shared" si="17"/>
        <v>0</v>
      </c>
      <c r="AR78" s="58">
        <f t="shared" si="17"/>
        <v>0</v>
      </c>
      <c r="AS78" s="58">
        <f t="shared" si="17"/>
        <v>0</v>
      </c>
      <c r="AT78" s="58">
        <f t="shared" si="17"/>
        <v>0</v>
      </c>
      <c r="AU78" s="58">
        <f t="shared" si="17"/>
        <v>0</v>
      </c>
      <c r="AV78" s="58">
        <f t="shared" si="17"/>
        <v>0</v>
      </c>
      <c r="AW78" s="58">
        <f t="shared" si="17"/>
        <v>-2.3659999999949832E-3</v>
      </c>
      <c r="AX78" s="58">
        <f t="shared" si="17"/>
        <v>-4.0999999995960934E-5</v>
      </c>
      <c r="AY78" s="58">
        <f t="shared" si="17"/>
        <v>-5.7799999999730289E-4</v>
      </c>
    </row>
    <row r="79" spans="40:51" x14ac:dyDescent="0.2">
      <c r="AN79" s="58">
        <f t="shared" si="17"/>
        <v>0</v>
      </c>
      <c r="AO79" s="58">
        <f t="shared" si="17"/>
        <v>0</v>
      </c>
      <c r="AP79" s="58">
        <f t="shared" si="17"/>
        <v>0</v>
      </c>
      <c r="AQ79" s="58">
        <f t="shared" si="17"/>
        <v>0</v>
      </c>
      <c r="AR79" s="58">
        <f t="shared" si="17"/>
        <v>0</v>
      </c>
      <c r="AS79" s="58">
        <f t="shared" si="17"/>
        <v>0</v>
      </c>
      <c r="AT79" s="58">
        <f t="shared" si="17"/>
        <v>0</v>
      </c>
      <c r="AU79" s="58">
        <f t="shared" si="17"/>
        <v>0</v>
      </c>
      <c r="AV79" s="58">
        <f t="shared" si="17"/>
        <v>0</v>
      </c>
      <c r="AW79" s="58">
        <f t="shared" si="17"/>
        <v>-7.9299999999449255E-4</v>
      </c>
      <c r="AX79" s="58">
        <f t="shared" si="17"/>
        <v>-5.0000000001659828E-5</v>
      </c>
      <c r="AY79" s="58">
        <f t="shared" si="17"/>
        <v>-6.0599999999766396E-4</v>
      </c>
    </row>
    <row r="80" spans="40:51" x14ac:dyDescent="0.2">
      <c r="AN80" s="58">
        <f t="shared" si="17"/>
        <v>0</v>
      </c>
      <c r="AO80" s="58">
        <f t="shared" si="17"/>
        <v>0</v>
      </c>
      <c r="AP80" s="58">
        <f t="shared" si="17"/>
        <v>0</v>
      </c>
      <c r="AQ80" s="58">
        <f t="shared" si="17"/>
        <v>0</v>
      </c>
      <c r="AR80" s="58">
        <f t="shared" si="17"/>
        <v>0</v>
      </c>
      <c r="AS80" s="58">
        <f t="shared" si="17"/>
        <v>0</v>
      </c>
      <c r="AT80" s="58">
        <f t="shared" si="17"/>
        <v>0</v>
      </c>
      <c r="AU80" s="58">
        <f t="shared" si="17"/>
        <v>0</v>
      </c>
      <c r="AV80" s="58">
        <f t="shared" si="17"/>
        <v>0</v>
      </c>
      <c r="AW80" s="58">
        <f t="shared" si="17"/>
        <v>-3.9090000000001623E-3</v>
      </c>
      <c r="AX80" s="58">
        <f t="shared" si="17"/>
        <v>-7.6899999999824331E-4</v>
      </c>
      <c r="AY80" s="58">
        <f t="shared" si="17"/>
        <v>-1.6970000000000596E-3</v>
      </c>
    </row>
    <row r="81" spans="40:51" x14ac:dyDescent="0.2">
      <c r="AN81" s="58">
        <f t="shared" si="17"/>
        <v>0</v>
      </c>
      <c r="AO81" s="58">
        <f t="shared" si="17"/>
        <v>0</v>
      </c>
      <c r="AP81" s="58">
        <f t="shared" si="17"/>
        <v>0</v>
      </c>
      <c r="AQ81" s="58">
        <f t="shared" si="17"/>
        <v>0</v>
      </c>
      <c r="AR81" s="58">
        <f t="shared" si="17"/>
        <v>0</v>
      </c>
      <c r="AS81" s="58">
        <f t="shared" si="17"/>
        <v>0</v>
      </c>
      <c r="AT81" s="58">
        <f t="shared" si="17"/>
        <v>0</v>
      </c>
      <c r="AU81" s="58">
        <f t="shared" si="17"/>
        <v>0</v>
      </c>
      <c r="AV81" s="58">
        <f t="shared" si="17"/>
        <v>0</v>
      </c>
      <c r="AW81" s="58">
        <f t="shared" si="17"/>
        <v>-3.2970000000034361E-3</v>
      </c>
      <c r="AX81" s="58">
        <f t="shared" si="17"/>
        <v>-4.4700000000119644E-4</v>
      </c>
      <c r="AY81" s="58">
        <f t="shared" si="17"/>
        <v>-1.2159999999994398E-3</v>
      </c>
    </row>
    <row r="82" spans="40:51" x14ac:dyDescent="0.2">
      <c r="AN82" s="58">
        <f t="shared" si="17"/>
        <v>0</v>
      </c>
      <c r="AO82" s="58">
        <f t="shared" si="17"/>
        <v>0</v>
      </c>
      <c r="AP82" s="58">
        <f t="shared" si="17"/>
        <v>0</v>
      </c>
      <c r="AQ82" s="58">
        <f t="shared" si="17"/>
        <v>0</v>
      </c>
      <c r="AR82" s="58">
        <f t="shared" si="17"/>
        <v>0</v>
      </c>
      <c r="AS82" s="58">
        <f t="shared" si="17"/>
        <v>0</v>
      </c>
      <c r="AT82" s="58">
        <f t="shared" si="17"/>
        <v>0</v>
      </c>
      <c r="AU82" s="58">
        <f t="shared" si="17"/>
        <v>0</v>
      </c>
      <c r="AV82" s="58">
        <f t="shared" si="17"/>
        <v>0</v>
      </c>
      <c r="AW82" s="58">
        <f t="shared" si="17"/>
        <v>-2.1380000000021937E-3</v>
      </c>
      <c r="AX82" s="58">
        <f t="shared" si="17"/>
        <v>-3.7999999996429779E-5</v>
      </c>
      <c r="AY82" s="58">
        <f t="shared" si="17"/>
        <v>-9.5000000000311502E-4</v>
      </c>
    </row>
    <row r="83" spans="40:51" x14ac:dyDescent="0.2">
      <c r="AN83" s="58">
        <f>AN38-P38</f>
        <v>0</v>
      </c>
      <c r="AO83" s="58">
        <f t="shared" ref="AO83:AY84" si="18">AO38-Q38</f>
        <v>0</v>
      </c>
      <c r="AP83" s="58">
        <f t="shared" si="18"/>
        <v>0</v>
      </c>
      <c r="AQ83" s="58">
        <f t="shared" si="18"/>
        <v>0</v>
      </c>
      <c r="AR83" s="58">
        <f t="shared" si="18"/>
        <v>0</v>
      </c>
      <c r="AS83" s="58">
        <f t="shared" si="18"/>
        <v>0</v>
      </c>
      <c r="AT83" s="58">
        <f t="shared" si="18"/>
        <v>0</v>
      </c>
      <c r="AU83" s="58">
        <f t="shared" si="18"/>
        <v>0</v>
      </c>
      <c r="AV83" s="58">
        <f t="shared" si="18"/>
        <v>0</v>
      </c>
      <c r="AW83" s="58">
        <f t="shared" si="18"/>
        <v>-1.7439999999950828E-3</v>
      </c>
      <c r="AX83" s="58">
        <f t="shared" si="18"/>
        <v>4.7000000002128672E-5</v>
      </c>
      <c r="AY83" s="58">
        <f t="shared" si="18"/>
        <v>-6.3399999999802503E-4</v>
      </c>
    </row>
    <row r="84" spans="40:51" x14ac:dyDescent="0.2">
      <c r="AN84" s="58">
        <f>AN39-P39</f>
        <v>0</v>
      </c>
      <c r="AO84" s="58">
        <f t="shared" si="18"/>
        <v>0</v>
      </c>
      <c r="AP84" s="58">
        <f t="shared" si="18"/>
        <v>0</v>
      </c>
      <c r="AQ84" s="58">
        <f t="shared" si="18"/>
        <v>0</v>
      </c>
      <c r="AR84" s="58">
        <f t="shared" si="18"/>
        <v>0</v>
      </c>
      <c r="AS84" s="58">
        <f t="shared" si="18"/>
        <v>0</v>
      </c>
      <c r="AT84" s="58">
        <f t="shared" si="18"/>
        <v>0</v>
      </c>
      <c r="AU84" s="58">
        <f t="shared" si="18"/>
        <v>0</v>
      </c>
      <c r="AV84" s="58">
        <f t="shared" si="18"/>
        <v>0</v>
      </c>
      <c r="AW84" s="58">
        <f t="shared" si="18"/>
        <v>-7.0900000000051477E-4</v>
      </c>
      <c r="AX84" s="58">
        <f t="shared" si="18"/>
        <v>-2.2799999999989495E-4</v>
      </c>
      <c r="AY84" s="58">
        <f t="shared" si="18"/>
        <v>-1.1719999999968422E-3</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Jungsun Kim</cp:lastModifiedBy>
  <dcterms:created xsi:type="dcterms:W3CDTF">2019-04-23T13:57:55Z</dcterms:created>
  <dcterms:modified xsi:type="dcterms:W3CDTF">2020-10-27T17:23:56Z</dcterms:modified>
</cp:coreProperties>
</file>