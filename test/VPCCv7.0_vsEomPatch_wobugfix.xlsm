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4"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7.1rc/"/>
    </mc:Choice>
  </mc:AlternateContent>
  <xr:revisionPtr revIDLastSave="0" documentId="13_ncr:1_{9970E30E-784B-9348-ACAE-67BC72075B58}" xr6:coauthVersionLast="36" xr6:coauthVersionMax="41" xr10:uidLastSave="{00000000-0000-0000-0000-000000000000}"/>
  <bookViews>
    <workbookView xWindow="7240" yWindow="1900" windowWidth="48520" windowHeight="24440" activeTab="5"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BM11" i="6" l="1"/>
  <c r="BL11" i="6"/>
  <c r="BK11" i="6"/>
  <c r="BJ11" i="6"/>
  <c r="BI11" i="6"/>
  <c r="BM10" i="6"/>
  <c r="BL10" i="6"/>
  <c r="BK10" i="6"/>
  <c r="BJ10" i="6"/>
  <c r="BI10" i="6"/>
  <c r="BM9" i="6"/>
  <c r="BL9" i="6"/>
  <c r="BK9" i="6"/>
  <c r="BJ9" i="6"/>
  <c r="BI9" i="6"/>
  <c r="BM8" i="6"/>
  <c r="BL8" i="6"/>
  <c r="BK8" i="6"/>
  <c r="BJ8" i="6"/>
  <c r="BI8" i="6"/>
  <c r="BM7" i="6"/>
  <c r="BL7" i="6"/>
  <c r="BK7" i="6"/>
  <c r="BJ7" i="6"/>
  <c r="BI7" i="6"/>
  <c r="BM6" i="6"/>
  <c r="BL6" i="6"/>
  <c r="BK6" i="6"/>
  <c r="BJ6" i="6"/>
  <c r="BI6" i="6"/>
  <c r="BM5" i="6"/>
  <c r="BL5" i="6"/>
  <c r="BK5" i="6"/>
  <c r="BJ5" i="6"/>
  <c r="BI5" i="6"/>
  <c r="BM11" i="5"/>
  <c r="BL11" i="5"/>
  <c r="BK11" i="5"/>
  <c r="BJ11" i="5"/>
  <c r="BI11" i="5"/>
  <c r="BM10" i="5"/>
  <c r="BL10" i="5"/>
  <c r="BK10" i="5"/>
  <c r="BJ10" i="5"/>
  <c r="BI10" i="5"/>
  <c r="BM9" i="5"/>
  <c r="BL9" i="5"/>
  <c r="BK9" i="5"/>
  <c r="BJ9" i="5"/>
  <c r="BI9" i="5"/>
  <c r="BM8" i="5"/>
  <c r="BL8" i="5"/>
  <c r="BK8" i="5"/>
  <c r="BJ8" i="5"/>
  <c r="BI8" i="5"/>
  <c r="BM7" i="5"/>
  <c r="BL7" i="5"/>
  <c r="BK7" i="5"/>
  <c r="BJ7" i="5"/>
  <c r="BI7" i="5"/>
  <c r="BM6" i="5"/>
  <c r="BL6" i="5"/>
  <c r="BK6" i="5"/>
  <c r="BJ6" i="5"/>
  <c r="BI6" i="5"/>
  <c r="BM5" i="5"/>
  <c r="BL5" i="5"/>
  <c r="BK5" i="5"/>
  <c r="BJ5" i="5"/>
  <c r="BI5" i="5"/>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CG39" i="3"/>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BC46" i="7"/>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M38" i="7"/>
  <c r="L38" i="7"/>
  <c r="K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K36" i="7"/>
  <c r="J36" i="7"/>
  <c r="I36" i="7"/>
  <c r="BF35" i="7"/>
  <c r="AL35" i="7"/>
  <c r="AK35" i="7"/>
  <c r="AJ35" i="7"/>
  <c r="AH35" i="7"/>
  <c r="AG35" i="7"/>
  <c r="N35" i="7"/>
  <c r="M35" i="7"/>
  <c r="L35" i="7"/>
  <c r="J35" i="7"/>
  <c r="I35" i="7"/>
  <c r="BF34" i="7"/>
  <c r="AL34" i="7"/>
  <c r="AI34" i="7" s="1"/>
  <c r="AK34" i="7"/>
  <c r="AJ34" i="7"/>
  <c r="AH34" i="7"/>
  <c r="AG34" i="7"/>
  <c r="N34" i="7"/>
  <c r="M34" i="7"/>
  <c r="L34" i="7"/>
  <c r="K34" i="7"/>
  <c r="J34" i="7"/>
  <c r="I34" i="7"/>
  <c r="BF33" i="7"/>
  <c r="AL33" i="7"/>
  <c r="AI33" i="7" s="1"/>
  <c r="AK33" i="7"/>
  <c r="AJ33" i="7"/>
  <c r="AH33" i="7"/>
  <c r="AG33" i="7"/>
  <c r="N33" i="7"/>
  <c r="M33" i="7"/>
  <c r="L33" i="7"/>
  <c r="J33" i="7"/>
  <c r="I33" i="7"/>
  <c r="BF32" i="7"/>
  <c r="AL32" i="7"/>
  <c r="AI32" i="7" s="1"/>
  <c r="AK32" i="7"/>
  <c r="AJ32" i="7"/>
  <c r="AH32" i="7"/>
  <c r="AG32" i="7"/>
  <c r="N32" i="7"/>
  <c r="M32" i="7"/>
  <c r="L32" i="7"/>
  <c r="J32" i="7"/>
  <c r="I32" i="7"/>
  <c r="BF31" i="7"/>
  <c r="AL31" i="7"/>
  <c r="AK31" i="7"/>
  <c r="AJ31" i="7"/>
  <c r="AH31" i="7"/>
  <c r="AG31" i="7"/>
  <c r="N31" i="7"/>
  <c r="K31" i="7" s="1"/>
  <c r="M31" i="7"/>
  <c r="L31" i="7"/>
  <c r="J31" i="7"/>
  <c r="I31" i="7"/>
  <c r="BF30" i="7"/>
  <c r="AL30" i="7"/>
  <c r="AK30" i="7"/>
  <c r="AJ30" i="7"/>
  <c r="AH30" i="7"/>
  <c r="AG30" i="7"/>
  <c r="N30" i="7"/>
  <c r="BG30" i="7" s="1"/>
  <c r="M30" i="7"/>
  <c r="L30" i="7"/>
  <c r="J30" i="7"/>
  <c r="J42" i="7" s="1"/>
  <c r="I30" i="7"/>
  <c r="BF29" i="7"/>
  <c r="AL29" i="7"/>
  <c r="AI29" i="7" s="1"/>
  <c r="AK29" i="7"/>
  <c r="AJ29" i="7"/>
  <c r="AH29" i="7"/>
  <c r="AG29" i="7"/>
  <c r="N29" i="7"/>
  <c r="M29" i="7"/>
  <c r="L29" i="7"/>
  <c r="J29" i="7"/>
  <c r="I29" i="7"/>
  <c r="BF28" i="7"/>
  <c r="AL28" i="7"/>
  <c r="AI28" i="7" s="1"/>
  <c r="AK28" i="7"/>
  <c r="AJ28" i="7"/>
  <c r="AH28" i="7"/>
  <c r="AG28" i="7"/>
  <c r="N28" i="7"/>
  <c r="M28" i="7"/>
  <c r="L28" i="7"/>
  <c r="J28" i="7"/>
  <c r="I28" i="7"/>
  <c r="BF27" i="7"/>
  <c r="AL27" i="7"/>
  <c r="AK27" i="7"/>
  <c r="AJ27" i="7"/>
  <c r="AH27" i="7"/>
  <c r="AG27" i="7"/>
  <c r="N27" i="7"/>
  <c r="K27" i="7" s="1"/>
  <c r="M27" i="7"/>
  <c r="L27" i="7"/>
  <c r="J27" i="7"/>
  <c r="I27" i="7"/>
  <c r="BF26" i="7"/>
  <c r="AL26" i="7"/>
  <c r="AI26" i="7" s="1"/>
  <c r="AK26" i="7"/>
  <c r="AJ26" i="7"/>
  <c r="AH26" i="7"/>
  <c r="AG26" i="7"/>
  <c r="N26" i="7"/>
  <c r="K26" i="7" s="1"/>
  <c r="M26" i="7"/>
  <c r="L26" i="7"/>
  <c r="J26" i="7"/>
  <c r="I26" i="7"/>
  <c r="BF25" i="7"/>
  <c r="AL25" i="7"/>
  <c r="AK25" i="7"/>
  <c r="AJ25" i="7"/>
  <c r="AH25" i="7"/>
  <c r="AH41" i="7" s="1"/>
  <c r="AG25" i="7"/>
  <c r="N25" i="7"/>
  <c r="M25" i="7"/>
  <c r="M41" i="7" s="1"/>
  <c r="L25" i="7"/>
  <c r="J25" i="7"/>
  <c r="I25" i="7"/>
  <c r="BF24" i="7"/>
  <c r="AL24" i="7"/>
  <c r="AI24" i="7" s="1"/>
  <c r="AK24" i="7"/>
  <c r="AJ24" i="7"/>
  <c r="AH24" i="7"/>
  <c r="AG24" i="7"/>
  <c r="N24" i="7"/>
  <c r="M24" i="7"/>
  <c r="L24" i="7"/>
  <c r="J24" i="7"/>
  <c r="I24" i="7"/>
  <c r="BF23" i="7"/>
  <c r="AL23" i="7"/>
  <c r="AK23" i="7"/>
  <c r="AJ23" i="7"/>
  <c r="AH23" i="7"/>
  <c r="AG23" i="7"/>
  <c r="N23" i="7"/>
  <c r="K23" i="7" s="1"/>
  <c r="M23" i="7"/>
  <c r="L23" i="7"/>
  <c r="J23" i="7"/>
  <c r="I23" i="7"/>
  <c r="BF22" i="7"/>
  <c r="AL22" i="7"/>
  <c r="AI22" i="7" s="1"/>
  <c r="AK22" i="7"/>
  <c r="AJ22" i="7"/>
  <c r="AH22" i="7"/>
  <c r="AG22" i="7"/>
  <c r="N22" i="7"/>
  <c r="M22" i="7"/>
  <c r="L22" i="7"/>
  <c r="K22" i="7"/>
  <c r="J22" i="7"/>
  <c r="I22" i="7"/>
  <c r="BF21" i="7"/>
  <c r="AL21" i="7"/>
  <c r="AI21" i="7" s="1"/>
  <c r="BE21" i="7" s="1"/>
  <c r="AK21" i="7"/>
  <c r="AJ21" i="7"/>
  <c r="AH21" i="7"/>
  <c r="AG21" i="7"/>
  <c r="N21" i="7"/>
  <c r="K21" i="7" s="1"/>
  <c r="M21" i="7"/>
  <c r="L21" i="7"/>
  <c r="J21" i="7"/>
  <c r="I21" i="7"/>
  <c r="BH20" i="7" a="1"/>
  <c r="BF20" i="7"/>
  <c r="AL20" i="7"/>
  <c r="AI20" i="7" s="1"/>
  <c r="AK20" i="7"/>
  <c r="AJ20" i="7"/>
  <c r="AH20" i="7"/>
  <c r="AG20" i="7"/>
  <c r="N20" i="7"/>
  <c r="M20" i="7"/>
  <c r="L20" i="7"/>
  <c r="J20" i="7"/>
  <c r="I20" i="7"/>
  <c r="BF19" i="7"/>
  <c r="AL19" i="7"/>
  <c r="AK19" i="7"/>
  <c r="AJ19" i="7"/>
  <c r="AH19" i="7"/>
  <c r="AG19" i="7"/>
  <c r="N19" i="7"/>
  <c r="K19" i="7" s="1"/>
  <c r="M19" i="7"/>
  <c r="L19" i="7"/>
  <c r="J19" i="7"/>
  <c r="I19" i="7"/>
  <c r="BF18" i="7"/>
  <c r="AL18" i="7"/>
  <c r="AI18" i="7" s="1"/>
  <c r="AK18" i="7"/>
  <c r="AJ18" i="7"/>
  <c r="AH18" i="7"/>
  <c r="AG18" i="7"/>
  <c r="N18" i="7"/>
  <c r="K18" i="7" s="1"/>
  <c r="M18" i="7"/>
  <c r="L18" i="7"/>
  <c r="J18" i="7"/>
  <c r="I18" i="7"/>
  <c r="BF17" i="7"/>
  <c r="AL17" i="7"/>
  <c r="AI17" i="7" s="1"/>
  <c r="AK17" i="7"/>
  <c r="AJ17" i="7"/>
  <c r="AH17" i="7"/>
  <c r="AG17" i="7"/>
  <c r="N17" i="7"/>
  <c r="K17" i="7" s="1"/>
  <c r="M17" i="7"/>
  <c r="L17" i="7"/>
  <c r="J17" i="7"/>
  <c r="I17" i="7"/>
  <c r="BF16" i="7"/>
  <c r="AL16" i="7"/>
  <c r="AI16" i="7" s="1"/>
  <c r="AK16" i="7"/>
  <c r="AJ16" i="7"/>
  <c r="AH16" i="7"/>
  <c r="AG16" i="7"/>
  <c r="N16" i="7"/>
  <c r="M16" i="7"/>
  <c r="L16" i="7"/>
  <c r="J16" i="7"/>
  <c r="I16" i="7"/>
  <c r="BF15" i="7"/>
  <c r="AL15" i="7"/>
  <c r="AK15" i="7"/>
  <c r="AJ15" i="7"/>
  <c r="AH15" i="7"/>
  <c r="AG15" i="7"/>
  <c r="N15" i="7"/>
  <c r="M15" i="7"/>
  <c r="L15" i="7"/>
  <c r="J15" i="7"/>
  <c r="I15" i="7"/>
  <c r="BF14" i="7"/>
  <c r="AL14" i="7"/>
  <c r="AI14" i="7" s="1"/>
  <c r="AK14" i="7"/>
  <c r="AJ14" i="7"/>
  <c r="AH14" i="7"/>
  <c r="AG14" i="7"/>
  <c r="N14" i="7"/>
  <c r="M14" i="7"/>
  <c r="L14" i="7"/>
  <c r="K14" i="7"/>
  <c r="J14" i="7"/>
  <c r="I14" i="7"/>
  <c r="BF13" i="7"/>
  <c r="AL13" i="7"/>
  <c r="AI13" i="7" s="1"/>
  <c r="AK13" i="7"/>
  <c r="AJ13" i="7"/>
  <c r="AH13" i="7"/>
  <c r="AG13" i="7"/>
  <c r="N13" i="7"/>
  <c r="M13" i="7"/>
  <c r="L13" i="7"/>
  <c r="J13" i="7"/>
  <c r="I13" i="7"/>
  <c r="BF12" i="7"/>
  <c r="AL12" i="7"/>
  <c r="AI12" i="7" s="1"/>
  <c r="AK12" i="7"/>
  <c r="AJ12" i="7"/>
  <c r="AH12" i="7"/>
  <c r="AG12" i="7"/>
  <c r="N12" i="7"/>
  <c r="M12" i="7"/>
  <c r="L12" i="7"/>
  <c r="J12" i="7"/>
  <c r="I12" i="7"/>
  <c r="BF11" i="7"/>
  <c r="AL11" i="7"/>
  <c r="AK11" i="7"/>
  <c r="AJ11" i="7"/>
  <c r="AH11" i="7"/>
  <c r="AG11" i="7"/>
  <c r="N11" i="7"/>
  <c r="K11" i="7" s="1"/>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I8" i="7" s="1"/>
  <c r="AK8" i="7"/>
  <c r="AJ8" i="7"/>
  <c r="AH8" i="7"/>
  <c r="AG8" i="7"/>
  <c r="N8" i="7"/>
  <c r="M8" i="7"/>
  <c r="L8" i="7"/>
  <c r="J8" i="7"/>
  <c r="I8" i="7"/>
  <c r="BF7" i="7"/>
  <c r="AL7" i="7"/>
  <c r="AK7" i="7"/>
  <c r="AJ7" i="7"/>
  <c r="AH7" i="7"/>
  <c r="AG7" i="7"/>
  <c r="N7" i="7"/>
  <c r="K7" i="7" s="1"/>
  <c r="M7" i="7"/>
  <c r="L7" i="7"/>
  <c r="J7" i="7"/>
  <c r="I7" i="7"/>
  <c r="BF6" i="7"/>
  <c r="AL6" i="7"/>
  <c r="AI6" i="7" s="1"/>
  <c r="AK6" i="7"/>
  <c r="AJ6" i="7"/>
  <c r="AH6" i="7"/>
  <c r="AG6" i="7"/>
  <c r="N6" i="7"/>
  <c r="K6" i="7" s="1"/>
  <c r="M6" i="7"/>
  <c r="L6" i="7"/>
  <c r="J6" i="7"/>
  <c r="I6" i="7"/>
  <c r="BF5" i="7"/>
  <c r="AL5" i="7"/>
  <c r="AK5" i="7"/>
  <c r="AJ5" i="7"/>
  <c r="AH5" i="7"/>
  <c r="AG5" i="7"/>
  <c r="N5" i="7"/>
  <c r="M5" i="7"/>
  <c r="L5" i="7"/>
  <c r="J5" i="7"/>
  <c r="J43" i="7" s="1"/>
  <c r="I5" i="7"/>
  <c r="AZ18" i="6"/>
  <c r="AY18" i="6"/>
  <c r="AX18" i="6"/>
  <c r="AW18" i="6"/>
  <c r="AC18" i="6"/>
  <c r="AB18" i="6"/>
  <c r="AA18" i="6"/>
  <c r="Z18" i="6"/>
  <c r="AZ16" i="6"/>
  <c r="AY16" i="6"/>
  <c r="AX16" i="6"/>
  <c r="AW16" i="6"/>
  <c r="AC16" i="6"/>
  <c r="AB16" i="6"/>
  <c r="AA16" i="6"/>
  <c r="Z16" i="6"/>
  <c r="AK11" i="6"/>
  <c r="AJ11" i="6"/>
  <c r="AI11" i="6"/>
  <c r="AG11" i="6"/>
  <c r="AF11" i="6"/>
  <c r="AE11" i="6"/>
  <c r="N11" i="6"/>
  <c r="K11" i="6" s="1"/>
  <c r="M11" i="6"/>
  <c r="L11" i="6"/>
  <c r="BD11" i="6" s="1"/>
  <c r="J11" i="6"/>
  <c r="I11" i="6"/>
  <c r="H11" i="6"/>
  <c r="AK10" i="6"/>
  <c r="AH10" i="6" s="1"/>
  <c r="AJ10" i="6"/>
  <c r="AI10" i="6"/>
  <c r="AG10" i="6"/>
  <c r="AF10" i="6"/>
  <c r="AE10" i="6"/>
  <c r="N10" i="6"/>
  <c r="M10" i="6"/>
  <c r="L10" i="6"/>
  <c r="K10" i="6"/>
  <c r="J10" i="6"/>
  <c r="I10" i="6"/>
  <c r="H10" i="6"/>
  <c r="AK9" i="6"/>
  <c r="AJ9" i="6"/>
  <c r="AJ13" i="6" s="1"/>
  <c r="AI9" i="6"/>
  <c r="AI13" i="6" s="1"/>
  <c r="AG9" i="6"/>
  <c r="BB9" i="6" s="1"/>
  <c r="AF9" i="6"/>
  <c r="AE9" i="6"/>
  <c r="N9" i="6"/>
  <c r="K9" i="6" s="1"/>
  <c r="K13" i="6" s="1"/>
  <c r="M9" i="6"/>
  <c r="M13" i="6" s="1"/>
  <c r="L9" i="6"/>
  <c r="J9" i="6"/>
  <c r="J13" i="6" s="1"/>
  <c r="I9" i="6"/>
  <c r="H9" i="6"/>
  <c r="AK8" i="6"/>
  <c r="AJ8" i="6"/>
  <c r="AI8" i="6"/>
  <c r="AG8" i="6"/>
  <c r="BB8" i="6" s="1"/>
  <c r="AF8" i="6"/>
  <c r="AE8" i="6"/>
  <c r="N8" i="6"/>
  <c r="K8" i="6" s="1"/>
  <c r="M8" i="6"/>
  <c r="L8" i="6"/>
  <c r="J8" i="6"/>
  <c r="I8" i="6"/>
  <c r="H8" i="6"/>
  <c r="AK7" i="6"/>
  <c r="AH7" i="6" s="1"/>
  <c r="AJ7" i="6"/>
  <c r="AI7" i="6"/>
  <c r="AG7" i="6"/>
  <c r="AF7" i="6"/>
  <c r="AE7" i="6"/>
  <c r="N7" i="6"/>
  <c r="M7" i="6"/>
  <c r="L7" i="6"/>
  <c r="J7" i="6"/>
  <c r="I7" i="6"/>
  <c r="H7" i="6"/>
  <c r="BG6" i="6" a="1"/>
  <c r="AK6" i="6"/>
  <c r="AH6" i="6" s="1"/>
  <c r="AJ6" i="6"/>
  <c r="AI6" i="6"/>
  <c r="AG6" i="6"/>
  <c r="AF6" i="6"/>
  <c r="AE6" i="6"/>
  <c r="N6" i="6"/>
  <c r="M6" i="6"/>
  <c r="L6" i="6"/>
  <c r="J6" i="6"/>
  <c r="I6" i="6"/>
  <c r="H6" i="6"/>
  <c r="AK5" i="6"/>
  <c r="AJ5" i="6"/>
  <c r="AI5" i="6"/>
  <c r="AG5" i="6"/>
  <c r="AF5" i="6"/>
  <c r="AE5" i="6"/>
  <c r="N5" i="6"/>
  <c r="K5" i="6" s="1"/>
  <c r="M5" i="6"/>
  <c r="L5" i="6"/>
  <c r="J5" i="6"/>
  <c r="I5" i="6"/>
  <c r="H5" i="6"/>
  <c r="AZ18" i="5"/>
  <c r="AY18" i="5"/>
  <c r="AX18" i="5"/>
  <c r="AW18" i="5"/>
  <c r="AC18" i="5"/>
  <c r="AB18" i="5"/>
  <c r="AA18" i="5"/>
  <c r="Z18" i="5"/>
  <c r="AZ16" i="5"/>
  <c r="AY16" i="5"/>
  <c r="AX16" i="5"/>
  <c r="AW16" i="5"/>
  <c r="AC16" i="5"/>
  <c r="AB16" i="5"/>
  <c r="AA16" i="5"/>
  <c r="Z16" i="5"/>
  <c r="BG11" i="5" a="1"/>
  <c r="AK11" i="5"/>
  <c r="AH11" i="5" s="1"/>
  <c r="AJ11" i="5"/>
  <c r="AI11" i="5"/>
  <c r="AG11" i="5"/>
  <c r="AF11" i="5"/>
  <c r="AE11" i="5"/>
  <c r="N11" i="5"/>
  <c r="K11" i="5" s="1"/>
  <c r="M11" i="5"/>
  <c r="L11" i="5"/>
  <c r="J11" i="5"/>
  <c r="I11" i="5"/>
  <c r="H11" i="5"/>
  <c r="BG10" i="5" a="1"/>
  <c r="AK10" i="5"/>
  <c r="AJ10" i="5"/>
  <c r="AI10" i="5"/>
  <c r="AI14" i="5" s="1"/>
  <c r="AG10" i="5"/>
  <c r="AF10" i="5"/>
  <c r="AE10" i="5"/>
  <c r="N10" i="5"/>
  <c r="K10" i="5" s="1"/>
  <c r="M10" i="5"/>
  <c r="L10" i="5"/>
  <c r="J10" i="5"/>
  <c r="J14" i="5" s="1"/>
  <c r="I10" i="5"/>
  <c r="H10" i="5"/>
  <c r="AK9" i="5"/>
  <c r="BF9" i="5" s="1"/>
  <c r="AJ9" i="5"/>
  <c r="AJ13" i="5" s="1"/>
  <c r="AI9" i="5"/>
  <c r="AI13" i="5" s="1"/>
  <c r="AG9" i="5"/>
  <c r="AG13" i="5" s="1"/>
  <c r="AF9" i="5"/>
  <c r="AE9" i="5"/>
  <c r="N9" i="5"/>
  <c r="K9" i="5" s="1"/>
  <c r="K13" i="5" s="1"/>
  <c r="M9" i="5"/>
  <c r="M13" i="5" s="1"/>
  <c r="L9" i="5"/>
  <c r="J9" i="5"/>
  <c r="I9" i="5"/>
  <c r="H9" i="5"/>
  <c r="AK8" i="5"/>
  <c r="BG8" i="5" s="1" a="1"/>
  <c r="AJ8" i="5"/>
  <c r="AI8" i="5"/>
  <c r="AG8" i="5"/>
  <c r="AF8" i="5"/>
  <c r="AE8" i="5"/>
  <c r="N8" i="5"/>
  <c r="BF8" i="5" s="1"/>
  <c r="M8" i="5"/>
  <c r="BE8" i="5" s="1"/>
  <c r="L8" i="5"/>
  <c r="J8" i="5"/>
  <c r="BB8" i="5" s="1"/>
  <c r="I8" i="5"/>
  <c r="H8" i="5"/>
  <c r="BG7" i="5" a="1"/>
  <c r="AK7" i="5"/>
  <c r="AH7" i="5" s="1"/>
  <c r="AJ7" i="5"/>
  <c r="AI7" i="5"/>
  <c r="AG7" i="5"/>
  <c r="AF7" i="5"/>
  <c r="AE7" i="5"/>
  <c r="N7" i="5"/>
  <c r="M7" i="5"/>
  <c r="L7" i="5"/>
  <c r="J7" i="5"/>
  <c r="I7" i="5"/>
  <c r="H7" i="5"/>
  <c r="BG6" i="5" a="1"/>
  <c r="AK6" i="5"/>
  <c r="AJ6" i="5"/>
  <c r="AI6" i="5"/>
  <c r="AG6" i="5"/>
  <c r="AF6" i="5"/>
  <c r="AE6" i="5"/>
  <c r="N6" i="5"/>
  <c r="M6" i="5"/>
  <c r="BE6" i="5" s="1"/>
  <c r="L6" i="5"/>
  <c r="K6" i="5"/>
  <c r="J6" i="5"/>
  <c r="I6" i="5"/>
  <c r="H6" i="5"/>
  <c r="AK5" i="5"/>
  <c r="AH5" i="5" s="1"/>
  <c r="AJ5" i="5"/>
  <c r="BE5" i="5" s="1"/>
  <c r="AI5" i="5"/>
  <c r="AG5" i="5"/>
  <c r="AG15" i="5" s="1"/>
  <c r="AF5" i="5"/>
  <c r="AE5" i="5"/>
  <c r="N5" i="5"/>
  <c r="K5" i="5" s="1"/>
  <c r="M5" i="5"/>
  <c r="M12" i="5" s="1"/>
  <c r="L5" i="5"/>
  <c r="J5" i="5"/>
  <c r="I5" i="5"/>
  <c r="H5" i="5"/>
  <c r="BC46" i="3"/>
  <c r="BB46" i="3"/>
  <c r="BA46" i="3"/>
  <c r="AZ46" i="3"/>
  <c r="AE46" i="3"/>
  <c r="AD46" i="3"/>
  <c r="AC46" i="3"/>
  <c r="AB46" i="3"/>
  <c r="BC44" i="3"/>
  <c r="BB44" i="3"/>
  <c r="BA44" i="3"/>
  <c r="AZ44" i="3"/>
  <c r="AE44" i="3"/>
  <c r="AD44" i="3"/>
  <c r="BB45" i="3" s="1"/>
  <c r="AC44" i="3"/>
  <c r="AB44" i="3"/>
  <c r="BF39" i="3"/>
  <c r="AL39" i="3"/>
  <c r="AK39" i="3"/>
  <c r="AJ39" i="3"/>
  <c r="AH39" i="3"/>
  <c r="AG39" i="3"/>
  <c r="N39" i="3"/>
  <c r="K39" i="3" s="1"/>
  <c r="M39" i="3"/>
  <c r="L39" i="3"/>
  <c r="J39" i="3"/>
  <c r="I39" i="3"/>
  <c r="BF38" i="3"/>
  <c r="AL38" i="3"/>
  <c r="AI38" i="3" s="1"/>
  <c r="AK38" i="3"/>
  <c r="AJ38" i="3"/>
  <c r="AH38" i="3"/>
  <c r="AG38" i="3"/>
  <c r="N38" i="3"/>
  <c r="M38" i="3"/>
  <c r="L38" i="3"/>
  <c r="K38" i="3"/>
  <c r="J38" i="3"/>
  <c r="I38" i="3"/>
  <c r="BF37" i="3"/>
  <c r="AL37" i="3"/>
  <c r="AI37" i="3" s="1"/>
  <c r="AK37" i="3"/>
  <c r="AJ37" i="3"/>
  <c r="AH37" i="3"/>
  <c r="AG37" i="3"/>
  <c r="N37" i="3"/>
  <c r="M37" i="3"/>
  <c r="L37" i="3"/>
  <c r="J37" i="3"/>
  <c r="I37" i="3"/>
  <c r="BF36" i="3"/>
  <c r="AL36" i="3"/>
  <c r="AI36" i="3" s="1"/>
  <c r="AK36" i="3"/>
  <c r="AJ36" i="3"/>
  <c r="AH36" i="3"/>
  <c r="AG36" i="3"/>
  <c r="N36" i="3"/>
  <c r="K36" i="3" s="1"/>
  <c r="M36" i="3"/>
  <c r="L36" i="3"/>
  <c r="J36" i="3"/>
  <c r="I36" i="3"/>
  <c r="BF35" i="3"/>
  <c r="AL35" i="3"/>
  <c r="AK35" i="3"/>
  <c r="AJ35" i="3"/>
  <c r="AH35" i="3"/>
  <c r="AG35" i="3"/>
  <c r="N35" i="3"/>
  <c r="M35" i="3"/>
  <c r="L35" i="3"/>
  <c r="K35" i="3"/>
  <c r="J35" i="3"/>
  <c r="I35" i="3"/>
  <c r="BF34" i="3"/>
  <c r="AL34" i="3"/>
  <c r="AI34" i="3" s="1"/>
  <c r="AK34" i="3"/>
  <c r="AJ34" i="3"/>
  <c r="AH34" i="3"/>
  <c r="AG34" i="3"/>
  <c r="N34" i="3"/>
  <c r="M34" i="3"/>
  <c r="L34" i="3"/>
  <c r="J34" i="3"/>
  <c r="I34" i="3"/>
  <c r="BF33" i="3"/>
  <c r="AL33" i="3"/>
  <c r="AI33" i="3" s="1"/>
  <c r="AK33" i="3"/>
  <c r="AJ33" i="3"/>
  <c r="AH33" i="3"/>
  <c r="AG33" i="3"/>
  <c r="N33" i="3"/>
  <c r="M33" i="3"/>
  <c r="L33" i="3"/>
  <c r="J33" i="3"/>
  <c r="I33" i="3"/>
  <c r="BF32" i="3"/>
  <c r="AL32" i="3"/>
  <c r="AI32" i="3" s="1"/>
  <c r="BE32" i="3" s="1"/>
  <c r="AK32" i="3"/>
  <c r="AJ32" i="3"/>
  <c r="AH32" i="3"/>
  <c r="AG32" i="3"/>
  <c r="N32" i="3"/>
  <c r="K32" i="3" s="1"/>
  <c r="M32" i="3"/>
  <c r="L32" i="3"/>
  <c r="J32" i="3"/>
  <c r="I32" i="3"/>
  <c r="BF31" i="3"/>
  <c r="AL31" i="3"/>
  <c r="AK31" i="3"/>
  <c r="AJ31" i="3"/>
  <c r="AH31" i="3"/>
  <c r="AG31" i="3"/>
  <c r="N31" i="3"/>
  <c r="K31" i="3" s="1"/>
  <c r="M31" i="3"/>
  <c r="L31" i="3"/>
  <c r="J31" i="3"/>
  <c r="I31" i="3"/>
  <c r="BF30" i="3"/>
  <c r="AL30" i="3"/>
  <c r="BH30" i="3" s="1" a="1"/>
  <c r="AK30" i="3"/>
  <c r="AJ30" i="3"/>
  <c r="AH30" i="3"/>
  <c r="AG30" i="3"/>
  <c r="N30" i="3"/>
  <c r="M30" i="3"/>
  <c r="L30" i="3"/>
  <c r="K30" i="3"/>
  <c r="J30" i="3"/>
  <c r="I30" i="3"/>
  <c r="BF29" i="3"/>
  <c r="AL29" i="3"/>
  <c r="AI29" i="3" s="1"/>
  <c r="AK29" i="3"/>
  <c r="AJ29" i="3"/>
  <c r="AH29" i="3"/>
  <c r="AG29" i="3"/>
  <c r="N29" i="3"/>
  <c r="M29" i="3"/>
  <c r="L29" i="3"/>
  <c r="J29" i="3"/>
  <c r="I29" i="3"/>
  <c r="BF28" i="3"/>
  <c r="AL28" i="3"/>
  <c r="BG28" i="3" s="1"/>
  <c r="AK28" i="3"/>
  <c r="AJ28" i="3"/>
  <c r="AH28" i="3"/>
  <c r="AG28" i="3"/>
  <c r="N28" i="3"/>
  <c r="K28" i="3" s="1"/>
  <c r="M28" i="3"/>
  <c r="L28" i="3"/>
  <c r="J28" i="3"/>
  <c r="I28" i="3"/>
  <c r="BF27" i="3"/>
  <c r="AL27" i="3"/>
  <c r="BG27" i="3" s="1"/>
  <c r="AK27" i="3"/>
  <c r="AJ27" i="3"/>
  <c r="AH27" i="3"/>
  <c r="AG27" i="3"/>
  <c r="N27" i="3"/>
  <c r="M27" i="3"/>
  <c r="L27" i="3"/>
  <c r="K27" i="3"/>
  <c r="J27" i="3"/>
  <c r="I27" i="3"/>
  <c r="BF26" i="3"/>
  <c r="AL26" i="3"/>
  <c r="AI26" i="3" s="1"/>
  <c r="AK26" i="3"/>
  <c r="AJ26" i="3"/>
  <c r="AH26" i="3"/>
  <c r="AG26" i="3"/>
  <c r="N26" i="3"/>
  <c r="K26" i="3" s="1"/>
  <c r="M26" i="3"/>
  <c r="L26" i="3"/>
  <c r="J26" i="3"/>
  <c r="I26" i="3"/>
  <c r="BF25" i="3"/>
  <c r="AL25" i="3"/>
  <c r="AI25" i="3" s="1"/>
  <c r="AK25" i="3"/>
  <c r="AJ25" i="3"/>
  <c r="AH25" i="3"/>
  <c r="AG25" i="3"/>
  <c r="N25" i="3"/>
  <c r="BG25" i="3" s="1"/>
  <c r="M25" i="3"/>
  <c r="M41" i="3" s="1"/>
  <c r="L25" i="3"/>
  <c r="K25" i="3"/>
  <c r="J25" i="3"/>
  <c r="I25" i="3"/>
  <c r="BF24" i="3"/>
  <c r="AL24" i="3"/>
  <c r="AI24" i="3" s="1"/>
  <c r="AK24" i="3"/>
  <c r="AJ24" i="3"/>
  <c r="AH24" i="3"/>
  <c r="AG24" i="3"/>
  <c r="N24" i="3"/>
  <c r="K24" i="3" s="1"/>
  <c r="M24" i="3"/>
  <c r="L24" i="3"/>
  <c r="J24" i="3"/>
  <c r="I24" i="3"/>
  <c r="BF23" i="3"/>
  <c r="AL23" i="3"/>
  <c r="AI23" i="3" s="1"/>
  <c r="AK23" i="3"/>
  <c r="AJ23" i="3"/>
  <c r="AH23" i="3"/>
  <c r="AG23" i="3"/>
  <c r="N23" i="3"/>
  <c r="BG23" i="3" s="1"/>
  <c r="M23" i="3"/>
  <c r="L23" i="3"/>
  <c r="J23" i="3"/>
  <c r="I23" i="3"/>
  <c r="BF22" i="3"/>
  <c r="AL22" i="3"/>
  <c r="AI22" i="3" s="1"/>
  <c r="AK22" i="3"/>
  <c r="AJ22" i="3"/>
  <c r="AH22" i="3"/>
  <c r="AG22" i="3"/>
  <c r="N22" i="3"/>
  <c r="K22" i="3" s="1"/>
  <c r="M22" i="3"/>
  <c r="L22" i="3"/>
  <c r="J22" i="3"/>
  <c r="I22" i="3"/>
  <c r="BF21" i="3"/>
  <c r="AL21" i="3"/>
  <c r="AI21" i="3" s="1"/>
  <c r="AK21" i="3"/>
  <c r="AJ21" i="3"/>
  <c r="AH21" i="3"/>
  <c r="AG21" i="3"/>
  <c r="N21" i="3"/>
  <c r="K21" i="3" s="1"/>
  <c r="M21" i="3"/>
  <c r="L21" i="3"/>
  <c r="J21" i="3"/>
  <c r="I21" i="3"/>
  <c r="BF20" i="3"/>
  <c r="AL20" i="3"/>
  <c r="AK20" i="3"/>
  <c r="AJ20" i="3"/>
  <c r="AH20" i="3"/>
  <c r="AG20" i="3"/>
  <c r="N20" i="3"/>
  <c r="M20" i="3"/>
  <c r="L20" i="3"/>
  <c r="J20" i="3"/>
  <c r="I20" i="3"/>
  <c r="BF19" i="3"/>
  <c r="AL19" i="3"/>
  <c r="AI19" i="3" s="1"/>
  <c r="AK19" i="3"/>
  <c r="AJ19" i="3"/>
  <c r="AH19" i="3"/>
  <c r="AG19" i="3"/>
  <c r="N19" i="3"/>
  <c r="K19" i="3" s="1"/>
  <c r="M19" i="3"/>
  <c r="L19" i="3"/>
  <c r="J19" i="3"/>
  <c r="I19" i="3"/>
  <c r="BF18" i="3"/>
  <c r="AL18" i="3"/>
  <c r="AI18" i="3" s="1"/>
  <c r="AK18" i="3"/>
  <c r="AJ18" i="3"/>
  <c r="AH18" i="3"/>
  <c r="AG18" i="3"/>
  <c r="N18" i="3"/>
  <c r="K18" i="3" s="1"/>
  <c r="M18" i="3"/>
  <c r="L18" i="3"/>
  <c r="J18" i="3"/>
  <c r="I18" i="3"/>
  <c r="BF17" i="3"/>
  <c r="AL17" i="3"/>
  <c r="AI17" i="3" s="1"/>
  <c r="AK17" i="3"/>
  <c r="AJ17" i="3"/>
  <c r="AH17" i="3"/>
  <c r="AG17" i="3"/>
  <c r="N17" i="3"/>
  <c r="M17" i="3"/>
  <c r="L17" i="3"/>
  <c r="J17" i="3"/>
  <c r="I17" i="3"/>
  <c r="BF16" i="3"/>
  <c r="AL16" i="3"/>
  <c r="AK16" i="3"/>
  <c r="AJ16" i="3"/>
  <c r="AH16" i="3"/>
  <c r="AG16" i="3"/>
  <c r="N16" i="3"/>
  <c r="K16" i="3" s="1"/>
  <c r="M16" i="3"/>
  <c r="L16" i="3"/>
  <c r="J16" i="3"/>
  <c r="I16" i="3"/>
  <c r="BH15" i="3" a="1"/>
  <c r="BF15" i="3"/>
  <c r="AL15" i="3"/>
  <c r="AI15" i="3" s="1"/>
  <c r="AK15" i="3"/>
  <c r="AJ15" i="3"/>
  <c r="AH15" i="3"/>
  <c r="AG15" i="3"/>
  <c r="N15" i="3"/>
  <c r="K15" i="3" s="1"/>
  <c r="M15" i="3"/>
  <c r="L15" i="3"/>
  <c r="J15" i="3"/>
  <c r="I15" i="3"/>
  <c r="BF14" i="3"/>
  <c r="AL14" i="3"/>
  <c r="AI14" i="3" s="1"/>
  <c r="AK14" i="3"/>
  <c r="AJ14" i="3"/>
  <c r="AH14" i="3"/>
  <c r="AG14" i="3"/>
  <c r="N14" i="3"/>
  <c r="K14" i="3" s="1"/>
  <c r="M14" i="3"/>
  <c r="L14" i="3"/>
  <c r="J14" i="3"/>
  <c r="I14" i="3"/>
  <c r="BF13" i="3"/>
  <c r="AL13" i="3"/>
  <c r="AI13" i="3" s="1"/>
  <c r="AK13" i="3"/>
  <c r="AJ13" i="3"/>
  <c r="AH13" i="3"/>
  <c r="AG13" i="3"/>
  <c r="N13" i="3"/>
  <c r="M13" i="3"/>
  <c r="L13" i="3"/>
  <c r="J13" i="3"/>
  <c r="I13" i="3"/>
  <c r="BF12" i="3"/>
  <c r="AL12" i="3"/>
  <c r="AK12" i="3"/>
  <c r="AJ12" i="3"/>
  <c r="AH12" i="3"/>
  <c r="AG12" i="3"/>
  <c r="N12" i="3"/>
  <c r="K12" i="3" s="1"/>
  <c r="M12" i="3"/>
  <c r="L12" i="3"/>
  <c r="J12" i="3"/>
  <c r="I12" i="3"/>
  <c r="BF11" i="3"/>
  <c r="AL11" i="3"/>
  <c r="AI11" i="3" s="1"/>
  <c r="AK11" i="3"/>
  <c r="AJ11" i="3"/>
  <c r="AH11" i="3"/>
  <c r="AG11" i="3"/>
  <c r="N11" i="3"/>
  <c r="M11" i="3"/>
  <c r="L11" i="3"/>
  <c r="J11" i="3"/>
  <c r="I11" i="3"/>
  <c r="BF10" i="3"/>
  <c r="AL10" i="3"/>
  <c r="BG10" i="3" s="1"/>
  <c r="AK10" i="3"/>
  <c r="AJ10" i="3"/>
  <c r="AH10" i="3"/>
  <c r="AG10" i="3"/>
  <c r="N10" i="3"/>
  <c r="M10" i="3"/>
  <c r="L10" i="3"/>
  <c r="J10" i="3"/>
  <c r="I10" i="3"/>
  <c r="BF9" i="3"/>
  <c r="AL9" i="3"/>
  <c r="AI9" i="3" s="1"/>
  <c r="AK9" i="3"/>
  <c r="AJ9" i="3"/>
  <c r="AH9" i="3"/>
  <c r="AG9" i="3"/>
  <c r="N9" i="3"/>
  <c r="M9" i="3"/>
  <c r="L9" i="3"/>
  <c r="J9" i="3"/>
  <c r="I9" i="3"/>
  <c r="BF8" i="3"/>
  <c r="AL8" i="3"/>
  <c r="AK8" i="3"/>
  <c r="AJ8" i="3"/>
  <c r="AH8" i="3"/>
  <c r="AG8" i="3"/>
  <c r="N8" i="3"/>
  <c r="K8" i="3" s="1"/>
  <c r="M8" i="3"/>
  <c r="L8" i="3"/>
  <c r="J8" i="3"/>
  <c r="I8" i="3"/>
  <c r="BF7" i="3"/>
  <c r="AL7" i="3"/>
  <c r="AK7" i="3"/>
  <c r="AJ7" i="3"/>
  <c r="AH7" i="3"/>
  <c r="AG7" i="3"/>
  <c r="N7" i="3"/>
  <c r="K7" i="3" s="1"/>
  <c r="M7" i="3"/>
  <c r="L7" i="3"/>
  <c r="J7" i="3"/>
  <c r="I7" i="3"/>
  <c r="BF6" i="3"/>
  <c r="AL6" i="3"/>
  <c r="AI6" i="3" s="1"/>
  <c r="AK6" i="3"/>
  <c r="AJ6" i="3"/>
  <c r="AH6" i="3"/>
  <c r="AG6" i="3"/>
  <c r="N6" i="3"/>
  <c r="K6" i="3" s="1"/>
  <c r="M6" i="3"/>
  <c r="L6" i="3"/>
  <c r="J6" i="3"/>
  <c r="I6" i="3"/>
  <c r="BF5" i="3"/>
  <c r="AL5" i="3"/>
  <c r="AI5" i="3" s="1"/>
  <c r="AK5" i="3"/>
  <c r="AJ5" i="3"/>
  <c r="AH5" i="3"/>
  <c r="AG5" i="3"/>
  <c r="N5" i="3"/>
  <c r="M5" i="3"/>
  <c r="L5" i="3"/>
  <c r="K5" i="3"/>
  <c r="J5" i="3"/>
  <c r="I5" i="3"/>
  <c r="B1" i="2"/>
  <c r="B2" i="2" s="1"/>
  <c r="BP35" i="7"/>
  <c r="BN25" i="7"/>
  <c r="BM15" i="7"/>
  <c r="BS35" i="7"/>
  <c r="BR25" i="7"/>
  <c r="BQ15" i="7"/>
  <c r="BT5" i="7"/>
  <c r="BM35" i="7"/>
  <c r="BT20" i="7"/>
  <c r="BP15" i="7"/>
  <c r="BN5" i="7"/>
  <c r="BQ35" i="7"/>
  <c r="BM5" i="7"/>
  <c r="BQ10" i="7"/>
  <c r="BR15" i="7"/>
  <c r="BL20" i="7"/>
  <c r="BR35" i="7"/>
  <c r="BS5" i="7"/>
  <c r="BR5" i="7"/>
  <c r="BR30" i="7"/>
  <c r="BR20" i="7"/>
  <c r="BK15" i="7"/>
  <c r="BN35" i="7"/>
  <c r="BM25" i="7"/>
  <c r="BL15" i="7"/>
  <c r="BP5" i="7"/>
  <c r="BK35" i="7"/>
  <c r="BP20" i="7"/>
  <c r="BR10" i="7"/>
  <c r="BT25" i="7"/>
  <c r="BS30" i="7"/>
  <c r="BL35" i="7"/>
  <c r="BP25" i="7"/>
  <c r="BS20" i="7"/>
  <c r="BS25" i="7"/>
  <c r="BL30" i="7"/>
  <c r="BL25" i="7"/>
  <c r="BN20" i="7"/>
  <c r="BM30" i="7"/>
  <c r="BM20" i="7"/>
  <c r="BT10" i="7"/>
  <c r="BQ5" i="7"/>
  <c r="BQ30" i="7"/>
  <c r="BQ20" i="7"/>
  <c r="BS10" i="7"/>
  <c r="BJ5" i="7"/>
  <c r="BT30" i="7"/>
  <c r="BQ25" i="7"/>
  <c r="BM10" i="7"/>
  <c r="BN15" i="7"/>
  <c r="BJ25" i="7"/>
  <c r="BN30" i="7"/>
  <c r="BT35" i="7"/>
  <c r="BL5" i="7"/>
  <c r="BP30" i="7"/>
  <c r="BL10" i="7"/>
  <c r="BP10" i="7"/>
  <c r="BN10" i="7"/>
  <c r="BT15" i="7"/>
  <c r="BS15" i="7"/>
  <c r="BP35" i="3"/>
  <c r="BN25" i="3"/>
  <c r="BT15" i="3"/>
  <c r="BP10" i="3"/>
  <c r="BN35" i="3"/>
  <c r="BJ30" i="3"/>
  <c r="BP20" i="3"/>
  <c r="BN10" i="3"/>
  <c r="BR20" i="3"/>
  <c r="BT5" i="3"/>
  <c r="BN30" i="3"/>
  <c r="BQ10" i="3"/>
  <c r="BS20" i="3"/>
  <c r="BL5" i="3"/>
  <c r="BM35" i="3"/>
  <c r="BJ25" i="3"/>
  <c r="BQ5" i="3"/>
  <c r="BP15" i="3"/>
  <c r="BS5" i="3"/>
  <c r="BT30" i="3"/>
  <c r="BS15" i="3"/>
  <c r="BR5" i="3"/>
  <c r="BR35" i="3"/>
  <c r="BQ35" i="3"/>
  <c r="BM15" i="3"/>
  <c r="BQ25" i="3"/>
  <c r="BQ15" i="3"/>
  <c r="BJ35" i="3"/>
  <c r="BN20" i="3"/>
  <c r="BQ20" i="3"/>
  <c r="BN5" i="3"/>
  <c r="BM25" i="3"/>
  <c r="BM5" i="3"/>
  <c r="BL10" i="3"/>
  <c r="BM30" i="3"/>
  <c r="BL15" i="3"/>
  <c r="BS25" i="3"/>
  <c r="BT10" i="3"/>
  <c r="BS35" i="3"/>
  <c r="BT20" i="3"/>
  <c r="BS10" i="3"/>
  <c r="BR15" i="3"/>
  <c r="BM10" i="3"/>
  <c r="BR10" i="3"/>
  <c r="BQ30" i="3"/>
  <c r="BR25" i="3"/>
  <c r="BP5" i="3"/>
  <c r="BL30" i="3"/>
  <c r="BP30" i="3"/>
  <c r="BN15" i="3"/>
  <c r="BS30" i="3"/>
  <c r="BM20" i="3"/>
  <c r="BR30" i="3"/>
  <c r="BT35" i="3"/>
  <c r="BL20" i="3"/>
  <c r="BK30" i="3"/>
  <c r="BL25" i="3"/>
  <c r="BL35" i="3"/>
  <c r="BP25" i="3"/>
  <c r="BT25" i="3"/>
  <c r="BB7" i="6" l="1"/>
  <c r="L14" i="6"/>
  <c r="BD7" i="6"/>
  <c r="BF6" i="6"/>
  <c r="BB6" i="6"/>
  <c r="BE7" i="6"/>
  <c r="AH8" i="5"/>
  <c r="AJ12" i="5"/>
  <c r="BF7" i="5"/>
  <c r="BB7" i="5"/>
  <c r="BD9" i="5"/>
  <c r="AX17" i="6"/>
  <c r="L15" i="5"/>
  <c r="BB6" i="5"/>
  <c r="BE10" i="5"/>
  <c r="L14" i="5"/>
  <c r="BD14" i="5" s="1"/>
  <c r="K8" i="5"/>
  <c r="BD8" i="5"/>
  <c r="BC45" i="3"/>
  <c r="BK10" i="3"/>
  <c r="AK42" i="3"/>
  <c r="BK5" i="3"/>
  <c r="BJ5" i="3"/>
  <c r="BG13" i="3"/>
  <c r="BK25" i="3"/>
  <c r="BG5" i="3"/>
  <c r="BG9" i="3"/>
  <c r="BG11" i="3"/>
  <c r="BG22" i="7"/>
  <c r="BG24" i="7"/>
  <c r="AK41" i="7"/>
  <c r="BK20" i="7"/>
  <c r="BG10" i="7"/>
  <c r="BG18" i="7"/>
  <c r="AH42" i="7"/>
  <c r="BG6" i="7"/>
  <c r="BG8" i="7"/>
  <c r="BG14" i="7"/>
  <c r="BG16" i="7"/>
  <c r="BG26" i="7"/>
  <c r="BG28" i="7"/>
  <c r="BG36" i="7"/>
  <c r="BG38" i="7"/>
  <c r="BG12" i="7"/>
  <c r="AJ41" i="7"/>
  <c r="BG32" i="7"/>
  <c r="BG34" i="7"/>
  <c r="BH30" i="3"/>
  <c r="AK41" i="3"/>
  <c r="AI28" i="3"/>
  <c r="AH42" i="3"/>
  <c r="BG38" i="3"/>
  <c r="AJ43" i="3"/>
  <c r="BH15" i="3"/>
  <c r="BG17" i="3"/>
  <c r="BG22" i="3"/>
  <c r="BG30" i="3"/>
  <c r="BG34" i="3"/>
  <c r="BB45" i="7"/>
  <c r="BB47" i="7"/>
  <c r="C48" i="1" s="1"/>
  <c r="BE9" i="7"/>
  <c r="K10" i="7"/>
  <c r="BH20" i="7"/>
  <c r="K30" i="7"/>
  <c r="BC45" i="7"/>
  <c r="BC47" i="7"/>
  <c r="J40" i="7"/>
  <c r="J41" i="7"/>
  <c r="BE36" i="7"/>
  <c r="BE38" i="7"/>
  <c r="AZ45" i="7"/>
  <c r="AZ47" i="7"/>
  <c r="C47" i="1" s="1"/>
  <c r="BA45" i="7"/>
  <c r="BA47" i="7"/>
  <c r="BG19" i="3"/>
  <c r="BE21" i="3"/>
  <c r="K23" i="3"/>
  <c r="BE23" i="3" s="1"/>
  <c r="BG26" i="3"/>
  <c r="BE28" i="3"/>
  <c r="BG32" i="3"/>
  <c r="K34" i="3"/>
  <c r="BA47" i="3"/>
  <c r="K11" i="3"/>
  <c r="BE11" i="3" s="1"/>
  <c r="BG7" i="3"/>
  <c r="J43" i="3"/>
  <c r="BG12" i="3"/>
  <c r="BG21" i="3"/>
  <c r="BG36" i="3"/>
  <c r="AZ45" i="3"/>
  <c r="BG15" i="3"/>
  <c r="J40" i="3"/>
  <c r="BG6" i="3"/>
  <c r="BE15" i="3"/>
  <c r="BG16" i="3"/>
  <c r="BE19" i="3"/>
  <c r="BG20" i="3"/>
  <c r="BE24" i="3"/>
  <c r="J42" i="3"/>
  <c r="BE36" i="3"/>
  <c r="BA45" i="3"/>
  <c r="BC47" i="3"/>
  <c r="AZ47" i="3"/>
  <c r="C13" i="1" s="1"/>
  <c r="AX17" i="5"/>
  <c r="AX19" i="5"/>
  <c r="BF5" i="5"/>
  <c r="BD6" i="5"/>
  <c r="BG6" i="5"/>
  <c r="K7" i="5"/>
  <c r="BC7" i="5" s="1"/>
  <c r="M14" i="5"/>
  <c r="BB10" i="5"/>
  <c r="BD10" i="5"/>
  <c r="BD11" i="5"/>
  <c r="L12" i="5"/>
  <c r="M15" i="5"/>
  <c r="AY19" i="5"/>
  <c r="C24" i="1" s="1"/>
  <c r="BE12" i="5"/>
  <c r="D19" i="1" s="1"/>
  <c r="BE7" i="5"/>
  <c r="BG8" i="5"/>
  <c r="BE13" i="5"/>
  <c r="D20" i="1" s="1"/>
  <c r="K14" i="5"/>
  <c r="BE11" i="5"/>
  <c r="AZ17" i="5"/>
  <c r="AZ19" i="5"/>
  <c r="BC11" i="5"/>
  <c r="L13" i="5"/>
  <c r="BD13" i="5" s="1"/>
  <c r="AW17" i="5"/>
  <c r="AW19" i="5"/>
  <c r="C23" i="1" s="1"/>
  <c r="AI15" i="5"/>
  <c r="BD15" i="5" s="1"/>
  <c r="AI12" i="5"/>
  <c r="BD12" i="5" s="1"/>
  <c r="BG7" i="5"/>
  <c r="BC8" i="5"/>
  <c r="AH9" i="5"/>
  <c r="AH13" i="5" s="1"/>
  <c r="BE9" i="5"/>
  <c r="BB11" i="5"/>
  <c r="BF11" i="5"/>
  <c r="AJ14" i="5"/>
  <c r="BE14" i="5" s="1"/>
  <c r="D21" i="1" s="1"/>
  <c r="BG10" i="5"/>
  <c r="BG11" i="5"/>
  <c r="AX19" i="6"/>
  <c r="BE5" i="6"/>
  <c r="BG6" i="6"/>
  <c r="AY17" i="6"/>
  <c r="AY19" i="6"/>
  <c r="C36" i="1" s="1"/>
  <c r="K6" i="6"/>
  <c r="BC6" i="6" s="1"/>
  <c r="BD6" i="6"/>
  <c r="J14" i="6"/>
  <c r="M14" i="6"/>
  <c r="BB11" i="6"/>
  <c r="AZ19" i="6"/>
  <c r="BE6" i="6"/>
  <c r="AW17" i="6"/>
  <c r="AW19" i="6"/>
  <c r="C35" i="1" s="1"/>
  <c r="BD8" i="6"/>
  <c r="BE8" i="6"/>
  <c r="BC10" i="6"/>
  <c r="BQ43" i="3"/>
  <c r="I12" i="1" s="1"/>
  <c r="BQ40" i="3"/>
  <c r="I9" i="1" s="1"/>
  <c r="BJ41" i="3"/>
  <c r="C10" i="1" s="1"/>
  <c r="BT41" i="3"/>
  <c r="L10" i="1" s="1"/>
  <c r="BR42" i="3"/>
  <c r="J11" i="1" s="1"/>
  <c r="BR43" i="7"/>
  <c r="J46" i="1" s="1"/>
  <c r="BP41" i="7"/>
  <c r="H44" i="1" s="1"/>
  <c r="BL43" i="3"/>
  <c r="E12" i="1" s="1"/>
  <c r="BL40" i="3"/>
  <c r="E9" i="1" s="1"/>
  <c r="BP41" i="3"/>
  <c r="H10" i="1" s="1"/>
  <c r="BM42" i="3"/>
  <c r="F11" i="1" s="1"/>
  <c r="BN42" i="7"/>
  <c r="G45" i="1" s="1"/>
  <c r="BQ41" i="3"/>
  <c r="I10" i="1" s="1"/>
  <c r="BN42" i="3"/>
  <c r="G11" i="1" s="1"/>
  <c r="BM43" i="7"/>
  <c r="F46" i="1" s="1"/>
  <c r="BJ41" i="7"/>
  <c r="C44" i="1" s="1"/>
  <c r="BS42" i="7"/>
  <c r="K45" i="1" s="1"/>
  <c r="BL41" i="3"/>
  <c r="E10" i="1" s="1"/>
  <c r="BS42" i="3"/>
  <c r="K11" i="1" s="1"/>
  <c r="BT41" i="7"/>
  <c r="L44" i="1" s="1"/>
  <c r="BL41" i="7"/>
  <c r="E44" i="1" s="1"/>
  <c r="BQ41" i="7"/>
  <c r="I44" i="1" s="1"/>
  <c r="BP42" i="7"/>
  <c r="H45" i="1" s="1"/>
  <c r="BT42" i="7"/>
  <c r="L45" i="1" s="1"/>
  <c r="BM41" i="3"/>
  <c r="F10" i="1" s="1"/>
  <c r="BR41" i="3"/>
  <c r="J10" i="1" s="1"/>
  <c r="BJ42" i="3"/>
  <c r="C11" i="1" s="1"/>
  <c r="BP42" i="3"/>
  <c r="H11" i="1" s="1"/>
  <c r="BT42" i="3"/>
  <c r="L11" i="1" s="1"/>
  <c r="BP43" i="7"/>
  <c r="H46" i="1" s="1"/>
  <c r="BT43" i="7"/>
  <c r="L46" i="1" s="1"/>
  <c r="BM41" i="7"/>
  <c r="F44" i="1" s="1"/>
  <c r="BR41" i="7"/>
  <c r="J44" i="1" s="1"/>
  <c r="BL42" i="7"/>
  <c r="E45" i="1" s="1"/>
  <c r="BQ42" i="7"/>
  <c r="I45" i="1" s="1"/>
  <c r="BS43" i="3"/>
  <c r="K12" i="1" s="1"/>
  <c r="BK41" i="3"/>
  <c r="D10" i="1" s="1"/>
  <c r="BN41" i="3"/>
  <c r="G10" i="1" s="1"/>
  <c r="BS41" i="3"/>
  <c r="K10" i="1" s="1"/>
  <c r="BL42" i="3"/>
  <c r="E11" i="1" s="1"/>
  <c r="BQ42" i="3"/>
  <c r="I11" i="1" s="1"/>
  <c r="BL40" i="7"/>
  <c r="E43" i="1" s="1"/>
  <c r="BL43" i="7"/>
  <c r="E46" i="1" s="1"/>
  <c r="BQ43" i="7"/>
  <c r="I46" i="1" s="1"/>
  <c r="BQ40" i="7"/>
  <c r="I43" i="1" s="1"/>
  <c r="BN41" i="7"/>
  <c r="G44" i="1" s="1"/>
  <c r="BS41" i="7"/>
  <c r="K44" i="1" s="1"/>
  <c r="BM42" i="7"/>
  <c r="F45" i="1" s="1"/>
  <c r="BR42" i="7"/>
  <c r="J45" i="1" s="1"/>
  <c r="BH20" i="3" a="1"/>
  <c r="BH20" i="3" s="1"/>
  <c r="L40" i="3"/>
  <c r="BM43" i="3"/>
  <c r="F12" i="1" s="1"/>
  <c r="BM40" i="3"/>
  <c r="F9" i="1" s="1"/>
  <c r="K17" i="3"/>
  <c r="BE17" i="3" s="1"/>
  <c r="AI20" i="3"/>
  <c r="AI27" i="3"/>
  <c r="BE27" i="3" s="1"/>
  <c r="AJ14" i="6"/>
  <c r="BE10" i="6"/>
  <c r="BN43" i="3"/>
  <c r="G12" i="1" s="1"/>
  <c r="BN40" i="3"/>
  <c r="G9" i="1" s="1"/>
  <c r="BG8" i="3"/>
  <c r="K10" i="3"/>
  <c r="BH10" i="3" a="1"/>
  <c r="BH10" i="3" s="1"/>
  <c r="AI10" i="3"/>
  <c r="AI12" i="3"/>
  <c r="BE12" i="3" s="1"/>
  <c r="K13" i="3"/>
  <c r="BE13" i="3" s="1"/>
  <c r="BG18" i="3"/>
  <c r="K20" i="3"/>
  <c r="BE25" i="3"/>
  <c r="BE26" i="3"/>
  <c r="L42" i="3"/>
  <c r="BG33" i="3"/>
  <c r="K33" i="3"/>
  <c r="K42" i="3" s="1"/>
  <c r="BC13" i="5"/>
  <c r="C20" i="1" s="1"/>
  <c r="BG11" i="6" a="1"/>
  <c r="BG11" i="6" s="1"/>
  <c r="BF11" i="6"/>
  <c r="AH11" i="6"/>
  <c r="AZ17" i="6"/>
  <c r="AK40" i="3"/>
  <c r="AK43" i="3"/>
  <c r="BE18" i="3"/>
  <c r="BE34" i="3"/>
  <c r="BG39" i="3"/>
  <c r="AI39" i="3"/>
  <c r="BE39" i="3" s="1"/>
  <c r="L13" i="6"/>
  <c r="BD13" i="6" s="1"/>
  <c r="BD9" i="6"/>
  <c r="BF9" i="6"/>
  <c r="AH9" i="6"/>
  <c r="BG9" i="6" a="1"/>
  <c r="BG9" i="6" s="1"/>
  <c r="BG13" i="6" s="1"/>
  <c r="BH5" i="3" a="1"/>
  <c r="BH5" i="3" s="1"/>
  <c r="BR43" i="3"/>
  <c r="J12" i="1" s="1"/>
  <c r="BR40" i="3"/>
  <c r="J9" i="1" s="1"/>
  <c r="AI7" i="3"/>
  <c r="BE7" i="3" s="1"/>
  <c r="BE14" i="3"/>
  <c r="AI16" i="3"/>
  <c r="BE16" i="3" s="1"/>
  <c r="BH25" i="3" a="1"/>
  <c r="BH25" i="3" s="1"/>
  <c r="BH41" i="3" s="1"/>
  <c r="M42" i="3"/>
  <c r="BE33" i="3"/>
  <c r="BG35" i="3"/>
  <c r="BH35" i="3" a="1"/>
  <c r="BH35" i="3" s="1"/>
  <c r="BH42" i="3" s="1"/>
  <c r="AI35" i="3"/>
  <c r="BE35" i="3" s="1"/>
  <c r="BG37" i="3"/>
  <c r="K37" i="3"/>
  <c r="BE37" i="3" s="1"/>
  <c r="BB47" i="3"/>
  <c r="C14" i="1" s="1"/>
  <c r="J13" i="5"/>
  <c r="BB13" i="5" s="1"/>
  <c r="E20" i="1" s="1"/>
  <c r="BB9" i="5"/>
  <c r="L12" i="6"/>
  <c r="L15" i="6"/>
  <c r="BD5" i="6"/>
  <c r="BF5" i="6"/>
  <c r="AH5" i="6"/>
  <c r="BG5" i="6" a="1"/>
  <c r="BG5" i="6" s="1"/>
  <c r="M40" i="3"/>
  <c r="M43" i="3"/>
  <c r="BE5" i="3"/>
  <c r="BE6" i="3"/>
  <c r="AJ40" i="3"/>
  <c r="BP43" i="3"/>
  <c r="H12" i="1" s="1"/>
  <c r="BP40" i="3"/>
  <c r="H9" i="1" s="1"/>
  <c r="BT43" i="3"/>
  <c r="L12" i="1" s="1"/>
  <c r="BT40" i="3"/>
  <c r="L9" i="1" s="1"/>
  <c r="L43" i="3"/>
  <c r="AH43" i="3"/>
  <c r="AI8" i="3"/>
  <c r="BE8" i="3" s="1"/>
  <c r="K9" i="3"/>
  <c r="BE9" i="3" s="1"/>
  <c r="BG14" i="3"/>
  <c r="BE22" i="3"/>
  <c r="BG24" i="3"/>
  <c r="J41" i="3"/>
  <c r="AJ41" i="3"/>
  <c r="L41" i="3"/>
  <c r="AH41" i="3"/>
  <c r="BG29" i="3"/>
  <c r="K29" i="3"/>
  <c r="K41" i="3" s="1"/>
  <c r="AJ42" i="3"/>
  <c r="BG31" i="3"/>
  <c r="AI31" i="3"/>
  <c r="BE31" i="3" s="1"/>
  <c r="BE38" i="3"/>
  <c r="AH40" i="3"/>
  <c r="BS40" i="3"/>
  <c r="K9" i="1" s="1"/>
  <c r="J12" i="5"/>
  <c r="J15" i="5"/>
  <c r="BB15" i="5" s="1"/>
  <c r="E22" i="1" s="1"/>
  <c r="BB5" i="5"/>
  <c r="AY17" i="5"/>
  <c r="BF7" i="6"/>
  <c r="K7" i="6"/>
  <c r="BC7" i="6" s="1"/>
  <c r="BG8" i="6" a="1"/>
  <c r="BG8" i="6" s="1"/>
  <c r="BF8" i="6"/>
  <c r="AH8" i="6"/>
  <c r="BC8" i="6" s="1"/>
  <c r="M12" i="6"/>
  <c r="BG39" i="7"/>
  <c r="AI39" i="7"/>
  <c r="BE39" i="7" s="1"/>
  <c r="BD7" i="5"/>
  <c r="M15" i="6"/>
  <c r="AG15" i="6"/>
  <c r="BB5" i="6"/>
  <c r="AG12" i="6"/>
  <c r="BG13" i="7"/>
  <c r="K13" i="7"/>
  <c r="BE13" i="7" s="1"/>
  <c r="BG33" i="7"/>
  <c r="K33" i="7"/>
  <c r="BE33" i="7" s="1"/>
  <c r="AI30" i="3"/>
  <c r="AG12" i="5"/>
  <c r="BG5" i="5" a="1"/>
  <c r="BG5" i="5" s="1"/>
  <c r="BF6" i="5"/>
  <c r="AH6" i="5"/>
  <c r="BC6" i="5" s="1"/>
  <c r="BG9" i="5" a="1"/>
  <c r="BG9" i="5" s="1"/>
  <c r="BG13" i="5" s="1"/>
  <c r="BF10" i="5"/>
  <c r="AH10" i="5"/>
  <c r="AG14" i="5"/>
  <c r="BB14" i="5" s="1"/>
  <c r="E21" i="1" s="1"/>
  <c r="AJ15" i="5"/>
  <c r="BE15" i="5" s="1"/>
  <c r="D22" i="1" s="1"/>
  <c r="J15" i="6"/>
  <c r="BE9" i="6"/>
  <c r="AG13" i="6"/>
  <c r="BB13" i="6" s="1"/>
  <c r="E32" i="1" s="1"/>
  <c r="L43" i="7"/>
  <c r="BN43" i="7"/>
  <c r="G46" i="1" s="1"/>
  <c r="BN40" i="7"/>
  <c r="G43" i="1" s="1"/>
  <c r="BS43" i="7"/>
  <c r="K46" i="1" s="1"/>
  <c r="BS40" i="7"/>
  <c r="K43" i="1" s="1"/>
  <c r="BE6" i="7"/>
  <c r="BG7" i="7"/>
  <c r="AI7" i="7"/>
  <c r="BE7" i="7" s="1"/>
  <c r="BH10" i="7" a="1"/>
  <c r="BH10" i="7" s="1"/>
  <c r="BE14" i="7"/>
  <c r="BG15" i="7"/>
  <c r="BH15" i="7" a="1"/>
  <c r="BH15" i="7" s="1"/>
  <c r="AI15" i="7"/>
  <c r="L41" i="7"/>
  <c r="BE26" i="7"/>
  <c r="BG27" i="7"/>
  <c r="AI27" i="7"/>
  <c r="BE27" i="7" s="1"/>
  <c r="BH30" i="7" a="1"/>
  <c r="BH30" i="7" s="1"/>
  <c r="BE34" i="7"/>
  <c r="BG35" i="7"/>
  <c r="BH35" i="7" a="1"/>
  <c r="BH35" i="7" s="1"/>
  <c r="AI35" i="7"/>
  <c r="K15" i="5"/>
  <c r="AH12" i="5"/>
  <c r="BC5" i="5"/>
  <c r="BC9" i="5"/>
  <c r="AJ15" i="6"/>
  <c r="BE15" i="6" s="1"/>
  <c r="D34" i="1" s="1"/>
  <c r="AJ12" i="6"/>
  <c r="BE12" i="6" s="1"/>
  <c r="D31" i="1" s="1"/>
  <c r="BG7" i="6" a="1"/>
  <c r="BG7" i="6" s="1"/>
  <c r="BE13" i="6"/>
  <c r="D32" i="1" s="1"/>
  <c r="K14" i="6"/>
  <c r="BD10" i="6"/>
  <c r="AI14" i="6"/>
  <c r="BD14" i="6" s="1"/>
  <c r="BE11" i="6"/>
  <c r="M43" i="7"/>
  <c r="AJ43" i="7"/>
  <c r="AJ40" i="7"/>
  <c r="AH40" i="7"/>
  <c r="AH43" i="7"/>
  <c r="BG11" i="7"/>
  <c r="AI11" i="7"/>
  <c r="BE11" i="7" s="1"/>
  <c r="L42" i="7"/>
  <c r="BG31" i="7"/>
  <c r="AI31" i="7"/>
  <c r="BE31" i="7" s="1"/>
  <c r="AG14" i="6"/>
  <c r="BG10" i="6" a="1"/>
  <c r="BG10" i="6" s="1"/>
  <c r="BF10" i="6"/>
  <c r="J12" i="6"/>
  <c r="K5" i="7"/>
  <c r="AK43" i="7"/>
  <c r="BE17" i="7"/>
  <c r="BE18" i="7"/>
  <c r="BG19" i="7"/>
  <c r="AI19" i="7"/>
  <c r="BE19" i="7" s="1"/>
  <c r="K25" i="7"/>
  <c r="M42" i="7"/>
  <c r="AJ42" i="7"/>
  <c r="BD5" i="5"/>
  <c r="K15" i="6"/>
  <c r="AI12" i="6"/>
  <c r="AI15" i="6"/>
  <c r="BB10" i="6"/>
  <c r="K12" i="6"/>
  <c r="BH5" i="7" a="1"/>
  <c r="BH5" i="7" s="1"/>
  <c r="BE22" i="7"/>
  <c r="BG23" i="7"/>
  <c r="AI23" i="7"/>
  <c r="BE23" i="7" s="1"/>
  <c r="BH25" i="7" a="1"/>
  <c r="BH25" i="7" s="1"/>
  <c r="BH41" i="7" s="1"/>
  <c r="BG29" i="7"/>
  <c r="K29" i="7"/>
  <c r="BE29" i="7" s="1"/>
  <c r="AK42" i="7"/>
  <c r="BE37" i="7"/>
  <c r="BG5" i="7"/>
  <c r="BG9" i="7"/>
  <c r="BG17" i="7"/>
  <c r="BG21" i="7"/>
  <c r="BG25" i="7"/>
  <c r="BG37" i="7"/>
  <c r="BM40" i="7"/>
  <c r="F43" i="1" s="1"/>
  <c r="BR40" i="7"/>
  <c r="J43" i="1" s="1"/>
  <c r="K8" i="7"/>
  <c r="BE8" i="7" s="1"/>
  <c r="AI10" i="7"/>
  <c r="BE10" i="7" s="1"/>
  <c r="K12" i="7"/>
  <c r="BE12" i="7" s="1"/>
  <c r="K16" i="7"/>
  <c r="BE16" i="7" s="1"/>
  <c r="K20" i="7"/>
  <c r="BE20" i="7" s="1"/>
  <c r="BG20" i="7"/>
  <c r="K24" i="7"/>
  <c r="BE24" i="7" s="1"/>
  <c r="K28" i="7"/>
  <c r="BE28" i="7" s="1"/>
  <c r="AI30" i="7"/>
  <c r="K32" i="7"/>
  <c r="BE32" i="7" s="1"/>
  <c r="L40" i="7"/>
  <c r="AI5" i="7"/>
  <c r="K15" i="7"/>
  <c r="AI25" i="7"/>
  <c r="K35" i="7"/>
  <c r="M40" i="7"/>
  <c r="AK40" i="7"/>
  <c r="BP40" i="7"/>
  <c r="H43" i="1" s="1"/>
  <c r="BT40" i="7"/>
  <c r="L43" i="1" s="1"/>
  <c r="BJ30" i="7"/>
  <c r="BK30" i="7"/>
  <c r="BJ10" i="7"/>
  <c r="BK10" i="7"/>
  <c r="BJ15" i="7"/>
  <c r="BK5" i="7"/>
  <c r="BJ20" i="7"/>
  <c r="BJ35" i="7"/>
  <c r="BK25" i="7"/>
  <c r="BJ10" i="3"/>
  <c r="BK20" i="3"/>
  <c r="BJ20" i="3"/>
  <c r="BJ15" i="3"/>
  <c r="BK35" i="3"/>
  <c r="BK15" i="3"/>
  <c r="BD12" i="6" l="1"/>
  <c r="BG14" i="5"/>
  <c r="AH15" i="5"/>
  <c r="BE14" i="6"/>
  <c r="D33" i="1" s="1"/>
  <c r="K12" i="5"/>
  <c r="BC12" i="5" s="1"/>
  <c r="C19" i="1" s="1"/>
  <c r="AI41" i="3"/>
  <c r="BH42" i="7"/>
  <c r="BK42" i="7"/>
  <c r="D45" i="1" s="1"/>
  <c r="BE15" i="7"/>
  <c r="BB14" i="6"/>
  <c r="E33" i="1" s="1"/>
  <c r="BJ42" i="7"/>
  <c r="C45" i="1" s="1"/>
  <c r="BJ40" i="7"/>
  <c r="C43" i="1" s="1"/>
  <c r="BJ43" i="7"/>
  <c r="C46" i="1" s="1"/>
  <c r="BK42" i="3"/>
  <c r="D11" i="1" s="1"/>
  <c r="BK40" i="3"/>
  <c r="D9" i="1" s="1"/>
  <c r="BK43" i="3"/>
  <c r="D12" i="1" s="1"/>
  <c r="BJ43" i="3"/>
  <c r="C12" i="1" s="1"/>
  <c r="BJ40" i="3"/>
  <c r="C9" i="1" s="1"/>
  <c r="BK41" i="7"/>
  <c r="D44" i="1" s="1"/>
  <c r="BE41" i="3"/>
  <c r="BD15" i="6"/>
  <c r="BG12" i="5"/>
  <c r="BG15" i="5"/>
  <c r="AH15" i="6"/>
  <c r="BC15" i="6" s="1"/>
  <c r="C34" i="1" s="1"/>
  <c r="BC5" i="6"/>
  <c r="AH12" i="6"/>
  <c r="BC12" i="6" s="1"/>
  <c r="C31" i="1" s="1"/>
  <c r="BH43" i="3"/>
  <c r="BH40" i="3"/>
  <c r="BE29" i="3"/>
  <c r="BE20" i="3"/>
  <c r="K40" i="3"/>
  <c r="BE25" i="7"/>
  <c r="AI41" i="7"/>
  <c r="K42" i="7"/>
  <c r="BH43" i="7"/>
  <c r="BH40" i="7"/>
  <c r="K43" i="7"/>
  <c r="K40" i="7"/>
  <c r="BG14" i="6"/>
  <c r="BB12" i="5"/>
  <c r="E19" i="1" s="1"/>
  <c r="BB15" i="6"/>
  <c r="E34" i="1" s="1"/>
  <c r="AI40" i="3"/>
  <c r="BC11" i="6"/>
  <c r="AH14" i="6"/>
  <c r="BC14" i="6" s="1"/>
  <c r="C33" i="1" s="1"/>
  <c r="K43" i="3"/>
  <c r="BB12" i="6"/>
  <c r="E31" i="1" s="1"/>
  <c r="BG12" i="6"/>
  <c r="BG15" i="6"/>
  <c r="BE5" i="7"/>
  <c r="AI43" i="7"/>
  <c r="AI40" i="7"/>
  <c r="BE40" i="7" s="1"/>
  <c r="BE30" i="7"/>
  <c r="AI42" i="7"/>
  <c r="K41" i="7"/>
  <c r="BK43" i="7"/>
  <c r="D46" i="1" s="1"/>
  <c r="BK40" i="7"/>
  <c r="D43" i="1" s="1"/>
  <c r="BC15" i="5"/>
  <c r="C22" i="1" s="1"/>
  <c r="BE35" i="7"/>
  <c r="BC10" i="5"/>
  <c r="AH14" i="5"/>
  <c r="BC14" i="5" s="1"/>
  <c r="C21" i="1" s="1"/>
  <c r="AI42" i="3"/>
  <c r="BE42" i="3" s="1"/>
  <c r="BE30" i="3"/>
  <c r="AI43" i="3"/>
  <c r="AH13" i="6"/>
  <c r="BC13" i="6" s="1"/>
  <c r="C32" i="1" s="1"/>
  <c r="BC9" i="6"/>
  <c r="BE10" i="3"/>
  <c r="BE43" i="7" l="1"/>
  <c r="BE43" i="3"/>
  <c r="BE40" i="3"/>
  <c r="BE42" i="7"/>
  <c r="BE41" i="7"/>
</calcChain>
</file>

<file path=xl/sharedStrings.xml><?xml version="1.0" encoding="utf-8"?>
<sst xmlns="http://schemas.openxmlformats.org/spreadsheetml/2006/main" count="1592" uniqueCount="595">
  <si>
    <t>Reference:</t>
  </si>
  <si>
    <t>Master+r7.0</t>
  </si>
  <si>
    <t>Tested:</t>
  </si>
  <si>
    <t>CTC</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</si>
  <si>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</si>
  <si>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</si>
  <si>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</si>
  <si>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</si>
  <si>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</si>
  <si>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</si>
  <si>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</si>
  <si>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</si>
  <si>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</si>
  <si>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</si>
  <si>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</si>
  <si>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</si>
  <si>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</si>
  <si>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</si>
  <si>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</si>
  <si>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</si>
  <si>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</si>
  <si>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</si>
  <si>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</si>
  <si>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</si>
  <si>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</si>
  <si>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</si>
  <si>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</si>
  <si>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</si>
  <si>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</si>
  <si>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</si>
  <si>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</si>
  <si>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</si>
  <si>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</si>
  <si>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</si>
  <si>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</si>
  <si>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</si>
  <si>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</si>
  <si>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</si>
  <si>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</si>
  <si>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</si>
  <si>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</si>
  <si>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</si>
  <si>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</si>
  <si>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</si>
  <si>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</si>
  <si>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</si>
  <si>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</si>
  <si>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</si>
  <si>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</si>
  <si>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</si>
  <si>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</si>
  <si>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</si>
  <si>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</si>
  <si>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</si>
  <si>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</si>
  <si>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</si>
  <si>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</si>
  <si>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</si>
  <si>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</si>
  <si>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</si>
  <si>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</si>
  <si>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</si>
  <si>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</si>
  <si>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</si>
  <si>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</si>
  <si>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</si>
  <si>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</si>
  <si>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</si>
  <si>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</si>
  <si>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</si>
  <si>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</si>
  <si>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</si>
  <si>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</si>
  <si>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</si>
  <si>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</si>
  <si>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</si>
  <si>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</si>
  <si>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</si>
  <si>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</si>
  <si>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</si>
  <si>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</si>
  <si>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</si>
  <si>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</si>
  <si>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</si>
  <si>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</si>
  <si>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</si>
  <si>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</si>
  <si>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</si>
  <si>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</si>
  <si>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</si>
  <si>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</si>
  <si>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</si>
  <si>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</si>
  <si>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</si>
  <si>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</si>
  <si>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</si>
  <si>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</si>
  <si>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</si>
  <si>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</si>
  <si>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</si>
  <si>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</si>
  <si>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</si>
  <si>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</si>
  <si>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</si>
  <si>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</si>
  <si>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</si>
  <si>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</si>
  <si>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</si>
  <si>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</si>
  <si>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</si>
  <si>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</si>
  <si>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</si>
  <si>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</si>
  <si>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</si>
  <si>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</si>
  <si>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</si>
  <si>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</si>
  <si>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</si>
  <si>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</si>
  <si>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</si>
  <si>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</si>
  <si>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</si>
  <si>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</si>
  <si>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</si>
  <si>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</si>
  <si>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</si>
  <si>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</si>
  <si>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</si>
  <si>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</si>
  <si>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</si>
  <si>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</si>
  <si>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</si>
  <si>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</si>
  <si>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</si>
  <si>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</si>
  <si>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</si>
  <si>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</si>
  <si>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</si>
  <si>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</si>
  <si>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</si>
  <si>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</si>
  <si>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</si>
  <si>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</si>
  <si>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</si>
  <si>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</si>
  <si>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</si>
  <si>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</si>
  <si>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</si>
  <si>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</si>
  <si>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</si>
  <si>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</si>
  <si>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</si>
  <si>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</si>
  <si>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</si>
  <si>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</si>
  <si>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</si>
  <si>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</si>
  <si>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</si>
  <si>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</si>
  <si>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</si>
  <si>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</si>
  <si>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</si>
  <si>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</si>
  <si>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</si>
  <si>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</si>
  <si>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</si>
  <si>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</si>
  <si>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</si>
  <si>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</si>
  <si>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</si>
  <si>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</si>
  <si>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</si>
  <si>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</si>
  <si>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</si>
  <si>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</si>
  <si>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</si>
  <si>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</si>
  <si>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</si>
  <si>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</si>
  <si>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</si>
  <si>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</si>
  <si>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</si>
  <si>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</si>
  <si>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</si>
  <si>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</si>
  <si>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</si>
  <si>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</si>
  <si>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</si>
  <si>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</si>
  <si>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</si>
  <si>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</si>
  <si>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</si>
  <si>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</si>
  <si>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</si>
  <si>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</si>
  <si>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</si>
  <si>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</si>
  <si>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</si>
  <si>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</si>
  <si>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</si>
  <si>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</si>
  <si>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</si>
  <si>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</si>
  <si>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</si>
  <si>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</si>
  <si>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</si>
  <si>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</si>
  <si>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</si>
  <si>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</si>
  <si>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</si>
  <si>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</si>
  <si>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</si>
  <si>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</si>
  <si>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</si>
  <si>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</si>
  <si>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</si>
  <si>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</si>
  <si>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</si>
  <si>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</si>
  <si>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</si>
  <si>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</si>
  <si>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</si>
  <si>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</si>
  <si>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</si>
  <si>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</si>
  <si>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</si>
  <si>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</si>
  <si>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</si>
  <si>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</si>
  <si>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</si>
  <si>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</si>
  <si>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</si>
  <si>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</si>
  <si>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</si>
  <si>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</si>
  <si>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</si>
  <si>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</si>
  <si>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</si>
  <si>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</si>
  <si>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</si>
  <si>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</si>
  <si>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</si>
  <si>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</si>
  <si>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</si>
  <si>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</si>
  <si>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</si>
  <si>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</si>
  <si>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</si>
  <si>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</si>
  <si>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</si>
  <si>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</si>
  <si>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</si>
  <si>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</si>
  <si>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</si>
  <si>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</si>
  <si>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</si>
  <si>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</si>
  <si>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</si>
  <si>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</si>
  <si>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</si>
  <si>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</si>
  <si>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</si>
  <si>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</si>
  <si>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</si>
  <si>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</si>
  <si>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</si>
  <si>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</si>
  <si>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</si>
  <si>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</si>
  <si>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</si>
  <si>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</si>
  <si>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</si>
  <si>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</si>
  <si>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</si>
  <si>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</si>
  <si>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</si>
  <si>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</si>
  <si>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</si>
  <si>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</si>
  <si>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</si>
  <si>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</si>
  <si>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</si>
  <si>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</si>
  <si>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</si>
  <si>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</si>
  <si>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</si>
  <si>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</si>
  <si>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</si>
  <si>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</si>
  <si>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</si>
  <si>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</si>
  <si>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</si>
  <si>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</si>
  <si>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</si>
  <si>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</si>
  <si>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</si>
  <si>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</si>
  <si>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</si>
  <si>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</si>
  <si>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</si>
  <si>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</si>
  <si>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</si>
  <si>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</si>
  <si>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</si>
  <si>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</si>
  <si>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</si>
  <si>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</si>
  <si>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</si>
  <si>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</si>
  <si>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</si>
  <si>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</si>
  <si>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</si>
  <si>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</si>
  <si>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</si>
  <si>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</si>
  <si>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</si>
  <si>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</si>
  <si>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</si>
  <si>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</si>
  <si>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</si>
  <si>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</si>
  <si>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</si>
  <si>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</si>
  <si>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</si>
  <si>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</si>
  <si>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</si>
  <si>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</si>
  <si>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</si>
  <si>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</si>
  <si>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</si>
  <si>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</si>
  <si>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</si>
  <si>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</si>
  <si>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</si>
  <si>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</si>
  <si>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</si>
  <si>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</si>
  <si>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</si>
  <si>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</si>
  <si>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</si>
  <si>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</si>
  <si>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</si>
  <si>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</si>
  <si>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</si>
  <si>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</si>
  <si>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</si>
  <si>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</si>
  <si>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</si>
  <si>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</si>
  <si>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</si>
  <si>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</si>
  <si>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</si>
  <si>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</si>
  <si>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</si>
  <si>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</si>
  <si>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</si>
  <si>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</si>
  <si>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</si>
  <si>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</si>
  <si>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</si>
  <si>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</si>
  <si>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</si>
  <si>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</si>
  <si>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</si>
  <si>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</si>
  <si>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</si>
  <si>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</si>
  <si>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</si>
  <si>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</si>
  <si>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</si>
  <si>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</si>
  <si>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</si>
  <si>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</si>
  <si>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</si>
  <si>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</si>
  <si>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</si>
  <si>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</si>
  <si>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</si>
  <si>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</si>
  <si>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</si>
  <si>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</si>
  <si>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</si>
  <si>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</si>
  <si>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</si>
  <si>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</si>
  <si>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</si>
  <si>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</si>
  <si>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</si>
  <si>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</si>
  <si>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</si>
  <si>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</si>
  <si>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</si>
  <si>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</si>
  <si>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</si>
  <si>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</si>
  <si>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</si>
  <si>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</si>
  <si>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</si>
  <si>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</si>
  <si>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</si>
  <si>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</si>
  <si>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</si>
  <si>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</si>
  <si>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</si>
  <si>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</si>
  <si>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</si>
  <si>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</si>
  <si>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</si>
  <si>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</si>
  <si>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</si>
  <si>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</si>
  <si>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</si>
  <si>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</si>
  <si>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</si>
  <si>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</si>
  <si>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</si>
  <si>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</si>
  <si>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</si>
  <si>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</si>
  <si>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</si>
  <si>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</si>
  <si>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</si>
  <si>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</si>
  <si>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</si>
  <si>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</si>
  <si>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</si>
  <si>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</si>
  <si>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</si>
  <si>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</si>
  <si>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</si>
  <si>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</si>
  <si>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</si>
  <si>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</si>
  <si>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</si>
  <si>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</si>
  <si>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</si>
  <si>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</si>
  <si>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</si>
  <si>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</si>
  <si>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</si>
  <si>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</si>
  <si>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</si>
  <si>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</si>
  <si>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</si>
  <si>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</si>
  <si>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</si>
  <si>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</si>
  <si>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</si>
  <si>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</si>
  <si>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</si>
  <si>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</si>
  <si>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</si>
  <si>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</si>
  <si>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</si>
  <si>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</si>
  <si>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</si>
  <si>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</si>
  <si>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</si>
  <si>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</si>
  <si>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</si>
  <si>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</si>
  <si>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</si>
  <si>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</si>
  <si>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</si>
  <si>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</si>
  <si>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</si>
  <si>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</si>
  <si>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</si>
  <si>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</si>
  <si>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</si>
  <si>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</si>
  <si>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</si>
  <si>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</si>
  <si>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</si>
  <si>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</si>
  <si>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</si>
  <si>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</si>
  <si>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</si>
  <si>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</si>
  <si>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</si>
  <si>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</si>
  <si>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</si>
  <si>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</si>
  <si>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</si>
  <si>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</si>
  <si>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</si>
  <si>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</si>
  <si>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</si>
  <si>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</si>
  <si>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</si>
  <si>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</si>
  <si>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</si>
  <si>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</si>
  <si>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</si>
  <si>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</si>
  <si>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</si>
  <si>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</si>
  <si>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</si>
  <si>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</si>
  <si>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</si>
  <si>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</si>
  <si>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</si>
  <si>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</si>
  <si>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</si>
  <si>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</si>
  <si>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</si>
  <si>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</si>
  <si>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</si>
  <si>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</si>
  <si>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</si>
  <si>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</si>
  <si>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</si>
  <si>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</si>
  <si>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</si>
  <si>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</si>
  <si>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</si>
  <si>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</si>
  <si>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</si>
  <si>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</si>
  <si>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</si>
  <si>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</si>
  <si>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</si>
  <si>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</si>
  <si>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</si>
  <si>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</si>
  <si>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</si>
  <si>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</si>
  <si>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</si>
  <si>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</si>
  <si>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</si>
  <si>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</si>
  <si>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</si>
  <si>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</si>
  <si>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</si>
  <si>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</si>
  <si>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</si>
  <si>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</si>
  <si>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</si>
  <si>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</si>
  <si>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</si>
  <si>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</si>
  <si>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</si>
  <si>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</si>
  <si>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</si>
  <si>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</si>
  <si>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</si>
  <si>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</si>
  <si>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</si>
  <si>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</si>
  <si>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</si>
  <si>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</si>
  <si>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</si>
  <si>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</si>
  <si>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</si>
  <si>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</si>
  <si>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</si>
  <si>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</si>
  <si>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</si>
  <si>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</si>
  <si>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</si>
  <si>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</si>
  <si>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</si>
  <si>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</si>
  <si>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</si>
  <si>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</si>
  <si>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</si>
  <si>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</si>
  <si>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</si>
  <si>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</si>
  <si>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</si>
  <si>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</si>
  <si>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</si>
  <si>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</si>
  <si>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</si>
  <si>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</si>
  <si>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</si>
  <si>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</si>
  <si>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</si>
  <si>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</si>
  <si>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</si>
  <si>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</si>
  <si>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</si>
  <si>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</si>
  <si>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</si>
  <si>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</si>
  <si>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</si>
  <si>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</si>
  <si>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</si>
  <si>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</si>
  <si>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</si>
  <si>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vpcc8.0rc2</t>
  </si>
  <si>
    <t>vpcc80rc2</t>
  </si>
  <si>
    <t>inf</t>
  </si>
  <si>
    <t>vpcc r7.0</t>
  </si>
  <si>
    <t>rc1.0 + rc2.0 (m51485+51037)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</si>
</sst>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9">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10" fontId="0" fillId="8" borderId="0" xfId="0" applyNumberFormat="1" applyFill="1" applyAlignment="1">
      <alignment horizontal="center"/>
    </xf>
    <xf numFmtId="10" fontId="0" fillId="10" borderId="0" xfId="0" applyNumberFormat="1" applyFill="1" applyAlignment="1">
      <alignment horizontal="center"/>
    </xf>
    <xf numFmtId="10" fontId="0" fillId="10" borderId="3" xfId="0" applyNumberFormat="1" applyFill="1" applyBorder="1" applyAlignment="1">
      <alignment horizontal="center"/>
    </xf>
    <xf numFmtId="10" fontId="0" fillId="8" borderId="3" xfId="0" applyNumberFormat="1" applyFill="1" applyBorder="1" applyAlignment="1">
      <alignment horizontal="center"/>
    </xf>
    <xf numFmtId="10" fontId="0" fillId="0" borderId="0" xfId="0" applyNumberFormat="1" applyAlignment="1">
      <alignment horizontal="center"/>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vpcc8.0rc2</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66.354628124999991</c:v>
                </c:pt>
                <c:pt idx="1">
                  <c:v>68.255978124999999</c:v>
                </c:pt>
                <c:pt idx="2">
                  <c:v>69.683724999999995</c:v>
                </c:pt>
                <c:pt idx="3">
                  <c:v>70.836840624999994</c:v>
                </c:pt>
                <c:pt idx="4">
                  <c:v>71.945243750000003</c:v>
                </c:pt>
              </c:numCache>
            </c:numRef>
          </c:yVal>
          <c:smooth val="1"/>
          <c:extLst>
            <c:ext xmlns:c16="http://schemas.microsoft.com/office/drawing/2014/chart" uri="{C3380CC4-5D6E-409C-BE32-E72D297353CC}">
              <c16:uniqueId val="{00000000-E988-4D62-A72B-FBFC193CC106}"/>
            </c:ext>
          </c:extLst>
        </c:ser>
        <c:ser>
          <c:idx val="1"/>
          <c:order val="1"/>
          <c:tx>
            <c:strRef>
              <c:f>Graphs!graph_a_B_title</c:f>
              <c:strCache>
                <c:ptCount val="1"/>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E988-4D62-A72B-FBFC193CC10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vpcc8.0rc2</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68.478524999999991</c:v>
                </c:pt>
                <c:pt idx="1">
                  <c:v>70.438459375000022</c:v>
                </c:pt>
                <c:pt idx="2">
                  <c:v>72.129403124999982</c:v>
                </c:pt>
                <c:pt idx="3">
                  <c:v>73.406981250000001</c:v>
                </c:pt>
                <c:pt idx="4">
                  <c:v>75.319240624999978</c:v>
                </c:pt>
              </c:numCache>
            </c:numRef>
          </c:yVal>
          <c:smooth val="1"/>
          <c:extLst>
            <c:ext xmlns:c16="http://schemas.microsoft.com/office/drawing/2014/chart" uri="{C3380CC4-5D6E-409C-BE32-E72D297353CC}">
              <c16:uniqueId val="{00000000-C383-4933-8DD3-7E6CA1131D4B}"/>
            </c:ext>
          </c:extLst>
        </c:ser>
        <c:ser>
          <c:idx val="1"/>
          <c:order val="1"/>
          <c:tx>
            <c:strRef>
              <c:f>Graphs!graph_b_B_title</c:f>
              <c:strCache>
                <c:ptCount val="1"/>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C383-4933-8DD3-7E6CA1131D4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vpcc8.0rc2</c:v>
                </c:pt>
              </c:strCache>
            </c:strRef>
          </c:tx>
          <c:spPr>
            <a:ln>
              <a:prstDash val="solid"/>
            </a:ln>
          </c:spPr>
          <c:marker>
            <c:symbol val="none"/>
          </c:marker>
          <c:xVal>
            <c:numRef>
              <c:f>Graphs!graph_c_x_range_A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Graphs!graph_c_y_range_A</c:f>
              <c:numCache>
                <c:formatCode>0.00</c:formatCode>
                <c:ptCount val="5"/>
                <c:pt idx="0">
                  <c:v>32.10944687500001</c:v>
                </c:pt>
                <c:pt idx="1">
                  <c:v>34.365984374999996</c:v>
                </c:pt>
                <c:pt idx="2">
                  <c:v>36.915784375000001</c:v>
                </c:pt>
                <c:pt idx="3">
                  <c:v>39.549353125000003</c:v>
                </c:pt>
                <c:pt idx="4">
                  <c:v>42.149681250000008</c:v>
                </c:pt>
              </c:numCache>
            </c:numRef>
          </c:yVal>
          <c:smooth val="1"/>
          <c:extLst>
            <c:ext xmlns:c16="http://schemas.microsoft.com/office/drawing/2014/chart" uri="{C3380CC4-5D6E-409C-BE32-E72D297353CC}">
              <c16:uniqueId val="{00000000-A5D5-4373-AF77-34927F988F9B}"/>
            </c:ext>
          </c:extLst>
        </c:ser>
        <c:ser>
          <c:idx val="1"/>
          <c:order val="1"/>
          <c:tx>
            <c:strRef>
              <c:f>Graphs!graph_c_B_title</c:f>
              <c:strCache>
                <c:ptCount val="1"/>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A5D5-4373-AF77-34927F988F9B}"/>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vpcc8.0rc2</c:v>
                </c:pt>
              </c:strCache>
            </c:strRef>
          </c:tx>
          <c:spPr>
            <a:ln>
              <a:prstDash val="solid"/>
            </a:ln>
          </c:spPr>
          <c:marker>
            <c:symbol val="none"/>
          </c:marker>
          <c:xVal>
            <c:numRef>
              <c:f>Graphs!graph_d_x_range_A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Graphs!graph_d_y_range_A</c:f>
              <c:numCache>
                <c:formatCode>0.00</c:formatCode>
                <c:ptCount val="5"/>
                <c:pt idx="0">
                  <c:v>44.148171875000003</c:v>
                </c:pt>
                <c:pt idx="1">
                  <c:v>45.499918749999992</c:v>
                </c:pt>
                <c:pt idx="2">
                  <c:v>46.579393750000023</c:v>
                </c:pt>
                <c:pt idx="3">
                  <c:v>47.886118750000001</c:v>
                </c:pt>
                <c:pt idx="4">
                  <c:v>49.421931249999993</c:v>
                </c:pt>
              </c:numCache>
            </c:numRef>
          </c:yVal>
          <c:smooth val="1"/>
          <c:extLst>
            <c:ext xmlns:c16="http://schemas.microsoft.com/office/drawing/2014/chart" uri="{C3380CC4-5D6E-409C-BE32-E72D297353CC}">
              <c16:uniqueId val="{00000000-7D34-462C-BACD-F13E01468002}"/>
            </c:ext>
          </c:extLst>
        </c:ser>
        <c:ser>
          <c:idx val="1"/>
          <c:order val="1"/>
          <c:tx>
            <c:strRef>
              <c:f>Graphs!graph_d_B_title</c:f>
              <c:strCache>
                <c:ptCount val="1"/>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7D34-462C-BACD-F13E0146800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vpcc8.0rc2</c:v>
                </c:pt>
              </c:strCache>
            </c:strRef>
          </c:tx>
          <c:spPr>
            <a:ln>
              <a:prstDash val="solid"/>
            </a:ln>
          </c:spPr>
          <c:marker>
            <c:symbol val="none"/>
          </c:marker>
          <c:xVal>
            <c:numRef>
              <c:f>Graphs!graph_e_x_range_A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Graphs!graph_e_y_range_A</c:f>
              <c:numCache>
                <c:formatCode>0.00</c:formatCode>
                <c:ptCount val="5"/>
                <c:pt idx="0">
                  <c:v>43.839812500000001</c:v>
                </c:pt>
                <c:pt idx="1">
                  <c:v>45.231668749999997</c:v>
                </c:pt>
                <c:pt idx="2">
                  <c:v>46.454928125000002</c:v>
                </c:pt>
                <c:pt idx="3">
                  <c:v>47.950350000000007</c:v>
                </c:pt>
                <c:pt idx="4">
                  <c:v>49.547406250000009</c:v>
                </c:pt>
              </c:numCache>
            </c:numRef>
          </c:yVal>
          <c:smooth val="1"/>
          <c:extLst>
            <c:ext xmlns:c16="http://schemas.microsoft.com/office/drawing/2014/chart" uri="{C3380CC4-5D6E-409C-BE32-E72D297353CC}">
              <c16:uniqueId val="{00000000-1990-4847-96F1-3C371FDEC257}"/>
            </c:ext>
          </c:extLst>
        </c:ser>
        <c:ser>
          <c:idx val="1"/>
          <c:order val="1"/>
          <c:tx>
            <c:strRef>
              <c:f>Graphs!graph_e_B_title</c:f>
              <c:strCache>
                <c:ptCount val="1"/>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1990-4847-96F1-3C371FDEC257}"/>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vpcc8.0rc2</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9ED9-4AA3-A421-E43FEAB91D11}"/>
            </c:ext>
          </c:extLst>
        </c:ser>
        <c:ser>
          <c:idx val="1"/>
          <c:order val="1"/>
          <c:tx>
            <c:strRef>
              <c:f>Graphs!graph_f_B_title</c:f>
              <c:strCache>
                <c:ptCount val="1"/>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9ED9-4AA3-A421-E43FEAB91D11}"/>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67" t="s">
        <v>1</v>
      </c>
      <c r="D1" s="59"/>
      <c r="E1" s="59"/>
    </row>
    <row r="2" spans="2:12" x14ac:dyDescent="0.2">
      <c r="B2" t="s">
        <v>2</v>
      </c>
      <c r="C2" s="68" t="s">
        <v>3</v>
      </c>
      <c r="D2" s="59"/>
      <c r="E2" s="59"/>
    </row>
    <row r="4" spans="2:12" s="1" customFormat="1" x14ac:dyDescent="0.2">
      <c r="B4" s="1" t="s">
        <v>4</v>
      </c>
    </row>
    <row r="6" spans="2:12" x14ac:dyDescent="0.2">
      <c r="B6" s="62" t="s">
        <v>5</v>
      </c>
      <c r="C6" s="63" t="s">
        <v>6</v>
      </c>
      <c r="D6" s="64"/>
      <c r="E6" s="64"/>
      <c r="F6" s="64"/>
      <c r="G6" s="64"/>
      <c r="H6" s="64"/>
      <c r="I6" s="64"/>
      <c r="J6" s="64"/>
      <c r="K6" s="64"/>
      <c r="L6" s="64"/>
    </row>
    <row r="7" spans="2:12" x14ac:dyDescent="0.2">
      <c r="B7" s="59"/>
      <c r="C7" s="65" t="s">
        <v>7</v>
      </c>
      <c r="D7" s="59"/>
      <c r="E7" s="66" t="s">
        <v>8</v>
      </c>
      <c r="F7" s="59"/>
      <c r="G7" s="59"/>
      <c r="H7" s="65" t="s">
        <v>9</v>
      </c>
      <c r="I7" s="59"/>
      <c r="J7" s="66" t="s">
        <v>10</v>
      </c>
      <c r="K7" s="59"/>
      <c r="L7" s="59"/>
    </row>
    <row r="8" spans="2:12" ht="16" x14ac:dyDescent="0.2">
      <c r="B8" s="61"/>
      <c r="C8" s="2" t="s">
        <v>11</v>
      </c>
      <c r="D8" s="2" t="s">
        <v>12</v>
      </c>
      <c r="E8" s="3" t="s">
        <v>13</v>
      </c>
      <c r="F8" s="3" t="s">
        <v>14</v>
      </c>
      <c r="G8" s="3" t="s">
        <v>15</v>
      </c>
      <c r="H8" s="2" t="s">
        <v>11</v>
      </c>
      <c r="I8" s="2" t="s">
        <v>12</v>
      </c>
      <c r="J8" s="3" t="s">
        <v>13</v>
      </c>
      <c r="K8" s="3" t="s">
        <v>14</v>
      </c>
      <c r="L8" s="3" t="s">
        <v>15</v>
      </c>
    </row>
    <row r="9" spans="2:12" x14ac:dyDescent="0.2">
      <c r="B9" t="s">
        <v>16</v>
      </c>
      <c r="C9" s="51" t="e">
        <f>'C2 lossyG,lossyA,intra'!$BJ$40:$BJ$40</f>
        <v>#DIV/0!</v>
      </c>
      <c r="D9" s="51" t="e">
        <f>'C2 lossyG,lossyA,intra'!$BK$40:$BK$40</f>
        <v>#DIV/0!</v>
      </c>
      <c r="E9" s="51" t="e">
        <f>'C2 lossyG,lossyA,intra'!$BL$40:$BL$40</f>
        <v>#DIV/0!</v>
      </c>
      <c r="F9" s="51" t="e">
        <f>'C2 lossyG,lossyA,intra'!$BM$40:$BM$40</f>
        <v>#DIV/0!</v>
      </c>
      <c r="G9" s="51" t="e">
        <f>'C2 lossyG,lossyA,intra'!$BN$40:$BN$40</f>
        <v>#DIV/0!</v>
      </c>
      <c r="H9" s="51" t="e">
        <f>'C2 lossyG,lossyA,intra'!$BP$40:$BP$40</f>
        <v>#DIV/0!</v>
      </c>
      <c r="I9" s="51" t="e">
        <f>'C2 lossyG,lossyA,intra'!$BQ$40:$BQ$40</f>
        <v>#DIV/0!</v>
      </c>
      <c r="J9" s="51" t="e">
        <f>'C2 lossyG,lossyA,intra'!$BR$40:$BR$40</f>
        <v>#DIV/0!</v>
      </c>
      <c r="K9" s="51" t="e">
        <f>'C2 lossyG,lossyA,intra'!$BS$40:$BS$40</f>
        <v>#DIV/0!</v>
      </c>
      <c r="L9" s="51" t="e">
        <f>'C2 lossyG,lossyA,intra'!$BT$40:$BT$40</f>
        <v>#DIV/0!</v>
      </c>
    </row>
    <row r="10" spans="2:12" x14ac:dyDescent="0.2">
      <c r="B10" t="s">
        <v>17</v>
      </c>
      <c r="C10" s="51" t="e">
        <f>'C2 lossyG,lossyA,intra'!$BJ$41:$BJ$41</f>
        <v>#DIV/0!</v>
      </c>
      <c r="D10" s="51" t="e">
        <f>'C2 lossyG,lossyA,intra'!$BK$41:$BK$41</f>
        <v>#DIV/0!</v>
      </c>
      <c r="E10" s="51" t="e">
        <f>'C2 lossyG,lossyA,intra'!$BL$41:$BL$41</f>
        <v>#DIV/0!</v>
      </c>
      <c r="F10" s="51" t="e">
        <f>'C2 lossyG,lossyA,intra'!$BM$41:$BM$41</f>
        <v>#DIV/0!</v>
      </c>
      <c r="G10" s="51" t="e">
        <f>'C2 lossyG,lossyA,intra'!$BN$41:$BN$41</f>
        <v>#DIV/0!</v>
      </c>
      <c r="H10" s="51" t="e">
        <f>'C2 lossyG,lossyA,intra'!$BP$41:$BP$41</f>
        <v>#DIV/0!</v>
      </c>
      <c r="I10" s="51" t="e">
        <f>'C2 lossyG,lossyA,intra'!$BQ$41:$BQ$41</f>
        <v>#DIV/0!</v>
      </c>
      <c r="J10" s="51" t="e">
        <f>'C2 lossyG,lossyA,intra'!$BR$41:$BR$41</f>
        <v>#DIV/0!</v>
      </c>
      <c r="K10" s="51" t="e">
        <f>'C2 lossyG,lossyA,intra'!$BS$41:$BS$41</f>
        <v>#DIV/0!</v>
      </c>
      <c r="L10" s="51" t="e">
        <f>'C2 lossyG,lossyA,intra'!$BT$41:$BT$41</f>
        <v>#DIV/0!</v>
      </c>
    </row>
    <row r="11" spans="2:12" x14ac:dyDescent="0.2">
      <c r="B11" t="s">
        <v>18</v>
      </c>
      <c r="C11" s="51" t="e">
        <f>'C2 lossyG,lossyA,intra'!$BJ$42:$BJ$42</f>
        <v>#DIV/0!</v>
      </c>
      <c r="D11" s="51" t="e">
        <f>'C2 lossyG,lossyA,intra'!$BK$42:$BK$42</f>
        <v>#DIV/0!</v>
      </c>
      <c r="E11" s="51" t="e">
        <f>'C2 lossyG,lossyA,intra'!$BL$42:$BL$42</f>
        <v>#DIV/0!</v>
      </c>
      <c r="F11" s="51" t="e">
        <f>'C2 lossyG,lossyA,intra'!$BM$42:$BM$42</f>
        <v>#DIV/0!</v>
      </c>
      <c r="G11" s="51" t="e">
        <f>'C2 lossyG,lossyA,intra'!$BN$42:$BN$42</f>
        <v>#DIV/0!</v>
      </c>
      <c r="H11" s="51" t="e">
        <f>'C2 lossyG,lossyA,intra'!$BP$42:$BP$42</f>
        <v>#DIV/0!</v>
      </c>
      <c r="I11" s="51" t="e">
        <f>'C2 lossyG,lossyA,intra'!$BQ$42:$BQ$42</f>
        <v>#DIV/0!</v>
      </c>
      <c r="J11" s="51" t="e">
        <f>'C2 lossyG,lossyA,intra'!$BR$42:$BR$42</f>
        <v>#DIV/0!</v>
      </c>
      <c r="K11" s="51" t="e">
        <f>'C2 lossyG,lossyA,intra'!$BS$42:$BS$42</f>
        <v>#DIV/0!</v>
      </c>
      <c r="L11" s="51" t="e">
        <f>'C2 lossyG,lossyA,intra'!$BT$42:$BT$42</f>
        <v>#DIV/0!</v>
      </c>
    </row>
    <row r="12" spans="2:12" x14ac:dyDescent="0.2">
      <c r="B12" s="4" t="s">
        <v>19</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
      <c r="B13" t="s">
        <v>20</v>
      </c>
      <c r="C13" s="58" t="e">
        <f>'C2 lossyG,lossyA,intra'!AZ47</f>
        <v>#NUM!</v>
      </c>
      <c r="D13" s="59"/>
      <c r="E13" s="59"/>
      <c r="F13" s="59"/>
      <c r="G13" s="59"/>
      <c r="H13" s="59"/>
      <c r="I13" s="59"/>
      <c r="J13" s="59"/>
      <c r="K13" s="59"/>
      <c r="L13" s="59"/>
    </row>
    <row r="14" spans="2:12" x14ac:dyDescent="0.2">
      <c r="B14" s="54" t="s">
        <v>21</v>
      </c>
      <c r="C14" s="60" t="e">
        <f>'C2 lossyG,lossyA,intra'!BB47</f>
        <v>#NUM!</v>
      </c>
      <c r="D14" s="61"/>
      <c r="E14" s="61"/>
      <c r="F14" s="61"/>
      <c r="G14" s="61"/>
      <c r="H14" s="61"/>
      <c r="I14" s="61"/>
      <c r="J14" s="61"/>
      <c r="K14" s="61"/>
      <c r="L14" s="61"/>
    </row>
    <row r="16" spans="2:12" x14ac:dyDescent="0.2">
      <c r="B16" s="62" t="s">
        <v>22</v>
      </c>
      <c r="C16" s="63" t="s">
        <v>23</v>
      </c>
      <c r="D16" s="64"/>
      <c r="E16" s="64"/>
    </row>
    <row r="17" spans="2:5" x14ac:dyDescent="0.2">
      <c r="B17" s="59"/>
      <c r="C17" s="65" t="s">
        <v>24</v>
      </c>
      <c r="D17" s="59"/>
      <c r="E17" s="59"/>
    </row>
    <row r="18" spans="2:5" ht="16" x14ac:dyDescent="0.2">
      <c r="B18" s="61"/>
      <c r="C18" s="2" t="s">
        <v>25</v>
      </c>
      <c r="D18" s="2" t="s">
        <v>26</v>
      </c>
      <c r="E18" s="2" t="s">
        <v>27</v>
      </c>
    </row>
    <row r="19" spans="2:5" x14ac:dyDescent="0.2">
      <c r="B19" t="s">
        <v>16</v>
      </c>
      <c r="C19" s="51">
        <f>'CW losslG,losslA,intra'!BC12</f>
        <v>1.0001233842436243</v>
      </c>
      <c r="D19" s="51">
        <f>'CW losslG,losslA,intra'!BE12</f>
        <v>0.99968458018849571</v>
      </c>
      <c r="E19" s="51">
        <f>'CW losslG,losslA,intra'!BB12</f>
        <v>0.99975122629949298</v>
      </c>
    </row>
    <row r="20" spans="2:5" x14ac:dyDescent="0.2">
      <c r="B20" t="s">
        <v>17</v>
      </c>
      <c r="C20" s="51">
        <f>'CW losslG,losslA,intra'!BC13</f>
        <v>1.0000980970021809</v>
      </c>
      <c r="D20" s="51">
        <f>'CW losslG,losslA,intra'!BE13</f>
        <v>0.99971977704056703</v>
      </c>
      <c r="E20" s="51">
        <f>'CW losslG,losslA,intra'!BB13</f>
        <v>0.99975794160987119</v>
      </c>
    </row>
    <row r="21" spans="2:5" x14ac:dyDescent="0.2">
      <c r="B21" t="s">
        <v>18</v>
      </c>
      <c r="C21" s="51">
        <f>'CW losslG,losslA,intra'!BC14</f>
        <v>1.0000732624196975</v>
      </c>
      <c r="D21" s="51">
        <f>'CW losslG,losslA,intra'!BE14</f>
        <v>0.99985272389240809</v>
      </c>
      <c r="E21" s="51">
        <f>'CW losslG,losslA,intra'!BB14</f>
        <v>0.99987842112141834</v>
      </c>
    </row>
    <row r="22" spans="2:5" x14ac:dyDescent="0.2">
      <c r="B22" s="4" t="s">
        <v>19</v>
      </c>
      <c r="C22" s="5">
        <f>'CW losslG,losslA,intra'!BC15</f>
        <v>1.0000999011520912</v>
      </c>
      <c r="D22" s="5">
        <f>'CW losslG,losslA,intra'!BE15</f>
        <v>0.99976738805815035</v>
      </c>
      <c r="E22" s="5">
        <f>'CW losslG,losslA,intra'!BB15</f>
        <v>0.99981015206730706</v>
      </c>
    </row>
    <row r="23" spans="2:5" x14ac:dyDescent="0.2">
      <c r="B23" t="s">
        <v>20</v>
      </c>
      <c r="C23" s="58">
        <f>'CW losslG,losslA,intra'!AW19</f>
        <v>1.4787702012905561</v>
      </c>
      <c r="D23" s="59"/>
      <c r="E23" s="59"/>
    </row>
    <row r="24" spans="2:5" x14ac:dyDescent="0.2">
      <c r="B24" s="54" t="s">
        <v>21</v>
      </c>
      <c r="C24" s="60">
        <f>'CW losslG,losslA,intra'!AY19</f>
        <v>1.8894110978246419</v>
      </c>
      <c r="D24" s="61"/>
      <c r="E24" s="61"/>
    </row>
    <row r="26" spans="2:5" s="1" customFormat="1" x14ac:dyDescent="0.2">
      <c r="B26" s="1" t="s">
        <v>28</v>
      </c>
    </row>
    <row r="28" spans="2:5" x14ac:dyDescent="0.2">
      <c r="B28" s="62" t="s">
        <v>29</v>
      </c>
      <c r="C28" s="63" t="s">
        <v>30</v>
      </c>
      <c r="D28" s="64"/>
      <c r="E28" s="64"/>
    </row>
    <row r="29" spans="2:5" x14ac:dyDescent="0.2">
      <c r="B29" s="59"/>
      <c r="C29" s="65" t="s">
        <v>24</v>
      </c>
      <c r="D29" s="59"/>
      <c r="E29" s="59"/>
    </row>
    <row r="30" spans="2:5" ht="16" x14ac:dyDescent="0.2">
      <c r="B30" s="61"/>
      <c r="C30" s="2" t="s">
        <v>25</v>
      </c>
      <c r="D30" s="2" t="s">
        <v>26</v>
      </c>
      <c r="E30" s="2" t="s">
        <v>27</v>
      </c>
    </row>
    <row r="31" spans="2:5" x14ac:dyDescent="0.2">
      <c r="B31" t="s">
        <v>16</v>
      </c>
      <c r="C31" s="51">
        <f>'CW losslG,losslA,interLD'!BC12</f>
        <v>1.0001362370715496</v>
      </c>
      <c r="D31" s="51">
        <f>'CW losslG,losslA,interLD'!BE12</f>
        <v>0.99967464360999048</v>
      </c>
      <c r="E31" s="51">
        <f>'CW losslG,losslA,interLD'!BB12</f>
        <v>0.99974019687505022</v>
      </c>
    </row>
    <row r="32" spans="2:5" x14ac:dyDescent="0.2">
      <c r="B32" t="s">
        <v>17</v>
      </c>
      <c r="C32" s="51">
        <f>'CW losslG,losslA,interLD'!BC13</f>
        <v>1.0000977012882912</v>
      </c>
      <c r="D32" s="51">
        <f>'CW losslG,losslA,interLD'!BE13</f>
        <v>0.99971925157576358</v>
      </c>
      <c r="E32" s="51">
        <f>'CW losslG,losslA,interLD'!BB13</f>
        <v>0.99975765340441425</v>
      </c>
    </row>
    <row r="33" spans="2:12" x14ac:dyDescent="0.2">
      <c r="B33" t="s">
        <v>18</v>
      </c>
      <c r="C33" s="51">
        <f>'CW losslG,losslA,interLD'!BC14</f>
        <v>1.0000731603148361</v>
      </c>
      <c r="D33" s="51">
        <f>'CW losslG,losslA,interLD'!BE14</f>
        <v>0.99985303341714571</v>
      </c>
      <c r="E33" s="51">
        <f>'CW losslG,losslA,interLD'!BB14</f>
        <v>0.99987867096159566</v>
      </c>
    </row>
    <row r="34" spans="2:12" x14ac:dyDescent="0.2">
      <c r="B34" s="4" t="s">
        <v>19</v>
      </c>
      <c r="C34" s="5">
        <f>'CW losslG,losslA,interLD'!BC15</f>
        <v>1.0001044755770461</v>
      </c>
      <c r="D34" s="5">
        <f>'CW losslG,losslA,interLD'!BE15</f>
        <v>0.99976442321977899</v>
      </c>
      <c r="E34" s="5">
        <f>'CW losslG,losslA,interLD'!BB15</f>
        <v>0.99980674434557004</v>
      </c>
    </row>
    <row r="35" spans="2:12" x14ac:dyDescent="0.2">
      <c r="B35" t="s">
        <v>20</v>
      </c>
      <c r="C35" s="58">
        <f>'CW losslG,losslA,interLD'!AW19</f>
        <v>1.3893457449614173</v>
      </c>
      <c r="D35" s="59"/>
      <c r="E35" s="59"/>
    </row>
    <row r="36" spans="2:12" x14ac:dyDescent="0.2">
      <c r="B36" s="54" t="s">
        <v>21</v>
      </c>
      <c r="C36" s="60">
        <f>'CW losslG,losslA,interLD'!AY19</f>
        <v>1.8099597467010828</v>
      </c>
      <c r="D36" s="61"/>
      <c r="E36" s="61"/>
    </row>
    <row r="38" spans="2:12" s="1" customFormat="1" x14ac:dyDescent="0.2">
      <c r="B38" s="1" t="s">
        <v>31</v>
      </c>
    </row>
    <row r="40" spans="2:12" x14ac:dyDescent="0.2">
      <c r="B40" s="62" t="s">
        <v>32</v>
      </c>
      <c r="C40" s="63" t="s">
        <v>33</v>
      </c>
      <c r="D40" s="64"/>
      <c r="E40" s="64"/>
      <c r="F40" s="64"/>
      <c r="G40" s="64"/>
      <c r="H40" s="64"/>
      <c r="I40" s="64"/>
      <c r="J40" s="64"/>
      <c r="K40" s="64"/>
      <c r="L40" s="64"/>
    </row>
    <row r="41" spans="2:12" x14ac:dyDescent="0.2">
      <c r="B41" s="59"/>
      <c r="C41" s="65" t="s">
        <v>7</v>
      </c>
      <c r="D41" s="59"/>
      <c r="E41" s="66" t="s">
        <v>8</v>
      </c>
      <c r="F41" s="59"/>
      <c r="G41" s="59"/>
      <c r="H41" s="65" t="s">
        <v>9</v>
      </c>
      <c r="I41" s="59"/>
      <c r="J41" s="66" t="s">
        <v>10</v>
      </c>
      <c r="K41" s="59"/>
      <c r="L41" s="59"/>
    </row>
    <row r="42" spans="2:12" ht="16" x14ac:dyDescent="0.2">
      <c r="B42" s="61"/>
      <c r="C42" s="2" t="s">
        <v>11</v>
      </c>
      <c r="D42" s="2" t="s">
        <v>12</v>
      </c>
      <c r="E42" s="3" t="s">
        <v>13</v>
      </c>
      <c r="F42" s="3" t="s">
        <v>14</v>
      </c>
      <c r="G42" s="3" t="s">
        <v>15</v>
      </c>
      <c r="H42" s="2" t="s">
        <v>11</v>
      </c>
      <c r="I42" s="2" t="s">
        <v>12</v>
      </c>
      <c r="J42" s="3" t="s">
        <v>13</v>
      </c>
      <c r="K42" s="3" t="s">
        <v>14</v>
      </c>
      <c r="L42" s="3" t="s">
        <v>15</v>
      </c>
    </row>
    <row r="43" spans="2:12" x14ac:dyDescent="0.2">
      <c r="B43" t="s">
        <v>16</v>
      </c>
      <c r="C43" s="51" t="e">
        <f>'C2 lossyG,lossyA,interRA'!$BJ$40:$BJ$40</f>
        <v>#DIV/0!</v>
      </c>
      <c r="D43" s="51" t="e">
        <f>'C2 lossyG,lossyA,interRA'!$BK$40:$BK$40</f>
        <v>#DIV/0!</v>
      </c>
      <c r="E43" s="51" t="e">
        <f>'C2 lossyG,lossyA,interRA'!$BL$40:$BL$40</f>
        <v>#DIV/0!</v>
      </c>
      <c r="F43" s="51" t="e">
        <f>'C2 lossyG,lossyA,interRA'!$BM$40:$BM$40</f>
        <v>#DIV/0!</v>
      </c>
      <c r="G43" s="51" t="e">
        <f>'C2 lossyG,lossyA,interRA'!$BN$40:$BN$40</f>
        <v>#DIV/0!</v>
      </c>
      <c r="H43" s="51" t="e">
        <f>'C2 lossyG,lossyA,interRA'!$BP$40:$BP$40</f>
        <v>#DIV/0!</v>
      </c>
      <c r="I43" s="51" t="e">
        <f>'C2 lossyG,lossyA,interRA'!$BQ$40:$BQ$40</f>
        <v>#DIV/0!</v>
      </c>
      <c r="J43" s="51" t="e">
        <f>'C2 lossyG,lossyA,interRA'!$BR$40:$BR$40</f>
        <v>#DIV/0!</v>
      </c>
      <c r="K43" s="51" t="e">
        <f>'C2 lossyG,lossyA,interRA'!$BS$40:$BS$40</f>
        <v>#DIV/0!</v>
      </c>
      <c r="L43" s="51" t="e">
        <f>'C2 lossyG,lossyA,interRA'!$BT$40:$BT$40</f>
        <v>#DIV/0!</v>
      </c>
    </row>
    <row r="44" spans="2:12" x14ac:dyDescent="0.2">
      <c r="B44" t="s">
        <v>17</v>
      </c>
      <c r="C44" s="51" t="e">
        <f>'C2 lossyG,lossyA,interRA'!$BJ$41:$BJ$41</f>
        <v>#DIV/0!</v>
      </c>
      <c r="D44" s="51" t="e">
        <f>'C2 lossyG,lossyA,interRA'!$BK$41:$BK$41</f>
        <v>#DIV/0!</v>
      </c>
      <c r="E44" s="51" t="e">
        <f>'C2 lossyG,lossyA,interRA'!$BL$41:$BL$41</f>
        <v>#DIV/0!</v>
      </c>
      <c r="F44" s="51" t="e">
        <f>'C2 lossyG,lossyA,interRA'!$BM$41:$BM$41</f>
        <v>#DIV/0!</v>
      </c>
      <c r="G44" s="51" t="e">
        <f>'C2 lossyG,lossyA,interRA'!$BN$41:$BN$41</f>
        <v>#DIV/0!</v>
      </c>
      <c r="H44" s="51" t="e">
        <f>'C2 lossyG,lossyA,interRA'!$BP$41:$BP$41</f>
        <v>#DIV/0!</v>
      </c>
      <c r="I44" s="51" t="e">
        <f>'C2 lossyG,lossyA,interRA'!$BQ$41:$BQ$41</f>
        <v>#DIV/0!</v>
      </c>
      <c r="J44" s="51" t="e">
        <f>'C2 lossyG,lossyA,interRA'!$BR$41:$BR$41</f>
        <v>#DIV/0!</v>
      </c>
      <c r="K44" s="51" t="e">
        <f>'C2 lossyG,lossyA,interRA'!$BS$41:$BS$41</f>
        <v>#DIV/0!</v>
      </c>
      <c r="L44" s="51" t="e">
        <f>'C2 lossyG,lossyA,interRA'!$BT$41:$BT$41</f>
        <v>#DIV/0!</v>
      </c>
    </row>
    <row r="45" spans="2:12" x14ac:dyDescent="0.2">
      <c r="B45" t="s">
        <v>18</v>
      </c>
      <c r="C45" s="51" t="e">
        <f>'C2 lossyG,lossyA,interRA'!$BJ$42:$BJ$42</f>
        <v>#DIV/0!</v>
      </c>
      <c r="D45" s="51" t="e">
        <f>'C2 lossyG,lossyA,interRA'!$BK$42:$BK$42</f>
        <v>#DIV/0!</v>
      </c>
      <c r="E45" s="51" t="e">
        <f>'C2 lossyG,lossyA,interRA'!$BL$42:$BL$42</f>
        <v>#DIV/0!</v>
      </c>
      <c r="F45" s="51" t="e">
        <f>'C2 lossyG,lossyA,interRA'!$BM$42:$BM$42</f>
        <v>#DIV/0!</v>
      </c>
      <c r="G45" s="51" t="e">
        <f>'C2 lossyG,lossyA,interRA'!$BN$42:$BN$42</f>
        <v>#DIV/0!</v>
      </c>
      <c r="H45" s="51" t="e">
        <f>'C2 lossyG,lossyA,interRA'!$BP$42:$BP$42</f>
        <v>#DIV/0!</v>
      </c>
      <c r="I45" s="51" t="e">
        <f>'C2 lossyG,lossyA,interRA'!$BQ$42:$BQ$42</f>
        <v>#DIV/0!</v>
      </c>
      <c r="J45" s="51" t="e">
        <f>'C2 lossyG,lossyA,interRA'!$BR$42:$BR$42</f>
        <v>#DIV/0!</v>
      </c>
      <c r="K45" s="51" t="e">
        <f>'C2 lossyG,lossyA,interRA'!$BS$42:$BS$42</f>
        <v>#DIV/0!</v>
      </c>
      <c r="L45" s="51" t="e">
        <f>'C2 lossyG,lossyA,interRA'!$BT$42:$BT$42</f>
        <v>#DIV/0!</v>
      </c>
    </row>
    <row r="46" spans="2:12" x14ac:dyDescent="0.2">
      <c r="B46" s="4" t="s">
        <v>19</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
      <c r="B47" t="s">
        <v>20</v>
      </c>
      <c r="C47" s="58" t="e">
        <f>'C2 lossyG,lossyA,interRA'!AZ47</f>
        <v>#NUM!</v>
      </c>
      <c r="D47" s="59"/>
      <c r="E47" s="59"/>
      <c r="F47" s="59"/>
      <c r="G47" s="59"/>
      <c r="H47" s="59"/>
      <c r="I47" s="59"/>
      <c r="J47" s="59"/>
      <c r="K47" s="59"/>
      <c r="L47" s="59"/>
    </row>
    <row r="48" spans="2:12" x14ac:dyDescent="0.2">
      <c r="B48" s="54" t="s">
        <v>21</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34</v>
      </c>
      <c r="B1" s="6" t="str">
        <f>M1</f>
        <v>C2 lossyG,lossyA,intra</v>
      </c>
      <c r="C1" t="s">
        <v>35</v>
      </c>
      <c r="I1" t="s">
        <v>36</v>
      </c>
      <c r="M1" t="s">
        <v>37</v>
      </c>
      <c r="N1" t="s">
        <v>38</v>
      </c>
      <c r="O1" t="s">
        <v>39</v>
      </c>
      <c r="P1" t="s">
        <v>40</v>
      </c>
    </row>
    <row r="2" spans="1:16" x14ac:dyDescent="0.2">
      <c r="A2" t="s">
        <v>41</v>
      </c>
      <c r="B2" s="6" t="str">
        <f>HLOOKUP(B1,M1:ZZ3,3,0)</f>
        <v>8ivfbv2_loot_vox10</v>
      </c>
      <c r="C2" t="s">
        <v>42</v>
      </c>
      <c r="I2" t="s">
        <v>43</v>
      </c>
      <c r="J2" t="s">
        <v>44</v>
      </c>
      <c r="M2" t="s">
        <v>45</v>
      </c>
      <c r="N2" t="s">
        <v>46</v>
      </c>
      <c r="O2" t="s">
        <v>47</v>
      </c>
      <c r="P2" t="s">
        <v>48</v>
      </c>
    </row>
    <row r="3" spans="1:16" x14ac:dyDescent="0.2">
      <c r="I3" t="s">
        <v>49</v>
      </c>
      <c r="J3" t="s">
        <v>50</v>
      </c>
      <c r="M3" t="s">
        <v>51</v>
      </c>
      <c r="N3" t="s">
        <v>51</v>
      </c>
      <c r="O3" t="s">
        <v>51</v>
      </c>
      <c r="P3" t="s">
        <v>51</v>
      </c>
    </row>
    <row r="4" spans="1:16" x14ac:dyDescent="0.2">
      <c r="A4" t="s">
        <v>52</v>
      </c>
      <c r="B4" s="6" t="s">
        <v>53</v>
      </c>
      <c r="C4" t="s">
        <v>54</v>
      </c>
      <c r="D4" s="6" t="s">
        <v>55</v>
      </c>
      <c r="E4" t="s">
        <v>56</v>
      </c>
      <c r="I4" t="s">
        <v>57</v>
      </c>
      <c r="J4" t="s">
        <v>58</v>
      </c>
      <c r="M4" t="s">
        <v>59</v>
      </c>
      <c r="N4" t="s">
        <v>59</v>
      </c>
      <c r="O4" t="s">
        <v>59</v>
      </c>
      <c r="P4" t="s">
        <v>59</v>
      </c>
    </row>
    <row r="5" spans="1:16" x14ac:dyDescent="0.2">
      <c r="A5" t="s">
        <v>52</v>
      </c>
      <c r="B5" s="6" t="s">
        <v>53</v>
      </c>
      <c r="C5" t="s">
        <v>54</v>
      </c>
      <c r="D5" s="6" t="s">
        <v>60</v>
      </c>
      <c r="E5" t="s">
        <v>61</v>
      </c>
      <c r="I5" t="s">
        <v>62</v>
      </c>
      <c r="J5" t="s">
        <v>63</v>
      </c>
      <c r="M5" t="s">
        <v>64</v>
      </c>
      <c r="N5" t="s">
        <v>64</v>
      </c>
      <c r="O5" t="s">
        <v>64</v>
      </c>
      <c r="P5" t="s">
        <v>64</v>
      </c>
    </row>
    <row r="6" spans="1:16" x14ac:dyDescent="0.2">
      <c r="A6" t="s">
        <v>52</v>
      </c>
      <c r="B6" s="6" t="s">
        <v>65</v>
      </c>
      <c r="C6" t="s">
        <v>54</v>
      </c>
      <c r="D6" s="6" t="s">
        <v>66</v>
      </c>
      <c r="E6" t="s">
        <v>67</v>
      </c>
      <c r="I6" t="s">
        <v>68</v>
      </c>
      <c r="J6" t="s">
        <v>69</v>
      </c>
      <c r="M6" t="s">
        <v>70</v>
      </c>
      <c r="N6" t="s">
        <v>70</v>
      </c>
      <c r="O6" t="s">
        <v>70</v>
      </c>
      <c r="P6" t="s">
        <v>70</v>
      </c>
    </row>
    <row r="7" spans="1:16" x14ac:dyDescent="0.2">
      <c r="A7" t="s">
        <v>52</v>
      </c>
      <c r="B7" s="6" t="s">
        <v>65</v>
      </c>
      <c r="C7" t="s">
        <v>54</v>
      </c>
      <c r="D7" s="6" t="s">
        <v>49</v>
      </c>
      <c r="E7" t="s">
        <v>71</v>
      </c>
      <c r="I7" t="s">
        <v>55</v>
      </c>
      <c r="J7" t="s">
        <v>72</v>
      </c>
      <c r="M7" t="s">
        <v>73</v>
      </c>
      <c r="N7" t="s">
        <v>73</v>
      </c>
      <c r="O7" t="s">
        <v>73</v>
      </c>
      <c r="P7" t="s">
        <v>73</v>
      </c>
    </row>
    <row r="8" spans="1:16" x14ac:dyDescent="0.2">
      <c r="A8" t="s">
        <v>52</v>
      </c>
      <c r="B8" s="6" t="s">
        <v>65</v>
      </c>
      <c r="C8" t="s">
        <v>54</v>
      </c>
      <c r="D8" s="6" t="s">
        <v>62</v>
      </c>
      <c r="E8" t="s">
        <v>74</v>
      </c>
      <c r="I8" t="s">
        <v>75</v>
      </c>
      <c r="J8" t="s">
        <v>76</v>
      </c>
      <c r="M8" t="s">
        <v>77</v>
      </c>
      <c r="N8" t="s">
        <v>77</v>
      </c>
      <c r="O8" t="s">
        <v>77</v>
      </c>
      <c r="P8" t="s">
        <v>77</v>
      </c>
    </row>
    <row r="9" spans="1:16" x14ac:dyDescent="0.2">
      <c r="A9" t="s">
        <v>52</v>
      </c>
      <c r="B9" s="6" t="s">
        <v>78</v>
      </c>
      <c r="C9" t="s">
        <v>54</v>
      </c>
      <c r="D9" s="6" t="s">
        <v>79</v>
      </c>
      <c r="E9" t="s">
        <v>80</v>
      </c>
      <c r="I9" t="s">
        <v>60</v>
      </c>
      <c r="J9" t="s">
        <v>81</v>
      </c>
      <c r="M9" t="s">
        <v>82</v>
      </c>
      <c r="N9" t="s">
        <v>82</v>
      </c>
      <c r="O9" t="s">
        <v>82</v>
      </c>
      <c r="P9" t="s">
        <v>82</v>
      </c>
    </row>
    <row r="10" spans="1:16" x14ac:dyDescent="0.2">
      <c r="I10" t="s">
        <v>83</v>
      </c>
      <c r="J10" t="s">
        <v>84</v>
      </c>
    </row>
    <row r="11" spans="1:16" x14ac:dyDescent="0.2">
      <c r="I11" t="s">
        <v>85</v>
      </c>
      <c r="J11" t="s">
        <v>86</v>
      </c>
    </row>
    <row r="12" spans="1:16" x14ac:dyDescent="0.2">
      <c r="I12" t="s">
        <v>87</v>
      </c>
      <c r="J12" t="s">
        <v>88</v>
      </c>
    </row>
    <row r="13" spans="1:16" x14ac:dyDescent="0.2">
      <c r="I13" t="s">
        <v>89</v>
      </c>
      <c r="J13" t="s">
        <v>90</v>
      </c>
    </row>
    <row r="14" spans="1:16" x14ac:dyDescent="0.2">
      <c r="I14" t="s">
        <v>91</v>
      </c>
      <c r="J14" t="s">
        <v>92</v>
      </c>
    </row>
    <row r="15" spans="1:16" x14ac:dyDescent="0.2">
      <c r="I15" t="s">
        <v>93</v>
      </c>
      <c r="J15" t="s">
        <v>94</v>
      </c>
    </row>
    <row r="16" spans="1:16" x14ac:dyDescent="0.2">
      <c r="I16" t="s">
        <v>95</v>
      </c>
      <c r="J16" t="s">
        <v>96</v>
      </c>
    </row>
    <row r="17" spans="9:10" x14ac:dyDescent="0.2">
      <c r="I17" t="s">
        <v>79</v>
      </c>
      <c r="J17" t="s">
        <v>97</v>
      </c>
    </row>
    <row r="18" spans="9:10" x14ac:dyDescent="0.2">
      <c r="I18" t="s">
        <v>98</v>
      </c>
      <c r="J18" t="s">
        <v>99</v>
      </c>
    </row>
    <row r="19" spans="9:10" x14ac:dyDescent="0.2">
      <c r="I19" t="s">
        <v>100</v>
      </c>
      <c r="J19" t="s">
        <v>101</v>
      </c>
    </row>
    <row r="20" spans="9:10" x14ac:dyDescent="0.2">
      <c r="I20" t="s">
        <v>102</v>
      </c>
      <c r="J20" t="s">
        <v>103</v>
      </c>
    </row>
    <row r="21" spans="9:10" x14ac:dyDescent="0.2">
      <c r="I21" t="s">
        <v>104</v>
      </c>
      <c r="J21" t="s">
        <v>105</v>
      </c>
    </row>
    <row r="22" spans="9:10" x14ac:dyDescent="0.2">
      <c r="I22" t="s">
        <v>66</v>
      </c>
      <c r="J22" t="s">
        <v>106</v>
      </c>
    </row>
    <row r="23" spans="9:10" x14ac:dyDescent="0.2">
      <c r="I23" t="s">
        <v>107</v>
      </c>
      <c r="J23" t="s">
        <v>108</v>
      </c>
    </row>
    <row r="24" spans="9:10" x14ac:dyDescent="0.2">
      <c r="I24" t="s">
        <v>109</v>
      </c>
      <c r="J24" t="s">
        <v>110</v>
      </c>
    </row>
    <row r="25" spans="9:10" x14ac:dyDescent="0.2">
      <c r="I25" t="s">
        <v>111</v>
      </c>
      <c r="J25" t="s">
        <v>112</v>
      </c>
    </row>
    <row r="26" spans="9:10" x14ac:dyDescent="0.2">
      <c r="I26" t="s">
        <v>113</v>
      </c>
      <c r="J26" t="s">
        <v>114</v>
      </c>
    </row>
    <row r="27" spans="9:10" x14ac:dyDescent="0.2">
      <c r="I27" t="s">
        <v>115</v>
      </c>
      <c r="J27" t="s">
        <v>116</v>
      </c>
    </row>
    <row r="28" spans="9:10" x14ac:dyDescent="0.2">
      <c r="I28" t="s">
        <v>117</v>
      </c>
      <c r="J28" t="s">
        <v>118</v>
      </c>
    </row>
    <row r="29" spans="9:10" x14ac:dyDescent="0.2">
      <c r="I29" t="s">
        <v>119</v>
      </c>
      <c r="J29" t="s">
        <v>120</v>
      </c>
    </row>
    <row r="30" spans="9:10" x14ac:dyDescent="0.2">
      <c r="I30" t="s">
        <v>121</v>
      </c>
      <c r="J30" t="s">
        <v>122</v>
      </c>
    </row>
    <row r="31" spans="9:10" x14ac:dyDescent="0.2">
      <c r="I31" t="s">
        <v>123</v>
      </c>
      <c r="J31" t="s">
        <v>124</v>
      </c>
    </row>
    <row r="32" spans="9:10" x14ac:dyDescent="0.2">
      <c r="I32" t="s">
        <v>125</v>
      </c>
      <c r="J32" t="s">
        <v>126</v>
      </c>
    </row>
    <row r="33" spans="9:10" x14ac:dyDescent="0.2">
      <c r="I33" t="s">
        <v>127</v>
      </c>
      <c r="J33" t="s">
        <v>128</v>
      </c>
    </row>
    <row r="34" spans="9:10" x14ac:dyDescent="0.2">
      <c r="I34" t="s">
        <v>129</v>
      </c>
      <c r="J34" t="s">
        <v>130</v>
      </c>
    </row>
    <row r="35" spans="9:10" x14ac:dyDescent="0.2">
      <c r="I35" t="s">
        <v>65</v>
      </c>
      <c r="J35" t="s">
        <v>131</v>
      </c>
    </row>
    <row r="36" spans="9:10" x14ac:dyDescent="0.2">
      <c r="I36" t="s">
        <v>53</v>
      </c>
      <c r="J36" t="s">
        <v>132</v>
      </c>
    </row>
    <row r="37" spans="9:10" x14ac:dyDescent="0.2">
      <c r="I37" t="s">
        <v>133</v>
      </c>
      <c r="J37" t="s">
        <v>134</v>
      </c>
    </row>
    <row r="38" spans="9:10" x14ac:dyDescent="0.2">
      <c r="I38" t="s">
        <v>78</v>
      </c>
      <c r="J38" t="s">
        <v>135</v>
      </c>
    </row>
    <row r="39" spans="9:10" x14ac:dyDescent="0.2">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80" zoomScaleNormal="80" workbookViewId="0">
      <pane xSplit="2" ySplit="4" topLeftCell="D5" activePane="bottomRight" state="frozen"/>
      <selection pane="topRight" activeCell="C1" sqref="C1"/>
      <selection pane="bottomLeft" activeCell="A5" sqref="A5"/>
      <selection pane="bottomRight" activeCell="AG1" sqref="AG1:BC1"/>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85" width="9" style="53"/>
  </cols>
  <sheetData>
    <row r="1" spans="1:88" x14ac:dyDescent="0.2">
      <c r="A1" s="71" t="s">
        <v>138</v>
      </c>
      <c r="B1" s="59"/>
      <c r="C1" s="59"/>
      <c r="D1" s="59"/>
      <c r="E1" s="59"/>
      <c r="F1" s="59"/>
      <c r="G1" s="59"/>
      <c r="I1" s="67" t="s">
        <v>590</v>
      </c>
      <c r="J1" s="59"/>
      <c r="K1" s="59"/>
      <c r="L1" s="59"/>
      <c r="M1" s="59"/>
      <c r="N1" s="59"/>
      <c r="O1" s="59"/>
      <c r="P1" s="59"/>
      <c r="Q1" s="59"/>
      <c r="R1" s="59"/>
      <c r="S1" s="59"/>
      <c r="T1" s="59"/>
      <c r="U1" s="59"/>
      <c r="V1" s="59"/>
      <c r="W1" s="59"/>
      <c r="X1" s="59"/>
      <c r="Y1" s="59"/>
      <c r="Z1" s="59"/>
      <c r="AA1" s="59"/>
      <c r="AB1" s="59"/>
      <c r="AC1" s="59"/>
      <c r="AD1" s="59"/>
      <c r="AE1" s="59"/>
      <c r="AG1" s="68"/>
      <c r="AH1" s="59"/>
      <c r="AI1" s="59"/>
      <c r="AJ1" s="59"/>
      <c r="AK1" s="59"/>
      <c r="AL1" s="59"/>
      <c r="AM1" s="59"/>
      <c r="AN1" s="59"/>
      <c r="AO1" s="59"/>
      <c r="AP1" s="59"/>
      <c r="AQ1" s="59"/>
      <c r="AR1" s="59"/>
      <c r="AS1" s="59"/>
      <c r="AT1" s="59"/>
      <c r="AU1" s="59"/>
      <c r="AV1" s="59"/>
      <c r="AW1" s="59"/>
      <c r="AX1" s="59"/>
      <c r="AY1" s="59"/>
      <c r="AZ1" s="59"/>
      <c r="BA1" s="59"/>
      <c r="BB1" s="59"/>
      <c r="BC1" s="59"/>
    </row>
    <row r="2" spans="1:88" ht="30" customHeight="1" thickBot="1" x14ac:dyDescent="0.25">
      <c r="A2" s="73" t="s">
        <v>139</v>
      </c>
      <c r="B2" s="72" t="s">
        <v>140</v>
      </c>
      <c r="C2" s="73" t="s">
        <v>141</v>
      </c>
      <c r="D2" s="72" t="s">
        <v>142</v>
      </c>
      <c r="E2" s="73" t="s">
        <v>143</v>
      </c>
      <c r="F2" s="72" t="s">
        <v>144</v>
      </c>
      <c r="G2" s="73" t="s">
        <v>145</v>
      </c>
      <c r="I2" s="72" t="s">
        <v>146</v>
      </c>
      <c r="J2" s="70" t="s">
        <v>147</v>
      </c>
      <c r="K2" s="59"/>
      <c r="L2" s="59"/>
      <c r="M2" s="59"/>
      <c r="N2" s="73" t="s">
        <v>148</v>
      </c>
      <c r="O2" s="72" t="s">
        <v>149</v>
      </c>
      <c r="P2" s="73" t="s">
        <v>86</v>
      </c>
      <c r="Q2" s="72" t="s">
        <v>88</v>
      </c>
      <c r="R2" s="73" t="s">
        <v>84</v>
      </c>
      <c r="S2" s="69" t="s">
        <v>150</v>
      </c>
      <c r="T2" s="59"/>
      <c r="U2" s="59"/>
      <c r="V2" s="59"/>
      <c r="W2" s="70" t="s">
        <v>151</v>
      </c>
      <c r="X2" s="59"/>
      <c r="Y2" s="69" t="s">
        <v>152</v>
      </c>
      <c r="Z2" s="59"/>
      <c r="AA2" s="59"/>
      <c r="AB2" s="70" t="s">
        <v>153</v>
      </c>
      <c r="AC2" s="59"/>
      <c r="AD2" s="69" t="s">
        <v>154</v>
      </c>
      <c r="AE2" s="59"/>
      <c r="AG2" s="73" t="s">
        <v>146</v>
      </c>
      <c r="AH2" s="69" t="s">
        <v>147</v>
      </c>
      <c r="AI2" s="59"/>
      <c r="AJ2" s="59"/>
      <c r="AK2" s="59"/>
      <c r="AL2" s="72" t="s">
        <v>155</v>
      </c>
      <c r="AM2" s="73" t="s">
        <v>149</v>
      </c>
      <c r="AN2" s="72" t="s">
        <v>86</v>
      </c>
      <c r="AO2" s="73" t="s">
        <v>88</v>
      </c>
      <c r="AP2" s="72" t="s">
        <v>84</v>
      </c>
      <c r="AQ2" s="70" t="s">
        <v>150</v>
      </c>
      <c r="AR2" s="59"/>
      <c r="AS2" s="59"/>
      <c r="AT2" s="59"/>
      <c r="AU2" s="69" t="s">
        <v>151</v>
      </c>
      <c r="AV2" s="59"/>
      <c r="AW2" s="70" t="s">
        <v>152</v>
      </c>
      <c r="AX2" s="59"/>
      <c r="AY2" s="59"/>
      <c r="AZ2" s="69" t="s">
        <v>153</v>
      </c>
      <c r="BA2" s="59"/>
      <c r="BB2" s="70" t="s">
        <v>154</v>
      </c>
      <c r="BC2" s="59"/>
      <c r="BE2" s="72" t="s">
        <v>156</v>
      </c>
      <c r="BF2" s="73" t="s">
        <v>157</v>
      </c>
      <c r="BG2" s="72" t="s">
        <v>158</v>
      </c>
      <c r="BH2" s="73" t="s">
        <v>158</v>
      </c>
      <c r="BJ2" s="69" t="s">
        <v>7</v>
      </c>
      <c r="BK2" s="59"/>
      <c r="BL2" s="70" t="s">
        <v>8</v>
      </c>
      <c r="BM2" s="59"/>
      <c r="BN2" s="59"/>
      <c r="BP2" s="69" t="s">
        <v>9</v>
      </c>
      <c r="BQ2" s="59"/>
      <c r="BR2" s="70" t="s">
        <v>10</v>
      </c>
      <c r="BS2" s="59"/>
      <c r="BT2" s="59"/>
      <c r="BV2" s="72" t="s">
        <v>86</v>
      </c>
      <c r="BW2" s="73" t="s">
        <v>88</v>
      </c>
      <c r="BX2" s="72" t="s">
        <v>84</v>
      </c>
      <c r="BY2" s="70" t="s">
        <v>150</v>
      </c>
      <c r="BZ2" s="59"/>
      <c r="CA2" s="59"/>
      <c r="CB2" s="59"/>
      <c r="CC2" s="69" t="s">
        <v>151</v>
      </c>
      <c r="CD2" s="59"/>
      <c r="CE2" s="70" t="s">
        <v>152</v>
      </c>
      <c r="CF2" s="59"/>
      <c r="CG2" s="59"/>
    </row>
    <row r="3" spans="1:88" ht="33" thickBot="1" x14ac:dyDescent="0.25">
      <c r="A3" s="61"/>
      <c r="B3" s="61"/>
      <c r="C3" s="61"/>
      <c r="D3" s="61"/>
      <c r="E3" s="61"/>
      <c r="F3" s="61"/>
      <c r="G3" s="61"/>
      <c r="I3" s="61"/>
      <c r="J3" s="56" t="s">
        <v>27</v>
      </c>
      <c r="K3" s="56" t="s">
        <v>25</v>
      </c>
      <c r="L3" s="56" t="s">
        <v>159</v>
      </c>
      <c r="M3" s="56" t="s">
        <v>160</v>
      </c>
      <c r="N3" s="61"/>
      <c r="O3" s="61"/>
      <c r="P3" s="61"/>
      <c r="Q3" s="61"/>
      <c r="R3" s="61"/>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1"/>
      <c r="AH3" s="57" t="s">
        <v>27</v>
      </c>
      <c r="AI3" s="57" t="s">
        <v>25</v>
      </c>
      <c r="AJ3" s="57" t="s">
        <v>159</v>
      </c>
      <c r="AK3" s="57" t="s">
        <v>160</v>
      </c>
      <c r="AL3" s="61"/>
      <c r="AM3" s="61"/>
      <c r="AN3" s="61"/>
      <c r="AO3" s="61"/>
      <c r="AP3" s="61"/>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1"/>
      <c r="BF3" s="61"/>
      <c r="BG3" s="61"/>
      <c r="BH3" s="61"/>
      <c r="BJ3" s="57" t="s">
        <v>11</v>
      </c>
      <c r="BK3" s="57" t="s">
        <v>12</v>
      </c>
      <c r="BL3" s="56" t="s">
        <v>13</v>
      </c>
      <c r="BM3" s="56" t="s">
        <v>14</v>
      </c>
      <c r="BN3" s="56" t="s">
        <v>15</v>
      </c>
      <c r="BP3" s="57" t="s">
        <v>11</v>
      </c>
      <c r="BQ3" s="57" t="s">
        <v>12</v>
      </c>
      <c r="BR3" s="56" t="s">
        <v>13</v>
      </c>
      <c r="BS3" s="56" t="s">
        <v>14</v>
      </c>
      <c r="BT3" s="56" t="s">
        <v>15</v>
      </c>
      <c r="BV3" s="61"/>
      <c r="BW3" s="61"/>
      <c r="BX3" s="61"/>
      <c r="BY3" s="56" t="s">
        <v>27</v>
      </c>
      <c r="BZ3" s="56" t="s">
        <v>159</v>
      </c>
      <c r="CA3" s="56" t="s">
        <v>161</v>
      </c>
      <c r="CB3" s="56" t="s">
        <v>26</v>
      </c>
      <c r="CC3" s="57" t="s">
        <v>11</v>
      </c>
      <c r="CD3" s="57" t="s">
        <v>12</v>
      </c>
      <c r="CE3" s="56" t="s">
        <v>13</v>
      </c>
      <c r="CF3" s="56" t="s">
        <v>14</v>
      </c>
      <c r="CG3" s="56"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row>
    <row r="5" spans="1:88" x14ac:dyDescent="0.2">
      <c r="A5" s="52" t="s">
        <v>231</v>
      </c>
      <c r="B5" s="52" t="s">
        <v>51</v>
      </c>
      <c r="C5" s="9" t="s">
        <v>232</v>
      </c>
      <c r="D5" s="52">
        <v>238146391</v>
      </c>
      <c r="E5" s="9">
        <v>10</v>
      </c>
      <c r="F5" s="9">
        <v>32</v>
      </c>
      <c r="G5" s="9">
        <v>30</v>
      </c>
      <c r="I5" s="10">
        <f t="shared" ref="I5:I39" si="0">IF(OR(ISBLANK(S5),ISBLANK(G5)),"·",S5*G5/F5/1000000)</f>
        <v>2.1858974999999998</v>
      </c>
      <c r="J5" s="11">
        <f t="shared" ref="J5:J39" si="1">IF(ISBLANK(S5),"·",S5/D5)</f>
        <v>9.790717340746935E-3</v>
      </c>
      <c r="K5" s="11">
        <f t="shared" ref="K5:K39" si="2">IF(N5="","·",N5/D5)</f>
        <v>6.211103992753768E-3</v>
      </c>
      <c r="L5" s="11">
        <f t="shared" ref="L5:L39" si="3">IF(T5="","·",T5/D5)</f>
        <v>3.5272086067430685E-3</v>
      </c>
      <c r="M5" s="11">
        <f t="shared" ref="M5:M39" si="4">IF(ISBLANK(V5),"·",V5/D5)</f>
        <v>3.5796133479931679E-3</v>
      </c>
      <c r="N5" s="52">
        <f t="shared" ref="N5:N39" si="5">IF(OR(ISBLANK(T5),ISBLANK(U5)),"",T5+U5)</f>
        <v>1479152</v>
      </c>
      <c r="O5" s="11">
        <v>16</v>
      </c>
      <c r="P5" s="12">
        <v>21785839</v>
      </c>
      <c r="Q5" s="12">
        <v>680807.46875</v>
      </c>
      <c r="R5" s="12">
        <v>13493.8125</v>
      </c>
      <c r="S5" s="13">
        <v>2331624</v>
      </c>
      <c r="T5" s="13">
        <v>839992</v>
      </c>
      <c r="U5" s="13">
        <v>639160</v>
      </c>
      <c r="V5" s="13">
        <v>852472</v>
      </c>
      <c r="W5" s="14">
        <v>66.354628124999991</v>
      </c>
      <c r="X5" s="14">
        <v>68.478524999999991</v>
      </c>
      <c r="Y5" s="14">
        <v>32.10944687500001</v>
      </c>
      <c r="Z5" s="14">
        <v>44.148171875000003</v>
      </c>
      <c r="AA5" s="14">
        <v>43.839812500000001</v>
      </c>
      <c r="AB5" s="15">
        <v>3039.45</v>
      </c>
      <c r="AC5" s="15">
        <v>1517.08</v>
      </c>
      <c r="AD5" s="15">
        <v>9.0839999999999996</v>
      </c>
      <c r="AE5" s="15">
        <v>6.056</v>
      </c>
      <c r="AG5" s="10" t="str">
        <f t="shared" ref="AG5:AG39" si="6">IF(OR(ISBLANK(AQ5),ISBLANK(G5)),"·",AQ5*G5/F5/1000000)</f>
        <v>·</v>
      </c>
      <c r="AH5" s="11" t="str">
        <f t="shared" ref="AH5:AH39" si="7">IF(ISBLANK(AQ5),"·",AQ5/D5)</f>
        <v>·</v>
      </c>
      <c r="AI5" s="11" t="str">
        <f t="shared" ref="AI5:AI39" si="8">IF(AL5="","·",AL5/D5)</f>
        <v>·</v>
      </c>
      <c r="AJ5" s="11" t="str">
        <f t="shared" ref="AJ5:AJ39" si="9">IF(AR5="","·",AR5/D5)</f>
        <v>·</v>
      </c>
      <c r="AK5" s="11" t="str">
        <f t="shared" ref="AK5:AK39" si="10">IF(ISBLANK(AT5),"·",AT5/D5)</f>
        <v>·</v>
      </c>
      <c r="AL5" s="52" t="str">
        <f t="shared" ref="AL5:AL39" si="11">IF(OR(ISBLANK(AR5),ISBLANK(AS5)),"",AR5+AS5)</f>
        <v/>
      </c>
      <c r="AM5" s="11">
        <v>16</v>
      </c>
      <c r="AN5" s="12"/>
      <c r="AO5" s="12"/>
      <c r="AP5" s="12"/>
      <c r="AQ5" s="13"/>
      <c r="AR5" s="13"/>
      <c r="AS5" s="13"/>
      <c r="AT5" s="13"/>
      <c r="AU5" s="14"/>
      <c r="AV5" s="14"/>
      <c r="AW5" s="14"/>
      <c r="AX5" s="14"/>
      <c r="AY5" s="14"/>
      <c r="AZ5" s="15"/>
      <c r="BA5" s="15"/>
      <c r="BB5" s="15"/>
      <c r="BC5" s="15"/>
      <c r="BE5" s="50" t="e">
        <f t="shared" ref="BE5:BE43" si="12">AI5/K5</f>
        <v>#VALUE!</v>
      </c>
      <c r="BF5" s="16" t="e">
        <f t="shared" ref="BF5:BF39" si="13">(AP5/AO5) - (R5/Q5)</f>
        <v>#DIV/0!</v>
      </c>
      <c r="BG5" s="16" t="e">
        <f t="shared" ref="BG5:BG39" si="14">(AL5/AQ5) - (N5/S5)</f>
        <v>#VALUE!</v>
      </c>
      <c r="BH5" s="16" t="e">
        <f t="array" ref="BH5">AVERAGE(AL5:AL9/AQ5:AQ9) - AVERAGE(N5:N9/S5:S9)</f>
        <v>#VALUE!</v>
      </c>
      <c r="BJ5" s="50" t="str">
        <f>IF( OR(ISBLANK(N5:N9),ISBLANK(AL5:AL9), ISBLANK(W5:W9),ISBLANK(AU5:AU9)), "·", bdRateExtend( N5:N9,W5:W9, AL5:AL9,AU5:AU9))</f>
        <v>·</v>
      </c>
      <c r="BK5" s="50" t="str">
        <f>IF( OR(ISBLANK(N5:N9),ISBLANK(AL5:AL9), ISBLANK(X5:X9),ISBLANK(AV5:AV9)), "·", bdRateExtend( N5:N9,X5:X9, AL5:AL9,AV5:AV9))</f>
        <v>·</v>
      </c>
      <c r="BL5" s="50" t="str">
        <f>IF( OR(ISBLANK(V5:V9),ISBLANK(AT5:AT9), ISBLANK(Y5:Y9),ISBLANK(AW5:AW9)), "·", bdRateExtend( V5:V9,Y5:Y9, AT5:AT9,AW5:AW9))</f>
        <v>·</v>
      </c>
      <c r="BM5" s="50" t="str">
        <f>IF( OR(ISBLANK(V5:V9),ISBLANK(AT5:AT9), ISBLANK(Z5:Z9),ISBLANK(AX5:AX9)), "·", bdRateExtend( V5:V9,Z5:Z9, AT5:AT9,AX5:AX9))</f>
        <v>·</v>
      </c>
      <c r="BN5" s="50" t="str">
        <f>IF( OR(ISBLANK(V5:V9),ISBLANK(AT5:AT9), ISBLANK(AA5:AA9),ISBLANK(AY5:AY9)), "·", bdRateExtend( V5:V9,AA5:AA9, AT5:AT9,AY5:AY9))</f>
        <v>·</v>
      </c>
      <c r="BP5" s="50" t="str">
        <f>IF( OR(ISBLANK(S5:S9),ISBLANK(AQ5:AQ9), ISBLANK(W5:W9),ISBLANK(AU5:AU9)), "·", bdRateExtend( S5:S9,W5:W9, AQ5:AQ9,AU5:AU9))</f>
        <v>·</v>
      </c>
      <c r="BQ5" s="50" t="str">
        <f>IF( OR(ISBLANK(S5:S9),ISBLANK(AQ5:AQ9), ISBLANK(X5:X9),ISBLANK(AV5:AV9)), "·", bdRateExtend( S5:S9,X5:X9, AQ5:AQ9,AV5:AV9))</f>
        <v>·</v>
      </c>
      <c r="BR5" s="50" t="str">
        <f>IF( OR(ISBLANK(S5:S9),ISBLANK(AQ5:AQ9), ISBLANK(Y5:Y9),ISBLANK(AW5:AW9)), "·", bdRateExtend( S5:S9,Y5:Y9, AQ5:AQ9,AW5:AW9))</f>
        <v>·</v>
      </c>
      <c r="BS5" s="50" t="str">
        <f>IF( OR(ISBLANK(S5:S9),ISBLANK(AQ5:AQ9), ISBLANK(Z5:Z9),ISBLANK(AX5:AX9)), "·", bdRateExtend( S5:S9,Z5:Z9, AQ5:AQ9,AX5:AX9))</f>
        <v>·</v>
      </c>
      <c r="BT5" s="50" t="str">
        <f>IF( OR(ISBLANK(S5:S9),ISBLANK(AQ5:AQ9), ISBLANK(AA5:AA9),ISBLANK(AY5:AY9)), "·", bdRateExtend( S5:S9,AA5:AA9, AQ5:AQ9,AY5:AY9))</f>
        <v>·</v>
      </c>
      <c r="BV5" s="53">
        <f>AN5-P5</f>
        <v>-21785839</v>
      </c>
      <c r="BW5" s="53">
        <f t="shared" ref="BW5:CG20" si="15">AO5-Q5</f>
        <v>-680807.46875</v>
      </c>
      <c r="BX5" s="53">
        <f t="shared" si="15"/>
        <v>-13493.8125</v>
      </c>
      <c r="BY5" s="53">
        <f t="shared" si="15"/>
        <v>-2331624</v>
      </c>
      <c r="BZ5" s="53">
        <f t="shared" si="15"/>
        <v>-839992</v>
      </c>
      <c r="CA5" s="53">
        <f t="shared" si="15"/>
        <v>-639160</v>
      </c>
      <c r="CB5" s="53">
        <f t="shared" si="15"/>
        <v>-852472</v>
      </c>
      <c r="CC5" s="53">
        <f t="shared" si="15"/>
        <v>-66.354628124999991</v>
      </c>
      <c r="CD5" s="53">
        <f t="shared" si="15"/>
        <v>-68.478524999999991</v>
      </c>
      <c r="CE5" s="53">
        <f t="shared" si="15"/>
        <v>-32.10944687500001</v>
      </c>
      <c r="CF5" s="53">
        <f t="shared" si="15"/>
        <v>-44.148171875000003</v>
      </c>
      <c r="CG5" s="53">
        <f t="shared" si="15"/>
        <v>-43.839812500000001</v>
      </c>
      <c r="CJ5" t="s">
        <v>233</v>
      </c>
    </row>
    <row r="6" spans="1:88" outlineLevel="1" x14ac:dyDescent="0.2">
      <c r="A6" s="17"/>
      <c r="B6" s="17" t="s">
        <v>51</v>
      </c>
      <c r="C6" s="18" t="s">
        <v>234</v>
      </c>
      <c r="D6" s="17">
        <v>238146391</v>
      </c>
      <c r="E6" s="18">
        <v>10</v>
      </c>
      <c r="F6" s="18">
        <v>32</v>
      </c>
      <c r="G6" s="18">
        <v>30</v>
      </c>
      <c r="I6" s="19">
        <f t="shared" si="0"/>
        <v>3.4072650000000002</v>
      </c>
      <c r="J6" s="20">
        <f t="shared" si="1"/>
        <v>1.5261268435514523E-2</v>
      </c>
      <c r="K6" s="20">
        <f t="shared" si="2"/>
        <v>7.5753069043989841E-3</v>
      </c>
      <c r="L6" s="20">
        <f t="shared" si="3"/>
        <v>4.8914115183882837E-3</v>
      </c>
      <c r="M6" s="20">
        <f t="shared" si="4"/>
        <v>7.6859615311155394E-3</v>
      </c>
      <c r="N6" s="17">
        <f t="shared" si="5"/>
        <v>1804032</v>
      </c>
      <c r="O6" s="20">
        <v>16</v>
      </c>
      <c r="P6" s="21">
        <v>24191962</v>
      </c>
      <c r="Q6" s="21">
        <v>755998.8125</v>
      </c>
      <c r="R6" s="21">
        <v>19085.96875</v>
      </c>
      <c r="S6" s="22">
        <v>3634416</v>
      </c>
      <c r="T6" s="22">
        <v>1164872</v>
      </c>
      <c r="U6" s="22">
        <v>639160</v>
      </c>
      <c r="V6" s="22">
        <v>1830384</v>
      </c>
      <c r="W6" s="23">
        <v>68.255978124999999</v>
      </c>
      <c r="X6" s="23">
        <v>70.438459375000022</v>
      </c>
      <c r="Y6" s="23">
        <v>34.365984374999996</v>
      </c>
      <c r="Z6" s="23">
        <v>45.499918749999992</v>
      </c>
      <c r="AA6" s="23">
        <v>45.231668749999997</v>
      </c>
      <c r="AB6" s="24">
        <v>3292.79</v>
      </c>
      <c r="AC6" s="24">
        <v>1336.2</v>
      </c>
      <c r="AD6" s="24">
        <v>12.292</v>
      </c>
      <c r="AE6" s="24">
        <v>8.1479999999999997</v>
      </c>
      <c r="AG6" s="19" t="str">
        <f t="shared" si="6"/>
        <v>·</v>
      </c>
      <c r="AH6" s="20" t="str">
        <f t="shared" si="7"/>
        <v>·</v>
      </c>
      <c r="AI6" s="20" t="str">
        <f t="shared" si="8"/>
        <v>·</v>
      </c>
      <c r="AJ6" s="20" t="str">
        <f t="shared" si="9"/>
        <v>·</v>
      </c>
      <c r="AK6" s="20" t="str">
        <f t="shared" si="10"/>
        <v>·</v>
      </c>
      <c r="AL6" s="17" t="str">
        <f t="shared" si="11"/>
        <v/>
      </c>
      <c r="AM6" s="20">
        <v>16</v>
      </c>
      <c r="AN6" s="21"/>
      <c r="AO6" s="21"/>
      <c r="AP6" s="21"/>
      <c r="AQ6" s="22"/>
      <c r="AR6" s="22"/>
      <c r="AS6" s="22"/>
      <c r="AT6" s="22"/>
      <c r="AU6" s="23"/>
      <c r="AV6" s="23"/>
      <c r="AW6" s="23"/>
      <c r="AX6" s="23"/>
      <c r="AY6" s="23"/>
      <c r="AZ6" s="24"/>
      <c r="BA6" s="24"/>
      <c r="BB6" s="24"/>
      <c r="BC6" s="24"/>
      <c r="BE6" s="49" t="e">
        <f t="shared" si="12"/>
        <v>#VALUE!</v>
      </c>
      <c r="BF6" s="25" t="e">
        <f t="shared" si="13"/>
        <v>#DIV/0!</v>
      </c>
      <c r="BG6" s="25" t="e">
        <f t="shared" si="14"/>
        <v>#VALUE!</v>
      </c>
      <c r="BH6" s="25"/>
      <c r="BJ6" s="49"/>
      <c r="BK6" s="49"/>
      <c r="BL6" s="49"/>
      <c r="BM6" s="49"/>
      <c r="BN6" s="49"/>
      <c r="BP6" s="49"/>
      <c r="BQ6" s="49"/>
      <c r="BR6" s="49"/>
      <c r="BS6" s="49"/>
      <c r="BT6" s="49"/>
      <c r="BV6" s="53">
        <f t="shared" ref="BV6:CG39" si="16">AN6-P6</f>
        <v>-24191962</v>
      </c>
      <c r="BW6" s="53">
        <f t="shared" si="15"/>
        <v>-755998.8125</v>
      </c>
      <c r="BX6" s="53">
        <f t="shared" si="15"/>
        <v>-19085.96875</v>
      </c>
      <c r="BY6" s="53">
        <f t="shared" si="15"/>
        <v>-3634416</v>
      </c>
      <c r="BZ6" s="53">
        <f t="shared" si="15"/>
        <v>-1164872</v>
      </c>
      <c r="CA6" s="53">
        <f t="shared" si="15"/>
        <v>-639160</v>
      </c>
      <c r="CB6" s="53">
        <f t="shared" si="15"/>
        <v>-1830384</v>
      </c>
      <c r="CC6" s="53">
        <f t="shared" si="15"/>
        <v>-68.255978124999999</v>
      </c>
      <c r="CD6" s="53">
        <f t="shared" si="15"/>
        <v>-70.438459375000022</v>
      </c>
      <c r="CE6" s="53">
        <f t="shared" si="15"/>
        <v>-34.365984374999996</v>
      </c>
      <c r="CF6" s="53">
        <f t="shared" si="15"/>
        <v>-45.499918749999992</v>
      </c>
      <c r="CG6" s="53">
        <f t="shared" si="15"/>
        <v>-45.231668749999997</v>
      </c>
      <c r="CJ6" t="s">
        <v>233</v>
      </c>
    </row>
    <row r="7" spans="1:88" outlineLevel="1" x14ac:dyDescent="0.2">
      <c r="A7" s="52"/>
      <c r="B7" s="52" t="s">
        <v>51</v>
      </c>
      <c r="C7" s="9" t="s">
        <v>235</v>
      </c>
      <c r="D7" s="52">
        <v>238146391</v>
      </c>
      <c r="E7" s="9">
        <v>10</v>
      </c>
      <c r="F7" s="9">
        <v>32</v>
      </c>
      <c r="G7" s="9">
        <v>30</v>
      </c>
      <c r="I7" s="10">
        <f t="shared" si="0"/>
        <v>5.5887525</v>
      </c>
      <c r="J7" s="11">
        <f t="shared" si="1"/>
        <v>2.5032233219944112E-2</v>
      </c>
      <c r="K7" s="11">
        <f t="shared" si="2"/>
        <v>9.522613340800113E-3</v>
      </c>
      <c r="L7" s="11">
        <f t="shared" si="3"/>
        <v>6.8387179547894136E-3</v>
      </c>
      <c r="M7" s="11">
        <f t="shared" si="4"/>
        <v>1.5509619879144001E-2</v>
      </c>
      <c r="N7" s="52">
        <f t="shared" si="5"/>
        <v>2267776</v>
      </c>
      <c r="O7" s="11">
        <v>16</v>
      </c>
      <c r="P7" s="12">
        <v>24808216</v>
      </c>
      <c r="Q7" s="12">
        <v>775256.75</v>
      </c>
      <c r="R7" s="12">
        <v>20954.78125</v>
      </c>
      <c r="S7" s="13">
        <v>5961336</v>
      </c>
      <c r="T7" s="13">
        <v>1628616</v>
      </c>
      <c r="U7" s="13">
        <v>639160</v>
      </c>
      <c r="V7" s="13">
        <v>3693560</v>
      </c>
      <c r="W7" s="14">
        <v>69.683724999999995</v>
      </c>
      <c r="X7" s="14">
        <v>72.129403124999982</v>
      </c>
      <c r="Y7" s="14">
        <v>36.915784375000001</v>
      </c>
      <c r="Z7" s="14">
        <v>46.579393750000023</v>
      </c>
      <c r="AA7" s="14">
        <v>46.454928125000002</v>
      </c>
      <c r="AB7" s="15">
        <v>3251.05</v>
      </c>
      <c r="AC7" s="15">
        <v>1431.85</v>
      </c>
      <c r="AD7" s="15">
        <v>12.404</v>
      </c>
      <c r="AE7" s="15">
        <v>8.6720000000000006</v>
      </c>
      <c r="AG7" s="10" t="str">
        <f t="shared" si="6"/>
        <v>·</v>
      </c>
      <c r="AH7" s="11" t="str">
        <f t="shared" si="7"/>
        <v>·</v>
      </c>
      <c r="AI7" s="11" t="str">
        <f t="shared" si="8"/>
        <v>·</v>
      </c>
      <c r="AJ7" s="11" t="str">
        <f t="shared" si="9"/>
        <v>·</v>
      </c>
      <c r="AK7" s="11" t="str">
        <f t="shared" si="10"/>
        <v>·</v>
      </c>
      <c r="AL7" s="52" t="str">
        <f t="shared" si="11"/>
        <v/>
      </c>
      <c r="AM7" s="11">
        <v>16</v>
      </c>
      <c r="AN7" s="12"/>
      <c r="AO7" s="12"/>
      <c r="AP7" s="12"/>
      <c r="AQ7" s="13"/>
      <c r="AR7" s="13"/>
      <c r="AS7" s="13"/>
      <c r="AT7" s="13"/>
      <c r="AU7" s="14"/>
      <c r="AV7" s="14"/>
      <c r="AW7" s="14"/>
      <c r="AX7" s="14"/>
      <c r="AY7" s="14"/>
      <c r="AZ7" s="15"/>
      <c r="BA7" s="15"/>
      <c r="BB7" s="15"/>
      <c r="BC7" s="15"/>
      <c r="BE7" s="50" t="e">
        <f t="shared" si="12"/>
        <v>#VALUE!</v>
      </c>
      <c r="BF7" s="16" t="e">
        <f t="shared" si="13"/>
        <v>#DIV/0!</v>
      </c>
      <c r="BG7" s="16" t="e">
        <f t="shared" si="14"/>
        <v>#VALUE!</v>
      </c>
      <c r="BH7" s="16"/>
      <c r="BJ7" s="50"/>
      <c r="BK7" s="50"/>
      <c r="BL7" s="50"/>
      <c r="BM7" s="50"/>
      <c r="BN7" s="50"/>
      <c r="BP7" s="50"/>
      <c r="BQ7" s="50"/>
      <c r="BR7" s="50"/>
      <c r="BS7" s="50"/>
      <c r="BT7" s="50"/>
      <c r="BV7" s="53">
        <f t="shared" si="16"/>
        <v>-24808216</v>
      </c>
      <c r="BW7" s="53">
        <f t="shared" si="15"/>
        <v>-775256.75</v>
      </c>
      <c r="BX7" s="53">
        <f t="shared" si="15"/>
        <v>-20954.78125</v>
      </c>
      <c r="BY7" s="53">
        <f t="shared" si="15"/>
        <v>-5961336</v>
      </c>
      <c r="BZ7" s="53">
        <f t="shared" si="15"/>
        <v>-1628616</v>
      </c>
      <c r="CA7" s="53">
        <f t="shared" si="15"/>
        <v>-639160</v>
      </c>
      <c r="CB7" s="53">
        <f t="shared" si="15"/>
        <v>-3693560</v>
      </c>
      <c r="CC7" s="53">
        <f t="shared" si="15"/>
        <v>-69.683724999999995</v>
      </c>
      <c r="CD7" s="53">
        <f t="shared" si="15"/>
        <v>-72.129403124999982</v>
      </c>
      <c r="CE7" s="53">
        <f t="shared" si="15"/>
        <v>-36.915784375000001</v>
      </c>
      <c r="CF7" s="53">
        <f t="shared" si="15"/>
        <v>-46.579393750000023</v>
      </c>
      <c r="CG7" s="53">
        <f t="shared" si="15"/>
        <v>-46.454928125000002</v>
      </c>
      <c r="CJ7" t="s">
        <v>233</v>
      </c>
    </row>
    <row r="8" spans="1:88" outlineLevel="1" x14ac:dyDescent="0.2">
      <c r="A8" s="17"/>
      <c r="B8" s="17" t="s">
        <v>51</v>
      </c>
      <c r="C8" s="18" t="s">
        <v>236</v>
      </c>
      <c r="D8" s="17">
        <v>238146391</v>
      </c>
      <c r="E8" s="18">
        <v>10</v>
      </c>
      <c r="F8" s="18">
        <v>32</v>
      </c>
      <c r="G8" s="18">
        <v>30</v>
      </c>
      <c r="I8" s="19">
        <f t="shared" si="0"/>
        <v>9.4696274999999996</v>
      </c>
      <c r="J8" s="20">
        <f t="shared" si="1"/>
        <v>4.2414818707036381E-2</v>
      </c>
      <c r="K8" s="20">
        <f t="shared" si="2"/>
        <v>1.2784640519704538E-2</v>
      </c>
      <c r="L8" s="20">
        <f t="shared" si="3"/>
        <v>1.0100745133693839E-2</v>
      </c>
      <c r="M8" s="20">
        <f t="shared" si="4"/>
        <v>2.9630178187331841E-2</v>
      </c>
      <c r="N8" s="17">
        <f t="shared" si="5"/>
        <v>3044616</v>
      </c>
      <c r="O8" s="20">
        <v>16</v>
      </c>
      <c r="P8" s="21">
        <v>25797809</v>
      </c>
      <c r="Q8" s="21">
        <v>806181.53125</v>
      </c>
      <c r="R8" s="21">
        <v>24199.8125</v>
      </c>
      <c r="S8" s="22">
        <v>10100936</v>
      </c>
      <c r="T8" s="22">
        <v>2405456</v>
      </c>
      <c r="U8" s="22">
        <v>639160</v>
      </c>
      <c r="V8" s="22">
        <v>7056320</v>
      </c>
      <c r="W8" s="23">
        <v>70.836840624999994</v>
      </c>
      <c r="X8" s="23">
        <v>73.406981250000001</v>
      </c>
      <c r="Y8" s="23">
        <v>39.549353125000003</v>
      </c>
      <c r="Z8" s="23">
        <v>47.886118750000001</v>
      </c>
      <c r="AA8" s="23">
        <v>47.950350000000007</v>
      </c>
      <c r="AB8" s="24">
        <v>3307.52</v>
      </c>
      <c r="AC8" s="24">
        <v>1504.02</v>
      </c>
      <c r="AD8" s="24">
        <v>13.576000000000001</v>
      </c>
      <c r="AE8" s="24">
        <v>12.224</v>
      </c>
      <c r="AG8" s="19" t="str">
        <f t="shared" si="6"/>
        <v>·</v>
      </c>
      <c r="AH8" s="20" t="str">
        <f t="shared" si="7"/>
        <v>·</v>
      </c>
      <c r="AI8" s="20" t="str">
        <f t="shared" si="8"/>
        <v>·</v>
      </c>
      <c r="AJ8" s="20" t="str">
        <f t="shared" si="9"/>
        <v>·</v>
      </c>
      <c r="AK8" s="20" t="str">
        <f t="shared" si="10"/>
        <v>·</v>
      </c>
      <c r="AL8" s="17" t="str">
        <f t="shared" si="11"/>
        <v/>
      </c>
      <c r="AM8" s="20">
        <v>16</v>
      </c>
      <c r="AN8" s="21"/>
      <c r="AO8" s="21"/>
      <c r="AP8" s="21"/>
      <c r="AQ8" s="22"/>
      <c r="AR8" s="22"/>
      <c r="AS8" s="22"/>
      <c r="AT8" s="22"/>
      <c r="AU8" s="23"/>
      <c r="AV8" s="23"/>
      <c r="AW8" s="23"/>
      <c r="AX8" s="23"/>
      <c r="AY8" s="23"/>
      <c r="AZ8" s="24"/>
      <c r="BA8" s="24"/>
      <c r="BB8" s="24"/>
      <c r="BC8" s="24"/>
      <c r="BE8" s="49" t="e">
        <f t="shared" si="12"/>
        <v>#VALUE!</v>
      </c>
      <c r="BF8" s="25" t="e">
        <f t="shared" si="13"/>
        <v>#DIV/0!</v>
      </c>
      <c r="BG8" s="25" t="e">
        <f t="shared" si="14"/>
        <v>#VALUE!</v>
      </c>
      <c r="BH8" s="25"/>
      <c r="BJ8" s="49"/>
      <c r="BK8" s="49"/>
      <c r="BL8" s="49"/>
      <c r="BM8" s="49"/>
      <c r="BN8" s="49"/>
      <c r="BP8" s="49"/>
      <c r="BQ8" s="49"/>
      <c r="BR8" s="49"/>
      <c r="BS8" s="49"/>
      <c r="BT8" s="49"/>
      <c r="BV8" s="53">
        <f t="shared" si="16"/>
        <v>-25797809</v>
      </c>
      <c r="BW8" s="53">
        <f t="shared" si="15"/>
        <v>-806181.53125</v>
      </c>
      <c r="BX8" s="53">
        <f t="shared" si="15"/>
        <v>-24199.8125</v>
      </c>
      <c r="BY8" s="53">
        <f t="shared" si="15"/>
        <v>-10100936</v>
      </c>
      <c r="BZ8" s="53">
        <f t="shared" si="15"/>
        <v>-2405456</v>
      </c>
      <c r="CA8" s="53">
        <f t="shared" si="15"/>
        <v>-639160</v>
      </c>
      <c r="CB8" s="53">
        <f t="shared" si="15"/>
        <v>-7056320</v>
      </c>
      <c r="CC8" s="53">
        <f t="shared" si="15"/>
        <v>-70.836840624999994</v>
      </c>
      <c r="CD8" s="53">
        <f t="shared" si="15"/>
        <v>-73.406981250000001</v>
      </c>
      <c r="CE8" s="53">
        <f t="shared" si="15"/>
        <v>-39.549353125000003</v>
      </c>
      <c r="CF8" s="53">
        <f t="shared" si="15"/>
        <v>-47.886118750000001</v>
      </c>
      <c r="CG8" s="53">
        <f t="shared" si="15"/>
        <v>-47.950350000000007</v>
      </c>
      <c r="CJ8" t="s">
        <v>233</v>
      </c>
    </row>
    <row r="9" spans="1:88" ht="16" outlineLevel="1" thickBot="1" x14ac:dyDescent="0.25">
      <c r="A9" s="52"/>
      <c r="B9" s="26" t="s">
        <v>51</v>
      </c>
      <c r="C9" s="27" t="s">
        <v>237</v>
      </c>
      <c r="D9" s="26">
        <v>238146391</v>
      </c>
      <c r="E9" s="27">
        <v>10</v>
      </c>
      <c r="F9" s="27">
        <v>32</v>
      </c>
      <c r="G9" s="27">
        <v>30</v>
      </c>
      <c r="I9" s="28">
        <f t="shared" si="0"/>
        <v>16.897575</v>
      </c>
      <c r="J9" s="29">
        <f t="shared" si="1"/>
        <v>7.5684875694799009E-2</v>
      </c>
      <c r="K9" s="29">
        <f t="shared" si="2"/>
        <v>2.068986214449918E-2</v>
      </c>
      <c r="L9" s="29">
        <f t="shared" si="3"/>
        <v>1.5547781280464586E-2</v>
      </c>
      <c r="M9" s="29">
        <f t="shared" si="4"/>
        <v>5.4995013550299822E-2</v>
      </c>
      <c r="N9" s="26">
        <f t="shared" si="5"/>
        <v>4927216</v>
      </c>
      <c r="O9" s="29">
        <v>16</v>
      </c>
      <c r="P9" s="30">
        <v>24868389</v>
      </c>
      <c r="Q9" s="30">
        <v>777137.15625</v>
      </c>
      <c r="R9" s="30">
        <v>10635.96875</v>
      </c>
      <c r="S9" s="31">
        <v>18024080</v>
      </c>
      <c r="T9" s="31">
        <v>3702648</v>
      </c>
      <c r="U9" s="31">
        <v>1224568</v>
      </c>
      <c r="V9" s="31">
        <v>13096864</v>
      </c>
      <c r="W9" s="32">
        <v>71.945243750000003</v>
      </c>
      <c r="X9" s="32">
        <v>75.319240624999978</v>
      </c>
      <c r="Y9" s="32">
        <v>42.149681250000008</v>
      </c>
      <c r="Z9" s="32">
        <v>49.421931249999993</v>
      </c>
      <c r="AA9" s="32">
        <v>49.547406250000009</v>
      </c>
      <c r="AB9" s="33">
        <v>3206.12</v>
      </c>
      <c r="AC9" s="33">
        <v>1968.86</v>
      </c>
      <c r="AD9" s="33">
        <v>12.964</v>
      </c>
      <c r="AE9" s="33">
        <v>13.776</v>
      </c>
      <c r="AG9" s="28" t="str">
        <f t="shared" si="6"/>
        <v>·</v>
      </c>
      <c r="AH9" s="29" t="str">
        <f t="shared" si="7"/>
        <v>·</v>
      </c>
      <c r="AI9" s="29" t="str">
        <f t="shared" si="8"/>
        <v>·</v>
      </c>
      <c r="AJ9" s="29" t="str">
        <f t="shared" si="9"/>
        <v>·</v>
      </c>
      <c r="AK9" s="29" t="str">
        <f t="shared" si="10"/>
        <v>·</v>
      </c>
      <c r="AL9" s="26" t="str">
        <f t="shared" si="11"/>
        <v/>
      </c>
      <c r="AM9" s="29">
        <v>16</v>
      </c>
      <c r="AN9" s="30"/>
      <c r="AO9" s="30"/>
      <c r="AP9" s="30"/>
      <c r="AQ9" s="31"/>
      <c r="AR9" s="31"/>
      <c r="AS9" s="31"/>
      <c r="AT9" s="31"/>
      <c r="AU9" s="32"/>
      <c r="AV9" s="32"/>
      <c r="AW9" s="32"/>
      <c r="AX9" s="32"/>
      <c r="AY9" s="32"/>
      <c r="AZ9" s="33"/>
      <c r="BA9" s="33"/>
      <c r="BB9" s="33"/>
      <c r="BC9" s="33"/>
      <c r="BE9" s="34" t="e">
        <f t="shared" si="12"/>
        <v>#VALUE!</v>
      </c>
      <c r="BF9" s="35" t="e">
        <f t="shared" si="13"/>
        <v>#DIV/0!</v>
      </c>
      <c r="BG9" s="35" t="e">
        <f t="shared" si="14"/>
        <v>#VALUE!</v>
      </c>
      <c r="BH9" s="35"/>
      <c r="BJ9" s="34"/>
      <c r="BK9" s="34"/>
      <c r="BL9" s="34"/>
      <c r="BM9" s="34"/>
      <c r="BN9" s="34"/>
      <c r="BP9" s="34"/>
      <c r="BQ9" s="34"/>
      <c r="BR9" s="34"/>
      <c r="BS9" s="34"/>
      <c r="BT9" s="34"/>
      <c r="BV9" s="53">
        <f t="shared" si="16"/>
        <v>-24868389</v>
      </c>
      <c r="BW9" s="53">
        <f t="shared" si="15"/>
        <v>-777137.15625</v>
      </c>
      <c r="BX9" s="53">
        <f t="shared" si="15"/>
        <v>-10635.96875</v>
      </c>
      <c r="BY9" s="53">
        <f t="shared" si="15"/>
        <v>-18024080</v>
      </c>
      <c r="BZ9" s="53">
        <f t="shared" si="15"/>
        <v>-3702648</v>
      </c>
      <c r="CA9" s="53">
        <f t="shared" si="15"/>
        <v>-1224568</v>
      </c>
      <c r="CB9" s="53">
        <f t="shared" si="15"/>
        <v>-13096864</v>
      </c>
      <c r="CC9" s="53">
        <f t="shared" si="15"/>
        <v>-71.945243750000003</v>
      </c>
      <c r="CD9" s="53">
        <f t="shared" si="15"/>
        <v>-75.319240624999978</v>
      </c>
      <c r="CE9" s="53">
        <f t="shared" si="15"/>
        <v>-42.149681250000008</v>
      </c>
      <c r="CF9" s="53">
        <f t="shared" si="15"/>
        <v>-49.421931249999993</v>
      </c>
      <c r="CG9" s="53">
        <f t="shared" si="15"/>
        <v>-49.547406250000009</v>
      </c>
      <c r="CJ9" t="s">
        <v>233</v>
      </c>
    </row>
    <row r="10" spans="1:88" x14ac:dyDescent="0.2">
      <c r="A10" s="17"/>
      <c r="B10" s="17" t="s">
        <v>59</v>
      </c>
      <c r="C10" s="18" t="s">
        <v>232</v>
      </c>
      <c r="D10" s="17">
        <v>218121242</v>
      </c>
      <c r="E10" s="18">
        <v>10</v>
      </c>
      <c r="F10" s="18">
        <v>32</v>
      </c>
      <c r="G10" s="18">
        <v>30</v>
      </c>
      <c r="I10" s="19">
        <f t="shared" si="0"/>
        <v>3.2135775</v>
      </c>
      <c r="J10" s="20">
        <f t="shared" si="1"/>
        <v>1.5715186510812183E-2</v>
      </c>
      <c r="K10" s="20">
        <f t="shared" si="2"/>
        <v>8.1856126603203558E-3</v>
      </c>
      <c r="L10" s="20">
        <f t="shared" si="3"/>
        <v>4.2806284772576161E-3</v>
      </c>
      <c r="M10" s="20">
        <f t="shared" si="4"/>
        <v>7.5295738504918283E-3</v>
      </c>
      <c r="N10" s="17">
        <f t="shared" si="5"/>
        <v>1785456</v>
      </c>
      <c r="O10" s="20">
        <v>16</v>
      </c>
      <c r="P10" s="21">
        <v>20666971</v>
      </c>
      <c r="Q10" s="21">
        <v>645842.84375</v>
      </c>
      <c r="R10" s="21">
        <v>18163.46875</v>
      </c>
      <c r="S10" s="22">
        <v>3427816</v>
      </c>
      <c r="T10" s="22">
        <v>933696</v>
      </c>
      <c r="U10" s="22">
        <v>851760</v>
      </c>
      <c r="V10" s="22">
        <v>1642360</v>
      </c>
      <c r="W10" s="23">
        <v>65.904412499999992</v>
      </c>
      <c r="X10" s="23">
        <v>67.82275937499999</v>
      </c>
      <c r="Y10" s="23">
        <v>32.384371874999992</v>
      </c>
      <c r="Z10" s="23">
        <v>39.164465624999991</v>
      </c>
      <c r="AA10" s="23">
        <v>32.081006249999987</v>
      </c>
      <c r="AB10" s="24">
        <v>2952.46</v>
      </c>
      <c r="AC10" s="24">
        <v>1614.9</v>
      </c>
      <c r="AD10" s="24">
        <v>12.76</v>
      </c>
      <c r="AE10" s="24">
        <v>10.472</v>
      </c>
      <c r="AG10" s="19" t="str">
        <f t="shared" si="6"/>
        <v>·</v>
      </c>
      <c r="AH10" s="20" t="str">
        <f t="shared" si="7"/>
        <v>·</v>
      </c>
      <c r="AI10" s="20" t="str">
        <f t="shared" si="8"/>
        <v>·</v>
      </c>
      <c r="AJ10" s="20" t="str">
        <f t="shared" si="9"/>
        <v>·</v>
      </c>
      <c r="AK10" s="20" t="str">
        <f t="shared" si="10"/>
        <v>·</v>
      </c>
      <c r="AL10" s="17" t="str">
        <f t="shared" si="11"/>
        <v/>
      </c>
      <c r="AM10" s="20">
        <v>16</v>
      </c>
      <c r="AN10" s="21"/>
      <c r="AO10" s="21"/>
      <c r="AP10" s="21"/>
      <c r="AQ10" s="22"/>
      <c r="AR10" s="22"/>
      <c r="AS10" s="22"/>
      <c r="AT10" s="22"/>
      <c r="AU10" s="23"/>
      <c r="AV10" s="23"/>
      <c r="AW10" s="23"/>
      <c r="AX10" s="23"/>
      <c r="AY10" s="23"/>
      <c r="AZ10" s="24"/>
      <c r="BA10" s="24"/>
      <c r="BB10" s="24"/>
      <c r="BC10" s="24"/>
      <c r="BE10" s="49" t="e">
        <f t="shared" si="12"/>
        <v>#VALUE!</v>
      </c>
      <c r="BF10" s="25" t="e">
        <f t="shared" si="13"/>
        <v>#DIV/0!</v>
      </c>
      <c r="BG10" s="25" t="e">
        <f t="shared" si="14"/>
        <v>#VALUE!</v>
      </c>
      <c r="BH10" s="25" t="e">
        <f t="array" ref="BH10">AVERAGE(AL10:AL14/AQ10:AQ14) - AVERAGE(N10:N14/S10:S14)</f>
        <v>#VALUE!</v>
      </c>
      <c r="BJ10" s="49" t="str">
        <f>IF( OR(ISBLANK(N10:N14),ISBLANK(AL10:AL14), ISBLANK(W10:W14),ISBLANK(AU10:AU14)), "·", bdRateExtend( N10:N14,W10:W14, AL10:AL14,AU10:AU14))</f>
        <v>·</v>
      </c>
      <c r="BK10" s="49" t="str">
        <f>IF( OR(ISBLANK(N10:N14),ISBLANK(AL10:AL14), ISBLANK(X10:X14),ISBLANK(AV10:AV14)), "·", bdRateExtend( N10:N14,X10:X14, AL10:AL14,AV10:AV14))</f>
        <v>·</v>
      </c>
      <c r="BL10" s="49" t="str">
        <f>IF( OR(ISBLANK(V10:V14),ISBLANK(AT10:AT14), ISBLANK(Y10:Y14),ISBLANK(AW10:AW14)), "·", bdRateExtend( V10:V14,Y10:Y14, AT10:AT14,AW10:AW14))</f>
        <v>·</v>
      </c>
      <c r="BM10" s="49" t="str">
        <f>IF( OR(ISBLANK(V10:V14),ISBLANK(AT10:AT14), ISBLANK(Z10:Z14),ISBLANK(AX10:AX14)), "·", bdRateExtend( V10:V14,Z10:Z14, AT10:AT14,AX10:AX14))</f>
        <v>·</v>
      </c>
      <c r="BN10" s="49" t="str">
        <f>IF( OR(ISBLANK(V10:V14),ISBLANK(AT10:AT14), ISBLANK(AA10:AA14),ISBLANK(AY10:AY14)), "·", bdRateExtend( V10:V14,AA10:AA14, AT10:AT14,AY10:AY14))</f>
        <v>·</v>
      </c>
      <c r="BP10" s="49" t="str">
        <f>IF( OR(ISBLANK(S10:S14),ISBLANK(AQ10:AQ14), ISBLANK(W10:W14),ISBLANK(AU10:AU14)), "·", bdRateExtend( S10:S14,W10:W14, AQ10:AQ14,AU10:AU14))</f>
        <v>·</v>
      </c>
      <c r="BQ10" s="49" t="str">
        <f>IF( OR(ISBLANK(S10:S14),ISBLANK(AQ10:AQ14), ISBLANK(X10:X14),ISBLANK(AV10:AV14)), "·", bdRateExtend( S10:S14,X10:X14, AQ10:AQ14,AV10:AV14))</f>
        <v>·</v>
      </c>
      <c r="BR10" s="49" t="str">
        <f>IF( OR(ISBLANK(S10:S14),ISBLANK(AQ10:AQ14), ISBLANK(Y10:Y14),ISBLANK(AW10:AW14)), "·", bdRateExtend( S10:S14,Y10:Y14, AQ10:AQ14,AW10:AW14))</f>
        <v>·</v>
      </c>
      <c r="BS10" s="49" t="str">
        <f>IF( OR(ISBLANK(S10:S14),ISBLANK(AQ10:AQ14), ISBLANK(Z10:Z14),ISBLANK(AX10:AX14)), "·", bdRateExtend( S10:S14,Z10:Z14, AQ10:AQ14,AX10:AX14))</f>
        <v>·</v>
      </c>
      <c r="BT10" s="49" t="str">
        <f>IF( OR(ISBLANK(S10:S14),ISBLANK(AQ10:AQ14), ISBLANK(AA10:AA14),ISBLANK(AY10:AY14)), "·", bdRateExtend( S10:S14,AA10:AA14, AQ10:AQ14,AY10:AY14))</f>
        <v>·</v>
      </c>
      <c r="BV10" s="53">
        <f t="shared" si="16"/>
        <v>-20666971</v>
      </c>
      <c r="BW10" s="53">
        <f t="shared" si="15"/>
        <v>-645842.84375</v>
      </c>
      <c r="BX10" s="53">
        <f t="shared" si="15"/>
        <v>-18163.46875</v>
      </c>
      <c r="BY10" s="53">
        <f t="shared" si="15"/>
        <v>-3427816</v>
      </c>
      <c r="BZ10" s="53">
        <f t="shared" si="15"/>
        <v>-933696</v>
      </c>
      <c r="CA10" s="53">
        <f t="shared" si="15"/>
        <v>-851760</v>
      </c>
      <c r="CB10" s="53">
        <f t="shared" si="15"/>
        <v>-1642360</v>
      </c>
      <c r="CC10" s="53">
        <f t="shared" si="15"/>
        <v>-65.904412499999992</v>
      </c>
      <c r="CD10" s="53">
        <f t="shared" si="15"/>
        <v>-67.82275937499999</v>
      </c>
      <c r="CE10" s="53">
        <f t="shared" si="15"/>
        <v>-32.384371874999992</v>
      </c>
      <c r="CF10" s="53">
        <f t="shared" si="15"/>
        <v>-39.164465624999991</v>
      </c>
      <c r="CG10" s="53">
        <f t="shared" si="15"/>
        <v>-32.081006249999987</v>
      </c>
      <c r="CJ10" t="s">
        <v>238</v>
      </c>
    </row>
    <row r="11" spans="1:88" outlineLevel="1" x14ac:dyDescent="0.2">
      <c r="A11" s="52"/>
      <c r="B11" s="52" t="s">
        <v>59</v>
      </c>
      <c r="C11" s="9" t="s">
        <v>234</v>
      </c>
      <c r="D11" s="52">
        <v>218121242</v>
      </c>
      <c r="E11" s="9">
        <v>10</v>
      </c>
      <c r="F11" s="9">
        <v>32</v>
      </c>
      <c r="G11" s="9">
        <v>30</v>
      </c>
      <c r="I11" s="10">
        <f t="shared" si="0"/>
        <v>4.6348349999999998</v>
      </c>
      <c r="J11" s="11">
        <f t="shared" si="1"/>
        <v>2.2665486197809198E-2</v>
      </c>
      <c r="K11" s="11">
        <f t="shared" si="2"/>
        <v>9.9355385111918621E-3</v>
      </c>
      <c r="L11" s="11">
        <f t="shared" si="3"/>
        <v>6.0305543281291233E-3</v>
      </c>
      <c r="M11" s="11">
        <f t="shared" si="4"/>
        <v>1.2729947686617336E-2</v>
      </c>
      <c r="N11" s="52">
        <f t="shared" si="5"/>
        <v>2167152</v>
      </c>
      <c r="O11" s="11">
        <v>16</v>
      </c>
      <c r="P11" s="12">
        <v>22097663</v>
      </c>
      <c r="Q11" s="12">
        <v>690551.96875</v>
      </c>
      <c r="R11" s="12">
        <v>22957.28125</v>
      </c>
      <c r="S11" s="13">
        <v>4943824</v>
      </c>
      <c r="T11" s="13">
        <v>1315392</v>
      </c>
      <c r="U11" s="13">
        <v>851760</v>
      </c>
      <c r="V11" s="13">
        <v>2776672</v>
      </c>
      <c r="W11" s="14">
        <v>67.607918749999996</v>
      </c>
      <c r="X11" s="14">
        <v>69.699943750000003</v>
      </c>
      <c r="Y11" s="14">
        <v>34.252084375000003</v>
      </c>
      <c r="Z11" s="14">
        <v>40.021503125000002</v>
      </c>
      <c r="AA11" s="14">
        <v>33.864340624999997</v>
      </c>
      <c r="AB11" s="15">
        <v>2650.04</v>
      </c>
      <c r="AC11" s="15">
        <v>1251.0899999999999</v>
      </c>
      <c r="AD11" s="15">
        <v>12.692</v>
      </c>
      <c r="AE11" s="15">
        <v>11.48</v>
      </c>
      <c r="AG11" s="10" t="str">
        <f t="shared" si="6"/>
        <v>·</v>
      </c>
      <c r="AH11" s="11" t="str">
        <f t="shared" si="7"/>
        <v>·</v>
      </c>
      <c r="AI11" s="11" t="str">
        <f t="shared" si="8"/>
        <v>·</v>
      </c>
      <c r="AJ11" s="11" t="str">
        <f t="shared" si="9"/>
        <v>·</v>
      </c>
      <c r="AK11" s="11" t="str">
        <f t="shared" si="10"/>
        <v>·</v>
      </c>
      <c r="AL11" s="52" t="str">
        <f t="shared" si="11"/>
        <v/>
      </c>
      <c r="AM11" s="11">
        <v>16</v>
      </c>
      <c r="AN11" s="12"/>
      <c r="AO11" s="12"/>
      <c r="AP11" s="12"/>
      <c r="AQ11" s="13"/>
      <c r="AR11" s="13"/>
      <c r="AS11" s="13"/>
      <c r="AT11" s="13"/>
      <c r="AU11" s="14"/>
      <c r="AV11" s="14"/>
      <c r="AW11" s="14"/>
      <c r="AX11" s="14"/>
      <c r="AY11" s="14"/>
      <c r="AZ11" s="15"/>
      <c r="BA11" s="15"/>
      <c r="BB11" s="15"/>
      <c r="BC11" s="15"/>
      <c r="BE11" s="50" t="e">
        <f t="shared" si="12"/>
        <v>#VALUE!</v>
      </c>
      <c r="BF11" s="16" t="e">
        <f t="shared" si="13"/>
        <v>#DIV/0!</v>
      </c>
      <c r="BG11" s="16" t="e">
        <f t="shared" si="14"/>
        <v>#VALUE!</v>
      </c>
      <c r="BH11" s="16"/>
      <c r="BJ11" s="50"/>
      <c r="BK11" s="50"/>
      <c r="BL11" s="50"/>
      <c r="BM11" s="50"/>
      <c r="BN11" s="50"/>
      <c r="BP11" s="50"/>
      <c r="BQ11" s="50"/>
      <c r="BR11" s="50"/>
      <c r="BS11" s="50"/>
      <c r="BT11" s="50"/>
      <c r="BV11" s="53">
        <f t="shared" si="16"/>
        <v>-22097663</v>
      </c>
      <c r="BW11" s="53">
        <f t="shared" si="15"/>
        <v>-690551.96875</v>
      </c>
      <c r="BX11" s="53">
        <f t="shared" si="15"/>
        <v>-22957.28125</v>
      </c>
      <c r="BY11" s="53">
        <f t="shared" si="15"/>
        <v>-4943824</v>
      </c>
      <c r="BZ11" s="53">
        <f t="shared" si="15"/>
        <v>-1315392</v>
      </c>
      <c r="CA11" s="53">
        <f t="shared" si="15"/>
        <v>-851760</v>
      </c>
      <c r="CB11" s="53">
        <f t="shared" si="15"/>
        <v>-2776672</v>
      </c>
      <c r="CC11" s="53">
        <f t="shared" si="15"/>
        <v>-67.607918749999996</v>
      </c>
      <c r="CD11" s="53">
        <f t="shared" si="15"/>
        <v>-69.699943750000003</v>
      </c>
      <c r="CE11" s="53">
        <f t="shared" si="15"/>
        <v>-34.252084375000003</v>
      </c>
      <c r="CF11" s="53">
        <f t="shared" si="15"/>
        <v>-40.021503125000002</v>
      </c>
      <c r="CG11" s="53">
        <f t="shared" si="15"/>
        <v>-33.864340624999997</v>
      </c>
      <c r="CJ11" t="s">
        <v>238</v>
      </c>
    </row>
    <row r="12" spans="1:88" outlineLevel="1" x14ac:dyDescent="0.2">
      <c r="A12" s="17"/>
      <c r="B12" s="17" t="s">
        <v>59</v>
      </c>
      <c r="C12" s="18" t="s">
        <v>235</v>
      </c>
      <c r="D12" s="17">
        <v>218121242</v>
      </c>
      <c r="E12" s="18">
        <v>10</v>
      </c>
      <c r="F12" s="18">
        <v>32</v>
      </c>
      <c r="G12" s="18">
        <v>30</v>
      </c>
      <c r="I12" s="19">
        <f t="shared" si="0"/>
        <v>7.1531174999999996</v>
      </c>
      <c r="J12" s="20">
        <f t="shared" si="1"/>
        <v>3.4980508684248186E-2</v>
      </c>
      <c r="K12" s="20">
        <f t="shared" si="2"/>
        <v>1.2619110246951556E-2</v>
      </c>
      <c r="L12" s="20">
        <f t="shared" si="3"/>
        <v>8.714126063888817E-3</v>
      </c>
      <c r="M12" s="20">
        <f t="shared" si="4"/>
        <v>2.2361398437296631E-2</v>
      </c>
      <c r="N12" s="17">
        <f t="shared" si="5"/>
        <v>2752496</v>
      </c>
      <c r="O12" s="20">
        <v>16</v>
      </c>
      <c r="P12" s="21">
        <v>22510846</v>
      </c>
      <c r="Q12" s="21">
        <v>703463.9375</v>
      </c>
      <c r="R12" s="21">
        <v>24709.6875</v>
      </c>
      <c r="S12" s="22">
        <v>7629992</v>
      </c>
      <c r="T12" s="22">
        <v>1900736</v>
      </c>
      <c r="U12" s="22">
        <v>851760</v>
      </c>
      <c r="V12" s="22">
        <v>4877496</v>
      </c>
      <c r="W12" s="23">
        <v>68.956062500000002</v>
      </c>
      <c r="X12" s="23">
        <v>71.331965624999995</v>
      </c>
      <c r="Y12" s="23">
        <v>36.354259375000012</v>
      </c>
      <c r="Z12" s="23">
        <v>40.927831249999983</v>
      </c>
      <c r="AA12" s="23">
        <v>35.635178125000003</v>
      </c>
      <c r="AB12" s="24">
        <v>2631.95</v>
      </c>
      <c r="AC12" s="24">
        <v>1303.8399999999999</v>
      </c>
      <c r="AD12" s="24">
        <v>13.536</v>
      </c>
      <c r="AE12" s="24">
        <v>11.747999999999999</v>
      </c>
      <c r="AG12" s="19" t="str">
        <f t="shared" si="6"/>
        <v>·</v>
      </c>
      <c r="AH12" s="20" t="str">
        <f t="shared" si="7"/>
        <v>·</v>
      </c>
      <c r="AI12" s="20" t="str">
        <f t="shared" si="8"/>
        <v>·</v>
      </c>
      <c r="AJ12" s="20" t="str">
        <f t="shared" si="9"/>
        <v>·</v>
      </c>
      <c r="AK12" s="20" t="str">
        <f t="shared" si="10"/>
        <v>·</v>
      </c>
      <c r="AL12" s="17" t="str">
        <f t="shared" si="11"/>
        <v/>
      </c>
      <c r="AM12" s="20">
        <v>16</v>
      </c>
      <c r="AN12" s="21"/>
      <c r="AO12" s="21"/>
      <c r="AP12" s="21"/>
      <c r="AQ12" s="22"/>
      <c r="AR12" s="22"/>
      <c r="AS12" s="22"/>
      <c r="AT12" s="22"/>
      <c r="AU12" s="23"/>
      <c r="AV12" s="23"/>
      <c r="AW12" s="23"/>
      <c r="AX12" s="23"/>
      <c r="AY12" s="23"/>
      <c r="AZ12" s="24"/>
      <c r="BA12" s="24"/>
      <c r="BB12" s="24"/>
      <c r="BC12" s="24"/>
      <c r="BE12" s="49" t="e">
        <f t="shared" si="12"/>
        <v>#VALUE!</v>
      </c>
      <c r="BF12" s="25" t="e">
        <f t="shared" si="13"/>
        <v>#DIV/0!</v>
      </c>
      <c r="BG12" s="25" t="e">
        <f t="shared" si="14"/>
        <v>#VALUE!</v>
      </c>
      <c r="BH12" s="25"/>
      <c r="BJ12" s="49"/>
      <c r="BK12" s="49"/>
      <c r="BL12" s="49"/>
      <c r="BM12" s="49"/>
      <c r="BN12" s="49"/>
      <c r="BP12" s="49"/>
      <c r="BQ12" s="49"/>
      <c r="BR12" s="49"/>
      <c r="BS12" s="49"/>
      <c r="BT12" s="49"/>
      <c r="BV12" s="53">
        <f t="shared" si="16"/>
        <v>-22510846</v>
      </c>
      <c r="BW12" s="53">
        <f t="shared" si="15"/>
        <v>-703463.9375</v>
      </c>
      <c r="BX12" s="53">
        <f t="shared" si="15"/>
        <v>-24709.6875</v>
      </c>
      <c r="BY12" s="53">
        <f t="shared" si="15"/>
        <v>-7629992</v>
      </c>
      <c r="BZ12" s="53">
        <f t="shared" si="15"/>
        <v>-1900736</v>
      </c>
      <c r="CA12" s="53">
        <f t="shared" si="15"/>
        <v>-851760</v>
      </c>
      <c r="CB12" s="53">
        <f t="shared" si="15"/>
        <v>-4877496</v>
      </c>
      <c r="CC12" s="53">
        <f t="shared" si="15"/>
        <v>-68.956062500000002</v>
      </c>
      <c r="CD12" s="53">
        <f t="shared" si="15"/>
        <v>-71.331965624999995</v>
      </c>
      <c r="CE12" s="53">
        <f t="shared" si="15"/>
        <v>-36.354259375000012</v>
      </c>
      <c r="CF12" s="53">
        <f t="shared" si="15"/>
        <v>-40.927831249999983</v>
      </c>
      <c r="CG12" s="53">
        <f t="shared" si="15"/>
        <v>-35.635178125000003</v>
      </c>
      <c r="CJ12" t="s">
        <v>238</v>
      </c>
    </row>
    <row r="13" spans="1:88" outlineLevel="1" x14ac:dyDescent="0.2">
      <c r="A13" s="52"/>
      <c r="B13" s="52" t="s">
        <v>59</v>
      </c>
      <c r="C13" s="9" t="s">
        <v>236</v>
      </c>
      <c r="D13" s="52">
        <v>218121242</v>
      </c>
      <c r="E13" s="9">
        <v>10</v>
      </c>
      <c r="F13" s="9">
        <v>32</v>
      </c>
      <c r="G13" s="9">
        <v>30</v>
      </c>
      <c r="I13" s="10">
        <f t="shared" si="0"/>
        <v>12.072022499999999</v>
      </c>
      <c r="J13" s="11">
        <f t="shared" si="1"/>
        <v>5.9035167239695069E-2</v>
      </c>
      <c r="K13" s="11">
        <f t="shared" si="2"/>
        <v>1.730054333726928E-2</v>
      </c>
      <c r="L13" s="11">
        <f t="shared" si="3"/>
        <v>1.3395559154206539E-2</v>
      </c>
      <c r="M13" s="11">
        <f t="shared" si="4"/>
        <v>4.1734623902425792E-2</v>
      </c>
      <c r="N13" s="52">
        <f t="shared" si="5"/>
        <v>3773616</v>
      </c>
      <c r="O13" s="11">
        <v>16</v>
      </c>
      <c r="P13" s="12">
        <v>23291739</v>
      </c>
      <c r="Q13" s="12">
        <v>727866.84375</v>
      </c>
      <c r="R13" s="12">
        <v>28062.03125</v>
      </c>
      <c r="S13" s="13">
        <v>12876824</v>
      </c>
      <c r="T13" s="13">
        <v>2921856</v>
      </c>
      <c r="U13" s="13">
        <v>851760</v>
      </c>
      <c r="V13" s="13">
        <v>9103208</v>
      </c>
      <c r="W13" s="14">
        <v>70.072275000000005</v>
      </c>
      <c r="X13" s="14">
        <v>72.59020624999998</v>
      </c>
      <c r="Y13" s="14">
        <v>38.689725000000003</v>
      </c>
      <c r="Z13" s="14">
        <v>42.113684375000012</v>
      </c>
      <c r="AA13" s="14">
        <v>37.693637500000001</v>
      </c>
      <c r="AB13" s="15">
        <v>2635.56</v>
      </c>
      <c r="AC13" s="15">
        <v>1407.42</v>
      </c>
      <c r="AD13" s="15">
        <v>13.167999999999999</v>
      </c>
      <c r="AE13" s="15">
        <v>13.256</v>
      </c>
      <c r="AG13" s="10" t="str">
        <f t="shared" si="6"/>
        <v>·</v>
      </c>
      <c r="AH13" s="11" t="str">
        <f t="shared" si="7"/>
        <v>·</v>
      </c>
      <c r="AI13" s="11" t="str">
        <f t="shared" si="8"/>
        <v>·</v>
      </c>
      <c r="AJ13" s="11" t="str">
        <f t="shared" si="9"/>
        <v>·</v>
      </c>
      <c r="AK13" s="11" t="str">
        <f t="shared" si="10"/>
        <v>·</v>
      </c>
      <c r="AL13" s="52" t="str">
        <f t="shared" si="11"/>
        <v/>
      </c>
      <c r="AM13" s="11">
        <v>16</v>
      </c>
      <c r="AN13" s="12"/>
      <c r="AO13" s="12"/>
      <c r="AP13" s="12"/>
      <c r="AQ13" s="13"/>
      <c r="AR13" s="13"/>
      <c r="AS13" s="13"/>
      <c r="AT13" s="13"/>
      <c r="AU13" s="14"/>
      <c r="AV13" s="14"/>
      <c r="AW13" s="14"/>
      <c r="AX13" s="14"/>
      <c r="AY13" s="14"/>
      <c r="AZ13" s="15"/>
      <c r="BA13" s="15"/>
      <c r="BB13" s="15"/>
      <c r="BC13" s="15"/>
      <c r="BE13" s="50" t="e">
        <f t="shared" si="12"/>
        <v>#VALUE!</v>
      </c>
      <c r="BF13" s="16" t="e">
        <f t="shared" si="13"/>
        <v>#DIV/0!</v>
      </c>
      <c r="BG13" s="16" t="e">
        <f t="shared" si="14"/>
        <v>#VALUE!</v>
      </c>
      <c r="BH13" s="16"/>
      <c r="BJ13" s="50"/>
      <c r="BK13" s="50"/>
      <c r="BL13" s="50"/>
      <c r="BM13" s="50"/>
      <c r="BN13" s="50"/>
      <c r="BP13" s="50"/>
      <c r="BQ13" s="50"/>
      <c r="BR13" s="50"/>
      <c r="BS13" s="50"/>
      <c r="BT13" s="50"/>
      <c r="BV13" s="53">
        <f t="shared" si="16"/>
        <v>-23291739</v>
      </c>
      <c r="BW13" s="53">
        <f t="shared" si="15"/>
        <v>-727866.84375</v>
      </c>
      <c r="BX13" s="53">
        <f t="shared" si="15"/>
        <v>-28062.03125</v>
      </c>
      <c r="BY13" s="53">
        <f t="shared" si="15"/>
        <v>-12876824</v>
      </c>
      <c r="BZ13" s="53">
        <f t="shared" si="15"/>
        <v>-2921856</v>
      </c>
      <c r="CA13" s="53">
        <f t="shared" si="15"/>
        <v>-851760</v>
      </c>
      <c r="CB13" s="53">
        <f t="shared" si="15"/>
        <v>-9103208</v>
      </c>
      <c r="CC13" s="53">
        <f t="shared" si="15"/>
        <v>-70.072275000000005</v>
      </c>
      <c r="CD13" s="53">
        <f t="shared" si="15"/>
        <v>-72.59020624999998</v>
      </c>
      <c r="CE13" s="53">
        <f t="shared" si="15"/>
        <v>-38.689725000000003</v>
      </c>
      <c r="CF13" s="53">
        <f t="shared" si="15"/>
        <v>-42.113684375000012</v>
      </c>
      <c r="CG13" s="53">
        <f t="shared" si="15"/>
        <v>-37.693637500000001</v>
      </c>
      <c r="CJ13" t="s">
        <v>238</v>
      </c>
    </row>
    <row r="14" spans="1:88" ht="16" outlineLevel="1" thickBot="1" x14ac:dyDescent="0.25">
      <c r="A14" s="17"/>
      <c r="B14" s="36" t="s">
        <v>59</v>
      </c>
      <c r="C14" s="37" t="s">
        <v>237</v>
      </c>
      <c r="D14" s="36">
        <v>218121242</v>
      </c>
      <c r="E14" s="37">
        <v>10</v>
      </c>
      <c r="F14" s="37">
        <v>32</v>
      </c>
      <c r="G14" s="37">
        <v>30</v>
      </c>
      <c r="I14" s="38">
        <f t="shared" si="0"/>
        <v>21.625042499999999</v>
      </c>
      <c r="J14" s="39">
        <f t="shared" si="1"/>
        <v>0.105751791015384</v>
      </c>
      <c r="K14" s="39">
        <f t="shared" si="2"/>
        <v>2.838032620408424E-2</v>
      </c>
      <c r="L14" s="39">
        <f t="shared" si="3"/>
        <v>2.1154363315059429E-2</v>
      </c>
      <c r="M14" s="39">
        <f t="shared" si="4"/>
        <v>7.7371464811299764E-2</v>
      </c>
      <c r="N14" s="36">
        <f t="shared" si="5"/>
        <v>6190352</v>
      </c>
      <c r="O14" s="39">
        <v>16</v>
      </c>
      <c r="P14" s="40">
        <v>22124056</v>
      </c>
      <c r="Q14" s="40">
        <v>691376.75</v>
      </c>
      <c r="R14" s="40">
        <v>13278.71875</v>
      </c>
      <c r="S14" s="41">
        <v>23066712</v>
      </c>
      <c r="T14" s="41">
        <v>4614216</v>
      </c>
      <c r="U14" s="41">
        <v>1576136</v>
      </c>
      <c r="V14" s="41">
        <v>16876360</v>
      </c>
      <c r="W14" s="42">
        <v>70.923046874999983</v>
      </c>
      <c r="X14" s="42">
        <v>74.675603124999995</v>
      </c>
      <c r="Y14" s="42">
        <v>40.970318750000011</v>
      </c>
      <c r="Z14" s="42">
        <v>43.413924999999999</v>
      </c>
      <c r="AA14" s="42">
        <v>39.478603124999999</v>
      </c>
      <c r="AB14" s="43">
        <v>3302.39</v>
      </c>
      <c r="AC14" s="43">
        <v>1954.01</v>
      </c>
      <c r="AD14" s="43">
        <v>12.644</v>
      </c>
      <c r="AE14" s="43">
        <v>15.167999999999999</v>
      </c>
      <c r="AG14" s="38" t="str">
        <f t="shared" si="6"/>
        <v>·</v>
      </c>
      <c r="AH14" s="39" t="str">
        <f t="shared" si="7"/>
        <v>·</v>
      </c>
      <c r="AI14" s="39" t="str">
        <f t="shared" si="8"/>
        <v>·</v>
      </c>
      <c r="AJ14" s="39" t="str">
        <f t="shared" si="9"/>
        <v>·</v>
      </c>
      <c r="AK14" s="39" t="str">
        <f t="shared" si="10"/>
        <v>·</v>
      </c>
      <c r="AL14" s="36" t="str">
        <f t="shared" si="11"/>
        <v/>
      </c>
      <c r="AM14" s="39">
        <v>16</v>
      </c>
      <c r="AN14" s="40"/>
      <c r="AO14" s="40"/>
      <c r="AP14" s="40"/>
      <c r="AQ14" s="41"/>
      <c r="AR14" s="41"/>
      <c r="AS14" s="41"/>
      <c r="AT14" s="41"/>
      <c r="AU14" s="42"/>
      <c r="AV14" s="42"/>
      <c r="AW14" s="42"/>
      <c r="AX14" s="42"/>
      <c r="AY14" s="42"/>
      <c r="AZ14" s="43"/>
      <c r="BA14" s="43"/>
      <c r="BB14" s="43"/>
      <c r="BC14" s="43"/>
      <c r="BE14" s="44" t="e">
        <f t="shared" si="12"/>
        <v>#VALUE!</v>
      </c>
      <c r="BF14" s="45" t="e">
        <f t="shared" si="13"/>
        <v>#DIV/0!</v>
      </c>
      <c r="BG14" s="45" t="e">
        <f t="shared" si="14"/>
        <v>#VALUE!</v>
      </c>
      <c r="BH14" s="45"/>
      <c r="BJ14" s="44"/>
      <c r="BK14" s="44"/>
      <c r="BL14" s="44"/>
      <c r="BM14" s="44"/>
      <c r="BN14" s="44"/>
      <c r="BP14" s="44"/>
      <c r="BQ14" s="44"/>
      <c r="BR14" s="44"/>
      <c r="BS14" s="44"/>
      <c r="BT14" s="44"/>
      <c r="BV14" s="53">
        <f t="shared" si="16"/>
        <v>-22124056</v>
      </c>
      <c r="BW14" s="53">
        <f t="shared" si="15"/>
        <v>-691376.75</v>
      </c>
      <c r="BX14" s="53">
        <f t="shared" si="15"/>
        <v>-13278.71875</v>
      </c>
      <c r="BY14" s="53">
        <f t="shared" si="15"/>
        <v>-23066712</v>
      </c>
      <c r="BZ14" s="53">
        <f t="shared" si="15"/>
        <v>-4614216</v>
      </c>
      <c r="CA14" s="53">
        <f t="shared" si="15"/>
        <v>-1576136</v>
      </c>
      <c r="CB14" s="53">
        <f t="shared" si="15"/>
        <v>-16876360</v>
      </c>
      <c r="CC14" s="53">
        <f t="shared" si="15"/>
        <v>-70.923046874999983</v>
      </c>
      <c r="CD14" s="53">
        <f t="shared" si="15"/>
        <v>-74.675603124999995</v>
      </c>
      <c r="CE14" s="53">
        <f t="shared" si="15"/>
        <v>-40.970318750000011</v>
      </c>
      <c r="CF14" s="53">
        <f t="shared" si="15"/>
        <v>-43.413924999999999</v>
      </c>
      <c r="CG14" s="53">
        <f t="shared" si="15"/>
        <v>-39.478603124999999</v>
      </c>
      <c r="CJ14" t="s">
        <v>238</v>
      </c>
    </row>
    <row r="15" spans="1:88" x14ac:dyDescent="0.2">
      <c r="A15" s="52"/>
      <c r="B15" s="52" t="s">
        <v>64</v>
      </c>
      <c r="C15" s="9" t="s">
        <v>232</v>
      </c>
      <c r="D15" s="52">
        <v>322589704</v>
      </c>
      <c r="E15" s="9">
        <v>10</v>
      </c>
      <c r="F15" s="9">
        <v>32</v>
      </c>
      <c r="G15" s="9">
        <v>30</v>
      </c>
      <c r="I15" s="10">
        <f t="shared" si="0"/>
        <v>4.4315024999999997</v>
      </c>
      <c r="J15" s="11">
        <f t="shared" si="1"/>
        <v>1.4653090106062406E-2</v>
      </c>
      <c r="K15" s="11">
        <f t="shared" si="2"/>
        <v>8.3179096131350792E-3</v>
      </c>
      <c r="L15" s="11">
        <f t="shared" si="3"/>
        <v>4.3923534521734149E-3</v>
      </c>
      <c r="M15" s="11">
        <f t="shared" si="4"/>
        <v>6.3351804929273258E-3</v>
      </c>
      <c r="N15" s="52">
        <f t="shared" si="5"/>
        <v>2683272</v>
      </c>
      <c r="O15" s="11">
        <v>16</v>
      </c>
      <c r="P15" s="12">
        <v>31086837</v>
      </c>
      <c r="Q15" s="12">
        <v>971463.65625</v>
      </c>
      <c r="R15" s="12">
        <v>27944.21875</v>
      </c>
      <c r="S15" s="13">
        <v>4726936</v>
      </c>
      <c r="T15" s="13">
        <v>1416928</v>
      </c>
      <c r="U15" s="13">
        <v>1266344</v>
      </c>
      <c r="V15" s="13">
        <v>2043664</v>
      </c>
      <c r="W15" s="14">
        <v>65.923106250000004</v>
      </c>
      <c r="X15" s="14">
        <v>67.661793750000015</v>
      </c>
      <c r="Y15" s="14">
        <v>29.416059375</v>
      </c>
      <c r="Z15" s="14">
        <v>43.123156250000008</v>
      </c>
      <c r="AA15" s="14">
        <v>43.328384375000013</v>
      </c>
      <c r="AB15" s="15">
        <v>4747.95</v>
      </c>
      <c r="AC15" s="15">
        <v>1447.1</v>
      </c>
      <c r="AD15" s="15">
        <v>14.78</v>
      </c>
      <c r="AE15" s="15">
        <v>11.167999999999999</v>
      </c>
      <c r="AG15" s="10" t="str">
        <f t="shared" si="6"/>
        <v>·</v>
      </c>
      <c r="AH15" s="11" t="str">
        <f t="shared" si="7"/>
        <v>·</v>
      </c>
      <c r="AI15" s="11" t="str">
        <f t="shared" si="8"/>
        <v>·</v>
      </c>
      <c r="AJ15" s="11" t="str">
        <f t="shared" si="9"/>
        <v>·</v>
      </c>
      <c r="AK15" s="11" t="str">
        <f t="shared" si="10"/>
        <v>·</v>
      </c>
      <c r="AL15" s="52" t="str">
        <f t="shared" si="11"/>
        <v/>
      </c>
      <c r="AM15" s="11">
        <v>16</v>
      </c>
      <c r="AN15" s="12"/>
      <c r="AO15" s="12"/>
      <c r="AP15" s="12"/>
      <c r="AQ15" s="13"/>
      <c r="AR15" s="13"/>
      <c r="AS15" s="13"/>
      <c r="AT15" s="13"/>
      <c r="AU15" s="14"/>
      <c r="AV15" s="14"/>
      <c r="AW15" s="14"/>
      <c r="AX15" s="14"/>
      <c r="AY15" s="14"/>
      <c r="AZ15" s="15"/>
      <c r="BA15" s="15"/>
      <c r="BB15" s="15"/>
      <c r="BC15" s="15"/>
      <c r="BE15" s="50" t="e">
        <f t="shared" si="12"/>
        <v>#VALUE!</v>
      </c>
      <c r="BF15" s="16" t="e">
        <f t="shared" si="13"/>
        <v>#DIV/0!</v>
      </c>
      <c r="BG15" s="16" t="e">
        <f t="shared" si="14"/>
        <v>#VALUE!</v>
      </c>
      <c r="BH15" s="16" t="e">
        <f t="array" ref="BH15">AVERAGE(AL15:AL19/AQ15:AQ19) - AVERAGE(N15:N19/S15:S19)</f>
        <v>#VALUE!</v>
      </c>
      <c r="BJ15" s="50" t="str">
        <f>IF( OR(ISBLANK(N15:N19),ISBLANK(AL15:AL19), ISBLANK(W15:W19),ISBLANK(AU15:AU19)), "·", bdRateExtend( N15:N19,W15:W19, AL15:AL19,AU15:AU19))</f>
        <v>·</v>
      </c>
      <c r="BK15" s="50" t="str">
        <f>IF( OR(ISBLANK(N15:N19),ISBLANK(AL15:AL19), ISBLANK(X15:X19),ISBLANK(AV15:AV19)), "·", bdRateExtend( N15:N19,X15:X19, AL15:AL19,AV15:AV19))</f>
        <v>·</v>
      </c>
      <c r="BL15" s="50" t="str">
        <f>IF( OR(ISBLANK(V15:V19),ISBLANK(AT15:AT19), ISBLANK(Y15:Y19),ISBLANK(AW15:AW19)), "·", bdRateExtend( V15:V19,Y15:Y19, AT15:AT19,AW15:AW19))</f>
        <v>·</v>
      </c>
      <c r="BM15" s="50" t="str">
        <f>IF( OR(ISBLANK(V15:V19),ISBLANK(AT15:AT19), ISBLANK(Z15:Z19),ISBLANK(AX15:AX19)), "·", bdRateExtend( V15:V19,Z15:Z19, AT15:AT19,AX15:AX19))</f>
        <v>·</v>
      </c>
      <c r="BN15" s="50" t="str">
        <f>IF( OR(ISBLANK(V15:V19),ISBLANK(AT15:AT19), ISBLANK(AA15:AA19),ISBLANK(AY15:AY19)), "·", bdRateExtend( V15:V19,AA15:AA19, AT15:AT19,AY15:AY19))</f>
        <v>·</v>
      </c>
      <c r="BP15" s="50" t="str">
        <f>IF( OR(ISBLANK(S15:S19),ISBLANK(AQ15:AQ19), ISBLANK(W15:W19),ISBLANK(AU15:AU19)), "·", bdRateExtend( S15:S19,W15:W19, AQ15:AQ19,AU15:AU19))</f>
        <v>·</v>
      </c>
      <c r="BQ15" s="50" t="str">
        <f>IF( OR(ISBLANK(S15:S19),ISBLANK(AQ15:AQ19), ISBLANK(X15:X19),ISBLANK(AV15:AV19)), "·", bdRateExtend( S15:S19,X15:X19, AQ15:AQ19,AV15:AV19))</f>
        <v>·</v>
      </c>
      <c r="BR15" s="50" t="str">
        <f>IF( OR(ISBLANK(S15:S19),ISBLANK(AQ15:AQ19), ISBLANK(Y15:Y19),ISBLANK(AW15:AW19)), "·", bdRateExtend( S15:S19,Y15:Y19, AQ15:AQ19,AW15:AW19))</f>
        <v>·</v>
      </c>
      <c r="BS15" s="50" t="str">
        <f>IF( OR(ISBLANK(S15:S19),ISBLANK(AQ15:AQ19), ISBLANK(Z15:Z19),ISBLANK(AX15:AX19)), "·", bdRateExtend( S15:S19,Z15:Z19, AQ15:AQ19,AX15:AX19))</f>
        <v>·</v>
      </c>
      <c r="BT15" s="50" t="str">
        <f>IF( OR(ISBLANK(S15:S19),ISBLANK(AQ15:AQ19), ISBLANK(AA15:AA19),ISBLANK(AY15:AY19)), "·", bdRateExtend( S15:S19,AA15:AA19, AQ15:AQ19,AY15:AY19))</f>
        <v>·</v>
      </c>
      <c r="BV15" s="53">
        <f t="shared" si="16"/>
        <v>-31086837</v>
      </c>
      <c r="BW15" s="53">
        <f t="shared" si="15"/>
        <v>-971463.65625</v>
      </c>
      <c r="BX15" s="53">
        <f t="shared" si="15"/>
        <v>-27944.21875</v>
      </c>
      <c r="BY15" s="53">
        <f t="shared" si="15"/>
        <v>-4726936</v>
      </c>
      <c r="BZ15" s="53">
        <f t="shared" si="15"/>
        <v>-1416928</v>
      </c>
      <c r="CA15" s="53">
        <f t="shared" si="15"/>
        <v>-1266344</v>
      </c>
      <c r="CB15" s="53">
        <f t="shared" si="15"/>
        <v>-2043664</v>
      </c>
      <c r="CC15" s="53">
        <f t="shared" si="15"/>
        <v>-65.923106250000004</v>
      </c>
      <c r="CD15" s="53">
        <f t="shared" si="15"/>
        <v>-67.661793750000015</v>
      </c>
      <c r="CE15" s="53">
        <f t="shared" si="15"/>
        <v>-29.416059375</v>
      </c>
      <c r="CF15" s="53">
        <f t="shared" si="15"/>
        <v>-43.123156250000008</v>
      </c>
      <c r="CG15" s="53">
        <f t="shared" si="15"/>
        <v>-43.328384375000013</v>
      </c>
      <c r="CJ15" t="s">
        <v>233</v>
      </c>
    </row>
    <row r="16" spans="1:88" outlineLevel="1" x14ac:dyDescent="0.2">
      <c r="A16" s="17"/>
      <c r="B16" s="17" t="s">
        <v>64</v>
      </c>
      <c r="C16" s="18" t="s">
        <v>234</v>
      </c>
      <c r="D16" s="17">
        <v>322589704</v>
      </c>
      <c r="E16" s="18">
        <v>10</v>
      </c>
      <c r="F16" s="18">
        <v>32</v>
      </c>
      <c r="G16" s="18">
        <v>30</v>
      </c>
      <c r="I16" s="19">
        <f t="shared" si="0"/>
        <v>7.0332074999999996</v>
      </c>
      <c r="J16" s="20">
        <f t="shared" si="1"/>
        <v>2.3255819720768272E-2</v>
      </c>
      <c r="K16" s="20">
        <f t="shared" si="2"/>
        <v>1.0123298913470592E-2</v>
      </c>
      <c r="L16" s="20">
        <f t="shared" si="3"/>
        <v>6.1977427525089267E-3</v>
      </c>
      <c r="M16" s="20">
        <f t="shared" si="4"/>
        <v>1.3132520807297682E-2</v>
      </c>
      <c r="N16" s="17">
        <f t="shared" si="5"/>
        <v>3265672</v>
      </c>
      <c r="O16" s="20">
        <v>16</v>
      </c>
      <c r="P16" s="21">
        <v>33185472</v>
      </c>
      <c r="Q16" s="21">
        <v>1037046</v>
      </c>
      <c r="R16" s="21">
        <v>34748.59375</v>
      </c>
      <c r="S16" s="22">
        <v>7502088</v>
      </c>
      <c r="T16" s="22">
        <v>1999328</v>
      </c>
      <c r="U16" s="22">
        <v>1266344</v>
      </c>
      <c r="V16" s="22">
        <v>4236416</v>
      </c>
      <c r="W16" s="23">
        <v>67.712850000000003</v>
      </c>
      <c r="X16" s="23">
        <v>69.741403124999991</v>
      </c>
      <c r="Y16" s="23">
        <v>31.814990625</v>
      </c>
      <c r="Z16" s="23">
        <v>43.952409375000002</v>
      </c>
      <c r="AA16" s="23">
        <v>44.25296250000001</v>
      </c>
      <c r="AB16" s="24">
        <v>4735.3500000000004</v>
      </c>
      <c r="AC16" s="24">
        <v>1555.22</v>
      </c>
      <c r="AD16" s="24">
        <v>14.336</v>
      </c>
      <c r="AE16" s="24">
        <v>11.076000000000001</v>
      </c>
      <c r="AG16" s="19" t="str">
        <f t="shared" si="6"/>
        <v>·</v>
      </c>
      <c r="AH16" s="20" t="str">
        <f t="shared" si="7"/>
        <v>·</v>
      </c>
      <c r="AI16" s="20" t="str">
        <f t="shared" si="8"/>
        <v>·</v>
      </c>
      <c r="AJ16" s="20" t="str">
        <f t="shared" si="9"/>
        <v>·</v>
      </c>
      <c r="AK16" s="20" t="str">
        <f t="shared" si="10"/>
        <v>·</v>
      </c>
      <c r="AL16" s="17" t="str">
        <f t="shared" si="11"/>
        <v/>
      </c>
      <c r="AM16" s="20">
        <v>16</v>
      </c>
      <c r="AN16" s="21"/>
      <c r="AO16" s="21"/>
      <c r="AP16" s="21"/>
      <c r="AQ16" s="22"/>
      <c r="AR16" s="22"/>
      <c r="AS16" s="22"/>
      <c r="AT16" s="22"/>
      <c r="AU16" s="23"/>
      <c r="AV16" s="23"/>
      <c r="AW16" s="23"/>
      <c r="AX16" s="23"/>
      <c r="AY16" s="23"/>
      <c r="AZ16" s="24"/>
      <c r="BA16" s="24"/>
      <c r="BB16" s="24"/>
      <c r="BC16" s="24"/>
      <c r="BE16" s="49" t="e">
        <f t="shared" si="12"/>
        <v>#VALUE!</v>
      </c>
      <c r="BF16" s="25" t="e">
        <f t="shared" si="13"/>
        <v>#DIV/0!</v>
      </c>
      <c r="BG16" s="25" t="e">
        <f t="shared" si="14"/>
        <v>#VALUE!</v>
      </c>
      <c r="BH16" s="25"/>
      <c r="BJ16" s="49"/>
      <c r="BK16" s="49"/>
      <c r="BL16" s="49"/>
      <c r="BM16" s="49"/>
      <c r="BN16" s="49"/>
      <c r="BP16" s="49"/>
      <c r="BQ16" s="49"/>
      <c r="BR16" s="49"/>
      <c r="BS16" s="49"/>
      <c r="BT16" s="49"/>
      <c r="BV16" s="53">
        <f t="shared" si="16"/>
        <v>-33185472</v>
      </c>
      <c r="BW16" s="53">
        <f t="shared" si="15"/>
        <v>-1037046</v>
      </c>
      <c r="BX16" s="53">
        <f t="shared" si="15"/>
        <v>-34748.59375</v>
      </c>
      <c r="BY16" s="53">
        <f t="shared" si="15"/>
        <v>-7502088</v>
      </c>
      <c r="BZ16" s="53">
        <f t="shared" si="15"/>
        <v>-1999328</v>
      </c>
      <c r="CA16" s="53">
        <f t="shared" si="15"/>
        <v>-1266344</v>
      </c>
      <c r="CB16" s="53">
        <f t="shared" si="15"/>
        <v>-4236416</v>
      </c>
      <c r="CC16" s="53">
        <f t="shared" si="15"/>
        <v>-67.712850000000003</v>
      </c>
      <c r="CD16" s="53">
        <f t="shared" si="15"/>
        <v>-69.741403124999991</v>
      </c>
      <c r="CE16" s="53">
        <f t="shared" si="15"/>
        <v>-31.814990625</v>
      </c>
      <c r="CF16" s="53">
        <f t="shared" si="15"/>
        <v>-43.952409375000002</v>
      </c>
      <c r="CG16" s="53">
        <f t="shared" si="15"/>
        <v>-44.25296250000001</v>
      </c>
      <c r="CJ16" t="s">
        <v>233</v>
      </c>
    </row>
    <row r="17" spans="1:88" outlineLevel="1" x14ac:dyDescent="0.2">
      <c r="A17" s="52"/>
      <c r="B17" s="52" t="s">
        <v>64</v>
      </c>
      <c r="C17" s="9" t="s">
        <v>235</v>
      </c>
      <c r="D17" s="52">
        <v>322589704</v>
      </c>
      <c r="E17" s="9">
        <v>10</v>
      </c>
      <c r="F17" s="9">
        <v>32</v>
      </c>
      <c r="G17" s="9">
        <v>30</v>
      </c>
      <c r="I17" s="10">
        <f t="shared" si="0"/>
        <v>11.735175</v>
      </c>
      <c r="J17" s="11">
        <f t="shared" si="1"/>
        <v>3.8803222312389737E-2</v>
      </c>
      <c r="K17" s="11">
        <f t="shared" si="2"/>
        <v>1.2882643024465529E-2</v>
      </c>
      <c r="L17" s="11">
        <f t="shared" si="3"/>
        <v>8.9570868635038652E-3</v>
      </c>
      <c r="M17" s="11">
        <f t="shared" si="4"/>
        <v>2.5920579287924204E-2</v>
      </c>
      <c r="N17" s="52">
        <f t="shared" si="5"/>
        <v>4155808</v>
      </c>
      <c r="O17" s="11">
        <v>16</v>
      </c>
      <c r="P17" s="12">
        <v>33604345</v>
      </c>
      <c r="Q17" s="12">
        <v>1050135.78125</v>
      </c>
      <c r="R17" s="12">
        <v>36572.96875</v>
      </c>
      <c r="S17" s="13">
        <v>12517520</v>
      </c>
      <c r="T17" s="13">
        <v>2889464</v>
      </c>
      <c r="U17" s="13">
        <v>1266344</v>
      </c>
      <c r="V17" s="13">
        <v>8361712</v>
      </c>
      <c r="W17" s="14">
        <v>69.134437500000018</v>
      </c>
      <c r="X17" s="14">
        <v>71.597096875000005</v>
      </c>
      <c r="Y17" s="14">
        <v>34.361643749999999</v>
      </c>
      <c r="Z17" s="14">
        <v>44.79558437499999</v>
      </c>
      <c r="AA17" s="14">
        <v>45.197471874999991</v>
      </c>
      <c r="AB17" s="15">
        <v>4736.49</v>
      </c>
      <c r="AC17" s="15">
        <v>1667.64</v>
      </c>
      <c r="AD17" s="15">
        <v>14.96</v>
      </c>
      <c r="AE17" s="15">
        <v>11.311999999999999</v>
      </c>
      <c r="AG17" s="10" t="str">
        <f t="shared" si="6"/>
        <v>·</v>
      </c>
      <c r="AH17" s="11" t="str">
        <f t="shared" si="7"/>
        <v>·</v>
      </c>
      <c r="AI17" s="11" t="str">
        <f t="shared" si="8"/>
        <v>·</v>
      </c>
      <c r="AJ17" s="11" t="str">
        <f t="shared" si="9"/>
        <v>·</v>
      </c>
      <c r="AK17" s="11" t="str">
        <f t="shared" si="10"/>
        <v>·</v>
      </c>
      <c r="AL17" s="52" t="str">
        <f t="shared" si="11"/>
        <v/>
      </c>
      <c r="AM17" s="11">
        <v>16</v>
      </c>
      <c r="AN17" s="12"/>
      <c r="AO17" s="12"/>
      <c r="AP17" s="12"/>
      <c r="AQ17" s="13"/>
      <c r="AR17" s="13"/>
      <c r="AS17" s="13"/>
      <c r="AT17" s="13"/>
      <c r="AU17" s="14"/>
      <c r="AV17" s="14"/>
      <c r="AW17" s="14"/>
      <c r="AX17" s="14"/>
      <c r="AY17" s="14"/>
      <c r="AZ17" s="15"/>
      <c r="BA17" s="15"/>
      <c r="BB17" s="15"/>
      <c r="BC17" s="15"/>
      <c r="BE17" s="50" t="e">
        <f t="shared" si="12"/>
        <v>#VALUE!</v>
      </c>
      <c r="BF17" s="16" t="e">
        <f t="shared" si="13"/>
        <v>#DIV/0!</v>
      </c>
      <c r="BG17" s="16" t="e">
        <f t="shared" si="14"/>
        <v>#VALUE!</v>
      </c>
      <c r="BH17" s="16"/>
      <c r="BJ17" s="50"/>
      <c r="BK17" s="50"/>
      <c r="BL17" s="50"/>
      <c r="BM17" s="50"/>
      <c r="BN17" s="50"/>
      <c r="BP17" s="50"/>
      <c r="BQ17" s="50"/>
      <c r="BR17" s="50"/>
      <c r="BS17" s="50"/>
      <c r="BT17" s="50"/>
      <c r="BV17" s="53">
        <f t="shared" si="16"/>
        <v>-33604345</v>
      </c>
      <c r="BW17" s="53">
        <f t="shared" si="15"/>
        <v>-1050135.78125</v>
      </c>
      <c r="BX17" s="53">
        <f t="shared" si="15"/>
        <v>-36572.96875</v>
      </c>
      <c r="BY17" s="53">
        <f t="shared" si="15"/>
        <v>-12517520</v>
      </c>
      <c r="BZ17" s="53">
        <f t="shared" si="15"/>
        <v>-2889464</v>
      </c>
      <c r="CA17" s="53">
        <f t="shared" si="15"/>
        <v>-1266344</v>
      </c>
      <c r="CB17" s="53">
        <f t="shared" si="15"/>
        <v>-8361712</v>
      </c>
      <c r="CC17" s="53">
        <f t="shared" si="15"/>
        <v>-69.134437500000018</v>
      </c>
      <c r="CD17" s="53">
        <f t="shared" si="15"/>
        <v>-71.597096875000005</v>
      </c>
      <c r="CE17" s="53">
        <f t="shared" si="15"/>
        <v>-34.361643749999999</v>
      </c>
      <c r="CF17" s="53">
        <f t="shared" si="15"/>
        <v>-44.79558437499999</v>
      </c>
      <c r="CG17" s="53">
        <f t="shared" si="15"/>
        <v>-45.197471874999991</v>
      </c>
      <c r="CJ17" t="s">
        <v>233</v>
      </c>
    </row>
    <row r="18" spans="1:88" outlineLevel="1" x14ac:dyDescent="0.2">
      <c r="A18" s="17"/>
      <c r="B18" s="17" t="s">
        <v>64</v>
      </c>
      <c r="C18" s="18" t="s">
        <v>236</v>
      </c>
      <c r="D18" s="17">
        <v>322589704</v>
      </c>
      <c r="E18" s="18">
        <v>10</v>
      </c>
      <c r="F18" s="18">
        <v>32</v>
      </c>
      <c r="G18" s="18">
        <v>30</v>
      </c>
      <c r="I18" s="19">
        <f t="shared" si="0"/>
        <v>20.320822499999998</v>
      </c>
      <c r="J18" s="20">
        <f t="shared" si="1"/>
        <v>6.7192299478969111E-2</v>
      </c>
      <c r="K18" s="20">
        <f t="shared" si="2"/>
        <v>1.7385626169891647E-2</v>
      </c>
      <c r="L18" s="20">
        <f t="shared" si="3"/>
        <v>1.3460070008929981E-2</v>
      </c>
      <c r="M18" s="20">
        <f t="shared" si="4"/>
        <v>4.9806673309077468E-2</v>
      </c>
      <c r="N18" s="17">
        <f t="shared" si="5"/>
        <v>5608424</v>
      </c>
      <c r="O18" s="20">
        <v>16</v>
      </c>
      <c r="P18" s="21">
        <v>34799418</v>
      </c>
      <c r="Q18" s="21">
        <v>1087481.8125</v>
      </c>
      <c r="R18" s="21">
        <v>40860.15625</v>
      </c>
      <c r="S18" s="22">
        <v>21675544</v>
      </c>
      <c r="T18" s="22">
        <v>4342080</v>
      </c>
      <c r="U18" s="22">
        <v>1266344</v>
      </c>
      <c r="V18" s="22">
        <v>16067120</v>
      </c>
      <c r="W18" s="23">
        <v>70.372874999999993</v>
      </c>
      <c r="X18" s="23">
        <v>72.951281249999965</v>
      </c>
      <c r="Y18" s="23">
        <v>37.068993749999997</v>
      </c>
      <c r="Z18" s="23">
        <v>46.119856250000012</v>
      </c>
      <c r="AA18" s="23">
        <v>46.648406250000001</v>
      </c>
      <c r="AB18" s="24">
        <v>4790.8599999999997</v>
      </c>
      <c r="AC18" s="24">
        <v>1890.77</v>
      </c>
      <c r="AD18" s="24">
        <v>15.036</v>
      </c>
      <c r="AE18" s="24">
        <v>12.843999999999999</v>
      </c>
      <c r="AG18" s="19" t="str">
        <f t="shared" si="6"/>
        <v>·</v>
      </c>
      <c r="AH18" s="20" t="str">
        <f t="shared" si="7"/>
        <v>·</v>
      </c>
      <c r="AI18" s="20" t="str">
        <f t="shared" si="8"/>
        <v>·</v>
      </c>
      <c r="AJ18" s="20" t="str">
        <f t="shared" si="9"/>
        <v>·</v>
      </c>
      <c r="AK18" s="20" t="str">
        <f t="shared" si="10"/>
        <v>·</v>
      </c>
      <c r="AL18" s="17" t="str">
        <f t="shared" si="11"/>
        <v/>
      </c>
      <c r="AM18" s="20">
        <v>16</v>
      </c>
      <c r="AN18" s="21"/>
      <c r="AO18" s="21"/>
      <c r="AP18" s="21"/>
      <c r="AQ18" s="22"/>
      <c r="AR18" s="22"/>
      <c r="AS18" s="22"/>
      <c r="AT18" s="22"/>
      <c r="AU18" s="23"/>
      <c r="AV18" s="23"/>
      <c r="AW18" s="23"/>
      <c r="AX18" s="23"/>
      <c r="AY18" s="23"/>
      <c r="AZ18" s="24"/>
      <c r="BA18" s="24"/>
      <c r="BB18" s="24"/>
      <c r="BC18" s="24"/>
      <c r="BE18" s="49" t="e">
        <f t="shared" si="12"/>
        <v>#VALUE!</v>
      </c>
      <c r="BF18" s="25" t="e">
        <f t="shared" si="13"/>
        <v>#DIV/0!</v>
      </c>
      <c r="BG18" s="25" t="e">
        <f t="shared" si="14"/>
        <v>#VALUE!</v>
      </c>
      <c r="BH18" s="25"/>
      <c r="BJ18" s="49"/>
      <c r="BK18" s="49"/>
      <c r="BL18" s="49"/>
      <c r="BM18" s="49"/>
      <c r="BN18" s="49"/>
      <c r="BP18" s="49"/>
      <c r="BQ18" s="49"/>
      <c r="BR18" s="49"/>
      <c r="BS18" s="49"/>
      <c r="BT18" s="49"/>
      <c r="BV18" s="53">
        <f t="shared" si="16"/>
        <v>-34799418</v>
      </c>
      <c r="BW18" s="53">
        <f t="shared" si="15"/>
        <v>-1087481.8125</v>
      </c>
      <c r="BX18" s="53">
        <f t="shared" si="15"/>
        <v>-40860.15625</v>
      </c>
      <c r="BY18" s="53">
        <f t="shared" si="15"/>
        <v>-21675544</v>
      </c>
      <c r="BZ18" s="53">
        <f t="shared" si="15"/>
        <v>-4342080</v>
      </c>
      <c r="CA18" s="53">
        <f t="shared" si="15"/>
        <v>-1266344</v>
      </c>
      <c r="CB18" s="53">
        <f t="shared" si="15"/>
        <v>-16067120</v>
      </c>
      <c r="CC18" s="53">
        <f t="shared" si="15"/>
        <v>-70.372874999999993</v>
      </c>
      <c r="CD18" s="53">
        <f t="shared" si="15"/>
        <v>-72.951281249999965</v>
      </c>
      <c r="CE18" s="53">
        <f t="shared" si="15"/>
        <v>-37.068993749999997</v>
      </c>
      <c r="CF18" s="53">
        <f t="shared" si="15"/>
        <v>-46.119856250000012</v>
      </c>
      <c r="CG18" s="53">
        <f t="shared" si="15"/>
        <v>-46.648406250000001</v>
      </c>
      <c r="CJ18" t="s">
        <v>233</v>
      </c>
    </row>
    <row r="19" spans="1:88" ht="16" outlineLevel="1" thickBot="1" x14ac:dyDescent="0.25">
      <c r="A19" s="52"/>
      <c r="B19" s="26" t="s">
        <v>64</v>
      </c>
      <c r="C19" s="27" t="s">
        <v>237</v>
      </c>
      <c r="D19" s="26">
        <v>322589704</v>
      </c>
      <c r="E19" s="27">
        <v>10</v>
      </c>
      <c r="F19" s="27">
        <v>32</v>
      </c>
      <c r="G19" s="27">
        <v>30</v>
      </c>
      <c r="I19" s="28">
        <f t="shared" si="0"/>
        <v>35.963302499999998</v>
      </c>
      <c r="J19" s="29">
        <f t="shared" si="1"/>
        <v>0.11891531417258128</v>
      </c>
      <c r="K19" s="29">
        <f t="shared" si="2"/>
        <v>2.7855396153623056E-2</v>
      </c>
      <c r="L19" s="29">
        <f t="shared" si="3"/>
        <v>2.0647974555319349E-2</v>
      </c>
      <c r="M19" s="29">
        <f t="shared" si="4"/>
        <v>9.1059918018958227E-2</v>
      </c>
      <c r="N19" s="26">
        <f t="shared" si="5"/>
        <v>8985864</v>
      </c>
      <c r="O19" s="29">
        <v>16</v>
      </c>
      <c r="P19" s="30">
        <v>33039030</v>
      </c>
      <c r="Q19" s="30">
        <v>1032469.6875</v>
      </c>
      <c r="R19" s="30">
        <v>17754.53125</v>
      </c>
      <c r="S19" s="31">
        <v>38360856</v>
      </c>
      <c r="T19" s="31">
        <v>6660824</v>
      </c>
      <c r="U19" s="31">
        <v>2325040</v>
      </c>
      <c r="V19" s="31">
        <v>29374992</v>
      </c>
      <c r="W19" s="32">
        <v>71.149228125000022</v>
      </c>
      <c r="X19" s="32">
        <v>75.004365625000005</v>
      </c>
      <c r="Y19" s="32">
        <v>39.554531249999997</v>
      </c>
      <c r="Z19" s="32">
        <v>47.858968750000003</v>
      </c>
      <c r="AA19" s="32">
        <v>48.457106250000002</v>
      </c>
      <c r="AB19" s="33">
        <v>4786.74</v>
      </c>
      <c r="AC19" s="33">
        <v>2170.84</v>
      </c>
      <c r="AD19" s="33">
        <v>13.788</v>
      </c>
      <c r="AE19" s="33">
        <v>12.224</v>
      </c>
      <c r="AG19" s="28" t="str">
        <f t="shared" si="6"/>
        <v>·</v>
      </c>
      <c r="AH19" s="29" t="str">
        <f t="shared" si="7"/>
        <v>·</v>
      </c>
      <c r="AI19" s="29" t="str">
        <f t="shared" si="8"/>
        <v>·</v>
      </c>
      <c r="AJ19" s="29" t="str">
        <f t="shared" si="9"/>
        <v>·</v>
      </c>
      <c r="AK19" s="29" t="str">
        <f t="shared" si="10"/>
        <v>·</v>
      </c>
      <c r="AL19" s="26" t="str">
        <f t="shared" si="11"/>
        <v/>
      </c>
      <c r="AM19" s="29">
        <v>16</v>
      </c>
      <c r="AN19" s="30"/>
      <c r="AO19" s="30"/>
      <c r="AP19" s="30"/>
      <c r="AQ19" s="31"/>
      <c r="AR19" s="31"/>
      <c r="AS19" s="31"/>
      <c r="AT19" s="31"/>
      <c r="AU19" s="32"/>
      <c r="AV19" s="32"/>
      <c r="AW19" s="32"/>
      <c r="AX19" s="32"/>
      <c r="AY19" s="32"/>
      <c r="AZ19" s="33"/>
      <c r="BA19" s="33"/>
      <c r="BB19" s="33"/>
      <c r="BC19" s="33"/>
      <c r="BE19" s="34" t="e">
        <f t="shared" si="12"/>
        <v>#VALUE!</v>
      </c>
      <c r="BF19" s="35" t="e">
        <f t="shared" si="13"/>
        <v>#DIV/0!</v>
      </c>
      <c r="BG19" s="35" t="e">
        <f t="shared" si="14"/>
        <v>#VALUE!</v>
      </c>
      <c r="BH19" s="35"/>
      <c r="BJ19" s="34"/>
      <c r="BK19" s="34"/>
      <c r="BL19" s="34"/>
      <c r="BM19" s="34"/>
      <c r="BN19" s="34"/>
      <c r="BP19" s="34"/>
      <c r="BQ19" s="34"/>
      <c r="BR19" s="34"/>
      <c r="BS19" s="34"/>
      <c r="BT19" s="34"/>
      <c r="BV19" s="53">
        <f t="shared" si="16"/>
        <v>-33039030</v>
      </c>
      <c r="BW19" s="53">
        <f t="shared" si="15"/>
        <v>-1032469.6875</v>
      </c>
      <c r="BX19" s="53">
        <f t="shared" si="15"/>
        <v>-17754.53125</v>
      </c>
      <c r="BY19" s="53">
        <f t="shared" si="15"/>
        <v>-38360856</v>
      </c>
      <c r="BZ19" s="53">
        <f t="shared" si="15"/>
        <v>-6660824</v>
      </c>
      <c r="CA19" s="53">
        <f t="shared" si="15"/>
        <v>-2325040</v>
      </c>
      <c r="CB19" s="53">
        <f t="shared" si="15"/>
        <v>-29374992</v>
      </c>
      <c r="CC19" s="53">
        <f t="shared" si="15"/>
        <v>-71.149228125000022</v>
      </c>
      <c r="CD19" s="53">
        <f t="shared" si="15"/>
        <v>-75.004365625000005</v>
      </c>
      <c r="CE19" s="53">
        <f t="shared" si="15"/>
        <v>-39.554531249999997</v>
      </c>
      <c r="CF19" s="53">
        <f t="shared" si="15"/>
        <v>-47.858968750000003</v>
      </c>
      <c r="CG19" s="53">
        <f t="shared" si="15"/>
        <v>-48.457106250000002</v>
      </c>
      <c r="CJ19" t="s">
        <v>233</v>
      </c>
    </row>
    <row r="20" spans="1:88" x14ac:dyDescent="0.2">
      <c r="A20" s="17"/>
      <c r="B20" s="17" t="s">
        <v>70</v>
      </c>
      <c r="C20" s="18" t="s">
        <v>232</v>
      </c>
      <c r="D20" s="17">
        <v>250602891</v>
      </c>
      <c r="E20" s="18">
        <v>10</v>
      </c>
      <c r="F20" s="18">
        <v>32</v>
      </c>
      <c r="G20" s="18">
        <v>50</v>
      </c>
      <c r="I20" s="19">
        <f t="shared" si="0"/>
        <v>5.1864875000000001</v>
      </c>
      <c r="J20" s="20">
        <f t="shared" si="1"/>
        <v>1.3245465711726367E-2</v>
      </c>
      <c r="K20" s="20">
        <f t="shared" si="2"/>
        <v>7.7059286598573197E-3</v>
      </c>
      <c r="L20" s="20">
        <f t="shared" si="3"/>
        <v>3.7835477324960308E-3</v>
      </c>
      <c r="M20" s="20">
        <f t="shared" si="4"/>
        <v>5.5395370518690461E-3</v>
      </c>
      <c r="N20" s="17">
        <f t="shared" si="5"/>
        <v>1931128</v>
      </c>
      <c r="O20" s="20">
        <v>16</v>
      </c>
      <c r="P20" s="21">
        <v>30274532</v>
      </c>
      <c r="Q20" s="21">
        <v>946079.125</v>
      </c>
      <c r="R20" s="21">
        <v>27842.25</v>
      </c>
      <c r="S20" s="22">
        <v>3319352</v>
      </c>
      <c r="T20" s="22">
        <v>948168</v>
      </c>
      <c r="U20" s="22">
        <v>982960</v>
      </c>
      <c r="V20" s="22">
        <v>1388224</v>
      </c>
      <c r="W20" s="23">
        <v>67.105800000000002</v>
      </c>
      <c r="X20" s="23">
        <v>68.817099999999996</v>
      </c>
      <c r="Y20" s="23">
        <v>30.70466875</v>
      </c>
      <c r="Z20" s="23">
        <v>39.516743750000003</v>
      </c>
      <c r="AA20" s="23">
        <v>38.250818749999993</v>
      </c>
      <c r="AB20" s="24">
        <v>4403.7</v>
      </c>
      <c r="AC20" s="24">
        <v>1626.51</v>
      </c>
      <c r="AD20" s="24">
        <v>13.58</v>
      </c>
      <c r="AE20" s="24">
        <v>8.2880000000000003</v>
      </c>
      <c r="AG20" s="19" t="str">
        <f t="shared" si="6"/>
        <v>·</v>
      </c>
      <c r="AH20" s="20" t="str">
        <f t="shared" si="7"/>
        <v>·</v>
      </c>
      <c r="AI20" s="20" t="str">
        <f t="shared" si="8"/>
        <v>·</v>
      </c>
      <c r="AJ20" s="20" t="str">
        <f t="shared" si="9"/>
        <v>·</v>
      </c>
      <c r="AK20" s="20" t="str">
        <f t="shared" si="10"/>
        <v>·</v>
      </c>
      <c r="AL20" s="17" t="str">
        <f t="shared" si="11"/>
        <v/>
      </c>
      <c r="AM20" s="20">
        <v>16</v>
      </c>
      <c r="AN20" s="21"/>
      <c r="AO20" s="21"/>
      <c r="AP20" s="21"/>
      <c r="AQ20" s="22"/>
      <c r="AR20" s="22"/>
      <c r="AS20" s="22"/>
      <c r="AT20" s="22"/>
      <c r="AU20" s="23"/>
      <c r="AV20" s="23"/>
      <c r="AW20" s="23"/>
      <c r="AX20" s="23"/>
      <c r="AY20" s="23"/>
      <c r="AZ20" s="24"/>
      <c r="BA20" s="24"/>
      <c r="BB20" s="24"/>
      <c r="BC20" s="24"/>
      <c r="BE20" s="49" t="e">
        <f t="shared" si="12"/>
        <v>#VALUE!</v>
      </c>
      <c r="BF20" s="25" t="e">
        <f t="shared" si="13"/>
        <v>#DIV/0!</v>
      </c>
      <c r="BG20" s="25" t="e">
        <f t="shared" si="14"/>
        <v>#VALUE!</v>
      </c>
      <c r="BH20" s="25" t="e">
        <f t="array" ref="BH20">AVERAGE(AL20:AL24/AQ20:AQ24) - AVERAGE(N20:N24/S20:S24)</f>
        <v>#VALUE!</v>
      </c>
      <c r="BJ20" s="49" t="str">
        <f>IF( OR(ISBLANK(N20:N24),ISBLANK(AL20:AL24), ISBLANK(W20:W24),ISBLANK(AU20:AU24)), "·", bdRateExtend( N20:N24,W20:W24, AL20:AL24,AU20:AU24))</f>
        <v>·</v>
      </c>
      <c r="BK20" s="49" t="str">
        <f>IF( OR(ISBLANK(N20:N24),ISBLANK(AL20:AL24), ISBLANK(X20:X24),ISBLANK(AV20:AV24)), "·", bdRateExtend( N20:N24,X20:X24, AL20:AL24,AV20:AV24))</f>
        <v>·</v>
      </c>
      <c r="BL20" s="49" t="str">
        <f>IF( OR(ISBLANK(V20:V24),ISBLANK(AT20:AT24), ISBLANK(Y20:Y24),ISBLANK(AW20:AW24)), "·", bdRateExtend( V20:V24,Y20:Y24, AT20:AT24,AW20:AW24))</f>
        <v>·</v>
      </c>
      <c r="BM20" s="49" t="str">
        <f>IF( OR(ISBLANK(V20:V24),ISBLANK(AT20:AT24), ISBLANK(Z20:Z24),ISBLANK(AX20:AX24)), "·", bdRateExtend( V20:V24,Z20:Z24, AT20:AT24,AX20:AX24))</f>
        <v>·</v>
      </c>
      <c r="BN20" s="49" t="str">
        <f>IF( OR(ISBLANK(V20:V24),ISBLANK(AT20:AT24), ISBLANK(AA20:AA24),ISBLANK(AY20:AY24)), "·", bdRateExtend( V20:V24,AA20:AA24, AT20:AT24,AY20:AY24))</f>
        <v>·</v>
      </c>
      <c r="BP20" s="49" t="str">
        <f>IF( OR(ISBLANK(S20:S24),ISBLANK(AQ20:AQ24), ISBLANK(W20:W24),ISBLANK(AU20:AU24)), "·", bdRateExtend( S20:S24,W20:W24, AQ20:AQ24,AU20:AU24))</f>
        <v>·</v>
      </c>
      <c r="BQ20" s="49" t="str">
        <f>IF( OR(ISBLANK(S20:S24),ISBLANK(AQ20:AQ24), ISBLANK(X20:X24),ISBLANK(AV20:AV24)), "·", bdRateExtend( S20:S24,X20:X24, AQ20:AQ24,AV20:AV24))</f>
        <v>·</v>
      </c>
      <c r="BR20" s="49" t="str">
        <f>IF( OR(ISBLANK(S20:S24),ISBLANK(AQ20:AQ24), ISBLANK(Y20:Y24),ISBLANK(AW20:AW24)), "·", bdRateExtend( S20:S24,Y20:Y24, AQ20:AQ24,AW20:AW24))</f>
        <v>·</v>
      </c>
      <c r="BS20" s="49" t="str">
        <f>IF( OR(ISBLANK(S20:S24),ISBLANK(AQ20:AQ24), ISBLANK(Z20:Z24),ISBLANK(AX20:AX24)), "·", bdRateExtend( S20:S24,Z20:Z24, AQ20:AQ24,AX20:AX24))</f>
        <v>·</v>
      </c>
      <c r="BT20" s="49" t="str">
        <f>IF( OR(ISBLANK(S20:S24),ISBLANK(AQ20:AQ24), ISBLANK(AA20:AA24),ISBLANK(AY20:AY24)), "·", bdRateExtend( S20:S24,AA20:AA24, AQ20:AQ24,AY20:AY24))</f>
        <v>·</v>
      </c>
      <c r="BV20" s="53">
        <f t="shared" si="16"/>
        <v>-30274532</v>
      </c>
      <c r="BW20" s="53">
        <f t="shared" si="15"/>
        <v>-946079.125</v>
      </c>
      <c r="BX20" s="53">
        <f t="shared" si="15"/>
        <v>-27842.25</v>
      </c>
      <c r="BY20" s="53">
        <f t="shared" si="15"/>
        <v>-3319352</v>
      </c>
      <c r="BZ20" s="53">
        <f t="shared" si="15"/>
        <v>-948168</v>
      </c>
      <c r="CA20" s="53">
        <f t="shared" si="15"/>
        <v>-982960</v>
      </c>
      <c r="CB20" s="53">
        <f t="shared" si="15"/>
        <v>-1388224</v>
      </c>
      <c r="CC20" s="53">
        <f t="shared" si="15"/>
        <v>-67.105800000000002</v>
      </c>
      <c r="CD20" s="53">
        <f t="shared" si="15"/>
        <v>-68.817099999999996</v>
      </c>
      <c r="CE20" s="53">
        <f t="shared" si="15"/>
        <v>-30.70466875</v>
      </c>
      <c r="CF20" s="53">
        <f t="shared" si="15"/>
        <v>-39.516743750000003</v>
      </c>
      <c r="CG20" s="53">
        <f t="shared" si="15"/>
        <v>-38.250818749999993</v>
      </c>
      <c r="CJ20" t="s">
        <v>239</v>
      </c>
    </row>
    <row r="21" spans="1:88" outlineLevel="1" x14ac:dyDescent="0.2">
      <c r="A21" s="52"/>
      <c r="B21" s="52" t="s">
        <v>70</v>
      </c>
      <c r="C21" s="9" t="s">
        <v>234</v>
      </c>
      <c r="D21" s="52">
        <v>250602891</v>
      </c>
      <c r="E21" s="9">
        <v>10</v>
      </c>
      <c r="F21" s="9">
        <v>32</v>
      </c>
      <c r="G21" s="9">
        <v>50</v>
      </c>
      <c r="I21" s="10">
        <f t="shared" si="0"/>
        <v>7.7664</v>
      </c>
      <c r="J21" s="11">
        <f t="shared" si="1"/>
        <v>1.9834152671447034E-2</v>
      </c>
      <c r="K21" s="11">
        <f t="shared" si="2"/>
        <v>9.149295887412567E-3</v>
      </c>
      <c r="L21" s="11">
        <f t="shared" si="3"/>
        <v>5.226914960051279E-3</v>
      </c>
      <c r="M21" s="11">
        <f t="shared" si="4"/>
        <v>1.0684856784034467E-2</v>
      </c>
      <c r="N21" s="52">
        <f t="shared" si="5"/>
        <v>2292840</v>
      </c>
      <c r="O21" s="11">
        <v>16</v>
      </c>
      <c r="P21" s="12">
        <v>31505484</v>
      </c>
      <c r="Q21" s="12">
        <v>984546.375</v>
      </c>
      <c r="R21" s="12">
        <v>33029.375</v>
      </c>
      <c r="S21" s="13">
        <v>4970496</v>
      </c>
      <c r="T21" s="13">
        <v>1309880</v>
      </c>
      <c r="U21" s="13">
        <v>982960</v>
      </c>
      <c r="V21" s="13">
        <v>2677656</v>
      </c>
      <c r="W21" s="14">
        <v>68.686528125000009</v>
      </c>
      <c r="X21" s="14">
        <v>70.761815624999997</v>
      </c>
      <c r="Y21" s="14">
        <v>32.563856249999994</v>
      </c>
      <c r="Z21" s="14">
        <v>40.66340000000001</v>
      </c>
      <c r="AA21" s="14">
        <v>39.598671875000001</v>
      </c>
      <c r="AB21" s="15">
        <v>4437.8900000000003</v>
      </c>
      <c r="AC21" s="15">
        <v>1723.13</v>
      </c>
      <c r="AD21" s="15">
        <v>13.96</v>
      </c>
      <c r="AE21" s="15">
        <v>11.3</v>
      </c>
      <c r="AG21" s="10" t="str">
        <f t="shared" si="6"/>
        <v>·</v>
      </c>
      <c r="AH21" s="11" t="str">
        <f t="shared" si="7"/>
        <v>·</v>
      </c>
      <c r="AI21" s="11" t="str">
        <f t="shared" si="8"/>
        <v>·</v>
      </c>
      <c r="AJ21" s="11" t="str">
        <f t="shared" si="9"/>
        <v>·</v>
      </c>
      <c r="AK21" s="11" t="str">
        <f t="shared" si="10"/>
        <v>·</v>
      </c>
      <c r="AL21" s="52" t="str">
        <f t="shared" si="11"/>
        <v/>
      </c>
      <c r="AM21" s="11">
        <v>16</v>
      </c>
      <c r="AN21" s="12"/>
      <c r="AO21" s="12"/>
      <c r="AP21" s="12"/>
      <c r="AQ21" s="13"/>
      <c r="AR21" s="13"/>
      <c r="AS21" s="13"/>
      <c r="AT21" s="13"/>
      <c r="AU21" s="14"/>
      <c r="AV21" s="14"/>
      <c r="AW21" s="14"/>
      <c r="AX21" s="14"/>
      <c r="AY21" s="14"/>
      <c r="AZ21" s="15"/>
      <c r="BA21" s="15"/>
      <c r="BB21" s="15"/>
      <c r="BC21" s="15"/>
      <c r="BE21" s="50" t="e">
        <f t="shared" si="12"/>
        <v>#VALUE!</v>
      </c>
      <c r="BF21" s="16" t="e">
        <f t="shared" si="13"/>
        <v>#DIV/0!</v>
      </c>
      <c r="BG21" s="16" t="e">
        <f t="shared" si="14"/>
        <v>#VALUE!</v>
      </c>
      <c r="BH21" s="16"/>
      <c r="BJ21" s="50"/>
      <c r="BK21" s="50"/>
      <c r="BL21" s="50"/>
      <c r="BM21" s="50"/>
      <c r="BN21" s="50"/>
      <c r="BP21" s="50"/>
      <c r="BQ21" s="50"/>
      <c r="BR21" s="50"/>
      <c r="BS21" s="50"/>
      <c r="BT21" s="50"/>
      <c r="BV21" s="53">
        <f t="shared" si="16"/>
        <v>-31505484</v>
      </c>
      <c r="BW21" s="53">
        <f t="shared" si="16"/>
        <v>-984546.375</v>
      </c>
      <c r="BX21" s="53">
        <f t="shared" si="16"/>
        <v>-33029.375</v>
      </c>
      <c r="BY21" s="53">
        <f t="shared" si="16"/>
        <v>-4970496</v>
      </c>
      <c r="BZ21" s="53">
        <f t="shared" si="16"/>
        <v>-1309880</v>
      </c>
      <c r="CA21" s="53">
        <f t="shared" si="16"/>
        <v>-982960</v>
      </c>
      <c r="CB21" s="53">
        <f t="shared" si="16"/>
        <v>-2677656</v>
      </c>
      <c r="CC21" s="53">
        <f t="shared" si="16"/>
        <v>-68.686528125000009</v>
      </c>
      <c r="CD21" s="53">
        <f t="shared" si="16"/>
        <v>-70.761815624999997</v>
      </c>
      <c r="CE21" s="53">
        <f t="shared" si="16"/>
        <v>-32.563856249999994</v>
      </c>
      <c r="CF21" s="53">
        <f t="shared" si="16"/>
        <v>-40.66340000000001</v>
      </c>
      <c r="CG21" s="53">
        <f t="shared" si="16"/>
        <v>-39.598671875000001</v>
      </c>
      <c r="CJ21" t="s">
        <v>239</v>
      </c>
    </row>
    <row r="22" spans="1:88" outlineLevel="1" x14ac:dyDescent="0.2">
      <c r="A22" s="17"/>
      <c r="B22" s="17" t="s">
        <v>70</v>
      </c>
      <c r="C22" s="18" t="s">
        <v>235</v>
      </c>
      <c r="D22" s="17">
        <v>250602891</v>
      </c>
      <c r="E22" s="18">
        <v>10</v>
      </c>
      <c r="F22" s="18">
        <v>32</v>
      </c>
      <c r="G22" s="18">
        <v>50</v>
      </c>
      <c r="I22" s="19">
        <f t="shared" si="0"/>
        <v>12.712025000000001</v>
      </c>
      <c r="J22" s="20">
        <f t="shared" si="1"/>
        <v>3.2464493795484585E-2</v>
      </c>
      <c r="K22" s="20">
        <f t="shared" si="2"/>
        <v>1.1394345805851058E-2</v>
      </c>
      <c r="L22" s="20">
        <f t="shared" si="3"/>
        <v>7.4719648784897699E-3</v>
      </c>
      <c r="M22" s="20">
        <f t="shared" si="4"/>
        <v>2.1070147989633529E-2</v>
      </c>
      <c r="N22" s="17">
        <f t="shared" si="5"/>
        <v>2855456</v>
      </c>
      <c r="O22" s="20">
        <v>16</v>
      </c>
      <c r="P22" s="21">
        <v>32735750</v>
      </c>
      <c r="Q22" s="21">
        <v>1022992.1875</v>
      </c>
      <c r="R22" s="21">
        <v>35066.4375</v>
      </c>
      <c r="S22" s="22">
        <v>8135696</v>
      </c>
      <c r="T22" s="22">
        <v>1872496</v>
      </c>
      <c r="U22" s="22">
        <v>982960</v>
      </c>
      <c r="V22" s="22">
        <v>5280240</v>
      </c>
      <c r="W22" s="23">
        <v>69.861821875000004</v>
      </c>
      <c r="X22" s="23">
        <v>72.258756250000005</v>
      </c>
      <c r="Y22" s="23">
        <v>34.406353125000003</v>
      </c>
      <c r="Z22" s="23">
        <v>41.679393750000003</v>
      </c>
      <c r="AA22" s="23">
        <v>40.627628125000001</v>
      </c>
      <c r="AB22" s="24">
        <v>4512.8</v>
      </c>
      <c r="AC22" s="24">
        <v>1818.14</v>
      </c>
      <c r="AD22" s="24">
        <v>13.875999999999999</v>
      </c>
      <c r="AE22" s="24">
        <v>11.776</v>
      </c>
      <c r="AG22" s="19" t="str">
        <f t="shared" si="6"/>
        <v>·</v>
      </c>
      <c r="AH22" s="20" t="str">
        <f t="shared" si="7"/>
        <v>·</v>
      </c>
      <c r="AI22" s="20" t="str">
        <f t="shared" si="8"/>
        <v>·</v>
      </c>
      <c r="AJ22" s="20" t="str">
        <f t="shared" si="9"/>
        <v>·</v>
      </c>
      <c r="AK22" s="20" t="str">
        <f t="shared" si="10"/>
        <v>·</v>
      </c>
      <c r="AL22" s="17" t="str">
        <f t="shared" si="11"/>
        <v/>
      </c>
      <c r="AM22" s="20">
        <v>16</v>
      </c>
      <c r="AN22" s="21"/>
      <c r="AO22" s="21"/>
      <c r="AP22" s="21"/>
      <c r="AQ22" s="22"/>
      <c r="AR22" s="22"/>
      <c r="AS22" s="22"/>
      <c r="AT22" s="22"/>
      <c r="AU22" s="23"/>
      <c r="AV22" s="23"/>
      <c r="AW22" s="23"/>
      <c r="AX22" s="23"/>
      <c r="AY22" s="23"/>
      <c r="AZ22" s="24"/>
      <c r="BA22" s="24"/>
      <c r="BB22" s="24"/>
      <c r="BC22" s="24"/>
      <c r="BE22" s="49" t="e">
        <f t="shared" si="12"/>
        <v>#VALUE!</v>
      </c>
      <c r="BF22" s="25" t="e">
        <f t="shared" si="13"/>
        <v>#DIV/0!</v>
      </c>
      <c r="BG22" s="25" t="e">
        <f t="shared" si="14"/>
        <v>#VALUE!</v>
      </c>
      <c r="BH22" s="25"/>
      <c r="BJ22" s="49"/>
      <c r="BK22" s="49"/>
      <c r="BL22" s="49"/>
      <c r="BM22" s="49"/>
      <c r="BN22" s="49"/>
      <c r="BP22" s="49"/>
      <c r="BQ22" s="49"/>
      <c r="BR22" s="49"/>
      <c r="BS22" s="49"/>
      <c r="BT22" s="49"/>
      <c r="BV22" s="53">
        <f t="shared" si="16"/>
        <v>-32735750</v>
      </c>
      <c r="BW22" s="53">
        <f t="shared" si="16"/>
        <v>-1022992.1875</v>
      </c>
      <c r="BX22" s="53">
        <f t="shared" si="16"/>
        <v>-35066.4375</v>
      </c>
      <c r="BY22" s="53">
        <f t="shared" si="16"/>
        <v>-8135696</v>
      </c>
      <c r="BZ22" s="53">
        <f t="shared" si="16"/>
        <v>-1872496</v>
      </c>
      <c r="CA22" s="53">
        <f t="shared" si="16"/>
        <v>-982960</v>
      </c>
      <c r="CB22" s="53">
        <f t="shared" si="16"/>
        <v>-5280240</v>
      </c>
      <c r="CC22" s="53">
        <f t="shared" si="16"/>
        <v>-69.861821875000004</v>
      </c>
      <c r="CD22" s="53">
        <f t="shared" si="16"/>
        <v>-72.258756250000005</v>
      </c>
      <c r="CE22" s="53">
        <f t="shared" si="16"/>
        <v>-34.406353125000003</v>
      </c>
      <c r="CF22" s="53">
        <f t="shared" si="16"/>
        <v>-41.679393750000003</v>
      </c>
      <c r="CG22" s="53">
        <f t="shared" si="16"/>
        <v>-40.627628125000001</v>
      </c>
      <c r="CJ22" t="s">
        <v>239</v>
      </c>
    </row>
    <row r="23" spans="1:88" outlineLevel="1" x14ac:dyDescent="0.2">
      <c r="A23" s="52"/>
      <c r="B23" s="52" t="s">
        <v>70</v>
      </c>
      <c r="C23" s="9" t="s">
        <v>236</v>
      </c>
      <c r="D23" s="52">
        <v>250602891</v>
      </c>
      <c r="E23" s="9">
        <v>10</v>
      </c>
      <c r="F23" s="9">
        <v>32</v>
      </c>
      <c r="G23" s="9">
        <v>50</v>
      </c>
      <c r="I23" s="10">
        <f t="shared" si="0"/>
        <v>22.567150000000002</v>
      </c>
      <c r="J23" s="11">
        <f t="shared" si="1"/>
        <v>5.7632918528461828E-2</v>
      </c>
      <c r="K23" s="11">
        <f t="shared" si="2"/>
        <v>1.532240902999E-2</v>
      </c>
      <c r="L23" s="11">
        <f t="shared" si="3"/>
        <v>1.1400028102628712E-2</v>
      </c>
      <c r="M23" s="11">
        <f t="shared" si="4"/>
        <v>4.2310509498471829E-2</v>
      </c>
      <c r="N23" s="52">
        <f t="shared" si="5"/>
        <v>3839840</v>
      </c>
      <c r="O23" s="11">
        <v>16</v>
      </c>
      <c r="P23" s="12">
        <v>32798890</v>
      </c>
      <c r="Q23" s="12">
        <v>1024965.3125</v>
      </c>
      <c r="R23" s="12">
        <v>36962.65625</v>
      </c>
      <c r="S23" s="13">
        <v>14442976</v>
      </c>
      <c r="T23" s="13">
        <v>2856880</v>
      </c>
      <c r="U23" s="13">
        <v>982960</v>
      </c>
      <c r="V23" s="13">
        <v>10603136</v>
      </c>
      <c r="W23" s="14">
        <v>70.888134374999979</v>
      </c>
      <c r="X23" s="14">
        <v>73.610840625000023</v>
      </c>
      <c r="Y23" s="14">
        <v>35.937868749999993</v>
      </c>
      <c r="Z23" s="14">
        <v>42.840609375000007</v>
      </c>
      <c r="AA23" s="14">
        <v>41.690131250000007</v>
      </c>
      <c r="AB23" s="15">
        <v>4440.0600000000004</v>
      </c>
      <c r="AC23" s="15">
        <v>1986.67</v>
      </c>
      <c r="AD23" s="15">
        <v>14.071999999999999</v>
      </c>
      <c r="AE23" s="15">
        <v>12.84</v>
      </c>
      <c r="AG23" s="10" t="str">
        <f t="shared" si="6"/>
        <v>·</v>
      </c>
      <c r="AH23" s="11" t="str">
        <f t="shared" si="7"/>
        <v>·</v>
      </c>
      <c r="AI23" s="11" t="str">
        <f t="shared" si="8"/>
        <v>·</v>
      </c>
      <c r="AJ23" s="11" t="str">
        <f t="shared" si="9"/>
        <v>·</v>
      </c>
      <c r="AK23" s="11" t="str">
        <f t="shared" si="10"/>
        <v>·</v>
      </c>
      <c r="AL23" s="52" t="str">
        <f t="shared" si="11"/>
        <v/>
      </c>
      <c r="AM23" s="11">
        <v>16</v>
      </c>
      <c r="AN23" s="12"/>
      <c r="AO23" s="12"/>
      <c r="AP23" s="12"/>
      <c r="AQ23" s="13"/>
      <c r="AR23" s="13"/>
      <c r="AS23" s="13"/>
      <c r="AT23" s="13"/>
      <c r="AU23" s="14"/>
      <c r="AV23" s="14"/>
      <c r="AW23" s="14"/>
      <c r="AX23" s="14"/>
      <c r="AY23" s="14"/>
      <c r="AZ23" s="15"/>
      <c r="BA23" s="15"/>
      <c r="BB23" s="15"/>
      <c r="BC23" s="15"/>
      <c r="BE23" s="50" t="e">
        <f t="shared" si="12"/>
        <v>#VALUE!</v>
      </c>
      <c r="BF23" s="16" t="e">
        <f t="shared" si="13"/>
        <v>#DIV/0!</v>
      </c>
      <c r="BG23" s="16" t="e">
        <f t="shared" si="14"/>
        <v>#VALUE!</v>
      </c>
      <c r="BH23" s="16"/>
      <c r="BJ23" s="50"/>
      <c r="BK23" s="50"/>
      <c r="BL23" s="50"/>
      <c r="BM23" s="50"/>
      <c r="BN23" s="50"/>
      <c r="BP23" s="50"/>
      <c r="BQ23" s="50"/>
      <c r="BR23" s="50"/>
      <c r="BS23" s="50"/>
      <c r="BT23" s="50"/>
      <c r="BV23" s="53">
        <f t="shared" si="16"/>
        <v>-32798890</v>
      </c>
      <c r="BW23" s="53">
        <f t="shared" si="16"/>
        <v>-1024965.3125</v>
      </c>
      <c r="BX23" s="53">
        <f t="shared" si="16"/>
        <v>-36962.65625</v>
      </c>
      <c r="BY23" s="53">
        <f t="shared" si="16"/>
        <v>-14442976</v>
      </c>
      <c r="BZ23" s="53">
        <f t="shared" si="16"/>
        <v>-2856880</v>
      </c>
      <c r="CA23" s="53">
        <f t="shared" si="16"/>
        <v>-982960</v>
      </c>
      <c r="CB23" s="53">
        <f t="shared" si="16"/>
        <v>-10603136</v>
      </c>
      <c r="CC23" s="53">
        <f t="shared" si="16"/>
        <v>-70.888134374999979</v>
      </c>
      <c r="CD23" s="53">
        <f t="shared" si="16"/>
        <v>-73.610840625000023</v>
      </c>
      <c r="CE23" s="53">
        <f t="shared" si="16"/>
        <v>-35.937868749999993</v>
      </c>
      <c r="CF23" s="53">
        <f t="shared" si="16"/>
        <v>-42.840609375000007</v>
      </c>
      <c r="CG23" s="53">
        <f t="shared" si="16"/>
        <v>-41.690131250000007</v>
      </c>
      <c r="CJ23" t="s">
        <v>239</v>
      </c>
    </row>
    <row r="24" spans="1:88" ht="16" outlineLevel="1" thickBot="1" x14ac:dyDescent="0.25">
      <c r="A24" s="36"/>
      <c r="B24" s="36" t="s">
        <v>70</v>
      </c>
      <c r="C24" s="37" t="s">
        <v>237</v>
      </c>
      <c r="D24" s="36">
        <v>250602891</v>
      </c>
      <c r="E24" s="37">
        <v>10</v>
      </c>
      <c r="F24" s="37">
        <v>32</v>
      </c>
      <c r="G24" s="37">
        <v>50</v>
      </c>
      <c r="I24" s="38">
        <f t="shared" si="0"/>
        <v>39.617637500000001</v>
      </c>
      <c r="J24" s="39">
        <f t="shared" si="1"/>
        <v>0.10117715681101221</v>
      </c>
      <c r="K24" s="39">
        <f t="shared" si="2"/>
        <v>2.5344895163240556E-2</v>
      </c>
      <c r="L24" s="39">
        <f t="shared" si="3"/>
        <v>1.7906609066213844E-2</v>
      </c>
      <c r="M24" s="39">
        <f t="shared" si="4"/>
        <v>7.5832261647771654E-2</v>
      </c>
      <c r="N24" s="36">
        <f t="shared" si="5"/>
        <v>6351504</v>
      </c>
      <c r="O24" s="39">
        <v>16</v>
      </c>
      <c r="P24" s="40">
        <v>31426902</v>
      </c>
      <c r="Q24" s="40">
        <v>982090.6875</v>
      </c>
      <c r="R24" s="40">
        <v>18270.09375</v>
      </c>
      <c r="S24" s="41">
        <v>25355288</v>
      </c>
      <c r="T24" s="41">
        <v>4487448</v>
      </c>
      <c r="U24" s="41">
        <v>1864056</v>
      </c>
      <c r="V24" s="41">
        <v>19003784</v>
      </c>
      <c r="W24" s="42">
        <v>71.730803125000023</v>
      </c>
      <c r="X24" s="42">
        <v>75.625753124999974</v>
      </c>
      <c r="Y24" s="42">
        <v>37.229371874999991</v>
      </c>
      <c r="Z24" s="42">
        <v>43.646537500000001</v>
      </c>
      <c r="AA24" s="42">
        <v>42.206934375000003</v>
      </c>
      <c r="AB24" s="43">
        <v>4394.66</v>
      </c>
      <c r="AC24" s="43">
        <v>2208.25</v>
      </c>
      <c r="AD24" s="43">
        <v>13.912000000000001</v>
      </c>
      <c r="AE24" s="43">
        <v>13.34</v>
      </c>
      <c r="AG24" s="38" t="str">
        <f t="shared" si="6"/>
        <v>·</v>
      </c>
      <c r="AH24" s="39" t="str">
        <f t="shared" si="7"/>
        <v>·</v>
      </c>
      <c r="AI24" s="39" t="str">
        <f t="shared" si="8"/>
        <v>·</v>
      </c>
      <c r="AJ24" s="39" t="str">
        <f t="shared" si="9"/>
        <v>·</v>
      </c>
      <c r="AK24" s="39" t="str">
        <f t="shared" si="10"/>
        <v>·</v>
      </c>
      <c r="AL24" s="36" t="str">
        <f t="shared" si="11"/>
        <v/>
      </c>
      <c r="AM24" s="39">
        <v>16</v>
      </c>
      <c r="AN24" s="40"/>
      <c r="AO24" s="40"/>
      <c r="AP24" s="40"/>
      <c r="AQ24" s="41"/>
      <c r="AR24" s="41"/>
      <c r="AS24" s="41"/>
      <c r="AT24" s="41"/>
      <c r="AU24" s="42"/>
      <c r="AV24" s="42"/>
      <c r="AW24" s="42"/>
      <c r="AX24" s="42"/>
      <c r="AY24" s="42"/>
      <c r="AZ24" s="43"/>
      <c r="BA24" s="43"/>
      <c r="BB24" s="43"/>
      <c r="BC24" s="43"/>
      <c r="BE24" s="44" t="e">
        <f t="shared" si="12"/>
        <v>#VALUE!</v>
      </c>
      <c r="BF24" s="45" t="e">
        <f t="shared" si="13"/>
        <v>#DIV/0!</v>
      </c>
      <c r="BG24" s="45" t="e">
        <f t="shared" si="14"/>
        <v>#VALUE!</v>
      </c>
      <c r="BH24" s="45"/>
      <c r="BJ24" s="44"/>
      <c r="BK24" s="44"/>
      <c r="BL24" s="44"/>
      <c r="BM24" s="44"/>
      <c r="BN24" s="44"/>
      <c r="BP24" s="44"/>
      <c r="BQ24" s="44"/>
      <c r="BR24" s="44"/>
      <c r="BS24" s="44"/>
      <c r="BT24" s="44"/>
      <c r="BV24" s="53">
        <f t="shared" si="16"/>
        <v>-31426902</v>
      </c>
      <c r="BW24" s="53">
        <f t="shared" si="16"/>
        <v>-982090.6875</v>
      </c>
      <c r="BX24" s="53">
        <f t="shared" si="16"/>
        <v>-18270.09375</v>
      </c>
      <c r="BY24" s="53">
        <f t="shared" si="16"/>
        <v>-25355288</v>
      </c>
      <c r="BZ24" s="53">
        <f t="shared" si="16"/>
        <v>-4487448</v>
      </c>
      <c r="CA24" s="53">
        <f t="shared" si="16"/>
        <v>-1864056</v>
      </c>
      <c r="CB24" s="53">
        <f t="shared" si="16"/>
        <v>-19003784</v>
      </c>
      <c r="CC24" s="53">
        <f t="shared" si="16"/>
        <v>-71.730803125000023</v>
      </c>
      <c r="CD24" s="53">
        <f t="shared" si="16"/>
        <v>-75.625753124999974</v>
      </c>
      <c r="CE24" s="53">
        <f t="shared" si="16"/>
        <v>-37.229371874999991</v>
      </c>
      <c r="CF24" s="53">
        <f t="shared" si="16"/>
        <v>-43.646537500000001</v>
      </c>
      <c r="CG24" s="53">
        <f t="shared" si="16"/>
        <v>-42.206934375000003</v>
      </c>
      <c r="CJ24" t="s">
        <v>239</v>
      </c>
    </row>
    <row r="25" spans="1:88" x14ac:dyDescent="0.2">
      <c r="A25" s="52" t="s">
        <v>240</v>
      </c>
      <c r="B25" s="52" t="s">
        <v>73</v>
      </c>
      <c r="C25" s="9" t="s">
        <v>232</v>
      </c>
      <c r="D25" s="52">
        <v>250294582</v>
      </c>
      <c r="E25" s="9">
        <v>10</v>
      </c>
      <c r="F25" s="9">
        <v>32</v>
      </c>
      <c r="G25" s="9">
        <v>30</v>
      </c>
      <c r="I25" s="10">
        <f t="shared" si="0"/>
        <v>4.3931100000000001</v>
      </c>
      <c r="J25" s="11">
        <f t="shared" si="1"/>
        <v>1.8721875489897739E-2</v>
      </c>
      <c r="K25" s="11">
        <f t="shared" si="2"/>
        <v>6.5750684127872973E-3</v>
      </c>
      <c r="L25" s="11">
        <f t="shared" si="3"/>
        <v>3.7261054256460093E-3</v>
      </c>
      <c r="M25" s="11">
        <f t="shared" si="4"/>
        <v>1.2146807077110442E-2</v>
      </c>
      <c r="N25" s="52">
        <f t="shared" si="5"/>
        <v>1645704</v>
      </c>
      <c r="O25" s="11">
        <v>16</v>
      </c>
      <c r="P25" s="12">
        <v>23156910</v>
      </c>
      <c r="Q25" s="12">
        <v>723653.4375</v>
      </c>
      <c r="R25" s="12">
        <v>14060.625</v>
      </c>
      <c r="S25" s="13">
        <v>4685984</v>
      </c>
      <c r="T25" s="13">
        <v>932624</v>
      </c>
      <c r="U25" s="13">
        <v>713080</v>
      </c>
      <c r="V25" s="13">
        <v>3040280</v>
      </c>
      <c r="W25" s="14">
        <v>66.208681249999998</v>
      </c>
      <c r="X25" s="14">
        <v>67.982928124999987</v>
      </c>
      <c r="Y25" s="14">
        <v>27.338421875000002</v>
      </c>
      <c r="Z25" s="14">
        <v>33.158384374999997</v>
      </c>
      <c r="AA25" s="14">
        <v>32.589131250000008</v>
      </c>
      <c r="AB25" s="15">
        <v>1552.8</v>
      </c>
      <c r="AC25" s="15">
        <v>1463.43</v>
      </c>
      <c r="AD25" s="15">
        <v>13.012</v>
      </c>
      <c r="AE25" s="15">
        <v>10.776</v>
      </c>
      <c r="AG25" s="10" t="str">
        <f t="shared" si="6"/>
        <v>·</v>
      </c>
      <c r="AH25" s="11" t="str">
        <f t="shared" si="7"/>
        <v>·</v>
      </c>
      <c r="AI25" s="11" t="str">
        <f t="shared" si="8"/>
        <v>·</v>
      </c>
      <c r="AJ25" s="11" t="str">
        <f t="shared" si="9"/>
        <v>·</v>
      </c>
      <c r="AK25" s="11" t="str">
        <f t="shared" si="10"/>
        <v>·</v>
      </c>
      <c r="AL25" s="52" t="str">
        <f t="shared" si="11"/>
        <v/>
      </c>
      <c r="AM25" s="11">
        <v>16</v>
      </c>
      <c r="AN25" s="12"/>
      <c r="AO25" s="12"/>
      <c r="AP25" s="12"/>
      <c r="AQ25" s="13"/>
      <c r="AR25" s="13"/>
      <c r="AS25" s="13"/>
      <c r="AT25" s="13"/>
      <c r="AU25" s="14"/>
      <c r="AV25" s="14"/>
      <c r="AW25" s="14"/>
      <c r="AX25" s="14"/>
      <c r="AY25" s="14"/>
      <c r="AZ25" s="15"/>
      <c r="BA25" s="15"/>
      <c r="BB25" s="15"/>
      <c r="BC25" s="15"/>
      <c r="BE25" s="50" t="e">
        <f t="shared" si="12"/>
        <v>#VALUE!</v>
      </c>
      <c r="BF25" s="16" t="e">
        <f t="shared" si="13"/>
        <v>#DIV/0!</v>
      </c>
      <c r="BG25" s="16" t="e">
        <f t="shared" si="14"/>
        <v>#VALUE!</v>
      </c>
      <c r="BH25" s="16" t="e">
        <f t="array" ref="BH25">AVERAGE(AL25:AL29/AQ25:AQ29) - AVERAGE(N25:N29/S25:S29)</f>
        <v>#VALUE!</v>
      </c>
      <c r="BJ25" s="50" t="str">
        <f>IF( OR(ISBLANK(N25:N29),ISBLANK(AL25:AL29), ISBLANK(W25:W29),ISBLANK(AU25:AU29)), "·", bdRateExtend( N25:N29,W25:W29, AL25:AL29,AU25:AU29))</f>
        <v>·</v>
      </c>
      <c r="BK25" s="50" t="str">
        <f>IF( OR(ISBLANK(N25:N29),ISBLANK(AL25:AL29), ISBLANK(X25:X29),ISBLANK(AV25:AV29)), "·", bdRateExtend( N25:N29,X25:X29, AL25:AL29,AV25:AV29))</f>
        <v>·</v>
      </c>
      <c r="BL25" s="50" t="str">
        <f>IF( OR(ISBLANK(V25:V29),ISBLANK(AT25:AT29), ISBLANK(Y25:Y29),ISBLANK(AW25:AW29)), "·", bdRateExtend( V25:V29,Y25:Y29, AT25:AT29,AW25:AW29))</f>
        <v>·</v>
      </c>
      <c r="BM25" s="50" t="str">
        <f>IF( OR(ISBLANK(V25:V29),ISBLANK(AT25:AT29), ISBLANK(Z25:Z29),ISBLANK(AX25:AX29)), "·", bdRateExtend( V25:V29,Z25:Z29, AT25:AT29,AX25:AX29))</f>
        <v>·</v>
      </c>
      <c r="BN25" s="50" t="str">
        <f>IF( OR(ISBLANK(V25:V29),ISBLANK(AT25:AT29), ISBLANK(AA25:AA29),ISBLANK(AY25:AY29)), "·", bdRateExtend( V25:V29,AA25:AA29, AT25:AT29,AY25:AY29))</f>
        <v>·</v>
      </c>
      <c r="BP25" s="50" t="str">
        <f>IF( OR(ISBLANK(S25:S29),ISBLANK(AQ25:AQ29), ISBLANK(W25:W29),ISBLANK(AU25:AU29)), "·", bdRateExtend( S25:S29,W25:W29, AQ25:AQ29,AU25:AU29))</f>
        <v>·</v>
      </c>
      <c r="BQ25" s="50" t="str">
        <f>IF( OR(ISBLANK(S25:S29),ISBLANK(AQ25:AQ29), ISBLANK(X25:X29),ISBLANK(AV25:AV29)), "·", bdRateExtend( S25:S29,X25:X29, AQ25:AQ29,AV25:AV29))</f>
        <v>·</v>
      </c>
      <c r="BR25" s="50" t="str">
        <f>IF( OR(ISBLANK(S25:S29),ISBLANK(AQ25:AQ29), ISBLANK(Y25:Y29),ISBLANK(AW25:AW29)), "·", bdRateExtend( S25:S29,Y25:Y29, AQ25:AQ29,AW25:AW29))</f>
        <v>·</v>
      </c>
      <c r="BS25" s="50" t="str">
        <f>IF( OR(ISBLANK(S25:S29),ISBLANK(AQ25:AQ29), ISBLANK(Z25:Z29),ISBLANK(AX25:AX29)), "·", bdRateExtend( S25:S29,Z25:Z29, AQ25:AQ29,AX25:AX29))</f>
        <v>·</v>
      </c>
      <c r="BT25" s="50" t="str">
        <f>IF( OR(ISBLANK(S25:S29),ISBLANK(AQ25:AQ29), ISBLANK(AA25:AA29),ISBLANK(AY25:AY29)), "·", bdRateExtend( S25:S29,AA25:AA29, AQ25:AQ29,AY25:AY29))</f>
        <v>·</v>
      </c>
      <c r="BV25" s="53">
        <f t="shared" si="16"/>
        <v>-23156910</v>
      </c>
      <c r="BW25" s="53">
        <f t="shared" si="16"/>
        <v>-723653.4375</v>
      </c>
      <c r="BX25" s="53">
        <f t="shared" si="16"/>
        <v>-14060.625</v>
      </c>
      <c r="BY25" s="53">
        <f t="shared" si="16"/>
        <v>-4685984</v>
      </c>
      <c r="BZ25" s="53">
        <f t="shared" si="16"/>
        <v>-932624</v>
      </c>
      <c r="CA25" s="53">
        <f t="shared" si="16"/>
        <v>-713080</v>
      </c>
      <c r="CB25" s="53">
        <f t="shared" si="16"/>
        <v>-3040280</v>
      </c>
      <c r="CC25" s="53">
        <f t="shared" si="16"/>
        <v>-66.208681249999998</v>
      </c>
      <c r="CD25" s="53">
        <f t="shared" si="16"/>
        <v>-67.982928124999987</v>
      </c>
      <c r="CE25" s="53">
        <f t="shared" si="16"/>
        <v>-27.338421875000002</v>
      </c>
      <c r="CF25" s="53">
        <f t="shared" si="16"/>
        <v>-33.158384374999997</v>
      </c>
      <c r="CG25" s="53">
        <f t="shared" si="16"/>
        <v>-32.589131250000008</v>
      </c>
      <c r="CJ25" t="s">
        <v>241</v>
      </c>
    </row>
    <row r="26" spans="1:88" outlineLevel="1" x14ac:dyDescent="0.2">
      <c r="A26" s="17"/>
      <c r="B26" s="17" t="s">
        <v>73</v>
      </c>
      <c r="C26" s="18" t="s">
        <v>234</v>
      </c>
      <c r="D26" s="17">
        <v>250294582</v>
      </c>
      <c r="E26" s="18">
        <v>10</v>
      </c>
      <c r="F26" s="18">
        <v>32</v>
      </c>
      <c r="G26" s="18">
        <v>30</v>
      </c>
      <c r="I26" s="19">
        <f t="shared" si="0"/>
        <v>7.5271650000000001</v>
      </c>
      <c r="J26" s="20">
        <f t="shared" si="1"/>
        <v>3.2078105470137584E-2</v>
      </c>
      <c r="K26" s="20">
        <f t="shared" si="2"/>
        <v>8.1015577077093899E-3</v>
      </c>
      <c r="L26" s="20">
        <f t="shared" si="3"/>
        <v>5.2525947205681028E-3</v>
      </c>
      <c r="M26" s="20">
        <f t="shared" si="4"/>
        <v>2.3976547762428194E-2</v>
      </c>
      <c r="N26" s="17">
        <f t="shared" si="5"/>
        <v>2027776</v>
      </c>
      <c r="O26" s="20">
        <v>16</v>
      </c>
      <c r="P26" s="21">
        <v>24564301</v>
      </c>
      <c r="Q26" s="21">
        <v>767634.40625</v>
      </c>
      <c r="R26" s="21">
        <v>17714.59375</v>
      </c>
      <c r="S26" s="22">
        <v>8028976</v>
      </c>
      <c r="T26" s="22">
        <v>1314696</v>
      </c>
      <c r="U26" s="22">
        <v>713080</v>
      </c>
      <c r="V26" s="22">
        <v>6001200</v>
      </c>
      <c r="W26" s="23">
        <v>67.941556250000005</v>
      </c>
      <c r="X26" s="23">
        <v>69.941896874999998</v>
      </c>
      <c r="Y26" s="23">
        <v>29.720368749999992</v>
      </c>
      <c r="Z26" s="23">
        <v>34.340334374999998</v>
      </c>
      <c r="AA26" s="23">
        <v>33.888184375000009</v>
      </c>
      <c r="AB26" s="24">
        <v>1542.54</v>
      </c>
      <c r="AC26" s="24">
        <v>1695.48</v>
      </c>
      <c r="AD26" s="24">
        <v>13.148</v>
      </c>
      <c r="AE26" s="24">
        <v>11.444000000000001</v>
      </c>
      <c r="AG26" s="19" t="str">
        <f t="shared" si="6"/>
        <v>·</v>
      </c>
      <c r="AH26" s="20" t="str">
        <f t="shared" si="7"/>
        <v>·</v>
      </c>
      <c r="AI26" s="20" t="str">
        <f t="shared" si="8"/>
        <v>·</v>
      </c>
      <c r="AJ26" s="20" t="str">
        <f t="shared" si="9"/>
        <v>·</v>
      </c>
      <c r="AK26" s="20" t="str">
        <f t="shared" si="10"/>
        <v>·</v>
      </c>
      <c r="AL26" s="17" t="str">
        <f t="shared" si="11"/>
        <v/>
      </c>
      <c r="AM26" s="20">
        <v>16</v>
      </c>
      <c r="AN26" s="21"/>
      <c r="AO26" s="21"/>
      <c r="AP26" s="21"/>
      <c r="AQ26" s="22"/>
      <c r="AR26" s="22"/>
      <c r="AS26" s="22"/>
      <c r="AT26" s="22"/>
      <c r="AU26" s="23"/>
      <c r="AV26" s="23"/>
      <c r="AW26" s="23"/>
      <c r="AX26" s="23"/>
      <c r="AY26" s="23"/>
      <c r="AZ26" s="24"/>
      <c r="BA26" s="24"/>
      <c r="BB26" s="24"/>
      <c r="BC26" s="24"/>
      <c r="BE26" s="49" t="e">
        <f t="shared" si="12"/>
        <v>#VALUE!</v>
      </c>
      <c r="BF26" s="25" t="e">
        <f t="shared" si="13"/>
        <v>#DIV/0!</v>
      </c>
      <c r="BG26" s="25" t="e">
        <f t="shared" si="14"/>
        <v>#VALUE!</v>
      </c>
      <c r="BH26" s="25"/>
      <c r="BJ26" s="49"/>
      <c r="BK26" s="49"/>
      <c r="BL26" s="49"/>
      <c r="BM26" s="49"/>
      <c r="BN26" s="49"/>
      <c r="BP26" s="49"/>
      <c r="BQ26" s="49"/>
      <c r="BR26" s="49"/>
      <c r="BS26" s="49"/>
      <c r="BT26" s="49"/>
      <c r="BV26" s="53">
        <f t="shared" si="16"/>
        <v>-24564301</v>
      </c>
      <c r="BW26" s="53">
        <f t="shared" si="16"/>
        <v>-767634.40625</v>
      </c>
      <c r="BX26" s="53">
        <f t="shared" si="16"/>
        <v>-17714.59375</v>
      </c>
      <c r="BY26" s="53">
        <f t="shared" si="16"/>
        <v>-8028976</v>
      </c>
      <c r="BZ26" s="53">
        <f t="shared" si="16"/>
        <v>-1314696</v>
      </c>
      <c r="CA26" s="53">
        <f t="shared" si="16"/>
        <v>-713080</v>
      </c>
      <c r="CB26" s="53">
        <f t="shared" si="16"/>
        <v>-6001200</v>
      </c>
      <c r="CC26" s="53">
        <f t="shared" si="16"/>
        <v>-67.941556250000005</v>
      </c>
      <c r="CD26" s="53">
        <f t="shared" si="16"/>
        <v>-69.941896874999998</v>
      </c>
      <c r="CE26" s="53">
        <f t="shared" si="16"/>
        <v>-29.720368749999992</v>
      </c>
      <c r="CF26" s="53">
        <f t="shared" si="16"/>
        <v>-34.340334374999998</v>
      </c>
      <c r="CG26" s="53">
        <f t="shared" si="16"/>
        <v>-33.888184375000009</v>
      </c>
      <c r="CJ26" t="s">
        <v>241</v>
      </c>
    </row>
    <row r="27" spans="1:88" outlineLevel="1" x14ac:dyDescent="0.2">
      <c r="A27" s="52"/>
      <c r="B27" s="52" t="s">
        <v>73</v>
      </c>
      <c r="C27" s="9" t="s">
        <v>235</v>
      </c>
      <c r="D27" s="52">
        <v>250294582</v>
      </c>
      <c r="E27" s="9">
        <v>10</v>
      </c>
      <c r="F27" s="9">
        <v>32</v>
      </c>
      <c r="G27" s="9">
        <v>30</v>
      </c>
      <c r="I27" s="10">
        <f t="shared" si="0"/>
        <v>13.24686</v>
      </c>
      <c r="J27" s="11">
        <f t="shared" si="1"/>
        <v>5.6453415359985701E-2</v>
      </c>
      <c r="K27" s="11">
        <f t="shared" si="2"/>
        <v>1.0397987759878878E-2</v>
      </c>
      <c r="L27" s="11">
        <f t="shared" si="3"/>
        <v>7.5490247727375897E-3</v>
      </c>
      <c r="M27" s="11">
        <f t="shared" si="4"/>
        <v>4.6055427600106821E-2</v>
      </c>
      <c r="N27" s="52">
        <f t="shared" si="5"/>
        <v>2602560</v>
      </c>
      <c r="O27" s="11">
        <v>16</v>
      </c>
      <c r="P27" s="12">
        <v>24852477</v>
      </c>
      <c r="Q27" s="12">
        <v>776639.90625</v>
      </c>
      <c r="R27" s="12">
        <v>18688.75</v>
      </c>
      <c r="S27" s="13">
        <v>14129984</v>
      </c>
      <c r="T27" s="13">
        <v>1889480</v>
      </c>
      <c r="U27" s="13">
        <v>713080</v>
      </c>
      <c r="V27" s="13">
        <v>11527424</v>
      </c>
      <c r="W27" s="14">
        <v>69.263743750000003</v>
      </c>
      <c r="X27" s="14">
        <v>71.649234374999978</v>
      </c>
      <c r="Y27" s="14">
        <v>32.231909375000008</v>
      </c>
      <c r="Z27" s="14">
        <v>35.582793749999993</v>
      </c>
      <c r="AA27" s="14">
        <v>35.206625000000003</v>
      </c>
      <c r="AB27" s="15">
        <v>1539.13</v>
      </c>
      <c r="AC27" s="15">
        <v>1819.62</v>
      </c>
      <c r="AD27" s="15">
        <v>12.9</v>
      </c>
      <c r="AE27" s="15">
        <v>12.648</v>
      </c>
      <c r="AG27" s="10" t="str">
        <f t="shared" si="6"/>
        <v>·</v>
      </c>
      <c r="AH27" s="11" t="str">
        <f t="shared" si="7"/>
        <v>·</v>
      </c>
      <c r="AI27" s="11" t="str">
        <f t="shared" si="8"/>
        <v>·</v>
      </c>
      <c r="AJ27" s="11" t="str">
        <f t="shared" si="9"/>
        <v>·</v>
      </c>
      <c r="AK27" s="11" t="str">
        <f t="shared" si="10"/>
        <v>·</v>
      </c>
      <c r="AL27" s="52" t="str">
        <f t="shared" si="11"/>
        <v/>
      </c>
      <c r="AM27" s="11">
        <v>16</v>
      </c>
      <c r="AN27" s="12"/>
      <c r="AO27" s="12"/>
      <c r="AP27" s="12"/>
      <c r="AQ27" s="13"/>
      <c r="AR27" s="13"/>
      <c r="AS27" s="13"/>
      <c r="AT27" s="13"/>
      <c r="AU27" s="14"/>
      <c r="AV27" s="14"/>
      <c r="AW27" s="14"/>
      <c r="AX27" s="14"/>
      <c r="AY27" s="14"/>
      <c r="AZ27" s="15"/>
      <c r="BA27" s="15"/>
      <c r="BB27" s="15"/>
      <c r="BC27" s="15"/>
      <c r="BE27" s="50" t="e">
        <f t="shared" si="12"/>
        <v>#VALUE!</v>
      </c>
      <c r="BF27" s="16" t="e">
        <f t="shared" si="13"/>
        <v>#DIV/0!</v>
      </c>
      <c r="BG27" s="16" t="e">
        <f t="shared" si="14"/>
        <v>#VALUE!</v>
      </c>
      <c r="BH27" s="16"/>
      <c r="BJ27" s="50"/>
      <c r="BK27" s="50"/>
      <c r="BL27" s="50"/>
      <c r="BM27" s="50"/>
      <c r="BN27" s="50"/>
      <c r="BP27" s="50"/>
      <c r="BQ27" s="50"/>
      <c r="BR27" s="50"/>
      <c r="BS27" s="50"/>
      <c r="BT27" s="50"/>
      <c r="BV27" s="53">
        <f t="shared" si="16"/>
        <v>-24852477</v>
      </c>
      <c r="BW27" s="53">
        <f t="shared" si="16"/>
        <v>-776639.90625</v>
      </c>
      <c r="BX27" s="53">
        <f t="shared" si="16"/>
        <v>-18688.75</v>
      </c>
      <c r="BY27" s="53">
        <f t="shared" si="16"/>
        <v>-14129984</v>
      </c>
      <c r="BZ27" s="53">
        <f t="shared" si="16"/>
        <v>-1889480</v>
      </c>
      <c r="CA27" s="53">
        <f t="shared" si="16"/>
        <v>-713080</v>
      </c>
      <c r="CB27" s="53">
        <f t="shared" si="16"/>
        <v>-11527424</v>
      </c>
      <c r="CC27" s="53">
        <f t="shared" si="16"/>
        <v>-69.263743750000003</v>
      </c>
      <c r="CD27" s="53">
        <f t="shared" si="16"/>
        <v>-71.649234374999978</v>
      </c>
      <c r="CE27" s="53">
        <f t="shared" si="16"/>
        <v>-32.231909375000008</v>
      </c>
      <c r="CF27" s="53">
        <f t="shared" si="16"/>
        <v>-35.582793749999993</v>
      </c>
      <c r="CG27" s="53">
        <f t="shared" si="16"/>
        <v>-35.206625000000003</v>
      </c>
      <c r="CJ27" t="s">
        <v>241</v>
      </c>
    </row>
    <row r="28" spans="1:88" outlineLevel="1" x14ac:dyDescent="0.2">
      <c r="A28" s="17"/>
      <c r="B28" s="17" t="s">
        <v>73</v>
      </c>
      <c r="C28" s="18" t="s">
        <v>236</v>
      </c>
      <c r="D28" s="17">
        <v>250294582</v>
      </c>
      <c r="E28" s="18">
        <v>10</v>
      </c>
      <c r="F28" s="18">
        <v>32</v>
      </c>
      <c r="G28" s="18">
        <v>30</v>
      </c>
      <c r="I28" s="19">
        <f t="shared" si="0"/>
        <v>24.604582499999999</v>
      </c>
      <c r="J28" s="20">
        <f t="shared" si="1"/>
        <v>0.10485599724248126</v>
      </c>
      <c r="K28" s="20">
        <f t="shared" si="2"/>
        <v>1.4255106808504548E-2</v>
      </c>
      <c r="L28" s="20">
        <f t="shared" si="3"/>
        <v>1.1406143821363261E-2</v>
      </c>
      <c r="M28" s="20">
        <f t="shared" si="4"/>
        <v>9.0600890433976719E-2</v>
      </c>
      <c r="N28" s="17">
        <f t="shared" si="5"/>
        <v>3567976</v>
      </c>
      <c r="O28" s="20">
        <v>16</v>
      </c>
      <c r="P28" s="21">
        <v>25521142</v>
      </c>
      <c r="Q28" s="21">
        <v>797535.6875</v>
      </c>
      <c r="R28" s="21">
        <v>20922.53125</v>
      </c>
      <c r="S28" s="22">
        <v>26244888</v>
      </c>
      <c r="T28" s="22">
        <v>2854896</v>
      </c>
      <c r="U28" s="22">
        <v>713080</v>
      </c>
      <c r="V28" s="22">
        <v>22676912</v>
      </c>
      <c r="W28" s="23">
        <v>70.432471875000005</v>
      </c>
      <c r="X28" s="23">
        <v>72.970199999999977</v>
      </c>
      <c r="Y28" s="23">
        <v>34.942618749999987</v>
      </c>
      <c r="Z28" s="23">
        <v>37.370328125</v>
      </c>
      <c r="AA28" s="23">
        <v>36.938165625000003</v>
      </c>
      <c r="AB28" s="24">
        <v>1547.28</v>
      </c>
      <c r="AC28" s="24">
        <v>2058.37</v>
      </c>
      <c r="AD28" s="24">
        <v>12.875999999999999</v>
      </c>
      <c r="AE28" s="24">
        <v>14.836</v>
      </c>
      <c r="AG28" s="19" t="str">
        <f t="shared" si="6"/>
        <v>·</v>
      </c>
      <c r="AH28" s="20" t="str">
        <f t="shared" si="7"/>
        <v>·</v>
      </c>
      <c r="AI28" s="20" t="str">
        <f t="shared" si="8"/>
        <v>·</v>
      </c>
      <c r="AJ28" s="20" t="str">
        <f t="shared" si="9"/>
        <v>·</v>
      </c>
      <c r="AK28" s="20" t="str">
        <f t="shared" si="10"/>
        <v>·</v>
      </c>
      <c r="AL28" s="17" t="str">
        <f t="shared" si="11"/>
        <v/>
      </c>
      <c r="AM28" s="20">
        <v>16</v>
      </c>
      <c r="AN28" s="21"/>
      <c r="AO28" s="21"/>
      <c r="AP28" s="21"/>
      <c r="AQ28" s="22"/>
      <c r="AR28" s="22"/>
      <c r="AS28" s="22"/>
      <c r="AT28" s="22"/>
      <c r="AU28" s="23"/>
      <c r="AV28" s="23"/>
      <c r="AW28" s="23"/>
      <c r="AX28" s="23"/>
      <c r="AY28" s="23"/>
      <c r="AZ28" s="24"/>
      <c r="BA28" s="24"/>
      <c r="BB28" s="24"/>
      <c r="BC28" s="24"/>
      <c r="BE28" s="49" t="e">
        <f t="shared" si="12"/>
        <v>#VALUE!</v>
      </c>
      <c r="BF28" s="25" t="e">
        <f t="shared" si="13"/>
        <v>#DIV/0!</v>
      </c>
      <c r="BG28" s="25" t="e">
        <f t="shared" si="14"/>
        <v>#VALUE!</v>
      </c>
      <c r="BH28" s="25"/>
      <c r="BJ28" s="49"/>
      <c r="BK28" s="49"/>
      <c r="BL28" s="49"/>
      <c r="BM28" s="49"/>
      <c r="BN28" s="49"/>
      <c r="BP28" s="49"/>
      <c r="BQ28" s="49"/>
      <c r="BR28" s="49"/>
      <c r="BS28" s="49"/>
      <c r="BT28" s="49"/>
      <c r="BV28" s="53">
        <f t="shared" si="16"/>
        <v>-25521142</v>
      </c>
      <c r="BW28" s="53">
        <f t="shared" si="16"/>
        <v>-797535.6875</v>
      </c>
      <c r="BX28" s="53">
        <f t="shared" si="16"/>
        <v>-20922.53125</v>
      </c>
      <c r="BY28" s="53">
        <f t="shared" si="16"/>
        <v>-26244888</v>
      </c>
      <c r="BZ28" s="53">
        <f t="shared" si="16"/>
        <v>-2854896</v>
      </c>
      <c r="CA28" s="53">
        <f t="shared" si="16"/>
        <v>-713080</v>
      </c>
      <c r="CB28" s="53">
        <f t="shared" si="16"/>
        <v>-22676912</v>
      </c>
      <c r="CC28" s="53">
        <f t="shared" si="16"/>
        <v>-70.432471875000005</v>
      </c>
      <c r="CD28" s="53">
        <f t="shared" si="16"/>
        <v>-72.970199999999977</v>
      </c>
      <c r="CE28" s="53">
        <f t="shared" si="16"/>
        <v>-34.942618749999987</v>
      </c>
      <c r="CF28" s="53">
        <f t="shared" si="16"/>
        <v>-37.370328125</v>
      </c>
      <c r="CG28" s="53">
        <f t="shared" si="16"/>
        <v>-36.938165625000003</v>
      </c>
      <c r="CJ28" t="s">
        <v>241</v>
      </c>
    </row>
    <row r="29" spans="1:88" ht="16" outlineLevel="1" thickBot="1" x14ac:dyDescent="0.25">
      <c r="A29" s="26"/>
      <c r="B29" s="26" t="s">
        <v>73</v>
      </c>
      <c r="C29" s="27" t="s">
        <v>237</v>
      </c>
      <c r="D29" s="26">
        <v>250294582</v>
      </c>
      <c r="E29" s="27">
        <v>10</v>
      </c>
      <c r="F29" s="27">
        <v>32</v>
      </c>
      <c r="G29" s="27">
        <v>30</v>
      </c>
      <c r="I29" s="28">
        <f t="shared" si="0"/>
        <v>44.305185000000002</v>
      </c>
      <c r="J29" s="29">
        <f t="shared" si="1"/>
        <v>0.18881297238787215</v>
      </c>
      <c r="K29" s="29">
        <f t="shared" si="2"/>
        <v>2.2993258399816262E-2</v>
      </c>
      <c r="L29" s="29">
        <f t="shared" si="3"/>
        <v>1.7641772205840237E-2</v>
      </c>
      <c r="M29" s="29">
        <f t="shared" si="4"/>
        <v>0.16581971398805589</v>
      </c>
      <c r="N29" s="26">
        <f t="shared" si="5"/>
        <v>5755088</v>
      </c>
      <c r="O29" s="29">
        <v>16</v>
      </c>
      <c r="P29" s="30">
        <v>24571358</v>
      </c>
      <c r="Q29" s="30">
        <v>767854.9375</v>
      </c>
      <c r="R29" s="30">
        <v>9744.125</v>
      </c>
      <c r="S29" s="31">
        <v>47258864</v>
      </c>
      <c r="T29" s="31">
        <v>4415640</v>
      </c>
      <c r="U29" s="31">
        <v>1339448</v>
      </c>
      <c r="V29" s="31">
        <v>41503776</v>
      </c>
      <c r="W29" s="32">
        <v>71.152737500000001</v>
      </c>
      <c r="X29" s="32">
        <v>74.9055125</v>
      </c>
      <c r="Y29" s="32">
        <v>37.394256249999998</v>
      </c>
      <c r="Z29" s="32">
        <v>39.396478125000002</v>
      </c>
      <c r="AA29" s="32">
        <v>38.749353125000013</v>
      </c>
      <c r="AB29" s="33">
        <v>1547.88</v>
      </c>
      <c r="AC29" s="33">
        <v>2387.44</v>
      </c>
      <c r="AD29" s="33">
        <v>11.484</v>
      </c>
      <c r="AE29" s="33">
        <v>13.651999999999999</v>
      </c>
      <c r="AG29" s="28" t="str">
        <f t="shared" si="6"/>
        <v>·</v>
      </c>
      <c r="AH29" s="29" t="str">
        <f t="shared" si="7"/>
        <v>·</v>
      </c>
      <c r="AI29" s="29" t="str">
        <f t="shared" si="8"/>
        <v>·</v>
      </c>
      <c r="AJ29" s="29" t="str">
        <f t="shared" si="9"/>
        <v>·</v>
      </c>
      <c r="AK29" s="29" t="str">
        <f t="shared" si="10"/>
        <v>·</v>
      </c>
      <c r="AL29" s="26" t="str">
        <f t="shared" si="11"/>
        <v/>
      </c>
      <c r="AM29" s="29">
        <v>16</v>
      </c>
      <c r="AN29" s="30"/>
      <c r="AO29" s="30"/>
      <c r="AP29" s="30"/>
      <c r="AQ29" s="31"/>
      <c r="AR29" s="31"/>
      <c r="AS29" s="31"/>
      <c r="AT29" s="31"/>
      <c r="AU29" s="32"/>
      <c r="AV29" s="32"/>
      <c r="AW29" s="32"/>
      <c r="AX29" s="32"/>
      <c r="AY29" s="32"/>
      <c r="AZ29" s="33"/>
      <c r="BA29" s="33"/>
      <c r="BB29" s="33"/>
      <c r="BC29" s="33"/>
      <c r="BE29" s="34" t="e">
        <f t="shared" si="12"/>
        <v>#VALUE!</v>
      </c>
      <c r="BF29" s="35" t="e">
        <f t="shared" si="13"/>
        <v>#DIV/0!</v>
      </c>
      <c r="BG29" s="35" t="e">
        <f t="shared" si="14"/>
        <v>#VALUE!</v>
      </c>
      <c r="BH29" s="35"/>
      <c r="BJ29" s="34"/>
      <c r="BK29" s="34"/>
      <c r="BL29" s="34"/>
      <c r="BM29" s="34"/>
      <c r="BN29" s="34"/>
      <c r="BP29" s="34"/>
      <c r="BQ29" s="34"/>
      <c r="BR29" s="34"/>
      <c r="BS29" s="34"/>
      <c r="BT29" s="34"/>
      <c r="BV29" s="53">
        <f t="shared" si="16"/>
        <v>-24571358</v>
      </c>
      <c r="BW29" s="53">
        <f t="shared" si="16"/>
        <v>-767854.9375</v>
      </c>
      <c r="BX29" s="53">
        <f t="shared" si="16"/>
        <v>-9744.125</v>
      </c>
      <c r="BY29" s="53">
        <f t="shared" si="16"/>
        <v>-47258864</v>
      </c>
      <c r="BZ29" s="53">
        <f t="shared" si="16"/>
        <v>-4415640</v>
      </c>
      <c r="CA29" s="53">
        <f t="shared" si="16"/>
        <v>-1339448</v>
      </c>
      <c r="CB29" s="53">
        <f t="shared" si="16"/>
        <v>-41503776</v>
      </c>
      <c r="CC29" s="53">
        <f t="shared" si="16"/>
        <v>-71.152737500000001</v>
      </c>
      <c r="CD29" s="53">
        <f t="shared" si="16"/>
        <v>-74.9055125</v>
      </c>
      <c r="CE29" s="53">
        <f t="shared" si="16"/>
        <v>-37.394256249999998</v>
      </c>
      <c r="CF29" s="53">
        <f t="shared" si="16"/>
        <v>-39.396478125000002</v>
      </c>
      <c r="CG29" s="53">
        <f t="shared" si="16"/>
        <v>-38.749353125000013</v>
      </c>
      <c r="CJ29" t="s">
        <v>241</v>
      </c>
    </row>
    <row r="30" spans="1:88" x14ac:dyDescent="0.2">
      <c r="A30" s="17" t="s">
        <v>242</v>
      </c>
      <c r="B30" s="17" t="s">
        <v>77</v>
      </c>
      <c r="C30" s="18" t="s">
        <v>232</v>
      </c>
      <c r="D30" s="17">
        <v>375422539</v>
      </c>
      <c r="E30" s="18">
        <v>11</v>
      </c>
      <c r="F30" s="18">
        <v>32</v>
      </c>
      <c r="G30" s="18">
        <v>30</v>
      </c>
      <c r="I30" s="19">
        <f t="shared" si="0"/>
        <v>5.7321524999999998</v>
      </c>
      <c r="J30" s="20">
        <f t="shared" si="1"/>
        <v>1.6286438252445998E-2</v>
      </c>
      <c r="K30" s="20">
        <f t="shared" si="2"/>
        <v>9.9774936528251434E-3</v>
      </c>
      <c r="L30" s="20">
        <f t="shared" si="3"/>
        <v>6.1752286002199775E-3</v>
      </c>
      <c r="M30" s="20">
        <f t="shared" si="4"/>
        <v>6.3089445996208551E-3</v>
      </c>
      <c r="N30" s="17">
        <f t="shared" si="5"/>
        <v>3745776</v>
      </c>
      <c r="O30" s="20">
        <v>16</v>
      </c>
      <c r="P30" s="21">
        <v>84258322</v>
      </c>
      <c r="Q30" s="21">
        <v>2633072.5625</v>
      </c>
      <c r="R30" s="21">
        <v>32425.28125</v>
      </c>
      <c r="S30" s="22">
        <v>6114296</v>
      </c>
      <c r="T30" s="22">
        <v>2318320</v>
      </c>
      <c r="U30" s="22">
        <v>1427456</v>
      </c>
      <c r="V30" s="22">
        <v>2368520</v>
      </c>
      <c r="W30" s="23">
        <v>73.460731249999995</v>
      </c>
      <c r="X30" s="23">
        <v>75.713606250000012</v>
      </c>
      <c r="Y30" s="23">
        <v>34.736618750000012</v>
      </c>
      <c r="Z30" s="23">
        <v>42.165665625000003</v>
      </c>
      <c r="AA30" s="23">
        <v>43.775818750000013</v>
      </c>
      <c r="AB30" s="24">
        <v>3384.13</v>
      </c>
      <c r="AC30" s="24">
        <v>4570.46</v>
      </c>
      <c r="AD30" s="24">
        <v>39.008000000000003</v>
      </c>
      <c r="AE30" s="24">
        <v>27.832000000000001</v>
      </c>
      <c r="AG30" s="19" t="str">
        <f t="shared" si="6"/>
        <v>·</v>
      </c>
      <c r="AH30" s="20" t="str">
        <f t="shared" si="7"/>
        <v>·</v>
      </c>
      <c r="AI30" s="20" t="str">
        <f t="shared" si="8"/>
        <v>·</v>
      </c>
      <c r="AJ30" s="20" t="str">
        <f t="shared" si="9"/>
        <v>·</v>
      </c>
      <c r="AK30" s="20" t="str">
        <f t="shared" si="10"/>
        <v>·</v>
      </c>
      <c r="AL30" s="17" t="str">
        <f t="shared" si="11"/>
        <v/>
      </c>
      <c r="AM30" s="20">
        <v>16</v>
      </c>
      <c r="AN30" s="21"/>
      <c r="AO30" s="21"/>
      <c r="AP30" s="21"/>
      <c r="AQ30" s="22"/>
      <c r="AR30" s="22"/>
      <c r="AS30" s="22"/>
      <c r="AT30" s="22"/>
      <c r="AU30" s="23"/>
      <c r="AV30" s="23"/>
      <c r="AW30" s="23"/>
      <c r="AX30" s="23"/>
      <c r="AY30" s="23"/>
      <c r="AZ30" s="24"/>
      <c r="BA30" s="24"/>
      <c r="BB30" s="24"/>
      <c r="BC30" s="24"/>
      <c r="BE30" s="49" t="e">
        <f t="shared" si="12"/>
        <v>#VALUE!</v>
      </c>
      <c r="BF30" s="25" t="e">
        <f t="shared" si="13"/>
        <v>#DIV/0!</v>
      </c>
      <c r="BG30" s="25" t="e">
        <f t="shared" si="14"/>
        <v>#VALUE!</v>
      </c>
      <c r="BH30" s="25" t="e">
        <f t="array" ref="BH30">AVERAGE(AL30:AL34/AQ30:AQ34) - AVERAGE(N30:N34/S30:S34)</f>
        <v>#VALUE!</v>
      </c>
      <c r="BJ30" s="49" t="str">
        <f>IF( OR(ISBLANK(N30:N34),ISBLANK(AL30:AL34), ISBLANK(W30:W34),ISBLANK(AU30:AU34)), "·", bdRateExtend( N30:N34,W30:W34, AL30:AL34,AU30:AU34))</f>
        <v>·</v>
      </c>
      <c r="BK30" s="49" t="str">
        <f>IF( OR(ISBLANK(N30:N34),ISBLANK(AL30:AL34), ISBLANK(X30:X34),ISBLANK(AV30:AV34)), "·", bdRateExtend( N30:N34,X30:X34, AL30:AL34,AV30:AV34))</f>
        <v>·</v>
      </c>
      <c r="BL30" s="49" t="str">
        <f>IF( OR(ISBLANK(V30:V34),ISBLANK(AT30:AT34), ISBLANK(Y30:Y34),ISBLANK(AW30:AW34)), "·", bdRateExtend( V30:V34,Y30:Y34, AT30:AT34,AW30:AW34))</f>
        <v>·</v>
      </c>
      <c r="BM30" s="49" t="str">
        <f>IF( OR(ISBLANK(V30:V34),ISBLANK(AT30:AT34), ISBLANK(Z30:Z34),ISBLANK(AX30:AX34)), "·", bdRateExtend( V30:V34,Z30:Z34, AT30:AT34,AX30:AX34))</f>
        <v>·</v>
      </c>
      <c r="BN30" s="49" t="str">
        <f>IF( OR(ISBLANK(V30:V34),ISBLANK(AT30:AT34), ISBLANK(AA30:AA34),ISBLANK(AY30:AY34)), "·", bdRateExtend( V30:V34,AA30:AA34, AT30:AT34,AY30:AY34))</f>
        <v>·</v>
      </c>
      <c r="BP30" s="49" t="str">
        <f>IF( OR(ISBLANK(S30:S34),ISBLANK(AQ30:AQ34), ISBLANK(W30:W34),ISBLANK(AU30:AU34)), "·", bdRateExtend( S30:S34,W30:W34, AQ30:AQ34,AU30:AU34))</f>
        <v>·</v>
      </c>
      <c r="BQ30" s="49" t="str">
        <f>IF( OR(ISBLANK(S30:S34),ISBLANK(AQ30:AQ34), ISBLANK(X30:X34),ISBLANK(AV30:AV34)), "·", bdRateExtend( S30:S34,X30:X34, AQ30:AQ34,AV30:AV34))</f>
        <v>·</v>
      </c>
      <c r="BR30" s="49" t="str">
        <f>IF( OR(ISBLANK(S30:S34),ISBLANK(AQ30:AQ34), ISBLANK(Y30:Y34),ISBLANK(AW30:AW34)), "·", bdRateExtend( S30:S34,Y30:Y34, AQ30:AQ34,AW30:AW34))</f>
        <v>·</v>
      </c>
      <c r="BS30" s="49" t="str">
        <f>IF( OR(ISBLANK(S30:S34),ISBLANK(AQ30:AQ34), ISBLANK(Z30:Z34),ISBLANK(AX30:AX34)), "·", bdRateExtend( S30:S34,Z30:Z34, AQ30:AQ34,AX30:AX34))</f>
        <v>·</v>
      </c>
      <c r="BT30" s="49" t="str">
        <f>IF( OR(ISBLANK(S30:S34),ISBLANK(AQ30:AQ34), ISBLANK(AA30:AA34),ISBLANK(AY30:AY34)), "·", bdRateExtend( S30:S34,AA30:AA34, AQ30:AQ34,AY30:AY34))</f>
        <v>·</v>
      </c>
      <c r="BV30" s="53">
        <f t="shared" si="16"/>
        <v>-84258322</v>
      </c>
      <c r="BW30" s="53">
        <f t="shared" si="16"/>
        <v>-2633072.5625</v>
      </c>
      <c r="BX30" s="53">
        <f t="shared" si="16"/>
        <v>-32425.28125</v>
      </c>
      <c r="BY30" s="53">
        <f t="shared" si="16"/>
        <v>-6114296</v>
      </c>
      <c r="BZ30" s="53">
        <f t="shared" si="16"/>
        <v>-2318320</v>
      </c>
      <c r="CA30" s="53">
        <f t="shared" si="16"/>
        <v>-1427456</v>
      </c>
      <c r="CB30" s="53">
        <f t="shared" si="16"/>
        <v>-2368520</v>
      </c>
      <c r="CC30" s="53">
        <f t="shared" si="16"/>
        <v>-73.460731249999995</v>
      </c>
      <c r="CD30" s="53">
        <f t="shared" si="16"/>
        <v>-75.713606250000012</v>
      </c>
      <c r="CE30" s="53">
        <f t="shared" si="16"/>
        <v>-34.736618750000012</v>
      </c>
      <c r="CF30" s="53">
        <f t="shared" si="16"/>
        <v>-42.165665625000003</v>
      </c>
      <c r="CG30" s="53">
        <f t="shared" si="16"/>
        <v>-43.775818750000013</v>
      </c>
      <c r="CJ30" t="s">
        <v>243</v>
      </c>
    </row>
    <row r="31" spans="1:88" outlineLevel="1" x14ac:dyDescent="0.2">
      <c r="A31" s="52"/>
      <c r="B31" s="52" t="s">
        <v>77</v>
      </c>
      <c r="C31" s="9" t="s">
        <v>234</v>
      </c>
      <c r="D31" s="52">
        <v>375422539</v>
      </c>
      <c r="E31" s="9">
        <v>11</v>
      </c>
      <c r="F31" s="9">
        <v>32</v>
      </c>
      <c r="G31" s="9">
        <v>30</v>
      </c>
      <c r="I31" s="10">
        <f t="shared" si="0"/>
        <v>8.1855150000000005</v>
      </c>
      <c r="J31" s="11">
        <f t="shared" si="1"/>
        <v>2.3257037319221796E-2</v>
      </c>
      <c r="K31" s="11">
        <f t="shared" si="2"/>
        <v>1.2273274833933185E-2</v>
      </c>
      <c r="L31" s="11">
        <f t="shared" si="3"/>
        <v>8.4710097813280195E-3</v>
      </c>
      <c r="M31" s="11">
        <f t="shared" si="4"/>
        <v>1.0983762485288609E-2</v>
      </c>
      <c r="N31" s="52">
        <f t="shared" si="5"/>
        <v>4607664</v>
      </c>
      <c r="O31" s="11">
        <v>16</v>
      </c>
      <c r="P31" s="12">
        <v>89857639</v>
      </c>
      <c r="Q31" s="12">
        <v>2808051.21875</v>
      </c>
      <c r="R31" s="12">
        <v>41097.03125</v>
      </c>
      <c r="S31" s="13">
        <v>8731216</v>
      </c>
      <c r="T31" s="13">
        <v>3180208</v>
      </c>
      <c r="U31" s="13">
        <v>1427456</v>
      </c>
      <c r="V31" s="13">
        <v>4123552</v>
      </c>
      <c r="W31" s="14">
        <v>75.170684375000022</v>
      </c>
      <c r="X31" s="14">
        <v>77.575240625000006</v>
      </c>
      <c r="Y31" s="14">
        <v>36.653584375000001</v>
      </c>
      <c r="Z31" s="14">
        <v>42.688837499999991</v>
      </c>
      <c r="AA31" s="14">
        <v>45.00495937500002</v>
      </c>
      <c r="AB31" s="15">
        <v>3257.36</v>
      </c>
      <c r="AC31" s="15">
        <v>4179.96</v>
      </c>
      <c r="AD31" s="15">
        <v>39.299999999999997</v>
      </c>
      <c r="AE31" s="15">
        <v>28.004000000000001</v>
      </c>
      <c r="AG31" s="10" t="str">
        <f t="shared" si="6"/>
        <v>·</v>
      </c>
      <c r="AH31" s="11" t="str">
        <f t="shared" si="7"/>
        <v>·</v>
      </c>
      <c r="AI31" s="11" t="str">
        <f t="shared" si="8"/>
        <v>·</v>
      </c>
      <c r="AJ31" s="11" t="str">
        <f t="shared" si="9"/>
        <v>·</v>
      </c>
      <c r="AK31" s="11" t="str">
        <f t="shared" si="10"/>
        <v>·</v>
      </c>
      <c r="AL31" s="52" t="str">
        <f t="shared" si="11"/>
        <v/>
      </c>
      <c r="AM31" s="11">
        <v>16</v>
      </c>
      <c r="AN31" s="12"/>
      <c r="AO31" s="12"/>
      <c r="AP31" s="12"/>
      <c r="AQ31" s="13"/>
      <c r="AR31" s="13"/>
      <c r="AS31" s="13"/>
      <c r="AT31" s="13"/>
      <c r="AU31" s="14"/>
      <c r="AV31" s="14"/>
      <c r="AW31" s="14"/>
      <c r="AX31" s="14"/>
      <c r="AY31" s="14"/>
      <c r="AZ31" s="15"/>
      <c r="BA31" s="15"/>
      <c r="BB31" s="15"/>
      <c r="BC31" s="15"/>
      <c r="BE31" s="50" t="e">
        <f t="shared" si="12"/>
        <v>#VALUE!</v>
      </c>
      <c r="BF31" s="16" t="e">
        <f t="shared" si="13"/>
        <v>#DIV/0!</v>
      </c>
      <c r="BG31" s="16" t="e">
        <f t="shared" si="14"/>
        <v>#VALUE!</v>
      </c>
      <c r="BH31" s="16"/>
      <c r="BJ31" s="50"/>
      <c r="BK31" s="50"/>
      <c r="BL31" s="50"/>
      <c r="BM31" s="50"/>
      <c r="BN31" s="50"/>
      <c r="BP31" s="50"/>
      <c r="BQ31" s="50"/>
      <c r="BR31" s="50"/>
      <c r="BS31" s="50"/>
      <c r="BT31" s="50"/>
      <c r="BV31" s="53">
        <f t="shared" si="16"/>
        <v>-89857639</v>
      </c>
      <c r="BW31" s="53">
        <f t="shared" si="16"/>
        <v>-2808051.21875</v>
      </c>
      <c r="BX31" s="53">
        <f t="shared" si="16"/>
        <v>-41097.03125</v>
      </c>
      <c r="BY31" s="53">
        <f t="shared" si="16"/>
        <v>-8731216</v>
      </c>
      <c r="BZ31" s="53">
        <f t="shared" si="16"/>
        <v>-3180208</v>
      </c>
      <c r="CA31" s="53">
        <f t="shared" si="16"/>
        <v>-1427456</v>
      </c>
      <c r="CB31" s="53">
        <f t="shared" si="16"/>
        <v>-4123552</v>
      </c>
      <c r="CC31" s="53">
        <f t="shared" si="16"/>
        <v>-75.170684375000022</v>
      </c>
      <c r="CD31" s="53">
        <f t="shared" si="16"/>
        <v>-77.575240625000006</v>
      </c>
      <c r="CE31" s="53">
        <f t="shared" si="16"/>
        <v>-36.653584375000001</v>
      </c>
      <c r="CF31" s="53">
        <f t="shared" si="16"/>
        <v>-42.688837499999991</v>
      </c>
      <c r="CG31" s="53">
        <f t="shared" si="16"/>
        <v>-45.00495937500002</v>
      </c>
      <c r="CJ31" t="s">
        <v>243</v>
      </c>
    </row>
    <row r="32" spans="1:88" outlineLevel="1" x14ac:dyDescent="0.2">
      <c r="A32" s="17"/>
      <c r="B32" s="17" t="s">
        <v>77</v>
      </c>
      <c r="C32" s="18" t="s">
        <v>235</v>
      </c>
      <c r="D32" s="17">
        <v>375422539</v>
      </c>
      <c r="E32" s="18">
        <v>11</v>
      </c>
      <c r="F32" s="18">
        <v>32</v>
      </c>
      <c r="G32" s="18">
        <v>30</v>
      </c>
      <c r="I32" s="19">
        <f t="shared" si="0"/>
        <v>12.671250000000001</v>
      </c>
      <c r="J32" s="20">
        <f t="shared" si="1"/>
        <v>3.6002100555821981E-2</v>
      </c>
      <c r="K32" s="20">
        <f t="shared" si="2"/>
        <v>1.5579735877285728E-2</v>
      </c>
      <c r="L32" s="20">
        <f t="shared" si="3"/>
        <v>1.1777470824680562E-2</v>
      </c>
      <c r="M32" s="20">
        <f t="shared" si="4"/>
        <v>2.0422364678536257E-2</v>
      </c>
      <c r="N32" s="17">
        <f t="shared" si="5"/>
        <v>5848984</v>
      </c>
      <c r="O32" s="20">
        <v>16</v>
      </c>
      <c r="P32" s="21">
        <v>91814344</v>
      </c>
      <c r="Q32" s="21">
        <v>2869198.25</v>
      </c>
      <c r="R32" s="21">
        <v>44687.40625</v>
      </c>
      <c r="S32" s="22">
        <v>13516000</v>
      </c>
      <c r="T32" s="22">
        <v>4421528</v>
      </c>
      <c r="U32" s="22">
        <v>1427456</v>
      </c>
      <c r="V32" s="22">
        <v>7667016</v>
      </c>
      <c r="W32" s="23">
        <v>76.466315624999979</v>
      </c>
      <c r="X32" s="23">
        <v>79.123750000000015</v>
      </c>
      <c r="Y32" s="23">
        <v>38.407431250000002</v>
      </c>
      <c r="Z32" s="23">
        <v>43.216706250000001</v>
      </c>
      <c r="AA32" s="23">
        <v>46.245334374999992</v>
      </c>
      <c r="AB32" s="24">
        <v>3261.29</v>
      </c>
      <c r="AC32" s="24">
        <v>4369.55</v>
      </c>
      <c r="AD32" s="24">
        <v>40.520000000000003</v>
      </c>
      <c r="AE32" s="24">
        <v>25.86</v>
      </c>
      <c r="AG32" s="19" t="str">
        <f t="shared" si="6"/>
        <v>·</v>
      </c>
      <c r="AH32" s="20" t="str">
        <f t="shared" si="7"/>
        <v>·</v>
      </c>
      <c r="AI32" s="20" t="str">
        <f t="shared" si="8"/>
        <v>·</v>
      </c>
      <c r="AJ32" s="20" t="str">
        <f t="shared" si="9"/>
        <v>·</v>
      </c>
      <c r="AK32" s="20" t="str">
        <f t="shared" si="10"/>
        <v>·</v>
      </c>
      <c r="AL32" s="17" t="str">
        <f t="shared" si="11"/>
        <v/>
      </c>
      <c r="AM32" s="20">
        <v>16</v>
      </c>
      <c r="AN32" s="21"/>
      <c r="AO32" s="21"/>
      <c r="AP32" s="21"/>
      <c r="AQ32" s="22"/>
      <c r="AR32" s="22"/>
      <c r="AS32" s="22"/>
      <c r="AT32" s="22"/>
      <c r="AU32" s="23"/>
      <c r="AV32" s="23"/>
      <c r="AW32" s="23"/>
      <c r="AX32" s="23"/>
      <c r="AY32" s="23"/>
      <c r="AZ32" s="24"/>
      <c r="BA32" s="24"/>
      <c r="BB32" s="24"/>
      <c r="BC32" s="24"/>
      <c r="BE32" s="49" t="e">
        <f t="shared" si="12"/>
        <v>#VALUE!</v>
      </c>
      <c r="BF32" s="25" t="e">
        <f t="shared" si="13"/>
        <v>#DIV/0!</v>
      </c>
      <c r="BG32" s="25" t="e">
        <f t="shared" si="14"/>
        <v>#VALUE!</v>
      </c>
      <c r="BH32" s="25"/>
      <c r="BJ32" s="49"/>
      <c r="BK32" s="49"/>
      <c r="BL32" s="49"/>
      <c r="BM32" s="49"/>
      <c r="BN32" s="49"/>
      <c r="BP32" s="49"/>
      <c r="BQ32" s="49"/>
      <c r="BR32" s="49"/>
      <c r="BS32" s="49"/>
      <c r="BT32" s="49"/>
      <c r="BV32" s="53">
        <f t="shared" si="16"/>
        <v>-91814344</v>
      </c>
      <c r="BW32" s="53">
        <f t="shared" si="16"/>
        <v>-2869198.25</v>
      </c>
      <c r="BX32" s="53">
        <f t="shared" si="16"/>
        <v>-44687.40625</v>
      </c>
      <c r="BY32" s="53">
        <f t="shared" si="16"/>
        <v>-13516000</v>
      </c>
      <c r="BZ32" s="53">
        <f t="shared" si="16"/>
        <v>-4421528</v>
      </c>
      <c r="CA32" s="53">
        <f t="shared" si="16"/>
        <v>-1427456</v>
      </c>
      <c r="CB32" s="53">
        <f t="shared" si="16"/>
        <v>-7667016</v>
      </c>
      <c r="CC32" s="53">
        <f t="shared" si="16"/>
        <v>-76.466315624999979</v>
      </c>
      <c r="CD32" s="53">
        <f t="shared" si="16"/>
        <v>-79.123750000000015</v>
      </c>
      <c r="CE32" s="53">
        <f t="shared" si="16"/>
        <v>-38.407431250000002</v>
      </c>
      <c r="CF32" s="53">
        <f t="shared" si="16"/>
        <v>-43.216706250000001</v>
      </c>
      <c r="CG32" s="53">
        <f t="shared" si="16"/>
        <v>-46.245334374999992</v>
      </c>
      <c r="CJ32" t="s">
        <v>243</v>
      </c>
    </row>
    <row r="33" spans="1:88" outlineLevel="1" x14ac:dyDescent="0.2">
      <c r="A33" s="52"/>
      <c r="B33" s="52" t="s">
        <v>77</v>
      </c>
      <c r="C33" s="9" t="s">
        <v>236</v>
      </c>
      <c r="D33" s="52">
        <v>375422539</v>
      </c>
      <c r="E33" s="9">
        <v>11</v>
      </c>
      <c r="F33" s="9">
        <v>32</v>
      </c>
      <c r="G33" s="9">
        <v>30</v>
      </c>
      <c r="I33" s="10">
        <f t="shared" si="0"/>
        <v>21.2011875</v>
      </c>
      <c r="J33" s="11">
        <f t="shared" si="1"/>
        <v>6.0237725897432065E-2</v>
      </c>
      <c r="K33" s="11">
        <f t="shared" si="2"/>
        <v>2.1049370187121344E-2</v>
      </c>
      <c r="L33" s="11">
        <f t="shared" si="3"/>
        <v>1.7247105134516178E-2</v>
      </c>
      <c r="M33" s="11">
        <f t="shared" si="4"/>
        <v>3.9188355710310721E-2</v>
      </c>
      <c r="N33" s="52">
        <f t="shared" si="5"/>
        <v>7902408</v>
      </c>
      <c r="O33" s="11">
        <v>16</v>
      </c>
      <c r="P33" s="12">
        <v>93918250</v>
      </c>
      <c r="Q33" s="12">
        <v>2934945.3125</v>
      </c>
      <c r="R33" s="12">
        <v>49412.375</v>
      </c>
      <c r="S33" s="13">
        <v>22614600</v>
      </c>
      <c r="T33" s="13">
        <v>6474952</v>
      </c>
      <c r="U33" s="13">
        <v>1427456</v>
      </c>
      <c r="V33" s="13">
        <v>14712192</v>
      </c>
      <c r="W33" s="14">
        <v>77.598421875000014</v>
      </c>
      <c r="X33" s="14">
        <v>80.328506249999975</v>
      </c>
      <c r="Y33" s="14">
        <v>40.010034374999996</v>
      </c>
      <c r="Z33" s="14">
        <v>43.90810312499999</v>
      </c>
      <c r="AA33" s="14">
        <v>47.816250000000011</v>
      </c>
      <c r="AB33" s="15">
        <v>3272.57</v>
      </c>
      <c r="AC33" s="15">
        <v>4606.17</v>
      </c>
      <c r="AD33" s="15">
        <v>41.084000000000003</v>
      </c>
      <c r="AE33" s="15">
        <v>27.62</v>
      </c>
      <c r="AG33" s="10" t="str">
        <f t="shared" si="6"/>
        <v>·</v>
      </c>
      <c r="AH33" s="11" t="str">
        <f t="shared" si="7"/>
        <v>·</v>
      </c>
      <c r="AI33" s="11" t="str">
        <f t="shared" si="8"/>
        <v>·</v>
      </c>
      <c r="AJ33" s="11" t="str">
        <f t="shared" si="9"/>
        <v>·</v>
      </c>
      <c r="AK33" s="11" t="str">
        <f t="shared" si="10"/>
        <v>·</v>
      </c>
      <c r="AL33" s="52" t="str">
        <f t="shared" si="11"/>
        <v/>
      </c>
      <c r="AM33" s="11">
        <v>16</v>
      </c>
      <c r="AN33" s="12"/>
      <c r="AO33" s="12"/>
      <c r="AP33" s="12"/>
      <c r="AQ33" s="13"/>
      <c r="AR33" s="13"/>
      <c r="AS33" s="13"/>
      <c r="AT33" s="13"/>
      <c r="AU33" s="14"/>
      <c r="AV33" s="14"/>
      <c r="AW33" s="14"/>
      <c r="AX33" s="14"/>
      <c r="AY33" s="14"/>
      <c r="AZ33" s="15"/>
      <c r="BA33" s="15"/>
      <c r="BB33" s="15"/>
      <c r="BC33" s="15"/>
      <c r="BE33" s="50" t="e">
        <f t="shared" si="12"/>
        <v>#VALUE!</v>
      </c>
      <c r="BF33" s="16" t="e">
        <f t="shared" si="13"/>
        <v>#DIV/0!</v>
      </c>
      <c r="BG33" s="16" t="e">
        <f t="shared" si="14"/>
        <v>#VALUE!</v>
      </c>
      <c r="BH33" s="16"/>
      <c r="BJ33" s="50"/>
      <c r="BK33" s="50"/>
      <c r="BL33" s="50"/>
      <c r="BM33" s="50"/>
      <c r="BN33" s="50"/>
      <c r="BP33" s="50"/>
      <c r="BQ33" s="50"/>
      <c r="BR33" s="50"/>
      <c r="BS33" s="50"/>
      <c r="BT33" s="50"/>
      <c r="BV33" s="53">
        <f t="shared" si="16"/>
        <v>-93918250</v>
      </c>
      <c r="BW33" s="53">
        <f t="shared" si="16"/>
        <v>-2934945.3125</v>
      </c>
      <c r="BX33" s="53">
        <f t="shared" si="16"/>
        <v>-49412.375</v>
      </c>
      <c r="BY33" s="53">
        <f t="shared" si="16"/>
        <v>-22614600</v>
      </c>
      <c r="BZ33" s="53">
        <f t="shared" si="16"/>
        <v>-6474952</v>
      </c>
      <c r="CA33" s="53">
        <f t="shared" si="16"/>
        <v>-1427456</v>
      </c>
      <c r="CB33" s="53">
        <f t="shared" si="16"/>
        <v>-14712192</v>
      </c>
      <c r="CC33" s="53">
        <f t="shared" si="16"/>
        <v>-77.598421875000014</v>
      </c>
      <c r="CD33" s="53">
        <f t="shared" si="16"/>
        <v>-80.328506249999975</v>
      </c>
      <c r="CE33" s="53">
        <f t="shared" si="16"/>
        <v>-40.010034374999996</v>
      </c>
      <c r="CF33" s="53">
        <f t="shared" si="16"/>
        <v>-43.90810312499999</v>
      </c>
      <c r="CG33" s="53">
        <f t="shared" si="16"/>
        <v>-47.816250000000011</v>
      </c>
      <c r="CJ33" t="s">
        <v>243</v>
      </c>
    </row>
    <row r="34" spans="1:88" ht="16" outlineLevel="1" thickBot="1" x14ac:dyDescent="0.25">
      <c r="A34" s="17"/>
      <c r="B34" s="36" t="s">
        <v>77</v>
      </c>
      <c r="C34" s="37" t="s">
        <v>237</v>
      </c>
      <c r="D34" s="36">
        <v>375422539</v>
      </c>
      <c r="E34" s="37">
        <v>11</v>
      </c>
      <c r="F34" s="37">
        <v>32</v>
      </c>
      <c r="G34" s="37">
        <v>30</v>
      </c>
      <c r="I34" s="38">
        <f t="shared" si="0"/>
        <v>39.873292499999998</v>
      </c>
      <c r="J34" s="39">
        <f t="shared" si="1"/>
        <v>0.11328971380698057</v>
      </c>
      <c r="K34" s="39">
        <f t="shared" si="2"/>
        <v>3.3717187129246921E-2</v>
      </c>
      <c r="L34" s="39">
        <f t="shared" si="3"/>
        <v>2.6181230424207429E-2</v>
      </c>
      <c r="M34" s="39">
        <f t="shared" si="4"/>
        <v>7.9572526677733652E-2</v>
      </c>
      <c r="N34" s="36">
        <f t="shared" si="5"/>
        <v>12658192</v>
      </c>
      <c r="O34" s="39">
        <v>16</v>
      </c>
      <c r="P34" s="40">
        <v>92079625</v>
      </c>
      <c r="Q34" s="40">
        <v>2877488.28125</v>
      </c>
      <c r="R34" s="40">
        <v>21318.28125</v>
      </c>
      <c r="S34" s="41">
        <v>42531512</v>
      </c>
      <c r="T34" s="41">
        <v>9829024</v>
      </c>
      <c r="U34" s="41">
        <v>2829168</v>
      </c>
      <c r="V34" s="41">
        <v>29873320</v>
      </c>
      <c r="W34" s="42">
        <v>78.535987500000005</v>
      </c>
      <c r="X34" s="42">
        <v>81.998384375000001</v>
      </c>
      <c r="Y34" s="42">
        <v>41.522762499999992</v>
      </c>
      <c r="Z34" s="42">
        <v>44.701212499999997</v>
      </c>
      <c r="AA34" s="42">
        <v>49.23008437499999</v>
      </c>
      <c r="AB34" s="43">
        <v>3266.44</v>
      </c>
      <c r="AC34" s="43">
        <v>5088.07</v>
      </c>
      <c r="AD34" s="43">
        <v>40.840000000000003</v>
      </c>
      <c r="AE34" s="43">
        <v>30.335999999999999</v>
      </c>
      <c r="AG34" s="38" t="str">
        <f t="shared" si="6"/>
        <v>·</v>
      </c>
      <c r="AH34" s="39" t="str">
        <f t="shared" si="7"/>
        <v>·</v>
      </c>
      <c r="AI34" s="39" t="str">
        <f t="shared" si="8"/>
        <v>·</v>
      </c>
      <c r="AJ34" s="39" t="str">
        <f t="shared" si="9"/>
        <v>·</v>
      </c>
      <c r="AK34" s="39" t="str">
        <f t="shared" si="10"/>
        <v>·</v>
      </c>
      <c r="AL34" s="36" t="str">
        <f t="shared" si="11"/>
        <v/>
      </c>
      <c r="AM34" s="39">
        <v>16</v>
      </c>
      <c r="AN34" s="40"/>
      <c r="AO34" s="40"/>
      <c r="AP34" s="40"/>
      <c r="AQ34" s="41"/>
      <c r="AR34" s="41"/>
      <c r="AS34" s="41"/>
      <c r="AT34" s="41"/>
      <c r="AU34" s="42"/>
      <c r="AV34" s="42"/>
      <c r="AW34" s="42"/>
      <c r="AX34" s="42"/>
      <c r="AY34" s="42"/>
      <c r="AZ34" s="43"/>
      <c r="BA34" s="43"/>
      <c r="BB34" s="43"/>
      <c r="BC34" s="43"/>
      <c r="BE34" s="44" t="e">
        <f t="shared" si="12"/>
        <v>#VALUE!</v>
      </c>
      <c r="BF34" s="45" t="e">
        <f t="shared" si="13"/>
        <v>#DIV/0!</v>
      </c>
      <c r="BG34" s="45" t="e">
        <f t="shared" si="14"/>
        <v>#VALUE!</v>
      </c>
      <c r="BH34" s="45"/>
      <c r="BJ34" s="44"/>
      <c r="BK34" s="44"/>
      <c r="BL34" s="44"/>
      <c r="BM34" s="44"/>
      <c r="BN34" s="44"/>
      <c r="BP34" s="44"/>
      <c r="BQ34" s="44"/>
      <c r="BR34" s="44"/>
      <c r="BS34" s="44"/>
      <c r="BT34" s="44"/>
      <c r="BV34" s="53">
        <f t="shared" si="16"/>
        <v>-92079625</v>
      </c>
      <c r="BW34" s="53">
        <f t="shared" si="16"/>
        <v>-2877488.28125</v>
      </c>
      <c r="BX34" s="53">
        <f t="shared" si="16"/>
        <v>-21318.28125</v>
      </c>
      <c r="BY34" s="53">
        <f t="shared" si="16"/>
        <v>-42531512</v>
      </c>
      <c r="BZ34" s="53">
        <f t="shared" si="16"/>
        <v>-9829024</v>
      </c>
      <c r="CA34" s="53">
        <f t="shared" si="16"/>
        <v>-2829168</v>
      </c>
      <c r="CB34" s="53">
        <f t="shared" si="16"/>
        <v>-29873320</v>
      </c>
      <c r="CC34" s="53">
        <f t="shared" si="16"/>
        <v>-78.535987500000005</v>
      </c>
      <c r="CD34" s="53">
        <f t="shared" si="16"/>
        <v>-81.998384375000001</v>
      </c>
      <c r="CE34" s="53">
        <f t="shared" si="16"/>
        <v>-41.522762499999992</v>
      </c>
      <c r="CF34" s="53">
        <f t="shared" si="16"/>
        <v>-44.701212499999997</v>
      </c>
      <c r="CG34" s="53">
        <f t="shared" si="16"/>
        <v>-49.23008437499999</v>
      </c>
      <c r="CJ34" t="s">
        <v>243</v>
      </c>
    </row>
    <row r="35" spans="1:88" x14ac:dyDescent="0.2">
      <c r="A35" s="52"/>
      <c r="B35" s="52" t="s">
        <v>82</v>
      </c>
      <c r="C35" s="9" t="s">
        <v>232</v>
      </c>
      <c r="D35" s="52">
        <v>333190689</v>
      </c>
      <c r="E35" s="9">
        <v>11</v>
      </c>
      <c r="F35" s="9">
        <v>32</v>
      </c>
      <c r="G35" s="9">
        <v>30</v>
      </c>
      <c r="I35" s="10">
        <f t="shared" si="0"/>
        <v>6.3769799999999996</v>
      </c>
      <c r="J35" s="11">
        <f t="shared" si="1"/>
        <v>2.0415072283127337E-2</v>
      </c>
      <c r="K35" s="11">
        <f t="shared" si="2"/>
        <v>1.1829190100807409E-2</v>
      </c>
      <c r="L35" s="11">
        <f t="shared" si="3"/>
        <v>7.2102134882886838E-3</v>
      </c>
      <c r="M35" s="11">
        <f t="shared" si="4"/>
        <v>8.5858821823199261E-3</v>
      </c>
      <c r="N35" s="52">
        <f t="shared" si="5"/>
        <v>3941376</v>
      </c>
      <c r="O35" s="11">
        <v>16</v>
      </c>
      <c r="P35" s="12">
        <v>74688855</v>
      </c>
      <c r="Q35" s="12">
        <v>2334026.71875</v>
      </c>
      <c r="R35" s="12">
        <v>31011.90625</v>
      </c>
      <c r="S35" s="13">
        <v>6802112</v>
      </c>
      <c r="T35" s="13">
        <v>2402376</v>
      </c>
      <c r="U35" s="13">
        <v>1539000</v>
      </c>
      <c r="V35" s="13">
        <v>2860736</v>
      </c>
      <c r="W35" s="14">
        <v>73.191281250000003</v>
      </c>
      <c r="X35" s="14">
        <v>75.430568749999978</v>
      </c>
      <c r="Y35" s="14">
        <v>33.985153124999997</v>
      </c>
      <c r="Z35" s="14">
        <v>42.563106249999997</v>
      </c>
      <c r="AA35" s="14">
        <v>44.055871875000001</v>
      </c>
      <c r="AB35" s="15">
        <v>3018.62</v>
      </c>
      <c r="AC35" s="15">
        <v>5987.55</v>
      </c>
      <c r="AD35" s="15">
        <v>47.875999999999998</v>
      </c>
      <c r="AE35" s="15">
        <v>39.012</v>
      </c>
      <c r="AG35" s="10" t="str">
        <f t="shared" si="6"/>
        <v>·</v>
      </c>
      <c r="AH35" s="11" t="str">
        <f t="shared" si="7"/>
        <v>·</v>
      </c>
      <c r="AI35" s="11" t="str">
        <f t="shared" si="8"/>
        <v>·</v>
      </c>
      <c r="AJ35" s="11" t="str">
        <f t="shared" si="9"/>
        <v>·</v>
      </c>
      <c r="AK35" s="11" t="str">
        <f t="shared" si="10"/>
        <v>·</v>
      </c>
      <c r="AL35" s="52" t="str">
        <f t="shared" si="11"/>
        <v/>
      </c>
      <c r="AM35" s="11">
        <v>16</v>
      </c>
      <c r="AN35" s="12"/>
      <c r="AO35" s="12"/>
      <c r="AP35" s="12"/>
      <c r="AQ35" s="13"/>
      <c r="AR35" s="13"/>
      <c r="AS35" s="13"/>
      <c r="AT35" s="13"/>
      <c r="AU35" s="14"/>
      <c r="AV35" s="14"/>
      <c r="AW35" s="14"/>
      <c r="AX35" s="14"/>
      <c r="AY35" s="14"/>
      <c r="AZ35" s="15"/>
      <c r="BA35" s="15"/>
      <c r="BB35" s="15"/>
      <c r="BC35" s="15"/>
      <c r="BE35" s="50" t="e">
        <f t="shared" si="12"/>
        <v>#VALUE!</v>
      </c>
      <c r="BF35" s="16" t="e">
        <f t="shared" si="13"/>
        <v>#DIV/0!</v>
      </c>
      <c r="BG35" s="16" t="e">
        <f t="shared" si="14"/>
        <v>#VALUE!</v>
      </c>
      <c r="BH35" s="16" t="e">
        <f t="array" ref="BH35">AVERAGE(AL35:AL39/AQ35:AQ39) - AVERAGE(N35:N39/S35:S39)</f>
        <v>#VALUE!</v>
      </c>
      <c r="BJ35" s="50" t="str">
        <f>IF( OR(ISBLANK(N35:N39),ISBLANK(AL35:AL39), ISBLANK(W35:W39),ISBLANK(AU35:AU39)), "·", bdRateExtend( N35:N39,W35:W39, AL35:AL39,AU35:AU39))</f>
        <v>·</v>
      </c>
      <c r="BK35" s="50" t="str">
        <f>IF( OR(ISBLANK(N35:N39),ISBLANK(AL35:AL39), ISBLANK(X35:X39),ISBLANK(AV35:AV39)), "·", bdRateExtend( N35:N39,X35:X39, AL35:AL39,AV35:AV39))</f>
        <v>·</v>
      </c>
      <c r="BL35" s="50" t="str">
        <f>IF( OR(ISBLANK(V35:V39),ISBLANK(AT35:AT39), ISBLANK(Y35:Y39),ISBLANK(AW35:AW39)), "·", bdRateExtend( V35:V39,Y35:Y39, AT35:AT39,AW35:AW39))</f>
        <v>·</v>
      </c>
      <c r="BM35" s="50" t="str">
        <f>IF( OR(ISBLANK(V35:V39),ISBLANK(AT35:AT39), ISBLANK(Z35:Z39),ISBLANK(AX35:AX39)), "·", bdRateExtend( V35:V39,Z35:Z39, AT35:AT39,AX35:AX39))</f>
        <v>·</v>
      </c>
      <c r="BN35" s="50" t="str">
        <f>IF( OR(ISBLANK(V35:V39),ISBLANK(AT35:AT39), ISBLANK(AA35:AA39),ISBLANK(AY35:AY39)), "·", bdRateExtend( V35:V39,AA35:AA39, AT35:AT39,AY35:AY39))</f>
        <v>·</v>
      </c>
      <c r="BP35" s="50" t="str">
        <f>IF( OR(ISBLANK(S35:S39),ISBLANK(AQ35:AQ39), ISBLANK(W35:W39),ISBLANK(AU35:AU39)), "·", bdRateExtend( S35:S39,W35:W39, AQ35:AQ39,AU35:AU39))</f>
        <v>·</v>
      </c>
      <c r="BQ35" s="50" t="str">
        <f>IF( OR(ISBLANK(S35:S39),ISBLANK(AQ35:AQ39), ISBLANK(X35:X39),ISBLANK(AV35:AV39)), "·", bdRateExtend( S35:S39,X35:X39, AQ35:AQ39,AV35:AV39))</f>
        <v>·</v>
      </c>
      <c r="BR35" s="50" t="str">
        <f>IF( OR(ISBLANK(S35:S39),ISBLANK(AQ35:AQ39), ISBLANK(Y35:Y39),ISBLANK(AW35:AW39)), "·", bdRateExtend( S35:S39,Y35:Y39, AQ35:AQ39,AW35:AW39))</f>
        <v>·</v>
      </c>
      <c r="BS35" s="50" t="str">
        <f>IF( OR(ISBLANK(S35:S39),ISBLANK(AQ35:AQ39), ISBLANK(Z35:Z39),ISBLANK(AX35:AX39)), "·", bdRateExtend( S35:S39,Z35:Z39, AQ35:AQ39,AX35:AX39))</f>
        <v>·</v>
      </c>
      <c r="BT35" s="50" t="str">
        <f>IF( OR(ISBLANK(S35:S39),ISBLANK(AQ35:AQ39), ISBLANK(AA35:AA39),ISBLANK(AY35:AY39)), "·", bdRateExtend( S35:S39,AA35:AA39, AQ35:AQ39,AY35:AY39))</f>
        <v>·</v>
      </c>
      <c r="BV35" s="53">
        <f t="shared" si="16"/>
        <v>-74688855</v>
      </c>
      <c r="BW35" s="53">
        <f t="shared" si="16"/>
        <v>-2334026.71875</v>
      </c>
      <c r="BX35" s="53">
        <f t="shared" si="16"/>
        <v>-31011.90625</v>
      </c>
      <c r="BY35" s="53">
        <f t="shared" si="16"/>
        <v>-6802112</v>
      </c>
      <c r="BZ35" s="53">
        <f t="shared" si="16"/>
        <v>-2402376</v>
      </c>
      <c r="CA35" s="53">
        <f t="shared" si="16"/>
        <v>-1539000</v>
      </c>
      <c r="CB35" s="53">
        <f t="shared" si="16"/>
        <v>-2860736</v>
      </c>
      <c r="CC35" s="53">
        <f t="shared" si="16"/>
        <v>-73.191281250000003</v>
      </c>
      <c r="CD35" s="53">
        <f t="shared" si="16"/>
        <v>-75.430568749999978</v>
      </c>
      <c r="CE35" s="53">
        <f t="shared" si="16"/>
        <v>-33.985153124999997</v>
      </c>
      <c r="CF35" s="53">
        <f t="shared" si="16"/>
        <v>-42.563106249999997</v>
      </c>
      <c r="CG35" s="53">
        <f t="shared" si="16"/>
        <v>-44.055871875000001</v>
      </c>
      <c r="CJ35" t="s">
        <v>244</v>
      </c>
    </row>
    <row r="36" spans="1:88" outlineLevel="1" x14ac:dyDescent="0.2">
      <c r="A36" s="17"/>
      <c r="B36" s="17" t="s">
        <v>82</v>
      </c>
      <c r="C36" s="18" t="s">
        <v>234</v>
      </c>
      <c r="D36" s="17">
        <v>333190689</v>
      </c>
      <c r="E36" s="18">
        <v>11</v>
      </c>
      <c r="F36" s="18">
        <v>32</v>
      </c>
      <c r="G36" s="18">
        <v>30</v>
      </c>
      <c r="I36" s="19">
        <f t="shared" si="0"/>
        <v>9.0738074999999991</v>
      </c>
      <c r="J36" s="20">
        <f t="shared" si="1"/>
        <v>2.9048614860903269E-2</v>
      </c>
      <c r="K36" s="20">
        <f t="shared" si="2"/>
        <v>1.4424772836314163E-2</v>
      </c>
      <c r="L36" s="20">
        <f t="shared" si="3"/>
        <v>9.8057962237954373E-3</v>
      </c>
      <c r="M36" s="20">
        <f t="shared" si="4"/>
        <v>1.4623842024589108E-2</v>
      </c>
      <c r="N36" s="17">
        <f t="shared" si="5"/>
        <v>4806200</v>
      </c>
      <c r="O36" s="20">
        <v>16</v>
      </c>
      <c r="P36" s="21">
        <v>79945808</v>
      </c>
      <c r="Q36" s="21">
        <v>2498306.5</v>
      </c>
      <c r="R36" s="21">
        <v>39523.15625</v>
      </c>
      <c r="S36" s="22">
        <v>9678728</v>
      </c>
      <c r="T36" s="22">
        <v>3267200</v>
      </c>
      <c r="U36" s="22">
        <v>1539000</v>
      </c>
      <c r="V36" s="22">
        <v>4872528</v>
      </c>
      <c r="W36" s="23">
        <v>74.930581249999975</v>
      </c>
      <c r="X36" s="23">
        <v>77.358815624999977</v>
      </c>
      <c r="Y36" s="23">
        <v>36.095068750000003</v>
      </c>
      <c r="Z36" s="23">
        <v>43.189968749999998</v>
      </c>
      <c r="AA36" s="23">
        <v>45.41667812499999</v>
      </c>
      <c r="AB36" s="24">
        <v>3029.84</v>
      </c>
      <c r="AC36" s="24">
        <v>6186.18</v>
      </c>
      <c r="AD36" s="24">
        <v>46.388000000000012</v>
      </c>
      <c r="AE36" s="24">
        <v>39.143999999999998</v>
      </c>
      <c r="AG36" s="19" t="str">
        <f t="shared" si="6"/>
        <v>·</v>
      </c>
      <c r="AH36" s="20" t="str">
        <f t="shared" si="7"/>
        <v>·</v>
      </c>
      <c r="AI36" s="20" t="str">
        <f t="shared" si="8"/>
        <v>·</v>
      </c>
      <c r="AJ36" s="20" t="str">
        <f t="shared" si="9"/>
        <v>·</v>
      </c>
      <c r="AK36" s="20" t="str">
        <f t="shared" si="10"/>
        <v>·</v>
      </c>
      <c r="AL36" s="17" t="str">
        <f t="shared" si="11"/>
        <v/>
      </c>
      <c r="AM36" s="20">
        <v>16</v>
      </c>
      <c r="AN36" s="21"/>
      <c r="AO36" s="21"/>
      <c r="AP36" s="21"/>
      <c r="AQ36" s="22"/>
      <c r="AR36" s="22"/>
      <c r="AS36" s="22"/>
      <c r="AT36" s="22"/>
      <c r="AU36" s="23"/>
      <c r="AV36" s="23"/>
      <c r="AW36" s="23"/>
      <c r="AX36" s="23"/>
      <c r="AY36" s="23"/>
      <c r="AZ36" s="24"/>
      <c r="BA36" s="24"/>
      <c r="BB36" s="24"/>
      <c r="BC36" s="24"/>
      <c r="BE36" s="49" t="e">
        <f t="shared" si="12"/>
        <v>#VALUE!</v>
      </c>
      <c r="BF36" s="25" t="e">
        <f t="shared" si="13"/>
        <v>#DIV/0!</v>
      </c>
      <c r="BG36" s="25" t="e">
        <f t="shared" si="14"/>
        <v>#VALUE!</v>
      </c>
      <c r="BH36" s="25"/>
      <c r="BJ36" s="49"/>
      <c r="BK36" s="49"/>
      <c r="BL36" s="49"/>
      <c r="BM36" s="49"/>
      <c r="BN36" s="49"/>
      <c r="BP36" s="49"/>
      <c r="BQ36" s="49"/>
      <c r="BR36" s="49"/>
      <c r="BS36" s="49"/>
      <c r="BT36" s="49"/>
      <c r="BV36" s="53">
        <f t="shared" si="16"/>
        <v>-79945808</v>
      </c>
      <c r="BW36" s="53">
        <f t="shared" si="16"/>
        <v>-2498306.5</v>
      </c>
      <c r="BX36" s="53">
        <f t="shared" si="16"/>
        <v>-39523.15625</v>
      </c>
      <c r="BY36" s="53">
        <f t="shared" si="16"/>
        <v>-9678728</v>
      </c>
      <c r="BZ36" s="53">
        <f t="shared" si="16"/>
        <v>-3267200</v>
      </c>
      <c r="CA36" s="53">
        <f t="shared" si="16"/>
        <v>-1539000</v>
      </c>
      <c r="CB36" s="53">
        <f t="shared" si="16"/>
        <v>-4872528</v>
      </c>
      <c r="CC36" s="53">
        <f t="shared" si="16"/>
        <v>-74.930581249999975</v>
      </c>
      <c r="CD36" s="53">
        <f t="shared" si="16"/>
        <v>-77.358815624999977</v>
      </c>
      <c r="CE36" s="53">
        <f t="shared" si="16"/>
        <v>-36.095068750000003</v>
      </c>
      <c r="CF36" s="53">
        <f t="shared" si="16"/>
        <v>-43.189968749999998</v>
      </c>
      <c r="CG36" s="53">
        <f t="shared" si="16"/>
        <v>-45.41667812499999</v>
      </c>
      <c r="CJ36" t="s">
        <v>244</v>
      </c>
    </row>
    <row r="37" spans="1:88" outlineLevel="1" x14ac:dyDescent="0.2">
      <c r="A37" s="52"/>
      <c r="B37" s="52" t="s">
        <v>82</v>
      </c>
      <c r="C37" s="9" t="s">
        <v>235</v>
      </c>
      <c r="D37" s="52">
        <v>333190689</v>
      </c>
      <c r="E37" s="9">
        <v>11</v>
      </c>
      <c r="F37" s="9">
        <v>32</v>
      </c>
      <c r="G37" s="9">
        <v>30</v>
      </c>
      <c r="I37" s="10">
        <f t="shared" si="0"/>
        <v>13.7978325</v>
      </c>
      <c r="J37" s="11">
        <f t="shared" si="1"/>
        <v>4.4171966642201098E-2</v>
      </c>
      <c r="K37" s="11">
        <f t="shared" si="2"/>
        <v>1.8223870595615595E-2</v>
      </c>
      <c r="L37" s="11">
        <f t="shared" si="3"/>
        <v>1.3604893983096869E-2</v>
      </c>
      <c r="M37" s="11">
        <f t="shared" si="4"/>
        <v>2.5948096046585503E-2</v>
      </c>
      <c r="N37" s="52">
        <f t="shared" si="5"/>
        <v>6072024</v>
      </c>
      <c r="O37" s="11">
        <v>16</v>
      </c>
      <c r="P37" s="12">
        <v>81780101</v>
      </c>
      <c r="Q37" s="12">
        <v>2555628.15625</v>
      </c>
      <c r="R37" s="12">
        <v>43014.71875</v>
      </c>
      <c r="S37" s="13">
        <v>14717688</v>
      </c>
      <c r="T37" s="13">
        <v>4533024</v>
      </c>
      <c r="U37" s="13">
        <v>1539000</v>
      </c>
      <c r="V37" s="13">
        <v>8645664</v>
      </c>
      <c r="W37" s="14">
        <v>76.238812500000023</v>
      </c>
      <c r="X37" s="14">
        <v>78.941209374999985</v>
      </c>
      <c r="Y37" s="14">
        <v>37.935643750000011</v>
      </c>
      <c r="Z37" s="14">
        <v>43.761018749999998</v>
      </c>
      <c r="AA37" s="14">
        <v>46.521678125000001</v>
      </c>
      <c r="AB37" s="15">
        <v>3013.57</v>
      </c>
      <c r="AC37" s="15">
        <v>6345.72</v>
      </c>
      <c r="AD37" s="15">
        <v>46.683999999999997</v>
      </c>
      <c r="AE37" s="15">
        <v>41.067999999999998</v>
      </c>
      <c r="AG37" s="10" t="str">
        <f t="shared" si="6"/>
        <v>·</v>
      </c>
      <c r="AH37" s="11" t="str">
        <f t="shared" si="7"/>
        <v>·</v>
      </c>
      <c r="AI37" s="11" t="str">
        <f t="shared" si="8"/>
        <v>·</v>
      </c>
      <c r="AJ37" s="11" t="str">
        <f t="shared" si="9"/>
        <v>·</v>
      </c>
      <c r="AK37" s="11" t="str">
        <f t="shared" si="10"/>
        <v>·</v>
      </c>
      <c r="AL37" s="52" t="str">
        <f t="shared" si="11"/>
        <v/>
      </c>
      <c r="AM37" s="11">
        <v>16</v>
      </c>
      <c r="AN37" s="12"/>
      <c r="AO37" s="12"/>
      <c r="AP37" s="12"/>
      <c r="AQ37" s="13"/>
      <c r="AR37" s="13"/>
      <c r="AS37" s="13"/>
      <c r="AT37" s="13"/>
      <c r="AU37" s="14"/>
      <c r="AV37" s="14"/>
      <c r="AW37" s="14"/>
      <c r="AX37" s="14"/>
      <c r="AY37" s="14"/>
      <c r="AZ37" s="15"/>
      <c r="BA37" s="15"/>
      <c r="BB37" s="15"/>
      <c r="BC37" s="15"/>
      <c r="BE37" s="50" t="e">
        <f t="shared" si="12"/>
        <v>#VALUE!</v>
      </c>
      <c r="BF37" s="16" t="e">
        <f t="shared" si="13"/>
        <v>#DIV/0!</v>
      </c>
      <c r="BG37" s="16" t="e">
        <f t="shared" si="14"/>
        <v>#VALUE!</v>
      </c>
      <c r="BH37" s="16"/>
      <c r="BJ37" s="50"/>
      <c r="BK37" s="50"/>
      <c r="BL37" s="50"/>
      <c r="BM37" s="50"/>
      <c r="BN37" s="50"/>
      <c r="BP37" s="50"/>
      <c r="BQ37" s="50"/>
      <c r="BR37" s="50"/>
      <c r="BS37" s="50"/>
      <c r="BT37" s="50"/>
      <c r="BV37" s="53">
        <f t="shared" si="16"/>
        <v>-81780101</v>
      </c>
      <c r="BW37" s="53">
        <f t="shared" si="16"/>
        <v>-2555628.15625</v>
      </c>
      <c r="BX37" s="53">
        <f t="shared" si="16"/>
        <v>-43014.71875</v>
      </c>
      <c r="BY37" s="53">
        <f t="shared" si="16"/>
        <v>-14717688</v>
      </c>
      <c r="BZ37" s="53">
        <f t="shared" si="16"/>
        <v>-4533024</v>
      </c>
      <c r="CA37" s="53">
        <f t="shared" si="16"/>
        <v>-1539000</v>
      </c>
      <c r="CB37" s="53">
        <f t="shared" si="16"/>
        <v>-8645664</v>
      </c>
      <c r="CC37" s="53">
        <f t="shared" si="16"/>
        <v>-76.238812500000023</v>
      </c>
      <c r="CD37" s="53">
        <f t="shared" si="16"/>
        <v>-78.941209374999985</v>
      </c>
      <c r="CE37" s="53">
        <f t="shared" si="16"/>
        <v>-37.935643750000011</v>
      </c>
      <c r="CF37" s="53">
        <f t="shared" si="16"/>
        <v>-43.761018749999998</v>
      </c>
      <c r="CG37" s="53">
        <f t="shared" si="16"/>
        <v>-46.521678125000001</v>
      </c>
      <c r="CJ37" t="s">
        <v>244</v>
      </c>
    </row>
    <row r="38" spans="1:88" outlineLevel="1" x14ac:dyDescent="0.2">
      <c r="A38" s="17"/>
      <c r="B38" s="17" t="s">
        <v>82</v>
      </c>
      <c r="C38" s="18" t="s">
        <v>236</v>
      </c>
      <c r="D38" s="17">
        <v>333190689</v>
      </c>
      <c r="E38" s="18">
        <v>11</v>
      </c>
      <c r="F38" s="18">
        <v>32</v>
      </c>
      <c r="G38" s="18">
        <v>30</v>
      </c>
      <c r="I38" s="19">
        <f t="shared" si="0"/>
        <v>23.071792500000001</v>
      </c>
      <c r="J38" s="20">
        <f t="shared" si="1"/>
        <v>7.3861343706396312E-2</v>
      </c>
      <c r="K38" s="20">
        <f t="shared" si="2"/>
        <v>2.4418401439783331E-2</v>
      </c>
      <c r="L38" s="20">
        <f t="shared" si="3"/>
        <v>1.9799424827264607E-2</v>
      </c>
      <c r="M38" s="20">
        <f t="shared" si="4"/>
        <v>4.9442942266612978E-2</v>
      </c>
      <c r="N38" s="17">
        <f t="shared" si="5"/>
        <v>8135984</v>
      </c>
      <c r="O38" s="20">
        <v>16</v>
      </c>
      <c r="P38" s="21">
        <v>83963908</v>
      </c>
      <c r="Q38" s="21">
        <v>2623872.125</v>
      </c>
      <c r="R38" s="21">
        <v>48278.125</v>
      </c>
      <c r="S38" s="22">
        <v>24609912</v>
      </c>
      <c r="T38" s="22">
        <v>6596984</v>
      </c>
      <c r="U38" s="22">
        <v>1539000</v>
      </c>
      <c r="V38" s="22">
        <v>16473928</v>
      </c>
      <c r="W38" s="23">
        <v>77.418415624999994</v>
      </c>
      <c r="X38" s="23">
        <v>80.140518749999998</v>
      </c>
      <c r="Y38" s="23">
        <v>39.70821875</v>
      </c>
      <c r="Z38" s="23">
        <v>44.538234375000009</v>
      </c>
      <c r="AA38" s="23">
        <v>47.814162500000009</v>
      </c>
      <c r="AB38" s="24">
        <v>3118.66</v>
      </c>
      <c r="AC38" s="24">
        <v>7579.62</v>
      </c>
      <c r="AD38" s="24">
        <v>47.915999999999997</v>
      </c>
      <c r="AE38" s="24">
        <v>42.683999999999997</v>
      </c>
      <c r="AG38" s="19" t="str">
        <f t="shared" si="6"/>
        <v>·</v>
      </c>
      <c r="AH38" s="20" t="str">
        <f t="shared" si="7"/>
        <v>·</v>
      </c>
      <c r="AI38" s="20" t="str">
        <f t="shared" si="8"/>
        <v>·</v>
      </c>
      <c r="AJ38" s="20" t="str">
        <f t="shared" si="9"/>
        <v>·</v>
      </c>
      <c r="AK38" s="20" t="str">
        <f t="shared" si="10"/>
        <v>·</v>
      </c>
      <c r="AL38" s="17" t="str">
        <f t="shared" si="11"/>
        <v/>
      </c>
      <c r="AM38" s="20">
        <v>16</v>
      </c>
      <c r="AN38" s="21"/>
      <c r="AO38" s="21"/>
      <c r="AP38" s="21"/>
      <c r="AQ38" s="22"/>
      <c r="AR38" s="22"/>
      <c r="AS38" s="22"/>
      <c r="AT38" s="22"/>
      <c r="AU38" s="23"/>
      <c r="AV38" s="23"/>
      <c r="AW38" s="23"/>
      <c r="AX38" s="23"/>
      <c r="AY38" s="23"/>
      <c r="AZ38" s="24"/>
      <c r="BA38" s="24"/>
      <c r="BB38" s="24"/>
      <c r="BC38" s="24"/>
      <c r="BE38" s="49" t="e">
        <f t="shared" si="12"/>
        <v>#VALUE!</v>
      </c>
      <c r="BF38" s="25" t="e">
        <f t="shared" si="13"/>
        <v>#DIV/0!</v>
      </c>
      <c r="BG38" s="25" t="e">
        <f t="shared" si="14"/>
        <v>#VALUE!</v>
      </c>
      <c r="BH38" s="25"/>
      <c r="BJ38" s="49"/>
      <c r="BK38" s="49"/>
      <c r="BL38" s="49"/>
      <c r="BM38" s="49"/>
      <c r="BN38" s="49"/>
      <c r="BP38" s="49"/>
      <c r="BQ38" s="49"/>
      <c r="BR38" s="49"/>
      <c r="BS38" s="49"/>
      <c r="BT38" s="49"/>
      <c r="BV38" s="53">
        <f t="shared" si="16"/>
        <v>-83963908</v>
      </c>
      <c r="BW38" s="53">
        <f t="shared" si="16"/>
        <v>-2623872.125</v>
      </c>
      <c r="BX38" s="53">
        <f t="shared" si="16"/>
        <v>-48278.125</v>
      </c>
      <c r="BY38" s="53">
        <f t="shared" si="16"/>
        <v>-24609912</v>
      </c>
      <c r="BZ38" s="53">
        <f t="shared" si="16"/>
        <v>-6596984</v>
      </c>
      <c r="CA38" s="53">
        <f t="shared" si="16"/>
        <v>-1539000</v>
      </c>
      <c r="CB38" s="53">
        <f t="shared" si="16"/>
        <v>-16473928</v>
      </c>
      <c r="CC38" s="53">
        <f t="shared" si="16"/>
        <v>-77.418415624999994</v>
      </c>
      <c r="CD38" s="53">
        <f t="shared" si="16"/>
        <v>-80.140518749999998</v>
      </c>
      <c r="CE38" s="53">
        <f t="shared" si="16"/>
        <v>-39.70821875</v>
      </c>
      <c r="CF38" s="53">
        <f t="shared" si="16"/>
        <v>-44.538234375000009</v>
      </c>
      <c r="CG38" s="53">
        <f t="shared" si="16"/>
        <v>-47.814162500000009</v>
      </c>
      <c r="CJ38" t="s">
        <v>244</v>
      </c>
    </row>
    <row r="39" spans="1:88" ht="16" outlineLevel="1" thickBot="1" x14ac:dyDescent="0.25">
      <c r="A39" s="26"/>
      <c r="B39" s="26" t="s">
        <v>82</v>
      </c>
      <c r="C39" s="27" t="s">
        <v>237</v>
      </c>
      <c r="D39" s="26">
        <v>333190689</v>
      </c>
      <c r="E39" s="27">
        <v>11</v>
      </c>
      <c r="F39" s="27">
        <v>32</v>
      </c>
      <c r="G39" s="27">
        <v>30</v>
      </c>
      <c r="I39" s="28">
        <f t="shared" si="0"/>
        <v>42.438195</v>
      </c>
      <c r="J39" s="29">
        <f t="shared" si="1"/>
        <v>0.1358603631327765</v>
      </c>
      <c r="K39" s="29">
        <f t="shared" si="2"/>
        <v>3.9490059099460607E-2</v>
      </c>
      <c r="L39" s="29">
        <f t="shared" si="3"/>
        <v>3.0117168130109423E-2</v>
      </c>
      <c r="M39" s="29">
        <f t="shared" si="4"/>
        <v>9.6370304033315896E-2</v>
      </c>
      <c r="N39" s="26">
        <f t="shared" si="5"/>
        <v>13157720</v>
      </c>
      <c r="O39" s="29">
        <v>16</v>
      </c>
      <c r="P39" s="30">
        <v>82025858</v>
      </c>
      <c r="Q39" s="30">
        <v>2563308.0625</v>
      </c>
      <c r="R39" s="30">
        <v>19366.5625</v>
      </c>
      <c r="S39" s="31">
        <v>45267408</v>
      </c>
      <c r="T39" s="31">
        <v>10034760</v>
      </c>
      <c r="U39" s="31">
        <v>3122960</v>
      </c>
      <c r="V39" s="31">
        <v>32109688</v>
      </c>
      <c r="W39" s="32">
        <v>78.318231249999997</v>
      </c>
      <c r="X39" s="32">
        <v>81.877509374999974</v>
      </c>
      <c r="Y39" s="32">
        <v>41.303937499999989</v>
      </c>
      <c r="Z39" s="32">
        <v>45.534306250000007</v>
      </c>
      <c r="AA39" s="32">
        <v>49.130743749999993</v>
      </c>
      <c r="AB39" s="33">
        <v>3108.16</v>
      </c>
      <c r="AC39" s="33">
        <v>8136.05</v>
      </c>
      <c r="AD39" s="33">
        <v>50.872</v>
      </c>
      <c r="AE39" s="33">
        <v>48.18</v>
      </c>
      <c r="AG39" s="28" t="str">
        <f t="shared" si="6"/>
        <v>·</v>
      </c>
      <c r="AH39" s="29" t="str">
        <f t="shared" si="7"/>
        <v>·</v>
      </c>
      <c r="AI39" s="29" t="str">
        <f t="shared" si="8"/>
        <v>·</v>
      </c>
      <c r="AJ39" s="29" t="str">
        <f t="shared" si="9"/>
        <v>·</v>
      </c>
      <c r="AK39" s="29" t="str">
        <f t="shared" si="10"/>
        <v>·</v>
      </c>
      <c r="AL39" s="26" t="str">
        <f t="shared" si="11"/>
        <v/>
      </c>
      <c r="AM39" s="29">
        <v>16</v>
      </c>
      <c r="AN39" s="30"/>
      <c r="AO39" s="30"/>
      <c r="AP39" s="30"/>
      <c r="AQ39" s="31"/>
      <c r="AR39" s="31"/>
      <c r="AS39" s="31"/>
      <c r="AT39" s="31"/>
      <c r="AU39" s="32"/>
      <c r="AV39" s="32"/>
      <c r="AW39" s="32"/>
      <c r="AX39" s="32"/>
      <c r="AY39" s="32"/>
      <c r="AZ39" s="33"/>
      <c r="BA39" s="33"/>
      <c r="BB39" s="33"/>
      <c r="BC39" s="33"/>
      <c r="BE39" s="34" t="e">
        <f t="shared" si="12"/>
        <v>#VALUE!</v>
      </c>
      <c r="BF39" s="35" t="e">
        <f t="shared" si="13"/>
        <v>#DIV/0!</v>
      </c>
      <c r="BG39" s="35" t="e">
        <f t="shared" si="14"/>
        <v>#VALUE!</v>
      </c>
      <c r="BH39" s="35"/>
      <c r="BJ39" s="34"/>
      <c r="BK39" s="34"/>
      <c r="BL39" s="34"/>
      <c r="BM39" s="34"/>
      <c r="BN39" s="34"/>
      <c r="BP39" s="34"/>
      <c r="BQ39" s="34"/>
      <c r="BR39" s="34"/>
      <c r="BS39" s="34"/>
      <c r="BT39" s="34"/>
      <c r="BV39" s="53">
        <f t="shared" si="16"/>
        <v>-82025858</v>
      </c>
      <c r="BW39" s="53">
        <f t="shared" si="16"/>
        <v>-2563308.0625</v>
      </c>
      <c r="BX39" s="53">
        <f t="shared" si="16"/>
        <v>-19366.5625</v>
      </c>
      <c r="BY39" s="53">
        <f t="shared" si="16"/>
        <v>-45267408</v>
      </c>
      <c r="BZ39" s="53">
        <f t="shared" si="16"/>
        <v>-10034760</v>
      </c>
      <c r="CA39" s="53">
        <f t="shared" si="16"/>
        <v>-3122960</v>
      </c>
      <c r="CB39" s="53">
        <f t="shared" si="16"/>
        <v>-32109688</v>
      </c>
      <c r="CC39" s="53">
        <f t="shared" si="16"/>
        <v>-78.318231249999997</v>
      </c>
      <c r="CD39" s="53">
        <f t="shared" si="16"/>
        <v>-81.877509374999974</v>
      </c>
      <c r="CE39" s="53">
        <f t="shared" si="16"/>
        <v>-41.303937499999989</v>
      </c>
      <c r="CF39" s="53">
        <f t="shared" si="16"/>
        <v>-45.534306250000007</v>
      </c>
      <c r="CG39" s="53">
        <f t="shared" si="16"/>
        <v>-49.130743749999993</v>
      </c>
      <c r="CJ39" t="s">
        <v>244</v>
      </c>
    </row>
    <row r="40" spans="1:88" ht="16" x14ac:dyDescent="0.2">
      <c r="B40" s="46" t="s">
        <v>16</v>
      </c>
      <c r="J40" s="47">
        <f>AVERAGE(J5:J24)</f>
        <v>4.4675299317744624E-2</v>
      </c>
      <c r="K40" s="47">
        <f>AVERAGE(K5:K24)</f>
        <v>1.3934320314145566E-2</v>
      </c>
      <c r="L40" s="47">
        <f>AVERAGE(L5:L24)</f>
        <v>9.696269410246797E-3</v>
      </c>
      <c r="M40" s="47">
        <f>AVERAGE(M5:M24)</f>
        <v>3.074097900359906E-2</v>
      </c>
      <c r="AH40" s="47" t="e">
        <f>AVERAGE(AH5:AH24)</f>
        <v>#DIV/0!</v>
      </c>
      <c r="AI40" s="47" t="e">
        <f>AVERAGE(AI5:AI24)</f>
        <v>#DIV/0!</v>
      </c>
      <c r="AJ40" s="47" t="e">
        <f>AVERAGE(AJ5:AJ24)</f>
        <v>#DIV/0!</v>
      </c>
      <c r="AK40" s="47" t="e">
        <f>AVERAGE(AK5:AK24)</f>
        <v>#DIV/0!</v>
      </c>
      <c r="BE40" s="51" t="e">
        <f t="shared" si="12"/>
        <v>#DIV/0!</v>
      </c>
      <c r="BH40" s="55" t="e">
        <f>AVERAGE(BH5:BH24)</f>
        <v>#VALUE!</v>
      </c>
      <c r="BJ40" s="51" t="e">
        <f>AVERAGE(BJ5:BJ24)</f>
        <v>#DIV/0!</v>
      </c>
      <c r="BK40" s="51" t="e">
        <f>AVERAGE(BK5:BK24)</f>
        <v>#DIV/0!</v>
      </c>
      <c r="BL40" s="51" t="e">
        <f>AVERAGE(BL5:BL24)</f>
        <v>#DIV/0!</v>
      </c>
      <c r="BM40" s="51" t="e">
        <f>AVERAGE(BM5:BM24)</f>
        <v>#DIV/0!</v>
      </c>
      <c r="BN40" s="51" t="e">
        <f>AVERAGE(BN5:BN24)</f>
        <v>#DIV/0!</v>
      </c>
      <c r="BP40" s="51" t="e">
        <f>AVERAGE(BP5:BP24)</f>
        <v>#DIV/0!</v>
      </c>
      <c r="BQ40" s="51" t="e">
        <f>AVERAGE(BQ5:BQ24)</f>
        <v>#DIV/0!</v>
      </c>
      <c r="BR40" s="51" t="e">
        <f>AVERAGE(BR5:BR24)</f>
        <v>#DIV/0!</v>
      </c>
      <c r="BS40" s="51" t="e">
        <f>AVERAGE(BS5:BS24)</f>
        <v>#DIV/0!</v>
      </c>
      <c r="BT40" s="51" t="e">
        <f>AVERAGE(BT5:BT24)</f>
        <v>#DIV/0!</v>
      </c>
    </row>
    <row r="41" spans="1:88" ht="16" x14ac:dyDescent="0.2">
      <c r="B41" s="46" t="s">
        <v>17</v>
      </c>
      <c r="J41" s="47">
        <f>AVERAGE(J25:J29)</f>
        <v>8.0184473190074892E-2</v>
      </c>
      <c r="K41" s="47">
        <f>AVERAGE(K25:K29)</f>
        <v>1.2464595817739278E-2</v>
      </c>
      <c r="L41" s="47">
        <f>AVERAGE(L25:L29)</f>
        <v>9.1151281892310389E-3</v>
      </c>
      <c r="M41" s="47">
        <f>AVERAGE(M25:M29)</f>
        <v>6.7719877372335618E-2</v>
      </c>
      <c r="AH41" s="47" t="e">
        <f>AVERAGE(AH25:AH29)</f>
        <v>#DIV/0!</v>
      </c>
      <c r="AI41" s="47" t="e">
        <f>AVERAGE(AI25:AI29)</f>
        <v>#DIV/0!</v>
      </c>
      <c r="AJ41" s="47" t="e">
        <f>AVERAGE(AJ25:AJ29)</f>
        <v>#DIV/0!</v>
      </c>
      <c r="AK41" s="47" t="e">
        <f>AVERAGE(AK25:AK29)</f>
        <v>#DIV/0!</v>
      </c>
      <c r="BE41" s="51" t="e">
        <f t="shared" si="12"/>
        <v>#DIV/0!</v>
      </c>
      <c r="BH41" s="55" t="e">
        <f>AVERAGE(BH25:BH29)</f>
        <v>#VALUE!</v>
      </c>
      <c r="BJ41" s="51" t="e">
        <f>AVERAGE(BJ25:BJ29)</f>
        <v>#DIV/0!</v>
      </c>
      <c r="BK41" s="51" t="e">
        <f>AVERAGE(BK25:BK29)</f>
        <v>#DIV/0!</v>
      </c>
      <c r="BL41" s="51" t="e">
        <f>AVERAGE(BL25:BL29)</f>
        <v>#DIV/0!</v>
      </c>
      <c r="BM41" s="51" t="e">
        <f>AVERAGE(BM25:BM29)</f>
        <v>#DIV/0!</v>
      </c>
      <c r="BN41" s="51" t="e">
        <f>AVERAGE(BN25:BN29)</f>
        <v>#DIV/0!</v>
      </c>
      <c r="BP41" s="51" t="e">
        <f>AVERAGE(BP25:BP29)</f>
        <v>#DIV/0!</v>
      </c>
      <c r="BQ41" s="51" t="e">
        <f>AVERAGE(BQ25:BQ29)</f>
        <v>#DIV/0!</v>
      </c>
      <c r="BR41" s="51" t="e">
        <f>AVERAGE(BR25:BR29)</f>
        <v>#DIV/0!</v>
      </c>
      <c r="BS41" s="51" t="e">
        <f>AVERAGE(BS25:BS29)</f>
        <v>#DIV/0!</v>
      </c>
      <c r="BT41" s="51" t="e">
        <f>AVERAGE(BT25:BT29)</f>
        <v>#DIV/0!</v>
      </c>
    </row>
    <row r="42" spans="1:88" ht="16" x14ac:dyDescent="0.2">
      <c r="B42" s="46" t="s">
        <v>18</v>
      </c>
      <c r="J42" s="47">
        <f>AVERAGE(J30:J39)</f>
        <v>5.5243037645730686E-2</v>
      </c>
      <c r="K42" s="47">
        <f>AVERAGE(K30:K39)</f>
        <v>2.0098335575239341E-2</v>
      </c>
      <c r="L42" s="47">
        <f>AVERAGE(L30:L39)</f>
        <v>1.5038954141750719E-2</v>
      </c>
      <c r="M42" s="47">
        <f>AVERAGE(M30:M39)</f>
        <v>3.5144702070491349E-2</v>
      </c>
      <c r="AH42" s="47" t="e">
        <f>AVERAGE(AH30:AH39)</f>
        <v>#DIV/0!</v>
      </c>
      <c r="AI42" s="47" t="e">
        <f>AVERAGE(AI30:AI39)</f>
        <v>#DIV/0!</v>
      </c>
      <c r="AJ42" s="47" t="e">
        <f>AVERAGE(AJ30:AJ39)</f>
        <v>#DIV/0!</v>
      </c>
      <c r="AK42" s="47" t="e">
        <f>AVERAGE(AK30:AK39)</f>
        <v>#DIV/0!</v>
      </c>
      <c r="BE42" s="51" t="e">
        <f t="shared" si="12"/>
        <v>#DIV/0!</v>
      </c>
      <c r="BH42" s="55" t="e">
        <f>AVERAGE(BH30:BH39)</f>
        <v>#VALUE!</v>
      </c>
      <c r="BJ42" s="51" t="e">
        <f>AVERAGE(BJ30:BJ39)</f>
        <v>#DIV/0!</v>
      </c>
      <c r="BK42" s="51" t="e">
        <f>AVERAGE(BK30:BK39)</f>
        <v>#DIV/0!</v>
      </c>
      <c r="BL42" s="51" t="e">
        <f>AVERAGE(BL30:BL39)</f>
        <v>#DIV/0!</v>
      </c>
      <c r="BM42" s="51" t="e">
        <f>AVERAGE(BM30:BM39)</f>
        <v>#DIV/0!</v>
      </c>
      <c r="BN42" s="51" t="e">
        <f>AVERAGE(BN30:BN39)</f>
        <v>#DIV/0!</v>
      </c>
      <c r="BP42" s="51" t="e">
        <f>AVERAGE(BP30:BP39)</f>
        <v>#DIV/0!</v>
      </c>
      <c r="BQ42" s="51" t="e">
        <f>AVERAGE(BQ30:BQ39)</f>
        <v>#DIV/0!</v>
      </c>
      <c r="BR42" s="51" t="e">
        <f>AVERAGE(BR30:BR39)</f>
        <v>#DIV/0!</v>
      </c>
      <c r="BS42" s="51" t="e">
        <f>AVERAGE(BS30:BS39)</f>
        <v>#DIV/0!</v>
      </c>
      <c r="BT42" s="51" t="e">
        <f>AVERAGE(BT30:BT39)</f>
        <v>#DIV/0!</v>
      </c>
    </row>
    <row r="43" spans="1:88" ht="16" x14ac:dyDescent="0.2">
      <c r="B43" s="46" t="s">
        <v>19</v>
      </c>
      <c r="J43" s="47">
        <f>AVERAGE(J5:J39)</f>
        <v>5.2767392250359257E-2</v>
      </c>
      <c r="K43" s="47">
        <f>AVERAGE(K5:K39)</f>
        <v>1.5485506889257174E-2</v>
      </c>
      <c r="L43" s="47">
        <f>AVERAGE(L5:L39)</f>
        <v>1.1139730587674238E-2</v>
      </c>
      <c r="M43" s="47">
        <f>AVERAGE(M5:M39)</f>
        <v>3.728188536110208E-2</v>
      </c>
      <c r="AH43" s="47" t="e">
        <f>AVERAGE(AH5:AH39)</f>
        <v>#DIV/0!</v>
      </c>
      <c r="AI43" s="47" t="e">
        <f>AVERAGE(AI5:AI39)</f>
        <v>#DIV/0!</v>
      </c>
      <c r="AJ43" s="47" t="e">
        <f>AVERAGE(AJ5:AJ39)</f>
        <v>#DIV/0!</v>
      </c>
      <c r="AK43" s="47" t="e">
        <f>AVERAGE(AK5:AK39)</f>
        <v>#DIV/0!</v>
      </c>
      <c r="BE43" s="51" t="e">
        <f t="shared" si="12"/>
        <v>#DIV/0!</v>
      </c>
      <c r="BH43" s="55" t="e">
        <f>AVERAGE(BH5:BH39)</f>
        <v>#VALUE!</v>
      </c>
      <c r="BJ43" s="51" t="e">
        <f>AVERAGE(BJ5:BJ39)</f>
        <v>#DIV/0!</v>
      </c>
      <c r="BK43" s="51" t="e">
        <f>AVERAGE(BK5:BK39)</f>
        <v>#DIV/0!</v>
      </c>
      <c r="BL43" s="51" t="e">
        <f>AVERAGE(BL5:BL39)</f>
        <v>#DIV/0!</v>
      </c>
      <c r="BM43" s="51" t="e">
        <f>AVERAGE(BM5:BM39)</f>
        <v>#DIV/0!</v>
      </c>
      <c r="BN43" s="51" t="e">
        <f>AVERAGE(BN5:BN39)</f>
        <v>#DIV/0!</v>
      </c>
      <c r="BP43" s="51" t="e">
        <f>AVERAGE(BP5:BP39)</f>
        <v>#DIV/0!</v>
      </c>
      <c r="BQ43" s="51" t="e">
        <f>AVERAGE(BQ5:BQ39)</f>
        <v>#DIV/0!</v>
      </c>
      <c r="BR43" s="51" t="e">
        <f>AVERAGE(BR5:BR39)</f>
        <v>#DIV/0!</v>
      </c>
      <c r="BS43" s="51" t="e">
        <f>AVERAGE(BS5:BS39)</f>
        <v>#DIV/0!</v>
      </c>
      <c r="BT43" s="51" t="e">
        <f>AVERAGE(BT5:BT39)</f>
        <v>#DIV/0!</v>
      </c>
    </row>
    <row r="44" spans="1:88" ht="16" hidden="1" outlineLevel="2" x14ac:dyDescent="0.2">
      <c r="A44" s="46" t="s">
        <v>245</v>
      </c>
      <c r="B44" s="46" t="s">
        <v>246</v>
      </c>
      <c r="AB44" s="48">
        <f>SUM(AB5:AB24,AB25:AB29,AB30:AB39)</f>
        <v>115716.1</v>
      </c>
      <c r="AC44" s="48">
        <f>SUM(AC5:AC24,AC25:AC29,AC30:AC39)</f>
        <v>99857.21</v>
      </c>
      <c r="AD44" s="48">
        <f>SUM(AD5:AD24,AD25:AD29,AD30:AD39)</f>
        <v>771.32799999999986</v>
      </c>
      <c r="AE44" s="48">
        <f>SUM(AE5:AE24,AE25:AE29,AE30:AE39)</f>
        <v>640.26400000000001</v>
      </c>
      <c r="AZ44" s="48">
        <f>SUM(AZ5:AZ24,AZ25:AZ29,AZ30:AZ39)</f>
        <v>0</v>
      </c>
      <c r="BA44" s="48">
        <f>SUM(BA5:BA24,BA25:BA29,BA30:BA39)</f>
        <v>0</v>
      </c>
      <c r="BB44" s="48">
        <f>SUM(BB5:BB24,BB25:BB29,BB30:BB39)</f>
        <v>0</v>
      </c>
      <c r="BC44" s="48">
        <f>SUM(BC5:BC24,BC25:BC29,BC30:BC39)</f>
        <v>0</v>
      </c>
    </row>
    <row r="45" spans="1:88" ht="16" hidden="1" outlineLevel="2" x14ac:dyDescent="0.2">
      <c r="B45" s="46" t="s">
        <v>247</v>
      </c>
      <c r="AZ45" s="55">
        <f>AZ44/AB44</f>
        <v>0</v>
      </c>
      <c r="BA45" s="55">
        <f>BA44/AC44</f>
        <v>0</v>
      </c>
      <c r="BB45" s="55">
        <f>BB44/AD44</f>
        <v>0</v>
      </c>
      <c r="BC45" s="55">
        <f>BC44/AE44</f>
        <v>0</v>
      </c>
    </row>
    <row r="46" spans="1:88" ht="16" hidden="1" outlineLevel="2" x14ac:dyDescent="0.2">
      <c r="B46" s="46" t="s">
        <v>248</v>
      </c>
      <c r="AB46" s="48">
        <f>GEOMEAN(AB5:AB24,AB25:AB29,AB30:AB39)</f>
        <v>3135.7980604223867</v>
      </c>
      <c r="AC46" s="48">
        <f>GEOMEAN(AC5:AC24,AC25:AC29,AC30:AC39)</f>
        <v>2372.164310088971</v>
      </c>
      <c r="AD46" s="48">
        <f>GEOMEAN(AD5:AD24,AD25:AD29,AD30:AD39)</f>
        <v>18.575603744785184</v>
      </c>
      <c r="AE46" s="48">
        <f>GEOMEAN(AE5:AE24,AE25:AE29,AE30:AE39)</f>
        <v>15.607504487029411</v>
      </c>
      <c r="AZ46" s="48" t="e">
        <f>GEOMEAN(AZ5:AZ24,AZ25:AZ29,AZ30:AZ39)</f>
        <v>#NUM!</v>
      </c>
      <c r="BA46" s="48" t="e">
        <f>GEOMEAN(BA5:BA24,BA25:BA29,BA30:BA39)</f>
        <v>#NUM!</v>
      </c>
      <c r="BB46" s="48" t="e">
        <f>GEOMEAN(BB5:BB24,BB25:BB29,BB30:BB39)</f>
        <v>#NUM!</v>
      </c>
      <c r="BC46" s="48" t="e">
        <f>GEOMEAN(BC5:BC24,BC25:BC29,BC30:BC39)</f>
        <v>#NUM!</v>
      </c>
    </row>
    <row r="47" spans="1:88" ht="16" outlineLevel="2" collapsed="1" x14ac:dyDescent="0.2">
      <c r="B47" s="46" t="s">
        <v>249</v>
      </c>
      <c r="AZ47" s="55" t="e">
        <f>AZ46/AB46</f>
        <v>#NUM!</v>
      </c>
      <c r="BA47" s="55" t="e">
        <f>BA46/AC46</f>
        <v>#NUM!</v>
      </c>
      <c r="BB47" s="55" t="e">
        <f>BB46/AD46</f>
        <v>#NUM!</v>
      </c>
      <c r="BC47" s="55" t="e">
        <f>BC46/AE46</f>
        <v>#NUM!</v>
      </c>
    </row>
  </sheetData>
  <mergeCells count="48">
    <mergeCell ref="CE2:CG2"/>
    <mergeCell ref="BV2:BV3"/>
    <mergeCell ref="BW2:BW3"/>
    <mergeCell ref="BX2:BX3"/>
    <mergeCell ref="BY2:CB2"/>
    <mergeCell ref="CC2:CD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250</v>
      </c>
      <c r="B1">
        <v>1</v>
      </c>
    </row>
    <row r="2" spans="1:2" x14ac:dyDescent="0.2">
      <c r="A2" t="s">
        <v>251</v>
      </c>
      <c r="B2">
        <v>2</v>
      </c>
    </row>
    <row r="3" spans="1:2" x14ac:dyDescent="0.2">
      <c r="A3" t="s">
        <v>252</v>
      </c>
      <c r="B3">
        <v>3</v>
      </c>
    </row>
    <row r="4" spans="1:2" x14ac:dyDescent="0.2">
      <c r="A4" t="s">
        <v>253</v>
      </c>
      <c r="B4">
        <v>4</v>
      </c>
    </row>
    <row r="5" spans="1:2" x14ac:dyDescent="0.2">
      <c r="A5" t="s">
        <v>254</v>
      </c>
      <c r="B5">
        <v>5</v>
      </c>
    </row>
    <row r="6" spans="1:2" x14ac:dyDescent="0.2">
      <c r="A6" t="s">
        <v>255</v>
      </c>
      <c r="B6">
        <v>6</v>
      </c>
    </row>
    <row r="7" spans="1:2" x14ac:dyDescent="0.2">
      <c r="A7" t="s">
        <v>256</v>
      </c>
      <c r="B7">
        <v>7</v>
      </c>
    </row>
    <row r="8" spans="1:2" x14ac:dyDescent="0.2">
      <c r="A8" t="s">
        <v>257</v>
      </c>
      <c r="B8">
        <v>9</v>
      </c>
    </row>
    <row r="9" spans="1:2" x14ac:dyDescent="0.2">
      <c r="A9" t="s">
        <v>258</v>
      </c>
      <c r="B9">
        <v>10</v>
      </c>
    </row>
    <row r="10" spans="1:2" x14ac:dyDescent="0.2">
      <c r="A10" t="s">
        <v>259</v>
      </c>
      <c r="B10">
        <v>11</v>
      </c>
    </row>
    <row r="11" spans="1:2" x14ac:dyDescent="0.2">
      <c r="A11" t="s">
        <v>260</v>
      </c>
      <c r="B11">
        <v>12</v>
      </c>
    </row>
    <row r="12" spans="1:2" x14ac:dyDescent="0.2">
      <c r="A12" t="s">
        <v>261</v>
      </c>
      <c r="B12">
        <v>13</v>
      </c>
    </row>
    <row r="13" spans="1:2" x14ac:dyDescent="0.2">
      <c r="A13" t="s">
        <v>262</v>
      </c>
      <c r="B13">
        <v>14</v>
      </c>
    </row>
    <row r="14" spans="1:2" x14ac:dyDescent="0.2">
      <c r="A14" t="s">
        <v>263</v>
      </c>
      <c r="B14">
        <v>15</v>
      </c>
    </row>
    <row r="15" spans="1:2" x14ac:dyDescent="0.2">
      <c r="A15" t="s">
        <v>264</v>
      </c>
      <c r="B15">
        <v>16</v>
      </c>
    </row>
    <row r="16" spans="1:2" x14ac:dyDescent="0.2">
      <c r="A16" t="s">
        <v>265</v>
      </c>
      <c r="B16">
        <v>17</v>
      </c>
    </row>
    <row r="17" spans="1:2" x14ac:dyDescent="0.2">
      <c r="A17" t="s">
        <v>266</v>
      </c>
      <c r="B17">
        <v>18</v>
      </c>
    </row>
    <row r="18" spans="1:2" x14ac:dyDescent="0.2">
      <c r="A18" t="s">
        <v>267</v>
      </c>
      <c r="B18">
        <v>19</v>
      </c>
    </row>
    <row r="19" spans="1:2" x14ac:dyDescent="0.2">
      <c r="A19" t="s">
        <v>268</v>
      </c>
      <c r="B19">
        <v>20</v>
      </c>
    </row>
    <row r="20" spans="1:2" x14ac:dyDescent="0.2">
      <c r="A20" t="s">
        <v>269</v>
      </c>
      <c r="B20">
        <v>21</v>
      </c>
    </row>
    <row r="21" spans="1:2" x14ac:dyDescent="0.2">
      <c r="A21" t="s">
        <v>270</v>
      </c>
      <c r="B21">
        <v>22</v>
      </c>
    </row>
    <row r="22" spans="1:2" x14ac:dyDescent="0.2">
      <c r="A22" t="s">
        <v>271</v>
      </c>
      <c r="B22">
        <v>23</v>
      </c>
    </row>
    <row r="23" spans="1:2" x14ac:dyDescent="0.2">
      <c r="A23" t="s">
        <v>272</v>
      </c>
      <c r="B23">
        <v>24</v>
      </c>
    </row>
    <row r="24" spans="1:2" x14ac:dyDescent="0.2">
      <c r="A24" t="s">
        <v>273</v>
      </c>
      <c r="B24">
        <v>25</v>
      </c>
    </row>
    <row r="25" spans="1:2" x14ac:dyDescent="0.2">
      <c r="A25" t="s">
        <v>274</v>
      </c>
      <c r="B25">
        <v>26</v>
      </c>
    </row>
    <row r="26" spans="1:2" x14ac:dyDescent="0.2">
      <c r="A26" t="s">
        <v>275</v>
      </c>
      <c r="B26">
        <v>27</v>
      </c>
    </row>
    <row r="27" spans="1:2" x14ac:dyDescent="0.2">
      <c r="A27" t="s">
        <v>276</v>
      </c>
      <c r="B27">
        <v>28</v>
      </c>
    </row>
    <row r="28" spans="1:2" x14ac:dyDescent="0.2">
      <c r="A28" t="s">
        <v>277</v>
      </c>
      <c r="B28">
        <v>29</v>
      </c>
    </row>
    <row r="29" spans="1:2" x14ac:dyDescent="0.2">
      <c r="A29" t="s">
        <v>278</v>
      </c>
      <c r="B29">
        <v>30</v>
      </c>
    </row>
    <row r="30" spans="1:2" x14ac:dyDescent="0.2">
      <c r="A30" t="s">
        <v>279</v>
      </c>
      <c r="B30">
        <v>31</v>
      </c>
    </row>
    <row r="31" spans="1:2" x14ac:dyDescent="0.2">
      <c r="A31" t="s">
        <v>280</v>
      </c>
      <c r="B31">
        <v>33</v>
      </c>
    </row>
    <row r="32" spans="1:2" x14ac:dyDescent="0.2">
      <c r="A32" t="s">
        <v>281</v>
      </c>
      <c r="B32">
        <v>34</v>
      </c>
    </row>
    <row r="33" spans="1:2" x14ac:dyDescent="0.2">
      <c r="A33" t="s">
        <v>282</v>
      </c>
      <c r="B33">
        <v>35</v>
      </c>
    </row>
    <row r="34" spans="1:2" x14ac:dyDescent="0.2">
      <c r="A34" t="s">
        <v>283</v>
      </c>
      <c r="B34">
        <v>36</v>
      </c>
    </row>
    <row r="35" spans="1:2" x14ac:dyDescent="0.2">
      <c r="A35" t="s">
        <v>284</v>
      </c>
      <c r="B35">
        <v>37</v>
      </c>
    </row>
    <row r="36" spans="1:2" x14ac:dyDescent="0.2">
      <c r="A36" t="s">
        <v>285</v>
      </c>
      <c r="B36">
        <v>38</v>
      </c>
    </row>
    <row r="37" spans="1:2" x14ac:dyDescent="0.2">
      <c r="A37" t="s">
        <v>286</v>
      </c>
      <c r="B37">
        <v>39</v>
      </c>
    </row>
    <row r="38" spans="1:2" x14ac:dyDescent="0.2">
      <c r="A38" t="s">
        <v>287</v>
      </c>
      <c r="B38">
        <v>40</v>
      </c>
    </row>
    <row r="39" spans="1:2" x14ac:dyDescent="0.2">
      <c r="A39" t="s">
        <v>288</v>
      </c>
      <c r="B39">
        <v>41</v>
      </c>
    </row>
    <row r="40" spans="1:2" x14ac:dyDescent="0.2">
      <c r="A40" t="s">
        <v>289</v>
      </c>
      <c r="B40">
        <v>42</v>
      </c>
    </row>
    <row r="41" spans="1:2" x14ac:dyDescent="0.2">
      <c r="A41" t="s">
        <v>290</v>
      </c>
      <c r="B41">
        <v>43</v>
      </c>
    </row>
    <row r="42" spans="1:2" x14ac:dyDescent="0.2">
      <c r="A42" t="s">
        <v>291</v>
      </c>
      <c r="B42">
        <v>44</v>
      </c>
    </row>
    <row r="43" spans="1:2" x14ac:dyDescent="0.2">
      <c r="A43" t="s">
        <v>292</v>
      </c>
      <c r="B43">
        <v>45</v>
      </c>
    </row>
    <row r="44" spans="1:2" x14ac:dyDescent="0.2">
      <c r="A44" t="s">
        <v>293</v>
      </c>
      <c r="B44">
        <v>46</v>
      </c>
    </row>
    <row r="45" spans="1:2" x14ac:dyDescent="0.2">
      <c r="A45" t="s">
        <v>294</v>
      </c>
      <c r="B45">
        <v>47</v>
      </c>
    </row>
    <row r="46" spans="1:2" x14ac:dyDescent="0.2">
      <c r="A46" t="s">
        <v>295</v>
      </c>
      <c r="B46">
        <v>48</v>
      </c>
    </row>
    <row r="47" spans="1:2" x14ac:dyDescent="0.2">
      <c r="A47" t="s">
        <v>296</v>
      </c>
      <c r="B47">
        <v>49</v>
      </c>
    </row>
    <row r="48" spans="1:2" x14ac:dyDescent="0.2">
      <c r="A48" t="s">
        <v>297</v>
      </c>
      <c r="B48">
        <v>50</v>
      </c>
    </row>
    <row r="49" spans="1:2" x14ac:dyDescent="0.2">
      <c r="A49" t="s">
        <v>298</v>
      </c>
      <c r="B49">
        <v>51</v>
      </c>
    </row>
    <row r="50" spans="1:2" x14ac:dyDescent="0.2">
      <c r="A50" t="s">
        <v>299</v>
      </c>
      <c r="B50">
        <v>52</v>
      </c>
    </row>
    <row r="51" spans="1:2" x14ac:dyDescent="0.2">
      <c r="A51" t="s">
        <v>300</v>
      </c>
      <c r="B51">
        <v>53</v>
      </c>
    </row>
    <row r="52" spans="1:2" x14ac:dyDescent="0.2">
      <c r="A52" t="s">
        <v>301</v>
      </c>
      <c r="B52">
        <v>54</v>
      </c>
    </row>
    <row r="53" spans="1:2" x14ac:dyDescent="0.2">
      <c r="A53" t="s">
        <v>302</v>
      </c>
      <c r="B53">
        <v>55</v>
      </c>
    </row>
    <row r="54" spans="1:2" x14ac:dyDescent="0.2">
      <c r="A54" t="s">
        <v>303</v>
      </c>
      <c r="B54">
        <v>57</v>
      </c>
    </row>
    <row r="55" spans="1:2" x14ac:dyDescent="0.2">
      <c r="A55" t="s">
        <v>304</v>
      </c>
      <c r="B55">
        <v>58</v>
      </c>
    </row>
    <row r="56" spans="1:2" x14ac:dyDescent="0.2">
      <c r="A56" t="s">
        <v>305</v>
      </c>
      <c r="B56">
        <v>59</v>
      </c>
    </row>
    <row r="57" spans="1:2" x14ac:dyDescent="0.2">
      <c r="A57" t="s">
        <v>306</v>
      </c>
      <c r="B57">
        <v>60</v>
      </c>
    </row>
    <row r="58" spans="1:2" x14ac:dyDescent="0.2">
      <c r="A58" t="s">
        <v>307</v>
      </c>
      <c r="B58">
        <v>62</v>
      </c>
    </row>
    <row r="59" spans="1:2" x14ac:dyDescent="0.2">
      <c r="A59" t="s">
        <v>308</v>
      </c>
      <c r="B59">
        <v>63</v>
      </c>
    </row>
    <row r="60" spans="1:2" x14ac:dyDescent="0.2">
      <c r="A60" t="s">
        <v>309</v>
      </c>
      <c r="B60">
        <v>64</v>
      </c>
    </row>
    <row r="61" spans="1:2" x14ac:dyDescent="0.2">
      <c r="A61" t="s">
        <v>310</v>
      </c>
      <c r="B61">
        <v>65</v>
      </c>
    </row>
    <row r="62" spans="1:2" x14ac:dyDescent="0.2">
      <c r="A62" t="s">
        <v>311</v>
      </c>
      <c r="B62">
        <v>66</v>
      </c>
    </row>
    <row r="63" spans="1:2" x14ac:dyDescent="0.2">
      <c r="A63" t="s">
        <v>312</v>
      </c>
      <c r="B63">
        <v>68</v>
      </c>
    </row>
    <row r="64" spans="1:2" x14ac:dyDescent="0.2">
      <c r="A64" t="s">
        <v>313</v>
      </c>
      <c r="B64">
        <v>69</v>
      </c>
    </row>
    <row r="65" spans="1:24" x14ac:dyDescent="0.2">
      <c r="A65" t="s">
        <v>314</v>
      </c>
      <c r="B65">
        <v>70</v>
      </c>
    </row>
    <row r="66" spans="1:24" x14ac:dyDescent="0.2">
      <c r="A66" t="s">
        <v>315</v>
      </c>
      <c r="B66">
        <v>71</v>
      </c>
    </row>
    <row r="67" spans="1:24" x14ac:dyDescent="0.2">
      <c r="A67" t="s">
        <v>316</v>
      </c>
      <c r="B67">
        <v>72</v>
      </c>
    </row>
    <row r="68" spans="1:24" x14ac:dyDescent="0.2">
      <c r="A68" t="s">
        <v>317</v>
      </c>
      <c r="B68" t="s">
        <v>318</v>
      </c>
    </row>
    <row r="69" spans="1:24" x14ac:dyDescent="0.2">
      <c r="A69" t="s">
        <v>319</v>
      </c>
      <c r="B69" t="s">
        <v>320</v>
      </c>
    </row>
    <row r="70" spans="1:24" x14ac:dyDescent="0.2">
      <c r="A70" t="s">
        <v>321</v>
      </c>
      <c r="B70" t="s">
        <v>322</v>
      </c>
    </row>
    <row r="71" spans="1:24" x14ac:dyDescent="0.2">
      <c r="A71" t="s">
        <v>323</v>
      </c>
      <c r="B71" t="s">
        <v>324</v>
      </c>
    </row>
    <row r="72" spans="1:24" x14ac:dyDescent="0.2">
      <c r="A72" t="s">
        <v>325</v>
      </c>
      <c r="B72" t="s">
        <v>326</v>
      </c>
    </row>
    <row r="73" spans="1:24" x14ac:dyDescent="0.2">
      <c r="A73" t="s">
        <v>327</v>
      </c>
      <c r="B73" t="s">
        <v>328</v>
      </c>
    </row>
    <row r="74" spans="1:24" x14ac:dyDescent="0.2">
      <c r="A74" t="s">
        <v>329</v>
      </c>
      <c r="B74" t="s">
        <v>330</v>
      </c>
    </row>
    <row r="75" spans="1:24" x14ac:dyDescent="0.2">
      <c r="A75" t="s">
        <v>331</v>
      </c>
      <c r="B75" t="s">
        <v>332</v>
      </c>
    </row>
    <row r="76" spans="1:24" x14ac:dyDescent="0.2">
      <c r="A76" t="s">
        <v>333</v>
      </c>
      <c r="B76" t="s">
        <v>334</v>
      </c>
    </row>
    <row r="77" spans="1:24" x14ac:dyDescent="0.2">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
      <c r="A78" t="s">
        <v>336</v>
      </c>
      <c r="B78">
        <v>1</v>
      </c>
    </row>
    <row r="79" spans="1:24" x14ac:dyDescent="0.2">
      <c r="A79" t="s">
        <v>337</v>
      </c>
      <c r="B79">
        <v>2</v>
      </c>
    </row>
    <row r="80" spans="1:24" x14ac:dyDescent="0.2">
      <c r="A80" t="s">
        <v>338</v>
      </c>
      <c r="B80">
        <v>3</v>
      </c>
    </row>
    <row r="81" spans="1:2" x14ac:dyDescent="0.2">
      <c r="A81" t="s">
        <v>339</v>
      </c>
      <c r="B81">
        <v>4</v>
      </c>
    </row>
    <row r="82" spans="1:2" x14ac:dyDescent="0.2">
      <c r="A82" t="s">
        <v>340</v>
      </c>
      <c r="B82">
        <v>5</v>
      </c>
    </row>
    <row r="83" spans="1:2" x14ac:dyDescent="0.2">
      <c r="A83" t="s">
        <v>341</v>
      </c>
      <c r="B83">
        <v>6</v>
      </c>
    </row>
    <row r="84" spans="1:2" x14ac:dyDescent="0.2">
      <c r="A84" t="s">
        <v>342</v>
      </c>
      <c r="B84">
        <v>8</v>
      </c>
    </row>
    <row r="85" spans="1:2" x14ac:dyDescent="0.2">
      <c r="A85" t="s">
        <v>343</v>
      </c>
      <c r="B85">
        <v>9</v>
      </c>
    </row>
    <row r="86" spans="1:2" x14ac:dyDescent="0.2">
      <c r="A86" t="s">
        <v>344</v>
      </c>
      <c r="B86">
        <v>10</v>
      </c>
    </row>
    <row r="87" spans="1:2" x14ac:dyDescent="0.2">
      <c r="A87" t="s">
        <v>345</v>
      </c>
      <c r="B87">
        <v>11</v>
      </c>
    </row>
    <row r="88" spans="1:2" x14ac:dyDescent="0.2">
      <c r="A88" t="s">
        <v>346</v>
      </c>
      <c r="B88">
        <v>12</v>
      </c>
    </row>
    <row r="89" spans="1:2" x14ac:dyDescent="0.2">
      <c r="A89" t="s">
        <v>347</v>
      </c>
      <c r="B89">
        <v>13</v>
      </c>
    </row>
    <row r="90" spans="1:2" x14ac:dyDescent="0.2">
      <c r="A90" t="s">
        <v>348</v>
      </c>
      <c r="B90">
        <v>14</v>
      </c>
    </row>
    <row r="91" spans="1:2" x14ac:dyDescent="0.2">
      <c r="A91" t="s">
        <v>349</v>
      </c>
      <c r="B91">
        <v>15</v>
      </c>
    </row>
    <row r="92" spans="1:2" x14ac:dyDescent="0.2">
      <c r="A92" t="s">
        <v>350</v>
      </c>
      <c r="B92">
        <v>16</v>
      </c>
    </row>
    <row r="93" spans="1:2" x14ac:dyDescent="0.2">
      <c r="A93" t="s">
        <v>351</v>
      </c>
      <c r="B93">
        <v>17</v>
      </c>
    </row>
    <row r="94" spans="1:2" x14ac:dyDescent="0.2">
      <c r="A94" t="s">
        <v>352</v>
      </c>
      <c r="B94">
        <v>18</v>
      </c>
    </row>
    <row r="95" spans="1:2" x14ac:dyDescent="0.2">
      <c r="A95" t="s">
        <v>353</v>
      </c>
      <c r="B95">
        <v>19</v>
      </c>
    </row>
    <row r="96" spans="1:2" x14ac:dyDescent="0.2">
      <c r="A96" t="s">
        <v>354</v>
      </c>
      <c r="B96">
        <v>20</v>
      </c>
    </row>
    <row r="97" spans="1:2" x14ac:dyDescent="0.2">
      <c r="A97" t="s">
        <v>355</v>
      </c>
      <c r="B97">
        <v>21</v>
      </c>
    </row>
    <row r="98" spans="1:2" x14ac:dyDescent="0.2">
      <c r="A98" t="s">
        <v>356</v>
      </c>
      <c r="B98">
        <v>22</v>
      </c>
    </row>
    <row r="99" spans="1:2" x14ac:dyDescent="0.2">
      <c r="A99" t="s">
        <v>357</v>
      </c>
      <c r="B99">
        <v>23</v>
      </c>
    </row>
    <row r="100" spans="1:2" x14ac:dyDescent="0.2">
      <c r="A100" t="s">
        <v>358</v>
      </c>
      <c r="B100">
        <v>24</v>
      </c>
    </row>
    <row r="101" spans="1:2" x14ac:dyDescent="0.2">
      <c r="A101" t="s">
        <v>359</v>
      </c>
      <c r="B101">
        <v>25</v>
      </c>
    </row>
    <row r="102" spans="1:2" x14ac:dyDescent="0.2">
      <c r="A102" t="s">
        <v>360</v>
      </c>
      <c r="B102">
        <v>26</v>
      </c>
    </row>
    <row r="103" spans="1:2" x14ac:dyDescent="0.2">
      <c r="A103" t="s">
        <v>361</v>
      </c>
      <c r="B103">
        <v>27</v>
      </c>
    </row>
    <row r="104" spans="1:2" x14ac:dyDescent="0.2">
      <c r="A104" t="s">
        <v>362</v>
      </c>
      <c r="B104">
        <v>28</v>
      </c>
    </row>
    <row r="105" spans="1:2" x14ac:dyDescent="0.2">
      <c r="A105" t="s">
        <v>363</v>
      </c>
      <c r="B105">
        <v>29</v>
      </c>
    </row>
    <row r="106" spans="1:2" x14ac:dyDescent="0.2">
      <c r="A106" t="s">
        <v>364</v>
      </c>
      <c r="B106">
        <v>31</v>
      </c>
    </row>
    <row r="107" spans="1:2" x14ac:dyDescent="0.2">
      <c r="A107" t="s">
        <v>365</v>
      </c>
      <c r="B107">
        <v>32</v>
      </c>
    </row>
    <row r="108" spans="1:2" x14ac:dyDescent="0.2">
      <c r="A108" t="s">
        <v>366</v>
      </c>
      <c r="B108">
        <v>33</v>
      </c>
    </row>
    <row r="109" spans="1:2" x14ac:dyDescent="0.2">
      <c r="A109" t="s">
        <v>367</v>
      </c>
      <c r="B109">
        <v>34</v>
      </c>
    </row>
    <row r="110" spans="1:2" x14ac:dyDescent="0.2">
      <c r="A110" t="s">
        <v>368</v>
      </c>
      <c r="B110">
        <v>35</v>
      </c>
    </row>
    <row r="111" spans="1:2" x14ac:dyDescent="0.2">
      <c r="A111" t="s">
        <v>369</v>
      </c>
      <c r="B111">
        <v>36</v>
      </c>
    </row>
    <row r="112" spans="1:2" x14ac:dyDescent="0.2">
      <c r="A112" t="s">
        <v>370</v>
      </c>
      <c r="B112">
        <v>37</v>
      </c>
    </row>
    <row r="113" spans="1:2" x14ac:dyDescent="0.2">
      <c r="A113" t="s">
        <v>371</v>
      </c>
      <c r="B113">
        <v>38</v>
      </c>
    </row>
    <row r="114" spans="1:2" x14ac:dyDescent="0.2">
      <c r="A114" t="s">
        <v>372</v>
      </c>
      <c r="B114">
        <v>39</v>
      </c>
    </row>
    <row r="115" spans="1:2" x14ac:dyDescent="0.2">
      <c r="A115" t="s">
        <v>373</v>
      </c>
      <c r="B115">
        <v>40</v>
      </c>
    </row>
    <row r="116" spans="1:2" x14ac:dyDescent="0.2">
      <c r="A116" t="s">
        <v>374</v>
      </c>
      <c r="B116">
        <v>41</v>
      </c>
    </row>
    <row r="117" spans="1:2" x14ac:dyDescent="0.2">
      <c r="A117" t="s">
        <v>375</v>
      </c>
      <c r="B117">
        <v>42</v>
      </c>
    </row>
    <row r="118" spans="1:2" x14ac:dyDescent="0.2">
      <c r="A118" t="s">
        <v>376</v>
      </c>
      <c r="B118">
        <v>43</v>
      </c>
    </row>
    <row r="119" spans="1:2" x14ac:dyDescent="0.2">
      <c r="A119" t="s">
        <v>377</v>
      </c>
      <c r="B119">
        <v>44</v>
      </c>
    </row>
    <row r="120" spans="1:2" x14ac:dyDescent="0.2">
      <c r="A120" t="s">
        <v>378</v>
      </c>
      <c r="B120">
        <v>45</v>
      </c>
    </row>
    <row r="121" spans="1:2" x14ac:dyDescent="0.2">
      <c r="A121" t="s">
        <v>379</v>
      </c>
      <c r="B121">
        <v>46</v>
      </c>
    </row>
    <row r="122" spans="1:2" x14ac:dyDescent="0.2">
      <c r="A122" t="s">
        <v>380</v>
      </c>
      <c r="B122">
        <v>47</v>
      </c>
    </row>
    <row r="123" spans="1:2" x14ac:dyDescent="0.2">
      <c r="A123" t="s">
        <v>381</v>
      </c>
      <c r="B123">
        <v>48</v>
      </c>
    </row>
    <row r="124" spans="1:2" x14ac:dyDescent="0.2">
      <c r="A124" t="s">
        <v>382</v>
      </c>
      <c r="B124">
        <v>49</v>
      </c>
    </row>
    <row r="125" spans="1:2" x14ac:dyDescent="0.2">
      <c r="A125" t="s">
        <v>383</v>
      </c>
      <c r="B125">
        <v>50</v>
      </c>
    </row>
    <row r="126" spans="1:2" x14ac:dyDescent="0.2">
      <c r="A126" t="s">
        <v>384</v>
      </c>
      <c r="B126">
        <v>51</v>
      </c>
    </row>
    <row r="127" spans="1:2" x14ac:dyDescent="0.2">
      <c r="A127" t="s">
        <v>385</v>
      </c>
      <c r="B127">
        <v>52</v>
      </c>
    </row>
    <row r="128" spans="1:2" x14ac:dyDescent="0.2">
      <c r="A128" t="s">
        <v>386</v>
      </c>
      <c r="B128">
        <v>54</v>
      </c>
    </row>
    <row r="129" spans="1:23" x14ac:dyDescent="0.2">
      <c r="A129" t="s">
        <v>387</v>
      </c>
      <c r="B129">
        <v>55</v>
      </c>
    </row>
    <row r="130" spans="1:23" x14ac:dyDescent="0.2">
      <c r="A130" t="s">
        <v>388</v>
      </c>
      <c r="B130">
        <v>56</v>
      </c>
    </row>
    <row r="131" spans="1:23" x14ac:dyDescent="0.2">
      <c r="A131" t="s">
        <v>389</v>
      </c>
      <c r="B131">
        <v>57</v>
      </c>
    </row>
    <row r="132" spans="1:23" x14ac:dyDescent="0.2">
      <c r="A132" t="s">
        <v>390</v>
      </c>
      <c r="B132">
        <v>58</v>
      </c>
    </row>
    <row r="133" spans="1:23" x14ac:dyDescent="0.2">
      <c r="A133" t="s">
        <v>391</v>
      </c>
      <c r="B133">
        <v>59</v>
      </c>
    </row>
    <row r="134" spans="1:23" x14ac:dyDescent="0.2">
      <c r="A134" t="s">
        <v>392</v>
      </c>
      <c r="B134" t="s">
        <v>393</v>
      </c>
    </row>
    <row r="135" spans="1:23" x14ac:dyDescent="0.2">
      <c r="A135" t="s">
        <v>394</v>
      </c>
      <c r="B135" t="s">
        <v>395</v>
      </c>
    </row>
    <row r="136" spans="1:23" x14ac:dyDescent="0.2">
      <c r="A136" t="s">
        <v>396</v>
      </c>
      <c r="B136" t="s">
        <v>397</v>
      </c>
    </row>
    <row r="137" spans="1:23" x14ac:dyDescent="0.2">
      <c r="A137" t="s">
        <v>398</v>
      </c>
      <c r="B137" t="s">
        <v>399</v>
      </c>
    </row>
    <row r="138" spans="1:23" x14ac:dyDescent="0.2">
      <c r="A138" t="s">
        <v>400</v>
      </c>
      <c r="B138" t="s">
        <v>401</v>
      </c>
    </row>
    <row r="139" spans="1:23" x14ac:dyDescent="0.2">
      <c r="A139" t="s">
        <v>402</v>
      </c>
      <c r="B139" t="s">
        <v>403</v>
      </c>
    </row>
    <row r="140" spans="1:23" x14ac:dyDescent="0.2">
      <c r="A140" t="s">
        <v>404</v>
      </c>
      <c r="B140" t="s">
        <v>405</v>
      </c>
    </row>
    <row r="141" spans="1:23" x14ac:dyDescent="0.2">
      <c r="A141" t="s">
        <v>406</v>
      </c>
      <c r="B141" t="s">
        <v>407</v>
      </c>
    </row>
    <row r="142" spans="1:23" x14ac:dyDescent="0.2">
      <c r="A142" t="s">
        <v>408</v>
      </c>
      <c r="B142" t="s">
        <v>409</v>
      </c>
    </row>
    <row r="143" spans="1:23" x14ac:dyDescent="0.2">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
      <c r="A144" t="s">
        <v>411</v>
      </c>
      <c r="B144">
        <v>1</v>
      </c>
    </row>
    <row r="145" spans="1:2" x14ac:dyDescent="0.2">
      <c r="A145" t="s">
        <v>412</v>
      </c>
      <c r="B145">
        <v>2</v>
      </c>
    </row>
    <row r="146" spans="1:2" x14ac:dyDescent="0.2">
      <c r="A146" t="s">
        <v>413</v>
      </c>
      <c r="B146">
        <v>3</v>
      </c>
    </row>
    <row r="147" spans="1:2" x14ac:dyDescent="0.2">
      <c r="A147" t="s">
        <v>414</v>
      </c>
      <c r="B147">
        <v>4</v>
      </c>
    </row>
    <row r="148" spans="1:2" x14ac:dyDescent="0.2">
      <c r="A148" t="s">
        <v>415</v>
      </c>
      <c r="B148">
        <v>5</v>
      </c>
    </row>
    <row r="149" spans="1:2" x14ac:dyDescent="0.2">
      <c r="A149" t="s">
        <v>416</v>
      </c>
      <c r="B149">
        <v>6</v>
      </c>
    </row>
    <row r="150" spans="1:2" x14ac:dyDescent="0.2">
      <c r="A150" t="s">
        <v>417</v>
      </c>
      <c r="B150">
        <v>8</v>
      </c>
    </row>
    <row r="151" spans="1:2" x14ac:dyDescent="0.2">
      <c r="A151" t="s">
        <v>418</v>
      </c>
      <c r="B151">
        <v>9</v>
      </c>
    </row>
    <row r="152" spans="1:2" x14ac:dyDescent="0.2">
      <c r="A152" t="s">
        <v>419</v>
      </c>
      <c r="B152">
        <v>10</v>
      </c>
    </row>
    <row r="153" spans="1:2" x14ac:dyDescent="0.2">
      <c r="A153" t="s">
        <v>420</v>
      </c>
      <c r="B153">
        <v>11</v>
      </c>
    </row>
    <row r="154" spans="1:2" x14ac:dyDescent="0.2">
      <c r="A154" t="s">
        <v>421</v>
      </c>
      <c r="B154">
        <v>12</v>
      </c>
    </row>
    <row r="155" spans="1:2" x14ac:dyDescent="0.2">
      <c r="A155" t="s">
        <v>422</v>
      </c>
      <c r="B155">
        <v>13</v>
      </c>
    </row>
    <row r="156" spans="1:2" x14ac:dyDescent="0.2">
      <c r="A156" t="s">
        <v>423</v>
      </c>
      <c r="B156">
        <v>14</v>
      </c>
    </row>
    <row r="157" spans="1:2" x14ac:dyDescent="0.2">
      <c r="A157" t="s">
        <v>424</v>
      </c>
      <c r="B157">
        <v>15</v>
      </c>
    </row>
    <row r="158" spans="1:2" x14ac:dyDescent="0.2">
      <c r="A158" t="s">
        <v>425</v>
      </c>
      <c r="B158">
        <v>16</v>
      </c>
    </row>
    <row r="159" spans="1:2" x14ac:dyDescent="0.2">
      <c r="A159" t="s">
        <v>426</v>
      </c>
      <c r="B159">
        <v>17</v>
      </c>
    </row>
    <row r="160" spans="1:2" x14ac:dyDescent="0.2">
      <c r="A160" t="s">
        <v>427</v>
      </c>
      <c r="B160">
        <v>18</v>
      </c>
    </row>
    <row r="161" spans="1:2" x14ac:dyDescent="0.2">
      <c r="A161" t="s">
        <v>428</v>
      </c>
      <c r="B161">
        <v>19</v>
      </c>
    </row>
    <row r="162" spans="1:2" x14ac:dyDescent="0.2">
      <c r="A162" t="s">
        <v>429</v>
      </c>
      <c r="B162">
        <v>20</v>
      </c>
    </row>
    <row r="163" spans="1:2" x14ac:dyDescent="0.2">
      <c r="A163" t="s">
        <v>430</v>
      </c>
      <c r="B163">
        <v>21</v>
      </c>
    </row>
    <row r="164" spans="1:2" x14ac:dyDescent="0.2">
      <c r="A164" t="s">
        <v>431</v>
      </c>
      <c r="B164">
        <v>22</v>
      </c>
    </row>
    <row r="165" spans="1:2" x14ac:dyDescent="0.2">
      <c r="A165" t="s">
        <v>432</v>
      </c>
      <c r="B165">
        <v>23</v>
      </c>
    </row>
    <row r="166" spans="1:2" x14ac:dyDescent="0.2">
      <c r="A166" t="s">
        <v>433</v>
      </c>
      <c r="B166">
        <v>24</v>
      </c>
    </row>
    <row r="167" spans="1:2" x14ac:dyDescent="0.2">
      <c r="A167" t="s">
        <v>434</v>
      </c>
      <c r="B167">
        <v>25</v>
      </c>
    </row>
    <row r="168" spans="1:2" x14ac:dyDescent="0.2">
      <c r="A168" t="s">
        <v>435</v>
      </c>
      <c r="B168">
        <v>26</v>
      </c>
    </row>
    <row r="169" spans="1:2" x14ac:dyDescent="0.2">
      <c r="A169" t="s">
        <v>436</v>
      </c>
      <c r="B169">
        <v>27</v>
      </c>
    </row>
    <row r="170" spans="1:2" x14ac:dyDescent="0.2">
      <c r="A170" t="s">
        <v>437</v>
      </c>
      <c r="B170">
        <v>28</v>
      </c>
    </row>
    <row r="171" spans="1:2" x14ac:dyDescent="0.2">
      <c r="A171" t="s">
        <v>438</v>
      </c>
      <c r="B171">
        <v>29</v>
      </c>
    </row>
    <row r="172" spans="1:2" x14ac:dyDescent="0.2">
      <c r="A172" t="s">
        <v>439</v>
      </c>
      <c r="B172">
        <v>31</v>
      </c>
    </row>
    <row r="173" spans="1:2" x14ac:dyDescent="0.2">
      <c r="A173" t="s">
        <v>440</v>
      </c>
      <c r="B173">
        <v>32</v>
      </c>
    </row>
    <row r="174" spans="1:2" x14ac:dyDescent="0.2">
      <c r="A174" t="s">
        <v>441</v>
      </c>
      <c r="B174">
        <v>33</v>
      </c>
    </row>
    <row r="175" spans="1:2" x14ac:dyDescent="0.2">
      <c r="A175" t="s">
        <v>442</v>
      </c>
      <c r="B175">
        <v>34</v>
      </c>
    </row>
    <row r="176" spans="1:2" x14ac:dyDescent="0.2">
      <c r="A176" t="s">
        <v>443</v>
      </c>
      <c r="B176">
        <v>35</v>
      </c>
    </row>
    <row r="177" spans="1:2" x14ac:dyDescent="0.2">
      <c r="A177" t="s">
        <v>444</v>
      </c>
      <c r="B177">
        <v>36</v>
      </c>
    </row>
    <row r="178" spans="1:2" x14ac:dyDescent="0.2">
      <c r="A178" t="s">
        <v>445</v>
      </c>
      <c r="B178">
        <v>37</v>
      </c>
    </row>
    <row r="179" spans="1:2" x14ac:dyDescent="0.2">
      <c r="A179" t="s">
        <v>446</v>
      </c>
      <c r="B179">
        <v>38</v>
      </c>
    </row>
    <row r="180" spans="1:2" x14ac:dyDescent="0.2">
      <c r="A180" t="s">
        <v>447</v>
      </c>
      <c r="B180">
        <v>39</v>
      </c>
    </row>
    <row r="181" spans="1:2" x14ac:dyDescent="0.2">
      <c r="A181" t="s">
        <v>448</v>
      </c>
      <c r="B181">
        <v>40</v>
      </c>
    </row>
    <row r="182" spans="1:2" x14ac:dyDescent="0.2">
      <c r="A182" t="s">
        <v>449</v>
      </c>
      <c r="B182">
        <v>41</v>
      </c>
    </row>
    <row r="183" spans="1:2" x14ac:dyDescent="0.2">
      <c r="A183" t="s">
        <v>450</v>
      </c>
      <c r="B183">
        <v>42</v>
      </c>
    </row>
    <row r="184" spans="1:2" x14ac:dyDescent="0.2">
      <c r="A184" t="s">
        <v>451</v>
      </c>
      <c r="B184">
        <v>43</v>
      </c>
    </row>
    <row r="185" spans="1:2" x14ac:dyDescent="0.2">
      <c r="A185" t="s">
        <v>452</v>
      </c>
      <c r="B185">
        <v>44</v>
      </c>
    </row>
    <row r="186" spans="1:2" x14ac:dyDescent="0.2">
      <c r="A186" t="s">
        <v>453</v>
      </c>
      <c r="B186">
        <v>45</v>
      </c>
    </row>
    <row r="187" spans="1:2" x14ac:dyDescent="0.2">
      <c r="A187" t="s">
        <v>454</v>
      </c>
      <c r="B187">
        <v>46</v>
      </c>
    </row>
    <row r="188" spans="1:2" x14ac:dyDescent="0.2">
      <c r="A188" t="s">
        <v>455</v>
      </c>
      <c r="B188">
        <v>47</v>
      </c>
    </row>
    <row r="189" spans="1:2" x14ac:dyDescent="0.2">
      <c r="A189" t="s">
        <v>456</v>
      </c>
      <c r="B189">
        <v>48</v>
      </c>
    </row>
    <row r="190" spans="1:2" x14ac:dyDescent="0.2">
      <c r="A190" t="s">
        <v>457</v>
      </c>
      <c r="B190">
        <v>49</v>
      </c>
    </row>
    <row r="191" spans="1:2" x14ac:dyDescent="0.2">
      <c r="A191" t="s">
        <v>458</v>
      </c>
      <c r="B191">
        <v>50</v>
      </c>
    </row>
    <row r="192" spans="1:2" x14ac:dyDescent="0.2">
      <c r="A192" t="s">
        <v>459</v>
      </c>
      <c r="B192">
        <v>51</v>
      </c>
    </row>
    <row r="193" spans="1:2" x14ac:dyDescent="0.2">
      <c r="A193" t="s">
        <v>460</v>
      </c>
      <c r="B193">
        <v>52</v>
      </c>
    </row>
    <row r="194" spans="1:2" x14ac:dyDescent="0.2">
      <c r="A194" t="s">
        <v>461</v>
      </c>
      <c r="B194">
        <v>54</v>
      </c>
    </row>
    <row r="195" spans="1:2" x14ac:dyDescent="0.2">
      <c r="A195" t="s">
        <v>462</v>
      </c>
      <c r="B195">
        <v>55</v>
      </c>
    </row>
    <row r="196" spans="1:2" x14ac:dyDescent="0.2">
      <c r="A196" t="s">
        <v>463</v>
      </c>
      <c r="B196">
        <v>56</v>
      </c>
    </row>
    <row r="197" spans="1:2" x14ac:dyDescent="0.2">
      <c r="A197" t="s">
        <v>464</v>
      </c>
      <c r="B197">
        <v>57</v>
      </c>
    </row>
    <row r="198" spans="1:2" x14ac:dyDescent="0.2">
      <c r="A198" t="s">
        <v>465</v>
      </c>
      <c r="B198">
        <v>58</v>
      </c>
    </row>
    <row r="199" spans="1:2" x14ac:dyDescent="0.2">
      <c r="A199" t="s">
        <v>466</v>
      </c>
      <c r="B199">
        <v>59</v>
      </c>
    </row>
    <row r="200" spans="1:2" x14ac:dyDescent="0.2">
      <c r="A200" t="s">
        <v>467</v>
      </c>
      <c r="B200" t="s">
        <v>468</v>
      </c>
    </row>
    <row r="201" spans="1:2" x14ac:dyDescent="0.2">
      <c r="A201" t="s">
        <v>469</v>
      </c>
      <c r="B201" t="s">
        <v>470</v>
      </c>
    </row>
    <row r="202" spans="1:2" x14ac:dyDescent="0.2">
      <c r="A202" t="s">
        <v>471</v>
      </c>
      <c r="B202" t="s">
        <v>472</v>
      </c>
    </row>
    <row r="203" spans="1:2" x14ac:dyDescent="0.2">
      <c r="A203" t="s">
        <v>473</v>
      </c>
      <c r="B203" t="s">
        <v>474</v>
      </c>
    </row>
    <row r="204" spans="1:2" x14ac:dyDescent="0.2">
      <c r="A204" t="s">
        <v>475</v>
      </c>
      <c r="B204" t="s">
        <v>476</v>
      </c>
    </row>
    <row r="205" spans="1:2" x14ac:dyDescent="0.2">
      <c r="A205" t="s">
        <v>477</v>
      </c>
      <c r="B205" t="s">
        <v>478</v>
      </c>
    </row>
    <row r="206" spans="1:2" x14ac:dyDescent="0.2">
      <c r="A206" t="s">
        <v>479</v>
      </c>
      <c r="B206" t="s">
        <v>480</v>
      </c>
    </row>
    <row r="207" spans="1:2" x14ac:dyDescent="0.2">
      <c r="A207" t="s">
        <v>481</v>
      </c>
      <c r="B207" t="s">
        <v>482</v>
      </c>
    </row>
    <row r="208" spans="1:2" x14ac:dyDescent="0.2">
      <c r="A208" t="s">
        <v>483</v>
      </c>
      <c r="B208" t="s">
        <v>484</v>
      </c>
    </row>
    <row r="209" spans="1:23" x14ac:dyDescent="0.2">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
      <c r="A210" t="s">
        <v>486</v>
      </c>
      <c r="B210">
        <v>1</v>
      </c>
    </row>
    <row r="211" spans="1:23" x14ac:dyDescent="0.2">
      <c r="A211" t="s">
        <v>487</v>
      </c>
      <c r="B211">
        <v>2</v>
      </c>
    </row>
    <row r="212" spans="1:23" x14ac:dyDescent="0.2">
      <c r="A212" t="s">
        <v>488</v>
      </c>
      <c r="B212">
        <v>3</v>
      </c>
    </row>
    <row r="213" spans="1:23" x14ac:dyDescent="0.2">
      <c r="A213" t="s">
        <v>489</v>
      </c>
      <c r="B213">
        <v>4</v>
      </c>
    </row>
    <row r="214" spans="1:23" x14ac:dyDescent="0.2">
      <c r="A214" t="s">
        <v>490</v>
      </c>
      <c r="B214">
        <v>5</v>
      </c>
    </row>
    <row r="215" spans="1:23" x14ac:dyDescent="0.2">
      <c r="A215" t="s">
        <v>491</v>
      </c>
      <c r="B215">
        <v>6</v>
      </c>
    </row>
    <row r="216" spans="1:23" x14ac:dyDescent="0.2">
      <c r="A216" t="s">
        <v>492</v>
      </c>
      <c r="B216">
        <v>7</v>
      </c>
    </row>
    <row r="217" spans="1:23" x14ac:dyDescent="0.2">
      <c r="A217" t="s">
        <v>493</v>
      </c>
      <c r="B217">
        <v>9</v>
      </c>
    </row>
    <row r="218" spans="1:23" x14ac:dyDescent="0.2">
      <c r="A218" t="s">
        <v>494</v>
      </c>
      <c r="B218">
        <v>10</v>
      </c>
    </row>
    <row r="219" spans="1:23" x14ac:dyDescent="0.2">
      <c r="A219" t="s">
        <v>495</v>
      </c>
      <c r="B219">
        <v>11</v>
      </c>
    </row>
    <row r="220" spans="1:23" x14ac:dyDescent="0.2">
      <c r="A220" t="s">
        <v>496</v>
      </c>
      <c r="B220">
        <v>12</v>
      </c>
    </row>
    <row r="221" spans="1:23" x14ac:dyDescent="0.2">
      <c r="A221" t="s">
        <v>497</v>
      </c>
      <c r="B221">
        <v>13</v>
      </c>
    </row>
    <row r="222" spans="1:23" x14ac:dyDescent="0.2">
      <c r="A222" t="s">
        <v>498</v>
      </c>
      <c r="B222">
        <v>14</v>
      </c>
    </row>
    <row r="223" spans="1:23" x14ac:dyDescent="0.2">
      <c r="A223" t="s">
        <v>499</v>
      </c>
      <c r="B223">
        <v>15</v>
      </c>
    </row>
    <row r="224" spans="1:23" x14ac:dyDescent="0.2">
      <c r="A224" t="s">
        <v>500</v>
      </c>
      <c r="B224">
        <v>16</v>
      </c>
    </row>
    <row r="225" spans="1:2" x14ac:dyDescent="0.2">
      <c r="A225" t="s">
        <v>501</v>
      </c>
      <c r="B225">
        <v>17</v>
      </c>
    </row>
    <row r="226" spans="1:2" x14ac:dyDescent="0.2">
      <c r="A226" t="s">
        <v>502</v>
      </c>
      <c r="B226">
        <v>18</v>
      </c>
    </row>
    <row r="227" spans="1:2" x14ac:dyDescent="0.2">
      <c r="A227" t="s">
        <v>503</v>
      </c>
      <c r="B227">
        <v>19</v>
      </c>
    </row>
    <row r="228" spans="1:2" x14ac:dyDescent="0.2">
      <c r="A228" t="s">
        <v>504</v>
      </c>
      <c r="B228">
        <v>20</v>
      </c>
    </row>
    <row r="229" spans="1:2" x14ac:dyDescent="0.2">
      <c r="A229" t="s">
        <v>505</v>
      </c>
      <c r="B229">
        <v>21</v>
      </c>
    </row>
    <row r="230" spans="1:2" x14ac:dyDescent="0.2">
      <c r="A230" t="s">
        <v>506</v>
      </c>
      <c r="B230">
        <v>22</v>
      </c>
    </row>
    <row r="231" spans="1:2" x14ac:dyDescent="0.2">
      <c r="A231" t="s">
        <v>507</v>
      </c>
      <c r="B231">
        <v>23</v>
      </c>
    </row>
    <row r="232" spans="1:2" x14ac:dyDescent="0.2">
      <c r="A232" t="s">
        <v>508</v>
      </c>
      <c r="B232">
        <v>24</v>
      </c>
    </row>
    <row r="233" spans="1:2" x14ac:dyDescent="0.2">
      <c r="A233" t="s">
        <v>509</v>
      </c>
      <c r="B233">
        <v>25</v>
      </c>
    </row>
    <row r="234" spans="1:2" x14ac:dyDescent="0.2">
      <c r="A234" t="s">
        <v>510</v>
      </c>
      <c r="B234">
        <v>26</v>
      </c>
    </row>
    <row r="235" spans="1:2" x14ac:dyDescent="0.2">
      <c r="A235" t="s">
        <v>511</v>
      </c>
      <c r="B235">
        <v>27</v>
      </c>
    </row>
    <row r="236" spans="1:2" x14ac:dyDescent="0.2">
      <c r="A236" t="s">
        <v>512</v>
      </c>
      <c r="B236">
        <v>28</v>
      </c>
    </row>
    <row r="237" spans="1:2" x14ac:dyDescent="0.2">
      <c r="A237" t="s">
        <v>513</v>
      </c>
      <c r="B237">
        <v>29</v>
      </c>
    </row>
    <row r="238" spans="1:2" x14ac:dyDescent="0.2">
      <c r="A238" t="s">
        <v>514</v>
      </c>
      <c r="B238">
        <v>30</v>
      </c>
    </row>
    <row r="239" spans="1:2" x14ac:dyDescent="0.2">
      <c r="A239" t="s">
        <v>515</v>
      </c>
      <c r="B239">
        <v>31</v>
      </c>
    </row>
    <row r="240" spans="1:2" x14ac:dyDescent="0.2">
      <c r="A240" t="s">
        <v>516</v>
      </c>
      <c r="B240">
        <v>33</v>
      </c>
    </row>
    <row r="241" spans="1:2" x14ac:dyDescent="0.2">
      <c r="A241" t="s">
        <v>517</v>
      </c>
      <c r="B241">
        <v>34</v>
      </c>
    </row>
    <row r="242" spans="1:2" x14ac:dyDescent="0.2">
      <c r="A242" t="s">
        <v>518</v>
      </c>
      <c r="B242">
        <v>35</v>
      </c>
    </row>
    <row r="243" spans="1:2" x14ac:dyDescent="0.2">
      <c r="A243" t="s">
        <v>519</v>
      </c>
      <c r="B243">
        <v>36</v>
      </c>
    </row>
    <row r="244" spans="1:2" x14ac:dyDescent="0.2">
      <c r="A244" t="s">
        <v>520</v>
      </c>
      <c r="B244">
        <v>37</v>
      </c>
    </row>
    <row r="245" spans="1:2" x14ac:dyDescent="0.2">
      <c r="A245" t="s">
        <v>521</v>
      </c>
      <c r="B245">
        <v>38</v>
      </c>
    </row>
    <row r="246" spans="1:2" x14ac:dyDescent="0.2">
      <c r="A246" t="s">
        <v>522</v>
      </c>
      <c r="B246">
        <v>39</v>
      </c>
    </row>
    <row r="247" spans="1:2" x14ac:dyDescent="0.2">
      <c r="A247" t="s">
        <v>523</v>
      </c>
      <c r="B247">
        <v>40</v>
      </c>
    </row>
    <row r="248" spans="1:2" x14ac:dyDescent="0.2">
      <c r="A248" t="s">
        <v>524</v>
      </c>
      <c r="B248">
        <v>41</v>
      </c>
    </row>
    <row r="249" spans="1:2" x14ac:dyDescent="0.2">
      <c r="A249" t="s">
        <v>525</v>
      </c>
      <c r="B249">
        <v>42</v>
      </c>
    </row>
    <row r="250" spans="1:2" x14ac:dyDescent="0.2">
      <c r="A250" t="s">
        <v>526</v>
      </c>
      <c r="B250">
        <v>43</v>
      </c>
    </row>
    <row r="251" spans="1:2" x14ac:dyDescent="0.2">
      <c r="A251" t="s">
        <v>527</v>
      </c>
      <c r="B251">
        <v>44</v>
      </c>
    </row>
    <row r="252" spans="1:2" x14ac:dyDescent="0.2">
      <c r="A252" t="s">
        <v>528</v>
      </c>
      <c r="B252">
        <v>45</v>
      </c>
    </row>
    <row r="253" spans="1:2" x14ac:dyDescent="0.2">
      <c r="A253" t="s">
        <v>529</v>
      </c>
      <c r="B253">
        <v>46</v>
      </c>
    </row>
    <row r="254" spans="1:2" x14ac:dyDescent="0.2">
      <c r="A254" t="s">
        <v>530</v>
      </c>
      <c r="B254">
        <v>47</v>
      </c>
    </row>
    <row r="255" spans="1:2" x14ac:dyDescent="0.2">
      <c r="A255" t="s">
        <v>531</v>
      </c>
      <c r="B255">
        <v>48</v>
      </c>
    </row>
    <row r="256" spans="1:2" x14ac:dyDescent="0.2">
      <c r="A256" t="s">
        <v>532</v>
      </c>
      <c r="B256">
        <v>49</v>
      </c>
    </row>
    <row r="257" spans="1:2" x14ac:dyDescent="0.2">
      <c r="A257" t="s">
        <v>533</v>
      </c>
      <c r="B257">
        <v>50</v>
      </c>
    </row>
    <row r="258" spans="1:2" x14ac:dyDescent="0.2">
      <c r="A258" t="s">
        <v>534</v>
      </c>
      <c r="B258">
        <v>51</v>
      </c>
    </row>
    <row r="259" spans="1:2" x14ac:dyDescent="0.2">
      <c r="A259" t="s">
        <v>535</v>
      </c>
      <c r="B259">
        <v>52</v>
      </c>
    </row>
    <row r="260" spans="1:2" x14ac:dyDescent="0.2">
      <c r="A260" t="s">
        <v>536</v>
      </c>
      <c r="B260">
        <v>53</v>
      </c>
    </row>
    <row r="261" spans="1:2" x14ac:dyDescent="0.2">
      <c r="A261" t="s">
        <v>537</v>
      </c>
      <c r="B261">
        <v>54</v>
      </c>
    </row>
    <row r="262" spans="1:2" x14ac:dyDescent="0.2">
      <c r="A262" t="s">
        <v>538</v>
      </c>
      <c r="B262">
        <v>55</v>
      </c>
    </row>
    <row r="263" spans="1:2" x14ac:dyDescent="0.2">
      <c r="A263" t="s">
        <v>539</v>
      </c>
      <c r="B263">
        <v>57</v>
      </c>
    </row>
    <row r="264" spans="1:2" x14ac:dyDescent="0.2">
      <c r="A264" t="s">
        <v>540</v>
      </c>
      <c r="B264">
        <v>58</v>
      </c>
    </row>
    <row r="265" spans="1:2" x14ac:dyDescent="0.2">
      <c r="A265" t="s">
        <v>541</v>
      </c>
      <c r="B265">
        <v>59</v>
      </c>
    </row>
    <row r="266" spans="1:2" x14ac:dyDescent="0.2">
      <c r="A266" t="s">
        <v>542</v>
      </c>
      <c r="B266">
        <v>60</v>
      </c>
    </row>
    <row r="267" spans="1:2" x14ac:dyDescent="0.2">
      <c r="A267" t="s">
        <v>543</v>
      </c>
      <c r="B267">
        <v>62</v>
      </c>
    </row>
    <row r="268" spans="1:2" x14ac:dyDescent="0.2">
      <c r="A268" t="s">
        <v>544</v>
      </c>
      <c r="B268">
        <v>63</v>
      </c>
    </row>
    <row r="269" spans="1:2" x14ac:dyDescent="0.2">
      <c r="A269" t="s">
        <v>545</v>
      </c>
      <c r="B269">
        <v>64</v>
      </c>
    </row>
    <row r="270" spans="1:2" x14ac:dyDescent="0.2">
      <c r="A270" t="s">
        <v>546</v>
      </c>
      <c r="B270">
        <v>65</v>
      </c>
    </row>
    <row r="271" spans="1:2" x14ac:dyDescent="0.2">
      <c r="A271" t="s">
        <v>547</v>
      </c>
      <c r="B271">
        <v>66</v>
      </c>
    </row>
    <row r="272" spans="1:2" x14ac:dyDescent="0.2">
      <c r="A272" t="s">
        <v>548</v>
      </c>
      <c r="B272">
        <v>68</v>
      </c>
    </row>
    <row r="273" spans="1:24" x14ac:dyDescent="0.2">
      <c r="A273" t="s">
        <v>549</v>
      </c>
      <c r="B273">
        <v>69</v>
      </c>
    </row>
    <row r="274" spans="1:24" x14ac:dyDescent="0.2">
      <c r="A274" t="s">
        <v>550</v>
      </c>
      <c r="B274">
        <v>70</v>
      </c>
    </row>
    <row r="275" spans="1:24" x14ac:dyDescent="0.2">
      <c r="A275" t="s">
        <v>551</v>
      </c>
      <c r="B275">
        <v>71</v>
      </c>
    </row>
    <row r="276" spans="1:24" x14ac:dyDescent="0.2">
      <c r="A276" t="s">
        <v>552</v>
      </c>
      <c r="B276">
        <v>72</v>
      </c>
    </row>
    <row r="277" spans="1:24" x14ac:dyDescent="0.2">
      <c r="A277" t="s">
        <v>553</v>
      </c>
      <c r="B277" t="s">
        <v>554</v>
      </c>
    </row>
    <row r="278" spans="1:24" x14ac:dyDescent="0.2">
      <c r="A278" t="s">
        <v>555</v>
      </c>
      <c r="B278" t="s">
        <v>556</v>
      </c>
    </row>
    <row r="279" spans="1:24" x14ac:dyDescent="0.2">
      <c r="A279" t="s">
        <v>557</v>
      </c>
      <c r="B279" t="s">
        <v>558</v>
      </c>
    </row>
    <row r="280" spans="1:24" x14ac:dyDescent="0.2">
      <c r="A280" t="s">
        <v>559</v>
      </c>
      <c r="B280" t="s">
        <v>560</v>
      </c>
    </row>
    <row r="281" spans="1:24" x14ac:dyDescent="0.2">
      <c r="A281" t="s">
        <v>561</v>
      </c>
      <c r="B281" t="s">
        <v>562</v>
      </c>
    </row>
    <row r="282" spans="1:24" x14ac:dyDescent="0.2">
      <c r="A282" t="s">
        <v>563</v>
      </c>
      <c r="B282" t="s">
        <v>564</v>
      </c>
    </row>
    <row r="283" spans="1:24" x14ac:dyDescent="0.2">
      <c r="A283" t="s">
        <v>565</v>
      </c>
      <c r="B283" t="s">
        <v>566</v>
      </c>
    </row>
    <row r="284" spans="1:24" x14ac:dyDescent="0.2">
      <c r="A284" t="s">
        <v>567</v>
      </c>
      <c r="B284" t="s">
        <v>568</v>
      </c>
    </row>
    <row r="285" spans="1:24" x14ac:dyDescent="0.2">
      <c r="A285" t="s">
        <v>569</v>
      </c>
      <c r="B285" t="s">
        <v>570</v>
      </c>
    </row>
    <row r="286" spans="1:24" x14ac:dyDescent="0.2">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0" zoomScaleNormal="80" workbookViewId="0">
      <pane xSplit="2" ySplit="4" topLeftCell="X5" activePane="bottomRight" state="frozen"/>
      <selection pane="topRight" activeCell="C1" sqref="C1"/>
      <selection pane="bottomLeft" activeCell="A5" sqref="A5"/>
      <selection pane="bottomRight" activeCell="BE5" sqref="BE5:BE15"/>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1" max="65" width="9" style="53"/>
  </cols>
  <sheetData>
    <row r="1" spans="1:68" x14ac:dyDescent="0.2">
      <c r="A1" s="71" t="s">
        <v>572</v>
      </c>
      <c r="B1" s="59"/>
      <c r="C1" s="59"/>
      <c r="D1" s="59"/>
      <c r="E1" s="59"/>
      <c r="F1" s="59"/>
      <c r="H1" s="67" t="s">
        <v>593</v>
      </c>
      <c r="I1" s="59"/>
      <c r="J1" s="59"/>
      <c r="K1" s="59"/>
      <c r="L1" s="59"/>
      <c r="M1" s="59"/>
      <c r="N1" s="59"/>
      <c r="O1" s="59"/>
      <c r="P1" s="59"/>
      <c r="Q1" s="59"/>
      <c r="R1" s="59"/>
      <c r="S1" s="59"/>
      <c r="T1" s="59"/>
      <c r="U1" s="59"/>
      <c r="V1" s="59"/>
      <c r="W1" s="59"/>
      <c r="X1" s="59"/>
      <c r="Y1" s="59"/>
      <c r="Z1" s="59"/>
      <c r="AA1" s="59"/>
      <c r="AB1" s="59"/>
      <c r="AC1" s="59"/>
      <c r="AE1" s="68" t="s">
        <v>594</v>
      </c>
      <c r="AF1" s="59"/>
      <c r="AG1" s="59"/>
      <c r="AH1" s="59"/>
      <c r="AI1" s="59"/>
      <c r="AJ1" s="59"/>
      <c r="AK1" s="59"/>
      <c r="AL1" s="59"/>
      <c r="AM1" s="59"/>
      <c r="AN1" s="59"/>
      <c r="AO1" s="59"/>
      <c r="AP1" s="59"/>
      <c r="AQ1" s="59"/>
      <c r="AR1" s="59"/>
      <c r="AS1" s="59"/>
      <c r="AT1" s="59"/>
      <c r="AU1" s="59"/>
      <c r="AV1" s="59"/>
      <c r="AW1" s="59"/>
      <c r="AX1" s="59"/>
      <c r="AY1" s="59"/>
      <c r="AZ1" s="59"/>
    </row>
    <row r="2" spans="1:68" ht="30" customHeight="1" thickBot="1" x14ac:dyDescent="0.25">
      <c r="A2" s="73" t="s">
        <v>139</v>
      </c>
      <c r="B2" s="72" t="s">
        <v>140</v>
      </c>
      <c r="C2" s="73" t="s">
        <v>142</v>
      </c>
      <c r="D2" s="72" t="s">
        <v>143</v>
      </c>
      <c r="E2" s="73" t="s">
        <v>144</v>
      </c>
      <c r="F2" s="72" t="s">
        <v>145</v>
      </c>
      <c r="H2" s="73" t="s">
        <v>573</v>
      </c>
      <c r="I2" s="72" t="s">
        <v>146</v>
      </c>
      <c r="J2" s="70" t="s">
        <v>147</v>
      </c>
      <c r="K2" s="59"/>
      <c r="L2" s="59"/>
      <c r="M2" s="59"/>
      <c r="N2" s="73" t="s">
        <v>148</v>
      </c>
      <c r="O2" s="72" t="s">
        <v>149</v>
      </c>
      <c r="P2" s="73" t="s">
        <v>86</v>
      </c>
      <c r="Q2" s="69" t="s">
        <v>150</v>
      </c>
      <c r="R2" s="59"/>
      <c r="S2" s="59"/>
      <c r="T2" s="59"/>
      <c r="U2" s="70" t="s">
        <v>151</v>
      </c>
      <c r="V2" s="59"/>
      <c r="W2" s="69" t="s">
        <v>152</v>
      </c>
      <c r="X2" s="59"/>
      <c r="Y2" s="59"/>
      <c r="Z2" s="70" t="s">
        <v>153</v>
      </c>
      <c r="AA2" s="59"/>
      <c r="AB2" s="69" t="s">
        <v>154</v>
      </c>
      <c r="AC2" s="59"/>
      <c r="AE2" s="73" t="s">
        <v>573</v>
      </c>
      <c r="AF2" s="72" t="s">
        <v>146</v>
      </c>
      <c r="AG2" s="70" t="s">
        <v>147</v>
      </c>
      <c r="AH2" s="59"/>
      <c r="AI2" s="59"/>
      <c r="AJ2" s="59"/>
      <c r="AK2" s="73" t="s">
        <v>155</v>
      </c>
      <c r="AL2" s="72" t="s">
        <v>149</v>
      </c>
      <c r="AM2" s="73" t="s">
        <v>86</v>
      </c>
      <c r="AN2" s="69" t="s">
        <v>150</v>
      </c>
      <c r="AO2" s="59"/>
      <c r="AP2" s="59"/>
      <c r="AQ2" s="59"/>
      <c r="AR2" s="70" t="s">
        <v>151</v>
      </c>
      <c r="AS2" s="59"/>
      <c r="AT2" s="69" t="s">
        <v>152</v>
      </c>
      <c r="AU2" s="59"/>
      <c r="AV2" s="59"/>
      <c r="AW2" s="70" t="s">
        <v>153</v>
      </c>
      <c r="AX2" s="59"/>
      <c r="AY2" s="69" t="s">
        <v>154</v>
      </c>
      <c r="AZ2" s="59"/>
      <c r="BB2" s="70" t="s">
        <v>24</v>
      </c>
      <c r="BC2" s="59"/>
      <c r="BD2" s="59"/>
      <c r="BE2" s="59"/>
      <c r="BF2" s="72" t="s">
        <v>158</v>
      </c>
      <c r="BG2" s="73" t="s">
        <v>158</v>
      </c>
      <c r="BI2" s="73" t="s">
        <v>86</v>
      </c>
      <c r="BJ2" s="69" t="s">
        <v>150</v>
      </c>
      <c r="BK2" s="59"/>
      <c r="BL2" s="59"/>
      <c r="BM2" s="59"/>
    </row>
    <row r="3" spans="1:68" ht="29" customHeight="1" thickBot="1" x14ac:dyDescent="0.25">
      <c r="A3" s="61"/>
      <c r="B3" s="61"/>
      <c r="C3" s="61"/>
      <c r="D3" s="61"/>
      <c r="E3" s="61"/>
      <c r="F3" s="61"/>
      <c r="H3" s="61"/>
      <c r="I3" s="61"/>
      <c r="J3" s="56" t="s">
        <v>27</v>
      </c>
      <c r="K3" s="56" t="s">
        <v>25</v>
      </c>
      <c r="L3" s="56" t="s">
        <v>159</v>
      </c>
      <c r="M3" s="56" t="s">
        <v>160</v>
      </c>
      <c r="N3" s="61"/>
      <c r="O3" s="61"/>
      <c r="P3" s="61"/>
      <c r="Q3" s="57" t="s">
        <v>27</v>
      </c>
      <c r="R3" s="57" t="s">
        <v>159</v>
      </c>
      <c r="S3" s="57" t="s">
        <v>161</v>
      </c>
      <c r="T3" s="57" t="s">
        <v>26</v>
      </c>
      <c r="U3" s="56" t="s">
        <v>11</v>
      </c>
      <c r="V3" s="56" t="s">
        <v>12</v>
      </c>
      <c r="W3" s="57" t="s">
        <v>13</v>
      </c>
      <c r="X3" s="57" t="s">
        <v>14</v>
      </c>
      <c r="Y3" s="57" t="s">
        <v>15</v>
      </c>
      <c r="Z3" s="56" t="s">
        <v>162</v>
      </c>
      <c r="AA3" s="56" t="s">
        <v>163</v>
      </c>
      <c r="AB3" s="57" t="s">
        <v>162</v>
      </c>
      <c r="AC3" s="57" t="s">
        <v>163</v>
      </c>
      <c r="AE3" s="61"/>
      <c r="AF3" s="61"/>
      <c r="AG3" s="56" t="s">
        <v>27</v>
      </c>
      <c r="AH3" s="56" t="s">
        <v>25</v>
      </c>
      <c r="AI3" s="56" t="s">
        <v>159</v>
      </c>
      <c r="AJ3" s="56" t="s">
        <v>160</v>
      </c>
      <c r="AK3" s="61"/>
      <c r="AL3" s="61"/>
      <c r="AM3" s="61"/>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1"/>
      <c r="BG3" s="61"/>
      <c r="BI3" s="61"/>
      <c r="BJ3" s="57" t="s">
        <v>27</v>
      </c>
      <c r="BK3" s="57" t="s">
        <v>159</v>
      </c>
      <c r="BL3" s="57" t="s">
        <v>161</v>
      </c>
      <c r="BM3" s="57" t="s">
        <v>26</v>
      </c>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1.7246264730099159E-2</v>
      </c>
      <c r="I5" s="10">
        <f t="shared" ref="I5:I11" si="1">IF(OR(ISBLANK(Q5),ISBLANK(F5)),"·",Q5*F5/E5/1000000)</f>
        <v>207.923745</v>
      </c>
      <c r="J5" s="11">
        <f t="shared" ref="J5:J11" si="2">IF(ISBLANK(Q5),"·",Q5/C5)</f>
        <v>0.93129829542535458</v>
      </c>
      <c r="K5" s="11">
        <f t="shared" ref="K5:K11" si="3">IF(N5="","·",N5/C5)</f>
        <v>0.14563999838233954</v>
      </c>
      <c r="L5" s="11">
        <f t="shared" ref="L5:L11" si="4">IF(R5="","·",R5/C5)</f>
        <v>0.13670905472592276</v>
      </c>
      <c r="M5" s="11">
        <f t="shared" ref="M5:M11" si="5">IF(ISBLANK(T5),"·",T5/C5)</f>
        <v>0.78565829704301504</v>
      </c>
      <c r="N5" s="52">
        <f t="shared" ref="N5:N11" si="6">IF(OR(ISBLANK(R5),ISBLANK(S5)),"",R5+S5)</f>
        <v>34683640</v>
      </c>
      <c r="O5" s="11">
        <v>16</v>
      </c>
      <c r="P5" s="12">
        <v>24964341</v>
      </c>
      <c r="Q5" s="13">
        <v>221785328</v>
      </c>
      <c r="R5" s="13">
        <v>32556768</v>
      </c>
      <c r="S5" s="13">
        <v>2126872</v>
      </c>
      <c r="T5" s="13">
        <v>187101688</v>
      </c>
      <c r="U5" s="14" t="s">
        <v>592</v>
      </c>
      <c r="V5" s="14" t="s">
        <v>592</v>
      </c>
      <c r="W5" s="14" t="s">
        <v>592</v>
      </c>
      <c r="X5" s="14" t="s">
        <v>592</v>
      </c>
      <c r="Y5" s="14" t="s">
        <v>592</v>
      </c>
      <c r="Z5" s="15">
        <v>2774.65</v>
      </c>
      <c r="AA5" s="15">
        <v>4254.18</v>
      </c>
      <c r="AB5" s="15">
        <v>3.5830000000000002</v>
      </c>
      <c r="AC5" s="15">
        <v>18.701000000000001</v>
      </c>
      <c r="AE5" s="16">
        <f t="shared" ref="AE5:AE11" si="7">IF(ISBLANK(Q5),"·",Q5/(C5*(D5*3+IF(AND(ISNUMBER(T5),T5&gt;0),24,0))))</f>
        <v>1.7246264730099159E-2</v>
      </c>
      <c r="AF5" s="10">
        <f t="shared" ref="AF5:AF11" si="8">IF(OR(ISBLANK(AN5),ISBLANK(F5)),"·",AN5*F5/E5/1000000)</f>
        <v>207.89969249999999</v>
      </c>
      <c r="AG5" s="11">
        <f t="shared" ref="AG5:AG11" si="9">IF(ISBLANK(AN5),"·",AN5/C5)</f>
        <v>0.93119056337074624</v>
      </c>
      <c r="AH5" s="11">
        <f t="shared" ref="AH5:AH11" si="10">IF(AK5="","·",AK5/C5)</f>
        <v>0.14565948219639407</v>
      </c>
      <c r="AI5" s="11">
        <f t="shared" ref="AI5:AI11" si="11">IF(AO5="","·",AO5/C5)</f>
        <v>0.13670905472592276</v>
      </c>
      <c r="AJ5" s="11">
        <f t="shared" ref="AJ5:AJ11" si="12">IF(ISBLANK(AQ5),"·",AQ5/C5)</f>
        <v>0.78553108117435211</v>
      </c>
      <c r="AK5" s="52">
        <f t="shared" ref="AK5:AK11" si="13">IF(OR(ISBLANK(AO5),ISBLANK(AP5)),"",AO5+AP5)</f>
        <v>34688280</v>
      </c>
      <c r="AL5" s="11">
        <v>16</v>
      </c>
      <c r="AM5" s="12">
        <v>24964341</v>
      </c>
      <c r="AN5" s="13">
        <v>221759672</v>
      </c>
      <c r="AO5" s="13">
        <v>32556768</v>
      </c>
      <c r="AP5" s="13">
        <v>2131512</v>
      </c>
      <c r="AQ5" s="13">
        <v>187071392</v>
      </c>
      <c r="AR5" s="14"/>
      <c r="AS5" s="14"/>
      <c r="AT5" s="14"/>
      <c r="AU5" s="14"/>
      <c r="AV5" s="14"/>
      <c r="AW5" s="14">
        <v>3903.12</v>
      </c>
      <c r="AX5" s="14">
        <v>5230.1099999999997</v>
      </c>
      <c r="AY5" s="14">
        <v>7.2640000000000002</v>
      </c>
      <c r="AZ5" s="14">
        <v>34.384</v>
      </c>
      <c r="BB5" s="50">
        <f t="shared" ref="BB5:BB15" si="14">AG5/J5</f>
        <v>0.99988432057146726</v>
      </c>
      <c r="BC5" s="74">
        <f t="shared" ref="BC5:BC15" si="15">AH5/K5</f>
        <v>1.0001337806527804</v>
      </c>
      <c r="BD5" s="50">
        <f t="shared" ref="BD5:BD15" si="16">AI5/L5</f>
        <v>1</v>
      </c>
      <c r="BE5" s="74">
        <f t="shared" ref="BE5:BE15" si="17">AJ5/M5</f>
        <v>0.9998380773560952</v>
      </c>
      <c r="BF5" s="16">
        <f t="shared" ref="BF5:BF11" si="18">(AK5/AN5) - (N5/Q5)</f>
        <v>3.9016037391315095E-5</v>
      </c>
      <c r="BG5" s="16">
        <f t="array" ref="BG5">AVERAGE(AK5:AK5/AN5:AN5) - AVERAGE(N5:N5/Q5:Q5)</f>
        <v>3.9016037391315095E-5</v>
      </c>
      <c r="BI5" s="53">
        <f>AM5-P5</f>
        <v>0</v>
      </c>
      <c r="BJ5" s="53">
        <f t="shared" ref="BJ5:BM11" si="19">AN5-Q5</f>
        <v>-25656</v>
      </c>
      <c r="BK5" s="53">
        <f t="shared" si="19"/>
        <v>0</v>
      </c>
      <c r="BL5" s="53">
        <f t="shared" si="19"/>
        <v>4640</v>
      </c>
      <c r="BM5" s="53">
        <f t="shared" si="19"/>
        <v>-30296</v>
      </c>
      <c r="BP5" t="s">
        <v>233</v>
      </c>
    </row>
    <row r="6" spans="1:68" collapsed="1" x14ac:dyDescent="0.2">
      <c r="A6" s="17"/>
      <c r="B6" s="17" t="s">
        <v>59</v>
      </c>
      <c r="C6" s="17">
        <v>218121242</v>
      </c>
      <c r="D6" s="18">
        <v>10</v>
      </c>
      <c r="E6" s="18">
        <v>32</v>
      </c>
      <c r="F6" s="18">
        <v>30</v>
      </c>
      <c r="H6" s="25">
        <f t="shared" si="0"/>
        <v>2.4546267577049512E-2</v>
      </c>
      <c r="I6" s="19">
        <f t="shared" si="1"/>
        <v>271.04940749999997</v>
      </c>
      <c r="J6" s="20">
        <f t="shared" si="2"/>
        <v>1.3254984491606736</v>
      </c>
      <c r="K6" s="20">
        <f t="shared" si="3"/>
        <v>0.17699316052858347</v>
      </c>
      <c r="L6" s="20">
        <f t="shared" si="4"/>
        <v>0.16167694478834849</v>
      </c>
      <c r="M6" s="20">
        <f t="shared" si="5"/>
        <v>1.1485052886320901</v>
      </c>
      <c r="N6" s="17">
        <f t="shared" si="6"/>
        <v>38605968</v>
      </c>
      <c r="O6" s="20">
        <v>16</v>
      </c>
      <c r="P6" s="21">
        <v>22654789</v>
      </c>
      <c r="Q6" s="22">
        <v>289119368</v>
      </c>
      <c r="R6" s="22">
        <v>35265176</v>
      </c>
      <c r="S6" s="22">
        <v>3340792</v>
      </c>
      <c r="T6" s="22">
        <v>250513400</v>
      </c>
      <c r="U6" s="23" t="s">
        <v>592</v>
      </c>
      <c r="V6" s="23" t="s">
        <v>592</v>
      </c>
      <c r="W6" s="23" t="s">
        <v>592</v>
      </c>
      <c r="X6" s="23" t="s">
        <v>592</v>
      </c>
      <c r="Y6" s="23" t="s">
        <v>592</v>
      </c>
      <c r="Z6" s="24">
        <v>2526.75</v>
      </c>
      <c r="AA6" s="24">
        <v>4340.82</v>
      </c>
      <c r="AB6" s="24">
        <v>3.4420000000000002</v>
      </c>
      <c r="AC6" s="24">
        <v>20.407</v>
      </c>
      <c r="AE6" s="25">
        <f t="shared" si="7"/>
        <v>2.4546267577049512E-2</v>
      </c>
      <c r="AF6" s="19">
        <f t="shared" si="8"/>
        <v>270.96677249999999</v>
      </c>
      <c r="AG6" s="20">
        <f t="shared" si="9"/>
        <v>1.3250943436311444</v>
      </c>
      <c r="AH6" s="20">
        <f t="shared" si="10"/>
        <v>0.17701072873956952</v>
      </c>
      <c r="AI6" s="20">
        <f t="shared" si="11"/>
        <v>0.16167694478834849</v>
      </c>
      <c r="AJ6" s="20">
        <f t="shared" si="12"/>
        <v>1.1480836148915747</v>
      </c>
      <c r="AK6" s="17">
        <f t="shared" si="13"/>
        <v>38609800</v>
      </c>
      <c r="AL6" s="20">
        <v>16</v>
      </c>
      <c r="AM6" s="21">
        <v>22654789</v>
      </c>
      <c r="AN6" s="22">
        <v>289031224</v>
      </c>
      <c r="AO6" s="22">
        <v>35265176</v>
      </c>
      <c r="AP6" s="22">
        <v>3344624</v>
      </c>
      <c r="AQ6" s="22">
        <v>250421424</v>
      </c>
      <c r="AR6" s="23"/>
      <c r="AS6" s="23"/>
      <c r="AT6" s="23"/>
      <c r="AU6" s="23"/>
      <c r="AV6" s="23"/>
      <c r="AW6" s="23">
        <v>4252.8</v>
      </c>
      <c r="AX6" s="23">
        <v>5503.57</v>
      </c>
      <c r="AY6" s="23">
        <v>6.9359999999999999</v>
      </c>
      <c r="AZ6" s="23">
        <v>36.901000000000003</v>
      </c>
      <c r="BB6" s="49">
        <f t="shared" si="14"/>
        <v>0.99969512938337646</v>
      </c>
      <c r="BC6" s="75">
        <f t="shared" si="15"/>
        <v>1.000099259264785</v>
      </c>
      <c r="BD6" s="49">
        <f t="shared" si="16"/>
        <v>1</v>
      </c>
      <c r="BE6" s="75">
        <f t="shared" si="17"/>
        <v>0.99963284997928259</v>
      </c>
      <c r="BF6" s="25">
        <f t="shared" si="18"/>
        <v>5.3979722514391204E-5</v>
      </c>
      <c r="BG6" s="25">
        <f t="array" ref="BG6">AVERAGE(AK6:AK6/AN6:AN6) - AVERAGE(N6:N6/Q6:Q6)</f>
        <v>5.3979722514391204E-5</v>
      </c>
      <c r="BI6" s="53">
        <f t="shared" ref="BI6:BI11" si="20">AM6-P6</f>
        <v>0</v>
      </c>
      <c r="BJ6" s="53">
        <f t="shared" si="19"/>
        <v>-88144</v>
      </c>
      <c r="BK6" s="53">
        <f t="shared" si="19"/>
        <v>0</v>
      </c>
      <c r="BL6" s="53">
        <f t="shared" si="19"/>
        <v>3832</v>
      </c>
      <c r="BM6" s="53">
        <f t="shared" si="19"/>
        <v>-91976</v>
      </c>
      <c r="BP6" t="s">
        <v>233</v>
      </c>
    </row>
    <row r="7" spans="1:68" collapsed="1" x14ac:dyDescent="0.2">
      <c r="A7" s="52"/>
      <c r="B7" s="52" t="s">
        <v>64</v>
      </c>
      <c r="C7" s="52">
        <v>322589704</v>
      </c>
      <c r="D7" s="9">
        <v>10</v>
      </c>
      <c r="E7" s="9">
        <v>32</v>
      </c>
      <c r="F7" s="9">
        <v>30</v>
      </c>
      <c r="H7" s="16">
        <f t="shared" si="0"/>
        <v>1.9382873445357721E-2</v>
      </c>
      <c r="I7" s="10">
        <f t="shared" si="1"/>
        <v>316.54371750000001</v>
      </c>
      <c r="J7" s="11">
        <f t="shared" si="2"/>
        <v>1.046675166049317</v>
      </c>
      <c r="K7" s="11">
        <f t="shared" si="3"/>
        <v>0.1733904067812406</v>
      </c>
      <c r="L7" s="11">
        <f t="shared" si="4"/>
        <v>0.16060016596189938</v>
      </c>
      <c r="M7" s="11">
        <f t="shared" si="5"/>
        <v>0.87328475926807636</v>
      </c>
      <c r="N7" s="52">
        <f t="shared" si="6"/>
        <v>55933960</v>
      </c>
      <c r="O7" s="11">
        <v>16</v>
      </c>
      <c r="P7" s="12">
        <v>33947718</v>
      </c>
      <c r="Q7" s="13">
        <v>337646632</v>
      </c>
      <c r="R7" s="13">
        <v>51807960</v>
      </c>
      <c r="S7" s="13">
        <v>4126000</v>
      </c>
      <c r="T7" s="13">
        <v>281712672</v>
      </c>
      <c r="U7" s="14" t="s">
        <v>592</v>
      </c>
      <c r="V7" s="14" t="s">
        <v>592</v>
      </c>
      <c r="W7" s="14" t="s">
        <v>592</v>
      </c>
      <c r="X7" s="14" t="s">
        <v>592</v>
      </c>
      <c r="Y7" s="14" t="s">
        <v>592</v>
      </c>
      <c r="Z7" s="15">
        <v>3679.12</v>
      </c>
      <c r="AA7" s="15">
        <v>5763.1</v>
      </c>
      <c r="AB7" s="15">
        <v>4.88</v>
      </c>
      <c r="AC7" s="15">
        <v>22.954000000000001</v>
      </c>
      <c r="AE7" s="16">
        <f t="shared" si="7"/>
        <v>1.9382873445357721E-2</v>
      </c>
      <c r="AF7" s="10">
        <f t="shared" si="8"/>
        <v>316.46171249999998</v>
      </c>
      <c r="AG7" s="11">
        <f t="shared" si="9"/>
        <v>1.0464040104640167</v>
      </c>
      <c r="AH7" s="11">
        <f t="shared" si="10"/>
        <v>0.17341649564860259</v>
      </c>
      <c r="AI7" s="11">
        <f t="shared" si="11"/>
        <v>0.16060016596189938</v>
      </c>
      <c r="AJ7" s="11">
        <f t="shared" si="12"/>
        <v>0.87298751481541392</v>
      </c>
      <c r="AK7" s="52">
        <f t="shared" si="13"/>
        <v>55942376</v>
      </c>
      <c r="AL7" s="11">
        <v>16</v>
      </c>
      <c r="AM7" s="12">
        <v>33947718</v>
      </c>
      <c r="AN7" s="13">
        <v>337559160</v>
      </c>
      <c r="AO7" s="13">
        <v>51807960</v>
      </c>
      <c r="AP7" s="13">
        <v>4134416</v>
      </c>
      <c r="AQ7" s="13">
        <v>281616784</v>
      </c>
      <c r="AR7" s="14"/>
      <c r="AS7" s="14"/>
      <c r="AT7" s="14"/>
      <c r="AU7" s="14"/>
      <c r="AV7" s="14"/>
      <c r="AW7" s="14">
        <v>5654.3</v>
      </c>
      <c r="AX7" s="14">
        <v>7128.4</v>
      </c>
      <c r="AY7" s="14">
        <v>8.9719999999999995</v>
      </c>
      <c r="AZ7" s="14">
        <v>39.866999999999997</v>
      </c>
      <c r="BB7" s="50">
        <f t="shared" si="14"/>
        <v>0.99974093625788041</v>
      </c>
      <c r="BC7" s="74">
        <f t="shared" si="15"/>
        <v>1.0001504631533329</v>
      </c>
      <c r="BD7" s="50">
        <f t="shared" si="16"/>
        <v>1</v>
      </c>
      <c r="BE7" s="74">
        <f t="shared" si="17"/>
        <v>0.9996596248251125</v>
      </c>
      <c r="BF7" s="16">
        <f t="shared" si="18"/>
        <v>6.7859100577133402E-5</v>
      </c>
      <c r="BG7" s="16">
        <f t="array" ref="BG7">AVERAGE(AK7:AK7/AN7:AN7) - AVERAGE(N7:N7/Q7:Q7)</f>
        <v>6.7859100577133402E-5</v>
      </c>
      <c r="BI7" s="53">
        <f t="shared" si="20"/>
        <v>0</v>
      </c>
      <c r="BJ7" s="53">
        <f t="shared" si="19"/>
        <v>-87472</v>
      </c>
      <c r="BK7" s="53">
        <f t="shared" si="19"/>
        <v>0</v>
      </c>
      <c r="BL7" s="53">
        <f t="shared" si="19"/>
        <v>8416</v>
      </c>
      <c r="BM7" s="53">
        <f t="shared" si="19"/>
        <v>-95888</v>
      </c>
      <c r="BP7" t="s">
        <v>241</v>
      </c>
    </row>
    <row r="8" spans="1:68" ht="16" collapsed="1" thickBot="1" x14ac:dyDescent="0.25">
      <c r="A8" s="36"/>
      <c r="B8" s="36" t="s">
        <v>70</v>
      </c>
      <c r="C8" s="36">
        <v>250602891</v>
      </c>
      <c r="D8" s="37">
        <v>10</v>
      </c>
      <c r="E8" s="37">
        <v>32</v>
      </c>
      <c r="F8" s="37">
        <v>50</v>
      </c>
      <c r="H8" s="45">
        <f t="shared" si="0"/>
        <v>1.9264459855466445E-2</v>
      </c>
      <c r="I8" s="38">
        <f t="shared" si="1"/>
        <v>407.33966249999997</v>
      </c>
      <c r="J8" s="39">
        <f t="shared" si="2"/>
        <v>1.040280832195188</v>
      </c>
      <c r="K8" s="39">
        <f t="shared" si="3"/>
        <v>0.16371105631020036</v>
      </c>
      <c r="L8" s="39">
        <f t="shared" si="4"/>
        <v>0.14309820551910551</v>
      </c>
      <c r="M8" s="39">
        <f t="shared" si="5"/>
        <v>0.87656977588498775</v>
      </c>
      <c r="N8" s="36">
        <f t="shared" si="6"/>
        <v>41026464</v>
      </c>
      <c r="O8" s="39">
        <v>16</v>
      </c>
      <c r="P8" s="40">
        <v>32209643</v>
      </c>
      <c r="Q8" s="41">
        <v>260697384</v>
      </c>
      <c r="R8" s="41">
        <v>35860824</v>
      </c>
      <c r="S8" s="41">
        <v>5165640</v>
      </c>
      <c r="T8" s="41">
        <v>219670920</v>
      </c>
      <c r="U8" s="42" t="s">
        <v>592</v>
      </c>
      <c r="V8" s="42" t="s">
        <v>592</v>
      </c>
      <c r="W8" s="42" t="s">
        <v>592</v>
      </c>
      <c r="X8" s="42" t="s">
        <v>592</v>
      </c>
      <c r="Y8" s="42" t="s">
        <v>592</v>
      </c>
      <c r="Z8" s="43">
        <v>3575.41</v>
      </c>
      <c r="AA8" s="43">
        <v>4561.07</v>
      </c>
      <c r="AB8" s="43">
        <v>4.33</v>
      </c>
      <c r="AC8" s="43">
        <v>21.745000000000001</v>
      </c>
      <c r="AE8" s="45">
        <f t="shared" si="7"/>
        <v>1.9264459855466445E-2</v>
      </c>
      <c r="AF8" s="38">
        <f t="shared" si="8"/>
        <v>407.22312499999998</v>
      </c>
      <c r="AG8" s="39">
        <f t="shared" si="9"/>
        <v>1.0399832139207046</v>
      </c>
      <c r="AH8" s="39">
        <f t="shared" si="10"/>
        <v>0.1637293162751263</v>
      </c>
      <c r="AI8" s="39">
        <f t="shared" si="11"/>
        <v>0.14309820551910551</v>
      </c>
      <c r="AJ8" s="39">
        <f t="shared" si="12"/>
        <v>0.87625389764557826</v>
      </c>
      <c r="AK8" s="36">
        <f t="shared" si="13"/>
        <v>41031040</v>
      </c>
      <c r="AL8" s="39">
        <v>16</v>
      </c>
      <c r="AM8" s="40">
        <v>32209643</v>
      </c>
      <c r="AN8" s="41">
        <v>260622800</v>
      </c>
      <c r="AO8" s="41">
        <v>35860824</v>
      </c>
      <c r="AP8" s="41">
        <v>5170216</v>
      </c>
      <c r="AQ8" s="41">
        <v>219591760</v>
      </c>
      <c r="AR8" s="42"/>
      <c r="AS8" s="42"/>
      <c r="AT8" s="42"/>
      <c r="AU8" s="42"/>
      <c r="AV8" s="42"/>
      <c r="AW8" s="42">
        <v>5164.42</v>
      </c>
      <c r="AX8" s="42">
        <v>5651.78</v>
      </c>
      <c r="AY8" s="42">
        <v>8.109</v>
      </c>
      <c r="AZ8" s="42">
        <v>38.993000000000002</v>
      </c>
      <c r="BB8" s="44">
        <f t="shared" si="14"/>
        <v>0.99971390583650821</v>
      </c>
      <c r="BC8" s="76">
        <f t="shared" si="15"/>
        <v>1.0001115377625525</v>
      </c>
      <c r="BD8" s="44">
        <f t="shared" si="16"/>
        <v>1</v>
      </c>
      <c r="BE8" s="76">
        <f t="shared" si="17"/>
        <v>0.99963964278931405</v>
      </c>
      <c r="BF8" s="45">
        <f t="shared" si="18"/>
        <v>6.2594032061324967E-5</v>
      </c>
      <c r="BG8" s="45">
        <f t="array" ref="BG8">AVERAGE(AK8:AK8/AN8:AN8) - AVERAGE(N8:N8/Q8:Q8)</f>
        <v>6.2594032061324967E-5</v>
      </c>
      <c r="BI8" s="53">
        <f t="shared" si="20"/>
        <v>0</v>
      </c>
      <c r="BJ8" s="53">
        <f t="shared" si="19"/>
        <v>-74584</v>
      </c>
      <c r="BK8" s="53">
        <f t="shared" si="19"/>
        <v>0</v>
      </c>
      <c r="BL8" s="53">
        <f t="shared" si="19"/>
        <v>4576</v>
      </c>
      <c r="BM8" s="53">
        <f t="shared" si="19"/>
        <v>-79160</v>
      </c>
      <c r="BP8" t="s">
        <v>579</v>
      </c>
    </row>
    <row r="9" spans="1:68" ht="16" collapsed="1" thickBot="1" x14ac:dyDescent="0.25">
      <c r="A9" s="26" t="s">
        <v>240</v>
      </c>
      <c r="B9" s="26" t="s">
        <v>73</v>
      </c>
      <c r="C9" s="26">
        <v>250294582</v>
      </c>
      <c r="D9" s="27">
        <v>10</v>
      </c>
      <c r="E9" s="27">
        <v>32</v>
      </c>
      <c r="F9" s="27">
        <v>30</v>
      </c>
      <c r="H9" s="35">
        <f t="shared" si="0"/>
        <v>2.7932178879673222E-2</v>
      </c>
      <c r="I9" s="28">
        <f t="shared" si="1"/>
        <v>353.93319750000001</v>
      </c>
      <c r="J9" s="29">
        <f t="shared" si="2"/>
        <v>1.5083376595023539</v>
      </c>
      <c r="K9" s="29">
        <f t="shared" si="3"/>
        <v>0.15215971394858238</v>
      </c>
      <c r="L9" s="29">
        <f t="shared" si="4"/>
        <v>0.14248046328066341</v>
      </c>
      <c r="M9" s="29">
        <f t="shared" si="5"/>
        <v>1.3561779455537715</v>
      </c>
      <c r="N9" s="26">
        <f t="shared" si="6"/>
        <v>38084752</v>
      </c>
      <c r="O9" s="29">
        <v>16</v>
      </c>
      <c r="P9" s="30">
        <v>25312408</v>
      </c>
      <c r="Q9" s="31">
        <v>377528744</v>
      </c>
      <c r="R9" s="31">
        <v>35662088</v>
      </c>
      <c r="S9" s="31">
        <v>2422664</v>
      </c>
      <c r="T9" s="31">
        <v>339443992</v>
      </c>
      <c r="U9" s="32" t="s">
        <v>592</v>
      </c>
      <c r="V9" s="32" t="s">
        <v>592</v>
      </c>
      <c r="W9" s="32" t="s">
        <v>592</v>
      </c>
      <c r="X9" s="32" t="s">
        <v>592</v>
      </c>
      <c r="Y9" s="32" t="s">
        <v>592</v>
      </c>
      <c r="Z9" s="33">
        <v>1179.9000000000001</v>
      </c>
      <c r="AA9" s="33">
        <v>4869.26</v>
      </c>
      <c r="AB9" s="33">
        <v>3.653</v>
      </c>
      <c r="AC9" s="33">
        <v>22.413</v>
      </c>
      <c r="AE9" s="35">
        <f t="shared" si="7"/>
        <v>2.7932178879673222E-2</v>
      </c>
      <c r="AF9" s="28">
        <f t="shared" si="8"/>
        <v>353.84752500000002</v>
      </c>
      <c r="AG9" s="29">
        <f t="shared" si="9"/>
        <v>1.5079725537167241</v>
      </c>
      <c r="AH9" s="29">
        <f t="shared" si="10"/>
        <v>0.15217464036037345</v>
      </c>
      <c r="AI9" s="29">
        <f t="shared" si="11"/>
        <v>0.14248046328066341</v>
      </c>
      <c r="AJ9" s="29">
        <f t="shared" si="12"/>
        <v>1.3557979133563507</v>
      </c>
      <c r="AK9" s="26">
        <f t="shared" si="13"/>
        <v>38088488</v>
      </c>
      <c r="AL9" s="29">
        <v>16</v>
      </c>
      <c r="AM9" s="30">
        <v>25312408</v>
      </c>
      <c r="AN9" s="31">
        <v>377437360</v>
      </c>
      <c r="AO9" s="31">
        <v>35662088</v>
      </c>
      <c r="AP9" s="31">
        <v>2426400</v>
      </c>
      <c r="AQ9" s="31">
        <v>339348872</v>
      </c>
      <c r="AR9" s="32"/>
      <c r="AS9" s="32"/>
      <c r="AT9" s="32"/>
      <c r="AU9" s="32"/>
      <c r="AV9" s="32"/>
      <c r="AW9" s="32">
        <v>1415.57</v>
      </c>
      <c r="AX9" s="32">
        <v>4535.45</v>
      </c>
      <c r="AY9" s="32">
        <v>5.5620000000000003</v>
      </c>
      <c r="AZ9" s="32">
        <v>28.555</v>
      </c>
      <c r="BB9" s="34">
        <f t="shared" si="14"/>
        <v>0.99975794160987119</v>
      </c>
      <c r="BC9" s="77">
        <f t="shared" si="15"/>
        <v>1.0000980970021809</v>
      </c>
      <c r="BD9" s="34">
        <f t="shared" si="16"/>
        <v>1</v>
      </c>
      <c r="BE9" s="77">
        <f t="shared" si="17"/>
        <v>0.99971977704056703</v>
      </c>
      <c r="BF9" s="35">
        <f t="shared" si="18"/>
        <v>3.4322870840278186E-5</v>
      </c>
      <c r="BG9" s="35">
        <f t="array" ref="BG9">AVERAGE(AK9:AK9/AN9:AN9) - AVERAGE(N9:N9/Q9:Q9)</f>
        <v>3.4322870840278186E-5</v>
      </c>
      <c r="BI9" s="53">
        <f t="shared" si="20"/>
        <v>0</v>
      </c>
      <c r="BJ9" s="53">
        <f t="shared" si="19"/>
        <v>-91384</v>
      </c>
      <c r="BK9" s="53">
        <f t="shared" si="19"/>
        <v>0</v>
      </c>
      <c r="BL9" s="53">
        <f t="shared" si="19"/>
        <v>3736</v>
      </c>
      <c r="BM9" s="53">
        <f t="shared" si="19"/>
        <v>-95120</v>
      </c>
      <c r="BP9" t="s">
        <v>239</v>
      </c>
    </row>
    <row r="10" spans="1:68" collapsed="1" x14ac:dyDescent="0.2">
      <c r="A10" s="17" t="s">
        <v>242</v>
      </c>
      <c r="B10" s="17" t="s">
        <v>77</v>
      </c>
      <c r="C10" s="17">
        <v>375422539</v>
      </c>
      <c r="D10" s="18">
        <v>11</v>
      </c>
      <c r="E10" s="18">
        <v>32</v>
      </c>
      <c r="F10" s="18">
        <v>30</v>
      </c>
      <c r="H10" s="25">
        <f t="shared" si="0"/>
        <v>4.2419744383943012E-2</v>
      </c>
      <c r="I10" s="19">
        <f t="shared" si="1"/>
        <v>851.00972249999995</v>
      </c>
      <c r="J10" s="20">
        <f t="shared" si="2"/>
        <v>2.4179254298847517</v>
      </c>
      <c r="K10" s="20">
        <f t="shared" si="3"/>
        <v>0.27551935553874668</v>
      </c>
      <c r="L10" s="20">
        <f t="shared" si="4"/>
        <v>0.26326304292561403</v>
      </c>
      <c r="M10" s="20">
        <f t="shared" si="5"/>
        <v>2.1424060743460052</v>
      </c>
      <c r="N10" s="17">
        <f t="shared" si="6"/>
        <v>103436176</v>
      </c>
      <c r="O10" s="20">
        <v>16</v>
      </c>
      <c r="P10" s="21">
        <v>92854683</v>
      </c>
      <c r="Q10" s="22">
        <v>907743704</v>
      </c>
      <c r="R10" s="22">
        <v>98834880</v>
      </c>
      <c r="S10" s="22">
        <v>4601296</v>
      </c>
      <c r="T10" s="22">
        <v>804307528</v>
      </c>
      <c r="U10" s="23" t="s">
        <v>592</v>
      </c>
      <c r="V10" s="23" t="s">
        <v>592</v>
      </c>
      <c r="W10" s="23" t="s">
        <v>592</v>
      </c>
      <c r="X10" s="23" t="s">
        <v>592</v>
      </c>
      <c r="Y10" s="23" t="s">
        <v>592</v>
      </c>
      <c r="Z10" s="24">
        <v>2515.04</v>
      </c>
      <c r="AA10" s="24">
        <v>13902.4</v>
      </c>
      <c r="AB10" s="24">
        <v>11.909000000000001</v>
      </c>
      <c r="AC10" s="24">
        <v>60.41</v>
      </c>
      <c r="AE10" s="25">
        <f t="shared" si="7"/>
        <v>4.2419744383943012E-2</v>
      </c>
      <c r="AF10" s="19">
        <f t="shared" si="8"/>
        <v>850.89410999999996</v>
      </c>
      <c r="AG10" s="20">
        <f t="shared" si="9"/>
        <v>2.417596946676662</v>
      </c>
      <c r="AH10" s="20">
        <f t="shared" si="10"/>
        <v>0.27554130414103878</v>
      </c>
      <c r="AI10" s="20">
        <f t="shared" si="11"/>
        <v>0.26326304292561403</v>
      </c>
      <c r="AJ10" s="20">
        <f t="shared" si="12"/>
        <v>2.142055642535623</v>
      </c>
      <c r="AK10" s="17">
        <f t="shared" si="13"/>
        <v>103444416</v>
      </c>
      <c r="AL10" s="20">
        <v>16</v>
      </c>
      <c r="AM10" s="21">
        <v>92854683</v>
      </c>
      <c r="AN10" s="22">
        <v>907620384</v>
      </c>
      <c r="AO10" s="22">
        <v>98834880</v>
      </c>
      <c r="AP10" s="22">
        <v>4609536</v>
      </c>
      <c r="AQ10" s="22">
        <v>804175968</v>
      </c>
      <c r="AR10" s="23"/>
      <c r="AS10" s="23"/>
      <c r="AT10" s="23"/>
      <c r="AU10" s="23"/>
      <c r="AV10" s="23"/>
      <c r="AW10" s="23">
        <v>3749.06</v>
      </c>
      <c r="AX10" s="23">
        <v>14786.5</v>
      </c>
      <c r="AY10" s="23">
        <v>21.538</v>
      </c>
      <c r="AZ10" s="23">
        <v>84.878</v>
      </c>
      <c r="BB10" s="49">
        <f t="shared" si="14"/>
        <v>0.99986414667548074</v>
      </c>
      <c r="BC10" s="75">
        <f t="shared" si="15"/>
        <v>1.0000796626511019</v>
      </c>
      <c r="BD10" s="49">
        <f t="shared" si="16"/>
        <v>1</v>
      </c>
      <c r="BE10" s="75">
        <f t="shared" si="17"/>
        <v>0.99983643072404504</v>
      </c>
      <c r="BF10" s="25">
        <f t="shared" si="18"/>
        <v>2.4561092697078513E-5</v>
      </c>
      <c r="BG10" s="25">
        <f t="array" ref="BG10">AVERAGE(AK10:AK10/AN10:AN10) - AVERAGE(N10:N10/Q10:Q10)</f>
        <v>2.4561092697078513E-5</v>
      </c>
      <c r="BI10" s="53">
        <f t="shared" si="20"/>
        <v>0</v>
      </c>
      <c r="BJ10" s="53">
        <f t="shared" si="19"/>
        <v>-123320</v>
      </c>
      <c r="BK10" s="53">
        <f t="shared" si="19"/>
        <v>0</v>
      </c>
      <c r="BL10" s="53">
        <f t="shared" si="19"/>
        <v>8240</v>
      </c>
      <c r="BM10" s="53">
        <f t="shared" si="19"/>
        <v>-131560</v>
      </c>
      <c r="BP10" t="s">
        <v>580</v>
      </c>
    </row>
    <row r="11" spans="1:68" ht="16" collapsed="1" thickBot="1" x14ac:dyDescent="0.25">
      <c r="A11" s="26"/>
      <c r="B11" s="26" t="s">
        <v>82</v>
      </c>
      <c r="C11" s="26">
        <v>333190689</v>
      </c>
      <c r="D11" s="27">
        <v>11</v>
      </c>
      <c r="E11" s="27">
        <v>32</v>
      </c>
      <c r="F11" s="27">
        <v>30</v>
      </c>
      <c r="H11" s="35">
        <f t="shared" si="0"/>
        <v>4.3594405379414072E-2</v>
      </c>
      <c r="I11" s="28">
        <f t="shared" si="1"/>
        <v>776.19304499999998</v>
      </c>
      <c r="J11" s="29">
        <f t="shared" si="2"/>
        <v>2.4848811066266019</v>
      </c>
      <c r="K11" s="29">
        <f t="shared" si="3"/>
        <v>0.29575743636701685</v>
      </c>
      <c r="L11" s="29">
        <f t="shared" si="4"/>
        <v>0.28138445369342241</v>
      </c>
      <c r="M11" s="29">
        <f t="shared" si="5"/>
        <v>2.1891236702595851</v>
      </c>
      <c r="N11" s="26">
        <f t="shared" si="6"/>
        <v>98543624</v>
      </c>
      <c r="O11" s="29">
        <v>16</v>
      </c>
      <c r="P11" s="30">
        <v>83104648</v>
      </c>
      <c r="Q11" s="31">
        <v>827939248</v>
      </c>
      <c r="R11" s="31">
        <v>93754680</v>
      </c>
      <c r="S11" s="31">
        <v>4788944</v>
      </c>
      <c r="T11" s="31">
        <v>729395624</v>
      </c>
      <c r="U11" s="32" t="s">
        <v>592</v>
      </c>
      <c r="V11" s="32" t="s">
        <v>592</v>
      </c>
      <c r="W11" s="32" t="s">
        <v>592</v>
      </c>
      <c r="X11" s="32" t="s">
        <v>592</v>
      </c>
      <c r="Y11" s="32" t="s">
        <v>592</v>
      </c>
      <c r="Z11" s="33">
        <v>2219.91</v>
      </c>
      <c r="AA11" s="33">
        <v>15592.1</v>
      </c>
      <c r="AB11" s="33">
        <v>13.412000000000001</v>
      </c>
      <c r="AC11" s="33">
        <v>80.790000000000006</v>
      </c>
      <c r="AE11" s="35">
        <f t="shared" si="7"/>
        <v>4.3594405379414072E-2</v>
      </c>
      <c r="AF11" s="28">
        <f t="shared" si="8"/>
        <v>776.10945749999996</v>
      </c>
      <c r="AG11" s="29">
        <f t="shared" si="9"/>
        <v>2.4846135121140795</v>
      </c>
      <c r="AH11" s="29">
        <f t="shared" si="10"/>
        <v>0.29577734088481689</v>
      </c>
      <c r="AI11" s="29">
        <f t="shared" si="11"/>
        <v>0.28138445369342241</v>
      </c>
      <c r="AJ11" s="29">
        <f t="shared" si="12"/>
        <v>2.1888361712292626</v>
      </c>
      <c r="AK11" s="26">
        <f t="shared" si="13"/>
        <v>98550256</v>
      </c>
      <c r="AL11" s="29">
        <v>16</v>
      </c>
      <c r="AM11" s="30">
        <v>83104648</v>
      </c>
      <c r="AN11" s="31">
        <v>827850088</v>
      </c>
      <c r="AO11" s="31">
        <v>93754680</v>
      </c>
      <c r="AP11" s="31">
        <v>4795576</v>
      </c>
      <c r="AQ11" s="31">
        <v>729299832</v>
      </c>
      <c r="AR11" s="32"/>
      <c r="AS11" s="32"/>
      <c r="AT11" s="32"/>
      <c r="AU11" s="32"/>
      <c r="AV11" s="32"/>
      <c r="AW11" s="32">
        <v>3651.99</v>
      </c>
      <c r="AX11" s="32">
        <v>20488.400000000001</v>
      </c>
      <c r="AY11" s="32">
        <v>29.763999999999999</v>
      </c>
      <c r="AZ11" s="32">
        <v>136.10599999999999</v>
      </c>
      <c r="BB11" s="34">
        <f t="shared" si="14"/>
        <v>0.99989231093922015</v>
      </c>
      <c r="BC11" s="77">
        <f t="shared" si="15"/>
        <v>1.0000673001431326</v>
      </c>
      <c r="BD11" s="34">
        <f t="shared" si="16"/>
        <v>1</v>
      </c>
      <c r="BE11" s="77">
        <f t="shared" si="17"/>
        <v>0.99986866935192908</v>
      </c>
      <c r="BF11" s="35">
        <f t="shared" si="18"/>
        <v>2.0829943203945489E-5</v>
      </c>
      <c r="BG11" s="35">
        <f t="array" ref="BG11">AVERAGE(AK11:AK11/AN11:AN11) - AVERAGE(N11:N11/Q11:Q11)</f>
        <v>2.0829943203945489E-5</v>
      </c>
      <c r="BI11" s="53">
        <f t="shared" si="20"/>
        <v>0</v>
      </c>
      <c r="BJ11" s="53">
        <f t="shared" si="19"/>
        <v>-89160</v>
      </c>
      <c r="BK11" s="53">
        <f t="shared" si="19"/>
        <v>0</v>
      </c>
      <c r="BL11" s="53">
        <f t="shared" si="19"/>
        <v>6632</v>
      </c>
      <c r="BM11" s="53">
        <f t="shared" si="19"/>
        <v>-95792</v>
      </c>
      <c r="BP11" t="s">
        <v>581</v>
      </c>
    </row>
    <row r="12" spans="1:68" ht="16" x14ac:dyDescent="0.2">
      <c r="B12" s="46" t="s">
        <v>16</v>
      </c>
      <c r="J12" s="47">
        <f>AVERAGE(J5:J8)</f>
        <v>1.0859381857076333</v>
      </c>
      <c r="K12" s="47">
        <f>AVERAGE(K5:K8)</f>
        <v>0.164933655500591</v>
      </c>
      <c r="L12" s="47">
        <f>AVERAGE(L5:L8)</f>
        <v>0.15052109274881903</v>
      </c>
      <c r="M12" s="47">
        <f>AVERAGE(M5:M8)</f>
        <v>0.92100453020704232</v>
      </c>
      <c r="AG12" s="47">
        <f>AVERAGE(AG5:AG8)</f>
        <v>1.085668032846653</v>
      </c>
      <c r="AH12" s="47">
        <f>AVERAGE(AH5:AH8)</f>
        <v>0.16495400571492314</v>
      </c>
      <c r="AI12" s="47">
        <f>AVERAGE(AI5:AI8)</f>
        <v>0.15052109274881903</v>
      </c>
      <c r="AJ12" s="47">
        <f>AVERAGE(AJ5:AJ8)</f>
        <v>0.92071402713172978</v>
      </c>
      <c r="BB12" s="51">
        <f t="shared" si="14"/>
        <v>0.99975122629949298</v>
      </c>
      <c r="BC12" s="78">
        <f t="shared" si="15"/>
        <v>1.0001233842436243</v>
      </c>
      <c r="BD12" s="51">
        <f t="shared" si="16"/>
        <v>1</v>
      </c>
      <c r="BE12" s="78">
        <f t="shared" si="17"/>
        <v>0.99968458018849571</v>
      </c>
      <c r="BG12" s="55">
        <f>AVERAGE(BG5:BG8)</f>
        <v>5.5862223136041167E-5</v>
      </c>
    </row>
    <row r="13" spans="1:68" ht="16" x14ac:dyDescent="0.2">
      <c r="B13" s="46" t="s">
        <v>17</v>
      </c>
      <c r="J13" s="47">
        <f>AVERAGE(J9:J9)</f>
        <v>1.5083376595023539</v>
      </c>
      <c r="K13" s="47">
        <f>AVERAGE(K9:K9)</f>
        <v>0.15215971394858238</v>
      </c>
      <c r="L13" s="47">
        <f>AVERAGE(L9:L9)</f>
        <v>0.14248046328066341</v>
      </c>
      <c r="M13" s="47">
        <f>AVERAGE(M9:M9)</f>
        <v>1.3561779455537715</v>
      </c>
      <c r="AG13" s="47">
        <f>AVERAGE(AG9:AG9)</f>
        <v>1.5079725537167241</v>
      </c>
      <c r="AH13" s="47">
        <f>AVERAGE(AH9:AH9)</f>
        <v>0.15217464036037345</v>
      </c>
      <c r="AI13" s="47">
        <f>AVERAGE(AI9:AI9)</f>
        <v>0.14248046328066341</v>
      </c>
      <c r="AJ13" s="47">
        <f>AVERAGE(AJ9:AJ9)</f>
        <v>1.3557979133563507</v>
      </c>
      <c r="BB13" s="51">
        <f t="shared" si="14"/>
        <v>0.99975794160987119</v>
      </c>
      <c r="BC13" s="78">
        <f t="shared" si="15"/>
        <v>1.0000980970021809</v>
      </c>
      <c r="BD13" s="51">
        <f t="shared" si="16"/>
        <v>1</v>
      </c>
      <c r="BE13" s="78">
        <f t="shared" si="17"/>
        <v>0.99971977704056703</v>
      </c>
      <c r="BG13" s="55">
        <f>AVERAGE(BG9:BG9)</f>
        <v>3.4322870840278186E-5</v>
      </c>
    </row>
    <row r="14" spans="1:68" ht="16" x14ac:dyDescent="0.2">
      <c r="B14" s="46" t="s">
        <v>18</v>
      </c>
      <c r="J14" s="47">
        <f>AVERAGE(J10:J11)</f>
        <v>2.4514032682556768</v>
      </c>
      <c r="K14" s="47">
        <f>AVERAGE(K10:K11)</f>
        <v>0.28563839595288176</v>
      </c>
      <c r="L14" s="47">
        <f>AVERAGE(L10:L11)</f>
        <v>0.27232374830951822</v>
      </c>
      <c r="M14" s="47">
        <f>AVERAGE(M10:M11)</f>
        <v>2.1657648723027951</v>
      </c>
      <c r="AG14" s="47">
        <f>AVERAGE(AG10:AG11)</f>
        <v>2.4511052293953708</v>
      </c>
      <c r="AH14" s="47">
        <f>AVERAGE(AH10:AH11)</f>
        <v>0.2856593225129278</v>
      </c>
      <c r="AI14" s="47">
        <f>AVERAGE(AI10:AI11)</f>
        <v>0.27232374830951822</v>
      </c>
      <c r="AJ14" s="47">
        <f>AVERAGE(AJ10:AJ11)</f>
        <v>2.165445906882443</v>
      </c>
      <c r="BB14" s="51">
        <f t="shared" si="14"/>
        <v>0.99987842112141834</v>
      </c>
      <c r="BC14" s="78">
        <f t="shared" si="15"/>
        <v>1.0000732624196975</v>
      </c>
      <c r="BD14" s="51">
        <f t="shared" si="16"/>
        <v>1</v>
      </c>
      <c r="BE14" s="78">
        <f t="shared" si="17"/>
        <v>0.99985272389240809</v>
      </c>
      <c r="BG14" s="55">
        <f>AVERAGE(BG10:BG11)</f>
        <v>2.2695517950512001E-5</v>
      </c>
    </row>
    <row r="15" spans="1:68" ht="16" x14ac:dyDescent="0.2">
      <c r="B15" s="46" t="s">
        <v>19</v>
      </c>
      <c r="J15" s="47">
        <f>AVERAGE(J5:J11)</f>
        <v>1.5364138484063203</v>
      </c>
      <c r="K15" s="47">
        <f>AVERAGE(K5:K11)</f>
        <v>0.19759587540810139</v>
      </c>
      <c r="L15" s="47">
        <f>AVERAGE(L5:L11)</f>
        <v>0.18417319012785374</v>
      </c>
      <c r="M15" s="47">
        <f>AVERAGE(M5:M11)</f>
        <v>1.3388179729982188</v>
      </c>
      <c r="AG15" s="47">
        <f>AVERAGE(AG5:AG11)</f>
        <v>1.5361221634134397</v>
      </c>
      <c r="AH15" s="47">
        <f>AVERAGE(AH5:AH11)</f>
        <v>0.19761561546370313</v>
      </c>
      <c r="AI15" s="47">
        <f>AVERAGE(AI5:AI11)</f>
        <v>0.18417319012785374</v>
      </c>
      <c r="AJ15" s="47">
        <f>AVERAGE(AJ5:AJ11)</f>
        <v>1.3385065479497364</v>
      </c>
      <c r="BB15" s="51">
        <f t="shared" si="14"/>
        <v>0.99981015206730706</v>
      </c>
      <c r="BC15" s="78">
        <f t="shared" si="15"/>
        <v>1.0000999011520912</v>
      </c>
      <c r="BD15" s="51">
        <f t="shared" si="16"/>
        <v>1</v>
      </c>
      <c r="BE15" s="78">
        <f t="shared" si="17"/>
        <v>0.99976738805815035</v>
      </c>
      <c r="BG15" s="55">
        <f>AVERAGE(BG5:BG11)</f>
        <v>4.3308971326495262E-5</v>
      </c>
    </row>
    <row r="16" spans="1:68" ht="16" hidden="1" outlineLevel="2" x14ac:dyDescent="0.2">
      <c r="A16" s="46" t="s">
        <v>245</v>
      </c>
      <c r="B16" s="46" t="s">
        <v>246</v>
      </c>
      <c r="Z16" s="48">
        <f>SUM(Z5:Z8,Z9:Z9,Z10:Z11)</f>
        <v>18470.78</v>
      </c>
      <c r="AA16" s="48">
        <f>SUM(AA5:AA8,AA9:AA9,AA10:AA11)</f>
        <v>53282.93</v>
      </c>
      <c r="AB16" s="48">
        <f>SUM(AB5:AB8,AB9:AB9,AB10:AB11)</f>
        <v>45.208999999999996</v>
      </c>
      <c r="AC16" s="48">
        <f>SUM(AC5:AC8,AC9:AC9,AC10:AC11)</f>
        <v>247.42000000000002</v>
      </c>
      <c r="AW16" s="48">
        <f>SUM(AW5:AW8,AW9:AW9,AW10:AW11)</f>
        <v>27791.260000000002</v>
      </c>
      <c r="AX16" s="48">
        <f>SUM(AX5:AX8,AX9:AX9,AX10:AX11)</f>
        <v>63324.21</v>
      </c>
      <c r="AY16" s="48">
        <f>SUM(AY5:AY8,AY9:AY9,AY10:AY11)</f>
        <v>88.144999999999996</v>
      </c>
      <c r="AZ16" s="48">
        <f>SUM(AZ5:AZ8,AZ9:AZ9,AZ10:AZ11)</f>
        <v>399.68399999999997</v>
      </c>
    </row>
    <row r="17" spans="2:52" ht="16" hidden="1" outlineLevel="2" x14ac:dyDescent="0.2">
      <c r="B17" s="46" t="s">
        <v>247</v>
      </c>
      <c r="AW17" s="55">
        <f>AW16/Z16</f>
        <v>1.5046067356115986</v>
      </c>
      <c r="AX17" s="55">
        <f>AX16/AA16</f>
        <v>1.1884520990118224</v>
      </c>
      <c r="AY17" s="55">
        <f>AY16/AB16</f>
        <v>1.9497224004069986</v>
      </c>
      <c r="AZ17" s="55">
        <f>AZ16/AC16</f>
        <v>1.6154070002425025</v>
      </c>
    </row>
    <row r="18" spans="2:52" ht="16" hidden="1" outlineLevel="2" x14ac:dyDescent="0.2">
      <c r="B18" s="46" t="s">
        <v>248</v>
      </c>
      <c r="Z18" s="48">
        <f>GEOMEAN(Z5:Z8,Z9:Z9,Z10:Z11)</f>
        <v>2498.3440778183904</v>
      </c>
      <c r="AA18" s="48">
        <f>GEOMEAN(AA5:AA8,AA9:AA9,AA10:AA11)</f>
        <v>6541.1266103798353</v>
      </c>
      <c r="AB18" s="48">
        <f>GEOMEAN(AB5:AB8,AB9:AB9,AB10:AB11)</f>
        <v>5.4989961416789566</v>
      </c>
      <c r="AC18" s="48">
        <f>GEOMEAN(AC5:AC8,AC9:AC9,AC10:AC11)</f>
        <v>29.793279919745444</v>
      </c>
      <c r="AW18" s="48">
        <f>GEOMEAN(AW5:AW8,AW9:AW9,AW10:AW11)</f>
        <v>3694.4767748485701</v>
      </c>
      <c r="AX18" s="48">
        <f>GEOMEAN(AX5:AX8,AX9:AX9,AX10:AX11)</f>
        <v>7692.1303425883088</v>
      </c>
      <c r="AY18" s="48">
        <f>GEOMEAN(AY5:AY8,AY9:AY9,AY10:AY11)</f>
        <v>10.389864336983107</v>
      </c>
      <c r="AZ18" s="48">
        <f>GEOMEAN(AZ5:AZ8,AZ9:AZ9,AZ10:AZ11)</f>
        <v>48.710358996559549</v>
      </c>
    </row>
    <row r="19" spans="2:52" ht="16" outlineLevel="2" collapsed="1" x14ac:dyDescent="0.2">
      <c r="B19" s="46" t="s">
        <v>249</v>
      </c>
      <c r="AW19" s="55">
        <f>AW18/Z18</f>
        <v>1.4787702012905561</v>
      </c>
      <c r="AX19" s="55">
        <f>AX18/AA18</f>
        <v>1.1759641420763809</v>
      </c>
      <c r="AY19" s="55">
        <f>AY18/AB18</f>
        <v>1.8894110978246419</v>
      </c>
      <c r="AZ19" s="55">
        <f>AZ18/AC18</f>
        <v>1.6349444951267968</v>
      </c>
    </row>
  </sheetData>
  <mergeCells count="36">
    <mergeCell ref="BJ2:BM2"/>
    <mergeCell ref="A2:A3"/>
    <mergeCell ref="B2:B3"/>
    <mergeCell ref="C2:C3"/>
    <mergeCell ref="D2:D3"/>
    <mergeCell ref="E2:E3"/>
    <mergeCell ref="F2:F3"/>
    <mergeCell ref="H2:H3"/>
    <mergeCell ref="I2:I3"/>
    <mergeCell ref="J2:M2"/>
    <mergeCell ref="N2:N3"/>
    <mergeCell ref="AE2:AE3"/>
    <mergeCell ref="AF2:AF3"/>
    <mergeCell ref="AG2:AJ2"/>
    <mergeCell ref="O2:O3"/>
    <mergeCell ref="W2:Y2"/>
    <mergeCell ref="BG2:BG3"/>
    <mergeCell ref="BB2:BE2"/>
    <mergeCell ref="BF2:BF3"/>
    <mergeCell ref="BI2:BI3"/>
    <mergeCell ref="A1:F1"/>
    <mergeCell ref="H1:AC1"/>
    <mergeCell ref="AE1:AZ1"/>
    <mergeCell ref="AT2:AV2"/>
    <mergeCell ref="AW2:AX2"/>
    <mergeCell ref="AY2:AZ2"/>
    <mergeCell ref="AK2:AK3"/>
    <mergeCell ref="AL2:AL3"/>
    <mergeCell ref="AM2:AM3"/>
    <mergeCell ref="AN2:AQ2"/>
    <mergeCell ref="AR2:AS2"/>
    <mergeCell ref="Z2:AA2"/>
    <mergeCell ref="AB2:AC2"/>
    <mergeCell ref="P2:P3"/>
    <mergeCell ref="Q2:T2"/>
    <mergeCell ref="U2:V2"/>
  </mergeCells>
  <phoneticPr fontId="2"/>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tabSelected="1" zoomScale="80" zoomScaleNormal="80" workbookViewId="0">
      <pane xSplit="2" ySplit="4" topLeftCell="U5" activePane="bottomRight" state="frozen"/>
      <selection pane="topRight" activeCell="C1" sqref="C1"/>
      <selection pane="bottomLeft" activeCell="A5" sqref="A5"/>
      <selection pane="bottomRight" activeCell="V12" sqref="V12"/>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 min="61" max="65" width="9" style="53"/>
  </cols>
  <sheetData>
    <row r="1" spans="1:68" x14ac:dyDescent="0.2">
      <c r="A1" s="71" t="s">
        <v>582</v>
      </c>
      <c r="B1" s="59"/>
      <c r="C1" s="59"/>
      <c r="D1" s="59"/>
      <c r="E1" s="59"/>
      <c r="F1" s="59"/>
      <c r="H1" s="67" t="s">
        <v>593</v>
      </c>
      <c r="I1" s="59"/>
      <c r="J1" s="59"/>
      <c r="K1" s="59"/>
      <c r="L1" s="59"/>
      <c r="M1" s="59"/>
      <c r="N1" s="59"/>
      <c r="O1" s="59"/>
      <c r="P1" s="59"/>
      <c r="Q1" s="59"/>
      <c r="R1" s="59"/>
      <c r="S1" s="59"/>
      <c r="T1" s="59"/>
      <c r="U1" s="59"/>
      <c r="V1" s="59"/>
      <c r="W1" s="59"/>
      <c r="X1" s="59"/>
      <c r="Y1" s="59"/>
      <c r="Z1" s="59"/>
      <c r="AA1" s="59"/>
      <c r="AB1" s="59"/>
      <c r="AC1" s="59"/>
      <c r="AE1" s="68" t="s">
        <v>594</v>
      </c>
      <c r="AF1" s="59"/>
      <c r="AG1" s="59"/>
      <c r="AH1" s="59"/>
      <c r="AI1" s="59"/>
      <c r="AJ1" s="59"/>
      <c r="AK1" s="59"/>
      <c r="AL1" s="59"/>
      <c r="AM1" s="59"/>
      <c r="AN1" s="59"/>
      <c r="AO1" s="59"/>
      <c r="AP1" s="59"/>
      <c r="AQ1" s="59"/>
      <c r="AR1" s="59"/>
      <c r="AS1" s="59"/>
      <c r="AT1" s="59"/>
      <c r="AU1" s="59"/>
      <c r="AV1" s="59"/>
      <c r="AW1" s="59"/>
      <c r="AX1" s="59"/>
      <c r="AY1" s="59"/>
      <c r="AZ1" s="59"/>
    </row>
    <row r="2" spans="1:68" ht="30" customHeight="1" thickBot="1" x14ac:dyDescent="0.25">
      <c r="A2" s="73" t="s">
        <v>139</v>
      </c>
      <c r="B2" s="72" t="s">
        <v>140</v>
      </c>
      <c r="C2" s="73" t="s">
        <v>142</v>
      </c>
      <c r="D2" s="72" t="s">
        <v>143</v>
      </c>
      <c r="E2" s="73" t="s">
        <v>144</v>
      </c>
      <c r="F2" s="72" t="s">
        <v>145</v>
      </c>
      <c r="H2" s="73" t="s">
        <v>573</v>
      </c>
      <c r="I2" s="72" t="s">
        <v>146</v>
      </c>
      <c r="J2" s="70" t="s">
        <v>147</v>
      </c>
      <c r="K2" s="59"/>
      <c r="L2" s="59"/>
      <c r="M2" s="59"/>
      <c r="N2" s="73" t="s">
        <v>148</v>
      </c>
      <c r="O2" s="72" t="s">
        <v>149</v>
      </c>
      <c r="P2" s="73" t="s">
        <v>86</v>
      </c>
      <c r="Q2" s="69" t="s">
        <v>150</v>
      </c>
      <c r="R2" s="59"/>
      <c r="S2" s="59"/>
      <c r="T2" s="59"/>
      <c r="U2" s="70" t="s">
        <v>151</v>
      </c>
      <c r="V2" s="59"/>
      <c r="W2" s="69" t="s">
        <v>152</v>
      </c>
      <c r="X2" s="59"/>
      <c r="Y2" s="59"/>
      <c r="Z2" s="70" t="s">
        <v>153</v>
      </c>
      <c r="AA2" s="59"/>
      <c r="AB2" s="69" t="s">
        <v>154</v>
      </c>
      <c r="AC2" s="59"/>
      <c r="AE2" s="73" t="s">
        <v>573</v>
      </c>
      <c r="AF2" s="72" t="s">
        <v>146</v>
      </c>
      <c r="AG2" s="70" t="s">
        <v>147</v>
      </c>
      <c r="AH2" s="59"/>
      <c r="AI2" s="59"/>
      <c r="AJ2" s="59"/>
      <c r="AK2" s="73" t="s">
        <v>155</v>
      </c>
      <c r="AL2" s="72" t="s">
        <v>149</v>
      </c>
      <c r="AM2" s="73" t="s">
        <v>86</v>
      </c>
      <c r="AN2" s="69" t="s">
        <v>150</v>
      </c>
      <c r="AO2" s="59"/>
      <c r="AP2" s="59"/>
      <c r="AQ2" s="59"/>
      <c r="AR2" s="70" t="s">
        <v>151</v>
      </c>
      <c r="AS2" s="59"/>
      <c r="AT2" s="69" t="s">
        <v>152</v>
      </c>
      <c r="AU2" s="59"/>
      <c r="AV2" s="59"/>
      <c r="AW2" s="70" t="s">
        <v>153</v>
      </c>
      <c r="AX2" s="59"/>
      <c r="AY2" s="69" t="s">
        <v>154</v>
      </c>
      <c r="AZ2" s="59"/>
      <c r="BB2" s="70" t="s">
        <v>24</v>
      </c>
      <c r="BC2" s="59"/>
      <c r="BD2" s="59"/>
      <c r="BE2" s="59"/>
      <c r="BF2" s="72" t="s">
        <v>158</v>
      </c>
      <c r="BG2" s="73" t="s">
        <v>158</v>
      </c>
      <c r="BI2" s="73" t="s">
        <v>86</v>
      </c>
      <c r="BJ2" s="69" t="s">
        <v>150</v>
      </c>
      <c r="BK2" s="59"/>
      <c r="BL2" s="59"/>
      <c r="BM2" s="59"/>
    </row>
    <row r="3" spans="1:68" ht="29" customHeight="1" thickBot="1" x14ac:dyDescent="0.25">
      <c r="A3" s="61"/>
      <c r="B3" s="61"/>
      <c r="C3" s="61"/>
      <c r="D3" s="61"/>
      <c r="E3" s="61"/>
      <c r="F3" s="61"/>
      <c r="H3" s="61"/>
      <c r="I3" s="61"/>
      <c r="J3" s="56" t="s">
        <v>27</v>
      </c>
      <c r="K3" s="56" t="s">
        <v>25</v>
      </c>
      <c r="L3" s="56" t="s">
        <v>159</v>
      </c>
      <c r="M3" s="56" t="s">
        <v>160</v>
      </c>
      <c r="N3" s="61"/>
      <c r="O3" s="61"/>
      <c r="P3" s="61"/>
      <c r="Q3" s="57" t="s">
        <v>27</v>
      </c>
      <c r="R3" s="57" t="s">
        <v>159</v>
      </c>
      <c r="S3" s="57" t="s">
        <v>161</v>
      </c>
      <c r="T3" s="57" t="s">
        <v>26</v>
      </c>
      <c r="U3" s="56" t="s">
        <v>11</v>
      </c>
      <c r="V3" s="56" t="s">
        <v>12</v>
      </c>
      <c r="W3" s="57" t="s">
        <v>13</v>
      </c>
      <c r="X3" s="57" t="s">
        <v>14</v>
      </c>
      <c r="Y3" s="57" t="s">
        <v>15</v>
      </c>
      <c r="Z3" s="56" t="s">
        <v>162</v>
      </c>
      <c r="AA3" s="56" t="s">
        <v>163</v>
      </c>
      <c r="AB3" s="57" t="s">
        <v>162</v>
      </c>
      <c r="AC3" s="57" t="s">
        <v>163</v>
      </c>
      <c r="AE3" s="61"/>
      <c r="AF3" s="61"/>
      <c r="AG3" s="56" t="s">
        <v>27</v>
      </c>
      <c r="AH3" s="56" t="s">
        <v>25</v>
      </c>
      <c r="AI3" s="56" t="s">
        <v>159</v>
      </c>
      <c r="AJ3" s="56" t="s">
        <v>160</v>
      </c>
      <c r="AK3" s="61"/>
      <c r="AL3" s="61"/>
      <c r="AM3" s="61"/>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1"/>
      <c r="BG3" s="61"/>
      <c r="BI3" s="61"/>
      <c r="BJ3" s="57" t="s">
        <v>27</v>
      </c>
      <c r="BK3" s="57" t="s">
        <v>159</v>
      </c>
      <c r="BL3" s="57" t="s">
        <v>161</v>
      </c>
      <c r="BM3" s="57" t="s">
        <v>26</v>
      </c>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1.7106541770709367E-2</v>
      </c>
      <c r="I5" s="10">
        <f t="shared" ref="I5:I11" si="1">IF(OR(ISBLANK(Q5),ISBLANK(F5)),"·",Q5*F5/E5/1000000)</f>
        <v>206.23922250000001</v>
      </c>
      <c r="J5" s="11">
        <f t="shared" ref="J5:J11" si="2">IF(ISBLANK(Q5),"·",Q5/C5)</f>
        <v>0.92375325561830579</v>
      </c>
      <c r="K5" s="11">
        <f t="shared" ref="K5:K11" si="3">IF(N5="","·",N5/C5)</f>
        <v>0.14306695917974252</v>
      </c>
      <c r="L5" s="11">
        <f t="shared" ref="L5:L11" si="4">IF(R5="","·",R5/C5)</f>
        <v>0.13400974025258269</v>
      </c>
      <c r="M5" s="11">
        <f t="shared" ref="M5:M11" si="5">IF(ISBLANK(T5),"·",T5/C5)</f>
        <v>0.78068629643856324</v>
      </c>
      <c r="N5" s="52">
        <f t="shared" ref="N5:N11" si="6">IF(OR(ISBLANK(R5),ISBLANK(S5)),"",R5+S5)</f>
        <v>34070880</v>
      </c>
      <c r="O5" s="11">
        <v>16</v>
      </c>
      <c r="P5" s="12">
        <v>24964341</v>
      </c>
      <c r="Q5" s="13">
        <v>219988504</v>
      </c>
      <c r="R5" s="13">
        <v>31913936</v>
      </c>
      <c r="S5" s="13">
        <v>2156944</v>
      </c>
      <c r="T5" s="13">
        <v>185917624</v>
      </c>
      <c r="U5" s="14" t="s">
        <v>592</v>
      </c>
      <c r="V5" s="14" t="s">
        <v>592</v>
      </c>
      <c r="W5" s="14" t="s">
        <v>592</v>
      </c>
      <c r="X5" s="14" t="s">
        <v>592</v>
      </c>
      <c r="Y5" s="14" t="s">
        <v>592</v>
      </c>
      <c r="Z5" s="15">
        <v>2777.85</v>
      </c>
      <c r="AA5" s="15">
        <v>5719.68</v>
      </c>
      <c r="AB5" s="15">
        <v>3.5369999999999999</v>
      </c>
      <c r="AC5" s="15">
        <v>18.356000000000002</v>
      </c>
      <c r="AE5" s="16">
        <f t="shared" ref="AE5:AE11" si="7">IF(ISBLANK(Q5),"·",Q5/(C5*(D5*3+IF(AND(ISNUMBER(T5),T5&gt;0),24,0))))</f>
        <v>1.7106541770709367E-2</v>
      </c>
      <c r="AF5" s="10">
        <f t="shared" ref="AF5:AF11" si="8">IF(OR(ISBLANK(AN5),ISBLANK(F5)),"·",AN5*F5/E5/1000000)</f>
        <v>206.21917500000001</v>
      </c>
      <c r="AG5" s="11">
        <f t="shared" ref="AG5:AG11" si="9">IF(ISBLANK(AN5),"·",AN5/C5)</f>
        <v>0.92366346210974071</v>
      </c>
      <c r="AH5" s="11">
        <f t="shared" ref="AH5:AH11" si="10">IF(AK5="","·",AK5/C5)</f>
        <v>0.14308640940101419</v>
      </c>
      <c r="AI5" s="11">
        <f t="shared" ref="AI5:AI11" si="11">IF(AO5="","·",AO5/C5)</f>
        <v>0.13400974025258269</v>
      </c>
      <c r="AJ5" s="11">
        <f t="shared" ref="AJ5:AJ11" si="12">IF(ISBLANK(AQ5),"·",AQ5/C5)</f>
        <v>0.78057705270872657</v>
      </c>
      <c r="AK5" s="52">
        <f t="shared" ref="AK5:AK11" si="13">IF(OR(ISBLANK(AO5),ISBLANK(AP5)),"",AO5+AP5)</f>
        <v>34075512</v>
      </c>
      <c r="AL5" s="11">
        <v>16</v>
      </c>
      <c r="AM5" s="12">
        <v>24964341</v>
      </c>
      <c r="AN5" s="13">
        <v>219967120</v>
      </c>
      <c r="AO5" s="13">
        <v>31913936</v>
      </c>
      <c r="AP5" s="13">
        <v>2161576</v>
      </c>
      <c r="AQ5" s="13">
        <v>185891608</v>
      </c>
      <c r="AR5" s="14"/>
      <c r="AS5" s="14"/>
      <c r="AT5" s="14"/>
      <c r="AU5" s="14"/>
      <c r="AV5" s="14"/>
      <c r="AW5" s="15">
        <v>4265.7</v>
      </c>
      <c r="AX5" s="15">
        <v>6715.96</v>
      </c>
      <c r="AY5" s="15">
        <v>7.6890000000000001</v>
      </c>
      <c r="AZ5" s="15">
        <v>34.924999999999997</v>
      </c>
      <c r="BB5" s="50">
        <f t="shared" ref="BB5:BB15" si="14">AG5/J5</f>
        <v>0.99990279492059275</v>
      </c>
      <c r="BC5" s="50">
        <f t="shared" ref="BC5:BC15" si="15">AH5/K5</f>
        <v>1.0001359518744453</v>
      </c>
      <c r="BD5" s="50">
        <f t="shared" ref="BD5:BD15" si="16">AI5/L5</f>
        <v>1</v>
      </c>
      <c r="BE5" s="74">
        <f t="shared" ref="BE5:BE15" si="17">AJ5/M5</f>
        <v>0.99986006705851627</v>
      </c>
      <c r="BF5" s="16">
        <f t="shared" ref="BF5:BF11" si="18">(AK5/AN5) - (N5/Q5)</f>
        <v>3.6113863725956152E-5</v>
      </c>
      <c r="BG5" s="16">
        <f t="array" ref="BG5">AVERAGE(AK5:AK5/AN5:AN5) - AVERAGE(N5:N5/Q5:Q5)</f>
        <v>3.6113863725956152E-5</v>
      </c>
      <c r="BI5" s="53">
        <f>AM5-P5</f>
        <v>0</v>
      </c>
      <c r="BJ5" s="53">
        <f t="shared" ref="BJ5:BM11" si="19">AN5-Q5</f>
        <v>-21384</v>
      </c>
      <c r="BK5" s="53">
        <f t="shared" si="19"/>
        <v>0</v>
      </c>
      <c r="BL5" s="53">
        <f t="shared" si="19"/>
        <v>4632</v>
      </c>
      <c r="BM5" s="53">
        <f t="shared" si="19"/>
        <v>-26016</v>
      </c>
      <c r="BP5" t="s">
        <v>233</v>
      </c>
    </row>
    <row r="6" spans="1:68" collapsed="1" x14ac:dyDescent="0.2">
      <c r="A6" s="17"/>
      <c r="B6" s="17" t="s">
        <v>59</v>
      </c>
      <c r="C6" s="17">
        <v>218121242</v>
      </c>
      <c r="D6" s="18">
        <v>10</v>
      </c>
      <c r="E6" s="18">
        <v>32</v>
      </c>
      <c r="F6" s="18">
        <v>30</v>
      </c>
      <c r="H6" s="25">
        <f t="shared" si="0"/>
        <v>2.4427222673471426E-2</v>
      </c>
      <c r="I6" s="19">
        <f t="shared" si="1"/>
        <v>269.73486750000001</v>
      </c>
      <c r="J6" s="20">
        <f t="shared" si="2"/>
        <v>1.3190700243674571</v>
      </c>
      <c r="K6" s="20">
        <f t="shared" si="3"/>
        <v>0.17674489493325002</v>
      </c>
      <c r="L6" s="20">
        <f t="shared" si="4"/>
        <v>0.16079413301708598</v>
      </c>
      <c r="M6" s="20">
        <f t="shared" si="5"/>
        <v>1.1423251294342072</v>
      </c>
      <c r="N6" s="17">
        <f t="shared" si="6"/>
        <v>38551816</v>
      </c>
      <c r="O6" s="20">
        <v>16</v>
      </c>
      <c r="P6" s="21">
        <v>22654789</v>
      </c>
      <c r="Q6" s="22">
        <v>287717192</v>
      </c>
      <c r="R6" s="22">
        <v>35072616</v>
      </c>
      <c r="S6" s="22">
        <v>3479200</v>
      </c>
      <c r="T6" s="22">
        <v>249165376</v>
      </c>
      <c r="U6" s="23" t="s">
        <v>592</v>
      </c>
      <c r="V6" s="23" t="s">
        <v>592</v>
      </c>
      <c r="W6" s="23" t="s">
        <v>592</v>
      </c>
      <c r="X6" s="23" t="s">
        <v>592</v>
      </c>
      <c r="Y6" s="23" t="s">
        <v>592</v>
      </c>
      <c r="Z6" s="24">
        <v>2526.63</v>
      </c>
      <c r="AA6" s="24">
        <v>7232.02</v>
      </c>
      <c r="AB6" s="24">
        <v>3.2759999999999998</v>
      </c>
      <c r="AC6" s="24">
        <v>19.443999999999999</v>
      </c>
      <c r="AE6" s="25">
        <f t="shared" si="7"/>
        <v>2.4427222673471426E-2</v>
      </c>
      <c r="AF6" s="19">
        <f t="shared" si="8"/>
        <v>269.65311750000001</v>
      </c>
      <c r="AG6" s="20">
        <f t="shared" si="9"/>
        <v>1.3186702467061875</v>
      </c>
      <c r="AH6" s="20">
        <f t="shared" si="10"/>
        <v>0.17676242646738644</v>
      </c>
      <c r="AI6" s="20">
        <f t="shared" si="11"/>
        <v>0.16079413301708598</v>
      </c>
      <c r="AJ6" s="20">
        <f t="shared" si="12"/>
        <v>1.1419078202388009</v>
      </c>
      <c r="AK6" s="17">
        <f t="shared" si="13"/>
        <v>38555640</v>
      </c>
      <c r="AL6" s="20">
        <v>16</v>
      </c>
      <c r="AM6" s="21">
        <v>22654789</v>
      </c>
      <c r="AN6" s="22">
        <v>287629992</v>
      </c>
      <c r="AO6" s="22">
        <v>35072616</v>
      </c>
      <c r="AP6" s="22">
        <v>3483024</v>
      </c>
      <c r="AQ6" s="22">
        <v>249074352</v>
      </c>
      <c r="AR6" s="23"/>
      <c r="AS6" s="23"/>
      <c r="AT6" s="23"/>
      <c r="AU6" s="23"/>
      <c r="AV6" s="23"/>
      <c r="AW6" s="24">
        <v>3908.37</v>
      </c>
      <c r="AX6" s="24">
        <v>7337.72</v>
      </c>
      <c r="AY6" s="24">
        <v>6.8470000000000004</v>
      </c>
      <c r="AZ6" s="24">
        <v>35.677</v>
      </c>
      <c r="BB6" s="49">
        <f t="shared" si="14"/>
        <v>0.99969692461060866</v>
      </c>
      <c r="BC6" s="49">
        <f t="shared" si="15"/>
        <v>1.0000991911768826</v>
      </c>
      <c r="BD6" s="49">
        <f t="shared" si="16"/>
        <v>1</v>
      </c>
      <c r="BE6" s="75">
        <f t="shared" si="17"/>
        <v>0.99963468439531489</v>
      </c>
      <c r="BF6" s="25">
        <f t="shared" si="18"/>
        <v>5.3916862209346661E-5</v>
      </c>
      <c r="BG6" s="25">
        <f t="array" ref="BG6">AVERAGE(AK6:AK6/AN6:AN6) - AVERAGE(N6:N6/Q6:Q6)</f>
        <v>5.3916862209346661E-5</v>
      </c>
      <c r="BI6" s="53">
        <f t="shared" ref="BI6:BI11" si="20">AM6-P6</f>
        <v>0</v>
      </c>
      <c r="BJ6" s="53">
        <f t="shared" si="19"/>
        <v>-87200</v>
      </c>
      <c r="BK6" s="53">
        <f t="shared" si="19"/>
        <v>0</v>
      </c>
      <c r="BL6" s="53">
        <f t="shared" si="19"/>
        <v>3824</v>
      </c>
      <c r="BM6" s="53">
        <f t="shared" si="19"/>
        <v>-91024</v>
      </c>
      <c r="BP6" t="s">
        <v>233</v>
      </c>
    </row>
    <row r="7" spans="1:68" collapsed="1" x14ac:dyDescent="0.2">
      <c r="A7" s="52"/>
      <c r="B7" s="52" t="s">
        <v>64</v>
      </c>
      <c r="C7" s="52">
        <v>322589704</v>
      </c>
      <c r="D7" s="9">
        <v>10</v>
      </c>
      <c r="E7" s="9">
        <v>32</v>
      </c>
      <c r="F7" s="9">
        <v>30</v>
      </c>
      <c r="H7" s="16">
        <f t="shared" si="0"/>
        <v>1.8798636296583474E-2</v>
      </c>
      <c r="I7" s="10">
        <f t="shared" si="1"/>
        <v>307.00247999999999</v>
      </c>
      <c r="J7" s="11">
        <f t="shared" si="2"/>
        <v>1.0151263600155076</v>
      </c>
      <c r="K7" s="11">
        <f t="shared" si="3"/>
        <v>0.15736130251695821</v>
      </c>
      <c r="L7" s="11">
        <f t="shared" si="4"/>
        <v>0.14511731595748636</v>
      </c>
      <c r="M7" s="11">
        <f t="shared" si="5"/>
        <v>0.85776505749854925</v>
      </c>
      <c r="N7" s="52">
        <f t="shared" si="6"/>
        <v>50763136</v>
      </c>
      <c r="O7" s="11">
        <v>16</v>
      </c>
      <c r="P7" s="12">
        <v>33947718</v>
      </c>
      <c r="Q7" s="13">
        <v>327469312</v>
      </c>
      <c r="R7" s="13">
        <v>46813352</v>
      </c>
      <c r="S7" s="13">
        <v>3949784</v>
      </c>
      <c r="T7" s="13">
        <v>276706176</v>
      </c>
      <c r="U7" s="14" t="s">
        <v>592</v>
      </c>
      <c r="V7" s="14" t="s">
        <v>592</v>
      </c>
      <c r="W7" s="14" t="s">
        <v>592</v>
      </c>
      <c r="X7" s="14" t="s">
        <v>592</v>
      </c>
      <c r="Y7" s="14" t="s">
        <v>592</v>
      </c>
      <c r="Z7" s="15">
        <v>3677.17</v>
      </c>
      <c r="AA7" s="15">
        <v>7356.98</v>
      </c>
      <c r="AB7" s="15">
        <v>4.9260000000000002</v>
      </c>
      <c r="AC7" s="15">
        <v>23.303999999999998</v>
      </c>
      <c r="AE7" s="16">
        <f t="shared" si="7"/>
        <v>1.8798636296583474E-2</v>
      </c>
      <c r="AF7" s="10">
        <f t="shared" si="8"/>
        <v>306.92203499999999</v>
      </c>
      <c r="AG7" s="11">
        <f t="shared" si="9"/>
        <v>1.014860362685351</v>
      </c>
      <c r="AH7" s="11">
        <f t="shared" si="10"/>
        <v>0.15738731698640945</v>
      </c>
      <c r="AI7" s="11">
        <f t="shared" si="11"/>
        <v>0.14511731595748636</v>
      </c>
      <c r="AJ7" s="11">
        <f t="shared" si="12"/>
        <v>0.85747304569894145</v>
      </c>
      <c r="AK7" s="52">
        <f t="shared" si="13"/>
        <v>50771528</v>
      </c>
      <c r="AL7" s="11">
        <v>16</v>
      </c>
      <c r="AM7" s="12">
        <v>33947718</v>
      </c>
      <c r="AN7" s="13">
        <v>327383504</v>
      </c>
      <c r="AO7" s="13">
        <v>46813352</v>
      </c>
      <c r="AP7" s="13">
        <v>3958176</v>
      </c>
      <c r="AQ7" s="13">
        <v>276611976</v>
      </c>
      <c r="AR7" s="14"/>
      <c r="AS7" s="14"/>
      <c r="AT7" s="14"/>
      <c r="AU7" s="14"/>
      <c r="AV7" s="14"/>
      <c r="AW7" s="15">
        <v>4746.4799999999996</v>
      </c>
      <c r="AX7" s="15">
        <v>6733.54</v>
      </c>
      <c r="AY7" s="15">
        <v>7.45</v>
      </c>
      <c r="AZ7" s="15">
        <v>29.777000000000001</v>
      </c>
      <c r="BB7" s="50">
        <f t="shared" si="14"/>
        <v>0.99973796628613543</v>
      </c>
      <c r="BC7" s="50">
        <f t="shared" si="15"/>
        <v>1.0001653168157301</v>
      </c>
      <c r="BD7" s="50">
        <f t="shared" si="16"/>
        <v>1</v>
      </c>
      <c r="BE7" s="74">
        <f t="shared" si="17"/>
        <v>0.99965956668780687</v>
      </c>
      <c r="BF7" s="16">
        <f t="shared" si="18"/>
        <v>6.6263732865057268E-5</v>
      </c>
      <c r="BG7" s="16">
        <f t="array" ref="BG7">AVERAGE(AK7:AK7/AN7:AN7) - AVERAGE(N7:N7/Q7:Q7)</f>
        <v>6.6263732865057268E-5</v>
      </c>
      <c r="BI7" s="53">
        <f t="shared" si="20"/>
        <v>0</v>
      </c>
      <c r="BJ7" s="53">
        <f t="shared" si="19"/>
        <v>-85808</v>
      </c>
      <c r="BK7" s="53">
        <f t="shared" si="19"/>
        <v>0</v>
      </c>
      <c r="BL7" s="53">
        <f t="shared" si="19"/>
        <v>8392</v>
      </c>
      <c r="BM7" s="53">
        <f t="shared" si="19"/>
        <v>-94200</v>
      </c>
      <c r="BP7" t="s">
        <v>239</v>
      </c>
    </row>
    <row r="8" spans="1:68" ht="16" collapsed="1" thickBot="1" x14ac:dyDescent="0.25">
      <c r="A8" s="36"/>
      <c r="B8" s="36" t="s">
        <v>70</v>
      </c>
      <c r="C8" s="36">
        <v>250602891</v>
      </c>
      <c r="D8" s="37">
        <v>10</v>
      </c>
      <c r="E8" s="37">
        <v>32</v>
      </c>
      <c r="F8" s="37">
        <v>50</v>
      </c>
      <c r="H8" s="45">
        <f t="shared" si="0"/>
        <v>1.7288516820407697E-2</v>
      </c>
      <c r="I8" s="38">
        <f t="shared" si="1"/>
        <v>365.5591</v>
      </c>
      <c r="J8" s="39">
        <f t="shared" si="2"/>
        <v>0.93357990830201554</v>
      </c>
      <c r="K8" s="39">
        <f t="shared" si="3"/>
        <v>0.11808754432924719</v>
      </c>
      <c r="L8" s="39">
        <f t="shared" si="4"/>
        <v>0.10408365161278207</v>
      </c>
      <c r="M8" s="39">
        <f t="shared" si="5"/>
        <v>0.81549236397276836</v>
      </c>
      <c r="N8" s="36">
        <f t="shared" si="6"/>
        <v>29593080</v>
      </c>
      <c r="O8" s="39">
        <v>16</v>
      </c>
      <c r="P8" s="40">
        <v>32209643</v>
      </c>
      <c r="Q8" s="41">
        <v>233957824</v>
      </c>
      <c r="R8" s="41">
        <v>26083664</v>
      </c>
      <c r="S8" s="41">
        <v>3509416</v>
      </c>
      <c r="T8" s="41">
        <v>204364744</v>
      </c>
      <c r="U8" s="42" t="s">
        <v>592</v>
      </c>
      <c r="V8" s="42" t="s">
        <v>592</v>
      </c>
      <c r="W8" s="42" t="s">
        <v>592</v>
      </c>
      <c r="X8" s="42" t="s">
        <v>592</v>
      </c>
      <c r="Y8" s="42" t="s">
        <v>592</v>
      </c>
      <c r="Z8" s="43">
        <v>3559.15</v>
      </c>
      <c r="AA8" s="43">
        <v>5724.11</v>
      </c>
      <c r="AB8" s="43">
        <v>4.3179999999999996</v>
      </c>
      <c r="AC8" s="43">
        <v>19.478999999999999</v>
      </c>
      <c r="AE8" s="45">
        <f t="shared" si="7"/>
        <v>1.7288516820407697E-2</v>
      </c>
      <c r="AF8" s="38">
        <f t="shared" si="8"/>
        <v>365.42854999999997</v>
      </c>
      <c r="AG8" s="39">
        <f t="shared" si="9"/>
        <v>0.93324650432703904</v>
      </c>
      <c r="AH8" s="39">
        <f t="shared" si="10"/>
        <v>0.11810564467909511</v>
      </c>
      <c r="AI8" s="39">
        <f t="shared" si="11"/>
        <v>0.10408365161278207</v>
      </c>
      <c r="AJ8" s="39">
        <f t="shared" si="12"/>
        <v>0.81514085964794392</v>
      </c>
      <c r="AK8" s="36">
        <f t="shared" si="13"/>
        <v>29597616</v>
      </c>
      <c r="AL8" s="39">
        <v>16</v>
      </c>
      <c r="AM8" s="40">
        <v>32209643</v>
      </c>
      <c r="AN8" s="41">
        <v>233874272</v>
      </c>
      <c r="AO8" s="41">
        <v>26083664</v>
      </c>
      <c r="AP8" s="41">
        <v>3513952</v>
      </c>
      <c r="AQ8" s="41">
        <v>204276656</v>
      </c>
      <c r="AR8" s="42"/>
      <c r="AS8" s="42"/>
      <c r="AT8" s="42"/>
      <c r="AU8" s="42"/>
      <c r="AV8" s="42"/>
      <c r="AW8" s="43">
        <v>4475.95</v>
      </c>
      <c r="AX8" s="43">
        <v>5153.92</v>
      </c>
      <c r="AY8" s="43">
        <v>6.9509999999999996</v>
      </c>
      <c r="AZ8" s="43">
        <v>25.84</v>
      </c>
      <c r="BB8" s="44">
        <f t="shared" si="14"/>
        <v>0.99964287580311906</v>
      </c>
      <c r="BC8" s="44">
        <f t="shared" si="15"/>
        <v>1.0001532790774059</v>
      </c>
      <c r="BD8" s="44">
        <f t="shared" si="16"/>
        <v>1</v>
      </c>
      <c r="BE8" s="76">
        <f t="shared" si="17"/>
        <v>0.99956896674898088</v>
      </c>
      <c r="BF8" s="45">
        <f t="shared" si="18"/>
        <v>6.4583439636445306E-5</v>
      </c>
      <c r="BG8" s="45">
        <f t="array" ref="BG8">AVERAGE(AK8:AK8/AN8:AN8) - AVERAGE(N8:N8/Q8:Q8)</f>
        <v>6.4583439636445306E-5</v>
      </c>
      <c r="BI8" s="53">
        <f t="shared" si="20"/>
        <v>0</v>
      </c>
      <c r="BJ8" s="53">
        <f t="shared" si="19"/>
        <v>-83552</v>
      </c>
      <c r="BK8" s="53">
        <f t="shared" si="19"/>
        <v>0</v>
      </c>
      <c r="BL8" s="53">
        <f t="shared" si="19"/>
        <v>4536</v>
      </c>
      <c r="BM8" s="53">
        <f t="shared" si="19"/>
        <v>-88088</v>
      </c>
      <c r="BP8" t="s">
        <v>579</v>
      </c>
    </row>
    <row r="9" spans="1:68" ht="16" collapsed="1" thickBot="1" x14ac:dyDescent="0.25">
      <c r="A9" s="26" t="s">
        <v>240</v>
      </c>
      <c r="B9" s="26" t="s">
        <v>73</v>
      </c>
      <c r="C9" s="26">
        <v>250294582</v>
      </c>
      <c r="D9" s="27">
        <v>10</v>
      </c>
      <c r="E9" s="27">
        <v>32</v>
      </c>
      <c r="F9" s="27">
        <v>30</v>
      </c>
      <c r="H9" s="35">
        <f t="shared" si="0"/>
        <v>2.7762189553226645E-2</v>
      </c>
      <c r="I9" s="28">
        <f t="shared" si="1"/>
        <v>351.77923500000003</v>
      </c>
      <c r="J9" s="29">
        <f t="shared" si="2"/>
        <v>1.4991582358742388</v>
      </c>
      <c r="K9" s="29">
        <f t="shared" si="3"/>
        <v>0.15212171072884031</v>
      </c>
      <c r="L9" s="29">
        <f t="shared" si="4"/>
        <v>0.14210963623655265</v>
      </c>
      <c r="M9" s="29">
        <f t="shared" si="5"/>
        <v>1.3470365251453984</v>
      </c>
      <c r="N9" s="26">
        <f t="shared" si="6"/>
        <v>38075240</v>
      </c>
      <c r="O9" s="29">
        <v>16</v>
      </c>
      <c r="P9" s="30">
        <v>25312408</v>
      </c>
      <c r="Q9" s="31">
        <v>375231184</v>
      </c>
      <c r="R9" s="31">
        <v>35569272</v>
      </c>
      <c r="S9" s="31">
        <v>2505968</v>
      </c>
      <c r="T9" s="31">
        <v>337155944</v>
      </c>
      <c r="U9" s="32" t="s">
        <v>592</v>
      </c>
      <c r="V9" s="32" t="s">
        <v>592</v>
      </c>
      <c r="W9" s="32" t="s">
        <v>592</v>
      </c>
      <c r="X9" s="32" t="s">
        <v>592</v>
      </c>
      <c r="Y9" s="32" t="s">
        <v>592</v>
      </c>
      <c r="Z9" s="33">
        <v>1179.93</v>
      </c>
      <c r="AA9" s="33">
        <v>8006.34</v>
      </c>
      <c r="AB9" s="33">
        <v>3.827</v>
      </c>
      <c r="AC9" s="33">
        <v>23.512</v>
      </c>
      <c r="AE9" s="35">
        <f t="shared" si="7"/>
        <v>2.7762189553226645E-2</v>
      </c>
      <c r="AF9" s="28">
        <f t="shared" si="8"/>
        <v>351.6939825</v>
      </c>
      <c r="AG9" s="29">
        <f t="shared" si="9"/>
        <v>1.4987949199795303</v>
      </c>
      <c r="AH9" s="29">
        <f t="shared" si="10"/>
        <v>0.15213657321595558</v>
      </c>
      <c r="AI9" s="29">
        <f t="shared" si="11"/>
        <v>0.14210963623655265</v>
      </c>
      <c r="AJ9" s="29">
        <f t="shared" si="12"/>
        <v>1.3466583467635749</v>
      </c>
      <c r="AK9" s="26">
        <f t="shared" si="13"/>
        <v>38078960</v>
      </c>
      <c r="AL9" s="29">
        <v>16</v>
      </c>
      <c r="AM9" s="30">
        <v>25312408</v>
      </c>
      <c r="AN9" s="31">
        <v>375140248</v>
      </c>
      <c r="AO9" s="31">
        <v>35569272</v>
      </c>
      <c r="AP9" s="31">
        <v>2509688</v>
      </c>
      <c r="AQ9" s="31">
        <v>337061288</v>
      </c>
      <c r="AR9" s="32"/>
      <c r="AS9" s="32"/>
      <c r="AT9" s="32"/>
      <c r="AU9" s="32"/>
      <c r="AV9" s="32"/>
      <c r="AW9" s="33">
        <v>1722.47</v>
      </c>
      <c r="AX9" s="33">
        <v>8405.31</v>
      </c>
      <c r="AY9" s="33">
        <v>7.4489999999999998</v>
      </c>
      <c r="AZ9" s="33">
        <v>42.465000000000003</v>
      </c>
      <c r="BB9" s="34">
        <f t="shared" si="14"/>
        <v>0.99975765340441425</v>
      </c>
      <c r="BC9" s="34">
        <f t="shared" si="15"/>
        <v>1.0000977012882912</v>
      </c>
      <c r="BD9" s="34">
        <f t="shared" si="16"/>
        <v>1</v>
      </c>
      <c r="BE9" s="77">
        <f t="shared" si="17"/>
        <v>0.99971925157576358</v>
      </c>
      <c r="BF9" s="35">
        <f t="shared" si="18"/>
        <v>3.4513504906866221E-5</v>
      </c>
      <c r="BG9" s="35">
        <f t="array" ref="BG9">AVERAGE(AK9:AK9/AN9:AN9) - AVERAGE(N9:N9/Q9:Q9)</f>
        <v>3.4513504906866221E-5</v>
      </c>
      <c r="BI9" s="53">
        <f t="shared" si="20"/>
        <v>0</v>
      </c>
      <c r="BJ9" s="53">
        <f t="shared" si="19"/>
        <v>-90936</v>
      </c>
      <c r="BK9" s="53">
        <f t="shared" si="19"/>
        <v>0</v>
      </c>
      <c r="BL9" s="53">
        <f t="shared" si="19"/>
        <v>3720</v>
      </c>
      <c r="BM9" s="53">
        <f t="shared" si="19"/>
        <v>-94656</v>
      </c>
      <c r="BP9" t="s">
        <v>583</v>
      </c>
    </row>
    <row r="10" spans="1:68" collapsed="1" x14ac:dyDescent="0.2">
      <c r="A10" s="17" t="s">
        <v>242</v>
      </c>
      <c r="B10" s="17" t="s">
        <v>77</v>
      </c>
      <c r="C10" s="17">
        <v>375422539</v>
      </c>
      <c r="D10" s="18">
        <v>11</v>
      </c>
      <c r="E10" s="18">
        <v>32</v>
      </c>
      <c r="F10" s="18">
        <v>30</v>
      </c>
      <c r="H10" s="25">
        <f t="shared" si="0"/>
        <v>4.2399916620022626E-2</v>
      </c>
      <c r="I10" s="19">
        <f t="shared" si="1"/>
        <v>850.61194499999999</v>
      </c>
      <c r="J10" s="20">
        <f t="shared" si="2"/>
        <v>2.4167952473412897</v>
      </c>
      <c r="K10" s="20">
        <f t="shared" si="3"/>
        <v>0.27505903155164585</v>
      </c>
      <c r="L10" s="20">
        <f t="shared" si="4"/>
        <v>0.26234100984544245</v>
      </c>
      <c r="M10" s="20">
        <f t="shared" si="5"/>
        <v>2.1417362157896438</v>
      </c>
      <c r="N10" s="17">
        <f t="shared" si="6"/>
        <v>103263360</v>
      </c>
      <c r="O10" s="20">
        <v>16</v>
      </c>
      <c r="P10" s="21">
        <v>92854683</v>
      </c>
      <c r="Q10" s="22">
        <v>907319408</v>
      </c>
      <c r="R10" s="22">
        <v>98488728</v>
      </c>
      <c r="S10" s="22">
        <v>4774632</v>
      </c>
      <c r="T10" s="22">
        <v>804056048</v>
      </c>
      <c r="U10" s="23" t="s">
        <v>592</v>
      </c>
      <c r="V10" s="23" t="s">
        <v>592</v>
      </c>
      <c r="W10" s="23" t="s">
        <v>592</v>
      </c>
      <c r="X10" s="23" t="s">
        <v>592</v>
      </c>
      <c r="Y10" s="23" t="s">
        <v>592</v>
      </c>
      <c r="Z10" s="24">
        <v>2508.6999999999998</v>
      </c>
      <c r="AA10" s="24">
        <v>25093.7</v>
      </c>
      <c r="AB10" s="24">
        <v>12.569000000000001</v>
      </c>
      <c r="AC10" s="24">
        <v>69.03</v>
      </c>
      <c r="AE10" s="25">
        <f t="shared" si="7"/>
        <v>4.2399916620022626E-2</v>
      </c>
      <c r="AF10" s="19">
        <f t="shared" si="8"/>
        <v>850.49654250000003</v>
      </c>
      <c r="AG10" s="20">
        <f t="shared" si="9"/>
        <v>2.4164673607942331</v>
      </c>
      <c r="AH10" s="20">
        <f t="shared" si="10"/>
        <v>0.27508093753529272</v>
      </c>
      <c r="AI10" s="20">
        <f t="shared" si="11"/>
        <v>0.26234100984544245</v>
      </c>
      <c r="AJ10" s="20">
        <f t="shared" si="12"/>
        <v>2.1413864232589401</v>
      </c>
      <c r="AK10" s="17">
        <f t="shared" si="13"/>
        <v>103271584</v>
      </c>
      <c r="AL10" s="20">
        <v>16</v>
      </c>
      <c r="AM10" s="21">
        <v>92854683</v>
      </c>
      <c r="AN10" s="22">
        <v>907196312</v>
      </c>
      <c r="AO10" s="22">
        <v>98488728</v>
      </c>
      <c r="AP10" s="22">
        <v>4782856</v>
      </c>
      <c r="AQ10" s="22">
        <v>803924728</v>
      </c>
      <c r="AR10" s="23"/>
      <c r="AS10" s="23"/>
      <c r="AT10" s="23"/>
      <c r="AU10" s="23"/>
      <c r="AV10" s="23"/>
      <c r="AW10" s="24">
        <v>3271.64</v>
      </c>
      <c r="AX10" s="24">
        <v>21112.400000000001</v>
      </c>
      <c r="AY10" s="24">
        <v>20.824000000000002</v>
      </c>
      <c r="AZ10" s="24">
        <v>90.424000000000007</v>
      </c>
      <c r="BB10" s="49">
        <f t="shared" si="14"/>
        <v>0.99986433002654351</v>
      </c>
      <c r="BC10" s="49">
        <f t="shared" si="15"/>
        <v>1.0000796410265946</v>
      </c>
      <c r="BD10" s="49">
        <f t="shared" si="16"/>
        <v>1</v>
      </c>
      <c r="BE10" s="75">
        <f t="shared" si="17"/>
        <v>0.99983667805207532</v>
      </c>
      <c r="BF10" s="25">
        <f t="shared" si="18"/>
        <v>2.4508187496066758E-5</v>
      </c>
      <c r="BG10" s="25">
        <f t="array" ref="BG10">AVERAGE(AK10:AK10/AN10:AN10) - AVERAGE(N10:N10/Q10:Q10)</f>
        <v>2.4508187496066758E-5</v>
      </c>
      <c r="BI10" s="53">
        <f t="shared" si="20"/>
        <v>0</v>
      </c>
      <c r="BJ10" s="53">
        <f t="shared" si="19"/>
        <v>-123096</v>
      </c>
      <c r="BK10" s="53">
        <f t="shared" si="19"/>
        <v>0</v>
      </c>
      <c r="BL10" s="53">
        <f t="shared" si="19"/>
        <v>8224</v>
      </c>
      <c r="BM10" s="53">
        <f t="shared" si="19"/>
        <v>-131320</v>
      </c>
      <c r="BP10" t="s">
        <v>584</v>
      </c>
    </row>
    <row r="11" spans="1:68" ht="16" collapsed="1" thickBot="1" x14ac:dyDescent="0.25">
      <c r="A11" s="26"/>
      <c r="B11" s="26" t="s">
        <v>82</v>
      </c>
      <c r="C11" s="26">
        <v>333190689</v>
      </c>
      <c r="D11" s="27">
        <v>11</v>
      </c>
      <c r="E11" s="27">
        <v>32</v>
      </c>
      <c r="F11" s="27">
        <v>30</v>
      </c>
      <c r="H11" s="35">
        <f t="shared" si="0"/>
        <v>4.3587035488752549E-2</v>
      </c>
      <c r="I11" s="28">
        <f t="shared" si="1"/>
        <v>776.061825</v>
      </c>
      <c r="J11" s="29">
        <f t="shared" si="2"/>
        <v>2.4844610228588953</v>
      </c>
      <c r="K11" s="29">
        <f t="shared" si="3"/>
        <v>0.29577614037107741</v>
      </c>
      <c r="L11" s="29">
        <f t="shared" si="4"/>
        <v>0.28100381880719361</v>
      </c>
      <c r="M11" s="29">
        <f t="shared" si="5"/>
        <v>2.1886848824878178</v>
      </c>
      <c r="N11" s="26">
        <f t="shared" si="6"/>
        <v>98549856</v>
      </c>
      <c r="O11" s="29">
        <v>16</v>
      </c>
      <c r="P11" s="30">
        <v>83104648</v>
      </c>
      <c r="Q11" s="31">
        <v>827799280</v>
      </c>
      <c r="R11" s="31">
        <v>93627856</v>
      </c>
      <c r="S11" s="31">
        <v>4922000</v>
      </c>
      <c r="T11" s="31">
        <v>729249424</v>
      </c>
      <c r="U11" s="32" t="s">
        <v>592</v>
      </c>
      <c r="V11" s="32" t="s">
        <v>592</v>
      </c>
      <c r="W11" s="32" t="s">
        <v>592</v>
      </c>
      <c r="X11" s="32" t="s">
        <v>592</v>
      </c>
      <c r="Y11" s="32" t="s">
        <v>592</v>
      </c>
      <c r="Z11" s="33">
        <v>2214.23</v>
      </c>
      <c r="AA11" s="33">
        <v>29230.2</v>
      </c>
      <c r="AB11" s="33">
        <v>12.816000000000001</v>
      </c>
      <c r="AC11" s="33">
        <v>71.846999999999994</v>
      </c>
      <c r="AE11" s="35">
        <f t="shared" si="7"/>
        <v>4.3587035488752549E-2</v>
      </c>
      <c r="AF11" s="28">
        <f t="shared" si="8"/>
        <v>775.97849250000002</v>
      </c>
      <c r="AG11" s="29">
        <f t="shared" si="9"/>
        <v>2.4841942446957153</v>
      </c>
      <c r="AH11" s="29">
        <f t="shared" si="10"/>
        <v>0.29579599686832786</v>
      </c>
      <c r="AI11" s="29">
        <f t="shared" si="11"/>
        <v>0.28100381880719361</v>
      </c>
      <c r="AJ11" s="29">
        <f t="shared" si="12"/>
        <v>2.1883982478273873</v>
      </c>
      <c r="AK11" s="26">
        <f t="shared" si="13"/>
        <v>98556472</v>
      </c>
      <c r="AL11" s="29">
        <v>16</v>
      </c>
      <c r="AM11" s="30">
        <v>83104648</v>
      </c>
      <c r="AN11" s="31">
        <v>827710392</v>
      </c>
      <c r="AO11" s="31">
        <v>93627856</v>
      </c>
      <c r="AP11" s="31">
        <v>4928616</v>
      </c>
      <c r="AQ11" s="31">
        <v>729153920</v>
      </c>
      <c r="AR11" s="32"/>
      <c r="AS11" s="32"/>
      <c r="AT11" s="32"/>
      <c r="AU11" s="32"/>
      <c r="AV11" s="32"/>
      <c r="AW11" s="33">
        <v>3014.05</v>
      </c>
      <c r="AX11" s="33">
        <v>24451.200000000001</v>
      </c>
      <c r="AY11" s="33">
        <v>22.861999999999998</v>
      </c>
      <c r="AZ11" s="33">
        <v>100.22199999999999</v>
      </c>
      <c r="BB11" s="34">
        <f t="shared" si="14"/>
        <v>0.99989262131274126</v>
      </c>
      <c r="BC11" s="34">
        <f t="shared" si="15"/>
        <v>1.0000671335328994</v>
      </c>
      <c r="BD11" s="34">
        <f t="shared" si="16"/>
        <v>1</v>
      </c>
      <c r="BE11" s="77">
        <f t="shared" si="17"/>
        <v>0.99986903794935311</v>
      </c>
      <c r="BF11" s="35">
        <f t="shared" si="18"/>
        <v>2.0777985069456162E-5</v>
      </c>
      <c r="BG11" s="35">
        <f t="array" ref="BG11">AVERAGE(AK11:AK11/AN11:AN11) - AVERAGE(N11:N11/Q11:Q11)</f>
        <v>2.0777985069456162E-5</v>
      </c>
      <c r="BI11" s="53">
        <f t="shared" si="20"/>
        <v>0</v>
      </c>
      <c r="BJ11" s="53">
        <f t="shared" si="19"/>
        <v>-88888</v>
      </c>
      <c r="BK11" s="53">
        <f t="shared" si="19"/>
        <v>0</v>
      </c>
      <c r="BL11" s="53">
        <f t="shared" si="19"/>
        <v>6616</v>
      </c>
      <c r="BM11" s="53">
        <f t="shared" si="19"/>
        <v>-95504</v>
      </c>
      <c r="BP11" t="s">
        <v>585</v>
      </c>
    </row>
    <row r="12" spans="1:68" ht="16" x14ac:dyDescent="0.2">
      <c r="B12" s="46" t="s">
        <v>16</v>
      </c>
      <c r="J12" s="47">
        <f>AVERAGE(J5:J8)</f>
        <v>1.0478823870758216</v>
      </c>
      <c r="K12" s="47">
        <f>AVERAGE(K5:K8)</f>
        <v>0.14881517523979948</v>
      </c>
      <c r="L12" s="47">
        <f>AVERAGE(L5:L8)</f>
        <v>0.13600121020998429</v>
      </c>
      <c r="M12" s="47">
        <f>AVERAGE(M5:M8)</f>
        <v>0.89906721183602201</v>
      </c>
      <c r="AG12" s="47">
        <f>AVERAGE(AG5:AG8)</f>
        <v>1.0476101439570795</v>
      </c>
      <c r="AH12" s="47">
        <f>AVERAGE(AH5:AH8)</f>
        <v>0.14883544938347629</v>
      </c>
      <c r="AI12" s="47">
        <f>AVERAGE(AI5:AI8)</f>
        <v>0.13600121020998429</v>
      </c>
      <c r="AJ12" s="47">
        <f>AVERAGE(AJ5:AJ8)</f>
        <v>0.89877469457360315</v>
      </c>
      <c r="BB12" s="51">
        <f t="shared" si="14"/>
        <v>0.99974019687505022</v>
      </c>
      <c r="BC12" s="51">
        <f t="shared" si="15"/>
        <v>1.0001362370715496</v>
      </c>
      <c r="BD12" s="51">
        <f t="shared" si="16"/>
        <v>1</v>
      </c>
      <c r="BE12" s="78">
        <f t="shared" si="17"/>
        <v>0.99967464360999048</v>
      </c>
      <c r="BG12" s="55">
        <f>AVERAGE(BG5:BG8)</f>
        <v>5.5219474609201347E-5</v>
      </c>
    </row>
    <row r="13" spans="1:68" ht="16" x14ac:dyDescent="0.2">
      <c r="B13" s="46" t="s">
        <v>17</v>
      </c>
      <c r="J13" s="47">
        <f>AVERAGE(J9:J9)</f>
        <v>1.4991582358742388</v>
      </c>
      <c r="K13" s="47">
        <f>AVERAGE(K9:K9)</f>
        <v>0.15212171072884031</v>
      </c>
      <c r="L13" s="47">
        <f>AVERAGE(L9:L9)</f>
        <v>0.14210963623655265</v>
      </c>
      <c r="M13" s="47">
        <f>AVERAGE(M9:M9)</f>
        <v>1.3470365251453984</v>
      </c>
      <c r="AG13" s="47">
        <f>AVERAGE(AG9:AG9)</f>
        <v>1.4987949199795303</v>
      </c>
      <c r="AH13" s="47">
        <f>AVERAGE(AH9:AH9)</f>
        <v>0.15213657321595558</v>
      </c>
      <c r="AI13" s="47">
        <f>AVERAGE(AI9:AI9)</f>
        <v>0.14210963623655265</v>
      </c>
      <c r="AJ13" s="47">
        <f>AVERAGE(AJ9:AJ9)</f>
        <v>1.3466583467635749</v>
      </c>
      <c r="BB13" s="51">
        <f t="shared" si="14"/>
        <v>0.99975765340441425</v>
      </c>
      <c r="BC13" s="51">
        <f t="shared" si="15"/>
        <v>1.0000977012882912</v>
      </c>
      <c r="BD13" s="51">
        <f t="shared" si="16"/>
        <v>1</v>
      </c>
      <c r="BE13" s="78">
        <f t="shared" si="17"/>
        <v>0.99971925157576358</v>
      </c>
      <c r="BG13" s="55">
        <f>AVERAGE(BG9:BG9)</f>
        <v>3.4513504906866221E-5</v>
      </c>
    </row>
    <row r="14" spans="1:68" ht="16" x14ac:dyDescent="0.2">
      <c r="B14" s="46" t="s">
        <v>18</v>
      </c>
      <c r="J14" s="47">
        <f>AVERAGE(J10:J11)</f>
        <v>2.4506281351000925</v>
      </c>
      <c r="K14" s="47">
        <f>AVERAGE(K10:K11)</f>
        <v>0.28541758596136163</v>
      </c>
      <c r="L14" s="47">
        <f>AVERAGE(L10:L11)</f>
        <v>0.27167241432631806</v>
      </c>
      <c r="M14" s="47">
        <f>AVERAGE(M10:M11)</f>
        <v>2.165210549138731</v>
      </c>
      <c r="AG14" s="47">
        <f>AVERAGE(AG10:AG11)</f>
        <v>2.4503308027449742</v>
      </c>
      <c r="AH14" s="47">
        <f>AVERAGE(AH10:AH11)</f>
        <v>0.28543846720181032</v>
      </c>
      <c r="AI14" s="47">
        <f>AVERAGE(AI10:AI11)</f>
        <v>0.27167241432631806</v>
      </c>
      <c r="AJ14" s="47">
        <f>AVERAGE(AJ10:AJ11)</f>
        <v>2.164892335543164</v>
      </c>
      <c r="BB14" s="51">
        <f t="shared" si="14"/>
        <v>0.99987867096159566</v>
      </c>
      <c r="BC14" s="51">
        <f t="shared" si="15"/>
        <v>1.0000731603148361</v>
      </c>
      <c r="BD14" s="51">
        <f t="shared" si="16"/>
        <v>1</v>
      </c>
      <c r="BE14" s="78">
        <f t="shared" si="17"/>
        <v>0.99985303341714571</v>
      </c>
      <c r="BG14" s="55">
        <f>AVERAGE(BG10:BG11)</f>
        <v>2.264308628276146E-5</v>
      </c>
    </row>
    <row r="15" spans="1:68" ht="16" x14ac:dyDescent="0.2">
      <c r="B15" s="46" t="s">
        <v>19</v>
      </c>
      <c r="J15" s="47">
        <f>AVERAGE(J5:J11)</f>
        <v>1.5131348649111014</v>
      </c>
      <c r="K15" s="47">
        <f>AVERAGE(K5:K11)</f>
        <v>0.1883167976586802</v>
      </c>
      <c r="L15" s="47">
        <f>AVERAGE(L5:L11)</f>
        <v>0.17563704367558941</v>
      </c>
      <c r="M15" s="47">
        <f>AVERAGE(M5:M11)</f>
        <v>1.3248180672524212</v>
      </c>
      <c r="AG15" s="47">
        <f>AVERAGE(AG5:AG11)</f>
        <v>1.5128424430425422</v>
      </c>
      <c r="AH15" s="47">
        <f>AVERAGE(AH5:AH11)</f>
        <v>0.18833647216478305</v>
      </c>
      <c r="AI15" s="47">
        <f>AVERAGE(AI5:AI11)</f>
        <v>0.17563704367558941</v>
      </c>
      <c r="AJ15" s="47">
        <f>AVERAGE(AJ5:AJ11)</f>
        <v>1.3245059708777593</v>
      </c>
      <c r="BB15" s="51">
        <f t="shared" si="14"/>
        <v>0.99980674434557004</v>
      </c>
      <c r="BC15" s="51">
        <f t="shared" si="15"/>
        <v>1.0001044755770461</v>
      </c>
      <c r="BD15" s="51">
        <f t="shared" si="16"/>
        <v>1</v>
      </c>
      <c r="BE15" s="78">
        <f t="shared" si="17"/>
        <v>0.99976442321977899</v>
      </c>
      <c r="BG15" s="55">
        <f>AVERAGE(BG5:BG11)</f>
        <v>4.2953939415599218E-5</v>
      </c>
    </row>
    <row r="16" spans="1:68" ht="16" hidden="1" outlineLevel="2" x14ac:dyDescent="0.2">
      <c r="A16" s="46" t="s">
        <v>245</v>
      </c>
      <c r="B16" s="46" t="s">
        <v>246</v>
      </c>
      <c r="Z16" s="48">
        <f>SUM(Z5:Z8,Z9:Z9,Z10:Z11)</f>
        <v>18443.66</v>
      </c>
      <c r="AA16" s="48">
        <f>SUM(AA5:AA8,AA9:AA9,AA10:AA11)</f>
        <v>88363.03</v>
      </c>
      <c r="AB16" s="48">
        <f>SUM(AB5:AB8,AB9:AB9,AB10:AB11)</f>
        <v>45.269000000000005</v>
      </c>
      <c r="AC16" s="48">
        <f>SUM(AC5:AC8,AC9:AC9,AC10:AC11)</f>
        <v>244.97199999999998</v>
      </c>
      <c r="AW16" s="48">
        <f>SUM(AW5:AW8,AW9:AW9,AW10:AW11)</f>
        <v>25404.66</v>
      </c>
      <c r="AX16" s="48">
        <f>SUM(AX5:AX8,AX9:AX9,AX10:AX11)</f>
        <v>79910.05</v>
      </c>
      <c r="AY16" s="48">
        <f>SUM(AY5:AY8,AY9:AY9,AY10:AY11)</f>
        <v>80.072000000000003</v>
      </c>
      <c r="AZ16" s="48">
        <f>SUM(AZ5:AZ8,AZ9:AZ9,AZ10:AZ11)</f>
        <v>359.33000000000004</v>
      </c>
    </row>
    <row r="17" spans="2:52" ht="16" hidden="1" outlineLevel="2" x14ac:dyDescent="0.2">
      <c r="B17" s="46" t="s">
        <v>247</v>
      </c>
      <c r="AW17" s="55">
        <f>AW16/Z16</f>
        <v>1.3774196661617055</v>
      </c>
      <c r="AX17" s="55">
        <f>AX16/AA16</f>
        <v>0.90433804725799927</v>
      </c>
      <c r="AY17" s="55">
        <f>AY16/AB16</f>
        <v>1.7688042589851773</v>
      </c>
      <c r="AZ17" s="55">
        <f>AZ16/AC16</f>
        <v>1.4668206978756759</v>
      </c>
    </row>
    <row r="18" spans="2:52" ht="16" hidden="1" outlineLevel="2" x14ac:dyDescent="0.2">
      <c r="B18" s="46" t="s">
        <v>248</v>
      </c>
      <c r="Z18" s="48">
        <f>GEOMEAN(Z5:Z8,Z9:Z9,Z10:Z11)</f>
        <v>2495.1184252455687</v>
      </c>
      <c r="AA18" s="48">
        <f>GEOMEAN(AA5:AA8,AA9:AA9,AA10:AA11)</f>
        <v>10032.517277897274</v>
      </c>
      <c r="AB18" s="48">
        <f>GEOMEAN(AB5:AB8,AB9:AB9,AB10:AB11)</f>
        <v>5.4984241803987306</v>
      </c>
      <c r="AC18" s="48">
        <f>GEOMEAN(AC5:AC8,AC9:AC9,AC10:AC11)</f>
        <v>29.379365407999728</v>
      </c>
      <c r="AW18" s="48">
        <f>GEOMEAN(AW5:AW8,AW9:AW9,AW10:AW11)</f>
        <v>3466.5821672897628</v>
      </c>
      <c r="AX18" s="48">
        <f>GEOMEAN(AX5:AX8,AX9:AX9,AX10:AX11)</f>
        <v>9582.7839345114335</v>
      </c>
      <c r="AY18" s="48">
        <f>GEOMEAN(AY5:AY8,AY9:AY9,AY10:AY11)</f>
        <v>9.951926436809595</v>
      </c>
      <c r="AZ18" s="48">
        <f>GEOMEAN(AZ5:AZ8,AZ9:AZ9,AZ10:AZ11)</f>
        <v>44.91849092771394</v>
      </c>
    </row>
    <row r="19" spans="2:52" ht="16" outlineLevel="2" collapsed="1" x14ac:dyDescent="0.2">
      <c r="B19" s="46" t="s">
        <v>249</v>
      </c>
      <c r="AW19" s="55">
        <f>AW18/Z18</f>
        <v>1.3893457449614173</v>
      </c>
      <c r="AX19" s="55">
        <f>AX18/AA18</f>
        <v>0.95517243270772612</v>
      </c>
      <c r="AY19" s="55">
        <f>AY18/AB18</f>
        <v>1.8099597467010828</v>
      </c>
      <c r="AZ19" s="55">
        <f>AZ18/AC18</f>
        <v>1.5289129055007789</v>
      </c>
    </row>
  </sheetData>
  <mergeCells count="36">
    <mergeCell ref="BJ2:BM2"/>
    <mergeCell ref="A2:A3"/>
    <mergeCell ref="B2:B3"/>
    <mergeCell ref="C2:C3"/>
    <mergeCell ref="D2:D3"/>
    <mergeCell ref="E2:E3"/>
    <mergeCell ref="F2:F3"/>
    <mergeCell ref="H2:H3"/>
    <mergeCell ref="I2:I3"/>
    <mergeCell ref="J2:M2"/>
    <mergeCell ref="N2:N3"/>
    <mergeCell ref="AE2:AE3"/>
    <mergeCell ref="AF2:AF3"/>
    <mergeCell ref="AG2:AJ2"/>
    <mergeCell ref="O2:O3"/>
    <mergeCell ref="W2:Y2"/>
    <mergeCell ref="BG2:BG3"/>
    <mergeCell ref="BB2:BE2"/>
    <mergeCell ref="BF2:BF3"/>
    <mergeCell ref="BI2:BI3"/>
    <mergeCell ref="A1:F1"/>
    <mergeCell ref="H1:AC1"/>
    <mergeCell ref="AE1:AZ1"/>
    <mergeCell ref="AT2:AV2"/>
    <mergeCell ref="AW2:AX2"/>
    <mergeCell ref="AY2:AZ2"/>
    <mergeCell ref="AK2:AK3"/>
    <mergeCell ref="AL2:AL3"/>
    <mergeCell ref="AM2:AM3"/>
    <mergeCell ref="AN2:AQ2"/>
    <mergeCell ref="AR2:AS2"/>
    <mergeCell ref="Z2:AA2"/>
    <mergeCell ref="AB2:AC2"/>
    <mergeCell ref="P2:P3"/>
    <mergeCell ref="Q2:T2"/>
    <mergeCell ref="U2:V2"/>
  </mergeCells>
  <phoneticPr fontId="2"/>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zoomScale="80" zoomScaleNormal="80" workbookViewId="0">
      <pane xSplit="2" ySplit="4" topLeftCell="O5" activePane="bottomRight" state="frozen"/>
      <selection pane="topRight" activeCell="C1" sqref="C1"/>
      <selection pane="bottomLeft" activeCell="A5" sqref="A5"/>
      <selection pane="bottomRight" activeCell="AG1" sqref="AG1:BC1"/>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85" width="9" style="53"/>
  </cols>
  <sheetData>
    <row r="1" spans="1:88" x14ac:dyDescent="0.2">
      <c r="A1" s="71" t="s">
        <v>586</v>
      </c>
      <c r="B1" s="59"/>
      <c r="C1" s="59"/>
      <c r="D1" s="59"/>
      <c r="E1" s="59"/>
      <c r="F1" s="59"/>
      <c r="G1" s="59"/>
      <c r="I1" s="67" t="s">
        <v>591</v>
      </c>
      <c r="J1" s="59"/>
      <c r="K1" s="59"/>
      <c r="L1" s="59"/>
      <c r="M1" s="59"/>
      <c r="N1" s="59"/>
      <c r="O1" s="59"/>
      <c r="P1" s="59"/>
      <c r="Q1" s="59"/>
      <c r="R1" s="59"/>
      <c r="S1" s="59"/>
      <c r="T1" s="59"/>
      <c r="U1" s="59"/>
      <c r="V1" s="59"/>
      <c r="W1" s="59"/>
      <c r="X1" s="59"/>
      <c r="Y1" s="59"/>
      <c r="Z1" s="59"/>
      <c r="AA1" s="59"/>
      <c r="AB1" s="59"/>
      <c r="AC1" s="59"/>
      <c r="AD1" s="59"/>
      <c r="AE1" s="59"/>
      <c r="AG1" s="68"/>
      <c r="AH1" s="59"/>
      <c r="AI1" s="59"/>
      <c r="AJ1" s="59"/>
      <c r="AK1" s="59"/>
      <c r="AL1" s="59"/>
      <c r="AM1" s="59"/>
      <c r="AN1" s="59"/>
      <c r="AO1" s="59"/>
      <c r="AP1" s="59"/>
      <c r="AQ1" s="59"/>
      <c r="AR1" s="59"/>
      <c r="AS1" s="59"/>
      <c r="AT1" s="59"/>
      <c r="AU1" s="59"/>
      <c r="AV1" s="59"/>
      <c r="AW1" s="59"/>
      <c r="AX1" s="59"/>
      <c r="AY1" s="59"/>
      <c r="AZ1" s="59"/>
      <c r="BA1" s="59"/>
      <c r="BB1" s="59"/>
      <c r="BC1" s="59"/>
    </row>
    <row r="2" spans="1:88" ht="30" customHeight="1" thickBot="1" x14ac:dyDescent="0.25">
      <c r="A2" s="73" t="s">
        <v>139</v>
      </c>
      <c r="B2" s="72" t="s">
        <v>140</v>
      </c>
      <c r="C2" s="73" t="s">
        <v>141</v>
      </c>
      <c r="D2" s="72" t="s">
        <v>142</v>
      </c>
      <c r="E2" s="73" t="s">
        <v>143</v>
      </c>
      <c r="F2" s="72" t="s">
        <v>144</v>
      </c>
      <c r="G2" s="73" t="s">
        <v>145</v>
      </c>
      <c r="I2" s="72" t="s">
        <v>146</v>
      </c>
      <c r="J2" s="70" t="s">
        <v>147</v>
      </c>
      <c r="K2" s="59"/>
      <c r="L2" s="59"/>
      <c r="M2" s="59"/>
      <c r="N2" s="73" t="s">
        <v>148</v>
      </c>
      <c r="O2" s="72" t="s">
        <v>149</v>
      </c>
      <c r="P2" s="73" t="s">
        <v>86</v>
      </c>
      <c r="Q2" s="72" t="s">
        <v>88</v>
      </c>
      <c r="R2" s="73" t="s">
        <v>84</v>
      </c>
      <c r="S2" s="69" t="s">
        <v>150</v>
      </c>
      <c r="T2" s="59"/>
      <c r="U2" s="59"/>
      <c r="V2" s="59"/>
      <c r="W2" s="70" t="s">
        <v>151</v>
      </c>
      <c r="X2" s="59"/>
      <c r="Y2" s="69" t="s">
        <v>152</v>
      </c>
      <c r="Z2" s="59"/>
      <c r="AA2" s="59"/>
      <c r="AB2" s="70" t="s">
        <v>153</v>
      </c>
      <c r="AC2" s="59"/>
      <c r="AD2" s="69" t="s">
        <v>154</v>
      </c>
      <c r="AE2" s="59"/>
      <c r="AG2" s="73" t="s">
        <v>146</v>
      </c>
      <c r="AH2" s="69" t="s">
        <v>147</v>
      </c>
      <c r="AI2" s="59"/>
      <c r="AJ2" s="59"/>
      <c r="AK2" s="59"/>
      <c r="AL2" s="72" t="s">
        <v>155</v>
      </c>
      <c r="AM2" s="73" t="s">
        <v>149</v>
      </c>
      <c r="AN2" s="72" t="s">
        <v>86</v>
      </c>
      <c r="AO2" s="73" t="s">
        <v>88</v>
      </c>
      <c r="AP2" s="72" t="s">
        <v>84</v>
      </c>
      <c r="AQ2" s="70" t="s">
        <v>150</v>
      </c>
      <c r="AR2" s="59"/>
      <c r="AS2" s="59"/>
      <c r="AT2" s="59"/>
      <c r="AU2" s="69" t="s">
        <v>151</v>
      </c>
      <c r="AV2" s="59"/>
      <c r="AW2" s="70" t="s">
        <v>152</v>
      </c>
      <c r="AX2" s="59"/>
      <c r="AY2" s="59"/>
      <c r="AZ2" s="69" t="s">
        <v>153</v>
      </c>
      <c r="BA2" s="59"/>
      <c r="BB2" s="70" t="s">
        <v>154</v>
      </c>
      <c r="BC2" s="59"/>
      <c r="BE2" s="72" t="s">
        <v>156</v>
      </c>
      <c r="BF2" s="73" t="s">
        <v>157</v>
      </c>
      <c r="BG2" s="72" t="s">
        <v>158</v>
      </c>
      <c r="BH2" s="73" t="s">
        <v>158</v>
      </c>
      <c r="BJ2" s="69" t="s">
        <v>7</v>
      </c>
      <c r="BK2" s="59"/>
      <c r="BL2" s="70" t="s">
        <v>8</v>
      </c>
      <c r="BM2" s="59"/>
      <c r="BN2" s="59"/>
      <c r="BP2" s="69" t="s">
        <v>9</v>
      </c>
      <c r="BQ2" s="59"/>
      <c r="BR2" s="70" t="s">
        <v>10</v>
      </c>
      <c r="BS2" s="59"/>
      <c r="BT2" s="59"/>
      <c r="BV2" s="72" t="s">
        <v>86</v>
      </c>
      <c r="BW2" s="73" t="s">
        <v>88</v>
      </c>
      <c r="BX2" s="72" t="s">
        <v>84</v>
      </c>
      <c r="BY2" s="70" t="s">
        <v>150</v>
      </c>
      <c r="BZ2" s="59"/>
      <c r="CA2" s="59"/>
      <c r="CB2" s="59"/>
      <c r="CC2" s="69" t="s">
        <v>151</v>
      </c>
      <c r="CD2" s="59"/>
      <c r="CE2" s="70" t="s">
        <v>152</v>
      </c>
      <c r="CF2" s="59"/>
      <c r="CG2" s="59"/>
    </row>
    <row r="3" spans="1:88" ht="33" thickBot="1" x14ac:dyDescent="0.25">
      <c r="A3" s="61"/>
      <c r="B3" s="61"/>
      <c r="C3" s="61"/>
      <c r="D3" s="61"/>
      <c r="E3" s="61"/>
      <c r="F3" s="61"/>
      <c r="G3" s="61"/>
      <c r="I3" s="61"/>
      <c r="J3" s="56" t="s">
        <v>27</v>
      </c>
      <c r="K3" s="56" t="s">
        <v>25</v>
      </c>
      <c r="L3" s="56" t="s">
        <v>159</v>
      </c>
      <c r="M3" s="56" t="s">
        <v>160</v>
      </c>
      <c r="N3" s="61"/>
      <c r="O3" s="61"/>
      <c r="P3" s="61"/>
      <c r="Q3" s="61"/>
      <c r="R3" s="61"/>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1"/>
      <c r="AH3" s="57" t="s">
        <v>27</v>
      </c>
      <c r="AI3" s="57" t="s">
        <v>25</v>
      </c>
      <c r="AJ3" s="57" t="s">
        <v>159</v>
      </c>
      <c r="AK3" s="57" t="s">
        <v>160</v>
      </c>
      <c r="AL3" s="61"/>
      <c r="AM3" s="61"/>
      <c r="AN3" s="61"/>
      <c r="AO3" s="61"/>
      <c r="AP3" s="61"/>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1"/>
      <c r="BF3" s="61"/>
      <c r="BG3" s="61"/>
      <c r="BH3" s="61"/>
      <c r="BJ3" s="57" t="s">
        <v>11</v>
      </c>
      <c r="BK3" s="57" t="s">
        <v>12</v>
      </c>
      <c r="BL3" s="56" t="s">
        <v>13</v>
      </c>
      <c r="BM3" s="56" t="s">
        <v>14</v>
      </c>
      <c r="BN3" s="56" t="s">
        <v>15</v>
      </c>
      <c r="BP3" s="57" t="s">
        <v>11</v>
      </c>
      <c r="BQ3" s="57" t="s">
        <v>12</v>
      </c>
      <c r="BR3" s="56" t="s">
        <v>13</v>
      </c>
      <c r="BS3" s="56" t="s">
        <v>14</v>
      </c>
      <c r="BT3" s="56" t="s">
        <v>15</v>
      </c>
      <c r="BV3" s="61"/>
      <c r="BW3" s="61"/>
      <c r="BX3" s="61"/>
      <c r="BY3" s="56" t="s">
        <v>27</v>
      </c>
      <c r="BZ3" s="56" t="s">
        <v>159</v>
      </c>
      <c r="CA3" s="56" t="s">
        <v>161</v>
      </c>
      <c r="CB3" s="56" t="s">
        <v>26</v>
      </c>
      <c r="CC3" s="57" t="s">
        <v>11</v>
      </c>
      <c r="CD3" s="57" t="s">
        <v>12</v>
      </c>
      <c r="CE3" s="56" t="s">
        <v>13</v>
      </c>
      <c r="CF3" s="56" t="s">
        <v>14</v>
      </c>
      <c r="CG3" s="56"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row>
    <row r="5" spans="1:88" x14ac:dyDescent="0.2">
      <c r="A5" s="52" t="s">
        <v>231</v>
      </c>
      <c r="B5" s="52" t="s">
        <v>51</v>
      </c>
      <c r="C5" s="9" t="s">
        <v>232</v>
      </c>
      <c r="D5" s="52">
        <v>238146391</v>
      </c>
      <c r="E5" s="9">
        <v>10</v>
      </c>
      <c r="F5" s="9">
        <v>32</v>
      </c>
      <c r="G5" s="9">
        <v>30</v>
      </c>
      <c r="I5" s="10">
        <f t="shared" ref="I5:I39" si="0">IF(OR(ISBLANK(S5),ISBLANK(G5)),"·",S5*G5/F5/1000000)</f>
        <v>1.0443150000000001</v>
      </c>
      <c r="J5" s="11">
        <f t="shared" ref="J5:J39" si="1">IF(ISBLANK(S5),"·",S5/D5)</f>
        <v>4.6775262699656024E-3</v>
      </c>
      <c r="K5" s="11">
        <f t="shared" ref="K5:K39" si="2">IF(N5="","·",N5/D5)</f>
        <v>4.0576386479860621E-3</v>
      </c>
      <c r="L5" s="11">
        <f t="shared" ref="L5:L39" si="3">IF(T5="","·",T5/D5)</f>
        <v>2.5510359298285567E-3</v>
      </c>
      <c r="M5" s="11">
        <f t="shared" ref="M5:M39" si="4">IF(ISBLANK(V5),"·",V5/D5)</f>
        <v>6.1988762197954118E-4</v>
      </c>
      <c r="N5" s="52">
        <f t="shared" ref="N5:N39" si="5">IF(OR(ISBLANK(T5),ISBLANK(U5)),"",T5+U5)</f>
        <v>966312</v>
      </c>
      <c r="O5" s="11">
        <v>16</v>
      </c>
      <c r="P5" s="12">
        <v>23582209</v>
      </c>
      <c r="Q5" s="12">
        <v>736944.03125</v>
      </c>
      <c r="R5" s="12">
        <v>16984.9375</v>
      </c>
      <c r="S5" s="13">
        <v>1113936</v>
      </c>
      <c r="T5" s="13">
        <v>607520</v>
      </c>
      <c r="U5" s="13">
        <v>358792</v>
      </c>
      <c r="V5" s="13">
        <v>147624</v>
      </c>
      <c r="W5" s="14">
        <v>66.845706250000006</v>
      </c>
      <c r="X5" s="14">
        <v>68.619975000000011</v>
      </c>
      <c r="Y5" s="14">
        <v>31.71370000000001</v>
      </c>
      <c r="Z5" s="14">
        <v>44.621000000000002</v>
      </c>
      <c r="AA5" s="14">
        <v>44.121778124999999</v>
      </c>
      <c r="AB5" s="15">
        <v>3335.76</v>
      </c>
      <c r="AC5" s="15">
        <v>4190.62</v>
      </c>
      <c r="AD5" s="15">
        <v>11.492000000000001</v>
      </c>
      <c r="AE5" s="15">
        <v>7.68</v>
      </c>
      <c r="AG5" s="10" t="str">
        <f t="shared" ref="AG5:AG39" si="6">IF(OR(ISBLANK(AQ5),ISBLANK(G5)),"·",AQ5*G5/F5/1000000)</f>
        <v>·</v>
      </c>
      <c r="AH5" s="11" t="str">
        <f t="shared" ref="AH5:AH39" si="7">IF(ISBLANK(AQ5),"·",AQ5/D5)</f>
        <v>·</v>
      </c>
      <c r="AI5" s="11" t="str">
        <f t="shared" ref="AI5:AI39" si="8">IF(AL5="","·",AL5/D5)</f>
        <v>·</v>
      </c>
      <c r="AJ5" s="11" t="str">
        <f t="shared" ref="AJ5:AJ39" si="9">IF(AR5="","·",AR5/D5)</f>
        <v>·</v>
      </c>
      <c r="AK5" s="11" t="str">
        <f t="shared" ref="AK5:AK39" si="10">IF(ISBLANK(AT5),"·",AT5/D5)</f>
        <v>·</v>
      </c>
      <c r="AL5" s="52" t="str">
        <f t="shared" ref="AL5:AL39" si="11">IF(OR(ISBLANK(AR5),ISBLANK(AS5)),"",AR5+AS5)</f>
        <v/>
      </c>
      <c r="AM5" s="11">
        <v>16</v>
      </c>
      <c r="AN5" s="12"/>
      <c r="AO5" s="12"/>
      <c r="AP5" s="12"/>
      <c r="AQ5" s="13"/>
      <c r="AR5" s="13"/>
      <c r="AS5" s="13"/>
      <c r="AT5" s="13"/>
      <c r="AU5" s="14"/>
      <c r="AV5" s="14"/>
      <c r="AW5" s="14"/>
      <c r="AX5" s="14"/>
      <c r="AY5" s="14"/>
      <c r="AZ5" s="15"/>
      <c r="BA5" s="15"/>
      <c r="BB5" s="15"/>
      <c r="BC5" s="15"/>
      <c r="BE5" s="50" t="e">
        <f t="shared" ref="BE5:BE43" si="12">AI5/K5</f>
        <v>#VALUE!</v>
      </c>
      <c r="BF5" s="16" t="e">
        <f t="shared" ref="BF5:BF39" si="13">(AP5/AO5) - (R5/Q5)</f>
        <v>#DIV/0!</v>
      </c>
      <c r="BG5" s="16" t="e">
        <f t="shared" ref="BG5:BG39" si="14">(AL5/AQ5) - (N5/S5)</f>
        <v>#VALUE!</v>
      </c>
      <c r="BH5" s="16" t="e">
        <f t="array" ref="BH5">AVERAGE(AL5:AL9/AQ5:AQ9) - AVERAGE(N5:N9/S5:S9)</f>
        <v>#VALUE!</v>
      </c>
      <c r="BJ5" s="50" t="str">
        <f>IF( OR(ISBLANK(N5:N9),ISBLANK(AL5:AL9), ISBLANK(W5:W9),ISBLANK(AU5:AU9)), "·", bdRateExtend( N5:N9,W5:W9, AL5:AL9,AU5:AU9))</f>
        <v>·</v>
      </c>
      <c r="BK5" s="50" t="str">
        <f>IF( OR(ISBLANK(N5:N9),ISBLANK(AL5:AL9), ISBLANK(X5:X9),ISBLANK(AV5:AV9)), "·", bdRateExtend( N5:N9,X5:X9, AL5:AL9,AV5:AV9))</f>
        <v>·</v>
      </c>
      <c r="BL5" s="50" t="str">
        <f>IF( OR(ISBLANK(V5:V9),ISBLANK(AT5:AT9), ISBLANK(Y5:Y9),ISBLANK(AW5:AW9)), "·", bdRateExtend( V5:V9,Y5:Y9, AT5:AT9,AW5:AW9))</f>
        <v>·</v>
      </c>
      <c r="BM5" s="50" t="str">
        <f>IF( OR(ISBLANK(V5:V9),ISBLANK(AT5:AT9), ISBLANK(Z5:Z9),ISBLANK(AX5:AX9)), "·", bdRateExtend( V5:V9,Z5:Z9, AT5:AT9,AX5:AX9))</f>
        <v>·</v>
      </c>
      <c r="BN5" s="50" t="str">
        <f>IF( OR(ISBLANK(V5:V9),ISBLANK(AT5:AT9), ISBLANK(AA5:AA9),ISBLANK(AY5:AY9)), "·", bdRateExtend( V5:V9,AA5:AA9, AT5:AT9,AY5:AY9))</f>
        <v>·</v>
      </c>
      <c r="BP5" s="50" t="str">
        <f>IF( OR(ISBLANK(S5:S9),ISBLANK(AQ5:AQ9), ISBLANK(W5:W9),ISBLANK(AU5:AU9)), "·", bdRateExtend( S5:S9,W5:W9, AQ5:AQ9,AU5:AU9))</f>
        <v>·</v>
      </c>
      <c r="BQ5" s="50" t="str">
        <f>IF( OR(ISBLANK(S5:S9),ISBLANK(AQ5:AQ9), ISBLANK(X5:X9),ISBLANK(AV5:AV9)), "·", bdRateExtend( S5:S9,X5:X9, AQ5:AQ9,AV5:AV9))</f>
        <v>·</v>
      </c>
      <c r="BR5" s="50" t="str">
        <f>IF( OR(ISBLANK(S5:S9),ISBLANK(AQ5:AQ9), ISBLANK(Y5:Y9),ISBLANK(AW5:AW9)), "·", bdRateExtend( S5:S9,Y5:Y9, AQ5:AQ9,AW5:AW9))</f>
        <v>·</v>
      </c>
      <c r="BS5" s="50" t="str">
        <f>IF( OR(ISBLANK(S5:S9),ISBLANK(AQ5:AQ9), ISBLANK(Z5:Z9),ISBLANK(AX5:AX9)), "·", bdRateExtend( S5:S9,Z5:Z9, AQ5:AQ9,AX5:AX9))</f>
        <v>·</v>
      </c>
      <c r="BT5" s="50" t="str">
        <f>IF( OR(ISBLANK(S5:S9),ISBLANK(AQ5:AQ9), ISBLANK(AA5:AA9),ISBLANK(AY5:AY9)), "·", bdRateExtend( S5:S9,AA5:AA9, AQ5:AQ9,AY5:AY9))</f>
        <v>·</v>
      </c>
      <c r="BV5" s="53">
        <f>AN5-P5</f>
        <v>-23582209</v>
      </c>
      <c r="BW5" s="53">
        <f t="shared" ref="BW5:CG20" si="15">AO5-Q5</f>
        <v>-736944.03125</v>
      </c>
      <c r="BX5" s="53">
        <f t="shared" si="15"/>
        <v>-16984.9375</v>
      </c>
      <c r="BY5" s="53">
        <f t="shared" si="15"/>
        <v>-1113936</v>
      </c>
      <c r="BZ5" s="53">
        <f t="shared" si="15"/>
        <v>-607520</v>
      </c>
      <c r="CA5" s="53">
        <f t="shared" si="15"/>
        <v>-358792</v>
      </c>
      <c r="CB5" s="53">
        <f t="shared" si="15"/>
        <v>-147624</v>
      </c>
      <c r="CC5" s="53">
        <f t="shared" si="15"/>
        <v>-66.845706250000006</v>
      </c>
      <c r="CD5" s="53">
        <f t="shared" si="15"/>
        <v>-68.619975000000011</v>
      </c>
      <c r="CE5" s="53">
        <f t="shared" si="15"/>
        <v>-31.71370000000001</v>
      </c>
      <c r="CF5" s="53">
        <f t="shared" si="15"/>
        <v>-44.621000000000002</v>
      </c>
      <c r="CG5" s="53">
        <f t="shared" si="15"/>
        <v>-44.121778124999999</v>
      </c>
      <c r="CJ5" t="s">
        <v>233</v>
      </c>
    </row>
    <row r="6" spans="1:88" outlineLevel="1" x14ac:dyDescent="0.2">
      <c r="A6" s="17"/>
      <c r="B6" s="17" t="s">
        <v>51</v>
      </c>
      <c r="C6" s="18" t="s">
        <v>234</v>
      </c>
      <c r="D6" s="17">
        <v>238146391</v>
      </c>
      <c r="E6" s="18">
        <v>10</v>
      </c>
      <c r="F6" s="18">
        <v>32</v>
      </c>
      <c r="G6" s="18">
        <v>30</v>
      </c>
      <c r="I6" s="19">
        <f t="shared" si="0"/>
        <v>1.3556325</v>
      </c>
      <c r="J6" s="20">
        <f t="shared" si="1"/>
        <v>6.0719290933953307E-3</v>
      </c>
      <c r="K6" s="20">
        <f t="shared" si="2"/>
        <v>4.9478809863635516E-3</v>
      </c>
      <c r="L6" s="20">
        <f t="shared" si="3"/>
        <v>3.4412782682060462E-3</v>
      </c>
      <c r="M6" s="20">
        <f t="shared" si="4"/>
        <v>1.1240481070317794E-3</v>
      </c>
      <c r="N6" s="17">
        <f t="shared" si="5"/>
        <v>1178320</v>
      </c>
      <c r="O6" s="20">
        <v>16</v>
      </c>
      <c r="P6" s="21">
        <v>24777501</v>
      </c>
      <c r="Q6" s="21">
        <v>774296.90625</v>
      </c>
      <c r="R6" s="21">
        <v>19924.3125</v>
      </c>
      <c r="S6" s="22">
        <v>1446008</v>
      </c>
      <c r="T6" s="22">
        <v>819528</v>
      </c>
      <c r="U6" s="22">
        <v>358792</v>
      </c>
      <c r="V6" s="22">
        <v>267688</v>
      </c>
      <c r="W6" s="23">
        <v>68.552896875000002</v>
      </c>
      <c r="X6" s="23">
        <v>70.622062499999984</v>
      </c>
      <c r="Y6" s="23">
        <v>33.784087499999991</v>
      </c>
      <c r="Z6" s="23">
        <v>45.602718750000008</v>
      </c>
      <c r="AA6" s="23">
        <v>45.241318749999976</v>
      </c>
      <c r="AB6" s="24">
        <v>3272.79</v>
      </c>
      <c r="AC6" s="24">
        <v>4044.76</v>
      </c>
      <c r="AD6" s="24">
        <v>11.956</v>
      </c>
      <c r="AE6" s="24">
        <v>7.0119999999999996</v>
      </c>
      <c r="AG6" s="19" t="str">
        <f t="shared" si="6"/>
        <v>·</v>
      </c>
      <c r="AH6" s="20" t="str">
        <f t="shared" si="7"/>
        <v>·</v>
      </c>
      <c r="AI6" s="20" t="str">
        <f t="shared" si="8"/>
        <v>·</v>
      </c>
      <c r="AJ6" s="20" t="str">
        <f t="shared" si="9"/>
        <v>·</v>
      </c>
      <c r="AK6" s="20" t="str">
        <f t="shared" si="10"/>
        <v>·</v>
      </c>
      <c r="AL6" s="17" t="str">
        <f t="shared" si="11"/>
        <v/>
      </c>
      <c r="AM6" s="20">
        <v>16</v>
      </c>
      <c r="AN6" s="21"/>
      <c r="AO6" s="21"/>
      <c r="AP6" s="21"/>
      <c r="AQ6" s="22"/>
      <c r="AR6" s="22"/>
      <c r="AS6" s="22"/>
      <c r="AT6" s="22"/>
      <c r="AU6" s="23"/>
      <c r="AV6" s="23"/>
      <c r="AW6" s="23"/>
      <c r="AX6" s="23"/>
      <c r="AY6" s="23"/>
      <c r="AZ6" s="24"/>
      <c r="BA6" s="24"/>
      <c r="BB6" s="24"/>
      <c r="BC6" s="24"/>
      <c r="BE6" s="49" t="e">
        <f t="shared" si="12"/>
        <v>#VALUE!</v>
      </c>
      <c r="BF6" s="25" t="e">
        <f t="shared" si="13"/>
        <v>#DIV/0!</v>
      </c>
      <c r="BG6" s="25" t="e">
        <f t="shared" si="14"/>
        <v>#VALUE!</v>
      </c>
      <c r="BH6" s="25"/>
      <c r="BJ6" s="49"/>
      <c r="BK6" s="49"/>
      <c r="BL6" s="49"/>
      <c r="BM6" s="49"/>
      <c r="BN6" s="49"/>
      <c r="BP6" s="49"/>
      <c r="BQ6" s="49"/>
      <c r="BR6" s="49"/>
      <c r="BS6" s="49"/>
      <c r="BT6" s="49"/>
      <c r="BV6" s="53">
        <f t="shared" ref="BV6:CG39" si="16">AN6-P6</f>
        <v>-24777501</v>
      </c>
      <c r="BW6" s="53">
        <f t="shared" si="15"/>
        <v>-774296.90625</v>
      </c>
      <c r="BX6" s="53">
        <f t="shared" si="15"/>
        <v>-19924.3125</v>
      </c>
      <c r="BY6" s="53">
        <f t="shared" si="15"/>
        <v>-1446008</v>
      </c>
      <c r="BZ6" s="53">
        <f t="shared" si="15"/>
        <v>-819528</v>
      </c>
      <c r="CA6" s="53">
        <f t="shared" si="15"/>
        <v>-358792</v>
      </c>
      <c r="CB6" s="53">
        <f t="shared" si="15"/>
        <v>-267688</v>
      </c>
      <c r="CC6" s="53">
        <f t="shared" si="15"/>
        <v>-68.552896875000002</v>
      </c>
      <c r="CD6" s="53">
        <f t="shared" si="15"/>
        <v>-70.622062499999984</v>
      </c>
      <c r="CE6" s="53">
        <f t="shared" si="15"/>
        <v>-33.784087499999991</v>
      </c>
      <c r="CF6" s="53">
        <f t="shared" si="15"/>
        <v>-45.602718750000008</v>
      </c>
      <c r="CG6" s="53">
        <f t="shared" si="15"/>
        <v>-45.241318749999976</v>
      </c>
      <c r="CJ6" t="s">
        <v>233</v>
      </c>
    </row>
    <row r="7" spans="1:88" outlineLevel="1" x14ac:dyDescent="0.2">
      <c r="A7" s="52"/>
      <c r="B7" s="52" t="s">
        <v>51</v>
      </c>
      <c r="C7" s="9" t="s">
        <v>235</v>
      </c>
      <c r="D7" s="52">
        <v>238146391</v>
      </c>
      <c r="E7" s="9">
        <v>10</v>
      </c>
      <c r="F7" s="9">
        <v>32</v>
      </c>
      <c r="G7" s="9">
        <v>30</v>
      </c>
      <c r="I7" s="10">
        <f t="shared" si="0"/>
        <v>1.8799950000000001</v>
      </c>
      <c r="J7" s="11">
        <f t="shared" si="1"/>
        <v>8.4205685065368054E-3</v>
      </c>
      <c r="K7" s="11">
        <f t="shared" si="2"/>
        <v>6.1465050713281648E-3</v>
      </c>
      <c r="L7" s="11">
        <f t="shared" si="3"/>
        <v>4.6399023531706598E-3</v>
      </c>
      <c r="M7" s="11">
        <f t="shared" si="4"/>
        <v>2.2740634352086402E-3</v>
      </c>
      <c r="N7" s="52">
        <f t="shared" si="5"/>
        <v>1463768</v>
      </c>
      <c r="O7" s="11">
        <v>16</v>
      </c>
      <c r="P7" s="12">
        <v>24923704</v>
      </c>
      <c r="Q7" s="12">
        <v>778865.75</v>
      </c>
      <c r="R7" s="12">
        <v>21104.875</v>
      </c>
      <c r="S7" s="13">
        <v>2005328</v>
      </c>
      <c r="T7" s="13">
        <v>1104976</v>
      </c>
      <c r="U7" s="13">
        <v>358792</v>
      </c>
      <c r="V7" s="13">
        <v>541560</v>
      </c>
      <c r="W7" s="14">
        <v>69.837434374999987</v>
      </c>
      <c r="X7" s="14">
        <v>72.274171875000022</v>
      </c>
      <c r="Y7" s="14">
        <v>36.196365624999991</v>
      </c>
      <c r="Z7" s="14">
        <v>46.918012500000003</v>
      </c>
      <c r="AA7" s="14">
        <v>46.584559374999998</v>
      </c>
      <c r="AB7" s="15">
        <v>3267.26</v>
      </c>
      <c r="AC7" s="15">
        <v>4320.3900000000003</v>
      </c>
      <c r="AD7" s="15">
        <v>12.007999999999999</v>
      </c>
      <c r="AE7" s="15">
        <v>7.476</v>
      </c>
      <c r="AG7" s="10" t="str">
        <f t="shared" si="6"/>
        <v>·</v>
      </c>
      <c r="AH7" s="11" t="str">
        <f t="shared" si="7"/>
        <v>·</v>
      </c>
      <c r="AI7" s="11" t="str">
        <f t="shared" si="8"/>
        <v>·</v>
      </c>
      <c r="AJ7" s="11" t="str">
        <f t="shared" si="9"/>
        <v>·</v>
      </c>
      <c r="AK7" s="11" t="str">
        <f t="shared" si="10"/>
        <v>·</v>
      </c>
      <c r="AL7" s="52" t="str">
        <f t="shared" si="11"/>
        <v/>
      </c>
      <c r="AM7" s="11">
        <v>16</v>
      </c>
      <c r="AN7" s="12"/>
      <c r="AO7" s="12"/>
      <c r="AP7" s="12"/>
      <c r="AQ7" s="13"/>
      <c r="AR7" s="13"/>
      <c r="AS7" s="13"/>
      <c r="AT7" s="13"/>
      <c r="AU7" s="14"/>
      <c r="AV7" s="14"/>
      <c r="AW7" s="14"/>
      <c r="AX7" s="14"/>
      <c r="AY7" s="14"/>
      <c r="AZ7" s="15"/>
      <c r="BA7" s="15"/>
      <c r="BB7" s="15"/>
      <c r="BC7" s="15"/>
      <c r="BE7" s="50" t="e">
        <f t="shared" si="12"/>
        <v>#VALUE!</v>
      </c>
      <c r="BF7" s="16" t="e">
        <f t="shared" si="13"/>
        <v>#DIV/0!</v>
      </c>
      <c r="BG7" s="16" t="e">
        <f t="shared" si="14"/>
        <v>#VALUE!</v>
      </c>
      <c r="BH7" s="16"/>
      <c r="BJ7" s="50"/>
      <c r="BK7" s="50"/>
      <c r="BL7" s="50"/>
      <c r="BM7" s="50"/>
      <c r="BN7" s="50"/>
      <c r="BP7" s="50"/>
      <c r="BQ7" s="50"/>
      <c r="BR7" s="50"/>
      <c r="BS7" s="50"/>
      <c r="BT7" s="50"/>
      <c r="BV7" s="53">
        <f t="shared" si="16"/>
        <v>-24923704</v>
      </c>
      <c r="BW7" s="53">
        <f t="shared" si="15"/>
        <v>-778865.75</v>
      </c>
      <c r="BX7" s="53">
        <f t="shared" si="15"/>
        <v>-21104.875</v>
      </c>
      <c r="BY7" s="53">
        <f t="shared" si="15"/>
        <v>-2005328</v>
      </c>
      <c r="BZ7" s="53">
        <f t="shared" si="15"/>
        <v>-1104976</v>
      </c>
      <c r="CA7" s="53">
        <f t="shared" si="15"/>
        <v>-358792</v>
      </c>
      <c r="CB7" s="53">
        <f t="shared" si="15"/>
        <v>-541560</v>
      </c>
      <c r="CC7" s="53">
        <f t="shared" si="15"/>
        <v>-69.837434374999987</v>
      </c>
      <c r="CD7" s="53">
        <f t="shared" si="15"/>
        <v>-72.274171875000022</v>
      </c>
      <c r="CE7" s="53">
        <f t="shared" si="15"/>
        <v>-36.196365624999991</v>
      </c>
      <c r="CF7" s="53">
        <f t="shared" si="15"/>
        <v>-46.918012500000003</v>
      </c>
      <c r="CG7" s="53">
        <f t="shared" si="15"/>
        <v>-46.584559374999998</v>
      </c>
      <c r="CJ7" t="s">
        <v>233</v>
      </c>
    </row>
    <row r="8" spans="1:88" outlineLevel="1" x14ac:dyDescent="0.2">
      <c r="A8" s="17"/>
      <c r="B8" s="17" t="s">
        <v>51</v>
      </c>
      <c r="C8" s="18" t="s">
        <v>236</v>
      </c>
      <c r="D8" s="17">
        <v>238146391</v>
      </c>
      <c r="E8" s="18">
        <v>10</v>
      </c>
      <c r="F8" s="18">
        <v>32</v>
      </c>
      <c r="G8" s="18">
        <v>30</v>
      </c>
      <c r="I8" s="19">
        <f t="shared" si="0"/>
        <v>3.1113675000000001</v>
      </c>
      <c r="J8" s="20">
        <f t="shared" si="1"/>
        <v>1.3935932373629799E-2</v>
      </c>
      <c r="K8" s="20">
        <f t="shared" si="2"/>
        <v>8.8610034825176084E-3</v>
      </c>
      <c r="L8" s="20">
        <f t="shared" si="3"/>
        <v>7.3544007643601035E-3</v>
      </c>
      <c r="M8" s="20">
        <f t="shared" si="4"/>
        <v>5.0749288911121895E-3</v>
      </c>
      <c r="N8" s="17">
        <f t="shared" si="5"/>
        <v>2110216</v>
      </c>
      <c r="O8" s="20">
        <v>16</v>
      </c>
      <c r="P8" s="21">
        <v>25894561</v>
      </c>
      <c r="Q8" s="21">
        <v>809205.03125</v>
      </c>
      <c r="R8" s="21">
        <v>24362.65625</v>
      </c>
      <c r="S8" s="22">
        <v>3318792</v>
      </c>
      <c r="T8" s="22">
        <v>1751424</v>
      </c>
      <c r="U8" s="22">
        <v>358792</v>
      </c>
      <c r="V8" s="22">
        <v>1208576</v>
      </c>
      <c r="W8" s="23">
        <v>70.899381250000005</v>
      </c>
      <c r="X8" s="23">
        <v>73.460275000000024</v>
      </c>
      <c r="Y8" s="23">
        <v>38.677993749999999</v>
      </c>
      <c r="Z8" s="23">
        <v>48.11969062499999</v>
      </c>
      <c r="AA8" s="23">
        <v>48.028525000000009</v>
      </c>
      <c r="AB8" s="24">
        <v>3261.38</v>
      </c>
      <c r="AC8" s="24">
        <v>4677.22</v>
      </c>
      <c r="AD8" s="24">
        <v>12.148</v>
      </c>
      <c r="AE8" s="24">
        <v>7.976</v>
      </c>
      <c r="AG8" s="19" t="str">
        <f t="shared" si="6"/>
        <v>·</v>
      </c>
      <c r="AH8" s="20" t="str">
        <f t="shared" si="7"/>
        <v>·</v>
      </c>
      <c r="AI8" s="20" t="str">
        <f t="shared" si="8"/>
        <v>·</v>
      </c>
      <c r="AJ8" s="20" t="str">
        <f t="shared" si="9"/>
        <v>·</v>
      </c>
      <c r="AK8" s="20" t="str">
        <f t="shared" si="10"/>
        <v>·</v>
      </c>
      <c r="AL8" s="17" t="str">
        <f t="shared" si="11"/>
        <v/>
      </c>
      <c r="AM8" s="20">
        <v>16</v>
      </c>
      <c r="AN8" s="21"/>
      <c r="AO8" s="21"/>
      <c r="AP8" s="21"/>
      <c r="AQ8" s="22"/>
      <c r="AR8" s="22"/>
      <c r="AS8" s="22"/>
      <c r="AT8" s="22"/>
      <c r="AU8" s="23"/>
      <c r="AV8" s="23"/>
      <c r="AW8" s="23"/>
      <c r="AX8" s="23"/>
      <c r="AY8" s="23"/>
      <c r="AZ8" s="24"/>
      <c r="BA8" s="24"/>
      <c r="BB8" s="24"/>
      <c r="BC8" s="24"/>
      <c r="BE8" s="49" t="e">
        <f t="shared" si="12"/>
        <v>#VALUE!</v>
      </c>
      <c r="BF8" s="25" t="e">
        <f t="shared" si="13"/>
        <v>#DIV/0!</v>
      </c>
      <c r="BG8" s="25" t="e">
        <f t="shared" si="14"/>
        <v>#VALUE!</v>
      </c>
      <c r="BH8" s="25"/>
      <c r="BJ8" s="49"/>
      <c r="BK8" s="49"/>
      <c r="BL8" s="49"/>
      <c r="BM8" s="49"/>
      <c r="BN8" s="49"/>
      <c r="BP8" s="49"/>
      <c r="BQ8" s="49"/>
      <c r="BR8" s="49"/>
      <c r="BS8" s="49"/>
      <c r="BT8" s="49"/>
      <c r="BV8" s="53">
        <f t="shared" si="16"/>
        <v>-25894561</v>
      </c>
      <c r="BW8" s="53">
        <f t="shared" si="15"/>
        <v>-809205.03125</v>
      </c>
      <c r="BX8" s="53">
        <f t="shared" si="15"/>
        <v>-24362.65625</v>
      </c>
      <c r="BY8" s="53">
        <f t="shared" si="15"/>
        <v>-3318792</v>
      </c>
      <c r="BZ8" s="53">
        <f t="shared" si="15"/>
        <v>-1751424</v>
      </c>
      <c r="CA8" s="53">
        <f t="shared" si="15"/>
        <v>-358792</v>
      </c>
      <c r="CB8" s="53">
        <f t="shared" si="15"/>
        <v>-1208576</v>
      </c>
      <c r="CC8" s="53">
        <f t="shared" si="15"/>
        <v>-70.899381250000005</v>
      </c>
      <c r="CD8" s="53">
        <f t="shared" si="15"/>
        <v>-73.460275000000024</v>
      </c>
      <c r="CE8" s="53">
        <f t="shared" si="15"/>
        <v>-38.677993749999999</v>
      </c>
      <c r="CF8" s="53">
        <f t="shared" si="15"/>
        <v>-48.11969062499999</v>
      </c>
      <c r="CG8" s="53">
        <f t="shared" si="15"/>
        <v>-48.028525000000009</v>
      </c>
      <c r="CJ8" t="s">
        <v>233</v>
      </c>
    </row>
    <row r="9" spans="1:88" ht="16" outlineLevel="1" thickBot="1" x14ac:dyDescent="0.25">
      <c r="A9" s="52"/>
      <c r="B9" s="26" t="s">
        <v>51</v>
      </c>
      <c r="C9" s="27" t="s">
        <v>237</v>
      </c>
      <c r="D9" s="26">
        <v>238146391</v>
      </c>
      <c r="E9" s="27">
        <v>10</v>
      </c>
      <c r="F9" s="27">
        <v>32</v>
      </c>
      <c r="G9" s="27">
        <v>30</v>
      </c>
      <c r="I9" s="28">
        <f t="shared" si="0"/>
        <v>6.3775424999999997</v>
      </c>
      <c r="J9" s="29">
        <f t="shared" si="1"/>
        <v>2.8565253378120686E-2</v>
      </c>
      <c r="K9" s="29">
        <f t="shared" si="2"/>
        <v>1.5570053295495878E-2</v>
      </c>
      <c r="L9" s="29">
        <f t="shared" si="3"/>
        <v>1.2147654171253009E-2</v>
      </c>
      <c r="M9" s="29">
        <f t="shared" si="4"/>
        <v>1.2995200082624808E-2</v>
      </c>
      <c r="N9" s="26">
        <f t="shared" si="5"/>
        <v>3707952</v>
      </c>
      <c r="O9" s="29">
        <v>16</v>
      </c>
      <c r="P9" s="30">
        <v>24903158</v>
      </c>
      <c r="Q9" s="30">
        <v>778223.6875</v>
      </c>
      <c r="R9" s="30">
        <v>10582.96875</v>
      </c>
      <c r="S9" s="31">
        <v>6802712</v>
      </c>
      <c r="T9" s="31">
        <v>2892920</v>
      </c>
      <c r="U9" s="31">
        <v>815032</v>
      </c>
      <c r="V9" s="31">
        <v>3094760</v>
      </c>
      <c r="W9" s="32">
        <v>71.932043749999977</v>
      </c>
      <c r="X9" s="32">
        <v>75.246165625000017</v>
      </c>
      <c r="Y9" s="32">
        <v>41.146812500000003</v>
      </c>
      <c r="Z9" s="32">
        <v>49.540606250000003</v>
      </c>
      <c r="AA9" s="32">
        <v>49.645290625000001</v>
      </c>
      <c r="AB9" s="33">
        <v>3303.13</v>
      </c>
      <c r="AC9" s="33">
        <v>5148.42</v>
      </c>
      <c r="AD9" s="33">
        <v>12.388</v>
      </c>
      <c r="AE9" s="33">
        <v>12.7</v>
      </c>
      <c r="AG9" s="28" t="str">
        <f t="shared" si="6"/>
        <v>·</v>
      </c>
      <c r="AH9" s="29" t="str">
        <f t="shared" si="7"/>
        <v>·</v>
      </c>
      <c r="AI9" s="29" t="str">
        <f t="shared" si="8"/>
        <v>·</v>
      </c>
      <c r="AJ9" s="29" t="str">
        <f t="shared" si="9"/>
        <v>·</v>
      </c>
      <c r="AK9" s="29" t="str">
        <f t="shared" si="10"/>
        <v>·</v>
      </c>
      <c r="AL9" s="26" t="str">
        <f t="shared" si="11"/>
        <v/>
      </c>
      <c r="AM9" s="29">
        <v>16</v>
      </c>
      <c r="AN9" s="30"/>
      <c r="AO9" s="30"/>
      <c r="AP9" s="30"/>
      <c r="AQ9" s="31"/>
      <c r="AR9" s="31"/>
      <c r="AS9" s="31"/>
      <c r="AT9" s="31"/>
      <c r="AU9" s="32"/>
      <c r="AV9" s="32"/>
      <c r="AW9" s="32"/>
      <c r="AX9" s="32"/>
      <c r="AY9" s="32"/>
      <c r="AZ9" s="33"/>
      <c r="BA9" s="33"/>
      <c r="BB9" s="33"/>
      <c r="BC9" s="33"/>
      <c r="BE9" s="34" t="e">
        <f t="shared" si="12"/>
        <v>#VALUE!</v>
      </c>
      <c r="BF9" s="35" t="e">
        <f t="shared" si="13"/>
        <v>#DIV/0!</v>
      </c>
      <c r="BG9" s="35" t="e">
        <f t="shared" si="14"/>
        <v>#VALUE!</v>
      </c>
      <c r="BH9" s="35"/>
      <c r="BJ9" s="34"/>
      <c r="BK9" s="34"/>
      <c r="BL9" s="34"/>
      <c r="BM9" s="34"/>
      <c r="BN9" s="34"/>
      <c r="BP9" s="34"/>
      <c r="BQ9" s="34"/>
      <c r="BR9" s="34"/>
      <c r="BS9" s="34"/>
      <c r="BT9" s="34"/>
      <c r="BV9" s="53">
        <f t="shared" si="16"/>
        <v>-24903158</v>
      </c>
      <c r="BW9" s="53">
        <f t="shared" si="15"/>
        <v>-778223.6875</v>
      </c>
      <c r="BX9" s="53">
        <f t="shared" si="15"/>
        <v>-10582.96875</v>
      </c>
      <c r="BY9" s="53">
        <f t="shared" si="15"/>
        <v>-6802712</v>
      </c>
      <c r="BZ9" s="53">
        <f t="shared" si="15"/>
        <v>-2892920</v>
      </c>
      <c r="CA9" s="53">
        <f t="shared" si="15"/>
        <v>-815032</v>
      </c>
      <c r="CB9" s="53">
        <f t="shared" si="15"/>
        <v>-3094760</v>
      </c>
      <c r="CC9" s="53">
        <f t="shared" si="15"/>
        <v>-71.932043749999977</v>
      </c>
      <c r="CD9" s="53">
        <f t="shared" si="15"/>
        <v>-75.246165625000017</v>
      </c>
      <c r="CE9" s="53">
        <f t="shared" si="15"/>
        <v>-41.146812500000003</v>
      </c>
      <c r="CF9" s="53">
        <f t="shared" si="15"/>
        <v>-49.540606250000003</v>
      </c>
      <c r="CG9" s="53">
        <f t="shared" si="15"/>
        <v>-49.645290625000001</v>
      </c>
      <c r="CJ9" t="s">
        <v>233</v>
      </c>
    </row>
    <row r="10" spans="1:88" x14ac:dyDescent="0.2">
      <c r="A10" s="17"/>
      <c r="B10" s="17" t="s">
        <v>59</v>
      </c>
      <c r="C10" s="18" t="s">
        <v>232</v>
      </c>
      <c r="D10" s="17">
        <v>218121242</v>
      </c>
      <c r="E10" s="18">
        <v>10</v>
      </c>
      <c r="F10" s="18">
        <v>32</v>
      </c>
      <c r="G10" s="18">
        <v>30</v>
      </c>
      <c r="I10" s="19">
        <f t="shared" si="0"/>
        <v>1.9776</v>
      </c>
      <c r="J10" s="20">
        <f t="shared" si="1"/>
        <v>9.6709517177607125E-3</v>
      </c>
      <c r="K10" s="20">
        <f t="shared" si="2"/>
        <v>7.2509765004914106E-3</v>
      </c>
      <c r="L10" s="20">
        <f t="shared" si="3"/>
        <v>4.1104845716952226E-3</v>
      </c>
      <c r="M10" s="20">
        <f t="shared" si="4"/>
        <v>2.4199752172693019E-3</v>
      </c>
      <c r="N10" s="17">
        <f t="shared" si="5"/>
        <v>1581592</v>
      </c>
      <c r="O10" s="20">
        <v>16</v>
      </c>
      <c r="P10" s="21">
        <v>20942558</v>
      </c>
      <c r="Q10" s="21">
        <v>654454.9375</v>
      </c>
      <c r="R10" s="21">
        <v>18943.59375</v>
      </c>
      <c r="S10" s="22">
        <v>2109440</v>
      </c>
      <c r="T10" s="22">
        <v>896584</v>
      </c>
      <c r="U10" s="22">
        <v>685008</v>
      </c>
      <c r="V10" s="22">
        <v>527848</v>
      </c>
      <c r="W10" s="23">
        <v>65.984046875000004</v>
      </c>
      <c r="X10" s="23">
        <v>67.859693750000005</v>
      </c>
      <c r="Y10" s="23">
        <v>31.013375</v>
      </c>
      <c r="Z10" s="23">
        <v>38.767165624999997</v>
      </c>
      <c r="AA10" s="23">
        <v>30.131440625</v>
      </c>
      <c r="AB10" s="24">
        <v>2994.39</v>
      </c>
      <c r="AC10" s="24">
        <v>4757.9399999999996</v>
      </c>
      <c r="AD10" s="24">
        <v>11.215999999999999</v>
      </c>
      <c r="AE10" s="24">
        <v>8.9239999999999995</v>
      </c>
      <c r="AG10" s="19" t="str">
        <f t="shared" si="6"/>
        <v>·</v>
      </c>
      <c r="AH10" s="20" t="str">
        <f t="shared" si="7"/>
        <v>·</v>
      </c>
      <c r="AI10" s="20" t="str">
        <f t="shared" si="8"/>
        <v>·</v>
      </c>
      <c r="AJ10" s="20" t="str">
        <f t="shared" si="9"/>
        <v>·</v>
      </c>
      <c r="AK10" s="20" t="str">
        <f t="shared" si="10"/>
        <v>·</v>
      </c>
      <c r="AL10" s="17" t="str">
        <f t="shared" si="11"/>
        <v/>
      </c>
      <c r="AM10" s="20">
        <v>16</v>
      </c>
      <c r="AN10" s="21"/>
      <c r="AO10" s="21"/>
      <c r="AP10" s="21"/>
      <c r="AQ10" s="22"/>
      <c r="AR10" s="22"/>
      <c r="AS10" s="22"/>
      <c r="AT10" s="22"/>
      <c r="AU10" s="23"/>
      <c r="AV10" s="23"/>
      <c r="AW10" s="23"/>
      <c r="AX10" s="23"/>
      <c r="AY10" s="23"/>
      <c r="AZ10" s="24"/>
      <c r="BA10" s="24"/>
      <c r="BB10" s="24"/>
      <c r="BC10" s="24"/>
      <c r="BE10" s="49" t="e">
        <f t="shared" si="12"/>
        <v>#VALUE!</v>
      </c>
      <c r="BF10" s="25" t="e">
        <f t="shared" si="13"/>
        <v>#DIV/0!</v>
      </c>
      <c r="BG10" s="25" t="e">
        <f t="shared" si="14"/>
        <v>#VALUE!</v>
      </c>
      <c r="BH10" s="25" t="e">
        <f t="array" ref="BH10">AVERAGE(AL10:AL14/AQ10:AQ14) - AVERAGE(N10:N14/S10:S14)</f>
        <v>#VALUE!</v>
      </c>
      <c r="BJ10" s="49" t="str">
        <f>IF( OR(ISBLANK(N10:N14),ISBLANK(AL10:AL14), ISBLANK(W10:W14),ISBLANK(AU10:AU14)), "·", bdRateExtend( N10:N14,W10:W14, AL10:AL14,AU10:AU14))</f>
        <v>·</v>
      </c>
      <c r="BK10" s="49" t="str">
        <f>IF( OR(ISBLANK(N10:N14),ISBLANK(AL10:AL14), ISBLANK(X10:X14),ISBLANK(AV10:AV14)), "·", bdRateExtend( N10:N14,X10:X14, AL10:AL14,AV10:AV14))</f>
        <v>·</v>
      </c>
      <c r="BL10" s="49" t="str">
        <f>IF( OR(ISBLANK(V10:V14),ISBLANK(AT10:AT14), ISBLANK(Y10:Y14),ISBLANK(AW10:AW14)), "·", bdRateExtend( V10:V14,Y10:Y14, AT10:AT14,AW10:AW14))</f>
        <v>·</v>
      </c>
      <c r="BM10" s="49" t="str">
        <f>IF( OR(ISBLANK(V10:V14),ISBLANK(AT10:AT14), ISBLANK(Z10:Z14),ISBLANK(AX10:AX14)), "·", bdRateExtend( V10:V14,Z10:Z14, AT10:AT14,AX10:AX14))</f>
        <v>·</v>
      </c>
      <c r="BN10" s="49" t="str">
        <f>IF( OR(ISBLANK(V10:V14),ISBLANK(AT10:AT14), ISBLANK(AA10:AA14),ISBLANK(AY10:AY14)), "·", bdRateExtend( V10:V14,AA10:AA14, AT10:AT14,AY10:AY14))</f>
        <v>·</v>
      </c>
      <c r="BP10" s="49" t="str">
        <f>IF( OR(ISBLANK(S10:S14),ISBLANK(AQ10:AQ14), ISBLANK(W10:W14),ISBLANK(AU10:AU14)), "·", bdRateExtend( S10:S14,W10:W14, AQ10:AQ14,AU10:AU14))</f>
        <v>·</v>
      </c>
      <c r="BQ10" s="49" t="str">
        <f>IF( OR(ISBLANK(S10:S14),ISBLANK(AQ10:AQ14), ISBLANK(X10:X14),ISBLANK(AV10:AV14)), "·", bdRateExtend( S10:S14,X10:X14, AQ10:AQ14,AV10:AV14))</f>
        <v>·</v>
      </c>
      <c r="BR10" s="49" t="str">
        <f>IF( OR(ISBLANK(S10:S14),ISBLANK(AQ10:AQ14), ISBLANK(Y10:Y14),ISBLANK(AW10:AW14)), "·", bdRateExtend( S10:S14,Y10:Y14, AQ10:AQ14,AW10:AW14))</f>
        <v>·</v>
      </c>
      <c r="BS10" s="49" t="str">
        <f>IF( OR(ISBLANK(S10:S14),ISBLANK(AQ10:AQ14), ISBLANK(Z10:Z14),ISBLANK(AX10:AX14)), "·", bdRateExtend( S10:S14,Z10:Z14, AQ10:AQ14,AX10:AX14))</f>
        <v>·</v>
      </c>
      <c r="BT10" s="49" t="str">
        <f>IF( OR(ISBLANK(S10:S14),ISBLANK(AQ10:AQ14), ISBLANK(AA10:AA14),ISBLANK(AY10:AY14)), "·", bdRateExtend( S10:S14,AA10:AA14, AQ10:AQ14,AY10:AY14))</f>
        <v>·</v>
      </c>
      <c r="BV10" s="53">
        <f t="shared" si="16"/>
        <v>-20942558</v>
      </c>
      <c r="BW10" s="53">
        <f t="shared" si="15"/>
        <v>-654454.9375</v>
      </c>
      <c r="BX10" s="53">
        <f t="shared" si="15"/>
        <v>-18943.59375</v>
      </c>
      <c r="BY10" s="53">
        <f t="shared" si="15"/>
        <v>-2109440</v>
      </c>
      <c r="BZ10" s="53">
        <f t="shared" si="15"/>
        <v>-896584</v>
      </c>
      <c r="CA10" s="53">
        <f t="shared" si="15"/>
        <v>-685008</v>
      </c>
      <c r="CB10" s="53">
        <f t="shared" si="15"/>
        <v>-527848</v>
      </c>
      <c r="CC10" s="53">
        <f t="shared" si="15"/>
        <v>-65.984046875000004</v>
      </c>
      <c r="CD10" s="53">
        <f t="shared" si="15"/>
        <v>-67.859693750000005</v>
      </c>
      <c r="CE10" s="53">
        <f t="shared" si="15"/>
        <v>-31.013375</v>
      </c>
      <c r="CF10" s="53">
        <f t="shared" si="15"/>
        <v>-38.767165624999997</v>
      </c>
      <c r="CG10" s="53">
        <f t="shared" si="15"/>
        <v>-30.131440625</v>
      </c>
      <c r="CJ10" t="s">
        <v>587</v>
      </c>
    </row>
    <row r="11" spans="1:88" outlineLevel="1" x14ac:dyDescent="0.2">
      <c r="A11" s="52"/>
      <c r="B11" s="52" t="s">
        <v>59</v>
      </c>
      <c r="C11" s="9" t="s">
        <v>234</v>
      </c>
      <c r="D11" s="52">
        <v>218121242</v>
      </c>
      <c r="E11" s="9">
        <v>10</v>
      </c>
      <c r="F11" s="9">
        <v>32</v>
      </c>
      <c r="G11" s="9">
        <v>30</v>
      </c>
      <c r="I11" s="10">
        <f t="shared" si="0"/>
        <v>2.7023925000000002</v>
      </c>
      <c r="J11" s="11">
        <f t="shared" si="1"/>
        <v>1.3215365791837918E-2</v>
      </c>
      <c r="K11" s="11">
        <f t="shared" si="2"/>
        <v>8.8998576305557627E-3</v>
      </c>
      <c r="L11" s="11">
        <f t="shared" si="3"/>
        <v>5.7593657017595747E-3</v>
      </c>
      <c r="M11" s="11">
        <f t="shared" si="4"/>
        <v>4.3155081612821552E-3</v>
      </c>
      <c r="N11" s="52">
        <f t="shared" si="5"/>
        <v>1941248</v>
      </c>
      <c r="O11" s="11">
        <v>16</v>
      </c>
      <c r="P11" s="12">
        <v>22233167</v>
      </c>
      <c r="Q11" s="12">
        <v>694786.46875</v>
      </c>
      <c r="R11" s="12">
        <v>23204.09375</v>
      </c>
      <c r="S11" s="13">
        <v>2882552</v>
      </c>
      <c r="T11" s="13">
        <v>1256240</v>
      </c>
      <c r="U11" s="13">
        <v>685008</v>
      </c>
      <c r="V11" s="13">
        <v>941304</v>
      </c>
      <c r="W11" s="14">
        <v>67.674731250000008</v>
      </c>
      <c r="X11" s="14">
        <v>69.753456249999999</v>
      </c>
      <c r="Y11" s="14">
        <v>32.828746874999993</v>
      </c>
      <c r="Z11" s="14">
        <v>39.653337500000013</v>
      </c>
      <c r="AA11" s="14">
        <v>32.228321874999999</v>
      </c>
      <c r="AB11" s="15">
        <v>2979.1</v>
      </c>
      <c r="AC11" s="15">
        <v>5047.7299999999996</v>
      </c>
      <c r="AD11" s="15">
        <v>11.324</v>
      </c>
      <c r="AE11" s="15">
        <v>9.3879999999999999</v>
      </c>
      <c r="AG11" s="10" t="str">
        <f t="shared" si="6"/>
        <v>·</v>
      </c>
      <c r="AH11" s="11" t="str">
        <f t="shared" si="7"/>
        <v>·</v>
      </c>
      <c r="AI11" s="11" t="str">
        <f t="shared" si="8"/>
        <v>·</v>
      </c>
      <c r="AJ11" s="11" t="str">
        <f t="shared" si="9"/>
        <v>·</v>
      </c>
      <c r="AK11" s="11" t="str">
        <f t="shared" si="10"/>
        <v>·</v>
      </c>
      <c r="AL11" s="52" t="str">
        <f t="shared" si="11"/>
        <v/>
      </c>
      <c r="AM11" s="11">
        <v>16</v>
      </c>
      <c r="AN11" s="12"/>
      <c r="AO11" s="12"/>
      <c r="AP11" s="12"/>
      <c r="AQ11" s="13"/>
      <c r="AR11" s="13"/>
      <c r="AS11" s="13"/>
      <c r="AT11" s="13"/>
      <c r="AU11" s="14"/>
      <c r="AV11" s="14"/>
      <c r="AW11" s="14"/>
      <c r="AX11" s="14"/>
      <c r="AY11" s="14"/>
      <c r="AZ11" s="15"/>
      <c r="BA11" s="15"/>
      <c r="BB11" s="15"/>
      <c r="BC11" s="15"/>
      <c r="BE11" s="50" t="e">
        <f t="shared" si="12"/>
        <v>#VALUE!</v>
      </c>
      <c r="BF11" s="16" t="e">
        <f t="shared" si="13"/>
        <v>#DIV/0!</v>
      </c>
      <c r="BG11" s="16" t="e">
        <f t="shared" si="14"/>
        <v>#VALUE!</v>
      </c>
      <c r="BH11" s="16"/>
      <c r="BJ11" s="50"/>
      <c r="BK11" s="50"/>
      <c r="BL11" s="50"/>
      <c r="BM11" s="50"/>
      <c r="BN11" s="50"/>
      <c r="BP11" s="50"/>
      <c r="BQ11" s="50"/>
      <c r="BR11" s="50"/>
      <c r="BS11" s="50"/>
      <c r="BT11" s="50"/>
      <c r="BV11" s="53">
        <f t="shared" si="16"/>
        <v>-22233167</v>
      </c>
      <c r="BW11" s="53">
        <f t="shared" si="15"/>
        <v>-694786.46875</v>
      </c>
      <c r="BX11" s="53">
        <f t="shared" si="15"/>
        <v>-23204.09375</v>
      </c>
      <c r="BY11" s="53">
        <f t="shared" si="15"/>
        <v>-2882552</v>
      </c>
      <c r="BZ11" s="53">
        <f t="shared" si="15"/>
        <v>-1256240</v>
      </c>
      <c r="CA11" s="53">
        <f t="shared" si="15"/>
        <v>-685008</v>
      </c>
      <c r="CB11" s="53">
        <f t="shared" si="15"/>
        <v>-941304</v>
      </c>
      <c r="CC11" s="53">
        <f t="shared" si="15"/>
        <v>-67.674731250000008</v>
      </c>
      <c r="CD11" s="53">
        <f t="shared" si="15"/>
        <v>-69.753456249999999</v>
      </c>
      <c r="CE11" s="53">
        <f t="shared" si="15"/>
        <v>-32.828746874999993</v>
      </c>
      <c r="CF11" s="53">
        <f t="shared" si="15"/>
        <v>-39.653337500000013</v>
      </c>
      <c r="CG11" s="53">
        <f t="shared" si="15"/>
        <v>-32.228321874999999</v>
      </c>
      <c r="CJ11" t="s">
        <v>587</v>
      </c>
    </row>
    <row r="12" spans="1:88" outlineLevel="1" x14ac:dyDescent="0.2">
      <c r="A12" s="17"/>
      <c r="B12" s="17" t="s">
        <v>59</v>
      </c>
      <c r="C12" s="18" t="s">
        <v>235</v>
      </c>
      <c r="D12" s="17">
        <v>218121242</v>
      </c>
      <c r="E12" s="18">
        <v>10</v>
      </c>
      <c r="F12" s="18">
        <v>32</v>
      </c>
      <c r="G12" s="18">
        <v>30</v>
      </c>
      <c r="I12" s="19">
        <f t="shared" si="0"/>
        <v>3.8537474999999999</v>
      </c>
      <c r="J12" s="20">
        <f t="shared" si="1"/>
        <v>1.8845775690200774E-2</v>
      </c>
      <c r="K12" s="20">
        <f t="shared" si="2"/>
        <v>1.141757665216302E-2</v>
      </c>
      <c r="L12" s="20">
        <f t="shared" si="3"/>
        <v>8.2770847233668322E-3</v>
      </c>
      <c r="M12" s="20">
        <f t="shared" si="4"/>
        <v>7.4281990380377534E-3</v>
      </c>
      <c r="N12" s="17">
        <f t="shared" si="5"/>
        <v>2490416</v>
      </c>
      <c r="O12" s="20">
        <v>16</v>
      </c>
      <c r="P12" s="21">
        <v>22569901</v>
      </c>
      <c r="Q12" s="21">
        <v>705309.40625</v>
      </c>
      <c r="R12" s="21">
        <v>24721.9375</v>
      </c>
      <c r="S12" s="22">
        <v>4110664</v>
      </c>
      <c r="T12" s="22">
        <v>1805408</v>
      </c>
      <c r="U12" s="22">
        <v>685008</v>
      </c>
      <c r="V12" s="22">
        <v>1620248</v>
      </c>
      <c r="W12" s="23">
        <v>69.009450000000015</v>
      </c>
      <c r="X12" s="23">
        <v>71.379971874999995</v>
      </c>
      <c r="Y12" s="23">
        <v>34.879440624999987</v>
      </c>
      <c r="Z12" s="23">
        <v>40.634481249999993</v>
      </c>
      <c r="AA12" s="23">
        <v>34.126809374999993</v>
      </c>
      <c r="AB12" s="24">
        <v>3002.95</v>
      </c>
      <c r="AC12" s="24">
        <v>5401.59</v>
      </c>
      <c r="AD12" s="24">
        <v>11.412000000000001</v>
      </c>
      <c r="AE12" s="24">
        <v>9.98</v>
      </c>
      <c r="AG12" s="19" t="str">
        <f t="shared" si="6"/>
        <v>·</v>
      </c>
      <c r="AH12" s="20" t="str">
        <f t="shared" si="7"/>
        <v>·</v>
      </c>
      <c r="AI12" s="20" t="str">
        <f t="shared" si="8"/>
        <v>·</v>
      </c>
      <c r="AJ12" s="20" t="str">
        <f t="shared" si="9"/>
        <v>·</v>
      </c>
      <c r="AK12" s="20" t="str">
        <f t="shared" si="10"/>
        <v>·</v>
      </c>
      <c r="AL12" s="17" t="str">
        <f t="shared" si="11"/>
        <v/>
      </c>
      <c r="AM12" s="20">
        <v>16</v>
      </c>
      <c r="AN12" s="21"/>
      <c r="AO12" s="21"/>
      <c r="AP12" s="21"/>
      <c r="AQ12" s="22"/>
      <c r="AR12" s="22"/>
      <c r="AS12" s="22"/>
      <c r="AT12" s="22"/>
      <c r="AU12" s="23"/>
      <c r="AV12" s="23"/>
      <c r="AW12" s="23"/>
      <c r="AX12" s="23"/>
      <c r="AY12" s="23"/>
      <c r="AZ12" s="24"/>
      <c r="BA12" s="24"/>
      <c r="BB12" s="24"/>
      <c r="BC12" s="24"/>
      <c r="BE12" s="49" t="e">
        <f t="shared" si="12"/>
        <v>#VALUE!</v>
      </c>
      <c r="BF12" s="25" t="e">
        <f t="shared" si="13"/>
        <v>#DIV/0!</v>
      </c>
      <c r="BG12" s="25" t="e">
        <f t="shared" si="14"/>
        <v>#VALUE!</v>
      </c>
      <c r="BH12" s="25"/>
      <c r="BJ12" s="49"/>
      <c r="BK12" s="49"/>
      <c r="BL12" s="49"/>
      <c r="BM12" s="49"/>
      <c r="BN12" s="49"/>
      <c r="BP12" s="49"/>
      <c r="BQ12" s="49"/>
      <c r="BR12" s="49"/>
      <c r="BS12" s="49"/>
      <c r="BT12" s="49"/>
      <c r="BV12" s="53">
        <f t="shared" si="16"/>
        <v>-22569901</v>
      </c>
      <c r="BW12" s="53">
        <f t="shared" si="15"/>
        <v>-705309.40625</v>
      </c>
      <c r="BX12" s="53">
        <f t="shared" si="15"/>
        <v>-24721.9375</v>
      </c>
      <c r="BY12" s="53">
        <f t="shared" si="15"/>
        <v>-4110664</v>
      </c>
      <c r="BZ12" s="53">
        <f t="shared" si="15"/>
        <v>-1805408</v>
      </c>
      <c r="CA12" s="53">
        <f t="shared" si="15"/>
        <v>-685008</v>
      </c>
      <c r="CB12" s="53">
        <f t="shared" si="15"/>
        <v>-1620248</v>
      </c>
      <c r="CC12" s="53">
        <f t="shared" si="15"/>
        <v>-69.009450000000015</v>
      </c>
      <c r="CD12" s="53">
        <f t="shared" si="15"/>
        <v>-71.379971874999995</v>
      </c>
      <c r="CE12" s="53">
        <f t="shared" si="15"/>
        <v>-34.879440624999987</v>
      </c>
      <c r="CF12" s="53">
        <f t="shared" si="15"/>
        <v>-40.634481249999993</v>
      </c>
      <c r="CG12" s="53">
        <f t="shared" si="15"/>
        <v>-34.126809374999993</v>
      </c>
      <c r="CJ12" t="s">
        <v>587</v>
      </c>
    </row>
    <row r="13" spans="1:88" outlineLevel="1" x14ac:dyDescent="0.2">
      <c r="A13" s="52"/>
      <c r="B13" s="52" t="s">
        <v>59</v>
      </c>
      <c r="C13" s="9" t="s">
        <v>236</v>
      </c>
      <c r="D13" s="52">
        <v>218121242</v>
      </c>
      <c r="E13" s="9">
        <v>10</v>
      </c>
      <c r="F13" s="9">
        <v>32</v>
      </c>
      <c r="G13" s="9">
        <v>30</v>
      </c>
      <c r="I13" s="10">
        <f t="shared" si="0"/>
        <v>6.2247824999999999</v>
      </c>
      <c r="J13" s="11">
        <f t="shared" si="1"/>
        <v>3.0440721587308768E-2</v>
      </c>
      <c r="K13" s="11">
        <f t="shared" si="2"/>
        <v>1.5919990039301168E-2</v>
      </c>
      <c r="L13" s="11">
        <f t="shared" si="3"/>
        <v>1.2779498110504982E-2</v>
      </c>
      <c r="M13" s="11">
        <f t="shared" si="4"/>
        <v>1.4520731548007598E-2</v>
      </c>
      <c r="N13" s="52">
        <f t="shared" si="5"/>
        <v>3472488</v>
      </c>
      <c r="O13" s="11">
        <v>16</v>
      </c>
      <c r="P13" s="12">
        <v>23308443</v>
      </c>
      <c r="Q13" s="12">
        <v>728388.84375</v>
      </c>
      <c r="R13" s="12">
        <v>27991.21875</v>
      </c>
      <c r="S13" s="13">
        <v>6639768</v>
      </c>
      <c r="T13" s="13">
        <v>2787480</v>
      </c>
      <c r="U13" s="13">
        <v>685008</v>
      </c>
      <c r="V13" s="13">
        <v>3167280</v>
      </c>
      <c r="W13" s="14">
        <v>70.060287500000001</v>
      </c>
      <c r="X13" s="14">
        <v>72.567171875</v>
      </c>
      <c r="Y13" s="14">
        <v>37.06</v>
      </c>
      <c r="Z13" s="14">
        <v>41.690990624999991</v>
      </c>
      <c r="AA13" s="14">
        <v>36.083268750000002</v>
      </c>
      <c r="AB13" s="15">
        <v>3060.39</v>
      </c>
      <c r="AC13" s="15">
        <v>6411.92</v>
      </c>
      <c r="AD13" s="15">
        <v>11.571999999999999</v>
      </c>
      <c r="AE13" s="15">
        <v>10.532</v>
      </c>
      <c r="AG13" s="10" t="str">
        <f t="shared" si="6"/>
        <v>·</v>
      </c>
      <c r="AH13" s="11" t="str">
        <f t="shared" si="7"/>
        <v>·</v>
      </c>
      <c r="AI13" s="11" t="str">
        <f t="shared" si="8"/>
        <v>·</v>
      </c>
      <c r="AJ13" s="11" t="str">
        <f t="shared" si="9"/>
        <v>·</v>
      </c>
      <c r="AK13" s="11" t="str">
        <f t="shared" si="10"/>
        <v>·</v>
      </c>
      <c r="AL13" s="52" t="str">
        <f t="shared" si="11"/>
        <v/>
      </c>
      <c r="AM13" s="11">
        <v>16</v>
      </c>
      <c r="AN13" s="12"/>
      <c r="AO13" s="12"/>
      <c r="AP13" s="12"/>
      <c r="AQ13" s="13"/>
      <c r="AR13" s="13"/>
      <c r="AS13" s="13"/>
      <c r="AT13" s="13"/>
      <c r="AU13" s="14"/>
      <c r="AV13" s="14"/>
      <c r="AW13" s="14"/>
      <c r="AX13" s="14"/>
      <c r="AY13" s="14"/>
      <c r="AZ13" s="15"/>
      <c r="BA13" s="15"/>
      <c r="BB13" s="15"/>
      <c r="BC13" s="15"/>
      <c r="BE13" s="50" t="e">
        <f t="shared" si="12"/>
        <v>#VALUE!</v>
      </c>
      <c r="BF13" s="16" t="e">
        <f t="shared" si="13"/>
        <v>#DIV/0!</v>
      </c>
      <c r="BG13" s="16" t="e">
        <f t="shared" si="14"/>
        <v>#VALUE!</v>
      </c>
      <c r="BH13" s="16"/>
      <c r="BJ13" s="50"/>
      <c r="BK13" s="50"/>
      <c r="BL13" s="50"/>
      <c r="BM13" s="50"/>
      <c r="BN13" s="50"/>
      <c r="BP13" s="50"/>
      <c r="BQ13" s="50"/>
      <c r="BR13" s="50"/>
      <c r="BS13" s="50"/>
      <c r="BT13" s="50"/>
      <c r="BV13" s="53">
        <f t="shared" si="16"/>
        <v>-23308443</v>
      </c>
      <c r="BW13" s="53">
        <f t="shared" si="15"/>
        <v>-728388.84375</v>
      </c>
      <c r="BX13" s="53">
        <f t="shared" si="15"/>
        <v>-27991.21875</v>
      </c>
      <c r="BY13" s="53">
        <f t="shared" si="15"/>
        <v>-6639768</v>
      </c>
      <c r="BZ13" s="53">
        <f t="shared" si="15"/>
        <v>-2787480</v>
      </c>
      <c r="CA13" s="53">
        <f t="shared" si="15"/>
        <v>-685008</v>
      </c>
      <c r="CB13" s="53">
        <f t="shared" si="15"/>
        <v>-3167280</v>
      </c>
      <c r="CC13" s="53">
        <f t="shared" si="15"/>
        <v>-70.060287500000001</v>
      </c>
      <c r="CD13" s="53">
        <f t="shared" si="15"/>
        <v>-72.567171875</v>
      </c>
      <c r="CE13" s="53">
        <f t="shared" si="15"/>
        <v>-37.06</v>
      </c>
      <c r="CF13" s="53">
        <f t="shared" si="15"/>
        <v>-41.690990624999991</v>
      </c>
      <c r="CG13" s="53">
        <f t="shared" si="15"/>
        <v>-36.083268750000002</v>
      </c>
      <c r="CJ13" t="s">
        <v>587</v>
      </c>
    </row>
    <row r="14" spans="1:88" ht="16" outlineLevel="1" thickBot="1" x14ac:dyDescent="0.25">
      <c r="A14" s="17"/>
      <c r="B14" s="36" t="s">
        <v>59</v>
      </c>
      <c r="C14" s="37" t="s">
        <v>237</v>
      </c>
      <c r="D14" s="36">
        <v>218121242</v>
      </c>
      <c r="E14" s="37">
        <v>10</v>
      </c>
      <c r="F14" s="37">
        <v>32</v>
      </c>
      <c r="G14" s="37">
        <v>30</v>
      </c>
      <c r="I14" s="38">
        <f t="shared" si="0"/>
        <v>12.267659999999999</v>
      </c>
      <c r="J14" s="39">
        <f t="shared" si="1"/>
        <v>5.9991882863017994E-2</v>
      </c>
      <c r="K14" s="39">
        <f t="shared" si="2"/>
        <v>2.6824237503654046E-2</v>
      </c>
      <c r="L14" s="39">
        <f t="shared" si="3"/>
        <v>2.0741492018461916E-2</v>
      </c>
      <c r="M14" s="39">
        <f t="shared" si="4"/>
        <v>3.3167645359363944E-2</v>
      </c>
      <c r="N14" s="36">
        <f t="shared" si="5"/>
        <v>5850936</v>
      </c>
      <c r="O14" s="39">
        <v>16</v>
      </c>
      <c r="P14" s="40">
        <v>22150010</v>
      </c>
      <c r="Q14" s="40">
        <v>692187.8125</v>
      </c>
      <c r="R14" s="40">
        <v>13331.5625</v>
      </c>
      <c r="S14" s="41">
        <v>13085504</v>
      </c>
      <c r="T14" s="41">
        <v>4524160</v>
      </c>
      <c r="U14" s="41">
        <v>1326776</v>
      </c>
      <c r="V14" s="41">
        <v>7234568</v>
      </c>
      <c r="W14" s="42">
        <v>70.920671875000025</v>
      </c>
      <c r="X14" s="42">
        <v>74.632662499999981</v>
      </c>
      <c r="Y14" s="42">
        <v>39.462553124999999</v>
      </c>
      <c r="Z14" s="42">
        <v>42.973531250000008</v>
      </c>
      <c r="AA14" s="42">
        <v>38.239546875000002</v>
      </c>
      <c r="AB14" s="43">
        <v>3062.86</v>
      </c>
      <c r="AC14" s="43">
        <v>7034.47</v>
      </c>
      <c r="AD14" s="43">
        <v>11.692</v>
      </c>
      <c r="AE14" s="43">
        <v>10.46</v>
      </c>
      <c r="AG14" s="38" t="str">
        <f t="shared" si="6"/>
        <v>·</v>
      </c>
      <c r="AH14" s="39" t="str">
        <f t="shared" si="7"/>
        <v>·</v>
      </c>
      <c r="AI14" s="39" t="str">
        <f t="shared" si="8"/>
        <v>·</v>
      </c>
      <c r="AJ14" s="39" t="str">
        <f t="shared" si="9"/>
        <v>·</v>
      </c>
      <c r="AK14" s="39" t="str">
        <f t="shared" si="10"/>
        <v>·</v>
      </c>
      <c r="AL14" s="36" t="str">
        <f t="shared" si="11"/>
        <v/>
      </c>
      <c r="AM14" s="39">
        <v>16</v>
      </c>
      <c r="AN14" s="40"/>
      <c r="AO14" s="40"/>
      <c r="AP14" s="40"/>
      <c r="AQ14" s="41"/>
      <c r="AR14" s="41"/>
      <c r="AS14" s="41"/>
      <c r="AT14" s="41"/>
      <c r="AU14" s="42"/>
      <c r="AV14" s="42"/>
      <c r="AW14" s="42"/>
      <c r="AX14" s="42"/>
      <c r="AY14" s="42"/>
      <c r="AZ14" s="43"/>
      <c r="BA14" s="43"/>
      <c r="BB14" s="43"/>
      <c r="BC14" s="43"/>
      <c r="BE14" s="44" t="e">
        <f t="shared" si="12"/>
        <v>#VALUE!</v>
      </c>
      <c r="BF14" s="45" t="e">
        <f t="shared" si="13"/>
        <v>#DIV/0!</v>
      </c>
      <c r="BG14" s="45" t="e">
        <f t="shared" si="14"/>
        <v>#VALUE!</v>
      </c>
      <c r="BH14" s="45"/>
      <c r="BJ14" s="44"/>
      <c r="BK14" s="44"/>
      <c r="BL14" s="44"/>
      <c r="BM14" s="44"/>
      <c r="BN14" s="44"/>
      <c r="BP14" s="44"/>
      <c r="BQ14" s="44"/>
      <c r="BR14" s="44"/>
      <c r="BS14" s="44"/>
      <c r="BT14" s="44"/>
      <c r="BV14" s="53">
        <f t="shared" si="16"/>
        <v>-22150010</v>
      </c>
      <c r="BW14" s="53">
        <f t="shared" si="15"/>
        <v>-692187.8125</v>
      </c>
      <c r="BX14" s="53">
        <f t="shared" si="15"/>
        <v>-13331.5625</v>
      </c>
      <c r="BY14" s="53">
        <f t="shared" si="15"/>
        <v>-13085504</v>
      </c>
      <c r="BZ14" s="53">
        <f t="shared" si="15"/>
        <v>-4524160</v>
      </c>
      <c r="CA14" s="53">
        <f t="shared" si="15"/>
        <v>-1326776</v>
      </c>
      <c r="CB14" s="53">
        <f t="shared" si="15"/>
        <v>-7234568</v>
      </c>
      <c r="CC14" s="53">
        <f t="shared" si="15"/>
        <v>-70.920671875000025</v>
      </c>
      <c r="CD14" s="53">
        <f t="shared" si="15"/>
        <v>-74.632662499999981</v>
      </c>
      <c r="CE14" s="53">
        <f t="shared" si="15"/>
        <v>-39.462553124999999</v>
      </c>
      <c r="CF14" s="53">
        <f t="shared" si="15"/>
        <v>-42.973531250000008</v>
      </c>
      <c r="CG14" s="53">
        <f t="shared" si="15"/>
        <v>-38.239546875000002</v>
      </c>
      <c r="CJ14" t="s">
        <v>587</v>
      </c>
    </row>
    <row r="15" spans="1:88" x14ac:dyDescent="0.2">
      <c r="A15" s="52"/>
      <c r="B15" s="52" t="s">
        <v>64</v>
      </c>
      <c r="C15" s="9" t="s">
        <v>232</v>
      </c>
      <c r="D15" s="52">
        <v>322589704</v>
      </c>
      <c r="E15" s="9">
        <v>10</v>
      </c>
      <c r="F15" s="9">
        <v>32</v>
      </c>
      <c r="G15" s="9">
        <v>30</v>
      </c>
      <c r="I15" s="10">
        <f t="shared" si="0"/>
        <v>1.628055</v>
      </c>
      <c r="J15" s="11">
        <f t="shared" si="1"/>
        <v>5.383284024464711E-3</v>
      </c>
      <c r="K15" s="11">
        <f t="shared" si="2"/>
        <v>4.5265920824305046E-3</v>
      </c>
      <c r="L15" s="11">
        <f t="shared" si="3"/>
        <v>2.3656551667253461E-3</v>
      </c>
      <c r="M15" s="11">
        <f t="shared" si="4"/>
        <v>8.5669194203420707E-4</v>
      </c>
      <c r="N15" s="52">
        <f t="shared" si="5"/>
        <v>1460232</v>
      </c>
      <c r="O15" s="11">
        <v>16</v>
      </c>
      <c r="P15" s="12">
        <v>32415907</v>
      </c>
      <c r="Q15" s="12">
        <v>1012997.09375</v>
      </c>
      <c r="R15" s="12">
        <v>32038.09375</v>
      </c>
      <c r="S15" s="13">
        <v>1736592</v>
      </c>
      <c r="T15" s="13">
        <v>763136</v>
      </c>
      <c r="U15" s="13">
        <v>697096</v>
      </c>
      <c r="V15" s="13">
        <v>276360</v>
      </c>
      <c r="W15" s="14">
        <v>66.298768749999994</v>
      </c>
      <c r="X15" s="14">
        <v>67.85019062500001</v>
      </c>
      <c r="Y15" s="14">
        <v>29.2416375</v>
      </c>
      <c r="Z15" s="14">
        <v>43.356131249999997</v>
      </c>
      <c r="AA15" s="14">
        <v>43.670806250000012</v>
      </c>
      <c r="AB15" s="15">
        <v>4718.78</v>
      </c>
      <c r="AC15" s="15">
        <v>4411.58</v>
      </c>
      <c r="AD15" s="15">
        <v>13.94</v>
      </c>
      <c r="AE15" s="15">
        <v>6.3920000000000003</v>
      </c>
      <c r="AG15" s="10" t="str">
        <f t="shared" si="6"/>
        <v>·</v>
      </c>
      <c r="AH15" s="11" t="str">
        <f t="shared" si="7"/>
        <v>·</v>
      </c>
      <c r="AI15" s="11" t="str">
        <f t="shared" si="8"/>
        <v>·</v>
      </c>
      <c r="AJ15" s="11" t="str">
        <f t="shared" si="9"/>
        <v>·</v>
      </c>
      <c r="AK15" s="11" t="str">
        <f t="shared" si="10"/>
        <v>·</v>
      </c>
      <c r="AL15" s="52" t="str">
        <f t="shared" si="11"/>
        <v/>
      </c>
      <c r="AM15" s="11">
        <v>16</v>
      </c>
      <c r="AN15" s="12"/>
      <c r="AO15" s="12"/>
      <c r="AP15" s="12"/>
      <c r="AQ15" s="13"/>
      <c r="AR15" s="13"/>
      <c r="AS15" s="13"/>
      <c r="AT15" s="13"/>
      <c r="AU15" s="14"/>
      <c r="AV15" s="14"/>
      <c r="AW15" s="14"/>
      <c r="AX15" s="14"/>
      <c r="AY15" s="14"/>
      <c r="AZ15" s="15"/>
      <c r="BA15" s="15"/>
      <c r="BB15" s="15"/>
      <c r="BC15" s="15"/>
      <c r="BE15" s="50" t="e">
        <f t="shared" si="12"/>
        <v>#VALUE!</v>
      </c>
      <c r="BF15" s="16" t="e">
        <f t="shared" si="13"/>
        <v>#DIV/0!</v>
      </c>
      <c r="BG15" s="16" t="e">
        <f t="shared" si="14"/>
        <v>#VALUE!</v>
      </c>
      <c r="BH15" s="16" t="e">
        <f t="array" ref="BH15">AVERAGE(AL15:AL19/AQ15:AQ19) - AVERAGE(N15:N19/S15:S19)</f>
        <v>#VALUE!</v>
      </c>
      <c r="BJ15" s="50" t="str">
        <f>IF( OR(ISBLANK(N15:N19),ISBLANK(AL15:AL19), ISBLANK(W15:W19),ISBLANK(AU15:AU19)), "·", bdRateExtend( N15:N19,W15:W19, AL15:AL19,AU15:AU19))</f>
        <v>·</v>
      </c>
      <c r="BK15" s="50" t="str">
        <f>IF( OR(ISBLANK(N15:N19),ISBLANK(AL15:AL19), ISBLANK(X15:X19),ISBLANK(AV15:AV19)), "·", bdRateExtend( N15:N19,X15:X19, AL15:AL19,AV15:AV19))</f>
        <v>·</v>
      </c>
      <c r="BL15" s="50" t="str">
        <f>IF( OR(ISBLANK(V15:V19),ISBLANK(AT15:AT19), ISBLANK(Y15:Y19),ISBLANK(AW15:AW19)), "·", bdRateExtend( V15:V19,Y15:Y19, AT15:AT19,AW15:AW19))</f>
        <v>·</v>
      </c>
      <c r="BM15" s="50" t="str">
        <f>IF( OR(ISBLANK(V15:V19),ISBLANK(AT15:AT19), ISBLANK(Z15:Z19),ISBLANK(AX15:AX19)), "·", bdRateExtend( V15:V19,Z15:Z19, AT15:AT19,AX15:AX19))</f>
        <v>·</v>
      </c>
      <c r="BN15" s="50" t="str">
        <f>IF( OR(ISBLANK(V15:V19),ISBLANK(AT15:AT19), ISBLANK(AA15:AA19),ISBLANK(AY15:AY19)), "·", bdRateExtend( V15:V19,AA15:AA19, AT15:AT19,AY15:AY19))</f>
        <v>·</v>
      </c>
      <c r="BP15" s="50" t="str">
        <f>IF( OR(ISBLANK(S15:S19),ISBLANK(AQ15:AQ19), ISBLANK(W15:W19),ISBLANK(AU15:AU19)), "·", bdRateExtend( S15:S19,W15:W19, AQ15:AQ19,AU15:AU19))</f>
        <v>·</v>
      </c>
      <c r="BQ15" s="50" t="str">
        <f>IF( OR(ISBLANK(S15:S19),ISBLANK(AQ15:AQ19), ISBLANK(X15:X19),ISBLANK(AV15:AV19)), "·", bdRateExtend( S15:S19,X15:X19, AQ15:AQ19,AV15:AV19))</f>
        <v>·</v>
      </c>
      <c r="BR15" s="50" t="str">
        <f>IF( OR(ISBLANK(S15:S19),ISBLANK(AQ15:AQ19), ISBLANK(Y15:Y19),ISBLANK(AW15:AW19)), "·", bdRateExtend( S15:S19,Y15:Y19, AQ15:AQ19,AW15:AW19))</f>
        <v>·</v>
      </c>
      <c r="BS15" s="50" t="str">
        <f>IF( OR(ISBLANK(S15:S19),ISBLANK(AQ15:AQ19), ISBLANK(Z15:Z19),ISBLANK(AX15:AX19)), "·", bdRateExtend( S15:S19,Z15:Z19, AQ15:AQ19,AX15:AX19))</f>
        <v>·</v>
      </c>
      <c r="BT15" s="50" t="str">
        <f>IF( OR(ISBLANK(S15:S19),ISBLANK(AQ15:AQ19), ISBLANK(AA15:AA19),ISBLANK(AY15:AY19)), "·", bdRateExtend( S15:S19,AA15:AA19, AQ15:AQ19,AY15:AY19))</f>
        <v>·</v>
      </c>
      <c r="BV15" s="53">
        <f t="shared" si="16"/>
        <v>-32415907</v>
      </c>
      <c r="BW15" s="53">
        <f t="shared" si="15"/>
        <v>-1012997.09375</v>
      </c>
      <c r="BX15" s="53">
        <f t="shared" si="15"/>
        <v>-32038.09375</v>
      </c>
      <c r="BY15" s="53">
        <f t="shared" si="15"/>
        <v>-1736592</v>
      </c>
      <c r="BZ15" s="53">
        <f t="shared" si="15"/>
        <v>-763136</v>
      </c>
      <c r="CA15" s="53">
        <f t="shared" si="15"/>
        <v>-697096</v>
      </c>
      <c r="CB15" s="53">
        <f t="shared" si="15"/>
        <v>-276360</v>
      </c>
      <c r="CC15" s="53">
        <f t="shared" si="15"/>
        <v>-66.298768749999994</v>
      </c>
      <c r="CD15" s="53">
        <f t="shared" si="15"/>
        <v>-67.85019062500001</v>
      </c>
      <c r="CE15" s="53">
        <f t="shared" si="15"/>
        <v>-29.2416375</v>
      </c>
      <c r="CF15" s="53">
        <f t="shared" si="15"/>
        <v>-43.356131249999997</v>
      </c>
      <c r="CG15" s="53">
        <f t="shared" si="15"/>
        <v>-43.670806250000012</v>
      </c>
      <c r="CJ15" t="s">
        <v>233</v>
      </c>
    </row>
    <row r="16" spans="1:88" outlineLevel="1" x14ac:dyDescent="0.2">
      <c r="A16" s="17"/>
      <c r="B16" s="17" t="s">
        <v>64</v>
      </c>
      <c r="C16" s="18" t="s">
        <v>234</v>
      </c>
      <c r="D16" s="17">
        <v>322589704</v>
      </c>
      <c r="E16" s="18">
        <v>10</v>
      </c>
      <c r="F16" s="18">
        <v>32</v>
      </c>
      <c r="G16" s="18">
        <v>30</v>
      </c>
      <c r="I16" s="19">
        <f t="shared" si="0"/>
        <v>2.133435</v>
      </c>
      <c r="J16" s="20">
        <f t="shared" si="1"/>
        <v>7.0543602966324061E-3</v>
      </c>
      <c r="K16" s="20">
        <f t="shared" si="2"/>
        <v>5.4569131567819657E-3</v>
      </c>
      <c r="L16" s="20">
        <f t="shared" si="3"/>
        <v>3.2959762410768078E-3</v>
      </c>
      <c r="M16" s="20">
        <f t="shared" si="4"/>
        <v>1.5974471398504399E-3</v>
      </c>
      <c r="N16" s="17">
        <f t="shared" si="5"/>
        <v>1760344</v>
      </c>
      <c r="O16" s="20">
        <v>16</v>
      </c>
      <c r="P16" s="21">
        <v>33874164</v>
      </c>
      <c r="Q16" s="21">
        <v>1058567.625</v>
      </c>
      <c r="R16" s="21">
        <v>36864.21875</v>
      </c>
      <c r="S16" s="22">
        <v>2275664</v>
      </c>
      <c r="T16" s="22">
        <v>1063248</v>
      </c>
      <c r="U16" s="22">
        <v>697096</v>
      </c>
      <c r="V16" s="22">
        <v>515320</v>
      </c>
      <c r="W16" s="23">
        <v>68.029634375000001</v>
      </c>
      <c r="X16" s="23">
        <v>70.006815625000002</v>
      </c>
      <c r="Y16" s="23">
        <v>31.530703124999999</v>
      </c>
      <c r="Z16" s="23">
        <v>44.119390625000001</v>
      </c>
      <c r="AA16" s="23">
        <v>44.541440625000007</v>
      </c>
      <c r="AB16" s="24">
        <v>4712.13</v>
      </c>
      <c r="AC16" s="24">
        <v>4714.59</v>
      </c>
      <c r="AD16" s="24">
        <v>14.412000000000001</v>
      </c>
      <c r="AE16" s="24">
        <v>7.0039999999999996</v>
      </c>
      <c r="AG16" s="19" t="str">
        <f t="shared" si="6"/>
        <v>·</v>
      </c>
      <c r="AH16" s="20" t="str">
        <f t="shared" si="7"/>
        <v>·</v>
      </c>
      <c r="AI16" s="20" t="str">
        <f t="shared" si="8"/>
        <v>·</v>
      </c>
      <c r="AJ16" s="20" t="str">
        <f t="shared" si="9"/>
        <v>·</v>
      </c>
      <c r="AK16" s="20" t="str">
        <f t="shared" si="10"/>
        <v>·</v>
      </c>
      <c r="AL16" s="17" t="str">
        <f t="shared" si="11"/>
        <v/>
      </c>
      <c r="AM16" s="20">
        <v>16</v>
      </c>
      <c r="AN16" s="21"/>
      <c r="AO16" s="21"/>
      <c r="AP16" s="21"/>
      <c r="AQ16" s="22"/>
      <c r="AR16" s="22"/>
      <c r="AS16" s="22"/>
      <c r="AT16" s="22"/>
      <c r="AU16" s="23"/>
      <c r="AV16" s="23"/>
      <c r="AW16" s="23"/>
      <c r="AX16" s="23"/>
      <c r="AY16" s="23"/>
      <c r="AZ16" s="24"/>
      <c r="BA16" s="24"/>
      <c r="BB16" s="24"/>
      <c r="BC16" s="24"/>
      <c r="BE16" s="49" t="e">
        <f t="shared" si="12"/>
        <v>#VALUE!</v>
      </c>
      <c r="BF16" s="25" t="e">
        <f t="shared" si="13"/>
        <v>#DIV/0!</v>
      </c>
      <c r="BG16" s="25" t="e">
        <f t="shared" si="14"/>
        <v>#VALUE!</v>
      </c>
      <c r="BH16" s="25"/>
      <c r="BJ16" s="49"/>
      <c r="BK16" s="49"/>
      <c r="BL16" s="49"/>
      <c r="BM16" s="49"/>
      <c r="BN16" s="49"/>
      <c r="BP16" s="49"/>
      <c r="BQ16" s="49"/>
      <c r="BR16" s="49"/>
      <c r="BS16" s="49"/>
      <c r="BT16" s="49"/>
      <c r="BV16" s="53">
        <f t="shared" si="16"/>
        <v>-33874164</v>
      </c>
      <c r="BW16" s="53">
        <f t="shared" si="15"/>
        <v>-1058567.625</v>
      </c>
      <c r="BX16" s="53">
        <f t="shared" si="15"/>
        <v>-36864.21875</v>
      </c>
      <c r="BY16" s="53">
        <f t="shared" si="15"/>
        <v>-2275664</v>
      </c>
      <c r="BZ16" s="53">
        <f t="shared" si="15"/>
        <v>-1063248</v>
      </c>
      <c r="CA16" s="53">
        <f t="shared" si="15"/>
        <v>-697096</v>
      </c>
      <c r="CB16" s="53">
        <f t="shared" si="15"/>
        <v>-515320</v>
      </c>
      <c r="CC16" s="53">
        <f t="shared" si="15"/>
        <v>-68.029634375000001</v>
      </c>
      <c r="CD16" s="53">
        <f t="shared" si="15"/>
        <v>-70.006815625000002</v>
      </c>
      <c r="CE16" s="53">
        <f t="shared" si="15"/>
        <v>-31.530703124999999</v>
      </c>
      <c r="CF16" s="53">
        <f t="shared" si="15"/>
        <v>-44.119390625000001</v>
      </c>
      <c r="CG16" s="53">
        <f t="shared" si="15"/>
        <v>-44.541440625000007</v>
      </c>
      <c r="CJ16" t="s">
        <v>233</v>
      </c>
    </row>
    <row r="17" spans="1:88" outlineLevel="1" x14ac:dyDescent="0.2">
      <c r="A17" s="52"/>
      <c r="B17" s="52" t="s">
        <v>64</v>
      </c>
      <c r="C17" s="9" t="s">
        <v>235</v>
      </c>
      <c r="D17" s="52">
        <v>322589704</v>
      </c>
      <c r="E17" s="9">
        <v>10</v>
      </c>
      <c r="F17" s="9">
        <v>32</v>
      </c>
      <c r="G17" s="9">
        <v>30</v>
      </c>
      <c r="I17" s="10">
        <f t="shared" si="0"/>
        <v>3.0166650000000002</v>
      </c>
      <c r="J17" s="11">
        <f t="shared" si="1"/>
        <v>9.9748254829608567E-3</v>
      </c>
      <c r="K17" s="11">
        <f t="shared" si="2"/>
        <v>6.6616633245058562E-3</v>
      </c>
      <c r="L17" s="11">
        <f t="shared" si="3"/>
        <v>4.5007264088006973E-3</v>
      </c>
      <c r="M17" s="11">
        <f t="shared" si="4"/>
        <v>3.3131621584550014E-3</v>
      </c>
      <c r="N17" s="52">
        <f t="shared" si="5"/>
        <v>2148984</v>
      </c>
      <c r="O17" s="11">
        <v>16</v>
      </c>
      <c r="P17" s="12">
        <v>33778649</v>
      </c>
      <c r="Q17" s="12">
        <v>1055582.78125</v>
      </c>
      <c r="R17" s="12">
        <v>37421.1875</v>
      </c>
      <c r="S17" s="13">
        <v>3217776</v>
      </c>
      <c r="T17" s="13">
        <v>1451888</v>
      </c>
      <c r="U17" s="13">
        <v>697096</v>
      </c>
      <c r="V17" s="13">
        <v>1068792</v>
      </c>
      <c r="W17" s="14">
        <v>69.351503125000008</v>
      </c>
      <c r="X17" s="14">
        <v>71.840315625000002</v>
      </c>
      <c r="Y17" s="14">
        <v>33.946487500000003</v>
      </c>
      <c r="Z17" s="14">
        <v>45.134740624999999</v>
      </c>
      <c r="AA17" s="14">
        <v>45.742221875000013</v>
      </c>
      <c r="AB17" s="15">
        <v>4720.22</v>
      </c>
      <c r="AC17" s="15">
        <v>5024.43</v>
      </c>
      <c r="AD17" s="15">
        <v>15.044</v>
      </c>
      <c r="AE17" s="15">
        <v>10.128</v>
      </c>
      <c r="AG17" s="10" t="str">
        <f t="shared" si="6"/>
        <v>·</v>
      </c>
      <c r="AH17" s="11" t="str">
        <f t="shared" si="7"/>
        <v>·</v>
      </c>
      <c r="AI17" s="11" t="str">
        <f t="shared" si="8"/>
        <v>·</v>
      </c>
      <c r="AJ17" s="11" t="str">
        <f t="shared" si="9"/>
        <v>·</v>
      </c>
      <c r="AK17" s="11" t="str">
        <f t="shared" si="10"/>
        <v>·</v>
      </c>
      <c r="AL17" s="52" t="str">
        <f t="shared" si="11"/>
        <v/>
      </c>
      <c r="AM17" s="11">
        <v>16</v>
      </c>
      <c r="AN17" s="12"/>
      <c r="AO17" s="12"/>
      <c r="AP17" s="12"/>
      <c r="AQ17" s="13"/>
      <c r="AR17" s="13"/>
      <c r="AS17" s="13"/>
      <c r="AT17" s="13"/>
      <c r="AU17" s="14"/>
      <c r="AV17" s="14"/>
      <c r="AW17" s="14"/>
      <c r="AX17" s="14"/>
      <c r="AY17" s="14"/>
      <c r="AZ17" s="15"/>
      <c r="BA17" s="15"/>
      <c r="BB17" s="15"/>
      <c r="BC17" s="15"/>
      <c r="BE17" s="50" t="e">
        <f t="shared" si="12"/>
        <v>#VALUE!</v>
      </c>
      <c r="BF17" s="16" t="e">
        <f t="shared" si="13"/>
        <v>#DIV/0!</v>
      </c>
      <c r="BG17" s="16" t="e">
        <f t="shared" si="14"/>
        <v>#VALUE!</v>
      </c>
      <c r="BH17" s="16"/>
      <c r="BJ17" s="50"/>
      <c r="BK17" s="50"/>
      <c r="BL17" s="50"/>
      <c r="BM17" s="50"/>
      <c r="BN17" s="50"/>
      <c r="BP17" s="50"/>
      <c r="BQ17" s="50"/>
      <c r="BR17" s="50"/>
      <c r="BS17" s="50"/>
      <c r="BT17" s="50"/>
      <c r="BV17" s="53">
        <f t="shared" si="16"/>
        <v>-33778649</v>
      </c>
      <c r="BW17" s="53">
        <f t="shared" si="15"/>
        <v>-1055582.78125</v>
      </c>
      <c r="BX17" s="53">
        <f t="shared" si="15"/>
        <v>-37421.1875</v>
      </c>
      <c r="BY17" s="53">
        <f t="shared" si="15"/>
        <v>-3217776</v>
      </c>
      <c r="BZ17" s="53">
        <f t="shared" si="15"/>
        <v>-1451888</v>
      </c>
      <c r="CA17" s="53">
        <f t="shared" si="15"/>
        <v>-697096</v>
      </c>
      <c r="CB17" s="53">
        <f t="shared" si="15"/>
        <v>-1068792</v>
      </c>
      <c r="CC17" s="53">
        <f t="shared" si="15"/>
        <v>-69.351503125000008</v>
      </c>
      <c r="CD17" s="53">
        <f t="shared" si="15"/>
        <v>-71.840315625000002</v>
      </c>
      <c r="CE17" s="53">
        <f t="shared" si="15"/>
        <v>-33.946487500000003</v>
      </c>
      <c r="CF17" s="53">
        <f t="shared" si="15"/>
        <v>-45.134740624999999</v>
      </c>
      <c r="CG17" s="53">
        <f t="shared" si="15"/>
        <v>-45.742221875000013</v>
      </c>
      <c r="CJ17" t="s">
        <v>233</v>
      </c>
    </row>
    <row r="18" spans="1:88" outlineLevel="1" x14ac:dyDescent="0.2">
      <c r="A18" s="17"/>
      <c r="B18" s="17" t="s">
        <v>64</v>
      </c>
      <c r="C18" s="18" t="s">
        <v>236</v>
      </c>
      <c r="D18" s="17">
        <v>322589704</v>
      </c>
      <c r="E18" s="18">
        <v>10</v>
      </c>
      <c r="F18" s="18">
        <v>32</v>
      </c>
      <c r="G18" s="18">
        <v>30</v>
      </c>
      <c r="I18" s="19">
        <f t="shared" si="0"/>
        <v>5.3492249999999997</v>
      </c>
      <c r="J18" s="20">
        <f t="shared" si="1"/>
        <v>1.7687607289537052E-2</v>
      </c>
      <c r="K18" s="20">
        <f t="shared" si="2"/>
        <v>9.9237637168977967E-3</v>
      </c>
      <c r="L18" s="20">
        <f t="shared" si="3"/>
        <v>7.7628268011926379E-3</v>
      </c>
      <c r="M18" s="20">
        <f t="shared" si="4"/>
        <v>7.7638435726392558E-3</v>
      </c>
      <c r="N18" s="17">
        <f t="shared" si="5"/>
        <v>3201304</v>
      </c>
      <c r="O18" s="20">
        <v>16</v>
      </c>
      <c r="P18" s="21">
        <v>34914325</v>
      </c>
      <c r="Q18" s="21">
        <v>1091072.65625</v>
      </c>
      <c r="R18" s="21">
        <v>41603.21875</v>
      </c>
      <c r="S18" s="22">
        <v>5705840</v>
      </c>
      <c r="T18" s="22">
        <v>2504208</v>
      </c>
      <c r="U18" s="22">
        <v>697096</v>
      </c>
      <c r="V18" s="22">
        <v>2504536</v>
      </c>
      <c r="W18" s="23">
        <v>70.529849999999982</v>
      </c>
      <c r="X18" s="23">
        <v>73.133384375000006</v>
      </c>
      <c r="Y18" s="23">
        <v>36.289246875000003</v>
      </c>
      <c r="Z18" s="23">
        <v>46.428246874999992</v>
      </c>
      <c r="AA18" s="23">
        <v>46.981940625000007</v>
      </c>
      <c r="AB18" s="24">
        <v>4718.8</v>
      </c>
      <c r="AC18" s="24">
        <v>5503.41</v>
      </c>
      <c r="AD18" s="24">
        <v>15.26</v>
      </c>
      <c r="AE18" s="24">
        <v>10.62</v>
      </c>
      <c r="AG18" s="19" t="str">
        <f t="shared" si="6"/>
        <v>·</v>
      </c>
      <c r="AH18" s="20" t="str">
        <f t="shared" si="7"/>
        <v>·</v>
      </c>
      <c r="AI18" s="20" t="str">
        <f t="shared" si="8"/>
        <v>·</v>
      </c>
      <c r="AJ18" s="20" t="str">
        <f t="shared" si="9"/>
        <v>·</v>
      </c>
      <c r="AK18" s="20" t="str">
        <f t="shared" si="10"/>
        <v>·</v>
      </c>
      <c r="AL18" s="17" t="str">
        <f t="shared" si="11"/>
        <v/>
      </c>
      <c r="AM18" s="20">
        <v>16</v>
      </c>
      <c r="AN18" s="21"/>
      <c r="AO18" s="21"/>
      <c r="AP18" s="21"/>
      <c r="AQ18" s="22"/>
      <c r="AR18" s="22"/>
      <c r="AS18" s="22"/>
      <c r="AT18" s="22"/>
      <c r="AU18" s="23"/>
      <c r="AV18" s="23"/>
      <c r="AW18" s="23"/>
      <c r="AX18" s="23"/>
      <c r="AY18" s="23"/>
      <c r="AZ18" s="24"/>
      <c r="BA18" s="24"/>
      <c r="BB18" s="24"/>
      <c r="BC18" s="24"/>
      <c r="BE18" s="49" t="e">
        <f t="shared" si="12"/>
        <v>#VALUE!</v>
      </c>
      <c r="BF18" s="25" t="e">
        <f t="shared" si="13"/>
        <v>#DIV/0!</v>
      </c>
      <c r="BG18" s="25" t="e">
        <f t="shared" si="14"/>
        <v>#VALUE!</v>
      </c>
      <c r="BH18" s="25"/>
      <c r="BJ18" s="49"/>
      <c r="BK18" s="49"/>
      <c r="BL18" s="49"/>
      <c r="BM18" s="49"/>
      <c r="BN18" s="49"/>
      <c r="BP18" s="49"/>
      <c r="BQ18" s="49"/>
      <c r="BR18" s="49"/>
      <c r="BS18" s="49"/>
      <c r="BT18" s="49"/>
      <c r="BV18" s="53">
        <f t="shared" si="16"/>
        <v>-34914325</v>
      </c>
      <c r="BW18" s="53">
        <f t="shared" si="15"/>
        <v>-1091072.65625</v>
      </c>
      <c r="BX18" s="53">
        <f t="shared" si="15"/>
        <v>-41603.21875</v>
      </c>
      <c r="BY18" s="53">
        <f t="shared" si="15"/>
        <v>-5705840</v>
      </c>
      <c r="BZ18" s="53">
        <f t="shared" si="15"/>
        <v>-2504208</v>
      </c>
      <c r="CA18" s="53">
        <f t="shared" si="15"/>
        <v>-697096</v>
      </c>
      <c r="CB18" s="53">
        <f t="shared" si="15"/>
        <v>-2504536</v>
      </c>
      <c r="CC18" s="53">
        <f t="shared" si="15"/>
        <v>-70.529849999999982</v>
      </c>
      <c r="CD18" s="53">
        <f t="shared" si="15"/>
        <v>-73.133384375000006</v>
      </c>
      <c r="CE18" s="53">
        <f t="shared" si="15"/>
        <v>-36.289246875000003</v>
      </c>
      <c r="CF18" s="53">
        <f t="shared" si="15"/>
        <v>-46.428246874999992</v>
      </c>
      <c r="CG18" s="53">
        <f t="shared" si="15"/>
        <v>-46.981940625000007</v>
      </c>
      <c r="CJ18" t="s">
        <v>233</v>
      </c>
    </row>
    <row r="19" spans="1:88" ht="16" outlineLevel="1" thickBot="1" x14ac:dyDescent="0.25">
      <c r="A19" s="52"/>
      <c r="B19" s="26" t="s">
        <v>64</v>
      </c>
      <c r="C19" s="27" t="s">
        <v>237</v>
      </c>
      <c r="D19" s="26">
        <v>322589704</v>
      </c>
      <c r="E19" s="27">
        <v>10</v>
      </c>
      <c r="F19" s="27">
        <v>32</v>
      </c>
      <c r="G19" s="27">
        <v>30</v>
      </c>
      <c r="I19" s="28">
        <f t="shared" si="0"/>
        <v>11.627325000000001</v>
      </c>
      <c r="J19" s="29">
        <f t="shared" si="1"/>
        <v>3.8446608326966322E-2</v>
      </c>
      <c r="K19" s="29">
        <f t="shared" si="2"/>
        <v>1.7450451549439409E-2</v>
      </c>
      <c r="L19" s="29">
        <f t="shared" si="3"/>
        <v>1.2811841012755943E-2</v>
      </c>
      <c r="M19" s="29">
        <f t="shared" si="4"/>
        <v>2.0996156777526909E-2</v>
      </c>
      <c r="N19" s="26">
        <f t="shared" si="5"/>
        <v>5629336</v>
      </c>
      <c r="O19" s="29">
        <v>16</v>
      </c>
      <c r="P19" s="30">
        <v>33019287</v>
      </c>
      <c r="Q19" s="30">
        <v>1031852.71875</v>
      </c>
      <c r="R19" s="30">
        <v>17790.15625</v>
      </c>
      <c r="S19" s="31">
        <v>12402480</v>
      </c>
      <c r="T19" s="31">
        <v>4132968</v>
      </c>
      <c r="U19" s="31">
        <v>1496368</v>
      </c>
      <c r="V19" s="31">
        <v>6773144</v>
      </c>
      <c r="W19" s="32">
        <v>71.185568750000016</v>
      </c>
      <c r="X19" s="32">
        <v>75.071018750000022</v>
      </c>
      <c r="Y19" s="32">
        <v>38.695609374999997</v>
      </c>
      <c r="Z19" s="32">
        <v>48.186309375</v>
      </c>
      <c r="AA19" s="32">
        <v>48.786537500000001</v>
      </c>
      <c r="AB19" s="33">
        <v>4633.71</v>
      </c>
      <c r="AC19" s="33">
        <v>5379.22</v>
      </c>
      <c r="AD19" s="33">
        <v>13.948</v>
      </c>
      <c r="AE19" s="33">
        <v>12.38</v>
      </c>
      <c r="AG19" s="28" t="str">
        <f t="shared" si="6"/>
        <v>·</v>
      </c>
      <c r="AH19" s="29" t="str">
        <f t="shared" si="7"/>
        <v>·</v>
      </c>
      <c r="AI19" s="29" t="str">
        <f t="shared" si="8"/>
        <v>·</v>
      </c>
      <c r="AJ19" s="29" t="str">
        <f t="shared" si="9"/>
        <v>·</v>
      </c>
      <c r="AK19" s="29" t="str">
        <f t="shared" si="10"/>
        <v>·</v>
      </c>
      <c r="AL19" s="26" t="str">
        <f t="shared" si="11"/>
        <v/>
      </c>
      <c r="AM19" s="29">
        <v>16</v>
      </c>
      <c r="AN19" s="30"/>
      <c r="AO19" s="30"/>
      <c r="AP19" s="30"/>
      <c r="AQ19" s="31"/>
      <c r="AR19" s="31"/>
      <c r="AS19" s="31"/>
      <c r="AT19" s="31"/>
      <c r="AU19" s="32"/>
      <c r="AV19" s="32"/>
      <c r="AW19" s="32"/>
      <c r="AX19" s="32"/>
      <c r="AY19" s="32"/>
      <c r="AZ19" s="33"/>
      <c r="BA19" s="33"/>
      <c r="BB19" s="33"/>
      <c r="BC19" s="33"/>
      <c r="BE19" s="34" t="e">
        <f t="shared" si="12"/>
        <v>#VALUE!</v>
      </c>
      <c r="BF19" s="35" t="e">
        <f t="shared" si="13"/>
        <v>#DIV/0!</v>
      </c>
      <c r="BG19" s="35" t="e">
        <f t="shared" si="14"/>
        <v>#VALUE!</v>
      </c>
      <c r="BH19" s="35"/>
      <c r="BJ19" s="34"/>
      <c r="BK19" s="34"/>
      <c r="BL19" s="34"/>
      <c r="BM19" s="34"/>
      <c r="BN19" s="34"/>
      <c r="BP19" s="34"/>
      <c r="BQ19" s="34"/>
      <c r="BR19" s="34"/>
      <c r="BS19" s="34"/>
      <c r="BT19" s="34"/>
      <c r="BV19" s="53">
        <f t="shared" si="16"/>
        <v>-33019287</v>
      </c>
      <c r="BW19" s="53">
        <f t="shared" si="15"/>
        <v>-1031852.71875</v>
      </c>
      <c r="BX19" s="53">
        <f t="shared" si="15"/>
        <v>-17790.15625</v>
      </c>
      <c r="BY19" s="53">
        <f t="shared" si="15"/>
        <v>-12402480</v>
      </c>
      <c r="BZ19" s="53">
        <f t="shared" si="15"/>
        <v>-4132968</v>
      </c>
      <c r="CA19" s="53">
        <f t="shared" si="15"/>
        <v>-1496368</v>
      </c>
      <c r="CB19" s="53">
        <f t="shared" si="15"/>
        <v>-6773144</v>
      </c>
      <c r="CC19" s="53">
        <f t="shared" si="15"/>
        <v>-71.185568750000016</v>
      </c>
      <c r="CD19" s="53">
        <f t="shared" si="15"/>
        <v>-75.071018750000022</v>
      </c>
      <c r="CE19" s="53">
        <f t="shared" si="15"/>
        <v>-38.695609374999997</v>
      </c>
      <c r="CF19" s="53">
        <f t="shared" si="15"/>
        <v>-48.186309375</v>
      </c>
      <c r="CG19" s="53">
        <f t="shared" si="15"/>
        <v>-48.786537500000001</v>
      </c>
      <c r="CJ19" t="s">
        <v>233</v>
      </c>
    </row>
    <row r="20" spans="1:88" x14ac:dyDescent="0.2">
      <c r="A20" s="17"/>
      <c r="B20" s="17" t="s">
        <v>70</v>
      </c>
      <c r="C20" s="18" t="s">
        <v>232</v>
      </c>
      <c r="D20" s="17">
        <v>250602891</v>
      </c>
      <c r="E20" s="18">
        <v>10</v>
      </c>
      <c r="F20" s="18">
        <v>32</v>
      </c>
      <c r="G20" s="18">
        <v>50</v>
      </c>
      <c r="I20" s="19">
        <f t="shared" si="0"/>
        <v>1.9899875</v>
      </c>
      <c r="J20" s="20">
        <f t="shared" si="1"/>
        <v>5.0821121612679241E-3</v>
      </c>
      <c r="K20" s="20">
        <f t="shared" si="2"/>
        <v>3.9497708747502037E-3</v>
      </c>
      <c r="L20" s="20">
        <f t="shared" si="3"/>
        <v>2.2980102013268476E-3</v>
      </c>
      <c r="M20" s="20">
        <f t="shared" si="4"/>
        <v>1.1323412865177202E-3</v>
      </c>
      <c r="N20" s="17">
        <f t="shared" si="5"/>
        <v>989824</v>
      </c>
      <c r="O20" s="20">
        <v>16</v>
      </c>
      <c r="P20" s="21">
        <v>30379563</v>
      </c>
      <c r="Q20" s="21">
        <v>949361.34375</v>
      </c>
      <c r="R20" s="21">
        <v>28806.71875</v>
      </c>
      <c r="S20" s="22">
        <v>1273592</v>
      </c>
      <c r="T20" s="22">
        <v>575888</v>
      </c>
      <c r="U20" s="22">
        <v>413936</v>
      </c>
      <c r="V20" s="22">
        <v>283768</v>
      </c>
      <c r="W20" s="23">
        <v>67.24823750000003</v>
      </c>
      <c r="X20" s="23">
        <v>68.985434374999997</v>
      </c>
      <c r="Y20" s="23">
        <v>30.072700000000001</v>
      </c>
      <c r="Z20" s="23">
        <v>39.540096875000003</v>
      </c>
      <c r="AA20" s="23">
        <v>38.074331249999993</v>
      </c>
      <c r="AB20" s="24">
        <v>4355.0600000000004</v>
      </c>
      <c r="AC20" s="24">
        <v>4618.49</v>
      </c>
      <c r="AD20" s="24">
        <v>13.348000000000001</v>
      </c>
      <c r="AE20" s="24">
        <v>9.4879999999999995</v>
      </c>
      <c r="AG20" s="19" t="str">
        <f t="shared" si="6"/>
        <v>·</v>
      </c>
      <c r="AH20" s="20" t="str">
        <f t="shared" si="7"/>
        <v>·</v>
      </c>
      <c r="AI20" s="20" t="str">
        <f t="shared" si="8"/>
        <v>·</v>
      </c>
      <c r="AJ20" s="20" t="str">
        <f t="shared" si="9"/>
        <v>·</v>
      </c>
      <c r="AK20" s="20" t="str">
        <f t="shared" si="10"/>
        <v>·</v>
      </c>
      <c r="AL20" s="17" t="str">
        <f t="shared" si="11"/>
        <v/>
      </c>
      <c r="AM20" s="20">
        <v>16</v>
      </c>
      <c r="AN20" s="21"/>
      <c r="AO20" s="21"/>
      <c r="AP20" s="21"/>
      <c r="AQ20" s="22"/>
      <c r="AR20" s="22"/>
      <c r="AS20" s="22"/>
      <c r="AT20" s="22"/>
      <c r="AU20" s="23"/>
      <c r="AV20" s="23"/>
      <c r="AW20" s="23"/>
      <c r="AX20" s="23"/>
      <c r="AY20" s="23"/>
      <c r="AZ20" s="24"/>
      <c r="BA20" s="24"/>
      <c r="BB20" s="24"/>
      <c r="BC20" s="24"/>
      <c r="BE20" s="49" t="e">
        <f t="shared" si="12"/>
        <v>#VALUE!</v>
      </c>
      <c r="BF20" s="25" t="e">
        <f t="shared" si="13"/>
        <v>#DIV/0!</v>
      </c>
      <c r="BG20" s="25" t="e">
        <f t="shared" si="14"/>
        <v>#VALUE!</v>
      </c>
      <c r="BH20" s="25" t="e">
        <f t="array" ref="BH20">AVERAGE(AL20:AL24/AQ20:AQ24) - AVERAGE(N20:N24/S20:S24)</f>
        <v>#VALUE!</v>
      </c>
      <c r="BJ20" s="49" t="str">
        <f>IF( OR(ISBLANK(N20:N24),ISBLANK(AL20:AL24), ISBLANK(W20:W24),ISBLANK(AU20:AU24)), "·", bdRateExtend( N20:N24,W20:W24, AL20:AL24,AU20:AU24))</f>
        <v>·</v>
      </c>
      <c r="BK20" s="49" t="str">
        <f>IF( OR(ISBLANK(N20:N24),ISBLANK(AL20:AL24), ISBLANK(X20:X24),ISBLANK(AV20:AV24)), "·", bdRateExtend( N20:N24,X20:X24, AL20:AL24,AV20:AV24))</f>
        <v>·</v>
      </c>
      <c r="BL20" s="49" t="str">
        <f>IF( OR(ISBLANK(V20:V24),ISBLANK(AT20:AT24), ISBLANK(Y20:Y24),ISBLANK(AW20:AW24)), "·", bdRateExtend( V20:V24,Y20:Y24, AT20:AT24,AW20:AW24))</f>
        <v>·</v>
      </c>
      <c r="BM20" s="49" t="str">
        <f>IF( OR(ISBLANK(V20:V24),ISBLANK(AT20:AT24), ISBLANK(Z20:Z24),ISBLANK(AX20:AX24)), "·", bdRateExtend( V20:V24,Z20:Z24, AT20:AT24,AX20:AX24))</f>
        <v>·</v>
      </c>
      <c r="BN20" s="49" t="str">
        <f>IF( OR(ISBLANK(V20:V24),ISBLANK(AT20:AT24), ISBLANK(AA20:AA24),ISBLANK(AY20:AY24)), "·", bdRateExtend( V20:V24,AA20:AA24, AT20:AT24,AY20:AY24))</f>
        <v>·</v>
      </c>
      <c r="BP20" s="49" t="str">
        <f>IF( OR(ISBLANK(S20:S24),ISBLANK(AQ20:AQ24), ISBLANK(W20:W24),ISBLANK(AU20:AU24)), "·", bdRateExtend( S20:S24,W20:W24, AQ20:AQ24,AU20:AU24))</f>
        <v>·</v>
      </c>
      <c r="BQ20" s="49" t="str">
        <f>IF( OR(ISBLANK(S20:S24),ISBLANK(AQ20:AQ24), ISBLANK(X20:X24),ISBLANK(AV20:AV24)), "·", bdRateExtend( S20:S24,X20:X24, AQ20:AQ24,AV20:AV24))</f>
        <v>·</v>
      </c>
      <c r="BR20" s="49" t="str">
        <f>IF( OR(ISBLANK(S20:S24),ISBLANK(AQ20:AQ24), ISBLANK(Y20:Y24),ISBLANK(AW20:AW24)), "·", bdRateExtend( S20:S24,Y20:Y24, AQ20:AQ24,AW20:AW24))</f>
        <v>·</v>
      </c>
      <c r="BS20" s="49" t="str">
        <f>IF( OR(ISBLANK(S20:S24),ISBLANK(AQ20:AQ24), ISBLANK(Z20:Z24),ISBLANK(AX20:AX24)), "·", bdRateExtend( S20:S24,Z20:Z24, AQ20:AQ24,AX20:AX24))</f>
        <v>·</v>
      </c>
      <c r="BT20" s="49" t="str">
        <f>IF( OR(ISBLANK(S20:S24),ISBLANK(AQ20:AQ24), ISBLANK(AA20:AA24),ISBLANK(AY20:AY24)), "·", bdRateExtend( S20:S24,AA20:AA24, AQ20:AQ24,AY20:AY24))</f>
        <v>·</v>
      </c>
      <c r="BV20" s="53">
        <f t="shared" si="16"/>
        <v>-30379563</v>
      </c>
      <c r="BW20" s="53">
        <f t="shared" si="15"/>
        <v>-949361.34375</v>
      </c>
      <c r="BX20" s="53">
        <f t="shared" si="15"/>
        <v>-28806.71875</v>
      </c>
      <c r="BY20" s="53">
        <f t="shared" si="15"/>
        <v>-1273592</v>
      </c>
      <c r="BZ20" s="53">
        <f t="shared" si="15"/>
        <v>-575888</v>
      </c>
      <c r="CA20" s="53">
        <f t="shared" si="15"/>
        <v>-413936</v>
      </c>
      <c r="CB20" s="53">
        <f t="shared" si="15"/>
        <v>-283768</v>
      </c>
      <c r="CC20" s="53">
        <f t="shared" si="15"/>
        <v>-67.24823750000003</v>
      </c>
      <c r="CD20" s="53">
        <f t="shared" si="15"/>
        <v>-68.985434374999997</v>
      </c>
      <c r="CE20" s="53">
        <f t="shared" si="15"/>
        <v>-30.072700000000001</v>
      </c>
      <c r="CF20" s="53">
        <f t="shared" si="15"/>
        <v>-39.540096875000003</v>
      </c>
      <c r="CG20" s="53">
        <f t="shared" si="15"/>
        <v>-38.074331249999993</v>
      </c>
      <c r="CJ20" t="s">
        <v>239</v>
      </c>
    </row>
    <row r="21" spans="1:88" outlineLevel="1" x14ac:dyDescent="0.2">
      <c r="A21" s="52"/>
      <c r="B21" s="52" t="s">
        <v>70</v>
      </c>
      <c r="C21" s="9" t="s">
        <v>234</v>
      </c>
      <c r="D21" s="52">
        <v>250602891</v>
      </c>
      <c r="E21" s="9">
        <v>10</v>
      </c>
      <c r="F21" s="9">
        <v>32</v>
      </c>
      <c r="G21" s="9">
        <v>50</v>
      </c>
      <c r="I21" s="10">
        <f t="shared" si="0"/>
        <v>2.6944124999999999</v>
      </c>
      <c r="J21" s="11">
        <f t="shared" si="1"/>
        <v>6.8811017826606001E-3</v>
      </c>
      <c r="K21" s="11">
        <f t="shared" si="2"/>
        <v>4.6939921375448142E-3</v>
      </c>
      <c r="L21" s="11">
        <f t="shared" si="3"/>
        <v>3.0422314641214573E-3</v>
      </c>
      <c r="M21" s="11">
        <f t="shared" si="4"/>
        <v>2.1871096451157859E-3</v>
      </c>
      <c r="N21" s="52">
        <f t="shared" si="5"/>
        <v>1176328</v>
      </c>
      <c r="O21" s="11">
        <v>16</v>
      </c>
      <c r="P21" s="12">
        <v>31696812</v>
      </c>
      <c r="Q21" s="12">
        <v>990525.375</v>
      </c>
      <c r="R21" s="12">
        <v>33593.15625</v>
      </c>
      <c r="S21" s="13">
        <v>1724424</v>
      </c>
      <c r="T21" s="13">
        <v>762392</v>
      </c>
      <c r="U21" s="13">
        <v>413936</v>
      </c>
      <c r="V21" s="13">
        <v>548096</v>
      </c>
      <c r="W21" s="14">
        <v>68.873231249999989</v>
      </c>
      <c r="X21" s="14">
        <v>70.998265625000002</v>
      </c>
      <c r="Y21" s="14">
        <v>31.541346874999999</v>
      </c>
      <c r="Z21" s="14">
        <v>40.515546875000013</v>
      </c>
      <c r="AA21" s="14">
        <v>39.215978124999992</v>
      </c>
      <c r="AB21" s="15">
        <v>4419.2700000000004</v>
      </c>
      <c r="AC21" s="15">
        <v>4896.28</v>
      </c>
      <c r="AD21" s="15">
        <v>15.196</v>
      </c>
      <c r="AE21" s="15">
        <v>9.2520000000000007</v>
      </c>
      <c r="AG21" s="10" t="str">
        <f t="shared" si="6"/>
        <v>·</v>
      </c>
      <c r="AH21" s="11" t="str">
        <f t="shared" si="7"/>
        <v>·</v>
      </c>
      <c r="AI21" s="11" t="str">
        <f t="shared" si="8"/>
        <v>·</v>
      </c>
      <c r="AJ21" s="11" t="str">
        <f t="shared" si="9"/>
        <v>·</v>
      </c>
      <c r="AK21" s="11" t="str">
        <f t="shared" si="10"/>
        <v>·</v>
      </c>
      <c r="AL21" s="52" t="str">
        <f t="shared" si="11"/>
        <v/>
      </c>
      <c r="AM21" s="11">
        <v>16</v>
      </c>
      <c r="AN21" s="12"/>
      <c r="AO21" s="12"/>
      <c r="AP21" s="12"/>
      <c r="AQ21" s="13"/>
      <c r="AR21" s="13"/>
      <c r="AS21" s="13"/>
      <c r="AT21" s="13"/>
      <c r="AU21" s="14"/>
      <c r="AV21" s="14"/>
      <c r="AW21" s="14"/>
      <c r="AX21" s="14"/>
      <c r="AY21" s="14"/>
      <c r="AZ21" s="15"/>
      <c r="BA21" s="15"/>
      <c r="BB21" s="15"/>
      <c r="BC21" s="15"/>
      <c r="BE21" s="50" t="e">
        <f t="shared" si="12"/>
        <v>#VALUE!</v>
      </c>
      <c r="BF21" s="16" t="e">
        <f t="shared" si="13"/>
        <v>#DIV/0!</v>
      </c>
      <c r="BG21" s="16" t="e">
        <f t="shared" si="14"/>
        <v>#VALUE!</v>
      </c>
      <c r="BH21" s="16"/>
      <c r="BJ21" s="50"/>
      <c r="BK21" s="50"/>
      <c r="BL21" s="50"/>
      <c r="BM21" s="50"/>
      <c r="BN21" s="50"/>
      <c r="BP21" s="50"/>
      <c r="BQ21" s="50"/>
      <c r="BR21" s="50"/>
      <c r="BS21" s="50"/>
      <c r="BT21" s="50"/>
      <c r="BV21" s="53">
        <f t="shared" si="16"/>
        <v>-31696812</v>
      </c>
      <c r="BW21" s="53">
        <f t="shared" si="16"/>
        <v>-990525.375</v>
      </c>
      <c r="BX21" s="53">
        <f t="shared" si="16"/>
        <v>-33593.15625</v>
      </c>
      <c r="BY21" s="53">
        <f t="shared" si="16"/>
        <v>-1724424</v>
      </c>
      <c r="BZ21" s="53">
        <f t="shared" si="16"/>
        <v>-762392</v>
      </c>
      <c r="CA21" s="53">
        <f t="shared" si="16"/>
        <v>-413936</v>
      </c>
      <c r="CB21" s="53">
        <f t="shared" si="16"/>
        <v>-548096</v>
      </c>
      <c r="CC21" s="53">
        <f t="shared" si="16"/>
        <v>-68.873231249999989</v>
      </c>
      <c r="CD21" s="53">
        <f t="shared" si="16"/>
        <v>-70.998265625000002</v>
      </c>
      <c r="CE21" s="53">
        <f t="shared" si="16"/>
        <v>-31.541346874999999</v>
      </c>
      <c r="CF21" s="53">
        <f t="shared" si="16"/>
        <v>-40.515546875000013</v>
      </c>
      <c r="CG21" s="53">
        <f t="shared" si="16"/>
        <v>-39.215978124999992</v>
      </c>
      <c r="CJ21" t="s">
        <v>239</v>
      </c>
    </row>
    <row r="22" spans="1:88" outlineLevel="1" x14ac:dyDescent="0.2">
      <c r="A22" s="17"/>
      <c r="B22" s="17" t="s">
        <v>70</v>
      </c>
      <c r="C22" s="18" t="s">
        <v>235</v>
      </c>
      <c r="D22" s="17">
        <v>250602891</v>
      </c>
      <c r="E22" s="18">
        <v>10</v>
      </c>
      <c r="F22" s="18">
        <v>32</v>
      </c>
      <c r="G22" s="18">
        <v>50</v>
      </c>
      <c r="I22" s="19">
        <f t="shared" si="0"/>
        <v>4.1956749999999996</v>
      </c>
      <c r="J22" s="20">
        <f t="shared" si="1"/>
        <v>1.0715087879812209E-2</v>
      </c>
      <c r="K22" s="20">
        <f t="shared" si="2"/>
        <v>5.5723219888951722E-3</v>
      </c>
      <c r="L22" s="20">
        <f t="shared" si="3"/>
        <v>3.9205613154718157E-3</v>
      </c>
      <c r="M22" s="20">
        <f t="shared" si="4"/>
        <v>5.1427658909170369E-3</v>
      </c>
      <c r="N22" s="17">
        <f t="shared" si="5"/>
        <v>1396440</v>
      </c>
      <c r="O22" s="20">
        <v>16</v>
      </c>
      <c r="P22" s="21">
        <v>32604849</v>
      </c>
      <c r="Q22" s="21">
        <v>1018901.53125</v>
      </c>
      <c r="R22" s="21">
        <v>35090.5625</v>
      </c>
      <c r="S22" s="22">
        <v>2685232</v>
      </c>
      <c r="T22" s="22">
        <v>982504</v>
      </c>
      <c r="U22" s="22">
        <v>413936</v>
      </c>
      <c r="V22" s="22">
        <v>1288792</v>
      </c>
      <c r="W22" s="23">
        <v>70.092034374999997</v>
      </c>
      <c r="X22" s="23">
        <v>72.552462500000004</v>
      </c>
      <c r="Y22" s="23">
        <v>33.405968749999992</v>
      </c>
      <c r="Z22" s="23">
        <v>41.661025000000002</v>
      </c>
      <c r="AA22" s="23">
        <v>40.480746874999987</v>
      </c>
      <c r="AB22" s="24">
        <v>4440.7299999999996</v>
      </c>
      <c r="AC22" s="24">
        <v>5092.91</v>
      </c>
      <c r="AD22" s="24">
        <v>13.848000000000001</v>
      </c>
      <c r="AE22" s="24">
        <v>10.212</v>
      </c>
      <c r="AG22" s="19" t="str">
        <f t="shared" si="6"/>
        <v>·</v>
      </c>
      <c r="AH22" s="20" t="str">
        <f t="shared" si="7"/>
        <v>·</v>
      </c>
      <c r="AI22" s="20" t="str">
        <f t="shared" si="8"/>
        <v>·</v>
      </c>
      <c r="AJ22" s="20" t="str">
        <f t="shared" si="9"/>
        <v>·</v>
      </c>
      <c r="AK22" s="20" t="str">
        <f t="shared" si="10"/>
        <v>·</v>
      </c>
      <c r="AL22" s="17" t="str">
        <f t="shared" si="11"/>
        <v/>
      </c>
      <c r="AM22" s="20">
        <v>16</v>
      </c>
      <c r="AN22" s="21"/>
      <c r="AO22" s="21"/>
      <c r="AP22" s="21"/>
      <c r="AQ22" s="22"/>
      <c r="AR22" s="22"/>
      <c r="AS22" s="22"/>
      <c r="AT22" s="22"/>
      <c r="AU22" s="23"/>
      <c r="AV22" s="23"/>
      <c r="AW22" s="23"/>
      <c r="AX22" s="23"/>
      <c r="AY22" s="23"/>
      <c r="AZ22" s="24"/>
      <c r="BA22" s="24"/>
      <c r="BB22" s="24"/>
      <c r="BC22" s="24"/>
      <c r="BE22" s="49" t="e">
        <f t="shared" si="12"/>
        <v>#VALUE!</v>
      </c>
      <c r="BF22" s="25" t="e">
        <f t="shared" si="13"/>
        <v>#DIV/0!</v>
      </c>
      <c r="BG22" s="25" t="e">
        <f t="shared" si="14"/>
        <v>#VALUE!</v>
      </c>
      <c r="BH22" s="25"/>
      <c r="BJ22" s="49"/>
      <c r="BK22" s="49"/>
      <c r="BL22" s="49"/>
      <c r="BM22" s="49"/>
      <c r="BN22" s="49"/>
      <c r="BP22" s="49"/>
      <c r="BQ22" s="49"/>
      <c r="BR22" s="49"/>
      <c r="BS22" s="49"/>
      <c r="BT22" s="49"/>
      <c r="BV22" s="53">
        <f t="shared" si="16"/>
        <v>-32604849</v>
      </c>
      <c r="BW22" s="53">
        <f t="shared" si="16"/>
        <v>-1018901.53125</v>
      </c>
      <c r="BX22" s="53">
        <f t="shared" si="16"/>
        <v>-35090.5625</v>
      </c>
      <c r="BY22" s="53">
        <f t="shared" si="16"/>
        <v>-2685232</v>
      </c>
      <c r="BZ22" s="53">
        <f t="shared" si="16"/>
        <v>-982504</v>
      </c>
      <c r="CA22" s="53">
        <f t="shared" si="16"/>
        <v>-413936</v>
      </c>
      <c r="CB22" s="53">
        <f t="shared" si="16"/>
        <v>-1288792</v>
      </c>
      <c r="CC22" s="53">
        <f t="shared" si="16"/>
        <v>-70.092034374999997</v>
      </c>
      <c r="CD22" s="53">
        <f t="shared" si="16"/>
        <v>-72.552462500000004</v>
      </c>
      <c r="CE22" s="53">
        <f t="shared" si="16"/>
        <v>-33.405968749999992</v>
      </c>
      <c r="CF22" s="53">
        <f t="shared" si="16"/>
        <v>-41.661025000000002</v>
      </c>
      <c r="CG22" s="53">
        <f t="shared" si="16"/>
        <v>-40.480746874999987</v>
      </c>
      <c r="CJ22" t="s">
        <v>239</v>
      </c>
    </row>
    <row r="23" spans="1:88" outlineLevel="1" x14ac:dyDescent="0.2">
      <c r="A23" s="52"/>
      <c r="B23" s="52" t="s">
        <v>70</v>
      </c>
      <c r="C23" s="9" t="s">
        <v>236</v>
      </c>
      <c r="D23" s="52">
        <v>250602891</v>
      </c>
      <c r="E23" s="9">
        <v>10</v>
      </c>
      <c r="F23" s="9">
        <v>32</v>
      </c>
      <c r="G23" s="9">
        <v>50</v>
      </c>
      <c r="I23" s="10">
        <f t="shared" si="0"/>
        <v>7.9713250000000002</v>
      </c>
      <c r="J23" s="11">
        <f t="shared" si="1"/>
        <v>2.035749858927206E-2</v>
      </c>
      <c r="K23" s="11">
        <f t="shared" si="2"/>
        <v>8.2705829598749524E-3</v>
      </c>
      <c r="L23" s="11">
        <f t="shared" si="3"/>
        <v>6.6188222864515959E-3</v>
      </c>
      <c r="M23" s="11">
        <f t="shared" si="4"/>
        <v>1.2086915629397109E-2</v>
      </c>
      <c r="N23" s="52">
        <f t="shared" si="5"/>
        <v>2072632</v>
      </c>
      <c r="O23" s="11">
        <v>16</v>
      </c>
      <c r="P23" s="12">
        <v>32813316</v>
      </c>
      <c r="Q23" s="12">
        <v>1025416.125</v>
      </c>
      <c r="R23" s="12">
        <v>37028.40625</v>
      </c>
      <c r="S23" s="13">
        <v>5101648</v>
      </c>
      <c r="T23" s="13">
        <v>1658696</v>
      </c>
      <c r="U23" s="13">
        <v>413936</v>
      </c>
      <c r="V23" s="13">
        <v>3029016</v>
      </c>
      <c r="W23" s="14">
        <v>71.045559374999982</v>
      </c>
      <c r="X23" s="14">
        <v>73.797390624999977</v>
      </c>
      <c r="Y23" s="14">
        <v>35.293249999999993</v>
      </c>
      <c r="Z23" s="14">
        <v>42.754381250000002</v>
      </c>
      <c r="AA23" s="14">
        <v>41.481662500000013</v>
      </c>
      <c r="AB23" s="15">
        <v>3557.47</v>
      </c>
      <c r="AC23" s="15">
        <v>4099.84</v>
      </c>
      <c r="AD23" s="15">
        <v>15.272</v>
      </c>
      <c r="AE23" s="15">
        <v>9.9720000000000013</v>
      </c>
      <c r="AG23" s="10" t="str">
        <f t="shared" si="6"/>
        <v>·</v>
      </c>
      <c r="AH23" s="11" t="str">
        <f t="shared" si="7"/>
        <v>·</v>
      </c>
      <c r="AI23" s="11" t="str">
        <f t="shared" si="8"/>
        <v>·</v>
      </c>
      <c r="AJ23" s="11" t="str">
        <f t="shared" si="9"/>
        <v>·</v>
      </c>
      <c r="AK23" s="11" t="str">
        <f t="shared" si="10"/>
        <v>·</v>
      </c>
      <c r="AL23" s="52" t="str">
        <f t="shared" si="11"/>
        <v/>
      </c>
      <c r="AM23" s="11">
        <v>16</v>
      </c>
      <c r="AN23" s="12"/>
      <c r="AO23" s="12"/>
      <c r="AP23" s="12"/>
      <c r="AQ23" s="13"/>
      <c r="AR23" s="13"/>
      <c r="AS23" s="13"/>
      <c r="AT23" s="13"/>
      <c r="AU23" s="14"/>
      <c r="AV23" s="14"/>
      <c r="AW23" s="14"/>
      <c r="AX23" s="14"/>
      <c r="AY23" s="14"/>
      <c r="AZ23" s="15"/>
      <c r="BA23" s="15"/>
      <c r="BB23" s="15"/>
      <c r="BC23" s="15"/>
      <c r="BE23" s="50" t="e">
        <f t="shared" si="12"/>
        <v>#VALUE!</v>
      </c>
      <c r="BF23" s="16" t="e">
        <f t="shared" si="13"/>
        <v>#DIV/0!</v>
      </c>
      <c r="BG23" s="16" t="e">
        <f t="shared" si="14"/>
        <v>#VALUE!</v>
      </c>
      <c r="BH23" s="16"/>
      <c r="BJ23" s="50"/>
      <c r="BK23" s="50"/>
      <c r="BL23" s="50"/>
      <c r="BM23" s="50"/>
      <c r="BN23" s="50"/>
      <c r="BP23" s="50"/>
      <c r="BQ23" s="50"/>
      <c r="BR23" s="50"/>
      <c r="BS23" s="50"/>
      <c r="BT23" s="50"/>
      <c r="BV23" s="53">
        <f t="shared" si="16"/>
        <v>-32813316</v>
      </c>
      <c r="BW23" s="53">
        <f t="shared" si="16"/>
        <v>-1025416.125</v>
      </c>
      <c r="BX23" s="53">
        <f t="shared" si="16"/>
        <v>-37028.40625</v>
      </c>
      <c r="BY23" s="53">
        <f t="shared" si="16"/>
        <v>-5101648</v>
      </c>
      <c r="BZ23" s="53">
        <f t="shared" si="16"/>
        <v>-1658696</v>
      </c>
      <c r="CA23" s="53">
        <f t="shared" si="16"/>
        <v>-413936</v>
      </c>
      <c r="CB23" s="53">
        <f t="shared" si="16"/>
        <v>-3029016</v>
      </c>
      <c r="CC23" s="53">
        <f t="shared" si="16"/>
        <v>-71.045559374999982</v>
      </c>
      <c r="CD23" s="53">
        <f t="shared" si="16"/>
        <v>-73.797390624999977</v>
      </c>
      <c r="CE23" s="53">
        <f t="shared" si="16"/>
        <v>-35.293249999999993</v>
      </c>
      <c r="CF23" s="53">
        <f t="shared" si="16"/>
        <v>-42.754381250000002</v>
      </c>
      <c r="CG23" s="53">
        <f t="shared" si="16"/>
        <v>-41.481662500000013</v>
      </c>
      <c r="CJ23" t="s">
        <v>239</v>
      </c>
    </row>
    <row r="24" spans="1:88" ht="16" outlineLevel="1" thickBot="1" x14ac:dyDescent="0.25">
      <c r="A24" s="36"/>
      <c r="B24" s="36" t="s">
        <v>70</v>
      </c>
      <c r="C24" s="37" t="s">
        <v>237</v>
      </c>
      <c r="D24" s="36">
        <v>250602891</v>
      </c>
      <c r="E24" s="37">
        <v>10</v>
      </c>
      <c r="F24" s="37">
        <v>32</v>
      </c>
      <c r="G24" s="37">
        <v>50</v>
      </c>
      <c r="I24" s="38">
        <f t="shared" si="0"/>
        <v>16.4397375</v>
      </c>
      <c r="J24" s="39">
        <f t="shared" si="1"/>
        <v>4.1984479740100042E-2</v>
      </c>
      <c r="K24" s="39">
        <f t="shared" si="2"/>
        <v>1.4241814951767656E-2</v>
      </c>
      <c r="L24" s="39">
        <f t="shared" si="3"/>
        <v>1.0614817687797545E-2</v>
      </c>
      <c r="M24" s="39">
        <f t="shared" si="4"/>
        <v>2.7742664788332389E-2</v>
      </c>
      <c r="N24" s="36">
        <f t="shared" si="5"/>
        <v>3569040</v>
      </c>
      <c r="O24" s="39">
        <v>16</v>
      </c>
      <c r="P24" s="40">
        <v>31274990</v>
      </c>
      <c r="Q24" s="40">
        <v>977343.4375</v>
      </c>
      <c r="R24" s="40">
        <v>17914.71875</v>
      </c>
      <c r="S24" s="41">
        <v>10521432</v>
      </c>
      <c r="T24" s="41">
        <v>2660104</v>
      </c>
      <c r="U24" s="41">
        <v>908936</v>
      </c>
      <c r="V24" s="41">
        <v>6952392</v>
      </c>
      <c r="W24" s="42">
        <v>71.767975000000021</v>
      </c>
      <c r="X24" s="42">
        <v>75.81079687499998</v>
      </c>
      <c r="Y24" s="42">
        <v>36.874640624999998</v>
      </c>
      <c r="Z24" s="42">
        <v>43.507331250000007</v>
      </c>
      <c r="AA24" s="42">
        <v>42.057256250000002</v>
      </c>
      <c r="AB24" s="43">
        <v>3591.91</v>
      </c>
      <c r="AC24" s="43">
        <v>4507.2</v>
      </c>
      <c r="AD24" s="43">
        <v>12.82</v>
      </c>
      <c r="AE24" s="43">
        <v>11.656000000000001</v>
      </c>
      <c r="AG24" s="38" t="str">
        <f t="shared" si="6"/>
        <v>·</v>
      </c>
      <c r="AH24" s="39" t="str">
        <f t="shared" si="7"/>
        <v>·</v>
      </c>
      <c r="AI24" s="39" t="str">
        <f t="shared" si="8"/>
        <v>·</v>
      </c>
      <c r="AJ24" s="39" t="str">
        <f t="shared" si="9"/>
        <v>·</v>
      </c>
      <c r="AK24" s="39" t="str">
        <f t="shared" si="10"/>
        <v>·</v>
      </c>
      <c r="AL24" s="36" t="str">
        <f t="shared" si="11"/>
        <v/>
      </c>
      <c r="AM24" s="39">
        <v>16</v>
      </c>
      <c r="AN24" s="40"/>
      <c r="AO24" s="40"/>
      <c r="AP24" s="40"/>
      <c r="AQ24" s="41"/>
      <c r="AR24" s="41"/>
      <c r="AS24" s="41"/>
      <c r="AT24" s="41"/>
      <c r="AU24" s="42"/>
      <c r="AV24" s="42"/>
      <c r="AW24" s="42"/>
      <c r="AX24" s="42"/>
      <c r="AY24" s="42"/>
      <c r="AZ24" s="43"/>
      <c r="BA24" s="43"/>
      <c r="BB24" s="43"/>
      <c r="BC24" s="43"/>
      <c r="BE24" s="44" t="e">
        <f t="shared" si="12"/>
        <v>#VALUE!</v>
      </c>
      <c r="BF24" s="45" t="e">
        <f t="shared" si="13"/>
        <v>#DIV/0!</v>
      </c>
      <c r="BG24" s="45" t="e">
        <f t="shared" si="14"/>
        <v>#VALUE!</v>
      </c>
      <c r="BH24" s="45"/>
      <c r="BJ24" s="44"/>
      <c r="BK24" s="44"/>
      <c r="BL24" s="44"/>
      <c r="BM24" s="44"/>
      <c r="BN24" s="44"/>
      <c r="BP24" s="44"/>
      <c r="BQ24" s="44"/>
      <c r="BR24" s="44"/>
      <c r="BS24" s="44"/>
      <c r="BT24" s="44"/>
      <c r="BV24" s="53">
        <f t="shared" si="16"/>
        <v>-31274990</v>
      </c>
      <c r="BW24" s="53">
        <f t="shared" si="16"/>
        <v>-977343.4375</v>
      </c>
      <c r="BX24" s="53">
        <f t="shared" si="16"/>
        <v>-17914.71875</v>
      </c>
      <c r="BY24" s="53">
        <f t="shared" si="16"/>
        <v>-10521432</v>
      </c>
      <c r="BZ24" s="53">
        <f t="shared" si="16"/>
        <v>-2660104</v>
      </c>
      <c r="CA24" s="53">
        <f t="shared" si="16"/>
        <v>-908936</v>
      </c>
      <c r="CB24" s="53">
        <f t="shared" si="16"/>
        <v>-6952392</v>
      </c>
      <c r="CC24" s="53">
        <f t="shared" si="16"/>
        <v>-71.767975000000021</v>
      </c>
      <c r="CD24" s="53">
        <f t="shared" si="16"/>
        <v>-75.81079687499998</v>
      </c>
      <c r="CE24" s="53">
        <f t="shared" si="16"/>
        <v>-36.874640624999998</v>
      </c>
      <c r="CF24" s="53">
        <f t="shared" si="16"/>
        <v>-43.507331250000007</v>
      </c>
      <c r="CG24" s="53">
        <f t="shared" si="16"/>
        <v>-42.057256250000002</v>
      </c>
      <c r="CJ24" t="s">
        <v>239</v>
      </c>
    </row>
    <row r="25" spans="1:88" x14ac:dyDescent="0.2">
      <c r="A25" s="52" t="s">
        <v>240</v>
      </c>
      <c r="B25" s="52" t="s">
        <v>73</v>
      </c>
      <c r="C25" s="9" t="s">
        <v>232</v>
      </c>
      <c r="D25" s="52">
        <v>250294582</v>
      </c>
      <c r="E25" s="9">
        <v>10</v>
      </c>
      <c r="F25" s="9">
        <v>32</v>
      </c>
      <c r="G25" s="9">
        <v>30</v>
      </c>
      <c r="I25" s="10">
        <f t="shared" si="0"/>
        <v>2.05959</v>
      </c>
      <c r="J25" s="11">
        <f t="shared" si="1"/>
        <v>8.7772415305417996E-3</v>
      </c>
      <c r="K25" s="11">
        <f t="shared" si="2"/>
        <v>5.7151217120632678E-3</v>
      </c>
      <c r="L25" s="11">
        <f t="shared" si="3"/>
        <v>3.5055013695821828E-3</v>
      </c>
      <c r="M25" s="11">
        <f t="shared" si="4"/>
        <v>3.0621198184785318E-3</v>
      </c>
      <c r="N25" s="52">
        <f t="shared" si="5"/>
        <v>1430464</v>
      </c>
      <c r="O25" s="11">
        <v>16</v>
      </c>
      <c r="P25" s="12">
        <v>23423729</v>
      </c>
      <c r="Q25" s="12">
        <v>731991.53125</v>
      </c>
      <c r="R25" s="12">
        <v>14601.28125</v>
      </c>
      <c r="S25" s="13">
        <v>2196896</v>
      </c>
      <c r="T25" s="13">
        <v>877408</v>
      </c>
      <c r="U25" s="13">
        <v>553056</v>
      </c>
      <c r="V25" s="13">
        <v>766432</v>
      </c>
      <c r="W25" s="14">
        <v>66.249556249999998</v>
      </c>
      <c r="X25" s="14">
        <v>68.002121874999986</v>
      </c>
      <c r="Y25" s="14">
        <v>25.895034374999991</v>
      </c>
      <c r="Z25" s="14">
        <v>32.454721874999997</v>
      </c>
      <c r="AA25" s="14">
        <v>31.646274999999999</v>
      </c>
      <c r="AB25" s="15">
        <v>1266.48</v>
      </c>
      <c r="AC25" s="15">
        <v>4491.72</v>
      </c>
      <c r="AD25" s="15">
        <v>12.516</v>
      </c>
      <c r="AE25" s="15">
        <v>10.683999999999999</v>
      </c>
      <c r="AG25" s="10" t="str">
        <f t="shared" si="6"/>
        <v>·</v>
      </c>
      <c r="AH25" s="11" t="str">
        <f t="shared" si="7"/>
        <v>·</v>
      </c>
      <c r="AI25" s="11" t="str">
        <f t="shared" si="8"/>
        <v>·</v>
      </c>
      <c r="AJ25" s="11" t="str">
        <f t="shared" si="9"/>
        <v>·</v>
      </c>
      <c r="AK25" s="11" t="str">
        <f t="shared" si="10"/>
        <v>·</v>
      </c>
      <c r="AL25" s="52" t="str">
        <f t="shared" si="11"/>
        <v/>
      </c>
      <c r="AM25" s="11">
        <v>16</v>
      </c>
      <c r="AN25" s="12"/>
      <c r="AO25" s="12"/>
      <c r="AP25" s="12"/>
      <c r="AQ25" s="13"/>
      <c r="AR25" s="13"/>
      <c r="AS25" s="13"/>
      <c r="AT25" s="13"/>
      <c r="AU25" s="14"/>
      <c r="AV25" s="14"/>
      <c r="AW25" s="14"/>
      <c r="AX25" s="14"/>
      <c r="AY25" s="14"/>
      <c r="AZ25" s="15"/>
      <c r="BA25" s="15"/>
      <c r="BB25" s="15"/>
      <c r="BC25" s="15"/>
      <c r="BE25" s="50" t="e">
        <f t="shared" si="12"/>
        <v>#VALUE!</v>
      </c>
      <c r="BF25" s="16" t="e">
        <f t="shared" si="13"/>
        <v>#DIV/0!</v>
      </c>
      <c r="BG25" s="16" t="e">
        <f t="shared" si="14"/>
        <v>#VALUE!</v>
      </c>
      <c r="BH25" s="16" t="e">
        <f t="array" ref="BH25">AVERAGE(AL25:AL29/AQ25:AQ29) - AVERAGE(N25:N29/S25:S29)</f>
        <v>#VALUE!</v>
      </c>
      <c r="BJ25" s="50" t="str">
        <f>IF( OR(ISBLANK(N25:N29),ISBLANK(AL25:AL29), ISBLANK(W25:W29),ISBLANK(AU25:AU29)), "·", bdRateExtend( N25:N29,W25:W29, AL25:AL29,AU25:AU29))</f>
        <v>·</v>
      </c>
      <c r="BK25" s="50" t="str">
        <f>IF( OR(ISBLANK(N25:N29),ISBLANK(AL25:AL29), ISBLANK(X25:X29),ISBLANK(AV25:AV29)), "·", bdRateExtend( N25:N29,X25:X29, AL25:AL29,AV25:AV29))</f>
        <v>·</v>
      </c>
      <c r="BL25" s="50" t="str">
        <f>IF( OR(ISBLANK(V25:V29),ISBLANK(AT25:AT29), ISBLANK(Y25:Y29),ISBLANK(AW25:AW29)), "·", bdRateExtend( V25:V29,Y25:Y29, AT25:AT29,AW25:AW29))</f>
        <v>·</v>
      </c>
      <c r="BM25" s="50" t="str">
        <f>IF( OR(ISBLANK(V25:V29),ISBLANK(AT25:AT29), ISBLANK(Z25:Z29),ISBLANK(AX25:AX29)), "·", bdRateExtend( V25:V29,Z25:Z29, AT25:AT29,AX25:AX29))</f>
        <v>·</v>
      </c>
      <c r="BN25" s="50" t="str">
        <f>IF( OR(ISBLANK(V25:V29),ISBLANK(AT25:AT29), ISBLANK(AA25:AA29),ISBLANK(AY25:AY29)), "·", bdRateExtend( V25:V29,AA25:AA29, AT25:AT29,AY25:AY29))</f>
        <v>·</v>
      </c>
      <c r="BP25" s="50" t="str">
        <f>IF( OR(ISBLANK(S25:S29),ISBLANK(AQ25:AQ29), ISBLANK(W25:W29),ISBLANK(AU25:AU29)), "·", bdRateExtend( S25:S29,W25:W29, AQ25:AQ29,AU25:AU29))</f>
        <v>·</v>
      </c>
      <c r="BQ25" s="50" t="str">
        <f>IF( OR(ISBLANK(S25:S29),ISBLANK(AQ25:AQ29), ISBLANK(X25:X29),ISBLANK(AV25:AV29)), "·", bdRateExtend( S25:S29,X25:X29, AQ25:AQ29,AV25:AV29))</f>
        <v>·</v>
      </c>
      <c r="BR25" s="50" t="str">
        <f>IF( OR(ISBLANK(S25:S29),ISBLANK(AQ25:AQ29), ISBLANK(Y25:Y29),ISBLANK(AW25:AW29)), "·", bdRateExtend( S25:S29,Y25:Y29, AQ25:AQ29,AW25:AW29))</f>
        <v>·</v>
      </c>
      <c r="BS25" s="50" t="str">
        <f>IF( OR(ISBLANK(S25:S29),ISBLANK(AQ25:AQ29), ISBLANK(Z25:Z29),ISBLANK(AX25:AX29)), "·", bdRateExtend( S25:S29,Z25:Z29, AQ25:AQ29,AX25:AX29))</f>
        <v>·</v>
      </c>
      <c r="BT25" s="50" t="str">
        <f>IF( OR(ISBLANK(S25:S29),ISBLANK(AQ25:AQ29), ISBLANK(AA25:AA29),ISBLANK(AY25:AY29)), "·", bdRateExtend( S25:S29,AA25:AA29, AQ25:AQ29,AY25:AY29))</f>
        <v>·</v>
      </c>
      <c r="BV25" s="53">
        <f t="shared" si="16"/>
        <v>-23423729</v>
      </c>
      <c r="BW25" s="53">
        <f t="shared" si="16"/>
        <v>-731991.53125</v>
      </c>
      <c r="BX25" s="53">
        <f t="shared" si="16"/>
        <v>-14601.28125</v>
      </c>
      <c r="BY25" s="53">
        <f t="shared" si="16"/>
        <v>-2196896</v>
      </c>
      <c r="BZ25" s="53">
        <f t="shared" si="16"/>
        <v>-877408</v>
      </c>
      <c r="CA25" s="53">
        <f t="shared" si="16"/>
        <v>-553056</v>
      </c>
      <c r="CB25" s="53">
        <f t="shared" si="16"/>
        <v>-766432</v>
      </c>
      <c r="CC25" s="53">
        <f t="shared" si="16"/>
        <v>-66.249556249999998</v>
      </c>
      <c r="CD25" s="53">
        <f t="shared" si="16"/>
        <v>-68.002121874999986</v>
      </c>
      <c r="CE25" s="53">
        <f t="shared" si="16"/>
        <v>-25.895034374999991</v>
      </c>
      <c r="CF25" s="53">
        <f t="shared" si="16"/>
        <v>-32.454721874999997</v>
      </c>
      <c r="CG25" s="53">
        <f t="shared" si="16"/>
        <v>-31.646274999999999</v>
      </c>
      <c r="CJ25" t="s">
        <v>579</v>
      </c>
    </row>
    <row r="26" spans="1:88" outlineLevel="1" x14ac:dyDescent="0.2">
      <c r="A26" s="17"/>
      <c r="B26" s="17" t="s">
        <v>73</v>
      </c>
      <c r="C26" s="18" t="s">
        <v>234</v>
      </c>
      <c r="D26" s="17">
        <v>250294582</v>
      </c>
      <c r="E26" s="18">
        <v>10</v>
      </c>
      <c r="F26" s="18">
        <v>32</v>
      </c>
      <c r="G26" s="18">
        <v>30</v>
      </c>
      <c r="I26" s="19">
        <f t="shared" si="0"/>
        <v>3.1800600000000001</v>
      </c>
      <c r="J26" s="20">
        <f t="shared" si="1"/>
        <v>1.3552286960810043E-2</v>
      </c>
      <c r="K26" s="20">
        <f t="shared" si="2"/>
        <v>7.1894484715614021E-3</v>
      </c>
      <c r="L26" s="20">
        <f t="shared" si="3"/>
        <v>4.9798281290803171E-3</v>
      </c>
      <c r="M26" s="20">
        <f t="shared" si="4"/>
        <v>6.3628384892486407E-3</v>
      </c>
      <c r="N26" s="17">
        <f t="shared" si="5"/>
        <v>1799480</v>
      </c>
      <c r="O26" s="20">
        <v>16</v>
      </c>
      <c r="P26" s="21">
        <v>24642332</v>
      </c>
      <c r="Q26" s="21">
        <v>770072.875</v>
      </c>
      <c r="R26" s="21">
        <v>17838.375</v>
      </c>
      <c r="S26" s="22">
        <v>3392064</v>
      </c>
      <c r="T26" s="22">
        <v>1246424</v>
      </c>
      <c r="U26" s="22">
        <v>553056</v>
      </c>
      <c r="V26" s="22">
        <v>1592584</v>
      </c>
      <c r="W26" s="23">
        <v>68.005359375000012</v>
      </c>
      <c r="X26" s="23">
        <v>70.016609375000016</v>
      </c>
      <c r="Y26" s="23">
        <v>27.912871875</v>
      </c>
      <c r="Z26" s="23">
        <v>33.647859375000003</v>
      </c>
      <c r="AA26" s="23">
        <v>33.01885</v>
      </c>
      <c r="AB26" s="24">
        <v>1559.7</v>
      </c>
      <c r="AC26" s="24">
        <v>6437.68</v>
      </c>
      <c r="AD26" s="24">
        <v>12.676</v>
      </c>
      <c r="AE26" s="24">
        <v>11.528</v>
      </c>
      <c r="AG26" s="19" t="str">
        <f t="shared" si="6"/>
        <v>·</v>
      </c>
      <c r="AH26" s="20" t="str">
        <f t="shared" si="7"/>
        <v>·</v>
      </c>
      <c r="AI26" s="20" t="str">
        <f t="shared" si="8"/>
        <v>·</v>
      </c>
      <c r="AJ26" s="20" t="str">
        <f t="shared" si="9"/>
        <v>·</v>
      </c>
      <c r="AK26" s="20" t="str">
        <f t="shared" si="10"/>
        <v>·</v>
      </c>
      <c r="AL26" s="17" t="str">
        <f t="shared" si="11"/>
        <v/>
      </c>
      <c r="AM26" s="20">
        <v>16</v>
      </c>
      <c r="AN26" s="21"/>
      <c r="AO26" s="21"/>
      <c r="AP26" s="21"/>
      <c r="AQ26" s="22"/>
      <c r="AR26" s="22"/>
      <c r="AS26" s="22"/>
      <c r="AT26" s="22"/>
      <c r="AU26" s="23"/>
      <c r="AV26" s="23"/>
      <c r="AW26" s="23"/>
      <c r="AX26" s="23"/>
      <c r="AY26" s="23"/>
      <c r="AZ26" s="24"/>
      <c r="BA26" s="24"/>
      <c r="BB26" s="24"/>
      <c r="BC26" s="24"/>
      <c r="BE26" s="49" t="e">
        <f t="shared" si="12"/>
        <v>#VALUE!</v>
      </c>
      <c r="BF26" s="25" t="e">
        <f t="shared" si="13"/>
        <v>#DIV/0!</v>
      </c>
      <c r="BG26" s="25" t="e">
        <f t="shared" si="14"/>
        <v>#VALUE!</v>
      </c>
      <c r="BH26" s="25"/>
      <c r="BJ26" s="49"/>
      <c r="BK26" s="49"/>
      <c r="BL26" s="49"/>
      <c r="BM26" s="49"/>
      <c r="BN26" s="49"/>
      <c r="BP26" s="49"/>
      <c r="BQ26" s="49"/>
      <c r="BR26" s="49"/>
      <c r="BS26" s="49"/>
      <c r="BT26" s="49"/>
      <c r="BV26" s="53">
        <f t="shared" si="16"/>
        <v>-24642332</v>
      </c>
      <c r="BW26" s="53">
        <f t="shared" si="16"/>
        <v>-770072.875</v>
      </c>
      <c r="BX26" s="53">
        <f t="shared" si="16"/>
        <v>-17838.375</v>
      </c>
      <c r="BY26" s="53">
        <f t="shared" si="16"/>
        <v>-3392064</v>
      </c>
      <c r="BZ26" s="53">
        <f t="shared" si="16"/>
        <v>-1246424</v>
      </c>
      <c r="CA26" s="53">
        <f t="shared" si="16"/>
        <v>-553056</v>
      </c>
      <c r="CB26" s="53">
        <f t="shared" si="16"/>
        <v>-1592584</v>
      </c>
      <c r="CC26" s="53">
        <f t="shared" si="16"/>
        <v>-68.005359375000012</v>
      </c>
      <c r="CD26" s="53">
        <f t="shared" si="16"/>
        <v>-70.016609375000016</v>
      </c>
      <c r="CE26" s="53">
        <f t="shared" si="16"/>
        <v>-27.912871875</v>
      </c>
      <c r="CF26" s="53">
        <f t="shared" si="16"/>
        <v>-33.647859375000003</v>
      </c>
      <c r="CG26" s="53">
        <f t="shared" si="16"/>
        <v>-33.01885</v>
      </c>
      <c r="CJ26" t="s">
        <v>579</v>
      </c>
    </row>
    <row r="27" spans="1:88" outlineLevel="1" x14ac:dyDescent="0.2">
      <c r="A27" s="52"/>
      <c r="B27" s="52" t="s">
        <v>73</v>
      </c>
      <c r="C27" s="9" t="s">
        <v>235</v>
      </c>
      <c r="D27" s="52">
        <v>250294582</v>
      </c>
      <c r="E27" s="9">
        <v>10</v>
      </c>
      <c r="F27" s="9">
        <v>32</v>
      </c>
      <c r="G27" s="9">
        <v>30</v>
      </c>
      <c r="I27" s="10">
        <f t="shared" si="0"/>
        <v>5.3721525000000003</v>
      </c>
      <c r="J27" s="11">
        <f t="shared" si="1"/>
        <v>2.2894207114718929E-2</v>
      </c>
      <c r="K27" s="11">
        <f t="shared" si="2"/>
        <v>9.3524357630721706E-3</v>
      </c>
      <c r="L27" s="11">
        <f t="shared" si="3"/>
        <v>7.1428154205910857E-3</v>
      </c>
      <c r="M27" s="11">
        <f t="shared" si="4"/>
        <v>1.3541771351646756E-2</v>
      </c>
      <c r="N27" s="52">
        <f t="shared" si="5"/>
        <v>2340864</v>
      </c>
      <c r="O27" s="11">
        <v>16</v>
      </c>
      <c r="P27" s="12">
        <v>24875407</v>
      </c>
      <c r="Q27" s="12">
        <v>777356.46875</v>
      </c>
      <c r="R27" s="12">
        <v>18687.4375</v>
      </c>
      <c r="S27" s="13">
        <v>5730296</v>
      </c>
      <c r="T27" s="13">
        <v>1787808</v>
      </c>
      <c r="U27" s="13">
        <v>553056</v>
      </c>
      <c r="V27" s="13">
        <v>3389432</v>
      </c>
      <c r="W27" s="14">
        <v>69.301756250000011</v>
      </c>
      <c r="X27" s="14">
        <v>71.690518750000024</v>
      </c>
      <c r="Y27" s="14">
        <v>30.208674999999999</v>
      </c>
      <c r="Z27" s="14">
        <v>34.93565000000001</v>
      </c>
      <c r="AA27" s="14">
        <v>34.363496875000003</v>
      </c>
      <c r="AB27" s="15">
        <v>1363.24</v>
      </c>
      <c r="AC27" s="15">
        <v>6748.66</v>
      </c>
      <c r="AD27" s="15">
        <v>12.635999999999999</v>
      </c>
      <c r="AE27" s="15">
        <v>9.06</v>
      </c>
      <c r="AG27" s="10" t="str">
        <f t="shared" si="6"/>
        <v>·</v>
      </c>
      <c r="AH27" s="11" t="str">
        <f t="shared" si="7"/>
        <v>·</v>
      </c>
      <c r="AI27" s="11" t="str">
        <f t="shared" si="8"/>
        <v>·</v>
      </c>
      <c r="AJ27" s="11" t="str">
        <f t="shared" si="9"/>
        <v>·</v>
      </c>
      <c r="AK27" s="11" t="str">
        <f t="shared" si="10"/>
        <v>·</v>
      </c>
      <c r="AL27" s="52" t="str">
        <f t="shared" si="11"/>
        <v/>
      </c>
      <c r="AM27" s="11">
        <v>16</v>
      </c>
      <c r="AN27" s="12"/>
      <c r="AO27" s="12"/>
      <c r="AP27" s="12"/>
      <c r="AQ27" s="13"/>
      <c r="AR27" s="13"/>
      <c r="AS27" s="13"/>
      <c r="AT27" s="13"/>
      <c r="AU27" s="14"/>
      <c r="AV27" s="14"/>
      <c r="AW27" s="14"/>
      <c r="AX27" s="14"/>
      <c r="AY27" s="14"/>
      <c r="AZ27" s="15"/>
      <c r="BA27" s="15"/>
      <c r="BB27" s="15"/>
      <c r="BC27" s="15"/>
      <c r="BE27" s="50" t="e">
        <f t="shared" si="12"/>
        <v>#VALUE!</v>
      </c>
      <c r="BF27" s="16" t="e">
        <f t="shared" si="13"/>
        <v>#DIV/0!</v>
      </c>
      <c r="BG27" s="16" t="e">
        <f t="shared" si="14"/>
        <v>#VALUE!</v>
      </c>
      <c r="BH27" s="16"/>
      <c r="BJ27" s="50"/>
      <c r="BK27" s="50"/>
      <c r="BL27" s="50"/>
      <c r="BM27" s="50"/>
      <c r="BN27" s="50"/>
      <c r="BP27" s="50"/>
      <c r="BQ27" s="50"/>
      <c r="BR27" s="50"/>
      <c r="BS27" s="50"/>
      <c r="BT27" s="50"/>
      <c r="BV27" s="53">
        <f t="shared" si="16"/>
        <v>-24875407</v>
      </c>
      <c r="BW27" s="53">
        <f t="shared" si="16"/>
        <v>-777356.46875</v>
      </c>
      <c r="BX27" s="53">
        <f t="shared" si="16"/>
        <v>-18687.4375</v>
      </c>
      <c r="BY27" s="53">
        <f t="shared" si="16"/>
        <v>-5730296</v>
      </c>
      <c r="BZ27" s="53">
        <f t="shared" si="16"/>
        <v>-1787808</v>
      </c>
      <c r="CA27" s="53">
        <f t="shared" si="16"/>
        <v>-553056</v>
      </c>
      <c r="CB27" s="53">
        <f t="shared" si="16"/>
        <v>-3389432</v>
      </c>
      <c r="CC27" s="53">
        <f t="shared" si="16"/>
        <v>-69.301756250000011</v>
      </c>
      <c r="CD27" s="53">
        <f t="shared" si="16"/>
        <v>-71.690518750000024</v>
      </c>
      <c r="CE27" s="53">
        <f t="shared" si="16"/>
        <v>-30.208674999999999</v>
      </c>
      <c r="CF27" s="53">
        <f t="shared" si="16"/>
        <v>-34.93565000000001</v>
      </c>
      <c r="CG27" s="53">
        <f t="shared" si="16"/>
        <v>-34.363496875000003</v>
      </c>
      <c r="CJ27" t="s">
        <v>579</v>
      </c>
    </row>
    <row r="28" spans="1:88" outlineLevel="1" x14ac:dyDescent="0.2">
      <c r="A28" s="17"/>
      <c r="B28" s="17" t="s">
        <v>73</v>
      </c>
      <c r="C28" s="18" t="s">
        <v>236</v>
      </c>
      <c r="D28" s="17">
        <v>250294582</v>
      </c>
      <c r="E28" s="18">
        <v>10</v>
      </c>
      <c r="F28" s="18">
        <v>32</v>
      </c>
      <c r="G28" s="18">
        <v>30</v>
      </c>
      <c r="I28" s="19">
        <f t="shared" si="0"/>
        <v>10.3915275</v>
      </c>
      <c r="J28" s="20">
        <f t="shared" si="1"/>
        <v>4.4285001742466801E-2</v>
      </c>
      <c r="K28" s="20">
        <f t="shared" si="2"/>
        <v>1.318660585309833E-2</v>
      </c>
      <c r="L28" s="20">
        <f t="shared" si="3"/>
        <v>1.0976985510617245E-2</v>
      </c>
      <c r="M28" s="20">
        <f t="shared" si="4"/>
        <v>3.1098395889368472E-2</v>
      </c>
      <c r="N28" s="17">
        <f t="shared" si="5"/>
        <v>3300536</v>
      </c>
      <c r="O28" s="20">
        <v>16</v>
      </c>
      <c r="P28" s="21">
        <v>25558634</v>
      </c>
      <c r="Q28" s="21">
        <v>798707.3125</v>
      </c>
      <c r="R28" s="21">
        <v>21108.9375</v>
      </c>
      <c r="S28" s="22">
        <v>11084296</v>
      </c>
      <c r="T28" s="22">
        <v>2747480</v>
      </c>
      <c r="U28" s="22">
        <v>553056</v>
      </c>
      <c r="V28" s="22">
        <v>7783760</v>
      </c>
      <c r="W28" s="23">
        <v>70.462115625000024</v>
      </c>
      <c r="X28" s="23">
        <v>72.993593750000016</v>
      </c>
      <c r="Y28" s="23">
        <v>32.718546875000001</v>
      </c>
      <c r="Z28" s="23">
        <v>36.415940624999998</v>
      </c>
      <c r="AA28" s="23">
        <v>35.862046874999997</v>
      </c>
      <c r="AB28" s="24">
        <v>1412.37</v>
      </c>
      <c r="AC28" s="24">
        <v>6320.43</v>
      </c>
      <c r="AD28" s="24">
        <v>12.656000000000001</v>
      </c>
      <c r="AE28" s="24">
        <v>10.135999999999999</v>
      </c>
      <c r="AG28" s="19" t="str">
        <f t="shared" si="6"/>
        <v>·</v>
      </c>
      <c r="AH28" s="20" t="str">
        <f t="shared" si="7"/>
        <v>·</v>
      </c>
      <c r="AI28" s="20" t="str">
        <f t="shared" si="8"/>
        <v>·</v>
      </c>
      <c r="AJ28" s="20" t="str">
        <f t="shared" si="9"/>
        <v>·</v>
      </c>
      <c r="AK28" s="20" t="str">
        <f t="shared" si="10"/>
        <v>·</v>
      </c>
      <c r="AL28" s="17" t="str">
        <f t="shared" si="11"/>
        <v/>
      </c>
      <c r="AM28" s="20">
        <v>16</v>
      </c>
      <c r="AN28" s="21"/>
      <c r="AO28" s="21"/>
      <c r="AP28" s="21"/>
      <c r="AQ28" s="22"/>
      <c r="AR28" s="22"/>
      <c r="AS28" s="22"/>
      <c r="AT28" s="22"/>
      <c r="AU28" s="23"/>
      <c r="AV28" s="23"/>
      <c r="AW28" s="23"/>
      <c r="AX28" s="23"/>
      <c r="AY28" s="23"/>
      <c r="AZ28" s="24"/>
      <c r="BA28" s="24"/>
      <c r="BB28" s="24"/>
      <c r="BC28" s="24"/>
      <c r="BE28" s="49" t="e">
        <f t="shared" si="12"/>
        <v>#VALUE!</v>
      </c>
      <c r="BF28" s="25" t="e">
        <f t="shared" si="13"/>
        <v>#DIV/0!</v>
      </c>
      <c r="BG28" s="25" t="e">
        <f t="shared" si="14"/>
        <v>#VALUE!</v>
      </c>
      <c r="BH28" s="25"/>
      <c r="BJ28" s="49"/>
      <c r="BK28" s="49"/>
      <c r="BL28" s="49"/>
      <c r="BM28" s="49"/>
      <c r="BN28" s="49"/>
      <c r="BP28" s="49"/>
      <c r="BQ28" s="49"/>
      <c r="BR28" s="49"/>
      <c r="BS28" s="49"/>
      <c r="BT28" s="49"/>
      <c r="BV28" s="53">
        <f t="shared" si="16"/>
        <v>-25558634</v>
      </c>
      <c r="BW28" s="53">
        <f t="shared" si="16"/>
        <v>-798707.3125</v>
      </c>
      <c r="BX28" s="53">
        <f t="shared" si="16"/>
        <v>-21108.9375</v>
      </c>
      <c r="BY28" s="53">
        <f t="shared" si="16"/>
        <v>-11084296</v>
      </c>
      <c r="BZ28" s="53">
        <f t="shared" si="16"/>
        <v>-2747480</v>
      </c>
      <c r="CA28" s="53">
        <f t="shared" si="16"/>
        <v>-553056</v>
      </c>
      <c r="CB28" s="53">
        <f t="shared" si="16"/>
        <v>-7783760</v>
      </c>
      <c r="CC28" s="53">
        <f t="shared" si="16"/>
        <v>-70.462115625000024</v>
      </c>
      <c r="CD28" s="53">
        <f t="shared" si="16"/>
        <v>-72.993593750000016</v>
      </c>
      <c r="CE28" s="53">
        <f t="shared" si="16"/>
        <v>-32.718546875000001</v>
      </c>
      <c r="CF28" s="53">
        <f t="shared" si="16"/>
        <v>-36.415940624999998</v>
      </c>
      <c r="CG28" s="53">
        <f t="shared" si="16"/>
        <v>-35.862046874999997</v>
      </c>
      <c r="CJ28" t="s">
        <v>579</v>
      </c>
    </row>
    <row r="29" spans="1:88" ht="16" outlineLevel="1" thickBot="1" x14ac:dyDescent="0.25">
      <c r="A29" s="26"/>
      <c r="B29" s="26" t="s">
        <v>73</v>
      </c>
      <c r="C29" s="27" t="s">
        <v>237</v>
      </c>
      <c r="D29" s="26">
        <v>250294582</v>
      </c>
      <c r="E29" s="27">
        <v>10</v>
      </c>
      <c r="F29" s="27">
        <v>32</v>
      </c>
      <c r="G29" s="27">
        <v>30</v>
      </c>
      <c r="I29" s="28">
        <f t="shared" si="0"/>
        <v>23.949997499999998</v>
      </c>
      <c r="J29" s="29">
        <f t="shared" si="1"/>
        <v>0.10206638831678745</v>
      </c>
      <c r="K29" s="29">
        <f t="shared" si="2"/>
        <v>2.1642817661950031E-2</v>
      </c>
      <c r="L29" s="29">
        <f t="shared" si="3"/>
        <v>1.7231247938079619E-2</v>
      </c>
      <c r="M29" s="29">
        <f t="shared" si="4"/>
        <v>8.042357065483742E-2</v>
      </c>
      <c r="N29" s="26">
        <f t="shared" si="5"/>
        <v>5417080</v>
      </c>
      <c r="O29" s="29">
        <v>16</v>
      </c>
      <c r="P29" s="30">
        <v>24591050</v>
      </c>
      <c r="Q29" s="30">
        <v>768470.3125</v>
      </c>
      <c r="R29" s="30">
        <v>9839.84375</v>
      </c>
      <c r="S29" s="31">
        <v>25546664</v>
      </c>
      <c r="T29" s="31">
        <v>4312888</v>
      </c>
      <c r="U29" s="31">
        <v>1104192</v>
      </c>
      <c r="V29" s="31">
        <v>20129584</v>
      </c>
      <c r="W29" s="32">
        <v>71.138031249999997</v>
      </c>
      <c r="X29" s="32">
        <v>74.865934374999995</v>
      </c>
      <c r="Y29" s="32">
        <v>35.7631625</v>
      </c>
      <c r="Z29" s="32">
        <v>38.359853125000001</v>
      </c>
      <c r="AA29" s="32">
        <v>37.754875000000013</v>
      </c>
      <c r="AB29" s="33">
        <v>1406.36</v>
      </c>
      <c r="AC29" s="33">
        <v>7063.88</v>
      </c>
      <c r="AD29" s="33">
        <v>13.364000000000001</v>
      </c>
      <c r="AE29" s="33">
        <v>14.952</v>
      </c>
      <c r="AG29" s="28" t="str">
        <f t="shared" si="6"/>
        <v>·</v>
      </c>
      <c r="AH29" s="29" t="str">
        <f t="shared" si="7"/>
        <v>·</v>
      </c>
      <c r="AI29" s="29" t="str">
        <f t="shared" si="8"/>
        <v>·</v>
      </c>
      <c r="AJ29" s="29" t="str">
        <f t="shared" si="9"/>
        <v>·</v>
      </c>
      <c r="AK29" s="29" t="str">
        <f t="shared" si="10"/>
        <v>·</v>
      </c>
      <c r="AL29" s="26" t="str">
        <f t="shared" si="11"/>
        <v/>
      </c>
      <c r="AM29" s="29">
        <v>16</v>
      </c>
      <c r="AN29" s="30"/>
      <c r="AO29" s="30"/>
      <c r="AP29" s="30"/>
      <c r="AQ29" s="31"/>
      <c r="AR29" s="31"/>
      <c r="AS29" s="31"/>
      <c r="AT29" s="31"/>
      <c r="AU29" s="32"/>
      <c r="AV29" s="32"/>
      <c r="AW29" s="32"/>
      <c r="AX29" s="32"/>
      <c r="AY29" s="32"/>
      <c r="AZ29" s="33"/>
      <c r="BA29" s="33"/>
      <c r="BB29" s="33"/>
      <c r="BC29" s="33"/>
      <c r="BE29" s="34" t="e">
        <f t="shared" si="12"/>
        <v>#VALUE!</v>
      </c>
      <c r="BF29" s="35" t="e">
        <f t="shared" si="13"/>
        <v>#DIV/0!</v>
      </c>
      <c r="BG29" s="35" t="e">
        <f t="shared" si="14"/>
        <v>#VALUE!</v>
      </c>
      <c r="BH29" s="35"/>
      <c r="BJ29" s="34"/>
      <c r="BK29" s="34"/>
      <c r="BL29" s="34"/>
      <c r="BM29" s="34"/>
      <c r="BN29" s="34"/>
      <c r="BP29" s="34"/>
      <c r="BQ29" s="34"/>
      <c r="BR29" s="34"/>
      <c r="BS29" s="34"/>
      <c r="BT29" s="34"/>
      <c r="BV29" s="53">
        <f t="shared" si="16"/>
        <v>-24591050</v>
      </c>
      <c r="BW29" s="53">
        <f t="shared" si="16"/>
        <v>-768470.3125</v>
      </c>
      <c r="BX29" s="53">
        <f t="shared" si="16"/>
        <v>-9839.84375</v>
      </c>
      <c r="BY29" s="53">
        <f t="shared" si="16"/>
        <v>-25546664</v>
      </c>
      <c r="BZ29" s="53">
        <f t="shared" si="16"/>
        <v>-4312888</v>
      </c>
      <c r="CA29" s="53">
        <f t="shared" si="16"/>
        <v>-1104192</v>
      </c>
      <c r="CB29" s="53">
        <f t="shared" si="16"/>
        <v>-20129584</v>
      </c>
      <c r="CC29" s="53">
        <f t="shared" si="16"/>
        <v>-71.138031249999997</v>
      </c>
      <c r="CD29" s="53">
        <f t="shared" si="16"/>
        <v>-74.865934374999995</v>
      </c>
      <c r="CE29" s="53">
        <f t="shared" si="16"/>
        <v>-35.7631625</v>
      </c>
      <c r="CF29" s="53">
        <f t="shared" si="16"/>
        <v>-38.359853125000001</v>
      </c>
      <c r="CG29" s="53">
        <f t="shared" si="16"/>
        <v>-37.754875000000013</v>
      </c>
      <c r="CJ29" t="s">
        <v>579</v>
      </c>
    </row>
    <row r="30" spans="1:88" x14ac:dyDescent="0.2">
      <c r="A30" s="17" t="s">
        <v>242</v>
      </c>
      <c r="B30" s="17" t="s">
        <v>77</v>
      </c>
      <c r="C30" s="18" t="s">
        <v>232</v>
      </c>
      <c r="D30" s="17">
        <v>375422539</v>
      </c>
      <c r="E30" s="18">
        <v>11</v>
      </c>
      <c r="F30" s="18">
        <v>32</v>
      </c>
      <c r="G30" s="18">
        <v>30</v>
      </c>
      <c r="I30" s="19">
        <f t="shared" si="0"/>
        <v>3.71814</v>
      </c>
      <c r="J30" s="20">
        <f t="shared" si="1"/>
        <v>1.056413930437991E-2</v>
      </c>
      <c r="K30" s="20">
        <f t="shared" si="2"/>
        <v>8.3820433594158812E-3</v>
      </c>
      <c r="L30" s="20">
        <f t="shared" si="3"/>
        <v>5.2756768554058494E-3</v>
      </c>
      <c r="M30" s="20">
        <f t="shared" si="4"/>
        <v>2.1820959449640291E-3</v>
      </c>
      <c r="N30" s="17">
        <f t="shared" si="5"/>
        <v>3146808</v>
      </c>
      <c r="O30" s="20">
        <v>16</v>
      </c>
      <c r="P30" s="21">
        <v>86243398</v>
      </c>
      <c r="Q30" s="21">
        <v>2695106.1875</v>
      </c>
      <c r="R30" s="21">
        <v>33846.0625</v>
      </c>
      <c r="S30" s="22">
        <v>3966016</v>
      </c>
      <c r="T30" s="22">
        <v>1980608</v>
      </c>
      <c r="U30" s="22">
        <v>1166200</v>
      </c>
      <c r="V30" s="22">
        <v>819208</v>
      </c>
      <c r="W30" s="23">
        <v>73.637074999999996</v>
      </c>
      <c r="X30" s="23">
        <v>75.742599999999982</v>
      </c>
      <c r="Y30" s="23">
        <v>33.214593749999999</v>
      </c>
      <c r="Z30" s="23">
        <v>41.966721874999998</v>
      </c>
      <c r="AA30" s="23">
        <v>43.243725000000012</v>
      </c>
      <c r="AB30" s="24">
        <v>3276.62</v>
      </c>
      <c r="AC30" s="24">
        <v>21983.3</v>
      </c>
      <c r="AD30" s="24">
        <v>51.744</v>
      </c>
      <c r="AE30" s="24">
        <v>37.159999999999997</v>
      </c>
      <c r="AG30" s="19" t="str">
        <f t="shared" si="6"/>
        <v>·</v>
      </c>
      <c r="AH30" s="20" t="str">
        <f t="shared" si="7"/>
        <v>·</v>
      </c>
      <c r="AI30" s="20" t="str">
        <f t="shared" si="8"/>
        <v>·</v>
      </c>
      <c r="AJ30" s="20" t="str">
        <f t="shared" si="9"/>
        <v>·</v>
      </c>
      <c r="AK30" s="20" t="str">
        <f t="shared" si="10"/>
        <v>·</v>
      </c>
      <c r="AL30" s="17" t="str">
        <f t="shared" si="11"/>
        <v/>
      </c>
      <c r="AM30" s="20">
        <v>16</v>
      </c>
      <c r="AN30" s="21"/>
      <c r="AO30" s="21"/>
      <c r="AP30" s="21"/>
      <c r="AQ30" s="22"/>
      <c r="AR30" s="22"/>
      <c r="AS30" s="22"/>
      <c r="AT30" s="22"/>
      <c r="AU30" s="23"/>
      <c r="AV30" s="23"/>
      <c r="AW30" s="23"/>
      <c r="AX30" s="23"/>
      <c r="AY30" s="23"/>
      <c r="AZ30" s="24"/>
      <c r="BA30" s="24"/>
      <c r="BB30" s="24"/>
      <c r="BC30" s="24"/>
      <c r="BE30" s="49" t="e">
        <f t="shared" si="12"/>
        <v>#VALUE!</v>
      </c>
      <c r="BF30" s="25" t="e">
        <f t="shared" si="13"/>
        <v>#DIV/0!</v>
      </c>
      <c r="BG30" s="25" t="e">
        <f t="shared" si="14"/>
        <v>#VALUE!</v>
      </c>
      <c r="BH30" s="25" t="e">
        <f t="array" ref="BH30">AVERAGE(AL30:AL34/AQ30:AQ34) - AVERAGE(N30:N34/S30:S34)</f>
        <v>#VALUE!</v>
      </c>
      <c r="BJ30" s="49" t="str">
        <f>IF( OR(ISBLANK(N30:N34),ISBLANK(AL30:AL34), ISBLANK(W30:W34),ISBLANK(AU30:AU34)), "·", bdRateExtend( N30:N34,W30:W34, AL30:AL34,AU30:AU34))</f>
        <v>·</v>
      </c>
      <c r="BK30" s="49" t="str">
        <f>IF( OR(ISBLANK(N30:N34),ISBLANK(AL30:AL34), ISBLANK(X30:X34),ISBLANK(AV30:AV34)), "·", bdRateExtend( N30:N34,X30:X34, AL30:AL34,AV30:AV34))</f>
        <v>·</v>
      </c>
      <c r="BL30" s="49" t="str">
        <f>IF( OR(ISBLANK(V30:V34),ISBLANK(AT30:AT34), ISBLANK(Y30:Y34),ISBLANK(AW30:AW34)), "·", bdRateExtend( V30:V34,Y30:Y34, AT30:AT34,AW30:AW34))</f>
        <v>·</v>
      </c>
      <c r="BM30" s="49" t="str">
        <f>IF( OR(ISBLANK(V30:V34),ISBLANK(AT30:AT34), ISBLANK(Z30:Z34),ISBLANK(AX30:AX34)), "·", bdRateExtend( V30:V34,Z30:Z34, AT30:AT34,AX30:AX34))</f>
        <v>·</v>
      </c>
      <c r="BN30" s="49" t="str">
        <f>IF( OR(ISBLANK(V30:V34),ISBLANK(AT30:AT34), ISBLANK(AA30:AA34),ISBLANK(AY30:AY34)), "·", bdRateExtend( V30:V34,AA30:AA34, AT30:AT34,AY30:AY34))</f>
        <v>·</v>
      </c>
      <c r="BP30" s="49" t="str">
        <f>IF( OR(ISBLANK(S30:S34),ISBLANK(AQ30:AQ34), ISBLANK(W30:W34),ISBLANK(AU30:AU34)), "·", bdRateExtend( S30:S34,W30:W34, AQ30:AQ34,AU30:AU34))</f>
        <v>·</v>
      </c>
      <c r="BQ30" s="49" t="str">
        <f>IF( OR(ISBLANK(S30:S34),ISBLANK(AQ30:AQ34), ISBLANK(X30:X34),ISBLANK(AV30:AV34)), "·", bdRateExtend( S30:S34,X30:X34, AQ30:AQ34,AV30:AV34))</f>
        <v>·</v>
      </c>
      <c r="BR30" s="49" t="str">
        <f>IF( OR(ISBLANK(S30:S34),ISBLANK(AQ30:AQ34), ISBLANK(Y30:Y34),ISBLANK(AW30:AW34)), "·", bdRateExtend( S30:S34,Y30:Y34, AQ30:AQ34,AW30:AW34))</f>
        <v>·</v>
      </c>
      <c r="BS30" s="49" t="str">
        <f>IF( OR(ISBLANK(S30:S34),ISBLANK(AQ30:AQ34), ISBLANK(Z30:Z34),ISBLANK(AX30:AX34)), "·", bdRateExtend( S30:S34,Z30:Z34, AQ30:AQ34,AX30:AX34))</f>
        <v>·</v>
      </c>
      <c r="BT30" s="49" t="str">
        <f>IF( OR(ISBLANK(S30:S34),ISBLANK(AQ30:AQ34), ISBLANK(AA30:AA34),ISBLANK(AY30:AY34)), "·", bdRateExtend( S30:S34,AA30:AA34, AQ30:AQ34,AY30:AY34))</f>
        <v>·</v>
      </c>
      <c r="BV30" s="53">
        <f t="shared" si="16"/>
        <v>-86243398</v>
      </c>
      <c r="BW30" s="53">
        <f t="shared" si="16"/>
        <v>-2695106.1875</v>
      </c>
      <c r="BX30" s="53">
        <f t="shared" si="16"/>
        <v>-33846.0625</v>
      </c>
      <c r="BY30" s="53">
        <f t="shared" si="16"/>
        <v>-3966016</v>
      </c>
      <c r="BZ30" s="53">
        <f t="shared" si="16"/>
        <v>-1980608</v>
      </c>
      <c r="CA30" s="53">
        <f t="shared" si="16"/>
        <v>-1166200</v>
      </c>
      <c r="CB30" s="53">
        <f t="shared" si="16"/>
        <v>-819208</v>
      </c>
      <c r="CC30" s="53">
        <f t="shared" si="16"/>
        <v>-73.637074999999996</v>
      </c>
      <c r="CD30" s="53">
        <f t="shared" si="16"/>
        <v>-75.742599999999982</v>
      </c>
      <c r="CE30" s="53">
        <f t="shared" si="16"/>
        <v>-33.214593749999999</v>
      </c>
      <c r="CF30" s="53">
        <f t="shared" si="16"/>
        <v>-41.966721874999998</v>
      </c>
      <c r="CG30" s="53">
        <f t="shared" si="16"/>
        <v>-43.243725000000012</v>
      </c>
      <c r="CJ30" t="s">
        <v>588</v>
      </c>
    </row>
    <row r="31" spans="1:88" outlineLevel="1" x14ac:dyDescent="0.2">
      <c r="A31" s="52"/>
      <c r="B31" s="52" t="s">
        <v>77</v>
      </c>
      <c r="C31" s="9" t="s">
        <v>234</v>
      </c>
      <c r="D31" s="52">
        <v>375422539</v>
      </c>
      <c r="E31" s="9">
        <v>11</v>
      </c>
      <c r="F31" s="9">
        <v>32</v>
      </c>
      <c r="G31" s="9">
        <v>30</v>
      </c>
      <c r="I31" s="10">
        <f t="shared" si="0"/>
        <v>4.9612049999999996</v>
      </c>
      <c r="J31" s="11">
        <f t="shared" si="1"/>
        <v>1.4095989053017406E-2</v>
      </c>
      <c r="K31" s="11">
        <f t="shared" si="2"/>
        <v>1.0321894924907532E-2</v>
      </c>
      <c r="L31" s="11">
        <f t="shared" si="3"/>
        <v>7.2155284208974997E-3</v>
      </c>
      <c r="M31" s="11">
        <f t="shared" si="4"/>
        <v>3.7740941281098734E-3</v>
      </c>
      <c r="N31" s="52">
        <f t="shared" si="5"/>
        <v>3875072</v>
      </c>
      <c r="O31" s="11">
        <v>16</v>
      </c>
      <c r="P31" s="12">
        <v>90541792</v>
      </c>
      <c r="Q31" s="12">
        <v>2829431</v>
      </c>
      <c r="R31" s="12">
        <v>41460.6875</v>
      </c>
      <c r="S31" s="13">
        <v>5291952</v>
      </c>
      <c r="T31" s="13">
        <v>2708872</v>
      </c>
      <c r="U31" s="13">
        <v>1166200</v>
      </c>
      <c r="V31" s="13">
        <v>1416880</v>
      </c>
      <c r="W31" s="14">
        <v>75.252650000000017</v>
      </c>
      <c r="X31" s="14">
        <v>77.584662500000022</v>
      </c>
      <c r="Y31" s="14">
        <v>35.17078750000001</v>
      </c>
      <c r="Z31" s="14">
        <v>42.536018749999997</v>
      </c>
      <c r="AA31" s="14">
        <v>44.678146875000003</v>
      </c>
      <c r="AB31" s="15">
        <v>3365.1</v>
      </c>
      <c r="AC31" s="15">
        <v>22893.200000000001</v>
      </c>
      <c r="AD31" s="15">
        <v>42.663999999999987</v>
      </c>
      <c r="AE31" s="15">
        <v>28.776</v>
      </c>
      <c r="AG31" s="10" t="str">
        <f t="shared" si="6"/>
        <v>·</v>
      </c>
      <c r="AH31" s="11" t="str">
        <f t="shared" si="7"/>
        <v>·</v>
      </c>
      <c r="AI31" s="11" t="str">
        <f t="shared" si="8"/>
        <v>·</v>
      </c>
      <c r="AJ31" s="11" t="str">
        <f t="shared" si="9"/>
        <v>·</v>
      </c>
      <c r="AK31" s="11" t="str">
        <f t="shared" si="10"/>
        <v>·</v>
      </c>
      <c r="AL31" s="52" t="str">
        <f t="shared" si="11"/>
        <v/>
      </c>
      <c r="AM31" s="11">
        <v>16</v>
      </c>
      <c r="AN31" s="12"/>
      <c r="AO31" s="12"/>
      <c r="AP31" s="12"/>
      <c r="AQ31" s="13"/>
      <c r="AR31" s="13"/>
      <c r="AS31" s="13"/>
      <c r="AT31" s="13"/>
      <c r="AU31" s="14"/>
      <c r="AV31" s="14"/>
      <c r="AW31" s="14"/>
      <c r="AX31" s="14"/>
      <c r="AY31" s="14"/>
      <c r="AZ31" s="15"/>
      <c r="BA31" s="15"/>
      <c r="BB31" s="15"/>
      <c r="BC31" s="15"/>
      <c r="BE31" s="50" t="e">
        <f t="shared" si="12"/>
        <v>#VALUE!</v>
      </c>
      <c r="BF31" s="16" t="e">
        <f t="shared" si="13"/>
        <v>#DIV/0!</v>
      </c>
      <c r="BG31" s="16" t="e">
        <f t="shared" si="14"/>
        <v>#VALUE!</v>
      </c>
      <c r="BH31" s="16"/>
      <c r="BJ31" s="50"/>
      <c r="BK31" s="50"/>
      <c r="BL31" s="50"/>
      <c r="BM31" s="50"/>
      <c r="BN31" s="50"/>
      <c r="BP31" s="50"/>
      <c r="BQ31" s="50"/>
      <c r="BR31" s="50"/>
      <c r="BS31" s="50"/>
      <c r="BT31" s="50"/>
      <c r="BV31" s="53">
        <f t="shared" si="16"/>
        <v>-90541792</v>
      </c>
      <c r="BW31" s="53">
        <f t="shared" si="16"/>
        <v>-2829431</v>
      </c>
      <c r="BX31" s="53">
        <f t="shared" si="16"/>
        <v>-41460.6875</v>
      </c>
      <c r="BY31" s="53">
        <f t="shared" si="16"/>
        <v>-5291952</v>
      </c>
      <c r="BZ31" s="53">
        <f t="shared" si="16"/>
        <v>-2708872</v>
      </c>
      <c r="CA31" s="53">
        <f t="shared" si="16"/>
        <v>-1166200</v>
      </c>
      <c r="CB31" s="53">
        <f t="shared" si="16"/>
        <v>-1416880</v>
      </c>
      <c r="CC31" s="53">
        <f t="shared" si="16"/>
        <v>-75.252650000000017</v>
      </c>
      <c r="CD31" s="53">
        <f t="shared" si="16"/>
        <v>-77.584662500000022</v>
      </c>
      <c r="CE31" s="53">
        <f t="shared" si="16"/>
        <v>-35.17078750000001</v>
      </c>
      <c r="CF31" s="53">
        <f t="shared" si="16"/>
        <v>-42.536018749999997</v>
      </c>
      <c r="CG31" s="53">
        <f t="shared" si="16"/>
        <v>-44.678146875000003</v>
      </c>
      <c r="CJ31" t="s">
        <v>588</v>
      </c>
    </row>
    <row r="32" spans="1:88" outlineLevel="1" x14ac:dyDescent="0.2">
      <c r="A32" s="17"/>
      <c r="B32" s="17" t="s">
        <v>77</v>
      </c>
      <c r="C32" s="18" t="s">
        <v>235</v>
      </c>
      <c r="D32" s="17">
        <v>375422539</v>
      </c>
      <c r="E32" s="18">
        <v>11</v>
      </c>
      <c r="F32" s="18">
        <v>32</v>
      </c>
      <c r="G32" s="18">
        <v>30</v>
      </c>
      <c r="I32" s="19">
        <f t="shared" si="0"/>
        <v>7.1719049999999998</v>
      </c>
      <c r="J32" s="20">
        <f t="shared" si="1"/>
        <v>2.0377124986627401E-2</v>
      </c>
      <c r="K32" s="20">
        <f t="shared" si="2"/>
        <v>1.3213229054422862E-2</v>
      </c>
      <c r="L32" s="20">
        <f t="shared" si="3"/>
        <v>1.0106862550412829E-2</v>
      </c>
      <c r="M32" s="20">
        <f t="shared" si="4"/>
        <v>7.1638959322045392E-3</v>
      </c>
      <c r="N32" s="17">
        <f t="shared" si="5"/>
        <v>4960544</v>
      </c>
      <c r="O32" s="20">
        <v>16</v>
      </c>
      <c r="P32" s="21">
        <v>91787366</v>
      </c>
      <c r="Q32" s="21">
        <v>2868355.1875</v>
      </c>
      <c r="R32" s="21">
        <v>44534.90625</v>
      </c>
      <c r="S32" s="22">
        <v>7650032</v>
      </c>
      <c r="T32" s="22">
        <v>3794344</v>
      </c>
      <c r="U32" s="22">
        <v>1166200</v>
      </c>
      <c r="V32" s="22">
        <v>2689488</v>
      </c>
      <c r="W32" s="23">
        <v>76.469399999999951</v>
      </c>
      <c r="X32" s="23">
        <v>79.114190624999978</v>
      </c>
      <c r="Y32" s="23">
        <v>36.955215625000001</v>
      </c>
      <c r="Z32" s="23">
        <v>43.140440624999997</v>
      </c>
      <c r="AA32" s="23">
        <v>45.958556250000008</v>
      </c>
      <c r="AB32" s="24">
        <v>3289.38</v>
      </c>
      <c r="AC32" s="24">
        <v>24032.1</v>
      </c>
      <c r="AD32" s="24">
        <v>52.823999999999998</v>
      </c>
      <c r="AE32" s="24">
        <v>40.9</v>
      </c>
      <c r="AG32" s="19" t="str">
        <f t="shared" si="6"/>
        <v>·</v>
      </c>
      <c r="AH32" s="20" t="str">
        <f t="shared" si="7"/>
        <v>·</v>
      </c>
      <c r="AI32" s="20" t="str">
        <f t="shared" si="8"/>
        <v>·</v>
      </c>
      <c r="AJ32" s="20" t="str">
        <f t="shared" si="9"/>
        <v>·</v>
      </c>
      <c r="AK32" s="20" t="str">
        <f t="shared" si="10"/>
        <v>·</v>
      </c>
      <c r="AL32" s="17" t="str">
        <f t="shared" si="11"/>
        <v/>
      </c>
      <c r="AM32" s="20">
        <v>16</v>
      </c>
      <c r="AN32" s="21"/>
      <c r="AO32" s="21"/>
      <c r="AP32" s="21"/>
      <c r="AQ32" s="22"/>
      <c r="AR32" s="22"/>
      <c r="AS32" s="22"/>
      <c r="AT32" s="22"/>
      <c r="AU32" s="23"/>
      <c r="AV32" s="23"/>
      <c r="AW32" s="23"/>
      <c r="AX32" s="23"/>
      <c r="AY32" s="23"/>
      <c r="AZ32" s="24"/>
      <c r="BA32" s="24"/>
      <c r="BB32" s="24"/>
      <c r="BC32" s="24"/>
      <c r="BE32" s="49" t="e">
        <f t="shared" si="12"/>
        <v>#VALUE!</v>
      </c>
      <c r="BF32" s="25" t="e">
        <f t="shared" si="13"/>
        <v>#DIV/0!</v>
      </c>
      <c r="BG32" s="25" t="e">
        <f t="shared" si="14"/>
        <v>#VALUE!</v>
      </c>
      <c r="BH32" s="25"/>
      <c r="BJ32" s="49"/>
      <c r="BK32" s="49"/>
      <c r="BL32" s="49"/>
      <c r="BM32" s="49"/>
      <c r="BN32" s="49"/>
      <c r="BP32" s="49"/>
      <c r="BQ32" s="49"/>
      <c r="BR32" s="49"/>
      <c r="BS32" s="49"/>
      <c r="BT32" s="49"/>
      <c r="BV32" s="53">
        <f t="shared" si="16"/>
        <v>-91787366</v>
      </c>
      <c r="BW32" s="53">
        <f t="shared" si="16"/>
        <v>-2868355.1875</v>
      </c>
      <c r="BX32" s="53">
        <f t="shared" si="16"/>
        <v>-44534.90625</v>
      </c>
      <c r="BY32" s="53">
        <f t="shared" si="16"/>
        <v>-7650032</v>
      </c>
      <c r="BZ32" s="53">
        <f t="shared" si="16"/>
        <v>-3794344</v>
      </c>
      <c r="CA32" s="53">
        <f t="shared" si="16"/>
        <v>-1166200</v>
      </c>
      <c r="CB32" s="53">
        <f t="shared" si="16"/>
        <v>-2689488</v>
      </c>
      <c r="CC32" s="53">
        <f t="shared" si="16"/>
        <v>-76.469399999999951</v>
      </c>
      <c r="CD32" s="53">
        <f t="shared" si="16"/>
        <v>-79.114190624999978</v>
      </c>
      <c r="CE32" s="53">
        <f t="shared" si="16"/>
        <v>-36.955215625000001</v>
      </c>
      <c r="CF32" s="53">
        <f t="shared" si="16"/>
        <v>-43.140440624999997</v>
      </c>
      <c r="CG32" s="53">
        <f t="shared" si="16"/>
        <v>-45.958556250000008</v>
      </c>
      <c r="CJ32" t="s">
        <v>588</v>
      </c>
    </row>
    <row r="33" spans="1:88" outlineLevel="1" x14ac:dyDescent="0.2">
      <c r="A33" s="52"/>
      <c r="B33" s="52" t="s">
        <v>77</v>
      </c>
      <c r="C33" s="9" t="s">
        <v>236</v>
      </c>
      <c r="D33" s="52">
        <v>375422539</v>
      </c>
      <c r="E33" s="9">
        <v>11</v>
      </c>
      <c r="F33" s="9">
        <v>32</v>
      </c>
      <c r="G33" s="9">
        <v>30</v>
      </c>
      <c r="I33" s="10">
        <f t="shared" si="0"/>
        <v>12.012074999999999</v>
      </c>
      <c r="J33" s="11">
        <f t="shared" si="1"/>
        <v>3.4129224191305145E-2</v>
      </c>
      <c r="K33" s="11">
        <f t="shared" si="2"/>
        <v>1.8543265991816223E-2</v>
      </c>
      <c r="L33" s="11">
        <f t="shared" si="3"/>
        <v>1.5436899487806192E-2</v>
      </c>
      <c r="M33" s="11">
        <f t="shared" si="4"/>
        <v>1.5585958199488922E-2</v>
      </c>
      <c r="N33" s="52">
        <f t="shared" si="5"/>
        <v>6961560</v>
      </c>
      <c r="O33" s="11">
        <v>16</v>
      </c>
      <c r="P33" s="12">
        <v>94114766</v>
      </c>
      <c r="Q33" s="12">
        <v>2941086.4375</v>
      </c>
      <c r="R33" s="12">
        <v>49715.25</v>
      </c>
      <c r="S33" s="13">
        <v>12812880</v>
      </c>
      <c r="T33" s="13">
        <v>5795360</v>
      </c>
      <c r="U33" s="13">
        <v>1166200</v>
      </c>
      <c r="V33" s="13">
        <v>5851320</v>
      </c>
      <c r="W33" s="14">
        <v>77.566353124999978</v>
      </c>
      <c r="X33" s="14">
        <v>80.266603124999975</v>
      </c>
      <c r="Y33" s="14">
        <v>38.719509375000001</v>
      </c>
      <c r="Z33" s="14">
        <v>43.700431250000001</v>
      </c>
      <c r="AA33" s="14">
        <v>47.37855312500001</v>
      </c>
      <c r="AB33" s="15">
        <v>3273.97</v>
      </c>
      <c r="AC33" s="15">
        <v>25351.9</v>
      </c>
      <c r="AD33" s="15">
        <v>53.54</v>
      </c>
      <c r="AE33" s="15">
        <v>44.095999999999997</v>
      </c>
      <c r="AG33" s="10" t="str">
        <f t="shared" si="6"/>
        <v>·</v>
      </c>
      <c r="AH33" s="11" t="str">
        <f t="shared" si="7"/>
        <v>·</v>
      </c>
      <c r="AI33" s="11" t="str">
        <f t="shared" si="8"/>
        <v>·</v>
      </c>
      <c r="AJ33" s="11" t="str">
        <f t="shared" si="9"/>
        <v>·</v>
      </c>
      <c r="AK33" s="11" t="str">
        <f t="shared" si="10"/>
        <v>·</v>
      </c>
      <c r="AL33" s="52" t="str">
        <f t="shared" si="11"/>
        <v/>
      </c>
      <c r="AM33" s="11">
        <v>16</v>
      </c>
      <c r="AN33" s="12"/>
      <c r="AO33" s="12"/>
      <c r="AP33" s="12"/>
      <c r="AQ33" s="13"/>
      <c r="AR33" s="13"/>
      <c r="AS33" s="13"/>
      <c r="AT33" s="13"/>
      <c r="AU33" s="14"/>
      <c r="AV33" s="14"/>
      <c r="AW33" s="14"/>
      <c r="AX33" s="14"/>
      <c r="AY33" s="14"/>
      <c r="AZ33" s="15"/>
      <c r="BA33" s="15"/>
      <c r="BB33" s="15"/>
      <c r="BC33" s="15"/>
      <c r="BE33" s="50" t="e">
        <f t="shared" si="12"/>
        <v>#VALUE!</v>
      </c>
      <c r="BF33" s="16" t="e">
        <f t="shared" si="13"/>
        <v>#DIV/0!</v>
      </c>
      <c r="BG33" s="16" t="e">
        <f t="shared" si="14"/>
        <v>#VALUE!</v>
      </c>
      <c r="BH33" s="16"/>
      <c r="BJ33" s="50"/>
      <c r="BK33" s="50"/>
      <c r="BL33" s="50"/>
      <c r="BM33" s="50"/>
      <c r="BN33" s="50"/>
      <c r="BP33" s="50"/>
      <c r="BQ33" s="50"/>
      <c r="BR33" s="50"/>
      <c r="BS33" s="50"/>
      <c r="BT33" s="50"/>
      <c r="BV33" s="53">
        <f t="shared" si="16"/>
        <v>-94114766</v>
      </c>
      <c r="BW33" s="53">
        <f t="shared" si="16"/>
        <v>-2941086.4375</v>
      </c>
      <c r="BX33" s="53">
        <f t="shared" si="16"/>
        <v>-49715.25</v>
      </c>
      <c r="BY33" s="53">
        <f t="shared" si="16"/>
        <v>-12812880</v>
      </c>
      <c r="BZ33" s="53">
        <f t="shared" si="16"/>
        <v>-5795360</v>
      </c>
      <c r="CA33" s="53">
        <f t="shared" si="16"/>
        <v>-1166200</v>
      </c>
      <c r="CB33" s="53">
        <f t="shared" si="16"/>
        <v>-5851320</v>
      </c>
      <c r="CC33" s="53">
        <f t="shared" si="16"/>
        <v>-77.566353124999978</v>
      </c>
      <c r="CD33" s="53">
        <f t="shared" si="16"/>
        <v>-80.266603124999975</v>
      </c>
      <c r="CE33" s="53">
        <f t="shared" si="16"/>
        <v>-38.719509375000001</v>
      </c>
      <c r="CF33" s="53">
        <f t="shared" si="16"/>
        <v>-43.700431250000001</v>
      </c>
      <c r="CG33" s="53">
        <f t="shared" si="16"/>
        <v>-47.37855312500001</v>
      </c>
      <c r="CJ33" t="s">
        <v>588</v>
      </c>
    </row>
    <row r="34" spans="1:88" ht="16" outlineLevel="1" thickBot="1" x14ac:dyDescent="0.25">
      <c r="A34" s="17"/>
      <c r="B34" s="36" t="s">
        <v>77</v>
      </c>
      <c r="C34" s="37" t="s">
        <v>237</v>
      </c>
      <c r="D34" s="36">
        <v>375422539</v>
      </c>
      <c r="E34" s="37">
        <v>11</v>
      </c>
      <c r="F34" s="37">
        <v>32</v>
      </c>
      <c r="G34" s="37">
        <v>30</v>
      </c>
      <c r="I34" s="38">
        <f t="shared" si="0"/>
        <v>24.639389999999999</v>
      </c>
      <c r="J34" s="39">
        <f t="shared" si="1"/>
        <v>7.0006494735256164E-2</v>
      </c>
      <c r="K34" s="39">
        <f t="shared" si="2"/>
        <v>3.0977404902160124E-2</v>
      </c>
      <c r="L34" s="39">
        <f t="shared" si="3"/>
        <v>2.459758549552615E-2</v>
      </c>
      <c r="M34" s="39">
        <f t="shared" si="4"/>
        <v>3.9029089833096033E-2</v>
      </c>
      <c r="N34" s="36">
        <f t="shared" si="5"/>
        <v>11629616</v>
      </c>
      <c r="O34" s="39">
        <v>16</v>
      </c>
      <c r="P34" s="40">
        <v>92205535</v>
      </c>
      <c r="Q34" s="40">
        <v>2881422.96875</v>
      </c>
      <c r="R34" s="40">
        <v>21180.46875</v>
      </c>
      <c r="S34" s="41">
        <v>26282016</v>
      </c>
      <c r="T34" s="41">
        <v>9234488</v>
      </c>
      <c r="U34" s="41">
        <v>2395128</v>
      </c>
      <c r="V34" s="41">
        <v>14652400</v>
      </c>
      <c r="W34" s="42">
        <v>78.500296874999975</v>
      </c>
      <c r="X34" s="42">
        <v>81.895681249999996</v>
      </c>
      <c r="Y34" s="42">
        <v>40.507659374999989</v>
      </c>
      <c r="Z34" s="42">
        <v>44.373981249999993</v>
      </c>
      <c r="AA34" s="42">
        <v>48.810296874999999</v>
      </c>
      <c r="AB34" s="43">
        <v>3500.64</v>
      </c>
      <c r="AC34" s="43">
        <v>32732.400000000001</v>
      </c>
      <c r="AD34" s="43">
        <v>52.696000000000012</v>
      </c>
      <c r="AE34" s="43">
        <v>50.276000000000003</v>
      </c>
      <c r="AG34" s="38" t="str">
        <f t="shared" si="6"/>
        <v>·</v>
      </c>
      <c r="AH34" s="39" t="str">
        <f t="shared" si="7"/>
        <v>·</v>
      </c>
      <c r="AI34" s="39" t="str">
        <f t="shared" si="8"/>
        <v>·</v>
      </c>
      <c r="AJ34" s="39" t="str">
        <f t="shared" si="9"/>
        <v>·</v>
      </c>
      <c r="AK34" s="39" t="str">
        <f t="shared" si="10"/>
        <v>·</v>
      </c>
      <c r="AL34" s="36" t="str">
        <f t="shared" si="11"/>
        <v/>
      </c>
      <c r="AM34" s="39">
        <v>16</v>
      </c>
      <c r="AN34" s="40"/>
      <c r="AO34" s="40"/>
      <c r="AP34" s="40"/>
      <c r="AQ34" s="41"/>
      <c r="AR34" s="41"/>
      <c r="AS34" s="41"/>
      <c r="AT34" s="41"/>
      <c r="AU34" s="42"/>
      <c r="AV34" s="42"/>
      <c r="AW34" s="42"/>
      <c r="AX34" s="42"/>
      <c r="AY34" s="42"/>
      <c r="AZ34" s="43"/>
      <c r="BA34" s="43"/>
      <c r="BB34" s="43"/>
      <c r="BC34" s="43"/>
      <c r="BE34" s="44" t="e">
        <f t="shared" si="12"/>
        <v>#VALUE!</v>
      </c>
      <c r="BF34" s="45" t="e">
        <f t="shared" si="13"/>
        <v>#DIV/0!</v>
      </c>
      <c r="BG34" s="45" t="e">
        <f t="shared" si="14"/>
        <v>#VALUE!</v>
      </c>
      <c r="BH34" s="45"/>
      <c r="BJ34" s="44"/>
      <c r="BK34" s="44"/>
      <c r="BL34" s="44"/>
      <c r="BM34" s="44"/>
      <c r="BN34" s="44"/>
      <c r="BP34" s="44"/>
      <c r="BQ34" s="44"/>
      <c r="BR34" s="44"/>
      <c r="BS34" s="44"/>
      <c r="BT34" s="44"/>
      <c r="BV34" s="53">
        <f t="shared" si="16"/>
        <v>-92205535</v>
      </c>
      <c r="BW34" s="53">
        <f t="shared" si="16"/>
        <v>-2881422.96875</v>
      </c>
      <c r="BX34" s="53">
        <f t="shared" si="16"/>
        <v>-21180.46875</v>
      </c>
      <c r="BY34" s="53">
        <f t="shared" si="16"/>
        <v>-26282016</v>
      </c>
      <c r="BZ34" s="53">
        <f t="shared" si="16"/>
        <v>-9234488</v>
      </c>
      <c r="CA34" s="53">
        <f t="shared" si="16"/>
        <v>-2395128</v>
      </c>
      <c r="CB34" s="53">
        <f t="shared" si="16"/>
        <v>-14652400</v>
      </c>
      <c r="CC34" s="53">
        <f t="shared" si="16"/>
        <v>-78.500296874999975</v>
      </c>
      <c r="CD34" s="53">
        <f t="shared" si="16"/>
        <v>-81.895681249999996</v>
      </c>
      <c r="CE34" s="53">
        <f t="shared" si="16"/>
        <v>-40.507659374999989</v>
      </c>
      <c r="CF34" s="53">
        <f t="shared" si="16"/>
        <v>-44.373981249999993</v>
      </c>
      <c r="CG34" s="53">
        <f t="shared" si="16"/>
        <v>-48.810296874999999</v>
      </c>
      <c r="CJ34" t="s">
        <v>588</v>
      </c>
    </row>
    <row r="35" spans="1:88" x14ac:dyDescent="0.2">
      <c r="A35" s="52"/>
      <c r="B35" s="52" t="s">
        <v>82</v>
      </c>
      <c r="C35" s="9" t="s">
        <v>232</v>
      </c>
      <c r="D35" s="52">
        <v>333190689</v>
      </c>
      <c r="E35" s="9">
        <v>11</v>
      </c>
      <c r="F35" s="9">
        <v>32</v>
      </c>
      <c r="G35" s="9">
        <v>30</v>
      </c>
      <c r="I35" s="10">
        <f t="shared" si="0"/>
        <v>4.6569075</v>
      </c>
      <c r="J35" s="11">
        <f t="shared" si="1"/>
        <v>1.490848383221177E-2</v>
      </c>
      <c r="K35" s="11">
        <f t="shared" si="2"/>
        <v>1.1175390318305084E-2</v>
      </c>
      <c r="L35" s="11">
        <f t="shared" si="3"/>
        <v>7.155662143968255E-3</v>
      </c>
      <c r="M35" s="11">
        <f t="shared" si="4"/>
        <v>3.7330935139066866E-3</v>
      </c>
      <c r="N35" s="52">
        <f t="shared" si="5"/>
        <v>3723536</v>
      </c>
      <c r="O35" s="11">
        <v>16</v>
      </c>
      <c r="P35" s="12">
        <v>74793925</v>
      </c>
      <c r="Q35" s="12">
        <v>2337310.15625</v>
      </c>
      <c r="R35" s="12">
        <v>30824.78125</v>
      </c>
      <c r="S35" s="13">
        <v>4967368</v>
      </c>
      <c r="T35" s="13">
        <v>2384200</v>
      </c>
      <c r="U35" s="13">
        <v>1339336</v>
      </c>
      <c r="V35" s="13">
        <v>1243832</v>
      </c>
      <c r="W35" s="14">
        <v>73.186065624999998</v>
      </c>
      <c r="X35" s="14">
        <v>75.395090625000023</v>
      </c>
      <c r="Y35" s="14">
        <v>31.7822125</v>
      </c>
      <c r="Z35" s="14">
        <v>42.191984374999997</v>
      </c>
      <c r="AA35" s="14">
        <v>43.412915625000011</v>
      </c>
      <c r="AB35" s="15">
        <v>2965.69</v>
      </c>
      <c r="AC35" s="15">
        <v>24997</v>
      </c>
      <c r="AD35" s="15">
        <v>51.14</v>
      </c>
      <c r="AE35" s="15">
        <v>39.776000000000003</v>
      </c>
      <c r="AG35" s="10" t="str">
        <f t="shared" si="6"/>
        <v>·</v>
      </c>
      <c r="AH35" s="11" t="str">
        <f t="shared" si="7"/>
        <v>·</v>
      </c>
      <c r="AI35" s="11" t="str">
        <f t="shared" si="8"/>
        <v>·</v>
      </c>
      <c r="AJ35" s="11" t="str">
        <f t="shared" si="9"/>
        <v>·</v>
      </c>
      <c r="AK35" s="11" t="str">
        <f t="shared" si="10"/>
        <v>·</v>
      </c>
      <c r="AL35" s="52" t="str">
        <f t="shared" si="11"/>
        <v/>
      </c>
      <c r="AM35" s="11">
        <v>16</v>
      </c>
      <c r="AN35" s="12"/>
      <c r="AO35" s="12"/>
      <c r="AP35" s="12"/>
      <c r="AQ35" s="13"/>
      <c r="AR35" s="13"/>
      <c r="AS35" s="13"/>
      <c r="AT35" s="13"/>
      <c r="AU35" s="14"/>
      <c r="AV35" s="14"/>
      <c r="AW35" s="14"/>
      <c r="AX35" s="14"/>
      <c r="AY35" s="14"/>
      <c r="AZ35" s="15"/>
      <c r="BA35" s="15"/>
      <c r="BB35" s="15"/>
      <c r="BC35" s="15"/>
      <c r="BE35" s="50" t="e">
        <f t="shared" si="12"/>
        <v>#VALUE!</v>
      </c>
      <c r="BF35" s="16" t="e">
        <f t="shared" si="13"/>
        <v>#DIV/0!</v>
      </c>
      <c r="BG35" s="16" t="e">
        <f t="shared" si="14"/>
        <v>#VALUE!</v>
      </c>
      <c r="BH35" s="16" t="e">
        <f t="array" ref="BH35">AVERAGE(AL35:AL39/AQ35:AQ39) - AVERAGE(N35:N39/S35:S39)</f>
        <v>#VALUE!</v>
      </c>
      <c r="BJ35" s="50" t="str">
        <f>IF( OR(ISBLANK(N35:N39),ISBLANK(AL35:AL39), ISBLANK(W35:W39),ISBLANK(AU35:AU39)), "·", bdRateExtend( N35:N39,W35:W39, AL35:AL39,AU35:AU39))</f>
        <v>·</v>
      </c>
      <c r="BK35" s="50" t="str">
        <f>IF( OR(ISBLANK(N35:N39),ISBLANK(AL35:AL39), ISBLANK(X35:X39),ISBLANK(AV35:AV39)), "·", bdRateExtend( N35:N39,X35:X39, AL35:AL39,AV35:AV39))</f>
        <v>·</v>
      </c>
      <c r="BL35" s="50" t="str">
        <f>IF( OR(ISBLANK(V35:V39),ISBLANK(AT35:AT39), ISBLANK(Y35:Y39),ISBLANK(AW35:AW39)), "·", bdRateExtend( V35:V39,Y35:Y39, AT35:AT39,AW35:AW39))</f>
        <v>·</v>
      </c>
      <c r="BM35" s="50" t="str">
        <f>IF( OR(ISBLANK(V35:V39),ISBLANK(AT35:AT39), ISBLANK(Z35:Z39),ISBLANK(AX35:AX39)), "·", bdRateExtend( V35:V39,Z35:Z39, AT35:AT39,AX35:AX39))</f>
        <v>·</v>
      </c>
      <c r="BN35" s="50" t="str">
        <f>IF( OR(ISBLANK(V35:V39),ISBLANK(AT35:AT39), ISBLANK(AA35:AA39),ISBLANK(AY35:AY39)), "·", bdRateExtend( V35:V39,AA35:AA39, AT35:AT39,AY35:AY39))</f>
        <v>·</v>
      </c>
      <c r="BP35" s="50" t="str">
        <f>IF( OR(ISBLANK(S35:S39),ISBLANK(AQ35:AQ39), ISBLANK(W35:W39),ISBLANK(AU35:AU39)), "·", bdRateExtend( S35:S39,W35:W39, AQ35:AQ39,AU35:AU39))</f>
        <v>·</v>
      </c>
      <c r="BQ35" s="50" t="str">
        <f>IF( OR(ISBLANK(S35:S39),ISBLANK(AQ35:AQ39), ISBLANK(X35:X39),ISBLANK(AV35:AV39)), "·", bdRateExtend( S35:S39,X35:X39, AQ35:AQ39,AV35:AV39))</f>
        <v>·</v>
      </c>
      <c r="BR35" s="50" t="str">
        <f>IF( OR(ISBLANK(S35:S39),ISBLANK(AQ35:AQ39), ISBLANK(Y35:Y39),ISBLANK(AW35:AW39)), "·", bdRateExtend( S35:S39,Y35:Y39, AQ35:AQ39,AW35:AW39))</f>
        <v>·</v>
      </c>
      <c r="BS35" s="50" t="str">
        <f>IF( OR(ISBLANK(S35:S39),ISBLANK(AQ35:AQ39), ISBLANK(Z35:Z39),ISBLANK(AX35:AX39)), "·", bdRateExtend( S35:S39,Z35:Z39, AQ35:AQ39,AX35:AX39))</f>
        <v>·</v>
      </c>
      <c r="BT35" s="50" t="str">
        <f>IF( OR(ISBLANK(S35:S39),ISBLANK(AQ35:AQ39), ISBLANK(AA35:AA39),ISBLANK(AY35:AY39)), "·", bdRateExtend( S35:S39,AA35:AA39, AQ35:AQ39,AY35:AY39))</f>
        <v>·</v>
      </c>
      <c r="BV35" s="53">
        <f t="shared" si="16"/>
        <v>-74793925</v>
      </c>
      <c r="BW35" s="53">
        <f t="shared" si="16"/>
        <v>-2337310.15625</v>
      </c>
      <c r="BX35" s="53">
        <f t="shared" si="16"/>
        <v>-30824.78125</v>
      </c>
      <c r="BY35" s="53">
        <f t="shared" si="16"/>
        <v>-4967368</v>
      </c>
      <c r="BZ35" s="53">
        <f t="shared" si="16"/>
        <v>-2384200</v>
      </c>
      <c r="CA35" s="53">
        <f t="shared" si="16"/>
        <v>-1339336</v>
      </c>
      <c r="CB35" s="53">
        <f t="shared" si="16"/>
        <v>-1243832</v>
      </c>
      <c r="CC35" s="53">
        <f t="shared" si="16"/>
        <v>-73.186065624999998</v>
      </c>
      <c r="CD35" s="53">
        <f t="shared" si="16"/>
        <v>-75.395090625000023</v>
      </c>
      <c r="CE35" s="53">
        <f t="shared" si="16"/>
        <v>-31.7822125</v>
      </c>
      <c r="CF35" s="53">
        <f t="shared" si="16"/>
        <v>-42.191984374999997</v>
      </c>
      <c r="CG35" s="53">
        <f t="shared" si="16"/>
        <v>-43.412915625000011</v>
      </c>
      <c r="CJ35" t="s">
        <v>589</v>
      </c>
    </row>
    <row r="36" spans="1:88" outlineLevel="1" x14ac:dyDescent="0.2">
      <c r="A36" s="17"/>
      <c r="B36" s="17" t="s">
        <v>82</v>
      </c>
      <c r="C36" s="18" t="s">
        <v>234</v>
      </c>
      <c r="D36" s="17">
        <v>333190689</v>
      </c>
      <c r="E36" s="18">
        <v>11</v>
      </c>
      <c r="F36" s="18">
        <v>32</v>
      </c>
      <c r="G36" s="18">
        <v>30</v>
      </c>
      <c r="I36" s="19">
        <f t="shared" si="0"/>
        <v>6.2389275</v>
      </c>
      <c r="J36" s="20">
        <f t="shared" si="1"/>
        <v>1.9973115155087661E-2</v>
      </c>
      <c r="K36" s="20">
        <f t="shared" si="2"/>
        <v>1.3755462416298193E-2</v>
      </c>
      <c r="L36" s="20">
        <f t="shared" si="3"/>
        <v>9.7357342419613652E-3</v>
      </c>
      <c r="M36" s="20">
        <f t="shared" si="4"/>
        <v>6.2176527387894686E-3</v>
      </c>
      <c r="N36" s="17">
        <f t="shared" si="5"/>
        <v>4583192</v>
      </c>
      <c r="O36" s="20">
        <v>16</v>
      </c>
      <c r="P36" s="21">
        <v>79976742</v>
      </c>
      <c r="Q36" s="21">
        <v>2499273.1875</v>
      </c>
      <c r="R36" s="21">
        <v>39105.5</v>
      </c>
      <c r="S36" s="22">
        <v>6654856</v>
      </c>
      <c r="T36" s="22">
        <v>3243856</v>
      </c>
      <c r="U36" s="22">
        <v>1339336</v>
      </c>
      <c r="V36" s="22">
        <v>2071664</v>
      </c>
      <c r="W36" s="23">
        <v>74.938500000000019</v>
      </c>
      <c r="X36" s="23">
        <v>77.355887499999994</v>
      </c>
      <c r="Y36" s="23">
        <v>34.0428</v>
      </c>
      <c r="Z36" s="23">
        <v>42.958225000000013</v>
      </c>
      <c r="AA36" s="23">
        <v>44.998650000000012</v>
      </c>
      <c r="AB36" s="24">
        <v>3058.14</v>
      </c>
      <c r="AC36" s="24">
        <v>28595.9</v>
      </c>
      <c r="AD36" s="24">
        <v>53.223999999999997</v>
      </c>
      <c r="AE36" s="24">
        <v>36.747999999999998</v>
      </c>
      <c r="AG36" s="19" t="str">
        <f t="shared" si="6"/>
        <v>·</v>
      </c>
      <c r="AH36" s="20" t="str">
        <f t="shared" si="7"/>
        <v>·</v>
      </c>
      <c r="AI36" s="20" t="str">
        <f t="shared" si="8"/>
        <v>·</v>
      </c>
      <c r="AJ36" s="20" t="str">
        <f t="shared" si="9"/>
        <v>·</v>
      </c>
      <c r="AK36" s="20" t="str">
        <f t="shared" si="10"/>
        <v>·</v>
      </c>
      <c r="AL36" s="17" t="str">
        <f t="shared" si="11"/>
        <v/>
      </c>
      <c r="AM36" s="20">
        <v>16</v>
      </c>
      <c r="AN36" s="21"/>
      <c r="AO36" s="21"/>
      <c r="AP36" s="21"/>
      <c r="AQ36" s="22"/>
      <c r="AR36" s="22"/>
      <c r="AS36" s="22"/>
      <c r="AT36" s="22"/>
      <c r="AU36" s="23"/>
      <c r="AV36" s="23"/>
      <c r="AW36" s="23"/>
      <c r="AX36" s="23"/>
      <c r="AY36" s="23"/>
      <c r="AZ36" s="24"/>
      <c r="BA36" s="24"/>
      <c r="BB36" s="24"/>
      <c r="BC36" s="24"/>
      <c r="BE36" s="49" t="e">
        <f t="shared" si="12"/>
        <v>#VALUE!</v>
      </c>
      <c r="BF36" s="25" t="e">
        <f t="shared" si="13"/>
        <v>#DIV/0!</v>
      </c>
      <c r="BG36" s="25" t="e">
        <f t="shared" si="14"/>
        <v>#VALUE!</v>
      </c>
      <c r="BH36" s="25"/>
      <c r="BJ36" s="49"/>
      <c r="BK36" s="49"/>
      <c r="BL36" s="49"/>
      <c r="BM36" s="49"/>
      <c r="BN36" s="49"/>
      <c r="BP36" s="49"/>
      <c r="BQ36" s="49"/>
      <c r="BR36" s="49"/>
      <c r="BS36" s="49"/>
      <c r="BT36" s="49"/>
      <c r="BV36" s="53">
        <f t="shared" si="16"/>
        <v>-79976742</v>
      </c>
      <c r="BW36" s="53">
        <f t="shared" si="16"/>
        <v>-2499273.1875</v>
      </c>
      <c r="BX36" s="53">
        <f t="shared" si="16"/>
        <v>-39105.5</v>
      </c>
      <c r="BY36" s="53">
        <f t="shared" si="16"/>
        <v>-6654856</v>
      </c>
      <c r="BZ36" s="53">
        <f t="shared" si="16"/>
        <v>-3243856</v>
      </c>
      <c r="CA36" s="53">
        <f t="shared" si="16"/>
        <v>-1339336</v>
      </c>
      <c r="CB36" s="53">
        <f t="shared" si="16"/>
        <v>-2071664</v>
      </c>
      <c r="CC36" s="53">
        <f t="shared" si="16"/>
        <v>-74.938500000000019</v>
      </c>
      <c r="CD36" s="53">
        <f t="shared" si="16"/>
        <v>-77.355887499999994</v>
      </c>
      <c r="CE36" s="53">
        <f t="shared" si="16"/>
        <v>-34.0428</v>
      </c>
      <c r="CF36" s="53">
        <f t="shared" si="16"/>
        <v>-42.958225000000013</v>
      </c>
      <c r="CG36" s="53">
        <f t="shared" si="16"/>
        <v>-44.998650000000012</v>
      </c>
      <c r="CJ36" t="s">
        <v>589</v>
      </c>
    </row>
    <row r="37" spans="1:88" outlineLevel="1" x14ac:dyDescent="0.2">
      <c r="A37" s="52"/>
      <c r="B37" s="52" t="s">
        <v>82</v>
      </c>
      <c r="C37" s="9" t="s">
        <v>235</v>
      </c>
      <c r="D37" s="52">
        <v>333190689</v>
      </c>
      <c r="E37" s="9">
        <v>11</v>
      </c>
      <c r="F37" s="9">
        <v>32</v>
      </c>
      <c r="G37" s="9">
        <v>30</v>
      </c>
      <c r="I37" s="10">
        <f t="shared" si="0"/>
        <v>8.9079599999999992</v>
      </c>
      <c r="J37" s="11">
        <f t="shared" si="1"/>
        <v>2.8517675654495856E-2</v>
      </c>
      <c r="K37" s="11">
        <f t="shared" si="2"/>
        <v>1.7446345867125956E-2</v>
      </c>
      <c r="L37" s="11">
        <f t="shared" si="3"/>
        <v>1.3426617692789128E-2</v>
      </c>
      <c r="M37" s="11">
        <f t="shared" si="4"/>
        <v>1.1071329787369898E-2</v>
      </c>
      <c r="N37" s="52">
        <f t="shared" si="5"/>
        <v>5812960</v>
      </c>
      <c r="O37" s="11">
        <v>16</v>
      </c>
      <c r="P37" s="12">
        <v>81787481</v>
      </c>
      <c r="Q37" s="12">
        <v>2555858.78125</v>
      </c>
      <c r="R37" s="12">
        <v>42911.78125</v>
      </c>
      <c r="S37" s="13">
        <v>9501824</v>
      </c>
      <c r="T37" s="13">
        <v>4473624</v>
      </c>
      <c r="U37" s="13">
        <v>1339336</v>
      </c>
      <c r="V37" s="13">
        <v>3688864</v>
      </c>
      <c r="W37" s="14">
        <v>76.246068749999978</v>
      </c>
      <c r="X37" s="14">
        <v>78.937634374999988</v>
      </c>
      <c r="Y37" s="14">
        <v>36.130121875</v>
      </c>
      <c r="Z37" s="14">
        <v>43.529096874999993</v>
      </c>
      <c r="AA37" s="14">
        <v>46.101628125000012</v>
      </c>
      <c r="AB37" s="15">
        <v>2962.69</v>
      </c>
      <c r="AC37" s="15">
        <v>27814.799999999999</v>
      </c>
      <c r="AD37" s="15">
        <v>53.636000000000003</v>
      </c>
      <c r="AE37" s="15">
        <v>39.192</v>
      </c>
      <c r="AG37" s="10" t="str">
        <f t="shared" si="6"/>
        <v>·</v>
      </c>
      <c r="AH37" s="11" t="str">
        <f t="shared" si="7"/>
        <v>·</v>
      </c>
      <c r="AI37" s="11" t="str">
        <f t="shared" si="8"/>
        <v>·</v>
      </c>
      <c r="AJ37" s="11" t="str">
        <f t="shared" si="9"/>
        <v>·</v>
      </c>
      <c r="AK37" s="11" t="str">
        <f t="shared" si="10"/>
        <v>·</v>
      </c>
      <c r="AL37" s="52" t="str">
        <f t="shared" si="11"/>
        <v/>
      </c>
      <c r="AM37" s="11">
        <v>16</v>
      </c>
      <c r="AN37" s="12"/>
      <c r="AO37" s="12"/>
      <c r="AP37" s="12"/>
      <c r="AQ37" s="13"/>
      <c r="AR37" s="13"/>
      <c r="AS37" s="13"/>
      <c r="AT37" s="13"/>
      <c r="AU37" s="14"/>
      <c r="AV37" s="14"/>
      <c r="AW37" s="14"/>
      <c r="AX37" s="14"/>
      <c r="AY37" s="14"/>
      <c r="AZ37" s="15"/>
      <c r="BA37" s="15"/>
      <c r="BB37" s="15"/>
      <c r="BC37" s="15"/>
      <c r="BE37" s="50" t="e">
        <f t="shared" si="12"/>
        <v>#VALUE!</v>
      </c>
      <c r="BF37" s="16" t="e">
        <f t="shared" si="13"/>
        <v>#DIV/0!</v>
      </c>
      <c r="BG37" s="16" t="e">
        <f t="shared" si="14"/>
        <v>#VALUE!</v>
      </c>
      <c r="BH37" s="16"/>
      <c r="BJ37" s="50"/>
      <c r="BK37" s="50"/>
      <c r="BL37" s="50"/>
      <c r="BM37" s="50"/>
      <c r="BN37" s="50"/>
      <c r="BP37" s="50"/>
      <c r="BQ37" s="50"/>
      <c r="BR37" s="50"/>
      <c r="BS37" s="50"/>
      <c r="BT37" s="50"/>
      <c r="BV37" s="53">
        <f t="shared" si="16"/>
        <v>-81787481</v>
      </c>
      <c r="BW37" s="53">
        <f t="shared" si="16"/>
        <v>-2555858.78125</v>
      </c>
      <c r="BX37" s="53">
        <f t="shared" si="16"/>
        <v>-42911.78125</v>
      </c>
      <c r="BY37" s="53">
        <f t="shared" si="16"/>
        <v>-9501824</v>
      </c>
      <c r="BZ37" s="53">
        <f t="shared" si="16"/>
        <v>-4473624</v>
      </c>
      <c r="CA37" s="53">
        <f t="shared" si="16"/>
        <v>-1339336</v>
      </c>
      <c r="CB37" s="53">
        <f t="shared" si="16"/>
        <v>-3688864</v>
      </c>
      <c r="CC37" s="53">
        <f t="shared" si="16"/>
        <v>-76.246068749999978</v>
      </c>
      <c r="CD37" s="53">
        <f t="shared" si="16"/>
        <v>-78.937634374999988</v>
      </c>
      <c r="CE37" s="53">
        <f t="shared" si="16"/>
        <v>-36.130121875</v>
      </c>
      <c r="CF37" s="53">
        <f t="shared" si="16"/>
        <v>-43.529096874999993</v>
      </c>
      <c r="CG37" s="53">
        <f t="shared" si="16"/>
        <v>-46.101628125000012</v>
      </c>
      <c r="CJ37" t="s">
        <v>589</v>
      </c>
    </row>
    <row r="38" spans="1:88" outlineLevel="1" x14ac:dyDescent="0.2">
      <c r="A38" s="17"/>
      <c r="B38" s="17" t="s">
        <v>82</v>
      </c>
      <c r="C38" s="18" t="s">
        <v>236</v>
      </c>
      <c r="D38" s="17">
        <v>333190689</v>
      </c>
      <c r="E38" s="18">
        <v>11</v>
      </c>
      <c r="F38" s="18">
        <v>32</v>
      </c>
      <c r="G38" s="18">
        <v>30</v>
      </c>
      <c r="I38" s="19">
        <f t="shared" si="0"/>
        <v>14.434597500000001</v>
      </c>
      <c r="J38" s="20">
        <f t="shared" si="1"/>
        <v>4.6210486992330088E-2</v>
      </c>
      <c r="K38" s="20">
        <f t="shared" si="2"/>
        <v>2.3715596686436816E-2</v>
      </c>
      <c r="L38" s="20">
        <f t="shared" si="3"/>
        <v>1.9695868512099989E-2</v>
      </c>
      <c r="M38" s="20">
        <f t="shared" si="4"/>
        <v>2.2494890305893273E-2</v>
      </c>
      <c r="N38" s="17">
        <f t="shared" si="5"/>
        <v>7901816</v>
      </c>
      <c r="O38" s="20">
        <v>16</v>
      </c>
      <c r="P38" s="21">
        <v>83859347</v>
      </c>
      <c r="Q38" s="21">
        <v>2620604.59375</v>
      </c>
      <c r="R38" s="21">
        <v>48103.65625</v>
      </c>
      <c r="S38" s="22">
        <v>15396904</v>
      </c>
      <c r="T38" s="22">
        <v>6562480</v>
      </c>
      <c r="U38" s="22">
        <v>1339336</v>
      </c>
      <c r="V38" s="22">
        <v>7495088</v>
      </c>
      <c r="W38" s="23">
        <v>77.415709375000006</v>
      </c>
      <c r="X38" s="23">
        <v>80.131399999999999</v>
      </c>
      <c r="Y38" s="23">
        <v>38.085528125000003</v>
      </c>
      <c r="Z38" s="23">
        <v>44.206915625000008</v>
      </c>
      <c r="AA38" s="23">
        <v>47.257871874999999</v>
      </c>
      <c r="AB38" s="24">
        <v>3191.14</v>
      </c>
      <c r="AC38" s="24">
        <v>33916.300000000003</v>
      </c>
      <c r="AD38" s="24">
        <v>57.96</v>
      </c>
      <c r="AE38" s="24">
        <v>45.14</v>
      </c>
      <c r="AG38" s="19" t="str">
        <f t="shared" si="6"/>
        <v>·</v>
      </c>
      <c r="AH38" s="20" t="str">
        <f t="shared" si="7"/>
        <v>·</v>
      </c>
      <c r="AI38" s="20" t="str">
        <f t="shared" si="8"/>
        <v>·</v>
      </c>
      <c r="AJ38" s="20" t="str">
        <f t="shared" si="9"/>
        <v>·</v>
      </c>
      <c r="AK38" s="20" t="str">
        <f t="shared" si="10"/>
        <v>·</v>
      </c>
      <c r="AL38" s="17" t="str">
        <f t="shared" si="11"/>
        <v/>
      </c>
      <c r="AM38" s="20">
        <v>16</v>
      </c>
      <c r="AN38" s="21"/>
      <c r="AO38" s="21"/>
      <c r="AP38" s="21"/>
      <c r="AQ38" s="22"/>
      <c r="AR38" s="22"/>
      <c r="AS38" s="22"/>
      <c r="AT38" s="22"/>
      <c r="AU38" s="23"/>
      <c r="AV38" s="23"/>
      <c r="AW38" s="23"/>
      <c r="AX38" s="23"/>
      <c r="AY38" s="23"/>
      <c r="AZ38" s="24"/>
      <c r="BA38" s="24"/>
      <c r="BB38" s="24"/>
      <c r="BC38" s="24"/>
      <c r="BE38" s="49" t="e">
        <f t="shared" si="12"/>
        <v>#VALUE!</v>
      </c>
      <c r="BF38" s="25" t="e">
        <f t="shared" si="13"/>
        <v>#DIV/0!</v>
      </c>
      <c r="BG38" s="25" t="e">
        <f t="shared" si="14"/>
        <v>#VALUE!</v>
      </c>
      <c r="BH38" s="25"/>
      <c r="BJ38" s="49"/>
      <c r="BK38" s="49"/>
      <c r="BL38" s="49"/>
      <c r="BM38" s="49"/>
      <c r="BN38" s="49"/>
      <c r="BP38" s="49"/>
      <c r="BQ38" s="49"/>
      <c r="BR38" s="49"/>
      <c r="BS38" s="49"/>
      <c r="BT38" s="49"/>
      <c r="BV38" s="53">
        <f t="shared" si="16"/>
        <v>-83859347</v>
      </c>
      <c r="BW38" s="53">
        <f t="shared" si="16"/>
        <v>-2620604.59375</v>
      </c>
      <c r="BX38" s="53">
        <f t="shared" si="16"/>
        <v>-48103.65625</v>
      </c>
      <c r="BY38" s="53">
        <f t="shared" si="16"/>
        <v>-15396904</v>
      </c>
      <c r="BZ38" s="53">
        <f t="shared" si="16"/>
        <v>-6562480</v>
      </c>
      <c r="CA38" s="53">
        <f t="shared" si="16"/>
        <v>-1339336</v>
      </c>
      <c r="CB38" s="53">
        <f t="shared" si="16"/>
        <v>-7495088</v>
      </c>
      <c r="CC38" s="53">
        <f t="shared" si="16"/>
        <v>-77.415709375000006</v>
      </c>
      <c r="CD38" s="53">
        <f t="shared" si="16"/>
        <v>-80.131399999999999</v>
      </c>
      <c r="CE38" s="53">
        <f t="shared" si="16"/>
        <v>-38.085528125000003</v>
      </c>
      <c r="CF38" s="53">
        <f t="shared" si="16"/>
        <v>-44.206915625000008</v>
      </c>
      <c r="CG38" s="53">
        <f t="shared" si="16"/>
        <v>-47.257871874999999</v>
      </c>
      <c r="CJ38" t="s">
        <v>589</v>
      </c>
    </row>
    <row r="39" spans="1:88" ht="16" outlineLevel="1" thickBot="1" x14ac:dyDescent="0.25">
      <c r="A39" s="26"/>
      <c r="B39" s="26" t="s">
        <v>82</v>
      </c>
      <c r="C39" s="27" t="s">
        <v>237</v>
      </c>
      <c r="D39" s="26">
        <v>333190689</v>
      </c>
      <c r="E39" s="27">
        <v>11</v>
      </c>
      <c r="F39" s="27">
        <v>32</v>
      </c>
      <c r="G39" s="27">
        <v>30</v>
      </c>
      <c r="I39" s="28">
        <f t="shared" si="0"/>
        <v>28.660717500000001</v>
      </c>
      <c r="J39" s="29">
        <f t="shared" si="1"/>
        <v>9.175356037635253E-2</v>
      </c>
      <c r="K39" s="29">
        <f t="shared" si="2"/>
        <v>3.8473536095722051E-2</v>
      </c>
      <c r="L39" s="29">
        <f t="shared" si="3"/>
        <v>3.036807550165365E-2</v>
      </c>
      <c r="M39" s="29">
        <f t="shared" si="4"/>
        <v>5.3280024280630486E-2</v>
      </c>
      <c r="N39" s="26">
        <f t="shared" si="5"/>
        <v>12819024</v>
      </c>
      <c r="O39" s="29">
        <v>16</v>
      </c>
      <c r="P39" s="30">
        <v>82067544</v>
      </c>
      <c r="Q39" s="30">
        <v>2564610.75</v>
      </c>
      <c r="R39" s="30">
        <v>19264.46875</v>
      </c>
      <c r="S39" s="31">
        <v>30571432</v>
      </c>
      <c r="T39" s="31">
        <v>10118360</v>
      </c>
      <c r="U39" s="31">
        <v>2700664</v>
      </c>
      <c r="V39" s="31">
        <v>17752408</v>
      </c>
      <c r="W39" s="32">
        <v>78.311515624999998</v>
      </c>
      <c r="X39" s="32">
        <v>81.848193750000021</v>
      </c>
      <c r="Y39" s="32">
        <v>40.156068750000003</v>
      </c>
      <c r="Z39" s="32">
        <v>45.115956249999989</v>
      </c>
      <c r="AA39" s="32">
        <v>48.630465624999999</v>
      </c>
      <c r="AB39" s="33">
        <v>2964.08</v>
      </c>
      <c r="AC39" s="33">
        <v>31215.5</v>
      </c>
      <c r="AD39" s="33">
        <v>52.031999999999996</v>
      </c>
      <c r="AE39" s="33">
        <v>51.76</v>
      </c>
      <c r="AG39" s="28" t="str">
        <f t="shared" si="6"/>
        <v>·</v>
      </c>
      <c r="AH39" s="29" t="str">
        <f t="shared" si="7"/>
        <v>·</v>
      </c>
      <c r="AI39" s="29" t="str">
        <f t="shared" si="8"/>
        <v>·</v>
      </c>
      <c r="AJ39" s="29" t="str">
        <f t="shared" si="9"/>
        <v>·</v>
      </c>
      <c r="AK39" s="29" t="str">
        <f t="shared" si="10"/>
        <v>·</v>
      </c>
      <c r="AL39" s="26" t="str">
        <f t="shared" si="11"/>
        <v/>
      </c>
      <c r="AM39" s="29">
        <v>16</v>
      </c>
      <c r="AN39" s="30"/>
      <c r="AO39" s="30"/>
      <c r="AP39" s="30"/>
      <c r="AQ39" s="31"/>
      <c r="AR39" s="31"/>
      <c r="AS39" s="31"/>
      <c r="AT39" s="31"/>
      <c r="AU39" s="32"/>
      <c r="AV39" s="32"/>
      <c r="AW39" s="32"/>
      <c r="AX39" s="32"/>
      <c r="AY39" s="32"/>
      <c r="AZ39" s="33"/>
      <c r="BA39" s="33"/>
      <c r="BB39" s="33"/>
      <c r="BC39" s="33"/>
      <c r="BE39" s="34" t="e">
        <f t="shared" si="12"/>
        <v>#VALUE!</v>
      </c>
      <c r="BF39" s="35" t="e">
        <f t="shared" si="13"/>
        <v>#DIV/0!</v>
      </c>
      <c r="BG39" s="35" t="e">
        <f t="shared" si="14"/>
        <v>#VALUE!</v>
      </c>
      <c r="BH39" s="35"/>
      <c r="BJ39" s="34"/>
      <c r="BK39" s="34"/>
      <c r="BL39" s="34"/>
      <c r="BM39" s="34"/>
      <c r="BN39" s="34"/>
      <c r="BP39" s="34"/>
      <c r="BQ39" s="34"/>
      <c r="BR39" s="34"/>
      <c r="BS39" s="34"/>
      <c r="BT39" s="34"/>
      <c r="BV39" s="53">
        <f t="shared" si="16"/>
        <v>-82067544</v>
      </c>
      <c r="BW39" s="53">
        <f t="shared" si="16"/>
        <v>-2564610.75</v>
      </c>
      <c r="BX39" s="53">
        <f t="shared" si="16"/>
        <v>-19264.46875</v>
      </c>
      <c r="BY39" s="53">
        <f t="shared" si="16"/>
        <v>-30571432</v>
      </c>
      <c r="BZ39" s="53">
        <f t="shared" si="16"/>
        <v>-10118360</v>
      </c>
      <c r="CA39" s="53">
        <f t="shared" si="16"/>
        <v>-2700664</v>
      </c>
      <c r="CB39" s="53">
        <f t="shared" si="16"/>
        <v>-17752408</v>
      </c>
      <c r="CC39" s="53">
        <f t="shared" si="16"/>
        <v>-78.311515624999998</v>
      </c>
      <c r="CD39" s="53">
        <f t="shared" si="16"/>
        <v>-81.848193750000021</v>
      </c>
      <c r="CE39" s="53">
        <f t="shared" si="16"/>
        <v>-40.156068750000003</v>
      </c>
      <c r="CF39" s="53">
        <f t="shared" si="16"/>
        <v>-45.115956249999989</v>
      </c>
      <c r="CG39" s="53">
        <f t="shared" si="16"/>
        <v>-48.630465624999999</v>
      </c>
      <c r="CJ39" t="s">
        <v>589</v>
      </c>
    </row>
    <row r="40" spans="1:88" ht="16" x14ac:dyDescent="0.2">
      <c r="B40" s="46" t="s">
        <v>16</v>
      </c>
      <c r="J40" s="47">
        <f>AVERAGE(J5:J24)</f>
        <v>1.7870143642272428E-2</v>
      </c>
      <c r="K40" s="47">
        <f>AVERAGE(K5:K24)</f>
        <v>9.5321793276372524E-3</v>
      </c>
      <c r="L40" s="47">
        <f>AVERAGE(L5:L24)</f>
        <v>6.9516832599163803E-3</v>
      </c>
      <c r="M40" s="47">
        <f>AVERAGE(M5:M24)</f>
        <v>8.3379643146351788E-3</v>
      </c>
      <c r="AH40" s="47" t="e">
        <f>AVERAGE(AH5:AH24)</f>
        <v>#DIV/0!</v>
      </c>
      <c r="AI40" s="47" t="e">
        <f>AVERAGE(AI5:AI24)</f>
        <v>#DIV/0!</v>
      </c>
      <c r="AJ40" s="47" t="e">
        <f>AVERAGE(AJ5:AJ24)</f>
        <v>#DIV/0!</v>
      </c>
      <c r="AK40" s="47" t="e">
        <f>AVERAGE(AK5:AK24)</f>
        <v>#DIV/0!</v>
      </c>
      <c r="BE40" s="51" t="e">
        <f t="shared" si="12"/>
        <v>#DIV/0!</v>
      </c>
      <c r="BH40" s="55" t="e">
        <f>AVERAGE(BH5:BH24)</f>
        <v>#VALUE!</v>
      </c>
      <c r="BJ40" s="51" t="e">
        <f>AVERAGE(BJ5:BJ24)</f>
        <v>#DIV/0!</v>
      </c>
      <c r="BK40" s="51" t="e">
        <f>AVERAGE(BK5:BK24)</f>
        <v>#DIV/0!</v>
      </c>
      <c r="BL40" s="51" t="e">
        <f>AVERAGE(BL5:BL24)</f>
        <v>#DIV/0!</v>
      </c>
      <c r="BM40" s="51" t="e">
        <f>AVERAGE(BM5:BM24)</f>
        <v>#DIV/0!</v>
      </c>
      <c r="BN40" s="51" t="e">
        <f>AVERAGE(BN5:BN24)</f>
        <v>#DIV/0!</v>
      </c>
      <c r="BP40" s="51" t="e">
        <f>AVERAGE(BP5:BP24)</f>
        <v>#DIV/0!</v>
      </c>
      <c r="BQ40" s="51" t="e">
        <f>AVERAGE(BQ5:BQ24)</f>
        <v>#DIV/0!</v>
      </c>
      <c r="BR40" s="51" t="e">
        <f>AVERAGE(BR5:BR24)</f>
        <v>#DIV/0!</v>
      </c>
      <c r="BS40" s="51" t="e">
        <f>AVERAGE(BS5:BS24)</f>
        <v>#DIV/0!</v>
      </c>
      <c r="BT40" s="51" t="e">
        <f>AVERAGE(BT5:BT24)</f>
        <v>#DIV/0!</v>
      </c>
    </row>
    <row r="41" spans="1:88" ht="16" x14ac:dyDescent="0.2">
      <c r="B41" s="46" t="s">
        <v>17</v>
      </c>
      <c r="J41" s="47">
        <f>AVERAGE(J25:J29)</f>
        <v>3.8315025133065006E-2</v>
      </c>
      <c r="K41" s="47">
        <f>AVERAGE(K25:K29)</f>
        <v>1.1417285892349041E-2</v>
      </c>
      <c r="L41" s="47">
        <f>AVERAGE(L25:L29)</f>
        <v>8.7672756735900897E-3</v>
      </c>
      <c r="M41" s="47">
        <f>AVERAGE(M25:M29)</f>
        <v>2.6897739240715968E-2</v>
      </c>
      <c r="AH41" s="47" t="e">
        <f>AVERAGE(AH25:AH29)</f>
        <v>#DIV/0!</v>
      </c>
      <c r="AI41" s="47" t="e">
        <f>AVERAGE(AI25:AI29)</f>
        <v>#DIV/0!</v>
      </c>
      <c r="AJ41" s="47" t="e">
        <f>AVERAGE(AJ25:AJ29)</f>
        <v>#DIV/0!</v>
      </c>
      <c r="AK41" s="47" t="e">
        <f>AVERAGE(AK25:AK29)</f>
        <v>#DIV/0!</v>
      </c>
      <c r="BE41" s="51" t="e">
        <f t="shared" si="12"/>
        <v>#DIV/0!</v>
      </c>
      <c r="BH41" s="55" t="e">
        <f>AVERAGE(BH25:BH29)</f>
        <v>#VALUE!</v>
      </c>
      <c r="BJ41" s="51" t="e">
        <f>AVERAGE(BJ25:BJ29)</f>
        <v>#DIV/0!</v>
      </c>
      <c r="BK41" s="51" t="e">
        <f>AVERAGE(BK25:BK29)</f>
        <v>#DIV/0!</v>
      </c>
      <c r="BL41" s="51" t="e">
        <f>AVERAGE(BL25:BL29)</f>
        <v>#DIV/0!</v>
      </c>
      <c r="BM41" s="51" t="e">
        <f>AVERAGE(BM25:BM29)</f>
        <v>#DIV/0!</v>
      </c>
      <c r="BN41" s="51" t="e">
        <f>AVERAGE(BN25:BN29)</f>
        <v>#DIV/0!</v>
      </c>
      <c r="BP41" s="51" t="e">
        <f>AVERAGE(BP25:BP29)</f>
        <v>#DIV/0!</v>
      </c>
      <c r="BQ41" s="51" t="e">
        <f>AVERAGE(BQ25:BQ29)</f>
        <v>#DIV/0!</v>
      </c>
      <c r="BR41" s="51" t="e">
        <f>AVERAGE(BR25:BR29)</f>
        <v>#DIV/0!</v>
      </c>
      <c r="BS41" s="51" t="e">
        <f>AVERAGE(BS25:BS29)</f>
        <v>#DIV/0!</v>
      </c>
      <c r="BT41" s="51" t="e">
        <f>AVERAGE(BT25:BT29)</f>
        <v>#DIV/0!</v>
      </c>
    </row>
    <row r="42" spans="1:88" ht="16" x14ac:dyDescent="0.2">
      <c r="B42" s="46" t="s">
        <v>18</v>
      </c>
      <c r="J42" s="47">
        <f>AVERAGE(J30:J39)</f>
        <v>3.5053629428106393E-2</v>
      </c>
      <c r="K42" s="47">
        <f>AVERAGE(K30:K39)</f>
        <v>1.8600416961661072E-2</v>
      </c>
      <c r="L42" s="47">
        <f>AVERAGE(L30:L39)</f>
        <v>1.4301451090252094E-2</v>
      </c>
      <c r="M42" s="47">
        <f>AVERAGE(M30:M39)</f>
        <v>1.6453212466445322E-2</v>
      </c>
      <c r="AH42" s="47" t="e">
        <f>AVERAGE(AH30:AH39)</f>
        <v>#DIV/0!</v>
      </c>
      <c r="AI42" s="47" t="e">
        <f>AVERAGE(AI30:AI39)</f>
        <v>#DIV/0!</v>
      </c>
      <c r="AJ42" s="47" t="e">
        <f>AVERAGE(AJ30:AJ39)</f>
        <v>#DIV/0!</v>
      </c>
      <c r="AK42" s="47" t="e">
        <f>AVERAGE(AK30:AK39)</f>
        <v>#DIV/0!</v>
      </c>
      <c r="BE42" s="51" t="e">
        <f t="shared" si="12"/>
        <v>#DIV/0!</v>
      </c>
      <c r="BH42" s="55" t="e">
        <f>AVERAGE(BH30:BH39)</f>
        <v>#VALUE!</v>
      </c>
      <c r="BJ42" s="51" t="e">
        <f>AVERAGE(BJ30:BJ39)</f>
        <v>#DIV/0!</v>
      </c>
      <c r="BK42" s="51" t="e">
        <f>AVERAGE(BK30:BK39)</f>
        <v>#DIV/0!</v>
      </c>
      <c r="BL42" s="51" t="e">
        <f>AVERAGE(BL30:BL39)</f>
        <v>#DIV/0!</v>
      </c>
      <c r="BM42" s="51" t="e">
        <f>AVERAGE(BM30:BM39)</f>
        <v>#DIV/0!</v>
      </c>
      <c r="BN42" s="51" t="e">
        <f>AVERAGE(BN30:BN39)</f>
        <v>#DIV/0!</v>
      </c>
      <c r="BP42" s="51" t="e">
        <f>AVERAGE(BP30:BP39)</f>
        <v>#DIV/0!</v>
      </c>
      <c r="BQ42" s="51" t="e">
        <f>AVERAGE(BQ30:BQ39)</f>
        <v>#DIV/0!</v>
      </c>
      <c r="BR42" s="51" t="e">
        <f>AVERAGE(BR30:BR39)</f>
        <v>#DIV/0!</v>
      </c>
      <c r="BS42" s="51" t="e">
        <f>AVERAGE(BS30:BS39)</f>
        <v>#DIV/0!</v>
      </c>
      <c r="BT42" s="51" t="e">
        <f>AVERAGE(BT30:BT39)</f>
        <v>#DIV/0!</v>
      </c>
    </row>
    <row r="43" spans="1:88" ht="16" x14ac:dyDescent="0.2">
      <c r="B43" s="46" t="s">
        <v>19</v>
      </c>
      <c r="J43" s="47">
        <f>AVERAGE(J5:J39)</f>
        <v>2.5700408365481077E-2</v>
      </c>
      <c r="K43" s="47">
        <f>AVERAGE(K5:K39)</f>
        <v>1.2392405303745741E-2</v>
      </c>
      <c r="L43" s="47">
        <f>AVERAGE(L5:L39)</f>
        <v>9.3109872705371133E-3</v>
      </c>
      <c r="M43" s="47">
        <f>AVERAGE(M5:M39)</f>
        <v>1.3308003061735334E-2</v>
      </c>
      <c r="AH43" s="47" t="e">
        <f>AVERAGE(AH5:AH39)</f>
        <v>#DIV/0!</v>
      </c>
      <c r="AI43" s="47" t="e">
        <f>AVERAGE(AI5:AI39)</f>
        <v>#DIV/0!</v>
      </c>
      <c r="AJ43" s="47" t="e">
        <f>AVERAGE(AJ5:AJ39)</f>
        <v>#DIV/0!</v>
      </c>
      <c r="AK43" s="47" t="e">
        <f>AVERAGE(AK5:AK39)</f>
        <v>#DIV/0!</v>
      </c>
      <c r="BE43" s="51" t="e">
        <f t="shared" si="12"/>
        <v>#DIV/0!</v>
      </c>
      <c r="BH43" s="55" t="e">
        <f>AVERAGE(BH5:BH39)</f>
        <v>#VALUE!</v>
      </c>
      <c r="BJ43" s="51" t="e">
        <f>AVERAGE(BJ5:BJ39)</f>
        <v>#DIV/0!</v>
      </c>
      <c r="BK43" s="51" t="e">
        <f>AVERAGE(BK5:BK39)</f>
        <v>#DIV/0!</v>
      </c>
      <c r="BL43" s="51" t="e">
        <f>AVERAGE(BL5:BL39)</f>
        <v>#DIV/0!</v>
      </c>
      <c r="BM43" s="51" t="e">
        <f>AVERAGE(BM5:BM39)</f>
        <v>#DIV/0!</v>
      </c>
      <c r="BN43" s="51" t="e">
        <f>AVERAGE(BN5:BN39)</f>
        <v>#DIV/0!</v>
      </c>
      <c r="BP43" s="51" t="e">
        <f>AVERAGE(BP5:BP39)</f>
        <v>#DIV/0!</v>
      </c>
      <c r="BQ43" s="51" t="e">
        <f>AVERAGE(BQ5:BQ39)</f>
        <v>#DIV/0!</v>
      </c>
      <c r="BR43" s="51" t="e">
        <f>AVERAGE(BR5:BR39)</f>
        <v>#DIV/0!</v>
      </c>
      <c r="BS43" s="51" t="e">
        <f>AVERAGE(BS5:BS39)</f>
        <v>#DIV/0!</v>
      </c>
      <c r="BT43" s="51" t="e">
        <f>AVERAGE(BT5:BT39)</f>
        <v>#DIV/0!</v>
      </c>
    </row>
    <row r="44" spans="1:88" ht="16" hidden="1" outlineLevel="2" x14ac:dyDescent="0.2">
      <c r="A44" s="46" t="s">
        <v>245</v>
      </c>
      <c r="B44" s="46" t="s">
        <v>246</v>
      </c>
      <c r="AB44" s="48">
        <f>SUM(AB5:AB24,AB25:AB29,AB30:AB39)</f>
        <v>114263.69</v>
      </c>
      <c r="AC44" s="48">
        <f>SUM(AC5:AC24,AC25:AC29,AC30:AC39)</f>
        <v>403877.78</v>
      </c>
      <c r="AD44" s="48">
        <f>SUM(AD5:AD24,AD25:AD29,AD30:AD39)</f>
        <v>845.60400000000016</v>
      </c>
      <c r="AE44" s="48">
        <f>SUM(AE5:AE24,AE25:AE29,AE30:AE39)</f>
        <v>659.41599999999994</v>
      </c>
      <c r="AZ44" s="48">
        <f>SUM(AZ5:AZ24,AZ25:AZ29,AZ30:AZ39)</f>
        <v>0</v>
      </c>
      <c r="BA44" s="48">
        <f>SUM(BA5:BA24,BA25:BA29,BA30:BA39)</f>
        <v>0</v>
      </c>
      <c r="BB44" s="48">
        <f>SUM(BB5:BB24,BB25:BB29,BB30:BB39)</f>
        <v>0</v>
      </c>
      <c r="BC44" s="48">
        <f>SUM(BC5:BC24,BC25:BC29,BC30:BC39)</f>
        <v>0</v>
      </c>
    </row>
    <row r="45" spans="1:88" ht="16" hidden="1" outlineLevel="2" x14ac:dyDescent="0.2">
      <c r="B45" s="46" t="s">
        <v>247</v>
      </c>
      <c r="AZ45" s="55">
        <f>AZ44/AB44</f>
        <v>0</v>
      </c>
      <c r="BA45" s="55">
        <f>BA44/AC44</f>
        <v>0</v>
      </c>
      <c r="BB45" s="55">
        <f>BB44/AD44</f>
        <v>0</v>
      </c>
      <c r="BC45" s="55">
        <f>BC44/AE44</f>
        <v>0</v>
      </c>
    </row>
    <row r="46" spans="1:88" ht="16" hidden="1" outlineLevel="2" x14ac:dyDescent="0.2">
      <c r="B46" s="46" t="s">
        <v>248</v>
      </c>
      <c r="AB46" s="48">
        <f>GEOMEAN(AB5:AB24,AB25:AB29,AB30:AB39)</f>
        <v>3087.3746394952109</v>
      </c>
      <c r="AC46" s="48">
        <f>GEOMEAN(AC5:AC24,AC25:AC29,AC30:AC39)</f>
        <v>8261.5041431862574</v>
      </c>
      <c r="AD46" s="48">
        <f>GEOMEAN(AD5:AD24,AD25:AD29,AD30:AD39)</f>
        <v>19.2149967787654</v>
      </c>
      <c r="AE46" s="48">
        <f>GEOMEAN(AE5:AE24,AE25:AE29,AE30:AE39)</f>
        <v>14.558757596533441</v>
      </c>
      <c r="AZ46" s="48" t="e">
        <f>GEOMEAN(AZ5:AZ24,AZ25:AZ29,AZ30:AZ39)</f>
        <v>#NUM!</v>
      </c>
      <c r="BA46" s="48" t="e">
        <f>GEOMEAN(BA5:BA24,BA25:BA29,BA30:BA39)</f>
        <v>#NUM!</v>
      </c>
      <c r="BB46" s="48" t="e">
        <f>GEOMEAN(BB5:BB24,BB25:BB29,BB30:BB39)</f>
        <v>#NUM!</v>
      </c>
      <c r="BC46" s="48" t="e">
        <f>GEOMEAN(BC5:BC24,BC25:BC29,BC30:BC39)</f>
        <v>#NUM!</v>
      </c>
    </row>
    <row r="47" spans="1:88" ht="16" outlineLevel="2" collapsed="1" x14ac:dyDescent="0.2">
      <c r="B47" s="46" t="s">
        <v>249</v>
      </c>
      <c r="AZ47" s="55" t="e">
        <f>AZ46/AB46</f>
        <v>#NUM!</v>
      </c>
      <c r="BA47" s="55" t="e">
        <f>BA46/AC46</f>
        <v>#NUM!</v>
      </c>
      <c r="BB47" s="55" t="e">
        <f>BB46/AD46</f>
        <v>#NUM!</v>
      </c>
      <c r="BC47" s="55" t="e">
        <f>BC46/AE46</f>
        <v>#NUM!</v>
      </c>
    </row>
  </sheetData>
  <mergeCells count="48">
    <mergeCell ref="CE2:CG2"/>
    <mergeCell ref="BV2:BV3"/>
    <mergeCell ref="BW2:BW3"/>
    <mergeCell ref="BX2:BX3"/>
    <mergeCell ref="BY2:CB2"/>
    <mergeCell ref="CC2:CD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phoneticPr fontId="2"/>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2019-10-21T22:10:36Z</dcterms:modified>
</cp:coreProperties>
</file>